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0256186c38449ae/Documents/mlj/"/>
    </mc:Choice>
  </mc:AlternateContent>
  <xr:revisionPtr revIDLastSave="7" documentId="11_0911509C66D7A24F35338D7EFD252E4B20D46E78" xr6:coauthVersionLast="47" xr6:coauthVersionMax="47" xr10:uidLastSave="{6B54D6B1-EA37-485F-BFD1-70284CED6336}"/>
  <bookViews>
    <workbookView xWindow="28690" yWindow="-80" windowWidth="38620" windowHeight="21100" tabRatio="500" firstSheet="2" activeTab="10" xr2:uid="{00000000-000D-0000-FFFF-FFFF00000000}"/>
  </bookViews>
  <sheets>
    <sheet name="README" sheetId="1" r:id="rId1"/>
    <sheet name="Logic Tree" sheetId="2" r:id="rId2"/>
    <sheet name="Inventory" sheetId="3" r:id="rId3"/>
    <sheet name="Value Streams" sheetId="4" r:id="rId4"/>
    <sheet name="Pod Library" sheetId="5" r:id="rId5"/>
    <sheet name="Pod Plan" sheetId="6" r:id="rId6"/>
    <sheet name="Horizontal Teams" sheetId="7" r:id="rId7"/>
    <sheet name="Team Build-Up" sheetId="8" r:id="rId8"/>
    <sheet name="Glidepath &amp; 50-50" sheetId="9" r:id="rId9"/>
    <sheet name="Cost &amp; Commercial" sheetId="10" r:id="rId10"/>
    <sheet name="Seat Ledger" sheetId="11" r:id="rId11"/>
  </sheets>
  <definedNames>
    <definedName name="_xlnm._FilterDatabase" localSheetId="2" hidden="1">Inventory!$A$4:$U$146</definedName>
    <definedName name="_xlnm._FilterDatabase" localSheetId="10" hidden="1">'Seat Ledger'!$A$4:$M$393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70" i="11" l="1"/>
  <c r="L70" i="11" s="1"/>
  <c r="M70" i="11" s="1"/>
  <c r="I70" i="11"/>
  <c r="H70" i="11"/>
  <c r="G70" i="11"/>
  <c r="F70" i="11"/>
  <c r="E70" i="11"/>
  <c r="C70" i="11"/>
  <c r="A70" i="11"/>
  <c r="J69" i="11"/>
  <c r="L69" i="11" s="1"/>
  <c r="M69" i="11" s="1"/>
  <c r="I69" i="11"/>
  <c r="H69" i="11"/>
  <c r="G69" i="11"/>
  <c r="F69" i="11"/>
  <c r="E69" i="11"/>
  <c r="C69" i="11"/>
  <c r="A69" i="11"/>
  <c r="J68" i="11"/>
  <c r="L68" i="11" s="1"/>
  <c r="M68" i="11" s="1"/>
  <c r="I68" i="11"/>
  <c r="H68" i="11"/>
  <c r="G68" i="11"/>
  <c r="F68" i="11"/>
  <c r="E68" i="11"/>
  <c r="C68" i="11"/>
  <c r="A68" i="11"/>
  <c r="J67" i="11"/>
  <c r="L67" i="11" s="1"/>
  <c r="M67" i="11" s="1"/>
  <c r="I67" i="11"/>
  <c r="H67" i="11"/>
  <c r="G67" i="11"/>
  <c r="F67" i="11"/>
  <c r="E67" i="11"/>
  <c r="C67" i="11"/>
  <c r="A67" i="11"/>
  <c r="J66" i="11"/>
  <c r="L66" i="11" s="1"/>
  <c r="M66" i="11" s="1"/>
  <c r="I66" i="11"/>
  <c r="H66" i="11"/>
  <c r="G66" i="11"/>
  <c r="F66" i="11"/>
  <c r="E66" i="11"/>
  <c r="C66" i="11"/>
  <c r="A66" i="11"/>
  <c r="J65" i="11"/>
  <c r="L65" i="11" s="1"/>
  <c r="M65" i="11" s="1"/>
  <c r="I65" i="11"/>
  <c r="H65" i="11"/>
  <c r="G65" i="11"/>
  <c r="F65" i="11"/>
  <c r="E65" i="11"/>
  <c r="C65" i="11"/>
  <c r="A65" i="11"/>
  <c r="J64" i="11"/>
  <c r="L64" i="11" s="1"/>
  <c r="M64" i="11" s="1"/>
  <c r="I64" i="11"/>
  <c r="H64" i="11"/>
  <c r="G64" i="11"/>
  <c r="F64" i="11"/>
  <c r="E64" i="11"/>
  <c r="C64" i="11"/>
  <c r="A64" i="11"/>
  <c r="J63" i="11"/>
  <c r="L63" i="11" s="1"/>
  <c r="M63" i="11" s="1"/>
  <c r="I63" i="11"/>
  <c r="H63" i="11"/>
  <c r="G63" i="11"/>
  <c r="F63" i="11"/>
  <c r="E63" i="11"/>
  <c r="C63" i="11"/>
  <c r="A63" i="11"/>
  <c r="J62" i="11"/>
  <c r="L62" i="11" s="1"/>
  <c r="I62" i="11"/>
  <c r="H62" i="11"/>
  <c r="G62" i="11"/>
  <c r="F62" i="11"/>
  <c r="E62" i="11"/>
  <c r="C62" i="11"/>
  <c r="A62" i="11"/>
  <c r="E57" i="8" s="1"/>
  <c r="J61" i="11"/>
  <c r="L61" i="11" s="1"/>
  <c r="M61" i="11" s="1"/>
  <c r="I61" i="11"/>
  <c r="H61" i="11"/>
  <c r="G61" i="11"/>
  <c r="F61" i="11"/>
  <c r="E61" i="11"/>
  <c r="C61" i="11"/>
  <c r="A61" i="11"/>
  <c r="J60" i="11"/>
  <c r="L60" i="11" s="1"/>
  <c r="I60" i="11"/>
  <c r="H60" i="11"/>
  <c r="G60" i="11"/>
  <c r="F60" i="11"/>
  <c r="E60" i="11"/>
  <c r="C60" i="11"/>
  <c r="A60" i="11"/>
  <c r="J59" i="11"/>
  <c r="L59" i="11" s="1"/>
  <c r="I59" i="11"/>
  <c r="H59" i="11"/>
  <c r="G59" i="11"/>
  <c r="F59" i="11"/>
  <c r="E59" i="11"/>
  <c r="C59" i="11"/>
  <c r="C57" i="8" s="1"/>
  <c r="A59" i="11"/>
  <c r="K58" i="11"/>
  <c r="L58" i="11" s="1"/>
  <c r="J58" i="11"/>
  <c r="I58" i="11"/>
  <c r="H58" i="11"/>
  <c r="G58" i="11"/>
  <c r="F58" i="11"/>
  <c r="E58" i="11"/>
  <c r="K57" i="11"/>
  <c r="L57" i="11" s="1"/>
  <c r="M57" i="11" s="1"/>
  <c r="J57" i="11"/>
  <c r="I57" i="11"/>
  <c r="H57" i="11"/>
  <c r="G57" i="11"/>
  <c r="F57" i="11"/>
  <c r="E57" i="11"/>
  <c r="K56" i="11"/>
  <c r="J56" i="11"/>
  <c r="I56" i="11"/>
  <c r="H56" i="11"/>
  <c r="G56" i="11"/>
  <c r="F56" i="11"/>
  <c r="E56" i="11"/>
  <c r="K55" i="11"/>
  <c r="J55" i="11"/>
  <c r="L55" i="11" s="1"/>
  <c r="M55" i="11" s="1"/>
  <c r="I55" i="11"/>
  <c r="H55" i="11"/>
  <c r="G55" i="11"/>
  <c r="F55" i="11"/>
  <c r="E55" i="11"/>
  <c r="K54" i="11"/>
  <c r="L54" i="11" s="1"/>
  <c r="M54" i="11" s="1"/>
  <c r="J54" i="11"/>
  <c r="I54" i="11"/>
  <c r="H54" i="11"/>
  <c r="G54" i="11"/>
  <c r="F54" i="11"/>
  <c r="E54" i="11"/>
  <c r="L53" i="11"/>
  <c r="M53" i="11" s="1"/>
  <c r="K53" i="11"/>
  <c r="J53" i="11"/>
  <c r="I53" i="11"/>
  <c r="H53" i="11"/>
  <c r="G53" i="11"/>
  <c r="F53" i="11"/>
  <c r="E53" i="11"/>
  <c r="K52" i="11"/>
  <c r="J52" i="11"/>
  <c r="L52" i="11" s="1"/>
  <c r="I52" i="11"/>
  <c r="H52" i="11"/>
  <c r="G52" i="11"/>
  <c r="F52" i="11"/>
  <c r="E52" i="11"/>
  <c r="K51" i="11"/>
  <c r="J51" i="11"/>
  <c r="L51" i="11" s="1"/>
  <c r="M51" i="11" s="1"/>
  <c r="I51" i="11"/>
  <c r="H51" i="11"/>
  <c r="G51" i="11"/>
  <c r="F51" i="11"/>
  <c r="E51" i="11"/>
  <c r="K50" i="11"/>
  <c r="L50" i="11" s="1"/>
  <c r="J50" i="11"/>
  <c r="I50" i="11"/>
  <c r="H50" i="11"/>
  <c r="G50" i="11"/>
  <c r="F50" i="11"/>
  <c r="E50" i="11"/>
  <c r="L49" i="11"/>
  <c r="M49" i="11" s="1"/>
  <c r="K49" i="11"/>
  <c r="J49" i="11"/>
  <c r="I49" i="11"/>
  <c r="H49" i="11"/>
  <c r="G49" i="11"/>
  <c r="F49" i="11"/>
  <c r="E49" i="11"/>
  <c r="K48" i="11"/>
  <c r="J48" i="11"/>
  <c r="I48" i="11"/>
  <c r="H48" i="11"/>
  <c r="G48" i="11"/>
  <c r="F48" i="11"/>
  <c r="E48" i="11"/>
  <c r="K47" i="11"/>
  <c r="J47" i="11"/>
  <c r="L47" i="11" s="1"/>
  <c r="I47" i="11"/>
  <c r="H47" i="11"/>
  <c r="G47" i="11"/>
  <c r="F47" i="11"/>
  <c r="E45" i="8" s="1"/>
  <c r="E47" i="11"/>
  <c r="K46" i="11"/>
  <c r="L46" i="11" s="1"/>
  <c r="J46" i="11"/>
  <c r="I46" i="11"/>
  <c r="H46" i="11"/>
  <c r="G46" i="11"/>
  <c r="E25" i="10" s="1"/>
  <c r="F46" i="11"/>
  <c r="E46" i="11"/>
  <c r="K45" i="11"/>
  <c r="L45" i="11" s="1"/>
  <c r="M45" i="11" s="1"/>
  <c r="J45" i="11"/>
  <c r="I45" i="11"/>
  <c r="H45" i="11"/>
  <c r="G45" i="11"/>
  <c r="F45" i="11"/>
  <c r="E45" i="11"/>
  <c r="K44" i="11"/>
  <c r="J44" i="11"/>
  <c r="L44" i="11" s="1"/>
  <c r="I44" i="11"/>
  <c r="H44" i="11"/>
  <c r="G44" i="11"/>
  <c r="F44" i="11"/>
  <c r="E44" i="11"/>
  <c r="K43" i="11"/>
  <c r="J43" i="11"/>
  <c r="I43" i="11"/>
  <c r="H43" i="11"/>
  <c r="G43" i="11"/>
  <c r="F43" i="11"/>
  <c r="E43" i="11"/>
  <c r="K42" i="11"/>
  <c r="L42" i="11" s="1"/>
  <c r="M42" i="11" s="1"/>
  <c r="J42" i="11"/>
  <c r="I42" i="11"/>
  <c r="H42" i="11"/>
  <c r="G42" i="11"/>
  <c r="F42" i="11"/>
  <c r="E42" i="11"/>
  <c r="K41" i="11"/>
  <c r="L41" i="11" s="1"/>
  <c r="M41" i="11" s="1"/>
  <c r="J41" i="11"/>
  <c r="I41" i="11"/>
  <c r="H41" i="11"/>
  <c r="G41" i="11"/>
  <c r="F41" i="11"/>
  <c r="E41" i="11"/>
  <c r="K40" i="11"/>
  <c r="J40" i="11"/>
  <c r="I40" i="11"/>
  <c r="H40" i="11"/>
  <c r="G40" i="11"/>
  <c r="F40" i="11"/>
  <c r="E40" i="11"/>
  <c r="K39" i="11"/>
  <c r="J39" i="11"/>
  <c r="I39" i="11"/>
  <c r="H39" i="11"/>
  <c r="G39" i="11"/>
  <c r="F39" i="11"/>
  <c r="E39" i="11"/>
  <c r="K38" i="11"/>
  <c r="L38" i="11" s="1"/>
  <c r="M38" i="11" s="1"/>
  <c r="J38" i="11"/>
  <c r="I38" i="11"/>
  <c r="H38" i="11"/>
  <c r="G38" i="11"/>
  <c r="F38" i="11"/>
  <c r="E38" i="11"/>
  <c r="K37" i="11"/>
  <c r="L37" i="11" s="1"/>
  <c r="M37" i="11" s="1"/>
  <c r="J37" i="11"/>
  <c r="I37" i="11"/>
  <c r="H37" i="11"/>
  <c r="G37" i="11"/>
  <c r="F37" i="11"/>
  <c r="E37" i="11"/>
  <c r="K36" i="11"/>
  <c r="J36" i="11"/>
  <c r="L36" i="11" s="1"/>
  <c r="I36" i="11"/>
  <c r="H36" i="11"/>
  <c r="G36" i="11"/>
  <c r="F36" i="11"/>
  <c r="E36" i="11"/>
  <c r="K35" i="11"/>
  <c r="J35" i="11"/>
  <c r="I35" i="11"/>
  <c r="H35" i="11"/>
  <c r="G35" i="11"/>
  <c r="F35" i="11"/>
  <c r="E35" i="11"/>
  <c r="K34" i="11"/>
  <c r="L34" i="11" s="1"/>
  <c r="M34" i="11" s="1"/>
  <c r="J34" i="11"/>
  <c r="I34" i="11"/>
  <c r="H34" i="11"/>
  <c r="G34" i="11"/>
  <c r="F34" i="11"/>
  <c r="E34" i="11"/>
  <c r="L33" i="11"/>
  <c r="M33" i="11" s="1"/>
  <c r="K33" i="11"/>
  <c r="J33" i="11"/>
  <c r="I33" i="11"/>
  <c r="H33" i="11"/>
  <c r="G33" i="11"/>
  <c r="F33" i="11"/>
  <c r="E33" i="11"/>
  <c r="K32" i="11"/>
  <c r="J32" i="11"/>
  <c r="L32" i="11" s="1"/>
  <c r="I32" i="11"/>
  <c r="H32" i="11"/>
  <c r="G32" i="11"/>
  <c r="F32" i="11"/>
  <c r="E32" i="11"/>
  <c r="K31" i="11"/>
  <c r="J31" i="11"/>
  <c r="L31" i="11" s="1"/>
  <c r="I31" i="11"/>
  <c r="H31" i="11"/>
  <c r="G31" i="11"/>
  <c r="F31" i="11"/>
  <c r="D46" i="8" s="1"/>
  <c r="E31" i="11"/>
  <c r="K30" i="11"/>
  <c r="L30" i="11" s="1"/>
  <c r="J30" i="11"/>
  <c r="I30" i="11"/>
  <c r="H30" i="11"/>
  <c r="G30" i="11"/>
  <c r="F30" i="11"/>
  <c r="E30" i="11"/>
  <c r="L29" i="11"/>
  <c r="M29" i="11" s="1"/>
  <c r="K29" i="11"/>
  <c r="J29" i="11"/>
  <c r="I29" i="11"/>
  <c r="H29" i="11"/>
  <c r="G29" i="11"/>
  <c r="F29" i="11"/>
  <c r="E29" i="11"/>
  <c r="K28" i="11"/>
  <c r="J28" i="11"/>
  <c r="L28" i="11" s="1"/>
  <c r="I28" i="11"/>
  <c r="H28" i="11"/>
  <c r="G28" i="11"/>
  <c r="F28" i="11"/>
  <c r="E28" i="11"/>
  <c r="K27" i="11"/>
  <c r="J27" i="11"/>
  <c r="L27" i="11" s="1"/>
  <c r="M27" i="11" s="1"/>
  <c r="I27" i="11"/>
  <c r="H27" i="11"/>
  <c r="G27" i="11"/>
  <c r="F27" i="11"/>
  <c r="E27" i="11"/>
  <c r="K26" i="11"/>
  <c r="L26" i="11" s="1"/>
  <c r="M26" i="11" s="1"/>
  <c r="J26" i="11"/>
  <c r="I26" i="11"/>
  <c r="H26" i="11"/>
  <c r="G26" i="11"/>
  <c r="F26" i="11"/>
  <c r="E26" i="11"/>
  <c r="L25" i="11"/>
  <c r="C53" i="8" s="1"/>
  <c r="K25" i="11"/>
  <c r="J25" i="11"/>
  <c r="I25" i="11"/>
  <c r="H25" i="11"/>
  <c r="G25" i="11"/>
  <c r="F25" i="11"/>
  <c r="E25" i="11"/>
  <c r="K24" i="11"/>
  <c r="J24" i="11"/>
  <c r="L24" i="11" s="1"/>
  <c r="M24" i="11" s="1"/>
  <c r="I24" i="11"/>
  <c r="H24" i="11"/>
  <c r="G24" i="11"/>
  <c r="F24" i="11"/>
  <c r="E24" i="11"/>
  <c r="K23" i="11"/>
  <c r="J23" i="11"/>
  <c r="L23" i="11" s="1"/>
  <c r="M23" i="11" s="1"/>
  <c r="I23" i="11"/>
  <c r="H23" i="11"/>
  <c r="G23" i="11"/>
  <c r="F23" i="11"/>
  <c r="E23" i="11"/>
  <c r="K22" i="11"/>
  <c r="L22" i="11" s="1"/>
  <c r="M22" i="11" s="1"/>
  <c r="J22" i="11"/>
  <c r="I22" i="11"/>
  <c r="H22" i="11"/>
  <c r="G22" i="11"/>
  <c r="F22" i="11"/>
  <c r="E22" i="11"/>
  <c r="K21" i="11"/>
  <c r="L21" i="11" s="1"/>
  <c r="M21" i="11" s="1"/>
  <c r="J21" i="11"/>
  <c r="I21" i="11"/>
  <c r="H21" i="11"/>
  <c r="G21" i="11"/>
  <c r="F21" i="11"/>
  <c r="E21" i="11"/>
  <c r="K20" i="11"/>
  <c r="J20" i="11"/>
  <c r="L20" i="11" s="1"/>
  <c r="M20" i="11" s="1"/>
  <c r="I20" i="11"/>
  <c r="H20" i="11"/>
  <c r="G20" i="11"/>
  <c r="F20" i="11"/>
  <c r="E20" i="11"/>
  <c r="K19" i="11"/>
  <c r="J19" i="11"/>
  <c r="L19" i="11" s="1"/>
  <c r="M19" i="11" s="1"/>
  <c r="I19" i="11"/>
  <c r="H19" i="11"/>
  <c r="G19" i="11"/>
  <c r="F19" i="11"/>
  <c r="E19" i="11"/>
  <c r="K18" i="11"/>
  <c r="L18" i="11" s="1"/>
  <c r="M18" i="11" s="1"/>
  <c r="J18" i="11"/>
  <c r="I18" i="11"/>
  <c r="H18" i="11"/>
  <c r="G18" i="11"/>
  <c r="F18" i="11"/>
  <c r="E18" i="11"/>
  <c r="K17" i="11"/>
  <c r="L17" i="11" s="1"/>
  <c r="M17" i="11" s="1"/>
  <c r="J17" i="11"/>
  <c r="I17" i="11"/>
  <c r="H17" i="11"/>
  <c r="G17" i="11"/>
  <c r="F17" i="11"/>
  <c r="E17" i="11"/>
  <c r="K16" i="11"/>
  <c r="J16" i="11"/>
  <c r="I16" i="11"/>
  <c r="H16" i="11"/>
  <c r="G16" i="11"/>
  <c r="F16" i="11"/>
  <c r="E16" i="11"/>
  <c r="K15" i="11"/>
  <c r="J15" i="11"/>
  <c r="L15" i="11" s="1"/>
  <c r="I15" i="11"/>
  <c r="H15" i="11"/>
  <c r="G15" i="11"/>
  <c r="F15" i="11"/>
  <c r="E15" i="11"/>
  <c r="K14" i="11"/>
  <c r="L14" i="11" s="1"/>
  <c r="M14" i="11" s="1"/>
  <c r="J14" i="11"/>
  <c r="I14" i="11"/>
  <c r="H14" i="11"/>
  <c r="G14" i="11"/>
  <c r="F14" i="11"/>
  <c r="E14" i="11"/>
  <c r="K13" i="11"/>
  <c r="L13" i="11" s="1"/>
  <c r="M13" i="11" s="1"/>
  <c r="J13" i="11"/>
  <c r="I13" i="11"/>
  <c r="H13" i="11"/>
  <c r="G13" i="11"/>
  <c r="F13" i="11"/>
  <c r="E13" i="11"/>
  <c r="K12" i="11"/>
  <c r="J12" i="11"/>
  <c r="L12" i="11" s="1"/>
  <c r="I12" i="11"/>
  <c r="H12" i="11"/>
  <c r="G12" i="11"/>
  <c r="F12" i="11"/>
  <c r="E12" i="11"/>
  <c r="K11" i="11"/>
  <c r="J11" i="11"/>
  <c r="I11" i="11"/>
  <c r="H11" i="11"/>
  <c r="G11" i="11"/>
  <c r="F11" i="11"/>
  <c r="E11" i="11"/>
  <c r="K10" i="11"/>
  <c r="L10" i="11" s="1"/>
  <c r="J10" i="11"/>
  <c r="I10" i="11"/>
  <c r="H10" i="11"/>
  <c r="G10" i="11"/>
  <c r="F10" i="11"/>
  <c r="E10" i="11"/>
  <c r="K9" i="11"/>
  <c r="L9" i="11" s="1"/>
  <c r="M9" i="11" s="1"/>
  <c r="J9" i="11"/>
  <c r="I9" i="11"/>
  <c r="H9" i="11"/>
  <c r="G9" i="11"/>
  <c r="F9" i="11"/>
  <c r="E9" i="11"/>
  <c r="K8" i="11"/>
  <c r="J8" i="11"/>
  <c r="L8" i="11" s="1"/>
  <c r="I8" i="11"/>
  <c r="H8" i="11"/>
  <c r="G8" i="11"/>
  <c r="F8" i="11"/>
  <c r="E8" i="11"/>
  <c r="K7" i="11"/>
  <c r="J7" i="11"/>
  <c r="L7" i="11" s="1"/>
  <c r="I7" i="11"/>
  <c r="H7" i="11"/>
  <c r="G7" i="11"/>
  <c r="F7" i="11"/>
  <c r="E7" i="11"/>
  <c r="K6" i="11"/>
  <c r="L6" i="11" s="1"/>
  <c r="J6" i="11"/>
  <c r="I6" i="11"/>
  <c r="H6" i="11"/>
  <c r="G6" i="11"/>
  <c r="F6" i="11"/>
  <c r="E6" i="11"/>
  <c r="K5" i="11"/>
  <c r="L5" i="11" s="1"/>
  <c r="J5" i="11"/>
  <c r="I5" i="11"/>
  <c r="H5" i="11"/>
  <c r="G5" i="11"/>
  <c r="F5" i="11"/>
  <c r="E5" i="11"/>
  <c r="E24" i="10"/>
  <c r="E38" i="9"/>
  <c r="C47" i="9" s="1"/>
  <c r="E37" i="9"/>
  <c r="D37" i="9"/>
  <c r="C37" i="9"/>
  <c r="E36" i="9"/>
  <c r="D36" i="9"/>
  <c r="C36" i="9"/>
  <c r="C12" i="9"/>
  <c r="E58" i="8"/>
  <c r="I56" i="8"/>
  <c r="H56" i="8"/>
  <c r="G56" i="8"/>
  <c r="I55" i="8"/>
  <c r="H55" i="8"/>
  <c r="G55" i="8"/>
  <c r="I54" i="8"/>
  <c r="H54" i="8"/>
  <c r="G54" i="8"/>
  <c r="G53" i="8"/>
  <c r="H52" i="8"/>
  <c r="G52" i="8"/>
  <c r="G51" i="8"/>
  <c r="E46" i="8"/>
  <c r="C46" i="8"/>
  <c r="C31" i="8"/>
  <c r="H6" i="8"/>
  <c r="G6" i="8"/>
  <c r="F6" i="8"/>
  <c r="E6" i="8"/>
  <c r="D6" i="8"/>
  <c r="C6" i="8"/>
  <c r="J30" i="7"/>
  <c r="J29" i="7"/>
  <c r="J26" i="7"/>
  <c r="J23" i="7"/>
  <c r="J22" i="7"/>
  <c r="J19" i="7"/>
  <c r="J17" i="7"/>
  <c r="J14" i="7"/>
  <c r="J13" i="7"/>
  <c r="J10" i="7"/>
  <c r="J8" i="7"/>
  <c r="J6" i="7"/>
  <c r="F18" i="6"/>
  <c r="E18" i="6"/>
  <c r="H17" i="6"/>
  <c r="G17" i="6"/>
  <c r="I53" i="8" s="1"/>
  <c r="H16" i="6"/>
  <c r="G16" i="6"/>
  <c r="I52" i="8" s="1"/>
  <c r="H15" i="6"/>
  <c r="H18" i="6" s="1"/>
  <c r="G15" i="6"/>
  <c r="G18" i="6" s="1"/>
  <c r="F13" i="6"/>
  <c r="E13" i="6"/>
  <c r="H12" i="6"/>
  <c r="G12" i="6"/>
  <c r="H11" i="6"/>
  <c r="H13" i="6" s="1"/>
  <c r="G11" i="6"/>
  <c r="G13" i="6" s="1"/>
  <c r="H10" i="6"/>
  <c r="G10" i="6"/>
  <c r="D13" i="8" s="1"/>
  <c r="F8" i="6"/>
  <c r="E8" i="6"/>
  <c r="H7" i="6"/>
  <c r="G7" i="6"/>
  <c r="H53" i="8" s="1"/>
  <c r="H6" i="6"/>
  <c r="G6" i="6"/>
  <c r="H5" i="6"/>
  <c r="K5" i="4" s="1"/>
  <c r="K8" i="4" s="1"/>
  <c r="G5" i="6"/>
  <c r="C13" i="8" s="1"/>
  <c r="J81" i="5"/>
  <c r="J78" i="5"/>
  <c r="J75" i="5"/>
  <c r="J69" i="5"/>
  <c r="J66" i="5"/>
  <c r="J60" i="5"/>
  <c r="J56" i="5"/>
  <c r="J52" i="5"/>
  <c r="J45" i="5"/>
  <c r="J41" i="5"/>
  <c r="J34" i="5"/>
  <c r="J29" i="5"/>
  <c r="J24" i="5"/>
  <c r="J16" i="5"/>
  <c r="J11" i="5"/>
  <c r="AF146" i="3"/>
  <c r="AE146" i="3"/>
  <c r="AD146" i="3"/>
  <c r="AC146" i="3"/>
  <c r="AB146" i="3"/>
  <c r="AA146" i="3"/>
  <c r="AF145" i="3"/>
  <c r="AE145" i="3"/>
  <c r="AD145" i="3"/>
  <c r="AC145" i="3"/>
  <c r="AB145" i="3"/>
  <c r="AA145" i="3"/>
  <c r="AF144" i="3"/>
  <c r="AE144" i="3"/>
  <c r="AD144" i="3"/>
  <c r="AC144" i="3"/>
  <c r="AB144" i="3"/>
  <c r="AA144" i="3"/>
  <c r="AF143" i="3"/>
  <c r="AE143" i="3"/>
  <c r="AD143" i="3"/>
  <c r="AC143" i="3"/>
  <c r="AB143" i="3"/>
  <c r="AA143" i="3"/>
  <c r="AF142" i="3"/>
  <c r="AE142" i="3"/>
  <c r="AD142" i="3"/>
  <c r="AC142" i="3"/>
  <c r="AB142" i="3"/>
  <c r="AA142" i="3"/>
  <c r="AF141" i="3"/>
  <c r="AE141" i="3"/>
  <c r="AD141" i="3"/>
  <c r="AC141" i="3"/>
  <c r="AB141" i="3"/>
  <c r="AA141" i="3"/>
  <c r="AF140" i="3"/>
  <c r="AE140" i="3"/>
  <c r="AD140" i="3"/>
  <c r="AC140" i="3"/>
  <c r="AB140" i="3"/>
  <c r="AA140" i="3"/>
  <c r="AF139" i="3"/>
  <c r="AE139" i="3"/>
  <c r="AD139" i="3"/>
  <c r="E6" i="4" s="1"/>
  <c r="AC139" i="3"/>
  <c r="AB139" i="3"/>
  <c r="AA139" i="3"/>
  <c r="AF138" i="3"/>
  <c r="AE138" i="3"/>
  <c r="AD138" i="3"/>
  <c r="AC138" i="3"/>
  <c r="AB138" i="3"/>
  <c r="AA138" i="3"/>
  <c r="AF137" i="3"/>
  <c r="AE137" i="3"/>
  <c r="AD137" i="3"/>
  <c r="AC137" i="3"/>
  <c r="AB137" i="3"/>
  <c r="AA137" i="3"/>
  <c r="AF136" i="3"/>
  <c r="AE136" i="3"/>
  <c r="AD136" i="3"/>
  <c r="AC136" i="3"/>
  <c r="AB136" i="3"/>
  <c r="AA136" i="3"/>
  <c r="AF135" i="3"/>
  <c r="AE135" i="3"/>
  <c r="AD135" i="3"/>
  <c r="AC135" i="3"/>
  <c r="AB135" i="3"/>
  <c r="AA135" i="3"/>
  <c r="AF134" i="3"/>
  <c r="AE134" i="3"/>
  <c r="AD134" i="3"/>
  <c r="AC134" i="3"/>
  <c r="AB134" i="3"/>
  <c r="AA134" i="3"/>
  <c r="AF133" i="3"/>
  <c r="AE133" i="3"/>
  <c r="AD133" i="3"/>
  <c r="AC133" i="3"/>
  <c r="AB133" i="3"/>
  <c r="AA133" i="3"/>
  <c r="AF132" i="3"/>
  <c r="AE132" i="3"/>
  <c r="AD132" i="3"/>
  <c r="AC132" i="3"/>
  <c r="AB132" i="3"/>
  <c r="AA132" i="3"/>
  <c r="AF131" i="3"/>
  <c r="AE131" i="3"/>
  <c r="AD131" i="3"/>
  <c r="AC131" i="3"/>
  <c r="AB131" i="3"/>
  <c r="AA131" i="3"/>
  <c r="AF130" i="3"/>
  <c r="AE130" i="3"/>
  <c r="AD130" i="3"/>
  <c r="AC130" i="3"/>
  <c r="AB130" i="3"/>
  <c r="AA130" i="3"/>
  <c r="AF129" i="3"/>
  <c r="AE129" i="3"/>
  <c r="AD129" i="3"/>
  <c r="AC129" i="3"/>
  <c r="AB129" i="3"/>
  <c r="AA129" i="3"/>
  <c r="AF128" i="3"/>
  <c r="AE128" i="3"/>
  <c r="AD128" i="3"/>
  <c r="AC128" i="3"/>
  <c r="AB128" i="3"/>
  <c r="AA128" i="3"/>
  <c r="AF127" i="3"/>
  <c r="AE127" i="3"/>
  <c r="AD127" i="3"/>
  <c r="AC127" i="3"/>
  <c r="AB127" i="3"/>
  <c r="AA127" i="3"/>
  <c r="AF126" i="3"/>
  <c r="AE126" i="3"/>
  <c r="AD126" i="3"/>
  <c r="AC126" i="3"/>
  <c r="AB126" i="3"/>
  <c r="AA126" i="3"/>
  <c r="AF125" i="3"/>
  <c r="AE125" i="3"/>
  <c r="AD125" i="3"/>
  <c r="AC125" i="3"/>
  <c r="AB125" i="3"/>
  <c r="AA125" i="3"/>
  <c r="AF124" i="3"/>
  <c r="F7" i="4" s="1"/>
  <c r="AE124" i="3"/>
  <c r="AD124" i="3"/>
  <c r="E18" i="2" s="1"/>
  <c r="AC124" i="3"/>
  <c r="AB124" i="3"/>
  <c r="AA124" i="3"/>
  <c r="AF123" i="3"/>
  <c r="AE123" i="3"/>
  <c r="AD123" i="3"/>
  <c r="AC123" i="3"/>
  <c r="AB123" i="3"/>
  <c r="AA123" i="3"/>
  <c r="AF122" i="3"/>
  <c r="AE122" i="3"/>
  <c r="AD122" i="3"/>
  <c r="AC122" i="3"/>
  <c r="AB122" i="3"/>
  <c r="AA122" i="3"/>
  <c r="AF121" i="3"/>
  <c r="AE121" i="3"/>
  <c r="AD121" i="3"/>
  <c r="AC121" i="3"/>
  <c r="AB121" i="3"/>
  <c r="AA121" i="3"/>
  <c r="AF120" i="3"/>
  <c r="AE120" i="3"/>
  <c r="AD120" i="3"/>
  <c r="AC120" i="3"/>
  <c r="AB120" i="3"/>
  <c r="AA120" i="3"/>
  <c r="AF119" i="3"/>
  <c r="AE119" i="3"/>
  <c r="AD119" i="3"/>
  <c r="AC119" i="3"/>
  <c r="AB119" i="3"/>
  <c r="AA119" i="3"/>
  <c r="AF118" i="3"/>
  <c r="AE118" i="3"/>
  <c r="AD118" i="3"/>
  <c r="AC118" i="3"/>
  <c r="AB118" i="3"/>
  <c r="AA118" i="3"/>
  <c r="AF117" i="3"/>
  <c r="AE117" i="3"/>
  <c r="AD117" i="3"/>
  <c r="AC117" i="3"/>
  <c r="AB117" i="3"/>
  <c r="AA117" i="3"/>
  <c r="AF116" i="3"/>
  <c r="AE116" i="3"/>
  <c r="AD116" i="3"/>
  <c r="AC116" i="3"/>
  <c r="AB116" i="3"/>
  <c r="AA116" i="3"/>
  <c r="AF115" i="3"/>
  <c r="AE115" i="3"/>
  <c r="AD115" i="3"/>
  <c r="AC115" i="3"/>
  <c r="AB115" i="3"/>
  <c r="AA115" i="3"/>
  <c r="AF114" i="3"/>
  <c r="AE114" i="3"/>
  <c r="AD114" i="3"/>
  <c r="AC114" i="3"/>
  <c r="AB114" i="3"/>
  <c r="AA114" i="3"/>
  <c r="AF113" i="3"/>
  <c r="AE113" i="3"/>
  <c r="AD113" i="3"/>
  <c r="AC113" i="3"/>
  <c r="AB113" i="3"/>
  <c r="AA113" i="3"/>
  <c r="AF112" i="3"/>
  <c r="AE112" i="3"/>
  <c r="AD112" i="3"/>
  <c r="AC112" i="3"/>
  <c r="AB112" i="3"/>
  <c r="AA112" i="3"/>
  <c r="AF111" i="3"/>
  <c r="AE111" i="3"/>
  <c r="AD111" i="3"/>
  <c r="AC111" i="3"/>
  <c r="AB111" i="3"/>
  <c r="AA111" i="3"/>
  <c r="AF110" i="3"/>
  <c r="AE110" i="3"/>
  <c r="AD110" i="3"/>
  <c r="AC110" i="3"/>
  <c r="AB110" i="3"/>
  <c r="AA110" i="3"/>
  <c r="AF109" i="3"/>
  <c r="AE109" i="3"/>
  <c r="AD109" i="3"/>
  <c r="AC109" i="3"/>
  <c r="AB109" i="3"/>
  <c r="AA109" i="3"/>
  <c r="AF108" i="3"/>
  <c r="AE108" i="3"/>
  <c r="AD108" i="3"/>
  <c r="AC108" i="3"/>
  <c r="AB108" i="3"/>
  <c r="AA108" i="3"/>
  <c r="AF107" i="3"/>
  <c r="AE107" i="3"/>
  <c r="AD107" i="3"/>
  <c r="AC107" i="3"/>
  <c r="AB107" i="3"/>
  <c r="AA107" i="3"/>
  <c r="AF106" i="3"/>
  <c r="AE106" i="3"/>
  <c r="AD106" i="3"/>
  <c r="AC106" i="3"/>
  <c r="AB106" i="3"/>
  <c r="AA106" i="3"/>
  <c r="AF105" i="3"/>
  <c r="AE105" i="3"/>
  <c r="AD105" i="3"/>
  <c r="AC105" i="3"/>
  <c r="AB105" i="3"/>
  <c r="AA105" i="3"/>
  <c r="AF104" i="3"/>
  <c r="AE104" i="3"/>
  <c r="AD104" i="3"/>
  <c r="AC104" i="3"/>
  <c r="AB104" i="3"/>
  <c r="AA104" i="3"/>
  <c r="AF103" i="3"/>
  <c r="AE103" i="3"/>
  <c r="AD103" i="3"/>
  <c r="AC103" i="3"/>
  <c r="AB103" i="3"/>
  <c r="AA103" i="3"/>
  <c r="AF102" i="3"/>
  <c r="AE102" i="3"/>
  <c r="AD102" i="3"/>
  <c r="AC102" i="3"/>
  <c r="AB102" i="3"/>
  <c r="AA102" i="3"/>
  <c r="AF101" i="3"/>
  <c r="AE101" i="3"/>
  <c r="AD101" i="3"/>
  <c r="AC101" i="3"/>
  <c r="AB101" i="3"/>
  <c r="AA101" i="3"/>
  <c r="AF100" i="3"/>
  <c r="AE100" i="3"/>
  <c r="AD100" i="3"/>
  <c r="AC100" i="3"/>
  <c r="AB100" i="3"/>
  <c r="AA100" i="3"/>
  <c r="AF99" i="3"/>
  <c r="AE99" i="3"/>
  <c r="AD99" i="3"/>
  <c r="AC99" i="3"/>
  <c r="AB99" i="3"/>
  <c r="AA99" i="3"/>
  <c r="AF98" i="3"/>
  <c r="AE98" i="3"/>
  <c r="AD98" i="3"/>
  <c r="AC98" i="3"/>
  <c r="AB98" i="3"/>
  <c r="AA98" i="3"/>
  <c r="AF97" i="3"/>
  <c r="AE97" i="3"/>
  <c r="AD97" i="3"/>
  <c r="AC97" i="3"/>
  <c r="AB97" i="3"/>
  <c r="AA97" i="3"/>
  <c r="AF96" i="3"/>
  <c r="AE96" i="3"/>
  <c r="AD96" i="3"/>
  <c r="AC96" i="3"/>
  <c r="AB96" i="3"/>
  <c r="AA96" i="3"/>
  <c r="AF95" i="3"/>
  <c r="AE95" i="3"/>
  <c r="AD95" i="3"/>
  <c r="AC95" i="3"/>
  <c r="AB95" i="3"/>
  <c r="AA95" i="3"/>
  <c r="AF94" i="3"/>
  <c r="AE94" i="3"/>
  <c r="AD94" i="3"/>
  <c r="AC94" i="3"/>
  <c r="AB94" i="3"/>
  <c r="AA94" i="3"/>
  <c r="AF93" i="3"/>
  <c r="AE93" i="3"/>
  <c r="AD93" i="3"/>
  <c r="AC93" i="3"/>
  <c r="AB93" i="3"/>
  <c r="AA93" i="3"/>
  <c r="AF92" i="3"/>
  <c r="AE92" i="3"/>
  <c r="AD92" i="3"/>
  <c r="AC92" i="3"/>
  <c r="AB92" i="3"/>
  <c r="AA92" i="3"/>
  <c r="AF91" i="3"/>
  <c r="AE91" i="3"/>
  <c r="AD91" i="3"/>
  <c r="AC91" i="3"/>
  <c r="AB91" i="3"/>
  <c r="AA91" i="3"/>
  <c r="AF90" i="3"/>
  <c r="AE90" i="3"/>
  <c r="AD90" i="3"/>
  <c r="AC90" i="3"/>
  <c r="AB90" i="3"/>
  <c r="AA90" i="3"/>
  <c r="AF89" i="3"/>
  <c r="AE89" i="3"/>
  <c r="AD89" i="3"/>
  <c r="AC89" i="3"/>
  <c r="AB89" i="3"/>
  <c r="AA89" i="3"/>
  <c r="AF88" i="3"/>
  <c r="AE88" i="3"/>
  <c r="AD88" i="3"/>
  <c r="AC88" i="3"/>
  <c r="AB88" i="3"/>
  <c r="AA88" i="3"/>
  <c r="AF87" i="3"/>
  <c r="AE87" i="3"/>
  <c r="AD87" i="3"/>
  <c r="AC87" i="3"/>
  <c r="AB87" i="3"/>
  <c r="AA87" i="3"/>
  <c r="AF86" i="3"/>
  <c r="AE86" i="3"/>
  <c r="AD86" i="3"/>
  <c r="AC86" i="3"/>
  <c r="AB86" i="3"/>
  <c r="AA86" i="3"/>
  <c r="AF85" i="3"/>
  <c r="AE85" i="3"/>
  <c r="AD85" i="3"/>
  <c r="AC85" i="3"/>
  <c r="AB85" i="3"/>
  <c r="AA85" i="3"/>
  <c r="AF84" i="3"/>
  <c r="AE84" i="3"/>
  <c r="AD84" i="3"/>
  <c r="AC84" i="3"/>
  <c r="AB84" i="3"/>
  <c r="AA84" i="3"/>
  <c r="AF83" i="3"/>
  <c r="AE83" i="3"/>
  <c r="AD83" i="3"/>
  <c r="AC83" i="3"/>
  <c r="AB83" i="3"/>
  <c r="AA83" i="3"/>
  <c r="AF82" i="3"/>
  <c r="AE82" i="3"/>
  <c r="AD82" i="3"/>
  <c r="AC82" i="3"/>
  <c r="AB82" i="3"/>
  <c r="AA82" i="3"/>
  <c r="AF81" i="3"/>
  <c r="AE81" i="3"/>
  <c r="AD81" i="3"/>
  <c r="AC81" i="3"/>
  <c r="AB81" i="3"/>
  <c r="AA81" i="3"/>
  <c r="AF80" i="3"/>
  <c r="AE80" i="3"/>
  <c r="AD80" i="3"/>
  <c r="AC80" i="3"/>
  <c r="AB80" i="3"/>
  <c r="AA80" i="3"/>
  <c r="AF79" i="3"/>
  <c r="AE79" i="3"/>
  <c r="AD79" i="3"/>
  <c r="AC79" i="3"/>
  <c r="AB79" i="3"/>
  <c r="AA79" i="3"/>
  <c r="AF78" i="3"/>
  <c r="AE78" i="3"/>
  <c r="AD78" i="3"/>
  <c r="AC78" i="3"/>
  <c r="AB78" i="3"/>
  <c r="AA78" i="3"/>
  <c r="AF77" i="3"/>
  <c r="AE77" i="3"/>
  <c r="AD77" i="3"/>
  <c r="AC77" i="3"/>
  <c r="AB77" i="3"/>
  <c r="AA77" i="3"/>
  <c r="AF76" i="3"/>
  <c r="AE76" i="3"/>
  <c r="AD76" i="3"/>
  <c r="AC76" i="3"/>
  <c r="AB76" i="3"/>
  <c r="AA76" i="3"/>
  <c r="AF75" i="3"/>
  <c r="AE75" i="3"/>
  <c r="AD75" i="3"/>
  <c r="AC75" i="3"/>
  <c r="AB75" i="3"/>
  <c r="AA75" i="3"/>
  <c r="AF74" i="3"/>
  <c r="AE74" i="3"/>
  <c r="AD74" i="3"/>
  <c r="AC74" i="3"/>
  <c r="AB74" i="3"/>
  <c r="AA74" i="3"/>
  <c r="AF73" i="3"/>
  <c r="AE73" i="3"/>
  <c r="AD73" i="3"/>
  <c r="AC73" i="3"/>
  <c r="AB73" i="3"/>
  <c r="AA73" i="3"/>
  <c r="AF72" i="3"/>
  <c r="AE72" i="3"/>
  <c r="AD72" i="3"/>
  <c r="AC72" i="3"/>
  <c r="AB72" i="3"/>
  <c r="AA72" i="3"/>
  <c r="AF71" i="3"/>
  <c r="AE71" i="3"/>
  <c r="AD71" i="3"/>
  <c r="AC71" i="3"/>
  <c r="AB71" i="3"/>
  <c r="AA71" i="3"/>
  <c r="AF70" i="3"/>
  <c r="AE70" i="3"/>
  <c r="AD70" i="3"/>
  <c r="AC70" i="3"/>
  <c r="AB70" i="3"/>
  <c r="AA70" i="3"/>
  <c r="AF69" i="3"/>
  <c r="AE69" i="3"/>
  <c r="AD69" i="3"/>
  <c r="AC69" i="3"/>
  <c r="AB69" i="3"/>
  <c r="AA69" i="3"/>
  <c r="AF68" i="3"/>
  <c r="AE68" i="3"/>
  <c r="AD68" i="3"/>
  <c r="AC68" i="3"/>
  <c r="AB68" i="3"/>
  <c r="AA68" i="3"/>
  <c r="AF67" i="3"/>
  <c r="AE67" i="3"/>
  <c r="AD67" i="3"/>
  <c r="AC67" i="3"/>
  <c r="AB67" i="3"/>
  <c r="AA67" i="3"/>
  <c r="AF66" i="3"/>
  <c r="AE66" i="3"/>
  <c r="AD66" i="3"/>
  <c r="AC66" i="3"/>
  <c r="AB66" i="3"/>
  <c r="AA66" i="3"/>
  <c r="AF65" i="3"/>
  <c r="AE65" i="3"/>
  <c r="AD65" i="3"/>
  <c r="AC65" i="3"/>
  <c r="AB65" i="3"/>
  <c r="AA65" i="3"/>
  <c r="AF64" i="3"/>
  <c r="AE64" i="3"/>
  <c r="AD64" i="3"/>
  <c r="AC64" i="3"/>
  <c r="AB64" i="3"/>
  <c r="AA64" i="3"/>
  <c r="AF63" i="3"/>
  <c r="AE63" i="3"/>
  <c r="AD63" i="3"/>
  <c r="AC63" i="3"/>
  <c r="AB63" i="3"/>
  <c r="AA63" i="3"/>
  <c r="AF62" i="3"/>
  <c r="AE62" i="3"/>
  <c r="AD62" i="3"/>
  <c r="AC62" i="3"/>
  <c r="AB62" i="3"/>
  <c r="AA62" i="3"/>
  <c r="AF61" i="3"/>
  <c r="AE61" i="3"/>
  <c r="AD61" i="3"/>
  <c r="AC61" i="3"/>
  <c r="AB61" i="3"/>
  <c r="AA61" i="3"/>
  <c r="AF60" i="3"/>
  <c r="AE60" i="3"/>
  <c r="AD60" i="3"/>
  <c r="AC60" i="3"/>
  <c r="AB60" i="3"/>
  <c r="AA60" i="3"/>
  <c r="AF59" i="3"/>
  <c r="AE59" i="3"/>
  <c r="AD59" i="3"/>
  <c r="AC59" i="3"/>
  <c r="AB59" i="3"/>
  <c r="AA59" i="3"/>
  <c r="AF58" i="3"/>
  <c r="AE58" i="3"/>
  <c r="AD58" i="3"/>
  <c r="AC58" i="3"/>
  <c r="AB58" i="3"/>
  <c r="AA58" i="3"/>
  <c r="AF57" i="3"/>
  <c r="AE57" i="3"/>
  <c r="AD57" i="3"/>
  <c r="AC57" i="3"/>
  <c r="AB57" i="3"/>
  <c r="AA57" i="3"/>
  <c r="AF56" i="3"/>
  <c r="AE56" i="3"/>
  <c r="AD56" i="3"/>
  <c r="AC56" i="3"/>
  <c r="AB56" i="3"/>
  <c r="AA56" i="3"/>
  <c r="AF55" i="3"/>
  <c r="AE55" i="3"/>
  <c r="AD55" i="3"/>
  <c r="AC55" i="3"/>
  <c r="AB55" i="3"/>
  <c r="AA55" i="3"/>
  <c r="AF54" i="3"/>
  <c r="AE54" i="3"/>
  <c r="AD54" i="3"/>
  <c r="AC54" i="3"/>
  <c r="AB54" i="3"/>
  <c r="AA54" i="3"/>
  <c r="AF53" i="3"/>
  <c r="AE53" i="3"/>
  <c r="AD53" i="3"/>
  <c r="AC53" i="3"/>
  <c r="AB53" i="3"/>
  <c r="AA53" i="3"/>
  <c r="AF52" i="3"/>
  <c r="AE52" i="3"/>
  <c r="AD52" i="3"/>
  <c r="AC52" i="3"/>
  <c r="AB52" i="3"/>
  <c r="AA52" i="3"/>
  <c r="AF51" i="3"/>
  <c r="AE51" i="3"/>
  <c r="AD51" i="3"/>
  <c r="AC51" i="3"/>
  <c r="AB51" i="3"/>
  <c r="AA51" i="3"/>
  <c r="AF50" i="3"/>
  <c r="AE50" i="3"/>
  <c r="AD50" i="3"/>
  <c r="AC50" i="3"/>
  <c r="AB50" i="3"/>
  <c r="AA50" i="3"/>
  <c r="AF49" i="3"/>
  <c r="AE49" i="3"/>
  <c r="AD49" i="3"/>
  <c r="AC49" i="3"/>
  <c r="AB49" i="3"/>
  <c r="AA49" i="3"/>
  <c r="AF48" i="3"/>
  <c r="AE48" i="3"/>
  <c r="AD48" i="3"/>
  <c r="AC48" i="3"/>
  <c r="AB48" i="3"/>
  <c r="AA48" i="3"/>
  <c r="AF47" i="3"/>
  <c r="AE47" i="3"/>
  <c r="AD47" i="3"/>
  <c r="AC47" i="3"/>
  <c r="AB47" i="3"/>
  <c r="AA47" i="3"/>
  <c r="AF46" i="3"/>
  <c r="AE46" i="3"/>
  <c r="AD46" i="3"/>
  <c r="AC46" i="3"/>
  <c r="AB46" i="3"/>
  <c r="AA46" i="3"/>
  <c r="AF45" i="3"/>
  <c r="AE45" i="3"/>
  <c r="AD45" i="3"/>
  <c r="AC45" i="3"/>
  <c r="AB45" i="3"/>
  <c r="AA45" i="3"/>
  <c r="AF44" i="3"/>
  <c r="AE44" i="3"/>
  <c r="AD44" i="3"/>
  <c r="AC44" i="3"/>
  <c r="AB44" i="3"/>
  <c r="AA44" i="3"/>
  <c r="AF43" i="3"/>
  <c r="AE43" i="3"/>
  <c r="AD43" i="3"/>
  <c r="AC43" i="3"/>
  <c r="AB43" i="3"/>
  <c r="AA43" i="3"/>
  <c r="AF42" i="3"/>
  <c r="AE42" i="3"/>
  <c r="AD42" i="3"/>
  <c r="AC42" i="3"/>
  <c r="AB42" i="3"/>
  <c r="AA42" i="3"/>
  <c r="AF41" i="3"/>
  <c r="AE41" i="3"/>
  <c r="AD41" i="3"/>
  <c r="AC41" i="3"/>
  <c r="AB41" i="3"/>
  <c r="AA41" i="3"/>
  <c r="AF40" i="3"/>
  <c r="AE40" i="3"/>
  <c r="AD40" i="3"/>
  <c r="AC40" i="3"/>
  <c r="AB40" i="3"/>
  <c r="AA40" i="3"/>
  <c r="AF39" i="3"/>
  <c r="AE39" i="3"/>
  <c r="AD39" i="3"/>
  <c r="AC39" i="3"/>
  <c r="AB39" i="3"/>
  <c r="AA39" i="3"/>
  <c r="AF38" i="3"/>
  <c r="AE38" i="3"/>
  <c r="AD38" i="3"/>
  <c r="AC38" i="3"/>
  <c r="AB38" i="3"/>
  <c r="AA38" i="3"/>
  <c r="AF37" i="3"/>
  <c r="AE37" i="3"/>
  <c r="AD37" i="3"/>
  <c r="AC37" i="3"/>
  <c r="AB37" i="3"/>
  <c r="AA37" i="3"/>
  <c r="AF36" i="3"/>
  <c r="AE36" i="3"/>
  <c r="AD36" i="3"/>
  <c r="AC36" i="3"/>
  <c r="AB36" i="3"/>
  <c r="AA36" i="3"/>
  <c r="AF35" i="3"/>
  <c r="AE35" i="3"/>
  <c r="AD35" i="3"/>
  <c r="AC35" i="3"/>
  <c r="AB35" i="3"/>
  <c r="AA35" i="3"/>
  <c r="AF34" i="3"/>
  <c r="AE34" i="3"/>
  <c r="AD34" i="3"/>
  <c r="AC34" i="3"/>
  <c r="AB34" i="3"/>
  <c r="AA34" i="3"/>
  <c r="AF33" i="3"/>
  <c r="AE33" i="3"/>
  <c r="AD33" i="3"/>
  <c r="AC33" i="3"/>
  <c r="AB33" i="3"/>
  <c r="AA33" i="3"/>
  <c r="AF32" i="3"/>
  <c r="AE32" i="3"/>
  <c r="AD32" i="3"/>
  <c r="AC32" i="3"/>
  <c r="AB32" i="3"/>
  <c r="AA32" i="3"/>
  <c r="AF31" i="3"/>
  <c r="AE31" i="3"/>
  <c r="AD31" i="3"/>
  <c r="AC31" i="3"/>
  <c r="AB31" i="3"/>
  <c r="AA31" i="3"/>
  <c r="AF30" i="3"/>
  <c r="AE30" i="3"/>
  <c r="AD30" i="3"/>
  <c r="AC30" i="3"/>
  <c r="AB30" i="3"/>
  <c r="AA30" i="3"/>
  <c r="AF29" i="3"/>
  <c r="AE29" i="3"/>
  <c r="AD29" i="3"/>
  <c r="AC29" i="3"/>
  <c r="AB29" i="3"/>
  <c r="AA29" i="3"/>
  <c r="AF28" i="3"/>
  <c r="AE28" i="3"/>
  <c r="AD28" i="3"/>
  <c r="AC28" i="3"/>
  <c r="AB28" i="3"/>
  <c r="AA28" i="3"/>
  <c r="AF27" i="3"/>
  <c r="AE27" i="3"/>
  <c r="AD27" i="3"/>
  <c r="AC27" i="3"/>
  <c r="AB27" i="3"/>
  <c r="AA27" i="3"/>
  <c r="AF26" i="3"/>
  <c r="AE26" i="3"/>
  <c r="AD26" i="3"/>
  <c r="AC26" i="3"/>
  <c r="AB26" i="3"/>
  <c r="AA26" i="3"/>
  <c r="AF25" i="3"/>
  <c r="AE25" i="3"/>
  <c r="AD25" i="3"/>
  <c r="AC25" i="3"/>
  <c r="AB25" i="3"/>
  <c r="AA25" i="3"/>
  <c r="AF24" i="3"/>
  <c r="AE24" i="3"/>
  <c r="AD24" i="3"/>
  <c r="AC24" i="3"/>
  <c r="AB24" i="3"/>
  <c r="AA24" i="3"/>
  <c r="AF23" i="3"/>
  <c r="AE23" i="3"/>
  <c r="AD23" i="3"/>
  <c r="AC23" i="3"/>
  <c r="AB23" i="3"/>
  <c r="AA23" i="3"/>
  <c r="AF22" i="3"/>
  <c r="AE22" i="3"/>
  <c r="AD22" i="3"/>
  <c r="AC22" i="3"/>
  <c r="AB22" i="3"/>
  <c r="AA22" i="3"/>
  <c r="AF21" i="3"/>
  <c r="AE21" i="3"/>
  <c r="AD21" i="3"/>
  <c r="AC21" i="3"/>
  <c r="AB21" i="3"/>
  <c r="AA21" i="3"/>
  <c r="AF20" i="3"/>
  <c r="AE20" i="3"/>
  <c r="AD20" i="3"/>
  <c r="AC20" i="3"/>
  <c r="AB20" i="3"/>
  <c r="AA20" i="3"/>
  <c r="AF19" i="3"/>
  <c r="AE19" i="3"/>
  <c r="AD19" i="3"/>
  <c r="AC19" i="3"/>
  <c r="AB19" i="3"/>
  <c r="AA19" i="3"/>
  <c r="AF18" i="3"/>
  <c r="AE18" i="3"/>
  <c r="AD18" i="3"/>
  <c r="AC18" i="3"/>
  <c r="AB18" i="3"/>
  <c r="AA18" i="3"/>
  <c r="AF17" i="3"/>
  <c r="AE17" i="3"/>
  <c r="AD17" i="3"/>
  <c r="AC17" i="3"/>
  <c r="AB17" i="3"/>
  <c r="AA17" i="3"/>
  <c r="AF16" i="3"/>
  <c r="AE16" i="3"/>
  <c r="AD16" i="3"/>
  <c r="AC16" i="3"/>
  <c r="AB16" i="3"/>
  <c r="AA16" i="3"/>
  <c r="AF15" i="3"/>
  <c r="AE15" i="3"/>
  <c r="AD15" i="3"/>
  <c r="AC15" i="3"/>
  <c r="AB15" i="3"/>
  <c r="AA15" i="3"/>
  <c r="AF14" i="3"/>
  <c r="AE14" i="3"/>
  <c r="AD14" i="3"/>
  <c r="AC14" i="3"/>
  <c r="AB14" i="3"/>
  <c r="AA14" i="3"/>
  <c r="AF13" i="3"/>
  <c r="AE13" i="3"/>
  <c r="AD13" i="3"/>
  <c r="AC13" i="3"/>
  <c r="AB13" i="3"/>
  <c r="AA13" i="3"/>
  <c r="AF12" i="3"/>
  <c r="AE12" i="3"/>
  <c r="AD12" i="3"/>
  <c r="AC12" i="3"/>
  <c r="AB12" i="3"/>
  <c r="AA12" i="3"/>
  <c r="AF11" i="3"/>
  <c r="AE11" i="3"/>
  <c r="AD11" i="3"/>
  <c r="AC11" i="3"/>
  <c r="AB11" i="3"/>
  <c r="AA11" i="3"/>
  <c r="AF10" i="3"/>
  <c r="AE10" i="3"/>
  <c r="AD10" i="3"/>
  <c r="AC10" i="3"/>
  <c r="AB10" i="3"/>
  <c r="AA10" i="3"/>
  <c r="AF9" i="3"/>
  <c r="AE9" i="3"/>
  <c r="AD9" i="3"/>
  <c r="AC9" i="3"/>
  <c r="AB9" i="3"/>
  <c r="AA9" i="3"/>
  <c r="AF8" i="3"/>
  <c r="AE8" i="3"/>
  <c r="AD8" i="3"/>
  <c r="AC8" i="3"/>
  <c r="AB8" i="3"/>
  <c r="AA8" i="3"/>
  <c r="AF7" i="3"/>
  <c r="AE7" i="3"/>
  <c r="AD7" i="3"/>
  <c r="AC7" i="3"/>
  <c r="AB7" i="3"/>
  <c r="AA7" i="3"/>
  <c r="AF6" i="3"/>
  <c r="AE6" i="3"/>
  <c r="AD6" i="3"/>
  <c r="AC6" i="3"/>
  <c r="AB6" i="3"/>
  <c r="AA6" i="3"/>
  <c r="AF5" i="3"/>
  <c r="AE5" i="3"/>
  <c r="AD5" i="3"/>
  <c r="E17" i="2" s="1"/>
  <c r="E21" i="2" s="1"/>
  <c r="AC5" i="3"/>
  <c r="AB5" i="3"/>
  <c r="AA5" i="3"/>
  <c r="C8" i="2" s="1"/>
  <c r="C8" i="9" s="1"/>
  <c r="N74" i="2"/>
  <c r="M74" i="2"/>
  <c r="L74" i="2"/>
  <c r="K74" i="2"/>
  <c r="J74" i="2"/>
  <c r="N73" i="2"/>
  <c r="M73" i="2"/>
  <c r="L73" i="2"/>
  <c r="K73" i="2"/>
  <c r="J73" i="2"/>
  <c r="E69" i="2"/>
  <c r="D69" i="2"/>
  <c r="D38" i="9" s="1"/>
  <c r="C69" i="2"/>
  <c r="C38" i="9" s="1"/>
  <c r="F42" i="2"/>
  <c r="E42" i="2"/>
  <c r="D42" i="2"/>
  <c r="C42" i="2"/>
  <c r="C31" i="2"/>
  <c r="E20" i="2"/>
  <c r="D20" i="2"/>
  <c r="E19" i="2"/>
  <c r="D19" i="2"/>
  <c r="D18" i="2"/>
  <c r="D17" i="2"/>
  <c r="D21" i="2" s="1"/>
  <c r="C10" i="2"/>
  <c r="C10" i="9" s="1"/>
  <c r="C9" i="2"/>
  <c r="C9" i="9" s="1"/>
  <c r="C6" i="2"/>
  <c r="C6" i="9" s="1"/>
  <c r="K7" i="4"/>
  <c r="J7" i="4"/>
  <c r="I7" i="4"/>
  <c r="D7" i="4"/>
  <c r="K6" i="4"/>
  <c r="J6" i="4"/>
  <c r="I6" i="4"/>
  <c r="F6" i="4"/>
  <c r="D6" i="4"/>
  <c r="J5" i="4"/>
  <c r="J8" i="4" s="1"/>
  <c r="I5" i="4"/>
  <c r="I8" i="4" s="1"/>
  <c r="F5" i="4"/>
  <c r="D5" i="4"/>
  <c r="D8" i="4" s="1"/>
  <c r="L56" i="11" l="1"/>
  <c r="M56" i="11" s="1"/>
  <c r="L39" i="11"/>
  <c r="M39" i="11" s="1"/>
  <c r="L11" i="11"/>
  <c r="M11" i="11" s="1"/>
  <c r="L16" i="11"/>
  <c r="M16" i="11" s="1"/>
  <c r="L43" i="11"/>
  <c r="M43" i="11" s="1"/>
  <c r="L48" i="11"/>
  <c r="E44" i="8" s="1"/>
  <c r="L35" i="11"/>
  <c r="M35" i="11" s="1"/>
  <c r="L40" i="11"/>
  <c r="M40" i="11" s="1"/>
  <c r="D44" i="8"/>
  <c r="M30" i="11"/>
  <c r="D20" i="10" s="1"/>
  <c r="D45" i="8"/>
  <c r="M32" i="11"/>
  <c r="E26" i="8"/>
  <c r="M50" i="11"/>
  <c r="F8" i="4"/>
  <c r="M47" i="11"/>
  <c r="E42" i="8"/>
  <c r="M52" i="11"/>
  <c r="E52" i="8"/>
  <c r="M7" i="11"/>
  <c r="C44" i="8"/>
  <c r="C33" i="8"/>
  <c r="M12" i="11"/>
  <c r="C26" i="10" s="1"/>
  <c r="C43" i="8"/>
  <c r="M60" i="11"/>
  <c r="C58" i="8"/>
  <c r="E28" i="10"/>
  <c r="C10" i="8"/>
  <c r="M6" i="11"/>
  <c r="C42" i="8"/>
  <c r="C19" i="8"/>
  <c r="C33" i="9" s="1"/>
  <c r="C18" i="8"/>
  <c r="M31" i="11"/>
  <c r="D43" i="8"/>
  <c r="M36" i="11"/>
  <c r="C25" i="8"/>
  <c r="M8" i="11"/>
  <c r="C41" i="8"/>
  <c r="M59" i="11"/>
  <c r="C11" i="8"/>
  <c r="M62" i="11"/>
  <c r="C28" i="10" s="1"/>
  <c r="C35" i="8"/>
  <c r="D53" i="8"/>
  <c r="M44" i="11"/>
  <c r="D26" i="10"/>
  <c r="D25" i="8"/>
  <c r="M28" i="11"/>
  <c r="D41" i="8"/>
  <c r="D35" i="8"/>
  <c r="E51" i="8"/>
  <c r="E41" i="8"/>
  <c r="E10" i="8"/>
  <c r="E19" i="8"/>
  <c r="E33" i="9" s="1"/>
  <c r="M46" i="11"/>
  <c r="E18" i="8"/>
  <c r="G6" i="4"/>
  <c r="H6" i="4"/>
  <c r="M15" i="11"/>
  <c r="C52" i="8"/>
  <c r="C51" i="8"/>
  <c r="C45" i="8"/>
  <c r="M10" i="11"/>
  <c r="C26" i="8"/>
  <c r="E53" i="8"/>
  <c r="M58" i="11"/>
  <c r="E26" i="10" s="1"/>
  <c r="C32" i="8"/>
  <c r="C34" i="8"/>
  <c r="D19" i="8"/>
  <c r="D33" i="9" s="1"/>
  <c r="D34" i="8"/>
  <c r="D42" i="8"/>
  <c r="H51" i="8"/>
  <c r="D58" i="8"/>
  <c r="G8" i="6"/>
  <c r="H8" i="6"/>
  <c r="C20" i="8"/>
  <c r="C34" i="9" s="1"/>
  <c r="C54" i="8"/>
  <c r="C56" i="8"/>
  <c r="C59" i="8"/>
  <c r="M5" i="11"/>
  <c r="M25" i="11"/>
  <c r="E32" i="8"/>
  <c r="E5" i="4"/>
  <c r="D20" i="8"/>
  <c r="D34" i="9" s="1"/>
  <c r="D54" i="8"/>
  <c r="D56" i="8"/>
  <c r="D59" i="8"/>
  <c r="C24" i="10"/>
  <c r="C7" i="2"/>
  <c r="I51" i="8"/>
  <c r="C11" i="2"/>
  <c r="E13" i="8"/>
  <c r="E20" i="8"/>
  <c r="E34" i="9" s="1"/>
  <c r="E54" i="8"/>
  <c r="E56" i="8"/>
  <c r="E59" i="8"/>
  <c r="D24" i="10"/>
  <c r="D28" i="10"/>
  <c r="E7" i="4"/>
  <c r="E31" i="8"/>
  <c r="E33" i="8"/>
  <c r="E35" i="8"/>
  <c r="E43" i="8"/>
  <c r="D25" i="10"/>
  <c r="D31" i="8"/>
  <c r="C55" i="8"/>
  <c r="D11" i="8"/>
  <c r="D55" i="8"/>
  <c r="D57" i="8"/>
  <c r="E11" i="8"/>
  <c r="E55" i="8"/>
  <c r="C21" i="10" l="1"/>
  <c r="D32" i="8"/>
  <c r="D18" i="8"/>
  <c r="D32" i="9" s="1"/>
  <c r="D39" i="9" s="1"/>
  <c r="D14" i="10" s="1"/>
  <c r="D15" i="10" s="1"/>
  <c r="M48" i="11"/>
  <c r="E25" i="8"/>
  <c r="E20" i="10"/>
  <c r="E34" i="8"/>
  <c r="E36" i="8" s="1"/>
  <c r="D26" i="8"/>
  <c r="D10" i="8"/>
  <c r="D12" i="8" s="1"/>
  <c r="H41" i="8" s="1"/>
  <c r="C12" i="8"/>
  <c r="G41" i="8" s="1"/>
  <c r="C25" i="10"/>
  <c r="D21" i="10"/>
  <c r="D22" i="10" s="1"/>
  <c r="E14" i="8"/>
  <c r="D33" i="8"/>
  <c r="D51" i="8"/>
  <c r="D52" i="8"/>
  <c r="E32" i="9"/>
  <c r="E39" i="9" s="1"/>
  <c r="E14" i="10" s="1"/>
  <c r="E15" i="10" s="1"/>
  <c r="C14" i="8"/>
  <c r="H32" i="8"/>
  <c r="H5" i="4"/>
  <c r="E8" i="4"/>
  <c r="H8" i="4" s="1"/>
  <c r="G5" i="4"/>
  <c r="G8" i="4" s="1"/>
  <c r="E6" i="10"/>
  <c r="E21" i="10"/>
  <c r="E40" i="9"/>
  <c r="E12" i="8"/>
  <c r="E21" i="8" s="1"/>
  <c r="C20" i="10"/>
  <c r="C22" i="10" s="1"/>
  <c r="C6" i="10"/>
  <c r="C27" i="10"/>
  <c r="C60" i="8"/>
  <c r="H7" i="4"/>
  <c r="G7" i="4"/>
  <c r="E27" i="10"/>
  <c r="E60" i="8"/>
  <c r="C7" i="9"/>
  <c r="C58" i="2"/>
  <c r="C13" i="2"/>
  <c r="F17" i="2"/>
  <c r="F20" i="2"/>
  <c r="C12" i="2"/>
  <c r="F18" i="2"/>
  <c r="C11" i="9"/>
  <c r="C43" i="2"/>
  <c r="F19" i="2"/>
  <c r="D40" i="9"/>
  <c r="C32" i="9"/>
  <c r="D6" i="10"/>
  <c r="D27" i="10"/>
  <c r="C40" i="9"/>
  <c r="D60" i="8" l="1"/>
  <c r="C47" i="8"/>
  <c r="D36" i="8"/>
  <c r="G32" i="8"/>
  <c r="H43" i="8"/>
  <c r="G43" i="8"/>
  <c r="G45" i="8"/>
  <c r="E22" i="10"/>
  <c r="C27" i="8"/>
  <c r="C24" i="9" s="1"/>
  <c r="C26" i="9" s="1"/>
  <c r="H34" i="8"/>
  <c r="G34" i="8"/>
  <c r="D37" i="8"/>
  <c r="C37" i="8"/>
  <c r="D14" i="8"/>
  <c r="G42" i="8"/>
  <c r="H44" i="8"/>
  <c r="H45" i="8"/>
  <c r="D7" i="10"/>
  <c r="D8" i="10" s="1"/>
  <c r="C7" i="10"/>
  <c r="C8" i="10" s="1"/>
  <c r="H42" i="8"/>
  <c r="G44" i="8"/>
  <c r="G46" i="8"/>
  <c r="D16" i="9"/>
  <c r="C21" i="8"/>
  <c r="G33" i="8"/>
  <c r="H33" i="8"/>
  <c r="H46" i="8"/>
  <c r="C36" i="8"/>
  <c r="D21" i="8"/>
  <c r="G35" i="8"/>
  <c r="D31" i="9"/>
  <c r="D42" i="9" s="1"/>
  <c r="D43" i="9" s="1"/>
  <c r="H35" i="8"/>
  <c r="C16" i="9"/>
  <c r="D47" i="8"/>
  <c r="G31" i="8"/>
  <c r="H31" i="8"/>
  <c r="C31" i="9"/>
  <c r="C42" i="9" s="1"/>
  <c r="C43" i="9" s="1"/>
  <c r="D27" i="8"/>
  <c r="D24" i="9" s="1"/>
  <c r="C48" i="9"/>
  <c r="C46" i="9"/>
  <c r="C39" i="9"/>
  <c r="C14" i="10" s="1"/>
  <c r="C15" i="10" s="1"/>
  <c r="E52" i="2"/>
  <c r="E53" i="2" s="1"/>
  <c r="E18" i="9" s="1"/>
  <c r="D52" i="2"/>
  <c r="D53" i="2" s="1"/>
  <c r="D18" i="9" s="1"/>
  <c r="C52" i="2"/>
  <c r="C53" i="2" s="1"/>
  <c r="C18" i="9" s="1"/>
  <c r="D26" i="9"/>
  <c r="F21" i="2"/>
  <c r="C62" i="2"/>
  <c r="C25" i="9" s="1"/>
  <c r="D62" i="2"/>
  <c r="D25" i="9" s="1"/>
  <c r="E62" i="2"/>
  <c r="E25" i="9" s="1"/>
  <c r="E17" i="9"/>
  <c r="D17" i="9"/>
  <c r="C17" i="9"/>
  <c r="E9" i="10"/>
  <c r="D9" i="10"/>
  <c r="C9" i="10"/>
  <c r="I45" i="8"/>
  <c r="I43" i="8"/>
  <c r="I41" i="8"/>
  <c r="I35" i="8"/>
  <c r="I33" i="8"/>
  <c r="I31" i="8"/>
  <c r="E47" i="8"/>
  <c r="E16" i="9"/>
  <c r="I46" i="8"/>
  <c r="I44" i="8"/>
  <c r="I42" i="8"/>
  <c r="E37" i="8"/>
  <c r="I34" i="8"/>
  <c r="I32" i="8"/>
  <c r="E27" i="8"/>
  <c r="E24" i="9" s="1"/>
  <c r="E31" i="9"/>
  <c r="E7" i="10"/>
  <c r="E8" i="10" s="1"/>
  <c r="D35" i="9" l="1"/>
  <c r="D41" i="9"/>
  <c r="C35" i="9"/>
  <c r="C41" i="9"/>
  <c r="D19" i="9"/>
  <c r="E19" i="9"/>
  <c r="C19" i="9"/>
  <c r="E41" i="9"/>
  <c r="E35" i="9"/>
  <c r="E42" i="9"/>
  <c r="E43" i="9" s="1"/>
  <c r="E26" i="9"/>
  <c r="E16" i="10"/>
  <c r="D16" i="10"/>
  <c r="C16" i="10"/>
  <c r="E10" i="10"/>
  <c r="C10" i="10"/>
  <c r="D10" i="10"/>
</calcChain>
</file>

<file path=xl/sharedStrings.xml><?xml version="1.0" encoding="utf-8"?>
<sst xmlns="http://schemas.openxmlformats.org/spreadsheetml/2006/main" count="2882" uniqueCount="769">
  <si>
    <t>MetLife Japan  |  Fee Management  —  Operating Model &amp; Pricing Engine</t>
  </si>
  <si>
    <t>INTERNAL — Capgemini review copy. Not for issue to MetLife. Domain filtered from Appendix 3 v2 (142 apps / 1,504.0 units); this domain is 5 apps / 48.5 units.</t>
  </si>
  <si>
    <t>HOW THIS WORKBOOK IS BUILT</t>
  </si>
  <si>
    <t>Direction of travel</t>
  </si>
  <si>
    <t>Everything is bottom-up. You define seats in pods; the workbook derives headcount, productivity, offshore share, experience mix and cost. Nothing is asserted.</t>
  </si>
  <si>
    <t>The two logic trees</t>
  </si>
  <si>
    <t>'Logic Tree' derives a TARGET productivity and offshore % for any domain from its archetype mix. 'Glidepath &amp; 50-50' compares that target against what the pod design actually delivers. The gap is the transition &amp; enablement drag.</t>
  </si>
  <si>
    <t>Re-using for another domain</t>
  </si>
  <si>
    <t>Change the domain on 'Logic Tree' cell C5. The archetype mix, effort base and target percentages re-derive from 'Inventory'. The pod library and pod plan must then be re-cut for that domain's value streams.</t>
  </si>
  <si>
    <t>CELL COLOUR CONVENTION</t>
  </si>
  <si>
    <t>Blue text</t>
  </si>
  <si>
    <t>Input. Change these.</t>
  </si>
  <si>
    <t>Black text</t>
  </si>
  <si>
    <t>Formula. Do not overwrite.</t>
  </si>
  <si>
    <t>Green text</t>
  </si>
  <si>
    <t>Link to another sheet in this workbook.</t>
  </si>
  <si>
    <t>Amber fill</t>
  </si>
  <si>
    <t>Key assumption requiring sign-off before this model is used to price.</t>
  </si>
  <si>
    <t>SHEET MAP</t>
  </si>
  <si>
    <t>Logic Tree</t>
  </si>
  <si>
    <t>Parametric drivers. Phase effort mix, AI-addressable ceiling per archetype, realisation curve, offshore ceiling, re-badge plan, cost index.</t>
  </si>
  <si>
    <t>Inventory</t>
  </si>
  <si>
    <t>All 142 applications with derived archetype. Filter to a domain to see its mix.</t>
  </si>
  <si>
    <t>Value Streams</t>
  </si>
  <si>
    <t>The three functional value streams inside Fee Management and the AD / AMS split of each.</t>
  </si>
  <si>
    <t>Pod Library</t>
  </si>
  <si>
    <t>INPUT. Every seat in every pod archetype, for Y1 / Y2 / Y3. Role, skill family, experience band, location, sourcing.</t>
  </si>
  <si>
    <t>Pod Plan</t>
  </si>
  <si>
    <t>INPUT. How many co-sourced and fully-sourced pods each value stream runs in each year.</t>
  </si>
  <si>
    <t>Horizontal Teams</t>
  </si>
  <si>
    <t>INPUT. Seats in the three cross-cutting teams that are not value-stream bounded.</t>
  </si>
  <si>
    <t>Seat Ledger</t>
  </si>
  <si>
    <t>Computed. Every pod-library line multiplied out by the pod plan, plus the horizontal seats. All roll-ups read from here.</t>
  </si>
  <si>
    <t>Team Build-Up</t>
  </si>
  <si>
    <t>Computed. Headcount by year, by value stream, by sourcing, by location, by experience band and by skill family.</t>
  </si>
  <si>
    <t>Glidepath &amp; 50-50</t>
  </si>
  <si>
    <t>Computed. Productivity target vs delivered, offshore target vs delivered, and the re-badge volume needed to reach 50:50.</t>
  </si>
  <si>
    <t>Cost &amp; Commercial</t>
  </si>
  <si>
    <t>Computed. Cost index, cost per unit of original scope, and the Capgemini billable position after re-badging.</t>
  </si>
  <si>
    <t>ASSUMPTIONS THAT NEED SIGN-OFF</t>
  </si>
  <si>
    <t>Cost index</t>
  </si>
  <si>
    <t>Relative only. Onshore Tokyo E2 = 1.00, offshore at roughly one third at like-for-like band. Replace with the approved rate card before pricing.</t>
  </si>
  <si>
    <t>AI-addressable ceilings</t>
  </si>
  <si>
    <t>Derived from published evidence, not from a Capgemini delivery baseline. See the sources block on the Logic Tree sheet.</t>
  </si>
  <si>
    <t>Re-badge feasibility</t>
  </si>
  <si>
    <r>
      <rPr>
        <sz val="10"/>
        <rFont val="Arial"/>
        <charset val="1"/>
      </rPr>
      <t>Assumes transfer of employment (</t>
    </r>
    <r>
      <rPr>
        <sz val="10"/>
        <rFont val="Noto Sans CJK SC"/>
        <family val="2"/>
        <charset val="1"/>
      </rPr>
      <t>転籍</t>
    </r>
    <r>
      <rPr>
        <sz val="10"/>
        <rFont val="Arial"/>
        <charset val="1"/>
      </rPr>
      <t>) is achievable with individual consent and that MetLife will accept the receiving cost base. Not tested.</t>
    </r>
  </si>
  <si>
    <t>Effort unit = one person</t>
  </si>
  <si>
    <t>Appendix 3 states effort in FTE-equivalents. One unit is treated as one seat throughout.</t>
  </si>
  <si>
    <t>Built</t>
  </si>
  <si>
    <t>September 2026 · Capgemini · Fee Management domain model v1</t>
  </si>
  <si>
    <t>Logic Tree  —  parametric drivers for productivity and offshore share</t>
  </si>
  <si>
    <t>Change the blue cells. Every downstream number re-derives. Amber cells need sign-off.</t>
  </si>
  <si>
    <t>A.  DOMAIN SELECTION AND EFFORT BASE</t>
  </si>
  <si>
    <t>Domain</t>
  </si>
  <si>
    <t>fee management</t>
  </si>
  <si>
    <t>Type any domain name from the Inventory sheet, lower case.</t>
  </si>
  <si>
    <t>Applications in domain</t>
  </si>
  <si>
    <t>Total effort (units)</t>
  </si>
  <si>
    <t>Current FTC</t>
  </si>
  <si>
    <t>Current FTE</t>
  </si>
  <si>
    <t>Current MGCC</t>
  </si>
  <si>
    <t>AD effort (%PRJ weighted)</t>
  </si>
  <si>
    <t>AMS effort</t>
  </si>
  <si>
    <t>AD share of effort</t>
  </si>
  <si>
    <t>B.  ARCHETYPE MIX OF THE SELECTED DOMAIN  —  this is what drives the applicable percentages</t>
  </si>
  <si>
    <t>Archetype</t>
  </si>
  <si>
    <t>Definition</t>
  </si>
  <si>
    <t>Apps</t>
  </si>
  <si>
    <t>Effort</t>
  </si>
  <si>
    <t>Share of effort</t>
  </si>
  <si>
    <t>A</t>
  </si>
  <si>
    <t>Language-locked — Japanese business content bound to the application</t>
  </si>
  <si>
    <t>B</t>
  </si>
  <si>
    <t>Offshore-ready — modern stack, documented, no language lock</t>
  </si>
  <si>
    <t>C</t>
  </si>
  <si>
    <t>MGCC-destined — flagged Priority Transfer Target</t>
  </si>
  <si>
    <t>D</t>
  </si>
  <si>
    <t>Legacy-coupled core — mainframe / AS400, COBOL / Assembler</t>
  </si>
  <si>
    <t>Total</t>
  </si>
  <si>
    <t>C.  PRODUCTIVITY TREE  —  LEVEL 1 : where the effort sits across the delivery lifecycle</t>
  </si>
  <si>
    <t>Delivery phase</t>
  </si>
  <si>
    <t>Requirements &amp; impact analysis</t>
  </si>
  <si>
    <t>Design &amp; architecture</t>
  </si>
  <si>
    <t>Build &amp; code</t>
  </si>
  <si>
    <t>Test &amp; quality assurance</t>
  </si>
  <si>
    <t>Release &amp; deploy</t>
  </si>
  <si>
    <t>Run, monitor &amp; coordinate</t>
  </si>
  <si>
    <t>Total (must equal 100%)</t>
  </si>
  <si>
    <t>D.  PRODUCTIVITY TREE  —  LEVEL 2 : how much of each phase AI can address, by archetype</t>
  </si>
  <si>
    <t>The ceiling if the capability were fully mature and fully adopted. Not a forecast.</t>
  </si>
  <si>
    <t>Weighted AI ceiling by archetype</t>
  </si>
  <si>
    <t>Applicable AI ceiling for THIS domain</t>
  </si>
  <si>
    <t>E.  PRODUCTIVITY TREE  —  LEVEL 3 : realisation curve, and the two non-AI components</t>
  </si>
  <si>
    <t>Driver</t>
  </si>
  <si>
    <t>Year 1</t>
  </si>
  <si>
    <t>Year 2</t>
  </si>
  <si>
    <t>Year 3</t>
  </si>
  <si>
    <t>Basis</t>
  </si>
  <si>
    <t>AI realisation — share of ceiling captured</t>
  </si>
  <si>
    <t>Adoption, guardrails and substrate maturity. Not a tool licence count.</t>
  </si>
  <si>
    <t>Classical ADM productivity (cumulative)</t>
  </si>
  <si>
    <t>Standardisation, defect reduction, shift-left. Industry contractual norm 4-6% p.a.</t>
  </si>
  <si>
    <t>Operating-model productivity (cumulative)</t>
  </si>
  <si>
    <t>Pod consolidation, span of control, one release train instead of many.</t>
  </si>
  <si>
    <t>AI-attributable productivity</t>
  </si>
  <si>
    <t>Gross productivity  =  1 - (1-AI) x (1-classical) x (1-operating model)</t>
  </si>
  <si>
    <t>F.  OFFSHORE TREE</t>
  </si>
  <si>
    <t>Offshore-able ceiling of the archetype</t>
  </si>
  <si>
    <t>Applicable offshore ceiling for THIS domain</t>
  </si>
  <si>
    <t>Offshore realisation — share of ceiling reached</t>
  </si>
  <si>
    <t>Target offshore share</t>
  </si>
  <si>
    <t>Set to zero pending review: the generic transfer-of-employment schedule inherited from Contract Management (0/6/9 FTE, 0/14/21 MGCC) was sized for a domain far larger than this one's Year-3 Capgemini FTC. Applied here it drives Capgemini FTC negative from Year 2 (33 -&gt; 3 -&gt; -37). Glidepath &amp; 50-50 section D shows what pod-and-horizontal-design productivity alone delivers against this domain's real headcount; size a transfer here once you've reviewed it — same precedent as Corporate Related, New Contract Related and Customer Care / Call Center Related.</t>
  </si>
  <si>
    <t>Productivity shrinks both sides of the ratio, so it cannot move it. Transfer of employment can.</t>
  </si>
  <si>
    <t>Transfer in year</t>
  </si>
  <si>
    <t>Capgemini to MetLife Japan (FTE)</t>
  </si>
  <si>
    <t>Capgemini to MetLife MGCC Hyderabad</t>
  </si>
  <si>
    <t>Cumulative transferred</t>
  </si>
  <si>
    <t>H.  COST INDEX  —  relative only, onshore Tokyo band E2 = 1.00</t>
  </si>
  <si>
    <t>Location</t>
  </si>
  <si>
    <t>E1  0-3y</t>
  </si>
  <si>
    <t>E2  3-6y</t>
  </si>
  <si>
    <t>E3  6-10y</t>
  </si>
  <si>
    <t>E4  10-15y</t>
  </si>
  <si>
    <t>E5  15y+</t>
  </si>
  <si>
    <t>key</t>
  </si>
  <si>
    <t>E1</t>
  </si>
  <si>
    <t>E2</t>
  </si>
  <si>
    <t>E3</t>
  </si>
  <si>
    <t>E4</t>
  </si>
  <si>
    <t>E5</t>
  </si>
  <si>
    <t>Onshore Tokyo</t>
  </si>
  <si>
    <t>ON</t>
  </si>
  <si>
    <t>Offshore Hyderabad</t>
  </si>
  <si>
    <t>OFF</t>
  </si>
  <si>
    <t>Lookup keys for the Seat Ledger. Do not edit — mirrors the block on the left.</t>
  </si>
  <si>
    <t>I.  EVIDENCE BASE FOR THE AI CEILINGS</t>
  </si>
  <si>
    <t>•</t>
  </si>
  <si>
    <t>Bain Technology Report 2025 — team-level productivity gain from AI coding assistants 10-15%, materially below task-level results.</t>
  </si>
  <si>
    <t>Randomised field experiment, 4,867 developers at Microsoft, Accenture and a Fortune 100 firm — 26.1% increase in completed tasks.</t>
  </si>
  <si>
    <t>METR randomised controlled trial 2025 — experienced developers were 19% SLOWER with AI on large unfamiliar codebases. This is why archetype D build is capped at 20%.</t>
  </si>
  <si>
    <t>DORA State of AI-assisted Software Development 2025 — AI improves throughput but degrades stability without automated testing and fast feedback. Drives the QE horizontal.</t>
  </si>
  <si>
    <t>Keyhole Software COBOL to Spring Batch migration — 20-30% acceleration on a bounded legacy scope.</t>
  </si>
  <si>
    <t>Deloitte 2026 Software Industry Outlook — 30-35% projected across the SDLC. A projection, not a measurement.</t>
  </si>
  <si>
    <t>MSP AI benchmarks 2026 — 20-40% MTTR reduction on tier-one categories, 15-25% technician throughput. Drives the run and support ceilings.</t>
  </si>
  <si>
    <t>Application inventory  —  Appendix 3 v2, with derived archetype and value stream</t>
  </si>
  <si>
    <t>Archetype is DERIVED, not asserted: mainframe language → D; else Priority Transfer Target → C; else SaaS → A; else B.</t>
  </si>
  <si>
    <t>#</t>
  </si>
  <si>
    <t>EAI ID</t>
  </si>
  <si>
    <t>Application</t>
  </si>
  <si>
    <t>Long name</t>
  </si>
  <si>
    <t>Group</t>
  </si>
  <si>
    <t>Team</t>
  </si>
  <si>
    <t>Class</t>
  </si>
  <si>
    <t>Critical</t>
  </si>
  <si>
    <t>Hosting</t>
  </si>
  <si>
    <t>Primary code language</t>
  </si>
  <si>
    <t>Cloud platform</t>
  </si>
  <si>
    <t>Priority transfer</t>
  </si>
  <si>
    <t>% of PRJ</t>
  </si>
  <si>
    <t>Target FTC</t>
  </si>
  <si>
    <t>Target FTE/MGCC</t>
  </si>
  <si>
    <t>App count</t>
  </si>
  <si>
    <t>FTC</t>
  </si>
  <si>
    <t>FTE</t>
  </si>
  <si>
    <t>MGCC</t>
  </si>
  <si>
    <t>AD share</t>
  </si>
  <si>
    <t>AD effort</t>
  </si>
  <si>
    <t>Value stream</t>
  </si>
  <si>
    <t>Global Sales Comp - Japan</t>
  </si>
  <si>
    <t>Core Insurance Systems Group 34956</t>
  </si>
  <si>
    <t>Commission Systems Team 34958</t>
  </si>
  <si>
    <t>Core Business Application</t>
  </si>
  <si>
    <t>N</t>
  </si>
  <si>
    <t>Yes</t>
  </si>
  <si>
    <t>Other#Infomatica workflow Bash shell Dos batch</t>
  </si>
  <si>
    <t>Software as a Service (SaaS)</t>
  </si>
  <si>
    <t>VS1</t>
  </si>
  <si>
    <t>LC POSPMC MF-JPN</t>
  </si>
  <si>
    <t>LifeComm POSPMC</t>
  </si>
  <si>
    <t>contract management</t>
  </si>
  <si>
    <t>Policy Admin Systems Team 34957</t>
  </si>
  <si>
    <t>Y</t>
  </si>
  <si>
    <t>Assembler, COBOL, MU(EASYPLUS), JCL</t>
  </si>
  <si>
    <t>LC Billing MF-JPN</t>
  </si>
  <si>
    <t>LifeComm Billing</t>
  </si>
  <si>
    <t>COBOL, Assembler, MU(EASYPLUS), JCL</t>
  </si>
  <si>
    <t>VS2</t>
  </si>
  <si>
    <t>LC Collection MF-JPN</t>
  </si>
  <si>
    <t>LifeComm Collection</t>
  </si>
  <si>
    <t>LC Corresponding MF-JPN</t>
  </si>
  <si>
    <t>LifeComm Corresponding</t>
  </si>
  <si>
    <t>VS4</t>
  </si>
  <si>
    <t>LC UWI MF-JPN</t>
  </si>
  <si>
    <t>LifeComm  UWI</t>
  </si>
  <si>
    <t>LC AAPerf MF-JPN</t>
  </si>
  <si>
    <t>LifeComm AgentAgencyPerformance</t>
  </si>
  <si>
    <t>VS3</t>
  </si>
  <si>
    <t>LC Payment MF-JPN</t>
  </si>
  <si>
    <t>LifeComm Payment</t>
  </si>
  <si>
    <t>LC GL/SC MF-JPN</t>
  </si>
  <si>
    <t>LifeComm GL/SC</t>
  </si>
  <si>
    <t>VS6</t>
  </si>
  <si>
    <t>LC Valuation MF-JPN</t>
  </si>
  <si>
    <t>LifeComm Valuation</t>
  </si>
  <si>
    <t>LC AACOMP MF-JPN</t>
  </si>
  <si>
    <t>LifeComm AgentAgencyComp</t>
  </si>
  <si>
    <t>Processor-I MF-JPN</t>
  </si>
  <si>
    <t>Claim payment (Processor-I)</t>
  </si>
  <si>
    <t>COBOL, MU(EASYPLUS), Assembler, JCL</t>
  </si>
  <si>
    <t>LC Submit MF-JPN</t>
  </si>
  <si>
    <t>Submit Online</t>
  </si>
  <si>
    <t>LC Micro MF-JPN</t>
  </si>
  <si>
    <t>Micro-Index</t>
  </si>
  <si>
    <t>Foreign MF-JPN</t>
  </si>
  <si>
    <t>Foreign</t>
  </si>
  <si>
    <t>CT Salary  MF-JPN</t>
  </si>
  <si>
    <t>CT Salary System</t>
  </si>
  <si>
    <t>TaxCertification MF-JPN</t>
  </si>
  <si>
    <t>TaxCertification</t>
  </si>
  <si>
    <t>SWINGMANAGER MF-JPN</t>
  </si>
  <si>
    <t>SWING MANAGER</t>
  </si>
  <si>
    <t>PremCollectDBMF-JPN</t>
  </si>
  <si>
    <t>Premium Collection History DB</t>
  </si>
  <si>
    <t>MCFA CP DB MF-JPN</t>
  </si>
  <si>
    <t>MCFA Coupon DB</t>
  </si>
  <si>
    <t>Maturity MF-JPN</t>
  </si>
  <si>
    <t>Payment  maturity existing benefit etc</t>
  </si>
  <si>
    <t>LC Reins MF-JPN</t>
  </si>
  <si>
    <t>Reinsurance</t>
  </si>
  <si>
    <t>ASP Bridge(H) MF-JPN</t>
  </si>
  <si>
    <t>ASP Bridge (HOST)</t>
  </si>
  <si>
    <t>Common Service Business Application</t>
  </si>
  <si>
    <t>VS5</t>
  </si>
  <si>
    <t>CCA MF-JPN</t>
  </si>
  <si>
    <t>Client Contract Administration</t>
  </si>
  <si>
    <t>C04NWC-JPN</t>
  </si>
  <si>
    <t>CenterServer</t>
  </si>
  <si>
    <t>new contract related</t>
  </si>
  <si>
    <t>Customer Service and Operations Systems Group 34965</t>
  </si>
  <si>
    <t>New Business Team 34966</t>
  </si>
  <si>
    <t>C/C++</t>
  </si>
  <si>
    <t>C03WRE-JPN</t>
  </si>
  <si>
    <t>POS Workflow Payment Workflow (Restoring cancelled</t>
  </si>
  <si>
    <t>storage and preservation related</t>
  </si>
  <si>
    <t>Policy Servicing Team 34967</t>
  </si>
  <si>
    <t>VB.NET</t>
  </si>
  <si>
    <t>C12WNC-JPN</t>
  </si>
  <si>
    <t>POS Workflow Payment Workflow (Claim Transaction A</t>
  </si>
  <si>
    <t>insurance claims and benefits payment related</t>
  </si>
  <si>
    <t>Claims Team 34968</t>
  </si>
  <si>
    <t>VB.NET; C/C++; JAVA</t>
  </si>
  <si>
    <t>C03WRD-JPN</t>
  </si>
  <si>
    <t>POS Workflow Payment Workflow (Reduction of paymen</t>
  </si>
  <si>
    <t>C03PCA-JPN</t>
  </si>
  <si>
    <t>Add Coverage</t>
  </si>
  <si>
    <t>VB</t>
  </si>
  <si>
    <t>C10CSS-JPN</t>
  </si>
  <si>
    <t>FSC Call Support</t>
  </si>
  <si>
    <t>customer care / call center related</t>
  </si>
  <si>
    <t>Customer Care Team 34969</t>
  </si>
  <si>
    <t>C04VAS-JPN</t>
  </si>
  <si>
    <t>Voucher Approval System for AS400</t>
  </si>
  <si>
    <t>corporate related</t>
  </si>
  <si>
    <t>Corporate Systems Team 34959</t>
  </si>
  <si>
    <t>C04SYM-JPN</t>
  </si>
  <si>
    <t>Renewal symap Business Work Flow</t>
  </si>
  <si>
    <t>C03VSV-JPN</t>
  </si>
  <si>
    <t>Variable Annuity Sun View</t>
  </si>
  <si>
    <t>PinID tool_JPN</t>
  </si>
  <si>
    <t>PinID Increase tool</t>
  </si>
  <si>
    <t>C11VCM-JPN</t>
  </si>
  <si>
    <t>Deposit Control System</t>
  </si>
  <si>
    <t>C04OSI-JPN</t>
  </si>
  <si>
    <t>S Sum Total System(Open)</t>
  </si>
  <si>
    <t>JAVA</t>
  </si>
  <si>
    <t>W03FIC-JPN</t>
  </si>
  <si>
    <t>Guidance Refusal Information Administration System</t>
  </si>
  <si>
    <t>Platform as a Service (PaaS)</t>
  </si>
  <si>
    <t>C03APO-JPN</t>
  </si>
  <si>
    <t>Apollocs</t>
  </si>
  <si>
    <t>Other#APOLLOCS</t>
  </si>
  <si>
    <t>Z04IMA-JPN</t>
  </si>
  <si>
    <t>Image Search</t>
  </si>
  <si>
    <t>CSS; JAVA;HTML; VB.NET</t>
  </si>
  <si>
    <t>W05AMS-JPN</t>
  </si>
  <si>
    <t>Annuity Information Management System(AIMS)</t>
  </si>
  <si>
    <t>W02OPS-JPN</t>
  </si>
  <si>
    <t>Insurance Planning for Operator</t>
  </si>
  <si>
    <t>marketing/direct business related</t>
  </si>
  <si>
    <t>Customer and Channel Engineering 34961</t>
  </si>
  <si>
    <t>W04RRE-JPN</t>
  </si>
  <si>
    <t>Rule Engine</t>
  </si>
  <si>
    <t>W03PIU-JPN</t>
  </si>
  <si>
    <t>IS universal life insurance simulation</t>
  </si>
  <si>
    <t>W08HTN-JPN</t>
  </si>
  <si>
    <t>conservation contact personnel entry system</t>
  </si>
  <si>
    <t>W08NAV-JPN</t>
  </si>
  <si>
    <t>Branch Marketing Information System</t>
  </si>
  <si>
    <t>sales / insurance recruitment</t>
  </si>
  <si>
    <t>Distribution F2F Team 34962</t>
  </si>
  <si>
    <t>W08SFE-JPN</t>
  </si>
  <si>
    <t>commission Inquiry</t>
  </si>
  <si>
    <t>W08CIS-JPN</t>
  </si>
  <si>
    <t>Career Information System</t>
  </si>
  <si>
    <t>W08NAR-JPN</t>
  </si>
  <si>
    <t>producers information entry system</t>
  </si>
  <si>
    <t>W13WWF-JPN</t>
  </si>
  <si>
    <t>Web work flow</t>
  </si>
  <si>
    <t>P08MMS-JPN</t>
  </si>
  <si>
    <t>Medical Management System</t>
  </si>
  <si>
    <t>WPSYEC-JPN</t>
  </si>
  <si>
    <t>Direct Marketing Site</t>
  </si>
  <si>
    <t>Marketing and Leads Team 34964</t>
  </si>
  <si>
    <t>W07IPC-JPN</t>
  </si>
  <si>
    <t>Internet Prospective Information</t>
  </si>
  <si>
    <t>W01LOI-JPN</t>
  </si>
  <si>
    <t>Japan Authorization / login</t>
  </si>
  <si>
    <t>common service platform</t>
  </si>
  <si>
    <t>Japan Platform Team 35775</t>
  </si>
  <si>
    <t>W01MAS-JPN</t>
  </si>
  <si>
    <t>Common Framework(Master4)</t>
  </si>
  <si>
    <t>A04MMP-JPN</t>
  </si>
  <si>
    <t>AS400 Mass Marketing System</t>
  </si>
  <si>
    <t>Other#RPG</t>
  </si>
  <si>
    <t>P02BKE-JPN</t>
  </si>
  <si>
    <t>Sales illustration system (based on EXCEL) for BAN</t>
  </si>
  <si>
    <t>Distribution Banca Team 34963</t>
  </si>
  <si>
    <t>Other#VBA</t>
  </si>
  <si>
    <t>WPSC2S-JPN</t>
  </si>
  <si>
    <t>Call Control System</t>
  </si>
  <si>
    <t>B13ITS-JPN</t>
  </si>
  <si>
    <t>ITS-PCIS(Mutual Fund System(Including Bestway)</t>
  </si>
  <si>
    <t>W13WEP-JPN</t>
  </si>
  <si>
    <t>Web Payment</t>
  </si>
  <si>
    <t>Data Send System for BANC  MF-JP</t>
  </si>
  <si>
    <t>Data Send System for BANC</t>
  </si>
  <si>
    <t>CCMDNT-JPN</t>
  </si>
  <si>
    <t>.NET Common Infrastructure</t>
  </si>
  <si>
    <t>VB.NET; C #</t>
  </si>
  <si>
    <t>BCMHRP-JPN</t>
  </si>
  <si>
    <t>Data cooperation</t>
  </si>
  <si>
    <t>data infrastructure</t>
  </si>
  <si>
    <t>Data Platforms Team 34980</t>
  </si>
  <si>
    <t>Other#MS-DOS ,AWK,VBScript,JAVA</t>
  </si>
  <si>
    <t>Running on both on-premises and Azure.  The on-premises version will be decommissioned by the end of 2027.</t>
  </si>
  <si>
    <t>WPSCUS-JPN</t>
  </si>
  <si>
    <t>Customer Support System</t>
  </si>
  <si>
    <t>JavaScript; Other#APEX</t>
  </si>
  <si>
    <t>WAANSO-JPN</t>
  </si>
  <si>
    <t>New Submit Online System</t>
  </si>
  <si>
    <t>WZZHYO-JPN</t>
  </si>
  <si>
    <t>Report Template Management System</t>
  </si>
  <si>
    <t>EAADRS-JPN</t>
  </si>
  <si>
    <t>Dr.SUM</t>
  </si>
  <si>
    <t>WPMWCC-JPN</t>
  </si>
  <si>
    <t>Web Contact Center</t>
  </si>
  <si>
    <t>WGLRPC-JPN</t>
  </si>
  <si>
    <t>ReportConnection</t>
  </si>
  <si>
    <t>Policy UWIBATCH MF-JPN</t>
  </si>
  <si>
    <t>Policy Underwriting and Issue Batch</t>
  </si>
  <si>
    <t>Other#ASM; Cobol</t>
  </si>
  <si>
    <t>WAAATF-JPN</t>
  </si>
  <si>
    <t>Agents Target Following system</t>
  </si>
  <si>
    <t>ZGLEST-JPN</t>
  </si>
  <si>
    <t>eSTATION</t>
  </si>
  <si>
    <t>JavaScript; VB.NET; C#;HTML</t>
  </si>
  <si>
    <t>CMESB-JPN</t>
  </si>
  <si>
    <t>Enterprise Service Bus</t>
  </si>
  <si>
    <t>JAVA; Other#ESQL</t>
  </si>
  <si>
    <t>WPMAUD-JPN</t>
  </si>
  <si>
    <t>Unknown Address Tracking System</t>
  </si>
  <si>
    <t>No</t>
  </si>
  <si>
    <t>WCMPXS-JPN</t>
  </si>
  <si>
    <t>ProductXpress</t>
  </si>
  <si>
    <t>Infrastructure Application</t>
  </si>
  <si>
    <t>Other#Peculiar Language, Implemented in PX designer.</t>
  </si>
  <si>
    <t>WUIURE-JPN</t>
  </si>
  <si>
    <t>Pre-Underwriting</t>
  </si>
  <si>
    <t>LINC MF-JPN</t>
  </si>
  <si>
    <t>LINC</t>
  </si>
  <si>
    <t>A06TOG-JPN</t>
  </si>
  <si>
    <t>Group Policy Management System</t>
  </si>
  <si>
    <t>Other#RPG; Cobol</t>
  </si>
  <si>
    <t>W06TGR-JPN</t>
  </si>
  <si>
    <t>Group Policy Inquiry System for Intranet</t>
  </si>
  <si>
    <t>VB.NET; JAVA</t>
  </si>
  <si>
    <t>WAAICM-JPN</t>
  </si>
  <si>
    <t>ICM</t>
  </si>
  <si>
    <t>JAVA; C#; Other#ETL JAVA(ADJP) SQL</t>
  </si>
  <si>
    <t>WAACPS-JPN</t>
  </si>
  <si>
    <t>Commission and Performance System</t>
  </si>
  <si>
    <t>OMSIKN-JPN</t>
  </si>
  <si>
    <t>Conservation contract transferring system</t>
  </si>
  <si>
    <t>OMSTAT-JPN</t>
  </si>
  <si>
    <t>Conservation contract allowance system</t>
  </si>
  <si>
    <t>ZGLEDQ-JPN</t>
  </si>
  <si>
    <t>FATCA Oracle EDQ</t>
  </si>
  <si>
    <t>JAVA; C #</t>
  </si>
  <si>
    <t>WGLWLF-JPN</t>
  </si>
  <si>
    <t>Watch List Filtering system</t>
  </si>
  <si>
    <t>WZZMNB-JPN</t>
  </si>
  <si>
    <t>My number management system</t>
  </si>
  <si>
    <t>BCMETL-JPN</t>
  </si>
  <si>
    <t>Informatica Platform</t>
  </si>
  <si>
    <t>Other#Used UI for development and stored data as XML</t>
  </si>
  <si>
    <t>WPSCFC-JPN</t>
  </si>
  <si>
    <t>c-Force</t>
  </si>
  <si>
    <t>Other#APEX;HTML; JavaScript</t>
  </si>
  <si>
    <t>CGLFJM-JPN</t>
  </si>
  <si>
    <t>Misconduct Management system</t>
  </si>
  <si>
    <t>WGLBSR-JPN</t>
  </si>
  <si>
    <t>BSRec</t>
  </si>
  <si>
    <t>JP-RPASS</t>
  </si>
  <si>
    <t>JAPAN_BluePrism RPA</t>
  </si>
  <si>
    <t>Other#COTS from BluePrism</t>
  </si>
  <si>
    <t>W03CCP-JPN</t>
  </si>
  <si>
    <t>Customer Communication Preferences</t>
  </si>
  <si>
    <t>JP-Banca Report</t>
  </si>
  <si>
    <t>Japan Banca Report</t>
  </si>
  <si>
    <t>Infrastructure as a Service (IaaS); Platform as a Service (PaaS)</t>
  </si>
  <si>
    <t>LPS-JPN(EUC081)</t>
  </si>
  <si>
    <t>Life Plan Simulation Japan</t>
  </si>
  <si>
    <t>PHP</t>
  </si>
  <si>
    <t>CIT-JPN(EUC082)</t>
  </si>
  <si>
    <t>Inheritance Tax Simulation</t>
  </si>
  <si>
    <t>CMIAPI-JPN</t>
  </si>
  <si>
    <t>API Hub</t>
  </si>
  <si>
    <t>K2</t>
  </si>
  <si>
    <t>Japan K2 - Digital Workflows</t>
  </si>
  <si>
    <t>JP-PCI-RPASS</t>
  </si>
  <si>
    <t>Japan PCI Robotics Process Automation Service</t>
  </si>
  <si>
    <t>Other#This is coded within blueprism</t>
  </si>
  <si>
    <t>RBRARS-JPN</t>
  </si>
  <si>
    <t>RBWF Report Automatic Recognition System</t>
  </si>
  <si>
    <t>CMEAPI-JP</t>
  </si>
  <si>
    <t>Japan Partner API</t>
  </si>
  <si>
    <t>JP-WCMAUT</t>
  </si>
  <si>
    <t>JP Authentication Platform</t>
  </si>
  <si>
    <t>Himawari</t>
  </si>
  <si>
    <t>Himawari (Call Center Platform)</t>
  </si>
  <si>
    <t>JavaScript;HTML; Other#APEX</t>
  </si>
  <si>
    <t>JP-QA Shared Service</t>
  </si>
  <si>
    <t>Japan QA Shared Service- multiple projects</t>
  </si>
  <si>
    <t>Platform</t>
  </si>
  <si>
    <t>Other#Selenese, but supports others</t>
  </si>
  <si>
    <t>JP-DB2-CONNECT</t>
  </si>
  <si>
    <t>Japan DB2 Connect Proxy</t>
  </si>
  <si>
    <t>Other#COTS</t>
  </si>
  <si>
    <t>JP-Payroll</t>
  </si>
  <si>
    <t>Japan Payroll System</t>
  </si>
  <si>
    <t>Other# N-A(SaaS)</t>
  </si>
  <si>
    <t>JP-OLB Batch</t>
  </si>
  <si>
    <t>Japan - Direct Marketing Batch Applications</t>
  </si>
  <si>
    <t>ASP B_O-JPN</t>
  </si>
  <si>
    <t>ASP Bridge (OPEN)</t>
  </si>
  <si>
    <t>JAVA; C#; VB.NET</t>
  </si>
  <si>
    <t>WCMCCMJPN</t>
  </si>
  <si>
    <t>Inspire - Forms Management</t>
  </si>
  <si>
    <t>JavaScript</t>
  </si>
  <si>
    <t>Digital Portal</t>
  </si>
  <si>
    <t>Digital Portals for Policy Administration</t>
  </si>
  <si>
    <t>JAVA; JavaScript</t>
  </si>
  <si>
    <t>JP - Remote Closing</t>
  </si>
  <si>
    <t>JP - Remote Sales Closing</t>
  </si>
  <si>
    <t>PaymentService</t>
  </si>
  <si>
    <t>Payment Common Service - JP</t>
  </si>
  <si>
    <t>JP-GSSP</t>
  </si>
  <si>
    <t>Japan Sales Platform (GSSP)</t>
  </si>
  <si>
    <t>Business Content Management</t>
  </si>
  <si>
    <t>Other#n/a</t>
  </si>
  <si>
    <t>Software as a Service (SaaS); Platform as a Service (PaaS)</t>
  </si>
  <si>
    <t>DSP</t>
  </si>
  <si>
    <t>Digital Servicing Platform</t>
  </si>
  <si>
    <t>PL/SQL</t>
  </si>
  <si>
    <t>JDPREP</t>
  </si>
  <si>
    <t>Japan Data Platform and Reporting-JP</t>
  </si>
  <si>
    <t>Other#Transact SQL</t>
  </si>
  <si>
    <t>Kintone-JPN</t>
  </si>
  <si>
    <t>kintone and paperlogic electronic contract system</t>
  </si>
  <si>
    <t>Other#Vendor Managed</t>
  </si>
  <si>
    <t>POS-IMS</t>
  </si>
  <si>
    <t>POS - Integrated Management System</t>
  </si>
  <si>
    <t>AppsPortal</t>
  </si>
  <si>
    <t>Enterprise Apps Portal</t>
  </si>
  <si>
    <t>JavaScript; JAVA</t>
  </si>
  <si>
    <t>Scan Manager</t>
  </si>
  <si>
    <t>Digital Scan Manager</t>
  </si>
  <si>
    <t>ODMoC</t>
  </si>
  <si>
    <t>IBM Operational Decision Manager on Cloud</t>
  </si>
  <si>
    <t>Other#IRL Vendor supported language</t>
  </si>
  <si>
    <t>External Portal</t>
  </si>
  <si>
    <t>External Apps Portal</t>
  </si>
  <si>
    <t>Distribution Systems - Internal</t>
  </si>
  <si>
    <t>Corporate Batch</t>
  </si>
  <si>
    <t>OpenBatch system for Corporate</t>
  </si>
  <si>
    <t>Claim Batch</t>
  </si>
  <si>
    <t>OpenBatch system for Claim</t>
  </si>
  <si>
    <t>Customer Care Batch</t>
  </si>
  <si>
    <t>Open Batch System for Customer Care</t>
  </si>
  <si>
    <t>Other#ETL (Infomatica)</t>
  </si>
  <si>
    <t>AURA</t>
  </si>
  <si>
    <t>AURA Underwriting</t>
  </si>
  <si>
    <t>POS Batch</t>
  </si>
  <si>
    <t>OpenBatch system for Policy Servicing</t>
  </si>
  <si>
    <t>Distribution Marketing batches</t>
  </si>
  <si>
    <t>Distribution Marketing related batches</t>
  </si>
  <si>
    <t>HIMAWARI backend apps</t>
  </si>
  <si>
    <t>HIMAWARI backend applications</t>
  </si>
  <si>
    <t>New Business Batch</t>
  </si>
  <si>
    <t>OpenBatch system for New Business</t>
  </si>
  <si>
    <t>WCC</t>
  </si>
  <si>
    <t>Web Credit Card</t>
  </si>
  <si>
    <t>JAVA; HTML5; JavaScript</t>
  </si>
  <si>
    <t>PDF Auto Loader Batch</t>
  </si>
  <si>
    <t>Open Batch System for PDF Auto Loader</t>
  </si>
  <si>
    <t>IVR Tekigosei</t>
  </si>
  <si>
    <t>Confirming UnitLink product suitability via IVR</t>
  </si>
  <si>
    <t>Other# N-A</t>
  </si>
  <si>
    <t>W09WSD-JPN BIS</t>
  </si>
  <si>
    <t>Call Center WSD BIS</t>
  </si>
  <si>
    <t>NBAPPS-JPN</t>
  </si>
  <si>
    <t>New Business Operation Apps</t>
  </si>
  <si>
    <t>SCS</t>
  </si>
  <si>
    <t>Sales Compensation System</t>
  </si>
  <si>
    <t>JAVA; Other#SQL</t>
  </si>
  <si>
    <t>Pega for Claims</t>
  </si>
  <si>
    <t>Pega for Claims - Pega Workflow</t>
  </si>
  <si>
    <t>RAPS</t>
  </si>
  <si>
    <t>Retirement Allowance Payment System</t>
  </si>
  <si>
    <t>Commission System Support Tool</t>
  </si>
  <si>
    <t>Support Tool for Commission System</t>
  </si>
  <si>
    <t>MDRS</t>
  </si>
  <si>
    <t>Maturity and Deferral Related System</t>
  </si>
  <si>
    <t>JP-BANCA</t>
  </si>
  <si>
    <t>Japan Sales Platform-BANCA</t>
  </si>
  <si>
    <t>Commission calculation</t>
  </si>
  <si>
    <t>Commission Calculation Service</t>
  </si>
  <si>
    <t>Vcalc-JPN</t>
  </si>
  <si>
    <t>Variable Insurance Guarantee Calculation System</t>
  </si>
  <si>
    <t>Helper columns U..AH are what the Logic Tree reads. Columns B..T are the source pack, unmodified.</t>
  </si>
  <si>
    <t>Fee management  —  three functional value streams</t>
  </si>
  <si>
    <t>Reconciles to the fee management domain's 5 applications and 48.5 effort units. Every application sits in one and only one stream. Two apps (Global Sales Comp - Japan, Commission Calculation Service) carry zero current effort and reconcile here but add no pod headcount.</t>
  </si>
  <si>
    <t>Code</t>
  </si>
  <si>
    <t>Y1 co-src pods</t>
  </si>
  <si>
    <t>Y1 full-src pods</t>
  </si>
  <si>
    <t>Y1 people</t>
  </si>
  <si>
    <t>Incentive Compensation Calculation</t>
  </si>
  <si>
    <t>Compensation Administration &amp; Reporting</t>
  </si>
  <si>
    <t>Distributor Portal &amp; Commission Services</t>
  </si>
  <si>
    <t>Application-to-value-stream mapping</t>
  </si>
  <si>
    <t>Applications</t>
  </si>
  <si>
    <t>ITS-PCIS (Mutual Fund System, incl. Bestway) · FATCA Oracle EDQ · BSRec · Variable Insurance Guarantee Calculation System (Vcalc)</t>
  </si>
  <si>
    <t>Report Template Management System · eSTATION · Japan Payroll System · Business Content Management · kintone and paperlogic electronic contract system · Commission System Support Tool</t>
  </si>
  <si>
    <t>Guidance Refusal Information Administration System · Watch List Filtering system · Misconduct Management system</t>
  </si>
  <si>
    <t>Conservation Contact Personnel Entry System · Commission Inquiry · Career Information System · Producers Information Entry System · Web Work Flow · Call Control System · New Submit Online System · Group Policy Inquiry System for Intranet · Commission and Performance System · Conservation Contract Transferring System</t>
  </si>
  <si>
    <t>Apollocs · .NET Common Infrastructure · Dr.SUM · ProductXpress · ASP Bridge (Open) · OpenBatch System for Corporate · Retirement Allowance Payment System</t>
  </si>
  <si>
    <t>Voucher Approval System for AS400 · AS400 Mass Marketing System · Group Policy Management System</t>
  </si>
  <si>
    <t>Pod library — every seat, by year, value stream and pod type</t>
  </si>
  <si>
    <t>INPUT. One shared seat template per value stream per pod type per year; Pod Plan's co-sourced/fully-sourced pod counts multiply it out. VS1 and VS2 use the standard modern-stack CO/FS templates, sized to their real effort share. VS3's real footprint is tiny (2.96 effort units, one live app) so it gets a single lean fully-sourced pod instead — no co-sourced pod, no dedicated product-owner seats. The one MGCC seat sits in VS3, reflecting External Portal's real current MGCC use; VS1/VS2 stay FTC/FTE only, matching this domain's near-zero real MGCC baseline.</t>
  </si>
  <si>
    <t>Year</t>
  </si>
  <si>
    <t>VS</t>
  </si>
  <si>
    <t>Pod type</t>
  </si>
  <si>
    <t>Role</t>
  </si>
  <si>
    <t>Skill</t>
  </si>
  <si>
    <t>Exp</t>
  </si>
  <si>
    <t>Sourcing</t>
  </si>
  <si>
    <t>Count</t>
  </si>
  <si>
    <t>CO</t>
  </si>
  <si>
    <t>Product Owner</t>
  </si>
  <si>
    <t>LEAD</t>
  </si>
  <si>
    <t>Incentive Compensation SME</t>
  </si>
  <si>
    <t>BA</t>
  </si>
  <si>
    <t>Application Owner (Technical)</t>
  </si>
  <si>
    <t>ENG</t>
  </si>
  <si>
    <t>Pod Delivery Lead</t>
  </si>
  <si>
    <t>Senior Developer</t>
  </si>
  <si>
    <t>DEV</t>
  </si>
  <si>
    <t>QA / Test Engineer</t>
  </si>
  <si>
    <t>TEST</t>
  </si>
  <si>
    <t>Pod size — Year 1 VS1 co-sourced</t>
  </si>
  <si>
    <t>FS</t>
  </si>
  <si>
    <t>Pod Lead (output owner)</t>
  </si>
  <si>
    <t>Developer</t>
  </si>
  <si>
    <t>QA Engineer</t>
  </si>
  <si>
    <t>Pod size — Year 1 VS1 fully-sourced</t>
  </si>
  <si>
    <t>Compensation Administration SME</t>
  </si>
  <si>
    <t>Pod size — Year 1 VS2 co-sourced</t>
  </si>
  <si>
    <t>Pod size — Year 1 VS2 fully-sourced</t>
  </si>
  <si>
    <t>Developer — MGCC Hyderabad</t>
  </si>
  <si>
    <t>Pod size — Year 1 VS3 fully-sourced</t>
  </si>
  <si>
    <t>AI-assisted Developer</t>
  </si>
  <si>
    <t>Quality Engineer (SDET)</t>
  </si>
  <si>
    <t>Pod size — Year 2 VS1 co-sourced</t>
  </si>
  <si>
    <t>Pod Lead / AI Orchestrator</t>
  </si>
  <si>
    <t>Pod size — Year 2 VS1 fully-sourced</t>
  </si>
  <si>
    <t>Pod size — Year 2 VS2 co-sourced</t>
  </si>
  <si>
    <t>Pod size — Year 2 VS2 fully-sourced</t>
  </si>
  <si>
    <t>AI-assisted Developer — MGCC Hyderabad</t>
  </si>
  <si>
    <t>Pod size — Year 2 VS3 fully-sourced</t>
  </si>
  <si>
    <t>AI Orchestrator / Developer</t>
  </si>
  <si>
    <t>Pod size — Year 3 VS1 co-sourced</t>
  </si>
  <si>
    <t>AI Orchestrator</t>
  </si>
  <si>
    <t>Pod size — Year 3 VS1 fully-sourced</t>
  </si>
  <si>
    <t>Pod size — Year 3 VS2 co-sourced</t>
  </si>
  <si>
    <t>Pod size — Year 3 VS2 fully-sourced</t>
  </si>
  <si>
    <t>AI Orchestrator — MGCC Hyderabad</t>
  </si>
  <si>
    <t>Pod size — Year 3 VS3 fully-sourced</t>
  </si>
  <si>
    <t>Pod plan  —  how many pods each value stream runs, each year</t>
  </si>
  <si>
    <t>INPUT SHEET. Fewer pods and smaller pods is how productivity shows up in the headcount. Nothing else reduces it.</t>
  </si>
  <si>
    <t>Co-sourced pods</t>
  </si>
  <si>
    <t>Fully-sourced pods</t>
  </si>
  <si>
    <t>Pods</t>
  </si>
  <si>
    <t>People</t>
  </si>
  <si>
    <t>Year 1 total</t>
  </si>
  <si>
    <t>Year 2 total</t>
  </si>
  <si>
    <t>Year 3 total</t>
  </si>
  <si>
    <t>Horizontal teams — work that is not value-stream bounded</t>
  </si>
  <si>
    <t>INPUT. Real cross-stream functions for a fee/compensation domain: compensation plan administration &amp; governance, calculation QA &amp; audit, regulatory/compliance support for fee and commission rules, and a small architecture &amp; governance core. Kept lean given this domain's small overall scale.</t>
  </si>
  <si>
    <t>H1</t>
  </si>
  <si>
    <t>Compensation Plan Administration &amp; Governance</t>
  </si>
  <si>
    <t>Compensation Plan Administration Lead</t>
  </si>
  <si>
    <t>H1 total</t>
  </si>
  <si>
    <t>H2</t>
  </si>
  <si>
    <t>Calculation QA &amp; Audit</t>
  </si>
  <si>
    <t>Calculation QA &amp; Audit Analyst</t>
  </si>
  <si>
    <t>H2 total</t>
  </si>
  <si>
    <t>H3</t>
  </si>
  <si>
    <t>Regulatory / Compliance Support</t>
  </si>
  <si>
    <t>Compliance &amp; Regulatory Analyst (Fee &amp; Commission Rules)</t>
  </si>
  <si>
    <t>H3 total</t>
  </si>
  <si>
    <t>H4</t>
  </si>
  <si>
    <t>Architecture &amp; Governance</t>
  </si>
  <si>
    <t>Domain Delivery Head</t>
  </si>
  <si>
    <t>Chief Fee Systems Architect (MetLife)</t>
  </si>
  <si>
    <t>H4 total</t>
  </si>
  <si>
    <t>Year 1 horizontal total</t>
  </si>
  <si>
    <t>Year 2 horizontal total</t>
  </si>
  <si>
    <t>Year 3 horizontal total</t>
  </si>
  <si>
    <t>Team build-up  —  headcount, sourcing, location, experience and skill, all derived from the seat ledger</t>
  </si>
  <si>
    <t>Nothing on this sheet is typed. Change a seat on Pod Library or a pod count on Pod Plan and every figure here moves.</t>
  </si>
  <si>
    <t>A.  POD SIZES  (read from the Pod Library)</t>
  </si>
  <si>
    <t>Pod size (avg per VS running that pod type — CO: 2, FS: 3)</t>
  </si>
  <si>
    <t>Y1 co-src</t>
  </si>
  <si>
    <t>Y1 full-src</t>
  </si>
  <si>
    <t>Y2 co-src</t>
  </si>
  <si>
    <t>Y2 full-src</t>
  </si>
  <si>
    <t>Y3 co-src</t>
  </si>
  <si>
    <t>Y3 full-src</t>
  </si>
  <si>
    <t>Seats per pod</t>
  </si>
  <si>
    <t>B.  HEADCOUNT</t>
  </si>
  <si>
    <t>Measure</t>
  </si>
  <si>
    <t>People in value-stream pods</t>
  </si>
  <si>
    <t>People in horizontal teams</t>
  </si>
  <si>
    <t>TOTAL PEOPLE</t>
  </si>
  <si>
    <t>Number of pods</t>
  </si>
  <si>
    <t>Average pod size</t>
  </si>
  <si>
    <t>C.  SOURCING  —  before any transfer of employment</t>
  </si>
  <si>
    <t>Capgemini (FTC)</t>
  </si>
  <si>
    <t>MetLife Japan (FTE)</t>
  </si>
  <si>
    <t>MetLife MGCC (Hyderabad)</t>
  </si>
  <si>
    <t>Check — sums to total</t>
  </si>
  <si>
    <t>D.  LOCATION</t>
  </si>
  <si>
    <t>Offshore share  (delivered, bottom-up)</t>
  </si>
  <si>
    <t>E.  EXPERIENCE MIX  —  built grounds-up from named seats, not applied as a percentage</t>
  </si>
  <si>
    <t>Experience band</t>
  </si>
  <si>
    <t>Y1 %</t>
  </si>
  <si>
    <t>Y2 %</t>
  </si>
  <si>
    <t>Y3 %</t>
  </si>
  <si>
    <t>E1  Associate  0-3 years</t>
  </si>
  <si>
    <t>E2  Engineer  3-6 years</t>
  </si>
  <si>
    <t>E3  Senior  6-10 years</t>
  </si>
  <si>
    <t>E4  Lead / specialist  10-15 years</t>
  </si>
  <si>
    <t>E5  Principal / architect  15 years+</t>
  </si>
  <si>
    <t>Talent shape</t>
  </si>
  <si>
    <t>Senior share  (E4 + E5)</t>
  </si>
  <si>
    <t>F.  SKILL DISTRIBUTION  —  also grounds-up</t>
  </si>
  <si>
    <t>Skill family</t>
  </si>
  <si>
    <t>Leadership &amp; delivery management</t>
  </si>
  <si>
    <t>Business analysis &amp; domain</t>
  </si>
  <si>
    <t>Development</t>
  </si>
  <si>
    <t>Engineering, AI &amp; platform</t>
  </si>
  <si>
    <t>Test &amp; quality engineering</t>
  </si>
  <si>
    <t>Operations &amp; production support</t>
  </si>
  <si>
    <t>G.  BY VALUE STREAM AND HORIZONTAL TEAM</t>
  </si>
  <si>
    <t>Unit</t>
  </si>
  <si>
    <t>Y1 pods</t>
  </si>
  <si>
    <t>Y3 pods</t>
  </si>
  <si>
    <t>VS1  Policy Administration &amp; Contract Servicing</t>
  </si>
  <si>
    <t>VS2  Billing, Collections &amp; Payments</t>
  </si>
  <si>
    <t>VS3  Agency &amp; Commission</t>
  </si>
  <si>
    <t>VS4  Correspondence, Documents &amp; Tax</t>
  </si>
  <si>
    <t>VS5  New Business, Underwriting &amp; Interfaces</t>
  </si>
  <si>
    <t>VS6  Finance, Valuation &amp; Reinsurance</t>
  </si>
  <si>
    <t>H1  Production &amp; Batch Operations Command</t>
  </si>
  <si>
    <t>H2  Quality Engineering &amp; Test Data Factory</t>
  </si>
  <si>
    <t>H3  Domain Architecture, Release Train &amp; Governance</t>
  </si>
  <si>
    <t>TOTAL</t>
  </si>
  <si>
    <t>Glidepath  —  target from the logic tree, delivered from the pod design, and the transfer needed for 50:50</t>
  </si>
  <si>
    <t>The tree says what the archetype mix should allow. The pod design says what we have actually staffed to. The gap is transition drag.</t>
  </si>
  <si>
    <t>A.  BASELINE  —  MetLife current state for this domain</t>
  </si>
  <si>
    <t>Value</t>
  </si>
  <si>
    <t>Current Capgemini FTC</t>
  </si>
  <si>
    <t>Current MetLife FTE</t>
  </si>
  <si>
    <t>Current MetLife MGCC</t>
  </si>
  <si>
    <t>MetLife Appendix 3 Year-3 target FTC</t>
  </si>
  <si>
    <t>Implied MetLife productivity assumption</t>
  </si>
  <si>
    <t>Appendix 3 v2 halves every application and leaves the portfolio unchanged, so it assumes zero productivity.</t>
  </si>
  <si>
    <t>B.  PRODUCTIVITY  —  target vs delivered</t>
  </si>
  <si>
    <t>Headcount delivered by the pod design</t>
  </si>
  <si>
    <t>Year 1 absorbs the whole of the drag: knowledge acquisition, substrate build and dual running are real work that consumes the productivity earned.</t>
  </si>
  <si>
    <t>Delivered productivity vs baseline</t>
  </si>
  <si>
    <t>Target productivity from the logic tree</t>
  </si>
  <si>
    <t>Transition &amp; enablement drag  (target less delivered)</t>
  </si>
  <si>
    <t>C.  OFFSHORE  —  target vs delivered</t>
  </si>
  <si>
    <t>Delivered offshore share (bottom-up from seats)</t>
  </si>
  <si>
    <t>Target offshore share from the logic tree</t>
  </si>
  <si>
    <t>Variance</t>
  </si>
  <si>
    <t>D.  THE 50:50 SOLVE</t>
  </si>
  <si>
    <t>Productivity shrinks the Capgemini side and the MetLife side together, so it cannot move the ratio. Only transfer of employment can.</t>
  </si>
  <si>
    <t>Total people</t>
  </si>
  <si>
    <t>Capgemini FTC before transfer</t>
  </si>
  <si>
    <t>MetLife FTE before transfer</t>
  </si>
  <si>
    <t>MetLife MGCC before transfer</t>
  </si>
  <si>
    <t>Ratio before transfer  FTC : MetLife</t>
  </si>
  <si>
    <t>Transferred to MetLife FTE this year</t>
  </si>
  <si>
    <t>Transferred to MetLife MGCC this year</t>
  </si>
  <si>
    <t>Capgemini FTC after transfer</t>
  </si>
  <si>
    <t>MetLife side after transfer</t>
  </si>
  <si>
    <t>RATIO ACHIEVED  —  Capgemini share</t>
  </si>
  <si>
    <t>A negative shortfall means the plan transfers more than 50:50 requires.</t>
  </si>
  <si>
    <t>Transfer required for exactly 50:50 (cumulative)</t>
  </si>
  <si>
    <t>Shortfall against 50:50</t>
  </si>
  <si>
    <t>Of the fall in the Capgemini population from Year 1 to Year 3:</t>
  </si>
  <si>
    <t xml:space="preserve">  attributable to productivity and offshore mix</t>
  </si>
  <si>
    <t>Transfer moves revenue rather than creating efficiency. It has to be priced separately.</t>
  </si>
  <si>
    <t xml:space="preserve">  attributable to transfer of employment</t>
  </si>
  <si>
    <t xml:space="preserve">  total reduction in Capgemini headcount</t>
  </si>
  <si>
    <t>Cost and commercial position  —  relative index only, pending the approved rate card</t>
  </si>
  <si>
    <t>Onshore Tokyo band E2 = 1.00. Every figure moves if the cost index on the Logic Tree changes.</t>
  </si>
  <si>
    <t>A.  TOTAL COST OF DELIVERING THE DOMAIN  (MetLife view — all three sourcing types)</t>
  </si>
  <si>
    <t>Total cost index</t>
  </si>
  <si>
    <t>Headcount</t>
  </si>
  <si>
    <t>Average cost per head</t>
  </si>
  <si>
    <t>Watch this line. Average cost per head falls in Year 2 on offshore leverage, then rises in Year 3 as juniors leave and the shape turns obelisk.</t>
  </si>
  <si>
    <t>Cost per unit of original scope</t>
  </si>
  <si>
    <t>Unit cost reduction vs Year 1</t>
  </si>
  <si>
    <t>This is the number to quote commercially, not the headcount reduction.</t>
  </si>
  <si>
    <t>B.  CAPGEMINI BILLABLE POSITION  (after transfer of employment)</t>
  </si>
  <si>
    <t>Capgemini heads billed</t>
  </si>
  <si>
    <t>Capgemini cost index (approximate — transfers assumed at average band)</t>
  </si>
  <si>
    <t>Capgemini position vs Year 1</t>
  </si>
  <si>
    <t>The Capgemini revenue base falls far faster than the domain cost base. Productivity plus transfer, compounding in the same direction.</t>
  </si>
  <si>
    <t>C.  COST BY LOCATION AND BY EXPERIENCE BAND</t>
  </si>
  <si>
    <t>Split</t>
  </si>
  <si>
    <t>Onshore Tokyo — cost index</t>
  </si>
  <si>
    <t>Offshore Hyderabad — cost index</t>
  </si>
  <si>
    <t>Onshore share of cost</t>
  </si>
  <si>
    <t>E1 — cost index</t>
  </si>
  <si>
    <t>E2 — cost index</t>
  </si>
  <si>
    <t>E3 — cost index</t>
  </si>
  <si>
    <t>E4 — cost index</t>
  </si>
  <si>
    <t>E5 — cost index</t>
  </si>
  <si>
    <t>D.  WHAT THIS MEANS FOR THE PRICING SUBMISSION</t>
  </si>
  <si>
    <r>
      <rPr>
        <sz val="10"/>
        <rFont val="Arial"/>
        <charset val="1"/>
      </rPr>
      <t xml:space="preserve">•  Appendix 5 is priced by </t>
    </r>
    <r>
      <rPr>
        <sz val="10"/>
        <rFont val="Noto Sans CJK SC"/>
        <family val="2"/>
        <charset val="1"/>
      </rPr>
      <t>領域</t>
    </r>
    <r>
      <rPr>
        <sz val="10"/>
        <rFont val="Arial"/>
        <charset val="1"/>
      </rPr>
      <t>. Contract Management is 99.4% archetype D, the hardest archetype in the portfolio.</t>
    </r>
  </si>
  <si>
    <t>•  The portfolio-wide productivity commitment cannot be applied uniformly across domains. Applying it here under-prices this domain.</t>
  </si>
  <si>
    <t>•  Transfer of employment is a commercial event, not a delivery efficiency. Price the transition and the substrate build in Years 1 and 2, when the revenue is still there.</t>
  </si>
  <si>
    <t>•  The Year 3 exit revenue for this domain is roughly a third of Day 1. Everything that has to be recovered must be recovered early.</t>
  </si>
  <si>
    <t>POD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</si>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</sst>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13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8.5"/>
      <color rgb="FF595959"/>
      <name val="Arial"/>
      <charset val="1"/>
    </font>
    <font>
      <b/>
      <sz val="11"/>
      <color rgb="FF00385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Noto Sans CJK SC"/>
      <family val="2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sz val="11"/>
      <name val="Calibri"/>
      <charset val="1"/>
    </font>
    <font>
      <b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385F"/>
        <bgColor rgb="FF003300"/>
      </patternFill>
    </fill>
    <fill>
      <patternFill patternType="solid">
        <fgColor rgb="FFDCEEF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0090DA"/>
        <bgColor rgb="FF008080"/>
      </patternFill>
    </fill>
    <fill>
      <patternFill patternType="solid">
        <fgColor rgb="FFF2F2F2"/>
        <bgColor rgb="FFDCEE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/>
    <xf numFmtId="0" fontId="3" fillId="3" borderId="0" xfId="0" applyFont="1" applyFill="1" applyAlignment="1">
      <alignment vertical="center" indent="1"/>
    </xf>
    <xf numFmtId="0" fontId="5" fillId="0" borderId="1" xfId="0" applyFont="1" applyBorder="1" applyAlignment="1">
      <alignment vertical="center" wrapText="1"/>
    </xf>
    <xf numFmtId="0" fontId="2" fillId="0" borderId="0" xfId="0" applyFont="1" applyAlignment="1">
      <alignment indent="1"/>
    </xf>
    <xf numFmtId="0" fontId="1" fillId="2" borderId="0" xfId="0" applyFont="1" applyFill="1" applyAlignment="1">
      <alignment vertical="center" inden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2" fillId="0" borderId="1" xfId="0" applyFont="1" applyBorder="1"/>
    <xf numFmtId="0" fontId="7" fillId="4" borderId="1" xfId="0" applyFont="1" applyFill="1" applyBorder="1"/>
    <xf numFmtId="0" fontId="2" fillId="0" borderId="0" xfId="0" applyFont="1"/>
    <xf numFmtId="0" fontId="5" fillId="0" borderId="1" xfId="0" applyFont="1" applyBorder="1"/>
    <xf numFmtId="3" fontId="8" fillId="0" borderId="1" xfId="0" applyNumberFormat="1" applyFont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0" fontId="9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9" fontId="0" fillId="0" borderId="0" xfId="0" applyNumberFormat="1"/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3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3" fillId="0" borderId="0" xfId="0" applyFont="1"/>
    <xf numFmtId="164" fontId="9" fillId="5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/>
    </xf>
    <xf numFmtId="0" fontId="12" fillId="6" borderId="1" xfId="0" applyFont="1" applyFill="1" applyBorder="1"/>
    <xf numFmtId="3" fontId="12" fillId="6" borderId="1" xfId="0" applyNumberFormat="1" applyFont="1" applyFill="1" applyBorder="1" applyAlignment="1">
      <alignment horizontal="center" vertical="center"/>
    </xf>
    <xf numFmtId="0" fontId="11" fillId="0" borderId="0" xfId="0" applyFont="1"/>
    <xf numFmtId="3" fontId="4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0" fontId="11" fillId="0" borderId="1" xfId="0" applyFont="1" applyBorder="1"/>
    <xf numFmtId="3" fontId="4" fillId="6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0DA"/>
      <rgbColor rgb="FFBFBFBF"/>
      <rgbColor rgb="FF808080"/>
      <rgbColor rgb="FF9999FF"/>
      <rgbColor rgb="FF993366"/>
      <rgbColor rgb="FFFFF2CC"/>
      <rgbColor rgb="FFDCEE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8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Normal="100" workbookViewId="0">
      <selection activeCell="C9" sqref="C9"/>
    </sheetView>
  </sheetViews>
  <sheetFormatPr defaultColWidth="8.6328125" defaultRowHeight="14.5"/>
  <cols>
    <col min="1" max="1" width="3" customWidth="1"/>
    <col min="2" max="2" width="26" customWidth="1"/>
    <col min="3" max="3" width="92" customWidth="1"/>
  </cols>
  <sheetData>
    <row r="1" spans="1:8" ht="25.5" customHeight="1">
      <c r="A1" s="5" t="s">
        <v>0</v>
      </c>
      <c r="B1" s="5"/>
      <c r="C1" s="5"/>
      <c r="D1" s="5"/>
      <c r="E1" s="5"/>
      <c r="F1" s="5"/>
      <c r="G1" s="5"/>
      <c r="H1" s="5"/>
    </row>
    <row r="2" spans="1:8" ht="14.25" customHeight="1">
      <c r="A2" s="4" t="s">
        <v>1</v>
      </c>
      <c r="B2" s="4"/>
      <c r="C2" s="4"/>
      <c r="D2" s="4"/>
      <c r="E2" s="4"/>
      <c r="F2" s="4"/>
      <c r="G2" s="4"/>
      <c r="H2" s="4"/>
    </row>
    <row r="4" spans="1:8" ht="18.75" customHeight="1">
      <c r="A4" s="2" t="s">
        <v>2</v>
      </c>
      <c r="B4" s="2"/>
      <c r="C4" s="2"/>
    </row>
    <row r="5" spans="1:8" ht="25.5" customHeight="1">
      <c r="B5" s="6" t="s">
        <v>3</v>
      </c>
      <c r="C5" s="7" t="s">
        <v>4</v>
      </c>
    </row>
    <row r="6" spans="1:8" ht="25.5" customHeight="1">
      <c r="B6" s="6" t="s">
        <v>5</v>
      </c>
      <c r="C6" s="7" t="s">
        <v>6</v>
      </c>
    </row>
    <row r="7" spans="1:8" ht="25.5" customHeight="1">
      <c r="B7" s="6" t="s">
        <v>7</v>
      </c>
      <c r="C7" s="7" t="s">
        <v>8</v>
      </c>
    </row>
    <row r="8" spans="1:8" ht="18.75" customHeight="1">
      <c r="A8" s="2" t="s">
        <v>9</v>
      </c>
      <c r="B8" s="2"/>
      <c r="C8" s="2"/>
    </row>
    <row r="9" spans="1:8" ht="25.5" customHeight="1">
      <c r="B9" s="6" t="s">
        <v>10</v>
      </c>
      <c r="C9" s="7" t="s">
        <v>11</v>
      </c>
    </row>
    <row r="10" spans="1:8" ht="25.5" customHeight="1">
      <c r="B10" s="6" t="s">
        <v>12</v>
      </c>
      <c r="C10" s="7" t="s">
        <v>13</v>
      </c>
    </row>
    <row r="11" spans="1:8" ht="25.5" customHeight="1">
      <c r="B11" s="6" t="s">
        <v>14</v>
      </c>
      <c r="C11" s="7" t="s">
        <v>15</v>
      </c>
    </row>
    <row r="12" spans="1:8" ht="25.5" customHeight="1">
      <c r="B12" s="6" t="s">
        <v>16</v>
      </c>
      <c r="C12" s="7" t="s">
        <v>17</v>
      </c>
    </row>
    <row r="13" spans="1:8" ht="18.75" customHeight="1">
      <c r="A13" s="2" t="s">
        <v>18</v>
      </c>
      <c r="B13" s="2"/>
      <c r="C13" s="2"/>
    </row>
    <row r="14" spans="1:8" ht="25.5" customHeight="1">
      <c r="B14" s="6" t="s">
        <v>19</v>
      </c>
      <c r="C14" s="7" t="s">
        <v>20</v>
      </c>
    </row>
    <row r="15" spans="1:8" ht="25.5" customHeight="1">
      <c r="B15" s="6" t="s">
        <v>21</v>
      </c>
      <c r="C15" s="7" t="s">
        <v>22</v>
      </c>
    </row>
    <row r="16" spans="1:8" ht="25.5" customHeight="1">
      <c r="B16" s="6" t="s">
        <v>23</v>
      </c>
      <c r="C16" s="7" t="s">
        <v>24</v>
      </c>
    </row>
    <row r="17" spans="1:3" ht="25.5" customHeight="1">
      <c r="B17" s="6" t="s">
        <v>25</v>
      </c>
      <c r="C17" s="7" t="s">
        <v>26</v>
      </c>
    </row>
    <row r="18" spans="1:3" ht="25.5" customHeight="1">
      <c r="B18" s="6" t="s">
        <v>27</v>
      </c>
      <c r="C18" s="7" t="s">
        <v>28</v>
      </c>
    </row>
    <row r="19" spans="1:3" ht="25.5" customHeight="1">
      <c r="B19" s="6" t="s">
        <v>29</v>
      </c>
      <c r="C19" s="7" t="s">
        <v>30</v>
      </c>
    </row>
    <row r="20" spans="1:3" ht="25.5" customHeight="1">
      <c r="B20" s="6" t="s">
        <v>31</v>
      </c>
      <c r="C20" s="7" t="s">
        <v>32</v>
      </c>
    </row>
    <row r="21" spans="1:3" ht="25.5" customHeight="1">
      <c r="B21" s="6" t="s">
        <v>33</v>
      </c>
      <c r="C21" s="7" t="s">
        <v>34</v>
      </c>
    </row>
    <row r="22" spans="1:3" ht="25.5" customHeight="1">
      <c r="B22" s="6" t="s">
        <v>35</v>
      </c>
      <c r="C22" s="7" t="s">
        <v>36</v>
      </c>
    </row>
    <row r="23" spans="1:3" ht="25.5" customHeight="1">
      <c r="B23" s="6" t="s">
        <v>37</v>
      </c>
      <c r="C23" s="7" t="s">
        <v>38</v>
      </c>
    </row>
    <row r="24" spans="1:3" ht="18.75" customHeight="1">
      <c r="A24" s="2" t="s">
        <v>39</v>
      </c>
      <c r="B24" s="2"/>
      <c r="C24" s="2"/>
    </row>
    <row r="25" spans="1:3" ht="25.5" customHeight="1">
      <c r="B25" s="6" t="s">
        <v>40</v>
      </c>
      <c r="C25" s="7" t="s">
        <v>41</v>
      </c>
    </row>
    <row r="26" spans="1:3" ht="25.5" customHeight="1">
      <c r="B26" s="6" t="s">
        <v>42</v>
      </c>
      <c r="C26" s="7" t="s">
        <v>43</v>
      </c>
    </row>
    <row r="27" spans="1:3" ht="25.5" customHeight="1">
      <c r="B27" s="6" t="s">
        <v>44</v>
      </c>
      <c r="C27" s="7" t="s">
        <v>45</v>
      </c>
    </row>
    <row r="28" spans="1:3" ht="25.5" customHeight="1">
      <c r="B28" s="6" t="s">
        <v>46</v>
      </c>
      <c r="C28" s="7" t="s">
        <v>47</v>
      </c>
    </row>
    <row r="30" spans="1:3" ht="14.25" customHeight="1">
      <c r="B30" s="8" t="s">
        <v>48</v>
      </c>
      <c r="C30" s="9" t="s">
        <v>49</v>
      </c>
    </row>
  </sheetData>
  <mergeCells count="6">
    <mergeCell ref="A24:C24"/>
    <mergeCell ref="A1:H1"/>
    <mergeCell ref="A2:H2"/>
    <mergeCell ref="A4:C4"/>
    <mergeCell ref="A8:C8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"/>
  <sheetViews>
    <sheetView zoomScaleNormal="100" workbookViewId="0">
      <selection activeCell="C8" sqref="C8"/>
    </sheetView>
  </sheetViews>
  <sheetFormatPr defaultColWidth="8.6328125" defaultRowHeight="14.5"/>
  <cols>
    <col min="1" max="1" width="2" customWidth="1"/>
    <col min="2" max="2" width="39.26953125" customWidth="1"/>
    <col min="3" max="3" width="62" customWidth="1"/>
    <col min="4" max="8" width="13" customWidth="1"/>
    <col min="9" max="9" width="40" customWidth="1"/>
  </cols>
  <sheetData>
    <row r="1" spans="1:10" ht="25.5" customHeight="1">
      <c r="A1" s="5" t="s">
        <v>50</v>
      </c>
      <c r="B1" s="5"/>
      <c r="C1" s="5"/>
      <c r="D1" s="5"/>
      <c r="E1" s="5"/>
      <c r="F1" s="5"/>
      <c r="G1" s="5"/>
      <c r="H1" s="5"/>
      <c r="I1" s="5"/>
      <c r="J1" s="5"/>
    </row>
    <row r="2" spans="1:10" ht="14.25" customHeight="1">
      <c r="A2" s="4" t="s">
        <v>51</v>
      </c>
      <c r="B2" s="4"/>
      <c r="C2" s="4"/>
      <c r="D2" s="4"/>
      <c r="E2" s="4"/>
      <c r="F2" s="4"/>
      <c r="G2" s="4"/>
      <c r="H2" s="4"/>
      <c r="I2" s="4"/>
      <c r="J2" s="4"/>
    </row>
    <row r="4" spans="1:10" ht="18.75" customHeight="1">
      <c r="A4" s="2" t="s">
        <v>52</v>
      </c>
      <c r="B4" s="2"/>
      <c r="C4" s="2"/>
      <c r="D4" s="2"/>
      <c r="E4" s="2"/>
      <c r="F4" s="2"/>
      <c r="G4" s="2"/>
      <c r="H4" s="2"/>
      <c r="I4" s="2"/>
    </row>
    <row r="5" spans="1:10" ht="14.25" customHeight="1">
      <c r="B5" s="8" t="s">
        <v>53</v>
      </c>
      <c r="C5" s="10" t="s">
        <v>54</v>
      </c>
      <c r="I5" s="11" t="s">
        <v>55</v>
      </c>
    </row>
    <row r="6" spans="1:10" ht="14.25" customHeight="1">
      <c r="B6" s="12" t="s">
        <v>56</v>
      </c>
      <c r="C6" s="13">
        <f>SUMIFS(Inventory!$U:$U,Inventory!$E:$E,$C$5)</f>
        <v>5</v>
      </c>
    </row>
    <row r="7" spans="1:10" ht="14.25" customHeight="1">
      <c r="B7" s="12" t="s">
        <v>57</v>
      </c>
      <c r="C7" s="14">
        <f>SUMIFS(Inventory!$AD:$AD,Inventory!$E:$E,$C$5)</f>
        <v>48.510291666666731</v>
      </c>
    </row>
    <row r="8" spans="1:10" ht="14.25" customHeight="1">
      <c r="B8" s="12" t="s">
        <v>58</v>
      </c>
      <c r="C8" s="14">
        <f>SUMIFS(Inventory!$AA:$AA,Inventory!$E:$E,$C$5)</f>
        <v>38.14779166666667</v>
      </c>
    </row>
    <row r="9" spans="1:10" ht="14.25" customHeight="1">
      <c r="B9" s="12" t="s">
        <v>59</v>
      </c>
      <c r="C9" s="14">
        <f>SUMIFS(Inventory!$AB:$AB,Inventory!$E:$E,$C$5)</f>
        <v>9.7791666666666632</v>
      </c>
    </row>
    <row r="10" spans="1:10" ht="14.25" customHeight="1">
      <c r="B10" s="12" t="s">
        <v>60</v>
      </c>
      <c r="C10" s="14">
        <f>SUMIFS(Inventory!$AC:$AC,Inventory!$E:$E,$C$5)</f>
        <v>0.58333333333333304</v>
      </c>
    </row>
    <row r="11" spans="1:10" ht="14.25" customHeight="1">
      <c r="B11" s="12" t="s">
        <v>61</v>
      </c>
      <c r="C11" s="14">
        <f>SUMIFS(Inventory!$AF:$AF,Inventory!$E:$E,$C$5)</f>
        <v>43.118625000000051</v>
      </c>
    </row>
    <row r="12" spans="1:10" ht="14.25" customHeight="1">
      <c r="B12" s="12" t="s">
        <v>62</v>
      </c>
      <c r="C12" s="14">
        <f>C7-C11</f>
        <v>5.3916666666666799</v>
      </c>
    </row>
    <row r="13" spans="1:10" ht="14.25" customHeight="1">
      <c r="B13" s="12" t="s">
        <v>63</v>
      </c>
      <c r="C13" s="15">
        <f>IF(C7=0,0,C11/C7)</f>
        <v>0.88885519997045292</v>
      </c>
    </row>
    <row r="15" spans="1:10" ht="18.75" customHeight="1">
      <c r="A15" s="2" t="s">
        <v>64</v>
      </c>
      <c r="B15" s="2"/>
      <c r="C15" s="2"/>
      <c r="D15" s="2"/>
      <c r="E15" s="2"/>
      <c r="F15" s="2"/>
      <c r="G15" s="2"/>
      <c r="H15" s="2"/>
      <c r="I15" s="2"/>
    </row>
    <row r="16" spans="1:10" ht="27.75" customHeight="1">
      <c r="B16" s="16" t="s">
        <v>65</v>
      </c>
      <c r="C16" s="16" t="s">
        <v>66</v>
      </c>
      <c r="D16" s="16" t="s">
        <v>67</v>
      </c>
      <c r="E16" s="16" t="s">
        <v>68</v>
      </c>
      <c r="F16" s="16" t="s">
        <v>69</v>
      </c>
    </row>
    <row r="17" spans="1:9" ht="14.25" customHeight="1">
      <c r="B17" s="17" t="s">
        <v>70</v>
      </c>
      <c r="C17" s="12" t="s">
        <v>71</v>
      </c>
      <c r="D17" s="18">
        <f>SUMIFS(Inventory!$U:$U,Inventory!$E:$E,$C$5,Inventory!$AG:$AG,$B17)</f>
        <v>2</v>
      </c>
      <c r="E17" s="19">
        <f>SUMIFS(Inventory!$AD:$AD,Inventory!$E:$E,$C$5,Inventory!$AG:$AG,$B17)</f>
        <v>29.235291666666701</v>
      </c>
      <c r="F17" s="20">
        <f>IF($C$7=0,0,E17/$C$7)</f>
        <v>0.60266163451569976</v>
      </c>
    </row>
    <row r="18" spans="1:9" ht="14.25" customHeight="1">
      <c r="B18" s="17" t="s">
        <v>72</v>
      </c>
      <c r="C18" s="12" t="s">
        <v>73</v>
      </c>
      <c r="D18" s="18">
        <f>SUMIFS(Inventory!$U:$U,Inventory!$E:$E,$C$5,Inventory!$AG:$AG,$B18)</f>
        <v>3</v>
      </c>
      <c r="E18" s="19">
        <f>SUMIFS(Inventory!$AD:$AD,Inventory!$E:$E,$C$5,Inventory!$AG:$AG,$B18)</f>
        <v>19.275000000000027</v>
      </c>
      <c r="F18" s="20">
        <f>IF($C$7=0,0,E18/$C$7)</f>
        <v>0.39733836548430018</v>
      </c>
    </row>
    <row r="19" spans="1:9" ht="14.25" customHeight="1">
      <c r="B19" s="17" t="s">
        <v>74</v>
      </c>
      <c r="C19" s="12" t="s">
        <v>75</v>
      </c>
      <c r="D19" s="18">
        <f>SUMIFS(Inventory!$U:$U,Inventory!$E:$E,$C$5,Inventory!$AG:$AG,$B19)</f>
        <v>0</v>
      </c>
      <c r="E19" s="19">
        <f>SUMIFS(Inventory!$AD:$AD,Inventory!$E:$E,$C$5,Inventory!$AG:$AG,$B19)</f>
        <v>0</v>
      </c>
      <c r="F19" s="20">
        <f>IF($C$7=0,0,E19/$C$7)</f>
        <v>0</v>
      </c>
    </row>
    <row r="20" spans="1:9" ht="14.25" customHeight="1">
      <c r="B20" s="17" t="s">
        <v>76</v>
      </c>
      <c r="C20" s="12" t="s">
        <v>77</v>
      </c>
      <c r="D20" s="18">
        <f>SUMIFS(Inventory!$U:$U,Inventory!$E:$E,$C$5,Inventory!$AG:$AG,$B20)</f>
        <v>0</v>
      </c>
      <c r="E20" s="19">
        <f>SUMIFS(Inventory!$AD:$AD,Inventory!$E:$E,$C$5,Inventory!$AG:$AG,$B20)</f>
        <v>0</v>
      </c>
      <c r="F20" s="20">
        <f>IF($C$7=0,0,E20/$C$7)</f>
        <v>0</v>
      </c>
    </row>
    <row r="21" spans="1:9" ht="14.25" customHeight="1">
      <c r="B21" s="8" t="s">
        <v>78</v>
      </c>
      <c r="C21" s="12"/>
      <c r="D21" s="21">
        <f>SUM(D17:D20)</f>
        <v>5</v>
      </c>
      <c r="E21" s="22">
        <f>SUM(E17:E20)</f>
        <v>48.510291666666731</v>
      </c>
      <c r="F21" s="23">
        <f>SUM(F17:F20)</f>
        <v>1</v>
      </c>
    </row>
    <row r="23" spans="1:9" ht="18.75" customHeight="1">
      <c r="A23" s="2" t="s">
        <v>79</v>
      </c>
      <c r="B23" s="2"/>
      <c r="C23" s="2"/>
      <c r="D23" s="2"/>
      <c r="E23" s="2"/>
      <c r="F23" s="2"/>
      <c r="G23" s="2"/>
      <c r="H23" s="2"/>
      <c r="I23" s="2"/>
    </row>
    <row r="24" spans="1:9" ht="27.75" customHeight="1">
      <c r="B24" s="16" t="s">
        <v>80</v>
      </c>
      <c r="C24" s="16" t="s">
        <v>69</v>
      </c>
    </row>
    <row r="25" spans="1:9" ht="14.25" customHeight="1">
      <c r="B25" s="12" t="s">
        <v>81</v>
      </c>
      <c r="C25" s="24">
        <v>0.15</v>
      </c>
    </row>
    <row r="26" spans="1:9" ht="14.25" customHeight="1">
      <c r="B26" s="12" t="s">
        <v>82</v>
      </c>
      <c r="C26" s="24">
        <v>0.1</v>
      </c>
    </row>
    <row r="27" spans="1:9" ht="14.25" customHeight="1">
      <c r="B27" s="12" t="s">
        <v>83</v>
      </c>
      <c r="C27" s="24">
        <v>0.3</v>
      </c>
    </row>
    <row r="28" spans="1:9" ht="14.25" customHeight="1">
      <c r="B28" s="12" t="s">
        <v>84</v>
      </c>
      <c r="C28" s="24">
        <v>0.25</v>
      </c>
    </row>
    <row r="29" spans="1:9" ht="14.25" customHeight="1">
      <c r="B29" s="12" t="s">
        <v>85</v>
      </c>
      <c r="C29" s="24">
        <v>0.05</v>
      </c>
    </row>
    <row r="30" spans="1:9" ht="14.25" customHeight="1">
      <c r="B30" s="12" t="s">
        <v>86</v>
      </c>
      <c r="C30" s="24">
        <v>0.15</v>
      </c>
    </row>
    <row r="31" spans="1:9" ht="14.25" customHeight="1">
      <c r="B31" s="8" t="s">
        <v>87</v>
      </c>
      <c r="C31" s="23">
        <f>SUM(C25:C30)</f>
        <v>1</v>
      </c>
    </row>
    <row r="33" spans="1:9" ht="18.75" customHeight="1">
      <c r="A33" s="2" t="s">
        <v>88</v>
      </c>
      <c r="B33" s="2"/>
      <c r="C33" s="2"/>
      <c r="D33" s="2"/>
      <c r="E33" s="2"/>
      <c r="F33" s="2"/>
      <c r="G33" s="2"/>
      <c r="H33" s="2"/>
      <c r="I33" s="2"/>
    </row>
    <row r="34" spans="1:9" ht="14.25" customHeight="1">
      <c r="B34" s="11" t="s">
        <v>89</v>
      </c>
    </row>
    <row r="35" spans="1:9" ht="27.75" customHeight="1">
      <c r="B35" s="16" t="s">
        <v>80</v>
      </c>
      <c r="C35" s="16" t="s">
        <v>70</v>
      </c>
      <c r="D35" s="16" t="s">
        <v>72</v>
      </c>
      <c r="E35" s="16" t="s">
        <v>74</v>
      </c>
      <c r="F35" s="16" t="s">
        <v>76</v>
      </c>
    </row>
    <row r="36" spans="1:9" ht="14.25" customHeight="1">
      <c r="B36" s="12" t="s">
        <v>81</v>
      </c>
      <c r="C36" s="24">
        <v>0.22</v>
      </c>
      <c r="D36" s="24">
        <v>0.35</v>
      </c>
      <c r="E36" s="24">
        <v>0.35</v>
      </c>
      <c r="F36" s="24">
        <v>0.35</v>
      </c>
    </row>
    <row r="37" spans="1:9" ht="14.25" customHeight="1">
      <c r="B37" s="12" t="s">
        <v>82</v>
      </c>
      <c r="C37" s="24">
        <v>0.2</v>
      </c>
      <c r="D37" s="24">
        <v>0.3</v>
      </c>
      <c r="E37" s="24">
        <v>0.3</v>
      </c>
      <c r="F37" s="24">
        <v>0.22</v>
      </c>
      <c r="G37" s="25"/>
    </row>
    <row r="38" spans="1:9" ht="14.25" customHeight="1">
      <c r="B38" s="12" t="s">
        <v>83</v>
      </c>
      <c r="C38" s="24">
        <v>0.32</v>
      </c>
      <c r="D38" s="24">
        <v>0.55000000000000004</v>
      </c>
      <c r="E38" s="24">
        <v>0.5</v>
      </c>
      <c r="F38" s="24">
        <v>0.2</v>
      </c>
    </row>
    <row r="39" spans="1:9" ht="14.25" customHeight="1">
      <c r="B39" s="12" t="s">
        <v>84</v>
      </c>
      <c r="C39" s="24">
        <v>0.38</v>
      </c>
      <c r="D39" s="24">
        <v>0.6</v>
      </c>
      <c r="E39" s="24">
        <v>0.55000000000000004</v>
      </c>
      <c r="F39" s="24">
        <v>0.4</v>
      </c>
    </row>
    <row r="40" spans="1:9" ht="14.25" customHeight="1">
      <c r="B40" s="12" t="s">
        <v>85</v>
      </c>
      <c r="C40" s="24">
        <v>0.3</v>
      </c>
      <c r="D40" s="24">
        <v>0.5</v>
      </c>
      <c r="E40" s="24">
        <v>0.45</v>
      </c>
      <c r="F40" s="24">
        <v>0.25</v>
      </c>
    </row>
    <row r="41" spans="1:9" ht="14.25" customHeight="1">
      <c r="B41" s="12" t="s">
        <v>86</v>
      </c>
      <c r="C41" s="24">
        <v>0.3</v>
      </c>
      <c r="D41" s="24">
        <v>0.4</v>
      </c>
      <c r="E41" s="24">
        <v>0.4</v>
      </c>
      <c r="F41" s="24">
        <v>0.32</v>
      </c>
    </row>
    <row r="42" spans="1:9" ht="14.25" customHeight="1">
      <c r="B42" s="8" t="s">
        <v>90</v>
      </c>
      <c r="C42" s="23">
        <f>SUMPRODUCT($C$25:$C$30,C36:C41)</f>
        <v>0.30399999999999999</v>
      </c>
      <c r="D42" s="23">
        <f>SUMPRODUCT($C$25:$C$30,D36:D41)</f>
        <v>0.48249999999999998</v>
      </c>
      <c r="E42" s="23">
        <f>SUMPRODUCT($C$25:$C$30,E36:E41)</f>
        <v>0.45250000000000001</v>
      </c>
      <c r="F42" s="23">
        <f>SUMPRODUCT($C$25:$C$30,F36:F41)</f>
        <v>0.29500000000000004</v>
      </c>
    </row>
    <row r="43" spans="1:9" ht="14.25" customHeight="1">
      <c r="B43" s="26" t="s">
        <v>91</v>
      </c>
      <c r="C43" s="27">
        <f>IF($C$7=0,0,(C42*$E$17+D42*$E$18+E42*$E$19+F42*$E$20)/$C$7)</f>
        <v>0.37492489823894753</v>
      </c>
    </row>
    <row r="46" spans="1:9" ht="18.75" customHeight="1">
      <c r="A46" s="2" t="s">
        <v>92</v>
      </c>
      <c r="B46" s="2"/>
      <c r="C46" s="2"/>
      <c r="D46" s="2"/>
      <c r="E46" s="2"/>
      <c r="F46" s="2"/>
      <c r="G46" s="2"/>
      <c r="H46" s="2"/>
      <c r="I46" s="2"/>
    </row>
    <row r="47" spans="1:9" ht="27.75" customHeight="1">
      <c r="B47" s="16" t="s">
        <v>93</v>
      </c>
      <c r="C47" s="16" t="s">
        <v>94</v>
      </c>
      <c r="D47" s="16" t="s">
        <v>95</v>
      </c>
      <c r="E47" s="16" t="s">
        <v>96</v>
      </c>
      <c r="F47" s="16" t="s">
        <v>97</v>
      </c>
    </row>
    <row r="48" spans="1:9" ht="14.25" customHeight="1">
      <c r="B48" s="12" t="s">
        <v>98</v>
      </c>
      <c r="C48" s="24">
        <v>0.25</v>
      </c>
      <c r="D48" s="24">
        <v>0.55000000000000004</v>
      </c>
      <c r="E48" s="24">
        <v>0.75</v>
      </c>
      <c r="F48" s="9" t="s">
        <v>99</v>
      </c>
    </row>
    <row r="49" spans="1:9" ht="14.25" customHeight="1">
      <c r="B49" s="12" t="s">
        <v>100</v>
      </c>
      <c r="C49" s="24">
        <v>0.02</v>
      </c>
      <c r="D49" s="24">
        <v>0.05</v>
      </c>
      <c r="E49" s="24">
        <v>7.0000000000000007E-2</v>
      </c>
      <c r="F49" s="9" t="s">
        <v>101</v>
      </c>
    </row>
    <row r="50" spans="1:9" ht="14.25" customHeight="1">
      <c r="B50" s="12" t="s">
        <v>102</v>
      </c>
      <c r="C50" s="24">
        <v>0.03</v>
      </c>
      <c r="D50" s="24">
        <v>0.06</v>
      </c>
      <c r="E50" s="24">
        <v>0.08</v>
      </c>
      <c r="F50" s="9" t="s">
        <v>103</v>
      </c>
    </row>
    <row r="52" spans="1:9" ht="14.25" customHeight="1">
      <c r="B52" s="8" t="s">
        <v>104</v>
      </c>
      <c r="C52" s="20">
        <f>$C$43*C$48</f>
        <v>9.3731224559736884E-2</v>
      </c>
      <c r="D52" s="20">
        <f>$C$43*D$48</f>
        <v>0.20620869403142117</v>
      </c>
      <c r="E52" s="20">
        <f>$C$43*E$48</f>
        <v>0.28119367367921067</v>
      </c>
    </row>
    <row r="53" spans="1:9" ht="14.25" customHeight="1">
      <c r="B53" s="26" t="s">
        <v>105</v>
      </c>
      <c r="C53" s="27">
        <f>1-(1-C52)*(1-C$49)*(1-C$50)</f>
        <v>0.13850090206648602</v>
      </c>
      <c r="D53" s="27">
        <f>1-(1-D52)*(1-D$49)*(1-D$50)</f>
        <v>0.29114436377005914</v>
      </c>
      <c r="E53" s="27">
        <f>1-(1-E52)*(1-E$49)*(1-E$50)</f>
        <v>0.38498930719993263</v>
      </c>
    </row>
    <row r="55" spans="1:9" ht="18.75" customHeight="1">
      <c r="A55" s="2" t="s">
        <v>106</v>
      </c>
      <c r="B55" s="2"/>
      <c r="C55" s="2"/>
      <c r="D55" s="2"/>
      <c r="E55" s="2"/>
      <c r="F55" s="2"/>
      <c r="G55" s="2"/>
      <c r="H55" s="2"/>
      <c r="I55" s="2"/>
    </row>
    <row r="56" spans="1:9" ht="27.75" customHeight="1">
      <c r="B56" s="16" t="s">
        <v>93</v>
      </c>
      <c r="C56" s="16" t="s">
        <v>70</v>
      </c>
      <c r="D56" s="16" t="s">
        <v>72</v>
      </c>
      <c r="E56" s="16" t="s">
        <v>74</v>
      </c>
      <c r="F56" s="16" t="s">
        <v>76</v>
      </c>
    </row>
    <row r="57" spans="1:9" ht="14.25" customHeight="1">
      <c r="B57" s="12" t="s">
        <v>107</v>
      </c>
      <c r="C57" s="24">
        <v>0.15</v>
      </c>
      <c r="D57" s="24">
        <v>0.78</v>
      </c>
      <c r="E57" s="24">
        <v>0.85</v>
      </c>
      <c r="F57" s="24">
        <v>0.57999999999999996</v>
      </c>
    </row>
    <row r="58" spans="1:9" ht="14.25" customHeight="1">
      <c r="B58" s="26" t="s">
        <v>108</v>
      </c>
      <c r="C58" s="27">
        <f>IF($C$7=0,0,(C57*$E$17+D57*$E$18+E57*$E$19+F57*$E$20)/$C$7)</f>
        <v>0.40032317025510911</v>
      </c>
    </row>
    <row r="60" spans="1:9" ht="27.75" customHeight="1">
      <c r="B60" s="16" t="s">
        <v>93</v>
      </c>
      <c r="C60" s="16" t="s">
        <v>94</v>
      </c>
      <c r="D60" s="16" t="s">
        <v>95</v>
      </c>
      <c r="E60" s="16" t="s">
        <v>96</v>
      </c>
    </row>
    <row r="61" spans="1:9" ht="14.25" customHeight="1">
      <c r="B61" s="12" t="s">
        <v>109</v>
      </c>
      <c r="C61" s="24">
        <v>0.56999999999999995</v>
      </c>
      <c r="D61" s="24">
        <v>0.85</v>
      </c>
      <c r="E61" s="24">
        <v>0.93</v>
      </c>
    </row>
    <row r="62" spans="1:9" ht="14.25" customHeight="1">
      <c r="B62" s="26" t="s">
        <v>110</v>
      </c>
      <c r="C62" s="27">
        <f>$C$58*C61</f>
        <v>0.22818420704541217</v>
      </c>
      <c r="D62" s="27">
        <f>$C$58*D61</f>
        <v>0.34027469471684274</v>
      </c>
      <c r="E62" s="27">
        <f>$C$58*E61</f>
        <v>0.37230054833725151</v>
      </c>
    </row>
    <row r="64" spans="1:9" ht="18.75" customHeight="1">
      <c r="A64" s="2" t="s">
        <v>111</v>
      </c>
      <c r="B64" s="2"/>
      <c r="C64" s="2"/>
      <c r="D64" s="2"/>
      <c r="E64" s="2"/>
      <c r="F64" s="2"/>
      <c r="G64" s="2"/>
      <c r="H64" s="2"/>
      <c r="I64" s="2"/>
    </row>
    <row r="65" spans="1:14" ht="14.25" customHeight="1">
      <c r="B65" s="11" t="s">
        <v>112</v>
      </c>
    </row>
    <row r="66" spans="1:14" ht="27.75" customHeight="1">
      <c r="B66" s="16" t="s">
        <v>113</v>
      </c>
      <c r="C66" s="16" t="s">
        <v>94</v>
      </c>
      <c r="D66" s="16" t="s">
        <v>95</v>
      </c>
      <c r="E66" s="16" t="s">
        <v>96</v>
      </c>
    </row>
    <row r="67" spans="1:14" ht="14.25" customHeight="1">
      <c r="B67" s="12" t="s">
        <v>114</v>
      </c>
      <c r="C67" s="28">
        <v>0</v>
      </c>
      <c r="D67" s="28">
        <v>0</v>
      </c>
      <c r="E67" s="28">
        <v>0</v>
      </c>
    </row>
    <row r="68" spans="1:14" ht="14.25" customHeight="1">
      <c r="B68" s="12" t="s">
        <v>115</v>
      </c>
      <c r="C68" s="28">
        <v>0</v>
      </c>
      <c r="D68" s="28">
        <v>0</v>
      </c>
      <c r="E68" s="28">
        <v>0</v>
      </c>
    </row>
    <row r="69" spans="1:14" ht="14.25" customHeight="1">
      <c r="B69" s="8" t="s">
        <v>116</v>
      </c>
      <c r="C69" s="21">
        <f>SUM($C$67:C68)</f>
        <v>0</v>
      </c>
      <c r="D69" s="21">
        <f>SUM($C$67:D68)</f>
        <v>0</v>
      </c>
      <c r="E69" s="21">
        <f>SUM($C$67:E68)</f>
        <v>0</v>
      </c>
    </row>
    <row r="71" spans="1:14" ht="18.75" customHeight="1">
      <c r="A71" s="2" t="s">
        <v>117</v>
      </c>
      <c r="B71" s="2"/>
      <c r="C71" s="2"/>
      <c r="D71" s="2"/>
      <c r="E71" s="2"/>
      <c r="F71" s="2"/>
      <c r="G71" s="2"/>
      <c r="H71" s="2"/>
      <c r="I71" s="2"/>
    </row>
    <row r="72" spans="1:14" ht="27.75" customHeight="1">
      <c r="B72" s="16" t="s">
        <v>118</v>
      </c>
      <c r="C72" s="16" t="s">
        <v>119</v>
      </c>
      <c r="D72" s="16" t="s">
        <v>120</v>
      </c>
      <c r="E72" s="16" t="s">
        <v>121</v>
      </c>
      <c r="F72" s="16" t="s">
        <v>122</v>
      </c>
      <c r="G72" s="16" t="s">
        <v>123</v>
      </c>
      <c r="I72" s="29" t="s">
        <v>124</v>
      </c>
      <c r="J72" s="29" t="s">
        <v>125</v>
      </c>
      <c r="K72" s="29" t="s">
        <v>126</v>
      </c>
      <c r="L72" s="29" t="s">
        <v>127</v>
      </c>
      <c r="M72" s="29" t="s">
        <v>128</v>
      </c>
      <c r="N72" s="29" t="s">
        <v>129</v>
      </c>
    </row>
    <row r="73" spans="1:14" ht="14.25" customHeight="1">
      <c r="B73" s="12" t="s">
        <v>130</v>
      </c>
      <c r="C73" s="30">
        <v>0.72</v>
      </c>
      <c r="D73" s="30">
        <v>1</v>
      </c>
      <c r="E73" s="30">
        <v>1.35</v>
      </c>
      <c r="F73" s="30">
        <v>1.85</v>
      </c>
      <c r="G73" s="30">
        <v>2.5499999999999998</v>
      </c>
      <c r="I73" s="29" t="s">
        <v>131</v>
      </c>
      <c r="J73" s="31">
        <f t="shared" ref="J73:N74" si="0">C73</f>
        <v>0.72</v>
      </c>
      <c r="K73" s="31">
        <f t="shared" si="0"/>
        <v>1</v>
      </c>
      <c r="L73" s="31">
        <f t="shared" si="0"/>
        <v>1.35</v>
      </c>
      <c r="M73" s="31">
        <f t="shared" si="0"/>
        <v>1.85</v>
      </c>
      <c r="N73" s="31">
        <f t="shared" si="0"/>
        <v>2.5499999999999998</v>
      </c>
    </row>
    <row r="74" spans="1:14" ht="14.25" customHeight="1">
      <c r="B74" s="12" t="s">
        <v>132</v>
      </c>
      <c r="C74" s="30">
        <v>0.22</v>
      </c>
      <c r="D74" s="30">
        <v>0.3</v>
      </c>
      <c r="E74" s="30">
        <v>0.42</v>
      </c>
      <c r="F74" s="30">
        <v>0.6</v>
      </c>
      <c r="G74" s="30">
        <v>0.85</v>
      </c>
      <c r="I74" s="29" t="s">
        <v>133</v>
      </c>
      <c r="J74" s="31">
        <f t="shared" si="0"/>
        <v>0.22</v>
      </c>
      <c r="K74" s="31">
        <f t="shared" si="0"/>
        <v>0.3</v>
      </c>
      <c r="L74" s="31">
        <f t="shared" si="0"/>
        <v>0.42</v>
      </c>
      <c r="M74" s="31">
        <f t="shared" si="0"/>
        <v>0.6</v>
      </c>
      <c r="N74" s="31">
        <f t="shared" si="0"/>
        <v>0.85</v>
      </c>
    </row>
    <row r="75" spans="1:14" ht="14.25" customHeight="1">
      <c r="I75" s="11" t="s">
        <v>134</v>
      </c>
    </row>
    <row r="76" spans="1:14" ht="18.75" customHeight="1">
      <c r="A76" s="2" t="s">
        <v>135</v>
      </c>
      <c r="B76" s="2"/>
      <c r="C76" s="2"/>
      <c r="D76" s="2"/>
      <c r="E76" s="2"/>
      <c r="F76" s="2"/>
      <c r="G76" s="2"/>
      <c r="H76" s="2"/>
      <c r="I76" s="2"/>
    </row>
    <row r="77" spans="1:14" ht="14.25" customHeight="1">
      <c r="B77" s="32" t="s">
        <v>136</v>
      </c>
      <c r="C77" s="1" t="s">
        <v>137</v>
      </c>
      <c r="D77" s="1"/>
      <c r="E77" s="1"/>
      <c r="F77" s="1"/>
      <c r="G77" s="1"/>
      <c r="H77" s="1"/>
      <c r="I77" s="1"/>
    </row>
    <row r="78" spans="1:14" ht="14.25" customHeight="1">
      <c r="B78" s="32" t="s">
        <v>136</v>
      </c>
      <c r="C78" s="1" t="s">
        <v>138</v>
      </c>
      <c r="D78" s="1"/>
      <c r="E78" s="1"/>
      <c r="F78" s="1"/>
      <c r="G78" s="1"/>
      <c r="H78" s="1"/>
      <c r="I78" s="1"/>
    </row>
    <row r="79" spans="1:14" ht="14.25" customHeight="1">
      <c r="B79" s="32" t="s">
        <v>136</v>
      </c>
      <c r="C79" s="1" t="s">
        <v>139</v>
      </c>
      <c r="D79" s="1"/>
      <c r="E79" s="1"/>
      <c r="F79" s="1"/>
      <c r="G79" s="1"/>
      <c r="H79" s="1"/>
      <c r="I79" s="1"/>
    </row>
    <row r="80" spans="1:14" ht="14.25" customHeight="1">
      <c r="B80" s="32" t="s">
        <v>136</v>
      </c>
      <c r="C80" s="1" t="s">
        <v>140</v>
      </c>
      <c r="D80" s="1"/>
      <c r="E80" s="1"/>
      <c r="F80" s="1"/>
      <c r="G80" s="1"/>
      <c r="H80" s="1"/>
      <c r="I80" s="1"/>
    </row>
    <row r="81" spans="2:9" ht="14.25" customHeight="1">
      <c r="B81" s="32" t="s">
        <v>136</v>
      </c>
      <c r="C81" s="1" t="s">
        <v>141</v>
      </c>
      <c r="D81" s="1"/>
      <c r="E81" s="1"/>
      <c r="F81" s="1"/>
      <c r="G81" s="1"/>
      <c r="H81" s="1"/>
      <c r="I81" s="1"/>
    </row>
    <row r="82" spans="2:9" ht="14.25" customHeight="1">
      <c r="B82" s="32" t="s">
        <v>136</v>
      </c>
      <c r="C82" s="1" t="s">
        <v>142</v>
      </c>
      <c r="D82" s="1"/>
      <c r="E82" s="1"/>
      <c r="F82" s="1"/>
      <c r="G82" s="1"/>
      <c r="H82" s="1"/>
      <c r="I82" s="1"/>
    </row>
    <row r="83" spans="2:9" ht="14.25" customHeight="1">
      <c r="B83" s="32" t="s">
        <v>136</v>
      </c>
      <c r="C83" s="1" t="s">
        <v>143</v>
      </c>
      <c r="D83" s="1"/>
      <c r="E83" s="1"/>
      <c r="F83" s="1"/>
      <c r="G83" s="1"/>
      <c r="H83" s="1"/>
      <c r="I83" s="1"/>
    </row>
  </sheetData>
  <mergeCells count="18">
    <mergeCell ref="C81:I81"/>
    <mergeCell ref="C82:I82"/>
    <mergeCell ref="C83:I83"/>
    <mergeCell ref="A76:I76"/>
    <mergeCell ref="C77:I77"/>
    <mergeCell ref="C78:I78"/>
    <mergeCell ref="C79:I79"/>
    <mergeCell ref="C80:I80"/>
    <mergeCell ref="A33:I33"/>
    <mergeCell ref="A46:I46"/>
    <mergeCell ref="A55:I55"/>
    <mergeCell ref="A64:I64"/>
    <mergeCell ref="A71:I71"/>
    <mergeCell ref="A1:J1"/>
    <mergeCell ref="A2:J2"/>
    <mergeCell ref="A4:I4"/>
    <mergeCell ref="A15:I15"/>
    <mergeCell ref="A23:I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H148"/>
  <sheetViews>
    <sheetView zoomScaleNormal="100" workbookViewId="0">
      <pane xSplit="2" ySplit="42" topLeftCell="C43" activePane="bottomRight" state="frozen"/>
      <selection pane="topRight" activeCell="C1" sqref="C1"/>
      <selection pane="bottomLeft" activeCell="A43" sqref="A43"/>
      <selection pane="bottomRight" activeCell="E35" sqref="E35"/>
    </sheetView>
  </sheetViews>
  <sheetFormatPr defaultColWidth="8.6328125" defaultRowHeight="14.5"/>
  <cols>
    <col min="1" max="1" width="5" customWidth="1"/>
    <col min="2" max="2" width="9" customWidth="1"/>
    <col min="3" max="3" width="26" customWidth="1"/>
    <col min="4" max="4" width="30" customWidth="1"/>
    <col min="5" max="5" width="20" customWidth="1"/>
    <col min="6" max="6" width="24" customWidth="1"/>
    <col min="7" max="7" width="26" customWidth="1"/>
    <col min="8" max="8" width="22" customWidth="1"/>
    <col min="9" max="9" width="9" customWidth="1"/>
    <col min="10" max="10" width="12" customWidth="1"/>
    <col min="11" max="11" width="30" customWidth="1"/>
    <col min="12" max="12" width="20" customWidth="1"/>
    <col min="13" max="13" width="12" customWidth="1"/>
    <col min="14" max="16" width="11" customWidth="1"/>
    <col min="17" max="17" width="10" customWidth="1"/>
    <col min="18" max="18" width="9" customWidth="1"/>
    <col min="19" max="19" width="11" customWidth="1"/>
    <col min="20" max="20" width="13" customWidth="1"/>
    <col min="21" max="21" width="10" customWidth="1"/>
    <col min="27" max="32" width="9" customWidth="1"/>
    <col min="33" max="33" width="10" customWidth="1"/>
    <col min="34" max="34" width="12" customWidth="1"/>
  </cols>
  <sheetData>
    <row r="1" spans="1:34" ht="25.5" customHeight="1">
      <c r="A1" s="5" t="s">
        <v>144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4" ht="14.25" customHeight="1">
      <c r="A2" s="4" t="s">
        <v>145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4" spans="1:34" ht="27.75" customHeight="1">
      <c r="A4" s="16" t="s">
        <v>146</v>
      </c>
      <c r="B4" s="16" t="s">
        <v>147</v>
      </c>
      <c r="C4" s="16" t="s">
        <v>148</v>
      </c>
      <c r="D4" s="16" t="s">
        <v>149</v>
      </c>
      <c r="E4" s="16" t="s">
        <v>53</v>
      </c>
      <c r="F4" s="16" t="s">
        <v>150</v>
      </c>
      <c r="G4" s="16" t="s">
        <v>151</v>
      </c>
      <c r="H4" s="16" t="s">
        <v>152</v>
      </c>
      <c r="I4" s="16" t="s">
        <v>153</v>
      </c>
      <c r="J4" s="16" t="s">
        <v>154</v>
      </c>
      <c r="K4" s="16" t="s">
        <v>155</v>
      </c>
      <c r="L4" s="16" t="s">
        <v>156</v>
      </c>
      <c r="M4" s="16" t="s">
        <v>157</v>
      </c>
      <c r="N4" s="16" t="s">
        <v>58</v>
      </c>
      <c r="O4" s="16" t="s">
        <v>59</v>
      </c>
      <c r="P4" s="16" t="s">
        <v>60</v>
      </c>
      <c r="Q4" s="16" t="s">
        <v>78</v>
      </c>
      <c r="R4" s="16" t="s">
        <v>158</v>
      </c>
      <c r="S4" s="16" t="s">
        <v>159</v>
      </c>
      <c r="T4" s="16" t="s">
        <v>160</v>
      </c>
      <c r="U4" s="16" t="s">
        <v>161</v>
      </c>
      <c r="AA4" s="16" t="s">
        <v>162</v>
      </c>
      <c r="AB4" s="16" t="s">
        <v>163</v>
      </c>
      <c r="AC4" s="16" t="s">
        <v>164</v>
      </c>
      <c r="AD4" s="16" t="s">
        <v>68</v>
      </c>
      <c r="AE4" s="16" t="s">
        <v>165</v>
      </c>
      <c r="AF4" s="16" t="s">
        <v>166</v>
      </c>
      <c r="AG4" s="16" t="s">
        <v>65</v>
      </c>
      <c r="AH4" s="16" t="s">
        <v>167</v>
      </c>
    </row>
    <row r="5" spans="1:34" ht="14.25" hidden="1" customHeight="1">
      <c r="A5" s="33">
        <v>1</v>
      </c>
      <c r="B5" s="12">
        <v>9629</v>
      </c>
      <c r="C5" s="12" t="s">
        <v>168</v>
      </c>
      <c r="D5" s="12" t="s">
        <v>168</v>
      </c>
      <c r="E5" s="12" t="s">
        <v>54</v>
      </c>
      <c r="F5" s="12" t="s">
        <v>169</v>
      </c>
      <c r="G5" s="12" t="s">
        <v>170</v>
      </c>
      <c r="H5" s="12" t="s">
        <v>171</v>
      </c>
      <c r="I5" s="12" t="s">
        <v>172</v>
      </c>
      <c r="J5" s="12" t="s">
        <v>173</v>
      </c>
      <c r="K5" s="12" t="s">
        <v>174</v>
      </c>
      <c r="L5" s="12" t="s">
        <v>175</v>
      </c>
      <c r="M5" s="12" t="s">
        <v>172</v>
      </c>
      <c r="N5" s="34">
        <v>0</v>
      </c>
      <c r="O5" s="34">
        <v>0</v>
      </c>
      <c r="P5" s="34">
        <v>0</v>
      </c>
      <c r="Q5" s="34">
        <v>0</v>
      </c>
      <c r="R5" s="35">
        <v>0</v>
      </c>
      <c r="S5" s="34"/>
      <c r="T5" s="34"/>
      <c r="U5" s="36">
        <v>1</v>
      </c>
      <c r="AA5" s="37">
        <f t="shared" ref="AA5:AA36" si="0">N5</f>
        <v>0</v>
      </c>
      <c r="AB5" s="37">
        <f t="shared" ref="AB5:AB36" si="1">O5</f>
        <v>0</v>
      </c>
      <c r="AC5" s="37">
        <f t="shared" ref="AC5:AC36" si="2">P5</f>
        <v>0</v>
      </c>
      <c r="AD5" s="37">
        <f t="shared" ref="AD5:AD36" si="3">Q5</f>
        <v>0</v>
      </c>
      <c r="AE5" s="20">
        <f t="shared" ref="AE5:AE36" si="4">R5</f>
        <v>0</v>
      </c>
      <c r="AF5" s="37">
        <f t="shared" ref="AF5:AF36" si="5">Q5*R5</f>
        <v>0</v>
      </c>
      <c r="AG5" s="17" t="s">
        <v>70</v>
      </c>
      <c r="AH5" s="32" t="s">
        <v>176</v>
      </c>
    </row>
    <row r="6" spans="1:34" ht="14.25" hidden="1" customHeight="1">
      <c r="A6" s="33">
        <v>2</v>
      </c>
      <c r="B6" s="12">
        <v>9796</v>
      </c>
      <c r="C6" s="12" t="s">
        <v>177</v>
      </c>
      <c r="D6" s="12" t="s">
        <v>178</v>
      </c>
      <c r="E6" s="12" t="s">
        <v>179</v>
      </c>
      <c r="F6" s="12" t="s">
        <v>169</v>
      </c>
      <c r="G6" s="12" t="s">
        <v>180</v>
      </c>
      <c r="H6" s="12" t="s">
        <v>171</v>
      </c>
      <c r="I6" s="12" t="s">
        <v>181</v>
      </c>
      <c r="J6" s="12" t="s">
        <v>173</v>
      </c>
      <c r="K6" s="12" t="s">
        <v>182</v>
      </c>
      <c r="L6" s="12"/>
      <c r="M6" s="12" t="s">
        <v>172</v>
      </c>
      <c r="N6" s="34">
        <v>59.558958333333401</v>
      </c>
      <c r="O6" s="34">
        <v>7.75416666666667</v>
      </c>
      <c r="P6" s="34">
        <v>0</v>
      </c>
      <c r="Q6" s="34">
        <v>67.313124999999999</v>
      </c>
      <c r="R6" s="35">
        <v>0.71176374097424</v>
      </c>
      <c r="S6" s="34">
        <v>33.6565625</v>
      </c>
      <c r="T6" s="34">
        <v>33.6565625</v>
      </c>
      <c r="U6" s="36">
        <v>1</v>
      </c>
      <c r="AA6" s="37">
        <f t="shared" si="0"/>
        <v>59.558958333333401</v>
      </c>
      <c r="AB6" s="37">
        <f t="shared" si="1"/>
        <v>7.75416666666667</v>
      </c>
      <c r="AC6" s="37">
        <f t="shared" si="2"/>
        <v>0</v>
      </c>
      <c r="AD6" s="37">
        <f t="shared" si="3"/>
        <v>67.313124999999999</v>
      </c>
      <c r="AE6" s="20">
        <f t="shared" si="4"/>
        <v>0.71176374097424</v>
      </c>
      <c r="AF6" s="37">
        <f t="shared" si="5"/>
        <v>47.911041666666641</v>
      </c>
      <c r="AG6" s="17" t="s">
        <v>76</v>
      </c>
      <c r="AH6" s="32" t="s">
        <v>176</v>
      </c>
    </row>
    <row r="7" spans="1:34" ht="14.25" hidden="1" customHeight="1">
      <c r="A7" s="33">
        <v>3</v>
      </c>
      <c r="B7" s="12">
        <v>9800</v>
      </c>
      <c r="C7" s="12" t="s">
        <v>183</v>
      </c>
      <c r="D7" s="12" t="s">
        <v>184</v>
      </c>
      <c r="E7" s="12" t="s">
        <v>179</v>
      </c>
      <c r="F7" s="12" t="s">
        <v>169</v>
      </c>
      <c r="G7" s="12" t="s">
        <v>180</v>
      </c>
      <c r="H7" s="12" t="s">
        <v>171</v>
      </c>
      <c r="I7" s="12" t="s">
        <v>181</v>
      </c>
      <c r="J7" s="12" t="s">
        <v>173</v>
      </c>
      <c r="K7" s="12" t="s">
        <v>185</v>
      </c>
      <c r="L7" s="12"/>
      <c r="M7" s="12" t="s">
        <v>172</v>
      </c>
      <c r="N7" s="34">
        <v>20.8921666666667</v>
      </c>
      <c r="O7" s="34">
        <v>1.85375</v>
      </c>
      <c r="P7" s="34">
        <v>0</v>
      </c>
      <c r="Q7" s="34">
        <v>22.745916666666702</v>
      </c>
      <c r="R7" s="35">
        <v>0.94285787558939205</v>
      </c>
      <c r="S7" s="34">
        <v>11.372958333333299</v>
      </c>
      <c r="T7" s="34">
        <v>11.372958333333299</v>
      </c>
      <c r="U7" s="36">
        <v>1</v>
      </c>
      <c r="AA7" s="37">
        <f t="shared" si="0"/>
        <v>20.8921666666667</v>
      </c>
      <c r="AB7" s="37">
        <f t="shared" si="1"/>
        <v>1.85375</v>
      </c>
      <c r="AC7" s="37">
        <f t="shared" si="2"/>
        <v>0</v>
      </c>
      <c r="AD7" s="37">
        <f t="shared" si="3"/>
        <v>22.745916666666702</v>
      </c>
      <c r="AE7" s="20">
        <f t="shared" si="4"/>
        <v>0.94285787558939205</v>
      </c>
      <c r="AF7" s="37">
        <f t="shared" si="5"/>
        <v>21.446166666666713</v>
      </c>
      <c r="AG7" s="17" t="s">
        <v>76</v>
      </c>
      <c r="AH7" s="32" t="s">
        <v>186</v>
      </c>
    </row>
    <row r="8" spans="1:34" ht="14.25" hidden="1" customHeight="1">
      <c r="A8" s="33">
        <v>4</v>
      </c>
      <c r="B8" s="12">
        <v>9801</v>
      </c>
      <c r="C8" s="12" t="s">
        <v>187</v>
      </c>
      <c r="D8" s="12" t="s">
        <v>188</v>
      </c>
      <c r="E8" s="12" t="s">
        <v>179</v>
      </c>
      <c r="F8" s="12" t="s">
        <v>169</v>
      </c>
      <c r="G8" s="12" t="s">
        <v>180</v>
      </c>
      <c r="H8" s="12" t="s">
        <v>171</v>
      </c>
      <c r="I8" s="12" t="s">
        <v>181</v>
      </c>
      <c r="J8" s="12" t="s">
        <v>173</v>
      </c>
      <c r="K8" s="12" t="s">
        <v>185</v>
      </c>
      <c r="L8" s="12"/>
      <c r="M8" s="12" t="s">
        <v>172</v>
      </c>
      <c r="N8" s="34">
        <v>0</v>
      </c>
      <c r="O8" s="34">
        <v>0</v>
      </c>
      <c r="P8" s="34">
        <v>0</v>
      </c>
      <c r="Q8" s="34">
        <v>0</v>
      </c>
      <c r="R8" s="35">
        <v>0</v>
      </c>
      <c r="S8" s="34"/>
      <c r="T8" s="34"/>
      <c r="U8" s="36">
        <v>1</v>
      </c>
      <c r="AA8" s="37">
        <f t="shared" si="0"/>
        <v>0</v>
      </c>
      <c r="AB8" s="37">
        <f t="shared" si="1"/>
        <v>0</v>
      </c>
      <c r="AC8" s="37">
        <f t="shared" si="2"/>
        <v>0</v>
      </c>
      <c r="AD8" s="37">
        <f t="shared" si="3"/>
        <v>0</v>
      </c>
      <c r="AE8" s="20">
        <f t="shared" si="4"/>
        <v>0</v>
      </c>
      <c r="AF8" s="37">
        <f t="shared" si="5"/>
        <v>0</v>
      </c>
      <c r="AG8" s="17" t="s">
        <v>76</v>
      </c>
      <c r="AH8" s="32" t="s">
        <v>186</v>
      </c>
    </row>
    <row r="9" spans="1:34" ht="14.25" hidden="1" customHeight="1">
      <c r="A9" s="33">
        <v>5</v>
      </c>
      <c r="B9" s="12">
        <v>9802</v>
      </c>
      <c r="C9" s="12" t="s">
        <v>189</v>
      </c>
      <c r="D9" s="12" t="s">
        <v>190</v>
      </c>
      <c r="E9" s="12" t="s">
        <v>179</v>
      </c>
      <c r="F9" s="12" t="s">
        <v>169</v>
      </c>
      <c r="G9" s="12" t="s">
        <v>180</v>
      </c>
      <c r="H9" s="12" t="s">
        <v>171</v>
      </c>
      <c r="I9" s="12" t="s">
        <v>181</v>
      </c>
      <c r="J9" s="12" t="s">
        <v>173</v>
      </c>
      <c r="K9" s="12" t="s">
        <v>185</v>
      </c>
      <c r="L9" s="12"/>
      <c r="M9" s="12" t="s">
        <v>172</v>
      </c>
      <c r="N9" s="34">
        <v>15.953625000000001</v>
      </c>
      <c r="O9" s="34">
        <v>1.6541666666666699</v>
      </c>
      <c r="P9" s="34">
        <v>0</v>
      </c>
      <c r="Q9" s="34">
        <v>17.607791666666699</v>
      </c>
      <c r="R9" s="35">
        <v>0.98287216596819105</v>
      </c>
      <c r="S9" s="34">
        <v>8.8038958333333301</v>
      </c>
      <c r="T9" s="34">
        <v>8.8038958333333301</v>
      </c>
      <c r="U9" s="36">
        <v>1</v>
      </c>
      <c r="AA9" s="37">
        <f t="shared" si="0"/>
        <v>15.953625000000001</v>
      </c>
      <c r="AB9" s="37">
        <f t="shared" si="1"/>
        <v>1.6541666666666699</v>
      </c>
      <c r="AC9" s="37">
        <f t="shared" si="2"/>
        <v>0</v>
      </c>
      <c r="AD9" s="37">
        <f t="shared" si="3"/>
        <v>17.607791666666699</v>
      </c>
      <c r="AE9" s="20">
        <f t="shared" si="4"/>
        <v>0.98287216596819105</v>
      </c>
      <c r="AF9" s="37">
        <f t="shared" si="5"/>
        <v>17.306208333333363</v>
      </c>
      <c r="AG9" s="17" t="s">
        <v>76</v>
      </c>
      <c r="AH9" s="32" t="s">
        <v>191</v>
      </c>
    </row>
    <row r="10" spans="1:34" ht="14.25" hidden="1" customHeight="1">
      <c r="A10" s="33">
        <v>6</v>
      </c>
      <c r="B10" s="12">
        <v>9803</v>
      </c>
      <c r="C10" s="12" t="s">
        <v>192</v>
      </c>
      <c r="D10" s="12" t="s">
        <v>193</v>
      </c>
      <c r="E10" s="12" t="s">
        <v>179</v>
      </c>
      <c r="F10" s="12" t="s">
        <v>169</v>
      </c>
      <c r="G10" s="12" t="s">
        <v>180</v>
      </c>
      <c r="H10" s="12" t="s">
        <v>171</v>
      </c>
      <c r="I10" s="12" t="s">
        <v>181</v>
      </c>
      <c r="J10" s="12" t="s">
        <v>173</v>
      </c>
      <c r="K10" s="12" t="s">
        <v>182</v>
      </c>
      <c r="L10" s="12"/>
      <c r="M10" s="12" t="s">
        <v>172</v>
      </c>
      <c r="N10" s="34">
        <v>8.8045833333333299</v>
      </c>
      <c r="O10" s="34">
        <v>0.85</v>
      </c>
      <c r="P10" s="34">
        <v>0</v>
      </c>
      <c r="Q10" s="34">
        <v>9.6545833333333295</v>
      </c>
      <c r="R10" s="35">
        <v>0.94821112597643598</v>
      </c>
      <c r="S10" s="34">
        <v>4.8272916666666701</v>
      </c>
      <c r="T10" s="34">
        <v>4.8272916666666701</v>
      </c>
      <c r="U10" s="36">
        <v>1</v>
      </c>
      <c r="AA10" s="37">
        <f t="shared" si="0"/>
        <v>8.8045833333333299</v>
      </c>
      <c r="AB10" s="37">
        <f t="shared" si="1"/>
        <v>0.85</v>
      </c>
      <c r="AC10" s="37">
        <f t="shared" si="2"/>
        <v>0</v>
      </c>
      <c r="AD10" s="37">
        <f t="shared" si="3"/>
        <v>9.6545833333333295</v>
      </c>
      <c r="AE10" s="20">
        <f t="shared" si="4"/>
        <v>0.94821112597643598</v>
      </c>
      <c r="AF10" s="37">
        <f t="shared" si="5"/>
        <v>9.1545833333333295</v>
      </c>
      <c r="AG10" s="17" t="s">
        <v>76</v>
      </c>
      <c r="AH10" s="32" t="s">
        <v>176</v>
      </c>
    </row>
    <row r="11" spans="1:34" ht="14.25" hidden="1" customHeight="1">
      <c r="A11" s="33">
        <v>7</v>
      </c>
      <c r="B11" s="12">
        <v>9804</v>
      </c>
      <c r="C11" s="12" t="s">
        <v>194</v>
      </c>
      <c r="D11" s="12" t="s">
        <v>195</v>
      </c>
      <c r="E11" s="12" t="s">
        <v>179</v>
      </c>
      <c r="F11" s="12" t="s">
        <v>169</v>
      </c>
      <c r="G11" s="12" t="s">
        <v>180</v>
      </c>
      <c r="H11" s="12" t="s">
        <v>171</v>
      </c>
      <c r="I11" s="12" t="s">
        <v>181</v>
      </c>
      <c r="J11" s="12" t="s">
        <v>173</v>
      </c>
      <c r="K11" s="12" t="s">
        <v>185</v>
      </c>
      <c r="L11" s="12"/>
      <c r="M11" s="12" t="s">
        <v>172</v>
      </c>
      <c r="N11" s="34">
        <v>10.7841666666667</v>
      </c>
      <c r="O11" s="34">
        <v>0.74583333333333302</v>
      </c>
      <c r="P11" s="34">
        <v>0</v>
      </c>
      <c r="Q11" s="34">
        <v>11.53</v>
      </c>
      <c r="R11" s="35">
        <v>0.833044232437121</v>
      </c>
      <c r="S11" s="34">
        <v>5.7649999999999997</v>
      </c>
      <c r="T11" s="34">
        <v>5.7649999999999997</v>
      </c>
      <c r="U11" s="36">
        <v>1</v>
      </c>
      <c r="AA11" s="37">
        <f t="shared" si="0"/>
        <v>10.7841666666667</v>
      </c>
      <c r="AB11" s="37">
        <f t="shared" si="1"/>
        <v>0.74583333333333302</v>
      </c>
      <c r="AC11" s="37">
        <f t="shared" si="2"/>
        <v>0</v>
      </c>
      <c r="AD11" s="37">
        <f t="shared" si="3"/>
        <v>11.53</v>
      </c>
      <c r="AE11" s="20">
        <f t="shared" si="4"/>
        <v>0.833044232437121</v>
      </c>
      <c r="AF11" s="37">
        <f t="shared" si="5"/>
        <v>9.605000000000004</v>
      </c>
      <c r="AG11" s="17" t="s">
        <v>76</v>
      </c>
      <c r="AH11" s="32" t="s">
        <v>196</v>
      </c>
    </row>
    <row r="12" spans="1:34" ht="14.25" hidden="1" customHeight="1">
      <c r="A12" s="33">
        <v>8</v>
      </c>
      <c r="B12" s="12">
        <v>9805</v>
      </c>
      <c r="C12" s="12" t="s">
        <v>197</v>
      </c>
      <c r="D12" s="12" t="s">
        <v>198</v>
      </c>
      <c r="E12" s="12" t="s">
        <v>179</v>
      </c>
      <c r="F12" s="12" t="s">
        <v>169</v>
      </c>
      <c r="G12" s="12" t="s">
        <v>180</v>
      </c>
      <c r="H12" s="12" t="s">
        <v>171</v>
      </c>
      <c r="I12" s="12" t="s">
        <v>181</v>
      </c>
      <c r="J12" s="12" t="s">
        <v>173</v>
      </c>
      <c r="K12" s="12" t="s">
        <v>185</v>
      </c>
      <c r="L12" s="12"/>
      <c r="M12" s="12" t="s">
        <v>172</v>
      </c>
      <c r="N12" s="34">
        <v>2.8966666666666701</v>
      </c>
      <c r="O12" s="34">
        <v>2.5000000000000001E-2</v>
      </c>
      <c r="P12" s="34">
        <v>0</v>
      </c>
      <c r="Q12" s="34">
        <v>2.92166666666667</v>
      </c>
      <c r="R12" s="35">
        <v>0.90587564175698798</v>
      </c>
      <c r="S12" s="34">
        <v>1.4608333333333301</v>
      </c>
      <c r="T12" s="34">
        <v>1.4608333333333301</v>
      </c>
      <c r="U12" s="36">
        <v>1</v>
      </c>
      <c r="AA12" s="37">
        <f t="shared" si="0"/>
        <v>2.8966666666666701</v>
      </c>
      <c r="AB12" s="37">
        <f t="shared" si="1"/>
        <v>2.5000000000000001E-2</v>
      </c>
      <c r="AC12" s="37">
        <f t="shared" si="2"/>
        <v>0</v>
      </c>
      <c r="AD12" s="37">
        <f t="shared" si="3"/>
        <v>2.92166666666667</v>
      </c>
      <c r="AE12" s="20">
        <f t="shared" si="4"/>
        <v>0.90587564175698798</v>
      </c>
      <c r="AF12" s="37">
        <f t="shared" si="5"/>
        <v>2.6466666666666696</v>
      </c>
      <c r="AG12" s="17" t="s">
        <v>76</v>
      </c>
      <c r="AH12" s="32" t="s">
        <v>186</v>
      </c>
    </row>
    <row r="13" spans="1:34" ht="14.25" hidden="1" customHeight="1">
      <c r="A13" s="33">
        <v>9</v>
      </c>
      <c r="B13" s="12">
        <v>9806</v>
      </c>
      <c r="C13" s="12" t="s">
        <v>199</v>
      </c>
      <c r="D13" s="12" t="s">
        <v>200</v>
      </c>
      <c r="E13" s="12" t="s">
        <v>179</v>
      </c>
      <c r="F13" s="12" t="s">
        <v>169</v>
      </c>
      <c r="G13" s="12" t="s">
        <v>180</v>
      </c>
      <c r="H13" s="12" t="s">
        <v>171</v>
      </c>
      <c r="I13" s="12" t="s">
        <v>181</v>
      </c>
      <c r="J13" s="12" t="s">
        <v>173</v>
      </c>
      <c r="K13" s="12" t="s">
        <v>185</v>
      </c>
      <c r="L13" s="12"/>
      <c r="M13" s="12" t="s">
        <v>172</v>
      </c>
      <c r="N13" s="34">
        <v>5.2887500000000003</v>
      </c>
      <c r="O13" s="34">
        <v>1.0249999999999999</v>
      </c>
      <c r="P13" s="34">
        <v>0</v>
      </c>
      <c r="Q13" s="34">
        <v>6.3137499999999998</v>
      </c>
      <c r="R13" s="35">
        <v>0.83765590972084802</v>
      </c>
      <c r="S13" s="34">
        <v>3.1568749999999999</v>
      </c>
      <c r="T13" s="34">
        <v>3.1568749999999999</v>
      </c>
      <c r="U13" s="36">
        <v>1</v>
      </c>
      <c r="AA13" s="37">
        <f t="shared" si="0"/>
        <v>5.2887500000000003</v>
      </c>
      <c r="AB13" s="37">
        <f t="shared" si="1"/>
        <v>1.0249999999999999</v>
      </c>
      <c r="AC13" s="37">
        <f t="shared" si="2"/>
        <v>0</v>
      </c>
      <c r="AD13" s="37">
        <f t="shared" si="3"/>
        <v>6.3137499999999998</v>
      </c>
      <c r="AE13" s="20">
        <f t="shared" si="4"/>
        <v>0.83765590972084802</v>
      </c>
      <c r="AF13" s="37">
        <f t="shared" si="5"/>
        <v>5.2887500000000038</v>
      </c>
      <c r="AG13" s="17" t="s">
        <v>76</v>
      </c>
      <c r="AH13" s="32" t="s">
        <v>201</v>
      </c>
    </row>
    <row r="14" spans="1:34" ht="14.25" hidden="1" customHeight="1">
      <c r="A14" s="33">
        <v>10</v>
      </c>
      <c r="B14" s="12">
        <v>9807</v>
      </c>
      <c r="C14" s="12" t="s">
        <v>202</v>
      </c>
      <c r="D14" s="12" t="s">
        <v>203</v>
      </c>
      <c r="E14" s="12" t="s">
        <v>179</v>
      </c>
      <c r="F14" s="12" t="s">
        <v>169</v>
      </c>
      <c r="G14" s="12" t="s">
        <v>180</v>
      </c>
      <c r="H14" s="12" t="s">
        <v>171</v>
      </c>
      <c r="I14" s="12" t="s">
        <v>172</v>
      </c>
      <c r="J14" s="12" t="s">
        <v>173</v>
      </c>
      <c r="K14" s="12" t="s">
        <v>185</v>
      </c>
      <c r="L14" s="12"/>
      <c r="M14" s="12" t="s">
        <v>172</v>
      </c>
      <c r="N14" s="34">
        <v>9.7687500000000007</v>
      </c>
      <c r="O14" s="34">
        <v>1.4833333333333301</v>
      </c>
      <c r="P14" s="34">
        <v>0</v>
      </c>
      <c r="Q14" s="34">
        <v>11.252083333333299</v>
      </c>
      <c r="R14" s="35">
        <v>0.85632290316607995</v>
      </c>
      <c r="S14" s="34">
        <v>5.6260416666666702</v>
      </c>
      <c r="T14" s="34">
        <v>5.6260416666666702</v>
      </c>
      <c r="U14" s="36">
        <v>1</v>
      </c>
      <c r="AA14" s="37">
        <f t="shared" si="0"/>
        <v>9.7687500000000007</v>
      </c>
      <c r="AB14" s="37">
        <f t="shared" si="1"/>
        <v>1.4833333333333301</v>
      </c>
      <c r="AC14" s="37">
        <f t="shared" si="2"/>
        <v>0</v>
      </c>
      <c r="AD14" s="37">
        <f t="shared" si="3"/>
        <v>11.252083333333299</v>
      </c>
      <c r="AE14" s="20">
        <f t="shared" si="4"/>
        <v>0.85632290316607995</v>
      </c>
      <c r="AF14" s="37">
        <f t="shared" si="5"/>
        <v>9.6354166666666323</v>
      </c>
      <c r="AG14" s="17" t="s">
        <v>76</v>
      </c>
      <c r="AH14" s="32" t="s">
        <v>201</v>
      </c>
    </row>
    <row r="15" spans="1:34" ht="14.25" hidden="1" customHeight="1">
      <c r="A15" s="33">
        <v>11</v>
      </c>
      <c r="B15" s="12">
        <v>9808</v>
      </c>
      <c r="C15" s="12" t="s">
        <v>204</v>
      </c>
      <c r="D15" s="12" t="s">
        <v>205</v>
      </c>
      <c r="E15" s="12" t="s">
        <v>179</v>
      </c>
      <c r="F15" s="12" t="s">
        <v>169</v>
      </c>
      <c r="G15" s="12" t="s">
        <v>180</v>
      </c>
      <c r="H15" s="12" t="s">
        <v>171</v>
      </c>
      <c r="I15" s="12" t="s">
        <v>181</v>
      </c>
      <c r="J15" s="12" t="s">
        <v>173</v>
      </c>
      <c r="K15" s="12" t="s">
        <v>185</v>
      </c>
      <c r="L15" s="12"/>
      <c r="M15" s="12" t="s">
        <v>172</v>
      </c>
      <c r="N15" s="34">
        <v>13.5457083333333</v>
      </c>
      <c r="O15" s="34">
        <v>3.1437499999999998</v>
      </c>
      <c r="P15" s="34">
        <v>0</v>
      </c>
      <c r="Q15" s="34">
        <v>16.689458333333299</v>
      </c>
      <c r="R15" s="35">
        <v>0.72662384189620699</v>
      </c>
      <c r="S15" s="34">
        <v>8.3447291666666707</v>
      </c>
      <c r="T15" s="34">
        <v>8.3447291666666707</v>
      </c>
      <c r="U15" s="36">
        <v>1</v>
      </c>
      <c r="AA15" s="37">
        <f t="shared" si="0"/>
        <v>13.5457083333333</v>
      </c>
      <c r="AB15" s="37">
        <f t="shared" si="1"/>
        <v>3.1437499999999998</v>
      </c>
      <c r="AC15" s="37">
        <f t="shared" si="2"/>
        <v>0</v>
      </c>
      <c r="AD15" s="37">
        <f t="shared" si="3"/>
        <v>16.689458333333299</v>
      </c>
      <c r="AE15" s="20">
        <f t="shared" si="4"/>
        <v>0.72662384189620699</v>
      </c>
      <c r="AF15" s="37">
        <f t="shared" si="5"/>
        <v>12.12695833333331</v>
      </c>
      <c r="AG15" s="17" t="s">
        <v>76</v>
      </c>
      <c r="AH15" s="32" t="s">
        <v>196</v>
      </c>
    </row>
    <row r="16" spans="1:34" ht="14.25" hidden="1" customHeight="1">
      <c r="A16" s="33">
        <v>12</v>
      </c>
      <c r="B16" s="12">
        <v>9810</v>
      </c>
      <c r="C16" s="12" t="s">
        <v>206</v>
      </c>
      <c r="D16" s="12" t="s">
        <v>207</v>
      </c>
      <c r="E16" s="12" t="s">
        <v>179</v>
      </c>
      <c r="F16" s="12" t="s">
        <v>169</v>
      </c>
      <c r="G16" s="12" t="s">
        <v>180</v>
      </c>
      <c r="H16" s="12" t="s">
        <v>171</v>
      </c>
      <c r="I16" s="12" t="s">
        <v>181</v>
      </c>
      <c r="J16" s="12" t="s">
        <v>173</v>
      </c>
      <c r="K16" s="12" t="s">
        <v>208</v>
      </c>
      <c r="L16" s="12"/>
      <c r="M16" s="12" t="s">
        <v>172</v>
      </c>
      <c r="N16" s="34">
        <v>7.6683333333333303</v>
      </c>
      <c r="O16" s="34">
        <v>1.12916666666667</v>
      </c>
      <c r="P16" s="34">
        <v>0</v>
      </c>
      <c r="Q16" s="34">
        <v>8.7974999999999994</v>
      </c>
      <c r="R16" s="35">
        <v>0.75561238988349</v>
      </c>
      <c r="S16" s="34">
        <v>4.3987499999999997</v>
      </c>
      <c r="T16" s="34">
        <v>4.3987499999999997</v>
      </c>
      <c r="U16" s="36">
        <v>1</v>
      </c>
      <c r="AA16" s="37">
        <f t="shared" si="0"/>
        <v>7.6683333333333303</v>
      </c>
      <c r="AB16" s="37">
        <f t="shared" si="1"/>
        <v>1.12916666666667</v>
      </c>
      <c r="AC16" s="37">
        <f t="shared" si="2"/>
        <v>0</v>
      </c>
      <c r="AD16" s="37">
        <f t="shared" si="3"/>
        <v>8.7974999999999994</v>
      </c>
      <c r="AE16" s="20">
        <f t="shared" si="4"/>
        <v>0.75561238988349</v>
      </c>
      <c r="AF16" s="37">
        <f t="shared" si="5"/>
        <v>6.6475000000000026</v>
      </c>
      <c r="AG16" s="17" t="s">
        <v>76</v>
      </c>
      <c r="AH16" s="32" t="s">
        <v>186</v>
      </c>
    </row>
    <row r="17" spans="1:34" ht="14.25" hidden="1" customHeight="1">
      <c r="A17" s="33">
        <v>13</v>
      </c>
      <c r="B17" s="12">
        <v>9811</v>
      </c>
      <c r="C17" s="12" t="s">
        <v>209</v>
      </c>
      <c r="D17" s="12" t="s">
        <v>210</v>
      </c>
      <c r="E17" s="12" t="s">
        <v>179</v>
      </c>
      <c r="F17" s="12" t="s">
        <v>169</v>
      </c>
      <c r="G17" s="12" t="s">
        <v>180</v>
      </c>
      <c r="H17" s="12" t="s">
        <v>171</v>
      </c>
      <c r="I17" s="12" t="s">
        <v>181</v>
      </c>
      <c r="J17" s="12" t="s">
        <v>173</v>
      </c>
      <c r="K17" s="12" t="s">
        <v>208</v>
      </c>
      <c r="L17" s="12"/>
      <c r="M17" s="12" t="s">
        <v>172</v>
      </c>
      <c r="N17" s="34">
        <v>1.9683333333333299</v>
      </c>
      <c r="O17" s="34">
        <v>0.164583333333333</v>
      </c>
      <c r="P17" s="34">
        <v>0</v>
      </c>
      <c r="Q17" s="34">
        <v>2.1329166666666701</v>
      </c>
      <c r="R17" s="35">
        <v>0.95311584293807405</v>
      </c>
      <c r="S17" s="34">
        <v>1.06645833333333</v>
      </c>
      <c r="T17" s="34">
        <v>1.06645833333333</v>
      </c>
      <c r="U17" s="36">
        <v>1</v>
      </c>
      <c r="AA17" s="37">
        <f t="shared" si="0"/>
        <v>1.9683333333333299</v>
      </c>
      <c r="AB17" s="37">
        <f t="shared" si="1"/>
        <v>0.164583333333333</v>
      </c>
      <c r="AC17" s="37">
        <f t="shared" si="2"/>
        <v>0</v>
      </c>
      <c r="AD17" s="37">
        <f t="shared" si="3"/>
        <v>2.1329166666666701</v>
      </c>
      <c r="AE17" s="20">
        <f t="shared" si="4"/>
        <v>0.95311584293807405</v>
      </c>
      <c r="AF17" s="37">
        <f t="shared" si="5"/>
        <v>2.0329166666666705</v>
      </c>
      <c r="AG17" s="17" t="s">
        <v>76</v>
      </c>
      <c r="AH17" s="32" t="s">
        <v>176</v>
      </c>
    </row>
    <row r="18" spans="1:34" ht="14.25" hidden="1" customHeight="1">
      <c r="A18" s="33">
        <v>14</v>
      </c>
      <c r="B18" s="12">
        <v>9813</v>
      </c>
      <c r="C18" s="12" t="s">
        <v>211</v>
      </c>
      <c r="D18" s="12" t="s">
        <v>212</v>
      </c>
      <c r="E18" s="12" t="s">
        <v>179</v>
      </c>
      <c r="F18" s="12" t="s">
        <v>169</v>
      </c>
      <c r="G18" s="12" t="s">
        <v>180</v>
      </c>
      <c r="H18" s="12" t="s">
        <v>171</v>
      </c>
      <c r="I18" s="12" t="s">
        <v>181</v>
      </c>
      <c r="J18" s="12" t="s">
        <v>173</v>
      </c>
      <c r="K18" s="12" t="s">
        <v>208</v>
      </c>
      <c r="L18" s="12"/>
      <c r="M18" s="12" t="s">
        <v>172</v>
      </c>
      <c r="N18" s="34">
        <v>2.1175000000000002</v>
      </c>
      <c r="O18" s="34">
        <v>0</v>
      </c>
      <c r="P18" s="34">
        <v>0</v>
      </c>
      <c r="Q18" s="34">
        <v>2.1175000000000002</v>
      </c>
      <c r="R18" s="35">
        <v>0.64580873671782801</v>
      </c>
      <c r="S18" s="34">
        <v>1.0587500000000001</v>
      </c>
      <c r="T18" s="34">
        <v>1.0587500000000001</v>
      </c>
      <c r="U18" s="36">
        <v>1</v>
      </c>
      <c r="AA18" s="37">
        <f t="shared" si="0"/>
        <v>2.1175000000000002</v>
      </c>
      <c r="AB18" s="37">
        <f t="shared" si="1"/>
        <v>0</v>
      </c>
      <c r="AC18" s="37">
        <f t="shared" si="2"/>
        <v>0</v>
      </c>
      <c r="AD18" s="37">
        <f t="shared" si="3"/>
        <v>2.1175000000000002</v>
      </c>
      <c r="AE18" s="20">
        <f t="shared" si="4"/>
        <v>0.64580873671782801</v>
      </c>
      <c r="AF18" s="37">
        <f t="shared" si="5"/>
        <v>1.3675000000000008</v>
      </c>
      <c r="AG18" s="17" t="s">
        <v>76</v>
      </c>
      <c r="AH18" s="32" t="s">
        <v>176</v>
      </c>
    </row>
    <row r="19" spans="1:34" ht="14.25" hidden="1" customHeight="1">
      <c r="A19" s="33">
        <v>15</v>
      </c>
      <c r="B19" s="12">
        <v>9814</v>
      </c>
      <c r="C19" s="12" t="s">
        <v>213</v>
      </c>
      <c r="D19" s="12" t="s">
        <v>214</v>
      </c>
      <c r="E19" s="12" t="s">
        <v>179</v>
      </c>
      <c r="F19" s="12" t="s">
        <v>169</v>
      </c>
      <c r="G19" s="12" t="s">
        <v>180</v>
      </c>
      <c r="H19" s="12" t="s">
        <v>171</v>
      </c>
      <c r="I19" s="12" t="s">
        <v>172</v>
      </c>
      <c r="J19" s="12" t="s">
        <v>173</v>
      </c>
      <c r="K19" s="12" t="s">
        <v>208</v>
      </c>
      <c r="L19" s="12"/>
      <c r="M19" s="12" t="s">
        <v>172</v>
      </c>
      <c r="N19" s="34">
        <v>0</v>
      </c>
      <c r="O19" s="34">
        <v>0</v>
      </c>
      <c r="P19" s="34">
        <v>0</v>
      </c>
      <c r="Q19" s="34">
        <v>0</v>
      </c>
      <c r="R19" s="35">
        <v>0</v>
      </c>
      <c r="S19" s="34"/>
      <c r="T19" s="34"/>
      <c r="U19" s="36">
        <v>1</v>
      </c>
      <c r="AA19" s="37">
        <f t="shared" si="0"/>
        <v>0</v>
      </c>
      <c r="AB19" s="37">
        <f t="shared" si="1"/>
        <v>0</v>
      </c>
      <c r="AC19" s="37">
        <f t="shared" si="2"/>
        <v>0</v>
      </c>
      <c r="AD19" s="37">
        <f t="shared" si="3"/>
        <v>0</v>
      </c>
      <c r="AE19" s="20">
        <f t="shared" si="4"/>
        <v>0</v>
      </c>
      <c r="AF19" s="37">
        <f t="shared" si="5"/>
        <v>0</v>
      </c>
      <c r="AG19" s="17" t="s">
        <v>76</v>
      </c>
      <c r="AH19" s="32" t="s">
        <v>176</v>
      </c>
    </row>
    <row r="20" spans="1:34" ht="14.25" hidden="1" customHeight="1">
      <c r="A20" s="33">
        <v>16</v>
      </c>
      <c r="B20" s="12">
        <v>9816</v>
      </c>
      <c r="C20" s="12" t="s">
        <v>215</v>
      </c>
      <c r="D20" s="12" t="s">
        <v>216</v>
      </c>
      <c r="E20" s="12" t="s">
        <v>179</v>
      </c>
      <c r="F20" s="12" t="s">
        <v>169</v>
      </c>
      <c r="G20" s="12" t="s">
        <v>180</v>
      </c>
      <c r="H20" s="12" t="s">
        <v>171</v>
      </c>
      <c r="I20" s="12" t="s">
        <v>181</v>
      </c>
      <c r="J20" s="12" t="s">
        <v>173</v>
      </c>
      <c r="K20" s="12" t="s">
        <v>208</v>
      </c>
      <c r="L20" s="12"/>
      <c r="M20" s="12" t="s">
        <v>172</v>
      </c>
      <c r="N20" s="34">
        <v>0.2</v>
      </c>
      <c r="O20" s="34">
        <v>0</v>
      </c>
      <c r="P20" s="34">
        <v>0</v>
      </c>
      <c r="Q20" s="34">
        <v>0.2</v>
      </c>
      <c r="R20" s="35">
        <v>0</v>
      </c>
      <c r="S20" s="34">
        <v>0.1</v>
      </c>
      <c r="T20" s="34">
        <v>0.1</v>
      </c>
      <c r="U20" s="36">
        <v>1</v>
      </c>
      <c r="AA20" s="37">
        <f t="shared" si="0"/>
        <v>0.2</v>
      </c>
      <c r="AB20" s="37">
        <f t="shared" si="1"/>
        <v>0</v>
      </c>
      <c r="AC20" s="37">
        <f t="shared" si="2"/>
        <v>0</v>
      </c>
      <c r="AD20" s="37">
        <f t="shared" si="3"/>
        <v>0.2</v>
      </c>
      <c r="AE20" s="20">
        <f t="shared" si="4"/>
        <v>0</v>
      </c>
      <c r="AF20" s="37">
        <f t="shared" si="5"/>
        <v>0</v>
      </c>
      <c r="AG20" s="17" t="s">
        <v>76</v>
      </c>
      <c r="AH20" s="32" t="s">
        <v>201</v>
      </c>
    </row>
    <row r="21" spans="1:34" ht="14.25" hidden="1" customHeight="1">
      <c r="A21" s="33">
        <v>17</v>
      </c>
      <c r="B21" s="12">
        <v>9817</v>
      </c>
      <c r="C21" s="12" t="s">
        <v>217</v>
      </c>
      <c r="D21" s="12" t="s">
        <v>218</v>
      </c>
      <c r="E21" s="12" t="s">
        <v>179</v>
      </c>
      <c r="F21" s="12" t="s">
        <v>169</v>
      </c>
      <c r="G21" s="12" t="s">
        <v>180</v>
      </c>
      <c r="H21" s="12" t="s">
        <v>171</v>
      </c>
      <c r="I21" s="12" t="s">
        <v>172</v>
      </c>
      <c r="J21" s="12" t="s">
        <v>173</v>
      </c>
      <c r="K21" s="12" t="s">
        <v>208</v>
      </c>
      <c r="L21" s="12"/>
      <c r="M21" s="12" t="s">
        <v>172</v>
      </c>
      <c r="N21" s="34">
        <v>1.6648750000000001</v>
      </c>
      <c r="O21" s="34">
        <v>0</v>
      </c>
      <c r="P21" s="34">
        <v>0</v>
      </c>
      <c r="Q21" s="34">
        <v>1.6648750000000001</v>
      </c>
      <c r="R21" s="35">
        <v>0.40748804965337698</v>
      </c>
      <c r="S21" s="34">
        <v>0.83243750000000005</v>
      </c>
      <c r="T21" s="34">
        <v>0.83243750000000005</v>
      </c>
      <c r="U21" s="36">
        <v>1</v>
      </c>
      <c r="AA21" s="37">
        <f t="shared" si="0"/>
        <v>1.6648750000000001</v>
      </c>
      <c r="AB21" s="37">
        <f t="shared" si="1"/>
        <v>0</v>
      </c>
      <c r="AC21" s="37">
        <f t="shared" si="2"/>
        <v>0</v>
      </c>
      <c r="AD21" s="37">
        <f t="shared" si="3"/>
        <v>1.6648750000000001</v>
      </c>
      <c r="AE21" s="20">
        <f t="shared" si="4"/>
        <v>0.40748804965337698</v>
      </c>
      <c r="AF21" s="37">
        <f t="shared" si="5"/>
        <v>0.678416666666666</v>
      </c>
      <c r="AG21" s="17" t="s">
        <v>76</v>
      </c>
      <c r="AH21" s="32" t="s">
        <v>191</v>
      </c>
    </row>
    <row r="22" spans="1:34" ht="14.25" hidden="1" customHeight="1">
      <c r="A22" s="33">
        <v>18</v>
      </c>
      <c r="B22" s="12">
        <v>9818</v>
      </c>
      <c r="C22" s="12" t="s">
        <v>219</v>
      </c>
      <c r="D22" s="12" t="s">
        <v>220</v>
      </c>
      <c r="E22" s="12" t="s">
        <v>179</v>
      </c>
      <c r="F22" s="12" t="s">
        <v>169</v>
      </c>
      <c r="G22" s="12" t="s">
        <v>180</v>
      </c>
      <c r="H22" s="12" t="s">
        <v>171</v>
      </c>
      <c r="I22" s="12" t="s">
        <v>172</v>
      </c>
      <c r="J22" s="12" t="s">
        <v>173</v>
      </c>
      <c r="K22" s="12" t="s">
        <v>208</v>
      </c>
      <c r="L22" s="12"/>
      <c r="M22" s="12" t="s">
        <v>172</v>
      </c>
      <c r="N22" s="34">
        <v>0</v>
      </c>
      <c r="O22" s="34">
        <v>0</v>
      </c>
      <c r="P22" s="34">
        <v>0</v>
      </c>
      <c r="Q22" s="34">
        <v>0</v>
      </c>
      <c r="R22" s="35">
        <v>0</v>
      </c>
      <c r="S22" s="34"/>
      <c r="T22" s="34"/>
      <c r="U22" s="36">
        <v>1</v>
      </c>
      <c r="AA22" s="37">
        <f t="shared" si="0"/>
        <v>0</v>
      </c>
      <c r="AB22" s="37">
        <f t="shared" si="1"/>
        <v>0</v>
      </c>
      <c r="AC22" s="37">
        <f t="shared" si="2"/>
        <v>0</v>
      </c>
      <c r="AD22" s="37">
        <f t="shared" si="3"/>
        <v>0</v>
      </c>
      <c r="AE22" s="20">
        <f t="shared" si="4"/>
        <v>0</v>
      </c>
      <c r="AF22" s="37">
        <f t="shared" si="5"/>
        <v>0</v>
      </c>
      <c r="AG22" s="17" t="s">
        <v>76</v>
      </c>
      <c r="AH22" s="32" t="s">
        <v>176</v>
      </c>
    </row>
    <row r="23" spans="1:34" ht="14.25" hidden="1" customHeight="1">
      <c r="A23" s="33">
        <v>19</v>
      </c>
      <c r="B23" s="12">
        <v>9819</v>
      </c>
      <c r="C23" s="12" t="s">
        <v>221</v>
      </c>
      <c r="D23" s="12" t="s">
        <v>222</v>
      </c>
      <c r="E23" s="12" t="s">
        <v>179</v>
      </c>
      <c r="F23" s="12" t="s">
        <v>169</v>
      </c>
      <c r="G23" s="12" t="s">
        <v>180</v>
      </c>
      <c r="H23" s="12" t="s">
        <v>171</v>
      </c>
      <c r="I23" s="12" t="s">
        <v>172</v>
      </c>
      <c r="J23" s="12" t="s">
        <v>173</v>
      </c>
      <c r="K23" s="12" t="s">
        <v>208</v>
      </c>
      <c r="L23" s="12"/>
      <c r="M23" s="12" t="s">
        <v>172</v>
      </c>
      <c r="N23" s="34">
        <v>0</v>
      </c>
      <c r="O23" s="34">
        <v>0</v>
      </c>
      <c r="P23" s="34">
        <v>0</v>
      </c>
      <c r="Q23" s="34">
        <v>0</v>
      </c>
      <c r="R23" s="35">
        <v>0</v>
      </c>
      <c r="S23" s="34"/>
      <c r="T23" s="34"/>
      <c r="U23" s="36">
        <v>1</v>
      </c>
      <c r="AA23" s="37">
        <f t="shared" si="0"/>
        <v>0</v>
      </c>
      <c r="AB23" s="37">
        <f t="shared" si="1"/>
        <v>0</v>
      </c>
      <c r="AC23" s="37">
        <f t="shared" si="2"/>
        <v>0</v>
      </c>
      <c r="AD23" s="37">
        <f t="shared" si="3"/>
        <v>0</v>
      </c>
      <c r="AE23" s="20">
        <f t="shared" si="4"/>
        <v>0</v>
      </c>
      <c r="AF23" s="37">
        <f t="shared" si="5"/>
        <v>0</v>
      </c>
      <c r="AG23" s="17" t="s">
        <v>76</v>
      </c>
      <c r="AH23" s="32" t="s">
        <v>176</v>
      </c>
    </row>
    <row r="24" spans="1:34" ht="14.25" hidden="1" customHeight="1">
      <c r="A24" s="33">
        <v>20</v>
      </c>
      <c r="B24" s="12">
        <v>9820</v>
      </c>
      <c r="C24" s="12" t="s">
        <v>223</v>
      </c>
      <c r="D24" s="12" t="s">
        <v>224</v>
      </c>
      <c r="E24" s="12" t="s">
        <v>179</v>
      </c>
      <c r="F24" s="12" t="s">
        <v>169</v>
      </c>
      <c r="G24" s="12" t="s">
        <v>180</v>
      </c>
      <c r="H24" s="12" t="s">
        <v>171</v>
      </c>
      <c r="I24" s="12" t="s">
        <v>181</v>
      </c>
      <c r="J24" s="12" t="s">
        <v>173</v>
      </c>
      <c r="K24" s="12" t="s">
        <v>208</v>
      </c>
      <c r="L24" s="12"/>
      <c r="M24" s="12" t="s">
        <v>172</v>
      </c>
      <c r="N24" s="34">
        <v>0</v>
      </c>
      <c r="O24" s="34">
        <v>0</v>
      </c>
      <c r="P24" s="34">
        <v>0</v>
      </c>
      <c r="Q24" s="34">
        <v>0</v>
      </c>
      <c r="R24" s="35">
        <v>0</v>
      </c>
      <c r="S24" s="34"/>
      <c r="T24" s="34"/>
      <c r="U24" s="36">
        <v>1</v>
      </c>
      <c r="AA24" s="37">
        <f t="shared" si="0"/>
        <v>0</v>
      </c>
      <c r="AB24" s="37">
        <f t="shared" si="1"/>
        <v>0</v>
      </c>
      <c r="AC24" s="37">
        <f t="shared" si="2"/>
        <v>0</v>
      </c>
      <c r="AD24" s="37">
        <f t="shared" si="3"/>
        <v>0</v>
      </c>
      <c r="AE24" s="20">
        <f t="shared" si="4"/>
        <v>0</v>
      </c>
      <c r="AF24" s="37">
        <f t="shared" si="5"/>
        <v>0</v>
      </c>
      <c r="AG24" s="17" t="s">
        <v>76</v>
      </c>
      <c r="AH24" s="32" t="s">
        <v>176</v>
      </c>
    </row>
    <row r="25" spans="1:34" ht="14.25" hidden="1" customHeight="1">
      <c r="A25" s="33">
        <v>21</v>
      </c>
      <c r="B25" s="12">
        <v>9821</v>
      </c>
      <c r="C25" s="12" t="s">
        <v>225</v>
      </c>
      <c r="D25" s="12" t="s">
        <v>226</v>
      </c>
      <c r="E25" s="12" t="s">
        <v>179</v>
      </c>
      <c r="F25" s="12" t="s">
        <v>169</v>
      </c>
      <c r="G25" s="12" t="s">
        <v>180</v>
      </c>
      <c r="H25" s="12" t="s">
        <v>171</v>
      </c>
      <c r="I25" s="12" t="s">
        <v>181</v>
      </c>
      <c r="J25" s="12" t="s">
        <v>173</v>
      </c>
      <c r="K25" s="12" t="s">
        <v>208</v>
      </c>
      <c r="L25" s="12"/>
      <c r="M25" s="12" t="s">
        <v>172</v>
      </c>
      <c r="N25" s="34">
        <v>4.3783333333333303</v>
      </c>
      <c r="O25" s="34">
        <v>0.97083333333333299</v>
      </c>
      <c r="P25" s="34">
        <v>0</v>
      </c>
      <c r="Q25" s="34">
        <v>5.3491666666666697</v>
      </c>
      <c r="R25" s="35">
        <v>0.62610998597912504</v>
      </c>
      <c r="S25" s="34">
        <v>2.67458333333333</v>
      </c>
      <c r="T25" s="34">
        <v>2.67458333333333</v>
      </c>
      <c r="U25" s="36">
        <v>1</v>
      </c>
      <c r="AA25" s="37">
        <f t="shared" si="0"/>
        <v>4.3783333333333303</v>
      </c>
      <c r="AB25" s="37">
        <f t="shared" si="1"/>
        <v>0.97083333333333299</v>
      </c>
      <c r="AC25" s="37">
        <f t="shared" si="2"/>
        <v>0</v>
      </c>
      <c r="AD25" s="37">
        <f t="shared" si="3"/>
        <v>5.3491666666666697</v>
      </c>
      <c r="AE25" s="20">
        <f t="shared" si="4"/>
        <v>0.62610998597912504</v>
      </c>
      <c r="AF25" s="37">
        <f t="shared" si="5"/>
        <v>3.3491666666666715</v>
      </c>
      <c r="AG25" s="17" t="s">
        <v>76</v>
      </c>
      <c r="AH25" s="32" t="s">
        <v>186</v>
      </c>
    </row>
    <row r="26" spans="1:34" ht="14.25" hidden="1" customHeight="1">
      <c r="A26" s="33">
        <v>22</v>
      </c>
      <c r="B26" s="12">
        <v>9822</v>
      </c>
      <c r="C26" s="12" t="s">
        <v>227</v>
      </c>
      <c r="D26" s="12" t="s">
        <v>228</v>
      </c>
      <c r="E26" s="12" t="s">
        <v>179</v>
      </c>
      <c r="F26" s="12" t="s">
        <v>169</v>
      </c>
      <c r="G26" s="12" t="s">
        <v>180</v>
      </c>
      <c r="H26" s="12" t="s">
        <v>171</v>
      </c>
      <c r="I26" s="12" t="s">
        <v>172</v>
      </c>
      <c r="J26" s="12" t="s">
        <v>173</v>
      </c>
      <c r="K26" s="12" t="s">
        <v>208</v>
      </c>
      <c r="L26" s="12"/>
      <c r="M26" s="12" t="s">
        <v>172</v>
      </c>
      <c r="N26" s="34">
        <v>6.01291666666667</v>
      </c>
      <c r="O26" s="34">
        <v>0.25416666666666698</v>
      </c>
      <c r="P26" s="34">
        <v>0</v>
      </c>
      <c r="Q26" s="34">
        <v>6.2670833333333302</v>
      </c>
      <c r="R26" s="35">
        <v>0.789907585931786</v>
      </c>
      <c r="S26" s="34">
        <v>3.13354166666667</v>
      </c>
      <c r="T26" s="34">
        <v>3.13354166666667</v>
      </c>
      <c r="U26" s="36">
        <v>1</v>
      </c>
      <c r="AA26" s="37">
        <f t="shared" si="0"/>
        <v>6.01291666666667</v>
      </c>
      <c r="AB26" s="37">
        <f t="shared" si="1"/>
        <v>0.25416666666666698</v>
      </c>
      <c r="AC26" s="37">
        <f t="shared" si="2"/>
        <v>0</v>
      </c>
      <c r="AD26" s="37">
        <f t="shared" si="3"/>
        <v>6.2670833333333302</v>
      </c>
      <c r="AE26" s="20">
        <f t="shared" si="4"/>
        <v>0.789907585931786</v>
      </c>
      <c r="AF26" s="37">
        <f t="shared" si="5"/>
        <v>4.9504166666666611</v>
      </c>
      <c r="AG26" s="17" t="s">
        <v>76</v>
      </c>
      <c r="AH26" s="32" t="s">
        <v>201</v>
      </c>
    </row>
    <row r="27" spans="1:34" ht="14.25" hidden="1" customHeight="1">
      <c r="A27" s="33">
        <v>23</v>
      </c>
      <c r="B27" s="12">
        <v>9823</v>
      </c>
      <c r="C27" s="12" t="s">
        <v>229</v>
      </c>
      <c r="D27" s="12" t="s">
        <v>230</v>
      </c>
      <c r="E27" s="12" t="s">
        <v>179</v>
      </c>
      <c r="F27" s="12" t="s">
        <v>169</v>
      </c>
      <c r="G27" s="12" t="s">
        <v>180</v>
      </c>
      <c r="H27" s="12" t="s">
        <v>231</v>
      </c>
      <c r="I27" s="12" t="s">
        <v>181</v>
      </c>
      <c r="J27" s="12" t="s">
        <v>173</v>
      </c>
      <c r="K27" s="12" t="s">
        <v>208</v>
      </c>
      <c r="L27" s="12"/>
      <c r="M27" s="12" t="s">
        <v>172</v>
      </c>
      <c r="N27" s="34">
        <v>6.72670833333334</v>
      </c>
      <c r="O27" s="34">
        <v>1.4624999999999999</v>
      </c>
      <c r="P27" s="34">
        <v>0</v>
      </c>
      <c r="Q27" s="34">
        <v>8.1892083333333403</v>
      </c>
      <c r="R27" s="35">
        <v>0.72808726932293999</v>
      </c>
      <c r="S27" s="34">
        <v>4.0946041666666702</v>
      </c>
      <c r="T27" s="34">
        <v>4.0946041666666702</v>
      </c>
      <c r="U27" s="36">
        <v>1</v>
      </c>
      <c r="AA27" s="37">
        <f t="shared" si="0"/>
        <v>6.72670833333334</v>
      </c>
      <c r="AB27" s="37">
        <f t="shared" si="1"/>
        <v>1.4624999999999999</v>
      </c>
      <c r="AC27" s="37">
        <f t="shared" si="2"/>
        <v>0</v>
      </c>
      <c r="AD27" s="37">
        <f t="shared" si="3"/>
        <v>8.1892083333333403</v>
      </c>
      <c r="AE27" s="20">
        <f t="shared" si="4"/>
        <v>0.72808726932293999</v>
      </c>
      <c r="AF27" s="37">
        <f t="shared" si="5"/>
        <v>5.9624583333333359</v>
      </c>
      <c r="AG27" s="17" t="s">
        <v>76</v>
      </c>
      <c r="AH27" s="32" t="s">
        <v>232</v>
      </c>
    </row>
    <row r="28" spans="1:34" ht="14.25" hidden="1" customHeight="1">
      <c r="A28" s="33">
        <v>24</v>
      </c>
      <c r="B28" s="12">
        <v>9824</v>
      </c>
      <c r="C28" s="12" t="s">
        <v>233</v>
      </c>
      <c r="D28" s="12" t="s">
        <v>234</v>
      </c>
      <c r="E28" s="12" t="s">
        <v>179</v>
      </c>
      <c r="F28" s="12" t="s">
        <v>169</v>
      </c>
      <c r="G28" s="12" t="s">
        <v>180</v>
      </c>
      <c r="H28" s="12" t="s">
        <v>171</v>
      </c>
      <c r="I28" s="12" t="s">
        <v>181</v>
      </c>
      <c r="J28" s="12" t="s">
        <v>173</v>
      </c>
      <c r="K28" s="12" t="s">
        <v>208</v>
      </c>
      <c r="L28" s="12"/>
      <c r="M28" s="12" t="s">
        <v>172</v>
      </c>
      <c r="N28" s="34">
        <v>1.63083333333333</v>
      </c>
      <c r="O28" s="34">
        <v>0</v>
      </c>
      <c r="P28" s="34">
        <v>0</v>
      </c>
      <c r="Q28" s="34">
        <v>1.63083333333333</v>
      </c>
      <c r="R28" s="35">
        <v>0.38681655595298903</v>
      </c>
      <c r="S28" s="34">
        <v>0.81541666666666701</v>
      </c>
      <c r="T28" s="34">
        <v>0.81541666666666701</v>
      </c>
      <c r="U28" s="36">
        <v>1</v>
      </c>
      <c r="AA28" s="37">
        <f t="shared" si="0"/>
        <v>1.63083333333333</v>
      </c>
      <c r="AB28" s="37">
        <f t="shared" si="1"/>
        <v>0</v>
      </c>
      <c r="AC28" s="37">
        <f t="shared" si="2"/>
        <v>0</v>
      </c>
      <c r="AD28" s="37">
        <f t="shared" si="3"/>
        <v>1.63083333333333</v>
      </c>
      <c r="AE28" s="20">
        <f t="shared" si="4"/>
        <v>0.38681655595298903</v>
      </c>
      <c r="AF28" s="37">
        <f t="shared" si="5"/>
        <v>0.63083333333333169</v>
      </c>
      <c r="AG28" s="17" t="s">
        <v>76</v>
      </c>
      <c r="AH28" s="32" t="s">
        <v>176</v>
      </c>
    </row>
    <row r="29" spans="1:34" ht="14.25" hidden="1" customHeight="1">
      <c r="A29" s="33">
        <v>25</v>
      </c>
      <c r="B29" s="12">
        <v>9833</v>
      </c>
      <c r="C29" s="12" t="s">
        <v>235</v>
      </c>
      <c r="D29" s="12" t="s">
        <v>236</v>
      </c>
      <c r="E29" s="12" t="s">
        <v>237</v>
      </c>
      <c r="F29" s="12" t="s">
        <v>238</v>
      </c>
      <c r="G29" s="12" t="s">
        <v>239</v>
      </c>
      <c r="H29" s="12" t="s">
        <v>171</v>
      </c>
      <c r="I29" s="12" t="s">
        <v>172</v>
      </c>
      <c r="J29" s="12" t="s">
        <v>173</v>
      </c>
      <c r="K29" s="12" t="s">
        <v>240</v>
      </c>
      <c r="L29" s="12"/>
      <c r="M29" s="12" t="s">
        <v>172</v>
      </c>
      <c r="N29" s="34">
        <v>8.7316666666666691</v>
      </c>
      <c r="O29" s="34">
        <v>0.110416666666667</v>
      </c>
      <c r="P29" s="34">
        <v>0</v>
      </c>
      <c r="Q29" s="34">
        <v>8.8420833333333402</v>
      </c>
      <c r="R29" s="35">
        <v>0.916874793836294</v>
      </c>
      <c r="S29" s="34">
        <v>4.4210416666666701</v>
      </c>
      <c r="T29" s="34">
        <v>4.4210416666666701</v>
      </c>
      <c r="U29" s="36">
        <v>1</v>
      </c>
      <c r="AA29" s="37">
        <f t="shared" si="0"/>
        <v>8.7316666666666691</v>
      </c>
      <c r="AB29" s="37">
        <f t="shared" si="1"/>
        <v>0.110416666666667</v>
      </c>
      <c r="AC29" s="37">
        <f t="shared" si="2"/>
        <v>0</v>
      </c>
      <c r="AD29" s="37">
        <f t="shared" si="3"/>
        <v>8.8420833333333402</v>
      </c>
      <c r="AE29" s="20">
        <f t="shared" si="4"/>
        <v>0.916874793836294</v>
      </c>
      <c r="AF29" s="37">
        <f t="shared" si="5"/>
        <v>8.1070833333333372</v>
      </c>
      <c r="AG29" s="17" t="s">
        <v>72</v>
      </c>
      <c r="AH29" s="32" t="s">
        <v>186</v>
      </c>
    </row>
    <row r="30" spans="1:34" ht="14.25" hidden="1" customHeight="1">
      <c r="A30" s="33">
        <v>26</v>
      </c>
      <c r="B30" s="12">
        <v>9834</v>
      </c>
      <c r="C30" s="12" t="s">
        <v>241</v>
      </c>
      <c r="D30" s="12" t="s">
        <v>242</v>
      </c>
      <c r="E30" s="12" t="s">
        <v>243</v>
      </c>
      <c r="F30" s="12" t="s">
        <v>238</v>
      </c>
      <c r="G30" s="12" t="s">
        <v>244</v>
      </c>
      <c r="H30" s="12" t="s">
        <v>171</v>
      </c>
      <c r="I30" s="12" t="s">
        <v>181</v>
      </c>
      <c r="J30" s="12" t="s">
        <v>173</v>
      </c>
      <c r="K30" s="12" t="s">
        <v>245</v>
      </c>
      <c r="L30" s="12"/>
      <c r="M30" s="12" t="s">
        <v>172</v>
      </c>
      <c r="N30" s="34">
        <v>0.2</v>
      </c>
      <c r="O30" s="34">
        <v>0.2</v>
      </c>
      <c r="P30" s="34">
        <v>0</v>
      </c>
      <c r="Q30" s="34">
        <v>0.37083333333333302</v>
      </c>
      <c r="R30" s="35">
        <v>0.325842696629213</v>
      </c>
      <c r="S30" s="34">
        <v>0.18541666666666701</v>
      </c>
      <c r="T30" s="34">
        <v>0.18541666666666701</v>
      </c>
      <c r="U30" s="36">
        <v>1</v>
      </c>
      <c r="AA30" s="37">
        <f t="shared" si="0"/>
        <v>0.2</v>
      </c>
      <c r="AB30" s="37">
        <f t="shared" si="1"/>
        <v>0.2</v>
      </c>
      <c r="AC30" s="37">
        <f t="shared" si="2"/>
        <v>0</v>
      </c>
      <c r="AD30" s="37">
        <f t="shared" si="3"/>
        <v>0.37083333333333302</v>
      </c>
      <c r="AE30" s="20">
        <f t="shared" si="4"/>
        <v>0.325842696629213</v>
      </c>
      <c r="AF30" s="37">
        <f t="shared" si="5"/>
        <v>0.12083333333333306</v>
      </c>
      <c r="AG30" s="17" t="s">
        <v>72</v>
      </c>
      <c r="AH30" s="32" t="s">
        <v>176</v>
      </c>
    </row>
    <row r="31" spans="1:34" ht="14.25" hidden="1" customHeight="1">
      <c r="A31" s="33">
        <v>27</v>
      </c>
      <c r="B31" s="12">
        <v>9835</v>
      </c>
      <c r="C31" s="12" t="s">
        <v>246</v>
      </c>
      <c r="D31" s="12" t="s">
        <v>247</v>
      </c>
      <c r="E31" s="12" t="s">
        <v>248</v>
      </c>
      <c r="F31" s="12" t="s">
        <v>238</v>
      </c>
      <c r="G31" s="12" t="s">
        <v>249</v>
      </c>
      <c r="H31" s="12" t="s">
        <v>171</v>
      </c>
      <c r="I31" s="12" t="s">
        <v>181</v>
      </c>
      <c r="J31" s="12" t="s">
        <v>173</v>
      </c>
      <c r="K31" s="12" t="s">
        <v>250</v>
      </c>
      <c r="L31" s="12"/>
      <c r="M31" s="12" t="s">
        <v>172</v>
      </c>
      <c r="N31" s="34">
        <v>29.379874999999998</v>
      </c>
      <c r="O31" s="34">
        <v>5.6166666666666698</v>
      </c>
      <c r="P31" s="34">
        <v>0</v>
      </c>
      <c r="Q31" s="34">
        <v>34.996541666666701</v>
      </c>
      <c r="R31" s="35">
        <v>0.90522873093412803</v>
      </c>
      <c r="S31" s="34">
        <v>17.498270833333301</v>
      </c>
      <c r="T31" s="34">
        <v>17.498270833333301</v>
      </c>
      <c r="U31" s="36">
        <v>1</v>
      </c>
      <c r="AA31" s="37">
        <f t="shared" si="0"/>
        <v>29.379874999999998</v>
      </c>
      <c r="AB31" s="37">
        <f t="shared" si="1"/>
        <v>5.6166666666666698</v>
      </c>
      <c r="AC31" s="37">
        <f t="shared" si="2"/>
        <v>0</v>
      </c>
      <c r="AD31" s="37">
        <f t="shared" si="3"/>
        <v>34.996541666666701</v>
      </c>
      <c r="AE31" s="20">
        <f t="shared" si="4"/>
        <v>0.90522873093412803</v>
      </c>
      <c r="AF31" s="37">
        <f t="shared" si="5"/>
        <v>31.679875000000031</v>
      </c>
      <c r="AG31" s="17" t="s">
        <v>72</v>
      </c>
      <c r="AH31" s="32" t="s">
        <v>176</v>
      </c>
    </row>
    <row r="32" spans="1:34" ht="14.25" hidden="1" customHeight="1">
      <c r="A32" s="33">
        <v>28</v>
      </c>
      <c r="B32" s="12">
        <v>9836</v>
      </c>
      <c r="C32" s="12" t="s">
        <v>251</v>
      </c>
      <c r="D32" s="12" t="s">
        <v>252</v>
      </c>
      <c r="E32" s="12" t="s">
        <v>243</v>
      </c>
      <c r="F32" s="12" t="s">
        <v>238</v>
      </c>
      <c r="G32" s="12" t="s">
        <v>244</v>
      </c>
      <c r="H32" s="12" t="s">
        <v>171</v>
      </c>
      <c r="I32" s="12" t="s">
        <v>181</v>
      </c>
      <c r="J32" s="12" t="s">
        <v>173</v>
      </c>
      <c r="K32" s="12" t="s">
        <v>245</v>
      </c>
      <c r="L32" s="12"/>
      <c r="M32" s="12" t="s">
        <v>172</v>
      </c>
      <c r="N32" s="34">
        <v>0.3</v>
      </c>
      <c r="O32" s="34">
        <v>0.3</v>
      </c>
      <c r="P32" s="34">
        <v>0</v>
      </c>
      <c r="Q32" s="34">
        <v>2.5258333333333298</v>
      </c>
      <c r="R32" s="35">
        <v>0.90102276476410403</v>
      </c>
      <c r="S32" s="34">
        <v>1.26291666666667</v>
      </c>
      <c r="T32" s="34">
        <v>1.26291666666667</v>
      </c>
      <c r="U32" s="36">
        <v>1</v>
      </c>
      <c r="AA32" s="37">
        <f t="shared" si="0"/>
        <v>0.3</v>
      </c>
      <c r="AB32" s="37">
        <f t="shared" si="1"/>
        <v>0.3</v>
      </c>
      <c r="AC32" s="37">
        <f t="shared" si="2"/>
        <v>0</v>
      </c>
      <c r="AD32" s="37">
        <f t="shared" si="3"/>
        <v>2.5258333333333298</v>
      </c>
      <c r="AE32" s="20">
        <f t="shared" si="4"/>
        <v>0.90102276476410403</v>
      </c>
      <c r="AF32" s="37">
        <f t="shared" si="5"/>
        <v>2.2758333333333298</v>
      </c>
      <c r="AG32" s="17" t="s">
        <v>72</v>
      </c>
      <c r="AH32" s="32" t="s">
        <v>176</v>
      </c>
    </row>
    <row r="33" spans="1:34" ht="14.25" hidden="1" customHeight="1">
      <c r="A33" s="33">
        <v>29</v>
      </c>
      <c r="B33" s="12">
        <v>9842</v>
      </c>
      <c r="C33" s="12" t="s">
        <v>253</v>
      </c>
      <c r="D33" s="12" t="s">
        <v>254</v>
      </c>
      <c r="E33" s="12" t="s">
        <v>243</v>
      </c>
      <c r="F33" s="12" t="s">
        <v>238</v>
      </c>
      <c r="G33" s="12" t="s">
        <v>244</v>
      </c>
      <c r="H33" s="12" t="s">
        <v>171</v>
      </c>
      <c r="I33" s="12" t="s">
        <v>172</v>
      </c>
      <c r="J33" s="12" t="s">
        <v>173</v>
      </c>
      <c r="K33" s="12" t="s">
        <v>255</v>
      </c>
      <c r="L33" s="12"/>
      <c r="M33" s="12" t="s">
        <v>172</v>
      </c>
      <c r="N33" s="34">
        <v>0.3</v>
      </c>
      <c r="O33" s="34">
        <v>0.3</v>
      </c>
      <c r="P33" s="34">
        <v>0</v>
      </c>
      <c r="Q33" s="34">
        <v>2.88625</v>
      </c>
      <c r="R33" s="35">
        <v>0.90298830662624496</v>
      </c>
      <c r="S33" s="34">
        <v>1.443125</v>
      </c>
      <c r="T33" s="34">
        <v>1.443125</v>
      </c>
      <c r="U33" s="36">
        <v>1</v>
      </c>
      <c r="AA33" s="37">
        <f t="shared" si="0"/>
        <v>0.3</v>
      </c>
      <c r="AB33" s="37">
        <f t="shared" si="1"/>
        <v>0.3</v>
      </c>
      <c r="AC33" s="37">
        <f t="shared" si="2"/>
        <v>0</v>
      </c>
      <c r="AD33" s="37">
        <f t="shared" si="3"/>
        <v>2.88625</v>
      </c>
      <c r="AE33" s="20">
        <f t="shared" si="4"/>
        <v>0.90298830662624496</v>
      </c>
      <c r="AF33" s="37">
        <f t="shared" si="5"/>
        <v>2.6062499999999993</v>
      </c>
      <c r="AG33" s="17" t="s">
        <v>72</v>
      </c>
      <c r="AH33" s="32" t="s">
        <v>186</v>
      </c>
    </row>
    <row r="34" spans="1:34" ht="14.25" hidden="1" customHeight="1">
      <c r="A34" s="33">
        <v>30</v>
      </c>
      <c r="B34" s="12">
        <v>9843</v>
      </c>
      <c r="C34" s="12" t="s">
        <v>256</v>
      </c>
      <c r="D34" s="12" t="s">
        <v>257</v>
      </c>
      <c r="E34" s="12" t="s">
        <v>258</v>
      </c>
      <c r="F34" s="12" t="s">
        <v>238</v>
      </c>
      <c r="G34" s="12" t="s">
        <v>259</v>
      </c>
      <c r="H34" s="12" t="s">
        <v>171</v>
      </c>
      <c r="I34" s="12" t="s">
        <v>172</v>
      </c>
      <c r="J34" s="12" t="s">
        <v>173</v>
      </c>
      <c r="K34" s="12" t="s">
        <v>245</v>
      </c>
      <c r="L34" s="12"/>
      <c r="M34" s="12" t="s">
        <v>172</v>
      </c>
      <c r="N34" s="34">
        <v>1.2120833333333301</v>
      </c>
      <c r="O34" s="34">
        <v>0.20833333333333301</v>
      </c>
      <c r="P34" s="34">
        <v>0</v>
      </c>
      <c r="Q34" s="34">
        <v>1.42041666666667</v>
      </c>
      <c r="R34" s="35">
        <v>0.63596362569668496</v>
      </c>
      <c r="S34" s="34">
        <v>0.710208333333333</v>
      </c>
      <c r="T34" s="34">
        <v>0.710208333333333</v>
      </c>
      <c r="U34" s="36">
        <v>1</v>
      </c>
      <c r="AA34" s="37">
        <f t="shared" si="0"/>
        <v>1.2120833333333301</v>
      </c>
      <c r="AB34" s="37">
        <f t="shared" si="1"/>
        <v>0.20833333333333301</v>
      </c>
      <c r="AC34" s="37">
        <f t="shared" si="2"/>
        <v>0</v>
      </c>
      <c r="AD34" s="37">
        <f t="shared" si="3"/>
        <v>1.42041666666667</v>
      </c>
      <c r="AE34" s="20">
        <f t="shared" si="4"/>
        <v>0.63596362569668496</v>
      </c>
      <c r="AF34" s="37">
        <f t="shared" si="5"/>
        <v>0.9033333333333351</v>
      </c>
      <c r="AG34" s="17" t="s">
        <v>72</v>
      </c>
      <c r="AH34" s="32" t="s">
        <v>186</v>
      </c>
    </row>
    <row r="35" spans="1:34" ht="14.25" customHeight="1">
      <c r="A35" s="33">
        <v>31</v>
      </c>
      <c r="B35" s="12">
        <v>9844</v>
      </c>
      <c r="C35" s="12" t="s">
        <v>260</v>
      </c>
      <c r="D35" s="12" t="s">
        <v>261</v>
      </c>
      <c r="E35" s="12" t="s">
        <v>262</v>
      </c>
      <c r="F35" s="12" t="s">
        <v>169</v>
      </c>
      <c r="G35" s="12" t="s">
        <v>263</v>
      </c>
      <c r="H35" s="12" t="s">
        <v>171</v>
      </c>
      <c r="I35" s="12" t="s">
        <v>181</v>
      </c>
      <c r="J35" s="12" t="s">
        <v>173</v>
      </c>
      <c r="K35" s="12" t="s">
        <v>245</v>
      </c>
      <c r="L35" s="12"/>
      <c r="M35" s="12" t="s">
        <v>172</v>
      </c>
      <c r="N35" s="34">
        <v>0.67083333333333295</v>
      </c>
      <c r="O35" s="34">
        <v>0.68333333333333302</v>
      </c>
      <c r="P35" s="34">
        <v>0</v>
      </c>
      <c r="Q35" s="34">
        <v>1.3541666666666701</v>
      </c>
      <c r="R35" s="35">
        <v>0.36923076923076897</v>
      </c>
      <c r="S35" s="34">
        <v>0.67708333333333304</v>
      </c>
      <c r="T35" s="34">
        <v>0.67708333333333304</v>
      </c>
      <c r="U35" s="36">
        <v>1</v>
      </c>
      <c r="AA35" s="37">
        <f t="shared" si="0"/>
        <v>0.67083333333333295</v>
      </c>
      <c r="AB35" s="37">
        <f t="shared" si="1"/>
        <v>0.68333333333333302</v>
      </c>
      <c r="AC35" s="37">
        <f t="shared" si="2"/>
        <v>0</v>
      </c>
      <c r="AD35" s="37">
        <f t="shared" si="3"/>
        <v>1.3541666666666701</v>
      </c>
      <c r="AE35" s="20">
        <f t="shared" si="4"/>
        <v>0.36923076923076897</v>
      </c>
      <c r="AF35" s="37">
        <f t="shared" si="5"/>
        <v>0.50000000000000089</v>
      </c>
      <c r="AG35" s="17" t="s">
        <v>72</v>
      </c>
      <c r="AH35" s="32" t="s">
        <v>201</v>
      </c>
    </row>
    <row r="36" spans="1:34" ht="14.25" hidden="1" customHeight="1">
      <c r="A36" s="33">
        <v>32</v>
      </c>
      <c r="B36" s="12">
        <v>9845</v>
      </c>
      <c r="C36" s="12" t="s">
        <v>264</v>
      </c>
      <c r="D36" s="12" t="s">
        <v>265</v>
      </c>
      <c r="E36" s="12" t="s">
        <v>237</v>
      </c>
      <c r="F36" s="12" t="s">
        <v>238</v>
      </c>
      <c r="G36" s="12" t="s">
        <v>239</v>
      </c>
      <c r="H36" s="12" t="s">
        <v>171</v>
      </c>
      <c r="I36" s="12" t="s">
        <v>172</v>
      </c>
      <c r="J36" s="12" t="s">
        <v>173</v>
      </c>
      <c r="K36" s="12" t="s">
        <v>245</v>
      </c>
      <c r="L36" s="12"/>
      <c r="M36" s="12" t="s">
        <v>172</v>
      </c>
      <c r="N36" s="34">
        <v>3.4049166666666699</v>
      </c>
      <c r="O36" s="34">
        <v>0</v>
      </c>
      <c r="P36" s="34">
        <v>0</v>
      </c>
      <c r="Q36" s="34">
        <v>3.4049166666666699</v>
      </c>
      <c r="R36" s="35">
        <v>0.84091632198536403</v>
      </c>
      <c r="S36" s="34">
        <v>1.7024583333333301</v>
      </c>
      <c r="T36" s="34">
        <v>1.7024583333333301</v>
      </c>
      <c r="U36" s="36">
        <v>1</v>
      </c>
      <c r="AA36" s="37">
        <f t="shared" si="0"/>
        <v>3.4049166666666699</v>
      </c>
      <c r="AB36" s="37">
        <f t="shared" si="1"/>
        <v>0</v>
      </c>
      <c r="AC36" s="37">
        <f t="shared" si="2"/>
        <v>0</v>
      </c>
      <c r="AD36" s="37">
        <f t="shared" si="3"/>
        <v>3.4049166666666699</v>
      </c>
      <c r="AE36" s="20">
        <f t="shared" si="4"/>
        <v>0.84091632198536403</v>
      </c>
      <c r="AF36" s="37">
        <f t="shared" si="5"/>
        <v>2.8632500000000016</v>
      </c>
      <c r="AG36" s="17" t="s">
        <v>72</v>
      </c>
      <c r="AH36" s="32" t="s">
        <v>191</v>
      </c>
    </row>
    <row r="37" spans="1:34" ht="14.25" hidden="1" customHeight="1">
      <c r="A37" s="33">
        <v>33</v>
      </c>
      <c r="B37" s="12">
        <v>9846</v>
      </c>
      <c r="C37" s="12" t="s">
        <v>266</v>
      </c>
      <c r="D37" s="12" t="s">
        <v>267</v>
      </c>
      <c r="E37" s="12" t="s">
        <v>258</v>
      </c>
      <c r="F37" s="12" t="s">
        <v>238</v>
      </c>
      <c r="G37" s="12" t="s">
        <v>259</v>
      </c>
      <c r="H37" s="12" t="s">
        <v>171</v>
      </c>
      <c r="I37" s="12" t="s">
        <v>172</v>
      </c>
      <c r="J37" s="12" t="s">
        <v>173</v>
      </c>
      <c r="K37" s="12" t="s">
        <v>245</v>
      </c>
      <c r="L37" s="12"/>
      <c r="M37" s="12" t="s">
        <v>172</v>
      </c>
      <c r="N37" s="34">
        <v>3.125E-2</v>
      </c>
      <c r="O37" s="34">
        <v>0.4</v>
      </c>
      <c r="P37" s="34">
        <v>0</v>
      </c>
      <c r="Q37" s="34">
        <v>0.43125000000000002</v>
      </c>
      <c r="R37" s="35">
        <v>0.92753623188405798</v>
      </c>
      <c r="S37" s="34">
        <v>0.21562500000000001</v>
      </c>
      <c r="T37" s="34">
        <v>0.21562500000000001</v>
      </c>
      <c r="U37" s="36">
        <v>1</v>
      </c>
      <c r="AA37" s="37">
        <f t="shared" ref="AA37:AA68" si="6">N37</f>
        <v>3.125E-2</v>
      </c>
      <c r="AB37" s="37">
        <f t="shared" ref="AB37:AB68" si="7">O37</f>
        <v>0.4</v>
      </c>
      <c r="AC37" s="37">
        <f t="shared" ref="AC37:AC68" si="8">P37</f>
        <v>0</v>
      </c>
      <c r="AD37" s="37">
        <f t="shared" ref="AD37:AD68" si="9">Q37</f>
        <v>0.43125000000000002</v>
      </c>
      <c r="AE37" s="20">
        <f t="shared" ref="AE37:AE68" si="10">R37</f>
        <v>0.92753623188405798</v>
      </c>
      <c r="AF37" s="37">
        <f t="shared" ref="AF37:AF68" si="11">Q37*R37</f>
        <v>0.4</v>
      </c>
      <c r="AG37" s="17" t="s">
        <v>72</v>
      </c>
      <c r="AH37" s="32" t="s">
        <v>186</v>
      </c>
    </row>
    <row r="38" spans="1:34" ht="14.25" hidden="1" customHeight="1">
      <c r="A38" s="33">
        <v>34</v>
      </c>
      <c r="B38" s="12">
        <v>9847</v>
      </c>
      <c r="C38" s="12" t="s">
        <v>268</v>
      </c>
      <c r="D38" s="12" t="s">
        <v>269</v>
      </c>
      <c r="E38" s="12" t="s">
        <v>179</v>
      </c>
      <c r="F38" s="12" t="s">
        <v>169</v>
      </c>
      <c r="G38" s="12" t="s">
        <v>180</v>
      </c>
      <c r="H38" s="12" t="s">
        <v>171</v>
      </c>
      <c r="I38" s="12" t="s">
        <v>172</v>
      </c>
      <c r="J38" s="12" t="s">
        <v>173</v>
      </c>
      <c r="K38" s="12" t="s">
        <v>245</v>
      </c>
      <c r="L38" s="12"/>
      <c r="M38" s="12" t="s">
        <v>172</v>
      </c>
      <c r="N38" s="34">
        <v>0.15262500000000001</v>
      </c>
      <c r="O38" s="34">
        <v>0.3</v>
      </c>
      <c r="P38" s="34">
        <v>0</v>
      </c>
      <c r="Q38" s="34">
        <v>0.452625</v>
      </c>
      <c r="R38" s="35">
        <v>1</v>
      </c>
      <c r="S38" s="34">
        <v>0.2263125</v>
      </c>
      <c r="T38" s="34">
        <v>0.2263125</v>
      </c>
      <c r="U38" s="36">
        <v>1</v>
      </c>
      <c r="AA38" s="37">
        <f t="shared" si="6"/>
        <v>0.15262500000000001</v>
      </c>
      <c r="AB38" s="37">
        <f t="shared" si="7"/>
        <v>0.3</v>
      </c>
      <c r="AC38" s="37">
        <f t="shared" si="8"/>
        <v>0</v>
      </c>
      <c r="AD38" s="37">
        <f t="shared" si="9"/>
        <v>0.452625</v>
      </c>
      <c r="AE38" s="20">
        <f t="shared" si="10"/>
        <v>1</v>
      </c>
      <c r="AF38" s="37">
        <f t="shared" si="11"/>
        <v>0.452625</v>
      </c>
      <c r="AG38" s="17" t="s">
        <v>72</v>
      </c>
      <c r="AH38" s="32" t="s">
        <v>201</v>
      </c>
    </row>
    <row r="39" spans="1:34" ht="14.25" hidden="1" customHeight="1">
      <c r="A39" s="33">
        <v>35</v>
      </c>
      <c r="B39" s="12">
        <v>9848</v>
      </c>
      <c r="C39" s="12" t="s">
        <v>270</v>
      </c>
      <c r="D39" s="12" t="s">
        <v>271</v>
      </c>
      <c r="E39" s="12" t="s">
        <v>237</v>
      </c>
      <c r="F39" s="12" t="s">
        <v>238</v>
      </c>
      <c r="G39" s="12" t="s">
        <v>239</v>
      </c>
      <c r="H39" s="12" t="s">
        <v>171</v>
      </c>
      <c r="I39" s="12" t="s">
        <v>172</v>
      </c>
      <c r="J39" s="12" t="s">
        <v>173</v>
      </c>
      <c r="K39" s="12" t="s">
        <v>245</v>
      </c>
      <c r="L39" s="12"/>
      <c r="M39" s="12" t="s">
        <v>172</v>
      </c>
      <c r="N39" s="34">
        <v>0.88541666666666696</v>
      </c>
      <c r="O39" s="34">
        <v>0</v>
      </c>
      <c r="P39" s="34">
        <v>0</v>
      </c>
      <c r="Q39" s="34">
        <v>0.88541666666666696</v>
      </c>
      <c r="R39" s="35">
        <v>0.83058823529411796</v>
      </c>
      <c r="S39" s="34">
        <v>0.44270833333333298</v>
      </c>
      <c r="T39" s="34">
        <v>0.44270833333333298</v>
      </c>
      <c r="U39" s="36">
        <v>1</v>
      </c>
      <c r="AA39" s="37">
        <f t="shared" si="6"/>
        <v>0.88541666666666696</v>
      </c>
      <c r="AB39" s="37">
        <f t="shared" si="7"/>
        <v>0</v>
      </c>
      <c r="AC39" s="37">
        <f t="shared" si="8"/>
        <v>0</v>
      </c>
      <c r="AD39" s="37">
        <f t="shared" si="9"/>
        <v>0.88541666666666696</v>
      </c>
      <c r="AE39" s="20">
        <f t="shared" si="10"/>
        <v>0.83058823529411796</v>
      </c>
      <c r="AF39" s="37">
        <f t="shared" si="11"/>
        <v>0.73541666666666716</v>
      </c>
      <c r="AG39" s="17" t="s">
        <v>72</v>
      </c>
      <c r="AH39" s="32" t="s">
        <v>176</v>
      </c>
    </row>
    <row r="40" spans="1:34" ht="14.25" hidden="1" customHeight="1">
      <c r="A40" s="33">
        <v>36</v>
      </c>
      <c r="B40" s="12">
        <v>9849</v>
      </c>
      <c r="C40" s="12" t="s">
        <v>272</v>
      </c>
      <c r="D40" s="12" t="s">
        <v>273</v>
      </c>
      <c r="E40" s="12" t="s">
        <v>237</v>
      </c>
      <c r="F40" s="12" t="s">
        <v>238</v>
      </c>
      <c r="G40" s="12" t="s">
        <v>239</v>
      </c>
      <c r="H40" s="12" t="s">
        <v>231</v>
      </c>
      <c r="I40" s="12" t="s">
        <v>172</v>
      </c>
      <c r="J40" s="12" t="s">
        <v>173</v>
      </c>
      <c r="K40" s="12" t="s">
        <v>274</v>
      </c>
      <c r="L40" s="12"/>
      <c r="M40" s="12" t="s">
        <v>172</v>
      </c>
      <c r="N40" s="34">
        <v>5.1862500000000002</v>
      </c>
      <c r="O40" s="34">
        <v>0.38333333333333303</v>
      </c>
      <c r="P40" s="34">
        <v>0</v>
      </c>
      <c r="Q40" s="34">
        <v>5.5695833333333304</v>
      </c>
      <c r="R40" s="35">
        <v>0.83152539836911799</v>
      </c>
      <c r="S40" s="34">
        <v>2.7847916666666701</v>
      </c>
      <c r="T40" s="34">
        <v>2.7847916666666701</v>
      </c>
      <c r="U40" s="36">
        <v>1</v>
      </c>
      <c r="AA40" s="37">
        <f t="shared" si="6"/>
        <v>5.1862500000000002</v>
      </c>
      <c r="AB40" s="37">
        <f t="shared" si="7"/>
        <v>0.38333333333333303</v>
      </c>
      <c r="AC40" s="37">
        <f t="shared" si="8"/>
        <v>0</v>
      </c>
      <c r="AD40" s="37">
        <f t="shared" si="9"/>
        <v>5.5695833333333304</v>
      </c>
      <c r="AE40" s="20">
        <f t="shared" si="10"/>
        <v>0.83152539836911799</v>
      </c>
      <c r="AF40" s="37">
        <f t="shared" si="11"/>
        <v>4.6312499999999979</v>
      </c>
      <c r="AG40" s="17" t="s">
        <v>72</v>
      </c>
      <c r="AH40" s="32" t="s">
        <v>176</v>
      </c>
    </row>
    <row r="41" spans="1:34" ht="14.25" customHeight="1">
      <c r="A41" s="33">
        <v>37</v>
      </c>
      <c r="B41" s="12">
        <v>9851</v>
      </c>
      <c r="C41" s="12" t="s">
        <v>275</v>
      </c>
      <c r="D41" s="12" t="s">
        <v>276</v>
      </c>
      <c r="E41" s="12" t="s">
        <v>262</v>
      </c>
      <c r="F41" s="12" t="s">
        <v>169</v>
      </c>
      <c r="G41" s="12" t="s">
        <v>263</v>
      </c>
      <c r="H41" s="12" t="s">
        <v>171</v>
      </c>
      <c r="I41" s="12" t="s">
        <v>172</v>
      </c>
      <c r="J41" s="12" t="s">
        <v>173</v>
      </c>
      <c r="K41" s="12" t="s">
        <v>274</v>
      </c>
      <c r="L41" s="12" t="s">
        <v>277</v>
      </c>
      <c r="M41" s="12" t="s">
        <v>172</v>
      </c>
      <c r="N41" s="34">
        <v>0.29166666666666702</v>
      </c>
      <c r="O41" s="34">
        <v>0.116666666666667</v>
      </c>
      <c r="P41" s="34">
        <v>0</v>
      </c>
      <c r="Q41" s="34">
        <v>0.40833333333333299</v>
      </c>
      <c r="R41" s="35">
        <v>0.82653061224489799</v>
      </c>
      <c r="S41" s="34">
        <v>0.204166666666667</v>
      </c>
      <c r="T41" s="34">
        <v>0.204166666666667</v>
      </c>
      <c r="U41" s="36">
        <v>1</v>
      </c>
      <c r="AA41" s="37">
        <f t="shared" si="6"/>
        <v>0.29166666666666702</v>
      </c>
      <c r="AB41" s="37">
        <f t="shared" si="7"/>
        <v>0.116666666666667</v>
      </c>
      <c r="AC41" s="37">
        <f t="shared" si="8"/>
        <v>0</v>
      </c>
      <c r="AD41" s="37">
        <f t="shared" si="9"/>
        <v>0.40833333333333299</v>
      </c>
      <c r="AE41" s="20">
        <f t="shared" si="10"/>
        <v>0.82653061224489799</v>
      </c>
      <c r="AF41" s="37">
        <f t="shared" si="11"/>
        <v>0.33749999999999974</v>
      </c>
      <c r="AG41" s="17" t="s">
        <v>72</v>
      </c>
      <c r="AH41" s="32" t="s">
        <v>196</v>
      </c>
    </row>
    <row r="42" spans="1:34" ht="14.25" customHeight="1">
      <c r="A42" s="33">
        <v>38</v>
      </c>
      <c r="B42" s="12">
        <v>9852</v>
      </c>
      <c r="C42" s="12" t="s">
        <v>278</v>
      </c>
      <c r="D42" s="12" t="s">
        <v>279</v>
      </c>
      <c r="E42" s="12" t="s">
        <v>262</v>
      </c>
      <c r="F42" s="12" t="s">
        <v>169</v>
      </c>
      <c r="G42" s="12" t="s">
        <v>263</v>
      </c>
      <c r="H42" s="12" t="s">
        <v>171</v>
      </c>
      <c r="I42" s="12" t="s">
        <v>172</v>
      </c>
      <c r="J42" s="12" t="s">
        <v>173</v>
      </c>
      <c r="K42" s="12" t="s">
        <v>280</v>
      </c>
      <c r="L42" s="12"/>
      <c r="M42" s="12" t="s">
        <v>172</v>
      </c>
      <c r="N42" s="34">
        <v>0.50833333333333297</v>
      </c>
      <c r="O42" s="34">
        <v>0</v>
      </c>
      <c r="P42" s="34">
        <v>0</v>
      </c>
      <c r="Q42" s="34">
        <v>0.50833333333333297</v>
      </c>
      <c r="R42" s="35">
        <v>0.36885245901639402</v>
      </c>
      <c r="S42" s="34">
        <v>0.25416666666666698</v>
      </c>
      <c r="T42" s="34">
        <v>0.25416666666666698</v>
      </c>
      <c r="U42" s="36">
        <v>1</v>
      </c>
      <c r="AA42" s="37">
        <f t="shared" si="6"/>
        <v>0.50833333333333297</v>
      </c>
      <c r="AB42" s="37">
        <f t="shared" si="7"/>
        <v>0</v>
      </c>
      <c r="AC42" s="37">
        <f t="shared" si="8"/>
        <v>0</v>
      </c>
      <c r="AD42" s="37">
        <f t="shared" si="9"/>
        <v>0.50833333333333297</v>
      </c>
      <c r="AE42" s="20">
        <f t="shared" si="10"/>
        <v>0.36885245901639402</v>
      </c>
      <c r="AF42" s="37">
        <f t="shared" si="11"/>
        <v>0.18750000000000017</v>
      </c>
      <c r="AG42" s="17" t="s">
        <v>72</v>
      </c>
      <c r="AH42" s="32" t="s">
        <v>232</v>
      </c>
    </row>
    <row r="43" spans="1:34" ht="14.25" hidden="1" customHeight="1">
      <c r="A43" s="33">
        <v>39</v>
      </c>
      <c r="B43" s="12">
        <v>9854</v>
      </c>
      <c r="C43" s="12" t="s">
        <v>281</v>
      </c>
      <c r="D43" s="12" t="s">
        <v>282</v>
      </c>
      <c r="E43" s="12" t="s">
        <v>237</v>
      </c>
      <c r="F43" s="12" t="s">
        <v>238</v>
      </c>
      <c r="G43" s="12" t="s">
        <v>239</v>
      </c>
      <c r="H43" s="12" t="s">
        <v>171</v>
      </c>
      <c r="I43" s="12" t="s">
        <v>172</v>
      </c>
      <c r="J43" s="12" t="s">
        <v>173</v>
      </c>
      <c r="K43" s="12" t="s">
        <v>283</v>
      </c>
      <c r="L43" s="12"/>
      <c r="M43" s="12" t="s">
        <v>172</v>
      </c>
      <c r="N43" s="34">
        <v>1.40041666666667</v>
      </c>
      <c r="O43" s="34">
        <v>0</v>
      </c>
      <c r="P43" s="34">
        <v>0</v>
      </c>
      <c r="Q43" s="34">
        <v>1.40041666666667</v>
      </c>
      <c r="R43" s="35">
        <v>0.92859268074977697</v>
      </c>
      <c r="S43" s="34">
        <v>0.70020833333333299</v>
      </c>
      <c r="T43" s="34">
        <v>0.70020833333333299</v>
      </c>
      <c r="U43" s="36">
        <v>1</v>
      </c>
      <c r="AA43" s="37">
        <f t="shared" si="6"/>
        <v>1.40041666666667</v>
      </c>
      <c r="AB43" s="37">
        <f t="shared" si="7"/>
        <v>0</v>
      </c>
      <c r="AC43" s="37">
        <f t="shared" si="8"/>
        <v>0</v>
      </c>
      <c r="AD43" s="37">
        <f t="shared" si="9"/>
        <v>1.40041666666667</v>
      </c>
      <c r="AE43" s="20">
        <f t="shared" si="10"/>
        <v>0.92859268074977697</v>
      </c>
      <c r="AF43" s="37">
        <f t="shared" si="11"/>
        <v>1.3004166666666699</v>
      </c>
      <c r="AG43" s="17" t="s">
        <v>72</v>
      </c>
      <c r="AH43" s="32" t="s">
        <v>191</v>
      </c>
    </row>
    <row r="44" spans="1:34" ht="14.25" hidden="1" customHeight="1">
      <c r="A44" s="33">
        <v>40</v>
      </c>
      <c r="B44" s="12">
        <v>9857</v>
      </c>
      <c r="C44" s="12" t="s">
        <v>284</v>
      </c>
      <c r="D44" s="12" t="s">
        <v>285</v>
      </c>
      <c r="E44" s="12" t="s">
        <v>248</v>
      </c>
      <c r="F44" s="12" t="s">
        <v>238</v>
      </c>
      <c r="G44" s="12" t="s">
        <v>249</v>
      </c>
      <c r="H44" s="12" t="s">
        <v>171</v>
      </c>
      <c r="I44" s="12" t="s">
        <v>181</v>
      </c>
      <c r="J44" s="12" t="s">
        <v>173</v>
      </c>
      <c r="K44" s="12" t="s">
        <v>274</v>
      </c>
      <c r="L44" s="12"/>
      <c r="M44" s="12" t="s">
        <v>172</v>
      </c>
      <c r="N44" s="34">
        <v>20.211666666666702</v>
      </c>
      <c r="O44" s="34">
        <v>1.81666666666667</v>
      </c>
      <c r="P44" s="34">
        <v>0</v>
      </c>
      <c r="Q44" s="34">
        <v>22.0283333333333</v>
      </c>
      <c r="R44" s="35">
        <v>0.92547476734508605</v>
      </c>
      <c r="S44" s="34">
        <v>11.0141666666667</v>
      </c>
      <c r="T44" s="34">
        <v>11.0141666666667</v>
      </c>
      <c r="U44" s="36">
        <v>1</v>
      </c>
      <c r="AA44" s="37">
        <f t="shared" si="6"/>
        <v>20.211666666666702</v>
      </c>
      <c r="AB44" s="37">
        <f t="shared" si="7"/>
        <v>1.81666666666667</v>
      </c>
      <c r="AC44" s="37">
        <f t="shared" si="8"/>
        <v>0</v>
      </c>
      <c r="AD44" s="37">
        <f t="shared" si="9"/>
        <v>22.0283333333333</v>
      </c>
      <c r="AE44" s="20">
        <f t="shared" si="10"/>
        <v>0.92547476734508605</v>
      </c>
      <c r="AF44" s="37">
        <f t="shared" si="11"/>
        <v>20.386666666666638</v>
      </c>
      <c r="AG44" s="17" t="s">
        <v>72</v>
      </c>
      <c r="AH44" s="32" t="s">
        <v>186</v>
      </c>
    </row>
    <row r="45" spans="1:34" ht="14.25" hidden="1" customHeight="1">
      <c r="A45" s="33">
        <v>41</v>
      </c>
      <c r="B45" s="12">
        <v>9858</v>
      </c>
      <c r="C45" s="12" t="s">
        <v>286</v>
      </c>
      <c r="D45" s="12" t="s">
        <v>287</v>
      </c>
      <c r="E45" s="12" t="s">
        <v>288</v>
      </c>
      <c r="F45" s="12" t="s">
        <v>289</v>
      </c>
      <c r="G45" s="12"/>
      <c r="H45" s="12" t="s">
        <v>171</v>
      </c>
      <c r="I45" s="12" t="s">
        <v>172</v>
      </c>
      <c r="J45" s="12" t="s">
        <v>173</v>
      </c>
      <c r="K45" s="12" t="s">
        <v>274</v>
      </c>
      <c r="L45" s="12"/>
      <c r="M45" s="12" t="s">
        <v>172</v>
      </c>
      <c r="N45" s="34">
        <v>4.8333333333333304</v>
      </c>
      <c r="O45" s="34">
        <v>1</v>
      </c>
      <c r="P45" s="34">
        <v>1.0833333333333299</v>
      </c>
      <c r="Q45" s="34">
        <v>6.9166666666666696</v>
      </c>
      <c r="R45" s="35">
        <v>0.71084337349397597</v>
      </c>
      <c r="S45" s="34">
        <v>3.4583333333333299</v>
      </c>
      <c r="T45" s="34">
        <v>3.4583333333333299</v>
      </c>
      <c r="U45" s="36">
        <v>1</v>
      </c>
      <c r="AA45" s="37">
        <f t="shared" si="6"/>
        <v>4.8333333333333304</v>
      </c>
      <c r="AB45" s="37">
        <f t="shared" si="7"/>
        <v>1</v>
      </c>
      <c r="AC45" s="37">
        <f t="shared" si="8"/>
        <v>1.0833333333333299</v>
      </c>
      <c r="AD45" s="37">
        <f t="shared" si="9"/>
        <v>6.9166666666666696</v>
      </c>
      <c r="AE45" s="20">
        <f t="shared" si="10"/>
        <v>0.71084337349397597</v>
      </c>
      <c r="AF45" s="37">
        <f t="shared" si="11"/>
        <v>4.9166666666666696</v>
      </c>
      <c r="AG45" s="17" t="s">
        <v>72</v>
      </c>
      <c r="AH45" s="32" t="s">
        <v>186</v>
      </c>
    </row>
    <row r="46" spans="1:34" ht="14.25" hidden="1" customHeight="1">
      <c r="A46" s="33">
        <v>42</v>
      </c>
      <c r="B46" s="12">
        <v>9861</v>
      </c>
      <c r="C46" s="12" t="s">
        <v>290</v>
      </c>
      <c r="D46" s="12" t="s">
        <v>291</v>
      </c>
      <c r="E46" s="12" t="s">
        <v>237</v>
      </c>
      <c r="F46" s="12" t="s">
        <v>238</v>
      </c>
      <c r="G46" s="12" t="s">
        <v>239</v>
      </c>
      <c r="H46" s="12" t="s">
        <v>171</v>
      </c>
      <c r="I46" s="12" t="s">
        <v>181</v>
      </c>
      <c r="J46" s="12" t="s">
        <v>173</v>
      </c>
      <c r="K46" s="12" t="s">
        <v>274</v>
      </c>
      <c r="L46" s="12"/>
      <c r="M46" s="12" t="s">
        <v>172</v>
      </c>
      <c r="N46" s="34">
        <v>6.3152916666666696</v>
      </c>
      <c r="O46" s="34">
        <v>0</v>
      </c>
      <c r="P46" s="34">
        <v>0</v>
      </c>
      <c r="Q46" s="34">
        <v>6.3152916666666696</v>
      </c>
      <c r="R46" s="35">
        <v>0.87325737132753201</v>
      </c>
      <c r="S46" s="34">
        <v>3.1576458333333299</v>
      </c>
      <c r="T46" s="34">
        <v>3.1576458333333299</v>
      </c>
      <c r="U46" s="36">
        <v>1</v>
      </c>
      <c r="AA46" s="37">
        <f t="shared" si="6"/>
        <v>6.3152916666666696</v>
      </c>
      <c r="AB46" s="37">
        <f t="shared" si="7"/>
        <v>0</v>
      </c>
      <c r="AC46" s="37">
        <f t="shared" si="8"/>
        <v>0</v>
      </c>
      <c r="AD46" s="37">
        <f t="shared" si="9"/>
        <v>6.3152916666666696</v>
      </c>
      <c r="AE46" s="20">
        <f t="shared" si="10"/>
        <v>0.87325737132753201</v>
      </c>
      <c r="AF46" s="37">
        <f t="shared" si="11"/>
        <v>5.5148750000000044</v>
      </c>
      <c r="AG46" s="17" t="s">
        <v>72</v>
      </c>
      <c r="AH46" s="32" t="s">
        <v>186</v>
      </c>
    </row>
    <row r="47" spans="1:34" ht="14.25" hidden="1" customHeight="1">
      <c r="A47" s="33">
        <v>43</v>
      </c>
      <c r="B47" s="12">
        <v>9879</v>
      </c>
      <c r="C47" s="12" t="s">
        <v>292</v>
      </c>
      <c r="D47" s="12" t="s">
        <v>293</v>
      </c>
      <c r="E47" s="12" t="s">
        <v>243</v>
      </c>
      <c r="F47" s="12" t="s">
        <v>238</v>
      </c>
      <c r="G47" s="12" t="s">
        <v>244</v>
      </c>
      <c r="H47" s="12" t="s">
        <v>171</v>
      </c>
      <c r="I47" s="12" t="s">
        <v>172</v>
      </c>
      <c r="J47" s="12" t="s">
        <v>173</v>
      </c>
      <c r="K47" s="12" t="s">
        <v>274</v>
      </c>
      <c r="L47" s="12"/>
      <c r="M47" s="12" t="s">
        <v>172</v>
      </c>
      <c r="N47" s="34">
        <v>0.2</v>
      </c>
      <c r="O47" s="34">
        <v>0.1</v>
      </c>
      <c r="P47" s="34">
        <v>0</v>
      </c>
      <c r="Q47" s="34">
        <v>0.30833333333333302</v>
      </c>
      <c r="R47" s="35">
        <v>0.67567567567567599</v>
      </c>
      <c r="S47" s="34">
        <v>0.15416666666666701</v>
      </c>
      <c r="T47" s="34">
        <v>0.15416666666666701</v>
      </c>
      <c r="U47" s="36">
        <v>1</v>
      </c>
      <c r="AA47" s="37">
        <f t="shared" si="6"/>
        <v>0.2</v>
      </c>
      <c r="AB47" s="37">
        <f t="shared" si="7"/>
        <v>0.1</v>
      </c>
      <c r="AC47" s="37">
        <f t="shared" si="8"/>
        <v>0</v>
      </c>
      <c r="AD47" s="37">
        <f t="shared" si="9"/>
        <v>0.30833333333333302</v>
      </c>
      <c r="AE47" s="20">
        <f t="shared" si="10"/>
        <v>0.67567567567567599</v>
      </c>
      <c r="AF47" s="37">
        <f t="shared" si="11"/>
        <v>0.2083333333333332</v>
      </c>
      <c r="AG47" s="17" t="s">
        <v>72</v>
      </c>
      <c r="AH47" s="32" t="s">
        <v>186</v>
      </c>
    </row>
    <row r="48" spans="1:34" ht="14.25" customHeight="1">
      <c r="A48" s="33">
        <v>44</v>
      </c>
      <c r="B48" s="12">
        <v>9890</v>
      </c>
      <c r="C48" s="12" t="s">
        <v>294</v>
      </c>
      <c r="D48" s="12" t="s">
        <v>295</v>
      </c>
      <c r="E48" s="12" t="s">
        <v>262</v>
      </c>
      <c r="F48" s="12" t="s">
        <v>169</v>
      </c>
      <c r="G48" s="12" t="s">
        <v>263</v>
      </c>
      <c r="H48" s="12" t="s">
        <v>171</v>
      </c>
      <c r="I48" s="12" t="s">
        <v>172</v>
      </c>
      <c r="J48" s="12" t="s">
        <v>173</v>
      </c>
      <c r="K48" s="12" t="s">
        <v>274</v>
      </c>
      <c r="L48" s="12"/>
      <c r="M48" s="12" t="s">
        <v>172</v>
      </c>
      <c r="N48" s="34">
        <v>1.50545833333333</v>
      </c>
      <c r="O48" s="34">
        <v>4.5833333333333302E-2</v>
      </c>
      <c r="P48" s="34">
        <v>0</v>
      </c>
      <c r="Q48" s="34">
        <v>1.5512916666666701</v>
      </c>
      <c r="R48" s="35">
        <v>7.2009884236254804E-2</v>
      </c>
      <c r="S48" s="34">
        <v>0.77564583333333303</v>
      </c>
      <c r="T48" s="34">
        <v>0.77564583333333303</v>
      </c>
      <c r="U48" s="36">
        <v>1</v>
      </c>
      <c r="AA48" s="37">
        <f t="shared" si="6"/>
        <v>1.50545833333333</v>
      </c>
      <c r="AB48" s="37">
        <f t="shared" si="7"/>
        <v>4.5833333333333302E-2</v>
      </c>
      <c r="AC48" s="37">
        <f t="shared" si="8"/>
        <v>0</v>
      </c>
      <c r="AD48" s="37">
        <f t="shared" si="9"/>
        <v>1.5512916666666701</v>
      </c>
      <c r="AE48" s="20">
        <f t="shared" si="10"/>
        <v>7.2009884236254804E-2</v>
      </c>
      <c r="AF48" s="37">
        <f t="shared" si="11"/>
        <v>0.11170833333333369</v>
      </c>
      <c r="AG48" s="17" t="s">
        <v>72</v>
      </c>
      <c r="AH48" s="32" t="s">
        <v>191</v>
      </c>
    </row>
    <row r="49" spans="1:34" ht="14.25" hidden="1" customHeight="1">
      <c r="A49" s="33">
        <v>45</v>
      </c>
      <c r="B49" s="12">
        <v>9894</v>
      </c>
      <c r="C49" s="12" t="s">
        <v>296</v>
      </c>
      <c r="D49" s="12" t="s">
        <v>297</v>
      </c>
      <c r="E49" s="12" t="s">
        <v>298</v>
      </c>
      <c r="F49" s="12" t="s">
        <v>289</v>
      </c>
      <c r="G49" s="12" t="s">
        <v>299</v>
      </c>
      <c r="H49" s="12" t="s">
        <v>171</v>
      </c>
      <c r="I49" s="12" t="s">
        <v>172</v>
      </c>
      <c r="J49" s="12" t="s">
        <v>173</v>
      </c>
      <c r="K49" s="12" t="s">
        <v>255</v>
      </c>
      <c r="L49" s="12"/>
      <c r="M49" s="12" t="s">
        <v>172</v>
      </c>
      <c r="N49" s="34">
        <v>2.8418749999999999</v>
      </c>
      <c r="O49" s="34">
        <v>0.35208333333333303</v>
      </c>
      <c r="P49" s="34">
        <v>0</v>
      </c>
      <c r="Q49" s="34">
        <v>3.1939583333333301</v>
      </c>
      <c r="R49" s="35">
        <v>0.791924858130585</v>
      </c>
      <c r="S49" s="34">
        <v>1.5969791666666699</v>
      </c>
      <c r="T49" s="34">
        <v>1.5969791666666699</v>
      </c>
      <c r="U49" s="36">
        <v>1</v>
      </c>
      <c r="AA49" s="37">
        <f t="shared" si="6"/>
        <v>2.8418749999999999</v>
      </c>
      <c r="AB49" s="37">
        <f t="shared" si="7"/>
        <v>0.35208333333333303</v>
      </c>
      <c r="AC49" s="37">
        <f t="shared" si="8"/>
        <v>0</v>
      </c>
      <c r="AD49" s="37">
        <f t="shared" si="9"/>
        <v>3.1939583333333301</v>
      </c>
      <c r="AE49" s="20">
        <f t="shared" si="10"/>
        <v>0.791924858130585</v>
      </c>
      <c r="AF49" s="37">
        <f t="shared" si="11"/>
        <v>2.5293749999999973</v>
      </c>
      <c r="AG49" s="17" t="s">
        <v>72</v>
      </c>
      <c r="AH49" s="32" t="s">
        <v>196</v>
      </c>
    </row>
    <row r="50" spans="1:34" ht="14.25" customHeight="1">
      <c r="A50" s="33">
        <v>46</v>
      </c>
      <c r="B50" s="12">
        <v>9896</v>
      </c>
      <c r="C50" s="12" t="s">
        <v>300</v>
      </c>
      <c r="D50" s="12" t="s">
        <v>301</v>
      </c>
      <c r="E50" s="12" t="s">
        <v>262</v>
      </c>
      <c r="F50" s="12" t="s">
        <v>169</v>
      </c>
      <c r="G50" s="12" t="s">
        <v>263</v>
      </c>
      <c r="H50" s="12" t="s">
        <v>171</v>
      </c>
      <c r="I50" s="12" t="s">
        <v>172</v>
      </c>
      <c r="J50" s="12" t="s">
        <v>173</v>
      </c>
      <c r="K50" s="12" t="s">
        <v>274</v>
      </c>
      <c r="L50" s="12"/>
      <c r="M50" s="12" t="s">
        <v>172</v>
      </c>
      <c r="N50" s="34">
        <v>1.091375</v>
      </c>
      <c r="O50" s="34">
        <v>0.105</v>
      </c>
      <c r="P50" s="34">
        <v>0</v>
      </c>
      <c r="Q50" s="34">
        <v>1.196375</v>
      </c>
      <c r="R50" s="35">
        <v>0.98955177097482006</v>
      </c>
      <c r="S50" s="34">
        <v>0.59818749999999998</v>
      </c>
      <c r="T50" s="34">
        <v>0.59818749999999998</v>
      </c>
      <c r="U50" s="36">
        <v>1</v>
      </c>
      <c r="AA50" s="37">
        <f t="shared" si="6"/>
        <v>1.091375</v>
      </c>
      <c r="AB50" s="37">
        <f t="shared" si="7"/>
        <v>0.105</v>
      </c>
      <c r="AC50" s="37">
        <f t="shared" si="8"/>
        <v>0</v>
      </c>
      <c r="AD50" s="37">
        <f t="shared" si="9"/>
        <v>1.196375</v>
      </c>
      <c r="AE50" s="20">
        <f t="shared" si="10"/>
        <v>0.98955177097482006</v>
      </c>
      <c r="AF50" s="37">
        <f t="shared" si="11"/>
        <v>1.1838750000000002</v>
      </c>
      <c r="AG50" s="17" t="s">
        <v>72</v>
      </c>
      <c r="AH50" s="32" t="s">
        <v>191</v>
      </c>
    </row>
    <row r="51" spans="1:34" ht="14.25" customHeight="1">
      <c r="A51" s="33">
        <v>47</v>
      </c>
      <c r="B51" s="12">
        <v>9899</v>
      </c>
      <c r="C51" s="12" t="s">
        <v>302</v>
      </c>
      <c r="D51" s="12" t="s">
        <v>303</v>
      </c>
      <c r="E51" s="12" t="s">
        <v>262</v>
      </c>
      <c r="F51" s="12" t="s">
        <v>169</v>
      </c>
      <c r="G51" s="12" t="s">
        <v>263</v>
      </c>
      <c r="H51" s="12" t="s">
        <v>171</v>
      </c>
      <c r="I51" s="12" t="s">
        <v>172</v>
      </c>
      <c r="J51" s="12" t="s">
        <v>173</v>
      </c>
      <c r="K51" s="12" t="s">
        <v>274</v>
      </c>
      <c r="L51" s="12"/>
      <c r="M51" s="12" t="s">
        <v>172</v>
      </c>
      <c r="N51" s="34">
        <v>1.2041249999999999</v>
      </c>
      <c r="O51" s="34">
        <v>0.52916666666666701</v>
      </c>
      <c r="P51" s="34">
        <v>0</v>
      </c>
      <c r="Q51" s="34">
        <v>1.73329166666667</v>
      </c>
      <c r="R51" s="35">
        <v>0.82691891632010395</v>
      </c>
      <c r="S51" s="34">
        <v>0.866645833333333</v>
      </c>
      <c r="T51" s="34">
        <v>0.866645833333333</v>
      </c>
      <c r="U51" s="36">
        <v>1</v>
      </c>
      <c r="AA51" s="37">
        <f t="shared" si="6"/>
        <v>1.2041249999999999</v>
      </c>
      <c r="AB51" s="37">
        <f t="shared" si="7"/>
        <v>0.52916666666666701</v>
      </c>
      <c r="AC51" s="37">
        <f t="shared" si="8"/>
        <v>0</v>
      </c>
      <c r="AD51" s="37">
        <f t="shared" si="9"/>
        <v>1.73329166666667</v>
      </c>
      <c r="AE51" s="20">
        <f t="shared" si="10"/>
        <v>0.82691891632010395</v>
      </c>
      <c r="AF51" s="37">
        <f t="shared" si="11"/>
        <v>1.4332916666666695</v>
      </c>
      <c r="AG51" s="17" t="s">
        <v>72</v>
      </c>
      <c r="AH51" s="32" t="s">
        <v>191</v>
      </c>
    </row>
    <row r="52" spans="1:34" ht="14.25" customHeight="1">
      <c r="A52" s="33">
        <v>48</v>
      </c>
      <c r="B52" s="12">
        <v>9906</v>
      </c>
      <c r="C52" s="12" t="s">
        <v>304</v>
      </c>
      <c r="D52" s="12" t="s">
        <v>305</v>
      </c>
      <c r="E52" s="12" t="s">
        <v>262</v>
      </c>
      <c r="F52" s="12" t="s">
        <v>169</v>
      </c>
      <c r="G52" s="12" t="s">
        <v>263</v>
      </c>
      <c r="H52" s="12" t="s">
        <v>171</v>
      </c>
      <c r="I52" s="12" t="s">
        <v>172</v>
      </c>
      <c r="J52" s="12" t="s">
        <v>173</v>
      </c>
      <c r="K52" s="12" t="s">
        <v>274</v>
      </c>
      <c r="L52" s="12"/>
      <c r="M52" s="12" t="s">
        <v>172</v>
      </c>
      <c r="N52" s="34">
        <v>1.2860416666666701</v>
      </c>
      <c r="O52" s="34">
        <v>0.145416666666667</v>
      </c>
      <c r="P52" s="34">
        <v>0</v>
      </c>
      <c r="Q52" s="34">
        <v>1.4314583333333299</v>
      </c>
      <c r="R52" s="35">
        <v>0.950516664241013</v>
      </c>
      <c r="S52" s="34">
        <v>0.71572916666666697</v>
      </c>
      <c r="T52" s="34">
        <v>0.71572916666666697</v>
      </c>
      <c r="U52" s="36">
        <v>1</v>
      </c>
      <c r="AA52" s="37">
        <f t="shared" si="6"/>
        <v>1.2860416666666701</v>
      </c>
      <c r="AB52" s="37">
        <f t="shared" si="7"/>
        <v>0.145416666666667</v>
      </c>
      <c r="AC52" s="37">
        <f t="shared" si="8"/>
        <v>0</v>
      </c>
      <c r="AD52" s="37">
        <f t="shared" si="9"/>
        <v>1.4314583333333299</v>
      </c>
      <c r="AE52" s="20">
        <f t="shared" si="10"/>
        <v>0.950516664241013</v>
      </c>
      <c r="AF52" s="37">
        <f t="shared" si="11"/>
        <v>1.3606249999999969</v>
      </c>
      <c r="AG52" s="17" t="s">
        <v>72</v>
      </c>
      <c r="AH52" s="32" t="s">
        <v>191</v>
      </c>
    </row>
    <row r="53" spans="1:34" ht="14.25" customHeight="1">
      <c r="A53" s="33">
        <v>49</v>
      </c>
      <c r="B53" s="12">
        <v>9907</v>
      </c>
      <c r="C53" s="12" t="s">
        <v>306</v>
      </c>
      <c r="D53" s="12" t="s">
        <v>307</v>
      </c>
      <c r="E53" s="12" t="s">
        <v>262</v>
      </c>
      <c r="F53" s="12" t="s">
        <v>169</v>
      </c>
      <c r="G53" s="12" t="s">
        <v>263</v>
      </c>
      <c r="H53" s="12" t="s">
        <v>171</v>
      </c>
      <c r="I53" s="12" t="s">
        <v>172</v>
      </c>
      <c r="J53" s="12" t="s">
        <v>173</v>
      </c>
      <c r="K53" s="12" t="s">
        <v>274</v>
      </c>
      <c r="L53" s="12"/>
      <c r="M53" s="12" t="s">
        <v>172</v>
      </c>
      <c r="N53" s="34">
        <v>0.38583333333333297</v>
      </c>
      <c r="O53" s="34">
        <v>0</v>
      </c>
      <c r="P53" s="34">
        <v>0</v>
      </c>
      <c r="Q53" s="34">
        <v>0.38583333333333297</v>
      </c>
      <c r="R53" s="35">
        <v>0.35205183585313199</v>
      </c>
      <c r="S53" s="34">
        <v>0.19291666666666701</v>
      </c>
      <c r="T53" s="34">
        <v>0.19291666666666701</v>
      </c>
      <c r="U53" s="36">
        <v>1</v>
      </c>
      <c r="AA53" s="37">
        <f t="shared" si="6"/>
        <v>0.38583333333333297</v>
      </c>
      <c r="AB53" s="37">
        <f t="shared" si="7"/>
        <v>0</v>
      </c>
      <c r="AC53" s="37">
        <f t="shared" si="8"/>
        <v>0</v>
      </c>
      <c r="AD53" s="37">
        <f t="shared" si="9"/>
        <v>0.38583333333333297</v>
      </c>
      <c r="AE53" s="20">
        <f t="shared" si="10"/>
        <v>0.35205183585313199</v>
      </c>
      <c r="AF53" s="37">
        <f t="shared" si="11"/>
        <v>0.13583333333333331</v>
      </c>
      <c r="AG53" s="17" t="s">
        <v>72</v>
      </c>
      <c r="AH53" s="32" t="s">
        <v>191</v>
      </c>
    </row>
    <row r="54" spans="1:34" ht="14.25" hidden="1" customHeight="1">
      <c r="A54" s="33">
        <v>50</v>
      </c>
      <c r="B54" s="12">
        <v>9910</v>
      </c>
      <c r="C54" s="12" t="s">
        <v>308</v>
      </c>
      <c r="D54" s="12" t="s">
        <v>309</v>
      </c>
      <c r="E54" s="12" t="s">
        <v>237</v>
      </c>
      <c r="F54" s="12" t="s">
        <v>238</v>
      </c>
      <c r="G54" s="12" t="s">
        <v>239</v>
      </c>
      <c r="H54" s="12" t="s">
        <v>171</v>
      </c>
      <c r="I54" s="12" t="s">
        <v>172</v>
      </c>
      <c r="J54" s="12" t="s">
        <v>173</v>
      </c>
      <c r="K54" s="12" t="s">
        <v>245</v>
      </c>
      <c r="L54" s="12"/>
      <c r="M54" s="12" t="s">
        <v>172</v>
      </c>
      <c r="N54" s="34">
        <v>6.25E-2</v>
      </c>
      <c r="O54" s="34">
        <v>0</v>
      </c>
      <c r="P54" s="34">
        <v>0</v>
      </c>
      <c r="Q54" s="34">
        <v>6.25E-2</v>
      </c>
      <c r="R54" s="35">
        <v>1</v>
      </c>
      <c r="S54" s="34">
        <v>3.125E-2</v>
      </c>
      <c r="T54" s="34">
        <v>3.125E-2</v>
      </c>
      <c r="U54" s="36">
        <v>1</v>
      </c>
      <c r="AA54" s="37">
        <f t="shared" si="6"/>
        <v>6.25E-2</v>
      </c>
      <c r="AB54" s="37">
        <f t="shared" si="7"/>
        <v>0</v>
      </c>
      <c r="AC54" s="37">
        <f t="shared" si="8"/>
        <v>0</v>
      </c>
      <c r="AD54" s="37">
        <f t="shared" si="9"/>
        <v>6.25E-2</v>
      </c>
      <c r="AE54" s="20">
        <f t="shared" si="10"/>
        <v>1</v>
      </c>
      <c r="AF54" s="37">
        <f t="shared" si="11"/>
        <v>6.25E-2</v>
      </c>
      <c r="AG54" s="17" t="s">
        <v>72</v>
      </c>
      <c r="AH54" s="32" t="s">
        <v>196</v>
      </c>
    </row>
    <row r="55" spans="1:34" ht="14.25" hidden="1" customHeight="1">
      <c r="A55" s="33">
        <v>51</v>
      </c>
      <c r="B55" s="12">
        <v>9920</v>
      </c>
      <c r="C55" s="12" t="s">
        <v>310</v>
      </c>
      <c r="D55" s="12" t="s">
        <v>311</v>
      </c>
      <c r="E55" s="12" t="s">
        <v>288</v>
      </c>
      <c r="F55" s="12" t="s">
        <v>289</v>
      </c>
      <c r="G55" s="12" t="s">
        <v>312</v>
      </c>
      <c r="H55" s="12" t="s">
        <v>171</v>
      </c>
      <c r="I55" s="12" t="s">
        <v>172</v>
      </c>
      <c r="J55" s="12" t="s">
        <v>173</v>
      </c>
      <c r="K55" s="12" t="s">
        <v>274</v>
      </c>
      <c r="L55" s="12"/>
      <c r="M55" s="12" t="s">
        <v>172</v>
      </c>
      <c r="N55" s="34">
        <v>10.3375</v>
      </c>
      <c r="O55" s="34">
        <v>3.55833333333333</v>
      </c>
      <c r="P55" s="34">
        <v>5.1816666666666702</v>
      </c>
      <c r="Q55" s="34">
        <v>19.077500000000001</v>
      </c>
      <c r="R55" s="35">
        <v>0.93360415847639</v>
      </c>
      <c r="S55" s="34">
        <v>9.5387500000000003</v>
      </c>
      <c r="T55" s="34">
        <v>9.5387500000000003</v>
      </c>
      <c r="U55" s="36">
        <v>1</v>
      </c>
      <c r="AA55" s="37">
        <f t="shared" si="6"/>
        <v>10.3375</v>
      </c>
      <c r="AB55" s="37">
        <f t="shared" si="7"/>
        <v>3.55833333333333</v>
      </c>
      <c r="AC55" s="37">
        <f t="shared" si="8"/>
        <v>5.1816666666666702</v>
      </c>
      <c r="AD55" s="37">
        <f t="shared" si="9"/>
        <v>19.077500000000001</v>
      </c>
      <c r="AE55" s="20">
        <f t="shared" si="10"/>
        <v>0.93360415847639</v>
      </c>
      <c r="AF55" s="37">
        <f t="shared" si="11"/>
        <v>17.810833333333331</v>
      </c>
      <c r="AG55" s="17" t="s">
        <v>72</v>
      </c>
      <c r="AH55" s="32" t="s">
        <v>176</v>
      </c>
    </row>
    <row r="56" spans="1:34" ht="14.25" hidden="1" customHeight="1">
      <c r="A56" s="33">
        <v>52</v>
      </c>
      <c r="B56" s="12">
        <v>9921</v>
      </c>
      <c r="C56" s="12" t="s">
        <v>313</v>
      </c>
      <c r="D56" s="12" t="s">
        <v>314</v>
      </c>
      <c r="E56" s="12" t="s">
        <v>288</v>
      </c>
      <c r="F56" s="12" t="s">
        <v>289</v>
      </c>
      <c r="G56" s="12" t="s">
        <v>312</v>
      </c>
      <c r="H56" s="12" t="s">
        <v>171</v>
      </c>
      <c r="I56" s="12" t="s">
        <v>172</v>
      </c>
      <c r="J56" s="12" t="s">
        <v>173</v>
      </c>
      <c r="K56" s="12" t="s">
        <v>274</v>
      </c>
      <c r="L56" s="12" t="s">
        <v>277</v>
      </c>
      <c r="M56" s="12" t="s">
        <v>172</v>
      </c>
      <c r="N56" s="34">
        <v>0.30416666666666697</v>
      </c>
      <c r="O56" s="34">
        <v>4.1666666666666699E-2</v>
      </c>
      <c r="P56" s="34">
        <v>0</v>
      </c>
      <c r="Q56" s="34">
        <v>0.34583333333333299</v>
      </c>
      <c r="R56" s="35">
        <v>1</v>
      </c>
      <c r="S56" s="34">
        <v>0.172916666666667</v>
      </c>
      <c r="T56" s="34">
        <v>0.172916666666667</v>
      </c>
      <c r="U56" s="36">
        <v>1</v>
      </c>
      <c r="AA56" s="37">
        <f t="shared" si="6"/>
        <v>0.30416666666666697</v>
      </c>
      <c r="AB56" s="37">
        <f t="shared" si="7"/>
        <v>4.1666666666666699E-2</v>
      </c>
      <c r="AC56" s="37">
        <f t="shared" si="8"/>
        <v>0</v>
      </c>
      <c r="AD56" s="37">
        <f t="shared" si="9"/>
        <v>0.34583333333333299</v>
      </c>
      <c r="AE56" s="20">
        <f t="shared" si="10"/>
        <v>1</v>
      </c>
      <c r="AF56" s="37">
        <f t="shared" si="11"/>
        <v>0.34583333333333299</v>
      </c>
      <c r="AG56" s="17" t="s">
        <v>72</v>
      </c>
      <c r="AH56" s="32" t="s">
        <v>176</v>
      </c>
    </row>
    <row r="57" spans="1:34" ht="14.25" hidden="1" customHeight="1">
      <c r="A57" s="33">
        <v>53</v>
      </c>
      <c r="B57" s="12">
        <v>9926</v>
      </c>
      <c r="C57" s="12" t="s">
        <v>315</v>
      </c>
      <c r="D57" s="12" t="s">
        <v>316</v>
      </c>
      <c r="E57" s="12" t="s">
        <v>317</v>
      </c>
      <c r="F57" s="12" t="s">
        <v>318</v>
      </c>
      <c r="G57" s="12" t="s">
        <v>318</v>
      </c>
      <c r="H57" s="12" t="s">
        <v>231</v>
      </c>
      <c r="I57" s="12" t="s">
        <v>172</v>
      </c>
      <c r="J57" s="12" t="s">
        <v>173</v>
      </c>
      <c r="K57" s="12" t="s">
        <v>274</v>
      </c>
      <c r="L57" s="12"/>
      <c r="M57" s="12" t="s">
        <v>172</v>
      </c>
      <c r="N57" s="34">
        <v>7.4999999999999997E-2</v>
      </c>
      <c r="O57" s="34">
        <v>0</v>
      </c>
      <c r="P57" s="34">
        <v>0</v>
      </c>
      <c r="Q57" s="34">
        <v>7.4999999999999997E-2</v>
      </c>
      <c r="R57" s="35">
        <v>0</v>
      </c>
      <c r="S57" s="34">
        <v>3.7499999999999999E-2</v>
      </c>
      <c r="T57" s="34">
        <v>3.7499999999999999E-2</v>
      </c>
      <c r="U57" s="36">
        <v>1</v>
      </c>
      <c r="AA57" s="37">
        <f t="shared" si="6"/>
        <v>7.4999999999999997E-2</v>
      </c>
      <c r="AB57" s="37">
        <f t="shared" si="7"/>
        <v>0</v>
      </c>
      <c r="AC57" s="37">
        <f t="shared" si="8"/>
        <v>0</v>
      </c>
      <c r="AD57" s="37">
        <f t="shared" si="9"/>
        <v>7.4999999999999997E-2</v>
      </c>
      <c r="AE57" s="20">
        <f t="shared" si="10"/>
        <v>0</v>
      </c>
      <c r="AF57" s="37">
        <f t="shared" si="11"/>
        <v>0</v>
      </c>
      <c r="AG57" s="17" t="s">
        <v>72</v>
      </c>
      <c r="AH57" s="32" t="s">
        <v>176</v>
      </c>
    </row>
    <row r="58" spans="1:34" ht="14.25" hidden="1" customHeight="1">
      <c r="A58" s="33">
        <v>54</v>
      </c>
      <c r="B58" s="12">
        <v>9928</v>
      </c>
      <c r="C58" s="12" t="s">
        <v>319</v>
      </c>
      <c r="D58" s="12" t="s">
        <v>320</v>
      </c>
      <c r="E58" s="12" t="s">
        <v>317</v>
      </c>
      <c r="F58" s="12" t="s">
        <v>318</v>
      </c>
      <c r="G58" s="12" t="s">
        <v>318</v>
      </c>
      <c r="H58" s="12" t="s">
        <v>231</v>
      </c>
      <c r="I58" s="12" t="s">
        <v>172</v>
      </c>
      <c r="J58" s="12" t="s">
        <v>173</v>
      </c>
      <c r="K58" s="12" t="s">
        <v>274</v>
      </c>
      <c r="L58" s="12" t="s">
        <v>277</v>
      </c>
      <c r="M58" s="12" t="s">
        <v>172</v>
      </c>
      <c r="N58" s="34">
        <v>1.3970833333333299</v>
      </c>
      <c r="O58" s="34">
        <v>1</v>
      </c>
      <c r="P58" s="34">
        <v>0</v>
      </c>
      <c r="Q58" s="34">
        <v>2.3970833333333301</v>
      </c>
      <c r="R58" s="35">
        <v>0.86441856422735996</v>
      </c>
      <c r="S58" s="34">
        <v>1.1985416666666699</v>
      </c>
      <c r="T58" s="34">
        <v>1.1985416666666699</v>
      </c>
      <c r="U58" s="36">
        <v>1</v>
      </c>
      <c r="AA58" s="37">
        <f t="shared" si="6"/>
        <v>1.3970833333333299</v>
      </c>
      <c r="AB58" s="37">
        <f t="shared" si="7"/>
        <v>1</v>
      </c>
      <c r="AC58" s="37">
        <f t="shared" si="8"/>
        <v>0</v>
      </c>
      <c r="AD58" s="37">
        <f t="shared" si="9"/>
        <v>2.3970833333333301</v>
      </c>
      <c r="AE58" s="20">
        <f t="shared" si="10"/>
        <v>0.86441856422735996</v>
      </c>
      <c r="AF58" s="37">
        <f t="shared" si="11"/>
        <v>2.0720833333333313</v>
      </c>
      <c r="AG58" s="17" t="s">
        <v>72</v>
      </c>
      <c r="AH58" s="32" t="s">
        <v>186</v>
      </c>
    </row>
    <row r="59" spans="1:34" ht="14.25" customHeight="1">
      <c r="A59" s="33">
        <v>55</v>
      </c>
      <c r="B59" s="12">
        <v>9930</v>
      </c>
      <c r="C59" s="12" t="s">
        <v>321</v>
      </c>
      <c r="D59" s="12" t="s">
        <v>322</v>
      </c>
      <c r="E59" s="12" t="s">
        <v>262</v>
      </c>
      <c r="F59" s="12" t="s">
        <v>169</v>
      </c>
      <c r="G59" s="12" t="s">
        <v>263</v>
      </c>
      <c r="H59" s="12" t="s">
        <v>171</v>
      </c>
      <c r="I59" s="12" t="s">
        <v>181</v>
      </c>
      <c r="J59" s="12" t="s">
        <v>173</v>
      </c>
      <c r="K59" s="12" t="s">
        <v>323</v>
      </c>
      <c r="L59" s="12"/>
      <c r="M59" s="12" t="s">
        <v>172</v>
      </c>
      <c r="N59" s="34">
        <v>2.4083333333333301</v>
      </c>
      <c r="O59" s="34">
        <v>7.4999999999999997E-2</v>
      </c>
      <c r="P59" s="34">
        <v>0</v>
      </c>
      <c r="Q59" s="34">
        <v>2.4833333333333298</v>
      </c>
      <c r="R59" s="35">
        <v>0.89932885906040305</v>
      </c>
      <c r="S59" s="34">
        <v>1.24166666666667</v>
      </c>
      <c r="T59" s="34">
        <v>1.24166666666667</v>
      </c>
      <c r="U59" s="36">
        <v>1</v>
      </c>
      <c r="AA59" s="37">
        <f t="shared" si="6"/>
        <v>2.4083333333333301</v>
      </c>
      <c r="AB59" s="37">
        <f t="shared" si="7"/>
        <v>7.4999999999999997E-2</v>
      </c>
      <c r="AC59" s="37">
        <f t="shared" si="8"/>
        <v>0</v>
      </c>
      <c r="AD59" s="37">
        <f t="shared" si="9"/>
        <v>2.4833333333333298</v>
      </c>
      <c r="AE59" s="20">
        <f t="shared" si="10"/>
        <v>0.89932885906040305</v>
      </c>
      <c r="AF59" s="37">
        <f t="shared" si="11"/>
        <v>2.2333333333333312</v>
      </c>
      <c r="AG59" s="17" t="s">
        <v>76</v>
      </c>
      <c r="AH59" s="32" t="s">
        <v>201</v>
      </c>
    </row>
    <row r="60" spans="1:34" ht="14.25" hidden="1" customHeight="1">
      <c r="A60" s="33">
        <v>56</v>
      </c>
      <c r="B60" s="12">
        <v>9931</v>
      </c>
      <c r="C60" s="12" t="s">
        <v>324</v>
      </c>
      <c r="D60" s="12" t="s">
        <v>325</v>
      </c>
      <c r="E60" s="12" t="s">
        <v>298</v>
      </c>
      <c r="F60" s="12" t="s">
        <v>289</v>
      </c>
      <c r="G60" s="12" t="s">
        <v>326</v>
      </c>
      <c r="H60" s="12" t="s">
        <v>171</v>
      </c>
      <c r="I60" s="12" t="s">
        <v>172</v>
      </c>
      <c r="J60" s="12" t="s">
        <v>173</v>
      </c>
      <c r="K60" s="12" t="s">
        <v>327</v>
      </c>
      <c r="L60" s="12"/>
      <c r="M60" s="12" t="s">
        <v>172</v>
      </c>
      <c r="N60" s="34">
        <v>13</v>
      </c>
      <c r="O60" s="34">
        <v>2.2749999999999999</v>
      </c>
      <c r="P60" s="34">
        <v>0</v>
      </c>
      <c r="Q60" s="34">
        <v>15.275</v>
      </c>
      <c r="R60" s="35">
        <v>0.91728849185496597</v>
      </c>
      <c r="S60" s="34">
        <v>7.6375000000000002</v>
      </c>
      <c r="T60" s="34">
        <v>7.6375000000000002</v>
      </c>
      <c r="U60" s="36">
        <v>1</v>
      </c>
      <c r="AA60" s="37">
        <f t="shared" si="6"/>
        <v>13</v>
      </c>
      <c r="AB60" s="37">
        <f t="shared" si="7"/>
        <v>2.2749999999999999</v>
      </c>
      <c r="AC60" s="37">
        <f t="shared" si="8"/>
        <v>0</v>
      </c>
      <c r="AD60" s="37">
        <f t="shared" si="9"/>
        <v>15.275</v>
      </c>
      <c r="AE60" s="20">
        <f t="shared" si="10"/>
        <v>0.91728849185496597</v>
      </c>
      <c r="AF60" s="37">
        <f t="shared" si="11"/>
        <v>14.011581713084606</v>
      </c>
      <c r="AG60" s="17" t="s">
        <v>72</v>
      </c>
      <c r="AH60" s="32" t="s">
        <v>186</v>
      </c>
    </row>
    <row r="61" spans="1:34" ht="14.25" customHeight="1">
      <c r="A61" s="33">
        <v>57</v>
      </c>
      <c r="B61" s="12">
        <v>9940</v>
      </c>
      <c r="C61" s="12" t="s">
        <v>328</v>
      </c>
      <c r="D61" s="12" t="s">
        <v>329</v>
      </c>
      <c r="E61" s="12" t="s">
        <v>262</v>
      </c>
      <c r="F61" s="12" t="s">
        <v>169</v>
      </c>
      <c r="G61" s="12" t="s">
        <v>263</v>
      </c>
      <c r="H61" s="12" t="s">
        <v>171</v>
      </c>
      <c r="I61" s="12" t="s">
        <v>172</v>
      </c>
      <c r="J61" s="12" t="s">
        <v>173</v>
      </c>
      <c r="K61" s="12" t="s">
        <v>274</v>
      </c>
      <c r="L61" s="12"/>
      <c r="M61" s="12" t="s">
        <v>172</v>
      </c>
      <c r="N61" s="34">
        <v>0.38750000000000001</v>
      </c>
      <c r="O61" s="34">
        <v>2.5000000000000001E-2</v>
      </c>
      <c r="P61" s="34">
        <v>0</v>
      </c>
      <c r="Q61" s="34">
        <v>0.41249999999999998</v>
      </c>
      <c r="R61" s="35">
        <v>0.81818181818181801</v>
      </c>
      <c r="S61" s="34">
        <v>0.20624999999999999</v>
      </c>
      <c r="T61" s="34">
        <v>0.20624999999999999</v>
      </c>
      <c r="U61" s="36">
        <v>1</v>
      </c>
      <c r="AA61" s="37">
        <f t="shared" si="6"/>
        <v>0.38750000000000001</v>
      </c>
      <c r="AB61" s="37">
        <f t="shared" si="7"/>
        <v>2.5000000000000001E-2</v>
      </c>
      <c r="AC61" s="37">
        <f t="shared" si="8"/>
        <v>0</v>
      </c>
      <c r="AD61" s="37">
        <f t="shared" si="9"/>
        <v>0.41249999999999998</v>
      </c>
      <c r="AE61" s="20">
        <f t="shared" si="10"/>
        <v>0.81818181818181801</v>
      </c>
      <c r="AF61" s="37">
        <f t="shared" si="11"/>
        <v>0.33749999999999991</v>
      </c>
      <c r="AG61" s="17" t="s">
        <v>72</v>
      </c>
      <c r="AH61" s="32" t="s">
        <v>191</v>
      </c>
    </row>
    <row r="62" spans="1:34" ht="14.25" customHeight="1">
      <c r="A62" s="33">
        <v>58</v>
      </c>
      <c r="B62" s="12">
        <v>9941</v>
      </c>
      <c r="C62" s="12" t="s">
        <v>330</v>
      </c>
      <c r="D62" s="12" t="s">
        <v>331</v>
      </c>
      <c r="E62" s="12" t="s">
        <v>262</v>
      </c>
      <c r="F62" s="12" t="s">
        <v>169</v>
      </c>
      <c r="G62" s="12" t="s">
        <v>263</v>
      </c>
      <c r="H62" s="12" t="s">
        <v>171</v>
      </c>
      <c r="I62" s="12" t="s">
        <v>172</v>
      </c>
      <c r="J62" s="12" t="s">
        <v>173</v>
      </c>
      <c r="K62" s="12" t="s">
        <v>274</v>
      </c>
      <c r="L62" s="12" t="s">
        <v>175</v>
      </c>
      <c r="M62" s="12" t="s">
        <v>172</v>
      </c>
      <c r="N62" s="34">
        <v>0.92916458333333296</v>
      </c>
      <c r="O62" s="34">
        <v>8.7499999999999994E-2</v>
      </c>
      <c r="P62" s="34">
        <v>0</v>
      </c>
      <c r="Q62" s="34">
        <v>1.0166645833333301</v>
      </c>
      <c r="R62" s="35">
        <v>0.41311355146219603</v>
      </c>
      <c r="S62" s="34">
        <v>0.50833229166666705</v>
      </c>
      <c r="T62" s="34">
        <v>0.50833229166666705</v>
      </c>
      <c r="U62" s="36">
        <v>1</v>
      </c>
      <c r="AA62" s="37">
        <f t="shared" si="6"/>
        <v>0.92916458333333296</v>
      </c>
      <c r="AB62" s="37">
        <f t="shared" si="7"/>
        <v>8.7499999999999994E-2</v>
      </c>
      <c r="AC62" s="37">
        <f t="shared" si="8"/>
        <v>0</v>
      </c>
      <c r="AD62" s="37">
        <f t="shared" si="9"/>
        <v>1.0166645833333301</v>
      </c>
      <c r="AE62" s="20">
        <f t="shared" si="10"/>
        <v>0.41311355146219603</v>
      </c>
      <c r="AF62" s="37">
        <f t="shared" si="11"/>
        <v>0.41999791666666575</v>
      </c>
      <c r="AG62" s="17" t="s">
        <v>70</v>
      </c>
      <c r="AH62" s="32" t="s">
        <v>176</v>
      </c>
    </row>
    <row r="63" spans="1:34" ht="14.25" hidden="1" customHeight="1">
      <c r="A63" s="33">
        <v>59</v>
      </c>
      <c r="B63" s="12">
        <v>9947</v>
      </c>
      <c r="C63" s="12" t="s">
        <v>332</v>
      </c>
      <c r="D63" s="12" t="s">
        <v>333</v>
      </c>
      <c r="E63" s="12" t="s">
        <v>243</v>
      </c>
      <c r="F63" s="12" t="s">
        <v>238</v>
      </c>
      <c r="G63" s="12" t="s">
        <v>244</v>
      </c>
      <c r="H63" s="12" t="s">
        <v>171</v>
      </c>
      <c r="I63" s="12" t="s">
        <v>181</v>
      </c>
      <c r="J63" s="12" t="s">
        <v>173</v>
      </c>
      <c r="K63" s="12" t="s">
        <v>274</v>
      </c>
      <c r="L63" s="12"/>
      <c r="M63" s="12" t="s">
        <v>172</v>
      </c>
      <c r="N63" s="34">
        <v>9</v>
      </c>
      <c r="O63" s="34">
        <v>1.1541666666666699</v>
      </c>
      <c r="P63" s="34">
        <v>0</v>
      </c>
      <c r="Q63" s="34">
        <v>10</v>
      </c>
      <c r="R63" s="35">
        <v>0.75904634544925298</v>
      </c>
      <c r="S63" s="34">
        <v>5</v>
      </c>
      <c r="T63" s="34">
        <v>5</v>
      </c>
      <c r="U63" s="36">
        <v>1</v>
      </c>
      <c r="AA63" s="37">
        <f t="shared" si="6"/>
        <v>9</v>
      </c>
      <c r="AB63" s="37">
        <f t="shared" si="7"/>
        <v>1.1541666666666699</v>
      </c>
      <c r="AC63" s="37">
        <f t="shared" si="8"/>
        <v>0</v>
      </c>
      <c r="AD63" s="37">
        <f t="shared" si="9"/>
        <v>10</v>
      </c>
      <c r="AE63" s="20">
        <f t="shared" si="10"/>
        <v>0.75904634544925298</v>
      </c>
      <c r="AF63" s="37">
        <f t="shared" si="11"/>
        <v>7.5904634544925296</v>
      </c>
      <c r="AG63" s="17" t="s">
        <v>72</v>
      </c>
      <c r="AH63" s="32" t="s">
        <v>186</v>
      </c>
    </row>
    <row r="64" spans="1:34" ht="14.25" hidden="1" customHeight="1">
      <c r="A64" s="33">
        <v>60</v>
      </c>
      <c r="B64" s="12">
        <v>9948</v>
      </c>
      <c r="C64" s="12" t="s">
        <v>334</v>
      </c>
      <c r="D64" s="12" t="s">
        <v>335</v>
      </c>
      <c r="E64" s="12" t="s">
        <v>179</v>
      </c>
      <c r="F64" s="12" t="s">
        <v>169</v>
      </c>
      <c r="G64" s="12" t="s">
        <v>180</v>
      </c>
      <c r="H64" s="12" t="s">
        <v>171</v>
      </c>
      <c r="I64" s="12" t="s">
        <v>181</v>
      </c>
      <c r="J64" s="12" t="s">
        <v>173</v>
      </c>
      <c r="K64" s="12" t="s">
        <v>208</v>
      </c>
      <c r="L64" s="12"/>
      <c r="M64" s="12" t="s">
        <v>172</v>
      </c>
      <c r="N64" s="34">
        <v>9.2697083333333303</v>
      </c>
      <c r="O64" s="34">
        <v>2.8458333333333301</v>
      </c>
      <c r="P64" s="34">
        <v>0</v>
      </c>
      <c r="Q64" s="34">
        <v>12.115541666666701</v>
      </c>
      <c r="R64" s="35">
        <v>0.77129926093550605</v>
      </c>
      <c r="S64" s="34">
        <v>6.05777083333333</v>
      </c>
      <c r="T64" s="34">
        <v>6.05777083333333</v>
      </c>
      <c r="U64" s="36">
        <v>1</v>
      </c>
      <c r="AA64" s="37">
        <f t="shared" si="6"/>
        <v>9.2697083333333303</v>
      </c>
      <c r="AB64" s="37">
        <f t="shared" si="7"/>
        <v>2.8458333333333301</v>
      </c>
      <c r="AC64" s="37">
        <f t="shared" si="8"/>
        <v>0</v>
      </c>
      <c r="AD64" s="37">
        <f t="shared" si="9"/>
        <v>12.115541666666701</v>
      </c>
      <c r="AE64" s="20">
        <f t="shared" si="10"/>
        <v>0.77129926093550605</v>
      </c>
      <c r="AF64" s="37">
        <f t="shared" si="11"/>
        <v>9.3447083333333563</v>
      </c>
      <c r="AG64" s="17" t="s">
        <v>76</v>
      </c>
      <c r="AH64" s="32" t="s">
        <v>232</v>
      </c>
    </row>
    <row r="65" spans="1:34" ht="14.25" customHeight="1">
      <c r="A65" s="33">
        <v>61</v>
      </c>
      <c r="B65" s="12">
        <v>9949</v>
      </c>
      <c r="C65" s="12" t="s">
        <v>336</v>
      </c>
      <c r="D65" s="12" t="s">
        <v>337</v>
      </c>
      <c r="E65" s="12" t="s">
        <v>262</v>
      </c>
      <c r="F65" s="12" t="s">
        <v>169</v>
      </c>
      <c r="G65" s="12" t="s">
        <v>263</v>
      </c>
      <c r="H65" s="12" t="s">
        <v>231</v>
      </c>
      <c r="I65" s="12" t="s">
        <v>172</v>
      </c>
      <c r="J65" s="12" t="s">
        <v>173</v>
      </c>
      <c r="K65" s="12" t="s">
        <v>338</v>
      </c>
      <c r="L65" s="12"/>
      <c r="M65" s="12" t="s">
        <v>172</v>
      </c>
      <c r="N65" s="34">
        <v>6.6666666666666693E-2</v>
      </c>
      <c r="O65" s="34">
        <v>0</v>
      </c>
      <c r="P65" s="34">
        <v>0</v>
      </c>
      <c r="Q65" s="34">
        <v>6.6666666666666693E-2</v>
      </c>
      <c r="R65" s="35">
        <v>0</v>
      </c>
      <c r="S65" s="34">
        <v>3.3333333333333298E-2</v>
      </c>
      <c r="T65" s="34">
        <v>3.3333333333333298E-2</v>
      </c>
      <c r="U65" s="36">
        <v>1</v>
      </c>
      <c r="AA65" s="37">
        <f t="shared" si="6"/>
        <v>6.6666666666666693E-2</v>
      </c>
      <c r="AB65" s="37">
        <f t="shared" si="7"/>
        <v>0</v>
      </c>
      <c r="AC65" s="37">
        <f t="shared" si="8"/>
        <v>0</v>
      </c>
      <c r="AD65" s="37">
        <f t="shared" si="9"/>
        <v>6.6666666666666693E-2</v>
      </c>
      <c r="AE65" s="20">
        <f t="shared" si="10"/>
        <v>0</v>
      </c>
      <c r="AF65" s="37">
        <f t="shared" si="11"/>
        <v>0</v>
      </c>
      <c r="AG65" s="17" t="s">
        <v>72</v>
      </c>
      <c r="AH65" s="32" t="s">
        <v>232</v>
      </c>
    </row>
    <row r="66" spans="1:34" ht="14.25" hidden="1" customHeight="1">
      <c r="A66" s="33">
        <v>62</v>
      </c>
      <c r="B66" s="12">
        <v>9951</v>
      </c>
      <c r="C66" s="12" t="s">
        <v>339</v>
      </c>
      <c r="D66" s="12" t="s">
        <v>340</v>
      </c>
      <c r="E66" s="12" t="s">
        <v>341</v>
      </c>
      <c r="F66" s="12" t="s">
        <v>342</v>
      </c>
      <c r="G66" s="12" t="s">
        <v>342</v>
      </c>
      <c r="H66" s="12" t="s">
        <v>231</v>
      </c>
      <c r="I66" s="12" t="s">
        <v>172</v>
      </c>
      <c r="J66" s="12" t="s">
        <v>173</v>
      </c>
      <c r="K66" s="12" t="s">
        <v>343</v>
      </c>
      <c r="L66" s="12" t="s">
        <v>344</v>
      </c>
      <c r="M66" s="12" t="s">
        <v>181</v>
      </c>
      <c r="N66" s="34">
        <v>7</v>
      </c>
      <c r="O66" s="34">
        <v>1</v>
      </c>
      <c r="P66" s="34">
        <v>0</v>
      </c>
      <c r="Q66" s="34">
        <v>7.9270416666666597</v>
      </c>
      <c r="R66" s="35">
        <v>0.77923668455550399</v>
      </c>
      <c r="S66" s="34">
        <v>3.9635208333333298</v>
      </c>
      <c r="T66" s="34">
        <v>3.9635208333333298</v>
      </c>
      <c r="U66" s="36">
        <v>1</v>
      </c>
      <c r="AA66" s="37">
        <f t="shared" si="6"/>
        <v>7</v>
      </c>
      <c r="AB66" s="37">
        <f t="shared" si="7"/>
        <v>1</v>
      </c>
      <c r="AC66" s="37">
        <f t="shared" si="8"/>
        <v>0</v>
      </c>
      <c r="AD66" s="37">
        <f t="shared" si="9"/>
        <v>7.9270416666666597</v>
      </c>
      <c r="AE66" s="20">
        <f t="shared" si="10"/>
        <v>0.77923668455550399</v>
      </c>
      <c r="AF66" s="37">
        <f t="shared" si="11"/>
        <v>6.1770416666666641</v>
      </c>
      <c r="AG66" s="17" t="s">
        <v>74</v>
      </c>
      <c r="AH66" s="32" t="s">
        <v>176</v>
      </c>
    </row>
    <row r="67" spans="1:34" ht="14.25" hidden="1" customHeight="1">
      <c r="A67" s="33">
        <v>63</v>
      </c>
      <c r="B67" s="12">
        <v>9962</v>
      </c>
      <c r="C67" s="12" t="s">
        <v>345</v>
      </c>
      <c r="D67" s="12" t="s">
        <v>346</v>
      </c>
      <c r="E67" s="12" t="s">
        <v>288</v>
      </c>
      <c r="F67" s="12" t="s">
        <v>289</v>
      </c>
      <c r="G67" s="12" t="s">
        <v>312</v>
      </c>
      <c r="H67" s="12" t="s">
        <v>171</v>
      </c>
      <c r="I67" s="12" t="s">
        <v>172</v>
      </c>
      <c r="J67" s="12" t="s">
        <v>173</v>
      </c>
      <c r="K67" s="12" t="s">
        <v>347</v>
      </c>
      <c r="L67" s="12" t="s">
        <v>277</v>
      </c>
      <c r="M67" s="12" t="s">
        <v>172</v>
      </c>
      <c r="N67" s="34">
        <v>8.9216666666666704</v>
      </c>
      <c r="O67" s="34">
        <v>2.41041666666667</v>
      </c>
      <c r="P67" s="34">
        <v>1.52</v>
      </c>
      <c r="Q67" s="34">
        <v>12.852083333333301</v>
      </c>
      <c r="R67" s="35">
        <v>0.82739503971470196</v>
      </c>
      <c r="S67" s="34">
        <v>6.42604166666667</v>
      </c>
      <c r="T67" s="34">
        <v>6.42604166666667</v>
      </c>
      <c r="U67" s="36">
        <v>1</v>
      </c>
      <c r="AA67" s="37">
        <f t="shared" si="6"/>
        <v>8.9216666666666704</v>
      </c>
      <c r="AB67" s="37">
        <f t="shared" si="7"/>
        <v>2.41041666666667</v>
      </c>
      <c r="AC67" s="37">
        <f t="shared" si="8"/>
        <v>1.52</v>
      </c>
      <c r="AD67" s="37">
        <f t="shared" si="9"/>
        <v>12.852083333333301</v>
      </c>
      <c r="AE67" s="20">
        <f t="shared" si="10"/>
        <v>0.82739503971470196</v>
      </c>
      <c r="AF67" s="37">
        <f t="shared" si="11"/>
        <v>10.633749999999965</v>
      </c>
      <c r="AG67" s="17" t="s">
        <v>72</v>
      </c>
      <c r="AH67" s="32" t="s">
        <v>176</v>
      </c>
    </row>
    <row r="68" spans="1:34" ht="14.25" customHeight="1">
      <c r="A68" s="33">
        <v>64</v>
      </c>
      <c r="B68" s="12">
        <v>9964</v>
      </c>
      <c r="C68" s="12" t="s">
        <v>348</v>
      </c>
      <c r="D68" s="12" t="s">
        <v>349</v>
      </c>
      <c r="E68" s="12" t="s">
        <v>262</v>
      </c>
      <c r="F68" s="12" t="s">
        <v>169</v>
      </c>
      <c r="G68" s="12" t="s">
        <v>263</v>
      </c>
      <c r="H68" s="12" t="s">
        <v>171</v>
      </c>
      <c r="I68" s="12" t="s">
        <v>172</v>
      </c>
      <c r="J68" s="12" t="s">
        <v>173</v>
      </c>
      <c r="K68" s="12" t="s">
        <v>274</v>
      </c>
      <c r="L68" s="12"/>
      <c r="M68" s="12" t="s">
        <v>172</v>
      </c>
      <c r="N68" s="34">
        <v>1.95333333333333</v>
      </c>
      <c r="O68" s="34">
        <v>0.36249999999999999</v>
      </c>
      <c r="P68" s="34">
        <v>0</v>
      </c>
      <c r="Q68" s="34">
        <v>2.3158333333333299</v>
      </c>
      <c r="R68" s="35">
        <v>0.90824037423533599</v>
      </c>
      <c r="S68" s="34">
        <v>1.15791666666667</v>
      </c>
      <c r="T68" s="34">
        <v>1.15791666666667</v>
      </c>
      <c r="U68" s="36">
        <v>1</v>
      </c>
      <c r="AA68" s="37">
        <f t="shared" si="6"/>
        <v>1.95333333333333</v>
      </c>
      <c r="AB68" s="37">
        <f t="shared" si="7"/>
        <v>0.36249999999999999</v>
      </c>
      <c r="AC68" s="37">
        <f t="shared" si="8"/>
        <v>0</v>
      </c>
      <c r="AD68" s="37">
        <f t="shared" si="9"/>
        <v>2.3158333333333299</v>
      </c>
      <c r="AE68" s="20">
        <f t="shared" si="10"/>
        <v>0.90824037423533599</v>
      </c>
      <c r="AF68" s="37">
        <f t="shared" si="11"/>
        <v>2.1033333333333291</v>
      </c>
      <c r="AG68" s="17" t="s">
        <v>72</v>
      </c>
      <c r="AH68" s="32" t="s">
        <v>191</v>
      </c>
    </row>
    <row r="69" spans="1:34" ht="14.25" customHeight="1">
      <c r="A69" s="33">
        <v>65</v>
      </c>
      <c r="B69" s="12">
        <v>9965</v>
      </c>
      <c r="C69" s="12" t="s">
        <v>350</v>
      </c>
      <c r="D69" s="12" t="s">
        <v>351</v>
      </c>
      <c r="E69" s="12" t="s">
        <v>262</v>
      </c>
      <c r="F69" s="12" t="s">
        <v>169</v>
      </c>
      <c r="G69" s="12" t="s">
        <v>263</v>
      </c>
      <c r="H69" s="12" t="s">
        <v>171</v>
      </c>
      <c r="I69" s="12" t="s">
        <v>172</v>
      </c>
      <c r="J69" s="12" t="s">
        <v>173</v>
      </c>
      <c r="K69" s="12" t="s">
        <v>274</v>
      </c>
      <c r="L69" s="12"/>
      <c r="M69" s="12" t="s">
        <v>172</v>
      </c>
      <c r="N69" s="34">
        <v>2.5000000000000001E-2</v>
      </c>
      <c r="O69" s="34">
        <v>3.7499999999999999E-2</v>
      </c>
      <c r="P69" s="34">
        <v>0</v>
      </c>
      <c r="Q69" s="34">
        <v>6.25E-2</v>
      </c>
      <c r="R69" s="35">
        <v>0.2</v>
      </c>
      <c r="S69" s="34">
        <v>3.125E-2</v>
      </c>
      <c r="T69" s="34">
        <v>3.125E-2</v>
      </c>
      <c r="U69" s="36">
        <v>1</v>
      </c>
      <c r="AA69" s="37">
        <f t="shared" ref="AA69:AA100" si="12">N69</f>
        <v>2.5000000000000001E-2</v>
      </c>
      <c r="AB69" s="37">
        <f t="shared" ref="AB69:AB100" si="13">O69</f>
        <v>3.7499999999999999E-2</v>
      </c>
      <c r="AC69" s="37">
        <f t="shared" ref="AC69:AC100" si="14">P69</f>
        <v>0</v>
      </c>
      <c r="AD69" s="37">
        <f t="shared" ref="AD69:AD100" si="15">Q69</f>
        <v>6.25E-2</v>
      </c>
      <c r="AE69" s="20">
        <f t="shared" ref="AE69:AE100" si="16">R69</f>
        <v>0.2</v>
      </c>
      <c r="AF69" s="37">
        <f t="shared" ref="AF69:AF100" si="17">Q69*R69</f>
        <v>1.2500000000000001E-2</v>
      </c>
      <c r="AG69" s="17" t="s">
        <v>72</v>
      </c>
      <c r="AH69" s="32" t="s">
        <v>186</v>
      </c>
    </row>
    <row r="70" spans="1:34" ht="14.25" customHeight="1">
      <c r="A70" s="33">
        <v>66</v>
      </c>
      <c r="B70" s="12">
        <v>9969</v>
      </c>
      <c r="C70" s="12" t="s">
        <v>352</v>
      </c>
      <c r="D70" s="12" t="s">
        <v>353</v>
      </c>
      <c r="E70" s="12" t="s">
        <v>262</v>
      </c>
      <c r="F70" s="12" t="s">
        <v>169</v>
      </c>
      <c r="G70" s="12" t="s">
        <v>263</v>
      </c>
      <c r="H70" s="12" t="s">
        <v>171</v>
      </c>
      <c r="I70" s="12" t="s">
        <v>172</v>
      </c>
      <c r="J70" s="12" t="s">
        <v>173</v>
      </c>
      <c r="K70" s="12" t="s">
        <v>274</v>
      </c>
      <c r="L70" s="12"/>
      <c r="M70" s="12" t="s">
        <v>172</v>
      </c>
      <c r="N70" s="34">
        <v>0.31237500000000001</v>
      </c>
      <c r="O70" s="34">
        <v>2.5000000000000001E-2</v>
      </c>
      <c r="P70" s="34">
        <v>0</v>
      </c>
      <c r="Q70" s="34">
        <v>0.33737499999999998</v>
      </c>
      <c r="R70" s="35">
        <v>0.67580585402000704</v>
      </c>
      <c r="S70" s="34">
        <v>0.16868749999999999</v>
      </c>
      <c r="T70" s="34">
        <v>0.16868749999999999</v>
      </c>
      <c r="U70" s="36">
        <v>1</v>
      </c>
      <c r="AA70" s="37">
        <f t="shared" si="12"/>
        <v>0.31237500000000001</v>
      </c>
      <c r="AB70" s="37">
        <f t="shared" si="13"/>
        <v>2.5000000000000001E-2</v>
      </c>
      <c r="AC70" s="37">
        <f t="shared" si="14"/>
        <v>0</v>
      </c>
      <c r="AD70" s="37">
        <f t="shared" si="15"/>
        <v>0.33737499999999998</v>
      </c>
      <c r="AE70" s="20">
        <f t="shared" si="16"/>
        <v>0.67580585402000704</v>
      </c>
      <c r="AF70" s="37">
        <f t="shared" si="17"/>
        <v>0.22799999999999987</v>
      </c>
      <c r="AG70" s="17" t="s">
        <v>72</v>
      </c>
      <c r="AH70" s="32" t="s">
        <v>232</v>
      </c>
    </row>
    <row r="71" spans="1:34" ht="14.25" hidden="1" customHeight="1">
      <c r="A71" s="33">
        <v>67</v>
      </c>
      <c r="B71" s="12">
        <v>9975</v>
      </c>
      <c r="C71" s="12" t="s">
        <v>354</v>
      </c>
      <c r="D71" s="12" t="s">
        <v>355</v>
      </c>
      <c r="E71" s="12" t="s">
        <v>258</v>
      </c>
      <c r="F71" s="12" t="s">
        <v>238</v>
      </c>
      <c r="G71" s="12" t="s">
        <v>259</v>
      </c>
      <c r="H71" s="12" t="s">
        <v>171</v>
      </c>
      <c r="I71" s="12" t="s">
        <v>172</v>
      </c>
      <c r="J71" s="12" t="s">
        <v>173</v>
      </c>
      <c r="K71" s="12" t="s">
        <v>274</v>
      </c>
      <c r="L71" s="12"/>
      <c r="M71" s="12" t="s">
        <v>172</v>
      </c>
      <c r="N71" s="34">
        <v>1.1116666666666699</v>
      </c>
      <c r="O71" s="34">
        <v>0</v>
      </c>
      <c r="P71" s="34">
        <v>0</v>
      </c>
      <c r="Q71" s="34">
        <v>1.1116666666666699</v>
      </c>
      <c r="R71" s="35">
        <v>0.58508245877061504</v>
      </c>
      <c r="S71" s="34">
        <v>0.55583333333333296</v>
      </c>
      <c r="T71" s="34">
        <v>0.55583333333333296</v>
      </c>
      <c r="U71" s="36">
        <v>1</v>
      </c>
      <c r="AA71" s="37">
        <f t="shared" si="12"/>
        <v>1.1116666666666699</v>
      </c>
      <c r="AB71" s="37">
        <f t="shared" si="13"/>
        <v>0</v>
      </c>
      <c r="AC71" s="37">
        <f t="shared" si="14"/>
        <v>0</v>
      </c>
      <c r="AD71" s="37">
        <f t="shared" si="15"/>
        <v>1.1116666666666699</v>
      </c>
      <c r="AE71" s="20">
        <f t="shared" si="16"/>
        <v>0.58508245877061504</v>
      </c>
      <c r="AF71" s="37">
        <f t="shared" si="17"/>
        <v>0.65041666666666897</v>
      </c>
      <c r="AG71" s="17" t="s">
        <v>72</v>
      </c>
      <c r="AH71" s="32" t="s">
        <v>191</v>
      </c>
    </row>
    <row r="72" spans="1:34" ht="14.25" hidden="1" customHeight="1">
      <c r="A72" s="33">
        <v>68</v>
      </c>
      <c r="B72" s="12">
        <v>9977</v>
      </c>
      <c r="C72" s="12" t="s">
        <v>356</v>
      </c>
      <c r="D72" s="12" t="s">
        <v>357</v>
      </c>
      <c r="E72" s="12" t="s">
        <v>298</v>
      </c>
      <c r="F72" s="12" t="s">
        <v>289</v>
      </c>
      <c r="G72" s="12" t="s">
        <v>299</v>
      </c>
      <c r="H72" s="12" t="s">
        <v>171</v>
      </c>
      <c r="I72" s="12" t="s">
        <v>172</v>
      </c>
      <c r="J72" s="12" t="s">
        <v>173</v>
      </c>
      <c r="K72" s="12" t="s">
        <v>274</v>
      </c>
      <c r="L72" s="12"/>
      <c r="M72" s="12" t="s">
        <v>172</v>
      </c>
      <c r="N72" s="34">
        <v>1</v>
      </c>
      <c r="O72" s="34">
        <v>1</v>
      </c>
      <c r="P72" s="34">
        <v>0</v>
      </c>
      <c r="Q72" s="34">
        <v>0.45791666666666703</v>
      </c>
      <c r="R72" s="35">
        <v>0</v>
      </c>
      <c r="S72" s="34">
        <v>0.22895833333333299</v>
      </c>
      <c r="T72" s="34">
        <v>0.22895833333333299</v>
      </c>
      <c r="U72" s="36">
        <v>1</v>
      </c>
      <c r="AA72" s="37">
        <f t="shared" si="12"/>
        <v>1</v>
      </c>
      <c r="AB72" s="37">
        <f t="shared" si="13"/>
        <v>1</v>
      </c>
      <c r="AC72" s="37">
        <f t="shared" si="14"/>
        <v>0</v>
      </c>
      <c r="AD72" s="37">
        <f t="shared" si="15"/>
        <v>0.45791666666666703</v>
      </c>
      <c r="AE72" s="20">
        <f t="shared" si="16"/>
        <v>0</v>
      </c>
      <c r="AF72" s="37">
        <f t="shared" si="17"/>
        <v>0</v>
      </c>
      <c r="AG72" s="17" t="s">
        <v>72</v>
      </c>
      <c r="AH72" s="32" t="s">
        <v>232</v>
      </c>
    </row>
    <row r="73" spans="1:34" ht="14.25" hidden="1" customHeight="1">
      <c r="A73" s="33">
        <v>69</v>
      </c>
      <c r="B73" s="12">
        <v>9980</v>
      </c>
      <c r="C73" s="12" t="s">
        <v>358</v>
      </c>
      <c r="D73" s="12" t="s">
        <v>359</v>
      </c>
      <c r="E73" s="12" t="s">
        <v>179</v>
      </c>
      <c r="F73" s="12" t="s">
        <v>169</v>
      </c>
      <c r="G73" s="12" t="s">
        <v>180</v>
      </c>
      <c r="H73" s="12" t="s">
        <v>171</v>
      </c>
      <c r="I73" s="12" t="s">
        <v>181</v>
      </c>
      <c r="J73" s="12" t="s">
        <v>173</v>
      </c>
      <c r="K73" s="12" t="s">
        <v>360</v>
      </c>
      <c r="L73" s="12"/>
      <c r="M73" s="12" t="s">
        <v>172</v>
      </c>
      <c r="N73" s="34">
        <v>12.606875</v>
      </c>
      <c r="O73" s="34">
        <v>1.1416666666666699</v>
      </c>
      <c r="P73" s="34">
        <v>0</v>
      </c>
      <c r="Q73" s="34">
        <v>13.7485416666667</v>
      </c>
      <c r="R73" s="35">
        <v>0.81496522358432</v>
      </c>
      <c r="S73" s="34">
        <v>6.8742708333333402</v>
      </c>
      <c r="T73" s="34">
        <v>6.8742708333333402</v>
      </c>
      <c r="U73" s="36">
        <v>1</v>
      </c>
      <c r="AA73" s="37">
        <f t="shared" si="12"/>
        <v>12.606875</v>
      </c>
      <c r="AB73" s="37">
        <f t="shared" si="13"/>
        <v>1.1416666666666699</v>
      </c>
      <c r="AC73" s="37">
        <f t="shared" si="14"/>
        <v>0</v>
      </c>
      <c r="AD73" s="37">
        <f t="shared" si="15"/>
        <v>13.7485416666667</v>
      </c>
      <c r="AE73" s="20">
        <f t="shared" si="16"/>
        <v>0.81496522358432</v>
      </c>
      <c r="AF73" s="37">
        <f t="shared" si="17"/>
        <v>11.204583333333366</v>
      </c>
      <c r="AG73" s="17" t="s">
        <v>76</v>
      </c>
      <c r="AH73" s="32" t="s">
        <v>232</v>
      </c>
    </row>
    <row r="74" spans="1:34" ht="14.25" hidden="1" customHeight="1">
      <c r="A74" s="33">
        <v>70</v>
      </c>
      <c r="B74" s="12">
        <v>9983</v>
      </c>
      <c r="C74" s="12" t="s">
        <v>361</v>
      </c>
      <c r="D74" s="12" t="s">
        <v>362</v>
      </c>
      <c r="E74" s="12" t="s">
        <v>298</v>
      </c>
      <c r="F74" s="12" t="s">
        <v>289</v>
      </c>
      <c r="G74" s="12" t="s">
        <v>299</v>
      </c>
      <c r="H74" s="12" t="s">
        <v>171</v>
      </c>
      <c r="I74" s="12" t="s">
        <v>172</v>
      </c>
      <c r="J74" s="12" t="s">
        <v>173</v>
      </c>
      <c r="K74" s="12" t="s">
        <v>274</v>
      </c>
      <c r="L74" s="12" t="s">
        <v>277</v>
      </c>
      <c r="M74" s="12" t="s">
        <v>172</v>
      </c>
      <c r="N74" s="34">
        <v>6.6141666666666703</v>
      </c>
      <c r="O74" s="34">
        <v>0.64791666666666703</v>
      </c>
      <c r="P74" s="34">
        <v>0</v>
      </c>
      <c r="Q74" s="34">
        <v>7.2620833333333303</v>
      </c>
      <c r="R74" s="35">
        <v>0.93912444775948101</v>
      </c>
      <c r="S74" s="34">
        <v>3.6310416666666701</v>
      </c>
      <c r="T74" s="34">
        <v>3.6310416666666701</v>
      </c>
      <c r="U74" s="36">
        <v>1</v>
      </c>
      <c r="AA74" s="37">
        <f t="shared" si="12"/>
        <v>6.6141666666666703</v>
      </c>
      <c r="AB74" s="37">
        <f t="shared" si="13"/>
        <v>0.64791666666666703</v>
      </c>
      <c r="AC74" s="37">
        <f t="shared" si="14"/>
        <v>0</v>
      </c>
      <c r="AD74" s="37">
        <f t="shared" si="15"/>
        <v>7.2620833333333303</v>
      </c>
      <c r="AE74" s="20">
        <f t="shared" si="16"/>
        <v>0.93912444775948101</v>
      </c>
      <c r="AF74" s="37">
        <f t="shared" si="17"/>
        <v>6.819999999999995</v>
      </c>
      <c r="AG74" s="17" t="s">
        <v>72</v>
      </c>
      <c r="AH74" s="32" t="s">
        <v>196</v>
      </c>
    </row>
    <row r="75" spans="1:34" ht="14.25" customHeight="1">
      <c r="A75" s="33">
        <v>71</v>
      </c>
      <c r="B75" s="12">
        <v>9986</v>
      </c>
      <c r="C75" s="12" t="s">
        <v>363</v>
      </c>
      <c r="D75" s="12" t="s">
        <v>364</v>
      </c>
      <c r="E75" s="12" t="s">
        <v>262</v>
      </c>
      <c r="F75" s="12" t="s">
        <v>169</v>
      </c>
      <c r="G75" s="12" t="s">
        <v>263</v>
      </c>
      <c r="H75" s="12" t="s">
        <v>171</v>
      </c>
      <c r="I75" s="12" t="s">
        <v>172</v>
      </c>
      <c r="J75" s="12" t="s">
        <v>173</v>
      </c>
      <c r="K75" s="12" t="s">
        <v>365</v>
      </c>
      <c r="L75" s="12"/>
      <c r="M75" s="12" t="s">
        <v>172</v>
      </c>
      <c r="N75" s="34">
        <v>2.4426666666666699</v>
      </c>
      <c r="O75" s="34">
        <v>0.57083333333333297</v>
      </c>
      <c r="P75" s="34">
        <v>0</v>
      </c>
      <c r="Q75" s="34">
        <v>3.0135000000000001</v>
      </c>
      <c r="R75" s="35">
        <v>0.27515071069078001</v>
      </c>
      <c r="S75" s="34">
        <v>1.50675</v>
      </c>
      <c r="T75" s="34">
        <v>1.50675</v>
      </c>
      <c r="U75" s="36">
        <v>1</v>
      </c>
      <c r="AA75" s="37">
        <f t="shared" si="12"/>
        <v>2.4426666666666699</v>
      </c>
      <c r="AB75" s="37">
        <f t="shared" si="13"/>
        <v>0.57083333333333297</v>
      </c>
      <c r="AC75" s="37">
        <f t="shared" si="14"/>
        <v>0</v>
      </c>
      <c r="AD75" s="37">
        <f t="shared" si="15"/>
        <v>3.0135000000000001</v>
      </c>
      <c r="AE75" s="20">
        <f t="shared" si="16"/>
        <v>0.27515071069078001</v>
      </c>
      <c r="AF75" s="37">
        <f t="shared" si="17"/>
        <v>0.82916666666666561</v>
      </c>
      <c r="AG75" s="17" t="s">
        <v>72</v>
      </c>
      <c r="AH75" s="32" t="s">
        <v>186</v>
      </c>
    </row>
    <row r="76" spans="1:34" ht="14.25" hidden="1" customHeight="1">
      <c r="A76" s="33">
        <v>72</v>
      </c>
      <c r="B76" s="12">
        <v>9992</v>
      </c>
      <c r="C76" s="12" t="s">
        <v>366</v>
      </c>
      <c r="D76" s="12" t="s">
        <v>367</v>
      </c>
      <c r="E76" s="12" t="s">
        <v>317</v>
      </c>
      <c r="F76" s="12" t="s">
        <v>318</v>
      </c>
      <c r="G76" s="12" t="s">
        <v>318</v>
      </c>
      <c r="H76" s="12" t="s">
        <v>231</v>
      </c>
      <c r="I76" s="12" t="s">
        <v>172</v>
      </c>
      <c r="J76" s="12" t="s">
        <v>173</v>
      </c>
      <c r="K76" s="12" t="s">
        <v>368</v>
      </c>
      <c r="L76" s="12"/>
      <c r="M76" s="12" t="s">
        <v>172</v>
      </c>
      <c r="N76" s="34">
        <v>7.2083333333333304</v>
      </c>
      <c r="O76" s="34">
        <v>2.99583333333333</v>
      </c>
      <c r="P76" s="34">
        <v>2.5208333333333299</v>
      </c>
      <c r="Q76" s="34">
        <v>12.725</v>
      </c>
      <c r="R76" s="35">
        <v>0.93778650949574305</v>
      </c>
      <c r="S76" s="34">
        <v>6.3624999999999998</v>
      </c>
      <c r="T76" s="34">
        <v>6.3624999999999998</v>
      </c>
      <c r="U76" s="36">
        <v>1</v>
      </c>
      <c r="AA76" s="37">
        <f t="shared" si="12"/>
        <v>7.2083333333333304</v>
      </c>
      <c r="AB76" s="37">
        <f t="shared" si="13"/>
        <v>2.99583333333333</v>
      </c>
      <c r="AC76" s="37">
        <f t="shared" si="14"/>
        <v>2.5208333333333299</v>
      </c>
      <c r="AD76" s="37">
        <f t="shared" si="15"/>
        <v>12.725</v>
      </c>
      <c r="AE76" s="20">
        <f t="shared" si="16"/>
        <v>0.93778650949574305</v>
      </c>
      <c r="AF76" s="37">
        <f t="shared" si="17"/>
        <v>11.93333333333333</v>
      </c>
      <c r="AG76" s="17" t="s">
        <v>72</v>
      </c>
      <c r="AH76" s="32" t="s">
        <v>191</v>
      </c>
    </row>
    <row r="77" spans="1:34" ht="14.25" hidden="1" customHeight="1">
      <c r="A77" s="33">
        <v>73</v>
      </c>
      <c r="B77" s="12">
        <v>9994</v>
      </c>
      <c r="C77" s="12" t="s">
        <v>369</v>
      </c>
      <c r="D77" s="12" t="s">
        <v>370</v>
      </c>
      <c r="E77" s="12" t="s">
        <v>243</v>
      </c>
      <c r="F77" s="12" t="s">
        <v>238</v>
      </c>
      <c r="G77" s="12" t="s">
        <v>244</v>
      </c>
      <c r="H77" s="12" t="s">
        <v>171</v>
      </c>
      <c r="I77" s="12" t="s">
        <v>172</v>
      </c>
      <c r="J77" s="12" t="s">
        <v>371</v>
      </c>
      <c r="K77" s="12" t="s">
        <v>274</v>
      </c>
      <c r="L77" s="12" t="s">
        <v>277</v>
      </c>
      <c r="M77" s="12" t="s">
        <v>172</v>
      </c>
      <c r="N77" s="34">
        <v>0.8</v>
      </c>
      <c r="O77" s="34">
        <v>0.2</v>
      </c>
      <c r="P77" s="34">
        <v>0</v>
      </c>
      <c r="Q77" s="34">
        <v>1.1729166666666699</v>
      </c>
      <c r="R77" s="35">
        <v>0.42806394316163399</v>
      </c>
      <c r="S77" s="34">
        <v>0.58645833333333297</v>
      </c>
      <c r="T77" s="34">
        <v>0.58645833333333297</v>
      </c>
      <c r="U77" s="36">
        <v>1</v>
      </c>
      <c r="AA77" s="37">
        <f t="shared" si="12"/>
        <v>0.8</v>
      </c>
      <c r="AB77" s="37">
        <f t="shared" si="13"/>
        <v>0.2</v>
      </c>
      <c r="AC77" s="37">
        <f t="shared" si="14"/>
        <v>0</v>
      </c>
      <c r="AD77" s="37">
        <f t="shared" si="15"/>
        <v>1.1729166666666699</v>
      </c>
      <c r="AE77" s="20">
        <f t="shared" si="16"/>
        <v>0.42806394316163399</v>
      </c>
      <c r="AF77" s="37">
        <f t="shared" si="17"/>
        <v>0.50208333333333455</v>
      </c>
      <c r="AG77" s="17" t="s">
        <v>72</v>
      </c>
      <c r="AH77" s="32" t="s">
        <v>186</v>
      </c>
    </row>
    <row r="78" spans="1:34" ht="14.25" customHeight="1">
      <c r="A78" s="33">
        <v>74</v>
      </c>
      <c r="B78" s="12">
        <v>9995</v>
      </c>
      <c r="C78" s="12" t="s">
        <v>372</v>
      </c>
      <c r="D78" s="12" t="s">
        <v>373</v>
      </c>
      <c r="E78" s="12" t="s">
        <v>262</v>
      </c>
      <c r="F78" s="12" t="s">
        <v>169</v>
      </c>
      <c r="G78" s="12" t="s">
        <v>263</v>
      </c>
      <c r="H78" s="12" t="s">
        <v>374</v>
      </c>
      <c r="I78" s="12" t="s">
        <v>172</v>
      </c>
      <c r="J78" s="12" t="s">
        <v>173</v>
      </c>
      <c r="K78" s="12" t="s">
        <v>375</v>
      </c>
      <c r="L78" s="12"/>
      <c r="M78" s="12" t="s">
        <v>172</v>
      </c>
      <c r="N78" s="34">
        <v>0.77916666666666701</v>
      </c>
      <c r="O78" s="34">
        <v>0</v>
      </c>
      <c r="P78" s="34">
        <v>0</v>
      </c>
      <c r="Q78" s="34">
        <v>0.77916666666666701</v>
      </c>
      <c r="R78" s="35">
        <v>0.67914438502673802</v>
      </c>
      <c r="S78" s="34">
        <v>0.389583333333333</v>
      </c>
      <c r="T78" s="34">
        <v>0.389583333333333</v>
      </c>
      <c r="U78" s="36">
        <v>1</v>
      </c>
      <c r="AA78" s="37">
        <f t="shared" si="12"/>
        <v>0.77916666666666701</v>
      </c>
      <c r="AB78" s="37">
        <f t="shared" si="13"/>
        <v>0</v>
      </c>
      <c r="AC78" s="37">
        <f t="shared" si="14"/>
        <v>0</v>
      </c>
      <c r="AD78" s="37">
        <f t="shared" si="15"/>
        <v>0.77916666666666701</v>
      </c>
      <c r="AE78" s="20">
        <f t="shared" si="16"/>
        <v>0.67914438502673802</v>
      </c>
      <c r="AF78" s="37">
        <f t="shared" si="17"/>
        <v>0.5291666666666669</v>
      </c>
      <c r="AG78" s="17" t="s">
        <v>72</v>
      </c>
      <c r="AH78" s="32" t="s">
        <v>232</v>
      </c>
    </row>
    <row r="79" spans="1:34" ht="14.25" hidden="1" customHeight="1">
      <c r="A79" s="33">
        <v>75</v>
      </c>
      <c r="B79" s="12">
        <v>9996</v>
      </c>
      <c r="C79" s="12" t="s">
        <v>376</v>
      </c>
      <c r="D79" s="12" t="s">
        <v>377</v>
      </c>
      <c r="E79" s="12" t="s">
        <v>237</v>
      </c>
      <c r="F79" s="12" t="s">
        <v>238</v>
      </c>
      <c r="G79" s="12" t="s">
        <v>239</v>
      </c>
      <c r="H79" s="12" t="s">
        <v>171</v>
      </c>
      <c r="I79" s="12" t="s">
        <v>172</v>
      </c>
      <c r="J79" s="12" t="s">
        <v>173</v>
      </c>
      <c r="K79" s="12" t="s">
        <v>274</v>
      </c>
      <c r="L79" s="12"/>
      <c r="M79" s="12" t="s">
        <v>172</v>
      </c>
      <c r="N79" s="34">
        <v>0.22625000000000001</v>
      </c>
      <c r="O79" s="34">
        <v>0</v>
      </c>
      <c r="P79" s="34">
        <v>0</v>
      </c>
      <c r="Q79" s="34">
        <v>0.22625000000000001</v>
      </c>
      <c r="R79" s="35">
        <v>0.337016574585635</v>
      </c>
      <c r="S79" s="34">
        <v>0.113125</v>
      </c>
      <c r="T79" s="34">
        <v>0.113125</v>
      </c>
      <c r="U79" s="36">
        <v>1</v>
      </c>
      <c r="AA79" s="37">
        <f t="shared" si="12"/>
        <v>0.22625000000000001</v>
      </c>
      <c r="AB79" s="37">
        <f t="shared" si="13"/>
        <v>0</v>
      </c>
      <c r="AC79" s="37">
        <f t="shared" si="14"/>
        <v>0</v>
      </c>
      <c r="AD79" s="37">
        <f t="shared" si="15"/>
        <v>0.22625000000000001</v>
      </c>
      <c r="AE79" s="20">
        <f t="shared" si="16"/>
        <v>0.337016574585635</v>
      </c>
      <c r="AF79" s="37">
        <f t="shared" si="17"/>
        <v>7.6249999999999915E-2</v>
      </c>
      <c r="AG79" s="17" t="s">
        <v>72</v>
      </c>
      <c r="AH79" s="32" t="s">
        <v>196</v>
      </c>
    </row>
    <row r="80" spans="1:34" ht="14.25" hidden="1" customHeight="1">
      <c r="A80" s="33">
        <v>76</v>
      </c>
      <c r="B80" s="12">
        <v>9999</v>
      </c>
      <c r="C80" s="12" t="s">
        <v>378</v>
      </c>
      <c r="D80" s="12" t="s">
        <v>379</v>
      </c>
      <c r="E80" s="12" t="s">
        <v>179</v>
      </c>
      <c r="F80" s="12" t="s">
        <v>169</v>
      </c>
      <c r="G80" s="12" t="s">
        <v>180</v>
      </c>
      <c r="H80" s="12" t="s">
        <v>171</v>
      </c>
      <c r="I80" s="12" t="s">
        <v>181</v>
      </c>
      <c r="J80" s="12" t="s">
        <v>173</v>
      </c>
      <c r="K80" s="12" t="s">
        <v>208</v>
      </c>
      <c r="L80" s="12"/>
      <c r="M80" s="12" t="s">
        <v>172</v>
      </c>
      <c r="N80" s="34">
        <v>1.0287500000000001</v>
      </c>
      <c r="O80" s="34">
        <v>0</v>
      </c>
      <c r="P80" s="34">
        <v>0</v>
      </c>
      <c r="Q80" s="34">
        <v>1.0287500000000001</v>
      </c>
      <c r="R80" s="35">
        <v>0.12920210611583599</v>
      </c>
      <c r="S80" s="34">
        <v>0.51437500000000003</v>
      </c>
      <c r="T80" s="34">
        <v>0.51437500000000003</v>
      </c>
      <c r="U80" s="36">
        <v>1</v>
      </c>
      <c r="AA80" s="37">
        <f t="shared" si="12"/>
        <v>1.0287500000000001</v>
      </c>
      <c r="AB80" s="37">
        <f t="shared" si="13"/>
        <v>0</v>
      </c>
      <c r="AC80" s="37">
        <f t="shared" si="14"/>
        <v>0</v>
      </c>
      <c r="AD80" s="37">
        <f t="shared" si="15"/>
        <v>1.0287500000000001</v>
      </c>
      <c r="AE80" s="20">
        <f t="shared" si="16"/>
        <v>0.12920210611583599</v>
      </c>
      <c r="AF80" s="37">
        <f t="shared" si="17"/>
        <v>0.13291666666666629</v>
      </c>
      <c r="AG80" s="17" t="s">
        <v>76</v>
      </c>
      <c r="AH80" s="32" t="s">
        <v>176</v>
      </c>
    </row>
    <row r="81" spans="1:34" ht="14.25" customHeight="1">
      <c r="A81" s="33">
        <v>77</v>
      </c>
      <c r="B81" s="12">
        <v>10001</v>
      </c>
      <c r="C81" s="12" t="s">
        <v>380</v>
      </c>
      <c r="D81" s="12" t="s">
        <v>381</v>
      </c>
      <c r="E81" s="12" t="s">
        <v>262</v>
      </c>
      <c r="F81" s="12" t="s">
        <v>169</v>
      </c>
      <c r="G81" s="12" t="s">
        <v>263</v>
      </c>
      <c r="H81" s="12" t="s">
        <v>171</v>
      </c>
      <c r="I81" s="12" t="s">
        <v>181</v>
      </c>
      <c r="J81" s="12" t="s">
        <v>173</v>
      </c>
      <c r="K81" s="12" t="s">
        <v>382</v>
      </c>
      <c r="L81" s="12"/>
      <c r="M81" s="12" t="s">
        <v>172</v>
      </c>
      <c r="N81" s="34">
        <v>2.7291666666666701</v>
      </c>
      <c r="O81" s="34">
        <v>3.0249999999999999</v>
      </c>
      <c r="P81" s="34">
        <v>0</v>
      </c>
      <c r="Q81" s="34">
        <v>5.75416666666667</v>
      </c>
      <c r="R81" s="35">
        <v>0.34540188269369998</v>
      </c>
      <c r="S81" s="34">
        <v>2.8770833333333301</v>
      </c>
      <c r="T81" s="34">
        <v>2.8770833333333301</v>
      </c>
      <c r="U81" s="36">
        <v>1</v>
      </c>
      <c r="AA81" s="37">
        <f t="shared" si="12"/>
        <v>2.7291666666666701</v>
      </c>
      <c r="AB81" s="37">
        <f t="shared" si="13"/>
        <v>3.0249999999999999</v>
      </c>
      <c r="AC81" s="37">
        <f t="shared" si="14"/>
        <v>0</v>
      </c>
      <c r="AD81" s="37">
        <f t="shared" si="15"/>
        <v>5.75416666666667</v>
      </c>
      <c r="AE81" s="20">
        <f t="shared" si="16"/>
        <v>0.34540188269369998</v>
      </c>
      <c r="AF81" s="37">
        <f t="shared" si="17"/>
        <v>1.9874999999999998</v>
      </c>
      <c r="AG81" s="17" t="s">
        <v>76</v>
      </c>
      <c r="AH81" s="32" t="s">
        <v>201</v>
      </c>
    </row>
    <row r="82" spans="1:34" ht="14.25" customHeight="1">
      <c r="A82" s="33">
        <v>78</v>
      </c>
      <c r="B82" s="12">
        <v>10032</v>
      </c>
      <c r="C82" s="12" t="s">
        <v>383</v>
      </c>
      <c r="D82" s="12" t="s">
        <v>384</v>
      </c>
      <c r="E82" s="12" t="s">
        <v>262</v>
      </c>
      <c r="F82" s="12" t="s">
        <v>169</v>
      </c>
      <c r="G82" s="12" t="s">
        <v>263</v>
      </c>
      <c r="H82" s="12" t="s">
        <v>171</v>
      </c>
      <c r="I82" s="12" t="s">
        <v>181</v>
      </c>
      <c r="J82" s="12" t="s">
        <v>173</v>
      </c>
      <c r="K82" s="12" t="s">
        <v>385</v>
      </c>
      <c r="L82" s="12"/>
      <c r="M82" s="12" t="s">
        <v>172</v>
      </c>
      <c r="N82" s="34">
        <v>1.8583333333333301</v>
      </c>
      <c r="O82" s="34">
        <v>0.94166666666666698</v>
      </c>
      <c r="P82" s="34">
        <v>0</v>
      </c>
      <c r="Q82" s="34">
        <v>2.8</v>
      </c>
      <c r="R82" s="35">
        <v>0.26934523809523803</v>
      </c>
      <c r="S82" s="34">
        <v>1.4</v>
      </c>
      <c r="T82" s="34">
        <v>1.4</v>
      </c>
      <c r="U82" s="36">
        <v>1</v>
      </c>
      <c r="AA82" s="37">
        <f t="shared" si="12"/>
        <v>1.8583333333333301</v>
      </c>
      <c r="AB82" s="37">
        <f t="shared" si="13"/>
        <v>0.94166666666666698</v>
      </c>
      <c r="AC82" s="37">
        <f t="shared" si="14"/>
        <v>0</v>
      </c>
      <c r="AD82" s="37">
        <f t="shared" si="15"/>
        <v>2.8</v>
      </c>
      <c r="AE82" s="20">
        <f t="shared" si="16"/>
        <v>0.26934523809523803</v>
      </c>
      <c r="AF82" s="37">
        <f t="shared" si="17"/>
        <v>0.75416666666666643</v>
      </c>
      <c r="AG82" s="17" t="s">
        <v>72</v>
      </c>
      <c r="AH82" s="32" t="s">
        <v>191</v>
      </c>
    </row>
    <row r="83" spans="1:34" ht="14.25" hidden="1" customHeight="1">
      <c r="A83" s="33">
        <v>79</v>
      </c>
      <c r="B83" s="12">
        <v>11004</v>
      </c>
      <c r="C83" s="12" t="s">
        <v>386</v>
      </c>
      <c r="D83" s="12" t="s">
        <v>387</v>
      </c>
      <c r="E83" s="12" t="s">
        <v>54</v>
      </c>
      <c r="F83" s="12" t="s">
        <v>169</v>
      </c>
      <c r="G83" s="12" t="s">
        <v>170</v>
      </c>
      <c r="H83" s="12" t="s">
        <v>171</v>
      </c>
      <c r="I83" s="12" t="s">
        <v>172</v>
      </c>
      <c r="J83" s="12" t="s">
        <v>173</v>
      </c>
      <c r="K83" s="12" t="s">
        <v>388</v>
      </c>
      <c r="L83" s="12" t="s">
        <v>175</v>
      </c>
      <c r="M83" s="12" t="s">
        <v>172</v>
      </c>
      <c r="N83" s="34">
        <v>21.506125000000001</v>
      </c>
      <c r="O83" s="34">
        <v>7.7291666666666599</v>
      </c>
      <c r="P83" s="34">
        <v>0</v>
      </c>
      <c r="Q83" s="34">
        <v>29.235291666666701</v>
      </c>
      <c r="R83" s="35">
        <v>0.830969134051738</v>
      </c>
      <c r="S83" s="34">
        <v>14.617645833333301</v>
      </c>
      <c r="T83" s="34">
        <v>14.617645833333301</v>
      </c>
      <c r="U83" s="36">
        <v>1</v>
      </c>
      <c r="AA83" s="37">
        <f t="shared" si="12"/>
        <v>21.506125000000001</v>
      </c>
      <c r="AB83" s="37">
        <f t="shared" si="13"/>
        <v>7.7291666666666599</v>
      </c>
      <c r="AC83" s="37">
        <f t="shared" si="14"/>
        <v>0</v>
      </c>
      <c r="AD83" s="37">
        <f t="shared" si="15"/>
        <v>29.235291666666701</v>
      </c>
      <c r="AE83" s="20">
        <f t="shared" si="16"/>
        <v>0.830969134051738</v>
      </c>
      <c r="AF83" s="37">
        <f t="shared" si="17"/>
        <v>24.29362500000002</v>
      </c>
      <c r="AG83" s="17" t="s">
        <v>70</v>
      </c>
      <c r="AH83" s="32" t="s">
        <v>176</v>
      </c>
    </row>
    <row r="84" spans="1:34" ht="14.25" customHeight="1">
      <c r="A84" s="33">
        <v>80</v>
      </c>
      <c r="B84" s="12">
        <v>11005</v>
      </c>
      <c r="C84" s="12" t="s">
        <v>389</v>
      </c>
      <c r="D84" s="12" t="s">
        <v>390</v>
      </c>
      <c r="E84" s="12" t="s">
        <v>262</v>
      </c>
      <c r="F84" s="12" t="s">
        <v>169</v>
      </c>
      <c r="G84" s="12" t="s">
        <v>263</v>
      </c>
      <c r="H84" s="12" t="s">
        <v>171</v>
      </c>
      <c r="I84" s="12" t="s">
        <v>172</v>
      </c>
      <c r="J84" s="12" t="s">
        <v>173</v>
      </c>
      <c r="K84" s="12" t="s">
        <v>274</v>
      </c>
      <c r="L84" s="12" t="s">
        <v>277</v>
      </c>
      <c r="M84" s="12" t="s">
        <v>172</v>
      </c>
      <c r="N84" s="34">
        <v>0.36249999999999999</v>
      </c>
      <c r="O84" s="34">
        <v>4.1666666666666699E-2</v>
      </c>
      <c r="P84" s="34">
        <v>0.5</v>
      </c>
      <c r="Q84" s="34">
        <v>0.90416666666666701</v>
      </c>
      <c r="R84" s="35">
        <v>0.44700460829493099</v>
      </c>
      <c r="S84" s="34">
        <v>0.452083333333333</v>
      </c>
      <c r="T84" s="34">
        <v>0.452083333333333</v>
      </c>
      <c r="U84" s="36">
        <v>1</v>
      </c>
      <c r="AA84" s="37">
        <f t="shared" si="12"/>
        <v>0.36249999999999999</v>
      </c>
      <c r="AB84" s="37">
        <f t="shared" si="13"/>
        <v>4.1666666666666699E-2</v>
      </c>
      <c r="AC84" s="37">
        <f t="shared" si="14"/>
        <v>0.5</v>
      </c>
      <c r="AD84" s="37">
        <f t="shared" si="15"/>
        <v>0.90416666666666701</v>
      </c>
      <c r="AE84" s="20">
        <f t="shared" si="16"/>
        <v>0.44700460829493099</v>
      </c>
      <c r="AF84" s="37">
        <f t="shared" si="17"/>
        <v>0.40416666666666695</v>
      </c>
      <c r="AG84" s="17" t="s">
        <v>72</v>
      </c>
      <c r="AH84" s="32" t="s">
        <v>191</v>
      </c>
    </row>
    <row r="85" spans="1:34" ht="14.25" customHeight="1">
      <c r="A85" s="33">
        <v>81</v>
      </c>
      <c r="B85" s="12">
        <v>11007</v>
      </c>
      <c r="C85" s="12" t="s">
        <v>391</v>
      </c>
      <c r="D85" s="12" t="s">
        <v>392</v>
      </c>
      <c r="E85" s="12" t="s">
        <v>262</v>
      </c>
      <c r="F85" s="12" t="s">
        <v>169</v>
      </c>
      <c r="G85" s="12" t="s">
        <v>263</v>
      </c>
      <c r="H85" s="12" t="s">
        <v>171</v>
      </c>
      <c r="I85" s="12" t="s">
        <v>172</v>
      </c>
      <c r="J85" s="12" t="s">
        <v>173</v>
      </c>
      <c r="K85" s="12" t="s">
        <v>274</v>
      </c>
      <c r="L85" s="12"/>
      <c r="M85" s="12" t="s">
        <v>172</v>
      </c>
      <c r="N85" s="34">
        <v>0.234916666666667</v>
      </c>
      <c r="O85" s="34">
        <v>7.2916666666666699E-2</v>
      </c>
      <c r="P85" s="34">
        <v>0</v>
      </c>
      <c r="Q85" s="34">
        <v>0.30783333333333301</v>
      </c>
      <c r="R85" s="35">
        <v>0.95939361126150502</v>
      </c>
      <c r="S85" s="34">
        <v>0.15391666666666701</v>
      </c>
      <c r="T85" s="34">
        <v>0.15391666666666701</v>
      </c>
      <c r="U85" s="36">
        <v>1</v>
      </c>
      <c r="AA85" s="37">
        <f t="shared" si="12"/>
        <v>0.234916666666667</v>
      </c>
      <c r="AB85" s="37">
        <f t="shared" si="13"/>
        <v>7.2916666666666699E-2</v>
      </c>
      <c r="AC85" s="37">
        <f t="shared" si="14"/>
        <v>0</v>
      </c>
      <c r="AD85" s="37">
        <f t="shared" si="15"/>
        <v>0.30783333333333301</v>
      </c>
      <c r="AE85" s="20">
        <f t="shared" si="16"/>
        <v>0.95939361126150502</v>
      </c>
      <c r="AF85" s="37">
        <f t="shared" si="17"/>
        <v>0.295333333333333</v>
      </c>
      <c r="AG85" s="17" t="s">
        <v>72</v>
      </c>
      <c r="AH85" s="32" t="s">
        <v>191</v>
      </c>
    </row>
    <row r="86" spans="1:34" ht="14.25" hidden="1" customHeight="1">
      <c r="A86" s="33">
        <v>82</v>
      </c>
      <c r="B86" s="12">
        <v>11008</v>
      </c>
      <c r="C86" s="12" t="s">
        <v>393</v>
      </c>
      <c r="D86" s="12" t="s">
        <v>394</v>
      </c>
      <c r="E86" s="12" t="s">
        <v>288</v>
      </c>
      <c r="F86" s="12" t="s">
        <v>289</v>
      </c>
      <c r="G86" s="12" t="s">
        <v>312</v>
      </c>
      <c r="H86" s="12" t="s">
        <v>171</v>
      </c>
      <c r="I86" s="12" t="s">
        <v>172</v>
      </c>
      <c r="J86" s="12" t="s">
        <v>173</v>
      </c>
      <c r="K86" s="12" t="s">
        <v>274</v>
      </c>
      <c r="L86" s="12"/>
      <c r="M86" s="12" t="s">
        <v>172</v>
      </c>
      <c r="N86" s="34">
        <v>0.13541666666666699</v>
      </c>
      <c r="O86" s="34">
        <v>1.6666666666666701E-2</v>
      </c>
      <c r="P86" s="34">
        <v>0</v>
      </c>
      <c r="Q86" s="34">
        <v>0.15208333333333299</v>
      </c>
      <c r="R86" s="35">
        <v>0.52054794520547898</v>
      </c>
      <c r="S86" s="34">
        <v>7.6041666666666702E-2</v>
      </c>
      <c r="T86" s="34">
        <v>7.6041666666666702E-2</v>
      </c>
      <c r="U86" s="36">
        <v>1</v>
      </c>
      <c r="AA86" s="37">
        <f t="shared" si="12"/>
        <v>0.13541666666666699</v>
      </c>
      <c r="AB86" s="37">
        <f t="shared" si="13"/>
        <v>1.6666666666666701E-2</v>
      </c>
      <c r="AC86" s="37">
        <f t="shared" si="14"/>
        <v>0</v>
      </c>
      <c r="AD86" s="37">
        <f t="shared" si="15"/>
        <v>0.15208333333333299</v>
      </c>
      <c r="AE86" s="20">
        <f t="shared" si="16"/>
        <v>0.52054794520547898</v>
      </c>
      <c r="AF86" s="37">
        <f t="shared" si="17"/>
        <v>7.9166666666666413E-2</v>
      </c>
      <c r="AG86" s="17" t="s">
        <v>72</v>
      </c>
      <c r="AH86" s="32" t="s">
        <v>196</v>
      </c>
    </row>
    <row r="87" spans="1:34" ht="14.25" customHeight="1">
      <c r="A87" s="33">
        <v>83</v>
      </c>
      <c r="B87" s="12">
        <v>11010</v>
      </c>
      <c r="C87" s="12" t="s">
        <v>395</v>
      </c>
      <c r="D87" s="12" t="s">
        <v>396</v>
      </c>
      <c r="E87" s="12" t="s">
        <v>262</v>
      </c>
      <c r="F87" s="12" t="s">
        <v>169</v>
      </c>
      <c r="G87" s="12" t="s">
        <v>263</v>
      </c>
      <c r="H87" s="12" t="s">
        <v>171</v>
      </c>
      <c r="I87" s="12" t="s">
        <v>172</v>
      </c>
      <c r="J87" s="12" t="s">
        <v>173</v>
      </c>
      <c r="K87" s="12" t="s">
        <v>397</v>
      </c>
      <c r="L87" s="12" t="s">
        <v>277</v>
      </c>
      <c r="M87" s="12" t="s">
        <v>172</v>
      </c>
      <c r="N87" s="34">
        <v>1.25833333333333</v>
      </c>
      <c r="O87" s="34">
        <v>2.9166666666666698E-2</v>
      </c>
      <c r="P87" s="34">
        <v>0.5</v>
      </c>
      <c r="Q87" s="34">
        <v>1.7875000000000001</v>
      </c>
      <c r="R87" s="35">
        <v>0.55710955710955701</v>
      </c>
      <c r="S87" s="34">
        <v>0.89375000000000004</v>
      </c>
      <c r="T87" s="34">
        <v>0.89375000000000004</v>
      </c>
      <c r="U87" s="36">
        <v>1</v>
      </c>
      <c r="AA87" s="37">
        <f t="shared" si="12"/>
        <v>1.25833333333333</v>
      </c>
      <c r="AB87" s="37">
        <f t="shared" si="13"/>
        <v>2.9166666666666698E-2</v>
      </c>
      <c r="AC87" s="37">
        <f t="shared" si="14"/>
        <v>0.5</v>
      </c>
      <c r="AD87" s="37">
        <f t="shared" si="15"/>
        <v>1.7875000000000001</v>
      </c>
      <c r="AE87" s="20">
        <f t="shared" si="16"/>
        <v>0.55710955710955701</v>
      </c>
      <c r="AF87" s="37">
        <f t="shared" si="17"/>
        <v>0.99583333333333324</v>
      </c>
      <c r="AG87" s="17" t="s">
        <v>72</v>
      </c>
      <c r="AH87" s="32" t="s">
        <v>176</v>
      </c>
    </row>
    <row r="88" spans="1:34" ht="14.25" customHeight="1">
      <c r="A88" s="33">
        <v>84</v>
      </c>
      <c r="B88" s="12">
        <v>11011</v>
      </c>
      <c r="C88" s="12" t="s">
        <v>398</v>
      </c>
      <c r="D88" s="12" t="s">
        <v>399</v>
      </c>
      <c r="E88" s="12" t="s">
        <v>262</v>
      </c>
      <c r="F88" s="12" t="s">
        <v>169</v>
      </c>
      <c r="G88" s="12" t="s">
        <v>263</v>
      </c>
      <c r="H88" s="12" t="s">
        <v>171</v>
      </c>
      <c r="I88" s="12" t="s">
        <v>172</v>
      </c>
      <c r="J88" s="12" t="s">
        <v>173</v>
      </c>
      <c r="K88" s="12" t="s">
        <v>274</v>
      </c>
      <c r="L88" s="12"/>
      <c r="M88" s="12" t="s">
        <v>172</v>
      </c>
      <c r="N88" s="34">
        <v>6.0791666666666702</v>
      </c>
      <c r="O88" s="34">
        <v>1.07083333333333</v>
      </c>
      <c r="P88" s="34">
        <v>0</v>
      </c>
      <c r="Q88" s="34">
        <v>7.15</v>
      </c>
      <c r="R88" s="35">
        <v>0.90384615384615397</v>
      </c>
      <c r="S88" s="34">
        <v>3.5750000000000002</v>
      </c>
      <c r="T88" s="34">
        <v>3.5750000000000002</v>
      </c>
      <c r="U88" s="36">
        <v>1</v>
      </c>
      <c r="AA88" s="37">
        <f t="shared" si="12"/>
        <v>6.0791666666666702</v>
      </c>
      <c r="AB88" s="37">
        <f t="shared" si="13"/>
        <v>1.07083333333333</v>
      </c>
      <c r="AC88" s="37">
        <f t="shared" si="14"/>
        <v>0</v>
      </c>
      <c r="AD88" s="37">
        <f t="shared" si="15"/>
        <v>7.15</v>
      </c>
      <c r="AE88" s="20">
        <f t="shared" si="16"/>
        <v>0.90384615384615397</v>
      </c>
      <c r="AF88" s="37">
        <f t="shared" si="17"/>
        <v>6.4625000000000012</v>
      </c>
      <c r="AG88" s="17" t="s">
        <v>72</v>
      </c>
      <c r="AH88" s="32" t="s">
        <v>196</v>
      </c>
    </row>
    <row r="89" spans="1:34" ht="14.25" hidden="1" customHeight="1">
      <c r="A89" s="33">
        <v>85</v>
      </c>
      <c r="B89" s="12">
        <v>11012</v>
      </c>
      <c r="C89" s="12" t="s">
        <v>400</v>
      </c>
      <c r="D89" s="12" t="s">
        <v>401</v>
      </c>
      <c r="E89" s="12" t="s">
        <v>248</v>
      </c>
      <c r="F89" s="12" t="s">
        <v>238</v>
      </c>
      <c r="G89" s="12" t="s">
        <v>249</v>
      </c>
      <c r="H89" s="12" t="s">
        <v>171</v>
      </c>
      <c r="I89" s="12" t="s">
        <v>172</v>
      </c>
      <c r="J89" s="12" t="s">
        <v>173</v>
      </c>
      <c r="K89" s="12" t="s">
        <v>274</v>
      </c>
      <c r="L89" s="12"/>
      <c r="M89" s="12" t="s">
        <v>172</v>
      </c>
      <c r="N89" s="34">
        <v>1.6523333333333301</v>
      </c>
      <c r="O89" s="34">
        <v>0.29166666666666702</v>
      </c>
      <c r="P89" s="34">
        <v>0</v>
      </c>
      <c r="Q89" s="34">
        <v>1.944</v>
      </c>
      <c r="R89" s="35">
        <v>0.83217592592592604</v>
      </c>
      <c r="S89" s="34">
        <v>0.97199999999999998</v>
      </c>
      <c r="T89" s="34">
        <v>0.97199999999999998</v>
      </c>
      <c r="U89" s="36">
        <v>1</v>
      </c>
      <c r="AA89" s="37">
        <f t="shared" si="12"/>
        <v>1.6523333333333301</v>
      </c>
      <c r="AB89" s="37">
        <f t="shared" si="13"/>
        <v>0.29166666666666702</v>
      </c>
      <c r="AC89" s="37">
        <f t="shared" si="14"/>
        <v>0</v>
      </c>
      <c r="AD89" s="37">
        <f t="shared" si="15"/>
        <v>1.944</v>
      </c>
      <c r="AE89" s="20">
        <f t="shared" si="16"/>
        <v>0.83217592592592604</v>
      </c>
      <c r="AF89" s="37">
        <f t="shared" si="17"/>
        <v>1.6177500000000002</v>
      </c>
      <c r="AG89" s="17" t="s">
        <v>72</v>
      </c>
      <c r="AH89" s="32" t="s">
        <v>196</v>
      </c>
    </row>
    <row r="90" spans="1:34" ht="14.25" hidden="1" customHeight="1">
      <c r="A90" s="33">
        <v>86</v>
      </c>
      <c r="B90" s="12">
        <v>11014</v>
      </c>
      <c r="C90" s="12" t="s">
        <v>402</v>
      </c>
      <c r="D90" s="12" t="s">
        <v>403</v>
      </c>
      <c r="E90" s="12" t="s">
        <v>341</v>
      </c>
      <c r="F90" s="12" t="s">
        <v>342</v>
      </c>
      <c r="G90" s="12" t="s">
        <v>342</v>
      </c>
      <c r="H90" s="12" t="s">
        <v>231</v>
      </c>
      <c r="I90" s="12" t="s">
        <v>172</v>
      </c>
      <c r="J90" s="12" t="s">
        <v>173</v>
      </c>
      <c r="K90" s="12" t="s">
        <v>404</v>
      </c>
      <c r="L90" s="12"/>
      <c r="M90" s="12" t="s">
        <v>181</v>
      </c>
      <c r="N90" s="34">
        <v>29.097916666666698</v>
      </c>
      <c r="O90" s="34">
        <v>6.8250000000000002</v>
      </c>
      <c r="P90" s="34">
        <v>6.85</v>
      </c>
      <c r="Q90" s="34">
        <v>42.772916666666703</v>
      </c>
      <c r="R90" s="35">
        <v>0.88284058253372999</v>
      </c>
      <c r="S90" s="34">
        <v>21.386458333333302</v>
      </c>
      <c r="T90" s="34">
        <v>21.386458333333302</v>
      </c>
      <c r="U90" s="36">
        <v>1</v>
      </c>
      <c r="AA90" s="37">
        <f t="shared" si="12"/>
        <v>29.097916666666698</v>
      </c>
      <c r="AB90" s="37">
        <f t="shared" si="13"/>
        <v>6.8250000000000002</v>
      </c>
      <c r="AC90" s="37">
        <f t="shared" si="14"/>
        <v>6.85</v>
      </c>
      <c r="AD90" s="37">
        <f t="shared" si="15"/>
        <v>42.772916666666703</v>
      </c>
      <c r="AE90" s="20">
        <f t="shared" si="16"/>
        <v>0.88284058253372999</v>
      </c>
      <c r="AF90" s="37">
        <f t="shared" si="17"/>
        <v>37.76166666666672</v>
      </c>
      <c r="AG90" s="17" t="s">
        <v>74</v>
      </c>
      <c r="AH90" s="32" t="s">
        <v>176</v>
      </c>
    </row>
    <row r="91" spans="1:34" ht="14.25" hidden="1" customHeight="1">
      <c r="A91" s="33">
        <v>87</v>
      </c>
      <c r="B91" s="12">
        <v>11203</v>
      </c>
      <c r="C91" s="12" t="s">
        <v>405</v>
      </c>
      <c r="D91" s="12" t="s">
        <v>406</v>
      </c>
      <c r="E91" s="12" t="s">
        <v>298</v>
      </c>
      <c r="F91" s="12" t="s">
        <v>289</v>
      </c>
      <c r="G91" s="12" t="s">
        <v>299</v>
      </c>
      <c r="H91" s="12" t="s">
        <v>171</v>
      </c>
      <c r="I91" s="12" t="s">
        <v>172</v>
      </c>
      <c r="J91" s="12" t="s">
        <v>371</v>
      </c>
      <c r="K91" s="12" t="s">
        <v>407</v>
      </c>
      <c r="L91" s="12" t="s">
        <v>175</v>
      </c>
      <c r="M91" s="12" t="s">
        <v>181</v>
      </c>
      <c r="N91" s="34">
        <v>20.8333333333333</v>
      </c>
      <c r="O91" s="34">
        <v>10.0041666666667</v>
      </c>
      <c r="P91" s="34">
        <v>12.725</v>
      </c>
      <c r="Q91" s="34">
        <v>43.5625</v>
      </c>
      <c r="R91" s="35">
        <v>0.86915351506456295</v>
      </c>
      <c r="S91" s="34">
        <v>21.78125</v>
      </c>
      <c r="T91" s="34">
        <v>21.78125</v>
      </c>
      <c r="U91" s="36">
        <v>1</v>
      </c>
      <c r="AA91" s="37">
        <f t="shared" si="12"/>
        <v>20.8333333333333</v>
      </c>
      <c r="AB91" s="37">
        <f t="shared" si="13"/>
        <v>10.0041666666667</v>
      </c>
      <c r="AC91" s="37">
        <f t="shared" si="14"/>
        <v>12.725</v>
      </c>
      <c r="AD91" s="37">
        <f t="shared" si="15"/>
        <v>43.5625</v>
      </c>
      <c r="AE91" s="20">
        <f t="shared" si="16"/>
        <v>0.86915351506456295</v>
      </c>
      <c r="AF91" s="37">
        <f t="shared" si="17"/>
        <v>37.862500000000026</v>
      </c>
      <c r="AG91" s="17" t="s">
        <v>74</v>
      </c>
      <c r="AH91" s="32" t="s">
        <v>196</v>
      </c>
    </row>
    <row r="92" spans="1:34" ht="14.25" customHeight="1">
      <c r="A92" s="33">
        <v>88</v>
      </c>
      <c r="B92" s="12">
        <v>11288</v>
      </c>
      <c r="C92" s="12" t="s">
        <v>408</v>
      </c>
      <c r="D92" s="12" t="s">
        <v>409</v>
      </c>
      <c r="E92" s="12" t="s">
        <v>262</v>
      </c>
      <c r="F92" s="12" t="s">
        <v>169</v>
      </c>
      <c r="G92" s="12" t="s">
        <v>263</v>
      </c>
      <c r="H92" s="12" t="s">
        <v>171</v>
      </c>
      <c r="I92" s="12" t="s">
        <v>172</v>
      </c>
      <c r="J92" s="12" t="s">
        <v>173</v>
      </c>
      <c r="K92" s="12" t="s">
        <v>255</v>
      </c>
      <c r="L92" s="12"/>
      <c r="M92" s="12" t="s">
        <v>172</v>
      </c>
      <c r="N92" s="34">
        <v>9.1666666666666702E-2</v>
      </c>
      <c r="O92" s="34">
        <v>0</v>
      </c>
      <c r="P92" s="34">
        <v>0</v>
      </c>
      <c r="Q92" s="34">
        <v>9.1666666666666702E-2</v>
      </c>
      <c r="R92" s="35">
        <v>0.27272727272727298</v>
      </c>
      <c r="S92" s="34">
        <v>4.5833333333333302E-2</v>
      </c>
      <c r="T92" s="34">
        <v>4.5833333333333302E-2</v>
      </c>
      <c r="U92" s="36">
        <v>1</v>
      </c>
      <c r="AA92" s="37">
        <f t="shared" si="12"/>
        <v>9.1666666666666702E-2</v>
      </c>
      <c r="AB92" s="37">
        <f t="shared" si="13"/>
        <v>0</v>
      </c>
      <c r="AC92" s="37">
        <f t="shared" si="14"/>
        <v>0</v>
      </c>
      <c r="AD92" s="37">
        <f t="shared" si="15"/>
        <v>9.1666666666666702E-2</v>
      </c>
      <c r="AE92" s="20">
        <f t="shared" si="16"/>
        <v>0.27272727272727298</v>
      </c>
      <c r="AF92" s="37">
        <f t="shared" si="17"/>
        <v>2.5000000000000033E-2</v>
      </c>
      <c r="AG92" s="17" t="s">
        <v>72</v>
      </c>
      <c r="AH92" s="32" t="s">
        <v>196</v>
      </c>
    </row>
    <row r="93" spans="1:34" ht="14.25" customHeight="1">
      <c r="A93" s="33">
        <v>89</v>
      </c>
      <c r="B93" s="12">
        <v>11308</v>
      </c>
      <c r="C93" s="12" t="s">
        <v>410</v>
      </c>
      <c r="D93" s="12" t="s">
        <v>411</v>
      </c>
      <c r="E93" s="12" t="s">
        <v>262</v>
      </c>
      <c r="F93" s="12" t="s">
        <v>169</v>
      </c>
      <c r="G93" s="12" t="s">
        <v>263</v>
      </c>
      <c r="H93" s="12" t="s">
        <v>171</v>
      </c>
      <c r="I93" s="12" t="s">
        <v>172</v>
      </c>
      <c r="J93" s="12" t="s">
        <v>173</v>
      </c>
      <c r="K93" s="12" t="s">
        <v>274</v>
      </c>
      <c r="L93" s="12"/>
      <c r="M93" s="12" t="s">
        <v>172</v>
      </c>
      <c r="N93" s="34">
        <v>0.48125000000000001</v>
      </c>
      <c r="O93" s="34">
        <v>6.25E-2</v>
      </c>
      <c r="P93" s="34">
        <v>0</v>
      </c>
      <c r="Q93" s="34">
        <v>0.54374999999999996</v>
      </c>
      <c r="R93" s="35">
        <v>0.37931034482758602</v>
      </c>
      <c r="S93" s="34">
        <v>0.27187499999999998</v>
      </c>
      <c r="T93" s="34">
        <v>0.27187499999999998</v>
      </c>
      <c r="U93" s="36">
        <v>1</v>
      </c>
      <c r="AA93" s="37">
        <f t="shared" si="12"/>
        <v>0.48125000000000001</v>
      </c>
      <c r="AB93" s="37">
        <f t="shared" si="13"/>
        <v>6.25E-2</v>
      </c>
      <c r="AC93" s="37">
        <f t="shared" si="14"/>
        <v>0</v>
      </c>
      <c r="AD93" s="37">
        <f t="shared" si="15"/>
        <v>0.54374999999999996</v>
      </c>
      <c r="AE93" s="20">
        <f t="shared" si="16"/>
        <v>0.37931034482758602</v>
      </c>
      <c r="AF93" s="37">
        <f t="shared" si="17"/>
        <v>0.20624999999999988</v>
      </c>
      <c r="AG93" s="17" t="s">
        <v>72</v>
      </c>
      <c r="AH93" s="32" t="s">
        <v>176</v>
      </c>
    </row>
    <row r="94" spans="1:34" ht="14.25" hidden="1" customHeight="1">
      <c r="A94" s="33">
        <v>90</v>
      </c>
      <c r="B94" s="12">
        <v>11604</v>
      </c>
      <c r="C94" s="12" t="s">
        <v>412</v>
      </c>
      <c r="D94" s="12" t="s">
        <v>413</v>
      </c>
      <c r="E94" s="12" t="s">
        <v>243</v>
      </c>
      <c r="F94" s="12" t="s">
        <v>238</v>
      </c>
      <c r="G94" s="12" t="s">
        <v>244</v>
      </c>
      <c r="H94" s="12" t="s">
        <v>231</v>
      </c>
      <c r="I94" s="12" t="s">
        <v>172</v>
      </c>
      <c r="J94" s="12" t="s">
        <v>173</v>
      </c>
      <c r="K94" s="12" t="s">
        <v>414</v>
      </c>
      <c r="L94" s="12"/>
      <c r="M94" s="12" t="s">
        <v>172</v>
      </c>
      <c r="N94" s="34">
        <v>5.6624583333333298</v>
      </c>
      <c r="O94" s="34">
        <v>4.0750000000000002</v>
      </c>
      <c r="P94" s="34">
        <v>0</v>
      </c>
      <c r="Q94" s="34">
        <v>9.7374583333333309</v>
      </c>
      <c r="R94" s="35">
        <v>0.89730379676421401</v>
      </c>
      <c r="S94" s="34">
        <v>4.8687291666666699</v>
      </c>
      <c r="T94" s="34">
        <v>4.8687291666666699</v>
      </c>
      <c r="U94" s="36">
        <v>1</v>
      </c>
      <c r="AA94" s="37">
        <f t="shared" si="12"/>
        <v>5.6624583333333298</v>
      </c>
      <c r="AB94" s="37">
        <f t="shared" si="13"/>
        <v>4.0750000000000002</v>
      </c>
      <c r="AC94" s="37">
        <f t="shared" si="14"/>
        <v>0</v>
      </c>
      <c r="AD94" s="37">
        <f t="shared" si="15"/>
        <v>9.7374583333333309</v>
      </c>
      <c r="AE94" s="20">
        <f t="shared" si="16"/>
        <v>0.89730379676421401</v>
      </c>
      <c r="AF94" s="37">
        <f t="shared" si="17"/>
        <v>8.7374583333333327</v>
      </c>
      <c r="AG94" s="17" t="s">
        <v>72</v>
      </c>
      <c r="AH94" s="32" t="s">
        <v>196</v>
      </c>
    </row>
    <row r="95" spans="1:34" ht="14.25" hidden="1" customHeight="1">
      <c r="A95" s="33">
        <v>91</v>
      </c>
      <c r="B95" s="12">
        <v>11893</v>
      </c>
      <c r="C95" s="12" t="s">
        <v>415</v>
      </c>
      <c r="D95" s="12" t="s">
        <v>416</v>
      </c>
      <c r="E95" s="12" t="s">
        <v>243</v>
      </c>
      <c r="F95" s="12" t="s">
        <v>238</v>
      </c>
      <c r="G95" s="12" t="s">
        <v>244</v>
      </c>
      <c r="H95" s="12" t="s">
        <v>171</v>
      </c>
      <c r="I95" s="12" t="s">
        <v>172</v>
      </c>
      <c r="J95" s="12" t="s">
        <v>173</v>
      </c>
      <c r="K95" s="12" t="s">
        <v>274</v>
      </c>
      <c r="L95" s="12" t="s">
        <v>277</v>
      </c>
      <c r="M95" s="12" t="s">
        <v>172</v>
      </c>
      <c r="N95" s="34">
        <v>0.2</v>
      </c>
      <c r="O95" s="34">
        <v>0.2</v>
      </c>
      <c r="P95" s="34">
        <v>0</v>
      </c>
      <c r="Q95" s="34">
        <v>0.35416666666666702</v>
      </c>
      <c r="R95" s="35">
        <v>0.56470588235294095</v>
      </c>
      <c r="S95" s="34">
        <v>0.17708333333333301</v>
      </c>
      <c r="T95" s="34">
        <v>0.17708333333333301</v>
      </c>
      <c r="U95" s="36">
        <v>1</v>
      </c>
      <c r="AA95" s="37">
        <f t="shared" si="12"/>
        <v>0.2</v>
      </c>
      <c r="AB95" s="37">
        <f t="shared" si="13"/>
        <v>0.2</v>
      </c>
      <c r="AC95" s="37">
        <f t="shared" si="14"/>
        <v>0</v>
      </c>
      <c r="AD95" s="37">
        <f t="shared" si="15"/>
        <v>0.35416666666666702</v>
      </c>
      <c r="AE95" s="20">
        <f t="shared" si="16"/>
        <v>0.56470588235294095</v>
      </c>
      <c r="AF95" s="37">
        <f t="shared" si="17"/>
        <v>0.20000000000000012</v>
      </c>
      <c r="AG95" s="17" t="s">
        <v>72</v>
      </c>
      <c r="AH95" s="32" t="s">
        <v>191</v>
      </c>
    </row>
    <row r="96" spans="1:34" ht="14.25" hidden="1" customHeight="1">
      <c r="A96" s="33">
        <v>92</v>
      </c>
      <c r="B96" s="12">
        <v>11986</v>
      </c>
      <c r="C96" s="12" t="s">
        <v>417</v>
      </c>
      <c r="D96" s="12" t="s">
        <v>418</v>
      </c>
      <c r="E96" s="12" t="s">
        <v>298</v>
      </c>
      <c r="F96" s="12" t="s">
        <v>289</v>
      </c>
      <c r="G96" s="12" t="s">
        <v>326</v>
      </c>
      <c r="H96" s="12" t="s">
        <v>231</v>
      </c>
      <c r="I96" s="12" t="s">
        <v>172</v>
      </c>
      <c r="J96" s="12" t="s">
        <v>173</v>
      </c>
      <c r="K96" s="12" t="s">
        <v>274</v>
      </c>
      <c r="L96" s="12" t="s">
        <v>419</v>
      </c>
      <c r="M96" s="12" t="s">
        <v>172</v>
      </c>
      <c r="N96" s="34">
        <v>6</v>
      </c>
      <c r="O96" s="34">
        <v>6</v>
      </c>
      <c r="P96" s="34">
        <v>3</v>
      </c>
      <c r="Q96" s="34">
        <v>15</v>
      </c>
      <c r="R96" s="35">
        <v>1</v>
      </c>
      <c r="S96" s="34">
        <v>7.5</v>
      </c>
      <c r="T96" s="34">
        <v>7.5</v>
      </c>
      <c r="U96" s="36">
        <v>1</v>
      </c>
      <c r="AA96" s="37">
        <f t="shared" si="12"/>
        <v>6</v>
      </c>
      <c r="AB96" s="37">
        <f t="shared" si="13"/>
        <v>6</v>
      </c>
      <c r="AC96" s="37">
        <f t="shared" si="14"/>
        <v>3</v>
      </c>
      <c r="AD96" s="37">
        <f t="shared" si="15"/>
        <v>15</v>
      </c>
      <c r="AE96" s="20">
        <f t="shared" si="16"/>
        <v>1</v>
      </c>
      <c r="AF96" s="37">
        <f t="shared" si="17"/>
        <v>15</v>
      </c>
      <c r="AG96" s="17" t="s">
        <v>72</v>
      </c>
      <c r="AH96" s="32" t="s">
        <v>186</v>
      </c>
    </row>
    <row r="97" spans="1:34" ht="14.25" hidden="1" customHeight="1">
      <c r="A97" s="33">
        <v>93</v>
      </c>
      <c r="B97" s="12">
        <v>12021</v>
      </c>
      <c r="C97" s="12" t="s">
        <v>420</v>
      </c>
      <c r="D97" s="12" t="s">
        <v>421</v>
      </c>
      <c r="E97" s="12" t="s">
        <v>288</v>
      </c>
      <c r="F97" s="12" t="s">
        <v>289</v>
      </c>
      <c r="G97" s="12" t="s">
        <v>312</v>
      </c>
      <c r="H97" s="12" t="s">
        <v>171</v>
      </c>
      <c r="I97" s="12" t="s">
        <v>172</v>
      </c>
      <c r="J97" s="12" t="s">
        <v>173</v>
      </c>
      <c r="K97" s="12" t="s">
        <v>422</v>
      </c>
      <c r="L97" s="12"/>
      <c r="M97" s="12" t="s">
        <v>172</v>
      </c>
      <c r="N97" s="34">
        <v>0</v>
      </c>
      <c r="O97" s="34">
        <v>0</v>
      </c>
      <c r="P97" s="34">
        <v>0</v>
      </c>
      <c r="Q97" s="34">
        <v>0</v>
      </c>
      <c r="R97" s="35">
        <v>0</v>
      </c>
      <c r="S97" s="34"/>
      <c r="T97" s="34"/>
      <c r="U97" s="36">
        <v>1</v>
      </c>
      <c r="AA97" s="37">
        <f t="shared" si="12"/>
        <v>0</v>
      </c>
      <c r="AB97" s="37">
        <f t="shared" si="13"/>
        <v>0</v>
      </c>
      <c r="AC97" s="37">
        <f t="shared" si="14"/>
        <v>0</v>
      </c>
      <c r="AD97" s="37">
        <f t="shared" si="15"/>
        <v>0</v>
      </c>
      <c r="AE97" s="20">
        <f t="shared" si="16"/>
        <v>0</v>
      </c>
      <c r="AF97" s="37">
        <f t="shared" si="17"/>
        <v>0</v>
      </c>
      <c r="AG97" s="17" t="s">
        <v>72</v>
      </c>
      <c r="AH97" s="32" t="s">
        <v>186</v>
      </c>
    </row>
    <row r="98" spans="1:34" ht="14.25" hidden="1" customHeight="1">
      <c r="A98" s="33">
        <v>94</v>
      </c>
      <c r="B98" s="12">
        <v>12030</v>
      </c>
      <c r="C98" s="12" t="s">
        <v>423</v>
      </c>
      <c r="D98" s="12" t="s">
        <v>424</v>
      </c>
      <c r="E98" s="12" t="s">
        <v>288</v>
      </c>
      <c r="F98" s="12" t="s">
        <v>289</v>
      </c>
      <c r="G98" s="12" t="s">
        <v>312</v>
      </c>
      <c r="H98" s="12" t="s">
        <v>171</v>
      </c>
      <c r="I98" s="12" t="s">
        <v>172</v>
      </c>
      <c r="J98" s="12" t="s">
        <v>173</v>
      </c>
      <c r="K98" s="12" t="s">
        <v>274</v>
      </c>
      <c r="L98" s="12"/>
      <c r="M98" s="12" t="s">
        <v>172</v>
      </c>
      <c r="N98" s="34">
        <v>0</v>
      </c>
      <c r="O98" s="34">
        <v>0</v>
      </c>
      <c r="P98" s="34">
        <v>0</v>
      </c>
      <c r="Q98" s="34">
        <v>0</v>
      </c>
      <c r="R98" s="35">
        <v>0</v>
      </c>
      <c r="S98" s="34"/>
      <c r="T98" s="34"/>
      <c r="U98" s="36">
        <v>1</v>
      </c>
      <c r="AA98" s="37">
        <f t="shared" si="12"/>
        <v>0</v>
      </c>
      <c r="AB98" s="37">
        <f t="shared" si="13"/>
        <v>0</v>
      </c>
      <c r="AC98" s="37">
        <f t="shared" si="14"/>
        <v>0</v>
      </c>
      <c r="AD98" s="37">
        <f t="shared" si="15"/>
        <v>0</v>
      </c>
      <c r="AE98" s="20">
        <f t="shared" si="16"/>
        <v>0</v>
      </c>
      <c r="AF98" s="37">
        <f t="shared" si="17"/>
        <v>0</v>
      </c>
      <c r="AG98" s="17" t="s">
        <v>72</v>
      </c>
      <c r="AH98" s="32" t="s">
        <v>186</v>
      </c>
    </row>
    <row r="99" spans="1:34" ht="14.25" hidden="1" customHeight="1">
      <c r="A99" s="33">
        <v>95</v>
      </c>
      <c r="B99" s="12">
        <v>12038</v>
      </c>
      <c r="C99" s="12" t="s">
        <v>425</v>
      </c>
      <c r="D99" s="12" t="s">
        <v>426</v>
      </c>
      <c r="E99" s="12" t="s">
        <v>317</v>
      </c>
      <c r="F99" s="12" t="s">
        <v>318</v>
      </c>
      <c r="G99" s="12" t="s">
        <v>318</v>
      </c>
      <c r="H99" s="12" t="s">
        <v>231</v>
      </c>
      <c r="I99" s="12" t="s">
        <v>172</v>
      </c>
      <c r="J99" s="12" t="s">
        <v>173</v>
      </c>
      <c r="K99" s="12" t="s">
        <v>274</v>
      </c>
      <c r="L99" s="12" t="s">
        <v>277</v>
      </c>
      <c r="M99" s="12" t="s">
        <v>172</v>
      </c>
      <c r="N99" s="34">
        <v>19.246666666666702</v>
      </c>
      <c r="O99" s="34">
        <v>4.1333333333333302</v>
      </c>
      <c r="P99" s="34">
        <v>16.910416666666698</v>
      </c>
      <c r="Q99" s="34">
        <v>40.290416666666701</v>
      </c>
      <c r="R99" s="35">
        <v>0.94847823613969395</v>
      </c>
      <c r="S99" s="34">
        <v>20.145208333333301</v>
      </c>
      <c r="T99" s="34">
        <v>20.145208333333301</v>
      </c>
      <c r="U99" s="36">
        <v>1</v>
      </c>
      <c r="AA99" s="37">
        <f t="shared" si="12"/>
        <v>19.246666666666702</v>
      </c>
      <c r="AB99" s="37">
        <f t="shared" si="13"/>
        <v>4.1333333333333302</v>
      </c>
      <c r="AC99" s="37">
        <f t="shared" si="14"/>
        <v>16.910416666666698</v>
      </c>
      <c r="AD99" s="37">
        <f t="shared" si="15"/>
        <v>40.290416666666701</v>
      </c>
      <c r="AE99" s="20">
        <f t="shared" si="16"/>
        <v>0.94847823613969395</v>
      </c>
      <c r="AF99" s="37">
        <f t="shared" si="17"/>
        <v>38.214583333333358</v>
      </c>
      <c r="AG99" s="17" t="s">
        <v>72</v>
      </c>
      <c r="AH99" s="32" t="s">
        <v>196</v>
      </c>
    </row>
    <row r="100" spans="1:34" ht="14.25" hidden="1" customHeight="1">
      <c r="A100" s="33">
        <v>96</v>
      </c>
      <c r="B100" s="12">
        <v>12117</v>
      </c>
      <c r="C100" s="12" t="s">
        <v>427</v>
      </c>
      <c r="D100" s="12" t="s">
        <v>428</v>
      </c>
      <c r="E100" s="12" t="s">
        <v>243</v>
      </c>
      <c r="F100" s="12" t="s">
        <v>238</v>
      </c>
      <c r="G100" s="12" t="s">
        <v>244</v>
      </c>
      <c r="H100" s="12" t="s">
        <v>171</v>
      </c>
      <c r="I100" s="12" t="s">
        <v>181</v>
      </c>
      <c r="J100" s="12" t="s">
        <v>173</v>
      </c>
      <c r="K100" s="12" t="s">
        <v>245</v>
      </c>
      <c r="L100" s="12"/>
      <c r="M100" s="12" t="s">
        <v>172</v>
      </c>
      <c r="N100" s="34">
        <v>6</v>
      </c>
      <c r="O100" s="34">
        <v>15.5375</v>
      </c>
      <c r="P100" s="34">
        <v>11</v>
      </c>
      <c r="Q100" s="34">
        <v>62.642375000000001</v>
      </c>
      <c r="R100" s="35">
        <v>0.86319830093713201</v>
      </c>
      <c r="S100" s="34">
        <v>31.321187500000001</v>
      </c>
      <c r="T100" s="34">
        <v>31.321187500000001</v>
      </c>
      <c r="U100" s="36">
        <v>1</v>
      </c>
      <c r="AA100" s="37">
        <f t="shared" si="12"/>
        <v>6</v>
      </c>
      <c r="AB100" s="37">
        <f t="shared" si="13"/>
        <v>15.5375</v>
      </c>
      <c r="AC100" s="37">
        <f t="shared" si="14"/>
        <v>11</v>
      </c>
      <c r="AD100" s="37">
        <f t="shared" si="15"/>
        <v>62.642375000000001</v>
      </c>
      <c r="AE100" s="20">
        <f t="shared" si="16"/>
        <v>0.86319830093713201</v>
      </c>
      <c r="AF100" s="37">
        <f t="shared" si="17"/>
        <v>54.072791666666674</v>
      </c>
      <c r="AG100" s="17" t="s">
        <v>72</v>
      </c>
      <c r="AH100" s="32" t="s">
        <v>176</v>
      </c>
    </row>
    <row r="101" spans="1:34" ht="14.25" hidden="1" customHeight="1">
      <c r="A101" s="33">
        <v>97</v>
      </c>
      <c r="B101" s="12">
        <v>12198</v>
      </c>
      <c r="C101" s="12" t="s">
        <v>429</v>
      </c>
      <c r="D101" s="12" t="s">
        <v>430</v>
      </c>
      <c r="E101" s="12" t="s">
        <v>243</v>
      </c>
      <c r="F101" s="12" t="s">
        <v>238</v>
      </c>
      <c r="G101" s="12" t="s">
        <v>244</v>
      </c>
      <c r="H101" s="12" t="s">
        <v>231</v>
      </c>
      <c r="I101" s="12" t="s">
        <v>172</v>
      </c>
      <c r="J101" s="12" t="s">
        <v>173</v>
      </c>
      <c r="K101" s="12" t="s">
        <v>431</v>
      </c>
      <c r="L101" s="12"/>
      <c r="M101" s="12" t="s">
        <v>172</v>
      </c>
      <c r="N101" s="34">
        <v>1</v>
      </c>
      <c r="O101" s="34">
        <v>2</v>
      </c>
      <c r="P101" s="34">
        <v>0</v>
      </c>
      <c r="Q101" s="34">
        <v>3</v>
      </c>
      <c r="R101" s="35">
        <v>0</v>
      </c>
      <c r="S101" s="34">
        <v>1.5</v>
      </c>
      <c r="T101" s="34">
        <v>1.5</v>
      </c>
      <c r="U101" s="36">
        <v>1</v>
      </c>
      <c r="AA101" s="37">
        <f t="shared" ref="AA101:AA132" si="18">N101</f>
        <v>1</v>
      </c>
      <c r="AB101" s="37">
        <f t="shared" ref="AB101:AB132" si="19">O101</f>
        <v>2</v>
      </c>
      <c r="AC101" s="37">
        <f t="shared" ref="AC101:AC132" si="20">P101</f>
        <v>0</v>
      </c>
      <c r="AD101" s="37">
        <f t="shared" ref="AD101:AD132" si="21">Q101</f>
        <v>3</v>
      </c>
      <c r="AE101" s="20">
        <f t="shared" ref="AE101:AE132" si="22">R101</f>
        <v>0</v>
      </c>
      <c r="AF101" s="37">
        <f t="shared" ref="AF101:AF132" si="23">Q101*R101</f>
        <v>0</v>
      </c>
      <c r="AG101" s="17" t="s">
        <v>72</v>
      </c>
      <c r="AH101" s="32" t="s">
        <v>196</v>
      </c>
    </row>
    <row r="102" spans="1:34" ht="14.25" hidden="1" customHeight="1">
      <c r="A102" s="33">
        <v>98</v>
      </c>
      <c r="B102" s="12">
        <v>12520</v>
      </c>
      <c r="C102" s="12" t="s">
        <v>432</v>
      </c>
      <c r="D102" s="12" t="s">
        <v>433</v>
      </c>
      <c r="E102" s="12" t="s">
        <v>237</v>
      </c>
      <c r="F102" s="12" t="s">
        <v>238</v>
      </c>
      <c r="G102" s="12" t="s">
        <v>239</v>
      </c>
      <c r="H102" s="12" t="s">
        <v>171</v>
      </c>
      <c r="I102" s="12" t="s">
        <v>172</v>
      </c>
      <c r="J102" s="12" t="s">
        <v>173</v>
      </c>
      <c r="K102" s="12" t="s">
        <v>274</v>
      </c>
      <c r="L102" s="12"/>
      <c r="M102" s="12" t="s">
        <v>172</v>
      </c>
      <c r="N102" s="34">
        <v>0.125</v>
      </c>
      <c r="O102" s="34">
        <v>0</v>
      </c>
      <c r="P102" s="34">
        <v>0</v>
      </c>
      <c r="Q102" s="34">
        <v>0.125</v>
      </c>
      <c r="R102" s="35">
        <v>1</v>
      </c>
      <c r="S102" s="34">
        <v>6.25E-2</v>
      </c>
      <c r="T102" s="34">
        <v>6.25E-2</v>
      </c>
      <c r="U102" s="36">
        <v>1</v>
      </c>
      <c r="AA102" s="37">
        <f t="shared" si="18"/>
        <v>0.125</v>
      </c>
      <c r="AB102" s="37">
        <f t="shared" si="19"/>
        <v>0</v>
      </c>
      <c r="AC102" s="37">
        <f t="shared" si="20"/>
        <v>0</v>
      </c>
      <c r="AD102" s="37">
        <f t="shared" si="21"/>
        <v>0.125</v>
      </c>
      <c r="AE102" s="20">
        <f t="shared" si="22"/>
        <v>1</v>
      </c>
      <c r="AF102" s="37">
        <f t="shared" si="23"/>
        <v>0.125</v>
      </c>
      <c r="AG102" s="17" t="s">
        <v>72</v>
      </c>
      <c r="AH102" s="32" t="s">
        <v>232</v>
      </c>
    </row>
    <row r="103" spans="1:34" ht="14.25" hidden="1" customHeight="1">
      <c r="A103" s="33">
        <v>99</v>
      </c>
      <c r="B103" s="12">
        <v>12527</v>
      </c>
      <c r="C103" s="12" t="s">
        <v>434</v>
      </c>
      <c r="D103" s="12" t="s">
        <v>435</v>
      </c>
      <c r="E103" s="12" t="s">
        <v>317</v>
      </c>
      <c r="F103" s="12" t="s">
        <v>318</v>
      </c>
      <c r="G103" s="12" t="s">
        <v>318</v>
      </c>
      <c r="H103" s="12" t="s">
        <v>231</v>
      </c>
      <c r="I103" s="12" t="s">
        <v>172</v>
      </c>
      <c r="J103" s="12" t="s">
        <v>173</v>
      </c>
      <c r="K103" s="12" t="s">
        <v>274</v>
      </c>
      <c r="L103" s="12" t="s">
        <v>277</v>
      </c>
      <c r="M103" s="12" t="s">
        <v>172</v>
      </c>
      <c r="N103" s="34">
        <v>0.108333333333333</v>
      </c>
      <c r="O103" s="34">
        <v>0</v>
      </c>
      <c r="P103" s="34">
        <v>2.5000000000000001E-2</v>
      </c>
      <c r="Q103" s="34">
        <v>0.133333333333333</v>
      </c>
      <c r="R103" s="35">
        <v>1</v>
      </c>
      <c r="S103" s="34">
        <v>6.6666666666666693E-2</v>
      </c>
      <c r="T103" s="34">
        <v>6.6666666666666693E-2</v>
      </c>
      <c r="U103" s="36">
        <v>1</v>
      </c>
      <c r="AA103" s="37">
        <f t="shared" si="18"/>
        <v>0.108333333333333</v>
      </c>
      <c r="AB103" s="37">
        <f t="shared" si="19"/>
        <v>0</v>
      </c>
      <c r="AC103" s="37">
        <f t="shared" si="20"/>
        <v>2.5000000000000001E-2</v>
      </c>
      <c r="AD103" s="37">
        <f t="shared" si="21"/>
        <v>0.133333333333333</v>
      </c>
      <c r="AE103" s="20">
        <f t="shared" si="22"/>
        <v>1</v>
      </c>
      <c r="AF103" s="37">
        <f t="shared" si="23"/>
        <v>0.133333333333333</v>
      </c>
      <c r="AG103" s="17" t="s">
        <v>72</v>
      </c>
      <c r="AH103" s="32" t="s">
        <v>196</v>
      </c>
    </row>
    <row r="104" spans="1:34" ht="14.25" hidden="1" customHeight="1">
      <c r="A104" s="33">
        <v>100</v>
      </c>
      <c r="B104" s="12">
        <v>12607</v>
      </c>
      <c r="C104" s="12" t="s">
        <v>436</v>
      </c>
      <c r="D104" s="12" t="s">
        <v>437</v>
      </c>
      <c r="E104" s="12" t="s">
        <v>317</v>
      </c>
      <c r="F104" s="12" t="s">
        <v>318</v>
      </c>
      <c r="G104" s="12" t="s">
        <v>318</v>
      </c>
      <c r="H104" s="12" t="s">
        <v>231</v>
      </c>
      <c r="I104" s="12" t="s">
        <v>172</v>
      </c>
      <c r="J104" s="12" t="s">
        <v>173</v>
      </c>
      <c r="K104" s="12" t="s">
        <v>274</v>
      </c>
      <c r="L104" s="12" t="s">
        <v>277</v>
      </c>
      <c r="M104" s="12" t="s">
        <v>172</v>
      </c>
      <c r="N104" s="34">
        <v>1.3374999999999999</v>
      </c>
      <c r="O104" s="34">
        <v>0</v>
      </c>
      <c r="P104" s="34">
        <v>1</v>
      </c>
      <c r="Q104" s="34">
        <v>2.3374999999999999</v>
      </c>
      <c r="R104" s="35">
        <v>1</v>
      </c>
      <c r="S104" s="34">
        <v>1.16875</v>
      </c>
      <c r="T104" s="34">
        <v>1.16875</v>
      </c>
      <c r="U104" s="36">
        <v>1</v>
      </c>
      <c r="AA104" s="37">
        <f t="shared" si="18"/>
        <v>1.3374999999999999</v>
      </c>
      <c r="AB104" s="37">
        <f t="shared" si="19"/>
        <v>0</v>
      </c>
      <c r="AC104" s="37">
        <f t="shared" si="20"/>
        <v>1</v>
      </c>
      <c r="AD104" s="37">
        <f t="shared" si="21"/>
        <v>2.3374999999999999</v>
      </c>
      <c r="AE104" s="20">
        <f t="shared" si="22"/>
        <v>1</v>
      </c>
      <c r="AF104" s="37">
        <f t="shared" si="23"/>
        <v>2.3374999999999999</v>
      </c>
      <c r="AG104" s="17" t="s">
        <v>72</v>
      </c>
      <c r="AH104" s="32" t="s">
        <v>176</v>
      </c>
    </row>
    <row r="105" spans="1:34" ht="14.25" hidden="1" customHeight="1">
      <c r="A105" s="33">
        <v>101</v>
      </c>
      <c r="B105" s="12">
        <v>12646</v>
      </c>
      <c r="C105" s="12" t="s">
        <v>438</v>
      </c>
      <c r="D105" s="12" t="s">
        <v>439</v>
      </c>
      <c r="E105" s="12" t="s">
        <v>258</v>
      </c>
      <c r="F105" s="12" t="s">
        <v>238</v>
      </c>
      <c r="G105" s="12" t="s">
        <v>259</v>
      </c>
      <c r="H105" s="12" t="s">
        <v>171</v>
      </c>
      <c r="I105" s="12" t="s">
        <v>181</v>
      </c>
      <c r="J105" s="12" t="s">
        <v>371</v>
      </c>
      <c r="K105" s="12" t="s">
        <v>440</v>
      </c>
      <c r="L105" s="12" t="s">
        <v>175</v>
      </c>
      <c r="M105" s="12" t="s">
        <v>172</v>
      </c>
      <c r="N105" s="34">
        <v>9.5833333333333304</v>
      </c>
      <c r="O105" s="34">
        <v>11.3375</v>
      </c>
      <c r="P105" s="34">
        <v>7.0833333333333401</v>
      </c>
      <c r="Q105" s="34">
        <v>28.004166666666698</v>
      </c>
      <c r="R105" s="35">
        <v>0.81223032286862096</v>
      </c>
      <c r="S105" s="34">
        <v>14.002083333333299</v>
      </c>
      <c r="T105" s="34">
        <v>14.002083333333299</v>
      </c>
      <c r="U105" s="36">
        <v>1</v>
      </c>
      <c r="AA105" s="37">
        <f t="shared" si="18"/>
        <v>9.5833333333333304</v>
      </c>
      <c r="AB105" s="37">
        <f t="shared" si="19"/>
        <v>11.3375</v>
      </c>
      <c r="AC105" s="37">
        <f t="shared" si="20"/>
        <v>7.0833333333333401</v>
      </c>
      <c r="AD105" s="37">
        <f t="shared" si="21"/>
        <v>28.004166666666698</v>
      </c>
      <c r="AE105" s="20">
        <f t="shared" si="22"/>
        <v>0.81223032286862096</v>
      </c>
      <c r="AF105" s="37">
        <f t="shared" si="23"/>
        <v>22.745833333333366</v>
      </c>
      <c r="AG105" s="17" t="s">
        <v>70</v>
      </c>
      <c r="AH105" s="32" t="s">
        <v>186</v>
      </c>
    </row>
    <row r="106" spans="1:34" ht="14.25" hidden="1" customHeight="1">
      <c r="A106" s="33">
        <v>102</v>
      </c>
      <c r="B106" s="12">
        <v>12654</v>
      </c>
      <c r="C106" s="12" t="s">
        <v>441</v>
      </c>
      <c r="D106" s="12" t="s">
        <v>442</v>
      </c>
      <c r="E106" s="12" t="s">
        <v>317</v>
      </c>
      <c r="F106" s="12" t="s">
        <v>238</v>
      </c>
      <c r="G106" s="12"/>
      <c r="H106" s="12" t="s">
        <v>443</v>
      </c>
      <c r="I106" s="12" t="s">
        <v>172</v>
      </c>
      <c r="J106" s="12" t="s">
        <v>173</v>
      </c>
      <c r="K106" s="12" t="s">
        <v>444</v>
      </c>
      <c r="L106" s="12"/>
      <c r="M106" s="12" t="s">
        <v>172</v>
      </c>
      <c r="N106" s="34">
        <v>0</v>
      </c>
      <c r="O106" s="34">
        <v>0.25</v>
      </c>
      <c r="P106" s="34">
        <v>0</v>
      </c>
      <c r="Q106" s="34">
        <v>0.25</v>
      </c>
      <c r="R106" s="35">
        <v>1</v>
      </c>
      <c r="S106" s="34">
        <v>0.125</v>
      </c>
      <c r="T106" s="34">
        <v>0.125</v>
      </c>
      <c r="U106" s="36">
        <v>1</v>
      </c>
      <c r="AA106" s="37">
        <f t="shared" si="18"/>
        <v>0</v>
      </c>
      <c r="AB106" s="37">
        <f t="shared" si="19"/>
        <v>0.25</v>
      </c>
      <c r="AC106" s="37">
        <f t="shared" si="20"/>
        <v>0</v>
      </c>
      <c r="AD106" s="37">
        <f t="shared" si="21"/>
        <v>0.25</v>
      </c>
      <c r="AE106" s="20">
        <f t="shared" si="22"/>
        <v>1</v>
      </c>
      <c r="AF106" s="37">
        <f t="shared" si="23"/>
        <v>0.25</v>
      </c>
      <c r="AG106" s="17" t="s">
        <v>72</v>
      </c>
      <c r="AH106" s="32" t="s">
        <v>232</v>
      </c>
    </row>
    <row r="107" spans="1:34" ht="14.25" hidden="1" customHeight="1">
      <c r="A107" s="33">
        <v>103</v>
      </c>
      <c r="B107" s="12">
        <v>12675</v>
      </c>
      <c r="C107" s="12" t="s">
        <v>445</v>
      </c>
      <c r="D107" s="12" t="s">
        <v>446</v>
      </c>
      <c r="E107" s="12" t="s">
        <v>243</v>
      </c>
      <c r="F107" s="12" t="s">
        <v>238</v>
      </c>
      <c r="G107" s="12" t="s">
        <v>244</v>
      </c>
      <c r="H107" s="12" t="s">
        <v>443</v>
      </c>
      <c r="I107" s="12" t="s">
        <v>172</v>
      </c>
      <c r="J107" s="12" t="s">
        <v>173</v>
      </c>
      <c r="K107" s="12" t="s">
        <v>447</v>
      </c>
      <c r="L107" s="12"/>
      <c r="M107" s="12" t="s">
        <v>172</v>
      </c>
      <c r="N107" s="34">
        <v>0</v>
      </c>
      <c r="O107" s="34">
        <v>0.1</v>
      </c>
      <c r="P107" s="34">
        <v>0</v>
      </c>
      <c r="Q107" s="34">
        <v>0.1</v>
      </c>
      <c r="R107" s="35">
        <v>0</v>
      </c>
      <c r="S107" s="34">
        <v>0.05</v>
      </c>
      <c r="T107" s="34">
        <v>0.05</v>
      </c>
      <c r="U107" s="36">
        <v>1</v>
      </c>
      <c r="AA107" s="37">
        <f t="shared" si="18"/>
        <v>0</v>
      </c>
      <c r="AB107" s="37">
        <f t="shared" si="19"/>
        <v>0.1</v>
      </c>
      <c r="AC107" s="37">
        <f t="shared" si="20"/>
        <v>0</v>
      </c>
      <c r="AD107" s="37">
        <f t="shared" si="21"/>
        <v>0.1</v>
      </c>
      <c r="AE107" s="20">
        <f t="shared" si="22"/>
        <v>0</v>
      </c>
      <c r="AF107" s="37">
        <f t="shared" si="23"/>
        <v>0</v>
      </c>
      <c r="AG107" s="17" t="s">
        <v>72</v>
      </c>
      <c r="AH107" s="32" t="s">
        <v>232</v>
      </c>
    </row>
    <row r="108" spans="1:34" ht="14.25" customHeight="1">
      <c r="A108" s="33">
        <v>104</v>
      </c>
      <c r="B108" s="12">
        <v>12721</v>
      </c>
      <c r="C108" s="12" t="s">
        <v>448</v>
      </c>
      <c r="D108" s="12" t="s">
        <v>449</v>
      </c>
      <c r="E108" s="12" t="s">
        <v>262</v>
      </c>
      <c r="F108" s="12" t="s">
        <v>169</v>
      </c>
      <c r="G108" s="12" t="s">
        <v>263</v>
      </c>
      <c r="H108" s="12" t="s">
        <v>171</v>
      </c>
      <c r="I108" s="12" t="s">
        <v>172</v>
      </c>
      <c r="J108" s="12" t="s">
        <v>371</v>
      </c>
      <c r="K108" s="12" t="s">
        <v>450</v>
      </c>
      <c r="L108" s="12" t="s">
        <v>175</v>
      </c>
      <c r="M108" s="12" t="s">
        <v>172</v>
      </c>
      <c r="N108" s="34">
        <v>0.241666666666667</v>
      </c>
      <c r="O108" s="34">
        <v>0</v>
      </c>
      <c r="P108" s="34">
        <v>0</v>
      </c>
      <c r="Q108" s="34">
        <v>0.241666666666667</v>
      </c>
      <c r="R108" s="35">
        <v>0.931034482758621</v>
      </c>
      <c r="S108" s="34">
        <v>0.120833333333333</v>
      </c>
      <c r="T108" s="34">
        <v>0.120833333333333</v>
      </c>
      <c r="U108" s="36">
        <v>1</v>
      </c>
      <c r="AA108" s="37">
        <f t="shared" si="18"/>
        <v>0.241666666666667</v>
      </c>
      <c r="AB108" s="37">
        <f t="shared" si="19"/>
        <v>0</v>
      </c>
      <c r="AC108" s="37">
        <f t="shared" si="20"/>
        <v>0</v>
      </c>
      <c r="AD108" s="37">
        <f t="shared" si="21"/>
        <v>0.241666666666667</v>
      </c>
      <c r="AE108" s="20">
        <f t="shared" si="22"/>
        <v>0.931034482758621</v>
      </c>
      <c r="AF108" s="37">
        <f t="shared" si="23"/>
        <v>0.22500000000000039</v>
      </c>
      <c r="AG108" s="17" t="s">
        <v>70</v>
      </c>
      <c r="AH108" s="32" t="s">
        <v>186</v>
      </c>
    </row>
    <row r="109" spans="1:34" ht="14.25" hidden="1" customHeight="1">
      <c r="A109" s="33">
        <v>105</v>
      </c>
      <c r="B109" s="12">
        <v>12820</v>
      </c>
      <c r="C109" s="12" t="s">
        <v>451</v>
      </c>
      <c r="D109" s="12" t="s">
        <v>452</v>
      </c>
      <c r="E109" s="12" t="s">
        <v>288</v>
      </c>
      <c r="F109" s="12" t="s">
        <v>289</v>
      </c>
      <c r="G109" s="12" t="s">
        <v>312</v>
      </c>
      <c r="H109" s="12" t="s">
        <v>171</v>
      </c>
      <c r="I109" s="12" t="s">
        <v>172</v>
      </c>
      <c r="J109" s="12" t="s">
        <v>173</v>
      </c>
      <c r="K109" s="12" t="s">
        <v>274</v>
      </c>
      <c r="L109" s="12"/>
      <c r="M109" s="12" t="s">
        <v>172</v>
      </c>
      <c r="N109" s="34">
        <v>0.36249999999999999</v>
      </c>
      <c r="O109" s="34">
        <v>0</v>
      </c>
      <c r="P109" s="34">
        <v>0</v>
      </c>
      <c r="Q109" s="34">
        <v>0.36249999999999999</v>
      </c>
      <c r="R109" s="35">
        <v>1</v>
      </c>
      <c r="S109" s="34">
        <v>0.18124999999999999</v>
      </c>
      <c r="T109" s="34">
        <v>0.18124999999999999</v>
      </c>
      <c r="U109" s="36">
        <v>1</v>
      </c>
      <c r="AA109" s="37">
        <f t="shared" si="18"/>
        <v>0.36249999999999999</v>
      </c>
      <c r="AB109" s="37">
        <f t="shared" si="19"/>
        <v>0</v>
      </c>
      <c r="AC109" s="37">
        <f t="shared" si="20"/>
        <v>0</v>
      </c>
      <c r="AD109" s="37">
        <f t="shared" si="21"/>
        <v>0.36249999999999999</v>
      </c>
      <c r="AE109" s="20">
        <f t="shared" si="22"/>
        <v>1</v>
      </c>
      <c r="AF109" s="37">
        <f t="shared" si="23"/>
        <v>0.36249999999999999</v>
      </c>
      <c r="AG109" s="17" t="s">
        <v>72</v>
      </c>
      <c r="AH109" s="32" t="s">
        <v>196</v>
      </c>
    </row>
    <row r="110" spans="1:34" ht="14.25" customHeight="1">
      <c r="A110" s="33">
        <v>106</v>
      </c>
      <c r="B110" s="12">
        <v>12890</v>
      </c>
      <c r="C110" s="12" t="s">
        <v>453</v>
      </c>
      <c r="D110" s="12" t="s">
        <v>454</v>
      </c>
      <c r="E110" s="12" t="s">
        <v>262</v>
      </c>
      <c r="F110" s="12" t="s">
        <v>169</v>
      </c>
      <c r="G110" s="12" t="s">
        <v>263</v>
      </c>
      <c r="H110" s="12" t="s">
        <v>231</v>
      </c>
      <c r="I110" s="12" t="s">
        <v>181</v>
      </c>
      <c r="J110" s="12" t="s">
        <v>173</v>
      </c>
      <c r="K110" s="12" t="s">
        <v>455</v>
      </c>
      <c r="L110" s="12"/>
      <c r="M110" s="12" t="s">
        <v>172</v>
      </c>
      <c r="N110" s="34">
        <v>1.2346250000000001</v>
      </c>
      <c r="O110" s="34">
        <v>6.25E-2</v>
      </c>
      <c r="P110" s="34">
        <v>0</v>
      </c>
      <c r="Q110" s="34">
        <v>1.2971250000000001</v>
      </c>
      <c r="R110" s="35">
        <v>0.85063120362339795</v>
      </c>
      <c r="S110" s="34">
        <v>0.64856250000000004</v>
      </c>
      <c r="T110" s="34">
        <v>0.64856250000000004</v>
      </c>
      <c r="U110" s="36">
        <v>1</v>
      </c>
      <c r="AA110" s="37">
        <f t="shared" si="18"/>
        <v>1.2346250000000001</v>
      </c>
      <c r="AB110" s="37">
        <f t="shared" si="19"/>
        <v>6.25E-2</v>
      </c>
      <c r="AC110" s="37">
        <f t="shared" si="20"/>
        <v>0</v>
      </c>
      <c r="AD110" s="37">
        <f t="shared" si="21"/>
        <v>1.2971250000000001</v>
      </c>
      <c r="AE110" s="20">
        <f t="shared" si="22"/>
        <v>0.85063120362339795</v>
      </c>
      <c r="AF110" s="37">
        <f t="shared" si="23"/>
        <v>1.1033750000000002</v>
      </c>
      <c r="AG110" s="17" t="s">
        <v>72</v>
      </c>
      <c r="AH110" s="32" t="s">
        <v>232</v>
      </c>
    </row>
    <row r="111" spans="1:34" ht="14.25" hidden="1" customHeight="1">
      <c r="A111" s="33">
        <v>107</v>
      </c>
      <c r="B111" s="12">
        <v>12894</v>
      </c>
      <c r="C111" s="12" t="s">
        <v>456</v>
      </c>
      <c r="D111" s="12" t="s">
        <v>457</v>
      </c>
      <c r="E111" s="12" t="s">
        <v>258</v>
      </c>
      <c r="F111" s="12" t="s">
        <v>238</v>
      </c>
      <c r="G111" s="12" t="s">
        <v>259</v>
      </c>
      <c r="H111" s="12" t="s">
        <v>231</v>
      </c>
      <c r="I111" s="12" t="s">
        <v>172</v>
      </c>
      <c r="J111" s="12" t="s">
        <v>173</v>
      </c>
      <c r="K111" s="12" t="s">
        <v>458</v>
      </c>
      <c r="L111" s="12" t="s">
        <v>277</v>
      </c>
      <c r="M111" s="12" t="s">
        <v>172</v>
      </c>
      <c r="N111" s="34">
        <v>2.6333333333333302</v>
      </c>
      <c r="O111" s="34">
        <v>2.7791666666666699</v>
      </c>
      <c r="P111" s="34">
        <v>2.9187500000000002</v>
      </c>
      <c r="Q111" s="34">
        <v>8.3312500000000007</v>
      </c>
      <c r="R111" s="35">
        <v>0.92748187046761699</v>
      </c>
      <c r="S111" s="34">
        <v>4.1656250000000004</v>
      </c>
      <c r="T111" s="34">
        <v>4.1656250000000004</v>
      </c>
      <c r="U111" s="36">
        <v>1</v>
      </c>
      <c r="AA111" s="37">
        <f t="shared" si="18"/>
        <v>2.6333333333333302</v>
      </c>
      <c r="AB111" s="37">
        <f t="shared" si="19"/>
        <v>2.7791666666666699</v>
      </c>
      <c r="AC111" s="37">
        <f t="shared" si="20"/>
        <v>2.9187500000000002</v>
      </c>
      <c r="AD111" s="37">
        <f t="shared" si="21"/>
        <v>8.3312500000000007</v>
      </c>
      <c r="AE111" s="20">
        <f t="shared" si="22"/>
        <v>0.92748187046761699</v>
      </c>
      <c r="AF111" s="37">
        <f t="shared" si="23"/>
        <v>7.7270833333333346</v>
      </c>
      <c r="AG111" s="17" t="s">
        <v>72</v>
      </c>
      <c r="AH111" s="32" t="s">
        <v>196</v>
      </c>
    </row>
    <row r="112" spans="1:34" ht="14.25" hidden="1" customHeight="1">
      <c r="A112" s="33">
        <v>108</v>
      </c>
      <c r="B112" s="12">
        <v>12932</v>
      </c>
      <c r="C112" s="12" t="s">
        <v>459</v>
      </c>
      <c r="D112" s="12" t="s">
        <v>460</v>
      </c>
      <c r="E112" s="12" t="s">
        <v>258</v>
      </c>
      <c r="F112" s="12" t="s">
        <v>238</v>
      </c>
      <c r="G112" s="12" t="s">
        <v>259</v>
      </c>
      <c r="H112" s="12" t="s">
        <v>171</v>
      </c>
      <c r="I112" s="12" t="s">
        <v>172</v>
      </c>
      <c r="J112" s="12" t="s">
        <v>173</v>
      </c>
      <c r="K112" s="12" t="s">
        <v>461</v>
      </c>
      <c r="L112" s="12" t="s">
        <v>277</v>
      </c>
      <c r="M112" s="12" t="s">
        <v>172</v>
      </c>
      <c r="N112" s="34">
        <v>35.819583333333298</v>
      </c>
      <c r="O112" s="34">
        <v>25.000000000000099</v>
      </c>
      <c r="P112" s="34">
        <v>12.866666666666699</v>
      </c>
      <c r="Q112" s="34">
        <v>73.686250000000101</v>
      </c>
      <c r="R112" s="35">
        <v>0.91167506375567597</v>
      </c>
      <c r="S112" s="34">
        <v>36.843125000000001</v>
      </c>
      <c r="T112" s="34">
        <v>36.843125000000001</v>
      </c>
      <c r="U112" s="36">
        <v>1</v>
      </c>
      <c r="AA112" s="37">
        <f t="shared" si="18"/>
        <v>35.819583333333298</v>
      </c>
      <c r="AB112" s="37">
        <f t="shared" si="19"/>
        <v>25.000000000000099</v>
      </c>
      <c r="AC112" s="37">
        <f t="shared" si="20"/>
        <v>12.866666666666699</v>
      </c>
      <c r="AD112" s="37">
        <f t="shared" si="21"/>
        <v>73.686250000000101</v>
      </c>
      <c r="AE112" s="20">
        <f t="shared" si="22"/>
        <v>0.91167506375567597</v>
      </c>
      <c r="AF112" s="37">
        <f t="shared" si="23"/>
        <v>67.177916666666775</v>
      </c>
      <c r="AG112" s="17" t="s">
        <v>72</v>
      </c>
      <c r="AH112" s="32" t="s">
        <v>176</v>
      </c>
    </row>
    <row r="113" spans="1:34" ht="14.25" hidden="1" customHeight="1">
      <c r="A113" s="33">
        <v>109</v>
      </c>
      <c r="B113" s="12">
        <v>12991</v>
      </c>
      <c r="C113" s="12" t="s">
        <v>462</v>
      </c>
      <c r="D113" s="12" t="s">
        <v>463</v>
      </c>
      <c r="E113" s="12" t="s">
        <v>298</v>
      </c>
      <c r="F113" s="12" t="s">
        <v>289</v>
      </c>
      <c r="G113" s="12" t="s">
        <v>299</v>
      </c>
      <c r="H113" s="12" t="s">
        <v>231</v>
      </c>
      <c r="I113" s="12" t="s">
        <v>172</v>
      </c>
      <c r="J113" s="12" t="s">
        <v>173</v>
      </c>
      <c r="K113" s="12" t="s">
        <v>274</v>
      </c>
      <c r="L113" s="12" t="s">
        <v>277</v>
      </c>
      <c r="M113" s="12" t="s">
        <v>181</v>
      </c>
      <c r="N113" s="34">
        <v>4.6458333333333304</v>
      </c>
      <c r="O113" s="34">
        <v>4.5625</v>
      </c>
      <c r="P113" s="34">
        <v>3</v>
      </c>
      <c r="Q113" s="34">
        <v>12.2083333333333</v>
      </c>
      <c r="R113" s="35">
        <v>1</v>
      </c>
      <c r="S113" s="34">
        <v>6.1041666666666696</v>
      </c>
      <c r="T113" s="34">
        <v>6.1041666666666696</v>
      </c>
      <c r="U113" s="36">
        <v>1</v>
      </c>
      <c r="AA113" s="37">
        <f t="shared" si="18"/>
        <v>4.6458333333333304</v>
      </c>
      <c r="AB113" s="37">
        <f t="shared" si="19"/>
        <v>4.5625</v>
      </c>
      <c r="AC113" s="37">
        <f t="shared" si="20"/>
        <v>3</v>
      </c>
      <c r="AD113" s="37">
        <f t="shared" si="21"/>
        <v>12.2083333333333</v>
      </c>
      <c r="AE113" s="20">
        <f t="shared" si="22"/>
        <v>1</v>
      </c>
      <c r="AF113" s="37">
        <f t="shared" si="23"/>
        <v>12.2083333333333</v>
      </c>
      <c r="AG113" s="17" t="s">
        <v>74</v>
      </c>
      <c r="AH113" s="32" t="s">
        <v>191</v>
      </c>
    </row>
    <row r="114" spans="1:34" ht="14.25" hidden="1" customHeight="1">
      <c r="A114" s="33">
        <v>110</v>
      </c>
      <c r="B114" s="12">
        <v>13139</v>
      </c>
      <c r="C114" s="12" t="s">
        <v>464</v>
      </c>
      <c r="D114" s="12" t="s">
        <v>465</v>
      </c>
      <c r="E114" s="12" t="s">
        <v>317</v>
      </c>
      <c r="F114" s="12" t="s">
        <v>318</v>
      </c>
      <c r="G114" s="12" t="s">
        <v>318</v>
      </c>
      <c r="H114" s="12" t="s">
        <v>231</v>
      </c>
      <c r="I114" s="12" t="s">
        <v>172</v>
      </c>
      <c r="J114" s="12" t="s">
        <v>173</v>
      </c>
      <c r="K114" s="12" t="s">
        <v>274</v>
      </c>
      <c r="L114" s="12" t="s">
        <v>277</v>
      </c>
      <c r="M114" s="12" t="s">
        <v>172</v>
      </c>
      <c r="N114" s="34">
        <v>0</v>
      </c>
      <c r="O114" s="34">
        <v>1.3</v>
      </c>
      <c r="P114" s="34">
        <v>0.69166666666666698</v>
      </c>
      <c r="Q114" s="34">
        <v>1.99166666666667</v>
      </c>
      <c r="R114" s="35">
        <v>1</v>
      </c>
      <c r="S114" s="34">
        <v>0.99583333333333302</v>
      </c>
      <c r="T114" s="34">
        <v>0.99583333333333302</v>
      </c>
      <c r="U114" s="36">
        <v>1</v>
      </c>
      <c r="AA114" s="37">
        <f t="shared" si="18"/>
        <v>0</v>
      </c>
      <c r="AB114" s="37">
        <f t="shared" si="19"/>
        <v>1.3</v>
      </c>
      <c r="AC114" s="37">
        <f t="shared" si="20"/>
        <v>0.69166666666666698</v>
      </c>
      <c r="AD114" s="37">
        <f t="shared" si="21"/>
        <v>1.99166666666667</v>
      </c>
      <c r="AE114" s="20">
        <f t="shared" si="22"/>
        <v>1</v>
      </c>
      <c r="AF114" s="37">
        <f t="shared" si="23"/>
        <v>1.99166666666667</v>
      </c>
      <c r="AG114" s="17" t="s">
        <v>72</v>
      </c>
      <c r="AH114" s="32" t="s">
        <v>191</v>
      </c>
    </row>
    <row r="115" spans="1:34" ht="14.25" hidden="1" customHeight="1">
      <c r="A115" s="33">
        <v>111</v>
      </c>
      <c r="B115" s="12">
        <v>13197</v>
      </c>
      <c r="C115" s="12" t="s">
        <v>466</v>
      </c>
      <c r="D115" s="12" t="s">
        <v>467</v>
      </c>
      <c r="E115" s="12" t="s">
        <v>298</v>
      </c>
      <c r="F115" s="12" t="s">
        <v>289</v>
      </c>
      <c r="G115" s="12" t="s">
        <v>299</v>
      </c>
      <c r="H115" s="12" t="s">
        <v>171</v>
      </c>
      <c r="I115" s="12" t="s">
        <v>181</v>
      </c>
      <c r="J115" s="12" t="s">
        <v>173</v>
      </c>
      <c r="K115" s="12" t="s">
        <v>461</v>
      </c>
      <c r="L115" s="12" t="s">
        <v>277</v>
      </c>
      <c r="M115" s="12" t="s">
        <v>181</v>
      </c>
      <c r="N115" s="34">
        <v>151.770833333333</v>
      </c>
      <c r="O115" s="34">
        <v>30.9375</v>
      </c>
      <c r="P115" s="34">
        <v>47.204166666666701</v>
      </c>
      <c r="Q115" s="34">
        <v>229.91249999999999</v>
      </c>
      <c r="R115" s="35">
        <v>0.947171931350695</v>
      </c>
      <c r="S115" s="34">
        <v>114.95625</v>
      </c>
      <c r="T115" s="34">
        <v>114.95625</v>
      </c>
      <c r="U115" s="36">
        <v>1</v>
      </c>
      <c r="AA115" s="37">
        <f t="shared" si="18"/>
        <v>151.770833333333</v>
      </c>
      <c r="AB115" s="37">
        <f t="shared" si="19"/>
        <v>30.9375</v>
      </c>
      <c r="AC115" s="37">
        <f t="shared" si="20"/>
        <v>47.204166666666701</v>
      </c>
      <c r="AD115" s="37">
        <f t="shared" si="21"/>
        <v>229.91249999999999</v>
      </c>
      <c r="AE115" s="20">
        <f t="shared" si="22"/>
        <v>0.947171931350695</v>
      </c>
      <c r="AF115" s="37">
        <f t="shared" si="23"/>
        <v>217.76666666666665</v>
      </c>
      <c r="AG115" s="17" t="s">
        <v>74</v>
      </c>
      <c r="AH115" s="32" t="s">
        <v>176</v>
      </c>
    </row>
    <row r="116" spans="1:34" ht="14.25" customHeight="1">
      <c r="A116" s="33">
        <v>112</v>
      </c>
      <c r="B116" s="12">
        <v>13262</v>
      </c>
      <c r="C116" s="12" t="s">
        <v>468</v>
      </c>
      <c r="D116" s="12" t="s">
        <v>468</v>
      </c>
      <c r="E116" s="12" t="s">
        <v>262</v>
      </c>
      <c r="F116" s="12" t="s">
        <v>169</v>
      </c>
      <c r="G116" s="12" t="s">
        <v>263</v>
      </c>
      <c r="H116" s="12" t="s">
        <v>231</v>
      </c>
      <c r="I116" s="12" t="s">
        <v>172</v>
      </c>
      <c r="J116" s="12" t="s">
        <v>371</v>
      </c>
      <c r="K116" s="12" t="s">
        <v>469</v>
      </c>
      <c r="L116" s="12" t="s">
        <v>470</v>
      </c>
      <c r="M116" s="12" t="s">
        <v>172</v>
      </c>
      <c r="N116" s="34">
        <v>1.5133333333333301</v>
      </c>
      <c r="O116" s="34">
        <v>1.75</v>
      </c>
      <c r="P116" s="34">
        <v>0.5</v>
      </c>
      <c r="Q116" s="34">
        <v>3.7633333333333301</v>
      </c>
      <c r="R116" s="35">
        <v>0.21147032772364899</v>
      </c>
      <c r="S116" s="34">
        <v>1.8816666666666699</v>
      </c>
      <c r="T116" s="34">
        <v>1.8816666666666699</v>
      </c>
      <c r="U116" s="36">
        <v>1</v>
      </c>
      <c r="AA116" s="37">
        <f t="shared" si="18"/>
        <v>1.5133333333333301</v>
      </c>
      <c r="AB116" s="37">
        <f t="shared" si="19"/>
        <v>1.75</v>
      </c>
      <c r="AC116" s="37">
        <f t="shared" si="20"/>
        <v>0.5</v>
      </c>
      <c r="AD116" s="37">
        <f t="shared" si="21"/>
        <v>3.7633333333333301</v>
      </c>
      <c r="AE116" s="20">
        <f t="shared" si="22"/>
        <v>0.21147032772364899</v>
      </c>
      <c r="AF116" s="37">
        <f t="shared" si="23"/>
        <v>0.79583333333333162</v>
      </c>
      <c r="AG116" s="17" t="s">
        <v>70</v>
      </c>
      <c r="AH116" s="32" t="s">
        <v>186</v>
      </c>
    </row>
    <row r="117" spans="1:34" ht="14.25" hidden="1" customHeight="1">
      <c r="A117" s="33">
        <v>113</v>
      </c>
      <c r="B117" s="12">
        <v>13274</v>
      </c>
      <c r="C117" s="12" t="s">
        <v>471</v>
      </c>
      <c r="D117" s="12" t="s">
        <v>472</v>
      </c>
      <c r="E117" s="12" t="s">
        <v>243</v>
      </c>
      <c r="F117" s="12" t="s">
        <v>238</v>
      </c>
      <c r="G117" s="12" t="s">
        <v>244</v>
      </c>
      <c r="H117" s="12" t="s">
        <v>443</v>
      </c>
      <c r="I117" s="12" t="s">
        <v>172</v>
      </c>
      <c r="J117" s="12" t="s">
        <v>173</v>
      </c>
      <c r="K117" s="12" t="s">
        <v>473</v>
      </c>
      <c r="L117" s="12"/>
      <c r="M117" s="12" t="s">
        <v>172</v>
      </c>
      <c r="N117" s="34">
        <v>0</v>
      </c>
      <c r="O117" s="34">
        <v>1</v>
      </c>
      <c r="P117" s="34">
        <v>0</v>
      </c>
      <c r="Q117" s="34">
        <v>1</v>
      </c>
      <c r="R117" s="35">
        <v>1</v>
      </c>
      <c r="S117" s="34">
        <v>0.5</v>
      </c>
      <c r="T117" s="34">
        <v>0.5</v>
      </c>
      <c r="U117" s="36">
        <v>1</v>
      </c>
      <c r="AA117" s="37">
        <f t="shared" si="18"/>
        <v>0</v>
      </c>
      <c r="AB117" s="37">
        <f t="shared" si="19"/>
        <v>1</v>
      </c>
      <c r="AC117" s="37">
        <f t="shared" si="20"/>
        <v>0</v>
      </c>
      <c r="AD117" s="37">
        <f t="shared" si="21"/>
        <v>1</v>
      </c>
      <c r="AE117" s="20">
        <f t="shared" si="22"/>
        <v>1</v>
      </c>
      <c r="AF117" s="37">
        <f t="shared" si="23"/>
        <v>1</v>
      </c>
      <c r="AG117" s="17" t="s">
        <v>72</v>
      </c>
      <c r="AH117" s="32" t="s">
        <v>176</v>
      </c>
    </row>
    <row r="118" spans="1:34" ht="14.25" hidden="1" customHeight="1">
      <c r="A118" s="33">
        <v>114</v>
      </c>
      <c r="B118" s="12">
        <v>13314</v>
      </c>
      <c r="C118" s="12" t="s">
        <v>474</v>
      </c>
      <c r="D118" s="12" t="s">
        <v>475</v>
      </c>
      <c r="E118" s="12" t="s">
        <v>341</v>
      </c>
      <c r="F118" s="12" t="s">
        <v>342</v>
      </c>
      <c r="G118" s="12" t="s">
        <v>342</v>
      </c>
      <c r="H118" s="12" t="s">
        <v>443</v>
      </c>
      <c r="I118" s="12" t="s">
        <v>172</v>
      </c>
      <c r="J118" s="12" t="s">
        <v>173</v>
      </c>
      <c r="K118" s="12" t="s">
        <v>476</v>
      </c>
      <c r="L118" s="12" t="s">
        <v>277</v>
      </c>
      <c r="M118" s="12" t="s">
        <v>172</v>
      </c>
      <c r="N118" s="34">
        <v>28.606677083333299</v>
      </c>
      <c r="O118" s="34">
        <v>11</v>
      </c>
      <c r="P118" s="34">
        <v>9.1416666666666604</v>
      </c>
      <c r="Q118" s="34">
        <v>50.065010416666702</v>
      </c>
      <c r="R118" s="35">
        <v>0.86264109519268795</v>
      </c>
      <c r="S118" s="34">
        <v>25.032505208333301</v>
      </c>
      <c r="T118" s="34">
        <v>25.032505208333301</v>
      </c>
      <c r="U118" s="36">
        <v>1</v>
      </c>
      <c r="AA118" s="37">
        <f t="shared" si="18"/>
        <v>28.606677083333299</v>
      </c>
      <c r="AB118" s="37">
        <f t="shared" si="19"/>
        <v>11</v>
      </c>
      <c r="AC118" s="37">
        <f t="shared" si="20"/>
        <v>9.1416666666666604</v>
      </c>
      <c r="AD118" s="37">
        <f t="shared" si="21"/>
        <v>50.065010416666702</v>
      </c>
      <c r="AE118" s="20">
        <f t="shared" si="22"/>
        <v>0.86264109519268795</v>
      </c>
      <c r="AF118" s="37">
        <f t="shared" si="23"/>
        <v>43.188135416666697</v>
      </c>
      <c r="AG118" s="17" t="s">
        <v>72</v>
      </c>
      <c r="AH118" s="32" t="s">
        <v>186</v>
      </c>
    </row>
    <row r="119" spans="1:34" ht="14.25" customHeight="1">
      <c r="A119" s="33">
        <v>115</v>
      </c>
      <c r="B119" s="12">
        <v>13405</v>
      </c>
      <c r="C119" s="12" t="s">
        <v>477</v>
      </c>
      <c r="D119" s="12" t="s">
        <v>478</v>
      </c>
      <c r="E119" s="12" t="s">
        <v>262</v>
      </c>
      <c r="F119" s="12" t="s">
        <v>169</v>
      </c>
      <c r="G119" s="12" t="s">
        <v>263</v>
      </c>
      <c r="H119" s="12" t="s">
        <v>231</v>
      </c>
      <c r="I119" s="12" t="s">
        <v>172</v>
      </c>
      <c r="J119" s="12" t="s">
        <v>371</v>
      </c>
      <c r="K119" s="12" t="s">
        <v>479</v>
      </c>
      <c r="L119" s="12" t="s">
        <v>175</v>
      </c>
      <c r="M119" s="12" t="s">
        <v>172</v>
      </c>
      <c r="N119" s="34">
        <v>0</v>
      </c>
      <c r="O119" s="34">
        <v>0</v>
      </c>
      <c r="P119" s="34">
        <v>0</v>
      </c>
      <c r="Q119" s="34">
        <v>0</v>
      </c>
      <c r="R119" s="35">
        <v>0</v>
      </c>
      <c r="S119" s="34"/>
      <c r="T119" s="34"/>
      <c r="U119" s="36">
        <v>1</v>
      </c>
      <c r="AA119" s="37">
        <f t="shared" si="18"/>
        <v>0</v>
      </c>
      <c r="AB119" s="37">
        <f t="shared" si="19"/>
        <v>0</v>
      </c>
      <c r="AC119" s="37">
        <f t="shared" si="20"/>
        <v>0</v>
      </c>
      <c r="AD119" s="37">
        <f t="shared" si="21"/>
        <v>0</v>
      </c>
      <c r="AE119" s="20">
        <f t="shared" si="22"/>
        <v>0</v>
      </c>
      <c r="AF119" s="37">
        <f t="shared" si="23"/>
        <v>0</v>
      </c>
      <c r="AG119" s="17" t="s">
        <v>70</v>
      </c>
      <c r="AH119" s="32" t="s">
        <v>186</v>
      </c>
    </row>
    <row r="120" spans="1:34" ht="14.25" hidden="1" customHeight="1">
      <c r="A120" s="33">
        <v>116</v>
      </c>
      <c r="B120" s="12">
        <v>13453</v>
      </c>
      <c r="C120" s="12" t="s">
        <v>480</v>
      </c>
      <c r="D120" s="12" t="s">
        <v>481</v>
      </c>
      <c r="E120" s="12" t="s">
        <v>243</v>
      </c>
      <c r="F120" s="12" t="s">
        <v>238</v>
      </c>
      <c r="G120" s="12" t="s">
        <v>244</v>
      </c>
      <c r="H120" s="12" t="s">
        <v>443</v>
      </c>
      <c r="I120" s="12" t="s">
        <v>172</v>
      </c>
      <c r="J120" s="12" t="s">
        <v>173</v>
      </c>
      <c r="K120" s="12" t="s">
        <v>385</v>
      </c>
      <c r="L120" s="12"/>
      <c r="M120" s="12" t="s">
        <v>172</v>
      </c>
      <c r="N120" s="34">
        <v>0.9</v>
      </c>
      <c r="O120" s="34">
        <v>0.3</v>
      </c>
      <c r="P120" s="34">
        <v>0</v>
      </c>
      <c r="Q120" s="34">
        <v>9.9375</v>
      </c>
      <c r="R120" s="35">
        <v>0.90440251572327102</v>
      </c>
      <c r="S120" s="34">
        <v>4.96875</v>
      </c>
      <c r="T120" s="34">
        <v>4.96875</v>
      </c>
      <c r="U120" s="36">
        <v>1</v>
      </c>
      <c r="AA120" s="37">
        <f t="shared" si="18"/>
        <v>0.9</v>
      </c>
      <c r="AB120" s="37">
        <f t="shared" si="19"/>
        <v>0.3</v>
      </c>
      <c r="AC120" s="37">
        <f t="shared" si="20"/>
        <v>0</v>
      </c>
      <c r="AD120" s="37">
        <f t="shared" si="21"/>
        <v>9.9375</v>
      </c>
      <c r="AE120" s="20">
        <f t="shared" si="22"/>
        <v>0.90440251572327102</v>
      </c>
      <c r="AF120" s="37">
        <f t="shared" si="23"/>
        <v>8.987500000000006</v>
      </c>
      <c r="AG120" s="17" t="s">
        <v>72</v>
      </c>
      <c r="AH120" s="32" t="s">
        <v>176</v>
      </c>
    </row>
    <row r="121" spans="1:34" ht="14.25" hidden="1" customHeight="1">
      <c r="A121" s="33">
        <v>117</v>
      </c>
      <c r="B121" s="12">
        <v>13476</v>
      </c>
      <c r="C121" s="12" t="s">
        <v>482</v>
      </c>
      <c r="D121" s="12" t="s">
        <v>483</v>
      </c>
      <c r="E121" s="12" t="s">
        <v>317</v>
      </c>
      <c r="F121" s="12" t="s">
        <v>238</v>
      </c>
      <c r="G121" s="12"/>
      <c r="H121" s="12" t="s">
        <v>171</v>
      </c>
      <c r="I121" s="12" t="s">
        <v>172</v>
      </c>
      <c r="J121" s="12" t="s">
        <v>173</v>
      </c>
      <c r="K121" s="12" t="s">
        <v>484</v>
      </c>
      <c r="L121" s="12" t="s">
        <v>277</v>
      </c>
      <c r="M121" s="12" t="s">
        <v>181</v>
      </c>
      <c r="N121" s="34">
        <v>57.149875000000002</v>
      </c>
      <c r="O121" s="34">
        <v>23.3020833333333</v>
      </c>
      <c r="P121" s="34">
        <v>42.086666666666702</v>
      </c>
      <c r="Q121" s="34">
        <v>122.538625</v>
      </c>
      <c r="R121" s="35">
        <v>0.88077908768221702</v>
      </c>
      <c r="S121" s="34">
        <v>61.269312499999998</v>
      </c>
      <c r="T121" s="34">
        <v>61.269312499999998</v>
      </c>
      <c r="U121" s="36">
        <v>1</v>
      </c>
      <c r="AA121" s="37">
        <f t="shared" si="18"/>
        <v>57.149875000000002</v>
      </c>
      <c r="AB121" s="37">
        <f t="shared" si="19"/>
        <v>23.3020833333333</v>
      </c>
      <c r="AC121" s="37">
        <f t="shared" si="20"/>
        <v>42.086666666666702</v>
      </c>
      <c r="AD121" s="37">
        <f t="shared" si="21"/>
        <v>122.538625</v>
      </c>
      <c r="AE121" s="20">
        <f t="shared" si="22"/>
        <v>0.88077908768221702</v>
      </c>
      <c r="AF121" s="37">
        <f t="shared" si="23"/>
        <v>107.9294583333333</v>
      </c>
      <c r="AG121" s="17" t="s">
        <v>74</v>
      </c>
      <c r="AH121" s="32" t="s">
        <v>186</v>
      </c>
    </row>
    <row r="122" spans="1:34" ht="14.25" hidden="1" customHeight="1">
      <c r="A122" s="33">
        <v>118</v>
      </c>
      <c r="B122" s="12">
        <v>13500</v>
      </c>
      <c r="C122" s="12" t="s">
        <v>485</v>
      </c>
      <c r="D122" s="12" t="s">
        <v>486</v>
      </c>
      <c r="E122" s="12" t="s">
        <v>243</v>
      </c>
      <c r="F122" s="12" t="s">
        <v>238</v>
      </c>
      <c r="G122" s="12" t="s">
        <v>244</v>
      </c>
      <c r="H122" s="12" t="s">
        <v>171</v>
      </c>
      <c r="I122" s="12" t="s">
        <v>172</v>
      </c>
      <c r="J122" s="12" t="s">
        <v>173</v>
      </c>
      <c r="K122" s="12" t="s">
        <v>245</v>
      </c>
      <c r="L122" s="12"/>
      <c r="M122" s="12" t="s">
        <v>172</v>
      </c>
      <c r="N122" s="34">
        <v>0.5</v>
      </c>
      <c r="O122" s="34">
        <v>0.2</v>
      </c>
      <c r="P122" s="34">
        <v>0</v>
      </c>
      <c r="Q122" s="34">
        <v>0.59583333333333299</v>
      </c>
      <c r="R122" s="35">
        <v>0.66433566433566404</v>
      </c>
      <c r="S122" s="34">
        <v>0.297916666666667</v>
      </c>
      <c r="T122" s="34">
        <v>0.297916666666667</v>
      </c>
      <c r="U122" s="36">
        <v>1</v>
      </c>
      <c r="AA122" s="37">
        <f t="shared" si="18"/>
        <v>0.5</v>
      </c>
      <c r="AB122" s="37">
        <f t="shared" si="19"/>
        <v>0.2</v>
      </c>
      <c r="AC122" s="37">
        <f t="shared" si="20"/>
        <v>0</v>
      </c>
      <c r="AD122" s="37">
        <f t="shared" si="21"/>
        <v>0.59583333333333299</v>
      </c>
      <c r="AE122" s="20">
        <f t="shared" si="22"/>
        <v>0.66433566433566404</v>
      </c>
      <c r="AF122" s="37">
        <f t="shared" si="23"/>
        <v>0.39583333333333293</v>
      </c>
      <c r="AG122" s="17" t="s">
        <v>72</v>
      </c>
      <c r="AH122" s="32" t="s">
        <v>191</v>
      </c>
    </row>
    <row r="123" spans="1:34" ht="14.25" hidden="1" customHeight="1">
      <c r="A123" s="33">
        <v>119</v>
      </c>
      <c r="B123" s="12">
        <v>13676</v>
      </c>
      <c r="C123" s="12" t="s">
        <v>487</v>
      </c>
      <c r="D123" s="12" t="s">
        <v>488</v>
      </c>
      <c r="E123" s="12" t="s">
        <v>317</v>
      </c>
      <c r="F123" s="12" t="s">
        <v>318</v>
      </c>
      <c r="G123" s="12" t="s">
        <v>318</v>
      </c>
      <c r="H123" s="12" t="s">
        <v>171</v>
      </c>
      <c r="I123" s="12" t="s">
        <v>172</v>
      </c>
      <c r="J123" s="12" t="s">
        <v>371</v>
      </c>
      <c r="K123" s="12" t="s">
        <v>489</v>
      </c>
      <c r="L123" s="12" t="s">
        <v>175</v>
      </c>
      <c r="M123" s="12" t="s">
        <v>172</v>
      </c>
      <c r="N123" s="34">
        <v>11.5729166666667</v>
      </c>
      <c r="O123" s="34">
        <v>2.3333333333333299</v>
      </c>
      <c r="P123" s="34">
        <v>2.1354166666666701</v>
      </c>
      <c r="Q123" s="34">
        <v>16.0416666666667</v>
      </c>
      <c r="R123" s="35">
        <v>0.93766233766233797</v>
      </c>
      <c r="S123" s="34">
        <v>8.0208333333333304</v>
      </c>
      <c r="T123" s="34">
        <v>8.0208333333333304</v>
      </c>
      <c r="U123" s="36">
        <v>1</v>
      </c>
      <c r="AA123" s="37">
        <f t="shared" si="18"/>
        <v>11.5729166666667</v>
      </c>
      <c r="AB123" s="37">
        <f t="shared" si="19"/>
        <v>2.3333333333333299</v>
      </c>
      <c r="AC123" s="37">
        <f t="shared" si="20"/>
        <v>2.1354166666666701</v>
      </c>
      <c r="AD123" s="37">
        <f t="shared" si="21"/>
        <v>16.0416666666667</v>
      </c>
      <c r="AE123" s="20">
        <f t="shared" si="22"/>
        <v>0.93766233766233797</v>
      </c>
      <c r="AF123" s="37">
        <f t="shared" si="23"/>
        <v>15.041666666666703</v>
      </c>
      <c r="AG123" s="17" t="s">
        <v>70</v>
      </c>
      <c r="AH123" s="32" t="s">
        <v>232</v>
      </c>
    </row>
    <row r="124" spans="1:34" ht="14.25" hidden="1" customHeight="1">
      <c r="A124" s="33">
        <v>120</v>
      </c>
      <c r="B124" s="12">
        <v>13721</v>
      </c>
      <c r="C124" s="12" t="s">
        <v>490</v>
      </c>
      <c r="D124" s="12" t="s">
        <v>491</v>
      </c>
      <c r="E124" s="12" t="s">
        <v>54</v>
      </c>
      <c r="F124" s="12" t="s">
        <v>169</v>
      </c>
      <c r="G124" s="12" t="s">
        <v>170</v>
      </c>
      <c r="H124" s="12" t="s">
        <v>171</v>
      </c>
      <c r="I124" s="12" t="s">
        <v>172</v>
      </c>
      <c r="J124" s="12" t="s">
        <v>173</v>
      </c>
      <c r="K124" s="12" t="s">
        <v>461</v>
      </c>
      <c r="L124" s="12" t="s">
        <v>277</v>
      </c>
      <c r="M124" s="12" t="s">
        <v>172</v>
      </c>
      <c r="N124" s="34">
        <v>1.6666666666666701</v>
      </c>
      <c r="O124" s="34">
        <v>0.70833333333333304</v>
      </c>
      <c r="P124" s="34">
        <v>0.58333333333333304</v>
      </c>
      <c r="Q124" s="34">
        <v>2.9583333333333299</v>
      </c>
      <c r="R124" s="35">
        <v>0.91549295774647899</v>
      </c>
      <c r="S124" s="34">
        <v>1.4791666666666701</v>
      </c>
      <c r="T124" s="34">
        <v>1.4791666666666701</v>
      </c>
      <c r="U124" s="36">
        <v>1</v>
      </c>
      <c r="AA124" s="37">
        <f t="shared" si="18"/>
        <v>1.6666666666666701</v>
      </c>
      <c r="AB124" s="37">
        <f t="shared" si="19"/>
        <v>0.70833333333333304</v>
      </c>
      <c r="AC124" s="37">
        <f t="shared" si="20"/>
        <v>0.58333333333333304</v>
      </c>
      <c r="AD124" s="37">
        <f t="shared" si="21"/>
        <v>2.9583333333333299</v>
      </c>
      <c r="AE124" s="20">
        <f t="shared" si="22"/>
        <v>0.91549295774647899</v>
      </c>
      <c r="AF124" s="37">
        <f t="shared" si="23"/>
        <v>2.7083333333333304</v>
      </c>
      <c r="AG124" s="17" t="s">
        <v>72</v>
      </c>
      <c r="AH124" s="32" t="s">
        <v>196</v>
      </c>
    </row>
    <row r="125" spans="1:34" ht="14.25" hidden="1" customHeight="1">
      <c r="A125" s="33">
        <v>121</v>
      </c>
      <c r="B125" s="12">
        <v>13738</v>
      </c>
      <c r="C125" s="12" t="s">
        <v>492</v>
      </c>
      <c r="D125" s="12" t="s">
        <v>492</v>
      </c>
      <c r="E125" s="12" t="s">
        <v>298</v>
      </c>
      <c r="F125" s="12" t="s">
        <v>289</v>
      </c>
      <c r="G125" s="12" t="s">
        <v>299</v>
      </c>
      <c r="H125" s="12" t="s">
        <v>171</v>
      </c>
      <c r="I125" s="12" t="s">
        <v>172</v>
      </c>
      <c r="J125" s="12" t="s">
        <v>371</v>
      </c>
      <c r="K125" s="12" t="s">
        <v>274</v>
      </c>
      <c r="L125" s="12" t="s">
        <v>277</v>
      </c>
      <c r="M125" s="12" t="s">
        <v>181</v>
      </c>
      <c r="N125" s="34">
        <v>0.33333333333333298</v>
      </c>
      <c r="O125" s="34">
        <v>0.25</v>
      </c>
      <c r="P125" s="34">
        <v>8.3333333333333301E-2</v>
      </c>
      <c r="Q125" s="34">
        <v>0.66666666666666696</v>
      </c>
      <c r="R125" s="35">
        <v>1</v>
      </c>
      <c r="S125" s="34">
        <v>0.33333333333333298</v>
      </c>
      <c r="T125" s="34">
        <v>0.33333333333333298</v>
      </c>
      <c r="U125" s="36">
        <v>1</v>
      </c>
      <c r="AA125" s="37">
        <f t="shared" si="18"/>
        <v>0.33333333333333298</v>
      </c>
      <c r="AB125" s="37">
        <f t="shared" si="19"/>
        <v>0.25</v>
      </c>
      <c r="AC125" s="37">
        <f t="shared" si="20"/>
        <v>8.3333333333333301E-2</v>
      </c>
      <c r="AD125" s="37">
        <f t="shared" si="21"/>
        <v>0.66666666666666696</v>
      </c>
      <c r="AE125" s="20">
        <f t="shared" si="22"/>
        <v>1</v>
      </c>
      <c r="AF125" s="37">
        <f t="shared" si="23"/>
        <v>0.66666666666666696</v>
      </c>
      <c r="AG125" s="17" t="s">
        <v>74</v>
      </c>
      <c r="AH125" s="32" t="s">
        <v>196</v>
      </c>
    </row>
    <row r="126" spans="1:34" ht="14.25" customHeight="1">
      <c r="A126" s="33">
        <v>122</v>
      </c>
      <c r="B126" s="12">
        <v>13812</v>
      </c>
      <c r="C126" s="12" t="s">
        <v>493</v>
      </c>
      <c r="D126" s="12" t="s">
        <v>494</v>
      </c>
      <c r="E126" s="12" t="s">
        <v>262</v>
      </c>
      <c r="F126" s="12" t="s">
        <v>169</v>
      </c>
      <c r="G126" s="12" t="s">
        <v>263</v>
      </c>
      <c r="H126" s="12" t="s">
        <v>171</v>
      </c>
      <c r="I126" s="12" t="s">
        <v>172</v>
      </c>
      <c r="J126" s="12" t="s">
        <v>173</v>
      </c>
      <c r="K126" s="12" t="s">
        <v>245</v>
      </c>
      <c r="L126" s="12"/>
      <c r="M126" s="12" t="s">
        <v>172</v>
      </c>
      <c r="N126" s="34">
        <v>2.04</v>
      </c>
      <c r="O126" s="34">
        <v>1.7</v>
      </c>
      <c r="P126" s="34">
        <v>0</v>
      </c>
      <c r="Q126" s="34">
        <v>3.74</v>
      </c>
      <c r="R126" s="35">
        <v>0.30837789661319098</v>
      </c>
      <c r="S126" s="34">
        <v>1.87</v>
      </c>
      <c r="T126" s="34">
        <v>1.87</v>
      </c>
      <c r="U126" s="36">
        <v>1</v>
      </c>
      <c r="AA126" s="37">
        <f t="shared" si="18"/>
        <v>2.04</v>
      </c>
      <c r="AB126" s="37">
        <f t="shared" si="19"/>
        <v>1.7</v>
      </c>
      <c r="AC126" s="37">
        <f t="shared" si="20"/>
        <v>0</v>
      </c>
      <c r="AD126" s="37">
        <f t="shared" si="21"/>
        <v>3.74</v>
      </c>
      <c r="AE126" s="20">
        <f t="shared" si="22"/>
        <v>0.30837789661319098</v>
      </c>
      <c r="AF126" s="37">
        <f t="shared" si="23"/>
        <v>1.1533333333333344</v>
      </c>
      <c r="AG126" s="17" t="s">
        <v>72</v>
      </c>
      <c r="AH126" s="32" t="s">
        <v>232</v>
      </c>
    </row>
    <row r="127" spans="1:34" ht="14.25" hidden="1" customHeight="1">
      <c r="A127" s="33">
        <v>123</v>
      </c>
      <c r="B127" s="12">
        <v>13820</v>
      </c>
      <c r="C127" s="12" t="s">
        <v>495</v>
      </c>
      <c r="D127" s="12" t="s">
        <v>496</v>
      </c>
      <c r="E127" s="12" t="s">
        <v>248</v>
      </c>
      <c r="F127" s="12" t="s">
        <v>238</v>
      </c>
      <c r="G127" s="12" t="s">
        <v>249</v>
      </c>
      <c r="H127" s="12" t="s">
        <v>231</v>
      </c>
      <c r="I127" s="12" t="s">
        <v>172</v>
      </c>
      <c r="J127" s="12" t="s">
        <v>173</v>
      </c>
      <c r="K127" s="12" t="s">
        <v>274</v>
      </c>
      <c r="L127" s="12" t="s">
        <v>277</v>
      </c>
      <c r="M127" s="12" t="s">
        <v>172</v>
      </c>
      <c r="N127" s="34">
        <v>20.590416666666702</v>
      </c>
      <c r="O127" s="34">
        <v>5.0458333333333298</v>
      </c>
      <c r="P127" s="34">
        <v>18.1458333333333</v>
      </c>
      <c r="Q127" s="34">
        <v>43.782083333333297</v>
      </c>
      <c r="R127" s="35">
        <v>0.98365960200614799</v>
      </c>
      <c r="S127" s="34">
        <v>21.891041666666698</v>
      </c>
      <c r="T127" s="34">
        <v>21.891041666666698</v>
      </c>
      <c r="U127" s="36">
        <v>1</v>
      </c>
      <c r="AA127" s="37">
        <f t="shared" si="18"/>
        <v>20.590416666666702</v>
      </c>
      <c r="AB127" s="37">
        <f t="shared" si="19"/>
        <v>5.0458333333333298</v>
      </c>
      <c r="AC127" s="37">
        <f t="shared" si="20"/>
        <v>18.1458333333333</v>
      </c>
      <c r="AD127" s="37">
        <f t="shared" si="21"/>
        <v>43.782083333333297</v>
      </c>
      <c r="AE127" s="20">
        <f t="shared" si="22"/>
        <v>0.98365960200614799</v>
      </c>
      <c r="AF127" s="37">
        <f t="shared" si="23"/>
        <v>43.066666666666634</v>
      </c>
      <c r="AG127" s="17" t="s">
        <v>72</v>
      </c>
      <c r="AH127" s="32" t="s">
        <v>191</v>
      </c>
    </row>
    <row r="128" spans="1:34" ht="14.25" hidden="1" customHeight="1">
      <c r="A128" s="33">
        <v>124</v>
      </c>
      <c r="B128" s="12">
        <v>13856</v>
      </c>
      <c r="C128" s="12" t="s">
        <v>497</v>
      </c>
      <c r="D128" s="12" t="s">
        <v>498</v>
      </c>
      <c r="E128" s="12" t="s">
        <v>258</v>
      </c>
      <c r="F128" s="12" t="s">
        <v>238</v>
      </c>
      <c r="G128" s="12" t="s">
        <v>259</v>
      </c>
      <c r="H128" s="12" t="s">
        <v>171</v>
      </c>
      <c r="I128" s="12" t="s">
        <v>172</v>
      </c>
      <c r="J128" s="12" t="s">
        <v>173</v>
      </c>
      <c r="K128" s="12" t="s">
        <v>499</v>
      </c>
      <c r="L128" s="12"/>
      <c r="M128" s="12" t="s">
        <v>172</v>
      </c>
      <c r="N128" s="34">
        <v>4.4024999999999999</v>
      </c>
      <c r="O128" s="34">
        <v>1.9583333333333299</v>
      </c>
      <c r="P128" s="34">
        <v>4.1666666666666699E-2</v>
      </c>
      <c r="Q128" s="34">
        <v>6.4024999999999999</v>
      </c>
      <c r="R128" s="35">
        <v>0.957698815566836</v>
      </c>
      <c r="S128" s="34">
        <v>3.2012499999999999</v>
      </c>
      <c r="T128" s="34">
        <v>3.2012499999999999</v>
      </c>
      <c r="U128" s="36">
        <v>1</v>
      </c>
      <c r="AA128" s="37">
        <f t="shared" si="18"/>
        <v>4.4024999999999999</v>
      </c>
      <c r="AB128" s="37">
        <f t="shared" si="19"/>
        <v>1.9583333333333299</v>
      </c>
      <c r="AC128" s="37">
        <f t="shared" si="20"/>
        <v>4.1666666666666699E-2</v>
      </c>
      <c r="AD128" s="37">
        <f t="shared" si="21"/>
        <v>6.4024999999999999</v>
      </c>
      <c r="AE128" s="20">
        <f t="shared" si="22"/>
        <v>0.957698815566836</v>
      </c>
      <c r="AF128" s="37">
        <f t="shared" si="23"/>
        <v>6.1316666666666677</v>
      </c>
      <c r="AG128" s="17" t="s">
        <v>72</v>
      </c>
      <c r="AH128" s="32" t="s">
        <v>191</v>
      </c>
    </row>
    <row r="129" spans="1:34" ht="14.25" hidden="1" customHeight="1">
      <c r="A129" s="33">
        <v>125</v>
      </c>
      <c r="B129" s="12">
        <v>13863</v>
      </c>
      <c r="C129" s="12" t="s">
        <v>500</v>
      </c>
      <c r="D129" s="12" t="s">
        <v>501</v>
      </c>
      <c r="E129" s="12" t="s">
        <v>237</v>
      </c>
      <c r="F129" s="12" t="s">
        <v>238</v>
      </c>
      <c r="G129" s="12" t="s">
        <v>239</v>
      </c>
      <c r="H129" s="12" t="s">
        <v>231</v>
      </c>
      <c r="I129" s="12" t="s">
        <v>172</v>
      </c>
      <c r="J129" s="12" t="s">
        <v>371</v>
      </c>
      <c r="K129" s="12" t="s">
        <v>274</v>
      </c>
      <c r="L129" s="12" t="s">
        <v>175</v>
      </c>
      <c r="M129" s="12" t="s">
        <v>172</v>
      </c>
      <c r="N129" s="34">
        <v>1</v>
      </c>
      <c r="O129" s="34">
        <v>0</v>
      </c>
      <c r="P129" s="34">
        <v>0</v>
      </c>
      <c r="Q129" s="34">
        <v>0</v>
      </c>
      <c r="R129" s="35">
        <v>0</v>
      </c>
      <c r="S129" s="34">
        <v>0</v>
      </c>
      <c r="T129" s="34">
        <v>0</v>
      </c>
      <c r="U129" s="36">
        <v>1</v>
      </c>
      <c r="AA129" s="37">
        <f t="shared" si="18"/>
        <v>1</v>
      </c>
      <c r="AB129" s="37">
        <f t="shared" si="19"/>
        <v>0</v>
      </c>
      <c r="AC129" s="37">
        <f t="shared" si="20"/>
        <v>0</v>
      </c>
      <c r="AD129" s="37">
        <f t="shared" si="21"/>
        <v>0</v>
      </c>
      <c r="AE129" s="20">
        <f t="shared" si="22"/>
        <v>0</v>
      </c>
      <c r="AF129" s="37">
        <f t="shared" si="23"/>
        <v>0</v>
      </c>
      <c r="AG129" s="17" t="s">
        <v>70</v>
      </c>
      <c r="AH129" s="32" t="s">
        <v>196</v>
      </c>
    </row>
    <row r="130" spans="1:34" ht="14.25" hidden="1" customHeight="1">
      <c r="A130" s="33">
        <v>126</v>
      </c>
      <c r="B130" s="12">
        <v>13884</v>
      </c>
      <c r="C130" s="12" t="s">
        <v>502</v>
      </c>
      <c r="D130" s="12" t="s">
        <v>503</v>
      </c>
      <c r="E130" s="12" t="s">
        <v>243</v>
      </c>
      <c r="F130" s="12" t="s">
        <v>238</v>
      </c>
      <c r="G130" s="12" t="s">
        <v>244</v>
      </c>
      <c r="H130" s="12" t="s">
        <v>171</v>
      </c>
      <c r="I130" s="12" t="s">
        <v>172</v>
      </c>
      <c r="J130" s="12" t="s">
        <v>173</v>
      </c>
      <c r="K130" s="12" t="s">
        <v>274</v>
      </c>
      <c r="L130" s="12"/>
      <c r="M130" s="12" t="s">
        <v>172</v>
      </c>
      <c r="N130" s="34">
        <v>0.4</v>
      </c>
      <c r="O130" s="34">
        <v>0.3</v>
      </c>
      <c r="P130" s="34">
        <v>0</v>
      </c>
      <c r="Q130" s="34">
        <v>4.2762500000000001</v>
      </c>
      <c r="R130" s="35">
        <v>0.90909090909090895</v>
      </c>
      <c r="S130" s="34">
        <v>2.1381250000000001</v>
      </c>
      <c r="T130" s="34">
        <v>2.1381250000000001</v>
      </c>
      <c r="U130" s="36">
        <v>1</v>
      </c>
      <c r="AA130" s="37">
        <f t="shared" si="18"/>
        <v>0.4</v>
      </c>
      <c r="AB130" s="37">
        <f t="shared" si="19"/>
        <v>0.3</v>
      </c>
      <c r="AC130" s="37">
        <f t="shared" si="20"/>
        <v>0</v>
      </c>
      <c r="AD130" s="37">
        <f t="shared" si="21"/>
        <v>4.2762500000000001</v>
      </c>
      <c r="AE130" s="20">
        <f t="shared" si="22"/>
        <v>0.90909090909090895</v>
      </c>
      <c r="AF130" s="37">
        <f t="shared" si="23"/>
        <v>3.8874999999999993</v>
      </c>
      <c r="AG130" s="17" t="s">
        <v>72</v>
      </c>
      <c r="AH130" s="32" t="s">
        <v>232</v>
      </c>
    </row>
    <row r="131" spans="1:34" ht="14.25" hidden="1" customHeight="1">
      <c r="A131" s="33">
        <v>127</v>
      </c>
      <c r="B131" s="12">
        <v>13888</v>
      </c>
      <c r="C131" s="12" t="s">
        <v>504</v>
      </c>
      <c r="D131" s="12" t="s">
        <v>505</v>
      </c>
      <c r="E131" s="12" t="s">
        <v>288</v>
      </c>
      <c r="F131" s="12" t="s">
        <v>289</v>
      </c>
      <c r="G131" s="12" t="s">
        <v>312</v>
      </c>
      <c r="H131" s="12" t="s">
        <v>231</v>
      </c>
      <c r="I131" s="12" t="s">
        <v>172</v>
      </c>
      <c r="J131" s="12" t="s">
        <v>173</v>
      </c>
      <c r="K131" s="12" t="s">
        <v>473</v>
      </c>
      <c r="L131" s="12"/>
      <c r="M131" s="12" t="s">
        <v>172</v>
      </c>
      <c r="N131" s="34">
        <v>2.9474999999999998</v>
      </c>
      <c r="O131" s="34">
        <v>0.5</v>
      </c>
      <c r="P131" s="34">
        <v>1</v>
      </c>
      <c r="Q131" s="34">
        <v>4.4474999999999998</v>
      </c>
      <c r="R131" s="35">
        <v>0.24077196927112601</v>
      </c>
      <c r="S131" s="34">
        <v>2.2237499999999999</v>
      </c>
      <c r="T131" s="34">
        <v>2.2237499999999999</v>
      </c>
      <c r="U131" s="36">
        <v>1</v>
      </c>
      <c r="AA131" s="37">
        <f t="shared" si="18"/>
        <v>2.9474999999999998</v>
      </c>
      <c r="AB131" s="37">
        <f t="shared" si="19"/>
        <v>0.5</v>
      </c>
      <c r="AC131" s="37">
        <f t="shared" si="20"/>
        <v>1</v>
      </c>
      <c r="AD131" s="37">
        <f t="shared" si="21"/>
        <v>4.4474999999999998</v>
      </c>
      <c r="AE131" s="20">
        <f t="shared" si="22"/>
        <v>0.24077196927112601</v>
      </c>
      <c r="AF131" s="37">
        <f t="shared" si="23"/>
        <v>1.0708333333333329</v>
      </c>
      <c r="AG131" s="17" t="s">
        <v>72</v>
      </c>
      <c r="AH131" s="32" t="s">
        <v>196</v>
      </c>
    </row>
    <row r="132" spans="1:34" ht="14.25" hidden="1" customHeight="1">
      <c r="A132" s="33">
        <v>128</v>
      </c>
      <c r="B132" s="12">
        <v>13971</v>
      </c>
      <c r="C132" s="12" t="s">
        <v>506</v>
      </c>
      <c r="D132" s="12" t="s">
        <v>507</v>
      </c>
      <c r="E132" s="12" t="s">
        <v>258</v>
      </c>
      <c r="F132" s="12" t="s">
        <v>238</v>
      </c>
      <c r="G132" s="12" t="s">
        <v>259</v>
      </c>
      <c r="H132" s="12" t="s">
        <v>171</v>
      </c>
      <c r="I132" s="12" t="s">
        <v>172</v>
      </c>
      <c r="J132" s="12" t="s">
        <v>173</v>
      </c>
      <c r="K132" s="12" t="s">
        <v>245</v>
      </c>
      <c r="L132" s="12"/>
      <c r="M132" s="12" t="s">
        <v>172</v>
      </c>
      <c r="N132" s="34">
        <v>0.95416666666666705</v>
      </c>
      <c r="O132" s="34">
        <v>0.55000000000000004</v>
      </c>
      <c r="P132" s="34">
        <v>0</v>
      </c>
      <c r="Q132" s="34">
        <v>1.50416666666667</v>
      </c>
      <c r="R132" s="35">
        <v>0.29362880886426601</v>
      </c>
      <c r="S132" s="34">
        <v>0.75208333333333299</v>
      </c>
      <c r="T132" s="34">
        <v>0.75208333333333299</v>
      </c>
      <c r="U132" s="36">
        <v>1</v>
      </c>
      <c r="AA132" s="37">
        <f t="shared" si="18"/>
        <v>0.95416666666666705</v>
      </c>
      <c r="AB132" s="37">
        <f t="shared" si="19"/>
        <v>0.55000000000000004</v>
      </c>
      <c r="AC132" s="37">
        <f t="shared" si="20"/>
        <v>0</v>
      </c>
      <c r="AD132" s="37">
        <f t="shared" si="21"/>
        <v>1.50416666666667</v>
      </c>
      <c r="AE132" s="20">
        <f t="shared" si="22"/>
        <v>0.29362880886426601</v>
      </c>
      <c r="AF132" s="37">
        <f t="shared" si="23"/>
        <v>0.44166666666666776</v>
      </c>
      <c r="AG132" s="17" t="s">
        <v>72</v>
      </c>
      <c r="AH132" s="32" t="s">
        <v>191</v>
      </c>
    </row>
    <row r="133" spans="1:34" ht="14.25" hidden="1" customHeight="1">
      <c r="A133" s="33">
        <v>129</v>
      </c>
      <c r="B133" s="12">
        <v>13982</v>
      </c>
      <c r="C133" s="12" t="s">
        <v>508</v>
      </c>
      <c r="D133" s="12" t="s">
        <v>509</v>
      </c>
      <c r="E133" s="12" t="s">
        <v>237</v>
      </c>
      <c r="F133" s="12" t="s">
        <v>238</v>
      </c>
      <c r="G133" s="12" t="s">
        <v>239</v>
      </c>
      <c r="H133" s="12" t="s">
        <v>171</v>
      </c>
      <c r="I133" s="12" t="s">
        <v>172</v>
      </c>
      <c r="J133" s="12" t="s">
        <v>173</v>
      </c>
      <c r="K133" s="12" t="s">
        <v>274</v>
      </c>
      <c r="L133" s="12"/>
      <c r="M133" s="12" t="s">
        <v>172</v>
      </c>
      <c r="N133" s="34">
        <v>0.86916666666666698</v>
      </c>
      <c r="O133" s="34">
        <v>3.3333333333333298E-2</v>
      </c>
      <c r="P133" s="34">
        <v>0</v>
      </c>
      <c r="Q133" s="34">
        <v>0.90249999999999997</v>
      </c>
      <c r="R133" s="35">
        <v>1</v>
      </c>
      <c r="S133" s="34">
        <v>0.45124999999999998</v>
      </c>
      <c r="T133" s="34">
        <v>0.45124999999999998</v>
      </c>
      <c r="U133" s="36">
        <v>1</v>
      </c>
      <c r="AA133" s="37">
        <f t="shared" ref="AA133:AA146" si="24">N133</f>
        <v>0.86916666666666698</v>
      </c>
      <c r="AB133" s="37">
        <f t="shared" ref="AB133:AB146" si="25">O133</f>
        <v>3.3333333333333298E-2</v>
      </c>
      <c r="AC133" s="37">
        <f t="shared" ref="AC133:AC146" si="26">P133</f>
        <v>0</v>
      </c>
      <c r="AD133" s="37">
        <f t="shared" ref="AD133:AD146" si="27">Q133</f>
        <v>0.90249999999999997</v>
      </c>
      <c r="AE133" s="20">
        <f t="shared" ref="AE133:AE146" si="28">R133</f>
        <v>1</v>
      </c>
      <c r="AF133" s="37">
        <f t="shared" ref="AF133:AF146" si="29">Q133*R133</f>
        <v>0.90249999999999997</v>
      </c>
      <c r="AG133" s="17" t="s">
        <v>72</v>
      </c>
      <c r="AH133" s="32" t="s">
        <v>232</v>
      </c>
    </row>
    <row r="134" spans="1:34" ht="14.25" hidden="1" customHeight="1">
      <c r="A134" s="33">
        <v>130</v>
      </c>
      <c r="B134" s="12">
        <v>14049</v>
      </c>
      <c r="C134" s="12" t="s">
        <v>510</v>
      </c>
      <c r="D134" s="12" t="s">
        <v>511</v>
      </c>
      <c r="E134" s="12" t="s">
        <v>298</v>
      </c>
      <c r="F134" s="12" t="s">
        <v>289</v>
      </c>
      <c r="G134" s="12" t="s">
        <v>299</v>
      </c>
      <c r="H134" s="12" t="s">
        <v>231</v>
      </c>
      <c r="I134" s="12" t="s">
        <v>172</v>
      </c>
      <c r="J134" s="12" t="s">
        <v>173</v>
      </c>
      <c r="K134" s="12" t="s">
        <v>512</v>
      </c>
      <c r="L134" s="12" t="s">
        <v>277</v>
      </c>
      <c r="M134" s="12" t="s">
        <v>181</v>
      </c>
      <c r="N134" s="34">
        <v>0</v>
      </c>
      <c r="O134" s="34">
        <v>0</v>
      </c>
      <c r="P134" s="34">
        <v>0.125</v>
      </c>
      <c r="Q134" s="34">
        <v>0.125</v>
      </c>
      <c r="R134" s="35">
        <v>1</v>
      </c>
      <c r="S134" s="34">
        <v>6.25E-2</v>
      </c>
      <c r="T134" s="34">
        <v>6.25E-2</v>
      </c>
      <c r="U134" s="36">
        <v>1</v>
      </c>
      <c r="AA134" s="37">
        <f t="shared" si="24"/>
        <v>0</v>
      </c>
      <c r="AB134" s="37">
        <f t="shared" si="25"/>
        <v>0</v>
      </c>
      <c r="AC134" s="37">
        <f t="shared" si="26"/>
        <v>0.125</v>
      </c>
      <c r="AD134" s="37">
        <f t="shared" si="27"/>
        <v>0.125</v>
      </c>
      <c r="AE134" s="20">
        <f t="shared" si="28"/>
        <v>1</v>
      </c>
      <c r="AF134" s="37">
        <f t="shared" si="29"/>
        <v>0.125</v>
      </c>
      <c r="AG134" s="17" t="s">
        <v>74</v>
      </c>
      <c r="AH134" s="32" t="s">
        <v>191</v>
      </c>
    </row>
    <row r="135" spans="1:34" ht="14.25" hidden="1" customHeight="1">
      <c r="A135" s="33">
        <v>131</v>
      </c>
      <c r="B135" s="12">
        <v>14059</v>
      </c>
      <c r="C135" s="12" t="s">
        <v>513</v>
      </c>
      <c r="D135" s="12" t="s">
        <v>514</v>
      </c>
      <c r="E135" s="12" t="s">
        <v>179</v>
      </c>
      <c r="F135" s="12" t="s">
        <v>169</v>
      </c>
      <c r="G135" s="12" t="s">
        <v>180</v>
      </c>
      <c r="H135" s="12" t="s">
        <v>171</v>
      </c>
      <c r="I135" s="12" t="s">
        <v>172</v>
      </c>
      <c r="J135" s="12" t="s">
        <v>173</v>
      </c>
      <c r="K135" s="12" t="s">
        <v>274</v>
      </c>
      <c r="L135" s="12"/>
      <c r="M135" s="12" t="s">
        <v>172</v>
      </c>
      <c r="N135" s="34">
        <v>1.0166666666666699</v>
      </c>
      <c r="O135" s="34">
        <v>1.0416666666666701E-2</v>
      </c>
      <c r="P135" s="34">
        <v>0</v>
      </c>
      <c r="Q135" s="34">
        <v>1.02708333333333</v>
      </c>
      <c r="R135" s="35">
        <v>0.90263691683570002</v>
      </c>
      <c r="S135" s="34">
        <v>0.51354166666666701</v>
      </c>
      <c r="T135" s="34">
        <v>0.51354166666666701</v>
      </c>
      <c r="U135" s="36">
        <v>1</v>
      </c>
      <c r="AA135" s="37">
        <f t="shared" si="24"/>
        <v>1.0166666666666699</v>
      </c>
      <c r="AB135" s="37">
        <f t="shared" si="25"/>
        <v>1.0416666666666701E-2</v>
      </c>
      <c r="AC135" s="37">
        <f t="shared" si="26"/>
        <v>0</v>
      </c>
      <c r="AD135" s="37">
        <f t="shared" si="27"/>
        <v>1.02708333333333</v>
      </c>
      <c r="AE135" s="20">
        <f t="shared" si="28"/>
        <v>0.90263691683570002</v>
      </c>
      <c r="AF135" s="37">
        <f t="shared" si="29"/>
        <v>0.92708333333333059</v>
      </c>
      <c r="AG135" s="17" t="s">
        <v>72</v>
      </c>
      <c r="AH135" s="32" t="s">
        <v>191</v>
      </c>
    </row>
    <row r="136" spans="1:34" ht="14.25" hidden="1" customHeight="1">
      <c r="A136" s="33">
        <v>132</v>
      </c>
      <c r="B136" s="12">
        <v>14097</v>
      </c>
      <c r="C136" s="12" t="s">
        <v>515</v>
      </c>
      <c r="D136" s="12" t="s">
        <v>516</v>
      </c>
      <c r="E136" s="12" t="s">
        <v>298</v>
      </c>
      <c r="F136" s="12" t="s">
        <v>289</v>
      </c>
      <c r="G136" s="12" t="s">
        <v>299</v>
      </c>
      <c r="H136" s="12" t="s">
        <v>231</v>
      </c>
      <c r="I136" s="12" t="s">
        <v>172</v>
      </c>
      <c r="J136" s="12" t="s">
        <v>371</v>
      </c>
      <c r="K136" s="12" t="s">
        <v>517</v>
      </c>
      <c r="L136" s="12" t="s">
        <v>175</v>
      </c>
      <c r="M136" s="12" t="s">
        <v>181</v>
      </c>
      <c r="N136" s="34">
        <v>8.3333333333333301E-2</v>
      </c>
      <c r="O136" s="34">
        <v>0</v>
      </c>
      <c r="P136" s="34">
        <v>8.3333333333333301E-2</v>
      </c>
      <c r="Q136" s="34">
        <v>0.16666666666666699</v>
      </c>
      <c r="R136" s="35">
        <v>1</v>
      </c>
      <c r="S136" s="34">
        <v>8.3333333333333301E-2</v>
      </c>
      <c r="T136" s="34">
        <v>8.3333333333333301E-2</v>
      </c>
      <c r="U136" s="36">
        <v>1</v>
      </c>
      <c r="AA136" s="37">
        <f t="shared" si="24"/>
        <v>8.3333333333333301E-2</v>
      </c>
      <c r="AB136" s="37">
        <f t="shared" si="25"/>
        <v>0</v>
      </c>
      <c r="AC136" s="37">
        <f t="shared" si="26"/>
        <v>8.3333333333333301E-2</v>
      </c>
      <c r="AD136" s="37">
        <f t="shared" si="27"/>
        <v>0.16666666666666699</v>
      </c>
      <c r="AE136" s="20">
        <f t="shared" si="28"/>
        <v>1</v>
      </c>
      <c r="AF136" s="37">
        <f t="shared" si="29"/>
        <v>0.16666666666666699</v>
      </c>
      <c r="AG136" s="17" t="s">
        <v>74</v>
      </c>
      <c r="AH136" s="32" t="s">
        <v>191</v>
      </c>
    </row>
    <row r="137" spans="1:34" ht="14.25" hidden="1" customHeight="1">
      <c r="A137" s="33">
        <v>133</v>
      </c>
      <c r="B137" s="12">
        <v>14217</v>
      </c>
      <c r="C137" s="12" t="s">
        <v>518</v>
      </c>
      <c r="D137" s="12" t="s">
        <v>519</v>
      </c>
      <c r="E137" s="12" t="s">
        <v>298</v>
      </c>
      <c r="F137" s="12" t="s">
        <v>289</v>
      </c>
      <c r="G137" s="12" t="s">
        <v>326</v>
      </c>
      <c r="H137" s="12" t="s">
        <v>171</v>
      </c>
      <c r="I137" s="12" t="s">
        <v>172</v>
      </c>
      <c r="J137" s="12" t="s">
        <v>173</v>
      </c>
      <c r="K137" s="12" t="s">
        <v>245</v>
      </c>
      <c r="L137" s="12"/>
      <c r="M137" s="12" t="s">
        <v>172</v>
      </c>
      <c r="N137" s="34">
        <v>0.80833333333333302</v>
      </c>
      <c r="O137" s="34">
        <v>7.4999999999999997E-2</v>
      </c>
      <c r="P137" s="34">
        <v>0</v>
      </c>
      <c r="Q137" s="34">
        <v>0.88333333333333297</v>
      </c>
      <c r="R137" s="35">
        <v>0.48113207547169801</v>
      </c>
      <c r="S137" s="34">
        <v>0.44166666666666698</v>
      </c>
      <c r="T137" s="34">
        <v>0.44166666666666698</v>
      </c>
      <c r="U137" s="36">
        <v>1</v>
      </c>
      <c r="AA137" s="37">
        <f t="shared" si="24"/>
        <v>0.80833333333333302</v>
      </c>
      <c r="AB137" s="37">
        <f t="shared" si="25"/>
        <v>7.4999999999999997E-2</v>
      </c>
      <c r="AC137" s="37">
        <f t="shared" si="26"/>
        <v>0</v>
      </c>
      <c r="AD137" s="37">
        <f t="shared" si="27"/>
        <v>0.88333333333333297</v>
      </c>
      <c r="AE137" s="20">
        <f t="shared" si="28"/>
        <v>0.48113207547169801</v>
      </c>
      <c r="AF137" s="37">
        <f t="shared" si="29"/>
        <v>0.42499999999999971</v>
      </c>
      <c r="AG137" s="17" t="s">
        <v>72</v>
      </c>
      <c r="AH137" s="32" t="s">
        <v>232</v>
      </c>
    </row>
    <row r="138" spans="1:34" ht="14.25" hidden="1" customHeight="1">
      <c r="A138" s="33">
        <v>134</v>
      </c>
      <c r="B138" s="12">
        <v>14267</v>
      </c>
      <c r="C138" s="12" t="s">
        <v>520</v>
      </c>
      <c r="D138" s="12" t="s">
        <v>521</v>
      </c>
      <c r="E138" s="12" t="s">
        <v>237</v>
      </c>
      <c r="F138" s="12" t="s">
        <v>238</v>
      </c>
      <c r="G138" s="12" t="s">
        <v>239</v>
      </c>
      <c r="H138" s="12" t="s">
        <v>231</v>
      </c>
      <c r="I138" s="12" t="s">
        <v>172</v>
      </c>
      <c r="J138" s="12" t="s">
        <v>173</v>
      </c>
      <c r="K138" s="12" t="s">
        <v>274</v>
      </c>
      <c r="L138" s="12"/>
      <c r="M138" s="12" t="s">
        <v>172</v>
      </c>
      <c r="N138" s="34">
        <v>12.2566666666667</v>
      </c>
      <c r="O138" s="34">
        <v>0.5</v>
      </c>
      <c r="P138" s="34">
        <v>0</v>
      </c>
      <c r="Q138" s="34">
        <v>12.7566666666667</v>
      </c>
      <c r="R138" s="35">
        <v>0.88241442383067703</v>
      </c>
      <c r="S138" s="34">
        <v>6.3783333333333401</v>
      </c>
      <c r="T138" s="34">
        <v>6.3783333333333401</v>
      </c>
      <c r="U138" s="36">
        <v>1</v>
      </c>
      <c r="AA138" s="37">
        <f t="shared" si="24"/>
        <v>12.2566666666667</v>
      </c>
      <c r="AB138" s="37">
        <f t="shared" si="25"/>
        <v>0.5</v>
      </c>
      <c r="AC138" s="37">
        <f t="shared" si="26"/>
        <v>0</v>
      </c>
      <c r="AD138" s="37">
        <f t="shared" si="27"/>
        <v>12.7566666666667</v>
      </c>
      <c r="AE138" s="20">
        <f t="shared" si="28"/>
        <v>0.88241442383067703</v>
      </c>
      <c r="AF138" s="37">
        <f t="shared" si="29"/>
        <v>11.2566666666667</v>
      </c>
      <c r="AG138" s="17" t="s">
        <v>72</v>
      </c>
      <c r="AH138" s="32" t="s">
        <v>176</v>
      </c>
    </row>
    <row r="139" spans="1:34" ht="14.25" hidden="1" customHeight="1">
      <c r="A139" s="33">
        <v>135</v>
      </c>
      <c r="B139" s="12">
        <v>14285</v>
      </c>
      <c r="C139" s="12" t="s">
        <v>522</v>
      </c>
      <c r="D139" s="12" t="s">
        <v>523</v>
      </c>
      <c r="E139" s="12" t="s">
        <v>54</v>
      </c>
      <c r="F139" s="12" t="s">
        <v>169</v>
      </c>
      <c r="G139" s="12" t="s">
        <v>170</v>
      </c>
      <c r="H139" s="12" t="s">
        <v>171</v>
      </c>
      <c r="I139" s="12" t="s">
        <v>172</v>
      </c>
      <c r="J139" s="12" t="s">
        <v>173</v>
      </c>
      <c r="K139" s="12" t="s">
        <v>524</v>
      </c>
      <c r="L139" s="12" t="s">
        <v>277</v>
      </c>
      <c r="M139" s="12" t="s">
        <v>172</v>
      </c>
      <c r="N139" s="34">
        <v>14.975</v>
      </c>
      <c r="O139" s="34">
        <v>1.3416666666666699</v>
      </c>
      <c r="P139" s="34">
        <v>0</v>
      </c>
      <c r="Q139" s="34">
        <v>16.316666666666698</v>
      </c>
      <c r="R139" s="35">
        <v>0.98774259448416801</v>
      </c>
      <c r="S139" s="34">
        <v>8.1583333333333403</v>
      </c>
      <c r="T139" s="34">
        <v>8.1583333333333403</v>
      </c>
      <c r="U139" s="36">
        <v>1</v>
      </c>
      <c r="AA139" s="37">
        <f t="shared" si="24"/>
        <v>14.975</v>
      </c>
      <c r="AB139" s="37">
        <f t="shared" si="25"/>
        <v>1.3416666666666699</v>
      </c>
      <c r="AC139" s="37">
        <f t="shared" si="26"/>
        <v>0</v>
      </c>
      <c r="AD139" s="37">
        <f t="shared" si="27"/>
        <v>16.316666666666698</v>
      </c>
      <c r="AE139" s="20">
        <f t="shared" si="28"/>
        <v>0.98774259448416801</v>
      </c>
      <c r="AF139" s="37">
        <f t="shared" si="29"/>
        <v>16.116666666666706</v>
      </c>
      <c r="AG139" s="17" t="s">
        <v>72</v>
      </c>
      <c r="AH139" s="32" t="s">
        <v>186</v>
      </c>
    </row>
    <row r="140" spans="1:34" ht="14.25" hidden="1" customHeight="1">
      <c r="A140" s="33">
        <v>136</v>
      </c>
      <c r="B140" s="12">
        <v>14322</v>
      </c>
      <c r="C140" s="12" t="s">
        <v>525</v>
      </c>
      <c r="D140" s="12" t="s">
        <v>526</v>
      </c>
      <c r="E140" s="12" t="s">
        <v>248</v>
      </c>
      <c r="F140" s="12" t="s">
        <v>238</v>
      </c>
      <c r="G140" s="12" t="s">
        <v>249</v>
      </c>
      <c r="H140" s="12" t="s">
        <v>171</v>
      </c>
      <c r="I140" s="12" t="s">
        <v>172</v>
      </c>
      <c r="J140" s="12" t="s">
        <v>371</v>
      </c>
      <c r="K140" s="12" t="s">
        <v>274</v>
      </c>
      <c r="L140" s="12" t="s">
        <v>175</v>
      </c>
      <c r="M140" s="12" t="s">
        <v>172</v>
      </c>
      <c r="N140" s="34">
        <v>11.491666666666699</v>
      </c>
      <c r="O140" s="34">
        <v>0.70833333333333304</v>
      </c>
      <c r="P140" s="34">
        <v>4.5</v>
      </c>
      <c r="Q140" s="34">
        <v>16.7</v>
      </c>
      <c r="R140" s="35">
        <v>0.98702594810379296</v>
      </c>
      <c r="S140" s="34">
        <v>8.35</v>
      </c>
      <c r="T140" s="34">
        <v>8.35</v>
      </c>
      <c r="U140" s="36">
        <v>1</v>
      </c>
      <c r="AA140" s="37">
        <f t="shared" si="24"/>
        <v>11.491666666666699</v>
      </c>
      <c r="AB140" s="37">
        <f t="shared" si="25"/>
        <v>0.70833333333333304</v>
      </c>
      <c r="AC140" s="37">
        <f t="shared" si="26"/>
        <v>4.5</v>
      </c>
      <c r="AD140" s="37">
        <f t="shared" si="27"/>
        <v>16.7</v>
      </c>
      <c r="AE140" s="20">
        <f t="shared" si="28"/>
        <v>0.98702594810379296</v>
      </c>
      <c r="AF140" s="37">
        <f t="shared" si="29"/>
        <v>16.483333333333341</v>
      </c>
      <c r="AG140" s="17" t="s">
        <v>70</v>
      </c>
      <c r="AH140" s="32" t="s">
        <v>176</v>
      </c>
    </row>
    <row r="141" spans="1:34" ht="14.25" customHeight="1">
      <c r="A141" s="33">
        <v>137</v>
      </c>
      <c r="B141" s="12">
        <v>14376</v>
      </c>
      <c r="C141" s="12" t="s">
        <v>527</v>
      </c>
      <c r="D141" s="12" t="s">
        <v>528</v>
      </c>
      <c r="E141" s="12" t="s">
        <v>262</v>
      </c>
      <c r="F141" s="12" t="s">
        <v>169</v>
      </c>
      <c r="G141" s="12" t="s">
        <v>263</v>
      </c>
      <c r="H141" s="12" t="s">
        <v>171</v>
      </c>
      <c r="I141" s="12" t="s">
        <v>172</v>
      </c>
      <c r="J141" s="12" t="s">
        <v>173</v>
      </c>
      <c r="K141" s="12" t="s">
        <v>245</v>
      </c>
      <c r="L141" s="12"/>
      <c r="M141" s="12" t="s">
        <v>172</v>
      </c>
      <c r="N141" s="34">
        <v>0.27479166666666699</v>
      </c>
      <c r="O141" s="34">
        <v>0</v>
      </c>
      <c r="P141" s="34">
        <v>0</v>
      </c>
      <c r="Q141" s="34">
        <v>0.27479166666666699</v>
      </c>
      <c r="R141" s="35">
        <v>0.77255496588324502</v>
      </c>
      <c r="S141" s="34">
        <v>0.137395833333333</v>
      </c>
      <c r="T141" s="34">
        <v>0.137395833333333</v>
      </c>
      <c r="U141" s="36">
        <v>1</v>
      </c>
      <c r="AA141" s="37">
        <f t="shared" si="24"/>
        <v>0.27479166666666699</v>
      </c>
      <c r="AB141" s="37">
        <f t="shared" si="25"/>
        <v>0</v>
      </c>
      <c r="AC141" s="37">
        <f t="shared" si="26"/>
        <v>0</v>
      </c>
      <c r="AD141" s="37">
        <f t="shared" si="27"/>
        <v>0.27479166666666699</v>
      </c>
      <c r="AE141" s="20">
        <f t="shared" si="28"/>
        <v>0.77255496588324502</v>
      </c>
      <c r="AF141" s="37">
        <f t="shared" si="29"/>
        <v>0.21229166666666696</v>
      </c>
      <c r="AG141" s="17" t="s">
        <v>72</v>
      </c>
      <c r="AH141" s="32" t="s">
        <v>232</v>
      </c>
    </row>
    <row r="142" spans="1:34" ht="14.25" customHeight="1">
      <c r="A142" s="33">
        <v>138</v>
      </c>
      <c r="B142" s="12">
        <v>14377</v>
      </c>
      <c r="C142" s="12" t="s">
        <v>529</v>
      </c>
      <c r="D142" s="12" t="s">
        <v>530</v>
      </c>
      <c r="E142" s="12" t="s">
        <v>262</v>
      </c>
      <c r="F142" s="12" t="s">
        <v>169</v>
      </c>
      <c r="G142" s="12" t="s">
        <v>263</v>
      </c>
      <c r="H142" s="12" t="s">
        <v>171</v>
      </c>
      <c r="I142" s="12" t="s">
        <v>172</v>
      </c>
      <c r="J142" s="12" t="s">
        <v>173</v>
      </c>
      <c r="K142" s="12" t="s">
        <v>245</v>
      </c>
      <c r="L142" s="12"/>
      <c r="M142" s="12" t="s">
        <v>172</v>
      </c>
      <c r="N142" s="34">
        <v>0.59708333333333297</v>
      </c>
      <c r="O142" s="34">
        <v>0.12916666666666701</v>
      </c>
      <c r="P142" s="34">
        <v>0</v>
      </c>
      <c r="Q142" s="34">
        <v>0.72624999999999995</v>
      </c>
      <c r="R142" s="35">
        <v>0.97991967871485997</v>
      </c>
      <c r="S142" s="34">
        <v>0.36312499999999998</v>
      </c>
      <c r="T142" s="34">
        <v>0.36312499999999998</v>
      </c>
      <c r="U142" s="36">
        <v>1</v>
      </c>
      <c r="AA142" s="37">
        <f t="shared" si="24"/>
        <v>0.59708333333333297</v>
      </c>
      <c r="AB142" s="37">
        <f t="shared" si="25"/>
        <v>0.12916666666666701</v>
      </c>
      <c r="AC142" s="37">
        <f t="shared" si="26"/>
        <v>0</v>
      </c>
      <c r="AD142" s="37">
        <f t="shared" si="27"/>
        <v>0.72624999999999995</v>
      </c>
      <c r="AE142" s="20">
        <f t="shared" si="28"/>
        <v>0.97991967871485997</v>
      </c>
      <c r="AF142" s="37">
        <f t="shared" si="29"/>
        <v>0.711666666666667</v>
      </c>
      <c r="AG142" s="17" t="s">
        <v>72</v>
      </c>
      <c r="AH142" s="32" t="s">
        <v>186</v>
      </c>
    </row>
    <row r="143" spans="1:34" ht="14.25" hidden="1" customHeight="1">
      <c r="A143" s="33">
        <v>139</v>
      </c>
      <c r="B143" s="12">
        <v>14423</v>
      </c>
      <c r="C143" s="12" t="s">
        <v>531</v>
      </c>
      <c r="D143" s="12" t="s">
        <v>532</v>
      </c>
      <c r="E143" s="12" t="s">
        <v>248</v>
      </c>
      <c r="F143" s="12" t="s">
        <v>238</v>
      </c>
      <c r="G143" s="12" t="s">
        <v>249</v>
      </c>
      <c r="H143" s="12" t="s">
        <v>171</v>
      </c>
      <c r="I143" s="12" t="s">
        <v>181</v>
      </c>
      <c r="J143" s="12" t="s">
        <v>173</v>
      </c>
      <c r="K143" s="12" t="s">
        <v>245</v>
      </c>
      <c r="L143" s="12"/>
      <c r="M143" s="12" t="s">
        <v>172</v>
      </c>
      <c r="N143" s="34">
        <v>2.1225000000000001</v>
      </c>
      <c r="O143" s="34">
        <v>0</v>
      </c>
      <c r="P143" s="34">
        <v>0</v>
      </c>
      <c r="Q143" s="34">
        <v>2.1225000000000001</v>
      </c>
      <c r="R143" s="35">
        <v>0.75068708284256003</v>
      </c>
      <c r="S143" s="34">
        <v>1.06125</v>
      </c>
      <c r="T143" s="34">
        <v>1.06125</v>
      </c>
      <c r="U143" s="36">
        <v>1</v>
      </c>
      <c r="AA143" s="37">
        <f t="shared" si="24"/>
        <v>2.1225000000000001</v>
      </c>
      <c r="AB143" s="37">
        <f t="shared" si="25"/>
        <v>0</v>
      </c>
      <c r="AC143" s="37">
        <f t="shared" si="26"/>
        <v>0</v>
      </c>
      <c r="AD143" s="37">
        <f t="shared" si="27"/>
        <v>2.1225000000000001</v>
      </c>
      <c r="AE143" s="20">
        <f t="shared" si="28"/>
        <v>0.75068708284256003</v>
      </c>
      <c r="AF143" s="37">
        <f t="shared" si="29"/>
        <v>1.5933333333333337</v>
      </c>
      <c r="AG143" s="17" t="s">
        <v>72</v>
      </c>
      <c r="AH143" s="32" t="s">
        <v>186</v>
      </c>
    </row>
    <row r="144" spans="1:34" ht="14.25" hidden="1" customHeight="1">
      <c r="A144" s="33">
        <v>140</v>
      </c>
      <c r="B144" s="12">
        <v>14595</v>
      </c>
      <c r="C144" s="12" t="s">
        <v>533</v>
      </c>
      <c r="D144" s="12" t="s">
        <v>534</v>
      </c>
      <c r="E144" s="12" t="s">
        <v>298</v>
      </c>
      <c r="F144" s="12" t="s">
        <v>289</v>
      </c>
      <c r="G144" s="12"/>
      <c r="H144" s="12" t="s">
        <v>171</v>
      </c>
      <c r="I144" s="12" t="s">
        <v>172</v>
      </c>
      <c r="J144" s="12" t="s">
        <v>173</v>
      </c>
      <c r="K144" s="12" t="s">
        <v>484</v>
      </c>
      <c r="L144" s="12" t="s">
        <v>277</v>
      </c>
      <c r="M144" s="12" t="s">
        <v>181</v>
      </c>
      <c r="N144" s="34">
        <v>60</v>
      </c>
      <c r="O144" s="34">
        <v>25</v>
      </c>
      <c r="P144" s="34">
        <v>25</v>
      </c>
      <c r="Q144" s="34">
        <v>110</v>
      </c>
      <c r="R144" s="35">
        <v>0.99242965891407697</v>
      </c>
      <c r="S144" s="34">
        <v>55</v>
      </c>
      <c r="T144" s="34">
        <v>55</v>
      </c>
      <c r="U144" s="36">
        <v>1</v>
      </c>
      <c r="AA144" s="37">
        <f t="shared" si="24"/>
        <v>60</v>
      </c>
      <c r="AB144" s="37">
        <f t="shared" si="25"/>
        <v>25</v>
      </c>
      <c r="AC144" s="37">
        <f t="shared" si="26"/>
        <v>25</v>
      </c>
      <c r="AD144" s="37">
        <f t="shared" si="27"/>
        <v>110</v>
      </c>
      <c r="AE144" s="20">
        <f t="shared" si="28"/>
        <v>0.99242965891407697</v>
      </c>
      <c r="AF144" s="37">
        <f t="shared" si="29"/>
        <v>109.16726248054847</v>
      </c>
      <c r="AG144" s="17" t="s">
        <v>74</v>
      </c>
      <c r="AH144" s="32" t="s">
        <v>186</v>
      </c>
    </row>
    <row r="145" spans="1:34" ht="14.25" hidden="1" customHeight="1">
      <c r="A145" s="33">
        <v>141</v>
      </c>
      <c r="B145" s="12">
        <v>14701</v>
      </c>
      <c r="C145" s="12" t="s">
        <v>535</v>
      </c>
      <c r="D145" s="12" t="s">
        <v>536</v>
      </c>
      <c r="E145" s="12" t="s">
        <v>54</v>
      </c>
      <c r="F145" s="12" t="s">
        <v>169</v>
      </c>
      <c r="G145" s="12" t="s">
        <v>170</v>
      </c>
      <c r="H145" s="12" t="s">
        <v>231</v>
      </c>
      <c r="I145" s="12" t="s">
        <v>172</v>
      </c>
      <c r="J145" s="12" t="s">
        <v>173</v>
      </c>
      <c r="K145" s="12" t="s">
        <v>274</v>
      </c>
      <c r="L145" s="12" t="s">
        <v>277</v>
      </c>
      <c r="M145" s="12" t="s">
        <v>172</v>
      </c>
      <c r="N145" s="34">
        <v>0</v>
      </c>
      <c r="O145" s="34">
        <v>0</v>
      </c>
      <c r="P145" s="34">
        <v>0</v>
      </c>
      <c r="Q145" s="34">
        <v>0</v>
      </c>
      <c r="R145" s="35">
        <v>0</v>
      </c>
      <c r="S145" s="34">
        <v>0</v>
      </c>
      <c r="T145" s="34">
        <v>0</v>
      </c>
      <c r="U145" s="36">
        <v>1</v>
      </c>
      <c r="AA145" s="37">
        <f t="shared" si="24"/>
        <v>0</v>
      </c>
      <c r="AB145" s="37">
        <f t="shared" si="25"/>
        <v>0</v>
      </c>
      <c r="AC145" s="37">
        <f t="shared" si="26"/>
        <v>0</v>
      </c>
      <c r="AD145" s="37">
        <f t="shared" si="27"/>
        <v>0</v>
      </c>
      <c r="AE145" s="20">
        <f t="shared" si="28"/>
        <v>0</v>
      </c>
      <c r="AF145" s="37">
        <f t="shared" si="29"/>
        <v>0</v>
      </c>
      <c r="AG145" s="17" t="s">
        <v>72</v>
      </c>
      <c r="AH145" s="32" t="s">
        <v>196</v>
      </c>
    </row>
    <row r="146" spans="1:34" ht="14.25" customHeight="1">
      <c r="A146" s="33">
        <v>142</v>
      </c>
      <c r="B146" s="12">
        <v>14930</v>
      </c>
      <c r="C146" s="12" t="s">
        <v>537</v>
      </c>
      <c r="D146" s="12" t="s">
        <v>538</v>
      </c>
      <c r="E146" s="12" t="s">
        <v>262</v>
      </c>
      <c r="F146" s="12" t="s">
        <v>169</v>
      </c>
      <c r="G146" s="12" t="s">
        <v>263</v>
      </c>
      <c r="H146" s="12" t="s">
        <v>171</v>
      </c>
      <c r="I146" s="12" t="s">
        <v>172</v>
      </c>
      <c r="J146" s="12" t="s">
        <v>173</v>
      </c>
      <c r="K146" s="12" t="s">
        <v>274</v>
      </c>
      <c r="L146" s="12" t="s">
        <v>277</v>
      </c>
      <c r="M146" s="12" t="s">
        <v>172</v>
      </c>
      <c r="N146" s="34">
        <v>1.5</v>
      </c>
      <c r="O146" s="34">
        <v>0.5</v>
      </c>
      <c r="P146" s="34">
        <v>0</v>
      </c>
      <c r="Q146" s="34">
        <v>2</v>
      </c>
      <c r="R146" s="35">
        <v>1</v>
      </c>
      <c r="S146" s="34">
        <v>1</v>
      </c>
      <c r="T146" s="34">
        <v>1</v>
      </c>
      <c r="U146" s="36">
        <v>1</v>
      </c>
      <c r="AA146" s="37">
        <f t="shared" si="24"/>
        <v>1.5</v>
      </c>
      <c r="AB146" s="37">
        <f t="shared" si="25"/>
        <v>0.5</v>
      </c>
      <c r="AC146" s="37">
        <f t="shared" si="26"/>
        <v>0</v>
      </c>
      <c r="AD146" s="37">
        <f t="shared" si="27"/>
        <v>2</v>
      </c>
      <c r="AE146" s="20">
        <f t="shared" si="28"/>
        <v>1</v>
      </c>
      <c r="AF146" s="37">
        <f t="shared" si="29"/>
        <v>2</v>
      </c>
      <c r="AG146" s="17" t="s">
        <v>72</v>
      </c>
      <c r="AH146" s="32" t="s">
        <v>176</v>
      </c>
    </row>
    <row r="148" spans="1:34" ht="14.25" customHeight="1">
      <c r="C148" s="11" t="s">
        <v>539</v>
      </c>
    </row>
  </sheetData>
  <autoFilter ref="A4:U146" xr:uid="{00000000-0009-0000-0000-000002000000}">
    <filterColumn colId="4">
      <filters>
        <filter val="corporate related"/>
      </filters>
    </filterColumn>
  </autoFilter>
  <mergeCells count="2">
    <mergeCell ref="A1:AG1"/>
    <mergeCell ref="A2:A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zoomScaleNormal="100" workbookViewId="0">
      <selection activeCell="C5" sqref="C5"/>
    </sheetView>
  </sheetViews>
  <sheetFormatPr defaultColWidth="8.6328125" defaultRowHeight="14.5"/>
  <cols>
    <col min="1" max="1" width="2" customWidth="1"/>
    <col min="2" max="2" width="8" customWidth="1"/>
    <col min="3" max="3" width="46" customWidth="1"/>
    <col min="4" max="4" width="9" customWidth="1"/>
    <col min="5" max="11" width="11" customWidth="1"/>
  </cols>
  <sheetData>
    <row r="1" spans="1:11" ht="25.5" customHeight="1">
      <c r="A1" s="5" t="s">
        <v>540</v>
      </c>
      <c r="B1" s="5"/>
      <c r="C1" s="5"/>
      <c r="D1" s="5"/>
      <c r="E1" s="5"/>
      <c r="F1" s="5"/>
      <c r="G1" s="5"/>
      <c r="H1" s="5"/>
      <c r="I1" s="5"/>
      <c r="J1" s="5"/>
    </row>
    <row r="2" spans="1:11" ht="14.25" customHeight="1">
      <c r="A2" s="4" t="s">
        <v>541</v>
      </c>
      <c r="B2" s="4"/>
      <c r="C2" s="4"/>
      <c r="D2" s="4"/>
      <c r="E2" s="4"/>
      <c r="F2" s="4"/>
      <c r="G2" s="4"/>
      <c r="H2" s="4"/>
      <c r="I2" s="4"/>
      <c r="J2" s="4"/>
    </row>
    <row r="4" spans="1:11" ht="27.75" customHeight="1">
      <c r="B4" s="16" t="s">
        <v>542</v>
      </c>
      <c r="C4" s="16" t="s">
        <v>167</v>
      </c>
      <c r="D4" s="16" t="s">
        <v>67</v>
      </c>
      <c r="E4" s="16" t="s">
        <v>68</v>
      </c>
      <c r="F4" s="16" t="s">
        <v>166</v>
      </c>
      <c r="G4" s="16" t="s">
        <v>62</v>
      </c>
      <c r="H4" s="16" t="s">
        <v>165</v>
      </c>
      <c r="I4" s="16" t="s">
        <v>543</v>
      </c>
      <c r="J4" s="16" t="s">
        <v>544</v>
      </c>
      <c r="K4" s="16" t="s">
        <v>545</v>
      </c>
    </row>
    <row r="5" spans="1:11" ht="14.25" customHeight="1">
      <c r="B5" s="17" t="s">
        <v>176</v>
      </c>
      <c r="C5" s="12" t="s">
        <v>546</v>
      </c>
      <c r="D5" s="18">
        <f>SUMIFS(Inventory!$U:$U,Inventory!$E:$E,"fee management",Inventory!$AH:$AH,$B5)</f>
        <v>2</v>
      </c>
      <c r="E5" s="19">
        <f>SUMIFS(Inventory!$AD:$AD,Inventory!$E:$E,"fee management",Inventory!$AH:$AH,$B5)</f>
        <v>29.235291666666701</v>
      </c>
      <c r="F5" s="19">
        <f>SUMIFS(Inventory!$AF:$AF,Inventory!$E:$E,"fee management",Inventory!$AH:$AH,$B5)</f>
        <v>24.29362500000002</v>
      </c>
      <c r="G5" s="37">
        <f>E5-F5</f>
        <v>4.9416666666666806</v>
      </c>
      <c r="H5" s="20">
        <f>IF(E5=0,0,F5/E5)</f>
        <v>0.830969134051738</v>
      </c>
      <c r="I5" s="18">
        <f>SUMIFS('Pod Plan'!$E:$E,'Pod Plan'!$B:$B,1,'Pod Plan'!$C:$C,$B5)</f>
        <v>3</v>
      </c>
      <c r="J5" s="18">
        <f>SUMIFS('Pod Plan'!$F:$F,'Pod Plan'!$B:$B,1,'Pod Plan'!$C:$C,$B5)</f>
        <v>2</v>
      </c>
      <c r="K5" s="36">
        <f>'Pod Plan'!H5</f>
        <v>26</v>
      </c>
    </row>
    <row r="6" spans="1:11" ht="14.25" customHeight="1">
      <c r="B6" s="17" t="s">
        <v>186</v>
      </c>
      <c r="C6" s="12" t="s">
        <v>547</v>
      </c>
      <c r="D6" s="18">
        <f>SUMIFS(Inventory!$U:$U,Inventory!$E:$E,"fee management",Inventory!$AH:$AH,$B6)</f>
        <v>1</v>
      </c>
      <c r="E6" s="19">
        <f>SUMIFS(Inventory!$AD:$AD,Inventory!$E:$E,"fee management",Inventory!$AH:$AH,$B6)</f>
        <v>16.316666666666698</v>
      </c>
      <c r="F6" s="19">
        <f>SUMIFS(Inventory!$AF:$AF,Inventory!$E:$E,"fee management",Inventory!$AH:$AH,$B6)</f>
        <v>16.116666666666706</v>
      </c>
      <c r="G6" s="37">
        <f>E6-F6</f>
        <v>0.19999999999999218</v>
      </c>
      <c r="H6" s="20">
        <f>IF(E6=0,0,F6/E6)</f>
        <v>0.98774259448416801</v>
      </c>
      <c r="I6" s="18">
        <f>SUMIFS('Pod Plan'!$E:$E,'Pod Plan'!$B:$B,1,'Pod Plan'!$C:$C,$B6)</f>
        <v>2</v>
      </c>
      <c r="J6" s="18">
        <f>SUMIFS('Pod Plan'!$F:$F,'Pod Plan'!$B:$B,1,'Pod Plan'!$C:$C,$B6)</f>
        <v>1</v>
      </c>
      <c r="K6" s="36">
        <f>'Pod Plan'!H6</f>
        <v>16</v>
      </c>
    </row>
    <row r="7" spans="1:11" ht="14.25" customHeight="1">
      <c r="B7" s="17" t="s">
        <v>196</v>
      </c>
      <c r="C7" s="12" t="s">
        <v>548</v>
      </c>
      <c r="D7" s="18">
        <f>SUMIFS(Inventory!$U:$U,Inventory!$E:$E,"fee management",Inventory!$AH:$AH,$B7)</f>
        <v>2</v>
      </c>
      <c r="E7" s="19">
        <f>SUMIFS(Inventory!$AD:$AD,Inventory!$E:$E,"fee management",Inventory!$AH:$AH,$B7)</f>
        <v>2.9583333333333299</v>
      </c>
      <c r="F7" s="19">
        <f>SUMIFS(Inventory!$AF:$AF,Inventory!$E:$E,"fee management",Inventory!$AH:$AH,$B7)</f>
        <v>2.7083333333333304</v>
      </c>
      <c r="G7" s="37">
        <f>E7-F7</f>
        <v>0.24999999999999956</v>
      </c>
      <c r="H7" s="20">
        <f>IF(E7=0,0,F7/E7)</f>
        <v>0.91549295774647887</v>
      </c>
      <c r="I7" s="18">
        <f>SUMIFS('Pod Plan'!$E:$E,'Pod Plan'!$B:$B,1,'Pod Plan'!$C:$C,$B7)</f>
        <v>0</v>
      </c>
      <c r="J7" s="18">
        <f>SUMIFS('Pod Plan'!$F:$F,'Pod Plan'!$B:$B,1,'Pod Plan'!$C:$C,$B7)</f>
        <v>1</v>
      </c>
      <c r="K7" s="36">
        <f>'Pod Plan'!H7</f>
        <v>3</v>
      </c>
    </row>
    <row r="8" spans="1:11" ht="14.25" customHeight="1">
      <c r="C8" s="8" t="s">
        <v>78</v>
      </c>
      <c r="D8" s="21">
        <f>SUM(D5:D7)</f>
        <v>5</v>
      </c>
      <c r="E8" s="22">
        <f>SUM(E5:E7)</f>
        <v>48.510291666666731</v>
      </c>
      <c r="F8" s="22">
        <f>SUM(F5:F7)</f>
        <v>43.118625000000051</v>
      </c>
      <c r="G8" s="22">
        <f>SUM(G5:G7)</f>
        <v>5.3916666666666728</v>
      </c>
      <c r="H8" s="23">
        <f>IF(E8=0,0,F8/E8)</f>
        <v>0.88885519997045292</v>
      </c>
      <c r="I8" s="21">
        <f>SUM(I5:I7)</f>
        <v>5</v>
      </c>
      <c r="J8" s="21">
        <f>SUM(J5:J7)</f>
        <v>4</v>
      </c>
      <c r="K8" s="21">
        <f>SUM(K5:K7)</f>
        <v>45</v>
      </c>
    </row>
    <row r="9" spans="1:11" ht="14.25" customHeight="1">
      <c r="C9" s="8"/>
      <c r="D9" s="21"/>
      <c r="E9" s="22"/>
      <c r="F9" s="22"/>
      <c r="G9" s="22"/>
      <c r="H9" s="23"/>
      <c r="I9" s="21"/>
      <c r="J9" s="21"/>
      <c r="K9" s="21"/>
    </row>
    <row r="10" spans="1:11" ht="14.25" customHeight="1">
      <c r="B10" s="17"/>
      <c r="C10" s="12"/>
      <c r="D10" s="18"/>
      <c r="E10" s="19"/>
      <c r="F10" s="19"/>
      <c r="G10" s="37"/>
      <c r="H10" s="20"/>
      <c r="I10" s="18"/>
      <c r="J10" s="18"/>
      <c r="K10" s="36"/>
    </row>
    <row r="11" spans="1:11" ht="14.25" customHeight="1">
      <c r="C11" s="8"/>
      <c r="D11" s="21"/>
      <c r="E11" s="22"/>
      <c r="F11" s="22"/>
      <c r="G11" s="22"/>
      <c r="H11" s="23"/>
      <c r="I11" s="21"/>
      <c r="J11" s="21"/>
      <c r="K11" s="21"/>
    </row>
    <row r="13" spans="1:11" ht="14.25" customHeight="1">
      <c r="C13" s="38" t="s">
        <v>549</v>
      </c>
    </row>
    <row r="14" spans="1:11" ht="27.75" customHeight="1">
      <c r="B14" s="16" t="s">
        <v>167</v>
      </c>
      <c r="C14" s="16" t="s">
        <v>550</v>
      </c>
    </row>
    <row r="15" spans="1:11" ht="30" customHeight="1">
      <c r="B15" s="17" t="s">
        <v>176</v>
      </c>
      <c r="C15" s="3" t="s">
        <v>551</v>
      </c>
      <c r="D15" s="3"/>
      <c r="E15" s="3"/>
      <c r="F15" s="3"/>
      <c r="G15" s="3"/>
      <c r="H15" s="3"/>
      <c r="I15" s="3"/>
      <c r="J15" s="3"/>
      <c r="K15" s="3"/>
    </row>
    <row r="16" spans="1:11" ht="30" customHeight="1">
      <c r="B16" s="17" t="s">
        <v>186</v>
      </c>
      <c r="C16" s="3" t="s">
        <v>552</v>
      </c>
      <c r="D16" s="3"/>
      <c r="E16" s="3"/>
      <c r="F16" s="3"/>
      <c r="G16" s="3"/>
      <c r="H16" s="3"/>
      <c r="I16" s="3"/>
      <c r="J16" s="3"/>
      <c r="K16" s="3"/>
    </row>
    <row r="17" spans="2:11" ht="30" customHeight="1">
      <c r="B17" s="17" t="s">
        <v>196</v>
      </c>
      <c r="C17" s="3" t="s">
        <v>553</v>
      </c>
      <c r="D17" s="3"/>
      <c r="E17" s="3"/>
      <c r="F17" s="3"/>
      <c r="G17" s="3"/>
      <c r="H17" s="3"/>
      <c r="I17" s="3"/>
      <c r="J17" s="3"/>
      <c r="K17" s="3"/>
    </row>
    <row r="18" spans="2:11" ht="30" customHeight="1">
      <c r="B18" s="17" t="s">
        <v>191</v>
      </c>
      <c r="C18" s="3" t="s">
        <v>554</v>
      </c>
      <c r="D18" s="3"/>
      <c r="E18" s="3"/>
      <c r="F18" s="3"/>
      <c r="G18" s="3"/>
      <c r="H18" s="3"/>
      <c r="I18" s="3"/>
      <c r="J18" s="3"/>
      <c r="K18" s="3"/>
    </row>
    <row r="19" spans="2:11" ht="30" customHeight="1">
      <c r="B19" s="17" t="s">
        <v>232</v>
      </c>
      <c r="C19" s="3" t="s">
        <v>555</v>
      </c>
      <c r="D19" s="3"/>
      <c r="E19" s="3"/>
      <c r="F19" s="3"/>
      <c r="G19" s="3"/>
      <c r="H19" s="3"/>
      <c r="I19" s="3"/>
      <c r="J19" s="3"/>
      <c r="K19" s="3"/>
    </row>
    <row r="20" spans="2:11" ht="30" customHeight="1">
      <c r="B20" s="17" t="s">
        <v>201</v>
      </c>
      <c r="C20" s="3" t="s">
        <v>556</v>
      </c>
      <c r="D20" s="3"/>
      <c r="E20" s="3"/>
      <c r="F20" s="3"/>
      <c r="G20" s="3"/>
      <c r="H20" s="3"/>
      <c r="I20" s="3"/>
      <c r="J20" s="3"/>
      <c r="K20" s="3"/>
    </row>
  </sheetData>
  <mergeCells count="8">
    <mergeCell ref="C18:K18"/>
    <mergeCell ref="C19:K19"/>
    <mergeCell ref="C20:K20"/>
    <mergeCell ref="A1:J1"/>
    <mergeCell ref="A2:J2"/>
    <mergeCell ref="C15:K15"/>
    <mergeCell ref="C16:K16"/>
    <mergeCell ref="C17:K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L34" sqref="L34"/>
    </sheetView>
  </sheetViews>
  <sheetFormatPr defaultColWidth="8.6328125" defaultRowHeight="14.5"/>
  <cols>
    <col min="1" max="1" width="5.81640625" customWidth="1"/>
    <col min="2" max="2" width="7.81640625" customWidth="1"/>
    <col min="3" max="3" width="10" customWidth="1"/>
    <col min="4" max="4" width="7" customWidth="1"/>
    <col min="5" max="5" width="36.7265625" customWidth="1"/>
    <col min="6" max="6" width="8" customWidth="1"/>
    <col min="7" max="7" width="10" customWidth="1"/>
    <col min="8" max="8" width="11" customWidth="1"/>
    <col min="9" max="10" width="8" customWidth="1"/>
  </cols>
  <sheetData>
    <row r="1" spans="1:10" ht="25.5" customHeight="1">
      <c r="A1" s="5" t="s">
        <v>557</v>
      </c>
      <c r="B1" s="5"/>
      <c r="C1" s="5"/>
      <c r="D1" s="5"/>
      <c r="E1" s="5"/>
      <c r="F1" s="5"/>
      <c r="G1" s="5"/>
      <c r="H1" s="5"/>
      <c r="I1" s="5"/>
      <c r="J1" s="5"/>
    </row>
    <row r="2" spans="1:10" ht="14.25" customHeight="1">
      <c r="A2" s="4" t="s">
        <v>558</v>
      </c>
      <c r="B2" s="4"/>
      <c r="C2" s="4"/>
      <c r="D2" s="4"/>
      <c r="E2" s="4"/>
      <c r="F2" s="4"/>
      <c r="G2" s="4"/>
      <c r="H2" s="4"/>
      <c r="I2" s="4"/>
      <c r="J2" s="4"/>
    </row>
    <row r="4" spans="1:10" ht="27.75" customHeight="1">
      <c r="B4" s="16" t="s">
        <v>559</v>
      </c>
      <c r="C4" s="16" t="s">
        <v>560</v>
      </c>
      <c r="D4" s="16" t="s">
        <v>561</v>
      </c>
      <c r="E4" s="16" t="s">
        <v>562</v>
      </c>
      <c r="F4" s="16" t="s">
        <v>563</v>
      </c>
      <c r="G4" s="16" t="s">
        <v>564</v>
      </c>
      <c r="H4" s="16" t="s">
        <v>118</v>
      </c>
      <c r="I4" s="16" t="s">
        <v>565</v>
      </c>
      <c r="J4" s="39" t="s">
        <v>566</v>
      </c>
    </row>
    <row r="5" spans="1:10" ht="14.25" customHeight="1">
      <c r="B5" s="40">
        <v>1</v>
      </c>
      <c r="C5" s="41" t="s">
        <v>176</v>
      </c>
      <c r="D5" s="33" t="s">
        <v>567</v>
      </c>
      <c r="E5" s="41" t="s">
        <v>568</v>
      </c>
      <c r="F5" s="41" t="s">
        <v>569</v>
      </c>
      <c r="G5" s="41" t="s">
        <v>128</v>
      </c>
      <c r="H5" s="41" t="s">
        <v>131</v>
      </c>
      <c r="I5" s="40" t="s">
        <v>163</v>
      </c>
      <c r="J5" s="42">
        <v>1</v>
      </c>
    </row>
    <row r="6" spans="1:10" ht="14.25" customHeight="1">
      <c r="B6" s="40">
        <v>1</v>
      </c>
      <c r="C6" s="41" t="s">
        <v>176</v>
      </c>
      <c r="D6" s="33" t="s">
        <v>567</v>
      </c>
      <c r="E6" s="41" t="s">
        <v>570</v>
      </c>
      <c r="F6" s="41" t="s">
        <v>571</v>
      </c>
      <c r="G6" s="41" t="s">
        <v>128</v>
      </c>
      <c r="H6" s="41" t="s">
        <v>131</v>
      </c>
      <c r="I6" s="40" t="s">
        <v>163</v>
      </c>
      <c r="J6" s="42">
        <v>1</v>
      </c>
    </row>
    <row r="7" spans="1:10" ht="14.25" customHeight="1">
      <c r="B7" s="40">
        <v>1</v>
      </c>
      <c r="C7" s="41" t="s">
        <v>176</v>
      </c>
      <c r="D7" s="33" t="s">
        <v>567</v>
      </c>
      <c r="E7" s="41" t="s">
        <v>572</v>
      </c>
      <c r="F7" s="41" t="s">
        <v>573</v>
      </c>
      <c r="G7" s="41" t="s">
        <v>128</v>
      </c>
      <c r="H7" s="41" t="s">
        <v>131</v>
      </c>
      <c r="I7" s="40" t="s">
        <v>163</v>
      </c>
      <c r="J7" s="42">
        <v>1</v>
      </c>
    </row>
    <row r="8" spans="1:10" ht="14.25" customHeight="1">
      <c r="B8" s="40">
        <v>1</v>
      </c>
      <c r="C8" s="41" t="s">
        <v>176</v>
      </c>
      <c r="D8" s="33" t="s">
        <v>567</v>
      </c>
      <c r="E8" s="41" t="s">
        <v>574</v>
      </c>
      <c r="F8" s="41" t="s">
        <v>569</v>
      </c>
      <c r="G8" s="41" t="s">
        <v>128</v>
      </c>
      <c r="H8" s="41" t="s">
        <v>131</v>
      </c>
      <c r="I8" s="40" t="s">
        <v>162</v>
      </c>
      <c r="J8" s="42">
        <v>1</v>
      </c>
    </row>
    <row r="9" spans="1:10" ht="14.25" customHeight="1">
      <c r="B9" s="40">
        <v>1</v>
      </c>
      <c r="C9" s="41" t="s">
        <v>176</v>
      </c>
      <c r="D9" s="33" t="s">
        <v>567</v>
      </c>
      <c r="E9" s="41" t="s">
        <v>575</v>
      </c>
      <c r="F9" s="41" t="s">
        <v>576</v>
      </c>
      <c r="G9" s="41" t="s">
        <v>127</v>
      </c>
      <c r="H9" s="41" t="s">
        <v>133</v>
      </c>
      <c r="I9" s="40" t="s">
        <v>162</v>
      </c>
      <c r="J9" s="42">
        <v>1</v>
      </c>
    </row>
    <row r="10" spans="1:10" ht="14.25" customHeight="1">
      <c r="B10" s="40">
        <v>1</v>
      </c>
      <c r="C10" s="41" t="s">
        <v>176</v>
      </c>
      <c r="D10" s="33" t="s">
        <v>567</v>
      </c>
      <c r="E10" s="41" t="s">
        <v>577</v>
      </c>
      <c r="F10" s="41" t="s">
        <v>578</v>
      </c>
      <c r="G10" s="41" t="s">
        <v>126</v>
      </c>
      <c r="H10" s="41" t="s">
        <v>133</v>
      </c>
      <c r="I10" s="40" t="s">
        <v>162</v>
      </c>
      <c r="J10" s="42">
        <v>1</v>
      </c>
    </row>
    <row r="11" spans="1:10" ht="14.25" customHeight="1">
      <c r="B11" s="43"/>
      <c r="C11" s="43"/>
      <c r="D11" s="43"/>
      <c r="E11" s="44" t="s">
        <v>579</v>
      </c>
      <c r="F11" s="43"/>
      <c r="G11" s="43"/>
      <c r="H11" s="43"/>
      <c r="I11" s="43"/>
      <c r="J11" s="45">
        <f>SUM(J5:J10)</f>
        <v>6</v>
      </c>
    </row>
    <row r="12" spans="1:10" ht="14.25" customHeight="1">
      <c r="B12" s="40">
        <v>1</v>
      </c>
      <c r="C12" s="41" t="s">
        <v>176</v>
      </c>
      <c r="D12" s="33" t="s">
        <v>580</v>
      </c>
      <c r="E12" s="41" t="s">
        <v>581</v>
      </c>
      <c r="F12" s="41" t="s">
        <v>569</v>
      </c>
      <c r="G12" s="41" t="s">
        <v>128</v>
      </c>
      <c r="H12" s="41" t="s">
        <v>131</v>
      </c>
      <c r="I12" s="40" t="s">
        <v>162</v>
      </c>
      <c r="J12" s="42">
        <v>1</v>
      </c>
    </row>
    <row r="13" spans="1:10" ht="14.25" customHeight="1">
      <c r="B13" s="40">
        <v>1</v>
      </c>
      <c r="C13" s="41" t="s">
        <v>176</v>
      </c>
      <c r="D13" s="33" t="s">
        <v>580</v>
      </c>
      <c r="E13" s="41" t="s">
        <v>582</v>
      </c>
      <c r="F13" s="41" t="s">
        <v>576</v>
      </c>
      <c r="G13" s="41" t="s">
        <v>127</v>
      </c>
      <c r="H13" s="41" t="s">
        <v>133</v>
      </c>
      <c r="I13" s="40" t="s">
        <v>162</v>
      </c>
      <c r="J13" s="42">
        <v>1</v>
      </c>
    </row>
    <row r="14" spans="1:10" ht="14.25" customHeight="1">
      <c r="B14" s="40">
        <v>1</v>
      </c>
      <c r="C14" s="41" t="s">
        <v>176</v>
      </c>
      <c r="D14" s="33" t="s">
        <v>580</v>
      </c>
      <c r="E14" s="41" t="s">
        <v>582</v>
      </c>
      <c r="F14" s="41" t="s">
        <v>576</v>
      </c>
      <c r="G14" s="41" t="s">
        <v>126</v>
      </c>
      <c r="H14" s="41" t="s">
        <v>133</v>
      </c>
      <c r="I14" s="40" t="s">
        <v>162</v>
      </c>
      <c r="J14" s="42">
        <v>1</v>
      </c>
    </row>
    <row r="15" spans="1:10" ht="14.25" customHeight="1">
      <c r="B15" s="40">
        <v>1</v>
      </c>
      <c r="C15" s="41" t="s">
        <v>176</v>
      </c>
      <c r="D15" s="33" t="s">
        <v>580</v>
      </c>
      <c r="E15" s="41" t="s">
        <v>583</v>
      </c>
      <c r="F15" s="41" t="s">
        <v>578</v>
      </c>
      <c r="G15" s="41" t="s">
        <v>126</v>
      </c>
      <c r="H15" s="41" t="s">
        <v>133</v>
      </c>
      <c r="I15" s="40" t="s">
        <v>162</v>
      </c>
      <c r="J15" s="42">
        <v>1</v>
      </c>
    </row>
    <row r="16" spans="1:10" ht="14.25" customHeight="1">
      <c r="B16" s="43"/>
      <c r="C16" s="43"/>
      <c r="D16" s="43"/>
      <c r="E16" s="44" t="s">
        <v>584</v>
      </c>
      <c r="F16" s="43"/>
      <c r="G16" s="43"/>
      <c r="H16" s="43"/>
      <c r="I16" s="43"/>
      <c r="J16" s="45">
        <f>SUM(J12:J15)</f>
        <v>4</v>
      </c>
    </row>
    <row r="17" spans="2:10" ht="14.25" customHeight="1">
      <c r="B17" s="40"/>
      <c r="C17" s="41"/>
      <c r="D17" s="33"/>
      <c r="E17" s="41"/>
      <c r="F17" s="41"/>
      <c r="G17" s="41"/>
      <c r="H17" s="41"/>
      <c r="I17" s="40"/>
      <c r="J17" s="40"/>
    </row>
    <row r="18" spans="2:10" ht="14.25" customHeight="1">
      <c r="B18" s="40">
        <v>1</v>
      </c>
      <c r="C18" s="41" t="s">
        <v>186</v>
      </c>
      <c r="D18" s="33" t="s">
        <v>567</v>
      </c>
      <c r="E18" s="41" t="s">
        <v>568</v>
      </c>
      <c r="F18" s="41" t="s">
        <v>569</v>
      </c>
      <c r="G18" s="41" t="s">
        <v>128</v>
      </c>
      <c r="H18" s="41" t="s">
        <v>131</v>
      </c>
      <c r="I18" s="40" t="s">
        <v>163</v>
      </c>
      <c r="J18" s="42">
        <v>1</v>
      </c>
    </row>
    <row r="19" spans="2:10" ht="14.25" customHeight="1">
      <c r="B19" s="40">
        <v>1</v>
      </c>
      <c r="C19" s="41" t="s">
        <v>186</v>
      </c>
      <c r="D19" s="33" t="s">
        <v>567</v>
      </c>
      <c r="E19" s="41" t="s">
        <v>585</v>
      </c>
      <c r="F19" s="41" t="s">
        <v>571</v>
      </c>
      <c r="G19" s="41" t="s">
        <v>128</v>
      </c>
      <c r="H19" s="41" t="s">
        <v>131</v>
      </c>
      <c r="I19" s="40" t="s">
        <v>163</v>
      </c>
      <c r="J19" s="42">
        <v>1</v>
      </c>
    </row>
    <row r="20" spans="2:10" ht="14.25" customHeight="1">
      <c r="B20" s="40">
        <v>1</v>
      </c>
      <c r="C20" s="41" t="s">
        <v>186</v>
      </c>
      <c r="D20" s="33" t="s">
        <v>567</v>
      </c>
      <c r="E20" s="41" t="s">
        <v>572</v>
      </c>
      <c r="F20" s="41" t="s">
        <v>573</v>
      </c>
      <c r="G20" s="41" t="s">
        <v>128</v>
      </c>
      <c r="H20" s="41" t="s">
        <v>131</v>
      </c>
      <c r="I20" s="40" t="s">
        <v>163</v>
      </c>
      <c r="J20" s="42">
        <v>1</v>
      </c>
    </row>
    <row r="21" spans="2:10" ht="14.25" customHeight="1">
      <c r="B21" s="40">
        <v>1</v>
      </c>
      <c r="C21" s="41" t="s">
        <v>186</v>
      </c>
      <c r="D21" s="33" t="s">
        <v>567</v>
      </c>
      <c r="E21" s="41" t="s">
        <v>574</v>
      </c>
      <c r="F21" s="41" t="s">
        <v>569</v>
      </c>
      <c r="G21" s="41" t="s">
        <v>128</v>
      </c>
      <c r="H21" s="41" t="s">
        <v>131</v>
      </c>
      <c r="I21" s="40" t="s">
        <v>162</v>
      </c>
      <c r="J21" s="42">
        <v>1</v>
      </c>
    </row>
    <row r="22" spans="2:10" ht="14.25" customHeight="1">
      <c r="B22" s="40">
        <v>1</v>
      </c>
      <c r="C22" s="41" t="s">
        <v>186</v>
      </c>
      <c r="D22" s="33" t="s">
        <v>567</v>
      </c>
      <c r="E22" s="41" t="s">
        <v>575</v>
      </c>
      <c r="F22" s="41" t="s">
        <v>576</v>
      </c>
      <c r="G22" s="41" t="s">
        <v>127</v>
      </c>
      <c r="H22" s="41" t="s">
        <v>133</v>
      </c>
      <c r="I22" s="40" t="s">
        <v>162</v>
      </c>
      <c r="J22" s="42">
        <v>1</v>
      </c>
    </row>
    <row r="23" spans="2:10" ht="14.25" customHeight="1">
      <c r="B23" s="40">
        <v>1</v>
      </c>
      <c r="C23" s="41" t="s">
        <v>186</v>
      </c>
      <c r="D23" s="33" t="s">
        <v>567</v>
      </c>
      <c r="E23" s="41" t="s">
        <v>577</v>
      </c>
      <c r="F23" s="41" t="s">
        <v>578</v>
      </c>
      <c r="G23" s="41" t="s">
        <v>126</v>
      </c>
      <c r="H23" s="41" t="s">
        <v>133</v>
      </c>
      <c r="I23" s="40" t="s">
        <v>162</v>
      </c>
      <c r="J23" s="42">
        <v>1</v>
      </c>
    </row>
    <row r="24" spans="2:10" ht="14.25" customHeight="1">
      <c r="B24" s="43"/>
      <c r="C24" s="43"/>
      <c r="D24" s="43"/>
      <c r="E24" s="44" t="s">
        <v>586</v>
      </c>
      <c r="F24" s="43"/>
      <c r="G24" s="43"/>
      <c r="H24" s="43"/>
      <c r="I24" s="43"/>
      <c r="J24" s="45">
        <f>SUM(J18:J23)</f>
        <v>6</v>
      </c>
    </row>
    <row r="25" spans="2:10" ht="14.25" customHeight="1">
      <c r="B25" s="40">
        <v>1</v>
      </c>
      <c r="C25" s="41" t="s">
        <v>186</v>
      </c>
      <c r="D25" s="33" t="s">
        <v>580</v>
      </c>
      <c r="E25" s="41" t="s">
        <v>581</v>
      </c>
      <c r="F25" s="41" t="s">
        <v>569</v>
      </c>
      <c r="G25" s="41" t="s">
        <v>128</v>
      </c>
      <c r="H25" s="41" t="s">
        <v>131</v>
      </c>
      <c r="I25" s="40" t="s">
        <v>162</v>
      </c>
      <c r="J25" s="42">
        <v>1</v>
      </c>
    </row>
    <row r="26" spans="2:10" ht="14.25" customHeight="1">
      <c r="B26" s="40">
        <v>1</v>
      </c>
      <c r="C26" s="41" t="s">
        <v>186</v>
      </c>
      <c r="D26" s="33" t="s">
        <v>580</v>
      </c>
      <c r="E26" s="41" t="s">
        <v>582</v>
      </c>
      <c r="F26" s="41" t="s">
        <v>576</v>
      </c>
      <c r="G26" s="41" t="s">
        <v>127</v>
      </c>
      <c r="H26" s="41" t="s">
        <v>133</v>
      </c>
      <c r="I26" s="40" t="s">
        <v>162</v>
      </c>
      <c r="J26" s="42">
        <v>1</v>
      </c>
    </row>
    <row r="27" spans="2:10" ht="14.25" customHeight="1">
      <c r="B27" s="40">
        <v>1</v>
      </c>
      <c r="C27" s="41" t="s">
        <v>186</v>
      </c>
      <c r="D27" s="33" t="s">
        <v>580</v>
      </c>
      <c r="E27" s="41" t="s">
        <v>582</v>
      </c>
      <c r="F27" s="41" t="s">
        <v>576</v>
      </c>
      <c r="G27" s="41" t="s">
        <v>126</v>
      </c>
      <c r="H27" s="41" t="s">
        <v>133</v>
      </c>
      <c r="I27" s="40" t="s">
        <v>162</v>
      </c>
      <c r="J27" s="42">
        <v>1</v>
      </c>
    </row>
    <row r="28" spans="2:10" ht="14.25" customHeight="1">
      <c r="B28" s="40">
        <v>1</v>
      </c>
      <c r="C28" s="41" t="s">
        <v>186</v>
      </c>
      <c r="D28" s="33" t="s">
        <v>580</v>
      </c>
      <c r="E28" s="41" t="s">
        <v>583</v>
      </c>
      <c r="F28" s="41" t="s">
        <v>578</v>
      </c>
      <c r="G28" s="41" t="s">
        <v>126</v>
      </c>
      <c r="H28" s="41" t="s">
        <v>133</v>
      </c>
      <c r="I28" s="40" t="s">
        <v>162</v>
      </c>
      <c r="J28" s="42">
        <v>1</v>
      </c>
    </row>
    <row r="29" spans="2:10" ht="14.25" customHeight="1">
      <c r="B29" s="43"/>
      <c r="C29" s="43"/>
      <c r="D29" s="43"/>
      <c r="E29" s="44" t="s">
        <v>587</v>
      </c>
      <c r="F29" s="43"/>
      <c r="G29" s="43"/>
      <c r="H29" s="43"/>
      <c r="I29" s="43"/>
      <c r="J29" s="45">
        <f>SUM(J25:J28)</f>
        <v>4</v>
      </c>
    </row>
    <row r="30" spans="2:10" ht="14.25" customHeight="1">
      <c r="E30" s="46"/>
      <c r="J30" s="47"/>
    </row>
    <row r="31" spans="2:10" ht="14.25" customHeight="1">
      <c r="B31" s="40">
        <v>1</v>
      </c>
      <c r="C31" s="41" t="s">
        <v>196</v>
      </c>
      <c r="D31" s="33" t="s">
        <v>580</v>
      </c>
      <c r="E31" s="41" t="s">
        <v>581</v>
      </c>
      <c r="F31" s="41" t="s">
        <v>569</v>
      </c>
      <c r="G31" s="41" t="s">
        <v>128</v>
      </c>
      <c r="H31" s="41" t="s">
        <v>131</v>
      </c>
      <c r="I31" s="40" t="s">
        <v>162</v>
      </c>
      <c r="J31" s="42">
        <v>1</v>
      </c>
    </row>
    <row r="32" spans="2:10" ht="14.25" customHeight="1">
      <c r="B32" s="40">
        <v>1</v>
      </c>
      <c r="C32" s="41" t="s">
        <v>196</v>
      </c>
      <c r="D32" s="33" t="s">
        <v>580</v>
      </c>
      <c r="E32" s="41" t="s">
        <v>588</v>
      </c>
      <c r="F32" s="41" t="s">
        <v>576</v>
      </c>
      <c r="G32" s="41" t="s">
        <v>127</v>
      </c>
      <c r="H32" s="41" t="s">
        <v>133</v>
      </c>
      <c r="I32" s="40" t="s">
        <v>164</v>
      </c>
      <c r="J32" s="42">
        <v>1</v>
      </c>
    </row>
    <row r="33" spans="2:10" ht="14.25" customHeight="1">
      <c r="B33" s="40">
        <v>1</v>
      </c>
      <c r="C33" s="41" t="s">
        <v>196</v>
      </c>
      <c r="D33" s="33" t="s">
        <v>580</v>
      </c>
      <c r="E33" s="41" t="s">
        <v>583</v>
      </c>
      <c r="F33" s="41" t="s">
        <v>578</v>
      </c>
      <c r="G33" s="41" t="s">
        <v>126</v>
      </c>
      <c r="H33" s="41" t="s">
        <v>133</v>
      </c>
      <c r="I33" s="40" t="s">
        <v>162</v>
      </c>
      <c r="J33" s="42">
        <v>1</v>
      </c>
    </row>
    <row r="34" spans="2:10" ht="14.25" customHeight="1">
      <c r="B34" s="43"/>
      <c r="C34" s="43"/>
      <c r="D34" s="43"/>
      <c r="E34" s="44" t="s">
        <v>589</v>
      </c>
      <c r="F34" s="43"/>
      <c r="G34" s="43"/>
      <c r="H34" s="43"/>
      <c r="I34" s="43"/>
      <c r="J34" s="45">
        <f>SUM(J31:J33)</f>
        <v>3</v>
      </c>
    </row>
    <row r="35" spans="2:10" ht="14.25" customHeight="1">
      <c r="B35" s="40"/>
      <c r="C35" s="41"/>
      <c r="D35" s="33"/>
      <c r="E35" s="41"/>
      <c r="F35" s="41"/>
      <c r="G35" s="41"/>
      <c r="H35" s="41"/>
      <c r="I35" s="40"/>
      <c r="J35" s="42"/>
    </row>
    <row r="36" spans="2:10" ht="14.25" customHeight="1">
      <c r="B36" s="40">
        <v>2</v>
      </c>
      <c r="C36" s="41" t="s">
        <v>176</v>
      </c>
      <c r="D36" s="33" t="s">
        <v>567</v>
      </c>
      <c r="E36" s="41" t="s">
        <v>568</v>
      </c>
      <c r="F36" s="41" t="s">
        <v>569</v>
      </c>
      <c r="G36" s="41" t="s">
        <v>128</v>
      </c>
      <c r="H36" s="41" t="s">
        <v>131</v>
      </c>
      <c r="I36" s="40" t="s">
        <v>163</v>
      </c>
      <c r="J36" s="42">
        <v>1</v>
      </c>
    </row>
    <row r="37" spans="2:10" ht="14.25" customHeight="1">
      <c r="B37" s="40">
        <v>2</v>
      </c>
      <c r="C37" s="41" t="s">
        <v>176</v>
      </c>
      <c r="D37" s="33" t="s">
        <v>567</v>
      </c>
      <c r="E37" s="41" t="s">
        <v>570</v>
      </c>
      <c r="F37" s="41" t="s">
        <v>571</v>
      </c>
      <c r="G37" s="41" t="s">
        <v>128</v>
      </c>
      <c r="H37" s="41" t="s">
        <v>131</v>
      </c>
      <c r="I37" s="40" t="s">
        <v>163</v>
      </c>
      <c r="J37" s="42">
        <v>1</v>
      </c>
    </row>
    <row r="38" spans="2:10" ht="14.25" customHeight="1">
      <c r="B38" s="40">
        <v>2</v>
      </c>
      <c r="C38" s="41" t="s">
        <v>176</v>
      </c>
      <c r="D38" s="33" t="s">
        <v>567</v>
      </c>
      <c r="E38" s="41" t="s">
        <v>572</v>
      </c>
      <c r="F38" s="41" t="s">
        <v>573</v>
      </c>
      <c r="G38" s="41" t="s">
        <v>128</v>
      </c>
      <c r="H38" s="41" t="s">
        <v>131</v>
      </c>
      <c r="I38" s="40" t="s">
        <v>163</v>
      </c>
      <c r="J38" s="42">
        <v>1</v>
      </c>
    </row>
    <row r="39" spans="2:10" ht="14.25" customHeight="1">
      <c r="B39" s="40">
        <v>2</v>
      </c>
      <c r="C39" s="41" t="s">
        <v>176</v>
      </c>
      <c r="D39" s="33" t="s">
        <v>567</v>
      </c>
      <c r="E39" s="41" t="s">
        <v>590</v>
      </c>
      <c r="F39" s="41" t="s">
        <v>576</v>
      </c>
      <c r="G39" s="41" t="s">
        <v>127</v>
      </c>
      <c r="H39" s="41" t="s">
        <v>133</v>
      </c>
      <c r="I39" s="40" t="s">
        <v>162</v>
      </c>
      <c r="J39" s="42">
        <v>1</v>
      </c>
    </row>
    <row r="40" spans="2:10" ht="14.25" customHeight="1">
      <c r="B40" s="40">
        <v>2</v>
      </c>
      <c r="C40" s="41" t="s">
        <v>176</v>
      </c>
      <c r="D40" s="33" t="s">
        <v>567</v>
      </c>
      <c r="E40" s="41" t="s">
        <v>591</v>
      </c>
      <c r="F40" s="41" t="s">
        <v>578</v>
      </c>
      <c r="G40" s="41" t="s">
        <v>127</v>
      </c>
      <c r="H40" s="41" t="s">
        <v>133</v>
      </c>
      <c r="I40" s="40" t="s">
        <v>162</v>
      </c>
      <c r="J40" s="42">
        <v>1</v>
      </c>
    </row>
    <row r="41" spans="2:10" ht="14.25" customHeight="1">
      <c r="B41" s="43"/>
      <c r="C41" s="43"/>
      <c r="D41" s="43"/>
      <c r="E41" s="44" t="s">
        <v>592</v>
      </c>
      <c r="F41" s="43"/>
      <c r="G41" s="43"/>
      <c r="H41" s="43"/>
      <c r="I41" s="43"/>
      <c r="J41" s="45">
        <f>SUM(J36:J40)</f>
        <v>5</v>
      </c>
    </row>
    <row r="42" spans="2:10" ht="14.25" customHeight="1">
      <c r="B42" s="40">
        <v>2</v>
      </c>
      <c r="C42" s="41" t="s">
        <v>176</v>
      </c>
      <c r="D42" s="33" t="s">
        <v>580</v>
      </c>
      <c r="E42" s="41" t="s">
        <v>593</v>
      </c>
      <c r="F42" s="41" t="s">
        <v>569</v>
      </c>
      <c r="G42" s="41" t="s">
        <v>128</v>
      </c>
      <c r="H42" s="41" t="s">
        <v>133</v>
      </c>
      <c r="I42" s="40" t="s">
        <v>162</v>
      </c>
      <c r="J42" s="42">
        <v>1</v>
      </c>
    </row>
    <row r="43" spans="2:10" ht="14.25" customHeight="1">
      <c r="B43" s="40">
        <v>2</v>
      </c>
      <c r="C43" s="41" t="s">
        <v>176</v>
      </c>
      <c r="D43" s="33" t="s">
        <v>580</v>
      </c>
      <c r="E43" s="41" t="s">
        <v>590</v>
      </c>
      <c r="F43" s="41" t="s">
        <v>576</v>
      </c>
      <c r="G43" s="41" t="s">
        <v>127</v>
      </c>
      <c r="H43" s="41" t="s">
        <v>133</v>
      </c>
      <c r="I43" s="40" t="s">
        <v>162</v>
      </c>
      <c r="J43" s="42">
        <v>1</v>
      </c>
    </row>
    <row r="44" spans="2:10" ht="14.25" customHeight="1">
      <c r="B44" s="40">
        <v>2</v>
      </c>
      <c r="C44" s="41" t="s">
        <v>176</v>
      </c>
      <c r="D44" s="33" t="s">
        <v>580</v>
      </c>
      <c r="E44" s="41" t="s">
        <v>583</v>
      </c>
      <c r="F44" s="41" t="s">
        <v>578</v>
      </c>
      <c r="G44" s="41" t="s">
        <v>126</v>
      </c>
      <c r="H44" s="41" t="s">
        <v>133</v>
      </c>
      <c r="I44" s="40" t="s">
        <v>162</v>
      </c>
      <c r="J44" s="42">
        <v>1</v>
      </c>
    </row>
    <row r="45" spans="2:10" ht="14.25" customHeight="1">
      <c r="B45" s="43"/>
      <c r="C45" s="43"/>
      <c r="D45" s="43"/>
      <c r="E45" s="44" t="s">
        <v>594</v>
      </c>
      <c r="F45" s="43"/>
      <c r="G45" s="43"/>
      <c r="H45" s="43"/>
      <c r="I45" s="43"/>
      <c r="J45" s="45">
        <f>SUM(J42:J44)</f>
        <v>3</v>
      </c>
    </row>
    <row r="46" spans="2:10" ht="14.25" customHeight="1">
      <c r="B46" s="40"/>
      <c r="C46" s="41"/>
      <c r="D46" s="33"/>
      <c r="E46" s="41"/>
      <c r="F46" s="41"/>
      <c r="G46" s="41"/>
      <c r="H46" s="41"/>
      <c r="I46" s="40"/>
      <c r="J46" s="42"/>
    </row>
    <row r="47" spans="2:10" ht="14.25" customHeight="1">
      <c r="B47" s="40">
        <v>2</v>
      </c>
      <c r="C47" s="41" t="s">
        <v>186</v>
      </c>
      <c r="D47" s="33" t="s">
        <v>567</v>
      </c>
      <c r="E47" s="41" t="s">
        <v>568</v>
      </c>
      <c r="F47" s="41" t="s">
        <v>569</v>
      </c>
      <c r="G47" s="41" t="s">
        <v>128</v>
      </c>
      <c r="H47" s="41" t="s">
        <v>131</v>
      </c>
      <c r="I47" s="40" t="s">
        <v>163</v>
      </c>
      <c r="J47" s="42">
        <v>1</v>
      </c>
    </row>
    <row r="48" spans="2:10" ht="14.25" customHeight="1">
      <c r="B48" s="40">
        <v>2</v>
      </c>
      <c r="C48" s="41" t="s">
        <v>186</v>
      </c>
      <c r="D48" s="33" t="s">
        <v>567</v>
      </c>
      <c r="E48" s="41" t="s">
        <v>585</v>
      </c>
      <c r="F48" s="41" t="s">
        <v>571</v>
      </c>
      <c r="G48" s="41" t="s">
        <v>128</v>
      </c>
      <c r="H48" s="41" t="s">
        <v>131</v>
      </c>
      <c r="I48" s="40" t="s">
        <v>163</v>
      </c>
      <c r="J48" s="42">
        <v>1</v>
      </c>
    </row>
    <row r="49" spans="2:10" ht="14.25" customHeight="1">
      <c r="B49" s="40">
        <v>2</v>
      </c>
      <c r="C49" s="41" t="s">
        <v>186</v>
      </c>
      <c r="D49" s="33" t="s">
        <v>567</v>
      </c>
      <c r="E49" s="41" t="s">
        <v>572</v>
      </c>
      <c r="F49" s="41" t="s">
        <v>573</v>
      </c>
      <c r="G49" s="41" t="s">
        <v>128</v>
      </c>
      <c r="H49" s="41" t="s">
        <v>131</v>
      </c>
      <c r="I49" s="40" t="s">
        <v>163</v>
      </c>
      <c r="J49" s="42">
        <v>1</v>
      </c>
    </row>
    <row r="50" spans="2:10" ht="14.25" customHeight="1">
      <c r="B50" s="40">
        <v>2</v>
      </c>
      <c r="C50" s="41" t="s">
        <v>186</v>
      </c>
      <c r="D50" s="33" t="s">
        <v>567</v>
      </c>
      <c r="E50" s="41" t="s">
        <v>590</v>
      </c>
      <c r="F50" s="41" t="s">
        <v>576</v>
      </c>
      <c r="G50" s="41" t="s">
        <v>127</v>
      </c>
      <c r="H50" s="41" t="s">
        <v>133</v>
      </c>
      <c r="I50" s="40" t="s">
        <v>162</v>
      </c>
      <c r="J50" s="42">
        <v>1</v>
      </c>
    </row>
    <row r="51" spans="2:10" ht="14.25" customHeight="1">
      <c r="B51" s="40">
        <v>2</v>
      </c>
      <c r="C51" s="41" t="s">
        <v>186</v>
      </c>
      <c r="D51" s="33" t="s">
        <v>567</v>
      </c>
      <c r="E51" s="41" t="s">
        <v>591</v>
      </c>
      <c r="F51" s="41" t="s">
        <v>578</v>
      </c>
      <c r="G51" s="41" t="s">
        <v>127</v>
      </c>
      <c r="H51" s="41" t="s">
        <v>133</v>
      </c>
      <c r="I51" s="40" t="s">
        <v>162</v>
      </c>
      <c r="J51" s="42">
        <v>1</v>
      </c>
    </row>
    <row r="52" spans="2:10" ht="14.25" customHeight="1">
      <c r="B52" s="43"/>
      <c r="C52" s="43"/>
      <c r="D52" s="43"/>
      <c r="E52" s="44" t="s">
        <v>595</v>
      </c>
      <c r="F52" s="43"/>
      <c r="G52" s="43"/>
      <c r="H52" s="43"/>
      <c r="I52" s="43"/>
      <c r="J52" s="45">
        <f>SUM(J47:J51)</f>
        <v>5</v>
      </c>
    </row>
    <row r="53" spans="2:10" ht="14.25" customHeight="1">
      <c r="B53" s="40">
        <v>2</v>
      </c>
      <c r="C53" s="41" t="s">
        <v>186</v>
      </c>
      <c r="D53" s="33" t="s">
        <v>580</v>
      </c>
      <c r="E53" s="41" t="s">
        <v>593</v>
      </c>
      <c r="F53" s="41" t="s">
        <v>569</v>
      </c>
      <c r="G53" s="41" t="s">
        <v>128</v>
      </c>
      <c r="H53" s="41" t="s">
        <v>133</v>
      </c>
      <c r="I53" s="40" t="s">
        <v>162</v>
      </c>
      <c r="J53" s="42">
        <v>1</v>
      </c>
    </row>
    <row r="54" spans="2:10" ht="14.25" customHeight="1">
      <c r="B54" s="40">
        <v>2</v>
      </c>
      <c r="C54" s="41" t="s">
        <v>186</v>
      </c>
      <c r="D54" s="33" t="s">
        <v>580</v>
      </c>
      <c r="E54" s="41" t="s">
        <v>590</v>
      </c>
      <c r="F54" s="41" t="s">
        <v>576</v>
      </c>
      <c r="G54" s="41" t="s">
        <v>127</v>
      </c>
      <c r="H54" s="41" t="s">
        <v>133</v>
      </c>
      <c r="I54" s="40" t="s">
        <v>162</v>
      </c>
      <c r="J54" s="42">
        <v>1</v>
      </c>
    </row>
    <row r="55" spans="2:10" ht="14.25" customHeight="1">
      <c r="B55" s="40">
        <v>2</v>
      </c>
      <c r="C55" s="41" t="s">
        <v>186</v>
      </c>
      <c r="D55" s="33" t="s">
        <v>580</v>
      </c>
      <c r="E55" s="41" t="s">
        <v>583</v>
      </c>
      <c r="F55" s="41" t="s">
        <v>578</v>
      </c>
      <c r="G55" s="41" t="s">
        <v>126</v>
      </c>
      <c r="H55" s="41" t="s">
        <v>133</v>
      </c>
      <c r="I55" s="40" t="s">
        <v>162</v>
      </c>
      <c r="J55" s="42">
        <v>1</v>
      </c>
    </row>
    <row r="56" spans="2:10" ht="14.25" customHeight="1">
      <c r="B56" s="43"/>
      <c r="C56" s="43"/>
      <c r="D56" s="43"/>
      <c r="E56" s="44" t="s">
        <v>596</v>
      </c>
      <c r="F56" s="43"/>
      <c r="G56" s="43"/>
      <c r="H56" s="43"/>
      <c r="I56" s="43"/>
      <c r="J56" s="45">
        <f>SUM(J53:J55)</f>
        <v>3</v>
      </c>
    </row>
    <row r="57" spans="2:10" ht="14.25" customHeight="1">
      <c r="B57" s="40"/>
      <c r="C57" s="41"/>
      <c r="D57" s="33"/>
      <c r="E57" s="41"/>
      <c r="F57" s="41"/>
      <c r="G57" s="41"/>
      <c r="H57" s="41"/>
      <c r="I57" s="40"/>
      <c r="J57" s="42"/>
    </row>
    <row r="58" spans="2:10" ht="14.25" customHeight="1">
      <c r="B58" s="40">
        <v>2</v>
      </c>
      <c r="C58" s="41" t="s">
        <v>196</v>
      </c>
      <c r="D58" s="33" t="s">
        <v>580</v>
      </c>
      <c r="E58" s="41" t="s">
        <v>593</v>
      </c>
      <c r="F58" s="41" t="s">
        <v>569</v>
      </c>
      <c r="G58" s="41" t="s">
        <v>128</v>
      </c>
      <c r="H58" s="41" t="s">
        <v>133</v>
      </c>
      <c r="I58" s="40" t="s">
        <v>162</v>
      </c>
      <c r="J58" s="42">
        <v>1</v>
      </c>
    </row>
    <row r="59" spans="2:10" ht="14.25" customHeight="1">
      <c r="B59" s="40">
        <v>2</v>
      </c>
      <c r="C59" s="41" t="s">
        <v>196</v>
      </c>
      <c r="D59" s="33" t="s">
        <v>580</v>
      </c>
      <c r="E59" s="41" t="s">
        <v>597</v>
      </c>
      <c r="F59" s="41" t="s">
        <v>576</v>
      </c>
      <c r="G59" s="41" t="s">
        <v>127</v>
      </c>
      <c r="H59" s="41" t="s">
        <v>133</v>
      </c>
      <c r="I59" s="40" t="s">
        <v>164</v>
      </c>
      <c r="J59" s="42">
        <v>1</v>
      </c>
    </row>
    <row r="60" spans="2:10" ht="14.25" customHeight="1">
      <c r="B60" s="43"/>
      <c r="C60" s="43"/>
      <c r="D60" s="43"/>
      <c r="E60" s="44" t="s">
        <v>598</v>
      </c>
      <c r="F60" s="43"/>
      <c r="G60" s="43"/>
      <c r="H60" s="43"/>
      <c r="I60" s="43"/>
      <c r="J60" s="45">
        <f>SUM(J58:J59)</f>
        <v>2</v>
      </c>
    </row>
    <row r="61" spans="2:10" ht="14.25" customHeight="1">
      <c r="B61" s="40"/>
      <c r="C61" s="41"/>
      <c r="D61" s="33"/>
      <c r="E61" s="41"/>
      <c r="F61" s="41"/>
      <c r="G61" s="41"/>
      <c r="H61" s="41"/>
      <c r="I61" s="40"/>
      <c r="J61" s="42"/>
    </row>
    <row r="62" spans="2:10" ht="14.25" customHeight="1">
      <c r="B62" s="40">
        <v>3</v>
      </c>
      <c r="C62" s="41" t="s">
        <v>176</v>
      </c>
      <c r="D62" s="33" t="s">
        <v>567</v>
      </c>
      <c r="E62" s="41" t="s">
        <v>568</v>
      </c>
      <c r="F62" s="41" t="s">
        <v>569</v>
      </c>
      <c r="G62" s="41" t="s">
        <v>128</v>
      </c>
      <c r="H62" s="41" t="s">
        <v>131</v>
      </c>
      <c r="I62" s="40" t="s">
        <v>163</v>
      </c>
      <c r="J62" s="42">
        <v>1</v>
      </c>
    </row>
    <row r="63" spans="2:10" ht="14.25" customHeight="1">
      <c r="B63" s="40">
        <v>3</v>
      </c>
      <c r="C63" s="41" t="s">
        <v>176</v>
      </c>
      <c r="D63" s="33" t="s">
        <v>567</v>
      </c>
      <c r="E63" s="41" t="s">
        <v>570</v>
      </c>
      <c r="F63" s="41" t="s">
        <v>571</v>
      </c>
      <c r="G63" s="41" t="s">
        <v>128</v>
      </c>
      <c r="H63" s="41" t="s">
        <v>131</v>
      </c>
      <c r="I63" s="40" t="s">
        <v>163</v>
      </c>
      <c r="J63" s="42">
        <v>1</v>
      </c>
    </row>
    <row r="64" spans="2:10" ht="14.25" customHeight="1">
      <c r="B64" s="40">
        <v>3</v>
      </c>
      <c r="C64" s="41" t="s">
        <v>176</v>
      </c>
      <c r="D64" s="33" t="s">
        <v>567</v>
      </c>
      <c r="E64" s="41" t="s">
        <v>572</v>
      </c>
      <c r="F64" s="41" t="s">
        <v>573</v>
      </c>
      <c r="G64" s="41" t="s">
        <v>128</v>
      </c>
      <c r="H64" s="41" t="s">
        <v>131</v>
      </c>
      <c r="I64" s="40" t="s">
        <v>163</v>
      </c>
      <c r="J64" s="42">
        <v>1</v>
      </c>
    </row>
    <row r="65" spans="2:10" ht="14.25" customHeight="1">
      <c r="B65" s="40">
        <v>3</v>
      </c>
      <c r="C65" s="41" t="s">
        <v>176</v>
      </c>
      <c r="D65" s="33" t="s">
        <v>567</v>
      </c>
      <c r="E65" s="41" t="s">
        <v>599</v>
      </c>
      <c r="F65" s="41" t="s">
        <v>573</v>
      </c>
      <c r="G65" s="41" t="s">
        <v>127</v>
      </c>
      <c r="H65" s="41" t="s">
        <v>133</v>
      </c>
      <c r="I65" s="40" t="s">
        <v>162</v>
      </c>
      <c r="J65" s="42">
        <v>1</v>
      </c>
    </row>
    <row r="66" spans="2:10" ht="14.25" customHeight="1">
      <c r="B66" s="43"/>
      <c r="C66" s="43"/>
      <c r="D66" s="43"/>
      <c r="E66" s="44" t="s">
        <v>600</v>
      </c>
      <c r="F66" s="43"/>
      <c r="G66" s="43"/>
      <c r="H66" s="43"/>
      <c r="I66" s="43"/>
      <c r="J66" s="45">
        <f>SUM(J62:J65)</f>
        <v>4</v>
      </c>
    </row>
    <row r="67" spans="2:10" ht="14.25" customHeight="1">
      <c r="B67" s="40">
        <v>3</v>
      </c>
      <c r="C67" s="41" t="s">
        <v>176</v>
      </c>
      <c r="D67" s="33" t="s">
        <v>580</v>
      </c>
      <c r="E67" s="41" t="s">
        <v>601</v>
      </c>
      <c r="F67" s="41" t="s">
        <v>573</v>
      </c>
      <c r="G67" s="41" t="s">
        <v>128</v>
      </c>
      <c r="H67" s="41" t="s">
        <v>133</v>
      </c>
      <c r="I67" s="40" t="s">
        <v>162</v>
      </c>
      <c r="J67" s="42">
        <v>1</v>
      </c>
    </row>
    <row r="68" spans="2:10" ht="14.25" customHeight="1">
      <c r="B68" s="40">
        <v>3</v>
      </c>
      <c r="C68" s="41" t="s">
        <v>176</v>
      </c>
      <c r="D68" s="33" t="s">
        <v>580</v>
      </c>
      <c r="E68" s="41" t="s">
        <v>590</v>
      </c>
      <c r="F68" s="41" t="s">
        <v>576</v>
      </c>
      <c r="G68" s="41" t="s">
        <v>127</v>
      </c>
      <c r="H68" s="41" t="s">
        <v>133</v>
      </c>
      <c r="I68" s="40" t="s">
        <v>162</v>
      </c>
      <c r="J68" s="42">
        <v>1</v>
      </c>
    </row>
    <row r="69" spans="2:10" ht="14.25" customHeight="1">
      <c r="B69" s="43"/>
      <c r="C69" s="43"/>
      <c r="D69" s="43"/>
      <c r="E69" s="44" t="s">
        <v>602</v>
      </c>
      <c r="F69" s="43"/>
      <c r="G69" s="43"/>
      <c r="H69" s="43"/>
      <c r="I69" s="43"/>
      <c r="J69" s="45">
        <f>SUM(J67:J68)</f>
        <v>2</v>
      </c>
    </row>
    <row r="70" spans="2:10" ht="14.25" customHeight="1">
      <c r="B70" s="40"/>
      <c r="C70" s="41"/>
      <c r="D70" s="33"/>
      <c r="E70" s="41"/>
      <c r="F70" s="41"/>
      <c r="G70" s="41"/>
      <c r="H70" s="41"/>
      <c r="I70" s="40"/>
      <c r="J70" s="42"/>
    </row>
    <row r="71" spans="2:10" ht="14.25" customHeight="1">
      <c r="B71" s="40">
        <v>3</v>
      </c>
      <c r="C71" s="41" t="s">
        <v>186</v>
      </c>
      <c r="D71" s="33" t="s">
        <v>567</v>
      </c>
      <c r="E71" s="41" t="s">
        <v>568</v>
      </c>
      <c r="F71" s="41" t="s">
        <v>569</v>
      </c>
      <c r="G71" s="41" t="s">
        <v>128</v>
      </c>
      <c r="H71" s="41" t="s">
        <v>131</v>
      </c>
      <c r="I71" s="40" t="s">
        <v>163</v>
      </c>
      <c r="J71" s="42">
        <v>1</v>
      </c>
    </row>
    <row r="72" spans="2:10" ht="14.25" customHeight="1">
      <c r="B72" s="40">
        <v>3</v>
      </c>
      <c r="C72" s="41" t="s">
        <v>186</v>
      </c>
      <c r="D72" s="33" t="s">
        <v>567</v>
      </c>
      <c r="E72" s="41" t="s">
        <v>585</v>
      </c>
      <c r="F72" s="41" t="s">
        <v>571</v>
      </c>
      <c r="G72" s="41" t="s">
        <v>128</v>
      </c>
      <c r="H72" s="41" t="s">
        <v>131</v>
      </c>
      <c r="I72" s="40" t="s">
        <v>163</v>
      </c>
      <c r="J72" s="42">
        <v>1</v>
      </c>
    </row>
    <row r="73" spans="2:10" ht="14.25" customHeight="1">
      <c r="B73" s="40">
        <v>3</v>
      </c>
      <c r="C73" s="41" t="s">
        <v>186</v>
      </c>
      <c r="D73" s="33" t="s">
        <v>567</v>
      </c>
      <c r="E73" s="41" t="s">
        <v>572</v>
      </c>
      <c r="F73" s="41" t="s">
        <v>573</v>
      </c>
      <c r="G73" s="41" t="s">
        <v>128</v>
      </c>
      <c r="H73" s="41" t="s">
        <v>131</v>
      </c>
      <c r="I73" s="40" t="s">
        <v>163</v>
      </c>
      <c r="J73" s="42">
        <v>1</v>
      </c>
    </row>
    <row r="74" spans="2:10" ht="14.25" customHeight="1">
      <c r="B74" s="40">
        <v>3</v>
      </c>
      <c r="C74" s="41" t="s">
        <v>186</v>
      </c>
      <c r="D74" s="33" t="s">
        <v>567</v>
      </c>
      <c r="E74" s="41" t="s">
        <v>599</v>
      </c>
      <c r="F74" s="41" t="s">
        <v>573</v>
      </c>
      <c r="G74" s="41" t="s">
        <v>127</v>
      </c>
      <c r="H74" s="41" t="s">
        <v>133</v>
      </c>
      <c r="I74" s="40" t="s">
        <v>162</v>
      </c>
      <c r="J74" s="42">
        <v>1</v>
      </c>
    </row>
    <row r="75" spans="2:10" ht="14.25" customHeight="1">
      <c r="B75" s="43"/>
      <c r="C75" s="43"/>
      <c r="D75" s="43"/>
      <c r="E75" s="44" t="s">
        <v>603</v>
      </c>
      <c r="F75" s="43"/>
      <c r="G75" s="43"/>
      <c r="H75" s="43"/>
      <c r="I75" s="43"/>
      <c r="J75" s="45">
        <f>SUM(J71:J74)</f>
        <v>4</v>
      </c>
    </row>
    <row r="76" spans="2:10" ht="14.25" customHeight="1">
      <c r="B76" s="40">
        <v>3</v>
      </c>
      <c r="C76" s="41" t="s">
        <v>186</v>
      </c>
      <c r="D76" s="33" t="s">
        <v>580</v>
      </c>
      <c r="E76" s="41" t="s">
        <v>601</v>
      </c>
      <c r="F76" s="41" t="s">
        <v>573</v>
      </c>
      <c r="G76" s="41" t="s">
        <v>128</v>
      </c>
      <c r="H76" s="41" t="s">
        <v>133</v>
      </c>
      <c r="I76" s="40" t="s">
        <v>162</v>
      </c>
      <c r="J76" s="42">
        <v>1</v>
      </c>
    </row>
    <row r="77" spans="2:10" ht="14.25" customHeight="1">
      <c r="B77" s="40">
        <v>3</v>
      </c>
      <c r="C77" s="41" t="s">
        <v>186</v>
      </c>
      <c r="D77" s="33" t="s">
        <v>580</v>
      </c>
      <c r="E77" s="41" t="s">
        <v>590</v>
      </c>
      <c r="F77" s="41" t="s">
        <v>576</v>
      </c>
      <c r="G77" s="41" t="s">
        <v>127</v>
      </c>
      <c r="H77" s="41" t="s">
        <v>133</v>
      </c>
      <c r="I77" s="40" t="s">
        <v>162</v>
      </c>
      <c r="J77" s="42">
        <v>1</v>
      </c>
    </row>
    <row r="78" spans="2:10" ht="14.25" customHeight="1">
      <c r="B78" s="48"/>
      <c r="C78" s="48"/>
      <c r="D78" s="48"/>
      <c r="E78" s="26" t="s">
        <v>604</v>
      </c>
      <c r="F78" s="48"/>
      <c r="G78" s="48"/>
      <c r="H78" s="48"/>
      <c r="I78" s="48"/>
      <c r="J78" s="45">
        <f>SUM(J76:J77)</f>
        <v>2</v>
      </c>
    </row>
    <row r="79" spans="2:10" ht="14.25" customHeight="1">
      <c r="B79" s="40"/>
      <c r="C79" s="41"/>
      <c r="D79" s="33"/>
      <c r="E79" s="41"/>
      <c r="F79" s="41"/>
      <c r="G79" s="41"/>
      <c r="H79" s="41"/>
      <c r="I79" s="40"/>
      <c r="J79" s="42"/>
    </row>
    <row r="80" spans="2:10" ht="14.25" customHeight="1">
      <c r="B80" s="40">
        <v>3</v>
      </c>
      <c r="C80" s="41" t="s">
        <v>196</v>
      </c>
      <c r="D80" s="33" t="s">
        <v>580</v>
      </c>
      <c r="E80" s="41" t="s">
        <v>605</v>
      </c>
      <c r="F80" s="41" t="s">
        <v>573</v>
      </c>
      <c r="G80" s="41" t="s">
        <v>127</v>
      </c>
      <c r="H80" s="41" t="s">
        <v>133</v>
      </c>
      <c r="I80" s="40" t="s">
        <v>164</v>
      </c>
      <c r="J80" s="42">
        <v>1</v>
      </c>
    </row>
    <row r="81" spans="2:10" ht="14.25" customHeight="1">
      <c r="B81" s="43"/>
      <c r="C81" s="43"/>
      <c r="D81" s="43"/>
      <c r="E81" s="44" t="s">
        <v>606</v>
      </c>
      <c r="F81" s="43"/>
      <c r="G81" s="43"/>
      <c r="H81" s="43"/>
      <c r="I81" s="43"/>
      <c r="J81" s="45">
        <f>SUM(J80:J80)</f>
        <v>1</v>
      </c>
    </row>
    <row r="82" spans="2:10" ht="14.25" customHeight="1">
      <c r="B82" s="40"/>
      <c r="C82" s="41"/>
      <c r="D82" s="33"/>
      <c r="E82" s="41"/>
      <c r="F82" s="41"/>
      <c r="G82" s="41"/>
      <c r="H82" s="41"/>
      <c r="I82" s="40"/>
      <c r="J82" s="42"/>
    </row>
    <row r="83" spans="2:10" ht="14.25" customHeight="1">
      <c r="B83" s="40"/>
      <c r="C83" s="41"/>
      <c r="D83" s="33"/>
      <c r="E83" s="41"/>
      <c r="F83" s="41"/>
      <c r="G83" s="41"/>
      <c r="H83" s="41"/>
      <c r="I83" s="40"/>
      <c r="J83" s="42"/>
    </row>
    <row r="84" spans="2:10" ht="14.25" customHeight="1">
      <c r="B84" s="43"/>
      <c r="C84" s="43"/>
      <c r="D84" s="43"/>
      <c r="E84" s="44"/>
      <c r="F84" s="43"/>
      <c r="G84" s="43"/>
      <c r="H84" s="43"/>
      <c r="I84" s="43"/>
      <c r="J84" s="45"/>
    </row>
    <row r="85" spans="2:10" ht="14.25" customHeight="1">
      <c r="B85" s="40"/>
      <c r="C85" s="41"/>
      <c r="D85" s="33"/>
      <c r="E85" s="41"/>
      <c r="F85" s="41"/>
      <c r="G85" s="41"/>
      <c r="H85" s="41"/>
      <c r="I85" s="40"/>
      <c r="J85" s="42"/>
    </row>
    <row r="86" spans="2:10" ht="14.25" customHeight="1">
      <c r="B86" s="40"/>
      <c r="C86" s="41"/>
      <c r="D86" s="33"/>
      <c r="E86" s="41"/>
      <c r="F86" s="41"/>
      <c r="G86" s="41"/>
      <c r="H86" s="41"/>
      <c r="I86" s="40"/>
      <c r="J86" s="42"/>
    </row>
    <row r="87" spans="2:10" ht="14.25" customHeight="1">
      <c r="B87" s="40"/>
      <c r="C87" s="41"/>
      <c r="D87" s="33"/>
      <c r="E87" s="41"/>
      <c r="F87" s="41"/>
      <c r="G87" s="41"/>
      <c r="H87" s="41"/>
      <c r="I87" s="40"/>
      <c r="J87" s="42"/>
    </row>
    <row r="88" spans="2:10" ht="14.25" customHeight="1">
      <c r="B88" s="43"/>
      <c r="C88" s="43"/>
      <c r="D88" s="43"/>
      <c r="E88" s="44"/>
      <c r="F88" s="43"/>
      <c r="G88" s="43"/>
      <c r="H88" s="43"/>
      <c r="I88" s="43"/>
      <c r="J88" s="45"/>
    </row>
    <row r="89" spans="2:10" ht="14.25" customHeight="1">
      <c r="B89" s="40"/>
      <c r="C89" s="41"/>
      <c r="D89" s="33"/>
      <c r="E89" s="41"/>
      <c r="F89" s="41"/>
      <c r="G89" s="41"/>
      <c r="H89" s="41"/>
      <c r="I89" s="40"/>
      <c r="J89" s="40"/>
    </row>
    <row r="90" spans="2:10" ht="14.25" customHeight="1">
      <c r="B90" s="40"/>
      <c r="C90" s="41"/>
      <c r="D90" s="33"/>
      <c r="E90" s="41"/>
      <c r="F90" s="41"/>
      <c r="G90" s="41"/>
      <c r="H90" s="41"/>
      <c r="I90" s="40"/>
      <c r="J90" s="42"/>
    </row>
    <row r="91" spans="2:10" ht="14.25" customHeight="1">
      <c r="B91" s="40"/>
      <c r="C91" s="41"/>
      <c r="D91" s="33"/>
      <c r="E91" s="41"/>
      <c r="F91" s="41"/>
      <c r="G91" s="41"/>
      <c r="H91" s="41"/>
      <c r="I91" s="40"/>
      <c r="J91" s="42"/>
    </row>
    <row r="92" spans="2:10" ht="14.25" customHeight="1">
      <c r="B92" s="40"/>
      <c r="C92" s="41"/>
      <c r="D92" s="33"/>
      <c r="E92" s="41"/>
      <c r="F92" s="41"/>
      <c r="G92" s="41"/>
      <c r="H92" s="41"/>
      <c r="I92" s="40"/>
      <c r="J92" s="42"/>
    </row>
    <row r="93" spans="2:10" ht="14.25" customHeight="1">
      <c r="B93" s="40"/>
      <c r="C93" s="41"/>
      <c r="D93" s="33"/>
      <c r="E93" s="41"/>
      <c r="F93" s="41"/>
      <c r="G93" s="41"/>
      <c r="H93" s="41"/>
      <c r="I93" s="40"/>
      <c r="J93" s="42"/>
    </row>
    <row r="94" spans="2:10" ht="14.25" customHeight="1">
      <c r="B94" s="40"/>
      <c r="C94" s="41"/>
      <c r="D94" s="33"/>
      <c r="E94" s="41"/>
      <c r="F94" s="41"/>
      <c r="G94" s="41"/>
      <c r="H94" s="41"/>
      <c r="I94" s="40"/>
      <c r="J94" s="42"/>
    </row>
    <row r="95" spans="2:10" ht="14.25" customHeight="1">
      <c r="B95" s="43"/>
      <c r="C95" s="43"/>
      <c r="D95" s="43"/>
      <c r="E95" s="44"/>
      <c r="F95" s="43"/>
      <c r="G95" s="43"/>
      <c r="H95" s="43"/>
      <c r="I95" s="43"/>
      <c r="J95" s="45"/>
    </row>
    <row r="96" spans="2:10" ht="14.25" customHeight="1">
      <c r="B96" s="40"/>
      <c r="C96" s="41"/>
      <c r="D96" s="33"/>
      <c r="E96" s="41"/>
      <c r="F96" s="41"/>
      <c r="G96" s="41"/>
      <c r="H96" s="41"/>
      <c r="I96" s="40"/>
      <c r="J96" s="42"/>
    </row>
    <row r="97" spans="2:10" ht="14.25" customHeight="1">
      <c r="B97" s="40"/>
      <c r="C97" s="41"/>
      <c r="D97" s="33"/>
      <c r="E97" s="41"/>
      <c r="F97" s="41"/>
      <c r="G97" s="41"/>
      <c r="H97" s="41"/>
      <c r="I97" s="40"/>
      <c r="J97" s="42"/>
    </row>
    <row r="98" spans="2:10" ht="14.25" customHeight="1">
      <c r="B98" s="40"/>
      <c r="C98" s="41"/>
      <c r="D98" s="33"/>
      <c r="E98" s="41"/>
      <c r="F98" s="41"/>
      <c r="G98" s="41"/>
      <c r="H98" s="41"/>
      <c r="I98" s="40"/>
      <c r="J98" s="42"/>
    </row>
    <row r="99" spans="2:10" ht="14.25" customHeight="1">
      <c r="B99" s="43"/>
      <c r="C99" s="43"/>
      <c r="D99" s="43"/>
      <c r="E99" s="44"/>
      <c r="F99" s="43"/>
      <c r="G99" s="43"/>
      <c r="H99" s="43"/>
      <c r="I99" s="43"/>
      <c r="J99" s="45"/>
    </row>
    <row r="100" spans="2:10" ht="14.25" customHeight="1">
      <c r="B100" s="40"/>
      <c r="C100" s="41"/>
      <c r="D100" s="33"/>
      <c r="E100" s="41"/>
      <c r="F100" s="41"/>
      <c r="G100" s="41"/>
      <c r="H100" s="41"/>
      <c r="I100" s="40"/>
    </row>
    <row r="101" spans="2:10" ht="14.25" customHeight="1">
      <c r="B101" s="40"/>
      <c r="C101" s="41"/>
      <c r="D101" s="33"/>
      <c r="E101" s="41"/>
      <c r="F101" s="41"/>
      <c r="G101" s="41"/>
      <c r="H101" s="41"/>
      <c r="I101" s="40"/>
      <c r="J101" s="42"/>
    </row>
    <row r="102" spans="2:10" ht="14.25" customHeight="1">
      <c r="B102" s="40"/>
      <c r="C102" s="41"/>
      <c r="D102" s="33"/>
      <c r="E102" s="41"/>
      <c r="F102" s="41"/>
      <c r="G102" s="41"/>
      <c r="H102" s="41"/>
      <c r="I102" s="40"/>
      <c r="J102" s="42"/>
    </row>
    <row r="103" spans="2:10" ht="14.25" customHeight="1">
      <c r="B103" s="40"/>
      <c r="C103" s="41"/>
      <c r="D103" s="33"/>
      <c r="E103" s="41"/>
      <c r="F103" s="41"/>
      <c r="G103" s="41"/>
      <c r="H103" s="41"/>
      <c r="I103" s="40"/>
      <c r="J103" s="42"/>
    </row>
    <row r="104" spans="2:10" ht="14.25" customHeight="1">
      <c r="B104" s="40"/>
      <c r="C104" s="41"/>
      <c r="D104" s="33"/>
      <c r="E104" s="41"/>
      <c r="F104" s="41"/>
      <c r="G104" s="41"/>
      <c r="H104" s="41"/>
      <c r="I104" s="40"/>
      <c r="J104" s="42"/>
    </row>
    <row r="105" spans="2:10" ht="14.25" customHeight="1">
      <c r="B105" s="43"/>
      <c r="C105" s="43"/>
      <c r="D105" s="43"/>
      <c r="E105" s="44"/>
      <c r="F105" s="43"/>
      <c r="G105" s="43"/>
      <c r="H105" s="43"/>
      <c r="I105" s="43"/>
      <c r="J105" s="45"/>
    </row>
    <row r="106" spans="2:10" ht="14.25" customHeight="1">
      <c r="B106" s="40"/>
      <c r="C106" s="41"/>
      <c r="D106" s="33"/>
      <c r="E106" s="41"/>
      <c r="F106" s="41"/>
      <c r="G106" s="41"/>
      <c r="H106" s="41"/>
      <c r="I106" s="40"/>
      <c r="J106" s="42"/>
    </row>
    <row r="107" spans="2:10" ht="14.25" customHeight="1">
      <c r="B107" s="40"/>
      <c r="C107" s="41"/>
      <c r="D107" s="33"/>
      <c r="E107" s="41"/>
      <c r="F107" s="41"/>
      <c r="G107" s="41"/>
      <c r="H107" s="41"/>
      <c r="I107" s="40"/>
      <c r="J107" s="42"/>
    </row>
    <row r="108" spans="2:10" ht="14.25" customHeight="1">
      <c r="B108" s="43"/>
      <c r="C108" s="43"/>
      <c r="D108" s="43"/>
      <c r="E108" s="44"/>
      <c r="F108" s="43"/>
      <c r="G108" s="43"/>
      <c r="H108" s="43"/>
      <c r="I108" s="43"/>
      <c r="J108" s="45"/>
    </row>
    <row r="109" spans="2:10" ht="14.25" customHeight="1">
      <c r="B109" s="40"/>
      <c r="C109" s="41"/>
      <c r="D109" s="33"/>
      <c r="E109" s="41"/>
      <c r="F109" s="41"/>
      <c r="G109" s="41"/>
      <c r="H109" s="41"/>
      <c r="I109" s="40"/>
    </row>
    <row r="110" spans="2:10" ht="14.25" customHeight="1">
      <c r="B110" s="40"/>
      <c r="C110" s="41"/>
      <c r="D110" s="33"/>
      <c r="E110" s="41"/>
      <c r="F110" s="41"/>
      <c r="G110" s="41"/>
      <c r="H110" s="41"/>
      <c r="I110" s="40"/>
      <c r="J110" s="42"/>
    </row>
    <row r="111" spans="2:10" ht="14.25" customHeight="1">
      <c r="B111" s="40"/>
      <c r="C111" s="41"/>
      <c r="D111" s="33"/>
      <c r="E111" s="41"/>
      <c r="F111" s="41"/>
      <c r="G111" s="41"/>
      <c r="H111" s="41"/>
      <c r="I111" s="40"/>
      <c r="J111" s="42"/>
    </row>
    <row r="112" spans="2:10" ht="14.25" customHeight="1">
      <c r="B112" s="40"/>
      <c r="C112" s="41"/>
      <c r="D112" s="33"/>
      <c r="E112" s="41"/>
      <c r="F112" s="41"/>
      <c r="G112" s="41"/>
      <c r="H112" s="41"/>
      <c r="I112" s="40"/>
      <c r="J112" s="42"/>
    </row>
    <row r="113" spans="2:10" ht="14.25" customHeight="1">
      <c r="B113" s="40"/>
      <c r="C113" s="41"/>
      <c r="D113" s="33"/>
      <c r="E113" s="41"/>
      <c r="F113" s="41"/>
      <c r="G113" s="41"/>
      <c r="H113" s="41"/>
      <c r="I113" s="40"/>
      <c r="J113" s="42"/>
    </row>
    <row r="114" spans="2:10" ht="14.25" customHeight="1">
      <c r="B114" s="43"/>
      <c r="C114" s="43"/>
      <c r="D114" s="43"/>
      <c r="E114" s="44"/>
      <c r="F114" s="43"/>
      <c r="G114" s="43"/>
      <c r="H114" s="43"/>
      <c r="I114" s="43"/>
      <c r="J114" s="45"/>
    </row>
    <row r="115" spans="2:10" ht="14.25" customHeight="1">
      <c r="B115" s="40"/>
      <c r="C115" s="41"/>
      <c r="D115" s="33"/>
      <c r="E115" s="41"/>
      <c r="F115" s="41"/>
      <c r="G115" s="41"/>
      <c r="H115" s="41"/>
      <c r="I115" s="40"/>
      <c r="J115" s="42"/>
    </row>
    <row r="116" spans="2:10" ht="14.25" customHeight="1">
      <c r="B116" s="40"/>
      <c r="C116" s="41"/>
      <c r="D116" s="33"/>
      <c r="E116" s="41"/>
      <c r="F116" s="41"/>
      <c r="G116" s="41"/>
      <c r="H116" s="41"/>
      <c r="I116" s="40"/>
      <c r="J116" s="42"/>
    </row>
    <row r="117" spans="2:10" ht="14.25" customHeight="1">
      <c r="B117" s="43"/>
      <c r="C117" s="43"/>
      <c r="D117" s="43"/>
      <c r="E117" s="44"/>
      <c r="F117" s="43"/>
      <c r="G117" s="43"/>
      <c r="H117" s="43"/>
      <c r="I117" s="43"/>
      <c r="J117" s="45"/>
    </row>
    <row r="118" spans="2:10" ht="14.25" customHeight="1">
      <c r="B118" s="40"/>
      <c r="C118" s="41"/>
      <c r="D118" s="33"/>
      <c r="E118" s="41"/>
      <c r="F118" s="41"/>
      <c r="G118" s="41"/>
      <c r="H118" s="41"/>
      <c r="I118" s="40"/>
    </row>
    <row r="119" spans="2:10" ht="14.25" customHeight="1">
      <c r="B119" s="40"/>
      <c r="C119" s="41"/>
      <c r="D119" s="33"/>
      <c r="E119" s="41"/>
      <c r="F119" s="41"/>
      <c r="G119" s="41"/>
      <c r="H119" s="41"/>
      <c r="I119" s="40"/>
      <c r="J119" s="42"/>
    </row>
    <row r="120" spans="2:10" ht="14.25" customHeight="1">
      <c r="B120" s="40"/>
      <c r="C120" s="41"/>
      <c r="D120" s="33"/>
      <c r="E120" s="41"/>
      <c r="F120" s="41"/>
      <c r="G120" s="41"/>
      <c r="H120" s="41"/>
      <c r="I120" s="40"/>
      <c r="J120" s="42"/>
    </row>
    <row r="121" spans="2:10" ht="14.25" customHeight="1">
      <c r="B121" s="40"/>
      <c r="C121" s="41"/>
      <c r="D121" s="33"/>
      <c r="E121" s="41"/>
      <c r="F121" s="41"/>
      <c r="G121" s="41"/>
      <c r="H121" s="41"/>
      <c r="I121" s="40"/>
      <c r="J121" s="42"/>
    </row>
    <row r="122" spans="2:10" ht="14.25" customHeight="1">
      <c r="B122" s="40"/>
      <c r="C122" s="41"/>
      <c r="D122" s="33"/>
      <c r="E122" s="41"/>
      <c r="F122" s="41"/>
      <c r="G122" s="41"/>
      <c r="H122" s="41"/>
      <c r="I122" s="40"/>
      <c r="J122" s="42"/>
    </row>
    <row r="123" spans="2:10" ht="14.25" customHeight="1">
      <c r="B123" s="43"/>
      <c r="C123" s="43"/>
      <c r="D123" s="43"/>
      <c r="E123" s="44"/>
      <c r="F123" s="43"/>
      <c r="G123" s="43"/>
      <c r="H123" s="43"/>
      <c r="I123" s="43"/>
      <c r="J123" s="45"/>
    </row>
    <row r="124" spans="2:10" ht="14.25" customHeight="1">
      <c r="B124" s="40"/>
      <c r="C124" s="41"/>
      <c r="D124" s="33"/>
      <c r="E124" s="41"/>
      <c r="F124" s="41"/>
      <c r="G124" s="41"/>
      <c r="H124" s="41"/>
      <c r="I124" s="40"/>
      <c r="J124" s="42"/>
    </row>
    <row r="125" spans="2:10" ht="14.25" customHeight="1">
      <c r="B125" s="40"/>
      <c r="C125" s="41"/>
      <c r="D125" s="33"/>
      <c r="E125" s="41"/>
      <c r="F125" s="41"/>
      <c r="G125" s="41"/>
      <c r="H125" s="41"/>
      <c r="I125" s="40"/>
      <c r="J125" s="42"/>
    </row>
    <row r="126" spans="2:10" ht="14.25" customHeight="1">
      <c r="B126" s="43"/>
      <c r="C126" s="43"/>
      <c r="D126" s="43"/>
      <c r="E126" s="44"/>
      <c r="F126" s="43"/>
      <c r="G126" s="43"/>
      <c r="H126" s="43"/>
      <c r="I126" s="43"/>
      <c r="J126" s="45"/>
    </row>
    <row r="127" spans="2:10" ht="14.25" customHeight="1">
      <c r="B127" s="40"/>
      <c r="C127" s="41"/>
      <c r="D127" s="33"/>
      <c r="E127" s="41"/>
      <c r="F127" s="41"/>
      <c r="G127" s="41"/>
      <c r="H127" s="41"/>
      <c r="I127" s="40"/>
    </row>
    <row r="128" spans="2:10" ht="14.25" customHeight="1">
      <c r="B128" s="40"/>
      <c r="C128" s="41"/>
      <c r="D128" s="33"/>
      <c r="E128" s="41"/>
      <c r="F128" s="41"/>
      <c r="G128" s="41"/>
      <c r="H128" s="41"/>
      <c r="I128" s="40"/>
      <c r="J128" s="42"/>
    </row>
    <row r="129" spans="2:10" ht="14.25" customHeight="1">
      <c r="B129" s="40"/>
      <c r="C129" s="41"/>
      <c r="D129" s="33"/>
      <c r="E129" s="41"/>
      <c r="F129" s="41"/>
      <c r="G129" s="41"/>
      <c r="H129" s="41"/>
      <c r="I129" s="40"/>
      <c r="J129" s="42"/>
    </row>
    <row r="130" spans="2:10" ht="14.25" customHeight="1">
      <c r="B130" s="40"/>
      <c r="C130" s="41"/>
      <c r="D130" s="33"/>
      <c r="E130" s="41"/>
      <c r="F130" s="41"/>
      <c r="G130" s="41"/>
      <c r="H130" s="41"/>
      <c r="I130" s="40"/>
      <c r="J130" s="42"/>
    </row>
    <row r="131" spans="2:10" ht="14.25" customHeight="1">
      <c r="B131" s="40"/>
      <c r="C131" s="41"/>
      <c r="D131" s="33"/>
      <c r="E131" s="41"/>
      <c r="F131" s="41"/>
      <c r="G131" s="41"/>
      <c r="H131" s="41"/>
      <c r="I131" s="40"/>
      <c r="J131" s="42"/>
    </row>
    <row r="132" spans="2:10" ht="14.25" customHeight="1">
      <c r="B132" s="43"/>
      <c r="C132" s="43"/>
      <c r="D132" s="43"/>
      <c r="E132" s="44"/>
      <c r="F132" s="43"/>
      <c r="G132" s="43"/>
      <c r="H132" s="43"/>
      <c r="I132" s="43"/>
      <c r="J132" s="45"/>
    </row>
    <row r="133" spans="2:10" ht="14.25" customHeight="1">
      <c r="B133" s="40"/>
      <c r="C133" s="41"/>
      <c r="D133" s="33"/>
      <c r="E133" s="41"/>
      <c r="F133" s="41"/>
      <c r="G133" s="41"/>
      <c r="H133" s="41"/>
      <c r="I133" s="40"/>
      <c r="J133" s="42"/>
    </row>
    <row r="134" spans="2:10" ht="14.25" customHeight="1">
      <c r="B134" s="40"/>
      <c r="C134" s="41"/>
      <c r="D134" s="33"/>
      <c r="E134" s="41"/>
      <c r="F134" s="41"/>
      <c r="G134" s="41"/>
      <c r="H134" s="41"/>
      <c r="I134" s="40"/>
      <c r="J134" s="42"/>
    </row>
    <row r="135" spans="2:10" ht="14.25" customHeight="1">
      <c r="B135" s="43"/>
      <c r="C135" s="43"/>
      <c r="D135" s="43"/>
      <c r="E135" s="44"/>
      <c r="F135" s="43"/>
      <c r="G135" s="43"/>
      <c r="H135" s="43"/>
      <c r="I135" s="43"/>
      <c r="J135" s="45"/>
    </row>
    <row r="137" spans="2:10" ht="14.25" customHeight="1">
      <c r="B137" s="40"/>
      <c r="C137" s="41"/>
      <c r="D137" s="33"/>
      <c r="E137" s="41"/>
      <c r="F137" s="41"/>
      <c r="G137" s="41"/>
      <c r="H137" s="41"/>
      <c r="I137" s="40"/>
    </row>
    <row r="138" spans="2:10" ht="14.25" customHeight="1">
      <c r="B138" s="40"/>
      <c r="C138" s="41"/>
      <c r="D138" s="33"/>
      <c r="E138" s="41"/>
      <c r="F138" s="41"/>
      <c r="G138" s="41"/>
      <c r="H138" s="41"/>
      <c r="I138" s="40"/>
    </row>
    <row r="139" spans="2:10" ht="14.25" customHeight="1">
      <c r="B139" s="40"/>
      <c r="C139" s="41"/>
      <c r="D139" s="33"/>
      <c r="E139" s="41"/>
      <c r="F139" s="41"/>
      <c r="G139" s="41"/>
      <c r="H139" s="41"/>
      <c r="I139" s="40"/>
    </row>
    <row r="140" spans="2:10" ht="14.25" customHeight="1">
      <c r="B140" s="40"/>
      <c r="C140" s="41"/>
      <c r="D140" s="33"/>
      <c r="E140" s="41"/>
      <c r="F140" s="41"/>
      <c r="G140" s="41"/>
      <c r="H140" s="41"/>
      <c r="I140" s="40"/>
    </row>
    <row r="141" spans="2:10" ht="14.25" customHeight="1">
      <c r="B141" s="40"/>
      <c r="C141" s="41"/>
      <c r="D141" s="33"/>
      <c r="E141" s="41"/>
      <c r="F141" s="41"/>
      <c r="G141" s="41"/>
      <c r="H141" s="41"/>
      <c r="I141" s="40"/>
    </row>
    <row r="142" spans="2:10" ht="14.25" customHeight="1">
      <c r="E142" s="46"/>
      <c r="J142" s="47"/>
    </row>
    <row r="143" spans="2:10" ht="14.25" customHeight="1">
      <c r="B143" s="40"/>
      <c r="C143" s="41"/>
      <c r="D143" s="33"/>
      <c r="E143" s="41"/>
      <c r="F143" s="41"/>
      <c r="G143" s="41"/>
      <c r="H143" s="41"/>
      <c r="I143" s="40"/>
    </row>
    <row r="144" spans="2:10" ht="14.25" customHeight="1">
      <c r="B144" s="40"/>
      <c r="C144" s="41"/>
      <c r="D144" s="33"/>
      <c r="E144" s="41"/>
      <c r="F144" s="41"/>
      <c r="G144" s="41"/>
      <c r="H144" s="41"/>
      <c r="I144" s="40"/>
    </row>
    <row r="145" spans="2:10" ht="14.25" customHeight="1">
      <c r="B145" s="40"/>
      <c r="C145" s="41"/>
      <c r="D145" s="33"/>
      <c r="E145" s="41"/>
      <c r="F145" s="41"/>
      <c r="G145" s="41"/>
      <c r="H145" s="41"/>
      <c r="I145" s="40"/>
    </row>
    <row r="146" spans="2:10" ht="14.25" customHeight="1">
      <c r="E146" s="46"/>
      <c r="J146" s="47"/>
    </row>
    <row r="148" spans="2:10" ht="14.25" customHeight="1">
      <c r="B148" s="40"/>
      <c r="C148" s="41"/>
      <c r="D148" s="33"/>
      <c r="E148" s="41"/>
      <c r="F148" s="41"/>
      <c r="G148" s="41"/>
      <c r="H148" s="41"/>
      <c r="I148" s="40"/>
    </row>
    <row r="149" spans="2:10" ht="14.25" customHeight="1">
      <c r="B149" s="40"/>
      <c r="C149" s="41"/>
      <c r="D149" s="33"/>
      <c r="E149" s="41"/>
      <c r="F149" s="41"/>
      <c r="G149" s="41"/>
      <c r="H149" s="41"/>
      <c r="I149" s="40"/>
    </row>
    <row r="150" spans="2:10" ht="14.25" customHeight="1">
      <c r="B150" s="40"/>
      <c r="C150" s="41"/>
      <c r="D150" s="33"/>
      <c r="E150" s="41"/>
      <c r="F150" s="41"/>
      <c r="G150" s="41"/>
      <c r="H150" s="41"/>
      <c r="I150" s="40"/>
    </row>
    <row r="151" spans="2:10" ht="14.25" customHeight="1">
      <c r="B151" s="40"/>
      <c r="C151" s="41"/>
      <c r="D151" s="33"/>
      <c r="E151" s="41"/>
      <c r="F151" s="41"/>
      <c r="G151" s="41"/>
      <c r="H151" s="41"/>
      <c r="I151" s="40"/>
    </row>
    <row r="152" spans="2:10" ht="14.25" customHeight="1">
      <c r="B152" s="40"/>
      <c r="C152" s="41"/>
      <c r="D152" s="33"/>
      <c r="E152" s="41"/>
      <c r="F152" s="41"/>
      <c r="G152" s="41"/>
      <c r="H152" s="41"/>
      <c r="I152" s="40"/>
    </row>
    <row r="153" spans="2:10" ht="14.25" customHeight="1">
      <c r="B153" s="40"/>
      <c r="C153" s="41"/>
      <c r="D153" s="33"/>
      <c r="E153" s="41"/>
      <c r="F153" s="41"/>
      <c r="G153" s="41"/>
      <c r="H153" s="41"/>
      <c r="I153" s="40"/>
    </row>
    <row r="154" spans="2:10" ht="14.25" customHeight="1">
      <c r="B154" s="40"/>
      <c r="C154" s="41"/>
      <c r="D154" s="33"/>
      <c r="E154" s="41"/>
      <c r="F154" s="41"/>
      <c r="G154" s="41"/>
      <c r="H154" s="41"/>
      <c r="I154" s="40"/>
    </row>
    <row r="155" spans="2:10" ht="14.25" customHeight="1">
      <c r="B155" s="40"/>
      <c r="C155" s="41"/>
      <c r="D155" s="33"/>
      <c r="E155" s="41"/>
      <c r="F155" s="41"/>
      <c r="G155" s="41"/>
      <c r="H155" s="41"/>
      <c r="I155" s="40"/>
    </row>
    <row r="156" spans="2:10" ht="14.25" customHeight="1">
      <c r="B156" s="40"/>
      <c r="C156" s="41"/>
      <c r="D156" s="33"/>
      <c r="E156" s="41"/>
      <c r="F156" s="41"/>
      <c r="G156" s="41"/>
      <c r="H156" s="41"/>
      <c r="I156" s="40"/>
    </row>
    <row r="157" spans="2:10" ht="14.25" customHeight="1">
      <c r="E157" s="46"/>
      <c r="J157" s="47"/>
    </row>
    <row r="158" spans="2:10" ht="14.25" customHeight="1">
      <c r="B158" s="40"/>
      <c r="C158" s="41"/>
      <c r="D158" s="33"/>
      <c r="E158" s="41"/>
      <c r="F158" s="41"/>
      <c r="G158" s="41"/>
      <c r="H158" s="41"/>
      <c r="I158" s="40"/>
    </row>
    <row r="159" spans="2:10" ht="14.25" customHeight="1">
      <c r="B159" s="40"/>
      <c r="C159" s="41"/>
      <c r="D159" s="33"/>
      <c r="E159" s="41"/>
      <c r="F159" s="41"/>
      <c r="G159" s="41"/>
      <c r="H159" s="41"/>
      <c r="I159" s="40"/>
    </row>
    <row r="160" spans="2:10" ht="14.25" customHeight="1">
      <c r="B160" s="40"/>
      <c r="C160" s="41"/>
      <c r="D160" s="33"/>
      <c r="E160" s="41"/>
      <c r="F160" s="41"/>
      <c r="G160" s="41"/>
      <c r="H160" s="41"/>
      <c r="I160" s="40"/>
    </row>
    <row r="161" spans="2:10" ht="14.25" customHeight="1">
      <c r="B161" s="40"/>
      <c r="C161" s="41"/>
      <c r="D161" s="33"/>
      <c r="E161" s="41"/>
      <c r="F161" s="41"/>
      <c r="G161" s="41"/>
      <c r="H161" s="41"/>
      <c r="I161" s="40"/>
    </row>
    <row r="162" spans="2:10" ht="14.25" customHeight="1">
      <c r="B162" s="40"/>
      <c r="C162" s="41"/>
      <c r="D162" s="33"/>
      <c r="E162" s="41"/>
      <c r="F162" s="41"/>
      <c r="G162" s="41"/>
      <c r="H162" s="41"/>
      <c r="I162" s="40"/>
    </row>
    <row r="163" spans="2:10" ht="14.25" customHeight="1">
      <c r="B163" s="40"/>
      <c r="C163" s="41"/>
      <c r="D163" s="33"/>
      <c r="E163" s="41"/>
      <c r="F163" s="41"/>
      <c r="G163" s="41"/>
      <c r="H163" s="41"/>
      <c r="I163" s="40"/>
    </row>
    <row r="164" spans="2:10" ht="14.25" customHeight="1">
      <c r="B164" s="40"/>
      <c r="C164" s="41"/>
      <c r="D164" s="33"/>
      <c r="E164" s="41"/>
      <c r="F164" s="41"/>
      <c r="G164" s="41"/>
      <c r="H164" s="41"/>
      <c r="I164" s="40"/>
    </row>
    <row r="165" spans="2:10" ht="14.25" customHeight="1">
      <c r="B165" s="40"/>
      <c r="C165" s="41"/>
      <c r="D165" s="33"/>
      <c r="E165" s="41"/>
      <c r="F165" s="41"/>
      <c r="G165" s="41"/>
      <c r="H165" s="41"/>
      <c r="I165" s="40"/>
    </row>
    <row r="166" spans="2:10" ht="14.25" customHeight="1">
      <c r="B166" s="40"/>
      <c r="C166" s="41"/>
      <c r="D166" s="33"/>
      <c r="E166" s="41"/>
      <c r="F166" s="41"/>
      <c r="G166" s="41"/>
      <c r="H166" s="41"/>
      <c r="I166" s="40"/>
    </row>
    <row r="167" spans="2:10" ht="14.25" customHeight="1">
      <c r="E167" s="46"/>
      <c r="J167" s="47"/>
    </row>
    <row r="169" spans="2:10" ht="14.25" customHeight="1">
      <c r="B169" s="40"/>
      <c r="C169" s="41"/>
      <c r="D169" s="33"/>
      <c r="E169" s="41"/>
      <c r="F169" s="41"/>
      <c r="G169" s="41"/>
      <c r="H169" s="41"/>
      <c r="I169" s="40"/>
    </row>
    <row r="170" spans="2:10" ht="14.25" customHeight="1">
      <c r="B170" s="40"/>
      <c r="C170" s="41"/>
      <c r="D170" s="33"/>
      <c r="E170" s="41"/>
      <c r="F170" s="41"/>
      <c r="G170" s="41"/>
      <c r="H170" s="41"/>
      <c r="I170" s="40"/>
    </row>
    <row r="171" spans="2:10" ht="14.25" customHeight="1">
      <c r="B171" s="40"/>
      <c r="C171" s="41"/>
      <c r="D171" s="33"/>
      <c r="E171" s="41"/>
      <c r="F171" s="41"/>
      <c r="G171" s="41"/>
      <c r="H171" s="41"/>
      <c r="I171" s="40"/>
    </row>
    <row r="172" spans="2:10" ht="14.25" customHeight="1">
      <c r="B172" s="40"/>
      <c r="C172" s="41"/>
      <c r="D172" s="33"/>
      <c r="E172" s="41"/>
      <c r="F172" s="41"/>
      <c r="G172" s="41"/>
      <c r="H172" s="41"/>
      <c r="I172" s="40"/>
    </row>
    <row r="173" spans="2:10" ht="14.25" customHeight="1">
      <c r="I173" s="49"/>
    </row>
    <row r="174" spans="2:10" ht="14.25" customHeight="1">
      <c r="B174" s="40"/>
      <c r="C174" s="41"/>
      <c r="D174" s="33"/>
      <c r="E174" s="41"/>
      <c r="F174" s="41"/>
      <c r="G174" s="41"/>
      <c r="H174" s="41"/>
      <c r="I174" s="40"/>
    </row>
    <row r="175" spans="2:10" ht="14.25" customHeight="1">
      <c r="B175" s="40"/>
      <c r="C175" s="41"/>
      <c r="D175" s="33"/>
      <c r="E175" s="41"/>
      <c r="F175" s="41"/>
      <c r="G175" s="41"/>
      <c r="H175" s="41"/>
      <c r="I175" s="40"/>
    </row>
    <row r="176" spans="2:10" ht="14.25" customHeight="1">
      <c r="I176" s="49"/>
    </row>
    <row r="178" spans="2:9" ht="14.25" customHeight="1">
      <c r="B178" s="40"/>
      <c r="C178" s="41"/>
      <c r="D178" s="33"/>
      <c r="E178" s="41"/>
      <c r="F178" s="41"/>
      <c r="G178" s="41"/>
      <c r="H178" s="41"/>
      <c r="I178" s="40"/>
    </row>
    <row r="179" spans="2:9" ht="14.25" customHeight="1">
      <c r="B179" s="40"/>
      <c r="C179" s="41"/>
      <c r="D179" s="33"/>
      <c r="E179" s="41"/>
      <c r="F179" s="41"/>
      <c r="G179" s="41"/>
      <c r="H179" s="41"/>
      <c r="I179" s="40"/>
    </row>
    <row r="180" spans="2:9" ht="14.25" customHeight="1">
      <c r="B180" s="40"/>
      <c r="C180" s="41"/>
      <c r="D180" s="33"/>
      <c r="E180" s="41"/>
      <c r="F180" s="41"/>
      <c r="G180" s="41"/>
      <c r="H180" s="41"/>
      <c r="I180" s="40"/>
    </row>
    <row r="181" spans="2:9" ht="14.25" customHeight="1">
      <c r="B181" s="40"/>
      <c r="C181" s="41"/>
      <c r="D181" s="33"/>
      <c r="E181" s="41"/>
      <c r="F181" s="41"/>
      <c r="G181" s="41"/>
      <c r="H181" s="41"/>
      <c r="I181" s="40"/>
    </row>
    <row r="182" spans="2:9" ht="14.25" customHeight="1">
      <c r="I182" s="49"/>
    </row>
    <row r="183" spans="2:9" ht="14.25" customHeight="1">
      <c r="B183" s="40"/>
      <c r="C183" s="41"/>
      <c r="D183" s="33"/>
      <c r="E183" s="41"/>
      <c r="F183" s="41"/>
      <c r="G183" s="41"/>
      <c r="H183" s="41"/>
      <c r="I183" s="40"/>
    </row>
    <row r="184" spans="2:9" ht="14.25" customHeight="1">
      <c r="B184" s="40"/>
      <c r="C184" s="41"/>
      <c r="D184" s="33"/>
      <c r="E184" s="41"/>
      <c r="F184" s="41"/>
      <c r="G184" s="41"/>
      <c r="H184" s="41"/>
      <c r="I184" s="40"/>
    </row>
    <row r="185" spans="2:9" ht="14.25" customHeight="1">
      <c r="I185" s="49"/>
    </row>
    <row r="187" spans="2:9" ht="14.25" customHeight="1">
      <c r="B187" s="40"/>
      <c r="C187" s="41"/>
      <c r="D187" s="33"/>
      <c r="E187" s="41"/>
      <c r="F187" s="41"/>
      <c r="G187" s="41"/>
      <c r="H187" s="41"/>
      <c r="I187" s="40"/>
    </row>
    <row r="188" spans="2:9" ht="14.25" customHeight="1">
      <c r="B188" s="40"/>
      <c r="C188" s="41"/>
      <c r="D188" s="33"/>
      <c r="E188" s="41"/>
      <c r="F188" s="41"/>
      <c r="G188" s="41"/>
      <c r="H188" s="41"/>
      <c r="I188" s="40"/>
    </row>
    <row r="189" spans="2:9" ht="14.25" customHeight="1">
      <c r="B189" s="40"/>
      <c r="C189" s="41"/>
      <c r="D189" s="33"/>
      <c r="E189" s="41"/>
      <c r="F189" s="41"/>
      <c r="G189" s="41"/>
      <c r="H189" s="41"/>
      <c r="I189" s="40"/>
    </row>
    <row r="190" spans="2:9" ht="14.25" customHeight="1">
      <c r="B190" s="40"/>
      <c r="C190" s="41"/>
      <c r="D190" s="33"/>
      <c r="E190" s="41"/>
      <c r="F190" s="41"/>
      <c r="G190" s="41"/>
      <c r="H190" s="41"/>
      <c r="I190" s="40"/>
    </row>
    <row r="191" spans="2:9" ht="14.25" customHeight="1">
      <c r="I191" s="49"/>
    </row>
    <row r="192" spans="2:9" ht="14.25" customHeight="1">
      <c r="B192" s="40"/>
      <c r="C192" s="41"/>
      <c r="D192" s="33"/>
      <c r="E192" s="41"/>
      <c r="F192" s="41"/>
      <c r="G192" s="41"/>
      <c r="H192" s="41"/>
      <c r="I192" s="40"/>
    </row>
    <row r="193" spans="2:9" ht="14.25" customHeight="1">
      <c r="B193" s="40"/>
      <c r="C193" s="41"/>
      <c r="D193" s="33"/>
      <c r="E193" s="41"/>
      <c r="F193" s="41"/>
      <c r="G193" s="41"/>
      <c r="H193" s="41"/>
      <c r="I193" s="40"/>
    </row>
    <row r="194" spans="2:9" ht="14.25" customHeight="1">
      <c r="I194" s="49"/>
    </row>
    <row r="196" spans="2:9" ht="14.25" customHeight="1">
      <c r="B196" s="40"/>
      <c r="C196" s="41"/>
      <c r="D196" s="33"/>
      <c r="E196" s="41"/>
      <c r="F196" s="41"/>
      <c r="G196" s="41"/>
      <c r="H196" s="41"/>
      <c r="I196" s="40"/>
    </row>
    <row r="197" spans="2:9" ht="14.25" customHeight="1">
      <c r="B197" s="40"/>
      <c r="C197" s="41"/>
      <c r="D197" s="33"/>
      <c r="E197" s="41"/>
      <c r="F197" s="41"/>
      <c r="G197" s="41"/>
      <c r="H197" s="41"/>
      <c r="I197" s="40"/>
    </row>
    <row r="198" spans="2:9" ht="14.25" customHeight="1">
      <c r="B198" s="40"/>
      <c r="C198" s="41"/>
      <c r="D198" s="33"/>
      <c r="E198" s="41"/>
      <c r="F198" s="41"/>
      <c r="G198" s="41"/>
      <c r="H198" s="41"/>
      <c r="I198" s="40"/>
    </row>
    <row r="199" spans="2:9" ht="14.25" customHeight="1">
      <c r="B199" s="40"/>
      <c r="C199" s="41"/>
      <c r="D199" s="33"/>
      <c r="E199" s="41"/>
      <c r="F199" s="41"/>
      <c r="G199" s="41"/>
      <c r="H199" s="41"/>
      <c r="I199" s="40"/>
    </row>
    <row r="200" spans="2:9" ht="14.25" customHeight="1">
      <c r="I200" s="49"/>
    </row>
    <row r="201" spans="2:9" ht="14.25" customHeight="1">
      <c r="B201" s="40"/>
      <c r="C201" s="41"/>
      <c r="D201" s="33"/>
      <c r="E201" s="41"/>
      <c r="F201" s="41"/>
      <c r="G201" s="41"/>
      <c r="H201" s="41"/>
      <c r="I201" s="40"/>
    </row>
    <row r="202" spans="2:9" ht="14.25" customHeight="1">
      <c r="B202" s="40"/>
      <c r="C202" s="41"/>
      <c r="D202" s="33"/>
      <c r="E202" s="41"/>
      <c r="F202" s="41"/>
      <c r="G202" s="41"/>
      <c r="H202" s="41"/>
      <c r="I202" s="40"/>
    </row>
    <row r="203" spans="2:9" ht="14.25" customHeight="1">
      <c r="I203" s="49"/>
    </row>
    <row r="205" spans="2:9" ht="14.25" customHeight="1">
      <c r="B205" s="40"/>
      <c r="C205" s="41"/>
      <c r="D205" s="33"/>
      <c r="E205" s="41"/>
      <c r="F205" s="41"/>
      <c r="G205" s="41"/>
      <c r="H205" s="41"/>
      <c r="I205" s="40"/>
    </row>
    <row r="206" spans="2:9" ht="14.25" customHeight="1">
      <c r="B206" s="40"/>
      <c r="C206" s="41"/>
      <c r="D206" s="33"/>
      <c r="E206" s="41"/>
      <c r="F206" s="41"/>
      <c r="G206" s="41"/>
      <c r="H206" s="41"/>
      <c r="I206" s="40"/>
    </row>
    <row r="207" spans="2:9" ht="14.25" customHeight="1">
      <c r="B207" s="40"/>
      <c r="C207" s="41"/>
      <c r="D207" s="33"/>
      <c r="E207" s="41"/>
      <c r="F207" s="41"/>
      <c r="G207" s="41"/>
      <c r="H207" s="41"/>
      <c r="I207" s="40"/>
    </row>
    <row r="208" spans="2:9" ht="14.25" customHeight="1">
      <c r="B208" s="40"/>
      <c r="C208" s="41"/>
      <c r="D208" s="33"/>
      <c r="E208" s="41"/>
      <c r="F208" s="41"/>
      <c r="G208" s="41"/>
      <c r="H208" s="41"/>
      <c r="I208" s="40"/>
    </row>
    <row r="209" spans="2:9" ht="14.25" customHeight="1">
      <c r="I209" s="49"/>
    </row>
    <row r="210" spans="2:9" ht="14.25" customHeight="1">
      <c r="B210" s="40"/>
      <c r="C210" s="41"/>
      <c r="D210" s="33"/>
      <c r="E210" s="41"/>
      <c r="F210" s="41"/>
      <c r="G210" s="41"/>
      <c r="H210" s="41"/>
      <c r="I210" s="40"/>
    </row>
    <row r="211" spans="2:9" ht="14.25" customHeight="1">
      <c r="B211" s="40"/>
      <c r="C211" s="41"/>
      <c r="D211" s="33"/>
      <c r="E211" s="41"/>
      <c r="F211" s="41"/>
      <c r="G211" s="41"/>
      <c r="H211" s="41"/>
      <c r="I211" s="40"/>
    </row>
    <row r="212" spans="2:9" ht="14.25" customHeight="1">
      <c r="I212" s="49"/>
    </row>
    <row r="214" spans="2:9" ht="14.25" customHeight="1">
      <c r="B214" s="40"/>
      <c r="C214" s="41"/>
      <c r="D214" s="33"/>
      <c r="E214" s="41"/>
      <c r="F214" s="41"/>
      <c r="G214" s="41"/>
      <c r="H214" s="41"/>
      <c r="I214" s="40"/>
    </row>
    <row r="215" spans="2:9" ht="14.25" customHeight="1">
      <c r="B215" s="40"/>
      <c r="C215" s="41"/>
      <c r="D215" s="33"/>
      <c r="E215" s="41"/>
      <c r="F215" s="41"/>
      <c r="G215" s="41"/>
      <c r="H215" s="41"/>
      <c r="I215" s="40"/>
    </row>
    <row r="216" spans="2:9" ht="14.25" customHeight="1">
      <c r="B216" s="40"/>
      <c r="C216" s="41"/>
      <c r="D216" s="33"/>
      <c r="E216" s="41"/>
      <c r="F216" s="41"/>
      <c r="G216" s="41"/>
      <c r="H216" s="41"/>
      <c r="I216" s="40"/>
    </row>
    <row r="217" spans="2:9" ht="14.25" customHeight="1">
      <c r="B217" s="40"/>
      <c r="C217" s="41"/>
      <c r="D217" s="33"/>
      <c r="E217" s="41"/>
      <c r="F217" s="41"/>
      <c r="G217" s="41"/>
      <c r="H217" s="41"/>
      <c r="I217" s="40"/>
    </row>
    <row r="218" spans="2:9" ht="14.25" customHeight="1">
      <c r="B218" s="40"/>
      <c r="C218" s="41"/>
      <c r="D218" s="33"/>
      <c r="E218" s="41"/>
      <c r="F218" s="41"/>
      <c r="G218" s="41"/>
      <c r="H218" s="41"/>
      <c r="I218" s="40"/>
    </row>
    <row r="219" spans="2:9" ht="14.25" customHeight="1">
      <c r="B219" s="40"/>
      <c r="C219" s="41"/>
      <c r="D219" s="33"/>
      <c r="E219" s="41"/>
      <c r="F219" s="41"/>
      <c r="G219" s="41"/>
      <c r="H219" s="41"/>
      <c r="I219" s="40"/>
    </row>
    <row r="220" spans="2:9" ht="14.25" customHeight="1">
      <c r="B220" s="40"/>
      <c r="C220" s="41"/>
      <c r="D220" s="33"/>
      <c r="E220" s="41"/>
      <c r="F220" s="41"/>
      <c r="G220" s="41"/>
      <c r="H220" s="41"/>
      <c r="I220" s="40"/>
    </row>
    <row r="221" spans="2:9" ht="14.25" customHeight="1">
      <c r="B221" s="40"/>
      <c r="C221" s="41"/>
      <c r="D221" s="33"/>
      <c r="E221" s="41"/>
      <c r="F221" s="41"/>
      <c r="G221" s="41"/>
      <c r="H221" s="41"/>
      <c r="I221" s="40"/>
    </row>
    <row r="222" spans="2:9" ht="14.25" customHeight="1">
      <c r="I222" s="49"/>
    </row>
    <row r="223" spans="2:9" ht="14.25" customHeight="1">
      <c r="B223" s="40"/>
      <c r="C223" s="41"/>
      <c r="D223" s="33"/>
      <c r="E223" s="41"/>
      <c r="F223" s="41"/>
      <c r="G223" s="41"/>
      <c r="H223" s="41"/>
      <c r="I223" s="40"/>
    </row>
    <row r="224" spans="2:9" ht="14.25" customHeight="1">
      <c r="B224" s="40"/>
      <c r="C224" s="41"/>
      <c r="D224" s="33"/>
      <c r="E224" s="41"/>
      <c r="F224" s="41"/>
      <c r="G224" s="41"/>
      <c r="H224" s="41"/>
      <c r="I224" s="40"/>
    </row>
    <row r="225" spans="2:9" ht="14.25" customHeight="1">
      <c r="B225" s="40"/>
      <c r="C225" s="41"/>
      <c r="D225" s="33"/>
      <c r="E225" s="41"/>
      <c r="F225" s="41"/>
      <c r="G225" s="41"/>
      <c r="H225" s="41"/>
      <c r="I225" s="40"/>
    </row>
    <row r="226" spans="2:9" ht="14.25" customHeight="1">
      <c r="B226" s="40"/>
      <c r="C226" s="41"/>
      <c r="D226" s="33"/>
      <c r="E226" s="41"/>
      <c r="F226" s="41"/>
      <c r="G226" s="41"/>
      <c r="H226" s="41"/>
      <c r="I226" s="40"/>
    </row>
    <row r="227" spans="2:9" ht="14.25" customHeight="1">
      <c r="B227" s="40"/>
      <c r="C227" s="41"/>
      <c r="D227" s="33"/>
      <c r="E227" s="41"/>
      <c r="F227" s="41"/>
      <c r="G227" s="41"/>
      <c r="H227" s="41"/>
      <c r="I227" s="40"/>
    </row>
    <row r="228" spans="2:9" ht="14.25" customHeight="1">
      <c r="B228" s="40"/>
      <c r="C228" s="41"/>
      <c r="D228" s="33"/>
      <c r="E228" s="41"/>
      <c r="F228" s="41"/>
      <c r="G228" s="41"/>
      <c r="H228" s="41"/>
      <c r="I228" s="40"/>
    </row>
    <row r="229" spans="2:9" ht="14.25" customHeight="1">
      <c r="B229" s="40"/>
      <c r="C229" s="41"/>
      <c r="D229" s="33"/>
      <c r="E229" s="41"/>
      <c r="F229" s="41"/>
      <c r="G229" s="41"/>
      <c r="H229" s="41"/>
      <c r="I229" s="40"/>
    </row>
    <row r="230" spans="2:9" ht="14.25" customHeight="1">
      <c r="B230" s="40"/>
      <c r="C230" s="41"/>
      <c r="D230" s="33"/>
      <c r="E230" s="41"/>
      <c r="F230" s="41"/>
      <c r="G230" s="41"/>
      <c r="H230" s="41"/>
      <c r="I230" s="40"/>
    </row>
    <row r="231" spans="2:9" ht="14.25" customHeight="1">
      <c r="I231" s="49"/>
    </row>
  </sheetData>
  <mergeCells count="2">
    <mergeCell ref="A1:J1"/>
    <mergeCell ref="A2:J2"/>
  </mergeCells>
  <dataValidations count="4">
    <dataValidation type="list" sqref="G5:G71" xr:uid="{00000000-0002-0000-0400-000000000000}">
      <formula1>"ON,OFF"</formula1>
      <formula2>0</formula2>
    </dataValidation>
    <dataValidation type="list" sqref="H5:H71" xr:uid="{00000000-0002-0000-0400-000001000000}">
      <formula1>"FTC,FTE,MGCC"</formula1>
      <formula2>0</formula2>
    </dataValidation>
    <dataValidation type="list" sqref="F5:F71" xr:uid="{00000000-0002-0000-0400-000002000000}">
      <formula1>"E1,E2,E3,E4,E5"</formula1>
      <formula2>0</formula2>
    </dataValidation>
    <dataValidation type="list" sqref="E5:E71" xr:uid="{00000000-0002-0000-0400-000003000000}">
      <formula1>"LEAD,BA,DEV,ENG,TEST,OPS"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topLeftCell="A3" zoomScaleNormal="100" workbookViewId="0">
      <selection activeCell="K22" sqref="K22"/>
    </sheetView>
  </sheetViews>
  <sheetFormatPr defaultColWidth="8.6328125" defaultRowHeight="14.5"/>
  <cols>
    <col min="1" max="1" width="2" customWidth="1"/>
    <col min="2" max="3" width="8" customWidth="1"/>
    <col min="4" max="4" width="42" customWidth="1"/>
    <col min="5" max="6" width="14" customWidth="1"/>
    <col min="7" max="9" width="12" customWidth="1"/>
  </cols>
  <sheetData>
    <row r="1" spans="1:9" ht="25.5" customHeight="1">
      <c r="A1" s="5" t="s">
        <v>607</v>
      </c>
      <c r="B1" s="5"/>
      <c r="C1" s="5"/>
      <c r="D1" s="5"/>
      <c r="E1" s="5"/>
      <c r="F1" s="5"/>
      <c r="G1" s="5"/>
      <c r="H1" s="5"/>
      <c r="I1" s="5"/>
    </row>
    <row r="2" spans="1:9" ht="14.25" customHeight="1">
      <c r="A2" s="4" t="s">
        <v>608</v>
      </c>
      <c r="B2" s="4"/>
      <c r="C2" s="4"/>
      <c r="D2" s="4"/>
      <c r="E2" s="4"/>
      <c r="F2" s="4"/>
      <c r="G2" s="4"/>
      <c r="H2" s="4"/>
      <c r="I2" s="4"/>
    </row>
    <row r="4" spans="1:9" ht="27.75" customHeight="1">
      <c r="B4" s="16" t="s">
        <v>559</v>
      </c>
      <c r="C4" s="16" t="s">
        <v>560</v>
      </c>
      <c r="D4" s="16" t="s">
        <v>167</v>
      </c>
      <c r="E4" s="16" t="s">
        <v>609</v>
      </c>
      <c r="F4" s="16" t="s">
        <v>610</v>
      </c>
      <c r="G4" s="16" t="s">
        <v>611</v>
      </c>
      <c r="H4" s="16" t="s">
        <v>612</v>
      </c>
    </row>
    <row r="5" spans="1:9" ht="14.25" customHeight="1">
      <c r="B5" s="40">
        <v>1</v>
      </c>
      <c r="C5" s="41" t="s">
        <v>176</v>
      </c>
      <c r="D5" s="12" t="s">
        <v>546</v>
      </c>
      <c r="E5" s="40">
        <v>3</v>
      </c>
      <c r="F5" s="40">
        <v>2</v>
      </c>
      <c r="G5" s="36">
        <f>E5+F5</f>
        <v>5</v>
      </c>
      <c r="H5" s="18">
        <f>E5*SUMIFS('Pod Library'!$J:$J,'Pod Library'!$B:$B,$B5,'Pod Library'!$C:$C,$C5,'Pod Library'!$D:$D,"CO")+F5*SUMIFS('Pod Library'!$J:$J,'Pod Library'!$B:$B,$B5,'Pod Library'!$C:$C,$C5,'Pod Library'!$D:$D,"FS")</f>
        <v>26</v>
      </c>
    </row>
    <row r="6" spans="1:9" ht="14.25" customHeight="1">
      <c r="B6" s="40">
        <v>1</v>
      </c>
      <c r="C6" s="41" t="s">
        <v>186</v>
      </c>
      <c r="D6" s="12" t="s">
        <v>547</v>
      </c>
      <c r="E6" s="40">
        <v>2</v>
      </c>
      <c r="F6" s="40">
        <v>1</v>
      </c>
      <c r="G6" s="36">
        <f>E6+F6</f>
        <v>3</v>
      </c>
      <c r="H6" s="18">
        <f>E6*SUMIFS('Pod Library'!$J:$J,'Pod Library'!$B:$B,$B6,'Pod Library'!$C:$C,$C6,'Pod Library'!$D:$D,"CO")+F6*SUMIFS('Pod Library'!$J:$J,'Pod Library'!$B:$B,$B6,'Pod Library'!$C:$C,$C6,'Pod Library'!$D:$D,"FS")</f>
        <v>16</v>
      </c>
    </row>
    <row r="7" spans="1:9" ht="14.25" customHeight="1">
      <c r="B7" s="40">
        <v>1</v>
      </c>
      <c r="C7" s="41" t="s">
        <v>196</v>
      </c>
      <c r="D7" s="12" t="s">
        <v>548</v>
      </c>
      <c r="E7" s="40">
        <v>0</v>
      </c>
      <c r="F7" s="40">
        <v>1</v>
      </c>
      <c r="G7" s="36">
        <f>E7+F7</f>
        <v>1</v>
      </c>
      <c r="H7" s="18">
        <f>E7*SUMIFS('Pod Library'!$J:$J,'Pod Library'!$B:$B,$B7,'Pod Library'!$C:$C,$C7,'Pod Library'!$D:$D,"CO")+F7*SUMIFS('Pod Library'!$J:$J,'Pod Library'!$B:$B,$B7,'Pod Library'!$C:$C,$C7,'Pod Library'!$D:$D,"FS")</f>
        <v>3</v>
      </c>
    </row>
    <row r="8" spans="1:9" ht="14.25" customHeight="1">
      <c r="B8" s="40"/>
      <c r="C8" s="41"/>
      <c r="D8" s="12" t="s">
        <v>613</v>
      </c>
      <c r="E8" s="40">
        <f>SUM(E5:E7)</f>
        <v>5</v>
      </c>
      <c r="F8" s="40">
        <f>SUM(F5:F7)</f>
        <v>4</v>
      </c>
      <c r="G8" s="36">
        <f>SUM(G5:G7)</f>
        <v>9</v>
      </c>
      <c r="H8" s="18">
        <f>SUM(H5:H7)</f>
        <v>45</v>
      </c>
    </row>
    <row r="9" spans="1:9" ht="14.25" customHeight="1">
      <c r="D9" s="26"/>
      <c r="E9" s="49"/>
      <c r="F9" s="49"/>
      <c r="G9" s="49"/>
      <c r="H9" s="49"/>
    </row>
    <row r="10" spans="1:9" ht="14.25" customHeight="1">
      <c r="B10" s="40">
        <v>2</v>
      </c>
      <c r="C10" s="41" t="s">
        <v>176</v>
      </c>
      <c r="D10" s="12" t="s">
        <v>546</v>
      </c>
      <c r="E10" s="40">
        <v>3</v>
      </c>
      <c r="F10" s="40">
        <v>2</v>
      </c>
      <c r="G10" s="36">
        <f>E10+F10</f>
        <v>5</v>
      </c>
      <c r="H10" s="18">
        <f>E10*SUMIFS('Pod Library'!$J:$J,'Pod Library'!$B:$B,$B10,'Pod Library'!$C:$C,$C10,'Pod Library'!$D:$D,"CO")+F10*SUMIFS('Pod Library'!$J:$J,'Pod Library'!$B:$B,$B10,'Pod Library'!$C:$C,$C10,'Pod Library'!$D:$D,"FS")</f>
        <v>21</v>
      </c>
    </row>
    <row r="11" spans="1:9" ht="14.25" customHeight="1">
      <c r="B11" s="40">
        <v>2</v>
      </c>
      <c r="C11" s="41" t="s">
        <v>186</v>
      </c>
      <c r="D11" s="12" t="s">
        <v>547</v>
      </c>
      <c r="E11" s="40">
        <v>2</v>
      </c>
      <c r="F11" s="40">
        <v>1</v>
      </c>
      <c r="G11" s="36">
        <f>E11+F11</f>
        <v>3</v>
      </c>
      <c r="H11" s="18">
        <f>E11*SUMIFS('Pod Library'!$J:$J,'Pod Library'!$B:$B,$B11,'Pod Library'!$C:$C,$C11,'Pod Library'!$D:$D,"CO")+F11*SUMIFS('Pod Library'!$J:$J,'Pod Library'!$B:$B,$B11,'Pod Library'!$C:$C,$C11,'Pod Library'!$D:$D,"FS")</f>
        <v>13</v>
      </c>
    </row>
    <row r="12" spans="1:9" ht="14.25" customHeight="1">
      <c r="B12" s="40">
        <v>2</v>
      </c>
      <c r="C12" s="41" t="s">
        <v>196</v>
      </c>
      <c r="D12" s="12" t="s">
        <v>548</v>
      </c>
      <c r="E12" s="40">
        <v>0</v>
      </c>
      <c r="F12" s="40">
        <v>1</v>
      </c>
      <c r="G12" s="36">
        <f>E12+F12</f>
        <v>1</v>
      </c>
      <c r="H12" s="18">
        <f>E12*SUMIFS('Pod Library'!$J:$J,'Pod Library'!$B:$B,$B12,'Pod Library'!$C:$C,$C12,'Pod Library'!$D:$D,"CO")+F12*SUMIFS('Pod Library'!$J:$J,'Pod Library'!$B:$B,$B12,'Pod Library'!$C:$C,$C12,'Pod Library'!$D:$D,"FS")</f>
        <v>2</v>
      </c>
    </row>
    <row r="13" spans="1:9" ht="14.25" customHeight="1">
      <c r="B13" s="40"/>
      <c r="C13" s="41"/>
      <c r="D13" s="12" t="s">
        <v>614</v>
      </c>
      <c r="E13" s="40">
        <f>SUM(E10:E12)</f>
        <v>5</v>
      </c>
      <c r="F13" s="40">
        <f>SUM(F10:F12)</f>
        <v>4</v>
      </c>
      <c r="G13" s="36">
        <f>SUM(G10:G12)</f>
        <v>9</v>
      </c>
      <c r="H13" s="18">
        <f>SUM(H10:H12)</f>
        <v>36</v>
      </c>
    </row>
    <row r="14" spans="1:9" ht="14.25" customHeight="1">
      <c r="B14" s="40"/>
      <c r="C14" s="41"/>
      <c r="D14" s="12"/>
      <c r="E14" s="40"/>
      <c r="F14" s="40"/>
      <c r="G14" s="36"/>
      <c r="H14" s="18"/>
    </row>
    <row r="15" spans="1:9" ht="14.25" customHeight="1">
      <c r="B15" s="40">
        <v>3</v>
      </c>
      <c r="C15" s="41" t="s">
        <v>176</v>
      </c>
      <c r="D15" s="12" t="s">
        <v>546</v>
      </c>
      <c r="E15" s="40">
        <v>3</v>
      </c>
      <c r="F15" s="40">
        <v>2</v>
      </c>
      <c r="G15" s="36">
        <f>E15+F15</f>
        <v>5</v>
      </c>
      <c r="H15" s="18">
        <f>E15*SUMIFS('Pod Library'!$J:$J,'Pod Library'!$B:$B,$B15,'Pod Library'!$C:$C,$C15,'Pod Library'!$D:$D,"CO")+F15*SUMIFS('Pod Library'!$J:$J,'Pod Library'!$B:$B,$B15,'Pod Library'!$C:$C,$C15,'Pod Library'!$D:$D,"FS")</f>
        <v>16</v>
      </c>
    </row>
    <row r="16" spans="1:9" ht="14.25" customHeight="1">
      <c r="B16" s="40">
        <v>3</v>
      </c>
      <c r="C16" s="41" t="s">
        <v>186</v>
      </c>
      <c r="D16" s="12" t="s">
        <v>547</v>
      </c>
      <c r="E16" s="40">
        <v>2</v>
      </c>
      <c r="F16" s="40">
        <v>1</v>
      </c>
      <c r="G16" s="36">
        <f>E16+F16</f>
        <v>3</v>
      </c>
      <c r="H16" s="18">
        <f>E16*SUMIFS('Pod Library'!$J:$J,'Pod Library'!$B:$B,$B16,'Pod Library'!$C:$C,$C16,'Pod Library'!$D:$D,"CO")+F16*SUMIFS('Pod Library'!$J:$J,'Pod Library'!$B:$B,$B16,'Pod Library'!$C:$C,$C16,'Pod Library'!$D:$D,"FS")</f>
        <v>10</v>
      </c>
    </row>
    <row r="17" spans="2:8" ht="14.25" customHeight="1">
      <c r="B17" s="40">
        <v>3</v>
      </c>
      <c r="C17" s="41" t="s">
        <v>196</v>
      </c>
      <c r="D17" s="12" t="s">
        <v>548</v>
      </c>
      <c r="E17" s="40">
        <v>0</v>
      </c>
      <c r="F17" s="40">
        <v>1</v>
      </c>
      <c r="G17" s="36">
        <f>E17+F17</f>
        <v>1</v>
      </c>
      <c r="H17" s="18">
        <f>E17*SUMIFS('Pod Library'!$J:$J,'Pod Library'!$B:$B,$B17,'Pod Library'!$C:$C,$C17,'Pod Library'!$D:$D,"CO")+F17*SUMIFS('Pod Library'!$J:$J,'Pod Library'!$B:$B,$B17,'Pod Library'!$C:$C,$C17,'Pod Library'!$D:$D,"FS")</f>
        <v>1</v>
      </c>
    </row>
    <row r="18" spans="2:8" ht="14.25" customHeight="1">
      <c r="B18" s="40"/>
      <c r="C18" s="41"/>
      <c r="D18" s="12" t="s">
        <v>615</v>
      </c>
      <c r="E18" s="40">
        <f>SUM(E15:E17)</f>
        <v>5</v>
      </c>
      <c r="F18" s="40">
        <f>SUM(F15:F17)</f>
        <v>4</v>
      </c>
      <c r="G18" s="36">
        <f>SUM(G15:G17)</f>
        <v>9</v>
      </c>
      <c r="H18" s="18">
        <f>SUM(H15:H17)</f>
        <v>27</v>
      </c>
    </row>
    <row r="19" spans="2:8" ht="14.25" customHeight="1"/>
    <row r="20" spans="2:8" ht="14.25" customHeight="1"/>
    <row r="21" spans="2:8" ht="14.25" customHeight="1"/>
    <row r="22" spans="2:8" ht="14.25" customHeight="1"/>
    <row r="23" spans="2:8" ht="14.25" customHeight="1"/>
    <row r="24" spans="2:8" ht="14.25" customHeight="1"/>
    <row r="25" spans="2:8" ht="14.25" customHeight="1"/>
    <row r="26" spans="2:8" ht="14.25" customHeight="1"/>
    <row r="27" spans="2:8" ht="14.25" customHeight="1"/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31" sqref="E31"/>
    </sheetView>
  </sheetViews>
  <sheetFormatPr defaultColWidth="8.6328125" defaultRowHeight="14.5"/>
  <cols>
    <col min="1" max="1" width="2" customWidth="1"/>
    <col min="2" max="2" width="7" customWidth="1"/>
    <col min="3" max="3" width="8" customWidth="1"/>
    <col min="4" max="4" width="44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</cols>
  <sheetData>
    <row r="1" spans="1:10" ht="25.5" customHeight="1">
      <c r="A1" s="5" t="s">
        <v>616</v>
      </c>
      <c r="B1" s="5"/>
      <c r="C1" s="5"/>
      <c r="D1" s="5"/>
      <c r="E1" s="5"/>
      <c r="F1" s="5"/>
      <c r="G1" s="5"/>
      <c r="H1" s="5"/>
      <c r="I1" s="5"/>
      <c r="J1" s="5"/>
    </row>
    <row r="2" spans="1:10" ht="14.25" customHeight="1">
      <c r="A2" s="4" t="s">
        <v>617</v>
      </c>
      <c r="B2" s="4"/>
      <c r="C2" s="4"/>
      <c r="D2" s="4"/>
      <c r="E2" s="4"/>
      <c r="F2" s="4"/>
      <c r="G2" s="4"/>
      <c r="H2" s="4"/>
      <c r="I2" s="4"/>
      <c r="J2" s="4"/>
    </row>
    <row r="4" spans="1:10" ht="27.75" customHeight="1">
      <c r="B4" s="16"/>
      <c r="C4" s="16"/>
      <c r="D4" s="16"/>
      <c r="E4" s="16"/>
      <c r="F4" s="16"/>
      <c r="G4" s="16"/>
      <c r="H4" s="16"/>
      <c r="I4" s="16"/>
      <c r="J4" s="16"/>
    </row>
    <row r="5" spans="1:10" ht="14.25" customHeight="1">
      <c r="B5" s="40">
        <v>1</v>
      </c>
      <c r="C5" s="41" t="s">
        <v>618</v>
      </c>
      <c r="D5" s="12" t="s">
        <v>619</v>
      </c>
      <c r="E5" s="50" t="s">
        <v>620</v>
      </c>
      <c r="F5" s="41" t="s">
        <v>569</v>
      </c>
      <c r="G5" s="41" t="s">
        <v>128</v>
      </c>
      <c r="H5" s="41" t="s">
        <v>131</v>
      </c>
      <c r="I5" s="41" t="s">
        <v>162</v>
      </c>
      <c r="J5" s="40">
        <v>1</v>
      </c>
    </row>
    <row r="6" spans="1:10" ht="14.25" customHeight="1">
      <c r="B6" s="43"/>
      <c r="C6" s="43"/>
      <c r="D6" s="51"/>
      <c r="E6" s="26" t="s">
        <v>621</v>
      </c>
      <c r="F6" s="43"/>
      <c r="G6" s="43"/>
      <c r="H6" s="43"/>
      <c r="I6" s="43"/>
      <c r="J6" s="52">
        <f>SUM(J5:J5)</f>
        <v>1</v>
      </c>
    </row>
    <row r="7" spans="1:10" ht="14.25" customHeight="1">
      <c r="B7" s="40">
        <v>1</v>
      </c>
      <c r="C7" s="41" t="s">
        <v>622</v>
      </c>
      <c r="D7" s="12" t="s">
        <v>623</v>
      </c>
      <c r="E7" s="50" t="s">
        <v>624</v>
      </c>
      <c r="F7" s="41" t="s">
        <v>578</v>
      </c>
      <c r="G7" s="41" t="s">
        <v>127</v>
      </c>
      <c r="H7" s="41" t="s">
        <v>133</v>
      </c>
      <c r="I7" s="41" t="s">
        <v>162</v>
      </c>
      <c r="J7" s="40">
        <v>1</v>
      </c>
    </row>
    <row r="8" spans="1:10" ht="14.25" customHeight="1">
      <c r="B8" s="43"/>
      <c r="C8" s="43"/>
      <c r="D8" s="51"/>
      <c r="E8" s="26" t="s">
        <v>625</v>
      </c>
      <c r="F8" s="43"/>
      <c r="G8" s="43"/>
      <c r="H8" s="43"/>
      <c r="I8" s="43"/>
      <c r="J8" s="52">
        <f>SUM(J7:J7)</f>
        <v>1</v>
      </c>
    </row>
    <row r="9" spans="1:10" ht="14.25" customHeight="1">
      <c r="B9" s="40">
        <v>1</v>
      </c>
      <c r="C9" s="41" t="s">
        <v>626</v>
      </c>
      <c r="D9" s="12" t="s">
        <v>627</v>
      </c>
      <c r="E9" s="50" t="s">
        <v>628</v>
      </c>
      <c r="F9" s="41" t="s">
        <v>571</v>
      </c>
      <c r="G9" s="41" t="s">
        <v>127</v>
      </c>
      <c r="H9" s="41" t="s">
        <v>131</v>
      </c>
      <c r="I9" s="41" t="s">
        <v>162</v>
      </c>
      <c r="J9" s="40">
        <v>1</v>
      </c>
    </row>
    <row r="10" spans="1:10" ht="14.25" customHeight="1">
      <c r="B10" s="43"/>
      <c r="C10" s="43"/>
      <c r="D10" s="51"/>
      <c r="E10" s="26" t="s">
        <v>629</v>
      </c>
      <c r="F10" s="43"/>
      <c r="G10" s="43"/>
      <c r="H10" s="43"/>
      <c r="I10" s="43"/>
      <c r="J10" s="52">
        <f>SUM(J9:J9)</f>
        <v>1</v>
      </c>
    </row>
    <row r="11" spans="1:10" ht="14.25" customHeight="1">
      <c r="B11" s="40">
        <v>1</v>
      </c>
      <c r="C11" s="41" t="s">
        <v>630</v>
      </c>
      <c r="D11" s="12" t="s">
        <v>631</v>
      </c>
      <c r="E11" s="50" t="s">
        <v>632</v>
      </c>
      <c r="F11" s="41" t="s">
        <v>569</v>
      </c>
      <c r="G11" s="41" t="s">
        <v>129</v>
      </c>
      <c r="H11" s="41" t="s">
        <v>131</v>
      </c>
      <c r="I11" s="41" t="s">
        <v>162</v>
      </c>
      <c r="J11" s="40">
        <v>1</v>
      </c>
    </row>
    <row r="12" spans="1:10" ht="14.25" customHeight="1">
      <c r="B12" s="40">
        <v>1</v>
      </c>
      <c r="C12" s="41" t="s">
        <v>630</v>
      </c>
      <c r="D12" s="12" t="s">
        <v>631</v>
      </c>
      <c r="E12" s="50" t="s">
        <v>633</v>
      </c>
      <c r="F12" s="41" t="s">
        <v>573</v>
      </c>
      <c r="G12" s="41" t="s">
        <v>129</v>
      </c>
      <c r="H12" s="41" t="s">
        <v>131</v>
      </c>
      <c r="I12" s="41" t="s">
        <v>163</v>
      </c>
      <c r="J12" s="40">
        <v>1</v>
      </c>
    </row>
    <row r="13" spans="1:10" ht="14.25" customHeight="1">
      <c r="B13" s="43"/>
      <c r="C13" s="43"/>
      <c r="D13" s="51"/>
      <c r="E13" s="26" t="s">
        <v>634</v>
      </c>
      <c r="F13" s="43"/>
      <c r="G13" s="43"/>
      <c r="H13" s="43"/>
      <c r="I13" s="43"/>
      <c r="J13" s="52">
        <f>SUM(J11:J12)</f>
        <v>2</v>
      </c>
    </row>
    <row r="14" spans="1:10" ht="14.25" customHeight="1">
      <c r="B14" s="43"/>
      <c r="C14" s="43"/>
      <c r="D14" s="51"/>
      <c r="E14" s="53" t="s">
        <v>635</v>
      </c>
      <c r="F14" s="43"/>
      <c r="G14" s="43"/>
      <c r="H14" s="43"/>
      <c r="I14" s="43"/>
      <c r="J14" s="54">
        <f>SUMIFS($J$5:$J$13,$B$5:$B$13,1)</f>
        <v>5</v>
      </c>
    </row>
    <row r="15" spans="1:10" ht="14.25" customHeight="1">
      <c r="B15" s="40"/>
      <c r="C15" s="41"/>
      <c r="D15" s="12"/>
      <c r="E15" s="50"/>
      <c r="F15" s="41"/>
      <c r="G15" s="41"/>
      <c r="H15" s="41"/>
      <c r="I15" s="41"/>
      <c r="J15" s="40"/>
    </row>
    <row r="16" spans="1:10" ht="14.25" customHeight="1">
      <c r="B16" s="40">
        <v>2</v>
      </c>
      <c r="C16" s="41" t="s">
        <v>618</v>
      </c>
      <c r="D16" s="12" t="s">
        <v>619</v>
      </c>
      <c r="E16" s="50" t="s">
        <v>620</v>
      </c>
      <c r="F16" s="41" t="s">
        <v>569</v>
      </c>
      <c r="G16" s="41" t="s">
        <v>128</v>
      </c>
      <c r="H16" s="41" t="s">
        <v>131</v>
      </c>
      <c r="I16" s="41" t="s">
        <v>162</v>
      </c>
      <c r="J16" s="40">
        <v>1</v>
      </c>
    </row>
    <row r="17" spans="2:10" ht="14.25" customHeight="1">
      <c r="B17" s="43"/>
      <c r="C17" s="43"/>
      <c r="D17" s="51"/>
      <c r="E17" s="26" t="s">
        <v>621</v>
      </c>
      <c r="F17" s="43"/>
      <c r="G17" s="43"/>
      <c r="H17" s="43"/>
      <c r="I17" s="43"/>
      <c r="J17" s="52">
        <f>SUM(J16:J16)</f>
        <v>1</v>
      </c>
    </row>
    <row r="18" spans="2:10" ht="14.25" customHeight="1">
      <c r="B18" s="40">
        <v>2</v>
      </c>
      <c r="C18" s="41" t="s">
        <v>622</v>
      </c>
      <c r="D18" s="12" t="s">
        <v>623</v>
      </c>
      <c r="E18" s="50" t="s">
        <v>624</v>
      </c>
      <c r="F18" s="41" t="s">
        <v>578</v>
      </c>
      <c r="G18" s="41" t="s">
        <v>127</v>
      </c>
      <c r="H18" s="41" t="s">
        <v>133</v>
      </c>
      <c r="I18" s="41" t="s">
        <v>162</v>
      </c>
      <c r="J18" s="40">
        <v>1</v>
      </c>
    </row>
    <row r="19" spans="2:10" ht="14.25" customHeight="1">
      <c r="B19" s="43"/>
      <c r="C19" s="43"/>
      <c r="D19" s="51"/>
      <c r="E19" s="26" t="s">
        <v>625</v>
      </c>
      <c r="F19" s="43"/>
      <c r="G19" s="43"/>
      <c r="H19" s="43"/>
      <c r="I19" s="43"/>
      <c r="J19" s="52">
        <f>SUM(J18:J18)</f>
        <v>1</v>
      </c>
    </row>
    <row r="20" spans="2:10" ht="14.25" customHeight="1">
      <c r="B20" s="40">
        <v>2</v>
      </c>
      <c r="C20" s="41" t="s">
        <v>630</v>
      </c>
      <c r="D20" s="12" t="s">
        <v>631</v>
      </c>
      <c r="E20" s="50" t="s">
        <v>632</v>
      </c>
      <c r="F20" s="41" t="s">
        <v>569</v>
      </c>
      <c r="G20" s="41" t="s">
        <v>129</v>
      </c>
      <c r="H20" s="41" t="s">
        <v>131</v>
      </c>
      <c r="I20" s="41" t="s">
        <v>162</v>
      </c>
      <c r="J20" s="40">
        <v>1</v>
      </c>
    </row>
    <row r="21" spans="2:10" ht="14.25" customHeight="1">
      <c r="B21" s="40">
        <v>2</v>
      </c>
      <c r="C21" s="41" t="s">
        <v>630</v>
      </c>
      <c r="D21" s="12" t="s">
        <v>631</v>
      </c>
      <c r="E21" s="50" t="s">
        <v>633</v>
      </c>
      <c r="F21" s="41" t="s">
        <v>573</v>
      </c>
      <c r="G21" s="41" t="s">
        <v>129</v>
      </c>
      <c r="H21" s="41" t="s">
        <v>131</v>
      </c>
      <c r="I21" s="41" t="s">
        <v>163</v>
      </c>
      <c r="J21" s="40">
        <v>1</v>
      </c>
    </row>
    <row r="22" spans="2:10" ht="14.25" customHeight="1">
      <c r="B22" s="43"/>
      <c r="C22" s="43"/>
      <c r="D22" s="51"/>
      <c r="E22" s="26" t="s">
        <v>634</v>
      </c>
      <c r="F22" s="43"/>
      <c r="G22" s="43"/>
      <c r="H22" s="43"/>
      <c r="I22" s="43"/>
      <c r="J22" s="52">
        <f>SUM(J20:J21)</f>
        <v>2</v>
      </c>
    </row>
    <row r="23" spans="2:10" ht="14.25" customHeight="1">
      <c r="B23" s="43"/>
      <c r="C23" s="43"/>
      <c r="D23" s="51"/>
      <c r="E23" s="53" t="s">
        <v>636</v>
      </c>
      <c r="F23" s="43"/>
      <c r="G23" s="43"/>
      <c r="H23" s="43"/>
      <c r="I23" s="43"/>
      <c r="J23" s="54">
        <f>SUMIFS($J$16:$J$22,$B$16:$B$22,2)</f>
        <v>4</v>
      </c>
    </row>
    <row r="24" spans="2:10" ht="14.25" customHeight="1">
      <c r="B24" s="43"/>
      <c r="C24" s="43"/>
      <c r="D24" s="51"/>
      <c r="E24" s="26"/>
      <c r="F24" s="43"/>
      <c r="G24" s="43"/>
      <c r="H24" s="43"/>
      <c r="I24" s="43"/>
      <c r="J24" s="52"/>
    </row>
    <row r="25" spans="2:10" ht="14.25" customHeight="1">
      <c r="B25" s="40">
        <v>3</v>
      </c>
      <c r="C25" s="41" t="s">
        <v>618</v>
      </c>
      <c r="D25" s="12" t="s">
        <v>619</v>
      </c>
      <c r="E25" s="50" t="s">
        <v>620</v>
      </c>
      <c r="F25" s="41" t="s">
        <v>569</v>
      </c>
      <c r="G25" s="41" t="s">
        <v>128</v>
      </c>
      <c r="H25" s="41" t="s">
        <v>133</v>
      </c>
      <c r="I25" s="41" t="s">
        <v>162</v>
      </c>
      <c r="J25" s="40">
        <v>1</v>
      </c>
    </row>
    <row r="26" spans="2:10" ht="14.25" customHeight="1">
      <c r="B26" s="43"/>
      <c r="C26" s="43"/>
      <c r="D26" s="51"/>
      <c r="E26" s="26" t="s">
        <v>621</v>
      </c>
      <c r="F26" s="43"/>
      <c r="G26" s="43"/>
      <c r="H26" s="43"/>
      <c r="I26" s="43"/>
      <c r="J26" s="52">
        <f>SUM(J25:J25)</f>
        <v>1</v>
      </c>
    </row>
    <row r="27" spans="2:10" ht="14.25" customHeight="1">
      <c r="B27" s="40">
        <v>3</v>
      </c>
      <c r="C27" s="41" t="s">
        <v>630</v>
      </c>
      <c r="D27" s="12" t="s">
        <v>631</v>
      </c>
      <c r="E27" s="50" t="s">
        <v>632</v>
      </c>
      <c r="F27" s="41" t="s">
        <v>569</v>
      </c>
      <c r="G27" s="41" t="s">
        <v>129</v>
      </c>
      <c r="H27" s="41" t="s">
        <v>133</v>
      </c>
      <c r="I27" s="41" t="s">
        <v>162</v>
      </c>
      <c r="J27" s="40">
        <v>1</v>
      </c>
    </row>
    <row r="28" spans="2:10" ht="14.25" customHeight="1">
      <c r="B28" s="40">
        <v>3</v>
      </c>
      <c r="C28" s="41" t="s">
        <v>630</v>
      </c>
      <c r="D28" s="12" t="s">
        <v>631</v>
      </c>
      <c r="E28" s="50" t="s">
        <v>633</v>
      </c>
      <c r="F28" s="41" t="s">
        <v>573</v>
      </c>
      <c r="G28" s="41" t="s">
        <v>129</v>
      </c>
      <c r="H28" s="41" t="s">
        <v>131</v>
      </c>
      <c r="I28" s="41" t="s">
        <v>163</v>
      </c>
      <c r="J28" s="40">
        <v>1</v>
      </c>
    </row>
    <row r="29" spans="2:10" ht="14.25" customHeight="1">
      <c r="B29" s="43"/>
      <c r="C29" s="43"/>
      <c r="D29" s="51"/>
      <c r="E29" s="26" t="s">
        <v>634</v>
      </c>
      <c r="F29" s="43"/>
      <c r="G29" s="43"/>
      <c r="H29" s="43"/>
      <c r="I29" s="43"/>
      <c r="J29" s="52">
        <f>SUM(J27:J28)</f>
        <v>2</v>
      </c>
    </row>
    <row r="30" spans="2:10" ht="14.25" customHeight="1">
      <c r="B30" s="43"/>
      <c r="C30" s="43"/>
      <c r="D30" s="51"/>
      <c r="E30" s="53" t="s">
        <v>637</v>
      </c>
      <c r="F30" s="43"/>
      <c r="G30" s="43"/>
      <c r="H30" s="43"/>
      <c r="I30" s="43"/>
      <c r="J30" s="54">
        <f>SUMIFS($J$25:$J$29,$B$25:$B$29,3)</f>
        <v>3</v>
      </c>
    </row>
    <row r="31" spans="2:10" ht="14.25" customHeight="1">
      <c r="B31" s="40"/>
      <c r="C31" s="41"/>
      <c r="D31" s="12"/>
      <c r="E31" s="50"/>
      <c r="F31" s="41"/>
      <c r="G31" s="41"/>
      <c r="H31" s="41"/>
      <c r="I31" s="41"/>
      <c r="J31" s="40"/>
    </row>
    <row r="32" spans="2:10" ht="14.25" customHeight="1">
      <c r="B32" s="40"/>
      <c r="C32" s="41"/>
      <c r="D32" s="12"/>
      <c r="E32" s="50"/>
      <c r="F32" s="41"/>
      <c r="G32" s="41"/>
      <c r="H32" s="41"/>
      <c r="I32" s="41"/>
      <c r="J32" s="40"/>
    </row>
    <row r="33" spans="2:10" ht="14.25" customHeight="1">
      <c r="B33" s="40"/>
      <c r="C33" s="41"/>
      <c r="D33" s="12"/>
      <c r="E33" s="50"/>
      <c r="F33" s="41"/>
      <c r="G33" s="41"/>
      <c r="H33" s="41"/>
      <c r="I33" s="41"/>
      <c r="J33" s="40"/>
    </row>
    <row r="34" spans="2:10" ht="14.25" customHeight="1">
      <c r="B34" s="43"/>
      <c r="C34" s="43"/>
      <c r="D34" s="51"/>
      <c r="E34" s="26"/>
      <c r="F34" s="43"/>
      <c r="G34" s="43"/>
      <c r="H34" s="43"/>
      <c r="I34" s="43"/>
      <c r="J34" s="52"/>
    </row>
    <row r="35" spans="2:10" ht="14.25" customHeight="1">
      <c r="B35" s="40"/>
      <c r="C35" s="41"/>
      <c r="D35" s="12"/>
      <c r="E35" s="50"/>
      <c r="F35" s="41"/>
      <c r="G35" s="41"/>
      <c r="H35" s="41"/>
      <c r="I35" s="41"/>
      <c r="J35" s="40"/>
    </row>
    <row r="36" spans="2:10" ht="14.25" customHeight="1">
      <c r="B36" s="40"/>
      <c r="C36" s="41"/>
      <c r="D36" s="12"/>
      <c r="E36" s="50"/>
      <c r="F36" s="41"/>
      <c r="G36" s="41"/>
      <c r="H36" s="41"/>
      <c r="I36" s="41"/>
      <c r="J36" s="40"/>
    </row>
    <row r="37" spans="2:10" ht="14.25" customHeight="1">
      <c r="B37" s="43"/>
      <c r="C37" s="43"/>
      <c r="D37" s="51"/>
      <c r="E37" s="26"/>
      <c r="F37" s="43"/>
      <c r="G37" s="43"/>
      <c r="H37" s="43"/>
      <c r="I37" s="43"/>
      <c r="J37" s="52"/>
    </row>
    <row r="38" spans="2:10" ht="14.25" customHeight="1">
      <c r="B38" s="40"/>
      <c r="C38" s="41"/>
      <c r="D38" s="12"/>
      <c r="E38" s="50"/>
      <c r="F38" s="41"/>
      <c r="G38" s="41"/>
      <c r="H38" s="41"/>
      <c r="I38" s="41"/>
      <c r="J38" s="40"/>
    </row>
    <row r="39" spans="2:10" ht="14.25" customHeight="1">
      <c r="B39" s="40"/>
      <c r="C39" s="41"/>
      <c r="D39" s="12"/>
      <c r="E39" s="50"/>
      <c r="F39" s="41"/>
      <c r="G39" s="41"/>
      <c r="H39" s="41"/>
      <c r="I39" s="41"/>
      <c r="J39" s="40"/>
    </row>
    <row r="40" spans="2:10" ht="14.25" customHeight="1">
      <c r="B40" s="43"/>
      <c r="C40" s="43"/>
      <c r="D40" s="51"/>
      <c r="E40" s="26"/>
      <c r="F40" s="43"/>
      <c r="G40" s="43"/>
      <c r="H40" s="43"/>
      <c r="I40" s="43"/>
      <c r="J40" s="52"/>
    </row>
    <row r="41" spans="2:10" ht="14.25" customHeight="1">
      <c r="B41" s="40"/>
      <c r="C41" s="41"/>
      <c r="D41" s="12"/>
      <c r="E41" s="50"/>
      <c r="F41" s="41"/>
      <c r="G41" s="41"/>
      <c r="H41" s="41"/>
      <c r="I41" s="41"/>
      <c r="J41" s="40"/>
    </row>
    <row r="42" spans="2:10" ht="14.25" customHeight="1">
      <c r="B42" s="40"/>
      <c r="C42" s="41"/>
      <c r="D42" s="12"/>
      <c r="E42" s="50"/>
      <c r="F42" s="41"/>
      <c r="G42" s="41"/>
      <c r="H42" s="41"/>
      <c r="I42" s="41"/>
      <c r="J42" s="40"/>
    </row>
    <row r="43" spans="2:10" ht="14.25" customHeight="1">
      <c r="B43" s="43"/>
      <c r="C43" s="43"/>
      <c r="D43" s="51"/>
      <c r="E43" s="26"/>
      <c r="F43" s="43"/>
      <c r="G43" s="43"/>
      <c r="H43" s="43"/>
      <c r="I43" s="43"/>
      <c r="J43" s="52"/>
    </row>
    <row r="44" spans="2:10" ht="14.25" customHeight="1">
      <c r="B44" s="43"/>
      <c r="C44" s="43"/>
      <c r="D44" s="51"/>
      <c r="E44" s="53"/>
      <c r="F44" s="43"/>
      <c r="G44" s="43"/>
      <c r="H44" s="43"/>
      <c r="I44" s="43"/>
      <c r="J44" s="54"/>
    </row>
    <row r="45" spans="2:10" ht="14.25" customHeight="1">
      <c r="B45" s="40"/>
      <c r="C45" s="41"/>
      <c r="D45" s="12"/>
      <c r="E45" s="50"/>
      <c r="F45" s="41"/>
      <c r="G45" s="41"/>
      <c r="H45" s="41"/>
      <c r="I45" s="41"/>
      <c r="J45" s="40"/>
    </row>
    <row r="46" spans="2:10" ht="14.25" customHeight="1">
      <c r="B46" s="40"/>
      <c r="C46" s="41"/>
      <c r="D46" s="12"/>
      <c r="E46" s="50"/>
      <c r="F46" s="41"/>
      <c r="G46" s="41"/>
      <c r="H46" s="41"/>
      <c r="I46" s="41"/>
      <c r="J46" s="40"/>
    </row>
    <row r="47" spans="2:10" ht="14.25" customHeight="1">
      <c r="B47" s="40"/>
      <c r="C47" s="41"/>
      <c r="D47" s="12"/>
      <c r="E47" s="50"/>
      <c r="F47" s="41"/>
      <c r="G47" s="41"/>
      <c r="H47" s="41"/>
      <c r="I47" s="41"/>
      <c r="J47" s="40"/>
    </row>
    <row r="48" spans="2:10" ht="14.25" customHeight="1">
      <c r="B48" s="43"/>
      <c r="C48" s="43"/>
      <c r="D48" s="51"/>
      <c r="E48" s="26"/>
      <c r="F48" s="43"/>
      <c r="G48" s="43"/>
      <c r="H48" s="43"/>
      <c r="I48" s="43"/>
      <c r="J48" s="52"/>
    </row>
    <row r="49" spans="2:10" ht="14.25" customHeight="1">
      <c r="B49" s="40"/>
      <c r="C49" s="41"/>
      <c r="D49" s="12"/>
      <c r="E49" s="50"/>
      <c r="F49" s="41"/>
      <c r="G49" s="41"/>
      <c r="H49" s="41"/>
      <c r="I49" s="41"/>
      <c r="J49" s="40"/>
    </row>
    <row r="50" spans="2:10" ht="14.25" customHeight="1">
      <c r="B50" s="40"/>
      <c r="C50" s="41"/>
      <c r="D50" s="12"/>
      <c r="E50" s="50"/>
      <c r="F50" s="41"/>
      <c r="G50" s="41"/>
      <c r="H50" s="41"/>
      <c r="I50" s="41"/>
      <c r="J50" s="40"/>
    </row>
    <row r="51" spans="2:10" ht="14.25" customHeight="1">
      <c r="B51" s="43"/>
      <c r="C51" s="43"/>
      <c r="D51" s="51"/>
      <c r="E51" s="26"/>
      <c r="F51" s="43"/>
      <c r="G51" s="43"/>
      <c r="H51" s="43"/>
      <c r="I51" s="43"/>
      <c r="J51" s="52"/>
    </row>
    <row r="52" spans="2:10" ht="14.25" customHeight="1">
      <c r="B52" s="40"/>
      <c r="C52" s="41"/>
      <c r="D52" s="12"/>
      <c r="E52" s="50"/>
      <c r="F52" s="41"/>
      <c r="G52" s="41"/>
      <c r="H52" s="41"/>
      <c r="I52" s="41"/>
      <c r="J52" s="40"/>
    </row>
    <row r="53" spans="2:10" ht="14.25" customHeight="1">
      <c r="B53" s="40"/>
      <c r="C53" s="41"/>
      <c r="D53" s="12"/>
      <c r="E53" s="50"/>
      <c r="F53" s="41"/>
      <c r="G53" s="41"/>
      <c r="H53" s="41"/>
      <c r="I53" s="41"/>
      <c r="J53" s="40"/>
    </row>
    <row r="54" spans="2:10" ht="14.25" customHeight="1">
      <c r="B54" s="43"/>
      <c r="C54" s="43"/>
      <c r="D54" s="51"/>
      <c r="E54" s="26"/>
      <c r="F54" s="43"/>
      <c r="G54" s="43"/>
      <c r="H54" s="43"/>
      <c r="I54" s="43"/>
      <c r="J54" s="52"/>
    </row>
    <row r="55" spans="2:10" ht="14.25" customHeight="1">
      <c r="B55" s="40"/>
      <c r="C55" s="41"/>
      <c r="D55" s="12"/>
      <c r="E55" s="50"/>
      <c r="F55" s="41"/>
      <c r="G55" s="41"/>
      <c r="H55" s="41"/>
      <c r="I55" s="41"/>
      <c r="J55" s="40"/>
    </row>
    <row r="56" spans="2:10" ht="14.25" customHeight="1">
      <c r="B56" s="40"/>
      <c r="C56" s="41"/>
      <c r="D56" s="12"/>
      <c r="E56" s="50"/>
      <c r="F56" s="41"/>
      <c r="G56" s="41"/>
      <c r="H56" s="41"/>
      <c r="I56" s="41"/>
      <c r="J56" s="40"/>
    </row>
    <row r="57" spans="2:10" ht="14.25" customHeight="1">
      <c r="B57" s="43"/>
      <c r="C57" s="43"/>
      <c r="D57" s="51"/>
      <c r="E57" s="26"/>
      <c r="F57" s="43"/>
      <c r="G57" s="43"/>
      <c r="H57" s="43"/>
      <c r="I57" s="43"/>
      <c r="J57" s="52"/>
    </row>
    <row r="58" spans="2:10" ht="14.25" customHeight="1">
      <c r="B58" s="40"/>
      <c r="C58" s="41"/>
      <c r="D58" s="12"/>
      <c r="E58" s="50"/>
      <c r="F58" s="41"/>
      <c r="G58" s="41"/>
      <c r="H58" s="41"/>
      <c r="I58" s="41"/>
      <c r="J58" s="40"/>
    </row>
    <row r="59" spans="2:10" ht="14.25" customHeight="1">
      <c r="B59" s="40"/>
      <c r="C59" s="41"/>
      <c r="D59" s="12"/>
      <c r="E59" s="50"/>
      <c r="F59" s="41"/>
      <c r="G59" s="41"/>
      <c r="H59" s="41"/>
      <c r="I59" s="41"/>
      <c r="J59" s="40"/>
    </row>
    <row r="60" spans="2:10" ht="14.25" customHeight="1">
      <c r="B60" s="43"/>
      <c r="C60" s="43"/>
      <c r="D60" s="51"/>
      <c r="E60" s="26"/>
      <c r="F60" s="43"/>
      <c r="G60" s="43"/>
      <c r="H60" s="43"/>
      <c r="I60" s="43"/>
      <c r="J60" s="52"/>
    </row>
    <row r="61" spans="2:10" ht="14.25" customHeight="1">
      <c r="B61" s="43"/>
      <c r="C61" s="43"/>
      <c r="D61" s="51"/>
      <c r="E61" s="53"/>
      <c r="F61" s="43"/>
      <c r="G61" s="43"/>
      <c r="H61" s="43"/>
      <c r="I61" s="43"/>
      <c r="J61" s="54"/>
    </row>
    <row r="62" spans="2:10" ht="14.25" customHeight="1">
      <c r="B62" s="40"/>
      <c r="C62" s="41"/>
      <c r="D62" s="12"/>
      <c r="E62" s="50"/>
      <c r="F62" s="41"/>
      <c r="G62" s="41"/>
      <c r="H62" s="41"/>
      <c r="I62" s="41"/>
      <c r="J62" s="40"/>
    </row>
    <row r="63" spans="2:10" ht="14.25" customHeight="1">
      <c r="B63" s="40"/>
      <c r="C63" s="41"/>
      <c r="D63" s="12"/>
      <c r="E63" s="50"/>
      <c r="F63" s="41"/>
      <c r="G63" s="41"/>
      <c r="H63" s="41"/>
      <c r="I63" s="41"/>
      <c r="J63" s="40"/>
    </row>
    <row r="64" spans="2:10" ht="14.25" customHeight="1">
      <c r="B64" s="40"/>
      <c r="C64" s="41"/>
      <c r="D64" s="12"/>
      <c r="E64" s="50"/>
      <c r="F64" s="41"/>
      <c r="G64" s="41"/>
      <c r="H64" s="41"/>
      <c r="I64" s="41"/>
      <c r="J64" s="40"/>
    </row>
    <row r="65" spans="2:10" ht="14.25" customHeight="1">
      <c r="B65" s="40"/>
      <c r="C65" s="41"/>
      <c r="D65" s="12"/>
      <c r="E65" s="50"/>
      <c r="F65" s="41"/>
      <c r="G65" s="41"/>
      <c r="H65" s="41"/>
      <c r="I65" s="41"/>
      <c r="J65" s="40"/>
    </row>
    <row r="66" spans="2:10" ht="14.25" customHeight="1">
      <c r="B66" s="40"/>
      <c r="C66" s="41"/>
      <c r="D66" s="12"/>
      <c r="E66" s="50"/>
      <c r="F66" s="41"/>
      <c r="G66" s="41"/>
      <c r="H66" s="41"/>
      <c r="I66" s="41"/>
      <c r="J66" s="40"/>
    </row>
    <row r="67" spans="2:10" ht="14.25" customHeight="1">
      <c r="B67" s="40"/>
      <c r="C67" s="41"/>
      <c r="D67" s="12"/>
      <c r="E67" s="50"/>
      <c r="F67" s="41"/>
      <c r="G67" s="41"/>
      <c r="H67" s="41"/>
      <c r="I67" s="41"/>
      <c r="J67" s="40"/>
    </row>
    <row r="68" spans="2:10" ht="14.25" customHeight="1">
      <c r="B68" s="40"/>
      <c r="C68" s="41"/>
      <c r="D68" s="12"/>
      <c r="E68" s="50"/>
      <c r="F68" s="41"/>
      <c r="G68" s="41"/>
      <c r="H68" s="41"/>
      <c r="I68" s="41"/>
      <c r="J68" s="40"/>
    </row>
    <row r="69" spans="2:10" ht="14.25" customHeight="1">
      <c r="E69" s="26"/>
      <c r="J69" s="49"/>
    </row>
    <row r="70" spans="2:10" ht="14.25" customHeight="1">
      <c r="B70" s="40"/>
      <c r="C70" s="41"/>
      <c r="D70" s="12"/>
      <c r="E70" s="50"/>
      <c r="F70" s="41"/>
      <c r="G70" s="41"/>
      <c r="H70" s="41"/>
      <c r="I70" s="41"/>
      <c r="J70" s="40"/>
    </row>
    <row r="71" spans="2:10" ht="14.25" customHeight="1">
      <c r="B71" s="40"/>
      <c r="C71" s="41"/>
      <c r="D71" s="12"/>
      <c r="E71" s="50"/>
      <c r="F71" s="41"/>
      <c r="G71" s="41"/>
      <c r="H71" s="41"/>
      <c r="I71" s="41"/>
      <c r="J71" s="40"/>
    </row>
    <row r="72" spans="2:10" ht="14.25" customHeight="1">
      <c r="B72" s="40"/>
      <c r="C72" s="41"/>
      <c r="D72" s="12"/>
      <c r="E72" s="50"/>
      <c r="F72" s="41"/>
      <c r="G72" s="41"/>
      <c r="H72" s="41"/>
      <c r="I72" s="41"/>
      <c r="J72" s="40"/>
    </row>
    <row r="73" spans="2:10" ht="14.25" customHeight="1">
      <c r="B73" s="40"/>
      <c r="C73" s="41"/>
      <c r="D73" s="12"/>
      <c r="E73" s="50"/>
      <c r="F73" s="41"/>
      <c r="G73" s="41"/>
      <c r="H73" s="41"/>
      <c r="I73" s="41"/>
      <c r="J73" s="40"/>
    </row>
    <row r="74" spans="2:10" ht="14.25" customHeight="1">
      <c r="B74" s="40"/>
      <c r="C74" s="41"/>
      <c r="D74" s="12"/>
      <c r="E74" s="50"/>
      <c r="F74" s="41"/>
      <c r="G74" s="41"/>
      <c r="H74" s="41"/>
      <c r="I74" s="41"/>
      <c r="J74" s="40"/>
    </row>
    <row r="75" spans="2:10" ht="14.25" customHeight="1">
      <c r="E75" s="26"/>
      <c r="J75" s="49"/>
    </row>
    <row r="76" spans="2:10" ht="14.25" customHeight="1">
      <c r="B76" s="40"/>
      <c r="C76" s="41"/>
      <c r="D76" s="12"/>
      <c r="E76" s="50"/>
      <c r="F76" s="41"/>
      <c r="G76" s="41"/>
      <c r="H76" s="41"/>
      <c r="I76" s="41"/>
      <c r="J76" s="40"/>
    </row>
    <row r="77" spans="2:10" ht="14.25" customHeight="1">
      <c r="B77" s="40"/>
      <c r="C77" s="41"/>
      <c r="D77" s="12"/>
      <c r="E77" s="50"/>
      <c r="F77" s="41"/>
      <c r="G77" s="41"/>
      <c r="H77" s="41"/>
      <c r="I77" s="41"/>
      <c r="J77" s="40"/>
    </row>
    <row r="78" spans="2:10" ht="14.25" customHeight="1">
      <c r="B78" s="40"/>
      <c r="C78" s="41"/>
      <c r="D78" s="12"/>
      <c r="E78" s="50"/>
      <c r="F78" s="41"/>
      <c r="G78" s="41"/>
      <c r="H78" s="41"/>
      <c r="I78" s="41"/>
      <c r="J78" s="40"/>
    </row>
    <row r="79" spans="2:10" ht="14.25" customHeight="1">
      <c r="B79" s="40"/>
      <c r="C79" s="41"/>
      <c r="D79" s="12"/>
      <c r="E79" s="50"/>
      <c r="F79" s="41"/>
      <c r="G79" s="41"/>
      <c r="H79" s="41"/>
      <c r="I79" s="41"/>
      <c r="J79" s="40"/>
    </row>
    <row r="80" spans="2:10" ht="14.25" customHeight="1">
      <c r="B80" s="40"/>
      <c r="C80" s="41"/>
      <c r="D80" s="12"/>
      <c r="E80" s="50"/>
      <c r="F80" s="41"/>
      <c r="G80" s="41"/>
      <c r="H80" s="41"/>
      <c r="I80" s="41"/>
      <c r="J80" s="40"/>
    </row>
    <row r="81" spans="2:10" ht="14.25" customHeight="1">
      <c r="B81" s="40"/>
      <c r="C81" s="41"/>
      <c r="D81" s="12"/>
      <c r="E81" s="50"/>
      <c r="F81" s="41"/>
      <c r="G81" s="41"/>
      <c r="H81" s="41"/>
      <c r="I81" s="41"/>
      <c r="J81" s="40"/>
    </row>
    <row r="82" spans="2:10" ht="14.25" customHeight="1">
      <c r="E82" s="26"/>
      <c r="J82" s="49"/>
    </row>
    <row r="83" spans="2:10" ht="14.25" customHeight="1">
      <c r="E83" s="53"/>
      <c r="J83" s="55"/>
    </row>
  </sheetData>
  <mergeCells count="2">
    <mergeCell ref="A1:J1"/>
    <mergeCell ref="A2:J2"/>
  </mergeCells>
  <dataValidations count="2">
    <dataValidation type="list" sqref="H5:H85" xr:uid="{00000000-0002-0000-0600-000000000000}">
      <formula1>"ON,OFF"</formula1>
      <formula2>0</formula2>
    </dataValidation>
    <dataValidation type="list" sqref="I5:I85" xr:uid="{00000000-0002-0000-0600-000001000000}">
      <formula1>"FTC,FTE,MGCC"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"/>
  <sheetViews>
    <sheetView topLeftCell="A9" zoomScaleNormal="100" workbookViewId="0">
      <selection activeCell="C26" sqref="C26"/>
    </sheetView>
  </sheetViews>
  <sheetFormatPr defaultColWidth="8.6328125" defaultRowHeight="14.5"/>
  <cols>
    <col min="1" max="1" width="2" customWidth="1"/>
    <col min="2" max="2" width="44" customWidth="1"/>
    <col min="3" max="8" width="13" customWidth="1"/>
    <col min="9" max="9" width="10.7265625" customWidth="1"/>
    <col min="10" max="10" width="44" customWidth="1"/>
  </cols>
  <sheetData>
    <row r="1" spans="1:10" ht="25.5" customHeight="1">
      <c r="A1" s="5" t="s">
        <v>638</v>
      </c>
      <c r="B1" s="5"/>
      <c r="C1" s="5"/>
      <c r="D1" s="5"/>
      <c r="E1" s="5"/>
      <c r="F1" s="5"/>
      <c r="G1" s="5"/>
      <c r="H1" s="5"/>
      <c r="I1" s="5"/>
      <c r="J1" s="5"/>
    </row>
    <row r="2" spans="1:10" ht="14.25" customHeight="1">
      <c r="A2" s="4" t="s">
        <v>639</v>
      </c>
      <c r="B2" s="4"/>
      <c r="C2" s="4"/>
      <c r="D2" s="4"/>
      <c r="E2" s="4"/>
      <c r="F2" s="4"/>
      <c r="G2" s="4"/>
      <c r="H2" s="4"/>
      <c r="I2" s="4"/>
      <c r="J2" s="4"/>
    </row>
    <row r="4" spans="1:10" ht="18.75" customHeight="1">
      <c r="A4" s="2" t="s">
        <v>640</v>
      </c>
      <c r="B4" s="2"/>
      <c r="C4" s="2"/>
      <c r="D4" s="2"/>
      <c r="E4" s="2"/>
      <c r="F4" s="2"/>
      <c r="G4" s="2"/>
      <c r="H4" s="2"/>
    </row>
    <row r="5" spans="1:10" ht="27.75" customHeight="1">
      <c r="B5" s="16" t="s">
        <v>641</v>
      </c>
      <c r="C5" s="16" t="s">
        <v>642</v>
      </c>
      <c r="D5" s="16" t="s">
        <v>643</v>
      </c>
      <c r="E5" s="16" t="s">
        <v>644</v>
      </c>
      <c r="F5" s="16" t="s">
        <v>645</v>
      </c>
      <c r="G5" s="16" t="s">
        <v>646</v>
      </c>
      <c r="H5" s="16" t="s">
        <v>647</v>
      </c>
    </row>
    <row r="6" spans="1:10" ht="14.25" customHeight="1">
      <c r="B6" s="8" t="s">
        <v>648</v>
      </c>
      <c r="C6" s="18">
        <f>SUMIFS('Pod Library'!$J:$J,'Pod Library'!$B:$B,1,'Pod Library'!$D:$D,"CO")/2</f>
        <v>6</v>
      </c>
      <c r="D6" s="18">
        <f>SUMIFS('Pod Library'!$J:$J,'Pod Library'!$B:$B,1,'Pod Library'!$D:$D,"FS")/3</f>
        <v>3.6666666666666665</v>
      </c>
      <c r="E6" s="18">
        <f>SUMIFS('Pod Library'!$J:$J,'Pod Library'!$B:$B,2,'Pod Library'!$D:$D,"CO")/2</f>
        <v>5</v>
      </c>
      <c r="F6" s="18">
        <f>SUMIFS('Pod Library'!$J:$J,'Pod Library'!$B:$B,2,'Pod Library'!$D:$D,"FS")/3</f>
        <v>2.6666666666666665</v>
      </c>
      <c r="G6" s="18">
        <f>SUMIFS('Pod Library'!$J:$J,'Pod Library'!$B:$B,3,'Pod Library'!$D:$D,"CO")/2</f>
        <v>4</v>
      </c>
      <c r="H6" s="18">
        <f>SUMIFS('Pod Library'!$J:$J,'Pod Library'!$B:$B,3,'Pod Library'!$D:$D,"FS")/3</f>
        <v>1.6666666666666667</v>
      </c>
    </row>
    <row r="8" spans="1:10" ht="18.75" customHeight="1">
      <c r="A8" s="2" t="s">
        <v>649</v>
      </c>
      <c r="B8" s="2"/>
      <c r="C8" s="2"/>
      <c r="D8" s="2"/>
      <c r="E8" s="2"/>
      <c r="F8" s="2"/>
      <c r="G8" s="2"/>
      <c r="H8" s="2"/>
    </row>
    <row r="9" spans="1:10" ht="27.75" customHeight="1">
      <c r="B9" s="16" t="s">
        <v>650</v>
      </c>
      <c r="C9" s="16" t="s">
        <v>94</v>
      </c>
      <c r="D9" s="16" t="s">
        <v>95</v>
      </c>
      <c r="E9" s="16" t="s">
        <v>96</v>
      </c>
    </row>
    <row r="10" spans="1:10" ht="14.25" customHeight="1">
      <c r="B10" s="12" t="s">
        <v>651</v>
      </c>
      <c r="C10" s="33">
        <f>SUMIFS('Seat Ledger'!$L$5:$L$70,'Seat Ledger'!$A$5:$A$70,1,'Seat Ledger'!$B$5:$B$70,"POD")</f>
        <v>45</v>
      </c>
      <c r="D10" s="33">
        <f>SUMIFS('Seat Ledger'!$L$5:$L$70,'Seat Ledger'!$A$5:$A$70,2,'Seat Ledger'!$B$5:$B$70,"POD")</f>
        <v>36</v>
      </c>
      <c r="E10" s="33">
        <f>SUMIFS('Seat Ledger'!$L$5:$L$70,'Seat Ledger'!$A$5:$A$70,3,'Seat Ledger'!$B$5:$B$70,"POD")</f>
        <v>27</v>
      </c>
    </row>
    <row r="11" spans="1:10" ht="14.25" customHeight="1">
      <c r="B11" s="12" t="s">
        <v>652</v>
      </c>
      <c r="C11" s="33">
        <f>SUMIFS('Seat Ledger'!$L$5:$L$70,'Seat Ledger'!$A$5:$A$70,1,'Seat Ledger'!$B$5:$B$70,"HZ")</f>
        <v>5</v>
      </c>
      <c r="D11" s="33">
        <f>SUMIFS('Seat Ledger'!$L$5:$L$70,'Seat Ledger'!$A$5:$A$70,2,'Seat Ledger'!$B$5:$B$70,"HZ")</f>
        <v>4</v>
      </c>
      <c r="E11" s="33">
        <f>SUMIFS('Seat Ledger'!$L$5:$L$70,'Seat Ledger'!$A$5:$A$70,3,'Seat Ledger'!$B$5:$B$70,"HZ")</f>
        <v>3</v>
      </c>
    </row>
    <row r="12" spans="1:10" ht="14.25" customHeight="1">
      <c r="B12" s="26" t="s">
        <v>653</v>
      </c>
      <c r="C12" s="49">
        <f>C10+C11</f>
        <v>50</v>
      </c>
      <c r="D12" s="49">
        <f>D10+D11</f>
        <v>40</v>
      </c>
      <c r="E12" s="49">
        <f>E10+E11</f>
        <v>30</v>
      </c>
    </row>
    <row r="13" spans="1:10" ht="14.25" customHeight="1">
      <c r="B13" s="12" t="s">
        <v>654</v>
      </c>
      <c r="C13" s="33">
        <f>SUMIFS('Pod Plan'!$G:$G,'Pod Plan'!$B:$B,1)</f>
        <v>9</v>
      </c>
      <c r="D13" s="33">
        <f>SUMIFS('Pod Plan'!$G:$G,'Pod Plan'!$B:$B,2)</f>
        <v>9</v>
      </c>
      <c r="E13" s="33">
        <f>SUMIFS('Pod Plan'!$G:$G,'Pod Plan'!$B:$B,3)</f>
        <v>9</v>
      </c>
    </row>
    <row r="14" spans="1:10" ht="14.25" customHeight="1">
      <c r="B14" s="12" t="s">
        <v>655</v>
      </c>
      <c r="C14" s="56">
        <f>IF(C13=0,0,C10/C13)</f>
        <v>5</v>
      </c>
      <c r="D14" s="56">
        <f>IF(D13=0,0,D10/D13)</f>
        <v>4</v>
      </c>
      <c r="E14" s="56">
        <f>IF(E13=0,0,E10/E13)</f>
        <v>3</v>
      </c>
    </row>
    <row r="16" spans="1:10" ht="18.75" customHeight="1">
      <c r="A16" s="2" t="s">
        <v>656</v>
      </c>
      <c r="B16" s="2"/>
      <c r="C16" s="2"/>
      <c r="D16" s="2"/>
      <c r="E16" s="2"/>
      <c r="F16" s="2"/>
      <c r="G16" s="2"/>
      <c r="H16" s="2"/>
    </row>
    <row r="17" spans="1:9" ht="27.75" customHeight="1">
      <c r="B17" s="16" t="s">
        <v>650</v>
      </c>
      <c r="C17" s="16" t="s">
        <v>94</v>
      </c>
      <c r="D17" s="16" t="s">
        <v>95</v>
      </c>
      <c r="E17" s="16" t="s">
        <v>96</v>
      </c>
    </row>
    <row r="18" spans="1:9" ht="14.25" customHeight="1">
      <c r="B18" s="12" t="s">
        <v>657</v>
      </c>
      <c r="C18" s="33">
        <f>SUMIFS('Seat Ledger'!$L$5:$L$70,'Seat Ledger'!$A$5:$A$70,1,'Seat Ledger'!$I$5:$I$70,"FTC")</f>
        <v>33</v>
      </c>
      <c r="D18" s="33">
        <f>SUMIFS('Seat Ledger'!$L$5:$L$70,'Seat Ledger'!$A$5:$A$70,2,'Seat Ledger'!$I$5:$I$70,"FTC")</f>
        <v>23</v>
      </c>
      <c r="E18" s="33">
        <f>SUMIFS('Seat Ledger'!$L$5:$L$70,'Seat Ledger'!$A$5:$A$70,3,'Seat Ledger'!$I$5:$I$70,"FTC")</f>
        <v>13</v>
      </c>
    </row>
    <row r="19" spans="1:9" ht="14.25" customHeight="1">
      <c r="B19" s="12" t="s">
        <v>658</v>
      </c>
      <c r="C19" s="33">
        <f>SUMIFS('Seat Ledger'!$L$5:$L$70,'Seat Ledger'!$A$5:$A$70,1,'Seat Ledger'!$I$5:$I$70,"FTE")</f>
        <v>16</v>
      </c>
      <c r="D19" s="33">
        <f>SUMIFS('Seat Ledger'!$L$5:$L$70,'Seat Ledger'!$A$5:$A$70,2,'Seat Ledger'!$I$5:$I$70,"FTE")</f>
        <v>16</v>
      </c>
      <c r="E19" s="33">
        <f>SUMIFS('Seat Ledger'!$L$5:$L$70,'Seat Ledger'!$A$5:$A$70,3,'Seat Ledger'!$I$5:$I$70,"FTE")</f>
        <v>16</v>
      </c>
    </row>
    <row r="20" spans="1:9" ht="14.25" customHeight="1">
      <c r="B20" s="12" t="s">
        <v>659</v>
      </c>
      <c r="C20" s="33">
        <f>SUMIFS('Seat Ledger'!$L$5:$L$70,'Seat Ledger'!$A$5:$A$70,1,'Seat Ledger'!$I$5:$I$70,"MGCC")</f>
        <v>1</v>
      </c>
      <c r="D20" s="33">
        <f>SUMIFS('Seat Ledger'!$L$5:$L$70,'Seat Ledger'!$A$5:$A$70,2,'Seat Ledger'!$I$5:$I$70,"MGCC")</f>
        <v>1</v>
      </c>
      <c r="E20" s="33">
        <f>SUMIFS('Seat Ledger'!$L$5:$L$70,'Seat Ledger'!$A$5:$A$70,3,'Seat Ledger'!$I$5:$I$70,"MGCC")</f>
        <v>1</v>
      </c>
    </row>
    <row r="21" spans="1:9" ht="14.25" customHeight="1">
      <c r="B21" s="8" t="s">
        <v>660</v>
      </c>
      <c r="C21" s="21">
        <f>C18+C19+C20-C12</f>
        <v>0</v>
      </c>
      <c r="D21" s="21">
        <f>D18+D19+D20-D12</f>
        <v>0</v>
      </c>
      <c r="E21" s="21">
        <f>E18+E19+E20-E12</f>
        <v>0</v>
      </c>
    </row>
    <row r="23" spans="1:9" ht="18.75" customHeight="1">
      <c r="A23" s="2" t="s">
        <v>661</v>
      </c>
      <c r="B23" s="2"/>
      <c r="C23" s="2"/>
      <c r="D23" s="2"/>
      <c r="E23" s="2"/>
      <c r="F23" s="2"/>
      <c r="G23" s="2"/>
      <c r="H23" s="2"/>
    </row>
    <row r="24" spans="1:9" ht="27.75" customHeight="1">
      <c r="B24" s="16" t="s">
        <v>650</v>
      </c>
      <c r="C24" s="16" t="s">
        <v>94</v>
      </c>
      <c r="D24" s="16" t="s">
        <v>95</v>
      </c>
      <c r="E24" s="16" t="s">
        <v>96</v>
      </c>
    </row>
    <row r="25" spans="1:9" ht="14.25" customHeight="1">
      <c r="B25" s="12" t="s">
        <v>130</v>
      </c>
      <c r="C25" s="33">
        <f>SUMIFS('Seat Ledger'!$L$5:$L$70,'Seat Ledger'!$A$5:$A$70,1,'Seat Ledger'!$H$5:$H$70,"ON")</f>
        <v>28</v>
      </c>
      <c r="D25" s="33">
        <f>SUMIFS('Seat Ledger'!$L$5:$L$70,'Seat Ledger'!$A$5:$A$70,2,'Seat Ledger'!$H$5:$H$70,"ON")</f>
        <v>18</v>
      </c>
      <c r="E25" s="33">
        <f>SUMIFS('Seat Ledger'!$L$5:$L$70,'Seat Ledger'!$A$5:$A$70,3,'Seat Ledger'!$H$5:$H$70,"ON")</f>
        <v>16</v>
      </c>
    </row>
    <row r="26" spans="1:9" ht="14.25" customHeight="1">
      <c r="B26" s="12" t="s">
        <v>132</v>
      </c>
      <c r="C26" s="33">
        <f>SUMIFS('Seat Ledger'!$L$5:$L$70,'Seat Ledger'!$A$5:$A$70,1,'Seat Ledger'!$H$5:$H$70,"OFF")</f>
        <v>22</v>
      </c>
      <c r="D26" s="33">
        <f>SUMIFS('Seat Ledger'!$L$5:$L$70,'Seat Ledger'!$A$5:$A$70,2,'Seat Ledger'!$H$5:$H$70,"OFF")</f>
        <v>22</v>
      </c>
      <c r="E26" s="33">
        <f>SUMIFS('Seat Ledger'!$L$5:$L$70,'Seat Ledger'!$A$5:$A$70,3,'Seat Ledger'!$H$5:$H$70,"OFF")</f>
        <v>14</v>
      </c>
    </row>
    <row r="27" spans="1:9" ht="14.25" customHeight="1">
      <c r="B27" s="26" t="s">
        <v>662</v>
      </c>
      <c r="C27" s="27">
        <f>IF(C12=0,0,C26/C12)</f>
        <v>0.44</v>
      </c>
      <c r="D27" s="27">
        <f>IF(D12=0,0,D26/D12)</f>
        <v>0.55000000000000004</v>
      </c>
      <c r="E27" s="27">
        <f>IF(E12=0,0,E26/E12)</f>
        <v>0.46666666666666667</v>
      </c>
    </row>
    <row r="29" spans="1:9" ht="18.75" customHeight="1">
      <c r="A29" s="2" t="s">
        <v>663</v>
      </c>
      <c r="B29" s="2"/>
      <c r="C29" s="2"/>
      <c r="D29" s="2"/>
      <c r="E29" s="2"/>
      <c r="F29" s="2"/>
      <c r="G29" s="2"/>
      <c r="H29" s="2"/>
    </row>
    <row r="30" spans="1:9" ht="27.75" customHeight="1">
      <c r="B30" s="16" t="s">
        <v>664</v>
      </c>
      <c r="C30" s="16" t="s">
        <v>94</v>
      </c>
      <c r="D30" s="16" t="s">
        <v>95</v>
      </c>
      <c r="E30" s="16" t="s">
        <v>96</v>
      </c>
      <c r="F30" s="16"/>
      <c r="G30" s="16" t="s">
        <v>665</v>
      </c>
      <c r="H30" s="16" t="s">
        <v>666</v>
      </c>
      <c r="I30" s="16" t="s">
        <v>667</v>
      </c>
    </row>
    <row r="31" spans="1:9" ht="14.25" customHeight="1">
      <c r="B31" s="12" t="s">
        <v>668</v>
      </c>
      <c r="C31" s="33">
        <f>SUMIFS('Seat Ledger'!$L$5:$L$70,'Seat Ledger'!$A$5:$A$70,1,'Seat Ledger'!$G$5:$G$70,"E1")</f>
        <v>0</v>
      </c>
      <c r="D31" s="33">
        <f>SUMIFS('Seat Ledger'!$L$5:$L$70,'Seat Ledger'!$A$5:$A$70,2,'Seat Ledger'!$G$5:$G$70,"E1")</f>
        <v>0</v>
      </c>
      <c r="E31" s="33">
        <f>SUMIFS('Seat Ledger'!$L$5:$L$70,'Seat Ledger'!$A$5:$A$70,3,'Seat Ledger'!$G$5:$G$70,"E1")</f>
        <v>0</v>
      </c>
      <c r="G31" s="57">
        <f t="shared" ref="G31:I35" si="0">IF(C$12=0,0,C31/C$12)</f>
        <v>0</v>
      </c>
      <c r="H31" s="57">
        <f t="shared" si="0"/>
        <v>0</v>
      </c>
      <c r="I31" s="57">
        <f t="shared" si="0"/>
        <v>0</v>
      </c>
    </row>
    <row r="32" spans="1:9" ht="14.25" customHeight="1">
      <c r="B32" s="12" t="s">
        <v>669</v>
      </c>
      <c r="C32" s="33">
        <f>SUMIFS('Seat Ledger'!$L$5:$L$70,'Seat Ledger'!$A$5:$A$70,1,'Seat Ledger'!$G$5:$G$70,"E2")</f>
        <v>12</v>
      </c>
      <c r="D32" s="33">
        <f>SUMIFS('Seat Ledger'!$L$5:$L$70,'Seat Ledger'!$A$5:$A$70,2,'Seat Ledger'!$G$5:$G$70,"E2")</f>
        <v>3</v>
      </c>
      <c r="E32" s="33">
        <f>SUMIFS('Seat Ledger'!$L$5:$L$70,'Seat Ledger'!$A$5:$A$70,3,'Seat Ledger'!$G$5:$G$70,"E2")</f>
        <v>0</v>
      </c>
      <c r="G32" s="57">
        <f t="shared" si="0"/>
        <v>0.24</v>
      </c>
      <c r="H32" s="57">
        <f t="shared" si="0"/>
        <v>7.4999999999999997E-2</v>
      </c>
      <c r="I32" s="57">
        <f t="shared" si="0"/>
        <v>0</v>
      </c>
    </row>
    <row r="33" spans="1:9" ht="14.25" customHeight="1">
      <c r="B33" s="12" t="s">
        <v>670</v>
      </c>
      <c r="C33" s="33">
        <f>SUMIFS('Seat Ledger'!$L$5:$L$70,'Seat Ledger'!$A$5:$A$70,1,'Seat Ledger'!$G$5:$G$70,"E3")</f>
        <v>11</v>
      </c>
      <c r="D33" s="33">
        <f>SUMIFS('Seat Ledger'!$L$5:$L$70,'Seat Ledger'!$A$5:$A$70,2,'Seat Ledger'!$G$5:$G$70,"E3")</f>
        <v>15</v>
      </c>
      <c r="E33" s="33">
        <f>SUMIFS('Seat Ledger'!$L$5:$L$70,'Seat Ledger'!$A$5:$A$70,3,'Seat Ledger'!$G$5:$G$70,"E3")</f>
        <v>9</v>
      </c>
      <c r="G33" s="57">
        <f t="shared" si="0"/>
        <v>0.22</v>
      </c>
      <c r="H33" s="57">
        <f t="shared" si="0"/>
        <v>0.375</v>
      </c>
      <c r="I33" s="57">
        <f t="shared" si="0"/>
        <v>0.3</v>
      </c>
    </row>
    <row r="34" spans="1:9" ht="14.25" customHeight="1">
      <c r="B34" s="12" t="s">
        <v>671</v>
      </c>
      <c r="C34" s="33">
        <f>SUMIFS('Seat Ledger'!$L$5:$L$70,'Seat Ledger'!$A$5:$A$70,1,'Seat Ledger'!$G$5:$G$70,"E4")</f>
        <v>25</v>
      </c>
      <c r="D34" s="33">
        <f>SUMIFS('Seat Ledger'!$L$5:$L$70,'Seat Ledger'!$A$5:$A$70,2,'Seat Ledger'!$G$5:$G$70,"E4")</f>
        <v>20</v>
      </c>
      <c r="E34" s="33">
        <f>SUMIFS('Seat Ledger'!$L$5:$L$70,'Seat Ledger'!$A$5:$A$70,3,'Seat Ledger'!$G$5:$G$70,"E4")</f>
        <v>19</v>
      </c>
      <c r="G34" s="57">
        <f t="shared" si="0"/>
        <v>0.5</v>
      </c>
      <c r="H34" s="57">
        <f t="shared" si="0"/>
        <v>0.5</v>
      </c>
      <c r="I34" s="57">
        <f t="shared" si="0"/>
        <v>0.6333333333333333</v>
      </c>
    </row>
    <row r="35" spans="1:9" ht="14.25" customHeight="1">
      <c r="B35" s="12" t="s">
        <v>672</v>
      </c>
      <c r="C35" s="33">
        <f>SUMIFS('Seat Ledger'!$L$5:$L$70,'Seat Ledger'!$A$5:$A$70,1,'Seat Ledger'!$G$5:$G$70,"E5")</f>
        <v>2</v>
      </c>
      <c r="D35" s="33">
        <f>SUMIFS('Seat Ledger'!$L$5:$L$70,'Seat Ledger'!$A$5:$A$70,2,'Seat Ledger'!$G$5:$G$70,"E5")</f>
        <v>2</v>
      </c>
      <c r="E35" s="33">
        <f>SUMIFS('Seat Ledger'!$L$5:$L$70,'Seat Ledger'!$A$5:$A$70,3,'Seat Ledger'!$G$5:$G$70,"E5")</f>
        <v>2</v>
      </c>
      <c r="G35" s="57">
        <f t="shared" si="0"/>
        <v>0.04</v>
      </c>
      <c r="H35" s="57">
        <f t="shared" si="0"/>
        <v>0.05</v>
      </c>
      <c r="I35" s="57">
        <f t="shared" si="0"/>
        <v>6.6666666666666666E-2</v>
      </c>
    </row>
    <row r="36" spans="1:9" ht="14.25" customHeight="1">
      <c r="B36" s="26" t="s">
        <v>673</v>
      </c>
      <c r="C36" s="44" t="str">
        <f>IF((C34+C35)/C12&gt;0.55,"Obelisk",IF((C34+C35)/C12&gt;0.4,"Diamond","Pyramid"))</f>
        <v>Diamond</v>
      </c>
      <c r="D36" s="44" t="str">
        <f>IF((D34+D35)/D12&gt;0.55,"Obelisk",IF((D34+D35)/D12&gt;0.4,"Diamond","Pyramid"))</f>
        <v>Diamond</v>
      </c>
      <c r="E36" s="44" t="str">
        <f>IF((E34+E35)/E12&gt;0.55,"Obelisk",IF((E34+E35)/E12&gt;0.4,"Diamond","Pyramid"))</f>
        <v>Obelisk</v>
      </c>
    </row>
    <row r="37" spans="1:9" ht="14.25" customHeight="1">
      <c r="B37" s="8" t="s">
        <v>674</v>
      </c>
      <c r="C37" s="23">
        <f>IF(C12=0,0,(C34+C35)/C12)</f>
        <v>0.54</v>
      </c>
      <c r="D37" s="23">
        <f>IF(D12=0,0,(D34+D35)/D12)</f>
        <v>0.55000000000000004</v>
      </c>
      <c r="E37" s="23">
        <f>IF(E12=0,0,(E34+E35)/E12)</f>
        <v>0.7</v>
      </c>
    </row>
    <row r="39" spans="1:9" ht="18.75" customHeight="1">
      <c r="A39" s="2" t="s">
        <v>675</v>
      </c>
      <c r="B39" s="2"/>
      <c r="C39" s="2"/>
      <c r="D39" s="2"/>
      <c r="E39" s="2"/>
      <c r="F39" s="2"/>
      <c r="G39" s="2"/>
      <c r="H39" s="2"/>
    </row>
    <row r="40" spans="1:9" ht="27.75" customHeight="1">
      <c r="B40" s="16" t="s">
        <v>676</v>
      </c>
      <c r="C40" s="16" t="s">
        <v>94</v>
      </c>
      <c r="D40" s="16" t="s">
        <v>95</v>
      </c>
      <c r="E40" s="16" t="s">
        <v>96</v>
      </c>
      <c r="F40" s="16"/>
      <c r="G40" s="16" t="s">
        <v>665</v>
      </c>
      <c r="H40" s="16" t="s">
        <v>666</v>
      </c>
      <c r="I40" s="16" t="s">
        <v>667</v>
      </c>
    </row>
    <row r="41" spans="1:9" ht="14.25" customHeight="1">
      <c r="B41" s="12" t="s">
        <v>677</v>
      </c>
      <c r="C41" s="33">
        <f>SUMIFS('Seat Ledger'!$L$5:$L$70,'Seat Ledger'!$A$5:$A$70,1,'Seat Ledger'!$F$5:$F$70,"LEAD")</f>
        <v>16</v>
      </c>
      <c r="D41" s="33">
        <f>SUMIFS('Seat Ledger'!$L$5:$L$70,'Seat Ledger'!$A$5:$A$70,2,'Seat Ledger'!$F$5:$F$70,"LEAD")</f>
        <v>11</v>
      </c>
      <c r="E41" s="33">
        <f>SUMIFS('Seat Ledger'!$L$5:$L$70,'Seat Ledger'!$A$5:$A$70,3,'Seat Ledger'!$F$5:$F$70,"LEAD")</f>
        <v>7</v>
      </c>
      <c r="G41" s="57">
        <f t="shared" ref="G41:I46" si="1">IF(C$12=0,0,C41/C$12)</f>
        <v>0.32</v>
      </c>
      <c r="H41" s="57">
        <f t="shared" si="1"/>
        <v>0.27500000000000002</v>
      </c>
      <c r="I41" s="57">
        <f t="shared" si="1"/>
        <v>0.23333333333333334</v>
      </c>
    </row>
    <row r="42" spans="1:9" ht="14.25" customHeight="1">
      <c r="B42" s="12" t="s">
        <v>678</v>
      </c>
      <c r="C42" s="33">
        <f>SUMIFS('Seat Ledger'!$L$5:$L$70,'Seat Ledger'!$A$5:$A$70,1,'Seat Ledger'!$F$5:$F$70,"BA")</f>
        <v>6</v>
      </c>
      <c r="D42" s="33">
        <f>SUMIFS('Seat Ledger'!$L$5:$L$70,'Seat Ledger'!$A$5:$A$70,2,'Seat Ledger'!$F$5:$F$70,"BA")</f>
        <v>5</v>
      </c>
      <c r="E42" s="33">
        <f>SUMIFS('Seat Ledger'!$L$5:$L$70,'Seat Ledger'!$A$5:$A$70,3,'Seat Ledger'!$F$5:$F$70,"BA")</f>
        <v>5</v>
      </c>
      <c r="G42" s="57">
        <f t="shared" si="1"/>
        <v>0.12</v>
      </c>
      <c r="H42" s="57">
        <f t="shared" si="1"/>
        <v>0.125</v>
      </c>
      <c r="I42" s="57">
        <f t="shared" si="1"/>
        <v>0.16666666666666666</v>
      </c>
    </row>
    <row r="43" spans="1:9" ht="14.25" customHeight="1">
      <c r="B43" s="12" t="s">
        <v>679</v>
      </c>
      <c r="C43" s="33">
        <f>SUMIFS('Seat Ledger'!$L$5:$L$70,'Seat Ledger'!$A$5:$A$70,1,'Seat Ledger'!$F$5:$F$70,"DEV")</f>
        <v>12</v>
      </c>
      <c r="D43" s="33">
        <f>SUMIFS('Seat Ledger'!$L$5:$L$70,'Seat Ledger'!$A$5:$A$70,2,'Seat Ledger'!$F$5:$F$70,"DEV")</f>
        <v>9</v>
      </c>
      <c r="E43" s="33">
        <f>SUMIFS('Seat Ledger'!$L$5:$L$70,'Seat Ledger'!$A$5:$A$70,3,'Seat Ledger'!$F$5:$F$70,"DEV")</f>
        <v>3</v>
      </c>
      <c r="G43" s="57">
        <f t="shared" si="1"/>
        <v>0.24</v>
      </c>
      <c r="H43" s="57">
        <f t="shared" si="1"/>
        <v>0.22500000000000001</v>
      </c>
      <c r="I43" s="57">
        <f t="shared" si="1"/>
        <v>0.1</v>
      </c>
    </row>
    <row r="44" spans="1:9" ht="14.25" customHeight="1">
      <c r="B44" s="12" t="s">
        <v>680</v>
      </c>
      <c r="C44" s="33">
        <f>SUMIFS('Seat Ledger'!$L$5:$L$70,'Seat Ledger'!$A$5:$A$70,1,'Seat Ledger'!$F$5:$F$70,"ENG")</f>
        <v>6</v>
      </c>
      <c r="D44" s="33">
        <f>SUMIFS('Seat Ledger'!$L$5:$L$70,'Seat Ledger'!$A$5:$A$70,2,'Seat Ledger'!$F$5:$F$70,"ENG")</f>
        <v>6</v>
      </c>
      <c r="E44" s="33">
        <f>SUMIFS('Seat Ledger'!$L$5:$L$70,'Seat Ledger'!$A$5:$A$70,3,'Seat Ledger'!$F$5:$F$70,"ENG")</f>
        <v>15</v>
      </c>
      <c r="G44" s="57">
        <f t="shared" si="1"/>
        <v>0.12</v>
      </c>
      <c r="H44" s="57">
        <f t="shared" si="1"/>
        <v>0.15</v>
      </c>
      <c r="I44" s="57">
        <f t="shared" si="1"/>
        <v>0.5</v>
      </c>
    </row>
    <row r="45" spans="1:9" ht="14.25" customHeight="1">
      <c r="B45" s="12" t="s">
        <v>681</v>
      </c>
      <c r="C45" s="33">
        <f>SUMIFS('Seat Ledger'!$L$5:$L$70,'Seat Ledger'!$A$5:$A$70,1,'Seat Ledger'!$F$5:$F$70,"TEST")</f>
        <v>10</v>
      </c>
      <c r="D45" s="33">
        <f>SUMIFS('Seat Ledger'!$L$5:$L$70,'Seat Ledger'!$A$5:$A$70,2,'Seat Ledger'!$F$5:$F$70,"TEST")</f>
        <v>9</v>
      </c>
      <c r="E45" s="33">
        <f>SUMIFS('Seat Ledger'!$L$5:$L$70,'Seat Ledger'!$A$5:$A$70,3,'Seat Ledger'!$F$5:$F$70,"TEST")</f>
        <v>0</v>
      </c>
      <c r="G45" s="57">
        <f t="shared" si="1"/>
        <v>0.2</v>
      </c>
      <c r="H45" s="57">
        <f t="shared" si="1"/>
        <v>0.22500000000000001</v>
      </c>
      <c r="I45" s="57">
        <f t="shared" si="1"/>
        <v>0</v>
      </c>
    </row>
    <row r="46" spans="1:9" ht="14.25" customHeight="1">
      <c r="B46" s="12" t="s">
        <v>682</v>
      </c>
      <c r="C46" s="33">
        <f>SUMIFS('Seat Ledger'!$L$5:$L$70,'Seat Ledger'!$A$5:$A$70,1,'Seat Ledger'!$F$5:$F$70,"OPS")</f>
        <v>0</v>
      </c>
      <c r="D46" s="33">
        <f>SUMIFS('Seat Ledger'!$L$5:$L$70,'Seat Ledger'!$A$5:$A$70,2,'Seat Ledger'!$F$5:$F$70,"OPS")</f>
        <v>0</v>
      </c>
      <c r="E46" s="33">
        <f>SUMIFS('Seat Ledger'!$L$5:$L$70,'Seat Ledger'!$A$5:$A$70,3,'Seat Ledger'!$F$5:$F$70,"OPS")</f>
        <v>0</v>
      </c>
      <c r="G46" s="57">
        <f t="shared" si="1"/>
        <v>0</v>
      </c>
      <c r="H46" s="57">
        <f t="shared" si="1"/>
        <v>0</v>
      </c>
      <c r="I46" s="57">
        <f t="shared" si="1"/>
        <v>0</v>
      </c>
    </row>
    <row r="47" spans="1:9" ht="14.25" customHeight="1">
      <c r="B47" s="8" t="s">
        <v>660</v>
      </c>
      <c r="C47" s="21">
        <f>SUM(C41:C46)-C12</f>
        <v>0</v>
      </c>
      <c r="D47" s="21">
        <f>SUM(D41:D46)-D12</f>
        <v>0</v>
      </c>
      <c r="E47" s="21">
        <f>SUM(E41:E46)-E12</f>
        <v>0</v>
      </c>
    </row>
    <row r="49" spans="1:9" ht="18.75" customHeight="1">
      <c r="A49" s="2" t="s">
        <v>683</v>
      </c>
      <c r="B49" s="2"/>
      <c r="C49" s="2"/>
      <c r="D49" s="2"/>
      <c r="E49" s="2"/>
      <c r="F49" s="2"/>
      <c r="G49" s="2"/>
      <c r="H49" s="2"/>
    </row>
    <row r="50" spans="1:9" ht="27.75" customHeight="1">
      <c r="B50" s="16" t="s">
        <v>684</v>
      </c>
      <c r="C50" s="16" t="s">
        <v>94</v>
      </c>
      <c r="D50" s="16" t="s">
        <v>95</v>
      </c>
      <c r="E50" s="16" t="s">
        <v>96</v>
      </c>
      <c r="F50" s="16"/>
      <c r="G50" s="16" t="s">
        <v>543</v>
      </c>
      <c r="H50" s="16" t="s">
        <v>685</v>
      </c>
      <c r="I50" s="16" t="s">
        <v>686</v>
      </c>
    </row>
    <row r="51" spans="1:9" ht="14.25" customHeight="1">
      <c r="B51" s="12" t="s">
        <v>687</v>
      </c>
      <c r="C51" s="33">
        <f>SUMIFS('Seat Ledger'!$L$5:$L$70,'Seat Ledger'!$A$5:$A$70,1,'Seat Ledger'!$C$5:$C$70,"VS1")</f>
        <v>26</v>
      </c>
      <c r="D51" s="33">
        <f>SUMIFS('Seat Ledger'!$L$5:$L$70,'Seat Ledger'!$A$5:$A$70,2,'Seat Ledger'!$C$5:$C$70,"VS1")</f>
        <v>21</v>
      </c>
      <c r="E51" s="33">
        <f>SUMIFS('Seat Ledger'!$L$5:$L$70,'Seat Ledger'!$A$5:$A$70,3,'Seat Ledger'!$C$5:$C$70,"VS1")</f>
        <v>16</v>
      </c>
      <c r="G51" s="18">
        <f>SUMIFS('Pod Plan'!$E:$E,'Pod Plan'!$B:$B,1,'Pod Plan'!$C:$C,"VS1")</f>
        <v>3</v>
      </c>
      <c r="H51" s="18">
        <f>SUMIFS('Pod Plan'!$G:$G,'Pod Plan'!$B:$B,1,'Pod Plan'!$C:$C,"VS1")</f>
        <v>5</v>
      </c>
      <c r="I51" s="18">
        <f>SUMIFS('Pod Plan'!$G:$G,'Pod Plan'!$B:$B,3,'Pod Plan'!$C:$C,"VS1")</f>
        <v>5</v>
      </c>
    </row>
    <row r="52" spans="1:9" ht="14.25" customHeight="1">
      <c r="B52" s="12" t="s">
        <v>688</v>
      </c>
      <c r="C52" s="33">
        <f>SUMIFS('Seat Ledger'!$L$5:$L$70,'Seat Ledger'!$A$5:$A$70,1,'Seat Ledger'!$C$5:$C$70,"VS2")</f>
        <v>16</v>
      </c>
      <c r="D52" s="33">
        <f>SUMIFS('Seat Ledger'!$L$5:$L$70,'Seat Ledger'!$A$5:$A$70,2,'Seat Ledger'!$C$5:$C$70,"VS2")</f>
        <v>13</v>
      </c>
      <c r="E52" s="33">
        <f>SUMIFS('Seat Ledger'!$L$5:$L$70,'Seat Ledger'!$A$5:$A$70,3,'Seat Ledger'!$C$5:$C$70,"VS2")</f>
        <v>10</v>
      </c>
      <c r="G52" s="18">
        <f>SUMIFS('Pod Plan'!$E:$E,'Pod Plan'!$B:$B,1,'Pod Plan'!$C:$C,"VS2")</f>
        <v>2</v>
      </c>
      <c r="H52" s="18">
        <f>SUMIFS('Pod Plan'!$G:$G,'Pod Plan'!$B:$B,1,'Pod Plan'!$C:$C,"VS2")</f>
        <v>3</v>
      </c>
      <c r="I52" s="18">
        <f>SUMIFS('Pod Plan'!$G:$G,'Pod Plan'!$B:$B,3,'Pod Plan'!$C:$C,"VS2")</f>
        <v>3</v>
      </c>
    </row>
    <row r="53" spans="1:9" ht="14.25" customHeight="1">
      <c r="B53" s="12" t="s">
        <v>689</v>
      </c>
      <c r="C53" s="33">
        <f>SUMIFS('Seat Ledger'!$L$5:$L$70,'Seat Ledger'!$A$5:$A$70,1,'Seat Ledger'!$C$5:$C$70,"VS3")</f>
        <v>3</v>
      </c>
      <c r="D53" s="33">
        <f>SUMIFS('Seat Ledger'!$L$5:$L$70,'Seat Ledger'!$A$5:$A$70,2,'Seat Ledger'!$C$5:$C$70,"VS3")</f>
        <v>2</v>
      </c>
      <c r="E53" s="33">
        <f>SUMIFS('Seat Ledger'!$L$5:$L$70,'Seat Ledger'!$A$5:$A$70,3,'Seat Ledger'!$C$5:$C$70,"VS3")</f>
        <v>1</v>
      </c>
      <c r="G53" s="18">
        <f>SUMIFS('Pod Plan'!$E:$E,'Pod Plan'!$B:$B,1,'Pod Plan'!$C:$C,"VS3")</f>
        <v>0</v>
      </c>
      <c r="H53" s="18">
        <f>SUMIFS('Pod Plan'!$G:$G,'Pod Plan'!$B:$B,1,'Pod Plan'!$C:$C,"VS3")</f>
        <v>1</v>
      </c>
      <c r="I53" s="18">
        <f>SUMIFS('Pod Plan'!$G:$G,'Pod Plan'!$B:$B,3,'Pod Plan'!$C:$C,"VS3")</f>
        <v>1</v>
      </c>
    </row>
    <row r="54" spans="1:9" ht="14.25" customHeight="1">
      <c r="B54" s="12" t="s">
        <v>690</v>
      </c>
      <c r="C54" s="33">
        <f>SUMIFS('Seat Ledger'!$L$5:$L$70,'Seat Ledger'!$A$5:$A$70,1,'Seat Ledger'!$C$5:$C$70,"VS4")</f>
        <v>0</v>
      </c>
      <c r="D54" s="33">
        <f>SUMIFS('Seat Ledger'!$L$5:$L$70,'Seat Ledger'!$A$5:$A$70,2,'Seat Ledger'!$C$5:$C$70,"VS4")</f>
        <v>0</v>
      </c>
      <c r="E54" s="33">
        <f>SUMIFS('Seat Ledger'!$L$5:$L$70,'Seat Ledger'!$A$5:$A$70,3,'Seat Ledger'!$C$5:$C$70,"VS4")</f>
        <v>0</v>
      </c>
      <c r="G54" s="18">
        <f>SUMIFS('Pod Plan'!$E:$E,'Pod Plan'!$B:$B,1,'Pod Plan'!$C:$C,"VS4")</f>
        <v>0</v>
      </c>
      <c r="H54" s="18">
        <f>SUMIFS('Pod Plan'!$G:$G,'Pod Plan'!$B:$B,1,'Pod Plan'!$C:$C,"VS4")</f>
        <v>0</v>
      </c>
      <c r="I54" s="18">
        <f>SUMIFS('Pod Plan'!$G:$G,'Pod Plan'!$B:$B,3,'Pod Plan'!$C:$C,"VS4")</f>
        <v>0</v>
      </c>
    </row>
    <row r="55" spans="1:9" ht="14.25" customHeight="1">
      <c r="B55" s="12" t="s">
        <v>691</v>
      </c>
      <c r="C55" s="33">
        <f>SUMIFS('Seat Ledger'!$L$5:$L$70,'Seat Ledger'!$A$5:$A$70,1,'Seat Ledger'!$C$5:$C$70,"VS5")</f>
        <v>0</v>
      </c>
      <c r="D55" s="33">
        <f>SUMIFS('Seat Ledger'!$L$5:$L$70,'Seat Ledger'!$A$5:$A$70,2,'Seat Ledger'!$C$5:$C$70,"VS5")</f>
        <v>0</v>
      </c>
      <c r="E55" s="33">
        <f>SUMIFS('Seat Ledger'!$L$5:$L$70,'Seat Ledger'!$A$5:$A$70,3,'Seat Ledger'!$C$5:$C$70,"VS5")</f>
        <v>0</v>
      </c>
      <c r="G55" s="18">
        <f>SUMIFS('Pod Plan'!$E:$E,'Pod Plan'!$B:$B,1,'Pod Plan'!$C:$C,"VS5")</f>
        <v>0</v>
      </c>
      <c r="H55" s="18">
        <f>SUMIFS('Pod Plan'!$G:$G,'Pod Plan'!$B:$B,1,'Pod Plan'!$C:$C,"VS5")</f>
        <v>0</v>
      </c>
      <c r="I55" s="18">
        <f>SUMIFS('Pod Plan'!$G:$G,'Pod Plan'!$B:$B,3,'Pod Plan'!$C:$C,"VS5")</f>
        <v>0</v>
      </c>
    </row>
    <row r="56" spans="1:9" ht="14.25" customHeight="1">
      <c r="B56" s="12" t="s">
        <v>692</v>
      </c>
      <c r="C56" s="33">
        <f>SUMIFS('Seat Ledger'!$L$5:$L$70,'Seat Ledger'!$A$5:$A$70,1,'Seat Ledger'!$C$5:$C$70,"VS6")</f>
        <v>0</v>
      </c>
      <c r="D56" s="33">
        <f>SUMIFS('Seat Ledger'!$L$5:$L$70,'Seat Ledger'!$A$5:$A$70,2,'Seat Ledger'!$C$5:$C$70,"VS6")</f>
        <v>0</v>
      </c>
      <c r="E56" s="33">
        <f>SUMIFS('Seat Ledger'!$L$5:$L$70,'Seat Ledger'!$A$5:$A$70,3,'Seat Ledger'!$C$5:$C$70,"VS6")</f>
        <v>0</v>
      </c>
      <c r="G56" s="18">
        <f>SUMIFS('Pod Plan'!$E:$E,'Pod Plan'!$B:$B,1,'Pod Plan'!$C:$C,"VS6")</f>
        <v>0</v>
      </c>
      <c r="H56" s="18">
        <f>SUMIFS('Pod Plan'!$G:$G,'Pod Plan'!$B:$B,1,'Pod Plan'!$C:$C,"VS6")</f>
        <v>0</v>
      </c>
      <c r="I56" s="18">
        <f>SUMIFS('Pod Plan'!$G:$G,'Pod Plan'!$B:$B,3,'Pod Plan'!$C:$C,"VS6")</f>
        <v>0</v>
      </c>
    </row>
    <row r="57" spans="1:9" ht="14.25" customHeight="1">
      <c r="B57" s="12" t="s">
        <v>693</v>
      </c>
      <c r="C57" s="33">
        <f>SUMIFS('Seat Ledger'!$L$5:$L$70,'Seat Ledger'!$A$5:$A$70,1,'Seat Ledger'!$C$5:$C$70,"H1")</f>
        <v>1</v>
      </c>
      <c r="D57" s="33">
        <f>SUMIFS('Seat Ledger'!$L$5:$L$70,'Seat Ledger'!$A$5:$A$70,2,'Seat Ledger'!$C$5:$C$70,"H1")</f>
        <v>1</v>
      </c>
      <c r="E57" s="33">
        <f>SUMIFS('Seat Ledger'!$L$5:$L$70,'Seat Ledger'!$A$5:$A$70,3,'Seat Ledger'!$C$5:$C$70,"H1")</f>
        <v>1</v>
      </c>
    </row>
    <row r="58" spans="1:9" ht="14.25" customHeight="1">
      <c r="B58" s="12" t="s">
        <v>694</v>
      </c>
      <c r="C58" s="33">
        <f>SUMIFS('Seat Ledger'!$L$5:$L$70,'Seat Ledger'!$A$5:$A$70,1,'Seat Ledger'!$C$5:$C$70,"H2")</f>
        <v>1</v>
      </c>
      <c r="D58" s="33">
        <f>SUMIFS('Seat Ledger'!$L$5:$L$70,'Seat Ledger'!$A$5:$A$70,2,'Seat Ledger'!$C$5:$C$70,"H2")</f>
        <v>1</v>
      </c>
      <c r="E58" s="33">
        <f>SUMIFS('Seat Ledger'!$L$5:$L$70,'Seat Ledger'!$A$5:$A$70,3,'Seat Ledger'!$C$5:$C$70,"H2")</f>
        <v>0</v>
      </c>
    </row>
    <row r="59" spans="1:9" ht="14.25" customHeight="1">
      <c r="B59" s="12" t="s">
        <v>695</v>
      </c>
      <c r="C59" s="33">
        <f>SUMIFS('Seat Ledger'!$L$5:$L$70,'Seat Ledger'!$A$5:$A$70,1,'Seat Ledger'!$C$5:$C$70,"H3")</f>
        <v>1</v>
      </c>
      <c r="D59" s="33">
        <f>SUMIFS('Seat Ledger'!$L$5:$L$70,'Seat Ledger'!$A$5:$A$70,2,'Seat Ledger'!$C$5:$C$70,"H3")</f>
        <v>0</v>
      </c>
      <c r="E59" s="33">
        <f>SUMIFS('Seat Ledger'!$L$5:$L$70,'Seat Ledger'!$A$5:$A$70,3,'Seat Ledger'!$C$5:$C$70,"H3")</f>
        <v>0</v>
      </c>
    </row>
    <row r="60" spans="1:9" ht="14.25" customHeight="1">
      <c r="B60" s="26" t="s">
        <v>696</v>
      </c>
      <c r="C60" s="49">
        <f>SUM(C51:C59)</f>
        <v>48</v>
      </c>
      <c r="D60" s="49">
        <f>SUM(D51:D59)</f>
        <v>38</v>
      </c>
      <c r="E60" s="49">
        <f>SUM(E51:E59)</f>
        <v>28</v>
      </c>
    </row>
  </sheetData>
  <mergeCells count="9">
    <mergeCell ref="A23:H23"/>
    <mergeCell ref="A29:H29"/>
    <mergeCell ref="A39:H39"/>
    <mergeCell ref="A49:H49"/>
    <mergeCell ref="A1:J1"/>
    <mergeCell ref="A2:J2"/>
    <mergeCell ref="A4:H4"/>
    <mergeCell ref="A8:H8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zoomScaleNormal="100" workbookViewId="0">
      <selection activeCell="C19" sqref="C19"/>
    </sheetView>
  </sheetViews>
  <sheetFormatPr defaultColWidth="8.6328125" defaultRowHeight="14.5"/>
  <cols>
    <col min="1" max="1" width="2" customWidth="1"/>
    <col min="2" max="2" width="50" customWidth="1"/>
    <col min="3" max="6" width="14" customWidth="1"/>
    <col min="7" max="7" width="3" customWidth="1"/>
    <col min="8" max="8" width="56" customWidth="1"/>
  </cols>
  <sheetData>
    <row r="1" spans="1:9" ht="25.5" customHeight="1">
      <c r="A1" s="5" t="s">
        <v>697</v>
      </c>
      <c r="B1" s="5"/>
      <c r="C1" s="5"/>
      <c r="D1" s="5"/>
      <c r="E1" s="5"/>
      <c r="F1" s="5"/>
      <c r="G1" s="5"/>
      <c r="H1" s="5"/>
      <c r="I1" s="5"/>
    </row>
    <row r="2" spans="1:9" ht="14.25" customHeight="1">
      <c r="A2" s="4" t="s">
        <v>698</v>
      </c>
      <c r="B2" s="4"/>
      <c r="C2" s="4"/>
      <c r="D2" s="4"/>
      <c r="E2" s="4"/>
      <c r="F2" s="4"/>
      <c r="G2" s="4"/>
      <c r="H2" s="4"/>
      <c r="I2" s="4"/>
    </row>
    <row r="4" spans="1:9" ht="18.75" customHeight="1">
      <c r="A4" s="2" t="s">
        <v>699</v>
      </c>
      <c r="B4" s="2"/>
      <c r="C4" s="2"/>
      <c r="D4" s="2"/>
      <c r="E4" s="2"/>
      <c r="F4" s="2"/>
      <c r="G4" s="2"/>
      <c r="H4" s="2"/>
    </row>
    <row r="5" spans="1:9" ht="27.75" customHeight="1">
      <c r="B5" s="16" t="s">
        <v>650</v>
      </c>
      <c r="C5" s="16" t="s">
        <v>700</v>
      </c>
    </row>
    <row r="6" spans="1:9" ht="14.25" customHeight="1">
      <c r="B6" s="12" t="s">
        <v>550</v>
      </c>
      <c r="C6" s="18">
        <f>'Logic Tree'!C6</f>
        <v>5</v>
      </c>
    </row>
    <row r="7" spans="1:9" ht="14.25" customHeight="1">
      <c r="B7" s="12" t="s">
        <v>57</v>
      </c>
      <c r="C7" s="19">
        <f>'Logic Tree'!C7</f>
        <v>48.510291666666731</v>
      </c>
    </row>
    <row r="8" spans="1:9" ht="14.25" customHeight="1">
      <c r="B8" s="12" t="s">
        <v>701</v>
      </c>
      <c r="C8" s="19">
        <f>'Logic Tree'!C8</f>
        <v>38.14779166666667</v>
      </c>
    </row>
    <row r="9" spans="1:9" ht="14.25" customHeight="1">
      <c r="B9" s="12" t="s">
        <v>702</v>
      </c>
      <c r="C9" s="19">
        <f>'Logic Tree'!C9</f>
        <v>9.7791666666666632</v>
      </c>
    </row>
    <row r="10" spans="1:9" ht="14.25" customHeight="1">
      <c r="B10" s="12" t="s">
        <v>703</v>
      </c>
      <c r="C10" s="19">
        <f>'Logic Tree'!C10</f>
        <v>0.58333333333333304</v>
      </c>
    </row>
    <row r="11" spans="1:9" ht="14.25" customHeight="1">
      <c r="B11" s="12" t="s">
        <v>704</v>
      </c>
      <c r="C11" s="19">
        <f>'Logic Tree'!C7/2</f>
        <v>24.255145833333366</v>
      </c>
    </row>
    <row r="12" spans="1:9" ht="14.25" customHeight="1">
      <c r="B12" s="12" t="s">
        <v>705</v>
      </c>
      <c r="C12" s="58">
        <f>0</f>
        <v>0</v>
      </c>
      <c r="H12" s="11" t="s">
        <v>706</v>
      </c>
    </row>
    <row r="14" spans="1:9" ht="18.75" customHeight="1">
      <c r="A14" s="2" t="s">
        <v>707</v>
      </c>
      <c r="B14" s="2"/>
      <c r="C14" s="2"/>
      <c r="D14" s="2"/>
      <c r="E14" s="2"/>
      <c r="F14" s="2"/>
      <c r="G14" s="2"/>
      <c r="H14" s="2"/>
    </row>
    <row r="15" spans="1:9" ht="27.75" customHeight="1">
      <c r="B15" s="16" t="s">
        <v>650</v>
      </c>
      <c r="C15" s="16" t="s">
        <v>94</v>
      </c>
      <c r="D15" s="16" t="s">
        <v>95</v>
      </c>
      <c r="E15" s="16" t="s">
        <v>96</v>
      </c>
    </row>
    <row r="16" spans="1:9" ht="14.25" customHeight="1">
      <c r="B16" s="12" t="s">
        <v>708</v>
      </c>
      <c r="C16" s="33">
        <f>'Team Build-Up'!C12</f>
        <v>50</v>
      </c>
      <c r="D16" s="33">
        <f>'Team Build-Up'!D12</f>
        <v>40</v>
      </c>
      <c r="E16" s="33">
        <f>'Team Build-Up'!E12</f>
        <v>30</v>
      </c>
      <c r="H16" s="11" t="s">
        <v>709</v>
      </c>
    </row>
    <row r="17" spans="1:8" ht="14.25" customHeight="1">
      <c r="B17" s="26" t="s">
        <v>710</v>
      </c>
      <c r="C17" s="27">
        <f>IF($C$7=0,0,1-'Team Build-Up'!C12/$C$7)</f>
        <v>-3.0709119284823894E-2</v>
      </c>
      <c r="D17" s="27">
        <f>IF($C$7=0,0,1-'Team Build-Up'!D12/$C$7)</f>
        <v>0.17543270457214089</v>
      </c>
      <c r="E17" s="27">
        <f>IF($C$7=0,0,1-'Team Build-Up'!E12/$C$7)</f>
        <v>0.38157452842910566</v>
      </c>
    </row>
    <row r="18" spans="1:8" ht="14.25" customHeight="1">
      <c r="B18" s="12" t="s">
        <v>711</v>
      </c>
      <c r="C18" s="57">
        <f>'Logic Tree'!C53</f>
        <v>0.13850090206648602</v>
      </c>
      <c r="D18" s="57">
        <f>'Logic Tree'!D53</f>
        <v>0.29114436377005914</v>
      </c>
      <c r="E18" s="57">
        <f>'Logic Tree'!E53</f>
        <v>0.38498930719993263</v>
      </c>
    </row>
    <row r="19" spans="1:8" ht="14.25" customHeight="1">
      <c r="B19" s="8" t="s">
        <v>712</v>
      </c>
      <c r="C19" s="23">
        <f>C18-C17</f>
        <v>0.16921002135130991</v>
      </c>
      <c r="D19" s="23">
        <f>D18-D17</f>
        <v>0.11571165919791826</v>
      </c>
      <c r="E19" s="23">
        <f>E18-E17</f>
        <v>3.414778770826965E-3</v>
      </c>
    </row>
    <row r="22" spans="1:8" ht="18.75" customHeight="1">
      <c r="A22" s="2" t="s">
        <v>713</v>
      </c>
      <c r="B22" s="2"/>
      <c r="C22" s="2"/>
      <c r="D22" s="2"/>
      <c r="E22" s="2"/>
      <c r="F22" s="2"/>
      <c r="G22" s="2"/>
      <c r="H22" s="2"/>
    </row>
    <row r="23" spans="1:8" ht="27.75" customHeight="1">
      <c r="B23" s="16" t="s">
        <v>650</v>
      </c>
      <c r="C23" s="16" t="s">
        <v>94</v>
      </c>
      <c r="D23" s="16" t="s">
        <v>95</v>
      </c>
      <c r="E23" s="16" t="s">
        <v>96</v>
      </c>
    </row>
    <row r="24" spans="1:8" ht="14.25" customHeight="1">
      <c r="B24" s="26" t="s">
        <v>714</v>
      </c>
      <c r="C24" s="59">
        <f>'Team Build-Up'!C27</f>
        <v>0.44</v>
      </c>
      <c r="D24" s="59">
        <f>'Team Build-Up'!D27</f>
        <v>0.55000000000000004</v>
      </c>
      <c r="E24" s="59">
        <f>'Team Build-Up'!E27</f>
        <v>0.46666666666666667</v>
      </c>
    </row>
    <row r="25" spans="1:8" ht="14.25" customHeight="1">
      <c r="B25" s="12" t="s">
        <v>715</v>
      </c>
      <c r="C25" s="58">
        <f>'Logic Tree'!C62</f>
        <v>0.22818420704541217</v>
      </c>
      <c r="D25" s="58">
        <f>'Logic Tree'!D62</f>
        <v>0.34027469471684274</v>
      </c>
      <c r="E25" s="58">
        <f>'Logic Tree'!E62</f>
        <v>0.37230054833725151</v>
      </c>
    </row>
    <row r="26" spans="1:8" ht="14.25" customHeight="1">
      <c r="B26" s="12" t="s">
        <v>716</v>
      </c>
      <c r="C26" s="57">
        <f>C24-C25</f>
        <v>0.21181579295458783</v>
      </c>
      <c r="D26" s="57">
        <f>D24-D25</f>
        <v>0.2097253052831573</v>
      </c>
      <c r="E26" s="57">
        <f>E24-E25</f>
        <v>9.4366118329415161E-2</v>
      </c>
    </row>
    <row r="28" spans="1:8" ht="18.75" customHeight="1">
      <c r="A28" s="2" t="s">
        <v>717</v>
      </c>
      <c r="B28" s="2"/>
      <c r="C28" s="2"/>
      <c r="D28" s="2"/>
      <c r="E28" s="2"/>
      <c r="F28" s="2"/>
      <c r="G28" s="2"/>
      <c r="H28" s="2"/>
    </row>
    <row r="29" spans="1:8" ht="14.25" customHeight="1">
      <c r="B29" s="11" t="s">
        <v>718</v>
      </c>
    </row>
    <row r="30" spans="1:8" ht="27.75" customHeight="1">
      <c r="B30" s="16" t="s">
        <v>650</v>
      </c>
      <c r="C30" s="16" t="s">
        <v>94</v>
      </c>
      <c r="D30" s="16" t="s">
        <v>95</v>
      </c>
      <c r="E30" s="16" t="s">
        <v>96</v>
      </c>
    </row>
    <row r="31" spans="1:8" ht="14.25" customHeight="1">
      <c r="B31" s="12" t="s">
        <v>719</v>
      </c>
      <c r="C31" s="33">
        <f>'Team Build-Up'!C12</f>
        <v>50</v>
      </c>
      <c r="D31" s="33">
        <f>'Team Build-Up'!D12</f>
        <v>40</v>
      </c>
      <c r="E31" s="33">
        <f>'Team Build-Up'!E12</f>
        <v>30</v>
      </c>
    </row>
    <row r="32" spans="1:8" ht="14.25" customHeight="1">
      <c r="B32" s="12" t="s">
        <v>720</v>
      </c>
      <c r="C32" s="33">
        <f>'Team Build-Up'!C18</f>
        <v>33</v>
      </c>
      <c r="D32" s="33">
        <f>'Team Build-Up'!D18</f>
        <v>23</v>
      </c>
      <c r="E32" s="33">
        <f>'Team Build-Up'!E18</f>
        <v>13</v>
      </c>
    </row>
    <row r="33" spans="2:8" ht="14.25" customHeight="1">
      <c r="B33" s="12" t="s">
        <v>721</v>
      </c>
      <c r="C33" s="33">
        <f>'Team Build-Up'!C19</f>
        <v>16</v>
      </c>
      <c r="D33" s="33">
        <f>'Team Build-Up'!D19</f>
        <v>16</v>
      </c>
      <c r="E33" s="33">
        <f>'Team Build-Up'!E19</f>
        <v>16</v>
      </c>
    </row>
    <row r="34" spans="2:8" ht="14.25" customHeight="1">
      <c r="B34" s="12" t="s">
        <v>722</v>
      </c>
      <c r="C34" s="33">
        <f>'Team Build-Up'!C20</f>
        <v>1</v>
      </c>
      <c r="D34" s="33">
        <f>'Team Build-Up'!D20</f>
        <v>1</v>
      </c>
      <c r="E34" s="33">
        <f>'Team Build-Up'!E20</f>
        <v>1</v>
      </c>
    </row>
    <row r="35" spans="2:8" ht="14.25" customHeight="1">
      <c r="B35" s="8" t="s">
        <v>723</v>
      </c>
      <c r="C35" s="57">
        <f>IF(C31=0,0,C32/C31)</f>
        <v>0.66</v>
      </c>
      <c r="D35" s="57">
        <f>IF(D31=0,0,D32/D31)</f>
        <v>0.57499999999999996</v>
      </c>
      <c r="E35" s="57">
        <f>IF(E31=0,0,E32/E31)</f>
        <v>0.43333333333333335</v>
      </c>
    </row>
    <row r="36" spans="2:8" ht="14.25" customHeight="1">
      <c r="B36" s="12" t="s">
        <v>724</v>
      </c>
      <c r="C36" s="33">
        <f>'Logic Tree'!C67</f>
        <v>0</v>
      </c>
      <c r="D36" s="33">
        <f>'Logic Tree'!D67</f>
        <v>0</v>
      </c>
      <c r="E36" s="33">
        <f>'Logic Tree'!E67</f>
        <v>0</v>
      </c>
    </row>
    <row r="37" spans="2:8" ht="14.25" customHeight="1">
      <c r="B37" s="12" t="s">
        <v>725</v>
      </c>
      <c r="C37" s="33">
        <f>'Logic Tree'!C68</f>
        <v>0</v>
      </c>
      <c r="D37" s="33">
        <f>'Logic Tree'!D68</f>
        <v>0</v>
      </c>
      <c r="E37" s="33">
        <f>'Logic Tree'!E68</f>
        <v>0</v>
      </c>
    </row>
    <row r="38" spans="2:8" ht="14.25" customHeight="1">
      <c r="B38" s="12" t="s">
        <v>116</v>
      </c>
      <c r="C38" s="33">
        <f>'Logic Tree'!C69</f>
        <v>0</v>
      </c>
      <c r="D38" s="33">
        <f>'Logic Tree'!D69</f>
        <v>0</v>
      </c>
      <c r="E38" s="33">
        <f>'Logic Tree'!E69</f>
        <v>0</v>
      </c>
    </row>
    <row r="39" spans="2:8" ht="14.25" customHeight="1">
      <c r="B39" s="12" t="s">
        <v>726</v>
      </c>
      <c r="C39" s="33">
        <f>C32-C38</f>
        <v>33</v>
      </c>
      <c r="D39" s="33">
        <f>D32-D38</f>
        <v>23</v>
      </c>
      <c r="E39" s="33">
        <f>E32-E38</f>
        <v>13</v>
      </c>
    </row>
    <row r="40" spans="2:8" ht="14.25" customHeight="1">
      <c r="B40" s="12" t="s">
        <v>727</v>
      </c>
      <c r="C40" s="33">
        <f>C33+C34+C38</f>
        <v>17</v>
      </c>
      <c r="D40" s="33">
        <f>D33+D34+D38</f>
        <v>17</v>
      </c>
      <c r="E40" s="33">
        <f>E33+E34+E38</f>
        <v>17</v>
      </c>
    </row>
    <row r="41" spans="2:8" ht="14.25" customHeight="1">
      <c r="B41" s="26" t="s">
        <v>728</v>
      </c>
      <c r="C41" s="27">
        <f>IF(C31=0,0,C39/C31)</f>
        <v>0.66</v>
      </c>
      <c r="D41" s="27">
        <f>IF(D31=0,0,D39/D31)</f>
        <v>0.57499999999999996</v>
      </c>
      <c r="E41" s="27">
        <f>IF(E31=0,0,E39/E31)</f>
        <v>0.43333333333333335</v>
      </c>
      <c r="H41" s="11" t="s">
        <v>729</v>
      </c>
    </row>
    <row r="42" spans="2:8" ht="14.25" customHeight="1">
      <c r="B42" s="12" t="s">
        <v>730</v>
      </c>
      <c r="C42" s="33">
        <f>C31/2-C33-C34</f>
        <v>8</v>
      </c>
      <c r="D42" s="33">
        <f>D31/2-D33-D34</f>
        <v>3</v>
      </c>
      <c r="E42" s="33">
        <f>E31/2-E33-E34</f>
        <v>-2</v>
      </c>
    </row>
    <row r="43" spans="2:8" ht="14.25" customHeight="1">
      <c r="B43" s="12" t="s">
        <v>731</v>
      </c>
      <c r="C43" s="33">
        <f>C42-C38</f>
        <v>8</v>
      </c>
      <c r="D43" s="33">
        <f>D42-D38</f>
        <v>3</v>
      </c>
      <c r="E43" s="33">
        <f>E42-E38</f>
        <v>-2</v>
      </c>
    </row>
    <row r="45" spans="2:8" ht="14.25" customHeight="1">
      <c r="B45" s="38" t="s">
        <v>732</v>
      </c>
    </row>
    <row r="46" spans="2:8" ht="14.25" customHeight="1">
      <c r="B46" s="12" t="s">
        <v>733</v>
      </c>
      <c r="C46" s="21">
        <f>C32-E32</f>
        <v>20</v>
      </c>
      <c r="H46" s="11" t="s">
        <v>734</v>
      </c>
    </row>
    <row r="47" spans="2:8" ht="14.25" customHeight="1">
      <c r="B47" s="12" t="s">
        <v>735</v>
      </c>
      <c r="C47" s="21">
        <f>E38</f>
        <v>0</v>
      </c>
    </row>
    <row r="48" spans="2:8" ht="14.25" customHeight="1">
      <c r="B48" s="26" t="s">
        <v>736</v>
      </c>
      <c r="C48" s="49">
        <f>C32-E39</f>
        <v>20</v>
      </c>
    </row>
  </sheetData>
  <mergeCells count="6">
    <mergeCell ref="A28:H28"/>
    <mergeCell ref="A1:I1"/>
    <mergeCell ref="A2:I2"/>
    <mergeCell ref="A4:H4"/>
    <mergeCell ref="A14:H14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topLeftCell="A3" zoomScaleNormal="100" workbookViewId="0">
      <selection activeCell="A18" sqref="A18:G18"/>
    </sheetView>
  </sheetViews>
  <sheetFormatPr defaultColWidth="8.6328125" defaultRowHeight="14.5"/>
  <cols>
    <col min="1" max="1" width="2" customWidth="1"/>
    <col min="2" max="2" width="52" customWidth="1"/>
    <col min="3" max="5" width="14" customWidth="1"/>
    <col min="6" max="6" width="3" customWidth="1"/>
    <col min="7" max="7" width="60" customWidth="1"/>
  </cols>
  <sheetData>
    <row r="1" spans="1:9" ht="25.5" customHeight="1">
      <c r="A1" s="5" t="s">
        <v>737</v>
      </c>
      <c r="B1" s="5"/>
      <c r="C1" s="5"/>
      <c r="D1" s="5"/>
      <c r="E1" s="5"/>
      <c r="F1" s="5"/>
      <c r="G1" s="5"/>
      <c r="H1" s="5"/>
      <c r="I1" s="5"/>
    </row>
    <row r="2" spans="1:9" ht="14.25" customHeight="1">
      <c r="A2" s="4" t="s">
        <v>738</v>
      </c>
      <c r="B2" s="4"/>
      <c r="C2" s="4"/>
      <c r="D2" s="4"/>
      <c r="E2" s="4"/>
      <c r="F2" s="4"/>
      <c r="G2" s="4"/>
      <c r="H2" s="4"/>
      <c r="I2" s="4"/>
    </row>
    <row r="4" spans="1:9" ht="18.75" customHeight="1">
      <c r="A4" s="2" t="s">
        <v>739</v>
      </c>
      <c r="B4" s="2"/>
      <c r="C4" s="2"/>
      <c r="D4" s="2"/>
      <c r="E4" s="2"/>
      <c r="F4" s="2"/>
      <c r="G4" s="2"/>
    </row>
    <row r="5" spans="1:9" ht="27.75" customHeight="1">
      <c r="B5" s="16" t="s">
        <v>650</v>
      </c>
      <c r="C5" s="16" t="s">
        <v>94</v>
      </c>
      <c r="D5" s="16" t="s">
        <v>95</v>
      </c>
      <c r="E5" s="16" t="s">
        <v>96</v>
      </c>
    </row>
    <row r="6" spans="1:9" ht="14.25" customHeight="1">
      <c r="B6" s="12" t="s">
        <v>740</v>
      </c>
      <c r="C6" s="56">
        <f>SUMIFS('Seat Ledger'!$M$5:$M$70,'Seat Ledger'!$A$5:$A$70,1)</f>
        <v>60.500000000000014</v>
      </c>
      <c r="D6" s="56">
        <f>SUMIFS('Seat Ledger'!$M$5:$M$70,'Seat Ledger'!$A$5:$A$70,2)</f>
        <v>44.300000000000011</v>
      </c>
      <c r="E6" s="56">
        <f>SUMIFS('Seat Ledger'!$M$5:$M$70,'Seat Ledger'!$A$5:$A$70,3)</f>
        <v>37.330000000000005</v>
      </c>
    </row>
    <row r="7" spans="1:9" ht="14.25" customHeight="1">
      <c r="B7" s="12" t="s">
        <v>741</v>
      </c>
      <c r="C7" s="33">
        <f>'Team Build-Up'!C12</f>
        <v>50</v>
      </c>
      <c r="D7" s="33">
        <f>'Team Build-Up'!D12</f>
        <v>40</v>
      </c>
      <c r="E7" s="33">
        <f>'Team Build-Up'!E12</f>
        <v>30</v>
      </c>
    </row>
    <row r="8" spans="1:9" ht="14.25" customHeight="1">
      <c r="B8" s="12" t="s">
        <v>742</v>
      </c>
      <c r="C8" s="60">
        <f>IF(C7=0,0,C6/C7)</f>
        <v>1.2100000000000002</v>
      </c>
      <c r="D8" s="60">
        <f>IF(D7=0,0,D6/D7)</f>
        <v>1.1075000000000004</v>
      </c>
      <c r="E8" s="60">
        <f>IF(E7=0,0,E6/E7)</f>
        <v>1.2443333333333335</v>
      </c>
      <c r="G8" s="11" t="s">
        <v>743</v>
      </c>
    </row>
    <row r="9" spans="1:9" ht="14.25" customHeight="1">
      <c r="B9" s="12" t="s">
        <v>744</v>
      </c>
      <c r="C9" s="61">
        <f>IF('Glidepath &amp; 50-50'!$C$7=0,0,C6/'Glidepath &amp; 50-50'!$C$7)</f>
        <v>1.2471580343346373</v>
      </c>
      <c r="D9" s="61">
        <f>IF('Glidepath &amp; 50-50'!$C$7=0,0,D6/'Glidepath &amp; 50-50'!$C$7)</f>
        <v>0.91320827968635421</v>
      </c>
      <c r="E9" s="61">
        <f>IF('Glidepath &amp; 50-50'!$C$7=0,0,E6/'Glidepath &amp; 50-50'!$C$7)</f>
        <v>0.76952742845804967</v>
      </c>
    </row>
    <row r="10" spans="1:9" ht="14.25" customHeight="1">
      <c r="B10" s="26" t="s">
        <v>745</v>
      </c>
      <c r="C10" s="27">
        <f>IF($C$9=0,0,1-C9/$C$9)</f>
        <v>0</v>
      </c>
      <c r="D10" s="27">
        <f>IF($C$9=0,0,1-D9/$C$9)</f>
        <v>0.26776859504132233</v>
      </c>
      <c r="E10" s="27">
        <f>IF($C$9=0,0,1-E9/$C$9)</f>
        <v>0.38297520661157036</v>
      </c>
      <c r="G10" s="11" t="s">
        <v>746</v>
      </c>
    </row>
    <row r="12" spans="1:9" ht="18.75" customHeight="1">
      <c r="A12" s="2" t="s">
        <v>747</v>
      </c>
      <c r="B12" s="2"/>
      <c r="C12" s="2"/>
      <c r="D12" s="2"/>
      <c r="E12" s="2"/>
      <c r="F12" s="2"/>
      <c r="G12" s="2"/>
    </row>
    <row r="13" spans="1:9" ht="27.75" customHeight="1">
      <c r="B13" s="16" t="s">
        <v>650</v>
      </c>
      <c r="C13" s="16" t="s">
        <v>94</v>
      </c>
      <c r="D13" s="16" t="s">
        <v>95</v>
      </c>
      <c r="E13" s="16" t="s">
        <v>96</v>
      </c>
    </row>
    <row r="14" spans="1:9" ht="14.25" customHeight="1">
      <c r="B14" s="12" t="s">
        <v>748</v>
      </c>
      <c r="C14" s="18">
        <f>'Glidepath &amp; 50-50'!C39</f>
        <v>33</v>
      </c>
      <c r="D14" s="18">
        <f>'Glidepath &amp; 50-50'!D39</f>
        <v>23</v>
      </c>
      <c r="E14" s="18">
        <f>'Glidepath &amp; 50-50'!E39</f>
        <v>13</v>
      </c>
    </row>
    <row r="15" spans="1:9" ht="14.25" customHeight="1">
      <c r="B15" s="12" t="s">
        <v>749</v>
      </c>
      <c r="C15" s="56">
        <f>SUMIFS('Seat Ledger'!$M$5:$M$70,'Seat Ledger'!$A$5:$A$70,1,'Seat Ledger'!$I$5:$I$70,"FTC")*IF(SUMIFS('Seat Ledger'!$L$5:$L$70,'Seat Ledger'!$A$5:$A$70,1,'Seat Ledger'!$I$5:$I$70,"FTC")=0,0,C14/SUMIFS('Seat Ledger'!$L$5:$L$70,'Seat Ledger'!$A$5:$A$70,1,'Seat Ledger'!$I$5:$I$70,"FTC"))</f>
        <v>29.780000000000012</v>
      </c>
      <c r="D15" s="56">
        <f>SUMIFS('Seat Ledger'!$M$5:$M$70,'Seat Ledger'!$A$5:$A$70,2,'Seat Ledger'!$I$5:$I$70,"FTC")*IF(SUMIFS('Seat Ledger'!$L$5:$L$70,'Seat Ledger'!$A$5:$A$70,2,'Seat Ledger'!$I$5:$I$70,"FTC")=0,0,D14/SUMIFS('Seat Ledger'!$L$5:$L$70,'Seat Ledger'!$A$5:$A$70,2,'Seat Ledger'!$I$5:$I$70,"FTC"))</f>
        <v>13.579999999999998</v>
      </c>
      <c r="E15" s="56">
        <f>SUMIFS('Seat Ledger'!$M$5:$M$70,'Seat Ledger'!$A$5:$A$70,3,'Seat Ledger'!$I$5:$I$70,"FTC")*IF(SUMIFS('Seat Ledger'!$L$5:$L$70,'Seat Ledger'!$A$5:$A$70,3,'Seat Ledger'!$I$5:$I$70,"FTC")=0,0,E14/SUMIFS('Seat Ledger'!$L$5:$L$70,'Seat Ledger'!$A$5:$A$70,3,'Seat Ledger'!$I$5:$I$70,"FTC"))</f>
        <v>6.6099999999999985</v>
      </c>
    </row>
    <row r="16" spans="1:9" ht="14.25" customHeight="1">
      <c r="B16" s="26" t="s">
        <v>750</v>
      </c>
      <c r="C16" s="27">
        <f>IF($C$15=0,0,C15/$C$15-1)</f>
        <v>0</v>
      </c>
      <c r="D16" s="27">
        <f>IF($C$15=0,0,D15/$C$15-1)</f>
        <v>-0.54398925453324409</v>
      </c>
      <c r="E16" s="27">
        <f>IF($C$15=0,0,E15/$C$15-1)</f>
        <v>-0.77803895231699138</v>
      </c>
      <c r="G16" s="11" t="s">
        <v>751</v>
      </c>
    </row>
    <row r="18" spans="1:7" ht="18.75" customHeight="1">
      <c r="A18" s="2" t="s">
        <v>752</v>
      </c>
      <c r="B18" s="2"/>
      <c r="C18" s="2"/>
      <c r="D18" s="2"/>
      <c r="E18" s="2"/>
      <c r="F18" s="2"/>
      <c r="G18" s="2"/>
    </row>
    <row r="19" spans="1:7" ht="27.75" customHeight="1">
      <c r="B19" s="16" t="s">
        <v>753</v>
      </c>
      <c r="C19" s="16" t="s">
        <v>94</v>
      </c>
      <c r="D19" s="16" t="s">
        <v>95</v>
      </c>
      <c r="E19" s="16" t="s">
        <v>96</v>
      </c>
    </row>
    <row r="20" spans="1:7" ht="14.25" customHeight="1">
      <c r="B20" s="12" t="s">
        <v>754</v>
      </c>
      <c r="C20" s="56">
        <f>SUMIFS('Seat Ledger'!$M$5:$M$70,'Seat Ledger'!$A$5:$A$70,1,'Seat Ledger'!$H$5:$H$70,"ON")</f>
        <v>52.70000000000001</v>
      </c>
      <c r="D20" s="56">
        <f>SUMIFS('Seat Ledger'!$M$5:$M$70,'Seat Ledger'!$A$5:$A$70,2,'Seat Ledger'!$H$5:$H$70,"ON")</f>
        <v>34.699999999999996</v>
      </c>
      <c r="E20" s="56">
        <f>SUMIFS('Seat Ledger'!$M$5:$M$70,'Seat Ledger'!$A$5:$A$70,3,'Seat Ledger'!$H$5:$H$70,"ON")</f>
        <v>30.3</v>
      </c>
    </row>
    <row r="21" spans="1:7" ht="14.25" customHeight="1">
      <c r="B21" s="12" t="s">
        <v>755</v>
      </c>
      <c r="C21" s="56">
        <f>SUMIFS('Seat Ledger'!$M$5:$M$70,'Seat Ledger'!$A$5:$A$70,1,'Seat Ledger'!$H$5:$H$70,"OFF")</f>
        <v>7.7999999999999989</v>
      </c>
      <c r="D21" s="56">
        <f>SUMIFS('Seat Ledger'!$M$5:$M$70,'Seat Ledger'!$A$5:$A$70,2,'Seat Ledger'!$H$5:$H$70,"OFF")</f>
        <v>9.5999999999999979</v>
      </c>
      <c r="E21" s="56">
        <f>SUMIFS('Seat Ledger'!$M$5:$M$70,'Seat Ledger'!$A$5:$A$70,3,'Seat Ledger'!$H$5:$H$70,"OFF")</f>
        <v>7.0299999999999985</v>
      </c>
    </row>
    <row r="22" spans="1:7" ht="14.25" customHeight="1">
      <c r="B22" s="8" t="s">
        <v>756</v>
      </c>
      <c r="C22" s="23">
        <f>IF((C20+C21)=0,0,C20/(C20+C21))</f>
        <v>0.87107438016528926</v>
      </c>
      <c r="D22" s="23">
        <f>IF((D20+D21)=0,0,D20/(D20+D21))</f>
        <v>0.78329571106094809</v>
      </c>
      <c r="E22" s="23">
        <f>IF((E20+E21)=0,0,E20/(E20+E21))</f>
        <v>0.81167961425127244</v>
      </c>
    </row>
    <row r="24" spans="1:7" ht="14.25" customHeight="1">
      <c r="B24" s="12" t="s">
        <v>757</v>
      </c>
      <c r="C24" s="56">
        <f>SUMIFS('Seat Ledger'!$M$5:$M$70,'Seat Ledger'!$A$5:$A$70,1,'Seat Ledger'!$G$5:$G$70,"E1")</f>
        <v>0</v>
      </c>
      <c r="D24" s="56">
        <f>SUMIFS('Seat Ledger'!$M$5:$M$70,'Seat Ledger'!$A$5:$A$70,2,'Seat Ledger'!$G$5:$G$70,"E1")</f>
        <v>0</v>
      </c>
      <c r="E24" s="56">
        <f>SUMIFS('Seat Ledger'!$M$5:$M$70,'Seat Ledger'!$A$5:$A$70,3,'Seat Ledger'!$G$5:$G$70,"E1")</f>
        <v>0</v>
      </c>
    </row>
    <row r="25" spans="1:7" ht="14.25" customHeight="1">
      <c r="B25" s="12" t="s">
        <v>758</v>
      </c>
      <c r="C25" s="56">
        <f>SUMIFS('Seat Ledger'!$M$5:$M$70,'Seat Ledger'!$A$5:$A$70,1,'Seat Ledger'!$G$5:$G$70,"E2")</f>
        <v>3.5999999999999996</v>
      </c>
      <c r="D25" s="56">
        <f>SUMIFS('Seat Ledger'!$M$5:$M$70,'Seat Ledger'!$A$5:$A$70,2,'Seat Ledger'!$G$5:$G$70,"E2")</f>
        <v>0.89999999999999991</v>
      </c>
      <c r="E25" s="56">
        <f>SUMIFS('Seat Ledger'!$M$5:$M$70,'Seat Ledger'!$A$5:$A$70,3,'Seat Ledger'!$G$5:$G$70,"E2")</f>
        <v>0</v>
      </c>
    </row>
    <row r="26" spans="1:7" ht="14.25" customHeight="1">
      <c r="B26" s="12" t="s">
        <v>759</v>
      </c>
      <c r="C26" s="56">
        <f>SUMIFS('Seat Ledger'!$M$5:$M$70,'Seat Ledger'!$A$5:$A$70,1,'Seat Ledger'!$G$5:$G$70,"E3")</f>
        <v>5.5500000000000007</v>
      </c>
      <c r="D26" s="56">
        <f>SUMIFS('Seat Ledger'!$M$5:$M$70,'Seat Ledger'!$A$5:$A$70,2,'Seat Ledger'!$G$5:$G$70,"E3")</f>
        <v>6.3</v>
      </c>
      <c r="E26" s="56">
        <f>SUMIFS('Seat Ledger'!$M$5:$M$70,'Seat Ledger'!$A$5:$A$70,3,'Seat Ledger'!$G$5:$G$70,"E3")</f>
        <v>3.78</v>
      </c>
    </row>
    <row r="27" spans="1:7" ht="14.25" customHeight="1">
      <c r="B27" s="12" t="s">
        <v>760</v>
      </c>
      <c r="C27" s="56">
        <f>SUMIFS('Seat Ledger'!$M$5:$M$70,'Seat Ledger'!$A$5:$A$70,1,'Seat Ledger'!$G$5:$G$70,"E4")</f>
        <v>46.250000000000014</v>
      </c>
      <c r="D27" s="56">
        <f>SUMIFS('Seat Ledger'!$M$5:$M$70,'Seat Ledger'!$A$5:$A$70,2,'Seat Ledger'!$G$5:$G$70,"E4")</f>
        <v>32</v>
      </c>
      <c r="E27" s="56">
        <f>SUMIFS('Seat Ledger'!$M$5:$M$70,'Seat Ledger'!$A$5:$A$70,3,'Seat Ledger'!$G$5:$G$70,"E4")</f>
        <v>30.150000000000002</v>
      </c>
    </row>
    <row r="28" spans="1:7" ht="14.25" customHeight="1">
      <c r="B28" s="12" t="s">
        <v>761</v>
      </c>
      <c r="C28" s="56">
        <f>SUMIFS('Seat Ledger'!$M$5:$M$70,'Seat Ledger'!$A$5:$A$70,1,'Seat Ledger'!$G$5:$G$70,"E5")</f>
        <v>5.0999999999999996</v>
      </c>
      <c r="D28" s="56">
        <f>SUMIFS('Seat Ledger'!$M$5:$M$70,'Seat Ledger'!$A$5:$A$70,2,'Seat Ledger'!$G$5:$G$70,"E5")</f>
        <v>5.0999999999999996</v>
      </c>
      <c r="E28" s="56">
        <f>SUMIFS('Seat Ledger'!$M$5:$M$70,'Seat Ledger'!$A$5:$A$70,3,'Seat Ledger'!$G$5:$G$70,"E5")</f>
        <v>3.4</v>
      </c>
    </row>
    <row r="30" spans="1:7" ht="18.75" customHeight="1">
      <c r="A30" s="2" t="s">
        <v>762</v>
      </c>
      <c r="B30" s="2"/>
      <c r="C30" s="2"/>
      <c r="D30" s="2"/>
      <c r="E30" s="2"/>
      <c r="F30" s="2"/>
      <c r="G30" s="2"/>
    </row>
    <row r="31" spans="1:7" ht="25.5" customHeight="1">
      <c r="B31" s="3" t="s">
        <v>763</v>
      </c>
      <c r="C31" s="3"/>
      <c r="D31" s="3"/>
      <c r="E31" s="3"/>
      <c r="F31" s="3"/>
      <c r="G31" s="3"/>
    </row>
    <row r="32" spans="1:7" ht="25.5" customHeight="1">
      <c r="B32" s="3" t="s">
        <v>764</v>
      </c>
      <c r="C32" s="3"/>
      <c r="D32" s="3"/>
      <c r="E32" s="3"/>
      <c r="F32" s="3"/>
      <c r="G32" s="3"/>
    </row>
    <row r="33" spans="2:7" ht="25.5" customHeight="1">
      <c r="B33" s="3" t="s">
        <v>765</v>
      </c>
      <c r="C33" s="3"/>
      <c r="D33" s="3"/>
      <c r="E33" s="3"/>
      <c r="F33" s="3"/>
      <c r="G33" s="3"/>
    </row>
    <row r="34" spans="2:7" ht="25.5" customHeight="1">
      <c r="B34" s="3" t="s">
        <v>766</v>
      </c>
      <c r="C34" s="3"/>
      <c r="D34" s="3"/>
      <c r="E34" s="3"/>
      <c r="F34" s="3"/>
      <c r="G34" s="3"/>
    </row>
  </sheetData>
  <mergeCells count="10">
    <mergeCell ref="A30:G30"/>
    <mergeCell ref="B31:G31"/>
    <mergeCell ref="B32:G32"/>
    <mergeCell ref="B33:G33"/>
    <mergeCell ref="B34:G34"/>
    <mergeCell ref="A1:I1"/>
    <mergeCell ref="A2:I2"/>
    <mergeCell ref="A4:G4"/>
    <mergeCell ref="A12:G12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N411"/>
  <sheetViews>
    <sheetView tabSelected="1" zoomScaleNormal="100" workbookViewId="0">
      <pane ySplit="4" topLeftCell="A5" activePane="bottomLeft" state="frozen"/>
      <selection pane="bottomLeft" activeCell="O70" sqref="O70"/>
    </sheetView>
  </sheetViews>
  <sheetFormatPr defaultColWidth="8.6328125" defaultRowHeight="14.5"/>
  <cols>
    <col min="1" max="1" width="6" customWidth="1"/>
    <col min="2" max="2" width="8" customWidth="1"/>
    <col min="3" max="3" width="9" customWidth="1"/>
    <col min="4" max="4" width="10" customWidth="1"/>
    <col min="5" max="5" width="44" customWidth="1"/>
    <col min="6" max="6" width="9" customWidth="1"/>
    <col min="7" max="7" width="7" customWidth="1"/>
    <col min="8" max="8" width="10" customWidth="1"/>
    <col min="9" max="9" width="11" customWidth="1"/>
    <col min="10" max="10" width="9" customWidth="1"/>
    <col min="11" max="11" width="8" customWidth="1"/>
    <col min="12" max="12" width="9" customWidth="1"/>
    <col min="13" max="13" width="11" customWidth="1"/>
  </cols>
  <sheetData>
    <row r="1" spans="1:14" ht="25.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 ht="27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4" ht="14.25" customHeight="1">
      <c r="A5" s="33">
        <v>1</v>
      </c>
      <c r="B5" s="32" t="s">
        <v>767</v>
      </c>
      <c r="C5" s="32" t="s">
        <v>176</v>
      </c>
      <c r="D5" s="32" t="s">
        <v>567</v>
      </c>
      <c r="E5" s="62" t="str">
        <f>'Pod Library'!E5</f>
        <v>Product Owner</v>
      </c>
      <c r="F5" s="63" t="str">
        <f>'Pod Library'!F5</f>
        <v>LEAD</v>
      </c>
      <c r="G5" s="63" t="str">
        <f>'Pod Library'!G5</f>
        <v>E4</v>
      </c>
      <c r="H5" s="63" t="str">
        <f>'Pod Library'!H5</f>
        <v>ON</v>
      </c>
      <c r="I5" s="63" t="str">
        <f>'Pod Library'!I5</f>
        <v>FTE</v>
      </c>
      <c r="J5" s="19">
        <f>'Pod Library'!J5</f>
        <v>1</v>
      </c>
      <c r="K5" s="19">
        <f>SUMIFS('Pod Plan'!$E:$E,'Pod Plan'!$B:$B,$A5,'Pod Plan'!$C:$C,$C5)</f>
        <v>3</v>
      </c>
      <c r="L5" s="56">
        <f t="shared" ref="L5:L36" si="0">J5*K5</f>
        <v>3</v>
      </c>
      <c r="M5" s="60">
        <f>L5*INDEX('Logic Tree'!$J$73:$N$74,MATCH(H5,'Logic Tree'!$I$73:$I$74,0),MATCH(G5,'Logic Tree'!$J$72:$N$72,0))</f>
        <v>5.5500000000000007</v>
      </c>
    </row>
    <row r="6" spans="1:14" ht="14.25" customHeight="1">
      <c r="A6" s="33">
        <v>1</v>
      </c>
      <c r="B6" s="32" t="s">
        <v>767</v>
      </c>
      <c r="C6" s="32" t="s">
        <v>176</v>
      </c>
      <c r="D6" s="32" t="s">
        <v>567</v>
      </c>
      <c r="E6" s="62" t="str">
        <f>'Pod Library'!E6</f>
        <v>Incentive Compensation SME</v>
      </c>
      <c r="F6" s="63" t="str">
        <f>'Pod Library'!F6</f>
        <v>BA</v>
      </c>
      <c r="G6" s="63" t="str">
        <f>'Pod Library'!G6</f>
        <v>E4</v>
      </c>
      <c r="H6" s="63" t="str">
        <f>'Pod Library'!H6</f>
        <v>ON</v>
      </c>
      <c r="I6" s="63" t="str">
        <f>'Pod Library'!I6</f>
        <v>FTE</v>
      </c>
      <c r="J6" s="19">
        <f>'Pod Library'!J6</f>
        <v>1</v>
      </c>
      <c r="K6" s="19">
        <f>SUMIFS('Pod Plan'!$E:$E,'Pod Plan'!$B:$B,$A6,'Pod Plan'!$C:$C,$C6)</f>
        <v>3</v>
      </c>
      <c r="L6" s="56">
        <f t="shared" si="0"/>
        <v>3</v>
      </c>
      <c r="M6" s="60">
        <f>L6*INDEX('Logic Tree'!$J$73:$N$74,MATCH(H6,'Logic Tree'!$I$73:$I$74,0),MATCH(G6,'Logic Tree'!$J$72:$N$72,0))</f>
        <v>5.5500000000000007</v>
      </c>
    </row>
    <row r="7" spans="1:14" ht="14.25" customHeight="1">
      <c r="A7" s="33">
        <v>1</v>
      </c>
      <c r="B7" s="32" t="s">
        <v>767</v>
      </c>
      <c r="C7" s="32" t="s">
        <v>176</v>
      </c>
      <c r="D7" s="32" t="s">
        <v>567</v>
      </c>
      <c r="E7" s="62" t="str">
        <f>'Pod Library'!E7</f>
        <v>Application Owner (Technical)</v>
      </c>
      <c r="F7" s="63" t="str">
        <f>'Pod Library'!F7</f>
        <v>ENG</v>
      </c>
      <c r="G7" s="63" t="str">
        <f>'Pod Library'!G7</f>
        <v>E4</v>
      </c>
      <c r="H7" s="63" t="str">
        <f>'Pod Library'!H7</f>
        <v>ON</v>
      </c>
      <c r="I7" s="63" t="str">
        <f>'Pod Library'!I7</f>
        <v>FTE</v>
      </c>
      <c r="J7" s="19">
        <f>'Pod Library'!J7</f>
        <v>1</v>
      </c>
      <c r="K7" s="19">
        <f>SUMIFS('Pod Plan'!$E:$E,'Pod Plan'!$B:$B,$A7,'Pod Plan'!$C:$C,$C7)</f>
        <v>3</v>
      </c>
      <c r="L7" s="56">
        <f t="shared" si="0"/>
        <v>3</v>
      </c>
      <c r="M7" s="60">
        <f>L7*INDEX('Logic Tree'!$J$73:$N$74,MATCH(H7,'Logic Tree'!$I$73:$I$74,0),MATCH(G7,'Logic Tree'!$J$72:$N$72,0))</f>
        <v>5.5500000000000007</v>
      </c>
    </row>
    <row r="8" spans="1:14" ht="14.25" hidden="1" customHeight="1">
      <c r="A8" s="33">
        <v>1</v>
      </c>
      <c r="B8" s="32" t="s">
        <v>767</v>
      </c>
      <c r="C8" s="32" t="s">
        <v>176</v>
      </c>
      <c r="D8" s="32" t="s">
        <v>567</v>
      </c>
      <c r="E8" s="62" t="str">
        <f>'Pod Library'!E8</f>
        <v>Pod Delivery Lead</v>
      </c>
      <c r="F8" s="63" t="str">
        <f>'Pod Library'!F8</f>
        <v>LEAD</v>
      </c>
      <c r="G8" s="63" t="str">
        <f>'Pod Library'!G8</f>
        <v>E4</v>
      </c>
      <c r="H8" s="63" t="str">
        <f>'Pod Library'!H8</f>
        <v>ON</v>
      </c>
      <c r="I8" s="63" t="str">
        <f>'Pod Library'!I8</f>
        <v>FTC</v>
      </c>
      <c r="J8" s="19">
        <f>'Pod Library'!J8</f>
        <v>1</v>
      </c>
      <c r="K8" s="19">
        <f>SUMIFS('Pod Plan'!$E:$E,'Pod Plan'!$B:$B,$A8,'Pod Plan'!$C:$C,$C8)</f>
        <v>3</v>
      </c>
      <c r="L8" s="56">
        <f t="shared" si="0"/>
        <v>3</v>
      </c>
      <c r="M8" s="60">
        <f>L8*INDEX('Logic Tree'!$J$73:$N$74,MATCH(H8,'Logic Tree'!$I$73:$I$74,0),MATCH(G8,'Logic Tree'!$J$72:$N$72,0))</f>
        <v>5.5500000000000007</v>
      </c>
    </row>
    <row r="9" spans="1:14" ht="14.25" hidden="1" customHeight="1">
      <c r="A9" s="33">
        <v>1</v>
      </c>
      <c r="B9" s="32" t="s">
        <v>767</v>
      </c>
      <c r="C9" s="32" t="s">
        <v>176</v>
      </c>
      <c r="D9" s="32" t="s">
        <v>567</v>
      </c>
      <c r="E9" s="62" t="str">
        <f>'Pod Library'!E9</f>
        <v>Senior Developer</v>
      </c>
      <c r="F9" s="63" t="str">
        <f>'Pod Library'!F9</f>
        <v>DEV</v>
      </c>
      <c r="G9" s="63" t="str">
        <f>'Pod Library'!G9</f>
        <v>E3</v>
      </c>
      <c r="H9" s="63" t="str">
        <f>'Pod Library'!H9</f>
        <v>OFF</v>
      </c>
      <c r="I9" s="63" t="str">
        <f>'Pod Library'!I9</f>
        <v>FTC</v>
      </c>
      <c r="J9" s="19">
        <f>'Pod Library'!J9</f>
        <v>1</v>
      </c>
      <c r="K9" s="19">
        <f>SUMIFS('Pod Plan'!$E:$E,'Pod Plan'!$B:$B,$A9,'Pod Plan'!$C:$C,$C9)</f>
        <v>3</v>
      </c>
      <c r="L9" s="56">
        <f t="shared" si="0"/>
        <v>3</v>
      </c>
      <c r="M9" s="60">
        <f>L9*INDEX('Logic Tree'!$J$73:$N$74,MATCH(H9,'Logic Tree'!$I$73:$I$74,0),MATCH(G9,'Logic Tree'!$J$72:$N$72,0))</f>
        <v>1.26</v>
      </c>
    </row>
    <row r="10" spans="1:14" ht="14.25" hidden="1" customHeight="1">
      <c r="A10" s="33">
        <v>1</v>
      </c>
      <c r="B10" s="32" t="s">
        <v>767</v>
      </c>
      <c r="C10" s="32" t="s">
        <v>176</v>
      </c>
      <c r="D10" s="32" t="s">
        <v>567</v>
      </c>
      <c r="E10" s="62" t="str">
        <f>'Pod Library'!E10</f>
        <v>QA / Test Engineer</v>
      </c>
      <c r="F10" s="63" t="str">
        <f>'Pod Library'!F10</f>
        <v>TEST</v>
      </c>
      <c r="G10" s="63" t="str">
        <f>'Pod Library'!G10</f>
        <v>E2</v>
      </c>
      <c r="H10" s="63" t="str">
        <f>'Pod Library'!H10</f>
        <v>OFF</v>
      </c>
      <c r="I10" s="63" t="str">
        <f>'Pod Library'!I10</f>
        <v>FTC</v>
      </c>
      <c r="J10" s="19">
        <f>'Pod Library'!J10</f>
        <v>1</v>
      </c>
      <c r="K10" s="19">
        <f>SUMIFS('Pod Plan'!$E:$E,'Pod Plan'!$B:$B,$A10,'Pod Plan'!$C:$C,$C10)</f>
        <v>3</v>
      </c>
      <c r="L10" s="56">
        <f t="shared" si="0"/>
        <v>3</v>
      </c>
      <c r="M10" s="60">
        <f>L10*INDEX('Logic Tree'!$J$73:$N$74,MATCH(H10,'Logic Tree'!$I$73:$I$74,0),MATCH(G10,'Logic Tree'!$J$72:$N$72,0))</f>
        <v>0.89999999999999991</v>
      </c>
    </row>
    <row r="11" spans="1:14" ht="14.25" hidden="1" customHeight="1">
      <c r="A11" s="33">
        <v>1</v>
      </c>
      <c r="B11" s="32" t="s">
        <v>767</v>
      </c>
      <c r="C11" s="32" t="s">
        <v>176</v>
      </c>
      <c r="D11" s="32" t="s">
        <v>580</v>
      </c>
      <c r="E11" s="62" t="str">
        <f>'Pod Library'!E12</f>
        <v>Pod Lead (output owner)</v>
      </c>
      <c r="F11" s="63" t="str">
        <f>'Pod Library'!F12</f>
        <v>LEAD</v>
      </c>
      <c r="G11" s="63" t="str">
        <f>'Pod Library'!G12</f>
        <v>E4</v>
      </c>
      <c r="H11" s="63" t="str">
        <f>'Pod Library'!H12</f>
        <v>ON</v>
      </c>
      <c r="I11" s="63" t="str">
        <f>'Pod Library'!I12</f>
        <v>FTC</v>
      </c>
      <c r="J11" s="19">
        <f>'Pod Library'!J12</f>
        <v>1</v>
      </c>
      <c r="K11" s="19">
        <f>SUMIFS('Pod Plan'!$F:$F,'Pod Plan'!$B:$B,$A11,'Pod Plan'!$C:$C,$C11)</f>
        <v>2</v>
      </c>
      <c r="L11" s="56">
        <f t="shared" si="0"/>
        <v>2</v>
      </c>
      <c r="M11" s="60">
        <f>L11*INDEX('Logic Tree'!$J$73:$N$74,MATCH(H11,'Logic Tree'!$I$73:$I$74,0),MATCH(G11,'Logic Tree'!$J$72:$N$72,0))</f>
        <v>3.7</v>
      </c>
    </row>
    <row r="12" spans="1:14" ht="14.25" hidden="1" customHeight="1">
      <c r="A12" s="33">
        <v>1</v>
      </c>
      <c r="B12" s="32" t="s">
        <v>767</v>
      </c>
      <c r="C12" s="32" t="s">
        <v>176</v>
      </c>
      <c r="D12" s="32" t="s">
        <v>580</v>
      </c>
      <c r="E12" s="62" t="str">
        <f>'Pod Library'!E13</f>
        <v>Developer</v>
      </c>
      <c r="F12" s="63" t="str">
        <f>'Pod Library'!F13</f>
        <v>DEV</v>
      </c>
      <c r="G12" s="63" t="str">
        <f>'Pod Library'!G13</f>
        <v>E3</v>
      </c>
      <c r="H12" s="63" t="str">
        <f>'Pod Library'!H13</f>
        <v>OFF</v>
      </c>
      <c r="I12" s="63" t="str">
        <f>'Pod Library'!I13</f>
        <v>FTC</v>
      </c>
      <c r="J12" s="19">
        <f>'Pod Library'!J13</f>
        <v>1</v>
      </c>
      <c r="K12" s="19">
        <f>SUMIFS('Pod Plan'!$F:$F,'Pod Plan'!$B:$B,$A12,'Pod Plan'!$C:$C,$C12)</f>
        <v>2</v>
      </c>
      <c r="L12" s="56">
        <f t="shared" si="0"/>
        <v>2</v>
      </c>
      <c r="M12" s="60">
        <f>L12*INDEX('Logic Tree'!$J$73:$N$74,MATCH(H12,'Logic Tree'!$I$73:$I$74,0),MATCH(G12,'Logic Tree'!$J$72:$N$72,0))</f>
        <v>0.84</v>
      </c>
    </row>
    <row r="13" spans="1:14" ht="14.25" hidden="1" customHeight="1">
      <c r="A13" s="33">
        <v>1</v>
      </c>
      <c r="B13" s="32" t="s">
        <v>767</v>
      </c>
      <c r="C13" s="32" t="s">
        <v>176</v>
      </c>
      <c r="D13" s="32" t="s">
        <v>580</v>
      </c>
      <c r="E13" s="62" t="str">
        <f>'Pod Library'!E14</f>
        <v>Developer</v>
      </c>
      <c r="F13" s="63" t="str">
        <f>'Pod Library'!F14</f>
        <v>DEV</v>
      </c>
      <c r="G13" s="63" t="str">
        <f>'Pod Library'!G14</f>
        <v>E2</v>
      </c>
      <c r="H13" s="63" t="str">
        <f>'Pod Library'!H14</f>
        <v>OFF</v>
      </c>
      <c r="I13" s="63" t="str">
        <f>'Pod Library'!I14</f>
        <v>FTC</v>
      </c>
      <c r="J13" s="19">
        <f>'Pod Library'!J14</f>
        <v>1</v>
      </c>
      <c r="K13" s="19">
        <f>SUMIFS('Pod Plan'!$F:$F,'Pod Plan'!$B:$B,$A13,'Pod Plan'!$C:$C,$C13)</f>
        <v>2</v>
      </c>
      <c r="L13" s="56">
        <f t="shared" si="0"/>
        <v>2</v>
      </c>
      <c r="M13" s="60">
        <f>L13*INDEX('Logic Tree'!$J$73:$N$74,MATCH(H13,'Logic Tree'!$I$73:$I$74,0),MATCH(G13,'Logic Tree'!$J$72:$N$72,0))</f>
        <v>0.6</v>
      </c>
    </row>
    <row r="14" spans="1:14" ht="14.25" hidden="1" customHeight="1">
      <c r="A14" s="33">
        <v>1</v>
      </c>
      <c r="B14" s="32" t="s">
        <v>767</v>
      </c>
      <c r="C14" s="32" t="s">
        <v>176</v>
      </c>
      <c r="D14" s="32" t="s">
        <v>580</v>
      </c>
      <c r="E14" s="62" t="str">
        <f>'Pod Library'!E15</f>
        <v>QA Engineer</v>
      </c>
      <c r="F14" s="63" t="str">
        <f>'Pod Library'!F15</f>
        <v>TEST</v>
      </c>
      <c r="G14" s="63" t="str">
        <f>'Pod Library'!G15</f>
        <v>E2</v>
      </c>
      <c r="H14" s="63" t="str">
        <f>'Pod Library'!H15</f>
        <v>OFF</v>
      </c>
      <c r="I14" s="63" t="str">
        <f>'Pod Library'!I15</f>
        <v>FTC</v>
      </c>
      <c r="J14" s="19">
        <f>'Pod Library'!J15</f>
        <v>1</v>
      </c>
      <c r="K14" s="19">
        <f>SUMIFS('Pod Plan'!$F:$F,'Pod Plan'!$B:$B,$A14,'Pod Plan'!$C:$C,$C14)</f>
        <v>2</v>
      </c>
      <c r="L14" s="56">
        <f t="shared" si="0"/>
        <v>2</v>
      </c>
      <c r="M14" s="60">
        <f>L14*INDEX('Logic Tree'!$J$73:$N$74,MATCH(H14,'Logic Tree'!$I$73:$I$74,0),MATCH(G14,'Logic Tree'!$J$72:$N$72,0))</f>
        <v>0.6</v>
      </c>
    </row>
    <row r="15" spans="1:14" ht="14.25" customHeight="1">
      <c r="A15" s="33">
        <v>1</v>
      </c>
      <c r="B15" s="32" t="s">
        <v>767</v>
      </c>
      <c r="C15" s="32" t="s">
        <v>186</v>
      </c>
      <c r="D15" s="32" t="s">
        <v>567</v>
      </c>
      <c r="E15" s="62" t="str">
        <f>'Pod Library'!E18</f>
        <v>Product Owner</v>
      </c>
      <c r="F15" s="63" t="str">
        <f>'Pod Library'!F18</f>
        <v>LEAD</v>
      </c>
      <c r="G15" s="63" t="str">
        <f>'Pod Library'!G18</f>
        <v>E4</v>
      </c>
      <c r="H15" s="63" t="str">
        <f>'Pod Library'!H18</f>
        <v>ON</v>
      </c>
      <c r="I15" s="63" t="str">
        <f>'Pod Library'!I18</f>
        <v>FTE</v>
      </c>
      <c r="J15" s="19">
        <f>'Pod Library'!J18</f>
        <v>1</v>
      </c>
      <c r="K15" s="19">
        <f>SUMIFS('Pod Plan'!$E:$E,'Pod Plan'!$B:$B,$A15,'Pod Plan'!$C:$C,$C15)</f>
        <v>2</v>
      </c>
      <c r="L15" s="56">
        <f t="shared" si="0"/>
        <v>2</v>
      </c>
      <c r="M15" s="60">
        <f>L15*INDEX('Logic Tree'!$J$73:$N$74,MATCH(H15,'Logic Tree'!$I$73:$I$74,0),MATCH(G15,'Logic Tree'!$J$72:$N$72,0))</f>
        <v>3.7</v>
      </c>
    </row>
    <row r="16" spans="1:14" ht="14.25" customHeight="1">
      <c r="A16" s="33">
        <v>1</v>
      </c>
      <c r="B16" s="32" t="s">
        <v>767</v>
      </c>
      <c r="C16" s="32" t="s">
        <v>186</v>
      </c>
      <c r="D16" s="32" t="s">
        <v>567</v>
      </c>
      <c r="E16" s="62" t="str">
        <f>'Pod Library'!E19</f>
        <v>Compensation Administration SME</v>
      </c>
      <c r="F16" s="63" t="str">
        <f>'Pod Library'!F19</f>
        <v>BA</v>
      </c>
      <c r="G16" s="63" t="str">
        <f>'Pod Library'!G19</f>
        <v>E4</v>
      </c>
      <c r="H16" s="63" t="str">
        <f>'Pod Library'!H19</f>
        <v>ON</v>
      </c>
      <c r="I16" s="63" t="str">
        <f>'Pod Library'!I19</f>
        <v>FTE</v>
      </c>
      <c r="J16" s="19">
        <f>'Pod Library'!J19</f>
        <v>1</v>
      </c>
      <c r="K16" s="19">
        <f>SUMIFS('Pod Plan'!$E:$E,'Pod Plan'!$B:$B,$A16,'Pod Plan'!$C:$C,$C16)</f>
        <v>2</v>
      </c>
      <c r="L16" s="56">
        <f t="shared" si="0"/>
        <v>2</v>
      </c>
      <c r="M16" s="60">
        <f>L16*INDEX('Logic Tree'!$J$73:$N$74,MATCH(H16,'Logic Tree'!$I$73:$I$74,0),MATCH(G16,'Logic Tree'!$J$72:$N$72,0))</f>
        <v>3.7</v>
      </c>
    </row>
    <row r="17" spans="1:13" ht="14.25" customHeight="1">
      <c r="A17" s="33">
        <v>1</v>
      </c>
      <c r="B17" s="32" t="s">
        <v>767</v>
      </c>
      <c r="C17" s="32" t="s">
        <v>186</v>
      </c>
      <c r="D17" s="32" t="s">
        <v>567</v>
      </c>
      <c r="E17" s="62" t="str">
        <f>'Pod Library'!E20</f>
        <v>Application Owner (Technical)</v>
      </c>
      <c r="F17" s="63" t="str">
        <f>'Pod Library'!F20</f>
        <v>ENG</v>
      </c>
      <c r="G17" s="63" t="str">
        <f>'Pod Library'!G20</f>
        <v>E4</v>
      </c>
      <c r="H17" s="63" t="str">
        <f>'Pod Library'!H20</f>
        <v>ON</v>
      </c>
      <c r="I17" s="63" t="str">
        <f>'Pod Library'!I20</f>
        <v>FTE</v>
      </c>
      <c r="J17" s="19">
        <f>'Pod Library'!J20</f>
        <v>1</v>
      </c>
      <c r="K17" s="19">
        <f>SUMIFS('Pod Plan'!$E:$E,'Pod Plan'!$B:$B,$A17,'Pod Plan'!$C:$C,$C17)</f>
        <v>2</v>
      </c>
      <c r="L17" s="56">
        <f t="shared" si="0"/>
        <v>2</v>
      </c>
      <c r="M17" s="60">
        <f>L17*INDEX('Logic Tree'!$J$73:$N$74,MATCH(H17,'Logic Tree'!$I$73:$I$74,0),MATCH(G17,'Logic Tree'!$J$72:$N$72,0))</f>
        <v>3.7</v>
      </c>
    </row>
    <row r="18" spans="1:13" ht="14.25" hidden="1" customHeight="1">
      <c r="A18" s="33">
        <v>1</v>
      </c>
      <c r="B18" s="32" t="s">
        <v>767</v>
      </c>
      <c r="C18" s="32" t="s">
        <v>186</v>
      </c>
      <c r="D18" s="32" t="s">
        <v>567</v>
      </c>
      <c r="E18" s="62" t="str">
        <f>'Pod Library'!E21</f>
        <v>Pod Delivery Lead</v>
      </c>
      <c r="F18" s="63" t="str">
        <f>'Pod Library'!F21</f>
        <v>LEAD</v>
      </c>
      <c r="G18" s="63" t="str">
        <f>'Pod Library'!G21</f>
        <v>E4</v>
      </c>
      <c r="H18" s="63" t="str">
        <f>'Pod Library'!H21</f>
        <v>ON</v>
      </c>
      <c r="I18" s="63" t="str">
        <f>'Pod Library'!I21</f>
        <v>FTC</v>
      </c>
      <c r="J18" s="19">
        <f>'Pod Library'!J21</f>
        <v>1</v>
      </c>
      <c r="K18" s="19">
        <f>SUMIFS('Pod Plan'!$E:$E,'Pod Plan'!$B:$B,$A18,'Pod Plan'!$C:$C,$C18)</f>
        <v>2</v>
      </c>
      <c r="L18" s="56">
        <f t="shared" si="0"/>
        <v>2</v>
      </c>
      <c r="M18" s="60">
        <f>L18*INDEX('Logic Tree'!$J$73:$N$74,MATCH(H18,'Logic Tree'!$I$73:$I$74,0),MATCH(G18,'Logic Tree'!$J$72:$N$72,0))</f>
        <v>3.7</v>
      </c>
    </row>
    <row r="19" spans="1:13" ht="14.25" hidden="1" customHeight="1">
      <c r="A19" s="33">
        <v>1</v>
      </c>
      <c r="B19" s="32" t="s">
        <v>767</v>
      </c>
      <c r="C19" s="32" t="s">
        <v>186</v>
      </c>
      <c r="D19" s="32" t="s">
        <v>567</v>
      </c>
      <c r="E19" s="62" t="str">
        <f>'Pod Library'!E22</f>
        <v>Senior Developer</v>
      </c>
      <c r="F19" s="63" t="str">
        <f>'Pod Library'!F22</f>
        <v>DEV</v>
      </c>
      <c r="G19" s="63" t="str">
        <f>'Pod Library'!G22</f>
        <v>E3</v>
      </c>
      <c r="H19" s="63" t="str">
        <f>'Pod Library'!H22</f>
        <v>OFF</v>
      </c>
      <c r="I19" s="63" t="str">
        <f>'Pod Library'!I22</f>
        <v>FTC</v>
      </c>
      <c r="J19" s="19">
        <f>'Pod Library'!J22</f>
        <v>1</v>
      </c>
      <c r="K19" s="19">
        <f>SUMIFS('Pod Plan'!$E:$E,'Pod Plan'!$B:$B,$A19,'Pod Plan'!$C:$C,$C19)</f>
        <v>2</v>
      </c>
      <c r="L19" s="56">
        <f t="shared" si="0"/>
        <v>2</v>
      </c>
      <c r="M19" s="60">
        <f>L19*INDEX('Logic Tree'!$J$73:$N$74,MATCH(H19,'Logic Tree'!$I$73:$I$74,0),MATCH(G19,'Logic Tree'!$J$72:$N$72,0))</f>
        <v>0.84</v>
      </c>
    </row>
    <row r="20" spans="1:13" ht="14.25" hidden="1" customHeight="1">
      <c r="A20" s="33">
        <v>1</v>
      </c>
      <c r="B20" s="32" t="s">
        <v>767</v>
      </c>
      <c r="C20" s="32" t="s">
        <v>186</v>
      </c>
      <c r="D20" s="32" t="s">
        <v>567</v>
      </c>
      <c r="E20" s="62" t="str">
        <f>'Pod Library'!E23</f>
        <v>QA / Test Engineer</v>
      </c>
      <c r="F20" s="63" t="str">
        <f>'Pod Library'!F23</f>
        <v>TEST</v>
      </c>
      <c r="G20" s="63" t="str">
        <f>'Pod Library'!G23</f>
        <v>E2</v>
      </c>
      <c r="H20" s="63" t="str">
        <f>'Pod Library'!H23</f>
        <v>OFF</v>
      </c>
      <c r="I20" s="63" t="str">
        <f>'Pod Library'!I23</f>
        <v>FTC</v>
      </c>
      <c r="J20" s="19">
        <f>'Pod Library'!J23</f>
        <v>1</v>
      </c>
      <c r="K20" s="19">
        <f>SUMIFS('Pod Plan'!$E:$E,'Pod Plan'!$B:$B,$A20,'Pod Plan'!$C:$C,$C20)</f>
        <v>2</v>
      </c>
      <c r="L20" s="56">
        <f t="shared" si="0"/>
        <v>2</v>
      </c>
      <c r="M20" s="60">
        <f>L20*INDEX('Logic Tree'!$J$73:$N$74,MATCH(H20,'Logic Tree'!$I$73:$I$74,0),MATCH(G20,'Logic Tree'!$J$72:$N$72,0))</f>
        <v>0.6</v>
      </c>
    </row>
    <row r="21" spans="1:13" ht="14.25" hidden="1" customHeight="1">
      <c r="A21" s="33">
        <v>1</v>
      </c>
      <c r="B21" s="32" t="s">
        <v>767</v>
      </c>
      <c r="C21" s="32" t="s">
        <v>186</v>
      </c>
      <c r="D21" s="32" t="s">
        <v>580</v>
      </c>
      <c r="E21" s="62" t="str">
        <f>'Pod Library'!E25</f>
        <v>Pod Lead (output owner)</v>
      </c>
      <c r="F21" s="63" t="str">
        <f>'Pod Library'!F25</f>
        <v>LEAD</v>
      </c>
      <c r="G21" s="63" t="str">
        <f>'Pod Library'!G25</f>
        <v>E4</v>
      </c>
      <c r="H21" s="63" t="str">
        <f>'Pod Library'!H25</f>
        <v>ON</v>
      </c>
      <c r="I21" s="63" t="str">
        <f>'Pod Library'!I25</f>
        <v>FTC</v>
      </c>
      <c r="J21" s="19">
        <f>'Pod Library'!J25</f>
        <v>1</v>
      </c>
      <c r="K21" s="19">
        <f>SUMIFS('Pod Plan'!$F:$F,'Pod Plan'!$B:$B,$A21,'Pod Plan'!$C:$C,$C21)</f>
        <v>1</v>
      </c>
      <c r="L21" s="56">
        <f t="shared" si="0"/>
        <v>1</v>
      </c>
      <c r="M21" s="60">
        <f>L21*INDEX('Logic Tree'!$J$73:$N$74,MATCH(H21,'Logic Tree'!$I$73:$I$74,0),MATCH(G21,'Logic Tree'!$J$72:$N$72,0))</f>
        <v>1.85</v>
      </c>
    </row>
    <row r="22" spans="1:13" ht="14.25" hidden="1" customHeight="1">
      <c r="A22" s="33">
        <v>1</v>
      </c>
      <c r="B22" s="32" t="s">
        <v>767</v>
      </c>
      <c r="C22" s="32" t="s">
        <v>186</v>
      </c>
      <c r="D22" s="32" t="s">
        <v>580</v>
      </c>
      <c r="E22" s="62" t="str">
        <f>'Pod Library'!E26</f>
        <v>Developer</v>
      </c>
      <c r="F22" s="63" t="str">
        <f>'Pod Library'!F26</f>
        <v>DEV</v>
      </c>
      <c r="G22" s="63" t="str">
        <f>'Pod Library'!G26</f>
        <v>E3</v>
      </c>
      <c r="H22" s="63" t="str">
        <f>'Pod Library'!H26</f>
        <v>OFF</v>
      </c>
      <c r="I22" s="63" t="str">
        <f>'Pod Library'!I26</f>
        <v>FTC</v>
      </c>
      <c r="J22" s="19">
        <f>'Pod Library'!J26</f>
        <v>1</v>
      </c>
      <c r="K22" s="19">
        <f>SUMIFS('Pod Plan'!$F:$F,'Pod Plan'!$B:$B,$A22,'Pod Plan'!$C:$C,$C22)</f>
        <v>1</v>
      </c>
      <c r="L22" s="56">
        <f t="shared" si="0"/>
        <v>1</v>
      </c>
      <c r="M22" s="60">
        <f>L22*INDEX('Logic Tree'!$J$73:$N$74,MATCH(H22,'Logic Tree'!$I$73:$I$74,0),MATCH(G22,'Logic Tree'!$J$72:$N$72,0))</f>
        <v>0.42</v>
      </c>
    </row>
    <row r="23" spans="1:13" ht="14.25" hidden="1" customHeight="1">
      <c r="A23" s="33">
        <v>1</v>
      </c>
      <c r="B23" s="32" t="s">
        <v>767</v>
      </c>
      <c r="C23" s="32" t="s">
        <v>186</v>
      </c>
      <c r="D23" s="32" t="s">
        <v>580</v>
      </c>
      <c r="E23" s="62" t="str">
        <f>'Pod Library'!E27</f>
        <v>Developer</v>
      </c>
      <c r="F23" s="63" t="str">
        <f>'Pod Library'!F27</f>
        <v>DEV</v>
      </c>
      <c r="G23" s="63" t="str">
        <f>'Pod Library'!G27</f>
        <v>E2</v>
      </c>
      <c r="H23" s="63" t="str">
        <f>'Pod Library'!H27</f>
        <v>OFF</v>
      </c>
      <c r="I23" s="63" t="str">
        <f>'Pod Library'!I27</f>
        <v>FTC</v>
      </c>
      <c r="J23" s="19">
        <f>'Pod Library'!J27</f>
        <v>1</v>
      </c>
      <c r="K23" s="19">
        <f>SUMIFS('Pod Plan'!$F:$F,'Pod Plan'!$B:$B,$A23,'Pod Plan'!$C:$C,$C23)</f>
        <v>1</v>
      </c>
      <c r="L23" s="56">
        <f t="shared" si="0"/>
        <v>1</v>
      </c>
      <c r="M23" s="60">
        <f>L23*INDEX('Logic Tree'!$J$73:$N$74,MATCH(H23,'Logic Tree'!$I$73:$I$74,0),MATCH(G23,'Logic Tree'!$J$72:$N$72,0))</f>
        <v>0.3</v>
      </c>
    </row>
    <row r="24" spans="1:13" ht="14.25" hidden="1" customHeight="1">
      <c r="A24" s="33">
        <v>1</v>
      </c>
      <c r="B24" s="32" t="s">
        <v>767</v>
      </c>
      <c r="C24" s="32" t="s">
        <v>186</v>
      </c>
      <c r="D24" s="32" t="s">
        <v>580</v>
      </c>
      <c r="E24" s="62" t="str">
        <f>'Pod Library'!E28</f>
        <v>QA Engineer</v>
      </c>
      <c r="F24" s="63" t="str">
        <f>'Pod Library'!F28</f>
        <v>TEST</v>
      </c>
      <c r="G24" s="63" t="str">
        <f>'Pod Library'!G28</f>
        <v>E2</v>
      </c>
      <c r="H24" s="63" t="str">
        <f>'Pod Library'!H28</f>
        <v>OFF</v>
      </c>
      <c r="I24" s="63" t="str">
        <f>'Pod Library'!I28</f>
        <v>FTC</v>
      </c>
      <c r="J24" s="19">
        <f>'Pod Library'!J28</f>
        <v>1</v>
      </c>
      <c r="K24" s="19">
        <f>SUMIFS('Pod Plan'!$F:$F,'Pod Plan'!$B:$B,$A24,'Pod Plan'!$C:$C,$C24)</f>
        <v>1</v>
      </c>
      <c r="L24" s="56">
        <f t="shared" si="0"/>
        <v>1</v>
      </c>
      <c r="M24" s="60">
        <f>L24*INDEX('Logic Tree'!$J$73:$N$74,MATCH(H24,'Logic Tree'!$I$73:$I$74,0),MATCH(G24,'Logic Tree'!$J$72:$N$72,0))</f>
        <v>0.3</v>
      </c>
    </row>
    <row r="25" spans="1:13" ht="14.25" hidden="1" customHeight="1">
      <c r="A25" s="33">
        <v>1</v>
      </c>
      <c r="B25" s="32" t="s">
        <v>767</v>
      </c>
      <c r="C25" s="32" t="s">
        <v>196</v>
      </c>
      <c r="D25" s="32" t="s">
        <v>580</v>
      </c>
      <c r="E25" s="62" t="str">
        <f>'Pod Library'!E31</f>
        <v>Pod Lead (output owner)</v>
      </c>
      <c r="F25" s="63" t="str">
        <f>'Pod Library'!F31</f>
        <v>LEAD</v>
      </c>
      <c r="G25" s="63" t="str">
        <f>'Pod Library'!G31</f>
        <v>E4</v>
      </c>
      <c r="H25" s="63" t="str">
        <f>'Pod Library'!H31</f>
        <v>ON</v>
      </c>
      <c r="I25" s="63" t="str">
        <f>'Pod Library'!I31</f>
        <v>FTC</v>
      </c>
      <c r="J25" s="19">
        <f>'Pod Library'!J31</f>
        <v>1</v>
      </c>
      <c r="K25" s="19">
        <f>SUMIFS('Pod Plan'!$F:$F,'Pod Plan'!$B:$B,$A25,'Pod Plan'!$C:$C,$C25)</f>
        <v>1</v>
      </c>
      <c r="L25" s="56">
        <f t="shared" si="0"/>
        <v>1</v>
      </c>
      <c r="M25" s="60">
        <f>L25*INDEX('Logic Tree'!$J$73:$N$74,MATCH(H25,'Logic Tree'!$I$73:$I$74,0),MATCH(G25,'Logic Tree'!$J$72:$N$72,0))</f>
        <v>1.85</v>
      </c>
    </row>
    <row r="26" spans="1:13" ht="14.25" hidden="1" customHeight="1">
      <c r="A26" s="33">
        <v>1</v>
      </c>
      <c r="B26" s="32" t="s">
        <v>767</v>
      </c>
      <c r="C26" s="32" t="s">
        <v>196</v>
      </c>
      <c r="D26" s="32" t="s">
        <v>580</v>
      </c>
      <c r="E26" s="62" t="str">
        <f>'Pod Library'!E32</f>
        <v>Developer — MGCC Hyderabad</v>
      </c>
      <c r="F26" s="63" t="str">
        <f>'Pod Library'!F32</f>
        <v>DEV</v>
      </c>
      <c r="G26" s="63" t="str">
        <f>'Pod Library'!G32</f>
        <v>E3</v>
      </c>
      <c r="H26" s="63" t="str">
        <f>'Pod Library'!H32</f>
        <v>OFF</v>
      </c>
      <c r="I26" s="63" t="str">
        <f>'Pod Library'!I32</f>
        <v>MGCC</v>
      </c>
      <c r="J26" s="19">
        <f>'Pod Library'!J32</f>
        <v>1</v>
      </c>
      <c r="K26" s="19">
        <f>SUMIFS('Pod Plan'!$F:$F,'Pod Plan'!$B:$B,$A26,'Pod Plan'!$C:$C,$C26)</f>
        <v>1</v>
      </c>
      <c r="L26" s="56">
        <f t="shared" si="0"/>
        <v>1</v>
      </c>
      <c r="M26" s="60">
        <f>L26*INDEX('Logic Tree'!$J$73:$N$74,MATCH(H26,'Logic Tree'!$I$73:$I$74,0),MATCH(G26,'Logic Tree'!$J$72:$N$72,0))</f>
        <v>0.42</v>
      </c>
    </row>
    <row r="27" spans="1:13" ht="14.25" hidden="1" customHeight="1">
      <c r="A27" s="33">
        <v>1</v>
      </c>
      <c r="B27" s="32" t="s">
        <v>767</v>
      </c>
      <c r="C27" s="32" t="s">
        <v>196</v>
      </c>
      <c r="D27" s="32" t="s">
        <v>580</v>
      </c>
      <c r="E27" s="62" t="str">
        <f>'Pod Library'!E33</f>
        <v>QA Engineer</v>
      </c>
      <c r="F27" s="63" t="str">
        <f>'Pod Library'!F33</f>
        <v>TEST</v>
      </c>
      <c r="G27" s="63" t="str">
        <f>'Pod Library'!G33</f>
        <v>E2</v>
      </c>
      <c r="H27" s="63" t="str">
        <f>'Pod Library'!H33</f>
        <v>OFF</v>
      </c>
      <c r="I27" s="63" t="str">
        <f>'Pod Library'!I33</f>
        <v>FTC</v>
      </c>
      <c r="J27" s="19">
        <f>'Pod Library'!J33</f>
        <v>1</v>
      </c>
      <c r="K27" s="19">
        <f>SUMIFS('Pod Plan'!$F:$F,'Pod Plan'!$B:$B,$A27,'Pod Plan'!$C:$C,$C27)</f>
        <v>1</v>
      </c>
      <c r="L27" s="56">
        <f t="shared" si="0"/>
        <v>1</v>
      </c>
      <c r="M27" s="60">
        <f>L27*INDEX('Logic Tree'!$J$73:$N$74,MATCH(H27,'Logic Tree'!$I$73:$I$74,0),MATCH(G27,'Logic Tree'!$J$72:$N$72,0))</f>
        <v>0.3</v>
      </c>
    </row>
    <row r="28" spans="1:13" ht="14.25" customHeight="1">
      <c r="A28" s="33">
        <v>2</v>
      </c>
      <c r="B28" s="32" t="s">
        <v>767</v>
      </c>
      <c r="C28" s="32" t="s">
        <v>176</v>
      </c>
      <c r="D28" s="32" t="s">
        <v>567</v>
      </c>
      <c r="E28" s="62" t="str">
        <f>'Pod Library'!E36</f>
        <v>Product Owner</v>
      </c>
      <c r="F28" s="63" t="str">
        <f>'Pod Library'!F36</f>
        <v>LEAD</v>
      </c>
      <c r="G28" s="63" t="str">
        <f>'Pod Library'!G36</f>
        <v>E4</v>
      </c>
      <c r="H28" s="63" t="str">
        <f>'Pod Library'!H36</f>
        <v>ON</v>
      </c>
      <c r="I28" s="63" t="str">
        <f>'Pod Library'!I36</f>
        <v>FTE</v>
      </c>
      <c r="J28" s="19">
        <f>'Pod Library'!J36</f>
        <v>1</v>
      </c>
      <c r="K28" s="19">
        <f>SUMIFS('Pod Plan'!$E:$E,'Pod Plan'!$B:$B,$A28,'Pod Plan'!$C:$C,$C28)</f>
        <v>3</v>
      </c>
      <c r="L28" s="56">
        <f t="shared" si="0"/>
        <v>3</v>
      </c>
      <c r="M28" s="60">
        <f>L28*INDEX('Logic Tree'!$J$73:$N$74,MATCH(H28,'Logic Tree'!$I$73:$I$74,0),MATCH(G28,'Logic Tree'!$J$72:$N$72,0))</f>
        <v>5.5500000000000007</v>
      </c>
    </row>
    <row r="29" spans="1:13" ht="14.25" customHeight="1">
      <c r="A29" s="33">
        <v>2</v>
      </c>
      <c r="B29" s="32" t="s">
        <v>767</v>
      </c>
      <c r="C29" s="32" t="s">
        <v>176</v>
      </c>
      <c r="D29" s="32" t="s">
        <v>567</v>
      </c>
      <c r="E29" s="62" t="str">
        <f>'Pod Library'!E37</f>
        <v>Incentive Compensation SME</v>
      </c>
      <c r="F29" s="63" t="str">
        <f>'Pod Library'!F37</f>
        <v>BA</v>
      </c>
      <c r="G29" s="63" t="str">
        <f>'Pod Library'!G37</f>
        <v>E4</v>
      </c>
      <c r="H29" s="63" t="str">
        <f>'Pod Library'!H37</f>
        <v>ON</v>
      </c>
      <c r="I29" s="63" t="str">
        <f>'Pod Library'!I37</f>
        <v>FTE</v>
      </c>
      <c r="J29" s="19">
        <f>'Pod Library'!J37</f>
        <v>1</v>
      </c>
      <c r="K29" s="19">
        <f>SUMIFS('Pod Plan'!$E:$E,'Pod Plan'!$B:$B,$A29,'Pod Plan'!$C:$C,$C29)</f>
        <v>3</v>
      </c>
      <c r="L29" s="56">
        <f t="shared" si="0"/>
        <v>3</v>
      </c>
      <c r="M29" s="60">
        <f>L29*INDEX('Logic Tree'!$J$73:$N$74,MATCH(H29,'Logic Tree'!$I$73:$I$74,0),MATCH(G29,'Logic Tree'!$J$72:$N$72,0))</f>
        <v>5.5500000000000007</v>
      </c>
    </row>
    <row r="30" spans="1:13" ht="14.25" customHeight="1">
      <c r="A30" s="33">
        <v>2</v>
      </c>
      <c r="B30" s="32" t="s">
        <v>767</v>
      </c>
      <c r="C30" s="32" t="s">
        <v>176</v>
      </c>
      <c r="D30" s="32" t="s">
        <v>567</v>
      </c>
      <c r="E30" s="62" t="str">
        <f>'Pod Library'!E38</f>
        <v>Application Owner (Technical)</v>
      </c>
      <c r="F30" s="63" t="str">
        <f>'Pod Library'!F38</f>
        <v>ENG</v>
      </c>
      <c r="G30" s="63" t="str">
        <f>'Pod Library'!G38</f>
        <v>E4</v>
      </c>
      <c r="H30" s="63" t="str">
        <f>'Pod Library'!H38</f>
        <v>ON</v>
      </c>
      <c r="I30" s="63" t="str">
        <f>'Pod Library'!I38</f>
        <v>FTE</v>
      </c>
      <c r="J30" s="19">
        <f>'Pod Library'!J38</f>
        <v>1</v>
      </c>
      <c r="K30" s="19">
        <f>SUMIFS('Pod Plan'!$E:$E,'Pod Plan'!$B:$B,$A30,'Pod Plan'!$C:$C,$C30)</f>
        <v>3</v>
      </c>
      <c r="L30" s="56">
        <f t="shared" si="0"/>
        <v>3</v>
      </c>
      <c r="M30" s="60">
        <f>L30*INDEX('Logic Tree'!$J$73:$N$74,MATCH(H30,'Logic Tree'!$I$73:$I$74,0),MATCH(G30,'Logic Tree'!$J$72:$N$72,0))</f>
        <v>5.5500000000000007</v>
      </c>
    </row>
    <row r="31" spans="1:13" ht="14.25" hidden="1" customHeight="1">
      <c r="A31" s="33">
        <v>2</v>
      </c>
      <c r="B31" s="32" t="s">
        <v>767</v>
      </c>
      <c r="C31" s="32" t="s">
        <v>176</v>
      </c>
      <c r="D31" s="32" t="s">
        <v>567</v>
      </c>
      <c r="E31" s="62" t="str">
        <f>'Pod Library'!E39</f>
        <v>AI-assisted Developer</v>
      </c>
      <c r="F31" s="63" t="str">
        <f>'Pod Library'!F39</f>
        <v>DEV</v>
      </c>
      <c r="G31" s="63" t="str">
        <f>'Pod Library'!G39</f>
        <v>E3</v>
      </c>
      <c r="H31" s="63" t="str">
        <f>'Pod Library'!H39</f>
        <v>OFF</v>
      </c>
      <c r="I31" s="63" t="str">
        <f>'Pod Library'!I39</f>
        <v>FTC</v>
      </c>
      <c r="J31" s="19">
        <f>'Pod Library'!J39</f>
        <v>1</v>
      </c>
      <c r="K31" s="19">
        <f>SUMIFS('Pod Plan'!$E:$E,'Pod Plan'!$B:$B,$A31,'Pod Plan'!$C:$C,$C31)</f>
        <v>3</v>
      </c>
      <c r="L31" s="56">
        <f t="shared" si="0"/>
        <v>3</v>
      </c>
      <c r="M31" s="60">
        <f>L31*INDEX('Logic Tree'!$J$73:$N$74,MATCH(H31,'Logic Tree'!$I$73:$I$74,0),MATCH(G31,'Logic Tree'!$J$72:$N$72,0))</f>
        <v>1.26</v>
      </c>
    </row>
    <row r="32" spans="1:13" ht="14.25" hidden="1" customHeight="1">
      <c r="A32" s="33">
        <v>2</v>
      </c>
      <c r="B32" s="32" t="s">
        <v>767</v>
      </c>
      <c r="C32" s="32" t="s">
        <v>176</v>
      </c>
      <c r="D32" s="32" t="s">
        <v>567</v>
      </c>
      <c r="E32" s="62" t="str">
        <f>'Pod Library'!E40</f>
        <v>Quality Engineer (SDET)</v>
      </c>
      <c r="F32" s="63" t="str">
        <f>'Pod Library'!F40</f>
        <v>TEST</v>
      </c>
      <c r="G32" s="63" t="str">
        <f>'Pod Library'!G40</f>
        <v>E3</v>
      </c>
      <c r="H32" s="63" t="str">
        <f>'Pod Library'!H40</f>
        <v>OFF</v>
      </c>
      <c r="I32" s="63" t="str">
        <f>'Pod Library'!I40</f>
        <v>FTC</v>
      </c>
      <c r="J32" s="19">
        <f>'Pod Library'!J40</f>
        <v>1</v>
      </c>
      <c r="K32" s="19">
        <f>SUMIFS('Pod Plan'!$E:$E,'Pod Plan'!$B:$B,$A32,'Pod Plan'!$C:$C,$C32)</f>
        <v>3</v>
      </c>
      <c r="L32" s="56">
        <f t="shared" si="0"/>
        <v>3</v>
      </c>
      <c r="M32" s="60">
        <f>L32*INDEX('Logic Tree'!$J$73:$N$74,MATCH(H32,'Logic Tree'!$I$73:$I$74,0),MATCH(G32,'Logic Tree'!$J$72:$N$72,0))</f>
        <v>1.26</v>
      </c>
    </row>
    <row r="33" spans="1:13" ht="14.25" hidden="1" customHeight="1">
      <c r="A33" s="33">
        <v>2</v>
      </c>
      <c r="B33" s="32" t="s">
        <v>767</v>
      </c>
      <c r="C33" s="32" t="s">
        <v>176</v>
      </c>
      <c r="D33" s="32" t="s">
        <v>580</v>
      </c>
      <c r="E33" s="62" t="str">
        <f>'Pod Library'!E42</f>
        <v>Pod Lead / AI Orchestrator</v>
      </c>
      <c r="F33" s="63" t="str">
        <f>'Pod Library'!F42</f>
        <v>LEAD</v>
      </c>
      <c r="G33" s="63" t="str">
        <f>'Pod Library'!G42</f>
        <v>E4</v>
      </c>
      <c r="H33" s="63" t="str">
        <f>'Pod Library'!H42</f>
        <v>OFF</v>
      </c>
      <c r="I33" s="63" t="str">
        <f>'Pod Library'!I42</f>
        <v>FTC</v>
      </c>
      <c r="J33" s="19">
        <f>'Pod Library'!J42</f>
        <v>1</v>
      </c>
      <c r="K33" s="19">
        <f>SUMIFS('Pod Plan'!$F:$F,'Pod Plan'!$B:$B,$A33,'Pod Plan'!$C:$C,$C33)</f>
        <v>2</v>
      </c>
      <c r="L33" s="56">
        <f t="shared" si="0"/>
        <v>2</v>
      </c>
      <c r="M33" s="60">
        <f>L33*INDEX('Logic Tree'!$J$73:$N$74,MATCH(H33,'Logic Tree'!$I$73:$I$74,0),MATCH(G33,'Logic Tree'!$J$72:$N$72,0))</f>
        <v>1.2</v>
      </c>
    </row>
    <row r="34" spans="1:13" ht="14.25" hidden="1" customHeight="1">
      <c r="A34" s="33">
        <v>2</v>
      </c>
      <c r="B34" s="32" t="s">
        <v>767</v>
      </c>
      <c r="C34" s="32" t="s">
        <v>176</v>
      </c>
      <c r="D34" s="32" t="s">
        <v>580</v>
      </c>
      <c r="E34" s="62" t="str">
        <f>'Pod Library'!E43</f>
        <v>AI-assisted Developer</v>
      </c>
      <c r="F34" s="63" t="str">
        <f>'Pod Library'!F43</f>
        <v>DEV</v>
      </c>
      <c r="G34" s="63" t="str">
        <f>'Pod Library'!G43</f>
        <v>E3</v>
      </c>
      <c r="H34" s="63" t="str">
        <f>'Pod Library'!H43</f>
        <v>OFF</v>
      </c>
      <c r="I34" s="63" t="str">
        <f>'Pod Library'!I43</f>
        <v>FTC</v>
      </c>
      <c r="J34" s="19">
        <f>'Pod Library'!J43</f>
        <v>1</v>
      </c>
      <c r="K34" s="19">
        <f>SUMIFS('Pod Plan'!$F:$F,'Pod Plan'!$B:$B,$A34,'Pod Plan'!$C:$C,$C34)</f>
        <v>2</v>
      </c>
      <c r="L34" s="56">
        <f t="shared" si="0"/>
        <v>2</v>
      </c>
      <c r="M34" s="60">
        <f>L34*INDEX('Logic Tree'!$J$73:$N$74,MATCH(H34,'Logic Tree'!$I$73:$I$74,0),MATCH(G34,'Logic Tree'!$J$72:$N$72,0))</f>
        <v>0.84</v>
      </c>
    </row>
    <row r="35" spans="1:13" ht="14.25" hidden="1" customHeight="1">
      <c r="A35" s="33">
        <v>2</v>
      </c>
      <c r="B35" s="32" t="s">
        <v>767</v>
      </c>
      <c r="C35" s="32" t="s">
        <v>176</v>
      </c>
      <c r="D35" s="32" t="s">
        <v>580</v>
      </c>
      <c r="E35" s="62" t="str">
        <f>'Pod Library'!E44</f>
        <v>QA Engineer</v>
      </c>
      <c r="F35" s="63" t="str">
        <f>'Pod Library'!F44</f>
        <v>TEST</v>
      </c>
      <c r="G35" s="63" t="str">
        <f>'Pod Library'!G44</f>
        <v>E2</v>
      </c>
      <c r="H35" s="63" t="str">
        <f>'Pod Library'!H44</f>
        <v>OFF</v>
      </c>
      <c r="I35" s="63" t="str">
        <f>'Pod Library'!I44</f>
        <v>FTC</v>
      </c>
      <c r="J35" s="19">
        <f>'Pod Library'!J44</f>
        <v>1</v>
      </c>
      <c r="K35" s="19">
        <f>SUMIFS('Pod Plan'!$F:$F,'Pod Plan'!$B:$B,$A35,'Pod Plan'!$C:$C,$C35)</f>
        <v>2</v>
      </c>
      <c r="L35" s="56">
        <f t="shared" si="0"/>
        <v>2</v>
      </c>
      <c r="M35" s="60">
        <f>L35*INDEX('Logic Tree'!$J$73:$N$74,MATCH(H35,'Logic Tree'!$I$73:$I$74,0),MATCH(G35,'Logic Tree'!$J$72:$N$72,0))</f>
        <v>0.6</v>
      </c>
    </row>
    <row r="36" spans="1:13" ht="14.25" customHeight="1">
      <c r="A36" s="33">
        <v>2</v>
      </c>
      <c r="B36" s="32" t="s">
        <v>767</v>
      </c>
      <c r="C36" s="32" t="s">
        <v>186</v>
      </c>
      <c r="D36" s="32" t="s">
        <v>567</v>
      </c>
      <c r="E36" s="62" t="str">
        <f>'Pod Library'!E47</f>
        <v>Product Owner</v>
      </c>
      <c r="F36" s="63" t="str">
        <f>'Pod Library'!F47</f>
        <v>LEAD</v>
      </c>
      <c r="G36" s="63" t="str">
        <f>'Pod Library'!G47</f>
        <v>E4</v>
      </c>
      <c r="H36" s="63" t="str">
        <f>'Pod Library'!H47</f>
        <v>ON</v>
      </c>
      <c r="I36" s="63" t="str">
        <f>'Pod Library'!I47</f>
        <v>FTE</v>
      </c>
      <c r="J36" s="19">
        <f>'Pod Library'!J47</f>
        <v>1</v>
      </c>
      <c r="K36" s="19">
        <f>SUMIFS('Pod Plan'!$E:$E,'Pod Plan'!$B:$B,$A36,'Pod Plan'!$C:$C,$C36)</f>
        <v>2</v>
      </c>
      <c r="L36" s="56">
        <f t="shared" si="0"/>
        <v>2</v>
      </c>
      <c r="M36" s="60">
        <f>L36*INDEX('Logic Tree'!$J$73:$N$74,MATCH(H36,'Logic Tree'!$I$73:$I$74,0),MATCH(G36,'Logic Tree'!$J$72:$N$72,0))</f>
        <v>3.7</v>
      </c>
    </row>
    <row r="37" spans="1:13" ht="14.25" customHeight="1">
      <c r="A37" s="33">
        <v>2</v>
      </c>
      <c r="B37" s="32" t="s">
        <v>767</v>
      </c>
      <c r="C37" s="32" t="s">
        <v>186</v>
      </c>
      <c r="D37" s="32" t="s">
        <v>567</v>
      </c>
      <c r="E37" s="62" t="str">
        <f>'Pod Library'!E48</f>
        <v>Compensation Administration SME</v>
      </c>
      <c r="F37" s="63" t="str">
        <f>'Pod Library'!F48</f>
        <v>BA</v>
      </c>
      <c r="G37" s="63" t="str">
        <f>'Pod Library'!G48</f>
        <v>E4</v>
      </c>
      <c r="H37" s="63" t="str">
        <f>'Pod Library'!H48</f>
        <v>ON</v>
      </c>
      <c r="I37" s="63" t="str">
        <f>'Pod Library'!I48</f>
        <v>FTE</v>
      </c>
      <c r="J37" s="19">
        <f>'Pod Library'!J48</f>
        <v>1</v>
      </c>
      <c r="K37" s="19">
        <f>SUMIFS('Pod Plan'!$E:$E,'Pod Plan'!$B:$B,$A37,'Pod Plan'!$C:$C,$C37)</f>
        <v>2</v>
      </c>
      <c r="L37" s="56">
        <f t="shared" ref="L37:L68" si="1">J37*K37</f>
        <v>2</v>
      </c>
      <c r="M37" s="60">
        <f>L37*INDEX('Logic Tree'!$J$73:$N$74,MATCH(H37,'Logic Tree'!$I$73:$I$74,0),MATCH(G37,'Logic Tree'!$J$72:$N$72,0))</f>
        <v>3.7</v>
      </c>
    </row>
    <row r="38" spans="1:13" ht="14.25" customHeight="1">
      <c r="A38" s="33">
        <v>2</v>
      </c>
      <c r="B38" s="32" t="s">
        <v>767</v>
      </c>
      <c r="C38" s="32" t="s">
        <v>186</v>
      </c>
      <c r="D38" s="32" t="s">
        <v>567</v>
      </c>
      <c r="E38" s="62" t="str">
        <f>'Pod Library'!E49</f>
        <v>Application Owner (Technical)</v>
      </c>
      <c r="F38" s="63" t="str">
        <f>'Pod Library'!F49</f>
        <v>ENG</v>
      </c>
      <c r="G38" s="63" t="str">
        <f>'Pod Library'!G49</f>
        <v>E4</v>
      </c>
      <c r="H38" s="63" t="str">
        <f>'Pod Library'!H49</f>
        <v>ON</v>
      </c>
      <c r="I38" s="63" t="str">
        <f>'Pod Library'!I49</f>
        <v>FTE</v>
      </c>
      <c r="J38" s="19">
        <f>'Pod Library'!J49</f>
        <v>1</v>
      </c>
      <c r="K38" s="19">
        <f>SUMIFS('Pod Plan'!$E:$E,'Pod Plan'!$B:$B,$A38,'Pod Plan'!$C:$C,$C38)</f>
        <v>2</v>
      </c>
      <c r="L38" s="56">
        <f t="shared" si="1"/>
        <v>2</v>
      </c>
      <c r="M38" s="60">
        <f>L38*INDEX('Logic Tree'!$J$73:$N$74,MATCH(H38,'Logic Tree'!$I$73:$I$74,0),MATCH(G38,'Logic Tree'!$J$72:$N$72,0))</f>
        <v>3.7</v>
      </c>
    </row>
    <row r="39" spans="1:13" ht="14.25" hidden="1" customHeight="1">
      <c r="A39" s="33">
        <v>2</v>
      </c>
      <c r="B39" s="32" t="s">
        <v>767</v>
      </c>
      <c r="C39" s="32" t="s">
        <v>186</v>
      </c>
      <c r="D39" s="32" t="s">
        <v>567</v>
      </c>
      <c r="E39" s="62" t="str">
        <f>'Pod Library'!E50</f>
        <v>AI-assisted Developer</v>
      </c>
      <c r="F39" s="63" t="str">
        <f>'Pod Library'!F50</f>
        <v>DEV</v>
      </c>
      <c r="G39" s="63" t="str">
        <f>'Pod Library'!G50</f>
        <v>E3</v>
      </c>
      <c r="H39" s="63" t="str">
        <f>'Pod Library'!H50</f>
        <v>OFF</v>
      </c>
      <c r="I39" s="63" t="str">
        <f>'Pod Library'!I50</f>
        <v>FTC</v>
      </c>
      <c r="J39" s="19">
        <f>'Pod Library'!J50</f>
        <v>1</v>
      </c>
      <c r="K39" s="19">
        <f>SUMIFS('Pod Plan'!$E:$E,'Pod Plan'!$B:$B,$A39,'Pod Plan'!$C:$C,$C39)</f>
        <v>2</v>
      </c>
      <c r="L39" s="56">
        <f t="shared" si="1"/>
        <v>2</v>
      </c>
      <c r="M39" s="60">
        <f>L39*INDEX('Logic Tree'!$J$73:$N$74,MATCH(H39,'Logic Tree'!$I$73:$I$74,0),MATCH(G39,'Logic Tree'!$J$72:$N$72,0))</f>
        <v>0.84</v>
      </c>
    </row>
    <row r="40" spans="1:13" ht="14.25" hidden="1" customHeight="1">
      <c r="A40" s="33">
        <v>2</v>
      </c>
      <c r="B40" s="32" t="s">
        <v>767</v>
      </c>
      <c r="C40" s="32" t="s">
        <v>186</v>
      </c>
      <c r="D40" s="32" t="s">
        <v>567</v>
      </c>
      <c r="E40" s="62" t="str">
        <f>'Pod Library'!E51</f>
        <v>Quality Engineer (SDET)</v>
      </c>
      <c r="F40" s="63" t="str">
        <f>'Pod Library'!F51</f>
        <v>TEST</v>
      </c>
      <c r="G40" s="63" t="str">
        <f>'Pod Library'!G51</f>
        <v>E3</v>
      </c>
      <c r="H40" s="63" t="str">
        <f>'Pod Library'!H51</f>
        <v>OFF</v>
      </c>
      <c r="I40" s="63" t="str">
        <f>'Pod Library'!I51</f>
        <v>FTC</v>
      </c>
      <c r="J40" s="19">
        <f>'Pod Library'!J51</f>
        <v>1</v>
      </c>
      <c r="K40" s="19">
        <f>SUMIFS('Pod Plan'!$E:$E,'Pod Plan'!$B:$B,$A40,'Pod Plan'!$C:$C,$C40)</f>
        <v>2</v>
      </c>
      <c r="L40" s="56">
        <f t="shared" si="1"/>
        <v>2</v>
      </c>
      <c r="M40" s="60">
        <f>L40*INDEX('Logic Tree'!$J$73:$N$74,MATCH(H40,'Logic Tree'!$I$73:$I$74,0),MATCH(G40,'Logic Tree'!$J$72:$N$72,0))</f>
        <v>0.84</v>
      </c>
    </row>
    <row r="41" spans="1:13" ht="14.25" hidden="1" customHeight="1">
      <c r="A41" s="33">
        <v>2</v>
      </c>
      <c r="B41" s="32" t="s">
        <v>767</v>
      </c>
      <c r="C41" s="32" t="s">
        <v>186</v>
      </c>
      <c r="D41" s="32" t="s">
        <v>580</v>
      </c>
      <c r="E41" s="62" t="str">
        <f>'Pod Library'!E53</f>
        <v>Pod Lead / AI Orchestrator</v>
      </c>
      <c r="F41" s="63" t="str">
        <f>'Pod Library'!F53</f>
        <v>LEAD</v>
      </c>
      <c r="G41" s="63" t="str">
        <f>'Pod Library'!G53</f>
        <v>E4</v>
      </c>
      <c r="H41" s="63" t="str">
        <f>'Pod Library'!H53</f>
        <v>OFF</v>
      </c>
      <c r="I41" s="63" t="str">
        <f>'Pod Library'!I53</f>
        <v>FTC</v>
      </c>
      <c r="J41" s="19">
        <f>'Pod Library'!J53</f>
        <v>1</v>
      </c>
      <c r="K41" s="19">
        <f>SUMIFS('Pod Plan'!$F:$F,'Pod Plan'!$B:$B,$A41,'Pod Plan'!$C:$C,$C41)</f>
        <v>1</v>
      </c>
      <c r="L41" s="56">
        <f t="shared" si="1"/>
        <v>1</v>
      </c>
      <c r="M41" s="60">
        <f>L41*INDEX('Logic Tree'!$J$73:$N$74,MATCH(H41,'Logic Tree'!$I$73:$I$74,0),MATCH(G41,'Logic Tree'!$J$72:$N$72,0))</f>
        <v>0.6</v>
      </c>
    </row>
    <row r="42" spans="1:13" ht="14.25" hidden="1" customHeight="1">
      <c r="A42" s="33">
        <v>2</v>
      </c>
      <c r="B42" s="32" t="s">
        <v>767</v>
      </c>
      <c r="C42" s="32" t="s">
        <v>186</v>
      </c>
      <c r="D42" s="32" t="s">
        <v>580</v>
      </c>
      <c r="E42" s="62" t="str">
        <f>'Pod Library'!E54</f>
        <v>AI-assisted Developer</v>
      </c>
      <c r="F42" s="63" t="str">
        <f>'Pod Library'!F54</f>
        <v>DEV</v>
      </c>
      <c r="G42" s="63" t="str">
        <f>'Pod Library'!G54</f>
        <v>E3</v>
      </c>
      <c r="H42" s="63" t="str">
        <f>'Pod Library'!H54</f>
        <v>OFF</v>
      </c>
      <c r="I42" s="63" t="str">
        <f>'Pod Library'!I54</f>
        <v>FTC</v>
      </c>
      <c r="J42" s="19">
        <f>'Pod Library'!J54</f>
        <v>1</v>
      </c>
      <c r="K42" s="19">
        <f>SUMIFS('Pod Plan'!$F:$F,'Pod Plan'!$B:$B,$A42,'Pod Plan'!$C:$C,$C42)</f>
        <v>1</v>
      </c>
      <c r="L42" s="56">
        <f t="shared" si="1"/>
        <v>1</v>
      </c>
      <c r="M42" s="60">
        <f>L42*INDEX('Logic Tree'!$J$73:$N$74,MATCH(H42,'Logic Tree'!$I$73:$I$74,0),MATCH(G42,'Logic Tree'!$J$72:$N$72,0))</f>
        <v>0.42</v>
      </c>
    </row>
    <row r="43" spans="1:13" ht="14.25" hidden="1" customHeight="1">
      <c r="A43" s="33">
        <v>2</v>
      </c>
      <c r="B43" s="32" t="s">
        <v>767</v>
      </c>
      <c r="C43" s="32" t="s">
        <v>186</v>
      </c>
      <c r="D43" s="32" t="s">
        <v>580</v>
      </c>
      <c r="E43" s="62" t="str">
        <f>'Pod Library'!E55</f>
        <v>QA Engineer</v>
      </c>
      <c r="F43" s="63" t="str">
        <f>'Pod Library'!F55</f>
        <v>TEST</v>
      </c>
      <c r="G43" s="63" t="str">
        <f>'Pod Library'!G55</f>
        <v>E2</v>
      </c>
      <c r="H43" s="63" t="str">
        <f>'Pod Library'!H55</f>
        <v>OFF</v>
      </c>
      <c r="I43" s="63" t="str">
        <f>'Pod Library'!I55</f>
        <v>FTC</v>
      </c>
      <c r="J43" s="19">
        <f>'Pod Library'!J55</f>
        <v>1</v>
      </c>
      <c r="K43" s="19">
        <f>SUMIFS('Pod Plan'!$F:$F,'Pod Plan'!$B:$B,$A43,'Pod Plan'!$C:$C,$C43)</f>
        <v>1</v>
      </c>
      <c r="L43" s="56">
        <f t="shared" si="1"/>
        <v>1</v>
      </c>
      <c r="M43" s="60">
        <f>L43*INDEX('Logic Tree'!$J$73:$N$74,MATCH(H43,'Logic Tree'!$I$73:$I$74,0),MATCH(G43,'Logic Tree'!$J$72:$N$72,0))</f>
        <v>0.3</v>
      </c>
    </row>
    <row r="44" spans="1:13" ht="14.25" hidden="1" customHeight="1">
      <c r="A44" s="33">
        <v>2</v>
      </c>
      <c r="B44" s="32" t="s">
        <v>767</v>
      </c>
      <c r="C44" s="32" t="s">
        <v>196</v>
      </c>
      <c r="D44" s="32" t="s">
        <v>580</v>
      </c>
      <c r="E44" s="62" t="str">
        <f>'Pod Library'!E58</f>
        <v>Pod Lead / AI Orchestrator</v>
      </c>
      <c r="F44" s="63" t="str">
        <f>'Pod Library'!F58</f>
        <v>LEAD</v>
      </c>
      <c r="G44" s="63" t="str">
        <f>'Pod Library'!G58</f>
        <v>E4</v>
      </c>
      <c r="H44" s="63" t="str">
        <f>'Pod Library'!H58</f>
        <v>OFF</v>
      </c>
      <c r="I44" s="63" t="str">
        <f>'Pod Library'!I58</f>
        <v>FTC</v>
      </c>
      <c r="J44" s="19">
        <f>'Pod Library'!J58</f>
        <v>1</v>
      </c>
      <c r="K44" s="19">
        <f>SUMIFS('Pod Plan'!$F:$F,'Pod Plan'!$B:$B,$A44,'Pod Plan'!$C:$C,$C44)</f>
        <v>1</v>
      </c>
      <c r="L44" s="56">
        <f t="shared" si="1"/>
        <v>1</v>
      </c>
      <c r="M44" s="60">
        <f>L44*INDEX('Logic Tree'!$J$73:$N$74,MATCH(H44,'Logic Tree'!$I$73:$I$74,0),MATCH(G44,'Logic Tree'!$J$72:$N$72,0))</f>
        <v>0.6</v>
      </c>
    </row>
    <row r="45" spans="1:13" ht="14.25" hidden="1" customHeight="1">
      <c r="A45" s="33">
        <v>2</v>
      </c>
      <c r="B45" s="32" t="s">
        <v>767</v>
      </c>
      <c r="C45" s="32" t="s">
        <v>196</v>
      </c>
      <c r="D45" s="32" t="s">
        <v>580</v>
      </c>
      <c r="E45" s="62" t="str">
        <f>'Pod Library'!E59</f>
        <v>AI-assisted Developer — MGCC Hyderabad</v>
      </c>
      <c r="F45" s="63" t="str">
        <f>'Pod Library'!F59</f>
        <v>DEV</v>
      </c>
      <c r="G45" s="63" t="str">
        <f>'Pod Library'!G59</f>
        <v>E3</v>
      </c>
      <c r="H45" s="63" t="str">
        <f>'Pod Library'!H59</f>
        <v>OFF</v>
      </c>
      <c r="I45" s="63" t="str">
        <f>'Pod Library'!I59</f>
        <v>MGCC</v>
      </c>
      <c r="J45" s="19">
        <f>'Pod Library'!J59</f>
        <v>1</v>
      </c>
      <c r="K45" s="19">
        <f>SUMIFS('Pod Plan'!$F:$F,'Pod Plan'!$B:$B,$A45,'Pod Plan'!$C:$C,$C45)</f>
        <v>1</v>
      </c>
      <c r="L45" s="56">
        <f t="shared" si="1"/>
        <v>1</v>
      </c>
      <c r="M45" s="60">
        <f>L45*INDEX('Logic Tree'!$J$73:$N$74,MATCH(H45,'Logic Tree'!$I$73:$I$74,0),MATCH(G45,'Logic Tree'!$J$72:$N$72,0))</f>
        <v>0.42</v>
      </c>
    </row>
    <row r="46" spans="1:13" ht="14.25" customHeight="1">
      <c r="A46" s="33">
        <v>3</v>
      </c>
      <c r="B46" s="32" t="s">
        <v>767</v>
      </c>
      <c r="C46" s="32" t="s">
        <v>176</v>
      </c>
      <c r="D46" s="32" t="s">
        <v>567</v>
      </c>
      <c r="E46" s="62" t="str">
        <f>'Pod Library'!E62</f>
        <v>Product Owner</v>
      </c>
      <c r="F46" s="63" t="str">
        <f>'Pod Library'!F62</f>
        <v>LEAD</v>
      </c>
      <c r="G46" s="63" t="str">
        <f>'Pod Library'!G62</f>
        <v>E4</v>
      </c>
      <c r="H46" s="63" t="str">
        <f>'Pod Library'!H62</f>
        <v>ON</v>
      </c>
      <c r="I46" s="63" t="str">
        <f>'Pod Library'!I62</f>
        <v>FTE</v>
      </c>
      <c r="J46" s="19">
        <f>'Pod Library'!J62</f>
        <v>1</v>
      </c>
      <c r="K46" s="19">
        <f>SUMIFS('Pod Plan'!$E:$E,'Pod Plan'!$B:$B,$A46,'Pod Plan'!$C:$C,$C46)</f>
        <v>3</v>
      </c>
      <c r="L46" s="56">
        <f t="shared" si="1"/>
        <v>3</v>
      </c>
      <c r="M46" s="60">
        <f>L46*INDEX('Logic Tree'!$J$73:$N$74,MATCH(H46,'Logic Tree'!$I$73:$I$74,0),MATCH(G46,'Logic Tree'!$J$72:$N$72,0))</f>
        <v>5.5500000000000007</v>
      </c>
    </row>
    <row r="47" spans="1:13" ht="14.25" customHeight="1">
      <c r="A47" s="33">
        <v>3</v>
      </c>
      <c r="B47" s="32" t="s">
        <v>767</v>
      </c>
      <c r="C47" s="32" t="s">
        <v>176</v>
      </c>
      <c r="D47" s="32" t="s">
        <v>567</v>
      </c>
      <c r="E47" s="62" t="str">
        <f>'Pod Library'!E63</f>
        <v>Incentive Compensation SME</v>
      </c>
      <c r="F47" s="63" t="str">
        <f>'Pod Library'!F63</f>
        <v>BA</v>
      </c>
      <c r="G47" s="63" t="str">
        <f>'Pod Library'!G63</f>
        <v>E4</v>
      </c>
      <c r="H47" s="63" t="str">
        <f>'Pod Library'!H63</f>
        <v>ON</v>
      </c>
      <c r="I47" s="63" t="str">
        <f>'Pod Library'!I63</f>
        <v>FTE</v>
      </c>
      <c r="J47" s="19">
        <f>'Pod Library'!J63</f>
        <v>1</v>
      </c>
      <c r="K47" s="19">
        <f>SUMIFS('Pod Plan'!$E:$E,'Pod Plan'!$B:$B,$A47,'Pod Plan'!$C:$C,$C47)</f>
        <v>3</v>
      </c>
      <c r="L47" s="56">
        <f t="shared" si="1"/>
        <v>3</v>
      </c>
      <c r="M47" s="60">
        <f>L47*INDEX('Logic Tree'!$J$73:$N$74,MATCH(H47,'Logic Tree'!$I$73:$I$74,0),MATCH(G47,'Logic Tree'!$J$72:$N$72,0))</f>
        <v>5.5500000000000007</v>
      </c>
    </row>
    <row r="48" spans="1:13" ht="14.25" customHeight="1">
      <c r="A48" s="33">
        <v>3</v>
      </c>
      <c r="B48" s="32" t="s">
        <v>767</v>
      </c>
      <c r="C48" s="32" t="s">
        <v>176</v>
      </c>
      <c r="D48" s="32" t="s">
        <v>567</v>
      </c>
      <c r="E48" s="62" t="str">
        <f>'Pod Library'!E64</f>
        <v>Application Owner (Technical)</v>
      </c>
      <c r="F48" s="63" t="str">
        <f>'Pod Library'!F64</f>
        <v>ENG</v>
      </c>
      <c r="G48" s="63" t="str">
        <f>'Pod Library'!G64</f>
        <v>E4</v>
      </c>
      <c r="H48" s="63" t="str">
        <f>'Pod Library'!H64</f>
        <v>ON</v>
      </c>
      <c r="I48" s="63" t="str">
        <f>'Pod Library'!I64</f>
        <v>FTE</v>
      </c>
      <c r="J48" s="19">
        <f>'Pod Library'!J64</f>
        <v>1</v>
      </c>
      <c r="K48" s="19">
        <f>SUMIFS('Pod Plan'!$E:$E,'Pod Plan'!$B:$B,$A48,'Pod Plan'!$C:$C,$C48)</f>
        <v>3</v>
      </c>
      <c r="L48" s="56">
        <f t="shared" si="1"/>
        <v>3</v>
      </c>
      <c r="M48" s="60">
        <f>L48*INDEX('Logic Tree'!$J$73:$N$74,MATCH(H48,'Logic Tree'!$I$73:$I$74,0),MATCH(G48,'Logic Tree'!$J$72:$N$72,0))</f>
        <v>5.5500000000000007</v>
      </c>
    </row>
    <row r="49" spans="1:13" ht="14.25" hidden="1" customHeight="1">
      <c r="A49" s="33">
        <v>3</v>
      </c>
      <c r="B49" s="32" t="s">
        <v>767</v>
      </c>
      <c r="C49" s="32" t="s">
        <v>176</v>
      </c>
      <c r="D49" s="32" t="s">
        <v>567</v>
      </c>
      <c r="E49" s="62" t="str">
        <f>'Pod Library'!E65</f>
        <v>AI Orchestrator / Developer</v>
      </c>
      <c r="F49" s="63" t="str">
        <f>'Pod Library'!F65</f>
        <v>ENG</v>
      </c>
      <c r="G49" s="63" t="str">
        <f>'Pod Library'!G65</f>
        <v>E3</v>
      </c>
      <c r="H49" s="63" t="str">
        <f>'Pod Library'!H65</f>
        <v>OFF</v>
      </c>
      <c r="I49" s="63" t="str">
        <f>'Pod Library'!I65</f>
        <v>FTC</v>
      </c>
      <c r="J49" s="19">
        <f>'Pod Library'!J65</f>
        <v>1</v>
      </c>
      <c r="K49" s="19">
        <f>SUMIFS('Pod Plan'!$E:$E,'Pod Plan'!$B:$B,$A49,'Pod Plan'!$C:$C,$C49)</f>
        <v>3</v>
      </c>
      <c r="L49" s="56">
        <f t="shared" si="1"/>
        <v>3</v>
      </c>
      <c r="M49" s="60">
        <f>L49*INDEX('Logic Tree'!$J$73:$N$74,MATCH(H49,'Logic Tree'!$I$73:$I$74,0),MATCH(G49,'Logic Tree'!$J$72:$N$72,0))</f>
        <v>1.26</v>
      </c>
    </row>
    <row r="50" spans="1:13" ht="14.25" hidden="1" customHeight="1">
      <c r="A50" s="33">
        <v>3</v>
      </c>
      <c r="B50" s="32" t="s">
        <v>767</v>
      </c>
      <c r="C50" s="32" t="s">
        <v>176</v>
      </c>
      <c r="D50" s="32" t="s">
        <v>580</v>
      </c>
      <c r="E50" s="62" t="str">
        <f>'Pod Library'!E67</f>
        <v>AI Orchestrator</v>
      </c>
      <c r="F50" s="63" t="str">
        <f>'Pod Library'!F67</f>
        <v>ENG</v>
      </c>
      <c r="G50" s="63" t="str">
        <f>'Pod Library'!G67</f>
        <v>E4</v>
      </c>
      <c r="H50" s="63" t="str">
        <f>'Pod Library'!H67</f>
        <v>OFF</v>
      </c>
      <c r="I50" s="63" t="str">
        <f>'Pod Library'!I67</f>
        <v>FTC</v>
      </c>
      <c r="J50" s="19">
        <f>'Pod Library'!J67</f>
        <v>1</v>
      </c>
      <c r="K50" s="19">
        <f>SUMIFS('Pod Plan'!$F:$F,'Pod Plan'!$B:$B,$A50,'Pod Plan'!$C:$C,$C50)</f>
        <v>2</v>
      </c>
      <c r="L50" s="56">
        <f t="shared" si="1"/>
        <v>2</v>
      </c>
      <c r="M50" s="60">
        <f>L50*INDEX('Logic Tree'!$J$73:$N$74,MATCH(H50,'Logic Tree'!$I$73:$I$74,0),MATCH(G50,'Logic Tree'!$J$72:$N$72,0))</f>
        <v>1.2</v>
      </c>
    </row>
    <row r="51" spans="1:13" ht="14.25" hidden="1" customHeight="1">
      <c r="A51" s="33">
        <v>3</v>
      </c>
      <c r="B51" s="32" t="s">
        <v>767</v>
      </c>
      <c r="C51" s="32" t="s">
        <v>176</v>
      </c>
      <c r="D51" s="32" t="s">
        <v>580</v>
      </c>
      <c r="E51" s="62" t="str">
        <f>'Pod Library'!E68</f>
        <v>AI-assisted Developer</v>
      </c>
      <c r="F51" s="63" t="str">
        <f>'Pod Library'!F68</f>
        <v>DEV</v>
      </c>
      <c r="G51" s="63" t="str">
        <f>'Pod Library'!G68</f>
        <v>E3</v>
      </c>
      <c r="H51" s="63" t="str">
        <f>'Pod Library'!H68</f>
        <v>OFF</v>
      </c>
      <c r="I51" s="63" t="str">
        <f>'Pod Library'!I68</f>
        <v>FTC</v>
      </c>
      <c r="J51" s="19">
        <f>'Pod Library'!J68</f>
        <v>1</v>
      </c>
      <c r="K51" s="19">
        <f>SUMIFS('Pod Plan'!$F:$F,'Pod Plan'!$B:$B,$A51,'Pod Plan'!$C:$C,$C51)</f>
        <v>2</v>
      </c>
      <c r="L51" s="56">
        <f t="shared" si="1"/>
        <v>2</v>
      </c>
      <c r="M51" s="60">
        <f>L51*INDEX('Logic Tree'!$J$73:$N$74,MATCH(H51,'Logic Tree'!$I$73:$I$74,0),MATCH(G51,'Logic Tree'!$J$72:$N$72,0))</f>
        <v>0.84</v>
      </c>
    </row>
    <row r="52" spans="1:13" ht="14.25" customHeight="1">
      <c r="A52" s="33">
        <v>3</v>
      </c>
      <c r="B52" s="32" t="s">
        <v>767</v>
      </c>
      <c r="C52" s="32" t="s">
        <v>186</v>
      </c>
      <c r="D52" s="32" t="s">
        <v>567</v>
      </c>
      <c r="E52" s="62" t="str">
        <f>'Pod Library'!E71</f>
        <v>Product Owner</v>
      </c>
      <c r="F52" s="63" t="str">
        <f>'Pod Library'!F71</f>
        <v>LEAD</v>
      </c>
      <c r="G52" s="63" t="str">
        <f>'Pod Library'!G71</f>
        <v>E4</v>
      </c>
      <c r="H52" s="63" t="str">
        <f>'Pod Library'!H71</f>
        <v>ON</v>
      </c>
      <c r="I52" s="63" t="str">
        <f>'Pod Library'!I71</f>
        <v>FTE</v>
      </c>
      <c r="J52" s="19">
        <f>'Pod Library'!J71</f>
        <v>1</v>
      </c>
      <c r="K52" s="19">
        <f>SUMIFS('Pod Plan'!$E:$E,'Pod Plan'!$B:$B,$A52,'Pod Plan'!$C:$C,$C52)</f>
        <v>2</v>
      </c>
      <c r="L52" s="56">
        <f t="shared" si="1"/>
        <v>2</v>
      </c>
      <c r="M52" s="60">
        <f>L52*INDEX('Logic Tree'!$J$73:$N$74,MATCH(H52,'Logic Tree'!$I$73:$I$74,0),MATCH(G52,'Logic Tree'!$J$72:$N$72,0))</f>
        <v>3.7</v>
      </c>
    </row>
    <row r="53" spans="1:13" ht="14.25" customHeight="1">
      <c r="A53" s="33">
        <v>3</v>
      </c>
      <c r="B53" s="32" t="s">
        <v>767</v>
      </c>
      <c r="C53" s="32" t="s">
        <v>186</v>
      </c>
      <c r="D53" s="32" t="s">
        <v>567</v>
      </c>
      <c r="E53" s="62" t="str">
        <f>'Pod Library'!E72</f>
        <v>Compensation Administration SME</v>
      </c>
      <c r="F53" s="63" t="str">
        <f>'Pod Library'!F72</f>
        <v>BA</v>
      </c>
      <c r="G53" s="63" t="str">
        <f>'Pod Library'!G72</f>
        <v>E4</v>
      </c>
      <c r="H53" s="63" t="str">
        <f>'Pod Library'!H72</f>
        <v>ON</v>
      </c>
      <c r="I53" s="63" t="str">
        <f>'Pod Library'!I72</f>
        <v>FTE</v>
      </c>
      <c r="J53" s="19">
        <f>'Pod Library'!J72</f>
        <v>1</v>
      </c>
      <c r="K53" s="19">
        <f>SUMIFS('Pod Plan'!$E:$E,'Pod Plan'!$B:$B,$A53,'Pod Plan'!$C:$C,$C53)</f>
        <v>2</v>
      </c>
      <c r="L53" s="56">
        <f t="shared" si="1"/>
        <v>2</v>
      </c>
      <c r="M53" s="60">
        <f>L53*INDEX('Logic Tree'!$J$73:$N$74,MATCH(H53,'Logic Tree'!$I$73:$I$74,0),MATCH(G53,'Logic Tree'!$J$72:$N$72,0))</f>
        <v>3.7</v>
      </c>
    </row>
    <row r="54" spans="1:13" ht="14.25" customHeight="1">
      <c r="A54" s="33">
        <v>3</v>
      </c>
      <c r="B54" s="33" t="s">
        <v>767</v>
      </c>
      <c r="C54" s="33" t="s">
        <v>186</v>
      </c>
      <c r="D54" s="33" t="s">
        <v>567</v>
      </c>
      <c r="E54" s="62" t="str">
        <f>'Pod Library'!E73</f>
        <v>Application Owner (Technical)</v>
      </c>
      <c r="F54" s="63" t="str">
        <f>'Pod Library'!F73</f>
        <v>ENG</v>
      </c>
      <c r="G54" s="63" t="str">
        <f>'Pod Library'!G73</f>
        <v>E4</v>
      </c>
      <c r="H54" s="63" t="str">
        <f>'Pod Library'!H73</f>
        <v>ON</v>
      </c>
      <c r="I54" s="63" t="str">
        <f>'Pod Library'!I73</f>
        <v>FTE</v>
      </c>
      <c r="J54" s="19">
        <f>'Pod Library'!J73</f>
        <v>1</v>
      </c>
      <c r="K54" s="19">
        <f>SUMIFS('Pod Plan'!$E:$E,'Pod Plan'!$B:$B,$A54,'Pod Plan'!$C:$C,$C54)</f>
        <v>2</v>
      </c>
      <c r="L54" s="56">
        <f t="shared" si="1"/>
        <v>2</v>
      </c>
      <c r="M54" s="60">
        <f>L54*INDEX('Logic Tree'!$J$73:$N$74,MATCH(H54,'Logic Tree'!$I$73:$I$74,0),MATCH(G54,'Logic Tree'!$J$72:$N$72,0))</f>
        <v>3.7</v>
      </c>
    </row>
    <row r="55" spans="1:13" ht="14.25" hidden="1" customHeight="1">
      <c r="A55" s="33">
        <v>3</v>
      </c>
      <c r="B55" s="33" t="s">
        <v>767</v>
      </c>
      <c r="C55" s="33" t="s">
        <v>186</v>
      </c>
      <c r="D55" s="33" t="s">
        <v>567</v>
      </c>
      <c r="E55" s="62" t="str">
        <f>'Pod Library'!E74</f>
        <v>AI Orchestrator / Developer</v>
      </c>
      <c r="F55" s="63" t="str">
        <f>'Pod Library'!F74</f>
        <v>ENG</v>
      </c>
      <c r="G55" s="63" t="str">
        <f>'Pod Library'!G74</f>
        <v>E3</v>
      </c>
      <c r="H55" s="63" t="str">
        <f>'Pod Library'!H74</f>
        <v>OFF</v>
      </c>
      <c r="I55" s="63" t="str">
        <f>'Pod Library'!I74</f>
        <v>FTC</v>
      </c>
      <c r="J55" s="19">
        <f>'Pod Library'!J74</f>
        <v>1</v>
      </c>
      <c r="K55" s="19">
        <f>SUMIFS('Pod Plan'!$E:$E,'Pod Plan'!$B:$B,$A55,'Pod Plan'!$C:$C,$C55)</f>
        <v>2</v>
      </c>
      <c r="L55" s="56">
        <f t="shared" si="1"/>
        <v>2</v>
      </c>
      <c r="M55" s="60">
        <f>L55*INDEX('Logic Tree'!$J$73:$N$74,MATCH(H55,'Logic Tree'!$I$73:$I$74,0),MATCH(G55,'Logic Tree'!$J$72:$N$72,0))</f>
        <v>0.84</v>
      </c>
    </row>
    <row r="56" spans="1:13" ht="14.25" hidden="1" customHeight="1">
      <c r="A56" s="33">
        <v>3</v>
      </c>
      <c r="B56" s="33" t="s">
        <v>767</v>
      </c>
      <c r="C56" s="33" t="s">
        <v>186</v>
      </c>
      <c r="D56" s="33" t="s">
        <v>580</v>
      </c>
      <c r="E56" s="62" t="str">
        <f>'Pod Library'!E76</f>
        <v>AI Orchestrator</v>
      </c>
      <c r="F56" s="63" t="str">
        <f>'Pod Library'!F76</f>
        <v>ENG</v>
      </c>
      <c r="G56" s="63" t="str">
        <f>'Pod Library'!G76</f>
        <v>E4</v>
      </c>
      <c r="H56" s="63" t="str">
        <f>'Pod Library'!H76</f>
        <v>OFF</v>
      </c>
      <c r="I56" s="63" t="str">
        <f>'Pod Library'!I76</f>
        <v>FTC</v>
      </c>
      <c r="J56" s="19">
        <f>'Pod Library'!J76</f>
        <v>1</v>
      </c>
      <c r="K56" s="19">
        <f>SUMIFS('Pod Plan'!$F:$F,'Pod Plan'!$B:$B,$A56,'Pod Plan'!$C:$C,$C56)</f>
        <v>1</v>
      </c>
      <c r="L56" s="56">
        <f t="shared" si="1"/>
        <v>1</v>
      </c>
      <c r="M56" s="60">
        <f>L56*INDEX('Logic Tree'!$J$73:$N$74,MATCH(H56,'Logic Tree'!$I$73:$I$74,0),MATCH(G56,'Logic Tree'!$J$72:$N$72,0))</f>
        <v>0.6</v>
      </c>
    </row>
    <row r="57" spans="1:13" ht="14.25" hidden="1" customHeight="1">
      <c r="A57" s="33">
        <v>3</v>
      </c>
      <c r="B57" s="33" t="s">
        <v>767</v>
      </c>
      <c r="C57" s="33" t="s">
        <v>186</v>
      </c>
      <c r="D57" s="33" t="s">
        <v>580</v>
      </c>
      <c r="E57" s="62" t="str">
        <f>'Pod Library'!E77</f>
        <v>AI-assisted Developer</v>
      </c>
      <c r="F57" s="63" t="str">
        <f>'Pod Library'!F77</f>
        <v>DEV</v>
      </c>
      <c r="G57" s="63" t="str">
        <f>'Pod Library'!G77</f>
        <v>E3</v>
      </c>
      <c r="H57" s="63" t="str">
        <f>'Pod Library'!H77</f>
        <v>OFF</v>
      </c>
      <c r="I57" s="63" t="str">
        <f>'Pod Library'!I77</f>
        <v>FTC</v>
      </c>
      <c r="J57" s="19">
        <f>'Pod Library'!J77</f>
        <v>1</v>
      </c>
      <c r="K57" s="19">
        <f>SUMIFS('Pod Plan'!$F:$F,'Pod Plan'!$B:$B,$A57,'Pod Plan'!$C:$C,$C57)</f>
        <v>1</v>
      </c>
      <c r="L57" s="56">
        <f t="shared" si="1"/>
        <v>1</v>
      </c>
      <c r="M57" s="60">
        <f>L57*INDEX('Logic Tree'!$J$73:$N$74,MATCH(H57,'Logic Tree'!$I$73:$I$74,0),MATCH(G57,'Logic Tree'!$J$72:$N$72,0))</f>
        <v>0.42</v>
      </c>
    </row>
    <row r="58" spans="1:13" ht="14.25" hidden="1" customHeight="1">
      <c r="A58" s="33">
        <v>3</v>
      </c>
      <c r="B58" s="33" t="s">
        <v>767</v>
      </c>
      <c r="C58" s="33" t="s">
        <v>196</v>
      </c>
      <c r="D58" s="33" t="s">
        <v>580</v>
      </c>
      <c r="E58" s="62" t="str">
        <f>'Pod Library'!E80</f>
        <v>AI Orchestrator — MGCC Hyderabad</v>
      </c>
      <c r="F58" s="63" t="str">
        <f>'Pod Library'!F80</f>
        <v>ENG</v>
      </c>
      <c r="G58" s="63" t="str">
        <f>'Pod Library'!G80</f>
        <v>E3</v>
      </c>
      <c r="H58" s="63" t="str">
        <f>'Pod Library'!H80</f>
        <v>OFF</v>
      </c>
      <c r="I58" s="63" t="str">
        <f>'Pod Library'!I80</f>
        <v>MGCC</v>
      </c>
      <c r="J58" s="19">
        <f>'Pod Library'!J80</f>
        <v>1</v>
      </c>
      <c r="K58" s="19">
        <f>SUMIFS('Pod Plan'!$F:$F,'Pod Plan'!$B:$B,$A58,'Pod Plan'!$C:$C,$C58)</f>
        <v>1</v>
      </c>
      <c r="L58" s="56">
        <f t="shared" si="1"/>
        <v>1</v>
      </c>
      <c r="M58" s="60">
        <f>L58*INDEX('Logic Tree'!$J$73:$N$74,MATCH(H58,'Logic Tree'!$I$73:$I$74,0),MATCH(G58,'Logic Tree'!$J$72:$N$72,0))</f>
        <v>0.42</v>
      </c>
    </row>
    <row r="59" spans="1:13" ht="14.25" hidden="1" customHeight="1">
      <c r="A59" s="33">
        <f>'Horizontal Teams'!B5</f>
        <v>1</v>
      </c>
      <c r="B59" s="33" t="s">
        <v>768</v>
      </c>
      <c r="C59" s="33" t="str">
        <f>'Horizontal Teams'!C5</f>
        <v>H1</v>
      </c>
      <c r="D59" s="33" t="s">
        <v>768</v>
      </c>
      <c r="E59" t="str">
        <f>'Horizontal Teams'!E5</f>
        <v>Compensation Plan Administration Lead</v>
      </c>
      <c r="F59" t="str">
        <f>'Horizontal Teams'!F5</f>
        <v>LEAD</v>
      </c>
      <c r="G59" t="str">
        <f>'Horizontal Teams'!G5</f>
        <v>E4</v>
      </c>
      <c r="H59" t="str">
        <f>'Horizontal Teams'!H5</f>
        <v>ON</v>
      </c>
      <c r="I59" t="str">
        <f>'Horizontal Teams'!I5</f>
        <v>FTC</v>
      </c>
      <c r="J59" s="64">
        <f>'Horizontal Teams'!J5</f>
        <v>1</v>
      </c>
      <c r="K59" s="64">
        <v>1</v>
      </c>
      <c r="L59" s="64">
        <f t="shared" ref="L59:L70" si="2">IF(ISNUMBER(J59),J59*K59,0)</f>
        <v>1</v>
      </c>
      <c r="M59">
        <f>IFERROR(L59*INDEX('Logic Tree'!$J$73:$N$74,MATCH(H59,'Logic Tree'!$I$73:$I$74,0),MATCH(G59,'Logic Tree'!$J$72:$N$72,0)),0)</f>
        <v>1.85</v>
      </c>
    </row>
    <row r="60" spans="1:13" ht="14.25" hidden="1" customHeight="1">
      <c r="A60" s="33">
        <f>'Horizontal Teams'!B7</f>
        <v>1</v>
      </c>
      <c r="B60" s="33" t="s">
        <v>768</v>
      </c>
      <c r="C60" s="33" t="str">
        <f>'Horizontal Teams'!C7</f>
        <v>H2</v>
      </c>
      <c r="D60" s="33" t="s">
        <v>768</v>
      </c>
      <c r="E60" t="str">
        <f>'Horizontal Teams'!E7</f>
        <v>Calculation QA &amp; Audit Analyst</v>
      </c>
      <c r="F60" t="str">
        <f>'Horizontal Teams'!F7</f>
        <v>TEST</v>
      </c>
      <c r="G60" t="str">
        <f>'Horizontal Teams'!G7</f>
        <v>E3</v>
      </c>
      <c r="H60" t="str">
        <f>'Horizontal Teams'!H7</f>
        <v>OFF</v>
      </c>
      <c r="I60" t="str">
        <f>'Horizontal Teams'!I7</f>
        <v>FTC</v>
      </c>
      <c r="J60" s="64">
        <f>'Horizontal Teams'!J7</f>
        <v>1</v>
      </c>
      <c r="K60" s="64">
        <v>1</v>
      </c>
      <c r="L60" s="64">
        <f t="shared" si="2"/>
        <v>1</v>
      </c>
      <c r="M60">
        <f>IFERROR(L60*INDEX('Logic Tree'!$J$73:$N$74,MATCH(H60,'Logic Tree'!$I$73:$I$74,0),MATCH(G60,'Logic Tree'!$J$72:$N$72,0)),0)</f>
        <v>0.42</v>
      </c>
    </row>
    <row r="61" spans="1:13" ht="14.25" hidden="1" customHeight="1">
      <c r="A61" s="33">
        <f>'Horizontal Teams'!B9</f>
        <v>1</v>
      </c>
      <c r="B61" s="33" t="s">
        <v>768</v>
      </c>
      <c r="C61" s="33" t="str">
        <f>'Horizontal Teams'!C9</f>
        <v>H3</v>
      </c>
      <c r="D61" s="33" t="s">
        <v>768</v>
      </c>
      <c r="E61" t="str">
        <f>'Horizontal Teams'!E9</f>
        <v>Compliance &amp; Regulatory Analyst (Fee &amp; Commission Rules)</v>
      </c>
      <c r="F61" t="str">
        <f>'Horizontal Teams'!F9</f>
        <v>BA</v>
      </c>
      <c r="G61" t="str">
        <f>'Horizontal Teams'!G9</f>
        <v>E3</v>
      </c>
      <c r="H61" t="str">
        <f>'Horizontal Teams'!H9</f>
        <v>ON</v>
      </c>
      <c r="I61" t="str">
        <f>'Horizontal Teams'!I9</f>
        <v>FTC</v>
      </c>
      <c r="J61" s="64">
        <f>'Horizontal Teams'!J9</f>
        <v>1</v>
      </c>
      <c r="K61" s="64">
        <v>1</v>
      </c>
      <c r="L61" s="64">
        <f t="shared" si="2"/>
        <v>1</v>
      </c>
      <c r="M61">
        <f>IFERROR(L61*INDEX('Logic Tree'!$J$73:$N$74,MATCH(H61,'Logic Tree'!$I$73:$I$74,0),MATCH(G61,'Logic Tree'!$J$72:$N$72,0)),0)</f>
        <v>1.35</v>
      </c>
    </row>
    <row r="62" spans="1:13" ht="14.25" hidden="1" customHeight="1">
      <c r="A62" s="33">
        <f>'Horizontal Teams'!B11</f>
        <v>1</v>
      </c>
      <c r="B62" s="33" t="s">
        <v>768</v>
      </c>
      <c r="C62" s="33" t="str">
        <f>'Horizontal Teams'!C11</f>
        <v>H4</v>
      </c>
      <c r="D62" s="33" t="s">
        <v>768</v>
      </c>
      <c r="E62" t="str">
        <f>'Horizontal Teams'!E11</f>
        <v>Domain Delivery Head</v>
      </c>
      <c r="F62" t="str">
        <f>'Horizontal Teams'!F11</f>
        <v>LEAD</v>
      </c>
      <c r="G62" t="str">
        <f>'Horizontal Teams'!G11</f>
        <v>E5</v>
      </c>
      <c r="H62" t="str">
        <f>'Horizontal Teams'!H11</f>
        <v>ON</v>
      </c>
      <c r="I62" t="str">
        <f>'Horizontal Teams'!I11</f>
        <v>FTC</v>
      </c>
      <c r="J62" s="64">
        <f>'Horizontal Teams'!J11</f>
        <v>1</v>
      </c>
      <c r="K62" s="64">
        <v>1</v>
      </c>
      <c r="L62" s="64">
        <f t="shared" si="2"/>
        <v>1</v>
      </c>
      <c r="M62">
        <f>IFERROR(L62*INDEX('Logic Tree'!$J$73:$N$74,MATCH(H62,'Logic Tree'!$I$73:$I$74,0),MATCH(G62,'Logic Tree'!$J$72:$N$72,0)),0)</f>
        <v>2.5499999999999998</v>
      </c>
    </row>
    <row r="63" spans="1:13" ht="14.25" customHeight="1">
      <c r="A63" s="33">
        <f>'Horizontal Teams'!B12</f>
        <v>1</v>
      </c>
      <c r="B63" s="33" t="s">
        <v>768</v>
      </c>
      <c r="C63" s="33" t="str">
        <f>'Horizontal Teams'!C12</f>
        <v>H4</v>
      </c>
      <c r="D63" s="33" t="s">
        <v>768</v>
      </c>
      <c r="E63" s="62" t="str">
        <f>'Horizontal Teams'!E12</f>
        <v>Chief Fee Systems Architect (MetLife)</v>
      </c>
      <c r="F63" s="63" t="str">
        <f>'Horizontal Teams'!F12</f>
        <v>ENG</v>
      </c>
      <c r="G63" s="63" t="str">
        <f>'Horizontal Teams'!G12</f>
        <v>E5</v>
      </c>
      <c r="H63" s="63" t="str">
        <f>'Horizontal Teams'!H12</f>
        <v>ON</v>
      </c>
      <c r="I63" s="63" t="str">
        <f>'Horizontal Teams'!I12</f>
        <v>FTE</v>
      </c>
      <c r="J63" s="19">
        <f>'Horizontal Teams'!J12</f>
        <v>1</v>
      </c>
      <c r="K63" s="19">
        <v>1</v>
      </c>
      <c r="L63" s="19">
        <f t="shared" si="2"/>
        <v>1</v>
      </c>
      <c r="M63" s="60">
        <f>IFERROR(L63*INDEX('Logic Tree'!$J$73:$N$74,MATCH(H63,'Logic Tree'!$I$73:$I$74,0),MATCH(G63,'Logic Tree'!$J$72:$N$72,0)),0)</f>
        <v>2.5499999999999998</v>
      </c>
    </row>
    <row r="64" spans="1:13" ht="14.25" hidden="1" customHeight="1">
      <c r="A64" s="33">
        <f>'Horizontal Teams'!B16</f>
        <v>2</v>
      </c>
      <c r="B64" s="33" t="s">
        <v>768</v>
      </c>
      <c r="C64" s="33" t="str">
        <f>'Horizontal Teams'!C16</f>
        <v>H1</v>
      </c>
      <c r="D64" s="33" t="s">
        <v>768</v>
      </c>
      <c r="E64" s="62" t="str">
        <f>'Horizontal Teams'!E16</f>
        <v>Compensation Plan Administration Lead</v>
      </c>
      <c r="F64" s="63" t="str">
        <f>'Horizontal Teams'!F16</f>
        <v>LEAD</v>
      </c>
      <c r="G64" s="63" t="str">
        <f>'Horizontal Teams'!G16</f>
        <v>E4</v>
      </c>
      <c r="H64" s="63" t="str">
        <f>'Horizontal Teams'!H16</f>
        <v>ON</v>
      </c>
      <c r="I64" s="63" t="str">
        <f>'Horizontal Teams'!I16</f>
        <v>FTC</v>
      </c>
      <c r="J64" s="19">
        <f>'Horizontal Teams'!J16</f>
        <v>1</v>
      </c>
      <c r="K64" s="19">
        <v>1</v>
      </c>
      <c r="L64" s="19">
        <f t="shared" si="2"/>
        <v>1</v>
      </c>
      <c r="M64" s="60">
        <f>IFERROR(L64*INDEX('Logic Tree'!$J$73:$N$74,MATCH(H64,'Logic Tree'!$I$73:$I$74,0),MATCH(G64,'Logic Tree'!$J$72:$N$72,0)),0)</f>
        <v>1.85</v>
      </c>
    </row>
    <row r="65" spans="1:13" ht="14.25" hidden="1" customHeight="1">
      <c r="A65" s="33">
        <f>'Horizontal Teams'!B18</f>
        <v>2</v>
      </c>
      <c r="B65" s="33" t="s">
        <v>768</v>
      </c>
      <c r="C65" s="33" t="str">
        <f>'Horizontal Teams'!C18</f>
        <v>H2</v>
      </c>
      <c r="D65" s="33" t="s">
        <v>768</v>
      </c>
      <c r="E65" s="62" t="str">
        <f>'Horizontal Teams'!E18</f>
        <v>Calculation QA &amp; Audit Analyst</v>
      </c>
      <c r="F65" s="63" t="str">
        <f>'Horizontal Teams'!F18</f>
        <v>TEST</v>
      </c>
      <c r="G65" s="63" t="str">
        <f>'Horizontal Teams'!G18</f>
        <v>E3</v>
      </c>
      <c r="H65" s="63" t="str">
        <f>'Horizontal Teams'!H18</f>
        <v>OFF</v>
      </c>
      <c r="I65" s="63" t="str">
        <f>'Horizontal Teams'!I18</f>
        <v>FTC</v>
      </c>
      <c r="J65" s="19">
        <f>'Horizontal Teams'!J18</f>
        <v>1</v>
      </c>
      <c r="K65" s="19">
        <v>1</v>
      </c>
      <c r="L65" s="19">
        <f t="shared" si="2"/>
        <v>1</v>
      </c>
      <c r="M65" s="60">
        <f>IFERROR(L65*INDEX('Logic Tree'!$J$73:$N$74,MATCH(H65,'Logic Tree'!$I$73:$I$74,0),MATCH(G65,'Logic Tree'!$J$72:$N$72,0)),0)</f>
        <v>0.42</v>
      </c>
    </row>
    <row r="66" spans="1:13" ht="14.25" hidden="1" customHeight="1">
      <c r="A66" s="33">
        <f>'Horizontal Teams'!B20</f>
        <v>2</v>
      </c>
      <c r="B66" s="33" t="s">
        <v>768</v>
      </c>
      <c r="C66" s="33" t="str">
        <f>'Horizontal Teams'!C20</f>
        <v>H4</v>
      </c>
      <c r="D66" s="33" t="s">
        <v>768</v>
      </c>
      <c r="E66" s="62" t="str">
        <f>'Horizontal Teams'!E20</f>
        <v>Domain Delivery Head</v>
      </c>
      <c r="F66" s="63" t="str">
        <f>'Horizontal Teams'!F20</f>
        <v>LEAD</v>
      </c>
      <c r="G66" s="63" t="str">
        <f>'Horizontal Teams'!G20</f>
        <v>E5</v>
      </c>
      <c r="H66" s="63" t="str">
        <f>'Horizontal Teams'!H20</f>
        <v>ON</v>
      </c>
      <c r="I66" s="63" t="str">
        <f>'Horizontal Teams'!I20</f>
        <v>FTC</v>
      </c>
      <c r="J66" s="19">
        <f>'Horizontal Teams'!J20</f>
        <v>1</v>
      </c>
      <c r="K66" s="19">
        <v>1</v>
      </c>
      <c r="L66" s="19">
        <f t="shared" si="2"/>
        <v>1</v>
      </c>
      <c r="M66" s="60">
        <f>IFERROR(L66*INDEX('Logic Tree'!$J$73:$N$74,MATCH(H66,'Logic Tree'!$I$73:$I$74,0),MATCH(G66,'Logic Tree'!$J$72:$N$72,0)),0)</f>
        <v>2.5499999999999998</v>
      </c>
    </row>
    <row r="67" spans="1:13" ht="14.25" customHeight="1">
      <c r="A67" s="33">
        <f>'Horizontal Teams'!B21</f>
        <v>2</v>
      </c>
      <c r="B67" s="33" t="s">
        <v>768</v>
      </c>
      <c r="C67" s="33" t="str">
        <f>'Horizontal Teams'!C21</f>
        <v>H4</v>
      </c>
      <c r="D67" s="33" t="s">
        <v>768</v>
      </c>
      <c r="E67" s="62" t="str">
        <f>'Horizontal Teams'!E21</f>
        <v>Chief Fee Systems Architect (MetLife)</v>
      </c>
      <c r="F67" s="63" t="str">
        <f>'Horizontal Teams'!F21</f>
        <v>ENG</v>
      </c>
      <c r="G67" s="63" t="str">
        <f>'Horizontal Teams'!G21</f>
        <v>E5</v>
      </c>
      <c r="H67" s="63" t="str">
        <f>'Horizontal Teams'!H21</f>
        <v>ON</v>
      </c>
      <c r="I67" s="63" t="str">
        <f>'Horizontal Teams'!I21</f>
        <v>FTE</v>
      </c>
      <c r="J67" s="19">
        <f>'Horizontal Teams'!J21</f>
        <v>1</v>
      </c>
      <c r="K67" s="19">
        <v>1</v>
      </c>
      <c r="L67" s="19">
        <f t="shared" si="2"/>
        <v>1</v>
      </c>
      <c r="M67" s="60">
        <f>IFERROR(L67*INDEX('Logic Tree'!$J$73:$N$74,MATCH(H67,'Logic Tree'!$I$73:$I$74,0),MATCH(G67,'Logic Tree'!$J$72:$N$72,0)),0)</f>
        <v>2.5499999999999998</v>
      </c>
    </row>
    <row r="68" spans="1:13" ht="14.25" hidden="1" customHeight="1">
      <c r="A68" s="33">
        <f>'Horizontal Teams'!B25</f>
        <v>3</v>
      </c>
      <c r="B68" s="33" t="s">
        <v>768</v>
      </c>
      <c r="C68" s="33" t="str">
        <f>'Horizontal Teams'!C25</f>
        <v>H1</v>
      </c>
      <c r="D68" s="33" t="s">
        <v>768</v>
      </c>
      <c r="E68" s="62" t="str">
        <f>'Horizontal Teams'!E25</f>
        <v>Compensation Plan Administration Lead</v>
      </c>
      <c r="F68" s="63" t="str">
        <f>'Horizontal Teams'!F25</f>
        <v>LEAD</v>
      </c>
      <c r="G68" s="63" t="str">
        <f>'Horizontal Teams'!G25</f>
        <v>E4</v>
      </c>
      <c r="H68" s="63" t="str">
        <f>'Horizontal Teams'!H25</f>
        <v>OFF</v>
      </c>
      <c r="I68" s="63" t="str">
        <f>'Horizontal Teams'!I25</f>
        <v>FTC</v>
      </c>
      <c r="J68" s="19">
        <f>'Horizontal Teams'!J25</f>
        <v>1</v>
      </c>
      <c r="K68" s="19">
        <v>1</v>
      </c>
      <c r="L68" s="19">
        <f t="shared" si="2"/>
        <v>1</v>
      </c>
      <c r="M68" s="60">
        <f>IFERROR(L68*INDEX('Logic Tree'!$J$73:$N$74,MATCH(H68,'Logic Tree'!$I$73:$I$74,0),MATCH(G68,'Logic Tree'!$J$72:$N$72,0)),0)</f>
        <v>0.6</v>
      </c>
    </row>
    <row r="69" spans="1:13" ht="14.25" hidden="1" customHeight="1">
      <c r="A69" s="33">
        <f>'Horizontal Teams'!B27</f>
        <v>3</v>
      </c>
      <c r="B69" s="33" t="s">
        <v>768</v>
      </c>
      <c r="C69" s="33" t="str">
        <f>'Horizontal Teams'!C27</f>
        <v>H4</v>
      </c>
      <c r="D69" s="33" t="s">
        <v>768</v>
      </c>
      <c r="E69" s="62" t="str">
        <f>'Horizontal Teams'!E27</f>
        <v>Domain Delivery Head</v>
      </c>
      <c r="F69" s="63" t="str">
        <f>'Horizontal Teams'!F27</f>
        <v>LEAD</v>
      </c>
      <c r="G69" s="63" t="str">
        <f>'Horizontal Teams'!G27</f>
        <v>E5</v>
      </c>
      <c r="H69" s="63" t="str">
        <f>'Horizontal Teams'!H27</f>
        <v>OFF</v>
      </c>
      <c r="I69" s="63" t="str">
        <f>'Horizontal Teams'!I27</f>
        <v>FTC</v>
      </c>
      <c r="J69" s="19">
        <f>'Horizontal Teams'!J27</f>
        <v>1</v>
      </c>
      <c r="K69" s="19">
        <v>1</v>
      </c>
      <c r="L69" s="19">
        <f t="shared" si="2"/>
        <v>1</v>
      </c>
      <c r="M69" s="60">
        <f>IFERROR(L69*INDEX('Logic Tree'!$J$73:$N$74,MATCH(H69,'Logic Tree'!$I$73:$I$74,0),MATCH(G69,'Logic Tree'!$J$72:$N$72,0)),0)</f>
        <v>0.85</v>
      </c>
    </row>
    <row r="70" spans="1:13" ht="14.25" customHeight="1">
      <c r="A70" s="33">
        <f>'Horizontal Teams'!B28</f>
        <v>3</v>
      </c>
      <c r="B70" s="33" t="s">
        <v>768</v>
      </c>
      <c r="C70" s="33" t="str">
        <f>'Horizontal Teams'!C28</f>
        <v>H4</v>
      </c>
      <c r="D70" s="33" t="s">
        <v>768</v>
      </c>
      <c r="E70" s="62" t="str">
        <f>'Horizontal Teams'!E28</f>
        <v>Chief Fee Systems Architect (MetLife)</v>
      </c>
      <c r="F70" s="63" t="str">
        <f>'Horizontal Teams'!F28</f>
        <v>ENG</v>
      </c>
      <c r="G70" s="63" t="str">
        <f>'Horizontal Teams'!G28</f>
        <v>E5</v>
      </c>
      <c r="H70" s="63" t="str">
        <f>'Horizontal Teams'!H28</f>
        <v>ON</v>
      </c>
      <c r="I70" s="63" t="str">
        <f>'Horizontal Teams'!I28</f>
        <v>FTE</v>
      </c>
      <c r="J70" s="19">
        <f>'Horizontal Teams'!J28</f>
        <v>1</v>
      </c>
      <c r="K70" s="19">
        <v>1</v>
      </c>
      <c r="L70" s="19">
        <f t="shared" si="2"/>
        <v>1</v>
      </c>
      <c r="M70" s="60">
        <f>IFERROR(L70*INDEX('Logic Tree'!$J$73:$N$74,MATCH(H70,'Logic Tree'!$I$73:$I$74,0),MATCH(G70,'Logic Tree'!$J$72:$N$72,0)),0)</f>
        <v>2.5499999999999998</v>
      </c>
    </row>
    <row r="71" spans="1:13" ht="14.25" hidden="1" customHeight="1"/>
    <row r="72" spans="1:13" ht="14.25" hidden="1" customHeight="1"/>
    <row r="73" spans="1:13" ht="14.25" hidden="1" customHeight="1"/>
    <row r="74" spans="1:13" ht="14.25" hidden="1" customHeight="1"/>
    <row r="75" spans="1:13" ht="14.25" hidden="1" customHeight="1"/>
    <row r="76" spans="1:13" ht="14.25" hidden="1" customHeight="1"/>
    <row r="77" spans="1:13" ht="14.25" hidden="1" customHeight="1"/>
    <row r="78" spans="1:13" ht="14.25" hidden="1" customHeight="1"/>
    <row r="79" spans="1:13" ht="14.25" hidden="1" customHeight="1"/>
    <row r="80" spans="1:13" ht="14.25" hidden="1" customHeight="1"/>
    <row r="81" ht="14.25" hidden="1" customHeight="1"/>
    <row r="82" ht="14.25" hidden="1" customHeight="1"/>
    <row r="83" ht="14.25" hidden="1" customHeight="1"/>
    <row r="84" ht="14.25" hidden="1" customHeight="1"/>
    <row r="85" ht="14.25" hidden="1" customHeight="1"/>
    <row r="86" ht="14.25" hidden="1" customHeight="1"/>
    <row r="87" ht="14.25" hidden="1" customHeight="1"/>
    <row r="88" ht="14.25" hidden="1" customHeight="1"/>
    <row r="89" ht="14.25" hidden="1" customHeight="1"/>
    <row r="90" ht="14.25" hidden="1" customHeight="1"/>
    <row r="91" ht="14.25" hidden="1" customHeight="1"/>
    <row r="92" ht="14.25" hidden="1" customHeight="1"/>
    <row r="93" ht="14.25" hidden="1" customHeight="1"/>
    <row r="94" ht="14.25" hidden="1" customHeight="1"/>
    <row r="95" ht="14.25" hidden="1" customHeight="1"/>
    <row r="96" ht="14.25" hidden="1" customHeight="1"/>
    <row r="97" ht="14.25" hidden="1" customHeight="1"/>
    <row r="98" ht="14.25" hidden="1" customHeight="1"/>
    <row r="99" ht="14.25" hidden="1" customHeight="1"/>
    <row r="100" ht="14.25" hidden="1" customHeight="1"/>
    <row r="101" ht="14.25" hidden="1" customHeight="1"/>
    <row r="102" ht="14.25" hidden="1" customHeight="1"/>
    <row r="103" ht="14.25" hidden="1" customHeight="1"/>
    <row r="104" ht="14.25" hidden="1" customHeight="1"/>
    <row r="105" ht="14.25" hidden="1" customHeight="1"/>
    <row r="106" ht="14.25" hidden="1" customHeight="1"/>
    <row r="107" ht="14.25" hidden="1" customHeight="1"/>
    <row r="108" ht="14.25" hidden="1" customHeight="1"/>
    <row r="109" ht="14.25" hidden="1" customHeight="1"/>
    <row r="110" ht="14.25" hidden="1" customHeight="1"/>
    <row r="111" ht="14.25" hidden="1" customHeight="1"/>
    <row r="112" ht="14.25" hidden="1" customHeight="1"/>
    <row r="113" ht="14.25" hidden="1" customHeight="1"/>
    <row r="114" ht="14.25" hidden="1" customHeight="1"/>
    <row r="115" ht="14.25" hidden="1" customHeight="1"/>
    <row r="116" ht="14.25" hidden="1" customHeight="1"/>
    <row r="117" ht="14.25" hidden="1" customHeight="1"/>
    <row r="118" ht="14.25" hidden="1" customHeight="1"/>
    <row r="119" ht="14.25" hidden="1" customHeight="1"/>
    <row r="120" ht="14.25" hidden="1" customHeight="1"/>
    <row r="121" ht="14.25" hidden="1" customHeight="1"/>
    <row r="122" ht="14.25" hidden="1" customHeight="1"/>
    <row r="123" ht="14.25" hidden="1" customHeight="1"/>
    <row r="124" ht="14.25" hidden="1" customHeight="1"/>
    <row r="125" ht="14.25" hidden="1" customHeight="1"/>
    <row r="126" ht="14.25" hidden="1" customHeight="1"/>
    <row r="127" ht="14.25" hidden="1" customHeight="1"/>
    <row r="128" ht="14.25" hidden="1" customHeight="1"/>
    <row r="129" ht="14.25" hidden="1" customHeight="1"/>
    <row r="130" ht="14.25" hidden="1" customHeight="1"/>
    <row r="131" ht="14.25" hidden="1" customHeight="1"/>
    <row r="132" ht="14.25" hidden="1" customHeight="1"/>
    <row r="133" ht="14.25" hidden="1" customHeight="1"/>
    <row r="134" ht="14.25" hidden="1" customHeight="1"/>
    <row r="135" ht="14.25" hidden="1" customHeight="1"/>
    <row r="136" ht="14.25" hidden="1" customHeight="1"/>
    <row r="137" ht="14.25" hidden="1" customHeight="1"/>
    <row r="138" ht="14.25" hidden="1" customHeight="1"/>
    <row r="139" ht="14.25" hidden="1" customHeight="1"/>
    <row r="140" ht="14.25" hidden="1" customHeight="1"/>
    <row r="141" ht="14.25" hidden="1" customHeight="1"/>
    <row r="142" ht="14.25" hidden="1" customHeight="1"/>
    <row r="143" ht="14.25" hidden="1" customHeight="1"/>
    <row r="144" ht="14.25" hidden="1" customHeight="1"/>
    <row r="145" ht="14.25" hidden="1" customHeight="1"/>
    <row r="146" ht="14.25" hidden="1" customHeight="1"/>
    <row r="147" ht="14.25" hidden="1" customHeight="1"/>
    <row r="148" ht="14.25" hidden="1" customHeight="1"/>
    <row r="149" ht="14.25" hidden="1" customHeight="1"/>
    <row r="150" ht="14.25" hidden="1" customHeight="1"/>
    <row r="151" ht="14.25" hidden="1" customHeight="1"/>
    <row r="152" ht="14.25" hidden="1" customHeight="1"/>
    <row r="153" ht="14.25" hidden="1" customHeight="1"/>
    <row r="154" ht="14.25" hidden="1" customHeight="1"/>
    <row r="155" ht="14.25" hidden="1" customHeight="1"/>
    <row r="156" ht="14.25" hidden="1" customHeight="1"/>
    <row r="157" ht="14.25" hidden="1" customHeight="1"/>
    <row r="158" ht="14.25" hidden="1" customHeight="1"/>
    <row r="159" ht="14.25" hidden="1" customHeight="1"/>
    <row r="160" ht="14.25" hidden="1" customHeight="1"/>
    <row r="161" ht="14.25" hidden="1" customHeight="1"/>
    <row r="162" ht="14.25" hidden="1" customHeight="1"/>
    <row r="163" ht="14.25" hidden="1" customHeight="1"/>
    <row r="164" ht="14.25" hidden="1" customHeight="1"/>
    <row r="165" ht="14.25" hidden="1" customHeight="1"/>
    <row r="166" ht="14.25" hidden="1" customHeight="1"/>
    <row r="167" ht="14.25" hidden="1" customHeight="1"/>
    <row r="168" ht="14.25" hidden="1" customHeight="1"/>
    <row r="169" ht="14.25" hidden="1" customHeight="1"/>
    <row r="170" ht="14.25" hidden="1" customHeight="1"/>
    <row r="171" ht="14.25" hidden="1" customHeight="1"/>
    <row r="172" ht="14.25" hidden="1" customHeight="1"/>
    <row r="173" ht="14.25" hidden="1" customHeight="1"/>
    <row r="174" ht="14.25" hidden="1" customHeight="1"/>
    <row r="175" ht="14.25" hidden="1" customHeight="1"/>
    <row r="176" ht="14.25" hidden="1" customHeight="1"/>
    <row r="177" ht="14.25" hidden="1" customHeight="1"/>
    <row r="178" ht="14.25" hidden="1" customHeight="1"/>
    <row r="179" ht="14.25" hidden="1" customHeight="1"/>
    <row r="180" ht="14.25" hidden="1" customHeight="1"/>
    <row r="181" ht="14.25" hidden="1" customHeight="1"/>
    <row r="182" ht="14.25" hidden="1" customHeight="1"/>
    <row r="183" ht="14.25" hidden="1" customHeight="1"/>
    <row r="184" ht="14.25" hidden="1" customHeight="1"/>
    <row r="185" ht="14.25" hidden="1" customHeight="1"/>
    <row r="186" ht="14.25" hidden="1" customHeight="1"/>
    <row r="187" ht="14.25" hidden="1" customHeight="1"/>
    <row r="188" ht="14.25" hidden="1" customHeight="1"/>
    <row r="189" ht="14.25" hidden="1" customHeight="1"/>
    <row r="190" ht="14.25" hidden="1" customHeight="1"/>
    <row r="191" ht="14.25" hidden="1" customHeight="1"/>
    <row r="192" ht="14.25" hidden="1" customHeight="1"/>
    <row r="193" ht="14.25" hidden="1" customHeight="1"/>
    <row r="194" ht="14.25" hidden="1" customHeight="1"/>
    <row r="195" ht="14.25" hidden="1" customHeight="1"/>
    <row r="196" ht="14.25" hidden="1" customHeight="1"/>
    <row r="197" ht="14.25" hidden="1" customHeight="1"/>
    <row r="198" ht="14.25" hidden="1" customHeight="1"/>
    <row r="199" ht="14.25" hidden="1" customHeight="1"/>
    <row r="200" ht="14.25" hidden="1" customHeight="1"/>
    <row r="201" ht="14.25" hidden="1" customHeight="1"/>
    <row r="202" ht="14.25" hidden="1" customHeight="1"/>
    <row r="203" ht="14.25" hidden="1" customHeight="1"/>
    <row r="204" ht="14.25" hidden="1" customHeight="1"/>
    <row r="205" ht="14.25" hidden="1" customHeight="1"/>
    <row r="206" ht="14.25" hidden="1" customHeight="1"/>
    <row r="207" ht="14.25" hidden="1" customHeight="1"/>
    <row r="208" ht="14.25" hidden="1" customHeight="1"/>
    <row r="209" ht="14.25" hidden="1" customHeight="1"/>
    <row r="210" ht="14.25" hidden="1" customHeight="1"/>
    <row r="211" ht="14.25" hidden="1" customHeight="1"/>
    <row r="212" ht="14.25" hidden="1" customHeight="1"/>
    <row r="213" ht="14.25" hidden="1" customHeight="1"/>
    <row r="214" ht="14.25" hidden="1" customHeight="1"/>
    <row r="215" ht="14.25" hidden="1" customHeight="1"/>
    <row r="216" ht="14.25" hidden="1" customHeight="1"/>
    <row r="217" ht="14.25" hidden="1" customHeight="1"/>
    <row r="218" ht="14.25" hidden="1" customHeight="1"/>
    <row r="219" ht="14.25" hidden="1" customHeight="1"/>
    <row r="220" ht="14.25" hidden="1" customHeight="1"/>
    <row r="221" ht="14.25" hidden="1" customHeight="1"/>
    <row r="222" ht="14.25" hidden="1" customHeight="1"/>
    <row r="223" ht="14.25" hidden="1" customHeight="1"/>
    <row r="224" ht="14.25" hidden="1" customHeight="1"/>
    <row r="225" ht="14.25" hidden="1" customHeight="1"/>
    <row r="226" ht="14.25" hidden="1" customHeight="1"/>
    <row r="227" ht="14.25" hidden="1" customHeight="1"/>
    <row r="228" ht="14.25" hidden="1" customHeight="1"/>
    <row r="229" ht="14.25" hidden="1" customHeight="1"/>
    <row r="230" ht="14.25" hidden="1" customHeight="1"/>
    <row r="231" ht="14.25" hidden="1" customHeight="1"/>
    <row r="232" ht="14.25" hidden="1" customHeight="1"/>
    <row r="233" ht="14.25" hidden="1" customHeight="1"/>
    <row r="234" ht="14.25" hidden="1" customHeight="1"/>
    <row r="235" ht="14.25" hidden="1" customHeight="1"/>
    <row r="236" ht="14.25" hidden="1" customHeight="1"/>
    <row r="237" ht="14.25" hidden="1" customHeight="1"/>
    <row r="238" ht="14.25" hidden="1" customHeight="1"/>
    <row r="239" ht="14.25" hidden="1" customHeight="1"/>
    <row r="240" ht="14.25" hidden="1" customHeight="1"/>
    <row r="241" ht="14.25" hidden="1" customHeight="1"/>
    <row r="242" ht="14.25" hidden="1" customHeight="1"/>
    <row r="243" ht="14.25" hidden="1" customHeight="1"/>
    <row r="244" ht="14.25" hidden="1" customHeight="1"/>
    <row r="245" ht="14.25" hidden="1" customHeight="1"/>
    <row r="246" ht="14.25" hidden="1" customHeight="1"/>
    <row r="247" ht="14.25" hidden="1" customHeight="1"/>
    <row r="248" ht="14.25" hidden="1" customHeight="1"/>
    <row r="249" ht="14.25" hidden="1" customHeight="1"/>
    <row r="250" ht="14.25" hidden="1" customHeight="1"/>
    <row r="251" ht="14.25" hidden="1" customHeight="1"/>
    <row r="252" ht="14.25" hidden="1" customHeight="1"/>
    <row r="253" ht="14.25" hidden="1" customHeight="1"/>
    <row r="254" ht="14.25" hidden="1" customHeight="1"/>
    <row r="255" ht="14.25" hidden="1" customHeight="1"/>
    <row r="256" ht="14.25" hidden="1" customHeight="1"/>
    <row r="257" ht="14.25" hidden="1" customHeight="1"/>
    <row r="258" ht="14.25" hidden="1" customHeight="1"/>
    <row r="259" ht="14.25" hidden="1" customHeight="1"/>
    <row r="260" ht="14.25" hidden="1" customHeight="1"/>
    <row r="261" ht="14.25" hidden="1" customHeight="1"/>
    <row r="262" ht="14.25" hidden="1" customHeight="1"/>
    <row r="263" ht="14.25" hidden="1" customHeight="1"/>
    <row r="264" ht="14.25" hidden="1" customHeight="1"/>
    <row r="265" ht="14.25" hidden="1" customHeight="1"/>
    <row r="266" ht="14.25" hidden="1" customHeight="1"/>
    <row r="267" ht="14.25" hidden="1" customHeight="1"/>
    <row r="268" ht="14.25" hidden="1" customHeight="1"/>
    <row r="269" ht="14.25" hidden="1" customHeight="1"/>
    <row r="270" ht="14.25" hidden="1" customHeight="1"/>
    <row r="271" ht="14.25" hidden="1" customHeight="1"/>
    <row r="272" ht="14.25" hidden="1" customHeight="1"/>
    <row r="273" ht="14.25" hidden="1" customHeight="1"/>
    <row r="274" ht="14.25" hidden="1" customHeight="1"/>
    <row r="275" ht="14.25" hidden="1" customHeight="1"/>
    <row r="276" ht="14.25" hidden="1" customHeight="1"/>
    <row r="277" ht="14.25" hidden="1" customHeight="1"/>
    <row r="278" ht="14.25" hidden="1" customHeight="1"/>
    <row r="279" ht="14.25" hidden="1" customHeight="1"/>
    <row r="280" ht="14.25" hidden="1" customHeight="1"/>
    <row r="281" ht="14.25" hidden="1" customHeight="1"/>
    <row r="282" ht="14.25" hidden="1" customHeight="1"/>
    <row r="283" ht="14.25" hidden="1" customHeight="1"/>
    <row r="284" ht="14.25" hidden="1" customHeight="1"/>
    <row r="285" ht="14.25" hidden="1" customHeight="1"/>
    <row r="286" ht="14.25" hidden="1" customHeight="1"/>
    <row r="287" ht="14.25" hidden="1" customHeight="1"/>
    <row r="288" ht="14.25" hidden="1" customHeight="1"/>
    <row r="289" ht="14.25" hidden="1" customHeight="1"/>
    <row r="290" ht="14.25" hidden="1" customHeight="1"/>
    <row r="291" ht="14.25" hidden="1" customHeight="1"/>
    <row r="292" ht="14.25" hidden="1" customHeight="1"/>
    <row r="293" ht="14.25" hidden="1" customHeight="1"/>
    <row r="294" ht="14.25" hidden="1" customHeight="1"/>
    <row r="295" ht="14.25" hidden="1" customHeight="1"/>
    <row r="296" ht="14.25" hidden="1" customHeight="1"/>
    <row r="297" ht="14.25" hidden="1" customHeight="1"/>
    <row r="298" ht="14.25" hidden="1" customHeight="1"/>
    <row r="299" ht="14.25" hidden="1" customHeight="1"/>
    <row r="300" ht="14.25" hidden="1" customHeight="1"/>
    <row r="301" ht="14.25" hidden="1" customHeight="1"/>
    <row r="302" ht="14.25" hidden="1" customHeight="1"/>
    <row r="303" ht="14.25" hidden="1" customHeight="1"/>
    <row r="304" ht="14.25" hidden="1" customHeight="1"/>
    <row r="305" ht="14.25" hidden="1" customHeight="1"/>
    <row r="306" ht="14.25" hidden="1" customHeight="1"/>
    <row r="307" ht="14.25" hidden="1" customHeight="1"/>
    <row r="308" ht="14.25" hidden="1" customHeight="1"/>
    <row r="309" ht="14.25" hidden="1" customHeight="1"/>
    <row r="310" ht="14.25" hidden="1" customHeight="1"/>
    <row r="311" ht="14.25" hidden="1" customHeight="1"/>
    <row r="312" ht="14.25" hidden="1" customHeight="1"/>
    <row r="313" ht="14.25" hidden="1" customHeight="1"/>
    <row r="314" ht="14.25" hidden="1" customHeight="1"/>
    <row r="315" ht="14.25" hidden="1" customHeight="1"/>
    <row r="316" ht="14.25" hidden="1" customHeight="1"/>
    <row r="317" ht="14.25" hidden="1" customHeight="1"/>
    <row r="318" ht="14.25" hidden="1" customHeight="1"/>
    <row r="319" ht="14.25" hidden="1" customHeight="1"/>
    <row r="320" ht="14.25" hidden="1" customHeight="1"/>
    <row r="321" ht="14.25" hidden="1" customHeight="1"/>
    <row r="322" ht="14.25" hidden="1" customHeight="1"/>
    <row r="323" ht="14.25" hidden="1" customHeight="1"/>
    <row r="324" ht="14.25" hidden="1" customHeight="1"/>
    <row r="325" ht="14.25" hidden="1" customHeight="1"/>
    <row r="326" ht="14.25" hidden="1" customHeight="1"/>
    <row r="327" ht="14.25" hidden="1" customHeight="1"/>
    <row r="328" ht="14.25" hidden="1" customHeight="1"/>
    <row r="329" ht="14.25" hidden="1" customHeight="1"/>
    <row r="330" ht="14.25" hidden="1" customHeight="1"/>
    <row r="331" ht="14.25" hidden="1" customHeight="1"/>
    <row r="332" ht="14.25" hidden="1" customHeight="1"/>
    <row r="333" ht="14.25" hidden="1" customHeight="1"/>
    <row r="334" ht="14.25" hidden="1" customHeight="1"/>
    <row r="335" ht="14.25" hidden="1" customHeight="1"/>
    <row r="336" ht="14.25" hidden="1" customHeight="1"/>
    <row r="337" ht="14.25" hidden="1" customHeight="1"/>
    <row r="338" ht="14.25" hidden="1" customHeight="1"/>
    <row r="339" ht="14.25" hidden="1" customHeight="1"/>
    <row r="340" ht="14.25" hidden="1" customHeight="1"/>
    <row r="341" ht="14.25" hidden="1" customHeight="1"/>
    <row r="342" ht="14.25" hidden="1" customHeight="1"/>
    <row r="343" ht="14.25" hidden="1" customHeight="1"/>
    <row r="344" ht="14.25" hidden="1" customHeight="1"/>
    <row r="345" ht="14.25" hidden="1" customHeight="1"/>
    <row r="346" ht="14.25" hidden="1" customHeight="1"/>
    <row r="347" ht="14.25" hidden="1" customHeight="1"/>
    <row r="348" ht="14.25" hidden="1" customHeight="1"/>
    <row r="349" ht="14.25" hidden="1" customHeight="1"/>
    <row r="350" ht="14.25" hidden="1" customHeight="1"/>
    <row r="351" ht="14.25" hidden="1" customHeight="1"/>
    <row r="352" ht="14.25" hidden="1" customHeight="1"/>
    <row r="353" ht="14.25" hidden="1" customHeight="1"/>
    <row r="354" ht="14.25" hidden="1" customHeight="1"/>
    <row r="355" ht="14.25" hidden="1" customHeight="1"/>
    <row r="356" ht="14.25" hidden="1" customHeight="1"/>
    <row r="357" ht="14.25" hidden="1" customHeight="1"/>
    <row r="358" ht="14.25" hidden="1" customHeight="1"/>
    <row r="359" ht="14.25" hidden="1" customHeight="1"/>
    <row r="360" ht="14.25" hidden="1" customHeight="1"/>
    <row r="361" ht="14.25" hidden="1" customHeight="1"/>
    <row r="362" ht="14.25" hidden="1" customHeight="1"/>
    <row r="363" ht="14.25" hidden="1" customHeight="1"/>
    <row r="364" ht="14.25" hidden="1" customHeight="1"/>
    <row r="365" ht="14.25" hidden="1" customHeight="1"/>
    <row r="366" ht="14.25" hidden="1" customHeight="1"/>
    <row r="367" ht="14.25" hidden="1" customHeight="1"/>
    <row r="368" ht="14.25" hidden="1" customHeight="1"/>
    <row r="369" ht="14.25" hidden="1" customHeight="1"/>
    <row r="370" ht="14.25" hidden="1" customHeight="1"/>
    <row r="371" ht="14.25" hidden="1" customHeight="1"/>
    <row r="372" ht="14.25" hidden="1" customHeight="1"/>
    <row r="373" ht="14.25" hidden="1" customHeight="1"/>
    <row r="374" ht="14.25" hidden="1" customHeight="1"/>
    <row r="375" ht="14.25" hidden="1" customHeight="1"/>
    <row r="376" ht="14.25" hidden="1" customHeight="1"/>
    <row r="377" ht="14.25" hidden="1" customHeight="1"/>
    <row r="378" ht="14.25" hidden="1" customHeight="1"/>
    <row r="379" ht="14.25" hidden="1" customHeight="1"/>
    <row r="380" ht="14.25" hidden="1" customHeight="1"/>
    <row r="381" ht="14.25" hidden="1" customHeight="1"/>
    <row r="382" ht="14.25" hidden="1" customHeight="1"/>
    <row r="383" ht="14.25" hidden="1" customHeight="1"/>
    <row r="384" ht="14.25" hidden="1" customHeight="1"/>
    <row r="385" ht="14.25" hidden="1" customHeight="1"/>
    <row r="386" ht="14.25" hidden="1" customHeight="1"/>
    <row r="387" ht="14.25" hidden="1" customHeight="1"/>
    <row r="388" ht="14.25" hidden="1" customHeight="1"/>
    <row r="389" ht="14.25" hidden="1" customHeight="1"/>
    <row r="390" ht="14.25" hidden="1" customHeight="1"/>
    <row r="391" ht="14.25" hidden="1" customHeight="1"/>
    <row r="392" ht="14.25" hidden="1" customHeight="1"/>
    <row r="393" ht="14.25" hidden="1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</sheetData>
  <autoFilter ref="A4:M393" xr:uid="{00000000-0009-0000-0000-00000A000000}">
    <filterColumn colId="8">
      <filters>
        <filter val="FTE"/>
      </filters>
    </filterColumn>
  </autoFilter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Logic Tree</vt:lpstr>
      <vt:lpstr>Inventory</vt:lpstr>
      <vt:lpstr>Value Streams</vt:lpstr>
      <vt:lpstr>Pod Library</vt:lpstr>
      <vt:lpstr>Pod Plan</vt:lpstr>
      <vt:lpstr>Horizontal Teams</vt:lpstr>
      <vt:lpstr>Team Build-Up</vt:lpstr>
      <vt:lpstr>Glidepath &amp; 50-50</vt:lpstr>
      <vt:lpstr>Cost &amp; Commercial</vt:lpstr>
      <vt:lpstr>Seat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Mukesh Kumar Prasad</cp:lastModifiedBy>
  <cp:revision>0</cp:revision>
  <dcterms:created xsi:type="dcterms:W3CDTF">2026-09-01T17:41:44Z</dcterms:created>
  <dcterms:modified xsi:type="dcterms:W3CDTF">2026-09-06T04:01:15Z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