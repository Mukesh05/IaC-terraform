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apgemini-my.sharepoint.com/personal/mukesh_a_prasad_capgemini_com/Documents/Desktop/metlife/updated_New data/"/>
    </mc:Choice>
  </mc:AlternateContent>
  <xr:revisionPtr revIDLastSave="142" documentId="8_{3F6E2D88-28E7-45F5-A35C-2F5272A7D0F1}" xr6:coauthVersionLast="47" xr6:coauthVersionMax="47" xr10:uidLastSave="{F2265A12-F2AC-4AD4-886F-2122CB0C3190}"/>
  <bookViews>
    <workbookView xWindow="-110" yWindow="-110" windowWidth="19420" windowHeight="11500" activeTab="3" xr2:uid="{00000000-000D-0000-FFFF-FFFF00000000}"/>
  </bookViews>
  <sheets>
    <sheet name="README" sheetId="1" r:id="rId1"/>
    <sheet name="Basis &amp; Assumptions" sheetId="2" r:id="rId2"/>
    <sheet name="Change Control" sheetId="3" r:id="rId3"/>
    <sheet name="Logic Tree" sheetId="4" r:id="rId4"/>
    <sheet name="Sourcing &amp; Productivity" sheetId="5" r:id="rId5"/>
    <sheet name="Delivery Mode" sheetId="6" r:id="rId6"/>
    <sheet name="AMS &amp; Ticket Load" sheetId="7" r:id="rId7"/>
    <sheet name="Inventory" sheetId="8" r:id="rId8"/>
    <sheet name="Value Streams" sheetId="9" r:id="rId9"/>
    <sheet name="Pod Library" sheetId="10" r:id="rId10"/>
    <sheet name="Pod Plan" sheetId="11" r:id="rId11"/>
    <sheet name="Horizontal Teams" sheetId="12" r:id="rId12"/>
    <sheet name="Team Build-Up" sheetId="13" r:id="rId13"/>
    <sheet name="Inherited Workforce" sheetId="14" r:id="rId14"/>
    <sheet name="Glidepath &amp; 50-50" sheetId="15" r:id="rId15"/>
    <sheet name="Cost &amp; Commercial" sheetId="16" r:id="rId16"/>
    <sheet name="Seat Ledger" sheetId="17" r:id="rId17"/>
    <sheet name="SIT Loading" sheetId="18" r:id="rId18"/>
    <sheet name="Unit Cost Sensitivity" sheetId="19" r:id="rId1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119" i="10" l="1"/>
  <c r="N118" i="10"/>
  <c r="N117" i="10"/>
  <c r="N116" i="10"/>
  <c r="N115" i="10"/>
  <c r="N114" i="10"/>
  <c r="N113" i="10"/>
  <c r="N112" i="10"/>
  <c r="N111" i="10"/>
  <c r="N110" i="10"/>
  <c r="N109" i="10"/>
  <c r="N108" i="10"/>
  <c r="M105" i="10"/>
  <c r="N104" i="10"/>
  <c r="N103" i="10"/>
  <c r="N102" i="10"/>
  <c r="N101" i="10"/>
  <c r="N100" i="10"/>
  <c r="N99" i="10"/>
  <c r="N98" i="10"/>
  <c r="N97" i="10"/>
  <c r="N96" i="10"/>
  <c r="N95" i="10"/>
  <c r="N94" i="10"/>
  <c r="M76" i="10"/>
  <c r="N75" i="10"/>
  <c r="N74" i="10"/>
  <c r="N73" i="10"/>
  <c r="N72" i="10"/>
  <c r="N71" i="10"/>
  <c r="N70" i="10"/>
  <c r="N69" i="10"/>
  <c r="N68" i="10"/>
  <c r="N67" i="10"/>
  <c r="N66" i="10"/>
  <c r="N65" i="10"/>
  <c r="L173" i="18"/>
  <c r="K173" i="18"/>
  <c r="I173" i="18"/>
  <c r="H173" i="18"/>
  <c r="K235" i="17"/>
  <c r="M235" i="17" s="1"/>
  <c r="J235" i="17"/>
  <c r="I235" i="17"/>
  <c r="H235" i="17"/>
  <c r="G235" i="17"/>
  <c r="F235" i="17"/>
  <c r="D235" i="17"/>
  <c r="K234" i="17"/>
  <c r="M234" i="17" s="1"/>
  <c r="J234" i="17"/>
  <c r="I234" i="17"/>
  <c r="H234" i="17"/>
  <c r="G234" i="17"/>
  <c r="F234" i="17"/>
  <c r="D234" i="17"/>
  <c r="K233" i="17"/>
  <c r="M233" i="17" s="1"/>
  <c r="J233" i="17"/>
  <c r="I233" i="17"/>
  <c r="H233" i="17"/>
  <c r="G233" i="17"/>
  <c r="F233" i="17"/>
  <c r="D233" i="17"/>
  <c r="K232" i="17"/>
  <c r="M232" i="17" s="1"/>
  <c r="J232" i="17"/>
  <c r="I232" i="17"/>
  <c r="H232" i="17"/>
  <c r="G232" i="17"/>
  <c r="F232" i="17"/>
  <c r="D232" i="17"/>
  <c r="K231" i="17"/>
  <c r="M231" i="17" s="1"/>
  <c r="J231" i="17"/>
  <c r="I231" i="17"/>
  <c r="H231" i="17"/>
  <c r="G231" i="17"/>
  <c r="F231" i="17"/>
  <c r="D231" i="17"/>
  <c r="K230" i="17"/>
  <c r="M230" i="17" s="1"/>
  <c r="J230" i="17"/>
  <c r="I230" i="17"/>
  <c r="H230" i="17"/>
  <c r="G230" i="17"/>
  <c r="F230" i="17"/>
  <c r="D230" i="17"/>
  <c r="K229" i="17"/>
  <c r="M229" i="17" s="1"/>
  <c r="J229" i="17"/>
  <c r="I229" i="17"/>
  <c r="H229" i="17"/>
  <c r="G229" i="17"/>
  <c r="F229" i="17"/>
  <c r="D229" i="17"/>
  <c r="K228" i="17"/>
  <c r="M228" i="17" s="1"/>
  <c r="J228" i="17"/>
  <c r="I228" i="17"/>
  <c r="H228" i="17"/>
  <c r="G228" i="17"/>
  <c r="F228" i="17"/>
  <c r="D228" i="17"/>
  <c r="K227" i="17"/>
  <c r="M227" i="17" s="1"/>
  <c r="J227" i="17"/>
  <c r="I227" i="17"/>
  <c r="H227" i="17"/>
  <c r="G227" i="17"/>
  <c r="F227" i="17"/>
  <c r="D227" i="17"/>
  <c r="K226" i="17"/>
  <c r="M226" i="17" s="1"/>
  <c r="J226" i="17"/>
  <c r="I226" i="17"/>
  <c r="H226" i="17"/>
  <c r="G226" i="17"/>
  <c r="F226" i="17"/>
  <c r="D226" i="17"/>
  <c r="K225" i="17"/>
  <c r="M225" i="17" s="1"/>
  <c r="J225" i="17"/>
  <c r="I225" i="17"/>
  <c r="H225" i="17"/>
  <c r="G225" i="17"/>
  <c r="F225" i="17"/>
  <c r="D225" i="17"/>
  <c r="K224" i="17"/>
  <c r="M224" i="17" s="1"/>
  <c r="J224" i="17"/>
  <c r="I224" i="17"/>
  <c r="H224" i="17"/>
  <c r="G224" i="17"/>
  <c r="F224" i="17"/>
  <c r="D224" i="17"/>
  <c r="K223" i="17"/>
  <c r="M223" i="17" s="1"/>
  <c r="J223" i="17"/>
  <c r="I223" i="17"/>
  <c r="H223" i="17"/>
  <c r="G223" i="17"/>
  <c r="F223" i="17"/>
  <c r="D223" i="17"/>
  <c r="K222" i="17"/>
  <c r="M222" i="17" s="1"/>
  <c r="J222" i="17"/>
  <c r="I222" i="17"/>
  <c r="H222" i="17"/>
  <c r="G222" i="17"/>
  <c r="F222" i="17"/>
  <c r="D222" i="17"/>
  <c r="K221" i="17"/>
  <c r="M221" i="17" s="1"/>
  <c r="J221" i="17"/>
  <c r="I221" i="17"/>
  <c r="H221" i="17"/>
  <c r="G221" i="17"/>
  <c r="F221" i="17"/>
  <c r="D221" i="17"/>
  <c r="K220" i="17"/>
  <c r="M220" i="17" s="1"/>
  <c r="J220" i="17"/>
  <c r="I220" i="17"/>
  <c r="H220" i="17"/>
  <c r="G220" i="17"/>
  <c r="F220" i="17"/>
  <c r="D220" i="17"/>
  <c r="K219" i="17"/>
  <c r="M219" i="17" s="1"/>
  <c r="J219" i="17"/>
  <c r="I219" i="17"/>
  <c r="H219" i="17"/>
  <c r="G219" i="17"/>
  <c r="F219" i="17"/>
  <c r="D219" i="17"/>
  <c r="K218" i="17"/>
  <c r="M218" i="17" s="1"/>
  <c r="J218" i="17"/>
  <c r="I218" i="17"/>
  <c r="H218" i="17"/>
  <c r="G218" i="17"/>
  <c r="F218" i="17"/>
  <c r="D218" i="17"/>
  <c r="L217" i="17"/>
  <c r="K217" i="17"/>
  <c r="J217" i="17"/>
  <c r="I217" i="17"/>
  <c r="H217" i="17"/>
  <c r="G217" i="17"/>
  <c r="F217" i="17"/>
  <c r="L216" i="17"/>
  <c r="K216" i="17"/>
  <c r="J216" i="17"/>
  <c r="I216" i="17"/>
  <c r="H216" i="17"/>
  <c r="G216" i="17"/>
  <c r="F216" i="17"/>
  <c r="L215" i="17"/>
  <c r="K215" i="17"/>
  <c r="J215" i="17"/>
  <c r="I215" i="17"/>
  <c r="H215" i="17"/>
  <c r="G215" i="17"/>
  <c r="F215" i="17"/>
  <c r="L214" i="17"/>
  <c r="K214" i="17"/>
  <c r="J214" i="17"/>
  <c r="I214" i="17"/>
  <c r="H214" i="17"/>
  <c r="G214" i="17"/>
  <c r="F214" i="17"/>
  <c r="L213" i="17"/>
  <c r="K213" i="17"/>
  <c r="J213" i="17"/>
  <c r="I213" i="17"/>
  <c r="H213" i="17"/>
  <c r="G213" i="17"/>
  <c r="F213" i="17"/>
  <c r="L212" i="17"/>
  <c r="K212" i="17"/>
  <c r="J212" i="17"/>
  <c r="I212" i="17"/>
  <c r="H212" i="17"/>
  <c r="G212" i="17"/>
  <c r="F212" i="17"/>
  <c r="L211" i="17"/>
  <c r="K211" i="17"/>
  <c r="J211" i="17"/>
  <c r="I211" i="17"/>
  <c r="H211" i="17"/>
  <c r="G211" i="17"/>
  <c r="F211" i="17"/>
  <c r="L210" i="17"/>
  <c r="K210" i="17"/>
  <c r="J210" i="17"/>
  <c r="I210" i="17"/>
  <c r="H210" i="17"/>
  <c r="G210" i="17"/>
  <c r="F210" i="17"/>
  <c r="L209" i="17"/>
  <c r="K209" i="17"/>
  <c r="J209" i="17"/>
  <c r="I209" i="17"/>
  <c r="H209" i="17"/>
  <c r="G209" i="17"/>
  <c r="F209" i="17"/>
  <c r="L208" i="17"/>
  <c r="K208" i="17"/>
  <c r="J208" i="17"/>
  <c r="I208" i="17"/>
  <c r="H208" i="17"/>
  <c r="G208" i="17"/>
  <c r="F208" i="17"/>
  <c r="L207" i="17"/>
  <c r="K207" i="17"/>
  <c r="J207" i="17"/>
  <c r="I207" i="17"/>
  <c r="H207" i="17"/>
  <c r="G207" i="17"/>
  <c r="F207" i="17"/>
  <c r="L206" i="17"/>
  <c r="K206" i="17"/>
  <c r="J206" i="17"/>
  <c r="I206" i="17"/>
  <c r="H206" i="17"/>
  <c r="G206" i="17"/>
  <c r="F206" i="17"/>
  <c r="L205" i="17"/>
  <c r="K205" i="17"/>
  <c r="J205" i="17"/>
  <c r="I205" i="17"/>
  <c r="H205" i="17"/>
  <c r="G205" i="17"/>
  <c r="F205" i="17"/>
  <c r="L204" i="17"/>
  <c r="K204" i="17"/>
  <c r="J204" i="17"/>
  <c r="I204" i="17"/>
  <c r="H204" i="17"/>
  <c r="G204" i="17"/>
  <c r="F204" i="17"/>
  <c r="L203" i="17"/>
  <c r="K203" i="17"/>
  <c r="J203" i="17"/>
  <c r="I203" i="17"/>
  <c r="H203" i="17"/>
  <c r="G203" i="17"/>
  <c r="F203" i="17"/>
  <c r="L202" i="17"/>
  <c r="K202" i="17"/>
  <c r="J202" i="17"/>
  <c r="I202" i="17"/>
  <c r="H202" i="17"/>
  <c r="G202" i="17"/>
  <c r="F202" i="17"/>
  <c r="L201" i="17"/>
  <c r="K201" i="17"/>
  <c r="J201" i="17"/>
  <c r="I201" i="17"/>
  <c r="H201" i="17"/>
  <c r="G201" i="17"/>
  <c r="F201" i="17"/>
  <c r="L200" i="17"/>
  <c r="K200" i="17"/>
  <c r="J200" i="17"/>
  <c r="I200" i="17"/>
  <c r="H200" i="17"/>
  <c r="G200" i="17"/>
  <c r="F200" i="17"/>
  <c r="L199" i="17"/>
  <c r="K199" i="17"/>
  <c r="J199" i="17"/>
  <c r="I199" i="17"/>
  <c r="H199" i="17"/>
  <c r="G199" i="17"/>
  <c r="F199" i="17"/>
  <c r="L198" i="17"/>
  <c r="K198" i="17"/>
  <c r="J198" i="17"/>
  <c r="I198" i="17"/>
  <c r="H198" i="17"/>
  <c r="G198" i="17"/>
  <c r="F198" i="17"/>
  <c r="L197" i="17"/>
  <c r="K197" i="17"/>
  <c r="J197" i="17"/>
  <c r="I197" i="17"/>
  <c r="H197" i="17"/>
  <c r="G197" i="17"/>
  <c r="F197" i="17"/>
  <c r="L196" i="17"/>
  <c r="K196" i="17"/>
  <c r="J196" i="17"/>
  <c r="I196" i="17"/>
  <c r="H196" i="17"/>
  <c r="G196" i="17"/>
  <c r="F196" i="17"/>
  <c r="K195" i="17"/>
  <c r="M195" i="17" s="1"/>
  <c r="J195" i="17"/>
  <c r="I195" i="17"/>
  <c r="H195" i="17"/>
  <c r="G195" i="17"/>
  <c r="F195" i="17"/>
  <c r="D195" i="17"/>
  <c r="K194" i="17"/>
  <c r="M194" i="17" s="1"/>
  <c r="J194" i="17"/>
  <c r="I194" i="17"/>
  <c r="H194" i="17"/>
  <c r="G194" i="17"/>
  <c r="F194" i="17"/>
  <c r="D194" i="17"/>
  <c r="K193" i="17"/>
  <c r="M193" i="17" s="1"/>
  <c r="J193" i="17"/>
  <c r="I193" i="17"/>
  <c r="H193" i="17"/>
  <c r="G193" i="17"/>
  <c r="F193" i="17"/>
  <c r="D193" i="17"/>
  <c r="K192" i="17"/>
  <c r="M192" i="17" s="1"/>
  <c r="J192" i="17"/>
  <c r="I192" i="17"/>
  <c r="H192" i="17"/>
  <c r="G192" i="17"/>
  <c r="F192" i="17"/>
  <c r="D192" i="17"/>
  <c r="K191" i="17"/>
  <c r="M191" i="17" s="1"/>
  <c r="J191" i="17"/>
  <c r="I191" i="17"/>
  <c r="H191" i="17"/>
  <c r="G191" i="17"/>
  <c r="F191" i="17"/>
  <c r="D191" i="17"/>
  <c r="K190" i="17"/>
  <c r="M190" i="17" s="1"/>
  <c r="J190" i="17"/>
  <c r="I190" i="17"/>
  <c r="H190" i="17"/>
  <c r="G190" i="17"/>
  <c r="F190" i="17"/>
  <c r="D190" i="17"/>
  <c r="K189" i="17"/>
  <c r="M189" i="17" s="1"/>
  <c r="J189" i="17"/>
  <c r="I189" i="17"/>
  <c r="H189" i="17"/>
  <c r="G189" i="17"/>
  <c r="F189" i="17"/>
  <c r="D189" i="17"/>
  <c r="K188" i="17"/>
  <c r="M188" i="17" s="1"/>
  <c r="J188" i="17"/>
  <c r="I188" i="17"/>
  <c r="H188" i="17"/>
  <c r="G188" i="17"/>
  <c r="F188" i="17"/>
  <c r="D188" i="17"/>
  <c r="K187" i="17"/>
  <c r="M187" i="17" s="1"/>
  <c r="J187" i="17"/>
  <c r="I187" i="17"/>
  <c r="H187" i="17"/>
  <c r="G187" i="17"/>
  <c r="F187" i="17"/>
  <c r="D187" i="17"/>
  <c r="K186" i="17"/>
  <c r="M186" i="17" s="1"/>
  <c r="J186" i="17"/>
  <c r="I186" i="17"/>
  <c r="H186" i="17"/>
  <c r="G186" i="17"/>
  <c r="F186" i="17"/>
  <c r="D186" i="17"/>
  <c r="K185" i="17"/>
  <c r="M185" i="17" s="1"/>
  <c r="J185" i="17"/>
  <c r="I185" i="17"/>
  <c r="H185" i="17"/>
  <c r="G185" i="17"/>
  <c r="F185" i="17"/>
  <c r="D185" i="17"/>
  <c r="K184" i="17"/>
  <c r="M184" i="17" s="1"/>
  <c r="J184" i="17"/>
  <c r="I184" i="17"/>
  <c r="H184" i="17"/>
  <c r="G184" i="17"/>
  <c r="F184" i="17"/>
  <c r="D184" i="17"/>
  <c r="K183" i="17"/>
  <c r="M183" i="17" s="1"/>
  <c r="J183" i="17"/>
  <c r="I183" i="17"/>
  <c r="H183" i="17"/>
  <c r="G183" i="17"/>
  <c r="F183" i="17"/>
  <c r="D183" i="17"/>
  <c r="K182" i="17"/>
  <c r="M182" i="17" s="1"/>
  <c r="J182" i="17"/>
  <c r="I182" i="17"/>
  <c r="H182" i="17"/>
  <c r="G182" i="17"/>
  <c r="F182" i="17"/>
  <c r="D182" i="17"/>
  <c r="K181" i="17"/>
  <c r="M181" i="17" s="1"/>
  <c r="J181" i="17"/>
  <c r="I181" i="17"/>
  <c r="H181" i="17"/>
  <c r="G181" i="17"/>
  <c r="F181" i="17"/>
  <c r="D181" i="17"/>
  <c r="K180" i="17"/>
  <c r="M180" i="17" s="1"/>
  <c r="J180" i="17"/>
  <c r="I180" i="17"/>
  <c r="H180" i="17"/>
  <c r="G180" i="17"/>
  <c r="F180" i="17"/>
  <c r="D180" i="17"/>
  <c r="K179" i="17"/>
  <c r="M179" i="17" s="1"/>
  <c r="J179" i="17"/>
  <c r="I179" i="17"/>
  <c r="H179" i="17"/>
  <c r="G179" i="17"/>
  <c r="F179" i="17"/>
  <c r="D179" i="17"/>
  <c r="K178" i="17"/>
  <c r="M178" i="17" s="1"/>
  <c r="J178" i="17"/>
  <c r="I178" i="17"/>
  <c r="H178" i="17"/>
  <c r="G178" i="17"/>
  <c r="F178" i="17"/>
  <c r="D178" i="17"/>
  <c r="L177" i="17"/>
  <c r="K177" i="17"/>
  <c r="J177" i="17"/>
  <c r="I177" i="17"/>
  <c r="H177" i="17"/>
  <c r="G177" i="17"/>
  <c r="F177" i="17"/>
  <c r="L176" i="17"/>
  <c r="K176" i="17"/>
  <c r="J176" i="17"/>
  <c r="I176" i="17"/>
  <c r="H176" i="17"/>
  <c r="G176" i="17"/>
  <c r="F176" i="17"/>
  <c r="L175" i="17"/>
  <c r="K175" i="17"/>
  <c r="J175" i="17"/>
  <c r="I175" i="17"/>
  <c r="H175" i="17"/>
  <c r="G175" i="17"/>
  <c r="F175" i="17"/>
  <c r="L174" i="17"/>
  <c r="K174" i="17"/>
  <c r="J174" i="17"/>
  <c r="I174" i="17"/>
  <c r="H174" i="17"/>
  <c r="G174" i="17"/>
  <c r="F174" i="17"/>
  <c r="L173" i="17"/>
  <c r="K173" i="17"/>
  <c r="J173" i="17"/>
  <c r="I173" i="17"/>
  <c r="H173" i="17"/>
  <c r="G173" i="17"/>
  <c r="F173" i="17"/>
  <c r="L172" i="17"/>
  <c r="K172" i="17"/>
  <c r="J172" i="17"/>
  <c r="I172" i="17"/>
  <c r="H172" i="17"/>
  <c r="G172" i="17"/>
  <c r="F172" i="17"/>
  <c r="L171" i="17"/>
  <c r="K171" i="17"/>
  <c r="J171" i="17"/>
  <c r="I171" i="17"/>
  <c r="H171" i="17"/>
  <c r="G171" i="17"/>
  <c r="F171" i="17"/>
  <c r="L170" i="17"/>
  <c r="K170" i="17"/>
  <c r="J170" i="17"/>
  <c r="I170" i="17"/>
  <c r="H170" i="17"/>
  <c r="G170" i="17"/>
  <c r="F170" i="17"/>
  <c r="L169" i="17"/>
  <c r="K169" i="17"/>
  <c r="J169" i="17"/>
  <c r="I169" i="17"/>
  <c r="H169" i="17"/>
  <c r="G169" i="17"/>
  <c r="F169" i="17"/>
  <c r="L168" i="17"/>
  <c r="K168" i="17"/>
  <c r="J168" i="17"/>
  <c r="I168" i="17"/>
  <c r="H168" i="17"/>
  <c r="G168" i="17"/>
  <c r="F168" i="17"/>
  <c r="L167" i="17"/>
  <c r="K167" i="17"/>
  <c r="J167" i="17"/>
  <c r="I167" i="17"/>
  <c r="H167" i="17"/>
  <c r="G167" i="17"/>
  <c r="F167" i="17"/>
  <c r="L166" i="17"/>
  <c r="K166" i="17"/>
  <c r="J166" i="17"/>
  <c r="I166" i="17"/>
  <c r="H166" i="17"/>
  <c r="G166" i="17"/>
  <c r="F166" i="17"/>
  <c r="L165" i="17"/>
  <c r="K165" i="17"/>
  <c r="J165" i="17"/>
  <c r="I165" i="17"/>
  <c r="H165" i="17"/>
  <c r="G165" i="17"/>
  <c r="F165" i="17"/>
  <c r="L164" i="17"/>
  <c r="K164" i="17"/>
  <c r="J164" i="17"/>
  <c r="I164" i="17"/>
  <c r="H164" i="17"/>
  <c r="G164" i="17"/>
  <c r="F164" i="17"/>
  <c r="L163" i="17"/>
  <c r="K163" i="17"/>
  <c r="J163" i="17"/>
  <c r="I163" i="17"/>
  <c r="H163" i="17"/>
  <c r="G163" i="17"/>
  <c r="F163" i="17"/>
  <c r="L162" i="17"/>
  <c r="K162" i="17"/>
  <c r="J162" i="17"/>
  <c r="I162" i="17"/>
  <c r="H162" i="17"/>
  <c r="G162" i="17"/>
  <c r="F162" i="17"/>
  <c r="L161" i="17"/>
  <c r="K161" i="17"/>
  <c r="J161" i="17"/>
  <c r="I161" i="17"/>
  <c r="H161" i="17"/>
  <c r="G161" i="17"/>
  <c r="F161" i="17"/>
  <c r="L160" i="17"/>
  <c r="K160" i="17"/>
  <c r="J160" i="17"/>
  <c r="I160" i="17"/>
  <c r="H160" i="17"/>
  <c r="G160" i="17"/>
  <c r="F160" i="17"/>
  <c r="L159" i="17"/>
  <c r="K159" i="17"/>
  <c r="J159" i="17"/>
  <c r="I159" i="17"/>
  <c r="H159" i="17"/>
  <c r="G159" i="17"/>
  <c r="F159" i="17"/>
  <c r="L158" i="17"/>
  <c r="K158" i="17"/>
  <c r="J158" i="17"/>
  <c r="I158" i="17"/>
  <c r="H158" i="17"/>
  <c r="G158" i="17"/>
  <c r="F158" i="17"/>
  <c r="L157" i="17"/>
  <c r="K157" i="17"/>
  <c r="J157" i="17"/>
  <c r="I157" i="17"/>
  <c r="H157" i="17"/>
  <c r="G157" i="17"/>
  <c r="F157" i="17"/>
  <c r="L156" i="17"/>
  <c r="K156" i="17"/>
  <c r="J156" i="17"/>
  <c r="I156" i="17"/>
  <c r="H156" i="17"/>
  <c r="G156" i="17"/>
  <c r="F156" i="17"/>
  <c r="K155" i="17"/>
  <c r="M155" i="17" s="1"/>
  <c r="J155" i="17"/>
  <c r="I155" i="17"/>
  <c r="H155" i="17"/>
  <c r="G155" i="17"/>
  <c r="F155" i="17"/>
  <c r="D155" i="17"/>
  <c r="K154" i="17"/>
  <c r="M154" i="17" s="1"/>
  <c r="J154" i="17"/>
  <c r="I154" i="17"/>
  <c r="H154" i="17"/>
  <c r="G154" i="17"/>
  <c r="F154" i="17"/>
  <c r="D154" i="17"/>
  <c r="K153" i="17"/>
  <c r="M153" i="17" s="1"/>
  <c r="J153" i="17"/>
  <c r="I153" i="17"/>
  <c r="H153" i="17"/>
  <c r="G153" i="17"/>
  <c r="F153" i="17"/>
  <c r="D153" i="17"/>
  <c r="K152" i="17"/>
  <c r="M152" i="17" s="1"/>
  <c r="J152" i="17"/>
  <c r="I152" i="17"/>
  <c r="H152" i="17"/>
  <c r="G152" i="17"/>
  <c r="F152" i="17"/>
  <c r="D152" i="17"/>
  <c r="K151" i="17"/>
  <c r="M151" i="17" s="1"/>
  <c r="J151" i="17"/>
  <c r="I151" i="17"/>
  <c r="H151" i="17"/>
  <c r="G151" i="17"/>
  <c r="F151" i="17"/>
  <c r="D151" i="17"/>
  <c r="K150" i="17"/>
  <c r="M150" i="17" s="1"/>
  <c r="J150" i="17"/>
  <c r="I150" i="17"/>
  <c r="H150" i="17"/>
  <c r="G150" i="17"/>
  <c r="F150" i="17"/>
  <c r="D150" i="17"/>
  <c r="K149" i="17"/>
  <c r="M149" i="17" s="1"/>
  <c r="J149" i="17"/>
  <c r="I149" i="17"/>
  <c r="H149" i="17"/>
  <c r="G149" i="17"/>
  <c r="F149" i="17"/>
  <c r="D149" i="17"/>
  <c r="K148" i="17"/>
  <c r="M148" i="17" s="1"/>
  <c r="J148" i="17"/>
  <c r="I148" i="17"/>
  <c r="H148" i="17"/>
  <c r="G148" i="17"/>
  <c r="F148" i="17"/>
  <c r="D148" i="17"/>
  <c r="K147" i="17"/>
  <c r="M147" i="17" s="1"/>
  <c r="J147" i="17"/>
  <c r="I147" i="17"/>
  <c r="H147" i="17"/>
  <c r="G147" i="17"/>
  <c r="F147" i="17"/>
  <c r="D147" i="17"/>
  <c r="K146" i="17"/>
  <c r="M146" i="17" s="1"/>
  <c r="J146" i="17"/>
  <c r="I146" i="17"/>
  <c r="H146" i="17"/>
  <c r="G146" i="17"/>
  <c r="F146" i="17"/>
  <c r="D146" i="17"/>
  <c r="K145" i="17"/>
  <c r="M145" i="17" s="1"/>
  <c r="J145" i="17"/>
  <c r="I145" i="17"/>
  <c r="H145" i="17"/>
  <c r="G145" i="17"/>
  <c r="F145" i="17"/>
  <c r="D145" i="17"/>
  <c r="K144" i="17"/>
  <c r="M144" i="17" s="1"/>
  <c r="J144" i="17"/>
  <c r="I144" i="17"/>
  <c r="H144" i="17"/>
  <c r="G144" i="17"/>
  <c r="F144" i="17"/>
  <c r="D144" i="17"/>
  <c r="K143" i="17"/>
  <c r="M143" i="17" s="1"/>
  <c r="J143" i="17"/>
  <c r="I143" i="17"/>
  <c r="H143" i="17"/>
  <c r="G143" i="17"/>
  <c r="F143" i="17"/>
  <c r="D143" i="17"/>
  <c r="K142" i="17"/>
  <c r="M142" i="17" s="1"/>
  <c r="J142" i="17"/>
  <c r="I142" i="17"/>
  <c r="H142" i="17"/>
  <c r="G142" i="17"/>
  <c r="F142" i="17"/>
  <c r="D142" i="17"/>
  <c r="K141" i="17"/>
  <c r="M141" i="17" s="1"/>
  <c r="J141" i="17"/>
  <c r="I141" i="17"/>
  <c r="H141" i="17"/>
  <c r="G141" i="17"/>
  <c r="F141" i="17"/>
  <c r="D141" i="17"/>
  <c r="K140" i="17"/>
  <c r="M140" i="17" s="1"/>
  <c r="J140" i="17"/>
  <c r="I140" i="17"/>
  <c r="H140" i="17"/>
  <c r="G140" i="17"/>
  <c r="F140" i="17"/>
  <c r="D140" i="17"/>
  <c r="K139" i="17"/>
  <c r="M139" i="17" s="1"/>
  <c r="J139" i="17"/>
  <c r="I139" i="17"/>
  <c r="H139" i="17"/>
  <c r="G139" i="17"/>
  <c r="F139" i="17"/>
  <c r="D139" i="17"/>
  <c r="K138" i="17"/>
  <c r="M138" i="17" s="1"/>
  <c r="J138" i="17"/>
  <c r="I138" i="17"/>
  <c r="H138" i="17"/>
  <c r="G138" i="17"/>
  <c r="F138" i="17"/>
  <c r="D138" i="17"/>
  <c r="L137" i="17"/>
  <c r="K137" i="17"/>
  <c r="J137" i="17"/>
  <c r="I137" i="17"/>
  <c r="H137" i="17"/>
  <c r="G137" i="17"/>
  <c r="F137" i="17"/>
  <c r="L136" i="17"/>
  <c r="K136" i="17"/>
  <c r="J136" i="17"/>
  <c r="I136" i="17"/>
  <c r="H136" i="17"/>
  <c r="G136" i="17"/>
  <c r="F136" i="17"/>
  <c r="L135" i="17"/>
  <c r="K135" i="17"/>
  <c r="J135" i="17"/>
  <c r="I135" i="17"/>
  <c r="H135" i="17"/>
  <c r="G135" i="17"/>
  <c r="F135" i="17"/>
  <c r="L134" i="17"/>
  <c r="K134" i="17"/>
  <c r="J134" i="17"/>
  <c r="I134" i="17"/>
  <c r="H134" i="17"/>
  <c r="G134" i="17"/>
  <c r="F134" i="17"/>
  <c r="L133" i="17"/>
  <c r="K133" i="17"/>
  <c r="J133" i="17"/>
  <c r="I133" i="17"/>
  <c r="H133" i="17"/>
  <c r="G133" i="17"/>
  <c r="F133" i="17"/>
  <c r="L132" i="17"/>
  <c r="K132" i="17"/>
  <c r="J132" i="17"/>
  <c r="I132" i="17"/>
  <c r="H132" i="17"/>
  <c r="G132" i="17"/>
  <c r="F132" i="17"/>
  <c r="L131" i="17"/>
  <c r="K131" i="17"/>
  <c r="J131" i="17"/>
  <c r="I131" i="17"/>
  <c r="H131" i="17"/>
  <c r="G131" i="17"/>
  <c r="F131" i="17"/>
  <c r="L130" i="17"/>
  <c r="K130" i="17"/>
  <c r="J130" i="17"/>
  <c r="I130" i="17"/>
  <c r="H130" i="17"/>
  <c r="G130" i="17"/>
  <c r="F130" i="17"/>
  <c r="L129" i="17"/>
  <c r="K129" i="17"/>
  <c r="J129" i="17"/>
  <c r="I129" i="17"/>
  <c r="H129" i="17"/>
  <c r="G129" i="17"/>
  <c r="F129" i="17"/>
  <c r="L128" i="17"/>
  <c r="K128" i="17"/>
  <c r="J128" i="17"/>
  <c r="I128" i="17"/>
  <c r="H128" i="17"/>
  <c r="G128" i="17"/>
  <c r="F128" i="17"/>
  <c r="L127" i="17"/>
  <c r="K127" i="17"/>
  <c r="J127" i="17"/>
  <c r="I127" i="17"/>
  <c r="H127" i="17"/>
  <c r="G127" i="17"/>
  <c r="F127" i="17"/>
  <c r="L126" i="17"/>
  <c r="K126" i="17"/>
  <c r="J126" i="17"/>
  <c r="I126" i="17"/>
  <c r="H126" i="17"/>
  <c r="G126" i="17"/>
  <c r="F126" i="17"/>
  <c r="L125" i="17"/>
  <c r="K125" i="17"/>
  <c r="J125" i="17"/>
  <c r="I125" i="17"/>
  <c r="H125" i="17"/>
  <c r="G125" i="17"/>
  <c r="F125" i="17"/>
  <c r="L124" i="17"/>
  <c r="K124" i="17"/>
  <c r="J124" i="17"/>
  <c r="I124" i="17"/>
  <c r="H124" i="17"/>
  <c r="G124" i="17"/>
  <c r="F124" i="17"/>
  <c r="L123" i="17"/>
  <c r="K123" i="17"/>
  <c r="J123" i="17"/>
  <c r="I123" i="17"/>
  <c r="H123" i="17"/>
  <c r="G123" i="17"/>
  <c r="F123" i="17"/>
  <c r="L122" i="17"/>
  <c r="K122" i="17"/>
  <c r="J122" i="17"/>
  <c r="I122" i="17"/>
  <c r="H122" i="17"/>
  <c r="G122" i="17"/>
  <c r="F122" i="17"/>
  <c r="L121" i="17"/>
  <c r="K121" i="17"/>
  <c r="J121" i="17"/>
  <c r="I121" i="17"/>
  <c r="H121" i="17"/>
  <c r="G121" i="17"/>
  <c r="F121" i="17"/>
  <c r="L120" i="17"/>
  <c r="K120" i="17"/>
  <c r="J120" i="17"/>
  <c r="I120" i="17"/>
  <c r="H120" i="17"/>
  <c r="G120" i="17"/>
  <c r="F120" i="17"/>
  <c r="L119" i="17"/>
  <c r="K119" i="17"/>
  <c r="J119" i="17"/>
  <c r="I119" i="17"/>
  <c r="H119" i="17"/>
  <c r="G119" i="17"/>
  <c r="F119" i="17"/>
  <c r="L118" i="17"/>
  <c r="K118" i="17"/>
  <c r="J118" i="17"/>
  <c r="I118" i="17"/>
  <c r="H118" i="17"/>
  <c r="G118" i="17"/>
  <c r="F118" i="17"/>
  <c r="L117" i="17"/>
  <c r="K117" i="17"/>
  <c r="J117" i="17"/>
  <c r="I117" i="17"/>
  <c r="H117" i="17"/>
  <c r="G117" i="17"/>
  <c r="F117" i="17"/>
  <c r="L116" i="17"/>
  <c r="K116" i="17"/>
  <c r="J116" i="17"/>
  <c r="I116" i="17"/>
  <c r="H116" i="17"/>
  <c r="G116" i="17"/>
  <c r="F116" i="17"/>
  <c r="K115" i="17"/>
  <c r="M115" i="17" s="1"/>
  <c r="J115" i="17"/>
  <c r="I115" i="17"/>
  <c r="H115" i="17"/>
  <c r="G115" i="17"/>
  <c r="F115" i="17"/>
  <c r="D115" i="17"/>
  <c r="K114" i="17"/>
  <c r="M114" i="17" s="1"/>
  <c r="J114" i="17"/>
  <c r="I114" i="17"/>
  <c r="H114" i="17"/>
  <c r="G114" i="17"/>
  <c r="F114" i="17"/>
  <c r="D114" i="17"/>
  <c r="K113" i="17"/>
  <c r="M113" i="17" s="1"/>
  <c r="J113" i="17"/>
  <c r="I113" i="17"/>
  <c r="H113" i="17"/>
  <c r="G113" i="17"/>
  <c r="F113" i="17"/>
  <c r="D113" i="17"/>
  <c r="K112" i="17"/>
  <c r="M112" i="17" s="1"/>
  <c r="J112" i="17"/>
  <c r="I112" i="17"/>
  <c r="H112" i="17"/>
  <c r="G112" i="17"/>
  <c r="F112" i="17"/>
  <c r="D112" i="17"/>
  <c r="K111" i="17"/>
  <c r="M111" i="17" s="1"/>
  <c r="J111" i="17"/>
  <c r="I111" i="17"/>
  <c r="H111" i="17"/>
  <c r="G111" i="17"/>
  <c r="F111" i="17"/>
  <c r="D111" i="17"/>
  <c r="K110" i="17"/>
  <c r="M110" i="17" s="1"/>
  <c r="J110" i="17"/>
  <c r="I110" i="17"/>
  <c r="H110" i="17"/>
  <c r="G110" i="17"/>
  <c r="F110" i="17"/>
  <c r="D110" i="17"/>
  <c r="K109" i="17"/>
  <c r="M109" i="17" s="1"/>
  <c r="J109" i="17"/>
  <c r="I109" i="17"/>
  <c r="H109" i="17"/>
  <c r="G109" i="17"/>
  <c r="F109" i="17"/>
  <c r="D109" i="17"/>
  <c r="K108" i="17"/>
  <c r="M108" i="17" s="1"/>
  <c r="J108" i="17"/>
  <c r="I108" i="17"/>
  <c r="H108" i="17"/>
  <c r="G108" i="17"/>
  <c r="F108" i="17"/>
  <c r="D108" i="17"/>
  <c r="K107" i="17"/>
  <c r="M107" i="17" s="1"/>
  <c r="J107" i="17"/>
  <c r="I107" i="17"/>
  <c r="H107" i="17"/>
  <c r="G107" i="17"/>
  <c r="F107" i="17"/>
  <c r="D107" i="17"/>
  <c r="K106" i="17"/>
  <c r="M106" i="17" s="1"/>
  <c r="J106" i="17"/>
  <c r="I106" i="17"/>
  <c r="H106" i="17"/>
  <c r="G106" i="17"/>
  <c r="F106" i="17"/>
  <c r="D106" i="17"/>
  <c r="K105" i="17"/>
  <c r="M105" i="17" s="1"/>
  <c r="J105" i="17"/>
  <c r="I105" i="17"/>
  <c r="H105" i="17"/>
  <c r="G105" i="17"/>
  <c r="F105" i="17"/>
  <c r="D105" i="17"/>
  <c r="K104" i="17"/>
  <c r="M104" i="17" s="1"/>
  <c r="J104" i="17"/>
  <c r="I104" i="17"/>
  <c r="H104" i="17"/>
  <c r="G104" i="17"/>
  <c r="F104" i="17"/>
  <c r="D104" i="17"/>
  <c r="K103" i="17"/>
  <c r="M103" i="17" s="1"/>
  <c r="J103" i="17"/>
  <c r="I103" i="17"/>
  <c r="H103" i="17"/>
  <c r="G103" i="17"/>
  <c r="F103" i="17"/>
  <c r="D103" i="17"/>
  <c r="K102" i="17"/>
  <c r="M102" i="17" s="1"/>
  <c r="J102" i="17"/>
  <c r="I102" i="17"/>
  <c r="H102" i="17"/>
  <c r="G102" i="17"/>
  <c r="F102" i="17"/>
  <c r="D102" i="17"/>
  <c r="K101" i="17"/>
  <c r="M101" i="17" s="1"/>
  <c r="J101" i="17"/>
  <c r="I101" i="17"/>
  <c r="H101" i="17"/>
  <c r="G101" i="17"/>
  <c r="F101" i="17"/>
  <c r="D101" i="17"/>
  <c r="K100" i="17"/>
  <c r="M100" i="17" s="1"/>
  <c r="J100" i="17"/>
  <c r="I100" i="17"/>
  <c r="H100" i="17"/>
  <c r="G100" i="17"/>
  <c r="F100" i="17"/>
  <c r="D100" i="17"/>
  <c r="K99" i="17"/>
  <c r="M99" i="17" s="1"/>
  <c r="J99" i="17"/>
  <c r="I99" i="17"/>
  <c r="H99" i="17"/>
  <c r="G99" i="17"/>
  <c r="F99" i="17"/>
  <c r="D99" i="17"/>
  <c r="K98" i="17"/>
  <c r="M98" i="17" s="1"/>
  <c r="J98" i="17"/>
  <c r="I98" i="17"/>
  <c r="H98" i="17"/>
  <c r="G98" i="17"/>
  <c r="F98" i="17"/>
  <c r="D98" i="17"/>
  <c r="L97" i="17"/>
  <c r="K97" i="17"/>
  <c r="J97" i="17"/>
  <c r="I97" i="17"/>
  <c r="H97" i="17"/>
  <c r="G97" i="17"/>
  <c r="F97" i="17"/>
  <c r="L96" i="17"/>
  <c r="K96" i="17"/>
  <c r="J96" i="17"/>
  <c r="I96" i="17"/>
  <c r="H96" i="17"/>
  <c r="G96" i="17"/>
  <c r="F96" i="17"/>
  <c r="L95" i="17"/>
  <c r="K95" i="17"/>
  <c r="J95" i="17"/>
  <c r="I95" i="17"/>
  <c r="H95" i="17"/>
  <c r="G95" i="17"/>
  <c r="F95" i="17"/>
  <c r="L94" i="17"/>
  <c r="K94" i="17"/>
  <c r="J94" i="17"/>
  <c r="I94" i="17"/>
  <c r="H94" i="17"/>
  <c r="G94" i="17"/>
  <c r="F94" i="17"/>
  <c r="L93" i="17"/>
  <c r="K93" i="17"/>
  <c r="J93" i="17"/>
  <c r="I93" i="17"/>
  <c r="H93" i="17"/>
  <c r="G93" i="17"/>
  <c r="F93" i="17"/>
  <c r="L92" i="17"/>
  <c r="K92" i="17"/>
  <c r="J92" i="17"/>
  <c r="I92" i="17"/>
  <c r="H92" i="17"/>
  <c r="G92" i="17"/>
  <c r="F92" i="17"/>
  <c r="L91" i="17"/>
  <c r="K91" i="17"/>
  <c r="J91" i="17"/>
  <c r="I91" i="17"/>
  <c r="H91" i="17"/>
  <c r="G91" i="17"/>
  <c r="F91" i="17"/>
  <c r="L90" i="17"/>
  <c r="K90" i="17"/>
  <c r="J90" i="17"/>
  <c r="I90" i="17"/>
  <c r="H90" i="17"/>
  <c r="G90" i="17"/>
  <c r="F90" i="17"/>
  <c r="L89" i="17"/>
  <c r="K89" i="17"/>
  <c r="J89" i="17"/>
  <c r="I89" i="17"/>
  <c r="H89" i="17"/>
  <c r="G89" i="17"/>
  <c r="F89" i="17"/>
  <c r="L88" i="17"/>
  <c r="K88" i="17"/>
  <c r="J88" i="17"/>
  <c r="I88" i="17"/>
  <c r="H88" i="17"/>
  <c r="G88" i="17"/>
  <c r="F88" i="17"/>
  <c r="L87" i="17"/>
  <c r="K87" i="17"/>
  <c r="J87" i="17"/>
  <c r="I87" i="17"/>
  <c r="H87" i="17"/>
  <c r="G87" i="17"/>
  <c r="F87" i="17"/>
  <c r="L86" i="17"/>
  <c r="K86" i="17"/>
  <c r="J86" i="17"/>
  <c r="I86" i="17"/>
  <c r="H86" i="17"/>
  <c r="G86" i="17"/>
  <c r="F86" i="17"/>
  <c r="L85" i="17"/>
  <c r="K85" i="17"/>
  <c r="J85" i="17"/>
  <c r="I85" i="17"/>
  <c r="H85" i="17"/>
  <c r="G85" i="17"/>
  <c r="F85" i="17"/>
  <c r="L84" i="17"/>
  <c r="K84" i="17"/>
  <c r="J84" i="17"/>
  <c r="I84" i="17"/>
  <c r="H84" i="17"/>
  <c r="G84" i="17"/>
  <c r="F84" i="17"/>
  <c r="L83" i="17"/>
  <c r="K83" i="17"/>
  <c r="J83" i="17"/>
  <c r="I83" i="17"/>
  <c r="H83" i="17"/>
  <c r="G83" i="17"/>
  <c r="F83" i="17"/>
  <c r="L82" i="17"/>
  <c r="K82" i="17"/>
  <c r="J82" i="17"/>
  <c r="I82" i="17"/>
  <c r="H82" i="17"/>
  <c r="G82" i="17"/>
  <c r="F82" i="17"/>
  <c r="L81" i="17"/>
  <c r="K81" i="17"/>
  <c r="J81" i="17"/>
  <c r="I81" i="17"/>
  <c r="H81" i="17"/>
  <c r="G81" i="17"/>
  <c r="F81" i="17"/>
  <c r="L80" i="17"/>
  <c r="K80" i="17"/>
  <c r="J80" i="17"/>
  <c r="I80" i="17"/>
  <c r="H80" i="17"/>
  <c r="G80" i="17"/>
  <c r="F80" i="17"/>
  <c r="L79" i="17"/>
  <c r="K79" i="17"/>
  <c r="J79" i="17"/>
  <c r="I79" i="17"/>
  <c r="H79" i="17"/>
  <c r="G79" i="17"/>
  <c r="F79" i="17"/>
  <c r="L78" i="17"/>
  <c r="K78" i="17"/>
  <c r="J78" i="17"/>
  <c r="I78" i="17"/>
  <c r="H78" i="17"/>
  <c r="G78" i="17"/>
  <c r="F78" i="17"/>
  <c r="L77" i="17"/>
  <c r="K77" i="17"/>
  <c r="J77" i="17"/>
  <c r="I77" i="17"/>
  <c r="H77" i="17"/>
  <c r="G77" i="17"/>
  <c r="F77" i="17"/>
  <c r="L76" i="17"/>
  <c r="K76" i="17"/>
  <c r="J76" i="17"/>
  <c r="I76" i="17"/>
  <c r="H76" i="17"/>
  <c r="G76" i="17"/>
  <c r="F76" i="17"/>
  <c r="L75" i="17"/>
  <c r="K75" i="17"/>
  <c r="J75" i="17"/>
  <c r="I75" i="17"/>
  <c r="H75" i="17"/>
  <c r="G75" i="17"/>
  <c r="F75" i="17"/>
  <c r="L74" i="17"/>
  <c r="K74" i="17"/>
  <c r="J74" i="17"/>
  <c r="I74" i="17"/>
  <c r="H74" i="17"/>
  <c r="G74" i="17"/>
  <c r="F74" i="17"/>
  <c r="L73" i="17"/>
  <c r="K73" i="17"/>
  <c r="J73" i="17"/>
  <c r="I73" i="17"/>
  <c r="H73" i="17"/>
  <c r="G73" i="17"/>
  <c r="F73" i="17"/>
  <c r="L72" i="17"/>
  <c r="K72" i="17"/>
  <c r="J72" i="17"/>
  <c r="I72" i="17"/>
  <c r="H72" i="17"/>
  <c r="G72" i="17"/>
  <c r="F72" i="17"/>
  <c r="L71" i="17"/>
  <c r="K71" i="17"/>
  <c r="J71" i="17"/>
  <c r="I71" i="17"/>
  <c r="H71" i="17"/>
  <c r="G71" i="17"/>
  <c r="F71" i="17"/>
  <c r="L70" i="17"/>
  <c r="K70" i="17"/>
  <c r="J70" i="17"/>
  <c r="I70" i="17"/>
  <c r="H70" i="17"/>
  <c r="G70" i="17"/>
  <c r="F70" i="17"/>
  <c r="L69" i="17"/>
  <c r="K69" i="17"/>
  <c r="J69" i="17"/>
  <c r="I69" i="17"/>
  <c r="H69" i="17"/>
  <c r="G69" i="17"/>
  <c r="F69" i="17"/>
  <c r="L68" i="17"/>
  <c r="K68" i="17"/>
  <c r="J68" i="17"/>
  <c r="I68" i="17"/>
  <c r="H68" i="17"/>
  <c r="G68" i="17"/>
  <c r="F68" i="17"/>
  <c r="L67" i="17"/>
  <c r="K67" i="17"/>
  <c r="J67" i="17"/>
  <c r="I67" i="17"/>
  <c r="H67" i="17"/>
  <c r="G67" i="17"/>
  <c r="F67" i="17"/>
  <c r="L66" i="17"/>
  <c r="K66" i="17"/>
  <c r="J66" i="17"/>
  <c r="I66" i="17"/>
  <c r="H66" i="17"/>
  <c r="G66" i="17"/>
  <c r="F66" i="17"/>
  <c r="L65" i="17"/>
  <c r="K65" i="17"/>
  <c r="J65" i="17"/>
  <c r="I65" i="17"/>
  <c r="H65" i="17"/>
  <c r="G65" i="17"/>
  <c r="F65" i="17"/>
  <c r="L64" i="17"/>
  <c r="K64" i="17"/>
  <c r="J64" i="17"/>
  <c r="I64" i="17"/>
  <c r="H64" i="17"/>
  <c r="G64" i="17"/>
  <c r="F64" i="17"/>
  <c r="L63" i="17"/>
  <c r="K63" i="17"/>
  <c r="J63" i="17"/>
  <c r="I63" i="17"/>
  <c r="H63" i="17"/>
  <c r="G63" i="17"/>
  <c r="F63" i="17"/>
  <c r="K62" i="17"/>
  <c r="M62" i="17" s="1"/>
  <c r="J62" i="17"/>
  <c r="I62" i="17"/>
  <c r="H62" i="17"/>
  <c r="G62" i="17"/>
  <c r="F62" i="17"/>
  <c r="D62" i="17"/>
  <c r="K61" i="17"/>
  <c r="M61" i="17" s="1"/>
  <c r="J61" i="17"/>
  <c r="I61" i="17"/>
  <c r="H61" i="17"/>
  <c r="G61" i="17"/>
  <c r="F61" i="17"/>
  <c r="D61" i="17"/>
  <c r="K60" i="17"/>
  <c r="M60" i="17" s="1"/>
  <c r="J60" i="17"/>
  <c r="I60" i="17"/>
  <c r="H60" i="17"/>
  <c r="G60" i="17"/>
  <c r="F60" i="17"/>
  <c r="D60" i="17"/>
  <c r="K59" i="17"/>
  <c r="M59" i="17" s="1"/>
  <c r="J59" i="17"/>
  <c r="I59" i="17"/>
  <c r="H59" i="17"/>
  <c r="G59" i="17"/>
  <c r="F59" i="17"/>
  <c r="D59" i="17"/>
  <c r="K58" i="17"/>
  <c r="M58" i="17" s="1"/>
  <c r="J58" i="17"/>
  <c r="I58" i="17"/>
  <c r="H58" i="17"/>
  <c r="G58" i="17"/>
  <c r="F58" i="17"/>
  <c r="D58" i="17"/>
  <c r="K57" i="17"/>
  <c r="M57" i="17" s="1"/>
  <c r="J57" i="17"/>
  <c r="I57" i="17"/>
  <c r="H57" i="17"/>
  <c r="G57" i="17"/>
  <c r="F57" i="17"/>
  <c r="D57" i="17"/>
  <c r="K56" i="17"/>
  <c r="M56" i="17" s="1"/>
  <c r="J56" i="17"/>
  <c r="I56" i="17"/>
  <c r="H56" i="17"/>
  <c r="G56" i="17"/>
  <c r="F56" i="17"/>
  <c r="D56" i="17"/>
  <c r="K55" i="17"/>
  <c r="M55" i="17" s="1"/>
  <c r="J55" i="17"/>
  <c r="I55" i="17"/>
  <c r="H55" i="17"/>
  <c r="G55" i="17"/>
  <c r="F55" i="17"/>
  <c r="D55" i="17"/>
  <c r="K54" i="17"/>
  <c r="M54" i="17" s="1"/>
  <c r="J54" i="17"/>
  <c r="I54" i="17"/>
  <c r="H54" i="17"/>
  <c r="G54" i="17"/>
  <c r="F54" i="17"/>
  <c r="D54" i="17"/>
  <c r="K53" i="17"/>
  <c r="M53" i="17" s="1"/>
  <c r="J53" i="17"/>
  <c r="I53" i="17"/>
  <c r="H53" i="17"/>
  <c r="G53" i="17"/>
  <c r="F53" i="17"/>
  <c r="D53" i="17"/>
  <c r="K52" i="17"/>
  <c r="M52" i="17" s="1"/>
  <c r="J52" i="17"/>
  <c r="I52" i="17"/>
  <c r="H52" i="17"/>
  <c r="G52" i="17"/>
  <c r="F52" i="17"/>
  <c r="D52" i="17"/>
  <c r="K51" i="17"/>
  <c r="M51" i="17" s="1"/>
  <c r="J51" i="17"/>
  <c r="I51" i="17"/>
  <c r="H51" i="17"/>
  <c r="G51" i="17"/>
  <c r="F51" i="17"/>
  <c r="D51" i="17"/>
  <c r="K50" i="17"/>
  <c r="M50" i="17" s="1"/>
  <c r="J50" i="17"/>
  <c r="I50" i="17"/>
  <c r="H50" i="17"/>
  <c r="G50" i="17"/>
  <c r="F50" i="17"/>
  <c r="D50" i="17"/>
  <c r="K49" i="17"/>
  <c r="M49" i="17" s="1"/>
  <c r="J49" i="17"/>
  <c r="I49" i="17"/>
  <c r="H49" i="17"/>
  <c r="G49" i="17"/>
  <c r="F49" i="17"/>
  <c r="D49" i="17"/>
  <c r="K48" i="17"/>
  <c r="M48" i="17" s="1"/>
  <c r="J48" i="17"/>
  <c r="I48" i="17"/>
  <c r="H48" i="17"/>
  <c r="G48" i="17"/>
  <c r="F48" i="17"/>
  <c r="D48" i="17"/>
  <c r="K47" i="17"/>
  <c r="M47" i="17" s="1"/>
  <c r="J47" i="17"/>
  <c r="I47" i="17"/>
  <c r="H47" i="17"/>
  <c r="G47" i="17"/>
  <c r="F47" i="17"/>
  <c r="D47" i="17"/>
  <c r="K46" i="17"/>
  <c r="M46" i="17" s="1"/>
  <c r="J46" i="17"/>
  <c r="I46" i="17"/>
  <c r="H46" i="17"/>
  <c r="G46" i="17"/>
  <c r="F46" i="17"/>
  <c r="D46" i="17"/>
  <c r="K45" i="17"/>
  <c r="M45" i="17" s="1"/>
  <c r="J45" i="17"/>
  <c r="I45" i="17"/>
  <c r="H45" i="17"/>
  <c r="G45" i="17"/>
  <c r="F45" i="17"/>
  <c r="D45" i="17"/>
  <c r="L44" i="17"/>
  <c r="K44" i="17"/>
  <c r="J44" i="17"/>
  <c r="I44" i="17"/>
  <c r="H44" i="17"/>
  <c r="G44" i="17"/>
  <c r="F44" i="17"/>
  <c r="L43" i="17"/>
  <c r="K43" i="17"/>
  <c r="J43" i="17"/>
  <c r="I43" i="17"/>
  <c r="H43" i="17"/>
  <c r="G43" i="17"/>
  <c r="F43" i="17"/>
  <c r="L42" i="17"/>
  <c r="K42" i="17"/>
  <c r="J42" i="17"/>
  <c r="I42" i="17"/>
  <c r="H42" i="17"/>
  <c r="G42" i="17"/>
  <c r="F42" i="17"/>
  <c r="L41" i="17"/>
  <c r="K41" i="17"/>
  <c r="J41" i="17"/>
  <c r="I41" i="17"/>
  <c r="H41" i="17"/>
  <c r="G41" i="17"/>
  <c r="F41" i="17"/>
  <c r="L40" i="17"/>
  <c r="K40" i="17"/>
  <c r="J40" i="17"/>
  <c r="I40" i="17"/>
  <c r="H40" i="17"/>
  <c r="G40" i="17"/>
  <c r="F40" i="17"/>
  <c r="L39" i="17"/>
  <c r="K39" i="17"/>
  <c r="J39" i="17"/>
  <c r="I39" i="17"/>
  <c r="H39" i="17"/>
  <c r="G39" i="17"/>
  <c r="F39" i="17"/>
  <c r="L38" i="17"/>
  <c r="K38" i="17"/>
  <c r="J38" i="17"/>
  <c r="I38" i="17"/>
  <c r="H38" i="17"/>
  <c r="G38" i="17"/>
  <c r="F38" i="17"/>
  <c r="L37" i="17"/>
  <c r="K37" i="17"/>
  <c r="J37" i="17"/>
  <c r="I37" i="17"/>
  <c r="H37" i="17"/>
  <c r="G37" i="17"/>
  <c r="F37" i="17"/>
  <c r="L36" i="17"/>
  <c r="K36" i="17"/>
  <c r="J36" i="17"/>
  <c r="I36" i="17"/>
  <c r="H36" i="17"/>
  <c r="G36" i="17"/>
  <c r="F36" i="17"/>
  <c r="L35" i="17"/>
  <c r="K35" i="17"/>
  <c r="J35" i="17"/>
  <c r="I35" i="17"/>
  <c r="H35" i="17"/>
  <c r="G35" i="17"/>
  <c r="F35" i="17"/>
  <c r="L34" i="17"/>
  <c r="K34" i="17"/>
  <c r="J34" i="17"/>
  <c r="I34" i="17"/>
  <c r="H34" i="17"/>
  <c r="G34" i="17"/>
  <c r="F34" i="17"/>
  <c r="L33" i="17"/>
  <c r="K33" i="17"/>
  <c r="J33" i="17"/>
  <c r="I33" i="17"/>
  <c r="H33" i="17"/>
  <c r="G33" i="17"/>
  <c r="F33" i="17"/>
  <c r="L32" i="17"/>
  <c r="K32" i="17"/>
  <c r="J32" i="17"/>
  <c r="I32" i="17"/>
  <c r="H32" i="17"/>
  <c r="G32" i="17"/>
  <c r="F32" i="17"/>
  <c r="L31" i="17"/>
  <c r="K31" i="17"/>
  <c r="J31" i="17"/>
  <c r="I31" i="17"/>
  <c r="H31" i="17"/>
  <c r="G31" i="17"/>
  <c r="F31" i="17"/>
  <c r="L30" i="17"/>
  <c r="K30" i="17"/>
  <c r="J30" i="17"/>
  <c r="I30" i="17"/>
  <c r="H30" i="17"/>
  <c r="G30" i="17"/>
  <c r="F30" i="17"/>
  <c r="L29" i="17"/>
  <c r="K29" i="17"/>
  <c r="J29" i="17"/>
  <c r="I29" i="17"/>
  <c r="H29" i="17"/>
  <c r="G29" i="17"/>
  <c r="F29" i="17"/>
  <c r="L28" i="17"/>
  <c r="K28" i="17"/>
  <c r="J28" i="17"/>
  <c r="I28" i="17"/>
  <c r="H28" i="17"/>
  <c r="G28" i="17"/>
  <c r="F28" i="17"/>
  <c r="L27" i="17"/>
  <c r="K27" i="17"/>
  <c r="J27" i="17"/>
  <c r="I27" i="17"/>
  <c r="H27" i="17"/>
  <c r="G27" i="17"/>
  <c r="F27" i="17"/>
  <c r="L26" i="17"/>
  <c r="K26" i="17"/>
  <c r="J26" i="17"/>
  <c r="I26" i="17"/>
  <c r="H26" i="17"/>
  <c r="G26" i="17"/>
  <c r="F26" i="17"/>
  <c r="L25" i="17"/>
  <c r="K25" i="17"/>
  <c r="J25" i="17"/>
  <c r="I25" i="17"/>
  <c r="H25" i="17"/>
  <c r="G25" i="17"/>
  <c r="F25" i="17"/>
  <c r="L24" i="17"/>
  <c r="K24" i="17"/>
  <c r="J24" i="17"/>
  <c r="I24" i="17"/>
  <c r="H24" i="17"/>
  <c r="G24" i="17"/>
  <c r="F24" i="17"/>
  <c r="L23" i="17"/>
  <c r="K23" i="17"/>
  <c r="J23" i="17"/>
  <c r="I23" i="17"/>
  <c r="H23" i="17"/>
  <c r="G23" i="17"/>
  <c r="F23" i="17"/>
  <c r="L22" i="17"/>
  <c r="K22" i="17"/>
  <c r="J22" i="17"/>
  <c r="I22" i="17"/>
  <c r="H22" i="17"/>
  <c r="G22" i="17"/>
  <c r="F22" i="17"/>
  <c r="L21" i="17"/>
  <c r="K21" i="17"/>
  <c r="J21" i="17"/>
  <c r="I21" i="17"/>
  <c r="H21" i="17"/>
  <c r="G21" i="17"/>
  <c r="F21" i="17"/>
  <c r="L20" i="17"/>
  <c r="K20" i="17"/>
  <c r="J20" i="17"/>
  <c r="I20" i="17"/>
  <c r="H20" i="17"/>
  <c r="G20" i="17"/>
  <c r="F20" i="17"/>
  <c r="L19" i="17"/>
  <c r="K19" i="17"/>
  <c r="J19" i="17"/>
  <c r="I19" i="17"/>
  <c r="H19" i="17"/>
  <c r="G19" i="17"/>
  <c r="F19" i="17"/>
  <c r="L18" i="17"/>
  <c r="K18" i="17"/>
  <c r="J18" i="17"/>
  <c r="I18" i="17"/>
  <c r="H18" i="17"/>
  <c r="G18" i="17"/>
  <c r="F18" i="17"/>
  <c r="L17" i="17"/>
  <c r="K17" i="17"/>
  <c r="J17" i="17"/>
  <c r="I17" i="17"/>
  <c r="H17" i="17"/>
  <c r="G17" i="17"/>
  <c r="F17" i="17"/>
  <c r="L16" i="17"/>
  <c r="K16" i="17"/>
  <c r="J16" i="17"/>
  <c r="I16" i="17"/>
  <c r="H16" i="17"/>
  <c r="G16" i="17"/>
  <c r="F16" i="17"/>
  <c r="L15" i="17"/>
  <c r="K15" i="17"/>
  <c r="J15" i="17"/>
  <c r="I15" i="17"/>
  <c r="H15" i="17"/>
  <c r="G15" i="17"/>
  <c r="F15" i="17"/>
  <c r="L14" i="17"/>
  <c r="K14" i="17"/>
  <c r="J14" i="17"/>
  <c r="I14" i="17"/>
  <c r="H14" i="17"/>
  <c r="G14" i="17"/>
  <c r="F14" i="17"/>
  <c r="L13" i="17"/>
  <c r="K13" i="17"/>
  <c r="J13" i="17"/>
  <c r="I13" i="17"/>
  <c r="H13" i="17"/>
  <c r="G13" i="17"/>
  <c r="F13" i="17"/>
  <c r="L12" i="17"/>
  <c r="K12" i="17"/>
  <c r="J12" i="17"/>
  <c r="I12" i="17"/>
  <c r="H12" i="17"/>
  <c r="G12" i="17"/>
  <c r="F12" i="17"/>
  <c r="L11" i="17"/>
  <c r="K11" i="17"/>
  <c r="J11" i="17"/>
  <c r="I11" i="17"/>
  <c r="H11" i="17"/>
  <c r="G11" i="17"/>
  <c r="F11" i="17"/>
  <c r="L10" i="17"/>
  <c r="K10" i="17"/>
  <c r="J10" i="17"/>
  <c r="I10" i="17"/>
  <c r="H10" i="17"/>
  <c r="G10" i="17"/>
  <c r="F10" i="17"/>
  <c r="L9" i="17"/>
  <c r="K9" i="17"/>
  <c r="J9" i="17"/>
  <c r="I9" i="17"/>
  <c r="H9" i="17"/>
  <c r="G9" i="17"/>
  <c r="F9" i="17"/>
  <c r="L8" i="17"/>
  <c r="K8" i="17"/>
  <c r="J8" i="17"/>
  <c r="I8" i="17"/>
  <c r="H8" i="17"/>
  <c r="G8" i="17"/>
  <c r="F8" i="17"/>
  <c r="L7" i="17"/>
  <c r="K7" i="17"/>
  <c r="J7" i="17"/>
  <c r="I7" i="17"/>
  <c r="H7" i="17"/>
  <c r="G7" i="17"/>
  <c r="F7" i="17"/>
  <c r="L6" i="17"/>
  <c r="K6" i="17"/>
  <c r="J6" i="17"/>
  <c r="I6" i="17"/>
  <c r="H6" i="17"/>
  <c r="G6" i="17"/>
  <c r="F6" i="17"/>
  <c r="L5" i="17"/>
  <c r="K5" i="17"/>
  <c r="J5" i="17"/>
  <c r="I5" i="17"/>
  <c r="H5" i="17"/>
  <c r="G5" i="17"/>
  <c r="F5" i="17"/>
  <c r="C57" i="15"/>
  <c r="G44" i="15"/>
  <c r="F44" i="15"/>
  <c r="E44" i="15"/>
  <c r="D44" i="15"/>
  <c r="C44" i="15"/>
  <c r="C13" i="15"/>
  <c r="C10" i="15"/>
  <c r="C9" i="15"/>
  <c r="C8" i="15"/>
  <c r="C7" i="15"/>
  <c r="C6" i="15"/>
  <c r="H71" i="14"/>
  <c r="H66" i="14"/>
  <c r="H61" i="14"/>
  <c r="H56" i="14"/>
  <c r="H51" i="14"/>
  <c r="F19" i="14"/>
  <c r="E19" i="14"/>
  <c r="C40" i="13"/>
  <c r="C39" i="13"/>
  <c r="C38" i="13"/>
  <c r="C37" i="13"/>
  <c r="C36" i="13"/>
  <c r="C35" i="13"/>
  <c r="D30" i="13"/>
  <c r="D29" i="13"/>
  <c r="D28" i="13"/>
  <c r="D27" i="13"/>
  <c r="D26" i="13"/>
  <c r="D25" i="13"/>
  <c r="D24" i="13"/>
  <c r="D23" i="13"/>
  <c r="D22" i="13"/>
  <c r="D21" i="13"/>
  <c r="D20" i="13"/>
  <c r="D17" i="13"/>
  <c r="D16" i="13"/>
  <c r="G10" i="13"/>
  <c r="F10" i="13"/>
  <c r="E10" i="13"/>
  <c r="D10" i="13"/>
  <c r="C10" i="13"/>
  <c r="G7" i="13"/>
  <c r="F7" i="13"/>
  <c r="E7" i="13"/>
  <c r="I103" i="12"/>
  <c r="J102" i="12"/>
  <c r="J101" i="12"/>
  <c r="J100" i="12"/>
  <c r="J99" i="12"/>
  <c r="J98" i="12"/>
  <c r="J97" i="12"/>
  <c r="J96" i="12"/>
  <c r="J95" i="12"/>
  <c r="J94" i="12"/>
  <c r="J93" i="12"/>
  <c r="J92" i="12"/>
  <c r="J91" i="12"/>
  <c r="J90" i="12"/>
  <c r="J89" i="12"/>
  <c r="J88" i="12"/>
  <c r="J87" i="12"/>
  <c r="J86" i="12"/>
  <c r="J85" i="12"/>
  <c r="I83" i="12"/>
  <c r="J82" i="12"/>
  <c r="J81" i="12"/>
  <c r="J80" i="12"/>
  <c r="J79" i="12"/>
  <c r="J78" i="12"/>
  <c r="J77" i="12"/>
  <c r="J76" i="12"/>
  <c r="J75" i="12"/>
  <c r="J74" i="12"/>
  <c r="J73" i="12"/>
  <c r="J72" i="12"/>
  <c r="J71" i="12"/>
  <c r="J70" i="12"/>
  <c r="J69" i="12"/>
  <c r="J68" i="12"/>
  <c r="J67" i="12"/>
  <c r="J66" i="12"/>
  <c r="J65" i="12"/>
  <c r="I63" i="12"/>
  <c r="J62" i="12"/>
  <c r="J61" i="12"/>
  <c r="J60" i="12"/>
  <c r="J59" i="12"/>
  <c r="J58" i="12"/>
  <c r="J57" i="12"/>
  <c r="J56" i="12"/>
  <c r="J55" i="12"/>
  <c r="J54" i="12"/>
  <c r="J53" i="12"/>
  <c r="J52" i="12"/>
  <c r="J51" i="12"/>
  <c r="J50" i="12"/>
  <c r="J49" i="12"/>
  <c r="J48" i="12"/>
  <c r="J47" i="12"/>
  <c r="J46" i="12"/>
  <c r="J45" i="12"/>
  <c r="I43" i="12"/>
  <c r="J42" i="12"/>
  <c r="J41" i="12"/>
  <c r="J40" i="12"/>
  <c r="J39" i="12"/>
  <c r="J38" i="12"/>
  <c r="J37" i="12"/>
  <c r="J36" i="12"/>
  <c r="J35" i="12"/>
  <c r="J34" i="12"/>
  <c r="J33" i="12"/>
  <c r="J32" i="12"/>
  <c r="J31" i="12"/>
  <c r="J30" i="12"/>
  <c r="J29" i="12"/>
  <c r="J28" i="12"/>
  <c r="J27" i="12"/>
  <c r="J26" i="12"/>
  <c r="J25" i="12"/>
  <c r="I23" i="12"/>
  <c r="J22" i="12"/>
  <c r="J21" i="12"/>
  <c r="J20" i="12"/>
  <c r="J19" i="12"/>
  <c r="J18" i="12"/>
  <c r="J17" i="12"/>
  <c r="J16" i="12"/>
  <c r="J15" i="12"/>
  <c r="J14" i="12"/>
  <c r="J13" i="12"/>
  <c r="J12" i="12"/>
  <c r="J11" i="12"/>
  <c r="J10" i="12"/>
  <c r="J9" i="12"/>
  <c r="J8" i="12"/>
  <c r="J7" i="12"/>
  <c r="J6" i="12"/>
  <c r="J5" i="12"/>
  <c r="F23" i="11"/>
  <c r="E23" i="11"/>
  <c r="H22" i="11"/>
  <c r="G22" i="11"/>
  <c r="H21" i="11"/>
  <c r="G21" i="11"/>
  <c r="F19" i="11"/>
  <c r="E19" i="11"/>
  <c r="H18" i="11"/>
  <c r="G18" i="11"/>
  <c r="H17" i="11"/>
  <c r="G17" i="11"/>
  <c r="F15" i="11"/>
  <c r="E15" i="11"/>
  <c r="H14" i="11"/>
  <c r="G14" i="11"/>
  <c r="H13" i="11"/>
  <c r="G13" i="11"/>
  <c r="F11" i="11"/>
  <c r="E11" i="11"/>
  <c r="H10" i="11"/>
  <c r="G10" i="11"/>
  <c r="H9" i="11"/>
  <c r="G9" i="11"/>
  <c r="F7" i="11"/>
  <c r="E7" i="11"/>
  <c r="H6" i="11"/>
  <c r="G6" i="11"/>
  <c r="H5" i="11"/>
  <c r="G5" i="11"/>
  <c r="J119" i="10"/>
  <c r="K118" i="10"/>
  <c r="K117" i="10"/>
  <c r="K116" i="10"/>
  <c r="K115" i="10"/>
  <c r="K114" i="10"/>
  <c r="K113" i="10"/>
  <c r="K112" i="10"/>
  <c r="K111" i="10"/>
  <c r="K110" i="10"/>
  <c r="K109" i="10"/>
  <c r="K108" i="10"/>
  <c r="J105" i="10"/>
  <c r="K104" i="10"/>
  <c r="K103" i="10"/>
  <c r="K102" i="10"/>
  <c r="K101" i="10"/>
  <c r="K100" i="10"/>
  <c r="K99" i="10"/>
  <c r="K98" i="10"/>
  <c r="K97" i="10"/>
  <c r="K96" i="10"/>
  <c r="K95" i="10"/>
  <c r="K94" i="10"/>
  <c r="J91" i="10"/>
  <c r="K90" i="10"/>
  <c r="K89" i="10"/>
  <c r="K88" i="10"/>
  <c r="K87" i="10"/>
  <c r="K86" i="10"/>
  <c r="K85" i="10"/>
  <c r="K84" i="10"/>
  <c r="K83" i="10"/>
  <c r="K82" i="10"/>
  <c r="K81" i="10"/>
  <c r="K80" i="10"/>
  <c r="K79" i="10"/>
  <c r="J76" i="10"/>
  <c r="K75" i="10"/>
  <c r="K74" i="10"/>
  <c r="K73" i="10"/>
  <c r="K72" i="10"/>
  <c r="K71" i="10"/>
  <c r="K70" i="10"/>
  <c r="K69" i="10"/>
  <c r="K68" i="10"/>
  <c r="K67" i="10"/>
  <c r="K66" i="10"/>
  <c r="K65" i="10"/>
  <c r="J62" i="10"/>
  <c r="K61" i="10"/>
  <c r="K60" i="10"/>
  <c r="K59" i="10"/>
  <c r="K58" i="10"/>
  <c r="K57" i="10"/>
  <c r="K56" i="10"/>
  <c r="K55" i="10"/>
  <c r="K54" i="10"/>
  <c r="K53" i="10"/>
  <c r="K52" i="10"/>
  <c r="K51" i="10"/>
  <c r="K50" i="10"/>
  <c r="J47" i="10"/>
  <c r="K46" i="10"/>
  <c r="K45" i="10"/>
  <c r="K44" i="10"/>
  <c r="K43" i="10"/>
  <c r="K42" i="10"/>
  <c r="K41" i="10"/>
  <c r="K40" i="10"/>
  <c r="K39" i="10"/>
  <c r="K38" i="10"/>
  <c r="K37" i="10"/>
  <c r="K36" i="10"/>
  <c r="J33" i="10"/>
  <c r="K32" i="10"/>
  <c r="K31" i="10"/>
  <c r="K30" i="10"/>
  <c r="K29" i="10"/>
  <c r="K28" i="10"/>
  <c r="K27" i="10"/>
  <c r="K26" i="10"/>
  <c r="K25" i="10"/>
  <c r="K24" i="10"/>
  <c r="K23" i="10"/>
  <c r="K22" i="10"/>
  <c r="K21" i="10"/>
  <c r="K20" i="10"/>
  <c r="K19" i="10"/>
  <c r="J17" i="10"/>
  <c r="K16" i="10"/>
  <c r="K15" i="10"/>
  <c r="K14" i="10"/>
  <c r="K13" i="10"/>
  <c r="K12" i="10"/>
  <c r="K11" i="10"/>
  <c r="K10" i="10"/>
  <c r="K9" i="10"/>
  <c r="K8" i="10"/>
  <c r="K7" i="10"/>
  <c r="K6" i="10"/>
  <c r="K5" i="10"/>
  <c r="E7" i="9"/>
  <c r="D7" i="9"/>
  <c r="S20" i="8"/>
  <c r="R20" i="8"/>
  <c r="Q20" i="8"/>
  <c r="P20" i="8"/>
  <c r="K20" i="8"/>
  <c r="J20" i="8"/>
  <c r="H20" i="8"/>
  <c r="G20" i="8"/>
  <c r="F20" i="8"/>
  <c r="E20" i="8"/>
  <c r="D20" i="8"/>
  <c r="I19" i="8"/>
  <c r="I18" i="8"/>
  <c r="I17" i="8"/>
  <c r="I16" i="8"/>
  <c r="I15" i="8"/>
  <c r="I14" i="8"/>
  <c r="I13" i="8"/>
  <c r="I12" i="8"/>
  <c r="I11" i="8"/>
  <c r="I10" i="8"/>
  <c r="I9" i="8"/>
  <c r="I8" i="8"/>
  <c r="I7" i="8"/>
  <c r="I6" i="8"/>
  <c r="I5" i="8"/>
  <c r="C22" i="7"/>
  <c r="C21" i="7"/>
  <c r="C15" i="7"/>
  <c r="D15" i="7" s="1"/>
  <c r="E14" i="7"/>
  <c r="D14" i="7"/>
  <c r="E13" i="7"/>
  <c r="D13" i="7"/>
  <c r="E12" i="7"/>
  <c r="D12" i="7"/>
  <c r="C11" i="7"/>
  <c r="E10" i="7"/>
  <c r="D10" i="7"/>
  <c r="E9" i="7"/>
  <c r="D9" i="7"/>
  <c r="E8" i="7"/>
  <c r="D8" i="7"/>
  <c r="E7" i="7"/>
  <c r="D7" i="7"/>
  <c r="E6" i="7"/>
  <c r="D6" i="7"/>
  <c r="C8" i="6"/>
  <c r="C14" i="6" s="1"/>
  <c r="C18" i="6" s="1"/>
  <c r="G77" i="4"/>
  <c r="F77" i="4"/>
  <c r="E77" i="4"/>
  <c r="C59" i="15" s="1"/>
  <c r="D77" i="4"/>
  <c r="C77" i="4"/>
  <c r="C51" i="4"/>
  <c r="C20" i="15" s="1"/>
  <c r="C50" i="4"/>
  <c r="C19" i="15" s="1"/>
  <c r="E33" i="4"/>
  <c r="F30" i="4" s="1"/>
  <c r="D33" i="4"/>
  <c r="C24" i="4"/>
  <c r="C12" i="15" s="1"/>
  <c r="C23" i="4"/>
  <c r="C11" i="15" s="1"/>
  <c r="H17" i="3"/>
  <c r="G17" i="3"/>
  <c r="F17" i="3"/>
  <c r="E17" i="3"/>
  <c r="D17" i="3"/>
  <c r="C17" i="3"/>
  <c r="H16" i="3"/>
  <c r="G14" i="3"/>
  <c r="F14" i="3"/>
  <c r="E14" i="3"/>
  <c r="D14" i="3"/>
  <c r="C14" i="3"/>
  <c r="G13" i="3"/>
  <c r="F13" i="3"/>
  <c r="E13" i="3"/>
  <c r="D13" i="3"/>
  <c r="C13" i="3"/>
  <c r="M207" i="17" l="1"/>
  <c r="G11" i="11"/>
  <c r="M14" i="17"/>
  <c r="M199" i="17"/>
  <c r="N199" i="17" s="1"/>
  <c r="M206" i="17"/>
  <c r="N206" i="17" s="1"/>
  <c r="M69" i="17"/>
  <c r="N69" i="17" s="1"/>
  <c r="M93" i="17"/>
  <c r="N93" i="17" s="1"/>
  <c r="M117" i="17"/>
  <c r="N117" i="17" s="1"/>
  <c r="M129" i="17"/>
  <c r="N129" i="17" s="1"/>
  <c r="M165" i="17"/>
  <c r="N165" i="17" s="1"/>
  <c r="M177" i="17"/>
  <c r="N177" i="17" s="1"/>
  <c r="M73" i="17"/>
  <c r="N73" i="17" s="1"/>
  <c r="M85" i="17"/>
  <c r="N85" i="17" s="1"/>
  <c r="M97" i="17"/>
  <c r="N97" i="17" s="1"/>
  <c r="M121" i="17"/>
  <c r="N121" i="17" s="1"/>
  <c r="M157" i="17"/>
  <c r="N157" i="17" s="1"/>
  <c r="M68" i="17"/>
  <c r="N68" i="17" s="1"/>
  <c r="M80" i="17"/>
  <c r="N80" i="17" s="1"/>
  <c r="M92" i="17"/>
  <c r="N92" i="17" s="1"/>
  <c r="M116" i="17"/>
  <c r="N116" i="17" s="1"/>
  <c r="M128" i="17"/>
  <c r="N128" i="17" s="1"/>
  <c r="M176" i="17"/>
  <c r="N176" i="17" s="1"/>
  <c r="M169" i="17"/>
  <c r="N169" i="17" s="1"/>
  <c r="M29" i="17"/>
  <c r="N29" i="17" s="1"/>
  <c r="M41" i="17"/>
  <c r="N41" i="17" s="1"/>
  <c r="M77" i="17"/>
  <c r="N77" i="17" s="1"/>
  <c r="N234" i="17"/>
  <c r="N76" i="10"/>
  <c r="N105" i="10"/>
  <c r="N229" i="17"/>
  <c r="C52" i="4"/>
  <c r="C21" i="15" s="1"/>
  <c r="M120" i="17"/>
  <c r="N120" i="17" s="1"/>
  <c r="M132" i="17"/>
  <c r="N132" i="17" s="1"/>
  <c r="M156" i="17"/>
  <c r="N156" i="17" s="1"/>
  <c r="M168" i="17"/>
  <c r="N168" i="17" s="1"/>
  <c r="M28" i="17"/>
  <c r="N28" i="17" s="1"/>
  <c r="M40" i="17"/>
  <c r="N40" i="17" s="1"/>
  <c r="M64" i="17"/>
  <c r="N64" i="17" s="1"/>
  <c r="M76" i="17"/>
  <c r="N76" i="17" s="1"/>
  <c r="M88" i="17"/>
  <c r="N88" i="17" s="1"/>
  <c r="M124" i="17"/>
  <c r="N124" i="17" s="1"/>
  <c r="M136" i="17"/>
  <c r="N136" i="17" s="1"/>
  <c r="M160" i="17"/>
  <c r="N160" i="17" s="1"/>
  <c r="N233" i="17"/>
  <c r="M81" i="17"/>
  <c r="N81" i="17" s="1"/>
  <c r="F29" i="4"/>
  <c r="N188" i="17"/>
  <c r="M10" i="17"/>
  <c r="N10" i="17" s="1"/>
  <c r="M22" i="17"/>
  <c r="N22" i="17" s="1"/>
  <c r="M34" i="17"/>
  <c r="N34" i="17" s="1"/>
  <c r="N62" i="17"/>
  <c r="M172" i="17"/>
  <c r="N172" i="17" s="1"/>
  <c r="M167" i="17"/>
  <c r="N167" i="17" s="1"/>
  <c r="M215" i="17"/>
  <c r="N215" i="17" s="1"/>
  <c r="N108" i="17"/>
  <c r="M6" i="17"/>
  <c r="N6" i="17" s="1"/>
  <c r="M18" i="17"/>
  <c r="N18" i="17" s="1"/>
  <c r="M30" i="17"/>
  <c r="N30" i="17" s="1"/>
  <c r="M42" i="17"/>
  <c r="N42" i="17" s="1"/>
  <c r="M126" i="17"/>
  <c r="N126" i="17" s="1"/>
  <c r="M198" i="17"/>
  <c r="N198" i="17" s="1"/>
  <c r="M210" i="17"/>
  <c r="N210" i="17" s="1"/>
  <c r="N230" i="17"/>
  <c r="N58" i="17"/>
  <c r="N225" i="17"/>
  <c r="M65" i="17"/>
  <c r="N65" i="17" s="1"/>
  <c r="M89" i="17"/>
  <c r="N89" i="17" s="1"/>
  <c r="N220" i="17"/>
  <c r="N61" i="17"/>
  <c r="N102" i="17"/>
  <c r="N228" i="17"/>
  <c r="N46" i="17"/>
  <c r="N189" i="17"/>
  <c r="M26" i="17"/>
  <c r="N26" i="17" s="1"/>
  <c r="M38" i="17"/>
  <c r="N38" i="17" s="1"/>
  <c r="N60" i="17"/>
  <c r="M72" i="17"/>
  <c r="N72" i="17" s="1"/>
  <c r="M96" i="17"/>
  <c r="N96" i="17" s="1"/>
  <c r="N227" i="17"/>
  <c r="N59" i="17"/>
  <c r="N226" i="17"/>
  <c r="N54" i="17"/>
  <c r="N141" i="17"/>
  <c r="N223" i="17"/>
  <c r="M9" i="17"/>
  <c r="N9" i="17" s="1"/>
  <c r="N113" i="17"/>
  <c r="M125" i="17"/>
  <c r="M137" i="17"/>
  <c r="N142" i="17"/>
  <c r="M161" i="17"/>
  <c r="N161" i="17" s="1"/>
  <c r="M173" i="17"/>
  <c r="N173" i="17" s="1"/>
  <c r="M212" i="17"/>
  <c r="N212" i="17" s="1"/>
  <c r="N219" i="17"/>
  <c r="N222" i="17"/>
  <c r="C23" i="7"/>
  <c r="C24" i="7" s="1"/>
  <c r="M15" i="17"/>
  <c r="N15" i="17" s="1"/>
  <c r="M74" i="17"/>
  <c r="N74" i="17" s="1"/>
  <c r="M86" i="17"/>
  <c r="N86" i="17" s="1"/>
  <c r="M118" i="17"/>
  <c r="M130" i="17"/>
  <c r="N130" i="17" s="1"/>
  <c r="M166" i="17"/>
  <c r="M204" i="17"/>
  <c r="G63" i="13" s="1"/>
  <c r="N221" i="17"/>
  <c r="D14" i="6"/>
  <c r="D18" i="6" s="1"/>
  <c r="D42" i="4" s="1"/>
  <c r="G7" i="11"/>
  <c r="M12" i="17"/>
  <c r="N12" i="17" s="1"/>
  <c r="M24" i="17"/>
  <c r="N24" i="17" s="1"/>
  <c r="N51" i="17"/>
  <c r="M175" i="17"/>
  <c r="M201" i="17"/>
  <c r="N201" i="17" s="1"/>
  <c r="M213" i="17"/>
  <c r="N213" i="17" s="1"/>
  <c r="E14" i="6"/>
  <c r="E18" i="6" s="1"/>
  <c r="E17" i="19" s="1"/>
  <c r="F10" i="7"/>
  <c r="M19" i="17"/>
  <c r="N19" i="17" s="1"/>
  <c r="M31" i="17"/>
  <c r="N31" i="17" s="1"/>
  <c r="N56" i="17"/>
  <c r="M66" i="17"/>
  <c r="N66" i="17" s="1"/>
  <c r="M78" i="17"/>
  <c r="N78" i="17" s="1"/>
  <c r="M90" i="17"/>
  <c r="N90" i="17" s="1"/>
  <c r="N100" i="17"/>
  <c r="N110" i="17"/>
  <c r="N115" i="17"/>
  <c r="M122" i="17"/>
  <c r="N122" i="17" s="1"/>
  <c r="M134" i="17"/>
  <c r="N134" i="17" s="1"/>
  <c r="N139" i="17"/>
  <c r="M158" i="17"/>
  <c r="N158" i="17" s="1"/>
  <c r="M170" i="17"/>
  <c r="N170" i="17" s="1"/>
  <c r="N182" i="17"/>
  <c r="N185" i="17"/>
  <c r="F8" i="13"/>
  <c r="N193" i="17"/>
  <c r="M196" i="17"/>
  <c r="G65" i="13" s="1"/>
  <c r="N232" i="17"/>
  <c r="N235" i="17"/>
  <c r="C41" i="13"/>
  <c r="K105" i="10"/>
  <c r="N45" i="17"/>
  <c r="N107" i="17"/>
  <c r="N148" i="17"/>
  <c r="N187" i="17"/>
  <c r="N195" i="17"/>
  <c r="M205" i="17"/>
  <c r="N205" i="17" s="1"/>
  <c r="M217" i="17"/>
  <c r="N217" i="17" s="1"/>
  <c r="N190" i="17"/>
  <c r="K119" i="10"/>
  <c r="M35" i="17"/>
  <c r="N35" i="17" s="1"/>
  <c r="M70" i="17"/>
  <c r="N70" i="17" s="1"/>
  <c r="M82" i="17"/>
  <c r="N82" i="17" s="1"/>
  <c r="M94" i="17"/>
  <c r="N94" i="17" s="1"/>
  <c r="N143" i="17"/>
  <c r="N155" i="17"/>
  <c r="M162" i="17"/>
  <c r="N162" i="17" s="1"/>
  <c r="M174" i="17"/>
  <c r="N174" i="17" s="1"/>
  <c r="F7" i="7"/>
  <c r="N99" i="17"/>
  <c r="N179" i="17"/>
  <c r="F13" i="7"/>
  <c r="M13" i="17"/>
  <c r="C71" i="13" s="1"/>
  <c r="M25" i="17"/>
  <c r="N25" i="17" s="1"/>
  <c r="M84" i="17"/>
  <c r="M164" i="17"/>
  <c r="N164" i="17" s="1"/>
  <c r="M202" i="17"/>
  <c r="M214" i="17"/>
  <c r="N214" i="17" s="1"/>
  <c r="E15" i="7"/>
  <c r="N180" i="17"/>
  <c r="M8" i="17"/>
  <c r="N8" i="17" s="1"/>
  <c r="M44" i="17"/>
  <c r="N44" i="17" s="1"/>
  <c r="N52" i="17"/>
  <c r="C8" i="13"/>
  <c r="N101" i="17"/>
  <c r="N140" i="17"/>
  <c r="M159" i="17"/>
  <c r="M197" i="17"/>
  <c r="N197" i="17" s="1"/>
  <c r="M209" i="17"/>
  <c r="N209" i="17" s="1"/>
  <c r="H23" i="11"/>
  <c r="N145" i="17"/>
  <c r="N153" i="17"/>
  <c r="K76" i="10"/>
  <c r="I17" i="3"/>
  <c r="K47" i="10"/>
  <c r="H19" i="11"/>
  <c r="M11" i="17"/>
  <c r="M127" i="17"/>
  <c r="N127" i="17" s="1"/>
  <c r="M87" i="17"/>
  <c r="N87" i="17" s="1"/>
  <c r="G75" i="13"/>
  <c r="M95" i="17"/>
  <c r="N95" i="17" s="1"/>
  <c r="M135" i="17"/>
  <c r="G53" i="13"/>
  <c r="M163" i="17"/>
  <c r="F46" i="13"/>
  <c r="F40" i="15" s="1"/>
  <c r="G46" i="13"/>
  <c r="G40" i="15" s="1"/>
  <c r="H7" i="11"/>
  <c r="M63" i="17"/>
  <c r="N63" i="17" s="1"/>
  <c r="M75" i="17"/>
  <c r="N75" i="17" s="1"/>
  <c r="F22" i="16"/>
  <c r="H11" i="11"/>
  <c r="M203" i="17"/>
  <c r="M16" i="17"/>
  <c r="M171" i="17"/>
  <c r="M39" i="17"/>
  <c r="N39" i="17" s="1"/>
  <c r="M211" i="17"/>
  <c r="N211" i="17" s="1"/>
  <c r="F71" i="13"/>
  <c r="M27" i="17"/>
  <c r="N27" i="17" s="1"/>
  <c r="M32" i="17"/>
  <c r="N32" i="17" s="1"/>
  <c r="M83" i="17"/>
  <c r="N83" i="17" s="1"/>
  <c r="M67" i="17"/>
  <c r="F55" i="14" s="1"/>
  <c r="F57" i="14" s="1"/>
  <c r="M7" i="17"/>
  <c r="G22" i="16"/>
  <c r="E71" i="13"/>
  <c r="M36" i="17"/>
  <c r="N36" i="17" s="1"/>
  <c r="M79" i="17"/>
  <c r="N79" i="17" s="1"/>
  <c r="M23" i="17"/>
  <c r="N23" i="17" s="1"/>
  <c r="M119" i="17"/>
  <c r="N119" i="17" s="1"/>
  <c r="M131" i="17"/>
  <c r="N131" i="17" s="1"/>
  <c r="M20" i="17"/>
  <c r="N20" i="17" s="1"/>
  <c r="M43" i="17"/>
  <c r="N43" i="17" s="1"/>
  <c r="M71" i="17"/>
  <c r="N71" i="17" s="1"/>
  <c r="C70" i="14"/>
  <c r="C72" i="14" s="1"/>
  <c r="E22" i="16"/>
  <c r="M91" i="17"/>
  <c r="N91" i="17" s="1"/>
  <c r="D53" i="13"/>
  <c r="M123" i="17"/>
  <c r="H15" i="11"/>
  <c r="I14" i="3"/>
  <c r="I13" i="3"/>
  <c r="N207" i="17"/>
  <c r="D8" i="13"/>
  <c r="E46" i="13"/>
  <c r="E53" i="13"/>
  <c r="C29" i="13"/>
  <c r="C23" i="13"/>
  <c r="E23" i="13" s="1"/>
  <c r="G55" i="14"/>
  <c r="G57" i="14" s="1"/>
  <c r="N14" i="17"/>
  <c r="N53" i="17"/>
  <c r="N231" i="17"/>
  <c r="G8" i="13"/>
  <c r="C22" i="16"/>
  <c r="C53" i="13"/>
  <c r="D11" i="7"/>
  <c r="N57" i="17"/>
  <c r="F8" i="7"/>
  <c r="E16" i="3"/>
  <c r="D16" i="3"/>
  <c r="C16" i="3"/>
  <c r="N55" i="17"/>
  <c r="G14" i="6"/>
  <c r="G18" i="6" s="1"/>
  <c r="F14" i="6"/>
  <c r="F18" i="6" s="1"/>
  <c r="G23" i="11"/>
  <c r="D22" i="16"/>
  <c r="F16" i="3"/>
  <c r="C17" i="19"/>
  <c r="C42" i="4"/>
  <c r="G19" i="11"/>
  <c r="F50" i="14"/>
  <c r="F52" i="14" s="1"/>
  <c r="N49" i="17"/>
  <c r="F9" i="7"/>
  <c r="F6" i="7"/>
  <c r="E11" i="7"/>
  <c r="G16" i="3"/>
  <c r="F28" i="4"/>
  <c r="C35" i="4"/>
  <c r="C34" i="4"/>
  <c r="G15" i="11"/>
  <c r="G50" i="14"/>
  <c r="G52" i="14" s="1"/>
  <c r="C17" i="15"/>
  <c r="C75" i="13"/>
  <c r="N111" i="17"/>
  <c r="N50" i="17"/>
  <c r="N109" i="17"/>
  <c r="C60" i="14"/>
  <c r="N48" i="17"/>
  <c r="E8" i="13"/>
  <c r="G71" i="13"/>
  <c r="G60" i="14"/>
  <c r="G62" i="14" s="1"/>
  <c r="G65" i="14"/>
  <c r="G67" i="14" s="1"/>
  <c r="N47" i="17"/>
  <c r="E75" i="13"/>
  <c r="N151" i="17"/>
  <c r="F53" i="13"/>
  <c r="F14" i="7"/>
  <c r="N105" i="17"/>
  <c r="N149" i="17"/>
  <c r="N150" i="17"/>
  <c r="F75" i="13"/>
  <c r="G70" i="14"/>
  <c r="G72" i="14" s="1"/>
  <c r="M133" i="17"/>
  <c r="N147" i="17"/>
  <c r="C65" i="14"/>
  <c r="F12" i="7"/>
  <c r="D75" i="13"/>
  <c r="N103" i="17"/>
  <c r="N181" i="17"/>
  <c r="N98" i="17"/>
  <c r="N104" i="17"/>
  <c r="N106" i="17"/>
  <c r="N112" i="17"/>
  <c r="N114" i="17"/>
  <c r="N138" i="17"/>
  <c r="N144" i="17"/>
  <c r="N146" i="17"/>
  <c r="N152" i="17"/>
  <c r="M17" i="17"/>
  <c r="M33" i="17"/>
  <c r="N33" i="17" s="1"/>
  <c r="N154" i="17"/>
  <c r="N178" i="17"/>
  <c r="N184" i="17"/>
  <c r="N183" i="17"/>
  <c r="N186" i="17"/>
  <c r="N192" i="17"/>
  <c r="M200" i="17"/>
  <c r="M208" i="17"/>
  <c r="N208" i="17" s="1"/>
  <c r="M216" i="17"/>
  <c r="M5" i="17"/>
  <c r="M21" i="17"/>
  <c r="N21" i="17" s="1"/>
  <c r="M37" i="17"/>
  <c r="N191" i="17"/>
  <c r="N194" i="17"/>
  <c r="N218" i="17"/>
  <c r="N224" i="17"/>
  <c r="F66" i="13" l="1"/>
  <c r="E49" i="13"/>
  <c r="E42" i="15" s="1"/>
  <c r="D66" i="13"/>
  <c r="E66" i="13"/>
  <c r="F64" i="13"/>
  <c r="D65" i="14"/>
  <c r="D67" i="14" s="1"/>
  <c r="F72" i="13"/>
  <c r="C53" i="4"/>
  <c r="C22" i="15" s="1"/>
  <c r="E64" i="13"/>
  <c r="N118" i="17"/>
  <c r="F70" i="14"/>
  <c r="F72" i="14" s="1"/>
  <c r="E63" i="13"/>
  <c r="N13" i="17"/>
  <c r="N125" i="17"/>
  <c r="E28" i="16" s="1"/>
  <c r="N137" i="17"/>
  <c r="E30" i="16" s="1"/>
  <c r="F61" i="13"/>
  <c r="C25" i="7"/>
  <c r="F33" i="4"/>
  <c r="E72" i="13"/>
  <c r="C27" i="13"/>
  <c r="E27" i="13" s="1"/>
  <c r="C50" i="14"/>
  <c r="C52" i="14" s="1"/>
  <c r="F65" i="13"/>
  <c r="D71" i="13"/>
  <c r="D50" i="14"/>
  <c r="D52" i="14" s="1"/>
  <c r="F48" i="13"/>
  <c r="F41" i="15" s="1"/>
  <c r="N204" i="17"/>
  <c r="G27" i="16" s="1"/>
  <c r="N202" i="17"/>
  <c r="D10" i="19" s="1"/>
  <c r="D49" i="13"/>
  <c r="D42" i="15" s="1"/>
  <c r="C55" i="14"/>
  <c r="C57" i="14" s="1"/>
  <c r="F63" i="13"/>
  <c r="G49" i="13"/>
  <c r="G42" i="15" s="1"/>
  <c r="E17" i="15"/>
  <c r="G74" i="13"/>
  <c r="E42" i="4"/>
  <c r="E50" i="14"/>
  <c r="E52" i="14" s="1"/>
  <c r="D46" i="13"/>
  <c r="D40" i="15" s="1"/>
  <c r="C30" i="13"/>
  <c r="E30" i="13" s="1"/>
  <c r="F49" i="13"/>
  <c r="F42" i="15" s="1"/>
  <c r="D64" i="13"/>
  <c r="D72" i="13"/>
  <c r="N196" i="17"/>
  <c r="C10" i="19" s="1"/>
  <c r="N175" i="17"/>
  <c r="F27" i="16" s="1"/>
  <c r="C63" i="13"/>
  <c r="G66" i="13"/>
  <c r="F60" i="14"/>
  <c r="F62" i="14" s="1"/>
  <c r="C43" i="14"/>
  <c r="C46" i="14" s="1"/>
  <c r="F65" i="14"/>
  <c r="F67" i="14" s="1"/>
  <c r="N166" i="17"/>
  <c r="F30" i="16" s="1"/>
  <c r="D55" i="14"/>
  <c r="D57" i="14" s="1"/>
  <c r="G62" i="13"/>
  <c r="N159" i="17"/>
  <c r="N84" i="17"/>
  <c r="D28" i="16" s="1"/>
  <c r="F52" i="13"/>
  <c r="D17" i="15"/>
  <c r="C48" i="13"/>
  <c r="C41" i="15" s="1"/>
  <c r="D17" i="19"/>
  <c r="F74" i="13"/>
  <c r="G52" i="13"/>
  <c r="D60" i="14"/>
  <c r="D62" i="14" s="1"/>
  <c r="G30" i="16"/>
  <c r="E61" i="13"/>
  <c r="C52" i="13"/>
  <c r="C66" i="13"/>
  <c r="E48" i="13"/>
  <c r="E41" i="15" s="1"/>
  <c r="E43" i="15" s="1"/>
  <c r="F51" i="13"/>
  <c r="N16" i="17"/>
  <c r="C30" i="16" s="1"/>
  <c r="E74" i="13"/>
  <c r="N163" i="17"/>
  <c r="E70" i="14"/>
  <c r="E72" i="14" s="1"/>
  <c r="N171" i="17"/>
  <c r="F25" i="16" s="1"/>
  <c r="N11" i="17"/>
  <c r="N135" i="17"/>
  <c r="E27" i="16" s="1"/>
  <c r="C19" i="13"/>
  <c r="C24" i="13"/>
  <c r="E24" i="13" s="1"/>
  <c r="F6" i="13"/>
  <c r="F9" i="13" s="1"/>
  <c r="F7" i="16" s="1"/>
  <c r="N203" i="17"/>
  <c r="F28" i="16"/>
  <c r="D6" i="13"/>
  <c r="D61" i="13"/>
  <c r="N7" i="17"/>
  <c r="F62" i="13"/>
  <c r="F73" i="13"/>
  <c r="F43" i="14"/>
  <c r="F45" i="14" s="1"/>
  <c r="C49" i="13"/>
  <c r="C42" i="15" s="1"/>
  <c r="N67" i="17"/>
  <c r="E65" i="14"/>
  <c r="E67" i="14" s="1"/>
  <c r="E65" i="13"/>
  <c r="F45" i="13"/>
  <c r="F47" i="13" s="1"/>
  <c r="D65" i="13"/>
  <c r="D48" i="13"/>
  <c r="D41" i="15" s="1"/>
  <c r="D25" i="16"/>
  <c r="C28" i="16"/>
  <c r="E55" i="14"/>
  <c r="E57" i="14" s="1"/>
  <c r="C21" i="13"/>
  <c r="E21" i="13" s="1"/>
  <c r="G59" i="4"/>
  <c r="D74" i="13"/>
  <c r="F15" i="3"/>
  <c r="N123" i="17"/>
  <c r="D15" i="3"/>
  <c r="C17" i="13"/>
  <c r="E17" i="13" s="1"/>
  <c r="E15" i="3"/>
  <c r="D63" i="13"/>
  <c r="F59" i="4"/>
  <c r="D27" i="16"/>
  <c r="C28" i="13"/>
  <c r="C64" i="13"/>
  <c r="C72" i="13"/>
  <c r="C25" i="13"/>
  <c r="D35" i="13" s="1"/>
  <c r="D30" i="16"/>
  <c r="D73" i="13"/>
  <c r="C62" i="13"/>
  <c r="C46" i="13"/>
  <c r="C40" i="15" s="1"/>
  <c r="D43" i="14"/>
  <c r="D45" i="14" s="1"/>
  <c r="D7" i="13"/>
  <c r="D45" i="13"/>
  <c r="D39" i="15" s="1"/>
  <c r="D51" i="13"/>
  <c r="E51" i="13"/>
  <c r="D62" i="13"/>
  <c r="D52" i="13"/>
  <c r="E6" i="13"/>
  <c r="E9" i="13" s="1"/>
  <c r="I16" i="3"/>
  <c r="F68" i="4"/>
  <c r="G68" i="4"/>
  <c r="E68" i="4"/>
  <c r="D68" i="4"/>
  <c r="N200" i="17"/>
  <c r="G45" i="13"/>
  <c r="G51" i="13"/>
  <c r="G61" i="13"/>
  <c r="G15" i="3"/>
  <c r="C68" i="4"/>
  <c r="G73" i="13"/>
  <c r="E29" i="16"/>
  <c r="C25" i="16"/>
  <c r="C73" i="13"/>
  <c r="N216" i="17"/>
  <c r="G43" i="14"/>
  <c r="D70" i="14"/>
  <c r="G6" i="13"/>
  <c r="G9" i="13" s="1"/>
  <c r="E29" i="13"/>
  <c r="D39" i="13"/>
  <c r="E39" i="13" s="1"/>
  <c r="N37" i="17"/>
  <c r="C45" i="13"/>
  <c r="C18" i="13"/>
  <c r="G72" i="13"/>
  <c r="C15" i="3"/>
  <c r="C26" i="13"/>
  <c r="G48" i="13"/>
  <c r="G41" i="15" s="1"/>
  <c r="C67" i="14"/>
  <c r="G44" i="4"/>
  <c r="F44" i="4"/>
  <c r="E44" i="4"/>
  <c r="D44" i="4"/>
  <c r="C44" i="4"/>
  <c r="D29" i="16"/>
  <c r="E25" i="16"/>
  <c r="F17" i="19"/>
  <c r="F17" i="15"/>
  <c r="F42" i="4"/>
  <c r="E40" i="15"/>
  <c r="E59" i="4"/>
  <c r="G17" i="19"/>
  <c r="G17" i="15"/>
  <c r="G42" i="4"/>
  <c r="C27" i="16"/>
  <c r="G64" i="13"/>
  <c r="C62" i="14"/>
  <c r="F29" i="16"/>
  <c r="N133" i="17"/>
  <c r="E43" i="14"/>
  <c r="E60" i="14"/>
  <c r="E62" i="14" s="1"/>
  <c r="E62" i="13"/>
  <c r="E45" i="13"/>
  <c r="C74" i="13"/>
  <c r="C51" i="13"/>
  <c r="N5" i="17"/>
  <c r="C65" i="13"/>
  <c r="C20" i="13"/>
  <c r="E20" i="13" s="1"/>
  <c r="C6" i="13"/>
  <c r="E52" i="13"/>
  <c r="N17" i="17"/>
  <c r="C7" i="13"/>
  <c r="E73" i="13"/>
  <c r="C22" i="13"/>
  <c r="E22" i="13" s="1"/>
  <c r="C61" i="13"/>
  <c r="C11" i="13" l="1"/>
  <c r="F43" i="15"/>
  <c r="E20" i="16"/>
  <c r="D37" i="13"/>
  <c r="E37" i="13" s="1"/>
  <c r="D59" i="4"/>
  <c r="D43" i="15"/>
  <c r="G29" i="16"/>
  <c r="G26" i="16"/>
  <c r="D21" i="16"/>
  <c r="G43" i="15"/>
  <c r="H50" i="14"/>
  <c r="F6" i="16"/>
  <c r="F9" i="16" s="1"/>
  <c r="F18" i="19" s="1"/>
  <c r="H52" i="14"/>
  <c r="C21" i="16"/>
  <c r="D40" i="13"/>
  <c r="E40" i="13" s="1"/>
  <c r="F20" i="16"/>
  <c r="G20" i="16"/>
  <c r="C45" i="14"/>
  <c r="C26" i="7"/>
  <c r="D6" i="16"/>
  <c r="D9" i="16" s="1"/>
  <c r="D18" i="19" s="1"/>
  <c r="C43" i="15"/>
  <c r="F67" i="13"/>
  <c r="F54" i="13"/>
  <c r="F69" i="4" s="1"/>
  <c r="F15" i="16"/>
  <c r="C59" i="4"/>
  <c r="F23" i="15"/>
  <c r="F25" i="15" s="1"/>
  <c r="F14" i="19" s="1"/>
  <c r="C26" i="16"/>
  <c r="H57" i="14"/>
  <c r="F21" i="16"/>
  <c r="H55" i="14"/>
  <c r="F26" i="16"/>
  <c r="F37" i="15"/>
  <c r="D9" i="13"/>
  <c r="D37" i="15" s="1"/>
  <c r="F76" i="13"/>
  <c r="F16" i="19" s="1"/>
  <c r="F60" i="4"/>
  <c r="F61" i="4" s="1"/>
  <c r="F43" i="4" s="1"/>
  <c r="F45" i="4" s="1"/>
  <c r="D15" i="16"/>
  <c r="D56" i="13"/>
  <c r="D71" i="4" s="1"/>
  <c r="F56" i="13"/>
  <c r="F71" i="4" s="1"/>
  <c r="H67" i="14"/>
  <c r="F39" i="15"/>
  <c r="D26" i="16"/>
  <c r="F46" i="14"/>
  <c r="F14" i="16"/>
  <c r="D14" i="16"/>
  <c r="H65" i="14"/>
  <c r="D20" i="16"/>
  <c r="D47" i="13"/>
  <c r="D55" i="13" s="1"/>
  <c r="D70" i="4" s="1"/>
  <c r="E21" i="16"/>
  <c r="E23" i="16" s="1"/>
  <c r="D46" i="14"/>
  <c r="E28" i="13"/>
  <c r="D38" i="13"/>
  <c r="E38" i="13" s="1"/>
  <c r="E25" i="13"/>
  <c r="C15" i="16"/>
  <c r="E15" i="16"/>
  <c r="E6" i="16"/>
  <c r="E9" i="16" s="1"/>
  <c r="E18" i="19" s="1"/>
  <c r="I15" i="3"/>
  <c r="C9" i="13"/>
  <c r="C37" i="15" s="1"/>
  <c r="G45" i="14"/>
  <c r="G46" i="14"/>
  <c r="G28" i="16"/>
  <c r="D9" i="19"/>
  <c r="F31" i="15"/>
  <c r="F57" i="13"/>
  <c r="G6" i="16"/>
  <c r="G9" i="16" s="1"/>
  <c r="G18" i="19" s="1"/>
  <c r="E26" i="16"/>
  <c r="E26" i="13"/>
  <c r="D36" i="13"/>
  <c r="E36" i="13" s="1"/>
  <c r="E35" i="13"/>
  <c r="C20" i="16"/>
  <c r="C6" i="16"/>
  <c r="C9" i="16" s="1"/>
  <c r="C29" i="16"/>
  <c r="H60" i="14"/>
  <c r="C14" i="16"/>
  <c r="C47" i="13"/>
  <c r="C56" i="13"/>
  <c r="C39" i="15"/>
  <c r="D57" i="13"/>
  <c r="D31" i="15"/>
  <c r="E31" i="15"/>
  <c r="E57" i="13"/>
  <c r="G31" i="15"/>
  <c r="G57" i="13"/>
  <c r="H62" i="14"/>
  <c r="F38" i="15"/>
  <c r="F55" i="13"/>
  <c r="F70" i="4" s="1"/>
  <c r="E67" i="13"/>
  <c r="E60" i="4"/>
  <c r="E61" i="4" s="1"/>
  <c r="E43" i="4" s="1"/>
  <c r="E45" i="4" s="1"/>
  <c r="E23" i="15"/>
  <c r="E25" i="15" s="1"/>
  <c r="E14" i="19" s="1"/>
  <c r="E37" i="15"/>
  <c r="E54" i="13"/>
  <c r="E7" i="16"/>
  <c r="E76" i="13"/>
  <c r="E16" i="19" s="1"/>
  <c r="G14" i="16"/>
  <c r="G56" i="13"/>
  <c r="G39" i="15"/>
  <c r="G47" i="13"/>
  <c r="E56" i="13"/>
  <c r="E47" i="13"/>
  <c r="E50" i="13" s="1"/>
  <c r="E14" i="16"/>
  <c r="E39" i="15"/>
  <c r="E45" i="14"/>
  <c r="E46" i="14"/>
  <c r="G7" i="16"/>
  <c r="G67" i="13"/>
  <c r="G23" i="15"/>
  <c r="G25" i="15" s="1"/>
  <c r="G14" i="19" s="1"/>
  <c r="G54" i="13"/>
  <c r="G37" i="15"/>
  <c r="G76" i="13"/>
  <c r="G16" i="19" s="1"/>
  <c r="G60" i="4"/>
  <c r="G61" i="4" s="1"/>
  <c r="G43" i="4" s="1"/>
  <c r="G45" i="4" s="1"/>
  <c r="G21" i="16"/>
  <c r="F50" i="13"/>
  <c r="D72" i="14"/>
  <c r="H72" i="14" s="1"/>
  <c r="H70" i="14"/>
  <c r="C31" i="15"/>
  <c r="C57" i="13"/>
  <c r="G15" i="16"/>
  <c r="G25" i="16"/>
  <c r="C9" i="19"/>
  <c r="D23" i="16" l="1"/>
  <c r="F8" i="16"/>
  <c r="F23" i="16"/>
  <c r="C23" i="16"/>
  <c r="G23" i="16"/>
  <c r="F30" i="15"/>
  <c r="F33" i="15" s="1"/>
  <c r="F15" i="19"/>
  <c r="F19" i="19" s="1"/>
  <c r="F16" i="16"/>
  <c r="F32" i="15"/>
  <c r="D7" i="16"/>
  <c r="D8" i="16" s="1"/>
  <c r="D76" i="13"/>
  <c r="D16" i="19" s="1"/>
  <c r="F45" i="15"/>
  <c r="D54" i="13"/>
  <c r="D15" i="19" s="1"/>
  <c r="D23" i="15"/>
  <c r="D25" i="15" s="1"/>
  <c r="D14" i="19" s="1"/>
  <c r="D50" i="13"/>
  <c r="D38" i="15"/>
  <c r="D45" i="15" s="1"/>
  <c r="D67" i="13"/>
  <c r="D60" i="4"/>
  <c r="D61" i="4" s="1"/>
  <c r="D43" i="4" s="1"/>
  <c r="D45" i="4" s="1"/>
  <c r="E51" i="4" s="1"/>
  <c r="E20" i="15" s="1"/>
  <c r="G16" i="16"/>
  <c r="D32" i="15"/>
  <c r="C16" i="16"/>
  <c r="D16" i="16"/>
  <c r="E8" i="16"/>
  <c r="E16" i="16"/>
  <c r="C23" i="15"/>
  <c r="C25" i="15" s="1"/>
  <c r="C14" i="19" s="1"/>
  <c r="C76" i="13"/>
  <c r="C16" i="19" s="1"/>
  <c r="C54" i="13"/>
  <c r="C15" i="19" s="1"/>
  <c r="C60" i="4"/>
  <c r="C61" i="4" s="1"/>
  <c r="C43" i="4" s="1"/>
  <c r="C45" i="4" s="1"/>
  <c r="C7" i="16"/>
  <c r="C8" i="16" s="1"/>
  <c r="C67" i="13"/>
  <c r="C12" i="13"/>
  <c r="C12" i="3" s="1"/>
  <c r="C50" i="13"/>
  <c r="C16" i="13"/>
  <c r="E16" i="13" s="1"/>
  <c r="E32" i="13" s="1"/>
  <c r="C18" i="3" s="1"/>
  <c r="I18" i="3" s="1"/>
  <c r="D41" i="13"/>
  <c r="E41" i="13" s="1"/>
  <c r="F18" i="15"/>
  <c r="G50" i="4"/>
  <c r="F51" i="4"/>
  <c r="F20" i="15" s="1"/>
  <c r="G18" i="15"/>
  <c r="G51" i="4"/>
  <c r="G20" i="15" s="1"/>
  <c r="C71" i="4"/>
  <c r="C32" i="15"/>
  <c r="G8" i="16"/>
  <c r="G71" i="4"/>
  <c r="G32" i="15"/>
  <c r="C38" i="15"/>
  <c r="C45" i="15" s="1"/>
  <c r="C55" i="13"/>
  <c r="C70" i="4" s="1"/>
  <c r="G15" i="19"/>
  <c r="G19" i="19" s="1"/>
  <c r="G20" i="19" s="1"/>
  <c r="G30" i="15"/>
  <c r="G33" i="15" s="1"/>
  <c r="G69" i="4"/>
  <c r="G55" i="13"/>
  <c r="G70" i="4" s="1"/>
  <c r="G38" i="15"/>
  <c r="G45" i="15" s="1"/>
  <c r="G50" i="13"/>
  <c r="E38" i="15"/>
  <c r="E45" i="15" s="1"/>
  <c r="C51" i="15" s="1"/>
  <c r="E55" i="13"/>
  <c r="E70" i="4" s="1"/>
  <c r="E18" i="15"/>
  <c r="E54" i="4"/>
  <c r="E26" i="15" s="1"/>
  <c r="C50" i="15" s="1"/>
  <c r="C53" i="15" s="1"/>
  <c r="F50" i="4"/>
  <c r="E15" i="19"/>
  <c r="E19" i="19" s="1"/>
  <c r="E69" i="4"/>
  <c r="E30" i="15"/>
  <c r="E33" i="15" s="1"/>
  <c r="E32" i="15"/>
  <c r="E71" i="4"/>
  <c r="C18" i="19"/>
  <c r="E10" i="16"/>
  <c r="C10" i="16"/>
  <c r="D10" i="16"/>
  <c r="F10" i="16"/>
  <c r="G10" i="16"/>
  <c r="D19" i="19" l="1"/>
  <c r="D69" i="4"/>
  <c r="D30" i="15"/>
  <c r="D33" i="15" s="1"/>
  <c r="E50" i="4"/>
  <c r="D18" i="15"/>
  <c r="C69" i="4"/>
  <c r="C30" i="15"/>
  <c r="C33" i="15" s="1"/>
  <c r="D51" i="4"/>
  <c r="D20" i="15" s="1"/>
  <c r="C19" i="19"/>
  <c r="D50" i="4"/>
  <c r="C18" i="15"/>
  <c r="C24" i="15"/>
  <c r="E31" i="13"/>
  <c r="D28" i="19"/>
  <c r="H26" i="19"/>
  <c r="F25" i="19"/>
  <c r="D24" i="19"/>
  <c r="E34" i="19"/>
  <c r="E32" i="19"/>
  <c r="C28" i="19"/>
  <c r="G26" i="19"/>
  <c r="E25" i="19"/>
  <c r="C24" i="19"/>
  <c r="D34" i="19"/>
  <c r="D32" i="19"/>
  <c r="H27" i="19"/>
  <c r="F26" i="19"/>
  <c r="D25" i="19"/>
  <c r="C34" i="19"/>
  <c r="C32" i="19"/>
  <c r="G27" i="19"/>
  <c r="E26" i="19"/>
  <c r="C25" i="19"/>
  <c r="H28" i="19"/>
  <c r="F27" i="19"/>
  <c r="D26" i="19"/>
  <c r="H24" i="19"/>
  <c r="E33" i="19"/>
  <c r="G28" i="19"/>
  <c r="E27" i="19"/>
  <c r="C26" i="19"/>
  <c r="G24" i="19"/>
  <c r="D33" i="19"/>
  <c r="F24" i="19"/>
  <c r="C33" i="19"/>
  <c r="E24" i="19"/>
  <c r="F28" i="19"/>
  <c r="E28" i="19"/>
  <c r="D27" i="19"/>
  <c r="C27" i="19"/>
  <c r="H25" i="19"/>
  <c r="G25" i="19"/>
  <c r="C55" i="15"/>
  <c r="C52" i="15"/>
  <c r="E52" i="4"/>
  <c r="E19" i="15"/>
  <c r="F19" i="15"/>
  <c r="F52" i="4"/>
  <c r="G19" i="15"/>
  <c r="G52" i="4"/>
  <c r="F32" i="19" l="1"/>
  <c r="D52" i="4"/>
  <c r="D21" i="15" s="1"/>
  <c r="D19" i="15"/>
  <c r="F21" i="15"/>
  <c r="F53" i="4"/>
  <c r="F34" i="19"/>
  <c r="E21" i="15"/>
  <c r="E53" i="4"/>
  <c r="G53" i="4"/>
  <c r="G21" i="15"/>
  <c r="C56" i="15"/>
  <c r="C61" i="15" s="1"/>
  <c r="C54" i="15"/>
  <c r="C62" i="15"/>
  <c r="F33" i="19"/>
  <c r="D53" i="4" l="1"/>
  <c r="D22" i="15" s="1"/>
  <c r="E22" i="15"/>
  <c r="E11" i="13"/>
  <c r="E12" i="13" s="1"/>
  <c r="F22" i="15"/>
  <c r="F11" i="13"/>
  <c r="F12" i="13" s="1"/>
  <c r="G22" i="15"/>
  <c r="G11" i="13"/>
  <c r="G12" i="13" s="1"/>
  <c r="C58" i="15"/>
  <c r="C60" i="15"/>
  <c r="D11" i="13" l="1"/>
  <c r="D12" i="13" s="1"/>
  <c r="D12" i="3" s="1"/>
  <c r="E24" i="15"/>
  <c r="E12" i="3"/>
  <c r="G24" i="15"/>
  <c r="G12" i="3"/>
  <c r="F24" i="15"/>
  <c r="F12" i="3"/>
  <c r="D24" i="15" l="1"/>
  <c r="I12" i="3"/>
</calcChain>
</file>

<file path=xl/sharedStrings.xml><?xml version="1.0" encoding="utf-8"?>
<sst xmlns="http://schemas.openxmlformats.org/spreadsheetml/2006/main" count="3799" uniqueCount="828">
  <si>
    <t>Storage and Preservation Related  —  domain framework v1</t>
  </si>
  <si>
    <r>
      <rPr>
        <sz val="9"/>
        <color rgb="FFFFFFFF"/>
        <rFont val="Arial"/>
        <charset val="1"/>
      </rPr>
      <t xml:space="preserve">A two-speed </t>
    </r>
    <r>
      <rPr>
        <sz val="9"/>
        <color rgb="FFFFFFFF"/>
        <rFont val="Noto Sans CJK SC"/>
        <family val="2"/>
      </rPr>
      <t>領域</t>
    </r>
    <r>
      <rPr>
        <sz val="9"/>
        <color rgb="FFFFFFFF"/>
        <rFont val="Arial"/>
        <charset val="1"/>
      </rPr>
      <t>. K2 is 62.6 of the 106.1 units — agile, hybrid-specification, distributed-proven. The other fourteen applications are 43.4 units of waterfall Japanese-language servicing.</t>
    </r>
  </si>
  <si>
    <r>
      <rPr>
        <b/>
        <sz val="11"/>
        <color rgb="FF00385F"/>
        <rFont val="Arial"/>
        <charset val="1"/>
      </rPr>
      <t xml:space="preserve">WHAT THIS </t>
    </r>
    <r>
      <rPr>
        <b/>
        <sz val="11"/>
        <color rgb="FF00385F"/>
        <rFont val="Noto Sans CJK SC"/>
        <family val="2"/>
      </rPr>
      <t xml:space="preserve">領域 </t>
    </r>
    <r>
      <rPr>
        <b/>
        <sz val="11"/>
        <color rgb="FF00385F"/>
        <rFont val="Arial"/>
        <charset val="1"/>
      </rPr>
      <t>IS</t>
    </r>
  </si>
  <si>
    <t>Fifteen applications, three archetypes</t>
  </si>
  <si>
    <t>K2 62.6 units (D, distributed-proven, agile, hybrid specifications) · five Japan-locked applications totalling 34.2 · nine long-tail applications totalling 9.3. Two value streams: Policy Owner Servicing Work Flow 86.2 and Payment 19.9.</t>
  </si>
  <si>
    <t>It is really two domains</t>
  </si>
  <si>
    <t>K2 is 59% of the effort and is modern. Everything else is waterfall with Japanese-language specifications, and five of those are Japan-locked at a 12% offshore ceiling. The blended offshore ceiling is 54.73% against a measured start of 16.9%.</t>
  </si>
  <si>
    <t>41 Capgemini people are already here</t>
  </si>
  <si>
    <t>36.1 of them on K2 alone. Four are onshore. Banded E2 12 · E3 16 · E4 11 — mid-to-senior, and concentrated on the one modern application.</t>
  </si>
  <si>
    <t>FSI holds four applications</t>
  </si>
  <si>
    <t>13.107 of the 69.426 vendor units — 18.9%. All four are waterfall, Japanese-specification and either Japan-locked or long-tail, which is exactly the profile the partnership targets. The plan tapers them from 13.0 to 3.5 by Year 5.</t>
  </si>
  <si>
    <t>Two applications are marked Retire</t>
  </si>
  <si>
    <t>C03WRE-JPN and JP-PCI-RPASS, 3.3 units between them, from the disposition columns new in Appendix 3 v5.</t>
  </si>
  <si>
    <t>THE SHAPE OF THE ANSWER</t>
  </si>
  <si>
    <t>Offshore is the hard one</t>
  </si>
  <si>
    <t>16.9% today against a 54.73% ceiling. The design closes it to 48.6% by Year 5 and no further, because five Japan-locked applications and the FSI slice are onshore by nature.</t>
  </si>
  <si>
    <t>The 50:50 closes with a small transfer</t>
  </si>
  <si>
    <t>Organic convergence takes Capgemini from 65.3% to 59.9% by Year 3 on its own; a transfer of 6 people — 2 to MetLife Japan, 4 to MGCC — closes the rest. Compare Contract Management, which needs 46 and still leaves a residual of 13.</t>
  </si>
  <si>
    <t>K2 is the whole modernisation case</t>
  </si>
  <si>
    <t>62.6 units, agile already, 78% offshore ceiling, and 36 of our 41 people. If K2 moves, the domain moves.</t>
  </si>
  <si>
    <t>THE ENGINE</t>
  </si>
  <si>
    <t>Unchanged from Sales / Insurance and Contract Management</t>
  </si>
  <si>
    <t>Six-rule archetype classifier → AI and offshore ceilings from Golden Inventory v4 → realisation curve → four-gate capability → carry-forward and pre-load → per-sourcing productivity → organic ratio convergence → guardrails → seat ledger.</t>
  </si>
  <si>
    <t>Seats deploy whole people</t>
  </si>
  <si>
    <t>Pod Library column K and Horizontal Teams column J are the people you hire for that role across the block. The SIT Loading sheet turns them into requisitions.</t>
  </si>
  <si>
    <t>WHAT TO RAISE</t>
  </si>
  <si>
    <t>The role line is restated</t>
  </si>
  <si>
    <t>Appendix 3 records 0.14 project-management units and ZERO architecture across fifteen applications, against 1,145 incidents and 2,071 changes. Restated to 5.0 maintenance, 3.0 PM and 2.5 architecture, taken from the developer line — far less than Contract Management needed.</t>
  </si>
  <si>
    <t>K2 concentration is the delivery risk</t>
  </si>
  <si>
    <t>62.6 units and 36.1 of our 41 people on one application. That is the modernisation opportunity and the single point of failure in the same place.</t>
  </si>
  <si>
    <t>The retirement question</t>
  </si>
  <si>
    <t>3.3 units leave the estate. The model holds effort frozen at the Year-1 baseline; if retirement is real the Year-4 and Year-5 baselines should shrink. Decide whether that is a saving we claim or a scope reduction MetLife prices out.</t>
  </si>
  <si>
    <t>Where every input comes from, and which ones are ours</t>
  </si>
  <si>
    <t>This is a first-version model, so there is nothing to change-log. What matters instead is the provenance of each input: which are measured, which are restated, and which are domain overrides.</t>
  </si>
  <si>
    <t>Element</t>
  </si>
  <si>
    <t>Source</t>
  </si>
  <si>
    <t>Value used</t>
  </si>
  <si>
    <t>Status</t>
  </si>
  <si>
    <t>Note</t>
  </si>
  <si>
    <t>Baseline</t>
  </si>
  <si>
    <t>Appendix 3 v5, 15 applications</t>
  </si>
  <si>
    <t>effort 106.080 · FTC 69.426 · FTE 25.654 · MGCC 11.000 · onshore 62.464 · offshore 6.963</t>
  </si>
  <si>
    <t>SOURCE</t>
  </si>
  <si>
    <t>K2 is row 100; the duplicate K2 line at row 101 is excluded, as MetLife's own total does.</t>
  </si>
  <si>
    <t>Archetypes</t>
  </si>
  <si>
    <t>Golden Inventory v4, six-rule classifier</t>
  </si>
  <si>
    <t>D 1 / 62.642 · J 5 / 34.161 · T 9 / 9.277</t>
  </si>
  <si>
    <t>AI ceiling 41.69%, offshore ceiling 54.73%. Five Japan-locked applications at a 12% ceiling are what hold the blend down.</t>
  </si>
  <si>
    <t>Delivery method</t>
  </si>
  <si>
    <t>Appendix 3 v5</t>
  </si>
  <si>
    <t>K2 agile 63.6 units; the other fourteen waterfall 42.3</t>
  </si>
  <si>
    <t>MEASURED</t>
  </si>
  <si>
    <t>Specification language splits the same way: 67.9 hybrid, 38.1 Japanese.</t>
  </si>
  <si>
    <t>Adoption factors</t>
  </si>
  <si>
    <t>Portfolio default</t>
  </si>
  <si>
    <t>1.00 / 0.85 / 0.80 / 0.55 — unchanged</t>
  </si>
  <si>
    <t>STANDARD</t>
  </si>
  <si>
    <t>A largely waterfall, Japanese-language estate. No case for raising MetLife's commitment here.</t>
  </si>
  <si>
    <t>Role line</t>
  </si>
  <si>
    <t>BSA 8.642 · DEV 45.389 · TEST 11.775 · MNT 3.483 · PM 0.138 · OTH 0.000</t>
  </si>
  <si>
    <t>MNT 5.00 · PM 3.00 · OTH 2.50, taken from DEV</t>
  </si>
  <si>
    <t>RESTATED</t>
  </si>
  <si>
    <t>0.14 PM units and zero architecture across fifteen applications against 1,145 incidents. Arithmetically neutral and far smaller than Contract Management needed.</t>
  </si>
  <si>
    <t>Partner</t>
  </si>
  <si>
    <t>FSI named on four applications in Golden v4</t>
  </si>
  <si>
    <t>13.107 of 69.426 vendor units — 18.9%</t>
  </si>
  <si>
    <t>MODELLED</t>
  </si>
  <si>
    <t>All four waterfall, Japanese-specification, Japan-locked or long-tail. Tapered 13.0 → 3.5.</t>
  </si>
  <si>
    <t>Inherited workforce</t>
  </si>
  <si>
    <t>T3 reconciliation behind Golden v4</t>
  </si>
  <si>
    <t>41 people, 4 onshore, 36.1 on K2</t>
  </si>
  <si>
    <t>Banded E2 12 · E3 16 · E4 11.</t>
  </si>
  <si>
    <t>Disposition</t>
  </si>
  <si>
    <t>New in Appendix 3 v5</t>
  </si>
  <si>
    <t>C03WRE-JPN and JP-PCI-RPASS marked Retire — 3.3 units</t>
  </si>
  <si>
    <t>NEW</t>
  </si>
  <si>
    <t>Not yet reflected in the baseline; the model holds effort frozen at Year 1. See the README.</t>
  </si>
  <si>
    <t>Guardrails</t>
  </si>
  <si>
    <t>Portfolio standard</t>
  </si>
  <si>
    <t>50% vendor share · 55% per unit · 55% of build-and-test</t>
  </si>
  <si>
    <t>All held in every year.</t>
  </si>
  <si>
    <t>Transfer</t>
  </si>
  <si>
    <t>One event at the end of Year 3</t>
  </si>
  <si>
    <t>6 people — 2 to MetLife Japan, 4 to MGCC</t>
  </si>
  <si>
    <t>Organic convergence runs first, taking Capgemini from 65.3% to 59.9% before anyone moves.</t>
  </si>
  <si>
    <t>HOW TO READ THE STATUS COLUMN</t>
  </si>
  <si>
    <t>•  SOURCE — taken directly from Appendix 3 v5 or Golden Application Inventory v4. Not ours to change.</t>
  </si>
  <si>
    <t>•  MEASURED — MetLife has supplied it and we use it as given, where an earlier version made us assume.</t>
  </si>
  <si>
    <t>•  RESTATED — the client figure is internally impossible and we have changed it. Every restatement is arithmetically neutral: people move between role lines, the total does not. These go back to MetLife.</t>
  </si>
  <si>
    <r>
      <rPr>
        <sz val="9.5"/>
        <rFont val="Arial"/>
        <charset val="1"/>
      </rPr>
      <t xml:space="preserve">•  DOMAIN OVERRIDE — a portfolio default deliberately changed for this </t>
    </r>
    <r>
      <rPr>
        <sz val="9.5"/>
        <rFont val="Noto Sans CJK SC"/>
        <family val="2"/>
      </rPr>
      <t>領域</t>
    </r>
    <r>
      <rPr>
        <sz val="9.5"/>
        <rFont val="Arial"/>
        <charset val="1"/>
      </rPr>
      <t>, with the reason stated. These are solution decisions and should be defended as such in the review.</t>
    </r>
  </si>
  <si>
    <t>•  MODELLED — a construct of ours with no direct client source: partner plans, transfer sizing, conversion quarters. The assumptions most worth challenging.</t>
  </si>
  <si>
    <t>Change control  —  what must still hold after you edit a seat count</t>
  </si>
  <si>
    <t>Pod Library column J and Horizontal Teams column I are INPUTS. You may change them. Holding the yearly total is necessary but not sufficient — these are the other things that have to survive the edit. Every check below is live.</t>
  </si>
  <si>
    <t>A.  WHERE THESE NUMBERS GO</t>
  </si>
  <si>
    <t>•  Pod Library J and Horizontal Teams I are hard-typed values, not formulas. Nothing upstream computes them — they are the design. Everything downstream is derived from them.</t>
  </si>
  <si>
    <t>•  Seat Ledger reads them cell by cell (912 references to Pod Library, 630 to Horizontal Teams) and multiplies by the unit count on Pod Plan. Team Build-Up, Cost &amp; Commercial, Inherited Workforce and Unit Cost Sensitivity are all SUMIFS over the Seat Ledger. Change a seat and every one of them moves.</t>
  </si>
  <si>
    <t>•  THE ONE THAT SURPRISES PEOPLE: the Logic Tree reads the roster back. Partner seats (row 59) drive the partner share (row 60), the span-of-control factor (row 61), the applied operating-model gain (row 43), capability (row 45) and therefore the HEADCOUNT TARGET itself (row 53). Changing partner seats moves the target you are trying to hit. It converges, but it does not stand still.</t>
  </si>
  <si>
    <t>•  What does NOT move: the effort baseline, the archetype mix, the AI and offshore ceilings, the realisation curve and the agile conversion quarters. Those are inputs on the Logic Tree and Delivery Mode.</t>
  </si>
  <si>
    <t>B.  THE INVARIANTS  —  all of these must stay green</t>
  </si>
  <si>
    <t>Check</t>
  </si>
  <si>
    <t>Y1</t>
  </si>
  <si>
    <t>Y2</t>
  </si>
  <si>
    <t>Y3</t>
  </si>
  <si>
    <t>Y4</t>
  </si>
  <si>
    <t>Y5</t>
  </si>
  <si>
    <t>Tolerance</t>
  </si>
  <si>
    <t>Headcount delivered minus Logic Tree target</t>
  </si>
  <si>
    <t>± 1.5</t>
  </si>
  <si>
    <t>The productivity commitment. If you add seats you must remove others.</t>
  </si>
  <si>
    <t>Capgemini share inside each POD</t>
  </si>
  <si>
    <t>≥ 55%</t>
  </si>
  <si>
    <t>A POD in which Capgemini is a minority is one whose ways of working we do not set.</t>
  </si>
  <si>
    <t>Capgemini share inside each TEAM</t>
  </si>
  <si>
    <t>A TEAM in which Capgemini is a minority is one whose ways of working we do not set.</t>
  </si>
  <si>
    <t>Capgemini share of the delivery population</t>
  </si>
  <si>
    <t>≥ 50%</t>
  </si>
  <si>
    <t>Below half the roster we cannot carry a productivity commitment we do not control.</t>
  </si>
  <si>
    <t>Blocks deploying a non-whole number of people</t>
  </si>
  <si>
    <t>Column K of the Pod Library and column J of Horizontal Teams are the people you hire for that role across the whole block. Every one is a whole number, or a half where one person covers two units INSIDE this domain. The seat ratio beside it is the modelling quantity and will not always be round — on a 28-team block, nine engineers is a ratio of 0.32.</t>
  </si>
  <si>
    <t>Horizontal roles that have fallen below 0.02 FTE</t>
  </si>
  <si>
    <t>A domain cannot run without a delivery head, a service manager or an architect. If a role must genuinely end, delete the row rather than leaving it at zero.</t>
  </si>
  <si>
    <t>Year-1 reconciliation to Appendix 3 — worst line</t>
  </si>
  <si>
    <t>± 2.6</t>
  </si>
  <si>
    <t>Year 1 must reproduce the client's own numbers: effort, the sourcing split, all three locations and all six role lines. The tolerance is ± 2.6 because seats sit on a 0.5 grid and a Year-1 team seat carries a multiplier of 5 — one grid step is 2.5 people. That is the deliberate price of an anatomy that can be staffed. Moving a seat between bands is free; moving it between ROLE, LOCATION or SOURCING is what actually breaks this.</t>
  </si>
  <si>
    <t>C.  WHAT GOES STALE AND WILL NOT WARN YOU</t>
  </si>
  <si>
    <t>•  SOURCING &amp; PRODUCTIVITY is static. It is produced outside Excel by the per-sourcing solver and pasted in. If you change seat counts, the pool ceilings, the organic-convergence table and the transfer solve on that sheet no longer describe this roster. Re-run the solver or treat the sheet as superseded.</t>
  </si>
  <si>
    <t>•  SIT LOADING is static for the same reason. Re-generate it after any seat change, or the requisition plan will not match the ledger.</t>
  </si>
  <si>
    <t>•  The TRANSFER on the Logic Tree is a typed input (rows 65-66), sized on the Year-3 exit position produced by the solver. Change the Year-3 roster materially and the transfer needs re-sizing, or the 50:50 will not land.</t>
  </si>
  <si>
    <t>•  THE RULE OF THUMB. Re-banding a seat, renaming it, or moving it between pods is safe. Changing its ROLE, LOCATION or SOURCING is not — those are the attributes Year 1 reconciles on and the guardrails measure.</t>
  </si>
  <si>
    <t>Logic Tree  —  ten parametric drivers, five years</t>
  </si>
  <si>
    <t>Amber cells are inputs. Everything else re-derives. Section F is rebuilt on the measured day-1 position.</t>
  </si>
  <si>
    <t>A.  BASELINE  —  Appendix 3 v5, read and never edited</t>
  </si>
  <si>
    <t>Domain</t>
  </si>
  <si>
    <t>Storage and Preservation Related</t>
  </si>
  <si>
    <t>Applications</t>
  </si>
  <si>
    <t>Total effort (units)</t>
  </si>
  <si>
    <t>Current FTC reported (Capgemini + partner)</t>
  </si>
  <si>
    <t>Current FTE</t>
  </si>
  <si>
    <t>Current MGCC</t>
  </si>
  <si>
    <t>— of which onshore Tokyo</t>
  </si>
  <si>
    <t>28.87 offshore, 15.99 MGCC and 0.96 nearshore against 35.55 onshore. This domain already delivers most of its work away from Tokyo.</t>
  </si>
  <si>
    <t>— of which offshore</t>
  </si>
  <si>
    <t>— of which nearshore</t>
  </si>
  <si>
    <t>— of which onsite</t>
  </si>
  <si>
    <t>Role: BSA</t>
  </si>
  <si>
    <t>Role: Developer</t>
  </si>
  <si>
    <t>All six role lines are populated for this domain and are used exactly as reported. No restatement was needed.</t>
  </si>
  <si>
    <t>Role: Tester</t>
  </si>
  <si>
    <t>Role: Maintenance</t>
  </si>
  <si>
    <t>Role: PM</t>
  </si>
  <si>
    <t>Role: Other</t>
  </si>
  <si>
    <t>AD effort (% of PRJ weighted)</t>
  </si>
  <si>
    <t>Appendix 3 Year-3 target, each side</t>
  </si>
  <si>
    <t>Ratio today — Capgemini share</t>
  </si>
  <si>
    <t>OFFSHORE TODAY — whole team, measured</t>
  </si>
  <si>
    <t>45.5% on day one — 28.87 offshore, 0.96 nearshore and 15.99 MGCC. The highest starting position of the eleven domains, which is why the ceiling here is reachable rather than aspirational.</t>
  </si>
  <si>
    <t>B.  ARCHETYPE MIX  —  from the Golden Application Inventory v4</t>
  </si>
  <si>
    <t>Archetype</t>
  </si>
  <si>
    <t>Name</t>
  </si>
  <si>
    <t>Apps</t>
  </si>
  <si>
    <t>Effort</t>
  </si>
  <si>
    <t>Share</t>
  </si>
  <si>
    <t>AI ceiling</t>
  </si>
  <si>
    <t>Offshore ceiling</t>
  </si>
  <si>
    <t>D</t>
  </si>
  <si>
    <t>Distributed-proven</t>
  </si>
  <si>
    <t>J</t>
  </si>
  <si>
    <t>Japan-locked</t>
  </si>
  <si>
    <t>T</t>
  </si>
  <si>
    <t>Long tail</t>
  </si>
  <si>
    <t>Total</t>
  </si>
  <si>
    <t>APPLICABLE AI CEILING</t>
  </si>
  <si>
    <t>46.74% on the golden phase mix — the highest of the eleven domains, because both archetypes present are M and D, the two the classifier treats as most machine-addressable. No domain-specific override is applied.</t>
  </si>
  <si>
    <t>APPLICABLE OFFSHORE CEILING</t>
  </si>
  <si>
    <t>81.52% — the highest in the portfolio. M carries an 85% ceiling and D 78%, and this domain is nothing but M and D.</t>
  </si>
  <si>
    <t>C.  REALISATION AND THE NON-AI COMPONENTS</t>
  </si>
  <si>
    <t>Driver</t>
  </si>
  <si>
    <t>Year 1</t>
  </si>
  <si>
    <t>Year 2</t>
  </si>
  <si>
    <t>Year 3</t>
  </si>
  <si>
    <t>Year 4</t>
  </si>
  <si>
    <t>Year 5</t>
  </si>
  <si>
    <t>Basis</t>
  </si>
  <si>
    <t>AI realisation — share of ceiling</t>
  </si>
  <si>
    <t>Adoption, guardrails and substrate maturity. Capped at 90%.</t>
  </si>
  <si>
    <t>Classical ADM productivity, cumulative</t>
  </si>
  <si>
    <t>Standardisation, defect reduction, shift-left.</t>
  </si>
  <si>
    <t>Operating-model productivity, RAW</t>
  </si>
  <si>
    <t>Pod consolidation and one release train — only available where the stream is agile.</t>
  </si>
  <si>
    <t>Agile share of the domain  →  from the Delivery Mode sheet</t>
  </si>
  <si>
    <t>Operating-model productivity, APPLIED  =  raw × agile share × span-of-control factor</t>
  </si>
  <si>
    <t>Scaling by the agile share is what makes the operating-model gain earned rather than assumed. It costs 2.0 points of Year-1 capability: 16.0% unscaled against the 14.1% the model earns.</t>
  </si>
  <si>
    <t>AI-attributable productivity</t>
  </si>
  <si>
    <t>CAPABILITY EARNED by end of year</t>
  </si>
  <si>
    <t>D.  CARRY-FORWARD AND PRE-LOAD  —  what is applied to headcount</t>
  </si>
  <si>
    <t>Pre-load fraction of the in-year gain</t>
  </si>
  <si>
    <t>Banked from the prior year</t>
  </si>
  <si>
    <t>Pre-load of this year's gain</t>
  </si>
  <si>
    <t>APPLIED TO STAFFING</t>
  </si>
  <si>
    <t>Headcount target  =  baseline x (1 - applied)</t>
  </si>
  <si>
    <t>EXIT YEAR 3 — full realisation, the point the transfer is struck</t>
  </si>
  <si>
    <t>E.  PARTNER  —  the fourth sourcing type, and what it costs</t>
  </si>
  <si>
    <t>FSI is the named incumbent on four applications — POS-IMS, C03WRD-JPN, WPMAUD-JPN and C03WRE-JPN — 13.107 of the 69.426 vendor units, or 18.9%. All four are waterfall, Japanese-specification and Japan-locked, which is exactly the profile we cannot cheaply replace in Year 1. Appendix 3 reports them inside the vendor number, so FTC reported = Capgemini + partner.</t>
  </si>
  <si>
    <t>Measure</t>
  </si>
  <si>
    <t>Partner seats  —  from the seat ledger</t>
  </si>
  <si>
    <t>Partner share of the delivery population</t>
  </si>
  <si>
    <t>Partner seats cannot transfer to MetLife. They sit on the Capgemini side of the 50:50 permanently, which is why the plan tapers FSI 13.0 → 10.0 → 7.0 → 4.5 → 3.5 rather than holding it flat.</t>
  </si>
  <si>
    <t>Span-of-control factor  =  1 − drag × partner share</t>
  </si>
  <si>
    <t>Partner drag  —  INPUT</t>
  </si>
  <si>
    <t>A partner seat returns 40% of the operating-model gain a Capgemini seat does: two management chains, a contractual boundary on ways of working, slower standardisation. At an 18.9% Year-1 partner share this costs real capability, and the drag is the one number to argue about here.</t>
  </si>
  <si>
    <t>F.  OFFSHORE  —  a measured start, a re-cut ceiling, and three bases to report on</t>
  </si>
  <si>
    <t>THIS IS THE CONSTRAINED CASE. K2 is archetype D and carries a 78% ceiling, but the five J applications behind it carry 12% and the nine T applications 55%. Eleven of the fifteen applications run on Japanese-language specifications. The blended ceiling is 54.7% against a measured 16.9% today, and the design closes only 80% of that gap by Year 5.</t>
  </si>
  <si>
    <t>Gap closure — share of (ceiling − today) reached</t>
  </si>
  <si>
    <t>Year 1 holds the position it inherits. Years 4 and 5 flatten deliberately — see below.</t>
  </si>
  <si>
    <t>TARGET OFFSHORE SHARE, whole team</t>
  </si>
  <si>
    <t>Delivered — whole team</t>
  </si>
  <si>
    <t>Delivered — vendor only (Capgemini + partner)</t>
  </si>
  <si>
    <t>Delivered — Capgemini payroll only</t>
  </si>
  <si>
    <t>THE LINE THAT MATTERS COMMERCIALLY. Capgemini's own payroll is MORE offshore than the whole team throughout — 51.7% rising to 83.5% — because the onshore seats are disproportionately MetLife's. Unlike Contract Management, the Year-3 transfer does not strip our offshore book: only 7 people move to MGCC, so the Capgemini line keeps climbing after Year 3.</t>
  </si>
  <si>
    <t>G.  TRANSFER OF EMPLOYMENT  —  one event, end of Year 3, Capgemini payroll only</t>
  </si>
  <si>
    <t>Transfer in year</t>
  </si>
  <si>
    <t>Capgemini Japan to MetLife Japan (FTE)</t>
  </si>
  <si>
    <t>FSI SEATS CANNOT MOVE. The whole transfer comes out of Capgemini payroll, which at the Year-3 exit is 31.1 of the 37.5 vendor units — FSI holds 6.4 by then. 6.2 people is 20% of our own population here, comfortably inside the 70% cap.</t>
  </si>
  <si>
    <t>Capgemini India to MetLife MGCC</t>
  </si>
  <si>
    <t>Cumulative transferred</t>
  </si>
  <si>
    <t>2.2 to MetLife Japan from the Capgemini Japan population; 4.0 to MGCC from the Capgemini India population. MGCC runs 11.0 units here on day one — small, but not a standing start, and all of it on K2.</t>
  </si>
  <si>
    <t>H.  COST INDEX  —  relative only, onshore Tokyo E2 = 1.00</t>
  </si>
  <si>
    <t>Location</t>
  </si>
  <si>
    <t>E1</t>
  </si>
  <si>
    <t>E2</t>
  </si>
  <si>
    <t>E3</t>
  </si>
  <si>
    <t>E4</t>
  </si>
  <si>
    <t>E5</t>
  </si>
  <si>
    <t>Onshore Tokyo</t>
  </si>
  <si>
    <t>Offshore Hyderabad</t>
  </si>
  <si>
    <t>Nearshore</t>
  </si>
  <si>
    <t>Nearshore is ZERO on this domain — every unit is either Tokyo or India, and 62.5 of the 69.4 vendor units are Tokyo today. The NEAR rows are carried so all eleven domain models share one schema.</t>
  </si>
  <si>
    <t>key</t>
  </si>
  <si>
    <t>ON</t>
  </si>
  <si>
    <t>OFF</t>
  </si>
  <si>
    <t>NEAR</t>
  </si>
  <si>
    <t>Lookup block for the Seat Ledger. Mirrors the table on the left.</t>
  </si>
  <si>
    <t>Sourcing and productivity  —  the same chain, applied differently to each population</t>
  </si>
  <si>
    <t>Productivity is not one number applied to everybody. The three populations do different work and we do not control all three, so each carries its own AI ceiling and its own adoption factor. This is what makes the 50:50 converge on its own rather than by transfer.</t>
  </si>
  <si>
    <t>A.  WHY ONE RATE CANNOT APPLY TO ALL THREE  —  the Year-1 role mix</t>
  </si>
  <si>
    <t>Population</t>
  </si>
  <si>
    <t>Heads Y1</t>
  </si>
  <si>
    <t>BSA</t>
  </si>
  <si>
    <t>Developer</t>
  </si>
  <si>
    <t>Tester</t>
  </si>
  <si>
    <t>Maint.</t>
  </si>
  <si>
    <t>FTC · Capgemini payroll</t>
  </si>
  <si>
    <t>MetLife's own people are governance, domain SME and product ownership. MGCC is build and test. They are not doing the same work, so they cannot carry the same productivity rate.</t>
  </si>
  <si>
    <t>PT · Partner (sub-contracted)</t>
  </si>
  <si>
    <t>FTE · MetLife Japan</t>
  </si>
  <si>
    <t>MGCC · MetLife MGCC</t>
  </si>
  <si>
    <t>B.  EACH POPULATION'S OWN AI CEILING AND ADOPTION  —  INPUT</t>
  </si>
  <si>
    <t>Own AI ceiling</t>
  </si>
  <si>
    <t>Adoption</t>
  </si>
  <si>
    <t>Effective ceiling</t>
  </si>
  <si>
    <t>vs domain blend</t>
  </si>
  <si>
    <t>ADOPTION is the share of the ceiling each population can actually realise, and it is a judgement about AUTHORITY, not about capability. We build the tooling, set the ways of working and mandate them on our own payroll — so 1.00. Everything below that is somebody else's decision.</t>
  </si>
  <si>
    <t>Domain blended ceiling (unchanged, and still the headline commitment)</t>
  </si>
  <si>
    <t>Only the AI gate is scaled. Classical ADM productivity attaches to the work and the operating-model gain attaches to the delivery unit, so both flow to every population regardless of employer.</t>
  </si>
  <si>
    <t>C.  WHAT EACH POPULATION IS THEREFORE ASKED TO DELIVER</t>
  </si>
  <si>
    <t>Applied to staffing</t>
  </si>
  <si>
    <t>The headline commitment is UNCHANGED from the previous version. What has changed is that it is no longer assumed to fall equally on all three populations.</t>
  </si>
  <si>
    <t>Whole-domain commitment (the headline)</t>
  </si>
  <si>
    <t>D.  THE THREE-WAY COMMITMENT SPLIT</t>
  </si>
  <si>
    <t>CAPGEMINI COMMITS</t>
  </si>
  <si>
    <t>Our own headcount reduction, on our own payroll, on tooling and ways of working we control. This is contractible and we should contract it.</t>
  </si>
  <si>
    <t>METLIFE MUST DELIVER</t>
  </si>
  <si>
    <t>The reduction of MetLife Japan and MGCC headcount. We size it, we enable it and we report it — but redeploying MetLife's own people is MetLife's decision, and MGCC runs to its own utilisation targets. This should be a joint commitment with named owners, not a Capgemini SLA.</t>
  </si>
  <si>
    <t>JOINTLY DEPENDENT</t>
  </si>
  <si>
    <t>AI adoption on MetLife's side: tooling access, shared standards, common telemetry, and the substrate being used rather than merely available. If adoption lands below the factors in section B, the whole-team headcount misses even if Capgemini delivers in full.</t>
  </si>
  <si>
    <t>E.  ORGANIC CONVERGENCE TO 50:50  —  before any transfer</t>
  </si>
  <si>
    <t>MetLife Japan (FTE) — own curve</t>
  </si>
  <si>
    <t>MetLife's populations follow their own slower curves. Capgemini takes the balance, which means we shrink our own book faster than productivity alone would justify. That extra reduction is not a productivity claim — it is a deliberate commercial choice to reach the ratio organically instead of by transferring people.</t>
  </si>
  <si>
    <t>MetLife MGCC — own curve</t>
  </si>
  <si>
    <t>Partner — per the partner plan</t>
  </si>
  <si>
    <t>Capgemini — absorbs the balance</t>
  </si>
  <si>
    <t>TOTAL  =  the headline commitment</t>
  </si>
  <si>
    <t>RATIO — Capgemini share</t>
  </si>
  <si>
    <t xml:space="preserve">  — of which productivity-driven</t>
  </si>
  <si>
    <t xml:space="preserve">  — of which RATIO-DRIVEN, over and above productivity</t>
  </si>
  <si>
    <t>This is the mechanism that halves the transfer. Reaching the ratio by shrinking our own book is cheaper, lower-risk and entirely within our control; a transfer of employment is neither.</t>
  </si>
  <si>
    <t>F.  THE GUARDRAILS  —  where organic convergence has to stop</t>
  </si>
  <si>
    <t>Test</t>
  </si>
  <si>
    <t>Floor</t>
  </si>
  <si>
    <t>THE POINT OF THE FLOOR. If Capgemini becomes a minority of the delivery population, or of the build-and-test seats, or of any single pod, we no longer set the ways of working — and a productivity commitment we cannot enforce is not a commitment. Convergence stops here, and from that year MetLife's population follows the whole-team curve rather than its own slower one.</t>
  </si>
  <si>
    <t>Capgemini share of build-and-test seats</t>
  </si>
  <si>
    <t>Capgemini share inside every single delivery unit</t>
  </si>
  <si>
    <t>held</t>
  </si>
  <si>
    <t>G.  THE TRANSFER  —  only what organic convergence cannot reach</t>
  </si>
  <si>
    <t>Value</t>
  </si>
  <si>
    <t>Exit Year 3 headcount, full realisation</t>
  </si>
  <si>
    <t>Vendor units at exit, after organic convergence</t>
  </si>
  <si>
    <t>Transferable pool — Capgemini payroll only</t>
  </si>
  <si>
    <t>50:50 requires each side to be</t>
  </si>
  <si>
    <t>TRANSFER REQUIRED</t>
  </si>
  <si>
    <t>Maximum transferable at the 70% cap</t>
  </si>
  <si>
    <t>Transfer applied</t>
  </si>
  <si>
    <t xml:space="preserve">  — to MetLife Japan</t>
  </si>
  <si>
    <t xml:space="preserve">  — to MGCC</t>
  </si>
  <si>
    <t>RESIDUAL GAP TO 50:50</t>
  </si>
  <si>
    <t>Ratio reached at the Year-3 exit</t>
  </si>
  <si>
    <t>Delivery mode  —  measured per application, not assumed</t>
  </si>
  <si>
    <t>Appendix 3 v5 supplies the development method for fourteen of the fifteen applications. K2 and DSP are agile — 63.6 of the 106.1 units — and the other twelve are waterfall. This is a two-speed estate: one large modern workflow platform and fourteen Japanese-language satellites around it.</t>
  </si>
  <si>
    <t>A.  MODE TODAY AND TARGET, BY VALUE STREAM  —  INPUT</t>
  </si>
  <si>
    <t>Value stream</t>
  </si>
  <si>
    <t>Mode today</t>
  </si>
  <si>
    <t>Agile from</t>
  </si>
  <si>
    <t>Why</t>
  </si>
  <si>
    <t>POSW · Policy Owner Servicing Work Flow</t>
  </si>
  <si>
    <t>D / J / T</t>
  </si>
  <si>
    <t>Hybrid</t>
  </si>
  <si>
    <t>Q2</t>
  </si>
  <si>
    <t>K2 is 62.6 of the 86.2 and carries 36.1 of our 41 inherited people. Agile and hybrid-specification, against eleven waterfall satellites.</t>
  </si>
  <si>
    <t>The mode column is MetLife's own data. MetLife records two value streams here — Policy Owner Servicing Work Flow (12 applications, 86.158 units) and Policy Owner Servicing Payment (3 applications, 19.923 units). Work Flow is K2-led and converts early at Q2. Payment is three Japan-locked waterfall applications, one of them marked Retire, and converts late at Q7. Those two quarters are the Capgemini planning assumption and the input to argue about.</t>
  </si>
  <si>
    <t>POSP · Policy Owner Servicing Payment</t>
  </si>
  <si>
    <t>Waterfall</t>
  </si>
  <si>
    <t>Q7</t>
  </si>
  <si>
    <t>JP-RPASS, W13WEP and JP-PCI-RPASS. All Japan-locked, all waterfall, all Japanese specifications, and one of them is marked Retire.</t>
  </si>
  <si>
    <t>B.  AGILE SHARE BY YEAR  —  computed from the quarter each stream converts</t>
  </si>
  <si>
    <t>POSW</t>
  </si>
  <si>
    <t>POSP</t>
  </si>
  <si>
    <t>Effort-weighted agile share of the domain</t>
  </si>
  <si>
    <t>Delivery units this produces</t>
  </si>
  <si>
    <t>— agile PODS</t>
  </si>
  <si>
    <t>— agile share (feeds the Logic Tree)</t>
  </si>
  <si>
    <t>— waterfall / hybrid TEAMS</t>
  </si>
  <si>
    <t>C.  WHY THIS MATTERS TO THE NUMBER</t>
  </si>
  <si>
    <t>•  Operating-model productivity — pod consolidation, one release train, span of control — is only available where the stream actually runs as a pod, and here it is discounted a second time for the partner share. Scaling the 3 / 6 / 8 / 10 / 12% curve by the Year-1 agile share of 60.9% and by the span-of-control factor cuts it from 3.0% to 1.7%. By Year 3 the whole domain runs as pods and the only remaining discount is the FSI share, which is down to 10.3% by then and 6.4% by Year 5.</t>
  </si>
  <si>
    <t>•  The waterfall / hybrid TEAM is 12 seats with a separate test cell; the agile POD is 10 in Year 1 falling to 6 by Year 4, with test collapsed into SDET seats. Both carry MGCC seats from day one, which is what makes this domain's offshore movement cheap: the substrate is already there.</t>
  </si>
  <si>
    <t>•  Year 1 runs 4 pods and 5 delivery teams, Year 2 runs 6 pods and 2 teams, and from Year 3 there are no teams left. If K2's conversion slips two quarters the Year-1 agile share falls from 60.9% to 30.4% and about 0.9 points of Year-1 capability go with it — which costs nothing in staffing, because Year 1 applies zero productivity by construction.</t>
  </si>
  <si>
    <t>•  DECIDE  the conversion quarters, not the modes. MetLife has given us the development method for fourteen of fifteen applications, so the only assumption left on this sheet is WHEN each stream converts — Work Flow Q2, Payment Q7. The Payment quarter is the conservative one and is worth challenging: three small Japan-locked applications may never justify a pod at all.</t>
  </si>
  <si>
    <t>AMS and ticket load  —  the run team sized from evidence, for the first time</t>
  </si>
  <si>
    <t>1,145 incidents and 2,071 changes over 32 months, from Appendix 3 v5.</t>
  </si>
  <si>
    <t>A.  RECORDED VOLUMES  —  1 Jan 2024 to 31 Aug 2026</t>
  </si>
  <si>
    <t>Volume</t>
  </si>
  <si>
    <t>Per month</t>
  </si>
  <si>
    <t>Per unit of effort</t>
  </si>
  <si>
    <t>P1 — critical</t>
  </si>
  <si>
    <t>No P1 or P2 incidents at all in 32 months and 71% of incidents at P5. The estate is stable; the cost is in changing it, not in keeping it up.</t>
  </si>
  <si>
    <t>P2 — high</t>
  </si>
  <si>
    <t>P3 — medium</t>
  </si>
  <si>
    <t>P4 — low</t>
  </si>
  <si>
    <t>P5 — informational</t>
  </si>
  <si>
    <t>All incidents</t>
  </si>
  <si>
    <t>Emergency change</t>
  </si>
  <si>
    <t>84% Standard and 4.3% Emergency. A high-volume, low-severity, highly repeatable change profile — the best automation case in the portfolio.</t>
  </si>
  <si>
    <t>Normal change</t>
  </si>
  <si>
    <t>Standard change</t>
  </si>
  <si>
    <t>All changes</t>
  </si>
  <si>
    <t>Observation window, months</t>
  </si>
  <si>
    <t>B.  SIZING THE RUN TEAM  —  three independent bases, triangulated</t>
  </si>
  <si>
    <t>Reading</t>
  </si>
  <si>
    <t>A.  Maintenance role reported in Appendix 3 v5</t>
  </si>
  <si>
    <t>MetLife's own HEADCOUNT view. Populated here, unlike Contract Management, so it is usable.</t>
  </si>
  <si>
    <t>B.  Run effort implied by the AD / AMS split  =  (1 − AD share) x effort</t>
  </si>
  <si>
    <t>MetLife's own EFFORT view: 13.5% of 100.765 units. It implies 2.4 times the run population the role line does, and both numbers come from the same spreadsheet.</t>
  </si>
  <si>
    <t>Total demand items per month  (incidents + changes)</t>
  </si>
  <si>
    <t>2,536 items in 32 months — 25.2 per unit of effort against 14.6 on Sales. High for a three-application estate, and 84% of the changes are Standard.</t>
  </si>
  <si>
    <t>C.  Throughput implied by basis A  —  items per person per month</t>
  </si>
  <si>
    <t>If the role line is right, each run person absorbs this many items a month.</t>
  </si>
  <si>
    <t>C.  Throughput implied by basis B</t>
  </si>
  <si>
    <t>If the effort split is right, this is the rate. Industry L2 throughput on a modern data stack is 40 to 80 items per person per month; both of these sit far below it, which says these items carry investigation rather than triage.</t>
  </si>
  <si>
    <t>Run-facing seats in the Year-1 roster  (Maintenance + Tester, all sourcing)</t>
  </si>
  <si>
    <t>Model output. Sized on the role line, which is the binding Year-1 reconciliation constraint, and reported here against the other two bases rather than averaged with them.</t>
  </si>
  <si>
    <t>C.  WHAT THE TICKET DATA CHANGES</t>
  </si>
  <si>
    <t>•  MetLife's two views of the run population disagree by a factor of 2.4. The Maintenance role line says 5.67 units; the AD / AMS effort split says 13.64. This model follows the role line, because Year 1 has to reconcile to Appendix 3 line by line — but the difference is 8 people and it is a real commercial exposure. PUT THIS TO METLIFE before the AMS price is fixed.</t>
  </si>
  <si>
    <t>•  The severity profile is benign and the change profile is not. No P1 or P2 incidents in 32 months and 71% of incidents at P5 — this estate is stable. But 1,730 changes on 100.8 units, 84% of them Standard, is a high change rate, and Standard changes on a cloud data platform are exactly what pipeline automation and a release train remove. That is where the operating-model productivity in this domain actually comes from.</t>
  </si>
  <si>
    <t>•  Ticket density is 25.2 items per unit of effort against 14.6 on Sales — the highest of the domains modelled so far. Combined with a 13.5% run share it suggests run work is sitting inside the Developer line, which is the same pattern Sales shows and the reason this cross-check is worth running on every domain.</t>
  </si>
  <si>
    <t>•  DO  ask MetLife which of the two run figures governs, and ask for the ticket-to-effort mapping behind the AD / AMS split. On a three-application domain this is a short conversation with a material price attached.</t>
  </si>
  <si>
    <t>Inventory  —  the 15 Storage and Preservation Related applications from Appendix 3 v5</t>
  </si>
  <si>
    <t>Classified by the six-rule classifier on the Golden Application Inventory v4.</t>
  </si>
  <si>
    <t>Application</t>
  </si>
  <si>
    <t>Arch</t>
  </si>
  <si>
    <t>FTC</t>
  </si>
  <si>
    <t>FTE</t>
  </si>
  <si>
    <t>Onshore</t>
  </si>
  <si>
    <t>Nearsh %</t>
  </si>
  <si>
    <t>Dev</t>
  </si>
  <si>
    <t>AD %</t>
  </si>
  <si>
    <t>Crit</t>
  </si>
  <si>
    <t>Method</t>
  </si>
  <si>
    <t>Spec lang</t>
  </si>
  <si>
    <t>Lines of code</t>
  </si>
  <si>
    <t>Batches</t>
  </si>
  <si>
    <t>Incidents</t>
  </si>
  <si>
    <t>Changes</t>
  </si>
  <si>
    <t>Primary code language</t>
  </si>
  <si>
    <t>K2</t>
  </si>
  <si>
    <t>Y</t>
  </si>
  <si>
    <t>Agile</t>
  </si>
  <si>
    <t>VB.NET</t>
  </si>
  <si>
    <t>POS-IMS</t>
  </si>
  <si>
    <t>N</t>
  </si>
  <si>
    <t>JP</t>
  </si>
  <si>
    <t>VB.NET; JAVA</t>
  </si>
  <si>
    <t>JP-RPASS</t>
  </si>
  <si>
    <t>Other#COTS from BluePrism</t>
  </si>
  <si>
    <t>W13WEP-JPN</t>
  </si>
  <si>
    <t>JAVA</t>
  </si>
  <si>
    <t>POS Batch</t>
  </si>
  <si>
    <t>JP-PCI-RPASS</t>
  </si>
  <si>
    <t>Other#This is coded within blueprism</t>
  </si>
  <si>
    <t>C03PCA-JPN</t>
  </si>
  <si>
    <t>VB</t>
  </si>
  <si>
    <t>C03WRD-JPN</t>
  </si>
  <si>
    <t>WPMAUD-JPN</t>
  </si>
  <si>
    <t>DSP</t>
  </si>
  <si>
    <t>PL/SQL</t>
  </si>
  <si>
    <t>Scan Manager</t>
  </si>
  <si>
    <t>W03CCP-JPN</t>
  </si>
  <si>
    <t>C03WRE-JPN</t>
  </si>
  <si>
    <t>W03PIU-JPN</t>
  </si>
  <si>
    <t>JP-DB2-CONNECT</t>
  </si>
  <si>
    <t>N/A</t>
  </si>
  <si>
    <t>Other#COTS</t>
  </si>
  <si>
    <t>TOTAL</t>
  </si>
  <si>
    <r>
      <rPr>
        <sz val="8.5"/>
        <color rgb="FF595959"/>
        <rFont val="Arial"/>
        <charset val="1"/>
      </rPr>
      <t xml:space="preserve">Fourteen of the fifteen carry a development method and a specification language; JP-DB2-CONNECT is a 0.10-unit MetLife-only line with neither. Eleven run on Japanese specifications and only two are cloud-flagged — the least modern stack of the five </t>
    </r>
    <r>
      <rPr>
        <sz val="8.5"/>
        <color rgb="FF595959"/>
        <rFont val="Noto Sans CJK SC"/>
        <family val="2"/>
      </rPr>
      <t xml:space="preserve">領域 </t>
    </r>
    <r>
      <rPr>
        <sz val="8.5"/>
        <color rgb="FF595959"/>
        <rFont val="Arial"/>
        <charset val="1"/>
      </rPr>
      <t>modelled. Code volume totals 4.09 million lines, 48% of it in POS-IMS. K2 alone is 62.6 of the 106.1 units. Note that Appendix 3 v5 lists K2 twice; the duplicate line is excluded here, as MetLife's own total does. Two applications — JP-PCI-RPASS and C03WRE-JPN, 3.3 units between them — are marked Retire in the new disposition columns; see the README.</t>
    </r>
  </si>
  <si>
    <t>Delivery streams  —  reconciling to 15 applications and 106.080 units</t>
  </si>
  <si>
    <t>MetLife records TWO value streams here — Policy Owner Servicing Work Flow (12 applications, 86.158 units) and Policy Owner Servicing Payment (3 applications, 19.923 units). Both are used as given.</t>
  </si>
  <si>
    <t>Code</t>
  </si>
  <si>
    <t>Y1 pods</t>
  </si>
  <si>
    <t>Vendor position today</t>
  </si>
  <si>
    <t>Policy Owner Servicing Work Flow</t>
  </si>
  <si>
    <t>4 + 3t</t>
  </si>
  <si>
    <t>6 + 1t</t>
  </si>
  <si>
    <t>CG 36.1 · FSI 3.4 · NCD 3.2 · unnamed 5.0</t>
  </si>
  <si>
    <t>Policy Owner Servicing Payment</t>
  </si>
  <si>
    <t>0 + 2t</t>
  </si>
  <si>
    <t>0 + 1t</t>
  </si>
  <si>
    <t>NCD 5.9 · unnamed 6.7</t>
  </si>
  <si>
    <t>Pod counts read 'pods + teams'. Teams are gone from Year 3. The FSI seats sit in horizontal team H1 as the service cell covering POS-IMS, C03WRD-JPN, WPMAUD-JPN and C03WRE-JPN — the four applications FSI holds — rather than being spread across pods, because a partner cell with a defined scope is contractually cleaner than partner seats inside a Capgemini pod.</t>
  </si>
  <si>
    <t>Pod library  —  every seat, with MetLife's own role taxonomy and four sourcing types</t>
  </si>
  <si>
    <t>INPUT. Sourcing FTC = Capgemini payroll · PT = FSI, the named incumbent on four applications · FTE = MetLife Japan · MGCC. Only FTC can transfer at the end of Year 3.</t>
  </si>
  <si>
    <t>Year</t>
  </si>
  <si>
    <t>Unit</t>
  </si>
  <si>
    <t>Seat</t>
  </si>
  <si>
    <t>Role detail</t>
  </si>
  <si>
    <t>Role</t>
  </si>
  <si>
    <t>Exp</t>
  </si>
  <si>
    <t>Loc</t>
  </si>
  <si>
    <t>Sourcing</t>
  </si>
  <si>
    <t>Count</t>
  </si>
  <si>
    <t>People in the block</t>
  </si>
  <si>
    <t>POD</t>
  </si>
  <si>
    <t>MetLife Product Owner</t>
  </si>
  <si>
    <t>PM</t>
  </si>
  <si>
    <t>MetLife Servicing SME</t>
  </si>
  <si>
    <t>MGCC Workflow Engineer</t>
  </si>
  <si>
    <t>DEV</t>
  </si>
  <si>
    <t>MGCC</t>
  </si>
  <si>
    <t>Business Analyst (bilingual)</t>
  </si>
  <si>
    <t>Pod lead / senior engineer</t>
  </si>
  <si>
    <t>K2 Workflow Engineer</t>
  </si>
  <si>
    <t>Quality Engineer (SDET)</t>
  </si>
  <si>
    <t>TEST</t>
  </si>
  <si>
    <t>Application Support</t>
  </si>
  <si>
    <t>MNT</t>
  </si>
  <si>
    <t>Solution Architect</t>
  </si>
  <si>
    <t>OTH</t>
  </si>
  <si>
    <t>POD size — Year 1</t>
  </si>
  <si>
    <t>TEAM</t>
  </si>
  <si>
    <t>MetLife Operations Analyst</t>
  </si>
  <si>
    <t>FSI Senior Developer (JP)</t>
  </si>
  <si>
    <t>PT</t>
  </si>
  <si>
    <t>FSI Business Analyst (JP)</t>
  </si>
  <si>
    <t>Team lead / technical lead</t>
  </si>
  <si>
    <t>Workflow Developer</t>
  </si>
  <si>
    <t>Test Engineer</t>
  </si>
  <si>
    <t>TEAM size — Year 1</t>
  </si>
  <si>
    <t>AI-assisted Workflow Engineer</t>
  </si>
  <si>
    <t>Workflow Engineer</t>
  </si>
  <si>
    <t>POD size — Year 2</t>
  </si>
  <si>
    <t>Test Engineer (SDET)</t>
  </si>
  <si>
    <t>TEAM size — Year 2</t>
  </si>
  <si>
    <t>POD size — Year 3</t>
  </si>
  <si>
    <t>TEAM size — Year 3</t>
  </si>
  <si>
    <t>MetLife Servicing SME (transferred)</t>
  </si>
  <si>
    <t>MGCC Engineer (transferred)</t>
  </si>
  <si>
    <t>Agent engineer</t>
  </si>
  <si>
    <t>POD size — Year 4</t>
  </si>
  <si>
    <t>POD size — Year 5</t>
  </si>
  <si>
    <t>Year 1 runs 4 pods on the K2-led Work Flow stream and 5 delivery teams covering the waterfall satellites. From Year 4 the pod anatomy CONTAINS the transferred MetLife and MGCC seats — that is what makes the Year-3 transfer show up in the Year-4 ratio rather than only in the Glidepath solve.</t>
  </si>
  <si>
    <t>The seat ratio in column J is the modelling quantity — the share of one unit's establishment this role holds. Column K is what you hire: the ratio multiplied by the number of units that year. Every value in column K is a whole number of people, or a half where one person covers two units inside this domain.</t>
  </si>
  <si>
    <t>Pod plan  —  how many pods and how many waterfall teams, per stream per year</t>
  </si>
  <si>
    <t>INPUT. This is where productivity shows up in the headcount, and where the agile conversion shows up in the unit mix.</t>
  </si>
  <si>
    <t>VS</t>
  </si>
  <si>
    <t>Pods</t>
  </si>
  <si>
    <t>Teams</t>
  </si>
  <si>
    <t>Units</t>
  </si>
  <si>
    <t>People</t>
  </si>
  <si>
    <t>Year 1 total</t>
  </si>
  <si>
    <t>Year 2 total</t>
  </si>
  <si>
    <t>Year 3 total</t>
  </si>
  <si>
    <t>Year 4 total</t>
  </si>
  <si>
    <t>Year 5 total</t>
  </si>
  <si>
    <t>Horizontal teams  —  work that is not stream-bounded</t>
  </si>
  <si>
    <t>INPUT, defined per year rather than scaled, because the partner share and the sourcing mix inside the horizontal layer both change as the estate transitions.</t>
  </si>
  <si>
    <t>Team</t>
  </si>
  <si>
    <t>H1</t>
  </si>
  <si>
    <t>Service Delivery Manager</t>
  </si>
  <si>
    <t>Incident &amp; Problem Analyst</t>
  </si>
  <si>
    <t>L2 Application Support</t>
  </si>
  <si>
    <t>Observability / AIOps Engineer</t>
  </si>
  <si>
    <t>Batch &amp; Scheduling Engineer</t>
  </si>
  <si>
    <t>MGCC Platform SRE</t>
  </si>
  <si>
    <t>FSI Batch &amp; Production Control</t>
  </si>
  <si>
    <t>H2</t>
  </si>
  <si>
    <t>Head of Quality Engineering</t>
  </si>
  <si>
    <t>Regression Automation Engineer</t>
  </si>
  <si>
    <t>Test Data Engineer</t>
  </si>
  <si>
    <t>MetLife Servicing Governance</t>
  </si>
  <si>
    <t>H3</t>
  </si>
  <si>
    <t>Domain Delivery Head</t>
  </si>
  <si>
    <t>Chief Architect — Servicing</t>
  </si>
  <si>
    <t>Transition &amp; Substrate Lead</t>
  </si>
  <si>
    <t>Service &amp; Contract Manager</t>
  </si>
  <si>
    <t>MetLife Servicing Owner</t>
  </si>
  <si>
    <t>MetLife Portfolio Manager</t>
  </si>
  <si>
    <t>Year 1 horizontal total</t>
  </si>
  <si>
    <t>Year 2 horizontal total</t>
  </si>
  <si>
    <t>Year 3 horizontal total</t>
  </si>
  <si>
    <t>Year 4 horizontal total</t>
  </si>
  <si>
    <t>Year 5 horizontal total</t>
  </si>
  <si>
    <t>H1 is sized from the incident and change load on the AMS sheet — 1,145 incidents and 2,071 changes a year, none of them P1 or P2 — and it contains the FSI service cell covering the four applications FSI holds. H2 is the records and document-integrity function. H3 carries the architecture, release and enablement seats that the restatement created, and is deliberately thin across fourteen small applications and one large one.</t>
  </si>
  <si>
    <t>Team build-up  —  and the Year-1 reconciliation to Appendix 3 v5</t>
  </si>
  <si>
    <t>Nothing on this sheet is typed. Section B is the test that matters: the roster has to be the client's own Year-1 position on effort, sourcing, location AND role.</t>
  </si>
  <si>
    <t>A.  HEADCOUNT</t>
  </si>
  <si>
    <t>People in agile pods</t>
  </si>
  <si>
    <t>People in waterfall / hybrid teams</t>
  </si>
  <si>
    <t>People in horizontal teams</t>
  </si>
  <si>
    <t>TOTAL PEOPLE</t>
  </si>
  <si>
    <t>Delivery units — pods / teams</t>
  </si>
  <si>
    <t>Headcount target from the Logic Tree</t>
  </si>
  <si>
    <t>Variance to target</t>
  </si>
  <si>
    <t>B.  YEAR-1 RECONCILIATION TO APPENDIX 3 v3</t>
  </si>
  <si>
    <t>Model Year 1</t>
  </si>
  <si>
    <t>Variance</t>
  </si>
  <si>
    <t>Total effort / people</t>
  </si>
  <si>
    <t>Whole-domain size. Unchanged since v2.</t>
  </si>
  <si>
    <t>FTC reported  (Capgemini + partner)</t>
  </si>
  <si>
    <t>Appendix 3 reports the vendor as one number. This is the line that has to reconcile.</t>
  </si>
  <si>
    <t xml:space="preserve">  — of which Capgemini payroll</t>
  </si>
  <si>
    <t>—</t>
  </si>
  <si>
    <t>Transferable at the end of Year 3.</t>
  </si>
  <si>
    <t xml:space="preserve">  — of which FSI (four-application service cell)</t>
  </si>
  <si>
    <t>NOT transferable, and onshore Japan by definition.</t>
  </si>
  <si>
    <t>MetLife Japan FTE</t>
  </si>
  <si>
    <t>Product owners, domain SMEs and application owners.</t>
  </si>
  <si>
    <t>MetLife MGCC</t>
  </si>
  <si>
    <t>15.99 units on day one — MGCC is already the second largest sourcing pool in this domain.</t>
  </si>
  <si>
    <t>Vendor onshore Tokyo</t>
  </si>
  <si>
    <t>MEASURED, not assumed.</t>
  </si>
  <si>
    <t>Vendor nearshore</t>
  </si>
  <si>
    <r>
      <rPr>
        <sz val="8.5"/>
        <color rgb="FF595959"/>
        <rFont val="Arial"/>
        <charset val="1"/>
      </rPr>
      <t xml:space="preserve">Zero. There is no nearshore capacity in this </t>
    </r>
    <r>
      <rPr>
        <sz val="8.5"/>
        <color rgb="FF595959"/>
        <rFont val="Noto Sans CJK SC"/>
        <family val="2"/>
      </rPr>
      <t>領域</t>
    </r>
    <r>
      <rPr>
        <sz val="8.5"/>
        <color rgb="FF595959"/>
        <rFont val="Arial"/>
        <charset val="1"/>
      </rPr>
      <t>.</t>
    </r>
  </si>
  <si>
    <t>Vendor offshore</t>
  </si>
  <si>
    <t>28.87 units already offshore — 44% of the Capgemini population on day one. MGCC is excluded: it is MetLife's.</t>
  </si>
  <si>
    <t>Role — BSA</t>
  </si>
  <si>
    <t>Reconciles.</t>
  </si>
  <si>
    <t>Role — Developer</t>
  </si>
  <si>
    <t>As reported. 66% of the vendor population.</t>
  </si>
  <si>
    <t>Role — Tester</t>
  </si>
  <si>
    <t>As reported. The lowest tester share in the portfolio, at 7.9%.</t>
  </si>
  <si>
    <t>Role — Maintenance</t>
  </si>
  <si>
    <t>As reported by MetLife and used unchanged.</t>
  </si>
  <si>
    <t>Role — PM</t>
  </si>
  <si>
    <t>As reported. Thin at 2.2%, but populated.</t>
  </si>
  <si>
    <t>Role — Other</t>
  </si>
  <si>
    <t>As reported. Architecture and enablement.</t>
  </si>
  <si>
    <t>Largest variance across every reconciling line</t>
  </si>
  <si>
    <t>Appendix 3 v5 is internally consistent for all fifteen applications once the duplicate K2 line is excluded: every Total equals its FTC + FTE + MGCC. There is no unallocated capacity to carry.</t>
  </si>
  <si>
    <t>Largest variance excluding the MetLife FTE line  (twelve lines)</t>
  </si>
  <si>
    <t>Every line — effort, vendor total, MetLife FTE, MGCC, both locations and all six client role lines — reconciles to within a few hundredths of a person after head-grid quantisation.</t>
  </si>
  <si>
    <t>C.  THE ROLE LINE  —  used exactly as MetLife reports it</t>
  </si>
  <si>
    <t>This model</t>
  </si>
  <si>
    <t>Difference</t>
  </si>
  <si>
    <r>
      <rPr>
        <sz val="8.5"/>
        <color rgb="FF595959"/>
        <rFont val="Arial"/>
        <charset val="1"/>
      </rPr>
      <t xml:space="preserve">12.4% of the vendor population, all of it on K2. Bilingual analysis against Japanese business rules is the scarcest skill in this </t>
    </r>
    <r>
      <rPr>
        <sz val="8.5"/>
        <color rgb="FF595959"/>
        <rFont val="Noto Sans CJK SC"/>
        <family val="2"/>
      </rPr>
      <t>領域</t>
    </r>
    <r>
      <rPr>
        <sz val="8.5"/>
        <color rgb="FF595959"/>
        <rFont val="Arial"/>
        <charset val="1"/>
      </rPr>
      <t>.</t>
    </r>
  </si>
  <si>
    <t>55.5% after restatement, against 65.4% as MetLife reports it. VB.NET, Java and a COTS RPA product.</t>
  </si>
  <si>
    <t>17.0%, and every tester unit sits on K2. The fourteen satellites carry no test capacity at all in MetLife's own data.</t>
  </si>
  <si>
    <t>Maintenance</t>
  </si>
  <si>
    <t>RESTATED to 5.00 from 3.48. 1,145 incidents and 2,071 changes a year cannot be run on 3.5 people.</t>
  </si>
  <si>
    <t>RESTATED to 3.00 from 0.14. Fifteen applications, two value streams and a named sub-contractor cannot be coordinated on 0.14 units.</t>
  </si>
  <si>
    <t>Other</t>
  </si>
  <si>
    <r>
      <rPr>
        <sz val="8.5"/>
        <color rgb="FF595959"/>
        <rFont val="Arial"/>
        <charset val="1"/>
      </rPr>
      <t xml:space="preserve">RESTATED to 2.50 from ZERO. MetLife records no architecture or enablement capacity anywhere in this </t>
    </r>
    <r>
      <rPr>
        <sz val="8.5"/>
        <color rgb="FF595959"/>
        <rFont val="Noto Sans CJK SC"/>
        <family val="2"/>
      </rPr>
      <t>領域</t>
    </r>
    <r>
      <rPr>
        <sz val="8.5"/>
        <color rgb="FF595959"/>
        <rFont val="Arial"/>
        <charset val="1"/>
      </rPr>
      <t>.</t>
    </r>
  </si>
  <si>
    <t>Sum of the six role lines</t>
  </si>
  <si>
    <t>THREE LINES RESTATED, ARITHMETICALLY NEUTRAL. MetLife reports 3.48 maintenance, 0.14 PM and zero architecture across fifteen applications carrying 1,145 incidents and 2,071 changes a year. We move 6.88 units out of Developer into Maintenance, PM and Other. The total does not change by a single unit. This is a smaller correction than Contract Management needed, and it goes back to MetLife as a clarification question rather than a re-pricing.</t>
  </si>
  <si>
    <t>D.  SOURCING, LOCATION AND THE THREE OFFSHORE BASES</t>
  </si>
  <si>
    <t>Capgemini payroll (FTC)</t>
  </si>
  <si>
    <t>Incumbent partner (PT)</t>
  </si>
  <si>
    <t>VENDOR TOTAL  =  Appendix 3 FTC</t>
  </si>
  <si>
    <t>MetLife Japan (FTE)</t>
  </si>
  <si>
    <t>RATIO — vendor share</t>
  </si>
  <si>
    <t>Offshore</t>
  </si>
  <si>
    <t>Offshore share — whole team</t>
  </si>
  <si>
    <t>Offshore share — vendor only</t>
  </si>
  <si>
    <t>Offshore share — Capgemini payroll only</t>
  </si>
  <si>
    <t>Rises across the five years and keeps rising through Year 4. Only 5 people transfer, so our own offshore book survives the event — the opposite of Contract Management.</t>
  </si>
  <si>
    <t>Target from the Logic Tree</t>
  </si>
  <si>
    <t>E.  ROLE MIX  —  MetLife's taxonomy, all sourcing types</t>
  </si>
  <si>
    <t>BSA — business and systems analysis</t>
  </si>
  <si>
    <t>PM and product ownership</t>
  </si>
  <si>
    <t>Other — architecture and enablement</t>
  </si>
  <si>
    <t>Run-facing share  (Maintenance + Tester)</t>
  </si>
  <si>
    <t>15.3% in Year 1 falling to 9.0% by Year 5, as pipeline automation and auto-remediation land.</t>
  </si>
  <si>
    <t>F.  EXPERIENCE MIX</t>
  </si>
  <si>
    <t>Band</t>
  </si>
  <si>
    <t>Senior share (E4 + E5)</t>
  </si>
  <si>
    <t>The 20 Capgemini people already on these applications  —  and why this cohort is the opposite problem</t>
  </si>
  <si>
    <t>Supply comes from the T3 headcount reconciliation behind Golden Inventory v4. Demand comes from the seat ledger. The difference is the hiring, promotion and reskilling plan.</t>
  </si>
  <si>
    <t>A.  WHERE THE NUMBER COMES FROM</t>
  </si>
  <si>
    <t>What it is used for</t>
  </si>
  <si>
    <t>Billing details — named individuals</t>
  </si>
  <si>
    <t>THE COUNT. 277 de-duplicated employee IDs across T3, DMO and JET, each with a location and a Capgemini grade.</t>
  </si>
  <si>
    <t>Mapping of current Capgemini staff — billable FTE</t>
  </si>
  <si>
    <t>THE ROLE MIX and the grade ladder. Developer → Developer, Cloud Engineer → Maintenance, Testers → Tester, BSA / Scrum Master / Functional Analyst → BSA, Tech Lead / Solution Architect → Other.</t>
  </si>
  <si>
    <t>EAIs.xlsx — 'CG HC by EAI'</t>
  </si>
  <si>
    <t>THE SHAPE of the application-level distribution, rescaled to 277 and capped at each application's own vendor FTC.</t>
  </si>
  <si>
    <t>EAIs.xlsx Sheet1 — direct EAI tags</t>
  </si>
  <si>
    <t>Cross-check only. Double-counts people serving more than one application.</t>
  </si>
  <si>
    <t>Of the 277, allocated to Storage and Preservation</t>
  </si>
  <si>
    <t>37 in India, 4 in Japan. 45 of the 277 sit in cross-domain teams with no application mapping and are excluded from every domain.</t>
  </si>
  <si>
    <t>Capgemini grade → experience band: A4/A5 → E1 · B1/B2 → E2 · C1 and Sub-Con → E3 · C2/D1 → E4 · D2/E1 → E5. Location is binary: Japan → onshore, everything else → India / offshore.</t>
  </si>
  <si>
    <t>B.  WHERE THEY SIT TODAY</t>
  </si>
  <si>
    <t>CG heads today</t>
  </si>
  <si>
    <t>Vendor FTC</t>
  </si>
  <si>
    <t>41 people against 69.4 vendor units, and 36.1 of them sit on K2 alone. The concentration is the point: we have deep continuity on the one application that matters and almost none on the fourteen satellites — which is precisely why FSI holds four of them as a service cell.</t>
  </si>
  <si>
    <t>Work Flow satellites  (11 apps)</t>
  </si>
  <si>
    <t>J / T</t>
  </si>
  <si>
    <t>Policy Owner Servicing Payment  (3 apps)</t>
  </si>
  <si>
    <t>C.  THE EVOLUTION MECHANIC  —  INPUT</t>
  </si>
  <si>
    <t>Attrition — offshore</t>
  </si>
  <si>
    <t>Attrition — onshore</t>
  </si>
  <si>
    <t>Promotion out of band</t>
  </si>
  <si>
    <t>Identical rates to Sales / Insurance v6 and Contract Management v7 — attrition first, promotion to the survivors. The same mechanic, applied to a very different starting shape.</t>
  </si>
  <si>
    <t>D.  THE COHORT ROLLED FORWARD</t>
  </si>
  <si>
    <t>Inherited people surviving</t>
  </si>
  <si>
    <t xml:space="preserve">  — E1</t>
  </si>
  <si>
    <t xml:space="preserve">  — E2</t>
  </si>
  <si>
    <t xml:space="preserve">  — E3</t>
  </si>
  <si>
    <t xml:space="preserve">  — E4</t>
  </si>
  <si>
    <t xml:space="preserve">  — E5</t>
  </si>
  <si>
    <t>Senior share  (E4 + E5)</t>
  </si>
  <si>
    <t>The cohort starts at 26.8% senior (11 of 41 at E4, none at E5) and the attrition-and-promotion mechanic seniorises it every year. Row 37 is the number to watch: it drives cost per head, and the design counters it by hiring at E2 and E3 offshore as the team shrinks.</t>
  </si>
  <si>
    <t xml:space="preserve">  — in Japan</t>
  </si>
  <si>
    <t xml:space="preserve">  — in India</t>
  </si>
  <si>
    <t>E.  SUPPLY AGAINST DEMAND  —  offshore, where 18 of the 20 sit</t>
  </si>
  <si>
    <t>Offshore Capgemini seats the design asks for</t>
  </si>
  <si>
    <t>Inherited people still there</t>
  </si>
  <si>
    <t>Covered by people we already have</t>
  </si>
  <si>
    <t>60% covered in Year 1, against 90% on Sales. This domain has to hire more of its own offshore team from a standing start, and the people it hires must be junior enough to balance a cohort that is already senior.</t>
  </si>
  <si>
    <t>To hire, redeploy or reskill</t>
  </si>
  <si>
    <t>F.  BAND BY BAND  —  the seats we designed against the people we hold, offshore</t>
  </si>
  <si>
    <t>Seats the design asks for</t>
  </si>
  <si>
    <t>People we already have</t>
  </si>
  <si>
    <t>Gap  —  positive is a hire</t>
  </si>
  <si>
    <t>The shortage is at E2 and E3 in every year, and the surplus is at E5 in every year — the mirror image of Sales. The E5 surplus is small in absolute terms (2.0 people in Year 1 rising to 2.8 by Year 5) but it is 100% of the E5 population, because the design carries no offshore E5 seat at all. Those people belong in the horizontal architecture and quality-lead roles, which is where the seat ledger puts them, or they are a redeployment out of the domain.</t>
  </si>
  <si>
    <t>G.  WHAT THIS MEANS FOR THE SOLUTION</t>
  </si>
  <si>
    <t>•  The continuity argument is strong in aggregate and fragile in detail. 37 of our 41 inherited people are offshore, and 36.1 of the 41 sit on K2. The satellites are covered by FSI or by almost nobody, so any Year-1 disruption lands on applications where we have no institutional memory at all.</t>
  </si>
  <si>
    <t>•  The talent-shape risk is manageable. The cohort is 26.8% senior on day one, with no E5 at all, and seniorises from there. The design counters it by hiring at E2/E3 offshore and by placing surviving seniors in the architecture, quality-lead and pod-lead roles where they earn their band.</t>
  </si>
  <si>
    <t>•  FSI is 18.9% of vendor capacity and precisely located: POS-IMS, C03WRD-JPN, WPMAUD-JPN and C03WRE-JPN, 13.107 units, all waterfall and all Japanese-specification. The plan tapers them 13.0 → 10.0 → 7.0 → 4.5 → 3.5 as the satellites consolidate, and one of the four is marked Retire in Appendix 3 v5.</t>
  </si>
  <si>
    <r>
      <rPr>
        <sz val="9.5"/>
        <rFont val="Arial"/>
        <charset val="1"/>
      </rPr>
      <t xml:space="preserve">•  Four people in Japan against 62.5 onshore vendor units on day one — by far the worst continuity ratio of the five </t>
    </r>
    <r>
      <rPr>
        <sz val="9.5"/>
        <rFont val="Noto Sans CJK SC"/>
        <family val="2"/>
      </rPr>
      <t xml:space="preserve">領域 </t>
    </r>
    <r>
      <rPr>
        <sz val="9.5"/>
        <rFont val="Arial"/>
        <charset val="1"/>
      </rPr>
      <t>modelled. Eleven of fifteen applications run on Japanese specifications, so almost every one of those Tokyo seats needs a bilingual hire or a redeployment. This is the largest delivery risk in the domain and it is a Year-1 risk, not a Year-3 one.</t>
    </r>
  </si>
  <si>
    <t>Glidepath  —  capability, carry-forward, offshore, and one transfer at the end of Year 3</t>
  </si>
  <si>
    <t>Year 1 passes nothing through. The transfer is struck on the exit position at full realisation.</t>
  </si>
  <si>
    <t>A.  BASELINE</t>
  </si>
  <si>
    <t>Capgemini FTC</t>
  </si>
  <si>
    <t>MetLife FTE</t>
  </si>
  <si>
    <t>Offshore today — whole team, measured</t>
  </si>
  <si>
    <t>45.5% offshore on day one — 28.87 offshore, 0.96 nearshore and 15.99 MGCC against 100.765 units. The easiest starting point in the portfolio, and the reason the 81.5% ceiling is credible.</t>
  </si>
  <si>
    <t>B.  PRODUCTIVITY</t>
  </si>
  <si>
    <t>Agile share of the domain</t>
  </si>
  <si>
    <t>Capability earned by end of year</t>
  </si>
  <si>
    <t>Banked from prior year</t>
  </si>
  <si>
    <t>Year 1 applies nothing: the capability the tree allows is consumed by transition, substrate build and the agile conversion itself.</t>
  </si>
  <si>
    <t>Headcount target</t>
  </si>
  <si>
    <t>Headcount delivered by the design</t>
  </si>
  <si>
    <t>Delivered productivity vs baseline</t>
  </si>
  <si>
    <t>C.  OFFSHORE</t>
  </si>
  <si>
    <t>Delivered — bottom-up from seat locations</t>
  </si>
  <si>
    <t>Target — today plus the closed gap</t>
  </si>
  <si>
    <t>Movement from today, in people</t>
  </si>
  <si>
    <t>The offshore SHARE rises every year while the offshore HEADCOUNT falls from Year 2. Both are true and only the second one costs anything.</t>
  </si>
  <si>
    <t>D.  THE 50:50</t>
  </si>
  <si>
    <t>Total people</t>
  </si>
  <si>
    <t>Vendor total  (Capgemini + partner)</t>
  </si>
  <si>
    <t xml:space="preserve">  — Capgemini payroll</t>
  </si>
  <si>
    <t xml:space="preserve">  — FSI (four-application service cell)</t>
  </si>
  <si>
    <t>MetLife side total</t>
  </si>
  <si>
    <t>Transferred this year</t>
  </si>
  <si>
    <t>Years 1-3 are the pre-transfer position. Year 4 and Year 5 already carry the transferred seats as MetLife, inside the pods.</t>
  </si>
  <si>
    <t>E.  THE TRANSFER SOLVE  —  Capgemini payroll only, and here it closes</t>
  </si>
  <si>
    <t>6.2 people: 2.2 from Capgemini Japan to MetLife Japan and 4.0 from Capgemini India to MGCC. The pool is 31.1 against a vendor side of 37.5, because FSI holds 6.4 by then and cannot move.</t>
  </si>
  <si>
    <t>Vendor share at the exit position</t>
  </si>
  <si>
    <t>Vendor units at exit, before transfer</t>
  </si>
  <si>
    <t xml:space="preserve">  — of which FSI, IMMOVABLE</t>
  </si>
  <si>
    <t xml:space="preserve">  — of which Capgemini payroll, the transfer pool</t>
  </si>
  <si>
    <t>6.2 required against 21.8 available at the 70% cap. Organic convergence has already taken the ratio from 65.4% to 59.9% before anyone changes employer, so the transfer is 20% of the pool, not 70%.</t>
  </si>
  <si>
    <t>Cap on the transferable pool — solution constraint</t>
  </si>
  <si>
    <t>Maximum transferable from Capgemini payroll</t>
  </si>
  <si>
    <t>Transfer applied in the model</t>
  </si>
  <si>
    <t>Transfer as a share of the Capgemini pool</t>
  </si>
  <si>
    <t>The exit lands at 50.0%. Years 4 and 5 hold at 50.0% because the transferred seats sit inside the pod anatomy rather than being re-solved each year.</t>
  </si>
  <si>
    <t>Ratio actually reached at the Year-3 exit</t>
  </si>
  <si>
    <t>F.  WHAT THIS DOMAIN SHOWS</t>
  </si>
  <si>
    <r>
      <rPr>
        <sz val="9.5"/>
        <rFont val="Arial"/>
        <charset val="1"/>
      </rPr>
      <t xml:space="preserve">•  THE 50:50 CLOSES, AND IT CLOSES MOSTLY WITHOUT A TRANSFER. Capgemini holds 65.4% of this </t>
    </r>
    <r>
      <rPr>
        <sz val="9.5"/>
        <rFont val="Noto Sans CJK SC"/>
        <family val="2"/>
      </rPr>
      <t xml:space="preserve">領域 </t>
    </r>
    <r>
      <rPr>
        <sz val="9.5"/>
        <rFont val="Arial"/>
        <charset val="1"/>
      </rPr>
      <t>on day one. Differential shrinkage — FTC absorbing more of the reduction than FTE or MGCC — takes that to 59.9% by the end of Year 3 on its own. Only 6.2 people then need to change employer, 2.2 to MetLife Japan and 4.0 to MGCC, against 21.8 available at the 70% cap. That is the mechanic the whole portfolio should be argued on.</t>
    </r>
  </si>
  <si>
    <r>
      <rPr>
        <sz val="9.5"/>
        <rFont val="Arial"/>
        <charset val="1"/>
      </rPr>
      <t xml:space="preserve">•  The productivity case is the weakest of the five </t>
    </r>
    <r>
      <rPr>
        <sz val="9.5"/>
        <rFont val="Noto Sans CJK SC"/>
        <family val="2"/>
      </rPr>
      <t xml:space="preserve">領域 </t>
    </r>
    <r>
      <rPr>
        <sz val="9.5"/>
        <rFont val="Arial"/>
        <charset val="1"/>
      </rPr>
      <t>modelled, and honestly so. AI ceiling 41.69% blended, capability 13.7 / 30.5 / 40.9 / 46.9 / 50.8%, applied glidepath 0 / 22.1 / 35.7 / 43.9 / 48.8%. Headcount goes 106.1 → 54.3. The ceiling is held down by five archetype-J applications at 30.4% and by the fact that eleven of fifteen applications run on Japanese-language specifications.</t>
    </r>
  </si>
  <si>
    <t>•  The offshore case is the hardest constraint here. 16.9% is delivered offshore or by MGCC today against a blended ceiling of 54.7%, and the design closes only 80% of that gap by Year 5. J applications carry a 12% offshore ceiling — they are Japan-locked by language and by regulator-facing process, not by preference — and no amount of AI changes that.</t>
  </si>
  <si>
    <t>•  The adoption factors are left at the portfolio defaults: 1.00 Capgemini, 0.85 FSI, 0.80 MGCC, 0.55 MetLife Japan. Unlike Common Service Platform, there is no case for asking MetLife to carry more of the commitment on a largely waterfall, Japanese-language estate where their own people are in governance rather than build roles.</t>
  </si>
  <si>
    <t>•  Two things to challenge. First, MetLife's own maintenance line: 3.48 units of run against 1,145 incidents and 2,071 changes a year, while the AD / AMS effort split in the same spreadsheet implies 17.62 units — about 14 people of exposure on a 106-person domain. Second, the disposition columns new in Appendix 3 v5 mark JP-PCI-RPASS and C03WRE-JPN as Retire, 3.3 units between them, which this model does not yet net out of the baseline.</t>
  </si>
  <si>
    <t>Cost and commercial position — relative index pending the rate card</t>
  </si>
  <si>
    <t>Onshore Tokyo E2 = 1.00. Unit cost divides by the frozen baseline effort.</t>
  </si>
  <si>
    <t>A.  TOTAL COST OF DELIVERING THE DOMAIN</t>
  </si>
  <si>
    <t>Total cost index</t>
  </si>
  <si>
    <t>Headcount</t>
  </si>
  <si>
    <t>Average cost per head</t>
  </si>
  <si>
    <t>Cost per unit of frozen scope</t>
  </si>
  <si>
    <t>Unit cost reduction vs Year 1</t>
  </si>
  <si>
    <t>B.  CAPGEMINI POSITION</t>
  </si>
  <si>
    <t>Capgemini heads</t>
  </si>
  <si>
    <t>Capgemini cost index</t>
  </si>
  <si>
    <t>Capgemini position vs Year 1</t>
  </si>
  <si>
    <t>C.  COST BY LOCATION, BAND AND ROLE</t>
  </si>
  <si>
    <t>Split</t>
  </si>
  <si>
    <t>Onshore Tokyo — cost index</t>
  </si>
  <si>
    <t>Offshore — cost index</t>
  </si>
  <si>
    <t>Nearshore — cost index</t>
  </si>
  <si>
    <t>Onshore share of cost</t>
  </si>
  <si>
    <t>BSA — business and systems analysis — cost index</t>
  </si>
  <si>
    <t>Developer — cost index</t>
  </si>
  <si>
    <t>Tester — cost index</t>
  </si>
  <si>
    <t>Maintenance — cost index</t>
  </si>
  <si>
    <t>PM and product ownership — cost index</t>
  </si>
  <si>
    <t>Other — architecture and enablement — cost index</t>
  </si>
  <si>
    <t>The role view is the one Pricing will want: it says what each of MetLife's own six role lines costs, which is the natural unit for a per-role rate card.</t>
  </si>
  <si>
    <t>Seat ledger  —  every pod-library line multiplied out, plus every horizontal seat</t>
  </si>
  <si>
    <t>Computed. Every roll-up in this workbook is a SUMIFS over this one table. Do not edit.</t>
  </si>
  <si>
    <t>Origin</t>
  </si>
  <si>
    <t>Type</t>
  </si>
  <si>
    <t>Seats/unit</t>
  </si>
  <si>
    <t>Heads</t>
  </si>
  <si>
    <t>Cost index</t>
  </si>
  <si>
    <t>HZ</t>
  </si>
  <si>
    <t>SIT loading  —  turning fractional FTE into whole people and whole months</t>
  </si>
  <si>
    <t>The seat ledger is a demand model, not a roster. A line of 1.38 heads is 16.6 person-months of demand spread across several pods. This sheet converts that into something SIT can load without inventing or losing people.</t>
  </si>
  <si>
    <t>A.  WHY YOU CANNOT ROUND THE SEAT LEDGER</t>
  </si>
  <si>
    <t>Approach</t>
  </si>
  <si>
    <t>Verdict</t>
  </si>
  <si>
    <t>Modelled FTE (the commercial number)</t>
  </si>
  <si>
    <t>Round every ledger row UP to whole heads</t>
  </si>
  <si>
    <t>INFLATES Year 1 by 16 people — 15%. 242 ledger rows each round up by up to 0.99 of a person.</t>
  </si>
  <si>
    <t>Round every ledger row to nearest</t>
  </si>
  <si>
    <t>Total is roughly right but every individual line is wrong, and the FTC / FTE / MGCC split drifts. It also implies each pod has its own dedicated architect, tester and support engineer.</t>
  </si>
  <si>
    <t>This sheet — aggregate first, then whole people and months</t>
  </si>
  <si>
    <t>Exact on total, on each sourcing type and on person-months.</t>
  </si>
  <si>
    <t>B.  THE RULE</t>
  </si>
  <si>
    <t>Aggregate the ledger to the level at which a person is actually hired — year x role x band x location x sourcing — and only then convert to bodies. A pod seat of 0.23 is not a person; the same role summed across six pods is.</t>
  </si>
  <si>
    <t>Treatment</t>
  </si>
  <si>
    <t>When it applies</t>
  </si>
  <si>
    <t>How SIT loads it</t>
  </si>
  <si>
    <t>Example</t>
  </si>
  <si>
    <t>RAMPED</t>
  </si>
  <si>
    <t>Delivery roles — engineers, testers, analysts inside pods and teams. The work is divisible over time and people join and leave pods.</t>
  </si>
  <si>
    <t>floor(FTE) people for 12 months, plus one person for the remaining months.</t>
  </si>
  <si>
    <t>7.73 FTE  =  7 people all year  +  1 person for 8.7 months</t>
  </si>
  <si>
    <t>SHARED</t>
  </si>
  <si>
    <t>Roles that need continuous presence — leads, architects, service delivery managers, PMO — and any line below 0.5 FTE.</t>
  </si>
  <si>
    <t>One person at a partial allocation for the whole year, the balance of their time on another domain.</t>
  </si>
  <si>
    <t>0.95 FTE  =  1 Chief Architect at 95%, 5% elsewhere</t>
  </si>
  <si>
    <t>Both give identical person-months. Neither loads a partial person into a month and neither allocates anybody above 100%. Person-months is the invariant SIT must reproduce: FTE x 12.</t>
  </si>
  <si>
    <t>C.  RECONCILIATION  —  what SIT must tie back to</t>
  </si>
  <si>
    <t>Modelled FTE</t>
  </si>
  <si>
    <t>From the seat ledger. This is the commercial number and it does not change.</t>
  </si>
  <si>
    <t>Person-months  =  FTE x 12</t>
  </si>
  <si>
    <t>THE INVARIANT. SIT's monthly loading must sum to this.</t>
  </si>
  <si>
    <t>Bodies to requisition</t>
  </si>
  <si>
    <t>Named people. Higher than FTE because some are part-year or part-allocated.</t>
  </si>
  <si>
    <t xml:space="preserve">  — of which full-time, all year</t>
  </si>
  <si>
    <t>The core roster. Everything else is a partial assignment.</t>
  </si>
  <si>
    <t>Average allocation across all bodies</t>
  </si>
  <si>
    <t>If this drops below about 70% the pod design is too fragmented — check it.</t>
  </si>
  <si>
    <t>D.  THE REQUISITION PLAN  —  load these lines into SIT</t>
  </si>
  <si>
    <t>Unit type</t>
  </si>
  <si>
    <t>Person-months</t>
  </si>
  <si>
    <t>Full-time heads</t>
  </si>
  <si>
    <t>+1 head for (months)</t>
  </si>
  <si>
    <t>Allocation of the part head</t>
  </si>
  <si>
    <t>Delivery</t>
  </si>
  <si>
    <t>Horizontal</t>
  </si>
  <si>
    <r>
      <rPr>
        <sz val="8.5"/>
        <color rgb="FF595959"/>
        <rFont val="Arial"/>
        <charset val="1"/>
      </rPr>
      <t xml:space="preserve">Full-time heads x 12  +  the part-head months  =  person-months, exactly. Check it against section C before loading. Lines marked SHARED are the ones to pool across domains at portfolio level before anybody is recruited — otherwise every </t>
    </r>
    <r>
      <rPr>
        <sz val="8.5"/>
        <color rgb="FF595959"/>
        <rFont val="Noto Sans CJK SC"/>
        <family val="2"/>
      </rPr>
      <t xml:space="preserve">領域 </t>
    </r>
    <r>
      <rPr>
        <sz val="8.5"/>
        <color rgb="FF595959"/>
        <rFont val="Arial"/>
        <charset val="1"/>
      </rPr>
      <t>requisitions its own fraction of the same architect.</t>
    </r>
  </si>
  <si>
    <t>Unit cost sensitivity  —  four levers now, not three</t>
  </si>
  <si>
    <t>Productivity, offshore share and seniority, plus the agile conversion, which which the other three all depend on.</t>
  </si>
  <si>
    <t>A.  THE MODEL  —  unit cost = k x (1 - productivity) x average cost per head</t>
  </si>
  <si>
    <t>average cost per head = offshore x [senior x OFF_SR + (1-senior) x OFF_JM] + onshore x [senior x ON_SR + (1-senior) x ON_JM]</t>
  </si>
  <si>
    <t>B.  TIER COST PARAMETERS  —  from the Year-5 roster</t>
  </si>
  <si>
    <t>Tier</t>
  </si>
  <si>
    <t>Junior / mid  (E1-E3)</t>
  </si>
  <si>
    <t>Senior  (E4-E5)</t>
  </si>
  <si>
    <t>C.  BASE CASE</t>
  </si>
  <si>
    <t>Delivered productivity</t>
  </si>
  <si>
    <t>Whole-team offshore share</t>
  </si>
  <si>
    <t>Senior share (E4+E5)</t>
  </si>
  <si>
    <t>Agile share</t>
  </si>
  <si>
    <t>Unit cost index — actual</t>
  </si>
  <si>
    <t>Unit cost index — two-tier formula</t>
  </si>
  <si>
    <t>CALIBRATION  k  =  actual / formula, at Year 5</t>
  </si>
  <si>
    <t>D.  GRID  —  offshore share x productivity, at the Year-5 senior share</t>
  </si>
  <si>
    <t>Offshore v   Productivity &gt;</t>
  </si>
  <si>
    <t>E.  TORNADO  —  one lever at a time, +/- 10 points from the Year-5 base</t>
  </si>
  <si>
    <t>Lever</t>
  </si>
  <si>
    <t>-10 points</t>
  </si>
  <si>
    <t>Base</t>
  </si>
  <si>
    <t>+10 points</t>
  </si>
  <si>
    <t>Swing</t>
  </si>
  <si>
    <t>Productivity</t>
  </si>
  <si>
    <t>Scales unit cost one for one. The only linear lever.</t>
  </si>
  <si>
    <t>Offshore share</t>
  </si>
  <si>
    <t>Second largest — and now bounded by a measured start rather than an assumed one.</t>
  </si>
  <si>
    <t>Senior share</t>
  </si>
  <si>
    <t>Works against the other two. A richer shape gives back part of what offshore wins.</t>
  </si>
  <si>
    <t>Agile conversion — the fourth lever</t>
  </si>
  <si>
    <t>Not a direct term in the unit-cost formula. It works through productivity: the operating-model component is scaled by the agile share, so a one-year slip in the conversion costs about 5 points of Year-2 capability and roughly 0.05 of the unit cost index. It is the lever with the longest lead time and the least evidence behind it.</t>
  </si>
  <si>
    <t>Swings are full 20-point ranges. Halve them for a per-ten-point read.</t>
  </si>
  <si>
    <t>CG + Others</t>
  </si>
  <si>
    <t>41 + 28.427</t>
  </si>
  <si>
    <t>Pod lead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</si>
</sst>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
    <numFmt numFmtId="167" formatCode="#,##0.0"/>
  </numFmts>
  <fonts count="16">
    <font>
      <sz val="11"/>
      <color theme="1"/>
      <name val="Calibri"/>
      <family val="2"/>
      <charset val="1"/>
    </font>
    <font>
      <b/>
      <sz val="14"/>
      <color rgb="FFFFFFFF"/>
      <name val="Arial"/>
      <charset val="1"/>
    </font>
    <font>
      <sz val="9"/>
      <color rgb="FFFFFFFF"/>
      <name val="Arial"/>
      <charset val="1"/>
    </font>
    <font>
      <sz val="9"/>
      <color rgb="FFFFFFFF"/>
      <name val="Noto Sans CJK SC"/>
      <family val="2"/>
    </font>
    <font>
      <b/>
      <sz val="11"/>
      <color rgb="FF00385F"/>
      <name val="Arial"/>
      <charset val="1"/>
    </font>
    <font>
      <b/>
      <sz val="11"/>
      <color rgb="FF00385F"/>
      <name val="Noto Sans CJK SC"/>
      <family val="2"/>
    </font>
    <font>
      <b/>
      <sz val="9.5"/>
      <name val="Arial"/>
      <charset val="1"/>
    </font>
    <font>
      <sz val="9.5"/>
      <name val="Arial"/>
      <charset val="1"/>
    </font>
    <font>
      <b/>
      <sz val="8.5"/>
      <color rgb="FFFFFFFF"/>
      <name val="Arial"/>
      <charset val="1"/>
    </font>
    <font>
      <sz val="8.5"/>
      <color rgb="FF595959"/>
      <name val="Arial"/>
      <charset val="1"/>
    </font>
    <font>
      <sz val="9.5"/>
      <name val="Noto Sans CJK SC"/>
      <family val="2"/>
    </font>
    <font>
      <sz val="9.5"/>
      <color rgb="FF008000"/>
      <name val="Arial"/>
      <charset val="1"/>
    </font>
    <font>
      <sz val="8.5"/>
      <color rgb="FF595959"/>
      <name val="Noto Sans CJK SC"/>
      <family val="2"/>
    </font>
    <font>
      <b/>
      <sz val="9.5"/>
      <color rgb="FF00385F"/>
      <name val="Arial"/>
      <charset val="1"/>
    </font>
    <font>
      <b/>
      <sz val="9.5"/>
      <name val="Arial"/>
      <family val="2"/>
    </font>
    <font>
      <sz val="9.5"/>
      <name val="Arial"/>
      <family val="2"/>
    </font>
  </fonts>
  <fills count="8">
    <fill>
      <patternFill patternType="none"/>
    </fill>
    <fill>
      <patternFill patternType="gray125"/>
    </fill>
    <fill>
      <patternFill patternType="solid">
        <fgColor rgb="FF00385F"/>
        <bgColor rgb="FF333333"/>
      </patternFill>
    </fill>
    <fill>
      <patternFill patternType="solid">
        <fgColor rgb="FFDCEEF9"/>
        <bgColor rgb="FFF2F2F2"/>
      </patternFill>
    </fill>
    <fill>
      <patternFill patternType="solid">
        <fgColor rgb="FF0090DA"/>
        <bgColor rgb="FF008080"/>
      </patternFill>
    </fill>
    <fill>
      <patternFill patternType="solid">
        <fgColor rgb="FFF2F2F2"/>
        <bgColor rgb="FFDCEEF9"/>
      </patternFill>
    </fill>
    <fill>
      <patternFill patternType="solid">
        <fgColor rgb="FFFCE4E4"/>
        <bgColor rgb="FFF2F2F2"/>
      </patternFill>
    </fill>
    <fill>
      <patternFill patternType="solid">
        <fgColor rgb="FFFFF2CC"/>
        <bgColor rgb="FFFCE4E4"/>
      </patternFill>
    </fill>
  </fills>
  <borders count="2">
    <border>
      <left/>
      <right/>
      <top/>
      <bottom/>
      <diagonal/>
    </border>
    <border>
      <left style="thin">
        <color rgb="FFD2DCE3"/>
      </left>
      <right style="thin">
        <color rgb="FFD2DCE3"/>
      </right>
      <top style="thin">
        <color rgb="FFD2DCE3"/>
      </top>
      <bottom style="thin">
        <color rgb="FFD2DCE3"/>
      </bottom>
      <diagonal/>
    </border>
  </borders>
  <cellStyleXfs count="1">
    <xf numFmtId="0" fontId="0" fillId="0" borderId="0"/>
  </cellStyleXfs>
  <cellXfs count="82">
    <xf numFmtId="0" fontId="0" fillId="0" borderId="0" xfId="0"/>
    <xf numFmtId="0" fontId="9" fillId="0" borderId="1" xfId="0" applyFont="1" applyBorder="1" applyAlignment="1">
      <alignment vertical="top" wrapText="1"/>
    </xf>
    <xf numFmtId="0" fontId="7" fillId="0" borderId="1" xfId="0" applyFont="1" applyBorder="1" applyAlignment="1">
      <alignment vertical="top" wrapText="1"/>
    </xf>
    <xf numFmtId="0" fontId="9" fillId="0" borderId="0" xfId="0" applyFont="1" applyAlignment="1">
      <alignment vertical="top" wrapText="1"/>
    </xf>
    <xf numFmtId="0" fontId="6" fillId="0" borderId="1" xfId="0" applyFont="1" applyBorder="1" applyAlignment="1">
      <alignment vertical="top" wrapText="1"/>
    </xf>
    <xf numFmtId="0" fontId="8"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4" fontId="11" fillId="0" borderId="1" xfId="0" applyNumberFormat="1" applyFont="1" applyBorder="1" applyAlignment="1">
      <alignment horizontal="center" vertical="center" wrapText="1"/>
    </xf>
    <xf numFmtId="0" fontId="7" fillId="7" borderId="1" xfId="0" applyFont="1" applyFill="1" applyBorder="1" applyAlignment="1">
      <alignment horizontal="center" vertical="center" wrapText="1"/>
    </xf>
    <xf numFmtId="0" fontId="6"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3" fontId="11" fillId="0" borderId="1" xfId="0" applyNumberFormat="1" applyFont="1" applyBorder="1" applyAlignment="1">
      <alignment horizontal="center" vertical="center" wrapText="1"/>
    </xf>
    <xf numFmtId="0" fontId="6" fillId="5" borderId="1" xfId="0" applyFont="1" applyFill="1" applyBorder="1" applyAlignment="1">
      <alignment vertical="top" wrapText="1"/>
    </xf>
    <xf numFmtId="4" fontId="6" fillId="5" borderId="1" xfId="0" applyNumberFormat="1" applyFont="1" applyFill="1" applyBorder="1" applyAlignment="1">
      <alignment horizontal="center" vertical="center" wrapText="1"/>
    </xf>
    <xf numFmtId="3" fontId="7" fillId="7" borderId="1" xfId="0" applyNumberFormat="1" applyFont="1" applyFill="1" applyBorder="1" applyAlignment="1">
      <alignment horizontal="center" vertical="center" wrapText="1"/>
    </xf>
    <xf numFmtId="165" fontId="7" fillId="7" borderId="1" xfId="0" applyNumberFormat="1" applyFont="1" applyFill="1" applyBorder="1" applyAlignment="1">
      <alignment horizontal="center" vertical="center" wrapText="1"/>
    </xf>
    <xf numFmtId="164" fontId="6" fillId="5" borderId="1" xfId="0" applyNumberFormat="1" applyFont="1" applyFill="1" applyBorder="1" applyAlignment="1">
      <alignment horizontal="center" vertical="center" wrapText="1"/>
    </xf>
    <xf numFmtId="3" fontId="7" fillId="0" borderId="1" xfId="0" applyNumberFormat="1" applyFont="1" applyBorder="1" applyAlignment="1">
      <alignment horizontal="center" vertical="center" wrapText="1"/>
    </xf>
    <xf numFmtId="164" fontId="7" fillId="7" borderId="1" xfId="0" applyNumberFormat="1" applyFont="1" applyFill="1" applyBorder="1" applyAlignment="1">
      <alignment horizontal="center" vertical="center" wrapText="1"/>
    </xf>
    <xf numFmtId="3" fontId="6" fillId="5" borderId="1" xfId="0" applyNumberFormat="1" applyFont="1" applyFill="1" applyBorder="1" applyAlignment="1">
      <alignment horizontal="center" vertical="center" wrapText="1"/>
    </xf>
    <xf numFmtId="165" fontId="6" fillId="5" borderId="1" xfId="0" applyNumberFormat="1" applyFont="1" applyFill="1" applyBorder="1" applyAlignment="1">
      <alignment horizontal="center" vertical="center" wrapText="1"/>
    </xf>
    <xf numFmtId="9" fontId="7" fillId="7" borderId="1" xfId="0" applyNumberFormat="1" applyFont="1" applyFill="1" applyBorder="1" applyAlignment="1">
      <alignment horizontal="center" vertical="center" wrapText="1"/>
    </xf>
    <xf numFmtId="0" fontId="6" fillId="7" borderId="1" xfId="0" applyFont="1" applyFill="1" applyBorder="1" applyAlignment="1">
      <alignment vertical="top" wrapText="1"/>
    </xf>
    <xf numFmtId="9" fontId="6" fillId="7" borderId="1" xfId="0" applyNumberFormat="1" applyFont="1" applyFill="1" applyBorder="1" applyAlignment="1">
      <alignment horizontal="center" vertical="center" wrapText="1"/>
    </xf>
    <xf numFmtId="4" fontId="6" fillId="7" borderId="1" xfId="0" applyNumberFormat="1" applyFont="1" applyFill="1" applyBorder="1" applyAlignment="1">
      <alignment horizontal="center" vertical="center" wrapText="1"/>
    </xf>
    <xf numFmtId="166" fontId="7" fillId="7" borderId="1" xfId="0" applyNumberFormat="1" applyFont="1" applyFill="1" applyBorder="1" applyAlignment="1">
      <alignment horizontal="center" vertical="center" wrapText="1"/>
    </xf>
    <xf numFmtId="0" fontId="9" fillId="0" borderId="1" xfId="0" applyFont="1" applyBorder="1" applyAlignment="1">
      <alignment horizontal="center" vertical="center" wrapText="1"/>
    </xf>
    <xf numFmtId="166" fontId="9" fillId="0" borderId="1" xfId="0" applyNumberFormat="1" applyFont="1" applyBorder="1" applyAlignment="1">
      <alignment horizontal="center" vertical="center" wrapText="1"/>
    </xf>
    <xf numFmtId="9" fontId="11" fillId="0" borderId="1" xfId="0" applyNumberFormat="1" applyFont="1" applyBorder="1" applyAlignment="1">
      <alignment horizontal="center" vertical="center" wrapText="1"/>
    </xf>
    <xf numFmtId="164" fontId="6" fillId="7" borderId="1" xfId="0" applyNumberFormat="1" applyFont="1" applyFill="1" applyBorder="1" applyAlignment="1">
      <alignment horizontal="center" vertical="center" wrapText="1"/>
    </xf>
    <xf numFmtId="0" fontId="6" fillId="6" borderId="1" xfId="0" applyFont="1" applyFill="1" applyBorder="1" applyAlignment="1">
      <alignment vertical="top" wrapText="1"/>
    </xf>
    <xf numFmtId="0" fontId="11" fillId="5" borderId="1" xfId="0" applyFont="1" applyFill="1" applyBorder="1" applyAlignment="1">
      <alignment horizontal="center" vertical="center" wrapText="1"/>
    </xf>
    <xf numFmtId="165"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167" fontId="11" fillId="0" borderId="1" xfId="0" applyNumberFormat="1" applyFont="1" applyBorder="1" applyAlignment="1">
      <alignment horizontal="center" vertical="center" wrapText="1"/>
    </xf>
    <xf numFmtId="167" fontId="6" fillId="5" borderId="1" xfId="0" applyNumberFormat="1" applyFont="1" applyFill="1" applyBorder="1" applyAlignment="1">
      <alignment horizontal="center" vertical="center" wrapText="1"/>
    </xf>
    <xf numFmtId="3" fontId="6" fillId="7" borderId="1" xfId="0" applyNumberFormat="1" applyFont="1" applyFill="1" applyBorder="1" applyAlignment="1">
      <alignment horizontal="center" vertical="center" wrapText="1"/>
    </xf>
    <xf numFmtId="4" fontId="6" fillId="0" borderId="1" xfId="0" applyNumberFormat="1" applyFont="1" applyBorder="1" applyAlignment="1">
      <alignment horizontal="center" vertical="center" wrapText="1"/>
    </xf>
    <xf numFmtId="164" fontId="7" fillId="0" borderId="1" xfId="0" applyNumberFormat="1" applyFont="1" applyBorder="1" applyAlignment="1">
      <alignment horizontal="center" vertical="center" wrapText="1"/>
    </xf>
    <xf numFmtId="4" fontId="7" fillId="7" borderId="1" xfId="0" applyNumberFormat="1" applyFont="1" applyFill="1" applyBorder="1" applyAlignment="1">
      <alignment horizontal="center" vertical="center" wrapText="1"/>
    </xf>
    <xf numFmtId="167" fontId="13"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165" fontId="6" fillId="7" borderId="1" xfId="0" applyNumberFormat="1" applyFont="1" applyFill="1" applyBorder="1" applyAlignment="1">
      <alignment horizontal="center" vertical="center" wrapText="1"/>
    </xf>
    <xf numFmtId="4" fontId="7" fillId="0" borderId="1" xfId="0" applyNumberFormat="1" applyFont="1" applyBorder="1" applyAlignment="1">
      <alignment horizontal="center" vertical="center" wrapText="1"/>
    </xf>
    <xf numFmtId="165" fontId="11" fillId="0" borderId="1" xfId="0" applyNumberFormat="1" applyFont="1" applyBorder="1" applyAlignment="1">
      <alignment horizontal="center" vertical="center" wrapText="1"/>
    </xf>
    <xf numFmtId="164" fontId="11" fillId="5" borderId="1" xfId="0" applyNumberFormat="1" applyFont="1" applyFill="1" applyBorder="1" applyAlignment="1">
      <alignment horizontal="center" vertical="center" wrapText="1"/>
    </xf>
    <xf numFmtId="166" fontId="11" fillId="0" borderId="1" xfId="0" applyNumberFormat="1" applyFont="1" applyBorder="1" applyAlignment="1">
      <alignment horizontal="center" vertical="center" wrapText="1"/>
    </xf>
    <xf numFmtId="0" fontId="11" fillId="0" borderId="1" xfId="0" applyFont="1" applyBorder="1" applyAlignment="1">
      <alignment vertical="top" wrapText="1"/>
    </xf>
    <xf numFmtId="0" fontId="7" fillId="6" borderId="1" xfId="0" applyFont="1" applyFill="1" applyBorder="1" applyAlignment="1">
      <alignment vertical="top" wrapText="1"/>
    </xf>
    <xf numFmtId="3" fontId="7" fillId="6" borderId="1" xfId="0" applyNumberFormat="1" applyFont="1" applyFill="1" applyBorder="1" applyAlignment="1">
      <alignment horizontal="center" vertical="center" wrapText="1"/>
    </xf>
    <xf numFmtId="0" fontId="7" fillId="7" borderId="1" xfId="0" applyFont="1" applyFill="1" applyBorder="1" applyAlignment="1">
      <alignment vertical="top" wrapText="1"/>
    </xf>
    <xf numFmtId="4" fontId="11" fillId="7"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3" fontId="6" fillId="0" borderId="1" xfId="0" applyNumberFormat="1" applyFont="1" applyBorder="1" applyAlignment="1">
      <alignment horizontal="center" vertical="center" wrapText="1"/>
    </xf>
    <xf numFmtId="0" fontId="7" fillId="3" borderId="1" xfId="0" applyFont="1" applyFill="1" applyBorder="1" applyAlignment="1">
      <alignment horizontal="center" vertical="center" wrapText="1"/>
    </xf>
    <xf numFmtId="166" fontId="6" fillId="5" borderId="1" xfId="0" applyNumberFormat="1" applyFont="1" applyFill="1" applyBorder="1" applyAlignment="1">
      <alignment horizontal="center" vertical="center" wrapText="1"/>
    </xf>
    <xf numFmtId="166" fontId="6" fillId="7" borderId="1" xfId="0" applyNumberFormat="1" applyFont="1" applyFill="1" applyBorder="1" applyAlignment="1">
      <alignment horizontal="center" vertical="center" wrapText="1"/>
    </xf>
    <xf numFmtId="9" fontId="8" fillId="4" borderId="1" xfId="0" applyNumberFormat="1" applyFont="1" applyFill="1" applyBorder="1" applyAlignment="1">
      <alignment horizontal="center" vertical="center" wrapText="1"/>
    </xf>
    <xf numFmtId="0" fontId="6" fillId="5" borderId="0" xfId="0" applyFont="1" applyFill="1" applyAlignment="1">
      <alignment vertical="top" wrapText="1"/>
    </xf>
    <xf numFmtId="2" fontId="8" fillId="4" borderId="1" xfId="0" applyNumberFormat="1" applyFont="1" applyFill="1" applyBorder="1" applyAlignment="1">
      <alignment horizontal="center" vertical="center" wrapText="1"/>
    </xf>
    <xf numFmtId="2" fontId="7" fillId="7" borderId="1" xfId="0" applyNumberFormat="1" applyFont="1" applyFill="1" applyBorder="1" applyAlignment="1">
      <alignment horizontal="center" vertical="center" wrapText="1"/>
    </xf>
    <xf numFmtId="2" fontId="6" fillId="5" borderId="1" xfId="0" applyNumberFormat="1" applyFont="1" applyFill="1" applyBorder="1" applyAlignment="1">
      <alignment horizontal="center" vertical="center" wrapText="1"/>
    </xf>
    <xf numFmtId="2" fontId="6" fillId="5" borderId="0" xfId="0" applyNumberFormat="1" applyFont="1" applyFill="1" applyAlignment="1">
      <alignment horizontal="center" vertical="center" wrapText="1"/>
    </xf>
    <xf numFmtId="2" fontId="0" fillId="0" borderId="0" xfId="0" applyNumberFormat="1"/>
    <xf numFmtId="0" fontId="14" fillId="0" borderId="1" xfId="0" applyFont="1" applyBorder="1" applyAlignment="1">
      <alignment horizontal="center"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applyAlignment="1">
      <alignment vertical="top" wrapText="1"/>
    </xf>
    <xf numFmtId="0" fontId="6" fillId="0" borderId="1" xfId="0" applyFont="1" applyBorder="1" applyAlignment="1">
      <alignment horizontal="center" vertical="center"/>
    </xf>
    <xf numFmtId="0" fontId="7" fillId="0" borderId="1" xfId="0" applyFont="1" applyBorder="1" applyAlignment="1">
      <alignment vertical="top"/>
    </xf>
    <xf numFmtId="0" fontId="7" fillId="0" borderId="1" xfId="0" applyFont="1" applyBorder="1" applyAlignment="1">
      <alignment horizontal="center" vertical="center"/>
    </xf>
    <xf numFmtId="4" fontId="7" fillId="7" borderId="1" xfId="0" applyNumberFormat="1" applyFont="1" applyFill="1" applyBorder="1" applyAlignment="1">
      <alignment horizontal="center" vertical="center"/>
    </xf>
    <xf numFmtId="0" fontId="1" fillId="2" borderId="0" xfId="0" applyFont="1" applyFill="1" applyAlignment="1">
      <alignment vertical="top" wrapText="1"/>
    </xf>
    <xf numFmtId="0" fontId="2" fillId="2" borderId="0" xfId="0" applyFont="1" applyFill="1" applyAlignment="1">
      <alignment vertical="top" wrapText="1"/>
    </xf>
    <xf numFmtId="0" fontId="9" fillId="0" borderId="0" xfId="0" applyFont="1"/>
    <xf numFmtId="0" fontId="4" fillId="3" borderId="0" xfId="0" applyFont="1" applyFill="1" applyAlignment="1">
      <alignment vertical="top" wrapText="1"/>
    </xf>
    <xf numFmtId="0" fontId="7" fillId="0" borderId="0" xfId="0" applyFont="1" applyAlignment="1">
      <alignment vertical="top" wrapText="1"/>
    </xf>
    <xf numFmtId="0" fontId="9" fillId="0" borderId="0" xfId="0" applyFont="1" applyAlignment="1">
      <alignment vertical="top" wrapText="1"/>
    </xf>
    <xf numFmtId="0" fontId="7" fillId="0" borderId="1" xfId="0" applyFont="1" applyBorder="1" applyAlignment="1">
      <alignment vertical="top" wrapText="1"/>
    </xf>
    <xf numFmtId="0" fontId="9" fillId="0" borderId="1" xfId="0" applyFont="1" applyBorder="1" applyAlignment="1">
      <alignment vertical="top" wrapText="1"/>
    </xf>
  </cellXfs>
  <cellStyles count="1">
    <cellStyle name="Normal" xfId="0" builtinId="0"/>
  </cellStyles>
  <dxfs count="2">
    <dxf>
      <font>
        <b/>
        <color rgb="FF006100"/>
      </font>
      <fill>
        <patternFill>
          <bgColor rgb="FFC6EFCE"/>
        </patternFill>
      </fill>
    </dxf>
    <dxf>
      <font>
        <b/>
        <color rgb="FF9C0006"/>
      </font>
      <fill>
        <patternFill>
          <bgColor rgb="FFFCE4E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90DA"/>
      <rgbColor rgb="FFC0C0C0"/>
      <rgbColor rgb="FF808080"/>
      <rgbColor rgb="FF9999FF"/>
      <rgbColor rgb="FF993366"/>
      <rgbColor rgb="FFFFF2CC"/>
      <rgbColor rgb="FFDCEEF9"/>
      <rgbColor rgb="FF660066"/>
      <rgbColor rgb="FFFF8080"/>
      <rgbColor rgb="FF0066CC"/>
      <rgbColor rgb="FFD2DCE3"/>
      <rgbColor rgb="FF000080"/>
      <rgbColor rgb="FFFF00FF"/>
      <rgbColor rgb="FFFFFF00"/>
      <rgbColor rgb="FF00FFFF"/>
      <rgbColor rgb="FF800080"/>
      <rgbColor rgb="FF800000"/>
      <rgbColor rgb="FF008080"/>
      <rgbColor rgb="FF0000FF"/>
      <rgbColor rgb="FF00CCFF"/>
      <rgbColor rgb="FFF2F2F2"/>
      <rgbColor rgb="FFC6EFCE"/>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00385F"/>
      <rgbColor rgb="FF339966"/>
      <rgbColor rgb="FF0061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zoomScaleNormal="100" workbookViewId="0">
      <selection sqref="A1:D1"/>
    </sheetView>
  </sheetViews>
  <sheetFormatPr defaultColWidth="8.6328125" defaultRowHeight="14.5"/>
  <cols>
    <col min="1" max="1" width="2.453125" customWidth="1"/>
    <col min="2" max="2" width="30" customWidth="1"/>
    <col min="3" max="3" width="104" customWidth="1"/>
  </cols>
  <sheetData>
    <row r="1" spans="1:4" ht="25.5" customHeight="1">
      <c r="A1" s="74" t="s">
        <v>0</v>
      </c>
      <c r="B1" s="74"/>
      <c r="C1" s="74"/>
      <c r="D1" s="74"/>
    </row>
    <row r="2" spans="1:4" ht="15" customHeight="1">
      <c r="A2" s="75" t="s">
        <v>1</v>
      </c>
      <c r="B2" s="75"/>
      <c r="C2" s="75"/>
      <c r="D2" s="75"/>
    </row>
    <row r="4" spans="1:4" ht="16.5" customHeight="1">
      <c r="A4" s="77" t="s">
        <v>2</v>
      </c>
      <c r="B4" s="77"/>
      <c r="C4" s="77"/>
    </row>
    <row r="5" spans="1:4" ht="45.75" customHeight="1">
      <c r="B5" s="4" t="s">
        <v>3</v>
      </c>
      <c r="C5" s="2" t="s">
        <v>4</v>
      </c>
    </row>
    <row r="6" spans="1:4" ht="45.75" customHeight="1">
      <c r="B6" s="4" t="s">
        <v>5</v>
      </c>
      <c r="C6" s="2" t="s">
        <v>6</v>
      </c>
    </row>
    <row r="7" spans="1:4" ht="45.75" customHeight="1">
      <c r="B7" s="4" t="s">
        <v>7</v>
      </c>
      <c r="C7" s="2" t="s">
        <v>8</v>
      </c>
    </row>
    <row r="8" spans="1:4" ht="45.75" customHeight="1">
      <c r="B8" s="4" t="s">
        <v>9</v>
      </c>
      <c r="C8" s="2" t="s">
        <v>10</v>
      </c>
    </row>
    <row r="9" spans="1:4" ht="45.75" customHeight="1">
      <c r="B9" s="4" t="s">
        <v>11</v>
      </c>
      <c r="C9" s="2" t="s">
        <v>12</v>
      </c>
    </row>
    <row r="10" spans="1:4" ht="15" customHeight="1">
      <c r="A10" s="77" t="s">
        <v>13</v>
      </c>
      <c r="B10" s="77"/>
      <c r="C10" s="77"/>
    </row>
    <row r="11" spans="1:4" ht="45.75" customHeight="1">
      <c r="B11" s="4" t="s">
        <v>14</v>
      </c>
      <c r="C11" s="2" t="s">
        <v>15</v>
      </c>
    </row>
    <row r="12" spans="1:4" ht="45.75" customHeight="1">
      <c r="B12" s="4" t="s">
        <v>16</v>
      </c>
      <c r="C12" s="2" t="s">
        <v>17</v>
      </c>
    </row>
    <row r="13" spans="1:4" ht="45.75" customHeight="1">
      <c r="B13" s="4" t="s">
        <v>18</v>
      </c>
      <c r="C13" s="2" t="s">
        <v>19</v>
      </c>
    </row>
    <row r="14" spans="1:4" ht="15" customHeight="1">
      <c r="A14" s="77" t="s">
        <v>20</v>
      </c>
      <c r="B14" s="77"/>
      <c r="C14" s="77"/>
    </row>
    <row r="15" spans="1:4" ht="45.75" customHeight="1">
      <c r="B15" s="4" t="s">
        <v>21</v>
      </c>
      <c r="C15" s="2" t="s">
        <v>22</v>
      </c>
    </row>
    <row r="16" spans="1:4" ht="45.75" customHeight="1">
      <c r="B16" s="4" t="s">
        <v>23</v>
      </c>
      <c r="C16" s="2" t="s">
        <v>24</v>
      </c>
    </row>
    <row r="17" spans="1:3" ht="15" customHeight="1">
      <c r="A17" s="77" t="s">
        <v>25</v>
      </c>
      <c r="B17" s="77"/>
      <c r="C17" s="77"/>
    </row>
    <row r="18" spans="1:3" ht="45.75" customHeight="1">
      <c r="B18" s="4" t="s">
        <v>26</v>
      </c>
      <c r="C18" s="2" t="s">
        <v>27</v>
      </c>
    </row>
    <row r="19" spans="1:3" ht="45.75" customHeight="1">
      <c r="B19" s="4" t="s">
        <v>28</v>
      </c>
      <c r="C19" s="2" t="s">
        <v>29</v>
      </c>
    </row>
    <row r="20" spans="1:3" ht="45.75" customHeight="1">
      <c r="B20" s="4" t="s">
        <v>30</v>
      </c>
      <c r="C20" s="2" t="s">
        <v>31</v>
      </c>
    </row>
  </sheetData>
  <mergeCells count="6">
    <mergeCell ref="A17:C17"/>
    <mergeCell ref="A1:D1"/>
    <mergeCell ref="A2:D2"/>
    <mergeCell ref="A4:C4"/>
    <mergeCell ref="A10:C10"/>
    <mergeCell ref="A14:C1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1"/>
  <sheetViews>
    <sheetView zoomScaleNormal="100" workbookViewId="0">
      <selection sqref="A1:G1"/>
    </sheetView>
  </sheetViews>
  <sheetFormatPr defaultColWidth="8.6328125" defaultRowHeight="14.5"/>
  <cols>
    <col min="1" max="1" width="2.453125" customWidth="1"/>
    <col min="2" max="2" width="22" customWidth="1"/>
    <col min="3" max="4" width="34" customWidth="1"/>
    <col min="5" max="5" width="16" customWidth="1"/>
    <col min="6" max="6" width="44" customWidth="1"/>
  </cols>
  <sheetData>
    <row r="1" spans="1:7" ht="25.5" customHeight="1">
      <c r="A1" s="74" t="s">
        <v>32</v>
      </c>
      <c r="B1" s="74"/>
      <c r="C1" s="74"/>
      <c r="D1" s="74"/>
      <c r="E1" s="74"/>
      <c r="F1" s="74"/>
      <c r="G1" s="74"/>
    </row>
    <row r="2" spans="1:7" ht="15" customHeight="1">
      <c r="A2" s="75" t="s">
        <v>33</v>
      </c>
      <c r="B2" s="75"/>
      <c r="C2" s="75"/>
      <c r="D2" s="75"/>
      <c r="E2" s="75"/>
      <c r="F2" s="75"/>
      <c r="G2" s="75"/>
    </row>
    <row r="4" spans="1:7" ht="15" customHeight="1">
      <c r="B4" s="5" t="s">
        <v>34</v>
      </c>
      <c r="C4" s="5" t="s">
        <v>35</v>
      </c>
      <c r="D4" s="5" t="s">
        <v>36</v>
      </c>
      <c r="E4" s="5" t="s">
        <v>37</v>
      </c>
      <c r="F4" s="5" t="s">
        <v>38</v>
      </c>
    </row>
    <row r="5" spans="1:7" ht="49.5" customHeight="1">
      <c r="B5" s="4" t="s">
        <v>39</v>
      </c>
      <c r="C5" s="2" t="s">
        <v>40</v>
      </c>
      <c r="D5" s="2" t="s">
        <v>41</v>
      </c>
      <c r="E5" s="6" t="s">
        <v>42</v>
      </c>
      <c r="F5" s="1" t="s">
        <v>43</v>
      </c>
    </row>
    <row r="6" spans="1:7" ht="49.5" customHeight="1">
      <c r="B6" s="4" t="s">
        <v>44</v>
      </c>
      <c r="C6" s="2" t="s">
        <v>45</v>
      </c>
      <c r="D6" s="2" t="s">
        <v>46</v>
      </c>
      <c r="E6" s="6" t="s">
        <v>42</v>
      </c>
      <c r="F6" s="1" t="s">
        <v>47</v>
      </c>
    </row>
    <row r="7" spans="1:7" ht="49.5" customHeight="1">
      <c r="B7" s="4" t="s">
        <v>48</v>
      </c>
      <c r="C7" s="2" t="s">
        <v>49</v>
      </c>
      <c r="D7" s="2" t="s">
        <v>50</v>
      </c>
      <c r="E7" s="6" t="s">
        <v>51</v>
      </c>
      <c r="F7" s="1" t="s">
        <v>52</v>
      </c>
    </row>
    <row r="8" spans="1:7" ht="49.5" customHeight="1">
      <c r="B8" s="4" t="s">
        <v>53</v>
      </c>
      <c r="C8" s="2" t="s">
        <v>54</v>
      </c>
      <c r="D8" s="2" t="s">
        <v>55</v>
      </c>
      <c r="E8" s="6" t="s">
        <v>56</v>
      </c>
      <c r="F8" s="1" t="s">
        <v>57</v>
      </c>
    </row>
    <row r="9" spans="1:7" ht="49.5" customHeight="1">
      <c r="B9" s="4" t="s">
        <v>58</v>
      </c>
      <c r="C9" s="2" t="s">
        <v>59</v>
      </c>
      <c r="D9" s="2" t="s">
        <v>60</v>
      </c>
      <c r="E9" s="7" t="s">
        <v>61</v>
      </c>
      <c r="F9" s="1" t="s">
        <v>62</v>
      </c>
    </row>
    <row r="10" spans="1:7" ht="49.5" customHeight="1">
      <c r="B10" s="4" t="s">
        <v>63</v>
      </c>
      <c r="C10" s="2" t="s">
        <v>64</v>
      </c>
      <c r="D10" s="2" t="s">
        <v>65</v>
      </c>
      <c r="E10" s="8" t="s">
        <v>66</v>
      </c>
      <c r="F10" s="1" t="s">
        <v>67</v>
      </c>
    </row>
    <row r="11" spans="1:7" ht="49.5" customHeight="1">
      <c r="B11" s="4" t="s">
        <v>68</v>
      </c>
      <c r="C11" s="2" t="s">
        <v>69</v>
      </c>
      <c r="D11" s="2" t="s">
        <v>70</v>
      </c>
      <c r="E11" s="6" t="s">
        <v>42</v>
      </c>
      <c r="F11" s="1" t="s">
        <v>71</v>
      </c>
    </row>
    <row r="12" spans="1:7" ht="49.5" customHeight="1">
      <c r="B12" s="4" t="s">
        <v>72</v>
      </c>
      <c r="C12" s="2" t="s">
        <v>73</v>
      </c>
      <c r="D12" s="2" t="s">
        <v>74</v>
      </c>
      <c r="E12" s="8" t="s">
        <v>75</v>
      </c>
      <c r="F12" s="1" t="s">
        <v>76</v>
      </c>
    </row>
    <row r="13" spans="1:7" ht="49.5" customHeight="1">
      <c r="B13" s="4" t="s">
        <v>77</v>
      </c>
      <c r="C13" s="2" t="s">
        <v>78</v>
      </c>
      <c r="D13" s="2" t="s">
        <v>79</v>
      </c>
      <c r="E13" s="6" t="s">
        <v>56</v>
      </c>
      <c r="F13" s="1" t="s">
        <v>80</v>
      </c>
    </row>
    <row r="14" spans="1:7" ht="49.5" customHeight="1">
      <c r="B14" s="4" t="s">
        <v>81</v>
      </c>
      <c r="C14" s="2" t="s">
        <v>82</v>
      </c>
      <c r="D14" s="2" t="s">
        <v>83</v>
      </c>
      <c r="E14" s="8" t="s">
        <v>66</v>
      </c>
      <c r="F14" s="1" t="s">
        <v>84</v>
      </c>
    </row>
    <row r="16" spans="1:7" ht="15" customHeight="1">
      <c r="A16" s="77" t="s">
        <v>85</v>
      </c>
      <c r="B16" s="77"/>
      <c r="C16" s="77"/>
      <c r="D16" s="77"/>
      <c r="E16" s="77"/>
      <c r="F16" s="77"/>
    </row>
    <row r="17" spans="2:6" ht="39.75" customHeight="1">
      <c r="B17" s="78" t="s">
        <v>86</v>
      </c>
      <c r="C17" s="78"/>
      <c r="D17" s="78"/>
      <c r="E17" s="78"/>
      <c r="F17" s="78"/>
    </row>
    <row r="18" spans="2:6" ht="39.75" customHeight="1">
      <c r="B18" s="78" t="s">
        <v>87</v>
      </c>
      <c r="C18" s="78"/>
      <c r="D18" s="78"/>
      <c r="E18" s="78"/>
      <c r="F18" s="78"/>
    </row>
    <row r="19" spans="2:6" ht="39.75" customHeight="1">
      <c r="B19" s="78" t="s">
        <v>88</v>
      </c>
      <c r="C19" s="78"/>
      <c r="D19" s="78"/>
      <c r="E19" s="78"/>
      <c r="F19" s="78"/>
    </row>
    <row r="20" spans="2:6" ht="39.75" customHeight="1">
      <c r="B20" s="78" t="s">
        <v>89</v>
      </c>
      <c r="C20" s="78"/>
      <c r="D20" s="78"/>
      <c r="E20" s="78"/>
      <c r="F20" s="78"/>
    </row>
    <row r="21" spans="2:6" ht="39.75" customHeight="1">
      <c r="B21" s="78" t="s">
        <v>90</v>
      </c>
      <c r="C21" s="78"/>
      <c r="D21" s="78"/>
      <c r="E21" s="78"/>
      <c r="F21" s="78"/>
    </row>
  </sheetData>
  <mergeCells count="8">
    <mergeCell ref="B19:F19"/>
    <mergeCell ref="B20:F20"/>
    <mergeCell ref="B21:F21"/>
    <mergeCell ref="A1:G1"/>
    <mergeCell ref="A2:G2"/>
    <mergeCell ref="A16:F16"/>
    <mergeCell ref="B17:F17"/>
    <mergeCell ref="B18:F1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4"/>
  <sheetViews>
    <sheetView zoomScaleNormal="100" workbookViewId="0">
      <pane xSplit="1" ySplit="11" topLeftCell="B12" activePane="bottomRight" state="frozen"/>
      <selection pane="topRight" activeCell="B1" sqref="B1"/>
      <selection pane="bottomLeft" activeCell="A12" sqref="A12"/>
      <selection pane="bottomRight" sqref="A1:J1"/>
    </sheetView>
  </sheetViews>
  <sheetFormatPr defaultColWidth="8.6328125" defaultRowHeight="14.5"/>
  <cols>
    <col min="1" max="1" width="2.453125" customWidth="1"/>
    <col min="2" max="2" width="42" customWidth="1"/>
    <col min="3" max="8" width="11" customWidth="1"/>
    <col min="9" max="9" width="9.36328125" customWidth="1"/>
    <col min="10" max="10" width="50" customWidth="1"/>
  </cols>
  <sheetData>
    <row r="1" spans="1:10" ht="25.5" customHeight="1">
      <c r="A1" s="74" t="s">
        <v>91</v>
      </c>
      <c r="B1" s="74"/>
      <c r="C1" s="74"/>
      <c r="D1" s="74"/>
      <c r="E1" s="74"/>
      <c r="F1" s="74"/>
      <c r="G1" s="74"/>
      <c r="H1" s="74"/>
      <c r="I1" s="74"/>
      <c r="J1" s="74"/>
    </row>
    <row r="2" spans="1:10" ht="15" customHeight="1">
      <c r="A2" s="75" t="s">
        <v>92</v>
      </c>
      <c r="B2" s="75"/>
      <c r="C2" s="75"/>
      <c r="D2" s="75"/>
      <c r="E2" s="75"/>
      <c r="F2" s="75"/>
      <c r="G2" s="75"/>
      <c r="H2" s="75"/>
      <c r="I2" s="75"/>
      <c r="J2" s="75"/>
    </row>
    <row r="4" spans="1:10" ht="15" customHeight="1">
      <c r="A4" s="77" t="s">
        <v>93</v>
      </c>
      <c r="B4" s="77"/>
      <c r="C4" s="77"/>
      <c r="D4" s="77"/>
      <c r="E4" s="77"/>
      <c r="F4" s="77"/>
      <c r="G4" s="77"/>
      <c r="H4" s="77"/>
      <c r="I4" s="77"/>
      <c r="J4" s="77"/>
    </row>
    <row r="5" spans="1:10" ht="42" customHeight="1">
      <c r="B5" s="78" t="s">
        <v>94</v>
      </c>
      <c r="C5" s="78"/>
      <c r="D5" s="78"/>
      <c r="E5" s="78"/>
      <c r="F5" s="78"/>
      <c r="G5" s="78"/>
      <c r="H5" s="78"/>
      <c r="I5" s="78"/>
      <c r="J5" s="78"/>
    </row>
    <row r="6" spans="1:10" ht="42" customHeight="1">
      <c r="B6" s="78" t="s">
        <v>95</v>
      </c>
      <c r="C6" s="78"/>
      <c r="D6" s="78"/>
      <c r="E6" s="78"/>
      <c r="F6" s="78"/>
      <c r="G6" s="78"/>
      <c r="H6" s="78"/>
      <c r="I6" s="78"/>
      <c r="J6" s="78"/>
    </row>
    <row r="7" spans="1:10" ht="42" customHeight="1">
      <c r="B7" s="78" t="s">
        <v>96</v>
      </c>
      <c r="C7" s="78"/>
      <c r="D7" s="78"/>
      <c r="E7" s="78"/>
      <c r="F7" s="78"/>
      <c r="G7" s="78"/>
      <c r="H7" s="78"/>
      <c r="I7" s="78"/>
      <c r="J7" s="78"/>
    </row>
    <row r="8" spans="1:10" ht="42" customHeight="1">
      <c r="B8" s="78" t="s">
        <v>97</v>
      </c>
      <c r="C8" s="78"/>
      <c r="D8" s="78"/>
      <c r="E8" s="78"/>
      <c r="F8" s="78"/>
      <c r="G8" s="78"/>
      <c r="H8" s="78"/>
      <c r="I8" s="78"/>
      <c r="J8" s="78"/>
    </row>
    <row r="10" spans="1:10" ht="15" customHeight="1">
      <c r="A10" s="77" t="s">
        <v>98</v>
      </c>
      <c r="B10" s="77"/>
      <c r="C10" s="77"/>
      <c r="D10" s="77"/>
      <c r="E10" s="77"/>
      <c r="F10" s="77"/>
      <c r="G10" s="77"/>
      <c r="H10" s="77"/>
      <c r="I10" s="77"/>
      <c r="J10" s="77"/>
    </row>
    <row r="11" spans="1:10">
      <c r="B11" s="5" t="s">
        <v>99</v>
      </c>
      <c r="C11" s="5" t="s">
        <v>100</v>
      </c>
      <c r="D11" s="5" t="s">
        <v>101</v>
      </c>
      <c r="E11" s="5" t="s">
        <v>102</v>
      </c>
      <c r="F11" s="5" t="s">
        <v>103</v>
      </c>
      <c r="G11" s="5" t="s">
        <v>104</v>
      </c>
      <c r="H11" s="5" t="s">
        <v>105</v>
      </c>
      <c r="I11" s="5" t="s">
        <v>37</v>
      </c>
    </row>
    <row r="12" spans="1:10" ht="30" customHeight="1">
      <c r="B12" s="4" t="s">
        <v>106</v>
      </c>
      <c r="C12" s="9">
        <f>'Team Build-Up'!C12</f>
        <v>0.41979999999999507</v>
      </c>
      <c r="D12" s="9">
        <f>'Team Build-Up'!D12</f>
        <v>-0.64966007216060007</v>
      </c>
      <c r="E12" s="9">
        <f>'Team Build-Up'!E12</f>
        <v>-0.29511037753148628</v>
      </c>
      <c r="F12" s="9">
        <f>'Team Build-Up'!F12</f>
        <v>0.45625844040238661</v>
      </c>
      <c r="G12" s="9">
        <f>'Team Build-Up'!G12</f>
        <v>-0.77773087122091056</v>
      </c>
      <c r="H12" s="10" t="s">
        <v>107</v>
      </c>
      <c r="I12" s="11" t="str">
        <f>IF(MAX(ABS(C12),ABS(D12),ABS(E12),ABS(F12),ABS(G12))&lt;=1.5,"OK","CHECK")</f>
        <v>OK</v>
      </c>
      <c r="J12" s="3" t="s">
        <v>108</v>
      </c>
    </row>
    <row r="13" spans="1:10" ht="30" customHeight="1">
      <c r="B13" s="4" t="s">
        <v>109</v>
      </c>
      <c r="C13" s="12">
        <f>IFERROR((SUMIFS('Pod Library'!$J$5:$J$123,'Pod Library'!$B$5:$B$123,1,'Pod Library'!$C$5:$C$123,"POD",'Pod Library'!$I$5:$I$123,"FTC")+SUMIFS('Pod Library'!$J$5:$J$123,'Pod Library'!$B$5:$B$123,1,'Pod Library'!$C$5:$C$123,"POD",'Pod Library'!$I$5:$I$123,"PT"))/(SUMIFS('Pod Library'!$J$5:$J$123,'Pod Library'!$B$5:$B$123,1,'Pod Library'!$C$5:$C$123,"POD")),"n/a")</f>
        <v>0.56060606060606055</v>
      </c>
      <c r="D13" s="12">
        <f>IFERROR((SUMIFS('Pod Library'!$J$5:$J$123,'Pod Library'!$B$5:$B$123,2,'Pod Library'!$C$5:$C$123,"POD",'Pod Library'!$I$5:$I$123,"FTC")+SUMIFS('Pod Library'!$J$5:$J$123,'Pod Library'!$B$5:$B$123,2,'Pod Library'!$C$5:$C$123,"POD",'Pod Library'!$I$5:$I$123,"PT"))/(SUMIFS('Pod Library'!$J$5:$J$123,'Pod Library'!$B$5:$B$123,2,'Pod Library'!$C$5:$C$123,"POD")),"n/a")</f>
        <v>0.57777777587555557</v>
      </c>
      <c r="E13" s="12">
        <f>IFERROR((SUMIFS('Pod Library'!$J$5:$J$123,'Pod Library'!$B$5:$B$123,3,'Pod Library'!$C$5:$C$123,"POD",'Pod Library'!$I$5:$I$123,"FTC")+SUMIFS('Pod Library'!$J$5:$J$123,'Pod Library'!$B$5:$B$123,3,'Pod Library'!$C$5:$C$123,"POD",'Pod Library'!$I$5:$I$123,"PT"))/(SUMIFS('Pod Library'!$J$5:$J$123,'Pod Library'!$B$5:$B$123,3,'Pod Library'!$C$5:$C$123,"POD")),"n/a")</f>
        <v>0.5780346820809249</v>
      </c>
      <c r="F13" s="12">
        <f>IFERROR((SUMIFS('Pod Library'!$J$5:$J$123,'Pod Library'!$B$5:$B$123,4,'Pod Library'!$C$5:$C$123,"POD",'Pod Library'!$I$5:$I$123,"FTC")+SUMIFS('Pod Library'!$J$5:$J$123,'Pod Library'!$B$5:$B$123,4,'Pod Library'!$C$5:$C$123,"POD",'Pod Library'!$I$5:$I$123,"PT"))/(SUMIFS('Pod Library'!$J$5:$J$123,'Pod Library'!$B$5:$B$123,4,'Pod Library'!$C$5:$C$123,"POD")),"n/a")</f>
        <v>0.58333333333333337</v>
      </c>
      <c r="G13" s="12">
        <f>IFERROR((SUMIFS('Pod Library'!$J$5:$J$123,'Pod Library'!$B$5:$B$123,5,'Pod Library'!$C$5:$C$123,"POD",'Pod Library'!$I$5:$I$123,"FTC")+SUMIFS('Pod Library'!$J$5:$J$123,'Pod Library'!$B$5:$B$123,5,'Pod Library'!$C$5:$C$123,"POD",'Pod Library'!$I$5:$I$123,"PT"))/(SUMIFS('Pod Library'!$J$5:$J$123,'Pod Library'!$B$5:$B$123,5,'Pod Library'!$C$5:$C$123,"POD")),"n/a")</f>
        <v>0.5625</v>
      </c>
      <c r="H13" s="10" t="s">
        <v>110</v>
      </c>
      <c r="I13" s="11" t="str">
        <f>IF(COUNTIF(C13:G13,"&lt;0.5450")=0,"OK","CHECK")</f>
        <v>OK</v>
      </c>
      <c r="J13" s="3" t="s">
        <v>111</v>
      </c>
    </row>
    <row r="14" spans="1:10" ht="30" customHeight="1">
      <c r="B14" s="4" t="s">
        <v>112</v>
      </c>
      <c r="C14" s="12">
        <f>IFERROR((SUMIFS('Pod Library'!$J$5:$J$123,'Pod Library'!$B$5:$B$123,1,'Pod Library'!$C$5:$C$123,"TEAM",'Pod Library'!$I$5:$I$123,"FTC")+SUMIFS('Pod Library'!$J$5:$J$123,'Pod Library'!$B$5:$B$123,1,'Pod Library'!$C$5:$C$123,"TEAM",'Pod Library'!$I$5:$I$123,"PT"))/(SUMIFS('Pod Library'!$J$5:$J$123,'Pod Library'!$B$5:$B$123,1,'Pod Library'!$C$5:$C$123,"TEAM")),"n/a")</f>
        <v>0.7272727272727274</v>
      </c>
      <c r="D14" s="12">
        <f>IFERROR((SUMIFS('Pod Library'!$J$5:$J$123,'Pod Library'!$B$5:$B$123,2,'Pod Library'!$C$5:$C$123,"TEAM",'Pod Library'!$I$5:$I$123,"FTC")+SUMIFS('Pod Library'!$J$5:$J$123,'Pod Library'!$B$5:$B$123,2,'Pod Library'!$C$5:$C$123,"TEAM",'Pod Library'!$I$5:$I$123,"PT"))/(SUMIFS('Pod Library'!$J$5:$J$123,'Pod Library'!$B$5:$B$123,2,'Pod Library'!$C$5:$C$123,"TEAM")),"n/a")</f>
        <v>0.81081081081081086</v>
      </c>
      <c r="E14" s="12" t="str">
        <f>IFERROR((SUMIFS('Pod Library'!$J$5:$J$123,'Pod Library'!$B$5:$B$123,3,'Pod Library'!$C$5:$C$123,"TEAM",'Pod Library'!$I$5:$I$123,"FTC")+SUMIFS('Pod Library'!$J$5:$J$123,'Pod Library'!$B$5:$B$123,3,'Pod Library'!$C$5:$C$123,"TEAM",'Pod Library'!$I$5:$I$123,"PT"))/(SUMIFS('Pod Library'!$J$5:$J$123,'Pod Library'!$B$5:$B$123,3,'Pod Library'!$C$5:$C$123,"TEAM")),"n/a")</f>
        <v>n/a</v>
      </c>
      <c r="F14" s="12" t="str">
        <f>IFERROR((SUMIFS('Pod Library'!$J$5:$J$123,'Pod Library'!$B$5:$B$123,4,'Pod Library'!$C$5:$C$123,"TEAM",'Pod Library'!$I$5:$I$123,"FTC")+SUMIFS('Pod Library'!$J$5:$J$123,'Pod Library'!$B$5:$B$123,4,'Pod Library'!$C$5:$C$123,"TEAM",'Pod Library'!$I$5:$I$123,"PT"))/(SUMIFS('Pod Library'!$J$5:$J$123,'Pod Library'!$B$5:$B$123,4,'Pod Library'!$C$5:$C$123,"TEAM")),"n/a")</f>
        <v>n/a</v>
      </c>
      <c r="G14" s="12" t="str">
        <f>IFERROR((SUMIFS('Pod Library'!$J$5:$J$123,'Pod Library'!$B$5:$B$123,5,'Pod Library'!$C$5:$C$123,"TEAM",'Pod Library'!$I$5:$I$123,"FTC")+SUMIFS('Pod Library'!$J$5:$J$123,'Pod Library'!$B$5:$B$123,5,'Pod Library'!$C$5:$C$123,"TEAM",'Pod Library'!$I$5:$I$123,"PT"))/(SUMIFS('Pod Library'!$J$5:$J$123,'Pod Library'!$B$5:$B$123,5,'Pod Library'!$C$5:$C$123,"TEAM")),"n/a")</f>
        <v>n/a</v>
      </c>
      <c r="H14" s="10" t="s">
        <v>110</v>
      </c>
      <c r="I14" s="11" t="str">
        <f>IF(COUNTIF(C14:G14,"&lt;0.5450")=0,"OK","CHECK")</f>
        <v>OK</v>
      </c>
      <c r="J14" s="3" t="s">
        <v>113</v>
      </c>
    </row>
    <row r="15" spans="1:10" ht="30" customHeight="1">
      <c r="B15" s="4" t="s">
        <v>114</v>
      </c>
      <c r="C15" s="12">
        <f>IFERROR((SUMIFS('Seat Ledger'!$M$5:$M$235,'Seat Ledger'!$B$5:$B$235,1,'Seat Ledger'!$J$5:$J$235,"FTC")+SUMIFS('Seat Ledger'!$M$5:$M$235,'Seat Ledger'!$B$5:$B$235,1,'Seat Ledger'!$J$5:$J$235,"PT"))/(SUMIFS('Seat Ledger'!$M$5:$M$235,'Seat Ledger'!$B$5:$B$235,1)),0)</f>
        <v>0.65258215962441313</v>
      </c>
      <c r="D15" s="12">
        <f>IFERROR((SUMIFS('Seat Ledger'!$M$5:$M$235,'Seat Ledger'!$B$5:$B$235,2,'Seat Ledger'!$J$5:$J$235,"FTC")+SUMIFS('Seat Ledger'!$M$5:$M$235,'Seat Ledger'!$B$5:$B$235,2,'Seat Ledger'!$J$5:$J$235,"PT"))/(SUMIFS('Seat Ledger'!$M$5:$M$235,'Seat Ledger'!$B$5:$B$235,2)),0)</f>
        <v>0.62195121857495539</v>
      </c>
      <c r="E15" s="12">
        <f>IFERROR((SUMIFS('Seat Ledger'!$M$5:$M$235,'Seat Ledger'!$B$5:$B$235,3,'Seat Ledger'!$J$5:$J$235,"FTC")+SUMIFS('Seat Ledger'!$M$5:$M$235,'Seat Ledger'!$B$5:$B$235,3,'Seat Ledger'!$J$5:$J$235,"PT"))/(SUMIFS('Seat Ledger'!$M$5:$M$235,'Seat Ledger'!$B$5:$B$235,3)),0)</f>
        <v>0.5961142184280247</v>
      </c>
      <c r="F15" s="12">
        <f>IFERROR((SUMIFS('Seat Ledger'!$M$5:$M$235,'Seat Ledger'!$B$5:$B$235,4,'Seat Ledger'!$J$5:$J$235,"FTC")+SUMIFS('Seat Ledger'!$M$5:$M$235,'Seat Ledger'!$B$5:$B$235,4,'Seat Ledger'!$J$5:$J$235,"PT"))/(SUMIFS('Seat Ledger'!$M$5:$M$235,'Seat Ledger'!$B$5:$B$235,4)),0)</f>
        <v>0.5083333333333333</v>
      </c>
      <c r="G15" s="12">
        <f>IFERROR((SUMIFS('Seat Ledger'!$M$5:$M$235,'Seat Ledger'!$B$5:$B$235,5,'Seat Ledger'!$J$5:$J$235,"FTC")+SUMIFS('Seat Ledger'!$M$5:$M$235,'Seat Ledger'!$B$5:$B$235,5,'Seat Ledger'!$J$5:$J$235,"PT"))/(SUMIFS('Seat Ledger'!$M$5:$M$235,'Seat Ledger'!$B$5:$B$235,5)),0)</f>
        <v>0.49532710280373832</v>
      </c>
      <c r="H15" s="10" t="s">
        <v>115</v>
      </c>
      <c r="I15" s="11" t="str">
        <f>IF(COUNTIF(C15:G15,"&lt;0.4950")=0,"OK","CHECK")</f>
        <v>OK</v>
      </c>
      <c r="J15" s="3" t="s">
        <v>116</v>
      </c>
    </row>
    <row r="16" spans="1:10" ht="30" customHeight="1">
      <c r="B16" s="4" t="s">
        <v>117</v>
      </c>
      <c r="C16" s="13" t="e">
        <f>SUMPRODUCT(('Pod Library'!$B$5:$B$123=1)*(ABS('Pod Library'!$K$5:$K$123*2-ROUND('Pod Library'!$K$5:$K$123*2,0))&gt;0.01))+SUMPRODUCT(('Horizontal Teams'!$B$5:$B$105=1)*(ABS('Horizontal Teams'!$J$5:$J$105*2-ROUND('Horizontal Teams'!$J$5:$J$105*2,0))&gt;0.01))</f>
        <v>#VALUE!</v>
      </c>
      <c r="D16" s="13" t="e">
        <f>SUMPRODUCT(('Pod Library'!$B$5:$B$123=2)*(ABS('Pod Library'!$K$5:$K$123*2-ROUND('Pod Library'!$K$5:$K$123*2,0))&gt;0.01))+SUMPRODUCT(('Horizontal Teams'!$B$5:$B$105=2)*(ABS('Horizontal Teams'!$J$5:$J$105*2-ROUND('Horizontal Teams'!$J$5:$J$105*2,0))&gt;0.01))</f>
        <v>#VALUE!</v>
      </c>
      <c r="E16" s="13" t="e">
        <f>SUMPRODUCT(('Pod Library'!$B$5:$B$123=3)*(ABS('Pod Library'!$K$5:$K$123*2-ROUND('Pod Library'!$K$5:$K$123*2,0))&gt;0.01))+SUMPRODUCT(('Horizontal Teams'!$B$5:$B$105=3)*(ABS('Horizontal Teams'!$J$5:$J$105*2-ROUND('Horizontal Teams'!$J$5:$J$105*2,0))&gt;0.01))</f>
        <v>#VALUE!</v>
      </c>
      <c r="F16" s="13" t="e">
        <f>SUMPRODUCT(('Pod Library'!$B$5:$B$123=4)*(ABS('Pod Library'!$K$5:$K$123*2-ROUND('Pod Library'!$K$5:$K$123*2,0))&gt;0.01))+SUMPRODUCT(('Horizontal Teams'!$B$5:$B$105=4)*(ABS('Horizontal Teams'!$J$5:$J$105*2-ROUND('Horizontal Teams'!$J$5:$J$105*2,0))&gt;0.01))</f>
        <v>#VALUE!</v>
      </c>
      <c r="G16" s="13" t="e">
        <f>SUMPRODUCT(('Pod Library'!$B$5:$B$123=5)*(ABS('Pod Library'!$K$5:$K$123*2-ROUND('Pod Library'!$K$5:$K$123*2,0))&gt;0.01))+SUMPRODUCT(('Horizontal Teams'!$B$5:$B$105=5)*(ABS('Horizontal Teams'!$J$5:$J$105*2-ROUND('Horizontal Teams'!$J$5:$J$105*2,0))&gt;0.01))</f>
        <v>#VALUE!</v>
      </c>
      <c r="H16" s="10">
        <f>0</f>
        <v>0</v>
      </c>
      <c r="I16" s="11" t="e">
        <f>IF(SUM(C16:G16)=0,"OK","CHECK")</f>
        <v>#VALUE!</v>
      </c>
      <c r="J16" s="3" t="s">
        <v>118</v>
      </c>
    </row>
    <row r="17" spans="1:10" ht="30" customHeight="1">
      <c r="B17" s="4" t="s">
        <v>119</v>
      </c>
      <c r="C17" s="13">
        <f>COUNTIFS('Horizontal Teams'!$B$5:$B$105,1,'Horizontal Teams'!$I$5:$I$105,"&lt;0.02")</f>
        <v>0</v>
      </c>
      <c r="D17" s="13">
        <f>COUNTIFS('Horizontal Teams'!$B$5:$B$105,2,'Horizontal Teams'!$I$5:$I$105,"&lt;0.02")</f>
        <v>2</v>
      </c>
      <c r="E17" s="13">
        <f>COUNTIFS('Horizontal Teams'!$B$5:$B$105,3,'Horizontal Teams'!$I$5:$I$105,"&lt;0.02")</f>
        <v>2</v>
      </c>
      <c r="F17" s="13">
        <f>COUNTIFS('Horizontal Teams'!$B$5:$B$105,4,'Horizontal Teams'!$I$5:$I$105,"&lt;0.02")</f>
        <v>2</v>
      </c>
      <c r="G17" s="13">
        <f>COUNTIFS('Horizontal Teams'!$B$5:$B$105,5,'Horizontal Teams'!$I$5:$I$105,"&lt;0.02")</f>
        <v>2</v>
      </c>
      <c r="H17" s="10">
        <f>0</f>
        <v>0</v>
      </c>
      <c r="I17" s="11" t="str">
        <f>IF(SUM(C17:G17)=0,"OK","CHECK")</f>
        <v>CHECK</v>
      </c>
      <c r="J17" s="3" t="s">
        <v>120</v>
      </c>
    </row>
    <row r="18" spans="1:10" ht="30" customHeight="1">
      <c r="B18" s="14" t="s">
        <v>121</v>
      </c>
      <c r="C18" s="15">
        <f>'Team Build-Up'!E32</f>
        <v>6.8887</v>
      </c>
      <c r="H18" s="10" t="s">
        <v>122</v>
      </c>
      <c r="I18" s="11" t="str">
        <f>IF(ABS(C18)&lt;=2.6,"OK","CHECK")</f>
        <v>CHECK</v>
      </c>
      <c r="J18" s="3" t="s">
        <v>123</v>
      </c>
    </row>
    <row r="20" spans="1:10" ht="15" customHeight="1">
      <c r="A20" s="77" t="s">
        <v>124</v>
      </c>
      <c r="B20" s="77"/>
      <c r="C20" s="77"/>
      <c r="D20" s="77"/>
      <c r="E20" s="77"/>
      <c r="F20" s="77"/>
      <c r="G20" s="77"/>
      <c r="H20" s="77"/>
      <c r="I20" s="77"/>
      <c r="J20" s="77"/>
    </row>
    <row r="21" spans="1:10" ht="43.5" customHeight="1">
      <c r="B21" s="78" t="s">
        <v>125</v>
      </c>
      <c r="C21" s="78"/>
      <c r="D21" s="78"/>
      <c r="E21" s="78"/>
      <c r="F21" s="78"/>
      <c r="G21" s="78"/>
      <c r="H21" s="78"/>
      <c r="I21" s="78"/>
      <c r="J21" s="78"/>
    </row>
    <row r="22" spans="1:10" ht="43.5" customHeight="1">
      <c r="B22" s="78" t="s">
        <v>126</v>
      </c>
      <c r="C22" s="78"/>
      <c r="D22" s="78"/>
      <c r="E22" s="78"/>
      <c r="F22" s="78"/>
      <c r="G22" s="78"/>
      <c r="H22" s="78"/>
      <c r="I22" s="78"/>
      <c r="J22" s="78"/>
    </row>
    <row r="23" spans="1:10" ht="43.5" customHeight="1">
      <c r="B23" s="78" t="s">
        <v>127</v>
      </c>
      <c r="C23" s="78"/>
      <c r="D23" s="78"/>
      <c r="E23" s="78"/>
      <c r="F23" s="78"/>
      <c r="G23" s="78"/>
      <c r="H23" s="78"/>
      <c r="I23" s="78"/>
      <c r="J23" s="78"/>
    </row>
    <row r="24" spans="1:10" ht="43.5" customHeight="1">
      <c r="B24" s="78" t="s">
        <v>128</v>
      </c>
      <c r="C24" s="78"/>
      <c r="D24" s="78"/>
      <c r="E24" s="78"/>
      <c r="F24" s="78"/>
      <c r="G24" s="78"/>
      <c r="H24" s="78"/>
      <c r="I24" s="78"/>
      <c r="J24" s="78"/>
    </row>
  </sheetData>
  <mergeCells count="13">
    <mergeCell ref="B22:J22"/>
    <mergeCell ref="B23:J23"/>
    <mergeCell ref="B24:J24"/>
    <mergeCell ref="B7:J7"/>
    <mergeCell ref="B8:J8"/>
    <mergeCell ref="A10:J10"/>
    <mergeCell ref="A20:J20"/>
    <mergeCell ref="B21:J21"/>
    <mergeCell ref="A1:J1"/>
    <mergeCell ref="A2:J2"/>
    <mergeCell ref="A4:J4"/>
    <mergeCell ref="B5:J5"/>
    <mergeCell ref="B6:J6"/>
  </mergeCells>
  <conditionalFormatting sqref="I12:I18">
    <cfRule type="cellIs" dxfId="1" priority="2" operator="equal">
      <formula>"CHECK"</formula>
    </cfRule>
    <cfRule type="cellIs" dxfId="0" priority="3" operator="equal">
      <formula>"OK"</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88"/>
  <sheetViews>
    <sheetView tabSelected="1" topLeftCell="A5" zoomScaleNormal="100" workbookViewId="0">
      <selection activeCell="C10" sqref="C10"/>
    </sheetView>
  </sheetViews>
  <sheetFormatPr defaultColWidth="8.6328125" defaultRowHeight="14.5"/>
  <cols>
    <col min="1" max="1" width="2.453125" customWidth="1"/>
    <col min="2" max="2" width="46" customWidth="1"/>
    <col min="3" max="8" width="13" customWidth="1"/>
    <col min="9" max="9" width="3" customWidth="1"/>
    <col min="10" max="10" width="50" customWidth="1"/>
  </cols>
  <sheetData>
    <row r="1" spans="1:11" ht="25.5" customHeight="1">
      <c r="A1" s="74" t="s">
        <v>129</v>
      </c>
      <c r="B1" s="74"/>
      <c r="C1" s="74"/>
      <c r="D1" s="74"/>
      <c r="E1" s="74"/>
      <c r="F1" s="74"/>
      <c r="G1" s="74"/>
      <c r="H1" s="74"/>
      <c r="I1" s="74"/>
      <c r="J1" s="74"/>
      <c r="K1" s="74"/>
    </row>
    <row r="2" spans="1:11" ht="15" customHeight="1">
      <c r="A2" s="75" t="s">
        <v>130</v>
      </c>
      <c r="B2" s="75"/>
      <c r="C2" s="75"/>
      <c r="D2" s="75"/>
      <c r="E2" s="75"/>
      <c r="F2" s="75"/>
      <c r="G2" s="75"/>
      <c r="H2" s="75"/>
      <c r="I2" s="75"/>
      <c r="J2" s="75"/>
      <c r="K2" s="75"/>
    </row>
    <row r="4" spans="1:11" ht="15" customHeight="1">
      <c r="A4" s="77" t="s">
        <v>131</v>
      </c>
      <c r="B4" s="77"/>
      <c r="C4" s="77"/>
      <c r="D4" s="77"/>
      <c r="E4" s="77"/>
      <c r="F4" s="77"/>
      <c r="G4" s="77"/>
      <c r="H4" s="77"/>
      <c r="I4" s="77"/>
      <c r="J4" s="77"/>
    </row>
    <row r="5" spans="1:11" ht="34.5" customHeight="1">
      <c r="B5" s="4" t="s">
        <v>132</v>
      </c>
      <c r="C5" s="8" t="s">
        <v>133</v>
      </c>
    </row>
    <row r="6" spans="1:11" ht="15" customHeight="1">
      <c r="B6" s="4" t="s">
        <v>134</v>
      </c>
      <c r="C6" s="16">
        <v>15</v>
      </c>
    </row>
    <row r="7" spans="1:11" ht="15" customHeight="1">
      <c r="B7" s="4" t="s">
        <v>135</v>
      </c>
      <c r="C7" s="17">
        <v>106.0802</v>
      </c>
    </row>
    <row r="8" spans="1:11" ht="15" customHeight="1">
      <c r="B8" s="4" t="s">
        <v>136</v>
      </c>
      <c r="C8" s="17">
        <v>69.426100000000005</v>
      </c>
    </row>
    <row r="9" spans="1:11" ht="15" customHeight="1">
      <c r="B9" s="4" t="s">
        <v>137</v>
      </c>
      <c r="C9" s="17">
        <v>25.654199999999999</v>
      </c>
    </row>
    <row r="10" spans="1:11" ht="15" customHeight="1">
      <c r="B10" s="4" t="s">
        <v>138</v>
      </c>
      <c r="C10" s="17">
        <v>11</v>
      </c>
    </row>
    <row r="11" spans="1:11" ht="18.75" customHeight="1">
      <c r="B11" s="2" t="s">
        <v>139</v>
      </c>
      <c r="C11" s="17">
        <v>62.4636</v>
      </c>
      <c r="J11" s="3" t="s">
        <v>140</v>
      </c>
    </row>
    <row r="12" spans="1:11" ht="15" customHeight="1">
      <c r="B12" s="2" t="s">
        <v>141</v>
      </c>
      <c r="C12" s="17">
        <v>6.9625000000000004</v>
      </c>
    </row>
    <row r="13" spans="1:11" ht="15" customHeight="1">
      <c r="B13" s="2" t="s">
        <v>142</v>
      </c>
      <c r="C13" s="17">
        <v>0</v>
      </c>
    </row>
    <row r="14" spans="1:11" ht="15" customHeight="1">
      <c r="B14" s="2" t="s">
        <v>143</v>
      </c>
      <c r="C14" s="17">
        <v>0</v>
      </c>
    </row>
    <row r="15" spans="1:11" ht="15" customHeight="1">
      <c r="B15" s="2" t="s">
        <v>144</v>
      </c>
      <c r="C15" s="17">
        <v>8.6415000000000006</v>
      </c>
    </row>
    <row r="16" spans="1:11" ht="18.75" customHeight="1">
      <c r="B16" s="2" t="s">
        <v>145</v>
      </c>
      <c r="C16" s="17">
        <v>45.3887</v>
      </c>
      <c r="J16" s="3" t="s">
        <v>146</v>
      </c>
    </row>
    <row r="17" spans="1:10" ht="15" customHeight="1">
      <c r="B17" s="2" t="s">
        <v>147</v>
      </c>
      <c r="C17" s="17">
        <v>11.775</v>
      </c>
    </row>
    <row r="18" spans="1:10" ht="15" customHeight="1">
      <c r="B18" s="2" t="s">
        <v>148</v>
      </c>
      <c r="C18" s="17">
        <v>3.4832999999999998</v>
      </c>
    </row>
    <row r="19" spans="1:10" ht="15" customHeight="1">
      <c r="B19" s="2" t="s">
        <v>149</v>
      </c>
      <c r="C19" s="17">
        <v>0.13750000000000001</v>
      </c>
    </row>
    <row r="20" spans="1:10" ht="15" customHeight="1">
      <c r="B20" s="2" t="s">
        <v>150</v>
      </c>
      <c r="C20" s="17">
        <v>0</v>
      </c>
    </row>
    <row r="21" spans="1:10" ht="15" customHeight="1">
      <c r="B21" s="4" t="s">
        <v>151</v>
      </c>
      <c r="C21" s="17">
        <v>88.458500000000001</v>
      </c>
    </row>
    <row r="22" spans="1:10" ht="15" customHeight="1">
      <c r="B22" s="4" t="s">
        <v>152</v>
      </c>
      <c r="C22" s="17">
        <v>53.046399999999998</v>
      </c>
    </row>
    <row r="23" spans="1:10" ht="15" customHeight="1">
      <c r="B23" s="14" t="s">
        <v>153</v>
      </c>
      <c r="C23" s="18">
        <f>C8/(C8+C9+C10)</f>
        <v>0.65446741760722771</v>
      </c>
    </row>
    <row r="24" spans="1:10" ht="27.75" customHeight="1">
      <c r="B24" s="14" t="s">
        <v>154</v>
      </c>
      <c r="C24" s="18">
        <f>(C12+C13+C10)/C7</f>
        <v>0.16932943188266988</v>
      </c>
      <c r="J24" s="3" t="s">
        <v>155</v>
      </c>
    </row>
    <row r="26" spans="1:10" ht="15" customHeight="1">
      <c r="A26" s="77" t="s">
        <v>156</v>
      </c>
      <c r="B26" s="77"/>
      <c r="C26" s="77"/>
      <c r="D26" s="77"/>
      <c r="E26" s="77"/>
      <c r="F26" s="77"/>
      <c r="G26" s="77"/>
      <c r="H26" s="77"/>
      <c r="I26" s="77"/>
      <c r="J26" s="77"/>
    </row>
    <row r="27" spans="1:10" ht="15" customHeight="1">
      <c r="B27" s="5" t="s">
        <v>157</v>
      </c>
      <c r="C27" s="5" t="s">
        <v>158</v>
      </c>
      <c r="D27" s="5" t="s">
        <v>159</v>
      </c>
      <c r="E27" s="5" t="s">
        <v>160</v>
      </c>
      <c r="F27" s="5" t="s">
        <v>161</v>
      </c>
      <c r="G27" s="5" t="s">
        <v>162</v>
      </c>
      <c r="H27" s="5" t="s">
        <v>163</v>
      </c>
    </row>
    <row r="28" spans="1:10" ht="23.25" customHeight="1">
      <c r="B28" s="11" t="s">
        <v>164</v>
      </c>
      <c r="C28" s="2" t="s">
        <v>165</v>
      </c>
      <c r="D28" s="19">
        <v>1</v>
      </c>
      <c r="E28" s="17">
        <v>62.642400000000002</v>
      </c>
      <c r="F28" s="12">
        <f>E28/$E$33</f>
        <v>0.59051869197202489</v>
      </c>
      <c r="G28" s="20">
        <v>0.48249999999999998</v>
      </c>
      <c r="H28" s="20">
        <v>0.78</v>
      </c>
    </row>
    <row r="29" spans="1:10" ht="15" customHeight="1">
      <c r="B29" s="11" t="s">
        <v>166</v>
      </c>
      <c r="C29" s="2" t="s">
        <v>167</v>
      </c>
      <c r="D29" s="19">
        <v>5</v>
      </c>
      <c r="E29" s="17">
        <v>34.161200000000001</v>
      </c>
      <c r="F29" s="12">
        <f>E29/$E$33</f>
        <v>0.32203151763334004</v>
      </c>
      <c r="G29" s="20">
        <v>0.30399999999999999</v>
      </c>
      <c r="H29" s="20">
        <v>0.12</v>
      </c>
    </row>
    <row r="30" spans="1:10" ht="15" customHeight="1">
      <c r="B30" s="11" t="s">
        <v>168</v>
      </c>
      <c r="C30" s="2" t="s">
        <v>169</v>
      </c>
      <c r="D30" s="19">
        <v>9</v>
      </c>
      <c r="E30" s="17">
        <v>9.2766999999999999</v>
      </c>
      <c r="F30" s="12">
        <f>E30/$E$33</f>
        <v>8.7449790394635005E-2</v>
      </c>
      <c r="G30" s="20">
        <v>0.39</v>
      </c>
      <c r="H30" s="20">
        <v>0.55000000000000004</v>
      </c>
    </row>
    <row r="33" spans="1:10" ht="15" customHeight="1">
      <c r="C33" s="14" t="s">
        <v>170</v>
      </c>
      <c r="D33" s="21">
        <f>SUM(D28:D32)</f>
        <v>15</v>
      </c>
      <c r="E33" s="22">
        <f>SUM(E28:E32)</f>
        <v>106.08030000000001</v>
      </c>
      <c r="F33" s="18">
        <f>SUM(F28:F32)</f>
        <v>0.99999999999999989</v>
      </c>
    </row>
    <row r="34" spans="1:10" ht="36.75" customHeight="1">
      <c r="B34" s="14" t="s">
        <v>171</v>
      </c>
      <c r="C34" s="18">
        <f>SUMPRODUCT($E$28:$E$32,$G$28:$G$32)/$E$33</f>
        <v>0.41692826849094511</v>
      </c>
      <c r="J34" s="3" t="s">
        <v>172</v>
      </c>
    </row>
    <row r="35" spans="1:10" ht="18.75" customHeight="1">
      <c r="B35" s="14" t="s">
        <v>173</v>
      </c>
      <c r="C35" s="18">
        <f>SUMPRODUCT($E$28:$E$32,$H$28:$H$32)/$E$33</f>
        <v>0.54734574657122947</v>
      </c>
      <c r="J35" s="3" t="s">
        <v>174</v>
      </c>
    </row>
    <row r="37" spans="1:10" ht="15" customHeight="1">
      <c r="A37" s="77" t="s">
        <v>175</v>
      </c>
      <c r="B37" s="77"/>
      <c r="C37" s="77"/>
      <c r="D37" s="77"/>
      <c r="E37" s="77"/>
      <c r="F37" s="77"/>
      <c r="G37" s="77"/>
      <c r="H37" s="77"/>
      <c r="I37" s="77"/>
      <c r="J37" s="77"/>
    </row>
    <row r="38" spans="1:10" ht="15" customHeight="1">
      <c r="B38" s="5" t="s">
        <v>176</v>
      </c>
      <c r="C38" s="5" t="s">
        <v>177</v>
      </c>
      <c r="D38" s="5" t="s">
        <v>178</v>
      </c>
      <c r="E38" s="5" t="s">
        <v>179</v>
      </c>
      <c r="F38" s="5" t="s">
        <v>180</v>
      </c>
      <c r="G38" s="5" t="s">
        <v>181</v>
      </c>
      <c r="H38" s="5" t="s">
        <v>182</v>
      </c>
    </row>
    <row r="39" spans="1:10" ht="15" customHeight="1">
      <c r="B39" s="4" t="s">
        <v>183</v>
      </c>
      <c r="C39" s="23">
        <v>0.25</v>
      </c>
      <c r="D39" s="23">
        <v>0.55000000000000004</v>
      </c>
      <c r="E39" s="23">
        <v>0.75</v>
      </c>
      <c r="F39" s="23">
        <v>0.85</v>
      </c>
      <c r="G39" s="23">
        <v>0.9</v>
      </c>
      <c r="J39" s="3" t="s">
        <v>184</v>
      </c>
    </row>
    <row r="40" spans="1:10" ht="15" customHeight="1">
      <c r="B40" s="4" t="s">
        <v>185</v>
      </c>
      <c r="C40" s="23">
        <v>0.02</v>
      </c>
      <c r="D40" s="23">
        <v>0.05</v>
      </c>
      <c r="E40" s="23">
        <v>7.0000000000000007E-2</v>
      </c>
      <c r="F40" s="23">
        <v>0.09</v>
      </c>
      <c r="G40" s="23">
        <v>0.11</v>
      </c>
      <c r="J40" s="3" t="s">
        <v>186</v>
      </c>
    </row>
    <row r="41" spans="1:10" ht="18.75" customHeight="1">
      <c r="B41" s="4" t="s">
        <v>187</v>
      </c>
      <c r="C41" s="23">
        <v>0.03</v>
      </c>
      <c r="D41" s="23">
        <v>0.06</v>
      </c>
      <c r="E41" s="23">
        <v>0.08</v>
      </c>
      <c r="F41" s="23">
        <v>0.1</v>
      </c>
      <c r="G41" s="23">
        <v>0.12</v>
      </c>
      <c r="J41" s="3" t="s">
        <v>188</v>
      </c>
    </row>
    <row r="42" spans="1:10" ht="23.25" customHeight="1">
      <c r="B42" s="2" t="s">
        <v>189</v>
      </c>
      <c r="C42" s="12">
        <f>'Delivery Mode'!C18</f>
        <v>0.60914561893207309</v>
      </c>
      <c r="D42" s="12">
        <f>'Delivery Mode'!D18</f>
        <v>0.90609707928804872</v>
      </c>
      <c r="E42" s="12">
        <f>'Delivery Mode'!E18</f>
        <v>1</v>
      </c>
      <c r="F42" s="12">
        <f>'Delivery Mode'!F18</f>
        <v>1</v>
      </c>
      <c r="G42" s="12">
        <f>'Delivery Mode'!G18</f>
        <v>1</v>
      </c>
    </row>
    <row r="43" spans="1:10" ht="27.75" customHeight="1">
      <c r="B43" s="4" t="s">
        <v>190</v>
      </c>
      <c r="C43" s="12">
        <f>C41*C42*C61</f>
        <v>1.6935964109463551E-2</v>
      </c>
      <c r="D43" s="12">
        <f>D41*D42*D61</f>
        <v>5.0387837570315376E-2</v>
      </c>
      <c r="E43" s="12">
        <f>E41*E42*E61</f>
        <v>7.5054459817486013E-2</v>
      </c>
      <c r="F43" s="12">
        <f>F41*F42*F61</f>
        <v>9.5500000000000002E-2</v>
      </c>
      <c r="G43" s="12">
        <f>G41*G42*G61</f>
        <v>0.11528971962616821</v>
      </c>
      <c r="J43" s="3" t="s">
        <v>191</v>
      </c>
    </row>
    <row r="44" spans="1:10" ht="15" customHeight="1">
      <c r="B44" s="2" t="s">
        <v>192</v>
      </c>
      <c r="C44" s="12">
        <f>$C$34*C39</f>
        <v>0.10423206712273628</v>
      </c>
      <c r="D44" s="12">
        <f>$C$34*D39</f>
        <v>0.22931054767001982</v>
      </c>
      <c r="E44" s="12">
        <f>$C$34*E39</f>
        <v>0.31269620136820886</v>
      </c>
      <c r="F44" s="12">
        <f>$C$34*F39</f>
        <v>0.35438902821730334</v>
      </c>
      <c r="G44" s="12">
        <f>$C$34*G39</f>
        <v>0.37523544164185063</v>
      </c>
    </row>
    <row r="45" spans="1:10" ht="15" customHeight="1">
      <c r="B45" s="14" t="s">
        <v>193</v>
      </c>
      <c r="C45" s="18">
        <f>1-(1-C44)*(1-C40)*(1-C43)</f>
        <v>0.13701470547066685</v>
      </c>
      <c r="D45" s="18">
        <f>1-(1-D44)*(1-D40)*(1-D43)</f>
        <v>0.30473672648061922</v>
      </c>
      <c r="E45" s="18">
        <f>1-(1-E44)*(1-E40)*(1-E43)</f>
        <v>0.4087817175356725</v>
      </c>
      <c r="F45" s="18">
        <f>1-(1-F44)*(1-F40)*(1-F43)</f>
        <v>0.46860083718052126</v>
      </c>
      <c r="G45" s="18">
        <f>1-(1-G44)*(1-G40)*(1-G43)</f>
        <v>0.50806529144252233</v>
      </c>
    </row>
    <row r="47" spans="1:10" ht="15" customHeight="1">
      <c r="A47" s="77" t="s">
        <v>194</v>
      </c>
      <c r="B47" s="77"/>
      <c r="C47" s="77"/>
      <c r="D47" s="77"/>
      <c r="E47" s="77"/>
      <c r="F47" s="77"/>
      <c r="G47" s="77"/>
      <c r="H47" s="77"/>
      <c r="I47" s="77"/>
      <c r="J47" s="77"/>
    </row>
    <row r="48" spans="1:10" ht="15" customHeight="1">
      <c r="B48" s="24" t="s">
        <v>195</v>
      </c>
      <c r="C48" s="25">
        <v>0.5</v>
      </c>
    </row>
    <row r="49" spans="1:10" ht="15" customHeight="1">
      <c r="B49" s="5"/>
      <c r="C49" s="5" t="s">
        <v>177</v>
      </c>
      <c r="D49" s="5" t="s">
        <v>178</v>
      </c>
      <c r="E49" s="5" t="s">
        <v>179</v>
      </c>
      <c r="F49" s="5" t="s">
        <v>180</v>
      </c>
      <c r="G49" s="5" t="s">
        <v>181</v>
      </c>
    </row>
    <row r="50" spans="1:10" ht="15" customHeight="1">
      <c r="B50" s="2" t="s">
        <v>196</v>
      </c>
      <c r="C50" s="12">
        <f>0</f>
        <v>0</v>
      </c>
      <c r="D50" s="12">
        <f>C45</f>
        <v>0.13701470547066685</v>
      </c>
      <c r="E50" s="12">
        <f>D45</f>
        <v>0.30473672648061922</v>
      </c>
      <c r="F50" s="12">
        <f>E45</f>
        <v>0.4087817175356725</v>
      </c>
      <c r="G50" s="12">
        <f>F45</f>
        <v>0.46860083718052126</v>
      </c>
    </row>
    <row r="51" spans="1:10" ht="15" customHeight="1">
      <c r="B51" s="2" t="s">
        <v>197</v>
      </c>
      <c r="C51" s="12">
        <f>0</f>
        <v>0</v>
      </c>
      <c r="D51" s="12">
        <f>$C$48*(D45-C45)</f>
        <v>8.3861010504976186E-2</v>
      </c>
      <c r="E51" s="12">
        <f>$C$48*(E45-D45)</f>
        <v>5.2022495527526635E-2</v>
      </c>
      <c r="F51" s="12">
        <f>$C$48*(F45-E45)</f>
        <v>2.9909559822424381E-2</v>
      </c>
      <c r="G51" s="12">
        <f>$C$48*(G45-F45)</f>
        <v>1.9732227131000535E-2</v>
      </c>
    </row>
    <row r="52" spans="1:10" ht="15" customHeight="1">
      <c r="B52" s="14" t="s">
        <v>198</v>
      </c>
      <c r="C52" s="18">
        <f>C50+C51</f>
        <v>0</v>
      </c>
      <c r="D52" s="18">
        <f>D50+D51</f>
        <v>0.22087571597564304</v>
      </c>
      <c r="E52" s="18">
        <f>E50+E51</f>
        <v>0.35675922200814586</v>
      </c>
      <c r="F52" s="18">
        <f>F50+F51</f>
        <v>0.43869127735809688</v>
      </c>
      <c r="G52" s="18">
        <f>G50+G51</f>
        <v>0.48833306431152179</v>
      </c>
    </row>
    <row r="53" spans="1:10" ht="15" customHeight="1">
      <c r="B53" s="4" t="s">
        <v>199</v>
      </c>
      <c r="C53" s="9">
        <f>$C$7*(1-C52)</f>
        <v>106.0802</v>
      </c>
      <c r="D53" s="9">
        <f>$C$7*(1-D52)</f>
        <v>82.649659874160591</v>
      </c>
      <c r="E53" s="9">
        <f>$C$7*(1-E52)</f>
        <v>68.235110377531484</v>
      </c>
      <c r="F53" s="9">
        <f>$C$7*(1-F52)</f>
        <v>59.543741559597613</v>
      </c>
      <c r="G53" s="9">
        <f>$C$7*(1-G52)</f>
        <v>54.277730871220911</v>
      </c>
    </row>
    <row r="54" spans="1:10" ht="23.25" customHeight="1">
      <c r="B54" s="24" t="s">
        <v>200</v>
      </c>
      <c r="E54" s="26">
        <f>$C$7*(1-E45)</f>
        <v>62.71655364747236</v>
      </c>
    </row>
    <row r="56" spans="1:10" ht="15" customHeight="1">
      <c r="A56" s="77" t="s">
        <v>201</v>
      </c>
      <c r="B56" s="77"/>
      <c r="C56" s="77"/>
      <c r="D56" s="77"/>
      <c r="E56" s="77"/>
      <c r="F56" s="77"/>
      <c r="G56" s="77"/>
      <c r="H56" s="77"/>
      <c r="I56" s="77"/>
      <c r="J56" s="77"/>
    </row>
    <row r="57" spans="1:10" ht="30" customHeight="1">
      <c r="B57" s="79" t="s">
        <v>202</v>
      </c>
      <c r="C57" s="79"/>
      <c r="D57" s="79"/>
      <c r="E57" s="79"/>
      <c r="F57" s="79"/>
      <c r="G57" s="79"/>
      <c r="H57" s="79"/>
      <c r="I57" s="79"/>
      <c r="J57" s="79"/>
    </row>
    <row r="58" spans="1:10" ht="15" customHeight="1">
      <c r="B58" s="5" t="s">
        <v>203</v>
      </c>
      <c r="C58" s="5" t="s">
        <v>177</v>
      </c>
      <c r="D58" s="5" t="s">
        <v>178</v>
      </c>
      <c r="E58" s="5" t="s">
        <v>179</v>
      </c>
      <c r="F58" s="5" t="s">
        <v>180</v>
      </c>
      <c r="G58" s="5" t="s">
        <v>181</v>
      </c>
      <c r="H58" s="5" t="s">
        <v>182</v>
      </c>
    </row>
    <row r="59" spans="1:10" ht="15" customHeight="1">
      <c r="B59" s="4" t="s">
        <v>204</v>
      </c>
      <c r="C59" s="9">
        <f>'Team Build-Up'!C46</f>
        <v>13</v>
      </c>
      <c r="D59" s="9">
        <f>'Team Build-Up'!D46</f>
        <v>10</v>
      </c>
      <c r="E59" s="9">
        <f>'Team Build-Up'!E46</f>
        <v>7</v>
      </c>
      <c r="F59" s="9">
        <f>'Team Build-Up'!F46</f>
        <v>4.5</v>
      </c>
      <c r="G59" s="9">
        <f>'Team Build-Up'!G46</f>
        <v>3.5</v>
      </c>
    </row>
    <row r="60" spans="1:10" ht="27.75" customHeight="1">
      <c r="B60" s="14" t="s">
        <v>205</v>
      </c>
      <c r="C60" s="18">
        <f>IF('Team Build-Up'!C9=0,0,C59/'Team Build-Up'!C9)</f>
        <v>0.12206572769953052</v>
      </c>
      <c r="D60" s="18">
        <f>IF('Team Build-Up'!D9=0,0,D59/'Team Build-Up'!D9)</f>
        <v>0.12195121980666271</v>
      </c>
      <c r="E60" s="18">
        <f>IF('Team Build-Up'!E9=0,0,E59/'Team Build-Up'!E9)</f>
        <v>0.10303208713570798</v>
      </c>
      <c r="F60" s="18">
        <f>IF('Team Build-Up'!F9=0,0,F59/'Team Build-Up'!F9)</f>
        <v>7.4999999999999997E-2</v>
      </c>
      <c r="G60" s="18">
        <f>IF('Team Build-Up'!G9=0,0,G59/'Team Build-Up'!G9)</f>
        <v>6.5420560747663545E-2</v>
      </c>
      <c r="J60" s="3" t="s">
        <v>206</v>
      </c>
    </row>
    <row r="61" spans="1:10" ht="15" customHeight="1">
      <c r="B61" s="2" t="s">
        <v>207</v>
      </c>
      <c r="C61" s="12">
        <f>1-$C$62*C60</f>
        <v>0.92676056338028168</v>
      </c>
      <c r="D61" s="12">
        <f>1-$C$62*D60</f>
        <v>0.92682926811600241</v>
      </c>
      <c r="E61" s="12">
        <f>1-$C$62*E60</f>
        <v>0.93818074771857518</v>
      </c>
      <c r="F61" s="12">
        <f>1-$C$62*F60</f>
        <v>0.95499999999999996</v>
      </c>
      <c r="G61" s="12">
        <f>1-$C$62*G60</f>
        <v>0.96074766355140184</v>
      </c>
    </row>
    <row r="62" spans="1:10" ht="45.75" customHeight="1">
      <c r="B62" s="24" t="s">
        <v>208</v>
      </c>
      <c r="C62" s="25">
        <v>0.6</v>
      </c>
      <c r="J62" s="3" t="s">
        <v>209</v>
      </c>
    </row>
    <row r="64" spans="1:10" ht="15" customHeight="1">
      <c r="A64" s="77" t="s">
        <v>210</v>
      </c>
      <c r="B64" s="77"/>
      <c r="C64" s="77"/>
      <c r="D64" s="77"/>
      <c r="E64" s="77"/>
      <c r="F64" s="77"/>
      <c r="G64" s="77"/>
      <c r="H64" s="77"/>
      <c r="I64" s="77"/>
      <c r="J64" s="77"/>
    </row>
    <row r="65" spans="1:10" ht="18.75" customHeight="1">
      <c r="B65" s="79" t="s">
        <v>211</v>
      </c>
      <c r="C65" s="79"/>
      <c r="D65" s="79"/>
      <c r="E65" s="79"/>
      <c r="F65" s="79"/>
      <c r="G65" s="79"/>
      <c r="H65" s="79"/>
      <c r="I65" s="79"/>
      <c r="J65" s="79"/>
    </row>
    <row r="66" spans="1:10" ht="15" customHeight="1">
      <c r="B66" s="5" t="s">
        <v>176</v>
      </c>
      <c r="C66" s="5" t="s">
        <v>177</v>
      </c>
      <c r="D66" s="5" t="s">
        <v>178</v>
      </c>
      <c r="E66" s="5" t="s">
        <v>179</v>
      </c>
      <c r="F66" s="5" t="s">
        <v>180</v>
      </c>
      <c r="G66" s="5" t="s">
        <v>181</v>
      </c>
      <c r="H66" s="5" t="s">
        <v>182</v>
      </c>
    </row>
    <row r="67" spans="1:10" ht="18.75" customHeight="1">
      <c r="B67" s="4" t="s">
        <v>212</v>
      </c>
      <c r="C67" s="23">
        <v>0.03</v>
      </c>
      <c r="D67" s="23">
        <v>0.28000000000000003</v>
      </c>
      <c r="E67" s="23">
        <v>0.52</v>
      </c>
      <c r="F67" s="23">
        <v>0.68</v>
      </c>
      <c r="G67" s="23">
        <v>0.8</v>
      </c>
      <c r="J67" s="3" t="s">
        <v>213</v>
      </c>
    </row>
    <row r="68" spans="1:10" ht="15" customHeight="1">
      <c r="B68" s="14" t="s">
        <v>214</v>
      </c>
      <c r="C68" s="18">
        <f>$C$24+($C$35-$C$24)*C67</f>
        <v>0.18066992132332668</v>
      </c>
      <c r="D68" s="18">
        <f>$C$24+($C$35-$C$24)*D67</f>
        <v>0.27517399999546654</v>
      </c>
      <c r="E68" s="18">
        <f>$C$24+($C$35-$C$24)*E67</f>
        <v>0.36589791552072087</v>
      </c>
      <c r="F68" s="18">
        <f>$C$24+($C$35-$C$24)*F67</f>
        <v>0.42638052587089037</v>
      </c>
      <c r="G68" s="18">
        <f>$C$24+($C$35-$C$24)*G67</f>
        <v>0.47174248363351756</v>
      </c>
    </row>
    <row r="69" spans="1:10" ht="15" customHeight="1">
      <c r="B69" s="2" t="s">
        <v>215</v>
      </c>
      <c r="C69" s="12">
        <f>'Team Build-Up'!C54</f>
        <v>0.17840375586854459</v>
      </c>
      <c r="D69" s="12">
        <f>'Team Build-Up'!D54</f>
        <v>0.42707316932390843</v>
      </c>
      <c r="E69" s="12">
        <f>'Team Build-Up'!E54</f>
        <v>0.448483956432146</v>
      </c>
      <c r="F69" s="12">
        <f>'Team Build-Up'!F54</f>
        <v>0.49166666666666675</v>
      </c>
      <c r="G69" s="12">
        <f>'Team Build-Up'!G54</f>
        <v>0.4299065420560747</v>
      </c>
    </row>
    <row r="70" spans="1:10" ht="15" customHeight="1">
      <c r="B70" s="2" t="s">
        <v>216</v>
      </c>
      <c r="C70" s="12">
        <f>'Team Build-Up'!C55</f>
        <v>0.11510791366906475</v>
      </c>
      <c r="D70" s="12">
        <f>'Team Build-Up'!D55</f>
        <v>0.5098039196462899</v>
      </c>
      <c r="E70" s="12">
        <f>'Team Build-Up'!E55</f>
        <v>0.5679012345679012</v>
      </c>
      <c r="F70" s="12">
        <f>'Team Build-Up'!F55</f>
        <v>0.63934426229508201</v>
      </c>
      <c r="G70" s="12">
        <f>'Team Build-Up'!G55</f>
        <v>0.52830188679245282</v>
      </c>
    </row>
    <row r="71" spans="1:10" ht="54.75" customHeight="1">
      <c r="B71" s="14" t="s">
        <v>217</v>
      </c>
      <c r="C71" s="18">
        <f>'Team Build-Up'!C56</f>
        <v>0.1415929203539823</v>
      </c>
      <c r="D71" s="18">
        <f>'Team Build-Up'!D56</f>
        <v>0.63414633967876266</v>
      </c>
      <c r="E71" s="18">
        <f>'Team Build-Up'!E56</f>
        <v>0.68656716417910446</v>
      </c>
      <c r="F71" s="18">
        <f>'Team Build-Up'!F56</f>
        <v>0.75</v>
      </c>
      <c r="G71" s="18">
        <f>'Team Build-Up'!G56</f>
        <v>0.60869565217391308</v>
      </c>
      <c r="J71" s="3" t="s">
        <v>218</v>
      </c>
    </row>
    <row r="73" spans="1:10" ht="15" customHeight="1">
      <c r="A73" s="77" t="s">
        <v>219</v>
      </c>
      <c r="B73" s="77"/>
      <c r="C73" s="77"/>
      <c r="D73" s="77"/>
      <c r="E73" s="77"/>
      <c r="F73" s="77"/>
      <c r="G73" s="77"/>
      <c r="H73" s="77"/>
      <c r="I73" s="77"/>
      <c r="J73" s="77"/>
    </row>
    <row r="74" spans="1:10" ht="15" customHeight="1">
      <c r="B74" s="5" t="s">
        <v>220</v>
      </c>
      <c r="C74" s="5" t="s">
        <v>177</v>
      </c>
      <c r="D74" s="5" t="s">
        <v>178</v>
      </c>
      <c r="E74" s="5" t="s">
        <v>179</v>
      </c>
      <c r="F74" s="5" t="s">
        <v>180</v>
      </c>
      <c r="G74" s="5" t="s">
        <v>181</v>
      </c>
    </row>
    <row r="75" spans="1:10" ht="36.75" customHeight="1">
      <c r="B75" s="2" t="s">
        <v>221</v>
      </c>
      <c r="C75" s="16">
        <v>0</v>
      </c>
      <c r="D75" s="16">
        <v>0</v>
      </c>
      <c r="E75" s="16">
        <v>2</v>
      </c>
      <c r="F75" s="16">
        <v>0</v>
      </c>
      <c r="G75" s="16">
        <v>0</v>
      </c>
      <c r="J75" s="3" t="s">
        <v>222</v>
      </c>
    </row>
    <row r="76" spans="1:10" ht="15" customHeight="1">
      <c r="B76" s="2" t="s">
        <v>223</v>
      </c>
      <c r="C76" s="16">
        <v>0</v>
      </c>
      <c r="D76" s="16">
        <v>0</v>
      </c>
      <c r="E76" s="16">
        <v>4</v>
      </c>
      <c r="F76" s="16">
        <v>0</v>
      </c>
      <c r="G76" s="16">
        <v>0</v>
      </c>
    </row>
    <row r="77" spans="1:10" ht="27.75" customHeight="1">
      <c r="B77" s="14" t="s">
        <v>224</v>
      </c>
      <c r="C77" s="21">
        <f>SUM($C$75:C76)</f>
        <v>0</v>
      </c>
      <c r="D77" s="21">
        <f>SUM($C$75:D76)</f>
        <v>0</v>
      </c>
      <c r="E77" s="21">
        <f>SUM($C$75:E76)</f>
        <v>6</v>
      </c>
      <c r="F77" s="21">
        <f>SUM($C$75:F76)</f>
        <v>6</v>
      </c>
      <c r="G77" s="21">
        <f>SUM($C$75:G76)</f>
        <v>6</v>
      </c>
      <c r="J77" s="3" t="s">
        <v>225</v>
      </c>
    </row>
    <row r="79" spans="1:10" ht="15" customHeight="1">
      <c r="A79" s="77" t="s">
        <v>226</v>
      </c>
      <c r="B79" s="77"/>
      <c r="C79" s="77"/>
      <c r="D79" s="77"/>
      <c r="E79" s="77"/>
      <c r="F79" s="77"/>
      <c r="G79" s="77"/>
      <c r="H79" s="77"/>
      <c r="I79" s="77"/>
      <c r="J79" s="77"/>
    </row>
    <row r="80" spans="1:10" ht="15" customHeight="1">
      <c r="B80" s="5" t="s">
        <v>227</v>
      </c>
      <c r="C80" s="5" t="s">
        <v>228</v>
      </c>
      <c r="D80" s="5" t="s">
        <v>229</v>
      </c>
      <c r="E80" s="5" t="s">
        <v>230</v>
      </c>
      <c r="F80" s="5" t="s">
        <v>231</v>
      </c>
      <c r="G80" s="5" t="s">
        <v>232</v>
      </c>
    </row>
    <row r="81" spans="2:14" ht="15" customHeight="1">
      <c r="B81" s="4" t="s">
        <v>233</v>
      </c>
      <c r="C81" s="27">
        <v>0.72</v>
      </c>
      <c r="D81" s="27">
        <v>1</v>
      </c>
      <c r="E81" s="27">
        <v>1.35</v>
      </c>
      <c r="F81" s="27">
        <v>1.85</v>
      </c>
      <c r="G81" s="27">
        <v>2.5499999999999998</v>
      </c>
    </row>
    <row r="82" spans="2:14" ht="15" customHeight="1">
      <c r="B82" s="4" t="s">
        <v>234</v>
      </c>
      <c r="C82" s="27">
        <v>0.22</v>
      </c>
      <c r="D82" s="27">
        <v>0.3</v>
      </c>
      <c r="E82" s="27">
        <v>0.42</v>
      </c>
      <c r="F82" s="27">
        <v>0.6</v>
      </c>
      <c r="G82" s="27">
        <v>0.85</v>
      </c>
    </row>
    <row r="83" spans="2:14" ht="15" customHeight="1">
      <c r="B83" s="4" t="s">
        <v>235</v>
      </c>
      <c r="C83" s="27">
        <v>0.45</v>
      </c>
      <c r="D83" s="27">
        <v>0.62</v>
      </c>
      <c r="E83" s="27">
        <v>0.84</v>
      </c>
      <c r="F83" s="27">
        <v>1.1499999999999999</v>
      </c>
      <c r="G83" s="27">
        <v>1.58</v>
      </c>
    </row>
    <row r="84" spans="2:14" ht="18.75" customHeight="1">
      <c r="B84" s="79" t="s">
        <v>236</v>
      </c>
      <c r="C84" s="79"/>
      <c r="D84" s="79"/>
      <c r="E84" s="79"/>
      <c r="F84" s="79"/>
      <c r="G84" s="79"/>
      <c r="H84" s="79"/>
      <c r="I84" s="1" t="s">
        <v>237</v>
      </c>
      <c r="J84" s="28" t="s">
        <v>228</v>
      </c>
      <c r="K84" s="28" t="s">
        <v>229</v>
      </c>
      <c r="L84" s="28" t="s">
        <v>230</v>
      </c>
      <c r="M84" s="28" t="s">
        <v>231</v>
      </c>
      <c r="N84" s="28" t="s">
        <v>232</v>
      </c>
    </row>
    <row r="85" spans="2:14" ht="15" customHeight="1">
      <c r="I85" s="28" t="s">
        <v>238</v>
      </c>
      <c r="J85" s="29">
        <v>0.72</v>
      </c>
      <c r="K85" s="29">
        <v>1</v>
      </c>
      <c r="L85" s="29">
        <v>1.35</v>
      </c>
      <c r="M85" s="29">
        <v>1.85</v>
      </c>
      <c r="N85" s="29">
        <v>2.5499999999999998</v>
      </c>
    </row>
    <row r="86" spans="2:14" ht="18.75" customHeight="1">
      <c r="I86" s="28" t="s">
        <v>239</v>
      </c>
      <c r="J86" s="29">
        <v>0.22</v>
      </c>
      <c r="K86" s="29">
        <v>0.3</v>
      </c>
      <c r="L86" s="29">
        <v>0.42</v>
      </c>
      <c r="M86" s="29">
        <v>0.6</v>
      </c>
      <c r="N86" s="29">
        <v>0.85</v>
      </c>
    </row>
    <row r="87" spans="2:14" ht="18.75" customHeight="1">
      <c r="I87" s="28" t="s">
        <v>240</v>
      </c>
      <c r="J87" s="29">
        <v>0.45</v>
      </c>
      <c r="K87" s="29">
        <v>0.62</v>
      </c>
      <c r="L87" s="29">
        <v>0.84</v>
      </c>
      <c r="M87" s="29">
        <v>1.1499999999999999</v>
      </c>
      <c r="N87" s="29">
        <v>1.58</v>
      </c>
    </row>
    <row r="88" spans="2:14" ht="189" customHeight="1">
      <c r="I88" s="3" t="s">
        <v>241</v>
      </c>
    </row>
  </sheetData>
  <mergeCells count="13">
    <mergeCell ref="A73:J73"/>
    <mergeCell ref="A79:J79"/>
    <mergeCell ref="B84:H84"/>
    <mergeCell ref="A47:J47"/>
    <mergeCell ref="A56:J56"/>
    <mergeCell ref="B57:J57"/>
    <mergeCell ref="A64:J64"/>
    <mergeCell ref="B65:J65"/>
    <mergeCell ref="A1:K1"/>
    <mergeCell ref="A2:K2"/>
    <mergeCell ref="A4:J4"/>
    <mergeCell ref="A26:J26"/>
    <mergeCell ref="A37:J3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4"/>
  <sheetViews>
    <sheetView topLeftCell="A3" zoomScaleNormal="100" workbookViewId="0">
      <selection sqref="A1:K1"/>
    </sheetView>
  </sheetViews>
  <sheetFormatPr defaultColWidth="8.6328125" defaultRowHeight="14.5"/>
  <cols>
    <col min="1" max="1" width="2.453125" customWidth="1"/>
    <col min="2" max="2" width="40" customWidth="1"/>
    <col min="3" max="7" width="12" customWidth="1"/>
    <col min="8" max="8" width="3" customWidth="1"/>
    <col min="9" max="9" width="56" customWidth="1"/>
  </cols>
  <sheetData>
    <row r="1" spans="1:11" ht="25.5" customHeight="1">
      <c r="A1" s="74" t="s">
        <v>242</v>
      </c>
      <c r="B1" s="74"/>
      <c r="C1" s="74"/>
      <c r="D1" s="74"/>
      <c r="E1" s="74"/>
      <c r="F1" s="74"/>
      <c r="G1" s="74"/>
      <c r="H1" s="74"/>
      <c r="I1" s="74"/>
      <c r="J1" s="74"/>
      <c r="K1" s="74"/>
    </row>
    <row r="2" spans="1:11" ht="15" customHeight="1">
      <c r="A2" s="75" t="s">
        <v>243</v>
      </c>
      <c r="B2" s="75"/>
      <c r="C2" s="75"/>
      <c r="D2" s="75"/>
      <c r="E2" s="75"/>
      <c r="F2" s="75"/>
      <c r="G2" s="75"/>
      <c r="H2" s="75"/>
      <c r="I2" s="75"/>
      <c r="J2" s="75"/>
      <c r="K2" s="75"/>
    </row>
    <row r="4" spans="1:11" ht="15" customHeight="1">
      <c r="A4" s="77" t="s">
        <v>244</v>
      </c>
      <c r="B4" s="77"/>
      <c r="C4" s="77"/>
      <c r="D4" s="77"/>
      <c r="E4" s="77"/>
      <c r="F4" s="77"/>
      <c r="G4" s="77"/>
    </row>
    <row r="5" spans="1:11" ht="15" customHeight="1">
      <c r="B5" s="5" t="s">
        <v>245</v>
      </c>
      <c r="C5" s="5" t="s">
        <v>246</v>
      </c>
      <c r="D5" s="5" t="s">
        <v>247</v>
      </c>
      <c r="E5" s="5" t="s">
        <v>248</v>
      </c>
      <c r="F5" s="5" t="s">
        <v>249</v>
      </c>
      <c r="G5" s="5" t="s">
        <v>250</v>
      </c>
    </row>
    <row r="6" spans="1:11" ht="27.75" customHeight="1">
      <c r="B6" s="4" t="s">
        <v>251</v>
      </c>
      <c r="C6" s="9">
        <v>57.701999999999998</v>
      </c>
      <c r="D6" s="30">
        <v>9.3410973623097998E-2</v>
      </c>
      <c r="E6" s="30">
        <v>0.643807840282832</v>
      </c>
      <c r="F6" s="30">
        <v>8.9390315760285596E-2</v>
      </c>
      <c r="G6" s="30">
        <v>9.8280822155211195E-2</v>
      </c>
      <c r="I6" s="3" t="s">
        <v>252</v>
      </c>
    </row>
    <row r="7" spans="1:11" ht="15" customHeight="1">
      <c r="B7" s="4" t="s">
        <v>253</v>
      </c>
      <c r="C7" s="9">
        <v>7.68</v>
      </c>
      <c r="D7" s="30">
        <v>0.24101562500000001</v>
      </c>
      <c r="E7" s="30">
        <v>0.75898437500000004</v>
      </c>
      <c r="F7" s="30">
        <v>0</v>
      </c>
      <c r="G7" s="30">
        <v>0</v>
      </c>
    </row>
    <row r="8" spans="1:11" ht="15" customHeight="1">
      <c r="B8" s="4" t="s">
        <v>254</v>
      </c>
      <c r="C8" s="9">
        <v>19.388000000000002</v>
      </c>
      <c r="D8" s="30">
        <v>0.39374871054260402</v>
      </c>
      <c r="E8" s="30">
        <v>0</v>
      </c>
      <c r="F8" s="30">
        <v>0</v>
      </c>
      <c r="G8" s="30">
        <v>0.23411388487724399</v>
      </c>
    </row>
    <row r="9" spans="1:11" ht="15" customHeight="1">
      <c r="B9" s="4" t="s">
        <v>255</v>
      </c>
      <c r="C9" s="9">
        <v>15.993</v>
      </c>
      <c r="D9" s="30">
        <v>0</v>
      </c>
      <c r="E9" s="30">
        <v>1</v>
      </c>
      <c r="F9" s="30">
        <v>0</v>
      </c>
      <c r="G9" s="30">
        <v>0</v>
      </c>
    </row>
    <row r="11" spans="1:11" ht="15" customHeight="1">
      <c r="A11" s="77" t="s">
        <v>256</v>
      </c>
      <c r="B11" s="77"/>
      <c r="C11" s="77"/>
      <c r="D11" s="77"/>
      <c r="E11" s="77"/>
      <c r="F11" s="77"/>
      <c r="G11" s="77"/>
    </row>
    <row r="12" spans="1:11" ht="18.75" customHeight="1">
      <c r="B12" s="5" t="s">
        <v>245</v>
      </c>
      <c r="C12" s="5" t="s">
        <v>257</v>
      </c>
      <c r="D12" s="5" t="s">
        <v>258</v>
      </c>
      <c r="E12" s="5" t="s">
        <v>259</v>
      </c>
      <c r="F12" s="5" t="s">
        <v>260</v>
      </c>
    </row>
    <row r="13" spans="1:11" ht="36.75" customHeight="1">
      <c r="B13" s="4" t="s">
        <v>251</v>
      </c>
      <c r="C13" s="12">
        <v>0.46171242050581601</v>
      </c>
      <c r="D13" s="26">
        <v>1</v>
      </c>
      <c r="E13" s="18">
        <v>0.46171242050581601</v>
      </c>
      <c r="F13" s="12">
        <v>-1.21791663909828E-2</v>
      </c>
      <c r="I13" s="3" t="s">
        <v>261</v>
      </c>
    </row>
    <row r="14" spans="1:11" ht="15" customHeight="1">
      <c r="B14" s="4" t="s">
        <v>253</v>
      </c>
      <c r="C14" s="12">
        <v>0.44736680240108501</v>
      </c>
      <c r="D14" s="26">
        <v>0.85</v>
      </c>
      <c r="E14" s="18">
        <v>0.38026178204092198</v>
      </c>
      <c r="F14" s="12">
        <v>-4.2871215825840199E-2</v>
      </c>
    </row>
    <row r="15" spans="1:11" ht="15" customHeight="1">
      <c r="B15" s="4" t="s">
        <v>254</v>
      </c>
      <c r="C15" s="12">
        <v>0.38163810914970703</v>
      </c>
      <c r="D15" s="26">
        <v>0.55000000000000004</v>
      </c>
      <c r="E15" s="18">
        <v>0.20990096003233899</v>
      </c>
      <c r="F15" s="12">
        <v>-0.18349592002694801</v>
      </c>
    </row>
    <row r="16" spans="1:11" ht="15" customHeight="1">
      <c r="B16" s="4" t="s">
        <v>255</v>
      </c>
      <c r="C16" s="12">
        <v>0.47987350766635201</v>
      </c>
      <c r="D16" s="26">
        <v>0.8</v>
      </c>
      <c r="E16" s="18">
        <v>0.38389880613308203</v>
      </c>
      <c r="F16" s="12">
        <v>2.6675972568704499E-2</v>
      </c>
    </row>
    <row r="17" spans="1:9" ht="23.25" customHeight="1">
      <c r="B17" s="24" t="s">
        <v>262</v>
      </c>
      <c r="C17" s="31">
        <v>0.46740502406589601</v>
      </c>
    </row>
    <row r="18" spans="1:9" ht="15" customHeight="1">
      <c r="B18" s="79" t="s">
        <v>263</v>
      </c>
      <c r="C18" s="79"/>
      <c r="D18" s="79"/>
      <c r="E18" s="79"/>
      <c r="F18" s="79"/>
      <c r="G18" s="79"/>
      <c r="H18" s="79"/>
      <c r="I18" s="79"/>
    </row>
    <row r="20" spans="1:9" ht="15" customHeight="1">
      <c r="A20" s="77" t="s">
        <v>264</v>
      </c>
      <c r="B20" s="77"/>
      <c r="C20" s="77"/>
      <c r="D20" s="77"/>
      <c r="E20" s="77"/>
      <c r="F20" s="77"/>
      <c r="G20" s="77"/>
    </row>
    <row r="21" spans="1:9" ht="15" customHeight="1">
      <c r="B21" s="5" t="s">
        <v>265</v>
      </c>
      <c r="C21" s="5" t="s">
        <v>177</v>
      </c>
      <c r="D21" s="5" t="s">
        <v>178</v>
      </c>
      <c r="E21" s="5" t="s">
        <v>179</v>
      </c>
      <c r="F21" s="5" t="s">
        <v>180</v>
      </c>
      <c r="G21" s="5" t="s">
        <v>181</v>
      </c>
    </row>
    <row r="22" spans="1:9" ht="18.75" customHeight="1">
      <c r="B22" s="14" t="s">
        <v>251</v>
      </c>
      <c r="C22" s="18">
        <v>0</v>
      </c>
      <c r="D22" s="18">
        <v>0.23401506064158401</v>
      </c>
      <c r="E22" s="18">
        <v>0.38388593550400202</v>
      </c>
      <c r="F22" s="18">
        <v>0.470097893018597</v>
      </c>
      <c r="G22" s="18">
        <v>0.52112329744865504</v>
      </c>
      <c r="I22" s="3" t="s">
        <v>266</v>
      </c>
    </row>
    <row r="23" spans="1:9" ht="15" customHeight="1">
      <c r="B23" s="2" t="s">
        <v>253</v>
      </c>
      <c r="C23" s="12">
        <v>0</v>
      </c>
      <c r="D23" s="12">
        <v>0.20395522192788401</v>
      </c>
      <c r="E23" s="12">
        <v>0.33752210325423598</v>
      </c>
      <c r="F23" s="12">
        <v>0.41546490149125098</v>
      </c>
      <c r="G23" s="12">
        <v>0.46392091938288299</v>
      </c>
    </row>
    <row r="24" spans="1:9" ht="15" customHeight="1">
      <c r="B24" s="2" t="s">
        <v>254</v>
      </c>
      <c r="C24" s="12">
        <v>0</v>
      </c>
      <c r="D24" s="12">
        <v>0.14108255537514</v>
      </c>
      <c r="E24" s="12">
        <v>0.24054827072936799</v>
      </c>
      <c r="F24" s="12">
        <v>0.30119543079338501</v>
      </c>
      <c r="G24" s="12">
        <v>0.344277361863919</v>
      </c>
    </row>
    <row r="25" spans="1:9" ht="15" customHeight="1">
      <c r="B25" s="2" t="s">
        <v>255</v>
      </c>
      <c r="C25" s="12">
        <v>0</v>
      </c>
      <c r="D25" s="12">
        <v>0.20529748712885301</v>
      </c>
      <c r="E25" s="12">
        <v>0.33959239242661499</v>
      </c>
      <c r="F25" s="12">
        <v>0.41790443431943602</v>
      </c>
      <c r="G25" s="12">
        <v>0.46647518330364601</v>
      </c>
    </row>
    <row r="26" spans="1:9" ht="15" customHeight="1">
      <c r="B26" s="24" t="s">
        <v>267</v>
      </c>
      <c r="C26" s="31">
        <v>0</v>
      </c>
      <c r="D26" s="31">
        <v>0.23611594957385201</v>
      </c>
      <c r="E26" s="31">
        <v>0.387126314235198</v>
      </c>
      <c r="F26" s="31">
        <v>0.47391620516357102</v>
      </c>
      <c r="G26" s="31">
        <v>0.52512118460042501</v>
      </c>
    </row>
    <row r="28" spans="1:9" ht="15" customHeight="1">
      <c r="A28" s="77" t="s">
        <v>268</v>
      </c>
      <c r="B28" s="77"/>
      <c r="C28" s="77"/>
      <c r="D28" s="77"/>
      <c r="E28" s="77"/>
      <c r="F28" s="77"/>
      <c r="G28" s="77"/>
    </row>
    <row r="29" spans="1:9" ht="43.5" customHeight="1">
      <c r="B29" s="14" t="s">
        <v>269</v>
      </c>
      <c r="C29" s="80" t="s">
        <v>270</v>
      </c>
      <c r="D29" s="80"/>
      <c r="E29" s="80"/>
      <c r="F29" s="80"/>
      <c r="G29" s="80"/>
      <c r="H29" s="80"/>
      <c r="I29" s="80"/>
    </row>
    <row r="30" spans="1:9" ht="43.5" customHeight="1">
      <c r="B30" s="24" t="s">
        <v>271</v>
      </c>
      <c r="C30" s="80" t="s">
        <v>272</v>
      </c>
      <c r="D30" s="80"/>
      <c r="E30" s="80"/>
      <c r="F30" s="80"/>
      <c r="G30" s="80"/>
      <c r="H30" s="80"/>
      <c r="I30" s="80"/>
    </row>
    <row r="31" spans="1:9" ht="43.5" customHeight="1">
      <c r="B31" s="32" t="s">
        <v>273</v>
      </c>
      <c r="C31" s="80" t="s">
        <v>274</v>
      </c>
      <c r="D31" s="80"/>
      <c r="E31" s="80"/>
      <c r="F31" s="80"/>
      <c r="G31" s="80"/>
      <c r="H31" s="80"/>
      <c r="I31" s="80"/>
    </row>
    <row r="33" spans="1:9" ht="15" customHeight="1">
      <c r="A33" s="77" t="s">
        <v>275</v>
      </c>
      <c r="B33" s="77"/>
      <c r="C33" s="77"/>
      <c r="D33" s="77"/>
      <c r="E33" s="77"/>
      <c r="F33" s="77"/>
      <c r="G33" s="77"/>
    </row>
    <row r="34" spans="1:9" ht="15" customHeight="1">
      <c r="B34" s="5" t="s">
        <v>203</v>
      </c>
      <c r="C34" s="5" t="s">
        <v>177</v>
      </c>
      <c r="D34" s="5" t="s">
        <v>178</v>
      </c>
      <c r="E34" s="5" t="s">
        <v>179</v>
      </c>
      <c r="F34" s="5" t="s">
        <v>180</v>
      </c>
      <c r="G34" s="5" t="s">
        <v>181</v>
      </c>
    </row>
    <row r="35" spans="1:9" ht="36.75" customHeight="1">
      <c r="B35" s="2" t="s">
        <v>276</v>
      </c>
      <c r="C35" s="9">
        <v>19.388000000000002</v>
      </c>
      <c r="D35" s="9">
        <v>16.652691416386801</v>
      </c>
      <c r="E35" s="9">
        <v>14.724250127098999</v>
      </c>
      <c r="F35" s="9">
        <v>14.696025309664099</v>
      </c>
      <c r="G35" s="9">
        <v>13.4043135327511</v>
      </c>
      <c r="I35" s="3" t="s">
        <v>277</v>
      </c>
    </row>
    <row r="36" spans="1:9" ht="15" customHeight="1">
      <c r="B36" s="2" t="s">
        <v>278</v>
      </c>
      <c r="C36" s="9">
        <v>15.993</v>
      </c>
      <c r="D36" s="9">
        <v>12.709677288348299</v>
      </c>
      <c r="E36" s="9">
        <v>10.5618988679211</v>
      </c>
      <c r="F36" s="9">
        <v>11.809391483682299</v>
      </c>
      <c r="G36" s="9">
        <v>10.521268384118001</v>
      </c>
    </row>
    <row r="37" spans="1:9" ht="15" customHeight="1">
      <c r="B37" s="2" t="s">
        <v>279</v>
      </c>
      <c r="C37" s="9">
        <v>7.68</v>
      </c>
      <c r="D37" s="9">
        <v>5.5</v>
      </c>
      <c r="E37" s="9">
        <v>3.5</v>
      </c>
      <c r="F37" s="9">
        <v>2</v>
      </c>
      <c r="G37" s="9">
        <v>1.5</v>
      </c>
    </row>
    <row r="38" spans="1:9" ht="15" customHeight="1">
      <c r="B38" s="14" t="s">
        <v>280</v>
      </c>
      <c r="C38" s="15">
        <v>57.704000000000001</v>
      </c>
      <c r="D38" s="15">
        <v>42.110407636455797</v>
      </c>
      <c r="E38" s="15">
        <v>32.970067951070199</v>
      </c>
      <c r="F38" s="15">
        <v>24.505416793346399</v>
      </c>
      <c r="G38" s="15">
        <v>22.425581916869099</v>
      </c>
    </row>
    <row r="39" spans="1:9" ht="15" customHeight="1">
      <c r="B39" s="14" t="s">
        <v>281</v>
      </c>
      <c r="C39" s="15">
        <v>100.765</v>
      </c>
      <c r="D39" s="15">
        <v>76.972776341190794</v>
      </c>
      <c r="E39" s="15">
        <v>61.756216946090298</v>
      </c>
      <c r="F39" s="15">
        <v>53.010833586692797</v>
      </c>
      <c r="G39" s="15">
        <v>47.851163833738198</v>
      </c>
    </row>
    <row r="40" spans="1:9" ht="15" customHeight="1">
      <c r="B40" s="14" t="s">
        <v>282</v>
      </c>
      <c r="C40" s="18">
        <v>0.64887609785143696</v>
      </c>
      <c r="D40" s="18">
        <v>0.61853566805771798</v>
      </c>
      <c r="E40" s="18">
        <v>0.59054893182505797</v>
      </c>
      <c r="F40" s="18">
        <v>0.5</v>
      </c>
      <c r="G40" s="18">
        <v>0.5</v>
      </c>
    </row>
    <row r="41" spans="1:9" ht="15" customHeight="1">
      <c r="B41" s="2" t="s">
        <v>283</v>
      </c>
      <c r="C41" s="12">
        <v>0</v>
      </c>
      <c r="D41" s="12">
        <v>0.23401506064158401</v>
      </c>
      <c r="E41" s="12">
        <v>0.38388593550400202</v>
      </c>
      <c r="F41" s="12">
        <v>0.470097893018597</v>
      </c>
      <c r="G41" s="12">
        <v>0.52112329744865504</v>
      </c>
    </row>
    <row r="42" spans="1:9" ht="23.25" customHeight="1">
      <c r="B42" s="24" t="s">
        <v>284</v>
      </c>
      <c r="C42" s="31">
        <v>-3.4660843645006898E-5</v>
      </c>
      <c r="D42" s="31">
        <v>3.6193811902594603E-2</v>
      </c>
      <c r="E42" s="31">
        <v>4.4728879388546902E-2</v>
      </c>
      <c r="F42" s="31">
        <v>0.10521289701734</v>
      </c>
      <c r="G42" s="31">
        <v>9.0231908317711898E-2</v>
      </c>
    </row>
    <row r="44" spans="1:9" ht="15" customHeight="1">
      <c r="B44" s="79" t="s">
        <v>285</v>
      </c>
      <c r="C44" s="79"/>
      <c r="D44" s="79"/>
      <c r="E44" s="79"/>
      <c r="F44" s="79"/>
      <c r="G44" s="79"/>
      <c r="H44" s="79"/>
      <c r="I44" s="79"/>
    </row>
    <row r="46" spans="1:9" ht="15" customHeight="1">
      <c r="A46" s="77" t="s">
        <v>286</v>
      </c>
      <c r="B46" s="77"/>
      <c r="C46" s="77"/>
      <c r="D46" s="77"/>
      <c r="E46" s="77"/>
      <c r="F46" s="77"/>
      <c r="G46" s="77"/>
    </row>
    <row r="47" spans="1:9" ht="18.75" customHeight="1">
      <c r="B47" s="5" t="s">
        <v>287</v>
      </c>
      <c r="C47" s="5" t="s">
        <v>177</v>
      </c>
      <c r="D47" s="5" t="s">
        <v>178</v>
      </c>
      <c r="E47" s="5" t="s">
        <v>179</v>
      </c>
      <c r="F47" s="5" t="s">
        <v>180</v>
      </c>
      <c r="G47" s="5" t="s">
        <v>181</v>
      </c>
      <c r="H47" s="5" t="s">
        <v>288</v>
      </c>
    </row>
    <row r="48" spans="1:9" ht="45.75" customHeight="1">
      <c r="B48" s="4" t="s">
        <v>114</v>
      </c>
      <c r="C48" s="18">
        <v>0.64886912854917</v>
      </c>
      <c r="D48" s="18">
        <v>0.61861963269865206</v>
      </c>
      <c r="E48" s="18">
        <v>0.59035910394091096</v>
      </c>
      <c r="F48" s="18">
        <v>0.49985848789599802</v>
      </c>
      <c r="G48" s="18">
        <v>0.49975956009952099</v>
      </c>
      <c r="H48" s="25">
        <v>0.5</v>
      </c>
      <c r="I48" s="3" t="s">
        <v>289</v>
      </c>
    </row>
    <row r="49" spans="1:8" ht="23.25" customHeight="1">
      <c r="B49" s="4" t="s">
        <v>290</v>
      </c>
      <c r="C49" s="18">
        <v>0.75061204759157296</v>
      </c>
      <c r="D49" s="18">
        <v>0.73921431796724302</v>
      </c>
      <c r="E49" s="18">
        <v>0.74240429163618604</v>
      </c>
      <c r="F49" s="18">
        <v>0.68716367374085496</v>
      </c>
      <c r="G49" s="18">
        <v>0.69061809415388797</v>
      </c>
      <c r="H49" s="25">
        <v>0.55000000000000004</v>
      </c>
    </row>
    <row r="50" spans="1:8" ht="23.25" customHeight="1">
      <c r="B50" s="4" t="s">
        <v>291</v>
      </c>
      <c r="C50" s="33" t="s">
        <v>292</v>
      </c>
      <c r="D50" s="33" t="s">
        <v>292</v>
      </c>
      <c r="E50" s="33" t="s">
        <v>292</v>
      </c>
      <c r="F50" s="33" t="s">
        <v>292</v>
      </c>
      <c r="G50" s="33" t="s">
        <v>292</v>
      </c>
      <c r="H50" s="25">
        <v>0.55000000000000004</v>
      </c>
    </row>
    <row r="52" spans="1:8" ht="15" customHeight="1">
      <c r="A52" s="77" t="s">
        <v>293</v>
      </c>
      <c r="B52" s="77"/>
      <c r="C52" s="77"/>
      <c r="D52" s="77"/>
      <c r="E52" s="77"/>
      <c r="F52" s="77"/>
      <c r="G52" s="77"/>
    </row>
    <row r="53" spans="1:8" ht="15" customHeight="1">
      <c r="B53" s="5"/>
      <c r="C53" s="5" t="s">
        <v>294</v>
      </c>
    </row>
    <row r="54" spans="1:8" ht="15" customHeight="1">
      <c r="B54" s="2" t="s">
        <v>295</v>
      </c>
      <c r="C54" s="9">
        <v>56.157319226636901</v>
      </c>
    </row>
    <row r="55" spans="1:8" ht="15" customHeight="1">
      <c r="B55" s="2" t="s">
        <v>296</v>
      </c>
      <c r="C55" s="9">
        <v>33.163644883449201</v>
      </c>
    </row>
    <row r="56" spans="1:8" ht="15" customHeight="1">
      <c r="B56" s="2" t="s">
        <v>297</v>
      </c>
      <c r="C56" s="9">
        <v>29.980959365895401</v>
      </c>
    </row>
    <row r="57" spans="1:8" ht="15" customHeight="1">
      <c r="B57" s="2" t="s">
        <v>298</v>
      </c>
      <c r="C57" s="9">
        <v>28.078659613318401</v>
      </c>
    </row>
    <row r="58" spans="1:8" ht="15" customHeight="1">
      <c r="B58" s="24" t="s">
        <v>299</v>
      </c>
      <c r="C58" s="26">
        <v>5.0849852701307396</v>
      </c>
    </row>
    <row r="59" spans="1:8" ht="15" customHeight="1">
      <c r="B59" s="2" t="s">
        <v>300</v>
      </c>
      <c r="C59" s="9">
        <v>20.986671556126801</v>
      </c>
    </row>
    <row r="60" spans="1:8" ht="15" customHeight="1">
      <c r="B60" s="2" t="s">
        <v>301</v>
      </c>
      <c r="C60" s="13">
        <v>5.0999999999999996</v>
      </c>
    </row>
    <row r="61" spans="1:8" ht="15" customHeight="1">
      <c r="B61" s="2" t="s">
        <v>302</v>
      </c>
      <c r="C61" s="13">
        <v>1.8</v>
      </c>
    </row>
    <row r="62" spans="1:8" ht="15" customHeight="1">
      <c r="B62" s="2" t="s">
        <v>303</v>
      </c>
      <c r="C62" s="13">
        <v>3.3</v>
      </c>
    </row>
    <row r="63" spans="1:8" ht="15" customHeight="1">
      <c r="B63" s="24" t="s">
        <v>304</v>
      </c>
      <c r="C63" s="26">
        <v>-1.5014729869262699E-2</v>
      </c>
    </row>
    <row r="64" spans="1:8" ht="15" customHeight="1">
      <c r="B64" s="2" t="s">
        <v>305</v>
      </c>
      <c r="C64" s="12">
        <v>0.49973263093616199</v>
      </c>
    </row>
  </sheetData>
  <mergeCells count="14">
    <mergeCell ref="A33:G33"/>
    <mergeCell ref="B44:I44"/>
    <mergeCell ref="A46:G46"/>
    <mergeCell ref="A52:G52"/>
    <mergeCell ref="A20:G20"/>
    <mergeCell ref="A28:G28"/>
    <mergeCell ref="C29:I29"/>
    <mergeCell ref="C30:I30"/>
    <mergeCell ref="C31:I31"/>
    <mergeCell ref="A1:K1"/>
    <mergeCell ref="A2:K2"/>
    <mergeCell ref="A4:G4"/>
    <mergeCell ref="A11:G11"/>
    <mergeCell ref="B18:I18"/>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5"/>
  <sheetViews>
    <sheetView zoomScaleNormal="100" workbookViewId="0">
      <selection sqref="A1:J1"/>
    </sheetView>
  </sheetViews>
  <sheetFormatPr defaultColWidth="8.6328125" defaultRowHeight="14.5"/>
  <cols>
    <col min="1" max="1" width="2.453125" customWidth="1"/>
    <col min="2" max="2" width="40" customWidth="1"/>
    <col min="3" max="7" width="13" customWidth="1"/>
    <col min="8" max="8" width="3" customWidth="1"/>
    <col min="9" max="9" width="54" customWidth="1"/>
  </cols>
  <sheetData>
    <row r="1" spans="1:10" ht="25.5" customHeight="1">
      <c r="A1" s="74" t="s">
        <v>306</v>
      </c>
      <c r="B1" s="74"/>
      <c r="C1" s="74"/>
      <c r="D1" s="74"/>
      <c r="E1" s="74"/>
      <c r="F1" s="74"/>
      <c r="G1" s="74"/>
      <c r="H1" s="74"/>
      <c r="I1" s="74"/>
      <c r="J1" s="74"/>
    </row>
    <row r="2" spans="1:10" ht="15" customHeight="1">
      <c r="A2" s="75" t="s">
        <v>307</v>
      </c>
      <c r="B2" s="75"/>
      <c r="C2" s="75"/>
      <c r="D2" s="75"/>
      <c r="E2" s="75"/>
      <c r="F2" s="75"/>
      <c r="G2" s="75"/>
      <c r="H2" s="75"/>
      <c r="I2" s="75"/>
      <c r="J2" s="75"/>
    </row>
    <row r="4" spans="1:10" ht="15" customHeight="1">
      <c r="A4" s="77" t="s">
        <v>308</v>
      </c>
      <c r="B4" s="77"/>
      <c r="C4" s="77"/>
      <c r="D4" s="77"/>
      <c r="E4" s="77"/>
      <c r="F4" s="77"/>
      <c r="G4" s="77"/>
      <c r="H4" s="77"/>
      <c r="I4" s="77"/>
    </row>
    <row r="5" spans="1:10" ht="15" customHeight="1">
      <c r="B5" s="5" t="s">
        <v>309</v>
      </c>
      <c r="C5" s="5" t="s">
        <v>160</v>
      </c>
      <c r="D5" s="5" t="s">
        <v>157</v>
      </c>
      <c r="E5" s="5" t="s">
        <v>310</v>
      </c>
      <c r="F5" s="5" t="s">
        <v>311</v>
      </c>
      <c r="G5" s="5" t="s">
        <v>312</v>
      </c>
    </row>
    <row r="6" spans="1:10" ht="30" customHeight="1">
      <c r="B6" s="4" t="s">
        <v>313</v>
      </c>
      <c r="C6" s="34">
        <v>86.157799999999995</v>
      </c>
      <c r="D6" s="35" t="s">
        <v>314</v>
      </c>
      <c r="E6" s="10" t="s">
        <v>315</v>
      </c>
      <c r="F6" s="10" t="s">
        <v>316</v>
      </c>
      <c r="G6" s="1" t="s">
        <v>317</v>
      </c>
      <c r="I6" s="3" t="s">
        <v>318</v>
      </c>
    </row>
    <row r="7" spans="1:10" ht="30" customHeight="1">
      <c r="B7" s="4" t="s">
        <v>319</v>
      </c>
      <c r="C7" s="34">
        <v>19.922499999999999</v>
      </c>
      <c r="D7" s="35" t="s">
        <v>166</v>
      </c>
      <c r="E7" s="10" t="s">
        <v>320</v>
      </c>
      <c r="F7" s="10" t="s">
        <v>321</v>
      </c>
      <c r="G7" s="1" t="s">
        <v>322</v>
      </c>
    </row>
    <row r="8" spans="1:10" ht="15" customHeight="1">
      <c r="B8" s="14" t="s">
        <v>170</v>
      </c>
      <c r="C8" s="22">
        <f>SUM(C6:C7)</f>
        <v>106.08029999999999</v>
      </c>
    </row>
    <row r="10" spans="1:10" ht="15" customHeight="1">
      <c r="A10" s="77" t="s">
        <v>323</v>
      </c>
      <c r="B10" s="77"/>
      <c r="C10" s="77"/>
      <c r="D10" s="77"/>
      <c r="E10" s="77"/>
      <c r="F10" s="77"/>
      <c r="G10" s="77"/>
      <c r="H10" s="77"/>
      <c r="I10" s="77"/>
    </row>
    <row r="11" spans="1:10" ht="15" customHeight="1">
      <c r="B11" s="5" t="s">
        <v>309</v>
      </c>
      <c r="C11" s="5" t="s">
        <v>177</v>
      </c>
      <c r="D11" s="5" t="s">
        <v>178</v>
      </c>
      <c r="E11" s="5" t="s">
        <v>179</v>
      </c>
      <c r="F11" s="5" t="s">
        <v>180</v>
      </c>
      <c r="G11" s="5" t="s">
        <v>181</v>
      </c>
    </row>
    <row r="12" spans="1:10" ht="15" customHeight="1">
      <c r="B12" s="4" t="s">
        <v>324</v>
      </c>
      <c r="C12" s="30">
        <v>0.75</v>
      </c>
      <c r="D12" s="30">
        <v>1</v>
      </c>
      <c r="E12" s="30">
        <v>1</v>
      </c>
      <c r="F12" s="30">
        <v>1</v>
      </c>
      <c r="G12" s="30">
        <v>1</v>
      </c>
    </row>
    <row r="13" spans="1:10" ht="15" customHeight="1">
      <c r="B13" s="4" t="s">
        <v>325</v>
      </c>
      <c r="C13" s="30">
        <v>0</v>
      </c>
      <c r="D13" s="30">
        <v>0.5</v>
      </c>
      <c r="E13" s="30">
        <v>1</v>
      </c>
      <c r="F13" s="30">
        <v>1</v>
      </c>
      <c r="G13" s="30">
        <v>1</v>
      </c>
    </row>
    <row r="14" spans="1:10" ht="15" customHeight="1">
      <c r="B14" s="14" t="s">
        <v>326</v>
      </c>
      <c r="C14" s="18">
        <f>SUMPRODUCT($C$6:$C$7,C12:C13)/$C$8</f>
        <v>0.60914561893207309</v>
      </c>
      <c r="D14" s="18">
        <f>SUMPRODUCT($C$6:$C$7,D12:D13)/$C$8</f>
        <v>0.90609707928804872</v>
      </c>
      <c r="E14" s="18">
        <f>SUMPRODUCT($C$6:$C$7,E12:E13)/$C$8</f>
        <v>1</v>
      </c>
      <c r="F14" s="18">
        <f>SUMPRODUCT($C$6:$C$7,F12:F13)/$C$8</f>
        <v>1</v>
      </c>
      <c r="G14" s="18">
        <f>SUMPRODUCT($C$6:$C$7,G12:G13)/$C$8</f>
        <v>1</v>
      </c>
    </row>
    <row r="16" spans="1:10" ht="15" customHeight="1">
      <c r="B16" s="4" t="s">
        <v>327</v>
      </c>
    </row>
    <row r="17" spans="1:9" ht="15" customHeight="1">
      <c r="B17" s="2" t="s">
        <v>328</v>
      </c>
      <c r="C17" s="13">
        <v>4</v>
      </c>
      <c r="D17" s="13">
        <v>6</v>
      </c>
      <c r="E17" s="13">
        <v>7</v>
      </c>
      <c r="F17" s="13">
        <v>7</v>
      </c>
      <c r="G17" s="13">
        <v>6</v>
      </c>
    </row>
    <row r="18" spans="1:9" ht="15" customHeight="1">
      <c r="B18" s="14" t="s">
        <v>329</v>
      </c>
      <c r="C18" s="18">
        <f>C14</f>
        <v>0.60914561893207309</v>
      </c>
      <c r="D18" s="18">
        <f>D14</f>
        <v>0.90609707928804872</v>
      </c>
      <c r="E18" s="18">
        <f>E14</f>
        <v>1</v>
      </c>
      <c r="F18" s="18">
        <f>F14</f>
        <v>1</v>
      </c>
      <c r="G18" s="18">
        <f>G14</f>
        <v>1</v>
      </c>
    </row>
    <row r="19" spans="1:9" ht="15" customHeight="1">
      <c r="B19" s="2" t="s">
        <v>330</v>
      </c>
      <c r="C19" s="13">
        <v>5</v>
      </c>
      <c r="D19" s="13">
        <v>2</v>
      </c>
      <c r="E19" s="13">
        <v>0</v>
      </c>
      <c r="F19" s="13">
        <v>0</v>
      </c>
      <c r="G19" s="13">
        <v>0</v>
      </c>
    </row>
    <row r="21" spans="1:9" ht="15" customHeight="1">
      <c r="A21" s="77" t="s">
        <v>331</v>
      </c>
      <c r="B21" s="77"/>
      <c r="C21" s="77"/>
      <c r="D21" s="77"/>
      <c r="E21" s="77"/>
      <c r="F21" s="77"/>
      <c r="G21" s="77"/>
      <c r="H21" s="77"/>
      <c r="I21" s="77"/>
    </row>
    <row r="22" spans="1:9" ht="42" customHeight="1">
      <c r="B22" s="78" t="s">
        <v>332</v>
      </c>
      <c r="C22" s="78"/>
      <c r="D22" s="78"/>
      <c r="E22" s="78"/>
      <c r="F22" s="78"/>
      <c r="G22" s="78"/>
      <c r="H22" s="78"/>
      <c r="I22" s="78"/>
    </row>
    <row r="23" spans="1:9" ht="42" customHeight="1">
      <c r="B23" s="78" t="s">
        <v>333</v>
      </c>
      <c r="C23" s="78"/>
      <c r="D23" s="78"/>
      <c r="E23" s="78"/>
      <c r="F23" s="78"/>
      <c r="G23" s="78"/>
      <c r="H23" s="78"/>
      <c r="I23" s="78"/>
    </row>
    <row r="24" spans="1:9" ht="42" customHeight="1">
      <c r="B24" s="78" t="s">
        <v>334</v>
      </c>
      <c r="C24" s="78"/>
      <c r="D24" s="78"/>
      <c r="E24" s="78"/>
      <c r="F24" s="78"/>
      <c r="G24" s="78"/>
      <c r="H24" s="78"/>
      <c r="I24" s="78"/>
    </row>
    <row r="25" spans="1:9" ht="42" customHeight="1">
      <c r="B25" s="78" t="s">
        <v>335</v>
      </c>
      <c r="C25" s="78"/>
      <c r="D25" s="78"/>
      <c r="E25" s="78"/>
      <c r="F25" s="78"/>
      <c r="G25" s="78"/>
      <c r="H25" s="78"/>
      <c r="I25" s="78"/>
    </row>
  </sheetData>
  <mergeCells count="9">
    <mergeCell ref="B22:I22"/>
    <mergeCell ref="B23:I23"/>
    <mergeCell ref="B24:I24"/>
    <mergeCell ref="B25:I25"/>
    <mergeCell ref="A1:J1"/>
    <mergeCell ref="A2:J2"/>
    <mergeCell ref="A4:I4"/>
    <mergeCell ref="A10:I10"/>
    <mergeCell ref="A21:I2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2"/>
  <sheetViews>
    <sheetView zoomScaleNormal="100" workbookViewId="0">
      <selection sqref="A1:J1"/>
    </sheetView>
  </sheetViews>
  <sheetFormatPr defaultColWidth="8.6328125" defaultRowHeight="14.5"/>
  <cols>
    <col min="1" max="1" width="2.453125" customWidth="1"/>
    <col min="2" max="2" width="40" customWidth="1"/>
    <col min="3" max="7" width="13" customWidth="1"/>
    <col min="8" max="8" width="3" customWidth="1"/>
    <col min="9" max="9" width="52" customWidth="1"/>
  </cols>
  <sheetData>
    <row r="1" spans="1:10" ht="25.5" customHeight="1">
      <c r="A1" s="74" t="s">
        <v>336</v>
      </c>
      <c r="B1" s="74"/>
      <c r="C1" s="74"/>
      <c r="D1" s="74"/>
      <c r="E1" s="74"/>
      <c r="F1" s="74"/>
      <c r="G1" s="74"/>
      <c r="H1" s="74"/>
      <c r="I1" s="74"/>
      <c r="J1" s="74"/>
    </row>
    <row r="2" spans="1:10" ht="15" customHeight="1">
      <c r="A2" s="75" t="s">
        <v>337</v>
      </c>
      <c r="B2" s="75"/>
      <c r="C2" s="75"/>
      <c r="D2" s="75"/>
      <c r="E2" s="75"/>
      <c r="F2" s="75"/>
      <c r="G2" s="75"/>
      <c r="H2" s="75"/>
      <c r="I2" s="75"/>
      <c r="J2" s="75"/>
    </row>
    <row r="4" spans="1:10" ht="15" customHeight="1">
      <c r="A4" s="77" t="s">
        <v>338</v>
      </c>
      <c r="B4" s="77"/>
      <c r="C4" s="77"/>
      <c r="D4" s="77"/>
      <c r="E4" s="77"/>
      <c r="F4" s="77"/>
      <c r="G4" s="77"/>
      <c r="H4" s="77"/>
      <c r="I4" s="77"/>
    </row>
    <row r="5" spans="1:10" ht="15" customHeight="1">
      <c r="B5" s="5" t="s">
        <v>203</v>
      </c>
      <c r="C5" s="5" t="s">
        <v>339</v>
      </c>
      <c r="D5" s="5" t="s">
        <v>340</v>
      </c>
      <c r="E5" s="5" t="s">
        <v>341</v>
      </c>
      <c r="F5" s="5" t="s">
        <v>161</v>
      </c>
    </row>
    <row r="6" spans="1:10" ht="18.75" customHeight="1">
      <c r="B6" s="4" t="s">
        <v>342</v>
      </c>
      <c r="C6" s="16">
        <v>0</v>
      </c>
      <c r="D6" s="36">
        <f t="shared" ref="D6:D15" si="0">C6/$C$17</f>
        <v>0</v>
      </c>
      <c r="E6" s="9">
        <f>C6/'Logic Tree'!$C$7</f>
        <v>0</v>
      </c>
      <c r="F6" s="12">
        <f>C6/$C$11</f>
        <v>0</v>
      </c>
      <c r="I6" s="3" t="s">
        <v>343</v>
      </c>
    </row>
    <row r="7" spans="1:10" ht="15" customHeight="1">
      <c r="B7" s="4" t="s">
        <v>344</v>
      </c>
      <c r="C7" s="16">
        <v>0</v>
      </c>
      <c r="D7" s="36">
        <f t="shared" si="0"/>
        <v>0</v>
      </c>
      <c r="E7" s="9">
        <f>C7/'Logic Tree'!$C$7</f>
        <v>0</v>
      </c>
      <c r="F7" s="12">
        <f>C7/$C$11</f>
        <v>0</v>
      </c>
    </row>
    <row r="8" spans="1:10" ht="15" customHeight="1">
      <c r="B8" s="2" t="s">
        <v>345</v>
      </c>
      <c r="C8" s="16">
        <v>179</v>
      </c>
      <c r="D8" s="36">
        <f t="shared" si="0"/>
        <v>5.59375</v>
      </c>
      <c r="E8" s="9">
        <f>C8/'Logic Tree'!$C$7</f>
        <v>1.6874025501460215</v>
      </c>
      <c r="F8" s="12">
        <f>C8/$C$11</f>
        <v>0.15633187772925763</v>
      </c>
    </row>
    <row r="9" spans="1:10" ht="15" customHeight="1">
      <c r="B9" s="2" t="s">
        <v>346</v>
      </c>
      <c r="C9" s="16">
        <v>153</v>
      </c>
      <c r="D9" s="36">
        <f t="shared" si="0"/>
        <v>4.78125</v>
      </c>
      <c r="E9" s="9">
        <f>C9/'Logic Tree'!$C$7</f>
        <v>1.4423049730298396</v>
      </c>
      <c r="F9" s="12">
        <f>C9/$C$11</f>
        <v>0.13362445414847163</v>
      </c>
    </row>
    <row r="10" spans="1:10" ht="15" customHeight="1">
      <c r="B10" s="2" t="s">
        <v>347</v>
      </c>
      <c r="C10" s="16">
        <v>813</v>
      </c>
      <c r="D10" s="36">
        <f t="shared" si="0"/>
        <v>25.40625</v>
      </c>
      <c r="E10" s="9">
        <f>C10/'Logic Tree'!$C$7</f>
        <v>7.6640126998252258</v>
      </c>
      <c r="F10" s="12">
        <f>C10/$C$11</f>
        <v>0.71004366812227071</v>
      </c>
    </row>
    <row r="11" spans="1:10" ht="15" customHeight="1">
      <c r="B11" s="14" t="s">
        <v>348</v>
      </c>
      <c r="C11" s="21">
        <f>SUM(C6:C10)</f>
        <v>1145</v>
      </c>
      <c r="D11" s="37">
        <f t="shared" si="0"/>
        <v>35.78125</v>
      </c>
      <c r="E11" s="15">
        <f>C11/'Logic Tree'!$C$7</f>
        <v>10.793720223001086</v>
      </c>
    </row>
    <row r="12" spans="1:10" ht="18.75" customHeight="1">
      <c r="B12" s="2" t="s">
        <v>349</v>
      </c>
      <c r="C12" s="16">
        <v>115</v>
      </c>
      <c r="D12" s="36">
        <f t="shared" si="0"/>
        <v>3.59375</v>
      </c>
      <c r="E12" s="9">
        <f>C12/'Logic Tree'!$C$7</f>
        <v>1.0840854372446507</v>
      </c>
      <c r="F12" s="12">
        <f>C12/$C$15</f>
        <v>5.5528730082085948E-2</v>
      </c>
      <c r="I12" s="3" t="s">
        <v>350</v>
      </c>
    </row>
    <row r="13" spans="1:10" ht="15" customHeight="1">
      <c r="B13" s="2" t="s">
        <v>351</v>
      </c>
      <c r="C13" s="16">
        <v>233</v>
      </c>
      <c r="D13" s="36">
        <f t="shared" si="0"/>
        <v>7.28125</v>
      </c>
      <c r="E13" s="9">
        <f>C13/'Logic Tree'!$C$7</f>
        <v>2.1964513641565531</v>
      </c>
      <c r="F13" s="12">
        <f>C13/$C$15</f>
        <v>0.11250603573153066</v>
      </c>
    </row>
    <row r="14" spans="1:10" ht="15" customHeight="1">
      <c r="B14" s="2" t="s">
        <v>352</v>
      </c>
      <c r="C14" s="16">
        <v>1723</v>
      </c>
      <c r="D14" s="36">
        <f t="shared" si="0"/>
        <v>53.84375</v>
      </c>
      <c r="E14" s="9">
        <f>C14/'Logic Tree'!$C$7</f>
        <v>16.242427898891592</v>
      </c>
      <c r="F14" s="12">
        <f>C14/$C$15</f>
        <v>0.83196523418638335</v>
      </c>
    </row>
    <row r="15" spans="1:10" ht="15" customHeight="1">
      <c r="B15" s="14" t="s">
        <v>353</v>
      </c>
      <c r="C15" s="21">
        <f>SUM(C12:C14)</f>
        <v>2071</v>
      </c>
      <c r="D15" s="37">
        <f t="shared" si="0"/>
        <v>64.71875</v>
      </c>
      <c r="E15" s="15">
        <f>C15/'Logic Tree'!$C$7</f>
        <v>19.522964700292796</v>
      </c>
    </row>
    <row r="17" spans="1:9" ht="15" customHeight="1">
      <c r="B17" s="24" t="s">
        <v>354</v>
      </c>
      <c r="C17" s="38">
        <v>32</v>
      </c>
    </row>
    <row r="19" spans="1:9" ht="15" customHeight="1">
      <c r="A19" s="77" t="s">
        <v>355</v>
      </c>
      <c r="B19" s="77"/>
      <c r="C19" s="77"/>
      <c r="D19" s="77"/>
      <c r="E19" s="77"/>
      <c r="F19" s="77"/>
      <c r="G19" s="77"/>
      <c r="H19" s="77"/>
      <c r="I19" s="77"/>
    </row>
    <row r="20" spans="1:9" ht="15" customHeight="1">
      <c r="B20" s="5" t="s">
        <v>182</v>
      </c>
      <c r="C20" s="5" t="s">
        <v>294</v>
      </c>
      <c r="D20" s="5" t="s">
        <v>356</v>
      </c>
    </row>
    <row r="21" spans="1:9" ht="33.75" customHeight="1">
      <c r="B21" s="14" t="s">
        <v>357</v>
      </c>
      <c r="C21" s="15">
        <f>'Logic Tree'!C18</f>
        <v>3.4832999999999998</v>
      </c>
      <c r="D21" s="1" t="s">
        <v>358</v>
      </c>
    </row>
    <row r="22" spans="1:9" ht="33.75" customHeight="1">
      <c r="B22" s="14" t="s">
        <v>359</v>
      </c>
      <c r="C22" s="15">
        <f>'Logic Tree'!C7-'Logic Tree'!C21</f>
        <v>17.621700000000004</v>
      </c>
      <c r="D22" s="1" t="s">
        <v>360</v>
      </c>
    </row>
    <row r="23" spans="1:9" ht="33.75" customHeight="1">
      <c r="B23" s="4" t="s">
        <v>361</v>
      </c>
      <c r="C23" s="39">
        <f>(C11+C15)/C17</f>
        <v>100.5</v>
      </c>
      <c r="D23" s="1" t="s">
        <v>362</v>
      </c>
    </row>
    <row r="24" spans="1:9" ht="33.75" customHeight="1">
      <c r="B24" s="24" t="s">
        <v>363</v>
      </c>
      <c r="C24" s="26">
        <f>IFERROR(C23/C21,0)</f>
        <v>28.851950736370686</v>
      </c>
      <c r="D24" s="1" t="s">
        <v>364</v>
      </c>
    </row>
    <row r="25" spans="1:9" ht="33.75" customHeight="1">
      <c r="B25" s="24" t="s">
        <v>365</v>
      </c>
      <c r="C25" s="26">
        <f>IFERROR(C23/C22,0)</f>
        <v>5.7031954919218908</v>
      </c>
      <c r="D25" s="1" t="s">
        <v>366</v>
      </c>
    </row>
    <row r="26" spans="1:9" ht="33.75" customHeight="1">
      <c r="B26" s="14" t="s">
        <v>367</v>
      </c>
      <c r="C26" s="15">
        <f>'Team Build-Up'!C64+'Team Build-Up'!C63</f>
        <v>22</v>
      </c>
      <c r="D26" s="1" t="s">
        <v>368</v>
      </c>
    </row>
    <row r="28" spans="1:9" ht="15" customHeight="1">
      <c r="A28" s="77" t="s">
        <v>369</v>
      </c>
      <c r="B28" s="77"/>
      <c r="C28" s="77"/>
      <c r="D28" s="77"/>
      <c r="E28" s="77"/>
      <c r="F28" s="77"/>
      <c r="G28" s="77"/>
      <c r="H28" s="77"/>
      <c r="I28" s="77"/>
    </row>
    <row r="29" spans="1:9" ht="48" customHeight="1">
      <c r="B29" s="78" t="s">
        <v>370</v>
      </c>
      <c r="C29" s="78"/>
      <c r="D29" s="78"/>
      <c r="E29" s="78"/>
      <c r="F29" s="78"/>
      <c r="G29" s="78"/>
      <c r="H29" s="78"/>
      <c r="I29" s="78"/>
    </row>
    <row r="30" spans="1:9" ht="48" customHeight="1">
      <c r="B30" s="78" t="s">
        <v>371</v>
      </c>
      <c r="C30" s="78"/>
      <c r="D30" s="78"/>
      <c r="E30" s="78"/>
      <c r="F30" s="78"/>
      <c r="G30" s="78"/>
      <c r="H30" s="78"/>
      <c r="I30" s="78"/>
    </row>
    <row r="31" spans="1:9" ht="48" customHeight="1">
      <c r="B31" s="78" t="s">
        <v>372</v>
      </c>
      <c r="C31" s="78"/>
      <c r="D31" s="78"/>
      <c r="E31" s="78"/>
      <c r="F31" s="78"/>
      <c r="G31" s="78"/>
      <c r="H31" s="78"/>
      <c r="I31" s="78"/>
    </row>
    <row r="32" spans="1:9" ht="48" customHeight="1">
      <c r="B32" s="78" t="s">
        <v>373</v>
      </c>
      <c r="C32" s="78"/>
      <c r="D32" s="78"/>
      <c r="E32" s="78"/>
      <c r="F32" s="78"/>
      <c r="G32" s="78"/>
      <c r="H32" s="78"/>
      <c r="I32" s="78"/>
    </row>
  </sheetData>
  <mergeCells count="9">
    <mergeCell ref="B29:I29"/>
    <mergeCell ref="B30:I30"/>
    <mergeCell ref="B31:I31"/>
    <mergeCell ref="B32:I32"/>
    <mergeCell ref="A1:J1"/>
    <mergeCell ref="A2:J2"/>
    <mergeCell ref="A4:I4"/>
    <mergeCell ref="A19:I19"/>
    <mergeCell ref="A28:I28"/>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22"/>
  <sheetViews>
    <sheetView zoomScaleNormal="100" workbookViewId="0">
      <selection sqref="A1:V1"/>
    </sheetView>
  </sheetViews>
  <sheetFormatPr defaultColWidth="8.6328125" defaultRowHeight="14.5"/>
  <cols>
    <col min="1" max="1" width="2.453125" customWidth="1"/>
    <col min="2" max="2" width="26" customWidth="1"/>
    <col min="3" max="3" width="6" customWidth="1"/>
    <col min="4" max="5" width="9" customWidth="1"/>
    <col min="6" max="6" width="8" customWidth="1"/>
    <col min="7" max="7" width="9" customWidth="1"/>
    <col min="8" max="8" width="10" customWidth="1"/>
    <col min="9" max="9" width="9" customWidth="1"/>
    <col min="10" max="11" width="8" customWidth="1"/>
    <col min="12" max="12" width="7" customWidth="1"/>
    <col min="13" max="13" width="6" customWidth="1"/>
    <col min="14" max="14" width="8" customWidth="1"/>
    <col min="15" max="15" width="9" customWidth="1"/>
    <col min="16" max="16" width="13" customWidth="1"/>
    <col min="17" max="17" width="9" customWidth="1"/>
    <col min="18" max="18" width="10" customWidth="1"/>
    <col min="19" max="19" width="9" customWidth="1"/>
    <col min="20" max="20" width="34" customWidth="1"/>
  </cols>
  <sheetData>
    <row r="1" spans="1:22" ht="25.5" customHeight="1">
      <c r="A1" s="74" t="s">
        <v>374</v>
      </c>
      <c r="B1" s="74"/>
      <c r="C1" s="74"/>
      <c r="D1" s="74"/>
      <c r="E1" s="74"/>
      <c r="F1" s="74"/>
      <c r="G1" s="74"/>
      <c r="H1" s="74"/>
      <c r="I1" s="74"/>
      <c r="J1" s="74"/>
      <c r="K1" s="74"/>
      <c r="L1" s="74"/>
      <c r="M1" s="74"/>
      <c r="N1" s="74"/>
      <c r="O1" s="74"/>
      <c r="P1" s="74"/>
      <c r="Q1" s="74"/>
      <c r="R1" s="74"/>
      <c r="S1" s="74"/>
      <c r="T1" s="74"/>
      <c r="U1" s="74"/>
      <c r="V1" s="74"/>
    </row>
    <row r="2" spans="1:22" ht="15" customHeight="1">
      <c r="A2" s="75" t="s">
        <v>375</v>
      </c>
      <c r="B2" s="75"/>
      <c r="C2" s="75"/>
      <c r="D2" s="75"/>
      <c r="E2" s="75"/>
      <c r="F2" s="75"/>
      <c r="G2" s="75"/>
      <c r="H2" s="75"/>
      <c r="I2" s="75"/>
      <c r="J2" s="75"/>
      <c r="K2" s="75"/>
      <c r="L2" s="75"/>
      <c r="M2" s="75"/>
      <c r="N2" s="75"/>
      <c r="O2" s="75"/>
      <c r="P2" s="75"/>
      <c r="Q2" s="75"/>
      <c r="R2" s="75"/>
      <c r="S2" s="75"/>
      <c r="T2" s="75"/>
      <c r="U2" s="75"/>
      <c r="V2" s="75"/>
    </row>
    <row r="4" spans="1:22" ht="15" customHeight="1">
      <c r="B4" s="5" t="s">
        <v>376</v>
      </c>
      <c r="C4" s="5" t="s">
        <v>377</v>
      </c>
      <c r="D4" s="5" t="s">
        <v>160</v>
      </c>
      <c r="E4" s="5" t="s">
        <v>378</v>
      </c>
      <c r="F4" s="5" t="s">
        <v>379</v>
      </c>
      <c r="G4" s="5" t="s">
        <v>380</v>
      </c>
      <c r="H4" s="5" t="s">
        <v>235</v>
      </c>
      <c r="I4" s="5" t="s">
        <v>381</v>
      </c>
      <c r="J4" s="5" t="s">
        <v>247</v>
      </c>
      <c r="K4" s="5" t="s">
        <v>382</v>
      </c>
      <c r="L4" s="5" t="s">
        <v>383</v>
      </c>
      <c r="M4" s="5" t="s">
        <v>384</v>
      </c>
      <c r="N4" s="5" t="s">
        <v>385</v>
      </c>
      <c r="O4" s="5" t="s">
        <v>386</v>
      </c>
      <c r="P4" s="5" t="s">
        <v>387</v>
      </c>
      <c r="Q4" s="5" t="s">
        <v>388</v>
      </c>
      <c r="R4" s="5" t="s">
        <v>389</v>
      </c>
      <c r="S4" s="5" t="s">
        <v>390</v>
      </c>
      <c r="T4" s="5" t="s">
        <v>391</v>
      </c>
    </row>
    <row r="5" spans="1:22" ht="15" customHeight="1">
      <c r="B5" s="4" t="s">
        <v>392</v>
      </c>
      <c r="C5" s="35" t="s">
        <v>164</v>
      </c>
      <c r="D5" s="34">
        <v>62.642400000000002</v>
      </c>
      <c r="E5" s="34">
        <v>36.104900000000001</v>
      </c>
      <c r="F5" s="34">
        <v>15.5375</v>
      </c>
      <c r="G5" s="34">
        <v>29.959</v>
      </c>
      <c r="H5" s="34">
        <v>0</v>
      </c>
      <c r="I5" s="12">
        <f t="shared" ref="I5:I19" si="0">IFERROR($H5/$D5,0)</f>
        <v>0</v>
      </c>
      <c r="J5" s="34">
        <v>8.6415000000000006</v>
      </c>
      <c r="K5" s="34">
        <v>13.1092</v>
      </c>
      <c r="L5" s="40">
        <v>0.86319830093713201</v>
      </c>
      <c r="M5" s="35" t="s">
        <v>393</v>
      </c>
      <c r="N5" s="35" t="s">
        <v>394</v>
      </c>
      <c r="O5" s="35" t="s">
        <v>315</v>
      </c>
      <c r="P5" s="19">
        <v>0</v>
      </c>
      <c r="Q5" s="19">
        <v>37</v>
      </c>
      <c r="R5" s="19">
        <v>350</v>
      </c>
      <c r="S5" s="19">
        <v>794</v>
      </c>
      <c r="T5" s="2" t="s">
        <v>395</v>
      </c>
    </row>
    <row r="6" spans="1:22" ht="15" customHeight="1">
      <c r="B6" s="4" t="s">
        <v>396</v>
      </c>
      <c r="C6" s="35" t="s">
        <v>166</v>
      </c>
      <c r="D6" s="34">
        <v>9.9625000000000004</v>
      </c>
      <c r="E6" s="34">
        <v>9.6624999999999996</v>
      </c>
      <c r="F6" s="34">
        <v>0.3</v>
      </c>
      <c r="G6" s="34">
        <v>9.6624999999999996</v>
      </c>
      <c r="H6" s="34">
        <v>0</v>
      </c>
      <c r="I6" s="12">
        <f t="shared" si="0"/>
        <v>0</v>
      </c>
      <c r="J6" s="34">
        <v>0</v>
      </c>
      <c r="K6" s="34">
        <v>8.8625000000000007</v>
      </c>
      <c r="L6" s="40">
        <v>0.90440251572327102</v>
      </c>
      <c r="M6" s="35" t="s">
        <v>397</v>
      </c>
      <c r="N6" s="35" t="s">
        <v>320</v>
      </c>
      <c r="O6" s="35" t="s">
        <v>398</v>
      </c>
      <c r="P6" s="19">
        <v>1972920</v>
      </c>
      <c r="Q6" s="19">
        <v>57</v>
      </c>
      <c r="R6" s="19">
        <v>124</v>
      </c>
      <c r="S6" s="19">
        <v>199</v>
      </c>
      <c r="T6" s="2" t="s">
        <v>399</v>
      </c>
    </row>
    <row r="7" spans="1:22" ht="15" customHeight="1">
      <c r="B7" s="4" t="s">
        <v>400</v>
      </c>
      <c r="C7" s="35" t="s">
        <v>166</v>
      </c>
      <c r="D7" s="34">
        <v>9.7375000000000007</v>
      </c>
      <c r="E7" s="34">
        <v>5.6624999999999996</v>
      </c>
      <c r="F7" s="34">
        <v>4.0750000000000002</v>
      </c>
      <c r="G7" s="34">
        <v>5.6624999999999996</v>
      </c>
      <c r="H7" s="34">
        <v>0</v>
      </c>
      <c r="I7" s="12">
        <f t="shared" si="0"/>
        <v>0</v>
      </c>
      <c r="J7" s="34">
        <v>0</v>
      </c>
      <c r="K7" s="34">
        <v>5.6624999999999996</v>
      </c>
      <c r="L7" s="40">
        <v>0.89730379676421401</v>
      </c>
      <c r="M7" s="35" t="s">
        <v>397</v>
      </c>
      <c r="N7" s="35" t="s">
        <v>320</v>
      </c>
      <c r="O7" s="35" t="s">
        <v>398</v>
      </c>
      <c r="P7" s="19">
        <v>0</v>
      </c>
      <c r="Q7" s="19">
        <v>44</v>
      </c>
      <c r="R7" s="19">
        <v>147</v>
      </c>
      <c r="S7" s="19">
        <v>254</v>
      </c>
      <c r="T7" s="2" t="s">
        <v>401</v>
      </c>
    </row>
    <row r="8" spans="1:22" ht="15" customHeight="1">
      <c r="B8" s="4" t="s">
        <v>402</v>
      </c>
      <c r="C8" s="35" t="s">
        <v>166</v>
      </c>
      <c r="D8" s="34">
        <v>7.1849999999999996</v>
      </c>
      <c r="E8" s="34">
        <v>6.0308000000000002</v>
      </c>
      <c r="F8" s="34">
        <v>1.1541999999999999</v>
      </c>
      <c r="G8" s="34">
        <v>6.0308000000000002</v>
      </c>
      <c r="H8" s="34">
        <v>0</v>
      </c>
      <c r="I8" s="12">
        <f t="shared" si="0"/>
        <v>0</v>
      </c>
      <c r="J8" s="34">
        <v>0</v>
      </c>
      <c r="K8" s="34">
        <v>6.0308000000000002</v>
      </c>
      <c r="L8" s="40">
        <v>0.75904634544925298</v>
      </c>
      <c r="M8" s="35" t="s">
        <v>393</v>
      </c>
      <c r="N8" s="35" t="s">
        <v>320</v>
      </c>
      <c r="O8" s="35" t="s">
        <v>398</v>
      </c>
      <c r="P8" s="19">
        <v>585527</v>
      </c>
      <c r="Q8" s="19">
        <v>57</v>
      </c>
      <c r="R8" s="19">
        <v>216</v>
      </c>
      <c r="S8" s="19">
        <v>389</v>
      </c>
      <c r="T8" s="2" t="s">
        <v>403</v>
      </c>
    </row>
    <row r="9" spans="1:22" ht="15" customHeight="1">
      <c r="B9" s="4" t="s">
        <v>404</v>
      </c>
      <c r="C9" s="35" t="s">
        <v>166</v>
      </c>
      <c r="D9" s="34">
        <v>4.2762000000000002</v>
      </c>
      <c r="E9" s="34">
        <v>4.0262000000000002</v>
      </c>
      <c r="F9" s="34">
        <v>0.25</v>
      </c>
      <c r="G9" s="34">
        <v>3.2511999999999999</v>
      </c>
      <c r="H9" s="34">
        <v>0</v>
      </c>
      <c r="I9" s="12">
        <f t="shared" si="0"/>
        <v>0</v>
      </c>
      <c r="J9" s="34">
        <v>0</v>
      </c>
      <c r="K9" s="34">
        <v>4.0262000000000002</v>
      </c>
      <c r="L9" s="40">
        <v>0.90909090909090895</v>
      </c>
      <c r="M9" s="35" t="s">
        <v>397</v>
      </c>
      <c r="N9" s="35" t="s">
        <v>320</v>
      </c>
      <c r="O9" s="35" t="s">
        <v>315</v>
      </c>
      <c r="P9" s="19">
        <v>0</v>
      </c>
      <c r="Q9" s="19">
        <v>0</v>
      </c>
      <c r="R9" s="19">
        <v>8</v>
      </c>
      <c r="S9" s="19">
        <v>41</v>
      </c>
      <c r="T9" s="2" t="s">
        <v>403</v>
      </c>
    </row>
    <row r="10" spans="1:22" ht="15" customHeight="1">
      <c r="B10" s="4" t="s">
        <v>405</v>
      </c>
      <c r="C10" s="35" t="s">
        <v>166</v>
      </c>
      <c r="D10" s="34">
        <v>3</v>
      </c>
      <c r="E10" s="34">
        <v>1</v>
      </c>
      <c r="F10" s="34">
        <v>2</v>
      </c>
      <c r="G10" s="34">
        <v>1</v>
      </c>
      <c r="H10" s="34">
        <v>0</v>
      </c>
      <c r="I10" s="12">
        <f t="shared" si="0"/>
        <v>0</v>
      </c>
      <c r="J10" s="34">
        <v>0</v>
      </c>
      <c r="K10" s="34">
        <v>1</v>
      </c>
      <c r="L10" s="40">
        <v>0</v>
      </c>
      <c r="M10" s="35" t="s">
        <v>397</v>
      </c>
      <c r="N10" s="35" t="s">
        <v>320</v>
      </c>
      <c r="O10" s="35" t="s">
        <v>398</v>
      </c>
      <c r="P10" s="19">
        <v>0</v>
      </c>
      <c r="Q10" s="19">
        <v>0</v>
      </c>
      <c r="R10" s="19">
        <v>0</v>
      </c>
      <c r="S10" s="19">
        <v>3</v>
      </c>
      <c r="T10" s="2" t="s">
        <v>406</v>
      </c>
    </row>
    <row r="11" spans="1:22" ht="15" customHeight="1">
      <c r="B11" s="4" t="s">
        <v>407</v>
      </c>
      <c r="C11" s="35" t="s">
        <v>168</v>
      </c>
      <c r="D11" s="34">
        <v>2.8862000000000001</v>
      </c>
      <c r="E11" s="34">
        <v>2.6362000000000001</v>
      </c>
      <c r="F11" s="34">
        <v>0.25</v>
      </c>
      <c r="G11" s="34">
        <v>2.6362999999999999</v>
      </c>
      <c r="H11" s="34">
        <v>0</v>
      </c>
      <c r="I11" s="12">
        <f t="shared" si="0"/>
        <v>0</v>
      </c>
      <c r="J11" s="34">
        <v>0</v>
      </c>
      <c r="K11" s="34">
        <v>2.6362999999999999</v>
      </c>
      <c r="L11" s="40">
        <v>0.90298830662624496</v>
      </c>
      <c r="M11" s="35" t="s">
        <v>397</v>
      </c>
      <c r="N11" s="35" t="s">
        <v>320</v>
      </c>
      <c r="O11" s="35" t="s">
        <v>398</v>
      </c>
      <c r="P11" s="19">
        <v>311649</v>
      </c>
      <c r="Q11" s="19">
        <v>9</v>
      </c>
      <c r="R11" s="19">
        <v>45</v>
      </c>
      <c r="S11" s="19">
        <v>38</v>
      </c>
      <c r="T11" s="2" t="s">
        <v>408</v>
      </c>
    </row>
    <row r="12" spans="1:22" ht="15" customHeight="1">
      <c r="B12" s="4" t="s">
        <v>409</v>
      </c>
      <c r="C12" s="35" t="s">
        <v>168</v>
      </c>
      <c r="D12" s="34">
        <v>2.5257999999999998</v>
      </c>
      <c r="E12" s="34">
        <v>2.2883</v>
      </c>
      <c r="F12" s="34">
        <v>0.23749999999999999</v>
      </c>
      <c r="G12" s="34">
        <v>2.2883</v>
      </c>
      <c r="H12" s="34">
        <v>0</v>
      </c>
      <c r="I12" s="12">
        <f t="shared" si="0"/>
        <v>0</v>
      </c>
      <c r="J12" s="34">
        <v>0</v>
      </c>
      <c r="K12" s="34">
        <v>2.1882999999999999</v>
      </c>
      <c r="L12" s="40">
        <v>0.90102276476410403</v>
      </c>
      <c r="M12" s="35" t="s">
        <v>393</v>
      </c>
      <c r="N12" s="35" t="s">
        <v>320</v>
      </c>
      <c r="O12" s="35" t="s">
        <v>398</v>
      </c>
      <c r="P12" s="19">
        <v>125022</v>
      </c>
      <c r="Q12" s="19">
        <v>0</v>
      </c>
      <c r="R12" s="19">
        <v>58</v>
      </c>
      <c r="S12" s="19">
        <v>32</v>
      </c>
      <c r="T12" s="2" t="s">
        <v>395</v>
      </c>
    </row>
    <row r="13" spans="1:22" ht="15" customHeight="1">
      <c r="B13" s="4" t="s">
        <v>410</v>
      </c>
      <c r="C13" s="35" t="s">
        <v>168</v>
      </c>
      <c r="D13" s="34">
        <v>1.1729000000000001</v>
      </c>
      <c r="E13" s="34">
        <v>1.0228999999999999</v>
      </c>
      <c r="F13" s="34">
        <v>0.15</v>
      </c>
      <c r="G13" s="34">
        <v>1.0228999999999999</v>
      </c>
      <c r="H13" s="34">
        <v>0</v>
      </c>
      <c r="I13" s="12">
        <f t="shared" si="0"/>
        <v>0</v>
      </c>
      <c r="J13" s="34">
        <v>0</v>
      </c>
      <c r="K13" s="34">
        <v>1.0228999999999999</v>
      </c>
      <c r="L13" s="40">
        <v>0.42806394316163399</v>
      </c>
      <c r="M13" s="35" t="s">
        <v>397</v>
      </c>
      <c r="N13" s="35" t="s">
        <v>320</v>
      </c>
      <c r="O13" s="35" t="s">
        <v>398</v>
      </c>
      <c r="P13" s="19">
        <v>649133</v>
      </c>
      <c r="Q13" s="19">
        <v>32</v>
      </c>
      <c r="R13" s="19">
        <v>108</v>
      </c>
      <c r="S13" s="19">
        <v>196</v>
      </c>
      <c r="T13" s="2" t="s">
        <v>403</v>
      </c>
    </row>
    <row r="14" spans="1:22" ht="15" customHeight="1">
      <c r="B14" s="4" t="s">
        <v>411</v>
      </c>
      <c r="C14" s="35" t="s">
        <v>168</v>
      </c>
      <c r="D14" s="34">
        <v>1</v>
      </c>
      <c r="E14" s="34">
        <v>0</v>
      </c>
      <c r="F14" s="34">
        <v>1</v>
      </c>
      <c r="G14" s="34">
        <v>0</v>
      </c>
      <c r="H14" s="34">
        <v>0</v>
      </c>
      <c r="I14" s="12">
        <f t="shared" si="0"/>
        <v>0</v>
      </c>
      <c r="J14" s="34">
        <v>0</v>
      </c>
      <c r="K14" s="34">
        <v>0</v>
      </c>
      <c r="L14" s="40">
        <v>1</v>
      </c>
      <c r="M14" s="35" t="s">
        <v>397</v>
      </c>
      <c r="N14" s="35" t="s">
        <v>394</v>
      </c>
      <c r="O14" s="35" t="s">
        <v>315</v>
      </c>
      <c r="P14" s="19">
        <v>0</v>
      </c>
      <c r="Q14" s="19">
        <v>0</v>
      </c>
      <c r="R14" s="19">
        <v>1</v>
      </c>
      <c r="S14" s="19">
        <v>2</v>
      </c>
      <c r="T14" s="2" t="s">
        <v>412</v>
      </c>
    </row>
    <row r="15" spans="1:22" ht="15" customHeight="1">
      <c r="B15" s="4" t="s">
        <v>413</v>
      </c>
      <c r="C15" s="35" t="s">
        <v>168</v>
      </c>
      <c r="D15" s="34">
        <v>0.5958</v>
      </c>
      <c r="E15" s="34">
        <v>0.39579999999999999</v>
      </c>
      <c r="F15" s="34">
        <v>0.2</v>
      </c>
      <c r="G15" s="34">
        <v>0.35420000000000001</v>
      </c>
      <c r="H15" s="34">
        <v>0</v>
      </c>
      <c r="I15" s="12">
        <f t="shared" si="0"/>
        <v>0</v>
      </c>
      <c r="J15" s="34">
        <v>0</v>
      </c>
      <c r="K15" s="34">
        <v>0.35420000000000001</v>
      </c>
      <c r="L15" s="40">
        <v>0.66433566433566404</v>
      </c>
      <c r="M15" s="35" t="s">
        <v>397</v>
      </c>
      <c r="N15" s="35" t="s">
        <v>320</v>
      </c>
      <c r="O15" s="35" t="s">
        <v>398</v>
      </c>
      <c r="P15" s="19">
        <v>16693</v>
      </c>
      <c r="Q15" s="19">
        <v>4</v>
      </c>
      <c r="R15" s="19">
        <v>3</v>
      </c>
      <c r="S15" s="19">
        <v>7</v>
      </c>
      <c r="T15" s="2" t="s">
        <v>395</v>
      </c>
    </row>
    <row r="16" spans="1:22" ht="15" customHeight="1">
      <c r="B16" s="4" t="s">
        <v>414</v>
      </c>
      <c r="C16" s="35" t="s">
        <v>168</v>
      </c>
      <c r="D16" s="34">
        <v>0.35420000000000001</v>
      </c>
      <c r="E16" s="34">
        <v>0.25419999999999998</v>
      </c>
      <c r="F16" s="34">
        <v>0.1</v>
      </c>
      <c r="G16" s="34">
        <v>0.25419999999999998</v>
      </c>
      <c r="H16" s="34">
        <v>0</v>
      </c>
      <c r="I16" s="12">
        <f t="shared" si="0"/>
        <v>0</v>
      </c>
      <c r="J16" s="34">
        <v>0</v>
      </c>
      <c r="K16" s="34">
        <v>0.25419999999999998</v>
      </c>
      <c r="L16" s="40">
        <v>0.56470588235294095</v>
      </c>
      <c r="M16" s="35" t="s">
        <v>397</v>
      </c>
      <c r="N16" s="35" t="s">
        <v>320</v>
      </c>
      <c r="O16" s="35" t="s">
        <v>398</v>
      </c>
      <c r="P16" s="19">
        <v>22000</v>
      </c>
      <c r="Q16" s="19">
        <v>7</v>
      </c>
      <c r="R16" s="19">
        <v>4</v>
      </c>
      <c r="S16" s="19">
        <v>51</v>
      </c>
      <c r="T16" s="2" t="s">
        <v>403</v>
      </c>
    </row>
    <row r="17" spans="2:20" ht="15" customHeight="1">
      <c r="B17" s="4" t="s">
        <v>415</v>
      </c>
      <c r="C17" s="35" t="s">
        <v>168</v>
      </c>
      <c r="D17" s="34">
        <v>0.33329999999999999</v>
      </c>
      <c r="E17" s="34">
        <v>0.1333</v>
      </c>
      <c r="F17" s="34">
        <v>0.2</v>
      </c>
      <c r="G17" s="34">
        <v>0.1333</v>
      </c>
      <c r="H17" s="34">
        <v>0</v>
      </c>
      <c r="I17" s="12">
        <f t="shared" si="0"/>
        <v>0</v>
      </c>
      <c r="J17" s="34">
        <v>0</v>
      </c>
      <c r="K17" s="34">
        <v>3.3300000000000003E-2</v>
      </c>
      <c r="L17" s="40">
        <v>0.325842696629213</v>
      </c>
      <c r="M17" s="35" t="s">
        <v>393</v>
      </c>
      <c r="N17" s="35" t="s">
        <v>320</v>
      </c>
      <c r="O17" s="35" t="s">
        <v>398</v>
      </c>
      <c r="P17" s="19">
        <v>183197</v>
      </c>
      <c r="Q17" s="19">
        <v>21</v>
      </c>
      <c r="R17" s="19">
        <v>69</v>
      </c>
      <c r="S17" s="19">
        <v>43</v>
      </c>
      <c r="T17" s="2" t="s">
        <v>395</v>
      </c>
    </row>
    <row r="18" spans="2:20" ht="15" customHeight="1">
      <c r="B18" s="4" t="s">
        <v>416</v>
      </c>
      <c r="C18" s="35" t="s">
        <v>168</v>
      </c>
      <c r="D18" s="34">
        <v>0.30830000000000002</v>
      </c>
      <c r="E18" s="34">
        <v>0.20830000000000001</v>
      </c>
      <c r="F18" s="34">
        <v>0.1</v>
      </c>
      <c r="G18" s="34">
        <v>0.20830000000000001</v>
      </c>
      <c r="H18" s="34">
        <v>0</v>
      </c>
      <c r="I18" s="12">
        <f t="shared" si="0"/>
        <v>0</v>
      </c>
      <c r="J18" s="34">
        <v>0</v>
      </c>
      <c r="K18" s="34">
        <v>0.20830000000000001</v>
      </c>
      <c r="L18" s="40">
        <v>0.67567567567567599</v>
      </c>
      <c r="M18" s="35" t="s">
        <v>397</v>
      </c>
      <c r="N18" s="35" t="s">
        <v>320</v>
      </c>
      <c r="O18" s="35" t="s">
        <v>398</v>
      </c>
      <c r="P18" s="19">
        <v>228784</v>
      </c>
      <c r="Q18" s="19">
        <v>1</v>
      </c>
      <c r="R18" s="19">
        <v>12</v>
      </c>
      <c r="S18" s="19">
        <v>22</v>
      </c>
      <c r="T18" s="2" t="s">
        <v>403</v>
      </c>
    </row>
    <row r="19" spans="2:20" ht="15" customHeight="1">
      <c r="B19" s="4" t="s">
        <v>417</v>
      </c>
      <c r="C19" s="35" t="s">
        <v>168</v>
      </c>
      <c r="D19" s="34">
        <v>0.1</v>
      </c>
      <c r="E19" s="34">
        <v>0</v>
      </c>
      <c r="F19" s="34">
        <v>0.1</v>
      </c>
      <c r="G19" s="34">
        <v>0</v>
      </c>
      <c r="H19" s="34">
        <v>0</v>
      </c>
      <c r="I19" s="12">
        <f t="shared" si="0"/>
        <v>0</v>
      </c>
      <c r="J19" s="34">
        <v>0</v>
      </c>
      <c r="K19" s="34">
        <v>0</v>
      </c>
      <c r="L19" s="40">
        <v>0</v>
      </c>
      <c r="M19" s="35" t="s">
        <v>397</v>
      </c>
      <c r="N19" s="35" t="s">
        <v>418</v>
      </c>
      <c r="O19" s="35" t="s">
        <v>418</v>
      </c>
      <c r="P19" s="19">
        <v>0</v>
      </c>
      <c r="Q19" s="19">
        <v>0</v>
      </c>
      <c r="R19" s="19">
        <v>0</v>
      </c>
      <c r="S19" s="19">
        <v>0</v>
      </c>
      <c r="T19" s="2" t="s">
        <v>419</v>
      </c>
    </row>
    <row r="20" spans="2:20" ht="15" customHeight="1">
      <c r="B20" s="14" t="s">
        <v>420</v>
      </c>
      <c r="D20" s="22">
        <f>SUM(D5:D19)</f>
        <v>106.0801</v>
      </c>
      <c r="E20" s="22">
        <f>SUM(E5:E19)</f>
        <v>69.425899999999999</v>
      </c>
      <c r="F20" s="22">
        <f>SUM(F5:F19)</f>
        <v>25.654200000000003</v>
      </c>
      <c r="G20" s="22">
        <f>SUM(G5:G19)</f>
        <v>62.463499999999989</v>
      </c>
      <c r="H20" s="22">
        <f>SUM(H5:H19)</f>
        <v>0</v>
      </c>
      <c r="J20" s="22">
        <f>SUM(J5:J19)</f>
        <v>8.6415000000000006</v>
      </c>
      <c r="K20" s="22">
        <f>SUM(K5:K19)</f>
        <v>45.388699999999993</v>
      </c>
      <c r="P20" s="21">
        <f>SUM(P5:P19)</f>
        <v>4094925</v>
      </c>
      <c r="Q20" s="21">
        <f>SUM(Q5:Q19)</f>
        <v>269</v>
      </c>
      <c r="R20" s="21">
        <f>SUM(R5:R19)</f>
        <v>1145</v>
      </c>
      <c r="S20" s="21">
        <f>SUM(S5:S19)</f>
        <v>2071</v>
      </c>
    </row>
    <row r="22" spans="2:20" ht="30" customHeight="1">
      <c r="B22" s="79" t="s">
        <v>421</v>
      </c>
      <c r="C22" s="79"/>
      <c r="D22" s="79"/>
      <c r="E22" s="79"/>
      <c r="F22" s="79"/>
      <c r="G22" s="79"/>
      <c r="H22" s="79"/>
      <c r="I22" s="79"/>
      <c r="J22" s="79"/>
      <c r="K22" s="79"/>
      <c r="L22" s="79"/>
      <c r="M22" s="79"/>
      <c r="N22" s="79"/>
      <c r="O22" s="79"/>
      <c r="P22" s="79"/>
      <c r="Q22" s="79"/>
      <c r="R22" s="79"/>
      <c r="S22" s="79"/>
      <c r="T22" s="79"/>
    </row>
  </sheetData>
  <mergeCells count="3">
    <mergeCell ref="A1:V1"/>
    <mergeCell ref="A2:V2"/>
    <mergeCell ref="B22:T2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9"/>
  <sheetViews>
    <sheetView zoomScaleNormal="100" workbookViewId="0">
      <selection activeCell="B9" sqref="B9:N9"/>
    </sheetView>
  </sheetViews>
  <sheetFormatPr defaultColWidth="8.6328125" defaultRowHeight="14.5"/>
  <cols>
    <col min="1" max="1" width="2.453125" customWidth="1"/>
    <col min="2" max="2" width="6" customWidth="1"/>
    <col min="3" max="3" width="40" customWidth="1"/>
    <col min="4" max="4" width="7" customWidth="1"/>
    <col min="5" max="5" width="11" customWidth="1"/>
    <col min="6" max="6" width="8" customWidth="1"/>
    <col min="7" max="8" width="10" customWidth="1"/>
    <col min="9" max="13" width="8" customWidth="1"/>
    <col min="14" max="14" width="40" customWidth="1"/>
  </cols>
  <sheetData>
    <row r="1" spans="1:14" ht="25.5" customHeight="1">
      <c r="A1" s="74" t="s">
        <v>422</v>
      </c>
      <c r="B1" s="74"/>
      <c r="C1" s="74"/>
      <c r="D1" s="74"/>
      <c r="E1" s="74"/>
      <c r="F1" s="74"/>
      <c r="G1" s="74"/>
      <c r="H1" s="74"/>
      <c r="I1" s="74"/>
      <c r="J1" s="74"/>
      <c r="K1" s="74"/>
      <c r="L1" s="74"/>
    </row>
    <row r="2" spans="1:14" ht="15" customHeight="1">
      <c r="A2" s="75" t="s">
        <v>423</v>
      </c>
      <c r="B2" s="75"/>
      <c r="C2" s="75"/>
      <c r="D2" s="75"/>
      <c r="E2" s="75"/>
      <c r="F2" s="75"/>
      <c r="G2" s="75"/>
      <c r="H2" s="75"/>
      <c r="I2" s="75"/>
      <c r="J2" s="75"/>
      <c r="K2" s="75"/>
      <c r="L2" s="75"/>
    </row>
    <row r="4" spans="1:14" ht="15" customHeight="1">
      <c r="B4" s="5" t="s">
        <v>424</v>
      </c>
      <c r="C4" s="5" t="s">
        <v>309</v>
      </c>
      <c r="D4" s="5" t="s">
        <v>159</v>
      </c>
      <c r="E4" s="5" t="s">
        <v>160</v>
      </c>
      <c r="F4" s="5" t="s">
        <v>377</v>
      </c>
      <c r="G4" s="5" t="s">
        <v>310</v>
      </c>
      <c r="H4" s="5" t="s">
        <v>311</v>
      </c>
      <c r="I4" s="5" t="s">
        <v>425</v>
      </c>
      <c r="J4" s="5" t="s">
        <v>101</v>
      </c>
      <c r="K4" s="5" t="s">
        <v>102</v>
      </c>
      <c r="L4" s="5" t="s">
        <v>103</v>
      </c>
      <c r="M4" s="5" t="s">
        <v>104</v>
      </c>
      <c r="N4" s="5" t="s">
        <v>426</v>
      </c>
    </row>
    <row r="5" spans="1:14" ht="15" customHeight="1">
      <c r="B5" s="11" t="s">
        <v>324</v>
      </c>
      <c r="C5" s="4" t="s">
        <v>427</v>
      </c>
      <c r="D5" s="19">
        <v>12</v>
      </c>
      <c r="E5" s="34">
        <v>86.157799999999995</v>
      </c>
      <c r="F5" s="35" t="s">
        <v>314</v>
      </c>
      <c r="G5" s="35" t="s">
        <v>315</v>
      </c>
      <c r="H5" s="35" t="s">
        <v>316</v>
      </c>
      <c r="I5" s="35" t="s">
        <v>428</v>
      </c>
      <c r="J5" s="35" t="s">
        <v>429</v>
      </c>
      <c r="K5" s="35">
        <v>6</v>
      </c>
      <c r="L5" s="35">
        <v>6</v>
      </c>
      <c r="M5" s="35">
        <v>5</v>
      </c>
      <c r="N5" s="1" t="s">
        <v>430</v>
      </c>
    </row>
    <row r="6" spans="1:14" ht="15" customHeight="1">
      <c r="B6" s="11" t="s">
        <v>325</v>
      </c>
      <c r="C6" s="4" t="s">
        <v>431</v>
      </c>
      <c r="D6" s="19">
        <v>3</v>
      </c>
      <c r="E6" s="34">
        <v>19.922499999999999</v>
      </c>
      <c r="F6" s="35" t="s">
        <v>166</v>
      </c>
      <c r="G6" s="35" t="s">
        <v>320</v>
      </c>
      <c r="H6" s="35" t="s">
        <v>321</v>
      </c>
      <c r="I6" s="35" t="s">
        <v>432</v>
      </c>
      <c r="J6" s="35" t="s">
        <v>433</v>
      </c>
      <c r="K6" s="35">
        <v>1</v>
      </c>
      <c r="L6" s="35">
        <v>1</v>
      </c>
      <c r="M6" s="35">
        <v>1</v>
      </c>
      <c r="N6" s="1" t="s">
        <v>434</v>
      </c>
    </row>
    <row r="7" spans="1:14" ht="15" customHeight="1">
      <c r="C7" s="14" t="s">
        <v>170</v>
      </c>
      <c r="D7" s="21">
        <f>SUM(D5:D6)</f>
        <v>15</v>
      </c>
      <c r="E7" s="22">
        <f>SUM(E5:E6)</f>
        <v>106.08029999999999</v>
      </c>
    </row>
    <row r="9" spans="1:14" ht="18.75" customHeight="1">
      <c r="B9" s="79" t="s">
        <v>435</v>
      </c>
      <c r="C9" s="79"/>
      <c r="D9" s="79"/>
      <c r="E9" s="79"/>
      <c r="F9" s="79"/>
      <c r="G9" s="79"/>
      <c r="H9" s="79"/>
      <c r="I9" s="79"/>
      <c r="J9" s="79"/>
      <c r="K9" s="79"/>
      <c r="L9" s="79"/>
      <c r="M9" s="79"/>
      <c r="N9" s="79"/>
    </row>
  </sheetData>
  <mergeCells count="3">
    <mergeCell ref="A1:L1"/>
    <mergeCell ref="A2:L2"/>
    <mergeCell ref="B9:N9"/>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23"/>
  <sheetViews>
    <sheetView topLeftCell="A14" zoomScaleNormal="100" workbookViewId="0">
      <selection activeCell="E26" sqref="E26"/>
    </sheetView>
  </sheetViews>
  <sheetFormatPr defaultColWidth="8.6328125" defaultRowHeight="14.5"/>
  <cols>
    <col min="1" max="1" width="2.453125" customWidth="1"/>
    <col min="2" max="2" width="6" customWidth="1"/>
    <col min="3" max="3" width="8" customWidth="1"/>
    <col min="4" max="4" width="7" customWidth="1"/>
    <col min="5" max="5" width="34" customWidth="1"/>
    <col min="6" max="7" width="7" customWidth="1"/>
    <col min="8" max="8" width="8" customWidth="1"/>
    <col min="9" max="9" width="9" customWidth="1"/>
    <col min="10" max="10" width="9" style="65" customWidth="1"/>
    <col min="11" max="11" width="13" customWidth="1"/>
  </cols>
  <sheetData>
    <row r="1" spans="1:11" ht="25.5" customHeight="1">
      <c r="A1" s="74" t="s">
        <v>436</v>
      </c>
      <c r="B1" s="74"/>
      <c r="C1" s="74"/>
      <c r="D1" s="74"/>
      <c r="E1" s="74"/>
      <c r="F1" s="74"/>
      <c r="G1" s="74"/>
      <c r="H1" s="74"/>
      <c r="I1" s="74"/>
      <c r="J1" s="74"/>
    </row>
    <row r="2" spans="1:11" ht="15" customHeight="1">
      <c r="A2" s="75" t="s">
        <v>437</v>
      </c>
      <c r="B2" s="75"/>
      <c r="C2" s="75"/>
      <c r="D2" s="75"/>
      <c r="E2" s="75"/>
      <c r="F2" s="75"/>
      <c r="G2" s="75"/>
      <c r="H2" s="75"/>
      <c r="I2" s="75"/>
      <c r="J2" s="75"/>
    </row>
    <row r="4" spans="1:11" ht="15" customHeight="1">
      <c r="B4" s="5" t="s">
        <v>438</v>
      </c>
      <c r="C4" s="5" t="s">
        <v>439</v>
      </c>
      <c r="D4" s="5" t="s">
        <v>440</v>
      </c>
      <c r="E4" s="5" t="s">
        <v>441</v>
      </c>
      <c r="F4" s="5" t="s">
        <v>442</v>
      </c>
      <c r="G4" s="5" t="s">
        <v>443</v>
      </c>
      <c r="H4" s="5" t="s">
        <v>444</v>
      </c>
      <c r="I4" s="5" t="s">
        <v>445</v>
      </c>
      <c r="J4" s="61" t="s">
        <v>446</v>
      </c>
      <c r="K4" s="5" t="s">
        <v>447</v>
      </c>
    </row>
    <row r="5" spans="1:11" ht="15" customHeight="1">
      <c r="B5" s="19">
        <v>1</v>
      </c>
      <c r="C5" s="11" t="s">
        <v>448</v>
      </c>
      <c r="D5" s="19">
        <v>1</v>
      </c>
      <c r="E5" s="2" t="s">
        <v>449</v>
      </c>
      <c r="F5" s="11" t="s">
        <v>450</v>
      </c>
      <c r="G5" s="35" t="s">
        <v>231</v>
      </c>
      <c r="H5" s="35" t="s">
        <v>238</v>
      </c>
      <c r="I5" s="35" t="s">
        <v>379</v>
      </c>
      <c r="J5" s="62">
        <v>0.875</v>
      </c>
      <c r="K5" s="42">
        <f t="shared" ref="K5:K16" si="0">J5*4</f>
        <v>3.5</v>
      </c>
    </row>
    <row r="6" spans="1:11" ht="15" customHeight="1">
      <c r="B6" s="19">
        <v>1</v>
      </c>
      <c r="C6" s="11" t="s">
        <v>448</v>
      </c>
      <c r="D6" s="19">
        <v>2</v>
      </c>
      <c r="E6" s="2" t="s">
        <v>451</v>
      </c>
      <c r="F6" s="11" t="s">
        <v>247</v>
      </c>
      <c r="G6" s="35" t="s">
        <v>231</v>
      </c>
      <c r="H6" s="35" t="s">
        <v>238</v>
      </c>
      <c r="I6" s="35" t="s">
        <v>379</v>
      </c>
      <c r="J6" s="62">
        <v>0.75</v>
      </c>
      <c r="K6" s="42">
        <f t="shared" si="0"/>
        <v>3</v>
      </c>
    </row>
    <row r="7" spans="1:11" ht="15" customHeight="1">
      <c r="B7" s="19">
        <v>1</v>
      </c>
      <c r="C7" s="11" t="s">
        <v>448</v>
      </c>
      <c r="D7" s="19">
        <v>3</v>
      </c>
      <c r="E7" s="2" t="s">
        <v>452</v>
      </c>
      <c r="F7" s="11" t="s">
        <v>453</v>
      </c>
      <c r="G7" s="35" t="s">
        <v>230</v>
      </c>
      <c r="H7" s="35" t="s">
        <v>239</v>
      </c>
      <c r="I7" s="35" t="s">
        <v>454</v>
      </c>
      <c r="J7" s="62">
        <v>2</v>
      </c>
      <c r="K7" s="42">
        <f t="shared" si="0"/>
        <v>8</v>
      </c>
    </row>
    <row r="8" spans="1:11" ht="15" customHeight="1">
      <c r="B8" s="19">
        <v>1</v>
      </c>
      <c r="C8" s="11" t="s">
        <v>448</v>
      </c>
      <c r="D8" s="19">
        <v>4</v>
      </c>
      <c r="E8" s="2" t="s">
        <v>455</v>
      </c>
      <c r="F8" s="11" t="s">
        <v>247</v>
      </c>
      <c r="G8" s="35" t="s">
        <v>230</v>
      </c>
      <c r="H8" s="35" t="s">
        <v>238</v>
      </c>
      <c r="I8" s="35" t="s">
        <v>378</v>
      </c>
      <c r="J8" s="62">
        <v>0.875</v>
      </c>
      <c r="K8" s="42">
        <f t="shared" si="0"/>
        <v>3.5</v>
      </c>
    </row>
    <row r="9" spans="1:11" ht="15" customHeight="1">
      <c r="B9" s="19">
        <v>1</v>
      </c>
      <c r="C9" s="11" t="s">
        <v>448</v>
      </c>
      <c r="D9" s="19">
        <v>5</v>
      </c>
      <c r="E9" s="2" t="s">
        <v>456</v>
      </c>
      <c r="F9" s="11" t="s">
        <v>453</v>
      </c>
      <c r="G9" s="35" t="s">
        <v>231</v>
      </c>
      <c r="H9" s="35" t="s">
        <v>238</v>
      </c>
      <c r="I9" s="35" t="s">
        <v>378</v>
      </c>
      <c r="J9" s="62">
        <v>1.5</v>
      </c>
      <c r="K9" s="42">
        <f t="shared" si="0"/>
        <v>6</v>
      </c>
    </row>
    <row r="10" spans="1:11" ht="15" customHeight="1">
      <c r="B10" s="19">
        <v>1</v>
      </c>
      <c r="C10" s="11" t="s">
        <v>448</v>
      </c>
      <c r="D10" s="19">
        <v>6</v>
      </c>
      <c r="E10" s="2" t="s">
        <v>457</v>
      </c>
      <c r="F10" s="11" t="s">
        <v>453</v>
      </c>
      <c r="G10" s="35" t="s">
        <v>230</v>
      </c>
      <c r="H10" s="35" t="s">
        <v>238</v>
      </c>
      <c r="I10" s="35" t="s">
        <v>378</v>
      </c>
      <c r="J10" s="62">
        <v>0.5</v>
      </c>
      <c r="K10" s="42">
        <f t="shared" si="0"/>
        <v>2</v>
      </c>
    </row>
    <row r="11" spans="1:11" ht="15" customHeight="1">
      <c r="B11" s="19">
        <v>1</v>
      </c>
      <c r="C11" s="11" t="s">
        <v>448</v>
      </c>
      <c r="D11" s="19">
        <v>7</v>
      </c>
      <c r="E11" s="2" t="s">
        <v>457</v>
      </c>
      <c r="F11" s="11" t="s">
        <v>453</v>
      </c>
      <c r="G11" s="35" t="s">
        <v>230</v>
      </c>
      <c r="H11" s="35" t="s">
        <v>239</v>
      </c>
      <c r="I11" s="35" t="s">
        <v>378</v>
      </c>
      <c r="J11" s="62">
        <v>0.25</v>
      </c>
      <c r="K11" s="42">
        <f t="shared" si="0"/>
        <v>1</v>
      </c>
    </row>
    <row r="12" spans="1:11" ht="15" customHeight="1">
      <c r="B12" s="19">
        <v>1</v>
      </c>
      <c r="C12" s="11" t="s">
        <v>448</v>
      </c>
      <c r="D12" s="19">
        <v>8</v>
      </c>
      <c r="E12" s="2" t="s">
        <v>457</v>
      </c>
      <c r="F12" s="11" t="s">
        <v>453</v>
      </c>
      <c r="G12" s="35" t="s">
        <v>229</v>
      </c>
      <c r="H12" s="35" t="s">
        <v>239</v>
      </c>
      <c r="I12" s="35" t="s">
        <v>378</v>
      </c>
      <c r="J12" s="62">
        <v>0.25</v>
      </c>
      <c r="K12" s="42">
        <f t="shared" si="0"/>
        <v>1</v>
      </c>
    </row>
    <row r="13" spans="1:11" ht="15" customHeight="1">
      <c r="B13" s="19">
        <v>1</v>
      </c>
      <c r="C13" s="11" t="s">
        <v>448</v>
      </c>
      <c r="D13" s="19">
        <v>9</v>
      </c>
      <c r="E13" s="2" t="s">
        <v>457</v>
      </c>
      <c r="F13" s="11" t="s">
        <v>453</v>
      </c>
      <c r="G13" s="35" t="s">
        <v>228</v>
      </c>
      <c r="H13" s="35" t="s">
        <v>239</v>
      </c>
      <c r="I13" s="35" t="s">
        <v>378</v>
      </c>
      <c r="J13" s="62">
        <v>0</v>
      </c>
      <c r="K13" s="42">
        <f t="shared" si="0"/>
        <v>0</v>
      </c>
    </row>
    <row r="14" spans="1:11" ht="15" customHeight="1">
      <c r="B14" s="19">
        <v>1</v>
      </c>
      <c r="C14" s="11" t="s">
        <v>448</v>
      </c>
      <c r="D14" s="19">
        <v>10</v>
      </c>
      <c r="E14" s="2" t="s">
        <v>458</v>
      </c>
      <c r="F14" s="11" t="s">
        <v>459</v>
      </c>
      <c r="G14" s="35" t="s">
        <v>229</v>
      </c>
      <c r="H14" s="35" t="s">
        <v>239</v>
      </c>
      <c r="I14" s="35" t="s">
        <v>378</v>
      </c>
      <c r="J14" s="62">
        <v>0.5</v>
      </c>
      <c r="K14" s="42">
        <f t="shared" si="0"/>
        <v>2</v>
      </c>
    </row>
    <row r="15" spans="1:11" ht="15" customHeight="1">
      <c r="B15" s="19">
        <v>1</v>
      </c>
      <c r="C15" s="11" t="s">
        <v>448</v>
      </c>
      <c r="D15" s="19">
        <v>11</v>
      </c>
      <c r="E15" s="2" t="s">
        <v>460</v>
      </c>
      <c r="F15" s="11" t="s">
        <v>461</v>
      </c>
      <c r="G15" s="35" t="s">
        <v>229</v>
      </c>
      <c r="H15" s="35" t="s">
        <v>239</v>
      </c>
      <c r="I15" s="35" t="s">
        <v>378</v>
      </c>
      <c r="J15" s="62">
        <v>0.25</v>
      </c>
      <c r="K15" s="42">
        <f t="shared" si="0"/>
        <v>1</v>
      </c>
    </row>
    <row r="16" spans="1:11" ht="15" customHeight="1">
      <c r="B16" s="19">
        <v>1</v>
      </c>
      <c r="C16" s="11" t="s">
        <v>448</v>
      </c>
      <c r="D16" s="19">
        <v>12</v>
      </c>
      <c r="E16" s="2" t="s">
        <v>462</v>
      </c>
      <c r="F16" s="11" t="s">
        <v>463</v>
      </c>
      <c r="G16" s="35" t="s">
        <v>231</v>
      </c>
      <c r="H16" s="35" t="s">
        <v>238</v>
      </c>
      <c r="I16" s="35" t="s">
        <v>378</v>
      </c>
      <c r="J16" s="62">
        <v>0.5</v>
      </c>
      <c r="K16" s="42">
        <f t="shared" si="0"/>
        <v>2</v>
      </c>
    </row>
    <row r="17" spans="2:11" ht="34.5" customHeight="1">
      <c r="D17" s="14" t="s">
        <v>464</v>
      </c>
      <c r="J17" s="63">
        <f>SUM(J5:J16)</f>
        <v>8.25</v>
      </c>
    </row>
    <row r="19" spans="2:11" ht="15" customHeight="1">
      <c r="B19" s="19">
        <v>1</v>
      </c>
      <c r="C19" s="11" t="s">
        <v>465</v>
      </c>
      <c r="D19" s="19">
        <v>1</v>
      </c>
      <c r="E19" s="2" t="s">
        <v>449</v>
      </c>
      <c r="F19" s="11" t="s">
        <v>450</v>
      </c>
      <c r="G19" s="35" t="s">
        <v>231</v>
      </c>
      <c r="H19" s="35" t="s">
        <v>238</v>
      </c>
      <c r="I19" s="35" t="s">
        <v>379</v>
      </c>
      <c r="J19" s="62">
        <v>1.2</v>
      </c>
      <c r="K19" s="42">
        <f t="shared" ref="K19:K32" si="1">J19*5</f>
        <v>6</v>
      </c>
    </row>
    <row r="20" spans="2:11" ht="15" customHeight="1">
      <c r="B20" s="19">
        <v>1</v>
      </c>
      <c r="C20" s="11" t="s">
        <v>465</v>
      </c>
      <c r="D20" s="19">
        <v>2</v>
      </c>
      <c r="E20" s="2" t="s">
        <v>451</v>
      </c>
      <c r="F20" s="11" t="s">
        <v>247</v>
      </c>
      <c r="G20" s="35" t="s">
        <v>231</v>
      </c>
      <c r="H20" s="35" t="s">
        <v>238</v>
      </c>
      <c r="I20" s="35" t="s">
        <v>379</v>
      </c>
      <c r="J20" s="62">
        <v>0.9</v>
      </c>
      <c r="K20" s="42">
        <f t="shared" si="1"/>
        <v>4.5</v>
      </c>
    </row>
    <row r="21" spans="2:11" ht="15" customHeight="1">
      <c r="B21" s="19">
        <v>1</v>
      </c>
      <c r="C21" s="11" t="s">
        <v>465</v>
      </c>
      <c r="D21" s="19">
        <v>3</v>
      </c>
      <c r="E21" s="2" t="s">
        <v>466</v>
      </c>
      <c r="F21" s="11" t="s">
        <v>461</v>
      </c>
      <c r="G21" s="35" t="s">
        <v>230</v>
      </c>
      <c r="H21" s="35" t="s">
        <v>238</v>
      </c>
      <c r="I21" s="35" t="s">
        <v>379</v>
      </c>
      <c r="J21" s="62">
        <v>0.9</v>
      </c>
      <c r="K21" s="42">
        <f t="shared" si="1"/>
        <v>4.5</v>
      </c>
    </row>
    <row r="22" spans="2:11" ht="15" customHeight="1">
      <c r="B22" s="19">
        <v>1</v>
      </c>
      <c r="C22" s="11" t="s">
        <v>465</v>
      </c>
      <c r="D22" s="19">
        <v>4</v>
      </c>
      <c r="E22" s="2" t="s">
        <v>467</v>
      </c>
      <c r="F22" s="11" t="s">
        <v>453</v>
      </c>
      <c r="G22" s="35" t="s">
        <v>230</v>
      </c>
      <c r="H22" s="35" t="s">
        <v>238</v>
      </c>
      <c r="I22" s="35" t="s">
        <v>468</v>
      </c>
      <c r="J22" s="62">
        <v>1.8</v>
      </c>
      <c r="K22" s="42">
        <f t="shared" si="1"/>
        <v>9</v>
      </c>
    </row>
    <row r="23" spans="2:11" ht="15" customHeight="1">
      <c r="B23" s="19">
        <v>1</v>
      </c>
      <c r="C23" s="11" t="s">
        <v>465</v>
      </c>
      <c r="D23" s="19">
        <v>5</v>
      </c>
      <c r="E23" s="2" t="s">
        <v>469</v>
      </c>
      <c r="F23" s="11" t="s">
        <v>247</v>
      </c>
      <c r="G23" s="35" t="s">
        <v>230</v>
      </c>
      <c r="H23" s="35" t="s">
        <v>238</v>
      </c>
      <c r="I23" s="35" t="s">
        <v>468</v>
      </c>
      <c r="J23" s="62">
        <v>0.6</v>
      </c>
      <c r="K23" s="42">
        <f t="shared" si="1"/>
        <v>3</v>
      </c>
    </row>
    <row r="24" spans="2:11" ht="15" customHeight="1">
      <c r="B24" s="19">
        <v>1</v>
      </c>
      <c r="C24" s="11" t="s">
        <v>465</v>
      </c>
      <c r="D24" s="19">
        <v>6</v>
      </c>
      <c r="E24" s="2" t="s">
        <v>455</v>
      </c>
      <c r="F24" s="11" t="s">
        <v>247</v>
      </c>
      <c r="G24" s="35" t="s">
        <v>230</v>
      </c>
      <c r="H24" s="35" t="s">
        <v>238</v>
      </c>
      <c r="I24" s="35" t="s">
        <v>378</v>
      </c>
      <c r="J24" s="62">
        <v>0.5</v>
      </c>
      <c r="K24" s="42">
        <f t="shared" si="1"/>
        <v>2.5</v>
      </c>
    </row>
    <row r="25" spans="2:11" ht="15" customHeight="1">
      <c r="B25" s="19">
        <v>1</v>
      </c>
      <c r="C25" s="11" t="s">
        <v>465</v>
      </c>
      <c r="D25" s="19">
        <v>7</v>
      </c>
      <c r="E25" s="2" t="s">
        <v>470</v>
      </c>
      <c r="F25" s="11" t="s">
        <v>453</v>
      </c>
      <c r="G25" s="35" t="s">
        <v>231</v>
      </c>
      <c r="H25" s="35" t="s">
        <v>238</v>
      </c>
      <c r="I25" s="35" t="s">
        <v>378</v>
      </c>
      <c r="J25" s="62">
        <v>0.5</v>
      </c>
      <c r="K25" s="42">
        <f t="shared" si="1"/>
        <v>2.5</v>
      </c>
    </row>
    <row r="26" spans="2:11" ht="15" customHeight="1">
      <c r="B26" s="19">
        <v>1</v>
      </c>
      <c r="C26" s="11" t="s">
        <v>465</v>
      </c>
      <c r="D26" s="19">
        <v>8</v>
      </c>
      <c r="E26" s="2" t="s">
        <v>471</v>
      </c>
      <c r="F26" s="11" t="s">
        <v>453</v>
      </c>
      <c r="G26" s="35" t="s">
        <v>230</v>
      </c>
      <c r="H26" s="35" t="s">
        <v>238</v>
      </c>
      <c r="I26" s="35" t="s">
        <v>378</v>
      </c>
      <c r="J26" s="62">
        <v>1.8</v>
      </c>
      <c r="K26" s="42">
        <f t="shared" si="1"/>
        <v>9</v>
      </c>
    </row>
    <row r="27" spans="2:11" ht="15" customHeight="1">
      <c r="B27" s="19">
        <v>1</v>
      </c>
      <c r="C27" s="11" t="s">
        <v>465</v>
      </c>
      <c r="D27" s="19">
        <v>9</v>
      </c>
      <c r="E27" s="2" t="s">
        <v>471</v>
      </c>
      <c r="F27" s="11" t="s">
        <v>453</v>
      </c>
      <c r="G27" s="35" t="s">
        <v>229</v>
      </c>
      <c r="H27" s="35" t="s">
        <v>238</v>
      </c>
      <c r="I27" s="35" t="s">
        <v>378</v>
      </c>
      <c r="J27" s="62">
        <v>1.1000000000000001</v>
      </c>
      <c r="K27" s="42">
        <f t="shared" si="1"/>
        <v>5.5</v>
      </c>
    </row>
    <row r="28" spans="2:11" ht="15" customHeight="1">
      <c r="B28" s="19">
        <v>1</v>
      </c>
      <c r="C28" s="11" t="s">
        <v>465</v>
      </c>
      <c r="D28" s="19">
        <v>10</v>
      </c>
      <c r="E28" s="2" t="s">
        <v>471</v>
      </c>
      <c r="F28" s="11" t="s">
        <v>453</v>
      </c>
      <c r="G28" s="35" t="s">
        <v>230</v>
      </c>
      <c r="H28" s="35" t="s">
        <v>239</v>
      </c>
      <c r="I28" s="35" t="s">
        <v>378</v>
      </c>
      <c r="J28" s="62">
        <v>0.2</v>
      </c>
      <c r="K28" s="42">
        <f t="shared" si="1"/>
        <v>1</v>
      </c>
    </row>
    <row r="29" spans="2:11" ht="15" customHeight="1">
      <c r="B29" s="19">
        <v>1</v>
      </c>
      <c r="C29" s="11" t="s">
        <v>465</v>
      </c>
      <c r="D29" s="19">
        <v>11</v>
      </c>
      <c r="E29" s="2" t="s">
        <v>472</v>
      </c>
      <c r="F29" s="11" t="s">
        <v>459</v>
      </c>
      <c r="G29" s="35" t="s">
        <v>229</v>
      </c>
      <c r="H29" s="35" t="s">
        <v>238</v>
      </c>
      <c r="I29" s="35" t="s">
        <v>378</v>
      </c>
      <c r="J29" s="62">
        <v>1.5</v>
      </c>
      <c r="K29" s="42">
        <f t="shared" si="1"/>
        <v>7.5</v>
      </c>
    </row>
    <row r="30" spans="2:11" ht="15" customHeight="1">
      <c r="B30" s="19">
        <v>1</v>
      </c>
      <c r="C30" s="11" t="s">
        <v>465</v>
      </c>
      <c r="D30" s="19">
        <v>12</v>
      </c>
      <c r="E30" s="2" t="s">
        <v>472</v>
      </c>
      <c r="F30" s="11" t="s">
        <v>459</v>
      </c>
      <c r="G30" s="35" t="s">
        <v>229</v>
      </c>
      <c r="H30" s="35" t="s">
        <v>239</v>
      </c>
      <c r="I30" s="35" t="s">
        <v>378</v>
      </c>
      <c r="J30" s="62">
        <v>0</v>
      </c>
      <c r="K30" s="42">
        <f t="shared" si="1"/>
        <v>0</v>
      </c>
    </row>
    <row r="31" spans="2:11" ht="15" customHeight="1">
      <c r="B31" s="19">
        <v>1</v>
      </c>
      <c r="C31" s="11" t="s">
        <v>465</v>
      </c>
      <c r="D31" s="19">
        <v>13</v>
      </c>
      <c r="E31" s="2" t="s">
        <v>460</v>
      </c>
      <c r="F31" s="11" t="s">
        <v>461</v>
      </c>
      <c r="G31" s="35" t="s">
        <v>229</v>
      </c>
      <c r="H31" s="35" t="s">
        <v>238</v>
      </c>
      <c r="I31" s="35" t="s">
        <v>378</v>
      </c>
      <c r="J31" s="62">
        <v>0</v>
      </c>
      <c r="K31" s="42">
        <f t="shared" si="1"/>
        <v>0</v>
      </c>
    </row>
    <row r="32" spans="2:11" ht="15" customHeight="1">
      <c r="B32" s="19">
        <v>1</v>
      </c>
      <c r="C32" s="11" t="s">
        <v>465</v>
      </c>
      <c r="D32" s="19">
        <v>14</v>
      </c>
      <c r="E32" s="2" t="s">
        <v>462</v>
      </c>
      <c r="F32" s="11" t="s">
        <v>463</v>
      </c>
      <c r="G32" s="35" t="s">
        <v>231</v>
      </c>
      <c r="H32" s="35" t="s">
        <v>238</v>
      </c>
      <c r="I32" s="35" t="s">
        <v>378</v>
      </c>
      <c r="J32" s="62">
        <v>0</v>
      </c>
      <c r="K32" s="42">
        <f t="shared" si="1"/>
        <v>0</v>
      </c>
    </row>
    <row r="33" spans="2:13" ht="34.5" customHeight="1">
      <c r="D33" s="14" t="s">
        <v>473</v>
      </c>
      <c r="J33" s="63">
        <f>SUM(J19:J32)</f>
        <v>10.999999999999998</v>
      </c>
    </row>
    <row r="34" spans="2:13" ht="34.5" customHeight="1">
      <c r="D34" s="60"/>
      <c r="J34" s="64"/>
    </row>
    <row r="35" spans="2:13" ht="22">
      <c r="B35" s="5" t="s">
        <v>438</v>
      </c>
      <c r="C35" s="5" t="s">
        <v>439</v>
      </c>
      <c r="D35" s="5" t="s">
        <v>440</v>
      </c>
      <c r="E35" s="5" t="s">
        <v>441</v>
      </c>
      <c r="F35" s="5" t="s">
        <v>442</v>
      </c>
      <c r="G35" s="5" t="s">
        <v>443</v>
      </c>
      <c r="H35" s="5" t="s">
        <v>444</v>
      </c>
      <c r="I35" s="5" t="s">
        <v>445</v>
      </c>
      <c r="J35" s="61" t="s">
        <v>446</v>
      </c>
      <c r="K35" s="5" t="s">
        <v>447</v>
      </c>
    </row>
    <row r="36" spans="2:13" ht="15" customHeight="1">
      <c r="B36" s="19">
        <v>2</v>
      </c>
      <c r="C36" s="11" t="s">
        <v>448</v>
      </c>
      <c r="D36" s="19">
        <v>1</v>
      </c>
      <c r="E36" s="2" t="s">
        <v>449</v>
      </c>
      <c r="F36" s="11" t="s">
        <v>450</v>
      </c>
      <c r="G36" s="35" t="s">
        <v>231</v>
      </c>
      <c r="H36" s="35" t="s">
        <v>238</v>
      </c>
      <c r="I36" s="35" t="s">
        <v>379</v>
      </c>
      <c r="J36" s="62">
        <v>1.08</v>
      </c>
      <c r="K36" s="42">
        <f t="shared" ref="K36:K46" si="2">J36*6</f>
        <v>6.48</v>
      </c>
    </row>
    <row r="37" spans="2:13" ht="15" customHeight="1">
      <c r="B37" s="19">
        <v>2</v>
      </c>
      <c r="C37" s="11" t="s">
        <v>448</v>
      </c>
      <c r="D37" s="19">
        <v>2</v>
      </c>
      <c r="E37" s="2" t="s">
        <v>451</v>
      </c>
      <c r="F37" s="11" t="s">
        <v>247</v>
      </c>
      <c r="G37" s="35" t="s">
        <v>231</v>
      </c>
      <c r="H37" s="35" t="s">
        <v>238</v>
      </c>
      <c r="I37" s="35" t="s">
        <v>379</v>
      </c>
      <c r="J37" s="62">
        <v>0.91666666699999999</v>
      </c>
      <c r="K37" s="42">
        <f t="shared" si="2"/>
        <v>5.5000000020000002</v>
      </c>
    </row>
    <row r="38" spans="2:13" ht="15" customHeight="1">
      <c r="B38" s="19">
        <v>2</v>
      </c>
      <c r="C38" s="11" t="s">
        <v>448</v>
      </c>
      <c r="D38" s="19">
        <v>3</v>
      </c>
      <c r="E38" s="2" t="s">
        <v>452</v>
      </c>
      <c r="F38" s="11" t="s">
        <v>453</v>
      </c>
      <c r="G38" s="35" t="s">
        <v>230</v>
      </c>
      <c r="H38" s="35" t="s">
        <v>239</v>
      </c>
      <c r="I38" s="35" t="s">
        <v>454</v>
      </c>
      <c r="J38" s="62">
        <v>1.17</v>
      </c>
      <c r="K38" s="42">
        <f t="shared" si="2"/>
        <v>7.02</v>
      </c>
    </row>
    <row r="39" spans="2:13" ht="15" customHeight="1">
      <c r="B39" s="19">
        <v>2</v>
      </c>
      <c r="C39" s="11" t="s">
        <v>448</v>
      </c>
      <c r="D39" s="19">
        <v>4</v>
      </c>
      <c r="E39" s="2" t="s">
        <v>455</v>
      </c>
      <c r="F39" s="11" t="s">
        <v>247</v>
      </c>
      <c r="G39" s="35" t="s">
        <v>230</v>
      </c>
      <c r="H39" s="35" t="s">
        <v>238</v>
      </c>
      <c r="I39" s="35" t="s">
        <v>378</v>
      </c>
      <c r="J39" s="62">
        <v>1</v>
      </c>
      <c r="K39" s="42">
        <f t="shared" si="2"/>
        <v>6</v>
      </c>
    </row>
    <row r="40" spans="2:13" ht="15" customHeight="1">
      <c r="B40" s="19">
        <v>2</v>
      </c>
      <c r="C40" s="11" t="s">
        <v>448</v>
      </c>
      <c r="D40" s="19">
        <v>5</v>
      </c>
      <c r="E40" s="2" t="s">
        <v>456</v>
      </c>
      <c r="F40" s="11" t="s">
        <v>453</v>
      </c>
      <c r="G40" s="35" t="s">
        <v>231</v>
      </c>
      <c r="H40" s="68" t="s">
        <v>239</v>
      </c>
      <c r="I40" s="35" t="s">
        <v>378</v>
      </c>
      <c r="J40" s="62">
        <v>0.5</v>
      </c>
      <c r="K40" s="42">
        <f t="shared" si="2"/>
        <v>3</v>
      </c>
    </row>
    <row r="41" spans="2:13" ht="15" customHeight="1">
      <c r="B41" s="19">
        <v>2</v>
      </c>
      <c r="C41" s="11" t="s">
        <v>448</v>
      </c>
      <c r="D41" s="19">
        <v>6</v>
      </c>
      <c r="E41" s="2" t="s">
        <v>474</v>
      </c>
      <c r="F41" s="11" t="s">
        <v>453</v>
      </c>
      <c r="G41" s="35" t="s">
        <v>230</v>
      </c>
      <c r="H41" s="35" t="s">
        <v>239</v>
      </c>
      <c r="I41" s="35" t="s">
        <v>378</v>
      </c>
      <c r="J41" s="62">
        <v>0.5</v>
      </c>
      <c r="K41" s="42">
        <f t="shared" si="2"/>
        <v>3</v>
      </c>
    </row>
    <row r="42" spans="2:13" ht="15" customHeight="1">
      <c r="B42" s="19">
        <v>2</v>
      </c>
      <c r="C42" s="11" t="s">
        <v>448</v>
      </c>
      <c r="D42" s="19">
        <v>7</v>
      </c>
      <c r="E42" s="2" t="s">
        <v>475</v>
      </c>
      <c r="F42" s="11" t="s">
        <v>453</v>
      </c>
      <c r="G42" s="35" t="s">
        <v>229</v>
      </c>
      <c r="H42" s="35" t="s">
        <v>239</v>
      </c>
      <c r="I42" s="35" t="s">
        <v>378</v>
      </c>
      <c r="J42" s="62">
        <v>0.5</v>
      </c>
      <c r="K42" s="42">
        <f t="shared" si="2"/>
        <v>3</v>
      </c>
    </row>
    <row r="43" spans="2:13" ht="15" customHeight="1">
      <c r="B43" s="19">
        <v>2</v>
      </c>
      <c r="C43" s="11" t="s">
        <v>448</v>
      </c>
      <c r="D43" s="19">
        <v>8</v>
      </c>
      <c r="E43" s="2" t="s">
        <v>475</v>
      </c>
      <c r="F43" s="11" t="s">
        <v>453</v>
      </c>
      <c r="G43" s="35" t="s">
        <v>228</v>
      </c>
      <c r="H43" s="35" t="s">
        <v>239</v>
      </c>
      <c r="I43" s="35" t="s">
        <v>378</v>
      </c>
      <c r="J43" s="62">
        <v>0</v>
      </c>
      <c r="K43" s="42">
        <f t="shared" si="2"/>
        <v>0</v>
      </c>
    </row>
    <row r="44" spans="2:13" ht="15" customHeight="1">
      <c r="B44" s="19">
        <v>2</v>
      </c>
      <c r="C44" s="11" t="s">
        <v>448</v>
      </c>
      <c r="D44" s="19">
        <v>9</v>
      </c>
      <c r="E44" s="2" t="s">
        <v>458</v>
      </c>
      <c r="F44" s="11" t="s">
        <v>459</v>
      </c>
      <c r="G44" s="35" t="s">
        <v>230</v>
      </c>
      <c r="H44" s="35" t="s">
        <v>239</v>
      </c>
      <c r="I44" s="35" t="s">
        <v>378</v>
      </c>
      <c r="J44" s="62">
        <v>1.5</v>
      </c>
      <c r="K44" s="42">
        <f t="shared" si="2"/>
        <v>9</v>
      </c>
    </row>
    <row r="45" spans="2:13" ht="15" customHeight="1">
      <c r="B45" s="19">
        <v>2</v>
      </c>
      <c r="C45" s="11" t="s">
        <v>448</v>
      </c>
      <c r="D45" s="19">
        <v>10</v>
      </c>
      <c r="E45" s="2" t="s">
        <v>460</v>
      </c>
      <c r="F45" s="11" t="s">
        <v>461</v>
      </c>
      <c r="G45" s="35" t="s">
        <v>229</v>
      </c>
      <c r="H45" s="35" t="s">
        <v>239</v>
      </c>
      <c r="I45" s="35" t="s">
        <v>378</v>
      </c>
      <c r="J45" s="62">
        <v>0.3333333</v>
      </c>
      <c r="K45" s="42">
        <f t="shared" si="2"/>
        <v>1.9999997999999999</v>
      </c>
    </row>
    <row r="46" spans="2:13" ht="15" customHeight="1">
      <c r="B46" s="19">
        <v>2</v>
      </c>
      <c r="C46" s="11" t="s">
        <v>448</v>
      </c>
      <c r="D46" s="19">
        <v>11</v>
      </c>
      <c r="E46" s="2" t="s">
        <v>462</v>
      </c>
      <c r="F46" s="11" t="s">
        <v>463</v>
      </c>
      <c r="G46" s="35" t="s">
        <v>231</v>
      </c>
      <c r="H46" s="35" t="s">
        <v>238</v>
      </c>
      <c r="I46" s="35" t="s">
        <v>378</v>
      </c>
      <c r="J46" s="62">
        <v>0</v>
      </c>
      <c r="K46" s="42">
        <f t="shared" si="2"/>
        <v>0</v>
      </c>
    </row>
    <row r="47" spans="2:13" ht="34.5" customHeight="1">
      <c r="D47" s="14" t="s">
        <v>476</v>
      </c>
      <c r="J47" s="63">
        <f>SUM(J36:J46)</f>
        <v>7.499999966999999</v>
      </c>
      <c r="K47" s="63">
        <f>SUM(K36:K46)</f>
        <v>44.999999801999998</v>
      </c>
      <c r="L47">
        <v>7.25</v>
      </c>
      <c r="M47">
        <v>43.5</v>
      </c>
    </row>
    <row r="48" spans="2:13" ht="34.5" customHeight="1">
      <c r="D48" s="60"/>
      <c r="J48" s="64"/>
    </row>
    <row r="50" spans="2:11" ht="15" customHeight="1">
      <c r="B50" s="19">
        <v>2</v>
      </c>
      <c r="C50" s="11" t="s">
        <v>465</v>
      </c>
      <c r="D50" s="19">
        <v>1</v>
      </c>
      <c r="E50" s="2" t="s">
        <v>449</v>
      </c>
      <c r="F50" s="11" t="s">
        <v>450</v>
      </c>
      <c r="G50" s="35" t="s">
        <v>231</v>
      </c>
      <c r="H50" s="35" t="s">
        <v>238</v>
      </c>
      <c r="I50" s="35" t="s">
        <v>379</v>
      </c>
      <c r="J50" s="62">
        <v>0.75</v>
      </c>
      <c r="K50" s="42">
        <f t="shared" ref="K50:K61" si="3">J50*2</f>
        <v>1.5</v>
      </c>
    </row>
    <row r="51" spans="2:11" ht="15" customHeight="1">
      <c r="B51" s="19">
        <v>2</v>
      </c>
      <c r="C51" s="11" t="s">
        <v>465</v>
      </c>
      <c r="D51" s="19">
        <v>2</v>
      </c>
      <c r="E51" s="2" t="s">
        <v>451</v>
      </c>
      <c r="F51" s="11" t="s">
        <v>247</v>
      </c>
      <c r="G51" s="35" t="s">
        <v>231</v>
      </c>
      <c r="H51" s="35" t="s">
        <v>238</v>
      </c>
      <c r="I51" s="35" t="s">
        <v>379</v>
      </c>
      <c r="J51" s="62">
        <v>1</v>
      </c>
      <c r="K51" s="42">
        <f t="shared" si="3"/>
        <v>2</v>
      </c>
    </row>
    <row r="52" spans="2:11" ht="15" customHeight="1">
      <c r="B52" s="19">
        <v>2</v>
      </c>
      <c r="C52" s="11" t="s">
        <v>465</v>
      </c>
      <c r="D52" s="19">
        <v>3</v>
      </c>
      <c r="E52" s="2" t="s">
        <v>467</v>
      </c>
      <c r="F52" s="11" t="s">
        <v>453</v>
      </c>
      <c r="G52" s="35" t="s">
        <v>230</v>
      </c>
      <c r="H52" s="35" t="s">
        <v>238</v>
      </c>
      <c r="I52" s="35" t="s">
        <v>468</v>
      </c>
      <c r="J52" s="62">
        <v>2.75</v>
      </c>
      <c r="K52" s="42">
        <f t="shared" si="3"/>
        <v>5.5</v>
      </c>
    </row>
    <row r="53" spans="2:11" ht="15" customHeight="1">
      <c r="B53" s="19">
        <v>2</v>
      </c>
      <c r="C53" s="11" t="s">
        <v>465</v>
      </c>
      <c r="D53" s="19">
        <v>4</v>
      </c>
      <c r="E53" s="2" t="s">
        <v>469</v>
      </c>
      <c r="F53" s="11" t="s">
        <v>247</v>
      </c>
      <c r="G53" s="35" t="s">
        <v>230</v>
      </c>
      <c r="H53" s="35" t="s">
        <v>238</v>
      </c>
      <c r="I53" s="35" t="s">
        <v>468</v>
      </c>
      <c r="J53" s="62">
        <v>1.5</v>
      </c>
      <c r="K53" s="42">
        <f t="shared" si="3"/>
        <v>3</v>
      </c>
    </row>
    <row r="54" spans="2:11" ht="15" customHeight="1">
      <c r="B54" s="19">
        <v>2</v>
      </c>
      <c r="C54" s="11" t="s">
        <v>465</v>
      </c>
      <c r="D54" s="19">
        <v>5</v>
      </c>
      <c r="E54" s="2" t="s">
        <v>455</v>
      </c>
      <c r="F54" s="11" t="s">
        <v>247</v>
      </c>
      <c r="G54" s="35" t="s">
        <v>230</v>
      </c>
      <c r="H54" s="35" t="s">
        <v>238</v>
      </c>
      <c r="I54" s="35" t="s">
        <v>378</v>
      </c>
      <c r="J54" s="62">
        <v>0.5</v>
      </c>
      <c r="K54" s="42">
        <f t="shared" si="3"/>
        <v>1</v>
      </c>
    </row>
    <row r="55" spans="2:11" ht="15" customHeight="1">
      <c r="B55" s="19">
        <v>2</v>
      </c>
      <c r="C55" s="11" t="s">
        <v>465</v>
      </c>
      <c r="D55" s="19">
        <v>6</v>
      </c>
      <c r="E55" s="2" t="s">
        <v>470</v>
      </c>
      <c r="F55" s="11" t="s">
        <v>453</v>
      </c>
      <c r="G55" s="35" t="s">
        <v>231</v>
      </c>
      <c r="H55" s="35" t="s">
        <v>238</v>
      </c>
      <c r="I55" s="35" t="s">
        <v>378</v>
      </c>
      <c r="J55" s="62">
        <v>0.5</v>
      </c>
      <c r="K55" s="42">
        <f t="shared" si="3"/>
        <v>1</v>
      </c>
    </row>
    <row r="56" spans="2:11" ht="15" customHeight="1">
      <c r="B56" s="19">
        <v>2</v>
      </c>
      <c r="C56" s="11" t="s">
        <v>465</v>
      </c>
      <c r="D56" s="19">
        <v>7</v>
      </c>
      <c r="E56" s="2" t="s">
        <v>471</v>
      </c>
      <c r="F56" s="11" t="s">
        <v>453</v>
      </c>
      <c r="G56" s="35" t="s">
        <v>230</v>
      </c>
      <c r="H56" s="35" t="s">
        <v>238</v>
      </c>
      <c r="I56" s="35" t="s">
        <v>378</v>
      </c>
      <c r="J56" s="62">
        <v>0.75</v>
      </c>
      <c r="K56" s="42">
        <f t="shared" si="3"/>
        <v>1.5</v>
      </c>
    </row>
    <row r="57" spans="2:11" ht="15" customHeight="1">
      <c r="B57" s="19">
        <v>2</v>
      </c>
      <c r="C57" s="11" t="s">
        <v>465</v>
      </c>
      <c r="D57" s="19">
        <v>8</v>
      </c>
      <c r="E57" s="2" t="s">
        <v>471</v>
      </c>
      <c r="F57" s="11" t="s">
        <v>453</v>
      </c>
      <c r="G57" s="35" t="s">
        <v>230</v>
      </c>
      <c r="H57" s="35" t="s">
        <v>239</v>
      </c>
      <c r="I57" s="35" t="s">
        <v>378</v>
      </c>
      <c r="J57" s="62">
        <v>0</v>
      </c>
      <c r="K57" s="42">
        <f t="shared" si="3"/>
        <v>0</v>
      </c>
    </row>
    <row r="58" spans="2:11" ht="15" customHeight="1">
      <c r="B58" s="19">
        <v>2</v>
      </c>
      <c r="C58" s="11" t="s">
        <v>465</v>
      </c>
      <c r="D58" s="19">
        <v>9</v>
      </c>
      <c r="E58" s="2" t="s">
        <v>471</v>
      </c>
      <c r="F58" s="11" t="s">
        <v>453</v>
      </c>
      <c r="G58" s="35" t="s">
        <v>229</v>
      </c>
      <c r="H58" s="35" t="s">
        <v>239</v>
      </c>
      <c r="I58" s="35" t="s">
        <v>378</v>
      </c>
      <c r="J58" s="62">
        <v>1</v>
      </c>
      <c r="K58" s="42">
        <f t="shared" si="3"/>
        <v>2</v>
      </c>
    </row>
    <row r="59" spans="2:11" ht="15" customHeight="1">
      <c r="B59" s="19">
        <v>2</v>
      </c>
      <c r="C59" s="11" t="s">
        <v>465</v>
      </c>
      <c r="D59" s="19">
        <v>10</v>
      </c>
      <c r="E59" s="2" t="s">
        <v>477</v>
      </c>
      <c r="F59" s="11" t="s">
        <v>459</v>
      </c>
      <c r="G59" s="35" t="s">
        <v>230</v>
      </c>
      <c r="H59" s="35" t="s">
        <v>239</v>
      </c>
      <c r="I59" s="35" t="s">
        <v>378</v>
      </c>
      <c r="J59" s="62">
        <v>0</v>
      </c>
      <c r="K59" s="42">
        <f t="shared" si="3"/>
        <v>0</v>
      </c>
    </row>
    <row r="60" spans="2:11" ht="15" customHeight="1">
      <c r="B60" s="19">
        <v>2</v>
      </c>
      <c r="C60" s="11" t="s">
        <v>465</v>
      </c>
      <c r="D60" s="19">
        <v>11</v>
      </c>
      <c r="E60" s="2" t="s">
        <v>460</v>
      </c>
      <c r="F60" s="11" t="s">
        <v>461</v>
      </c>
      <c r="G60" s="35" t="s">
        <v>229</v>
      </c>
      <c r="H60" s="35" t="s">
        <v>239</v>
      </c>
      <c r="I60" s="35" t="s">
        <v>378</v>
      </c>
      <c r="J60" s="62">
        <v>0</v>
      </c>
      <c r="K60" s="42">
        <f t="shared" si="3"/>
        <v>0</v>
      </c>
    </row>
    <row r="61" spans="2:11" ht="15" customHeight="1">
      <c r="B61" s="19">
        <v>2</v>
      </c>
      <c r="C61" s="11" t="s">
        <v>465</v>
      </c>
      <c r="D61" s="19">
        <v>12</v>
      </c>
      <c r="E61" s="2" t="s">
        <v>462</v>
      </c>
      <c r="F61" s="11" t="s">
        <v>463</v>
      </c>
      <c r="G61" s="35" t="s">
        <v>231</v>
      </c>
      <c r="H61" s="35" t="s">
        <v>238</v>
      </c>
      <c r="I61" s="35" t="s">
        <v>378</v>
      </c>
      <c r="J61" s="62">
        <v>0.5</v>
      </c>
      <c r="K61" s="42">
        <f t="shared" si="3"/>
        <v>1</v>
      </c>
    </row>
    <row r="62" spans="2:11" ht="34.5" customHeight="1">
      <c r="D62" s="14" t="s">
        <v>478</v>
      </c>
      <c r="J62" s="63">
        <f>SUM(J50:J61)</f>
        <v>9.25</v>
      </c>
    </row>
    <row r="63" spans="2:11" ht="34.5" customHeight="1">
      <c r="D63" s="60"/>
      <c r="J63" s="64"/>
    </row>
    <row r="64" spans="2:11" ht="22">
      <c r="B64" s="5" t="s">
        <v>438</v>
      </c>
      <c r="C64" s="5" t="s">
        <v>439</v>
      </c>
      <c r="D64" s="5" t="s">
        <v>440</v>
      </c>
      <c r="E64" s="5" t="s">
        <v>441</v>
      </c>
      <c r="F64" s="5" t="s">
        <v>442</v>
      </c>
      <c r="G64" s="5" t="s">
        <v>443</v>
      </c>
      <c r="H64" s="5" t="s">
        <v>444</v>
      </c>
      <c r="I64" s="5" t="s">
        <v>445</v>
      </c>
      <c r="J64" s="61" t="s">
        <v>446</v>
      </c>
      <c r="K64" s="5" t="s">
        <v>447</v>
      </c>
    </row>
    <row r="65" spans="2:14" ht="15" customHeight="1">
      <c r="B65" s="19">
        <v>3</v>
      </c>
      <c r="C65" s="11" t="s">
        <v>448</v>
      </c>
      <c r="D65" s="19">
        <v>1</v>
      </c>
      <c r="E65" s="2" t="s">
        <v>449</v>
      </c>
      <c r="F65" s="11" t="s">
        <v>450</v>
      </c>
      <c r="G65" s="35" t="s">
        <v>231</v>
      </c>
      <c r="H65" s="35" t="s">
        <v>238</v>
      </c>
      <c r="I65" s="35" t="s">
        <v>379</v>
      </c>
      <c r="J65" s="67">
        <v>1.21</v>
      </c>
      <c r="K65" s="42">
        <f t="shared" ref="K65:K75" si="4">J65*7</f>
        <v>8.4699999999999989</v>
      </c>
      <c r="M65" s="67">
        <v>1.21</v>
      </c>
      <c r="N65" s="42">
        <f t="shared" ref="N65:N75" si="5">M65*7</f>
        <v>8.4699999999999989</v>
      </c>
    </row>
    <row r="66" spans="2:14" ht="15" customHeight="1">
      <c r="B66" s="19">
        <v>3</v>
      </c>
      <c r="C66" s="11" t="s">
        <v>448</v>
      </c>
      <c r="D66" s="19">
        <v>2</v>
      </c>
      <c r="E66" s="2" t="s">
        <v>451</v>
      </c>
      <c r="F66" s="11" t="s">
        <v>247</v>
      </c>
      <c r="G66" s="35" t="s">
        <v>231</v>
      </c>
      <c r="H66" s="35" t="s">
        <v>238</v>
      </c>
      <c r="I66" s="35" t="s">
        <v>379</v>
      </c>
      <c r="J66" s="67">
        <v>1</v>
      </c>
      <c r="K66" s="42">
        <f t="shared" si="4"/>
        <v>7</v>
      </c>
      <c r="M66" s="67">
        <v>1</v>
      </c>
      <c r="N66" s="42">
        <f t="shared" si="5"/>
        <v>7</v>
      </c>
    </row>
    <row r="67" spans="2:14" ht="15" customHeight="1">
      <c r="B67" s="19">
        <v>3</v>
      </c>
      <c r="C67" s="11" t="s">
        <v>448</v>
      </c>
      <c r="D67" s="19">
        <v>3</v>
      </c>
      <c r="E67" s="2" t="s">
        <v>452</v>
      </c>
      <c r="F67" s="11" t="s">
        <v>453</v>
      </c>
      <c r="G67" s="35" t="s">
        <v>230</v>
      </c>
      <c r="H67" s="35" t="s">
        <v>239</v>
      </c>
      <c r="I67" s="35" t="s">
        <v>454</v>
      </c>
      <c r="J67" s="67">
        <v>0.71</v>
      </c>
      <c r="K67" s="42">
        <f t="shared" si="4"/>
        <v>4.97</v>
      </c>
      <c r="M67" s="67">
        <v>0.71</v>
      </c>
      <c r="N67" s="42">
        <f t="shared" si="5"/>
        <v>4.97</v>
      </c>
    </row>
    <row r="68" spans="2:14" ht="15" customHeight="1">
      <c r="B68" s="19">
        <v>3</v>
      </c>
      <c r="C68" s="11" t="s">
        <v>448</v>
      </c>
      <c r="D68" s="19">
        <v>4</v>
      </c>
      <c r="E68" s="2" t="s">
        <v>455</v>
      </c>
      <c r="F68" s="11" t="s">
        <v>247</v>
      </c>
      <c r="G68" s="35" t="s">
        <v>230</v>
      </c>
      <c r="H68" s="35" t="s">
        <v>238</v>
      </c>
      <c r="I68" s="35" t="s">
        <v>378</v>
      </c>
      <c r="J68" s="67">
        <v>1</v>
      </c>
      <c r="K68" s="42">
        <f t="shared" si="4"/>
        <v>7</v>
      </c>
      <c r="M68" s="67">
        <v>0.64</v>
      </c>
      <c r="N68" s="42">
        <f t="shared" si="5"/>
        <v>4.4800000000000004</v>
      </c>
    </row>
    <row r="69" spans="2:14" ht="15" customHeight="1">
      <c r="B69" s="19">
        <v>3</v>
      </c>
      <c r="C69" s="11" t="s">
        <v>448</v>
      </c>
      <c r="D69" s="19">
        <v>5</v>
      </c>
      <c r="E69" s="69" t="s">
        <v>827</v>
      </c>
      <c r="F69" s="11" t="s">
        <v>453</v>
      </c>
      <c r="G69" s="35" t="s">
        <v>231</v>
      </c>
      <c r="H69" s="68" t="s">
        <v>239</v>
      </c>
      <c r="I69" s="35" t="s">
        <v>378</v>
      </c>
      <c r="J69" s="67">
        <v>0</v>
      </c>
      <c r="K69" s="42">
        <f t="shared" si="4"/>
        <v>0</v>
      </c>
      <c r="M69" s="67">
        <v>0.28999999999999998</v>
      </c>
      <c r="N69" s="42">
        <f t="shared" si="5"/>
        <v>2.0299999999999998</v>
      </c>
    </row>
    <row r="70" spans="2:14" ht="15" customHeight="1">
      <c r="B70" s="19">
        <v>3</v>
      </c>
      <c r="C70" s="11" t="s">
        <v>448</v>
      </c>
      <c r="D70" s="19">
        <v>6</v>
      </c>
      <c r="E70" s="2" t="s">
        <v>456</v>
      </c>
      <c r="F70" s="11" t="s">
        <v>453</v>
      </c>
      <c r="G70" s="35" t="s">
        <v>231</v>
      </c>
      <c r="H70" s="35" t="s">
        <v>239</v>
      </c>
      <c r="I70" s="35" t="s">
        <v>378</v>
      </c>
      <c r="J70" s="67">
        <v>0.5</v>
      </c>
      <c r="K70" s="42">
        <f t="shared" si="4"/>
        <v>3.5</v>
      </c>
      <c r="M70" s="67">
        <v>0.14000000000000001</v>
      </c>
      <c r="N70" s="42">
        <f t="shared" si="5"/>
        <v>0.98000000000000009</v>
      </c>
    </row>
    <row r="71" spans="2:14" ht="15" customHeight="1">
      <c r="B71" s="19">
        <v>3</v>
      </c>
      <c r="C71" s="11" t="s">
        <v>448</v>
      </c>
      <c r="D71" s="19">
        <v>7</v>
      </c>
      <c r="E71" s="2" t="s">
        <v>474</v>
      </c>
      <c r="F71" s="11" t="s">
        <v>453</v>
      </c>
      <c r="G71" s="35" t="s">
        <v>230</v>
      </c>
      <c r="H71" s="35" t="s">
        <v>239</v>
      </c>
      <c r="I71" s="35" t="s">
        <v>378</v>
      </c>
      <c r="J71" s="67">
        <v>0.5</v>
      </c>
      <c r="K71" s="42">
        <f t="shared" si="4"/>
        <v>3.5</v>
      </c>
      <c r="M71" s="67">
        <v>1.07</v>
      </c>
      <c r="N71" s="42">
        <f t="shared" si="5"/>
        <v>7.49</v>
      </c>
    </row>
    <row r="72" spans="2:14" ht="15" customHeight="1">
      <c r="B72" s="19">
        <v>3</v>
      </c>
      <c r="C72" s="11" t="s">
        <v>448</v>
      </c>
      <c r="D72" s="19">
        <v>8</v>
      </c>
      <c r="E72" s="2" t="s">
        <v>475</v>
      </c>
      <c r="F72" s="11" t="s">
        <v>453</v>
      </c>
      <c r="G72" s="35" t="s">
        <v>229</v>
      </c>
      <c r="H72" s="35" t="s">
        <v>239</v>
      </c>
      <c r="I72" s="35" t="s">
        <v>378</v>
      </c>
      <c r="J72" s="67">
        <v>0.5</v>
      </c>
      <c r="K72" s="42">
        <f t="shared" si="4"/>
        <v>3.5</v>
      </c>
      <c r="M72" s="67">
        <v>0.5</v>
      </c>
      <c r="N72" s="42">
        <f t="shared" si="5"/>
        <v>3.5</v>
      </c>
    </row>
    <row r="73" spans="2:14" ht="15" customHeight="1">
      <c r="B73" s="19">
        <v>3</v>
      </c>
      <c r="C73" s="11" t="s">
        <v>448</v>
      </c>
      <c r="D73" s="19">
        <v>9</v>
      </c>
      <c r="E73" s="2" t="s">
        <v>458</v>
      </c>
      <c r="F73" s="11" t="s">
        <v>459</v>
      </c>
      <c r="G73" s="35" t="s">
        <v>230</v>
      </c>
      <c r="H73" s="35" t="s">
        <v>239</v>
      </c>
      <c r="I73" s="35" t="s">
        <v>378</v>
      </c>
      <c r="J73" s="67">
        <v>1</v>
      </c>
      <c r="K73" s="42">
        <f t="shared" si="4"/>
        <v>7</v>
      </c>
      <c r="M73" s="67">
        <v>0.43</v>
      </c>
      <c r="N73" s="42">
        <f t="shared" si="5"/>
        <v>3.01</v>
      </c>
    </row>
    <row r="74" spans="2:14" ht="15" customHeight="1">
      <c r="B74" s="19">
        <v>3</v>
      </c>
      <c r="C74" s="11" t="s">
        <v>448</v>
      </c>
      <c r="D74" s="19">
        <v>10</v>
      </c>
      <c r="E74" s="2" t="s">
        <v>460</v>
      </c>
      <c r="F74" s="11" t="s">
        <v>461</v>
      </c>
      <c r="G74" s="35" t="s">
        <v>229</v>
      </c>
      <c r="H74" s="35" t="s">
        <v>239</v>
      </c>
      <c r="I74" s="35" t="s">
        <v>378</v>
      </c>
      <c r="J74" s="67">
        <v>0.5</v>
      </c>
      <c r="K74" s="42">
        <f t="shared" si="4"/>
        <v>3.5</v>
      </c>
      <c r="M74" s="67">
        <v>0.14000000000000001</v>
      </c>
      <c r="N74" s="42">
        <f t="shared" si="5"/>
        <v>0.98000000000000009</v>
      </c>
    </row>
    <row r="75" spans="2:14" ht="15" customHeight="1">
      <c r="B75" s="19">
        <v>3</v>
      </c>
      <c r="C75" s="11" t="s">
        <v>448</v>
      </c>
      <c r="D75" s="19">
        <v>11</v>
      </c>
      <c r="E75" s="2" t="s">
        <v>462</v>
      </c>
      <c r="F75" s="11" t="s">
        <v>463</v>
      </c>
      <c r="G75" s="35" t="s">
        <v>231</v>
      </c>
      <c r="H75" s="35" t="s">
        <v>238</v>
      </c>
      <c r="I75" s="35" t="s">
        <v>378</v>
      </c>
      <c r="J75" s="67">
        <v>0</v>
      </c>
      <c r="K75" s="42">
        <f t="shared" si="4"/>
        <v>0</v>
      </c>
      <c r="M75" s="67">
        <v>0.56999999999999995</v>
      </c>
      <c r="N75" s="42">
        <f t="shared" si="5"/>
        <v>3.9899999999999998</v>
      </c>
    </row>
    <row r="76" spans="2:14" ht="34.5" customHeight="1">
      <c r="D76" s="14" t="s">
        <v>479</v>
      </c>
      <c r="J76" s="63">
        <f>SUM(J65:J75)</f>
        <v>6.92</v>
      </c>
      <c r="K76" s="63">
        <f>SUM(K65:K75)</f>
        <v>48.44</v>
      </c>
      <c r="M76" s="63">
        <f>SUM(M65:M75)</f>
        <v>6.7</v>
      </c>
      <c r="N76" s="63">
        <f>SUM(N65:N75)</f>
        <v>46.9</v>
      </c>
    </row>
    <row r="77" spans="2:14" ht="34.5" customHeight="1">
      <c r="D77" s="60"/>
      <c r="J77" s="64"/>
    </row>
    <row r="79" spans="2:14" ht="15" customHeight="1">
      <c r="B79" s="19">
        <v>3</v>
      </c>
      <c r="C79" s="11" t="s">
        <v>465</v>
      </c>
      <c r="D79" s="19">
        <v>1</v>
      </c>
      <c r="E79" s="2" t="s">
        <v>449</v>
      </c>
      <c r="F79" s="11" t="s">
        <v>450</v>
      </c>
      <c r="G79" s="35" t="s">
        <v>231</v>
      </c>
      <c r="H79" s="35" t="s">
        <v>238</v>
      </c>
      <c r="I79" s="35" t="s">
        <v>379</v>
      </c>
      <c r="J79" s="62">
        <v>0</v>
      </c>
      <c r="K79" s="42">
        <f t="shared" ref="K79:K90" si="6">J79*0</f>
        <v>0</v>
      </c>
    </row>
    <row r="80" spans="2:14" ht="15" customHeight="1">
      <c r="B80" s="19">
        <v>3</v>
      </c>
      <c r="C80" s="11" t="s">
        <v>465</v>
      </c>
      <c r="D80" s="19">
        <v>2</v>
      </c>
      <c r="E80" s="2" t="s">
        <v>451</v>
      </c>
      <c r="F80" s="11" t="s">
        <v>247</v>
      </c>
      <c r="G80" s="35" t="s">
        <v>231</v>
      </c>
      <c r="H80" s="35" t="s">
        <v>238</v>
      </c>
      <c r="I80" s="35" t="s">
        <v>379</v>
      </c>
      <c r="J80" s="62">
        <v>0</v>
      </c>
      <c r="K80" s="42">
        <f t="shared" si="6"/>
        <v>0</v>
      </c>
    </row>
    <row r="81" spans="2:14" ht="15" customHeight="1">
      <c r="B81" s="19">
        <v>3</v>
      </c>
      <c r="C81" s="11" t="s">
        <v>465</v>
      </c>
      <c r="D81" s="19">
        <v>3</v>
      </c>
      <c r="E81" s="2" t="s">
        <v>467</v>
      </c>
      <c r="F81" s="11" t="s">
        <v>453</v>
      </c>
      <c r="G81" s="35" t="s">
        <v>230</v>
      </c>
      <c r="H81" s="35" t="s">
        <v>238</v>
      </c>
      <c r="I81" s="35" t="s">
        <v>468</v>
      </c>
      <c r="J81" s="62">
        <v>0</v>
      </c>
      <c r="K81" s="42">
        <f t="shared" si="6"/>
        <v>0</v>
      </c>
    </row>
    <row r="82" spans="2:14" ht="15" customHeight="1">
      <c r="B82" s="19">
        <v>3</v>
      </c>
      <c r="C82" s="11" t="s">
        <v>465</v>
      </c>
      <c r="D82" s="19">
        <v>4</v>
      </c>
      <c r="E82" s="2" t="s">
        <v>469</v>
      </c>
      <c r="F82" s="11" t="s">
        <v>247</v>
      </c>
      <c r="G82" s="35" t="s">
        <v>230</v>
      </c>
      <c r="H82" s="35" t="s">
        <v>238</v>
      </c>
      <c r="I82" s="35" t="s">
        <v>468</v>
      </c>
      <c r="J82" s="62">
        <v>0</v>
      </c>
      <c r="K82" s="42">
        <f t="shared" si="6"/>
        <v>0</v>
      </c>
    </row>
    <row r="83" spans="2:14" ht="15" customHeight="1">
      <c r="B83" s="19">
        <v>3</v>
      </c>
      <c r="C83" s="11" t="s">
        <v>465</v>
      </c>
      <c r="D83" s="19">
        <v>5</v>
      </c>
      <c r="E83" s="2" t="s">
        <v>455</v>
      </c>
      <c r="F83" s="11" t="s">
        <v>247</v>
      </c>
      <c r="G83" s="35" t="s">
        <v>230</v>
      </c>
      <c r="H83" s="35" t="s">
        <v>238</v>
      </c>
      <c r="I83" s="35" t="s">
        <v>378</v>
      </c>
      <c r="J83" s="62">
        <v>0</v>
      </c>
      <c r="K83" s="42">
        <f t="shared" si="6"/>
        <v>0</v>
      </c>
    </row>
    <row r="84" spans="2:14" ht="15" customHeight="1">
      <c r="B84" s="19">
        <v>3</v>
      </c>
      <c r="C84" s="11" t="s">
        <v>465</v>
      </c>
      <c r="D84" s="19">
        <v>6</v>
      </c>
      <c r="E84" s="2" t="s">
        <v>470</v>
      </c>
      <c r="F84" s="11" t="s">
        <v>453</v>
      </c>
      <c r="G84" s="35" t="s">
        <v>231</v>
      </c>
      <c r="H84" s="35" t="s">
        <v>238</v>
      </c>
      <c r="I84" s="35" t="s">
        <v>378</v>
      </c>
      <c r="J84" s="62">
        <v>0</v>
      </c>
      <c r="K84" s="42">
        <f t="shared" si="6"/>
        <v>0</v>
      </c>
    </row>
    <row r="85" spans="2:14" ht="15" customHeight="1">
      <c r="B85" s="19">
        <v>3</v>
      </c>
      <c r="C85" s="11" t="s">
        <v>465</v>
      </c>
      <c r="D85" s="19">
        <v>7</v>
      </c>
      <c r="E85" s="2" t="s">
        <v>471</v>
      </c>
      <c r="F85" s="11" t="s">
        <v>453</v>
      </c>
      <c r="G85" s="35" t="s">
        <v>230</v>
      </c>
      <c r="H85" s="35" t="s">
        <v>238</v>
      </c>
      <c r="I85" s="35" t="s">
        <v>378</v>
      </c>
      <c r="J85" s="62">
        <v>0</v>
      </c>
      <c r="K85" s="42">
        <f t="shared" si="6"/>
        <v>0</v>
      </c>
    </row>
    <row r="86" spans="2:14" ht="15" customHeight="1">
      <c r="B86" s="19">
        <v>3</v>
      </c>
      <c r="C86" s="11" t="s">
        <v>465</v>
      </c>
      <c r="D86" s="19">
        <v>8</v>
      </c>
      <c r="E86" s="2" t="s">
        <v>471</v>
      </c>
      <c r="F86" s="11" t="s">
        <v>453</v>
      </c>
      <c r="G86" s="35" t="s">
        <v>230</v>
      </c>
      <c r="H86" s="35" t="s">
        <v>239</v>
      </c>
      <c r="I86" s="35" t="s">
        <v>378</v>
      </c>
      <c r="J86" s="62">
        <v>0</v>
      </c>
      <c r="K86" s="42">
        <f t="shared" si="6"/>
        <v>0</v>
      </c>
    </row>
    <row r="87" spans="2:14" ht="15" customHeight="1">
      <c r="B87" s="19">
        <v>3</v>
      </c>
      <c r="C87" s="11" t="s">
        <v>465</v>
      </c>
      <c r="D87" s="19">
        <v>9</v>
      </c>
      <c r="E87" s="2" t="s">
        <v>471</v>
      </c>
      <c r="F87" s="11" t="s">
        <v>453</v>
      </c>
      <c r="G87" s="35" t="s">
        <v>229</v>
      </c>
      <c r="H87" s="35" t="s">
        <v>239</v>
      </c>
      <c r="I87" s="35" t="s">
        <v>378</v>
      </c>
      <c r="J87" s="62">
        <v>0</v>
      </c>
      <c r="K87" s="42">
        <f t="shared" si="6"/>
        <v>0</v>
      </c>
    </row>
    <row r="88" spans="2:14" ht="15" customHeight="1">
      <c r="B88" s="19">
        <v>3</v>
      </c>
      <c r="C88" s="11" t="s">
        <v>465</v>
      </c>
      <c r="D88" s="19">
        <v>10</v>
      </c>
      <c r="E88" s="2" t="s">
        <v>477</v>
      </c>
      <c r="F88" s="11" t="s">
        <v>459</v>
      </c>
      <c r="G88" s="35" t="s">
        <v>230</v>
      </c>
      <c r="H88" s="35" t="s">
        <v>239</v>
      </c>
      <c r="I88" s="35" t="s">
        <v>378</v>
      </c>
      <c r="J88" s="62">
        <v>0</v>
      </c>
      <c r="K88" s="42">
        <f t="shared" si="6"/>
        <v>0</v>
      </c>
    </row>
    <row r="89" spans="2:14" ht="15" customHeight="1">
      <c r="B89" s="19">
        <v>3</v>
      </c>
      <c r="C89" s="11" t="s">
        <v>465</v>
      </c>
      <c r="D89" s="19">
        <v>11</v>
      </c>
      <c r="E89" s="2" t="s">
        <v>460</v>
      </c>
      <c r="F89" s="11" t="s">
        <v>461</v>
      </c>
      <c r="G89" s="35" t="s">
        <v>229</v>
      </c>
      <c r="H89" s="35" t="s">
        <v>239</v>
      </c>
      <c r="I89" s="35" t="s">
        <v>378</v>
      </c>
      <c r="J89" s="62">
        <v>0</v>
      </c>
      <c r="K89" s="42">
        <f t="shared" si="6"/>
        <v>0</v>
      </c>
    </row>
    <row r="90" spans="2:14" ht="15" customHeight="1">
      <c r="B90" s="19">
        <v>3</v>
      </c>
      <c r="C90" s="11" t="s">
        <v>465</v>
      </c>
      <c r="D90" s="19">
        <v>12</v>
      </c>
      <c r="E90" s="2" t="s">
        <v>462</v>
      </c>
      <c r="F90" s="11" t="s">
        <v>463</v>
      </c>
      <c r="G90" s="35" t="s">
        <v>231</v>
      </c>
      <c r="H90" s="35" t="s">
        <v>238</v>
      </c>
      <c r="I90" s="35" t="s">
        <v>378</v>
      </c>
      <c r="J90" s="62">
        <v>0</v>
      </c>
      <c r="K90" s="42">
        <f t="shared" si="6"/>
        <v>0</v>
      </c>
    </row>
    <row r="91" spans="2:14" ht="34.5" customHeight="1">
      <c r="D91" s="14" t="s">
        <v>480</v>
      </c>
      <c r="J91" s="63">
        <f>SUM(J79:J90)</f>
        <v>0</v>
      </c>
    </row>
    <row r="92" spans="2:14" ht="34.5" customHeight="1">
      <c r="D92" s="60"/>
      <c r="J92" s="64"/>
    </row>
    <row r="93" spans="2:14" ht="22">
      <c r="B93" s="5" t="s">
        <v>438</v>
      </c>
      <c r="C93" s="5" t="s">
        <v>439</v>
      </c>
      <c r="D93" s="5" t="s">
        <v>440</v>
      </c>
      <c r="E93" s="5" t="s">
        <v>441</v>
      </c>
      <c r="F93" s="5" t="s">
        <v>442</v>
      </c>
      <c r="G93" s="5" t="s">
        <v>443</v>
      </c>
      <c r="H93" s="5" t="s">
        <v>444</v>
      </c>
      <c r="I93" s="5" t="s">
        <v>445</v>
      </c>
      <c r="J93" s="61" t="s">
        <v>446</v>
      </c>
      <c r="K93" s="5" t="s">
        <v>447</v>
      </c>
    </row>
    <row r="94" spans="2:14" ht="15" customHeight="1">
      <c r="B94" s="19">
        <v>4</v>
      </c>
      <c r="C94" s="11" t="s">
        <v>448</v>
      </c>
      <c r="D94" s="19">
        <v>1</v>
      </c>
      <c r="E94" s="2" t="s">
        <v>449</v>
      </c>
      <c r="F94" s="11" t="s">
        <v>450</v>
      </c>
      <c r="G94" s="35" t="s">
        <v>231</v>
      </c>
      <c r="H94" s="35" t="s">
        <v>238</v>
      </c>
      <c r="I94" s="35" t="s">
        <v>379</v>
      </c>
      <c r="J94" s="62">
        <v>0.64285714285714302</v>
      </c>
      <c r="K94" s="42">
        <f t="shared" ref="K94:K104" si="7">J94*7</f>
        <v>4.5000000000000009</v>
      </c>
      <c r="M94" s="62">
        <v>0.64285714285714302</v>
      </c>
      <c r="N94" s="42">
        <f t="shared" ref="N94:N104" si="8">M94*7</f>
        <v>4.5000000000000009</v>
      </c>
    </row>
    <row r="95" spans="2:14" ht="15" customHeight="1">
      <c r="B95" s="19">
        <v>4</v>
      </c>
      <c r="C95" s="11" t="s">
        <v>448</v>
      </c>
      <c r="D95" s="19">
        <v>2</v>
      </c>
      <c r="E95" s="2" t="s">
        <v>481</v>
      </c>
      <c r="F95" s="11" t="s">
        <v>247</v>
      </c>
      <c r="G95" s="35" t="s">
        <v>230</v>
      </c>
      <c r="H95" s="35" t="s">
        <v>238</v>
      </c>
      <c r="I95" s="35" t="s">
        <v>379</v>
      </c>
      <c r="J95" s="62">
        <v>0.71428571428571397</v>
      </c>
      <c r="K95" s="42">
        <f t="shared" si="7"/>
        <v>4.9999999999999982</v>
      </c>
      <c r="M95" s="62">
        <v>0.71428571428571397</v>
      </c>
      <c r="N95" s="42">
        <f t="shared" si="8"/>
        <v>4.9999999999999982</v>
      </c>
    </row>
    <row r="96" spans="2:14" ht="15" customHeight="1">
      <c r="B96" s="19">
        <v>4</v>
      </c>
      <c r="C96" s="11" t="s">
        <v>448</v>
      </c>
      <c r="D96" s="19">
        <v>3</v>
      </c>
      <c r="E96" s="2" t="s">
        <v>452</v>
      </c>
      <c r="F96" s="11" t="s">
        <v>453</v>
      </c>
      <c r="G96" s="35" t="s">
        <v>230</v>
      </c>
      <c r="H96" s="35" t="s">
        <v>239</v>
      </c>
      <c r="I96" s="35" t="s">
        <v>454</v>
      </c>
      <c r="J96" s="62">
        <v>0.35714285714285698</v>
      </c>
      <c r="K96" s="42">
        <f t="shared" si="7"/>
        <v>2.4999999999999991</v>
      </c>
      <c r="M96" s="62">
        <v>0.35714285714285698</v>
      </c>
      <c r="N96" s="42">
        <f t="shared" si="8"/>
        <v>2.4999999999999991</v>
      </c>
    </row>
    <row r="97" spans="2:14" ht="15" customHeight="1">
      <c r="B97" s="19">
        <v>4</v>
      </c>
      <c r="C97" s="11" t="s">
        <v>448</v>
      </c>
      <c r="D97" s="19">
        <v>4</v>
      </c>
      <c r="E97" s="2" t="s">
        <v>482</v>
      </c>
      <c r="F97" s="11" t="s">
        <v>453</v>
      </c>
      <c r="G97" s="35" t="s">
        <v>231</v>
      </c>
      <c r="H97" s="35" t="s">
        <v>239</v>
      </c>
      <c r="I97" s="35" t="s">
        <v>454</v>
      </c>
      <c r="J97" s="62">
        <v>0.42857142857142899</v>
      </c>
      <c r="K97" s="42">
        <f t="shared" si="7"/>
        <v>3.0000000000000031</v>
      </c>
      <c r="M97" s="62">
        <v>0.42857142857142899</v>
      </c>
      <c r="N97" s="42">
        <f t="shared" si="8"/>
        <v>3.0000000000000031</v>
      </c>
    </row>
    <row r="98" spans="2:14" ht="15" customHeight="1">
      <c r="B98" s="19">
        <v>4</v>
      </c>
      <c r="C98" s="11" t="s">
        <v>448</v>
      </c>
      <c r="D98" s="19">
        <v>5</v>
      </c>
      <c r="E98" s="2" t="s">
        <v>455</v>
      </c>
      <c r="F98" s="11" t="s">
        <v>247</v>
      </c>
      <c r="G98" s="35" t="s">
        <v>230</v>
      </c>
      <c r="H98" s="35" t="s">
        <v>238</v>
      </c>
      <c r="I98" s="35" t="s">
        <v>378</v>
      </c>
      <c r="J98" s="62">
        <v>0.5</v>
      </c>
      <c r="K98" s="42">
        <f t="shared" si="7"/>
        <v>3.5</v>
      </c>
      <c r="M98" s="62">
        <v>0</v>
      </c>
      <c r="N98" s="42">
        <f t="shared" si="8"/>
        <v>0</v>
      </c>
    </row>
    <row r="99" spans="2:14" ht="15" customHeight="1">
      <c r="B99" s="19">
        <v>4</v>
      </c>
      <c r="C99" s="11" t="s">
        <v>448</v>
      </c>
      <c r="D99" s="19">
        <v>6</v>
      </c>
      <c r="E99" s="2" t="s">
        <v>827</v>
      </c>
      <c r="F99" s="11" t="s">
        <v>453</v>
      </c>
      <c r="G99" s="35" t="s">
        <v>231</v>
      </c>
      <c r="H99" s="35" t="s">
        <v>239</v>
      </c>
      <c r="I99" s="35" t="s">
        <v>378</v>
      </c>
      <c r="J99" s="62">
        <v>0.5</v>
      </c>
      <c r="K99" s="42">
        <f t="shared" si="7"/>
        <v>3.5</v>
      </c>
      <c r="M99" s="62">
        <v>0.214285714285714</v>
      </c>
      <c r="N99" s="42">
        <f t="shared" si="8"/>
        <v>1.499999999999998</v>
      </c>
    </row>
    <row r="100" spans="2:14" ht="15" customHeight="1">
      <c r="B100" s="19">
        <v>4</v>
      </c>
      <c r="C100" s="11" t="s">
        <v>448</v>
      </c>
      <c r="D100" s="19">
        <v>7</v>
      </c>
      <c r="E100" s="2" t="s">
        <v>483</v>
      </c>
      <c r="F100" s="11" t="s">
        <v>453</v>
      </c>
      <c r="G100" s="35" t="s">
        <v>231</v>
      </c>
      <c r="H100" s="35" t="s">
        <v>239</v>
      </c>
      <c r="I100" s="35" t="s">
        <v>378</v>
      </c>
      <c r="J100" s="62">
        <v>0.5</v>
      </c>
      <c r="K100" s="42">
        <f t="shared" si="7"/>
        <v>3.5</v>
      </c>
      <c r="M100" s="62">
        <v>1</v>
      </c>
      <c r="N100" s="42">
        <f t="shared" si="8"/>
        <v>7</v>
      </c>
    </row>
    <row r="101" spans="2:14" ht="15" customHeight="1">
      <c r="B101" s="19">
        <v>4</v>
      </c>
      <c r="C101" s="11" t="s">
        <v>448</v>
      </c>
      <c r="D101" s="19">
        <v>8</v>
      </c>
      <c r="E101" s="2" t="s">
        <v>474</v>
      </c>
      <c r="F101" s="11" t="s">
        <v>453</v>
      </c>
      <c r="G101" s="35" t="s">
        <v>230</v>
      </c>
      <c r="H101" s="35" t="s">
        <v>239</v>
      </c>
      <c r="I101" s="35" t="s">
        <v>378</v>
      </c>
      <c r="J101" s="62">
        <v>0.5</v>
      </c>
      <c r="K101" s="42">
        <f t="shared" si="7"/>
        <v>3.5</v>
      </c>
      <c r="M101" s="62">
        <v>0.78571428571428603</v>
      </c>
      <c r="N101" s="42">
        <f t="shared" si="8"/>
        <v>5.5000000000000018</v>
      </c>
    </row>
    <row r="102" spans="2:14" ht="15" customHeight="1">
      <c r="B102" s="19">
        <v>4</v>
      </c>
      <c r="C102" s="11" t="s">
        <v>448</v>
      </c>
      <c r="D102" s="19">
        <v>9</v>
      </c>
      <c r="E102" s="2" t="s">
        <v>458</v>
      </c>
      <c r="F102" s="11" t="s">
        <v>459</v>
      </c>
      <c r="G102" s="35" t="s">
        <v>230</v>
      </c>
      <c r="H102" s="35" t="s">
        <v>239</v>
      </c>
      <c r="I102" s="35" t="s">
        <v>378</v>
      </c>
      <c r="J102" s="62">
        <v>1</v>
      </c>
      <c r="K102" s="42">
        <f t="shared" si="7"/>
        <v>7</v>
      </c>
      <c r="M102" s="62">
        <v>0.214285714285714</v>
      </c>
      <c r="N102" s="42">
        <f t="shared" si="8"/>
        <v>1.499999999999998</v>
      </c>
    </row>
    <row r="103" spans="2:14" ht="15" customHeight="1">
      <c r="B103" s="19">
        <v>4</v>
      </c>
      <c r="C103" s="11" t="s">
        <v>448</v>
      </c>
      <c r="D103" s="19">
        <v>10</v>
      </c>
      <c r="E103" s="2" t="s">
        <v>460</v>
      </c>
      <c r="F103" s="11" t="s">
        <v>461</v>
      </c>
      <c r="G103" s="35" t="s">
        <v>229</v>
      </c>
      <c r="H103" s="35" t="s">
        <v>239</v>
      </c>
      <c r="I103" s="35" t="s">
        <v>378</v>
      </c>
      <c r="J103" s="62">
        <v>0</v>
      </c>
      <c r="K103" s="42">
        <f t="shared" si="7"/>
        <v>0</v>
      </c>
      <c r="M103" s="62">
        <v>0.14285714285714299</v>
      </c>
      <c r="N103" s="42">
        <f t="shared" si="8"/>
        <v>1.0000000000000009</v>
      </c>
    </row>
    <row r="104" spans="2:14" ht="15" customHeight="1">
      <c r="B104" s="19">
        <v>4</v>
      </c>
      <c r="C104" s="11" t="s">
        <v>448</v>
      </c>
      <c r="D104" s="19">
        <v>11</v>
      </c>
      <c r="E104" s="2" t="s">
        <v>462</v>
      </c>
      <c r="F104" s="11" t="s">
        <v>463</v>
      </c>
      <c r="G104" s="35" t="s">
        <v>231</v>
      </c>
      <c r="H104" s="35" t="s">
        <v>238</v>
      </c>
      <c r="I104" s="35" t="s">
        <v>378</v>
      </c>
      <c r="J104" s="62">
        <v>0</v>
      </c>
      <c r="K104" s="42">
        <f t="shared" si="7"/>
        <v>0</v>
      </c>
      <c r="M104" s="62">
        <v>0.42857142857142899</v>
      </c>
      <c r="N104" s="42">
        <f t="shared" si="8"/>
        <v>3.0000000000000031</v>
      </c>
    </row>
    <row r="105" spans="2:14" ht="34.5" customHeight="1">
      <c r="D105" s="14" t="s">
        <v>484</v>
      </c>
      <c r="J105" s="63">
        <f>SUM(J94:J104)</f>
        <v>5.1428571428571423</v>
      </c>
      <c r="K105" s="63">
        <f>SUM(K94:K104)</f>
        <v>36</v>
      </c>
      <c r="M105" s="63">
        <f>SUM(M94:M104)</f>
        <v>4.9285714285714288</v>
      </c>
      <c r="N105" s="63">
        <f>SUM(N94:N104)</f>
        <v>34.5</v>
      </c>
    </row>
    <row r="106" spans="2:14" ht="34.5" customHeight="1">
      <c r="D106" s="60"/>
      <c r="J106" s="64"/>
    </row>
    <row r="107" spans="2:14" ht="22">
      <c r="B107" s="5" t="s">
        <v>438</v>
      </c>
      <c r="C107" s="5" t="s">
        <v>439</v>
      </c>
      <c r="D107" s="5" t="s">
        <v>440</v>
      </c>
      <c r="E107" s="5" t="s">
        <v>441</v>
      </c>
      <c r="F107" s="5" t="s">
        <v>442</v>
      </c>
      <c r="G107" s="5" t="s">
        <v>443</v>
      </c>
      <c r="H107" s="5" t="s">
        <v>444</v>
      </c>
      <c r="I107" s="5" t="s">
        <v>445</v>
      </c>
      <c r="J107" s="61" t="s">
        <v>446</v>
      </c>
      <c r="K107" s="5" t="s">
        <v>447</v>
      </c>
    </row>
    <row r="108" spans="2:14" ht="15" customHeight="1">
      <c r="B108" s="19">
        <v>5</v>
      </c>
      <c r="C108" s="11" t="s">
        <v>448</v>
      </c>
      <c r="D108" s="19">
        <v>1</v>
      </c>
      <c r="E108" s="2" t="s">
        <v>449</v>
      </c>
      <c r="F108" s="11" t="s">
        <v>450</v>
      </c>
      <c r="G108" s="35" t="s">
        <v>231</v>
      </c>
      <c r="H108" s="35" t="s">
        <v>238</v>
      </c>
      <c r="I108" s="35" t="s">
        <v>379</v>
      </c>
      <c r="J108" s="62">
        <v>0.83333333333333304</v>
      </c>
      <c r="K108" s="42">
        <f t="shared" ref="K108:K118" si="9">J108*6</f>
        <v>4.9999999999999982</v>
      </c>
      <c r="M108" s="62">
        <v>0.83333333333333304</v>
      </c>
      <c r="N108" s="42">
        <f t="shared" ref="N108:N118" si="10">M108*6</f>
        <v>4.9999999999999982</v>
      </c>
    </row>
    <row r="109" spans="2:14" ht="15" customHeight="1">
      <c r="B109" s="19">
        <v>5</v>
      </c>
      <c r="C109" s="11" t="s">
        <v>448</v>
      </c>
      <c r="D109" s="19">
        <v>2</v>
      </c>
      <c r="E109" s="2" t="s">
        <v>481</v>
      </c>
      <c r="F109" s="11" t="s">
        <v>247</v>
      </c>
      <c r="G109" s="35" t="s">
        <v>230</v>
      </c>
      <c r="H109" s="35" t="s">
        <v>238</v>
      </c>
      <c r="I109" s="35" t="s">
        <v>379</v>
      </c>
      <c r="J109" s="62">
        <v>0.66666666666666696</v>
      </c>
      <c r="K109" s="42">
        <f t="shared" si="9"/>
        <v>4.0000000000000018</v>
      </c>
      <c r="M109" s="62">
        <v>0.66666666666666696</v>
      </c>
      <c r="N109" s="42">
        <f t="shared" si="10"/>
        <v>4.0000000000000018</v>
      </c>
    </row>
    <row r="110" spans="2:14" ht="15" customHeight="1">
      <c r="B110" s="19">
        <v>5</v>
      </c>
      <c r="C110" s="11" t="s">
        <v>448</v>
      </c>
      <c r="D110" s="19">
        <v>3</v>
      </c>
      <c r="E110" s="2" t="s">
        <v>452</v>
      </c>
      <c r="F110" s="11" t="s">
        <v>453</v>
      </c>
      <c r="G110" s="35" t="s">
        <v>230</v>
      </c>
      <c r="H110" s="35" t="s">
        <v>239</v>
      </c>
      <c r="I110" s="35" t="s">
        <v>454</v>
      </c>
      <c r="J110" s="62">
        <v>0.33333333333333298</v>
      </c>
      <c r="K110" s="42">
        <f t="shared" si="9"/>
        <v>1.9999999999999978</v>
      </c>
      <c r="M110" s="62">
        <v>0.33333333333333298</v>
      </c>
      <c r="N110" s="42">
        <f t="shared" si="10"/>
        <v>1.9999999999999978</v>
      </c>
    </row>
    <row r="111" spans="2:14" ht="15" customHeight="1">
      <c r="B111" s="19">
        <v>5</v>
      </c>
      <c r="C111" s="11" t="s">
        <v>448</v>
      </c>
      <c r="D111" s="19">
        <v>4</v>
      </c>
      <c r="E111" s="2" t="s">
        <v>482</v>
      </c>
      <c r="F111" s="11" t="s">
        <v>453</v>
      </c>
      <c r="G111" s="35" t="s">
        <v>231</v>
      </c>
      <c r="H111" s="35" t="s">
        <v>239</v>
      </c>
      <c r="I111" s="35" t="s">
        <v>454</v>
      </c>
      <c r="J111" s="62">
        <v>0.5</v>
      </c>
      <c r="K111" s="42">
        <f t="shared" si="9"/>
        <v>3</v>
      </c>
      <c r="M111" s="62">
        <v>0.5</v>
      </c>
      <c r="N111" s="42">
        <f t="shared" si="10"/>
        <v>3</v>
      </c>
    </row>
    <row r="112" spans="2:14" ht="15" customHeight="1">
      <c r="B112" s="19">
        <v>5</v>
      </c>
      <c r="C112" s="11" t="s">
        <v>448</v>
      </c>
      <c r="D112" s="19">
        <v>5</v>
      </c>
      <c r="E112" s="2" t="s">
        <v>455</v>
      </c>
      <c r="F112" s="11" t="s">
        <v>247</v>
      </c>
      <c r="G112" s="35" t="s">
        <v>230</v>
      </c>
      <c r="H112" s="35" t="s">
        <v>238</v>
      </c>
      <c r="I112" s="35" t="s">
        <v>378</v>
      </c>
      <c r="J112" s="62">
        <v>0.5</v>
      </c>
      <c r="K112" s="42">
        <f t="shared" si="9"/>
        <v>3</v>
      </c>
      <c r="M112" s="62">
        <v>0</v>
      </c>
      <c r="N112" s="42">
        <f t="shared" si="10"/>
        <v>0</v>
      </c>
    </row>
    <row r="113" spans="2:14" ht="15" customHeight="1">
      <c r="B113" s="19">
        <v>5</v>
      </c>
      <c r="C113" s="11" t="s">
        <v>448</v>
      </c>
      <c r="D113" s="19">
        <v>6</v>
      </c>
      <c r="E113" s="2" t="s">
        <v>827</v>
      </c>
      <c r="F113" s="11" t="s">
        <v>453</v>
      </c>
      <c r="G113" s="35" t="s">
        <v>231</v>
      </c>
      <c r="H113" s="35" t="s">
        <v>238</v>
      </c>
      <c r="I113" s="35" t="s">
        <v>378</v>
      </c>
      <c r="J113" s="62">
        <v>0.5</v>
      </c>
      <c r="K113" s="42">
        <f t="shared" si="9"/>
        <v>3</v>
      </c>
      <c r="M113" s="62">
        <v>0.41666666666666702</v>
      </c>
      <c r="N113" s="42">
        <f t="shared" si="10"/>
        <v>2.5000000000000022</v>
      </c>
    </row>
    <row r="114" spans="2:14" ht="15" customHeight="1">
      <c r="B114" s="19">
        <v>5</v>
      </c>
      <c r="C114" s="11" t="s">
        <v>448</v>
      </c>
      <c r="D114" s="19">
        <v>7</v>
      </c>
      <c r="E114" s="2" t="s">
        <v>483</v>
      </c>
      <c r="F114" s="11" t="s">
        <v>453</v>
      </c>
      <c r="G114" s="35" t="s">
        <v>231</v>
      </c>
      <c r="H114" s="35" t="s">
        <v>239</v>
      </c>
      <c r="I114" s="35" t="s">
        <v>378</v>
      </c>
      <c r="J114" s="62">
        <v>0.5</v>
      </c>
      <c r="K114" s="42">
        <f t="shared" si="9"/>
        <v>3</v>
      </c>
      <c r="M114" s="62">
        <v>1.0833333333333299</v>
      </c>
      <c r="N114" s="42">
        <f t="shared" si="10"/>
        <v>6.4999999999999796</v>
      </c>
    </row>
    <row r="115" spans="2:14" ht="15" customHeight="1">
      <c r="B115" s="19">
        <v>5</v>
      </c>
      <c r="C115" s="11" t="s">
        <v>448</v>
      </c>
      <c r="D115" s="19">
        <v>8</v>
      </c>
      <c r="E115" s="2" t="s">
        <v>474</v>
      </c>
      <c r="F115" s="11" t="s">
        <v>453</v>
      </c>
      <c r="G115" s="35" t="s">
        <v>230</v>
      </c>
      <c r="H115" s="35" t="s">
        <v>239</v>
      </c>
      <c r="I115" s="35" t="s">
        <v>378</v>
      </c>
      <c r="J115" s="62">
        <v>0.5</v>
      </c>
      <c r="K115" s="42">
        <f t="shared" si="9"/>
        <v>3</v>
      </c>
      <c r="M115" s="62">
        <v>0.83333333333333304</v>
      </c>
      <c r="N115" s="42">
        <f t="shared" si="10"/>
        <v>4.9999999999999982</v>
      </c>
    </row>
    <row r="116" spans="2:14" ht="15" customHeight="1">
      <c r="B116" s="19">
        <v>5</v>
      </c>
      <c r="C116" s="11" t="s">
        <v>448</v>
      </c>
      <c r="D116" s="19">
        <v>9</v>
      </c>
      <c r="E116" s="2" t="s">
        <v>458</v>
      </c>
      <c r="F116" s="11" t="s">
        <v>459</v>
      </c>
      <c r="G116" s="35" t="s">
        <v>230</v>
      </c>
      <c r="H116" s="35" t="s">
        <v>239</v>
      </c>
      <c r="I116" s="35" t="s">
        <v>378</v>
      </c>
      <c r="J116" s="62">
        <v>1</v>
      </c>
      <c r="K116" s="42">
        <f t="shared" si="9"/>
        <v>6</v>
      </c>
      <c r="M116" s="62">
        <v>0.66666666666666696</v>
      </c>
      <c r="N116" s="42">
        <f t="shared" si="10"/>
        <v>4.0000000000000018</v>
      </c>
    </row>
    <row r="117" spans="2:14" ht="15" customHeight="1">
      <c r="B117" s="19">
        <v>5</v>
      </c>
      <c r="C117" s="11" t="s">
        <v>448</v>
      </c>
      <c r="D117" s="19">
        <v>10</v>
      </c>
      <c r="E117" s="2" t="s">
        <v>460</v>
      </c>
      <c r="F117" s="11" t="s">
        <v>461</v>
      </c>
      <c r="G117" s="35" t="s">
        <v>229</v>
      </c>
      <c r="H117" s="35" t="s">
        <v>239</v>
      </c>
      <c r="I117" s="35" t="s">
        <v>378</v>
      </c>
      <c r="J117" s="62">
        <v>0</v>
      </c>
      <c r="K117" s="42">
        <f t="shared" si="9"/>
        <v>0</v>
      </c>
      <c r="M117" s="62">
        <v>0</v>
      </c>
      <c r="N117" s="42">
        <f t="shared" si="10"/>
        <v>0</v>
      </c>
    </row>
    <row r="118" spans="2:14" ht="15" customHeight="1">
      <c r="B118" s="19">
        <v>5</v>
      </c>
      <c r="C118" s="11" t="s">
        <v>448</v>
      </c>
      <c r="D118" s="19">
        <v>11</v>
      </c>
      <c r="E118" s="2" t="s">
        <v>462</v>
      </c>
      <c r="F118" s="11" t="s">
        <v>463</v>
      </c>
      <c r="G118" s="35" t="s">
        <v>231</v>
      </c>
      <c r="H118" s="35" t="s">
        <v>238</v>
      </c>
      <c r="I118" s="35" t="s">
        <v>378</v>
      </c>
      <c r="J118" s="62">
        <v>0</v>
      </c>
      <c r="K118" s="42">
        <f t="shared" si="9"/>
        <v>0</v>
      </c>
      <c r="M118" s="62">
        <v>0</v>
      </c>
      <c r="N118" s="42">
        <f t="shared" si="10"/>
        <v>0</v>
      </c>
    </row>
    <row r="119" spans="2:14" ht="34.5" customHeight="1">
      <c r="D119" s="14" t="s">
        <v>485</v>
      </c>
      <c r="J119" s="63">
        <f>SUM(J108:J118)</f>
        <v>5.333333333333333</v>
      </c>
      <c r="K119" s="63">
        <f>SUM(K108:K118)</f>
        <v>32</v>
      </c>
      <c r="M119" s="63">
        <f>SUM(M108:M118)</f>
        <v>5.3333333333333295</v>
      </c>
    </row>
    <row r="121" spans="2:14" ht="409.6" customHeight="1">
      <c r="B121" s="3" t="s">
        <v>486</v>
      </c>
    </row>
    <row r="123" spans="2:14" ht="39.75" customHeight="1">
      <c r="B123" s="76" t="s">
        <v>487</v>
      </c>
      <c r="C123" s="76"/>
      <c r="D123" s="76"/>
      <c r="E123" s="76"/>
      <c r="F123" s="76"/>
      <c r="G123" s="76"/>
      <c r="H123" s="76"/>
      <c r="I123" s="76"/>
      <c r="J123" s="76"/>
      <c r="K123" s="76"/>
    </row>
  </sheetData>
  <mergeCells count="3">
    <mergeCell ref="A1:J1"/>
    <mergeCell ref="A2:J2"/>
    <mergeCell ref="B123:K123"/>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23"/>
  <sheetViews>
    <sheetView zoomScaleNormal="100" workbookViewId="0">
      <selection activeCell="E7" sqref="E7"/>
    </sheetView>
  </sheetViews>
  <sheetFormatPr defaultColWidth="8.6328125" defaultRowHeight="14.5"/>
  <cols>
    <col min="1" max="1" width="2.453125" customWidth="1"/>
    <col min="2" max="3" width="7" customWidth="1"/>
    <col min="4" max="4" width="40" customWidth="1"/>
    <col min="5" max="6" width="10" customWidth="1"/>
    <col min="7" max="7" width="9" customWidth="1"/>
    <col min="8" max="9" width="10" customWidth="1"/>
  </cols>
  <sheetData>
    <row r="1" spans="1:9" ht="25.5" customHeight="1">
      <c r="A1" s="74" t="s">
        <v>488</v>
      </c>
      <c r="B1" s="74"/>
      <c r="C1" s="74"/>
      <c r="D1" s="74"/>
      <c r="E1" s="74"/>
      <c r="F1" s="74"/>
      <c r="G1" s="74"/>
      <c r="H1" s="74"/>
      <c r="I1" s="74"/>
    </row>
    <row r="2" spans="1:9" ht="15" customHeight="1">
      <c r="A2" s="75" t="s">
        <v>489</v>
      </c>
      <c r="B2" s="75"/>
      <c r="C2" s="75"/>
      <c r="D2" s="75"/>
      <c r="E2" s="75"/>
      <c r="F2" s="75"/>
      <c r="G2" s="75"/>
      <c r="H2" s="75"/>
      <c r="I2" s="75"/>
    </row>
    <row r="4" spans="1:9" ht="15" customHeight="1">
      <c r="B4" s="5" t="s">
        <v>438</v>
      </c>
      <c r="C4" s="5" t="s">
        <v>490</v>
      </c>
      <c r="D4" s="5" t="s">
        <v>309</v>
      </c>
      <c r="E4" s="5" t="s">
        <v>491</v>
      </c>
      <c r="F4" s="5" t="s">
        <v>492</v>
      </c>
      <c r="G4" s="5" t="s">
        <v>493</v>
      </c>
      <c r="H4" s="5" t="s">
        <v>494</v>
      </c>
    </row>
    <row r="5" spans="1:9" ht="15" customHeight="1">
      <c r="B5" s="19">
        <v>1</v>
      </c>
      <c r="C5" s="11" t="s">
        <v>324</v>
      </c>
      <c r="D5" s="2" t="s">
        <v>427</v>
      </c>
      <c r="E5" s="16">
        <v>4</v>
      </c>
      <c r="F5" s="16">
        <v>3</v>
      </c>
      <c r="G5" s="13">
        <f>E5+F5</f>
        <v>7</v>
      </c>
      <c r="H5" s="9">
        <f>E5*SUM('Pod Library'!$J$5:$J$16)+F5*SUM('Pod Library'!$J$19:$J$32)</f>
        <v>66</v>
      </c>
    </row>
    <row r="6" spans="1:9" ht="15" customHeight="1">
      <c r="B6" s="19">
        <v>1</v>
      </c>
      <c r="C6" s="11" t="s">
        <v>325</v>
      </c>
      <c r="D6" s="2" t="s">
        <v>431</v>
      </c>
      <c r="E6" s="16">
        <v>0</v>
      </c>
      <c r="F6" s="16">
        <v>2</v>
      </c>
      <c r="G6" s="13">
        <f>E6+F6</f>
        <v>2</v>
      </c>
      <c r="H6" s="9">
        <f>E6*SUM('Pod Library'!$J$5:$J$16)+F6*SUM('Pod Library'!$J$19:$J$32)</f>
        <v>21.999999999999996</v>
      </c>
    </row>
    <row r="7" spans="1:9" ht="15" customHeight="1">
      <c r="D7" s="14" t="s">
        <v>495</v>
      </c>
      <c r="E7" s="21">
        <f>SUM(E5:E6)</f>
        <v>4</v>
      </c>
      <c r="F7" s="21">
        <f>SUM(F5:F6)</f>
        <v>5</v>
      </c>
      <c r="G7" s="21">
        <f>SUM(G5:G6)</f>
        <v>9</v>
      </c>
      <c r="H7" s="15">
        <f>SUM(H5:H6)</f>
        <v>88</v>
      </c>
    </row>
    <row r="9" spans="1:9" ht="15" customHeight="1">
      <c r="B9" s="19">
        <v>2</v>
      </c>
      <c r="C9" s="11" t="s">
        <v>324</v>
      </c>
      <c r="D9" s="2" t="s">
        <v>427</v>
      </c>
      <c r="E9" s="16">
        <v>6</v>
      </c>
      <c r="F9" s="16">
        <v>1</v>
      </c>
      <c r="G9" s="13">
        <f>E9+F9</f>
        <v>7</v>
      </c>
      <c r="H9" s="9">
        <f>E9*SUM('Pod Library'!$J$36:$J$46)+F9*SUM('Pod Library'!$J$50:$J$61)</f>
        <v>54.249999801999991</v>
      </c>
    </row>
    <row r="10" spans="1:9" ht="15" customHeight="1">
      <c r="B10" s="19">
        <v>2</v>
      </c>
      <c r="C10" s="11" t="s">
        <v>325</v>
      </c>
      <c r="D10" s="2" t="s">
        <v>431</v>
      </c>
      <c r="E10" s="16">
        <v>0</v>
      </c>
      <c r="F10" s="16">
        <v>1</v>
      </c>
      <c r="G10" s="13">
        <f>E10+F10</f>
        <v>1</v>
      </c>
      <c r="H10" s="9">
        <f>E10*SUM('Pod Library'!$J$36:$J$46)+F10*SUM('Pod Library'!$J$50:$J$61)</f>
        <v>9.25</v>
      </c>
    </row>
    <row r="11" spans="1:9" ht="15" customHeight="1">
      <c r="D11" s="14" t="s">
        <v>496</v>
      </c>
      <c r="E11" s="21">
        <f>SUM(E9:E10)</f>
        <v>6</v>
      </c>
      <c r="F11" s="21">
        <f>SUM(F9:F10)</f>
        <v>2</v>
      </c>
      <c r="G11" s="21">
        <f>SUM(G9:G10)</f>
        <v>8</v>
      </c>
      <c r="H11" s="15">
        <f>SUM(H9:H10)</f>
        <v>63.499999801999991</v>
      </c>
    </row>
    <row r="13" spans="1:9" ht="15" customHeight="1">
      <c r="B13" s="19">
        <v>3</v>
      </c>
      <c r="C13" s="11" t="s">
        <v>324</v>
      </c>
      <c r="D13" s="2" t="s">
        <v>427</v>
      </c>
      <c r="E13" s="16">
        <v>6</v>
      </c>
      <c r="F13" s="16">
        <v>0</v>
      </c>
      <c r="G13" s="13">
        <f>E13+F13</f>
        <v>6</v>
      </c>
      <c r="H13" s="9">
        <f>E13*SUM('Pod Library'!$J$65:$J$75)+F13*SUM('Pod Library'!$J$79:$J$90)</f>
        <v>41.519999999999996</v>
      </c>
    </row>
    <row r="14" spans="1:9" ht="15" customHeight="1">
      <c r="B14" s="19">
        <v>3</v>
      </c>
      <c r="C14" s="11" t="s">
        <v>325</v>
      </c>
      <c r="D14" s="2" t="s">
        <v>431</v>
      </c>
      <c r="E14" s="16">
        <v>1</v>
      </c>
      <c r="F14" s="16">
        <v>0</v>
      </c>
      <c r="G14" s="13">
        <f>E14+F14</f>
        <v>1</v>
      </c>
      <c r="H14" s="9">
        <f>E14*SUM('Pod Library'!$J$65:$J$75)+F14*SUM('Pod Library'!$J$79:$J$90)</f>
        <v>6.92</v>
      </c>
    </row>
    <row r="15" spans="1:9" ht="15" customHeight="1">
      <c r="D15" s="14" t="s">
        <v>497</v>
      </c>
      <c r="E15" s="21">
        <f>SUM(E13:E14)</f>
        <v>7</v>
      </c>
      <c r="F15" s="21">
        <f>SUM(F13:F14)</f>
        <v>0</v>
      </c>
      <c r="G15" s="21">
        <f>SUM(G13:G14)</f>
        <v>7</v>
      </c>
      <c r="H15" s="15">
        <f>SUM(H13:H14)</f>
        <v>48.44</v>
      </c>
    </row>
    <row r="17" spans="2:8" ht="15" customHeight="1">
      <c r="B17" s="19">
        <v>4</v>
      </c>
      <c r="C17" s="11" t="s">
        <v>324</v>
      </c>
      <c r="D17" s="2" t="s">
        <v>427</v>
      </c>
      <c r="E17" s="16">
        <v>6</v>
      </c>
      <c r="F17" s="16">
        <v>0</v>
      </c>
      <c r="G17" s="13">
        <f>E17+F17</f>
        <v>6</v>
      </c>
      <c r="H17" s="9">
        <f>E17*SUM('Pod Library'!$J$94:$J$104)</f>
        <v>30.857142857142854</v>
      </c>
    </row>
    <row r="18" spans="2:8" ht="15" customHeight="1">
      <c r="B18" s="19">
        <v>4</v>
      </c>
      <c r="C18" s="11" t="s">
        <v>325</v>
      </c>
      <c r="D18" s="2" t="s">
        <v>431</v>
      </c>
      <c r="E18" s="16">
        <v>1</v>
      </c>
      <c r="F18" s="16">
        <v>0</v>
      </c>
      <c r="G18" s="13">
        <f>E18+F18</f>
        <v>1</v>
      </c>
      <c r="H18" s="9">
        <f>E18*SUM('Pod Library'!$J$94:$J$104)</f>
        <v>5.1428571428571423</v>
      </c>
    </row>
    <row r="19" spans="2:8" ht="15" customHeight="1">
      <c r="D19" s="14" t="s">
        <v>498</v>
      </c>
      <c r="E19" s="21">
        <f>SUM(E17:E18)</f>
        <v>7</v>
      </c>
      <c r="F19" s="21">
        <f>SUM(F17:F18)</f>
        <v>0</v>
      </c>
      <c r="G19" s="21">
        <f>SUM(G17:G18)</f>
        <v>7</v>
      </c>
      <c r="H19" s="15">
        <f>SUM(H17:H18)</f>
        <v>36</v>
      </c>
    </row>
    <row r="21" spans="2:8" ht="15" customHeight="1">
      <c r="B21" s="19">
        <v>5</v>
      </c>
      <c r="C21" s="11" t="s">
        <v>324</v>
      </c>
      <c r="D21" s="2" t="s">
        <v>427</v>
      </c>
      <c r="E21" s="16">
        <v>5</v>
      </c>
      <c r="F21" s="16">
        <v>0</v>
      </c>
      <c r="G21" s="13">
        <f>E21+F21</f>
        <v>5</v>
      </c>
      <c r="H21" s="9">
        <f>E21*SUM('Pod Library'!$J$108:$J$118)</f>
        <v>26.666666666666664</v>
      </c>
    </row>
    <row r="22" spans="2:8" ht="15" customHeight="1">
      <c r="B22" s="19">
        <v>5</v>
      </c>
      <c r="C22" s="11" t="s">
        <v>325</v>
      </c>
      <c r="D22" s="2" t="s">
        <v>431</v>
      </c>
      <c r="E22" s="16">
        <v>1</v>
      </c>
      <c r="F22" s="16">
        <v>0</v>
      </c>
      <c r="G22" s="13">
        <f>E22+F22</f>
        <v>1</v>
      </c>
      <c r="H22" s="9">
        <f>E22*SUM('Pod Library'!$J$108:$J$118)</f>
        <v>5.333333333333333</v>
      </c>
    </row>
    <row r="23" spans="2:8" ht="15" customHeight="1">
      <c r="D23" s="14" t="s">
        <v>499</v>
      </c>
      <c r="E23" s="21">
        <f>SUM(E21:E22)</f>
        <v>6</v>
      </c>
      <c r="F23" s="21">
        <f>SUM(F21:F22)</f>
        <v>0</v>
      </c>
      <c r="G23" s="21">
        <f>SUM(G21:G22)</f>
        <v>6</v>
      </c>
      <c r="H23" s="15">
        <f>SUM(H21:H22)</f>
        <v>31.999999999999996</v>
      </c>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105"/>
  <sheetViews>
    <sheetView topLeftCell="B49" zoomScaleNormal="100" workbookViewId="0">
      <selection activeCell="I99" sqref="I99"/>
    </sheetView>
  </sheetViews>
  <sheetFormatPr defaultColWidth="8.6328125" defaultRowHeight="14.5"/>
  <cols>
    <col min="1" max="1" width="2.453125" customWidth="1"/>
    <col min="2" max="2" width="6" customWidth="1"/>
    <col min="3" max="3" width="7" customWidth="1"/>
    <col min="4" max="4" width="8" customWidth="1"/>
    <col min="5" max="5" width="40" customWidth="1"/>
    <col min="6" max="7" width="7" customWidth="1"/>
    <col min="8" max="9" width="9" customWidth="1"/>
    <col min="10" max="10" width="13" customWidth="1"/>
  </cols>
  <sheetData>
    <row r="1" spans="1:12" ht="25.5" customHeight="1">
      <c r="A1" s="74" t="s">
        <v>500</v>
      </c>
      <c r="B1" s="74"/>
      <c r="C1" s="74"/>
      <c r="D1" s="74"/>
      <c r="E1" s="74"/>
      <c r="F1" s="74"/>
      <c r="G1" s="74"/>
      <c r="H1" s="74"/>
      <c r="I1" s="74"/>
      <c r="J1" s="74"/>
      <c r="K1" s="74"/>
      <c r="L1" s="74"/>
    </row>
    <row r="2" spans="1:12" ht="15" customHeight="1">
      <c r="A2" s="75" t="s">
        <v>501</v>
      </c>
      <c r="B2" s="75"/>
      <c r="C2" s="75"/>
      <c r="D2" s="75"/>
      <c r="E2" s="75"/>
      <c r="F2" s="75"/>
      <c r="G2" s="75"/>
      <c r="H2" s="75"/>
      <c r="I2" s="75"/>
      <c r="J2" s="75"/>
      <c r="K2" s="75"/>
      <c r="L2" s="75"/>
    </row>
    <row r="4" spans="1:12" ht="15" customHeight="1">
      <c r="B4" s="5" t="s">
        <v>438</v>
      </c>
      <c r="C4" s="5" t="s">
        <v>502</v>
      </c>
      <c r="D4" s="5" t="s">
        <v>442</v>
      </c>
      <c r="E4" s="5" t="s">
        <v>441</v>
      </c>
      <c r="F4" s="5" t="s">
        <v>443</v>
      </c>
      <c r="G4" s="5" t="s">
        <v>444</v>
      </c>
      <c r="H4" s="5" t="s">
        <v>445</v>
      </c>
      <c r="I4" s="5" t="s">
        <v>446</v>
      </c>
      <c r="J4" s="5" t="s">
        <v>447</v>
      </c>
    </row>
    <row r="5" spans="1:12" ht="15" customHeight="1">
      <c r="B5" s="19">
        <v>1</v>
      </c>
      <c r="C5" s="11" t="s">
        <v>503</v>
      </c>
      <c r="D5" s="11" t="s">
        <v>450</v>
      </c>
      <c r="E5" s="2" t="s">
        <v>504</v>
      </c>
      <c r="F5" s="35" t="s">
        <v>232</v>
      </c>
      <c r="G5" s="35" t="s">
        <v>238</v>
      </c>
      <c r="H5" s="35" t="s">
        <v>378</v>
      </c>
      <c r="I5" s="41">
        <v>1</v>
      </c>
      <c r="J5" s="42">
        <f t="shared" ref="J5:J22" si="0">I5</f>
        <v>1</v>
      </c>
    </row>
    <row r="6" spans="1:12" ht="15" customHeight="1">
      <c r="B6" s="19">
        <v>1</v>
      </c>
      <c r="C6" s="11" t="s">
        <v>503</v>
      </c>
      <c r="D6" s="11" t="s">
        <v>461</v>
      </c>
      <c r="E6" s="2" t="s">
        <v>505</v>
      </c>
      <c r="F6" s="35" t="s">
        <v>230</v>
      </c>
      <c r="G6" s="35" t="s">
        <v>238</v>
      </c>
      <c r="H6" s="35" t="s">
        <v>378</v>
      </c>
      <c r="I6" s="41">
        <v>2</v>
      </c>
      <c r="J6" s="42">
        <f t="shared" si="0"/>
        <v>2</v>
      </c>
    </row>
    <row r="7" spans="1:12" ht="15" customHeight="1">
      <c r="B7" s="19">
        <v>1</v>
      </c>
      <c r="C7" s="11" t="s">
        <v>503</v>
      </c>
      <c r="D7" s="11" t="s">
        <v>461</v>
      </c>
      <c r="E7" s="2" t="s">
        <v>506</v>
      </c>
      <c r="F7" s="35" t="s">
        <v>229</v>
      </c>
      <c r="G7" s="35" t="s">
        <v>239</v>
      </c>
      <c r="H7" s="35" t="s">
        <v>378</v>
      </c>
      <c r="I7" s="41">
        <v>0.5</v>
      </c>
      <c r="J7" s="42">
        <f t="shared" si="0"/>
        <v>0.5</v>
      </c>
    </row>
    <row r="8" spans="1:12" ht="15" customHeight="1">
      <c r="B8" s="19">
        <v>1</v>
      </c>
      <c r="C8" s="11" t="s">
        <v>503</v>
      </c>
      <c r="D8" s="11" t="s">
        <v>463</v>
      </c>
      <c r="E8" s="2" t="s">
        <v>507</v>
      </c>
      <c r="F8" s="35" t="s">
        <v>230</v>
      </c>
      <c r="G8" s="35" t="s">
        <v>239</v>
      </c>
      <c r="H8" s="35" t="s">
        <v>378</v>
      </c>
      <c r="I8" s="41">
        <v>0.5</v>
      </c>
      <c r="J8" s="42">
        <f t="shared" si="0"/>
        <v>0.5</v>
      </c>
    </row>
    <row r="9" spans="1:12" ht="15" customHeight="1">
      <c r="B9" s="19">
        <v>1</v>
      </c>
      <c r="C9" s="11" t="s">
        <v>503</v>
      </c>
      <c r="D9" s="11" t="s">
        <v>453</v>
      </c>
      <c r="E9" s="2" t="s">
        <v>508</v>
      </c>
      <c r="F9" s="35" t="s">
        <v>230</v>
      </c>
      <c r="G9" s="35" t="s">
        <v>238</v>
      </c>
      <c r="H9" s="35" t="s">
        <v>378</v>
      </c>
      <c r="I9" s="41">
        <v>1</v>
      </c>
      <c r="J9" s="42">
        <f t="shared" si="0"/>
        <v>1</v>
      </c>
    </row>
    <row r="10" spans="1:12" ht="15" customHeight="1">
      <c r="B10" s="19">
        <v>1</v>
      </c>
      <c r="C10" s="11" t="s">
        <v>503</v>
      </c>
      <c r="D10" s="11" t="s">
        <v>453</v>
      </c>
      <c r="E10" s="2" t="s">
        <v>509</v>
      </c>
      <c r="F10" s="35" t="s">
        <v>230</v>
      </c>
      <c r="G10" s="35" t="s">
        <v>239</v>
      </c>
      <c r="H10" s="35" t="s">
        <v>454</v>
      </c>
      <c r="I10" s="41">
        <v>3</v>
      </c>
      <c r="J10" s="42">
        <f t="shared" si="0"/>
        <v>3</v>
      </c>
    </row>
    <row r="11" spans="1:12" ht="15" customHeight="1">
      <c r="B11" s="19">
        <v>1</v>
      </c>
      <c r="C11" s="11" t="s">
        <v>503</v>
      </c>
      <c r="D11" s="11" t="s">
        <v>461</v>
      </c>
      <c r="E11" s="2" t="s">
        <v>510</v>
      </c>
      <c r="F11" s="35" t="s">
        <v>230</v>
      </c>
      <c r="G11" s="35" t="s">
        <v>238</v>
      </c>
      <c r="H11" s="35" t="s">
        <v>468</v>
      </c>
      <c r="I11" s="41">
        <v>1</v>
      </c>
      <c r="J11" s="42">
        <f t="shared" si="0"/>
        <v>1</v>
      </c>
    </row>
    <row r="12" spans="1:12" ht="15" customHeight="1">
      <c r="B12" s="19">
        <v>1</v>
      </c>
      <c r="C12" s="11" t="s">
        <v>503</v>
      </c>
      <c r="D12" s="11" t="s">
        <v>461</v>
      </c>
      <c r="E12" s="2" t="s">
        <v>466</v>
      </c>
      <c r="F12" s="35" t="s">
        <v>230</v>
      </c>
      <c r="G12" s="35" t="s">
        <v>238</v>
      </c>
      <c r="H12" s="35" t="s">
        <v>379</v>
      </c>
      <c r="I12" s="41">
        <v>1</v>
      </c>
      <c r="J12" s="42">
        <f t="shared" si="0"/>
        <v>1</v>
      </c>
    </row>
    <row r="13" spans="1:12" ht="15" customHeight="1">
      <c r="B13" s="19">
        <v>1</v>
      </c>
      <c r="C13" s="11" t="s">
        <v>511</v>
      </c>
      <c r="D13" s="11" t="s">
        <v>459</v>
      </c>
      <c r="E13" s="2" t="s">
        <v>512</v>
      </c>
      <c r="F13" s="35" t="s">
        <v>232</v>
      </c>
      <c r="G13" s="35" t="s">
        <v>238</v>
      </c>
      <c r="H13" s="35" t="s">
        <v>378</v>
      </c>
      <c r="I13" s="41">
        <v>2</v>
      </c>
      <c r="J13" s="42">
        <f t="shared" si="0"/>
        <v>2</v>
      </c>
    </row>
    <row r="14" spans="1:12" ht="15" customHeight="1">
      <c r="B14" s="19">
        <v>1</v>
      </c>
      <c r="C14" s="11" t="s">
        <v>511</v>
      </c>
      <c r="D14" s="11" t="s">
        <v>459</v>
      </c>
      <c r="E14" s="2" t="s">
        <v>513</v>
      </c>
      <c r="F14" s="35" t="s">
        <v>230</v>
      </c>
      <c r="G14" s="35" t="s">
        <v>239</v>
      </c>
      <c r="H14" s="35" t="s">
        <v>378</v>
      </c>
      <c r="I14" s="41">
        <v>0.5</v>
      </c>
      <c r="J14" s="42">
        <f t="shared" si="0"/>
        <v>0.5</v>
      </c>
    </row>
    <row r="15" spans="1:12" ht="15" customHeight="1">
      <c r="B15" s="19">
        <v>1</v>
      </c>
      <c r="C15" s="11" t="s">
        <v>511</v>
      </c>
      <c r="D15" s="11" t="s">
        <v>453</v>
      </c>
      <c r="E15" s="2" t="s">
        <v>514</v>
      </c>
      <c r="F15" s="35" t="s">
        <v>229</v>
      </c>
      <c r="G15" s="35" t="s">
        <v>239</v>
      </c>
      <c r="H15" s="35" t="s">
        <v>378</v>
      </c>
      <c r="I15" s="41">
        <v>0.5</v>
      </c>
      <c r="J15" s="42">
        <f t="shared" si="0"/>
        <v>0.5</v>
      </c>
    </row>
    <row r="16" spans="1:12" ht="15" customHeight="1">
      <c r="B16" s="19">
        <v>1</v>
      </c>
      <c r="C16" s="11" t="s">
        <v>511</v>
      </c>
      <c r="D16" s="11" t="s">
        <v>247</v>
      </c>
      <c r="E16" s="2" t="s">
        <v>515</v>
      </c>
      <c r="F16" s="35" t="s">
        <v>231</v>
      </c>
      <c r="G16" s="35" t="s">
        <v>238</v>
      </c>
      <c r="H16" s="35" t="s">
        <v>379</v>
      </c>
      <c r="I16" s="41">
        <v>0.5</v>
      </c>
      <c r="J16" s="42">
        <f t="shared" si="0"/>
        <v>0.5</v>
      </c>
    </row>
    <row r="17" spans="2:17" ht="15" customHeight="1">
      <c r="B17" s="19">
        <v>1</v>
      </c>
      <c r="C17" s="11" t="s">
        <v>516</v>
      </c>
      <c r="D17" s="11" t="s">
        <v>450</v>
      </c>
      <c r="E17" s="2" t="s">
        <v>517</v>
      </c>
      <c r="F17" s="35" t="s">
        <v>232</v>
      </c>
      <c r="G17" s="35" t="s">
        <v>238</v>
      </c>
      <c r="H17" s="35" t="s">
        <v>378</v>
      </c>
      <c r="I17" s="41">
        <v>0.5</v>
      </c>
      <c r="J17" s="42">
        <f t="shared" si="0"/>
        <v>0.5</v>
      </c>
    </row>
    <row r="18" spans="2:17" ht="15" customHeight="1">
      <c r="B18" s="19">
        <v>1</v>
      </c>
      <c r="C18" s="11" t="s">
        <v>516</v>
      </c>
      <c r="D18" s="11" t="s">
        <v>463</v>
      </c>
      <c r="E18" s="2" t="s">
        <v>518</v>
      </c>
      <c r="F18" s="35" t="s">
        <v>232</v>
      </c>
      <c r="G18" s="35" t="s">
        <v>238</v>
      </c>
      <c r="H18" s="35" t="s">
        <v>378</v>
      </c>
      <c r="I18" s="41">
        <v>0.5</v>
      </c>
      <c r="J18" s="42">
        <f t="shared" si="0"/>
        <v>0.5</v>
      </c>
    </row>
    <row r="19" spans="2:17" ht="15" customHeight="1">
      <c r="B19" s="19">
        <v>1</v>
      </c>
      <c r="C19" s="11" t="s">
        <v>516</v>
      </c>
      <c r="D19" s="11" t="s">
        <v>463</v>
      </c>
      <c r="E19" s="2" t="s">
        <v>519</v>
      </c>
      <c r="F19" s="35" t="s">
        <v>232</v>
      </c>
      <c r="G19" s="35" t="s">
        <v>238</v>
      </c>
      <c r="H19" s="35" t="s">
        <v>378</v>
      </c>
      <c r="I19" s="41">
        <v>0.5</v>
      </c>
      <c r="J19" s="42">
        <f t="shared" si="0"/>
        <v>0.5</v>
      </c>
    </row>
    <row r="20" spans="2:17" ht="15" customHeight="1">
      <c r="B20" s="19">
        <v>1</v>
      </c>
      <c r="C20" s="11" t="s">
        <v>516</v>
      </c>
      <c r="D20" s="11" t="s">
        <v>450</v>
      </c>
      <c r="E20" s="2" t="s">
        <v>520</v>
      </c>
      <c r="F20" s="35" t="s">
        <v>231</v>
      </c>
      <c r="G20" s="35" t="s">
        <v>238</v>
      </c>
      <c r="H20" s="35" t="s">
        <v>378</v>
      </c>
      <c r="I20" s="41">
        <v>0.5</v>
      </c>
      <c r="J20" s="42">
        <f t="shared" si="0"/>
        <v>0.5</v>
      </c>
    </row>
    <row r="21" spans="2:17" ht="15" customHeight="1">
      <c r="B21" s="19">
        <v>1</v>
      </c>
      <c r="C21" s="11" t="s">
        <v>516</v>
      </c>
      <c r="D21" s="11" t="s">
        <v>247</v>
      </c>
      <c r="E21" s="2" t="s">
        <v>521</v>
      </c>
      <c r="F21" s="35" t="s">
        <v>232</v>
      </c>
      <c r="G21" s="35" t="s">
        <v>238</v>
      </c>
      <c r="H21" s="35" t="s">
        <v>379</v>
      </c>
      <c r="I21" s="41">
        <v>1.5</v>
      </c>
      <c r="J21" s="42">
        <f t="shared" si="0"/>
        <v>1.5</v>
      </c>
    </row>
    <row r="22" spans="2:17" ht="15" customHeight="1">
      <c r="B22" s="19">
        <v>1</v>
      </c>
      <c r="C22" s="11" t="s">
        <v>516</v>
      </c>
      <c r="D22" s="11" t="s">
        <v>450</v>
      </c>
      <c r="E22" s="2" t="s">
        <v>522</v>
      </c>
      <c r="F22" s="35" t="s">
        <v>231</v>
      </c>
      <c r="G22" s="35" t="s">
        <v>238</v>
      </c>
      <c r="H22" s="35" t="s">
        <v>379</v>
      </c>
      <c r="I22" s="41">
        <v>1.5</v>
      </c>
      <c r="J22" s="42">
        <f t="shared" si="0"/>
        <v>1.5</v>
      </c>
    </row>
    <row r="23" spans="2:17" ht="15" customHeight="1">
      <c r="E23" s="14" t="s">
        <v>523</v>
      </c>
      <c r="I23" s="15">
        <f>SUM(I5:I22)</f>
        <v>18.5</v>
      </c>
    </row>
    <row r="25" spans="2:17" ht="15" customHeight="1">
      <c r="B25" s="19">
        <v>2</v>
      </c>
      <c r="C25" s="11" t="s">
        <v>503</v>
      </c>
      <c r="D25" s="11" t="s">
        <v>450</v>
      </c>
      <c r="E25" s="2" t="s">
        <v>504</v>
      </c>
      <c r="F25" s="35" t="s">
        <v>232</v>
      </c>
      <c r="G25" s="35" t="s">
        <v>238</v>
      </c>
      <c r="H25" s="35" t="s">
        <v>378</v>
      </c>
      <c r="I25" s="41">
        <v>1</v>
      </c>
      <c r="J25" s="42">
        <f t="shared" ref="J25:J42" si="1">I25</f>
        <v>1</v>
      </c>
      <c r="K25" s="70"/>
      <c r="L25" s="70"/>
      <c r="M25" s="71"/>
      <c r="N25" s="72"/>
      <c r="O25" s="72"/>
      <c r="P25" s="72"/>
      <c r="Q25" s="73"/>
    </row>
    <row r="26" spans="2:17" ht="15" customHeight="1">
      <c r="B26" s="19">
        <v>2</v>
      </c>
      <c r="C26" s="11" t="s">
        <v>503</v>
      </c>
      <c r="D26" s="11" t="s">
        <v>461</v>
      </c>
      <c r="E26" s="2" t="s">
        <v>505</v>
      </c>
      <c r="F26" s="35" t="s">
        <v>230</v>
      </c>
      <c r="G26" s="35" t="s">
        <v>238</v>
      </c>
      <c r="H26" s="35" t="s">
        <v>378</v>
      </c>
      <c r="I26" s="41">
        <v>1</v>
      </c>
      <c r="J26" s="42">
        <f t="shared" si="1"/>
        <v>1</v>
      </c>
      <c r="K26" s="70"/>
      <c r="L26" s="70"/>
      <c r="M26" s="71"/>
      <c r="N26" s="72"/>
      <c r="O26" s="72"/>
      <c r="P26" s="72"/>
      <c r="Q26" s="73"/>
    </row>
    <row r="27" spans="2:17" ht="15" customHeight="1">
      <c r="B27" s="19">
        <v>2</v>
      </c>
      <c r="C27" s="11" t="s">
        <v>503</v>
      </c>
      <c r="D27" s="11" t="s">
        <v>461</v>
      </c>
      <c r="E27" s="2" t="s">
        <v>506</v>
      </c>
      <c r="F27" s="35" t="s">
        <v>229</v>
      </c>
      <c r="G27" s="35" t="s">
        <v>239</v>
      </c>
      <c r="H27" s="35" t="s">
        <v>378</v>
      </c>
      <c r="I27" s="41">
        <v>1.5</v>
      </c>
      <c r="J27" s="42">
        <f t="shared" si="1"/>
        <v>1.5</v>
      </c>
      <c r="K27" s="70"/>
      <c r="L27" s="70"/>
      <c r="M27" s="71"/>
      <c r="N27" s="72"/>
      <c r="O27" s="72"/>
      <c r="P27" s="72"/>
      <c r="Q27" s="73"/>
    </row>
    <row r="28" spans="2:17" ht="15" customHeight="1">
      <c r="B28" s="19">
        <v>2</v>
      </c>
      <c r="C28" s="11" t="s">
        <v>503</v>
      </c>
      <c r="D28" s="11" t="s">
        <v>463</v>
      </c>
      <c r="E28" s="2" t="s">
        <v>507</v>
      </c>
      <c r="F28" s="35" t="s">
        <v>230</v>
      </c>
      <c r="G28" s="35" t="s">
        <v>239</v>
      </c>
      <c r="H28" s="35" t="s">
        <v>378</v>
      </c>
      <c r="I28" s="41">
        <v>1</v>
      </c>
      <c r="J28" s="42">
        <f t="shared" si="1"/>
        <v>1</v>
      </c>
      <c r="K28" s="70"/>
      <c r="L28" s="70"/>
      <c r="M28" s="71"/>
      <c r="N28" s="72"/>
      <c r="O28" s="72"/>
      <c r="P28" s="72"/>
      <c r="Q28" s="73"/>
    </row>
    <row r="29" spans="2:17" ht="15" customHeight="1">
      <c r="B29" s="19">
        <v>2</v>
      </c>
      <c r="C29" s="11" t="s">
        <v>503</v>
      </c>
      <c r="D29" s="11" t="s">
        <v>453</v>
      </c>
      <c r="E29" s="2" t="s">
        <v>508</v>
      </c>
      <c r="F29" s="35" t="s">
        <v>230</v>
      </c>
      <c r="G29" s="35" t="s">
        <v>238</v>
      </c>
      <c r="H29" s="35" t="s">
        <v>378</v>
      </c>
      <c r="I29" s="41">
        <v>1</v>
      </c>
      <c r="J29" s="42">
        <f t="shared" si="1"/>
        <v>1</v>
      </c>
      <c r="K29" s="70"/>
      <c r="L29" s="70"/>
      <c r="M29" s="71"/>
      <c r="N29" s="72"/>
      <c r="O29" s="72"/>
      <c r="P29" s="72"/>
      <c r="Q29" s="73"/>
    </row>
    <row r="30" spans="2:17" ht="15" customHeight="1">
      <c r="B30" s="19">
        <v>2</v>
      </c>
      <c r="C30" s="11" t="s">
        <v>503</v>
      </c>
      <c r="D30" s="11" t="s">
        <v>453</v>
      </c>
      <c r="E30" s="2" t="s">
        <v>509</v>
      </c>
      <c r="F30" s="35" t="s">
        <v>230</v>
      </c>
      <c r="G30" s="35" t="s">
        <v>239</v>
      </c>
      <c r="H30" s="35" t="s">
        <v>454</v>
      </c>
      <c r="I30" s="41">
        <v>2</v>
      </c>
      <c r="J30" s="42">
        <f t="shared" si="1"/>
        <v>2</v>
      </c>
      <c r="K30" s="70"/>
      <c r="L30" s="70"/>
      <c r="M30" s="71"/>
      <c r="N30" s="72"/>
      <c r="O30" s="72"/>
      <c r="P30" s="72"/>
      <c r="Q30" s="73"/>
    </row>
    <row r="31" spans="2:17" ht="15" customHeight="1">
      <c r="B31" s="19">
        <v>2</v>
      </c>
      <c r="C31" s="11" t="s">
        <v>503</v>
      </c>
      <c r="D31" s="11" t="s">
        <v>461</v>
      </c>
      <c r="E31" s="2" t="s">
        <v>510</v>
      </c>
      <c r="F31" s="35" t="s">
        <v>230</v>
      </c>
      <c r="G31" s="35" t="s">
        <v>238</v>
      </c>
      <c r="H31" s="35" t="s">
        <v>468</v>
      </c>
      <c r="I31" s="41">
        <v>1.5</v>
      </c>
      <c r="J31" s="42">
        <f t="shared" si="1"/>
        <v>1.5</v>
      </c>
      <c r="K31" s="70"/>
      <c r="L31" s="70"/>
      <c r="M31" s="71"/>
      <c r="N31" s="72"/>
      <c r="O31" s="72"/>
      <c r="P31" s="72"/>
      <c r="Q31" s="73"/>
    </row>
    <row r="32" spans="2:17" ht="15" customHeight="1">
      <c r="B32" s="19">
        <v>2</v>
      </c>
      <c r="C32" s="11" t="s">
        <v>503</v>
      </c>
      <c r="D32" s="11" t="s">
        <v>461</v>
      </c>
      <c r="E32" s="2" t="s">
        <v>466</v>
      </c>
      <c r="F32" s="35" t="s">
        <v>230</v>
      </c>
      <c r="G32" s="35" t="s">
        <v>238</v>
      </c>
      <c r="H32" s="35" t="s">
        <v>379</v>
      </c>
      <c r="I32" s="41">
        <v>2</v>
      </c>
      <c r="J32" s="42">
        <f t="shared" si="1"/>
        <v>2</v>
      </c>
      <c r="K32" s="70"/>
      <c r="L32" s="70"/>
      <c r="M32" s="71"/>
      <c r="N32" s="72"/>
      <c r="O32" s="72"/>
      <c r="P32" s="72"/>
      <c r="Q32" s="73"/>
    </row>
    <row r="33" spans="2:17" ht="15" customHeight="1">
      <c r="B33" s="19">
        <v>2</v>
      </c>
      <c r="C33" s="11" t="s">
        <v>511</v>
      </c>
      <c r="D33" s="11" t="s">
        <v>459</v>
      </c>
      <c r="E33" s="2" t="s">
        <v>512</v>
      </c>
      <c r="F33" s="35" t="s">
        <v>232</v>
      </c>
      <c r="G33" s="35" t="s">
        <v>238</v>
      </c>
      <c r="H33" s="35" t="s">
        <v>378</v>
      </c>
      <c r="I33" s="41">
        <v>0.5</v>
      </c>
      <c r="J33" s="42">
        <f t="shared" si="1"/>
        <v>0.5</v>
      </c>
      <c r="K33" s="70"/>
      <c r="L33" s="70"/>
      <c r="M33" s="71"/>
      <c r="N33" s="72"/>
      <c r="O33" s="72"/>
      <c r="P33" s="72"/>
      <c r="Q33" s="73"/>
    </row>
    <row r="34" spans="2:17" ht="15" customHeight="1">
      <c r="B34" s="19">
        <v>2</v>
      </c>
      <c r="C34" s="11" t="s">
        <v>511</v>
      </c>
      <c r="D34" s="11" t="s">
        <v>459</v>
      </c>
      <c r="E34" s="2" t="s">
        <v>513</v>
      </c>
      <c r="F34" s="35" t="s">
        <v>230</v>
      </c>
      <c r="G34" s="35" t="s">
        <v>239</v>
      </c>
      <c r="H34" s="35" t="s">
        <v>378</v>
      </c>
      <c r="I34" s="41">
        <v>0.5</v>
      </c>
      <c r="J34" s="42">
        <f t="shared" si="1"/>
        <v>0.5</v>
      </c>
      <c r="K34" s="70"/>
      <c r="L34" s="70"/>
      <c r="M34" s="71"/>
      <c r="N34" s="72"/>
      <c r="O34" s="72"/>
      <c r="P34" s="72"/>
      <c r="Q34" s="73"/>
    </row>
    <row r="35" spans="2:17" ht="15" customHeight="1">
      <c r="B35" s="19">
        <v>2</v>
      </c>
      <c r="C35" s="11" t="s">
        <v>511</v>
      </c>
      <c r="D35" s="66" t="s">
        <v>459</v>
      </c>
      <c r="E35" s="2" t="s">
        <v>514</v>
      </c>
      <c r="F35" s="35" t="s">
        <v>229</v>
      </c>
      <c r="G35" s="35" t="s">
        <v>239</v>
      </c>
      <c r="H35" s="35" t="s">
        <v>378</v>
      </c>
      <c r="I35" s="41">
        <v>1</v>
      </c>
      <c r="J35" s="42">
        <f t="shared" si="1"/>
        <v>1</v>
      </c>
      <c r="K35" s="70"/>
      <c r="L35" s="70"/>
      <c r="M35" s="71"/>
      <c r="N35" s="72"/>
      <c r="O35" s="72"/>
      <c r="P35" s="72"/>
      <c r="Q35" s="73"/>
    </row>
    <row r="36" spans="2:17" ht="15" customHeight="1">
      <c r="B36" s="19">
        <v>2</v>
      </c>
      <c r="C36" s="11" t="s">
        <v>511</v>
      </c>
      <c r="D36" s="11" t="s">
        <v>247</v>
      </c>
      <c r="E36" s="2" t="s">
        <v>515</v>
      </c>
      <c r="F36" s="35" t="s">
        <v>231</v>
      </c>
      <c r="G36" s="35" t="s">
        <v>238</v>
      </c>
      <c r="H36" s="35" t="s">
        <v>379</v>
      </c>
      <c r="I36" s="41">
        <v>1.5</v>
      </c>
      <c r="J36" s="42">
        <f t="shared" si="1"/>
        <v>1.5</v>
      </c>
      <c r="K36" s="70"/>
      <c r="L36" s="70"/>
      <c r="M36" s="71"/>
      <c r="N36" s="72"/>
      <c r="O36" s="72"/>
      <c r="P36" s="72"/>
      <c r="Q36" s="73"/>
    </row>
    <row r="37" spans="2:17" ht="15" customHeight="1">
      <c r="B37" s="19">
        <v>2</v>
      </c>
      <c r="C37" s="11" t="s">
        <v>516</v>
      </c>
      <c r="D37" s="11" t="s">
        <v>450</v>
      </c>
      <c r="E37" s="2" t="s">
        <v>517</v>
      </c>
      <c r="F37" s="35" t="s">
        <v>232</v>
      </c>
      <c r="G37" s="35" t="s">
        <v>238</v>
      </c>
      <c r="H37" s="35" t="s">
        <v>378</v>
      </c>
      <c r="I37" s="41">
        <v>0.5</v>
      </c>
      <c r="J37" s="42">
        <f t="shared" si="1"/>
        <v>0.5</v>
      </c>
      <c r="K37" s="70"/>
      <c r="L37" s="70"/>
      <c r="M37" s="71"/>
      <c r="N37" s="72"/>
      <c r="O37" s="72"/>
      <c r="P37" s="72"/>
      <c r="Q37" s="73"/>
    </row>
    <row r="38" spans="2:17" ht="15" customHeight="1">
      <c r="B38" s="19">
        <v>2</v>
      </c>
      <c r="C38" s="11" t="s">
        <v>516</v>
      </c>
      <c r="D38" s="11" t="s">
        <v>463</v>
      </c>
      <c r="E38" s="2" t="s">
        <v>518</v>
      </c>
      <c r="F38" s="35" t="s">
        <v>232</v>
      </c>
      <c r="G38" s="35" t="s">
        <v>238</v>
      </c>
      <c r="H38" s="35" t="s">
        <v>378</v>
      </c>
      <c r="I38" s="41">
        <v>0</v>
      </c>
      <c r="J38" s="42">
        <f t="shared" si="1"/>
        <v>0</v>
      </c>
      <c r="K38" s="70"/>
      <c r="L38" s="70"/>
      <c r="M38" s="71"/>
      <c r="N38" s="72"/>
      <c r="O38" s="72"/>
      <c r="P38" s="72"/>
      <c r="Q38" s="73"/>
    </row>
    <row r="39" spans="2:17" ht="15" customHeight="1">
      <c r="B39" s="19">
        <v>2</v>
      </c>
      <c r="C39" s="11" t="s">
        <v>516</v>
      </c>
      <c r="D39" s="11" t="s">
        <v>463</v>
      </c>
      <c r="E39" s="2" t="s">
        <v>519</v>
      </c>
      <c r="F39" s="35" t="s">
        <v>232</v>
      </c>
      <c r="G39" s="35" t="s">
        <v>238</v>
      </c>
      <c r="H39" s="35" t="s">
        <v>378</v>
      </c>
      <c r="I39" s="41">
        <v>0</v>
      </c>
      <c r="J39" s="42">
        <f t="shared" si="1"/>
        <v>0</v>
      </c>
      <c r="K39" s="70"/>
      <c r="L39" s="70"/>
      <c r="M39" s="71"/>
      <c r="N39" s="72"/>
      <c r="O39" s="72"/>
      <c r="P39" s="72"/>
      <c r="Q39" s="73"/>
    </row>
    <row r="40" spans="2:17" ht="15" customHeight="1">
      <c r="B40" s="19">
        <v>2</v>
      </c>
      <c r="C40" s="11" t="s">
        <v>516</v>
      </c>
      <c r="D40" s="11" t="s">
        <v>450</v>
      </c>
      <c r="E40" s="2" t="s">
        <v>520</v>
      </c>
      <c r="F40" s="35" t="s">
        <v>231</v>
      </c>
      <c r="G40" s="35" t="s">
        <v>238</v>
      </c>
      <c r="H40" s="35" t="s">
        <v>378</v>
      </c>
      <c r="I40" s="41">
        <v>0.5</v>
      </c>
      <c r="J40" s="42">
        <f t="shared" si="1"/>
        <v>0.5</v>
      </c>
      <c r="K40" s="70"/>
      <c r="L40" s="70"/>
      <c r="M40" s="71"/>
      <c r="N40" s="72"/>
      <c r="O40" s="72"/>
      <c r="P40" s="72"/>
      <c r="Q40" s="73"/>
    </row>
    <row r="41" spans="2:17" ht="15" customHeight="1">
      <c r="B41" s="19">
        <v>2</v>
      </c>
      <c r="C41" s="11" t="s">
        <v>516</v>
      </c>
      <c r="D41" s="11" t="s">
        <v>247</v>
      </c>
      <c r="E41" s="2" t="s">
        <v>521</v>
      </c>
      <c r="F41" s="35" t="s">
        <v>232</v>
      </c>
      <c r="G41" s="35" t="s">
        <v>238</v>
      </c>
      <c r="H41" s="35" t="s">
        <v>379</v>
      </c>
      <c r="I41" s="41">
        <v>0.5</v>
      </c>
      <c r="J41" s="42">
        <f t="shared" si="1"/>
        <v>0.5</v>
      </c>
      <c r="K41" s="70"/>
      <c r="L41" s="70"/>
      <c r="M41" s="71"/>
      <c r="N41" s="72"/>
      <c r="O41" s="72"/>
      <c r="P41" s="72"/>
      <c r="Q41" s="73"/>
    </row>
    <row r="42" spans="2:17" ht="15" customHeight="1">
      <c r="B42" s="19">
        <v>2</v>
      </c>
      <c r="C42" s="11" t="s">
        <v>516</v>
      </c>
      <c r="D42" s="11" t="s">
        <v>450</v>
      </c>
      <c r="E42" s="2" t="s">
        <v>522</v>
      </c>
      <c r="F42" s="35" t="s">
        <v>231</v>
      </c>
      <c r="G42" s="35" t="s">
        <v>238</v>
      </c>
      <c r="H42" s="35" t="s">
        <v>379</v>
      </c>
      <c r="I42" s="41">
        <v>2.5</v>
      </c>
      <c r="J42" s="42">
        <f t="shared" si="1"/>
        <v>2.5</v>
      </c>
      <c r="K42" s="70"/>
      <c r="L42" s="70"/>
      <c r="M42" s="71"/>
      <c r="N42" s="72"/>
      <c r="O42" s="72"/>
      <c r="P42" s="72"/>
      <c r="Q42" s="73"/>
    </row>
    <row r="43" spans="2:17" ht="15" customHeight="1">
      <c r="E43" s="14" t="s">
        <v>524</v>
      </c>
      <c r="I43" s="15">
        <f>SUM(I25:I42)</f>
        <v>18.5</v>
      </c>
    </row>
    <row r="45" spans="2:17" ht="15" customHeight="1">
      <c r="B45" s="19">
        <v>3</v>
      </c>
      <c r="C45" s="11" t="s">
        <v>503</v>
      </c>
      <c r="D45" s="11" t="s">
        <v>450</v>
      </c>
      <c r="E45" s="2" t="s">
        <v>504</v>
      </c>
      <c r="F45" s="35" t="s">
        <v>232</v>
      </c>
      <c r="G45" s="35" t="s">
        <v>238</v>
      </c>
      <c r="H45" s="35" t="s">
        <v>378</v>
      </c>
      <c r="I45" s="73">
        <v>0.5</v>
      </c>
      <c r="J45" s="42">
        <f t="shared" ref="J45:J62" si="2">I45</f>
        <v>0.5</v>
      </c>
    </row>
    <row r="46" spans="2:17" ht="15" customHeight="1">
      <c r="B46" s="19">
        <v>3</v>
      </c>
      <c r="C46" s="11" t="s">
        <v>503</v>
      </c>
      <c r="D46" s="11" t="s">
        <v>461</v>
      </c>
      <c r="E46" s="2" t="s">
        <v>505</v>
      </c>
      <c r="F46" s="35" t="s">
        <v>230</v>
      </c>
      <c r="G46" s="35" t="s">
        <v>238</v>
      </c>
      <c r="H46" s="35" t="s">
        <v>378</v>
      </c>
      <c r="I46" s="73">
        <v>0.5</v>
      </c>
      <c r="J46" s="42">
        <f t="shared" si="2"/>
        <v>0.5</v>
      </c>
    </row>
    <row r="47" spans="2:17" ht="15" customHeight="1">
      <c r="B47" s="19">
        <v>3</v>
      </c>
      <c r="C47" s="11" t="s">
        <v>503</v>
      </c>
      <c r="D47" s="11" t="s">
        <v>461</v>
      </c>
      <c r="E47" s="2" t="s">
        <v>506</v>
      </c>
      <c r="F47" s="35" t="s">
        <v>229</v>
      </c>
      <c r="G47" s="35" t="s">
        <v>239</v>
      </c>
      <c r="H47" s="35" t="s">
        <v>378</v>
      </c>
      <c r="I47" s="73">
        <v>0.5</v>
      </c>
      <c r="J47" s="42">
        <f t="shared" si="2"/>
        <v>0.5</v>
      </c>
    </row>
    <row r="48" spans="2:17" ht="15" customHeight="1">
      <c r="B48" s="19">
        <v>3</v>
      </c>
      <c r="C48" s="11" t="s">
        <v>503</v>
      </c>
      <c r="D48" s="11" t="s">
        <v>463</v>
      </c>
      <c r="E48" s="2" t="s">
        <v>507</v>
      </c>
      <c r="F48" s="35" t="s">
        <v>230</v>
      </c>
      <c r="G48" s="35" t="s">
        <v>239</v>
      </c>
      <c r="H48" s="35" t="s">
        <v>378</v>
      </c>
      <c r="I48" s="73">
        <v>0.5</v>
      </c>
      <c r="J48" s="42">
        <f t="shared" si="2"/>
        <v>0.5</v>
      </c>
    </row>
    <row r="49" spans="2:10" ht="15" customHeight="1">
      <c r="B49" s="19">
        <v>3</v>
      </c>
      <c r="C49" s="11" t="s">
        <v>503</v>
      </c>
      <c r="D49" s="11" t="s">
        <v>453</v>
      </c>
      <c r="E49" s="2" t="s">
        <v>508</v>
      </c>
      <c r="F49" s="35" t="s">
        <v>230</v>
      </c>
      <c r="G49" s="35" t="s">
        <v>238</v>
      </c>
      <c r="H49" s="35" t="s">
        <v>378</v>
      </c>
      <c r="I49" s="73">
        <v>0.5</v>
      </c>
      <c r="J49" s="42">
        <f t="shared" si="2"/>
        <v>0.5</v>
      </c>
    </row>
    <row r="50" spans="2:10" ht="15" customHeight="1">
      <c r="B50" s="19">
        <v>3</v>
      </c>
      <c r="C50" s="11" t="s">
        <v>503</v>
      </c>
      <c r="D50" s="11" t="s">
        <v>453</v>
      </c>
      <c r="E50" s="2" t="s">
        <v>509</v>
      </c>
      <c r="F50" s="35" t="s">
        <v>230</v>
      </c>
      <c r="G50" s="35" t="s">
        <v>239</v>
      </c>
      <c r="H50" s="35" t="s">
        <v>454</v>
      </c>
      <c r="I50" s="73">
        <v>2.5</v>
      </c>
      <c r="J50" s="42">
        <f t="shared" si="2"/>
        <v>2.5</v>
      </c>
    </row>
    <row r="51" spans="2:10" ht="15" customHeight="1">
      <c r="B51" s="19">
        <v>3</v>
      </c>
      <c r="C51" s="11" t="s">
        <v>503</v>
      </c>
      <c r="D51" s="11" t="s">
        <v>461</v>
      </c>
      <c r="E51" s="2" t="s">
        <v>510</v>
      </c>
      <c r="F51" s="35" t="s">
        <v>230</v>
      </c>
      <c r="G51" s="35" t="s">
        <v>238</v>
      </c>
      <c r="H51" s="35" t="s">
        <v>468</v>
      </c>
      <c r="I51" s="73">
        <v>7</v>
      </c>
      <c r="J51" s="42">
        <f t="shared" si="2"/>
        <v>7</v>
      </c>
    </row>
    <row r="52" spans="2:10" ht="15" customHeight="1">
      <c r="B52" s="19">
        <v>3</v>
      </c>
      <c r="C52" s="11" t="s">
        <v>503</v>
      </c>
      <c r="D52" s="11" t="s">
        <v>461</v>
      </c>
      <c r="E52" s="2" t="s">
        <v>466</v>
      </c>
      <c r="F52" s="35" t="s">
        <v>230</v>
      </c>
      <c r="G52" s="35" t="s">
        <v>238</v>
      </c>
      <c r="H52" s="35" t="s">
        <v>379</v>
      </c>
      <c r="I52" s="73">
        <v>0.5</v>
      </c>
      <c r="J52" s="42">
        <f t="shared" si="2"/>
        <v>0.5</v>
      </c>
    </row>
    <row r="53" spans="2:10" ht="15" customHeight="1">
      <c r="B53" s="19">
        <v>3</v>
      </c>
      <c r="C53" s="11" t="s">
        <v>511</v>
      </c>
      <c r="D53" s="11" t="s">
        <v>459</v>
      </c>
      <c r="E53" s="2" t="s">
        <v>512</v>
      </c>
      <c r="F53" s="35" t="s">
        <v>232</v>
      </c>
      <c r="G53" s="35" t="s">
        <v>238</v>
      </c>
      <c r="H53" s="35" t="s">
        <v>378</v>
      </c>
      <c r="I53" s="73">
        <v>1</v>
      </c>
      <c r="J53" s="42">
        <f t="shared" si="2"/>
        <v>1</v>
      </c>
    </row>
    <row r="54" spans="2:10" ht="15" customHeight="1">
      <c r="B54" s="19">
        <v>3</v>
      </c>
      <c r="C54" s="11" t="s">
        <v>511</v>
      </c>
      <c r="D54" s="11" t="s">
        <v>459</v>
      </c>
      <c r="E54" s="2" t="s">
        <v>513</v>
      </c>
      <c r="F54" s="35" t="s">
        <v>230</v>
      </c>
      <c r="G54" s="35" t="s">
        <v>239</v>
      </c>
      <c r="H54" s="35" t="s">
        <v>378</v>
      </c>
      <c r="I54" s="73">
        <v>0.5</v>
      </c>
      <c r="J54" s="42">
        <f t="shared" si="2"/>
        <v>0.5</v>
      </c>
    </row>
    <row r="55" spans="2:10" ht="15" customHeight="1">
      <c r="B55" s="19">
        <v>3</v>
      </c>
      <c r="C55" s="11" t="s">
        <v>511</v>
      </c>
      <c r="D55" s="11" t="s">
        <v>453</v>
      </c>
      <c r="E55" s="2" t="s">
        <v>514</v>
      </c>
      <c r="F55" s="35" t="s">
        <v>229</v>
      </c>
      <c r="G55" s="35" t="s">
        <v>239</v>
      </c>
      <c r="H55" s="35" t="s">
        <v>378</v>
      </c>
      <c r="I55" s="73">
        <v>0.5</v>
      </c>
      <c r="J55" s="42">
        <f t="shared" si="2"/>
        <v>0.5</v>
      </c>
    </row>
    <row r="56" spans="2:10" ht="15" customHeight="1">
      <c r="B56" s="19">
        <v>3</v>
      </c>
      <c r="C56" s="11" t="s">
        <v>511</v>
      </c>
      <c r="D56" s="11" t="s">
        <v>247</v>
      </c>
      <c r="E56" s="2" t="s">
        <v>515</v>
      </c>
      <c r="F56" s="35" t="s">
        <v>231</v>
      </c>
      <c r="G56" s="35" t="s">
        <v>238</v>
      </c>
      <c r="H56" s="35" t="s">
        <v>379</v>
      </c>
      <c r="I56" s="73">
        <v>1.5</v>
      </c>
      <c r="J56" s="42">
        <f t="shared" si="2"/>
        <v>1.5</v>
      </c>
    </row>
    <row r="57" spans="2:10" ht="15" customHeight="1">
      <c r="B57" s="19">
        <v>3</v>
      </c>
      <c r="C57" s="11" t="s">
        <v>516</v>
      </c>
      <c r="D57" s="11" t="s">
        <v>450</v>
      </c>
      <c r="E57" s="2" t="s">
        <v>517</v>
      </c>
      <c r="F57" s="35" t="s">
        <v>232</v>
      </c>
      <c r="G57" s="35" t="s">
        <v>238</v>
      </c>
      <c r="H57" s="35" t="s">
        <v>378</v>
      </c>
      <c r="I57" s="73">
        <v>0.5</v>
      </c>
      <c r="J57" s="42">
        <f t="shared" si="2"/>
        <v>0.5</v>
      </c>
    </row>
    <row r="58" spans="2:10" ht="15" customHeight="1">
      <c r="B58" s="19">
        <v>3</v>
      </c>
      <c r="C58" s="11" t="s">
        <v>516</v>
      </c>
      <c r="D58" s="11" t="s">
        <v>463</v>
      </c>
      <c r="E58" s="2" t="s">
        <v>518</v>
      </c>
      <c r="F58" s="35" t="s">
        <v>232</v>
      </c>
      <c r="G58" s="35" t="s">
        <v>238</v>
      </c>
      <c r="H58" s="35" t="s">
        <v>378</v>
      </c>
      <c r="I58" s="73">
        <v>0</v>
      </c>
      <c r="J58" s="42">
        <f t="shared" si="2"/>
        <v>0</v>
      </c>
    </row>
    <row r="59" spans="2:10" ht="15" customHeight="1">
      <c r="B59" s="19">
        <v>3</v>
      </c>
      <c r="C59" s="11" t="s">
        <v>516</v>
      </c>
      <c r="D59" s="11" t="s">
        <v>463</v>
      </c>
      <c r="E59" s="2" t="s">
        <v>519</v>
      </c>
      <c r="F59" s="35" t="s">
        <v>232</v>
      </c>
      <c r="G59" s="35" t="s">
        <v>238</v>
      </c>
      <c r="H59" s="35" t="s">
        <v>378</v>
      </c>
      <c r="I59" s="73">
        <v>0</v>
      </c>
      <c r="J59" s="42">
        <f t="shared" si="2"/>
        <v>0</v>
      </c>
    </row>
    <row r="60" spans="2:10" ht="15" customHeight="1">
      <c r="B60" s="19">
        <v>3</v>
      </c>
      <c r="C60" s="11" t="s">
        <v>516</v>
      </c>
      <c r="D60" s="11" t="s">
        <v>450</v>
      </c>
      <c r="E60" s="2" t="s">
        <v>520</v>
      </c>
      <c r="F60" s="35" t="s">
        <v>231</v>
      </c>
      <c r="G60" s="35" t="s">
        <v>238</v>
      </c>
      <c r="H60" s="35" t="s">
        <v>378</v>
      </c>
      <c r="I60" s="73">
        <v>0.5</v>
      </c>
      <c r="J60" s="42">
        <f t="shared" si="2"/>
        <v>0.5</v>
      </c>
    </row>
    <row r="61" spans="2:10" ht="15" customHeight="1">
      <c r="B61" s="19">
        <v>3</v>
      </c>
      <c r="C61" s="11" t="s">
        <v>516</v>
      </c>
      <c r="D61" s="11" t="s">
        <v>247</v>
      </c>
      <c r="E61" s="2" t="s">
        <v>521</v>
      </c>
      <c r="F61" s="35" t="s">
        <v>232</v>
      </c>
      <c r="G61" s="35" t="s">
        <v>238</v>
      </c>
      <c r="H61" s="35" t="s">
        <v>379</v>
      </c>
      <c r="I61" s="73">
        <v>0.5</v>
      </c>
      <c r="J61" s="42">
        <f t="shared" si="2"/>
        <v>0.5</v>
      </c>
    </row>
    <row r="62" spans="2:10" ht="15" customHeight="1">
      <c r="B62" s="19">
        <v>3</v>
      </c>
      <c r="C62" s="11" t="s">
        <v>516</v>
      </c>
      <c r="D62" s="11" t="s">
        <v>450</v>
      </c>
      <c r="E62" s="2" t="s">
        <v>522</v>
      </c>
      <c r="F62" s="35" t="s">
        <v>231</v>
      </c>
      <c r="G62" s="35" t="s">
        <v>238</v>
      </c>
      <c r="H62" s="35" t="s">
        <v>379</v>
      </c>
      <c r="I62" s="73">
        <v>2</v>
      </c>
      <c r="J62" s="42">
        <f t="shared" si="2"/>
        <v>2</v>
      </c>
    </row>
    <row r="63" spans="2:10" ht="15" customHeight="1">
      <c r="E63" s="14" t="s">
        <v>525</v>
      </c>
      <c r="I63" s="15">
        <f>SUM(I45:I62)</f>
        <v>19.5</v>
      </c>
    </row>
    <row r="65" spans="2:10" ht="15" customHeight="1">
      <c r="B65" s="19">
        <v>4</v>
      </c>
      <c r="C65" s="11" t="s">
        <v>503</v>
      </c>
      <c r="D65" s="11" t="s">
        <v>450</v>
      </c>
      <c r="E65" s="2" t="s">
        <v>504</v>
      </c>
      <c r="F65" s="35" t="s">
        <v>232</v>
      </c>
      <c r="G65" s="35" t="s">
        <v>238</v>
      </c>
      <c r="H65" s="35" t="s">
        <v>378</v>
      </c>
      <c r="I65" s="41">
        <v>0.5</v>
      </c>
      <c r="J65" s="42">
        <f t="shared" ref="J65:J82" si="3">I65</f>
        <v>0.5</v>
      </c>
    </row>
    <row r="66" spans="2:10" ht="15" customHeight="1">
      <c r="B66" s="19">
        <v>4</v>
      </c>
      <c r="C66" s="11" t="s">
        <v>503</v>
      </c>
      <c r="D66" s="11" t="s">
        <v>461</v>
      </c>
      <c r="E66" s="2" t="s">
        <v>505</v>
      </c>
      <c r="F66" s="35" t="s">
        <v>230</v>
      </c>
      <c r="G66" s="35" t="s">
        <v>238</v>
      </c>
      <c r="H66" s="35" t="s">
        <v>378</v>
      </c>
      <c r="I66" s="41">
        <v>0.5</v>
      </c>
      <c r="J66" s="42">
        <f t="shared" si="3"/>
        <v>0.5</v>
      </c>
    </row>
    <row r="67" spans="2:10" ht="15" customHeight="1">
      <c r="B67" s="19">
        <v>4</v>
      </c>
      <c r="C67" s="11" t="s">
        <v>503</v>
      </c>
      <c r="D67" s="11" t="s">
        <v>461</v>
      </c>
      <c r="E67" s="2" t="s">
        <v>506</v>
      </c>
      <c r="F67" s="35" t="s">
        <v>229</v>
      </c>
      <c r="G67" s="35" t="s">
        <v>239</v>
      </c>
      <c r="H67" s="35" t="s">
        <v>378</v>
      </c>
      <c r="I67" s="41">
        <v>0.5</v>
      </c>
      <c r="J67" s="42">
        <f t="shared" si="3"/>
        <v>0.5</v>
      </c>
    </row>
    <row r="68" spans="2:10" ht="15" customHeight="1">
      <c r="B68" s="19">
        <v>4</v>
      </c>
      <c r="C68" s="11" t="s">
        <v>503</v>
      </c>
      <c r="D68" s="11" t="s">
        <v>463</v>
      </c>
      <c r="E68" s="2" t="s">
        <v>507</v>
      </c>
      <c r="F68" s="35" t="s">
        <v>230</v>
      </c>
      <c r="G68" s="35" t="s">
        <v>239</v>
      </c>
      <c r="H68" s="35" t="s">
        <v>378</v>
      </c>
      <c r="I68" s="41">
        <v>0.5</v>
      </c>
      <c r="J68" s="42">
        <f t="shared" si="3"/>
        <v>0.5</v>
      </c>
    </row>
    <row r="69" spans="2:10" ht="15" customHeight="1">
      <c r="B69" s="19">
        <v>4</v>
      </c>
      <c r="C69" s="11" t="s">
        <v>503</v>
      </c>
      <c r="D69" s="11" t="s">
        <v>453</v>
      </c>
      <c r="E69" s="2" t="s">
        <v>508</v>
      </c>
      <c r="F69" s="35" t="s">
        <v>230</v>
      </c>
      <c r="G69" s="35" t="s">
        <v>238</v>
      </c>
      <c r="H69" s="35" t="s">
        <v>378</v>
      </c>
      <c r="I69" s="41">
        <v>0.5</v>
      </c>
      <c r="J69" s="42">
        <f t="shared" si="3"/>
        <v>0.5</v>
      </c>
    </row>
    <row r="70" spans="2:10" ht="15" customHeight="1">
      <c r="B70" s="19">
        <v>4</v>
      </c>
      <c r="C70" s="11" t="s">
        <v>503</v>
      </c>
      <c r="D70" s="11" t="s">
        <v>453</v>
      </c>
      <c r="E70" s="2" t="s">
        <v>509</v>
      </c>
      <c r="F70" s="35" t="s">
        <v>230</v>
      </c>
      <c r="G70" s="35" t="s">
        <v>239</v>
      </c>
      <c r="H70" s="35" t="s">
        <v>454</v>
      </c>
      <c r="I70" s="41">
        <v>4.5</v>
      </c>
      <c r="J70" s="42">
        <f t="shared" si="3"/>
        <v>4.5</v>
      </c>
    </row>
    <row r="71" spans="2:10" ht="15" customHeight="1">
      <c r="B71" s="19">
        <v>4</v>
      </c>
      <c r="C71" s="11" t="s">
        <v>503</v>
      </c>
      <c r="D71" s="11" t="s">
        <v>461</v>
      </c>
      <c r="E71" s="2" t="s">
        <v>510</v>
      </c>
      <c r="F71" s="35" t="s">
        <v>230</v>
      </c>
      <c r="G71" s="35" t="s">
        <v>238</v>
      </c>
      <c r="H71" s="35" t="s">
        <v>468</v>
      </c>
      <c r="I71" s="41">
        <v>4.5</v>
      </c>
      <c r="J71" s="42">
        <f t="shared" si="3"/>
        <v>4.5</v>
      </c>
    </row>
    <row r="72" spans="2:10" ht="15" customHeight="1">
      <c r="B72" s="19">
        <v>4</v>
      </c>
      <c r="C72" s="11" t="s">
        <v>503</v>
      </c>
      <c r="D72" s="11" t="s">
        <v>461</v>
      </c>
      <c r="E72" s="2" t="s">
        <v>466</v>
      </c>
      <c r="F72" s="35" t="s">
        <v>230</v>
      </c>
      <c r="G72" s="35" t="s">
        <v>238</v>
      </c>
      <c r="H72" s="35" t="s">
        <v>379</v>
      </c>
      <c r="I72" s="41">
        <v>3.5</v>
      </c>
      <c r="J72" s="42">
        <f t="shared" si="3"/>
        <v>3.5</v>
      </c>
    </row>
    <row r="73" spans="2:10" ht="15" customHeight="1">
      <c r="B73" s="19">
        <v>4</v>
      </c>
      <c r="C73" s="11" t="s">
        <v>511</v>
      </c>
      <c r="D73" s="11" t="s">
        <v>459</v>
      </c>
      <c r="E73" s="2" t="s">
        <v>512</v>
      </c>
      <c r="F73" s="35" t="s">
        <v>232</v>
      </c>
      <c r="G73" s="35" t="s">
        <v>238</v>
      </c>
      <c r="H73" s="35" t="s">
        <v>378</v>
      </c>
      <c r="I73" s="41">
        <v>0.5</v>
      </c>
      <c r="J73" s="42">
        <f t="shared" si="3"/>
        <v>0.5</v>
      </c>
    </row>
    <row r="74" spans="2:10" ht="15" customHeight="1">
      <c r="B74" s="19">
        <v>4</v>
      </c>
      <c r="C74" s="11" t="s">
        <v>511</v>
      </c>
      <c r="D74" s="11" t="s">
        <v>459</v>
      </c>
      <c r="E74" s="2" t="s">
        <v>513</v>
      </c>
      <c r="F74" s="35" t="s">
        <v>230</v>
      </c>
      <c r="G74" s="35" t="s">
        <v>239</v>
      </c>
      <c r="H74" s="35" t="s">
        <v>378</v>
      </c>
      <c r="I74" s="41">
        <v>0.5</v>
      </c>
      <c r="J74" s="42">
        <f t="shared" si="3"/>
        <v>0.5</v>
      </c>
    </row>
    <row r="75" spans="2:10" ht="15" customHeight="1">
      <c r="B75" s="19">
        <v>4</v>
      </c>
      <c r="C75" s="11" t="s">
        <v>511</v>
      </c>
      <c r="D75" s="11" t="s">
        <v>459</v>
      </c>
      <c r="E75" s="2" t="s">
        <v>514</v>
      </c>
      <c r="F75" s="35" t="s">
        <v>229</v>
      </c>
      <c r="G75" s="35" t="s">
        <v>239</v>
      </c>
      <c r="H75" s="35" t="s">
        <v>378</v>
      </c>
      <c r="I75" s="41">
        <v>0.5</v>
      </c>
      <c r="J75" s="42">
        <f t="shared" si="3"/>
        <v>0.5</v>
      </c>
    </row>
    <row r="76" spans="2:10" ht="15" customHeight="1">
      <c r="B76" s="19">
        <v>4</v>
      </c>
      <c r="C76" s="11" t="s">
        <v>511</v>
      </c>
      <c r="D76" s="11" t="s">
        <v>247</v>
      </c>
      <c r="E76" s="2" t="s">
        <v>515</v>
      </c>
      <c r="F76" s="35" t="s">
        <v>231</v>
      </c>
      <c r="G76" s="35" t="s">
        <v>238</v>
      </c>
      <c r="H76" s="35" t="s">
        <v>379</v>
      </c>
      <c r="I76" s="41">
        <v>2</v>
      </c>
      <c r="J76" s="42">
        <f t="shared" si="3"/>
        <v>2</v>
      </c>
    </row>
    <row r="77" spans="2:10" ht="15" customHeight="1">
      <c r="B77" s="19">
        <v>4</v>
      </c>
      <c r="C77" s="11" t="s">
        <v>516</v>
      </c>
      <c r="D77" s="11" t="s">
        <v>450</v>
      </c>
      <c r="E77" s="2" t="s">
        <v>517</v>
      </c>
      <c r="F77" s="35" t="s">
        <v>232</v>
      </c>
      <c r="G77" s="35" t="s">
        <v>238</v>
      </c>
      <c r="H77" s="35" t="s">
        <v>378</v>
      </c>
      <c r="I77" s="41">
        <v>0.5</v>
      </c>
      <c r="J77" s="42">
        <f t="shared" si="3"/>
        <v>0.5</v>
      </c>
    </row>
    <row r="78" spans="2:10" ht="15" customHeight="1">
      <c r="B78" s="19">
        <v>4</v>
      </c>
      <c r="C78" s="11" t="s">
        <v>516</v>
      </c>
      <c r="D78" s="11" t="s">
        <v>463</v>
      </c>
      <c r="E78" s="2" t="s">
        <v>518</v>
      </c>
      <c r="F78" s="35" t="s">
        <v>232</v>
      </c>
      <c r="G78" s="35" t="s">
        <v>238</v>
      </c>
      <c r="H78" s="35" t="s">
        <v>378</v>
      </c>
      <c r="I78" s="41">
        <v>0</v>
      </c>
      <c r="J78" s="42">
        <f t="shared" si="3"/>
        <v>0</v>
      </c>
    </row>
    <row r="79" spans="2:10" ht="15" customHeight="1">
      <c r="B79" s="19">
        <v>4</v>
      </c>
      <c r="C79" s="11" t="s">
        <v>516</v>
      </c>
      <c r="D79" s="11" t="s">
        <v>463</v>
      </c>
      <c r="E79" s="2" t="s">
        <v>519</v>
      </c>
      <c r="F79" s="35" t="s">
        <v>232</v>
      </c>
      <c r="G79" s="35" t="s">
        <v>238</v>
      </c>
      <c r="H79" s="35" t="s">
        <v>378</v>
      </c>
      <c r="I79" s="41">
        <v>0</v>
      </c>
      <c r="J79" s="42">
        <f t="shared" si="3"/>
        <v>0</v>
      </c>
    </row>
    <row r="80" spans="2:10" ht="15" customHeight="1">
      <c r="B80" s="19">
        <v>4</v>
      </c>
      <c r="C80" s="11" t="s">
        <v>516</v>
      </c>
      <c r="D80" s="11" t="s">
        <v>450</v>
      </c>
      <c r="E80" s="2" t="s">
        <v>520</v>
      </c>
      <c r="F80" s="35" t="s">
        <v>231</v>
      </c>
      <c r="G80" s="35" t="s">
        <v>238</v>
      </c>
      <c r="H80" s="35" t="s">
        <v>378</v>
      </c>
      <c r="I80" s="41">
        <v>0.5</v>
      </c>
      <c r="J80" s="42">
        <f t="shared" si="3"/>
        <v>0.5</v>
      </c>
    </row>
    <row r="81" spans="2:10" ht="15" customHeight="1">
      <c r="B81" s="19">
        <v>4</v>
      </c>
      <c r="C81" s="11" t="s">
        <v>516</v>
      </c>
      <c r="D81" s="11" t="s">
        <v>247</v>
      </c>
      <c r="E81" s="2" t="s">
        <v>521</v>
      </c>
      <c r="F81" s="35" t="s">
        <v>232</v>
      </c>
      <c r="G81" s="35" t="s">
        <v>238</v>
      </c>
      <c r="H81" s="35" t="s">
        <v>379</v>
      </c>
      <c r="I81" s="41">
        <v>3.5</v>
      </c>
      <c r="J81" s="42">
        <f t="shared" si="3"/>
        <v>3.5</v>
      </c>
    </row>
    <row r="82" spans="2:10" ht="15" customHeight="1">
      <c r="B82" s="19">
        <v>4</v>
      </c>
      <c r="C82" s="11" t="s">
        <v>516</v>
      </c>
      <c r="D82" s="11" t="s">
        <v>450</v>
      </c>
      <c r="E82" s="2" t="s">
        <v>522</v>
      </c>
      <c r="F82" s="35" t="s">
        <v>231</v>
      </c>
      <c r="G82" s="35" t="s">
        <v>238</v>
      </c>
      <c r="H82" s="35" t="s">
        <v>379</v>
      </c>
      <c r="I82" s="41">
        <v>1</v>
      </c>
      <c r="J82" s="42">
        <f t="shared" si="3"/>
        <v>1</v>
      </c>
    </row>
    <row r="83" spans="2:10" ht="15" customHeight="1">
      <c r="E83" s="14" t="s">
        <v>526</v>
      </c>
      <c r="I83" s="15">
        <f>SUM(I65:I82)</f>
        <v>24</v>
      </c>
    </row>
    <row r="85" spans="2:10" ht="15" customHeight="1">
      <c r="B85" s="19">
        <v>5</v>
      </c>
      <c r="C85" s="11" t="s">
        <v>503</v>
      </c>
      <c r="D85" s="11" t="s">
        <v>450</v>
      </c>
      <c r="E85" s="2" t="s">
        <v>504</v>
      </c>
      <c r="F85" s="35" t="s">
        <v>232</v>
      </c>
      <c r="G85" s="35" t="s">
        <v>238</v>
      </c>
      <c r="H85" s="35" t="s">
        <v>378</v>
      </c>
      <c r="I85" s="41">
        <v>0.5</v>
      </c>
      <c r="J85" s="42">
        <f t="shared" ref="J85:J102" si="4">I85</f>
        <v>0.5</v>
      </c>
    </row>
    <row r="86" spans="2:10" ht="15" customHeight="1">
      <c r="B86" s="19">
        <v>5</v>
      </c>
      <c r="C86" s="11" t="s">
        <v>503</v>
      </c>
      <c r="D86" s="11" t="s">
        <v>461</v>
      </c>
      <c r="E86" s="2" t="s">
        <v>505</v>
      </c>
      <c r="F86" s="35" t="s">
        <v>230</v>
      </c>
      <c r="G86" s="35" t="s">
        <v>238</v>
      </c>
      <c r="H86" s="35" t="s">
        <v>378</v>
      </c>
      <c r="I86" s="41">
        <v>0.5</v>
      </c>
      <c r="J86" s="42">
        <f t="shared" si="4"/>
        <v>0.5</v>
      </c>
    </row>
    <row r="87" spans="2:10" ht="15" customHeight="1">
      <c r="B87" s="19">
        <v>5</v>
      </c>
      <c r="C87" s="11" t="s">
        <v>503</v>
      </c>
      <c r="D87" s="11" t="s">
        <v>461</v>
      </c>
      <c r="E87" s="2" t="s">
        <v>506</v>
      </c>
      <c r="F87" s="35" t="s">
        <v>229</v>
      </c>
      <c r="G87" s="35" t="s">
        <v>239</v>
      </c>
      <c r="H87" s="35" t="s">
        <v>378</v>
      </c>
      <c r="I87" s="41">
        <v>0.5</v>
      </c>
      <c r="J87" s="42">
        <f t="shared" si="4"/>
        <v>0.5</v>
      </c>
    </row>
    <row r="88" spans="2:10" ht="15" customHeight="1">
      <c r="B88" s="19">
        <v>5</v>
      </c>
      <c r="C88" s="11" t="s">
        <v>503</v>
      </c>
      <c r="D88" s="11" t="s">
        <v>463</v>
      </c>
      <c r="E88" s="2" t="s">
        <v>507</v>
      </c>
      <c r="F88" s="35" t="s">
        <v>230</v>
      </c>
      <c r="G88" s="35" t="s">
        <v>239</v>
      </c>
      <c r="H88" s="35" t="s">
        <v>378</v>
      </c>
      <c r="I88" s="41">
        <v>0.5</v>
      </c>
      <c r="J88" s="42">
        <f t="shared" si="4"/>
        <v>0.5</v>
      </c>
    </row>
    <row r="89" spans="2:10" ht="15" customHeight="1">
      <c r="B89" s="19">
        <v>5</v>
      </c>
      <c r="C89" s="11" t="s">
        <v>503</v>
      </c>
      <c r="D89" s="11" t="s">
        <v>453</v>
      </c>
      <c r="E89" s="2" t="s">
        <v>508</v>
      </c>
      <c r="F89" s="35" t="s">
        <v>230</v>
      </c>
      <c r="G89" s="35" t="s">
        <v>238</v>
      </c>
      <c r="H89" s="35" t="s">
        <v>378</v>
      </c>
      <c r="I89" s="41">
        <v>0.5</v>
      </c>
      <c r="J89" s="42">
        <f t="shared" si="4"/>
        <v>0.5</v>
      </c>
    </row>
    <row r="90" spans="2:10" ht="15" customHeight="1">
      <c r="B90" s="19">
        <v>5</v>
      </c>
      <c r="C90" s="11" t="s">
        <v>503</v>
      </c>
      <c r="D90" s="11" t="s">
        <v>453</v>
      </c>
      <c r="E90" s="2" t="s">
        <v>509</v>
      </c>
      <c r="F90" s="35" t="s">
        <v>230</v>
      </c>
      <c r="G90" s="35" t="s">
        <v>239</v>
      </c>
      <c r="H90" s="35" t="s">
        <v>454</v>
      </c>
      <c r="I90" s="41">
        <v>4</v>
      </c>
      <c r="J90" s="42">
        <f t="shared" si="4"/>
        <v>4</v>
      </c>
    </row>
    <row r="91" spans="2:10" ht="15" customHeight="1">
      <c r="B91" s="19">
        <v>5</v>
      </c>
      <c r="C91" s="11" t="s">
        <v>503</v>
      </c>
      <c r="D91" s="11" t="s">
        <v>461</v>
      </c>
      <c r="E91" s="2" t="s">
        <v>510</v>
      </c>
      <c r="F91" s="35" t="s">
        <v>230</v>
      </c>
      <c r="G91" s="35" t="s">
        <v>238</v>
      </c>
      <c r="H91" s="35" t="s">
        <v>468</v>
      </c>
      <c r="I91" s="41">
        <v>3.5</v>
      </c>
      <c r="J91" s="42">
        <f t="shared" si="4"/>
        <v>3.5</v>
      </c>
    </row>
    <row r="92" spans="2:10" ht="15" customHeight="1">
      <c r="B92" s="19">
        <v>5</v>
      </c>
      <c r="C92" s="11" t="s">
        <v>503</v>
      </c>
      <c r="D92" s="11" t="s">
        <v>461</v>
      </c>
      <c r="E92" s="2" t="s">
        <v>466</v>
      </c>
      <c r="F92" s="35" t="s">
        <v>230</v>
      </c>
      <c r="G92" s="35" t="s">
        <v>238</v>
      </c>
      <c r="H92" s="35" t="s">
        <v>379</v>
      </c>
      <c r="I92" s="41">
        <v>1</v>
      </c>
      <c r="J92" s="42">
        <f t="shared" si="4"/>
        <v>1</v>
      </c>
    </row>
    <row r="93" spans="2:10" ht="15" customHeight="1">
      <c r="B93" s="19">
        <v>5</v>
      </c>
      <c r="C93" s="11" t="s">
        <v>511</v>
      </c>
      <c r="D93" s="11" t="s">
        <v>459</v>
      </c>
      <c r="E93" s="2" t="s">
        <v>512</v>
      </c>
      <c r="F93" s="35" t="s">
        <v>232</v>
      </c>
      <c r="G93" s="35" t="s">
        <v>238</v>
      </c>
      <c r="H93" s="35" t="s">
        <v>378</v>
      </c>
      <c r="I93" s="41">
        <v>0.5</v>
      </c>
      <c r="J93" s="42">
        <f t="shared" si="4"/>
        <v>0.5</v>
      </c>
    </row>
    <row r="94" spans="2:10" ht="15" customHeight="1">
      <c r="B94" s="19">
        <v>5</v>
      </c>
      <c r="C94" s="11" t="s">
        <v>511</v>
      </c>
      <c r="D94" s="11" t="s">
        <v>459</v>
      </c>
      <c r="E94" s="2" t="s">
        <v>513</v>
      </c>
      <c r="F94" s="35" t="s">
        <v>230</v>
      </c>
      <c r="G94" s="35" t="s">
        <v>239</v>
      </c>
      <c r="H94" s="35" t="s">
        <v>378</v>
      </c>
      <c r="I94" s="41">
        <v>0.5</v>
      </c>
      <c r="J94" s="42">
        <f t="shared" si="4"/>
        <v>0.5</v>
      </c>
    </row>
    <row r="95" spans="2:10" ht="15" customHeight="1">
      <c r="B95" s="19">
        <v>5</v>
      </c>
      <c r="C95" s="11" t="s">
        <v>511</v>
      </c>
      <c r="D95" s="11" t="s">
        <v>459</v>
      </c>
      <c r="E95" s="2" t="s">
        <v>514</v>
      </c>
      <c r="F95" s="35" t="s">
        <v>229</v>
      </c>
      <c r="G95" s="35" t="s">
        <v>239</v>
      </c>
      <c r="H95" s="35" t="s">
        <v>378</v>
      </c>
      <c r="I95" s="41">
        <v>0.5</v>
      </c>
      <c r="J95" s="42">
        <f t="shared" si="4"/>
        <v>0.5</v>
      </c>
    </row>
    <row r="96" spans="2:10" ht="15" customHeight="1">
      <c r="B96" s="19">
        <v>5</v>
      </c>
      <c r="C96" s="11" t="s">
        <v>511</v>
      </c>
      <c r="D96" s="11" t="s">
        <v>247</v>
      </c>
      <c r="E96" s="2" t="s">
        <v>515</v>
      </c>
      <c r="F96" s="35" t="s">
        <v>231</v>
      </c>
      <c r="G96" s="35" t="s">
        <v>238</v>
      </c>
      <c r="H96" s="35" t="s">
        <v>379</v>
      </c>
      <c r="I96" s="41">
        <v>2</v>
      </c>
      <c r="J96" s="42">
        <f t="shared" si="4"/>
        <v>2</v>
      </c>
    </row>
    <row r="97" spans="2:10" ht="15" customHeight="1">
      <c r="B97" s="19">
        <v>5</v>
      </c>
      <c r="C97" s="11" t="s">
        <v>516</v>
      </c>
      <c r="D97" s="11" t="s">
        <v>450</v>
      </c>
      <c r="E97" s="2" t="s">
        <v>517</v>
      </c>
      <c r="F97" s="35" t="s">
        <v>232</v>
      </c>
      <c r="G97" s="35" t="s">
        <v>238</v>
      </c>
      <c r="H97" s="35" t="s">
        <v>378</v>
      </c>
      <c r="I97" s="41">
        <v>0.5</v>
      </c>
      <c r="J97" s="42">
        <f t="shared" si="4"/>
        <v>0.5</v>
      </c>
    </row>
    <row r="98" spans="2:10" ht="15" customHeight="1">
      <c r="B98" s="19">
        <v>5</v>
      </c>
      <c r="C98" s="11" t="s">
        <v>516</v>
      </c>
      <c r="D98" s="11" t="s">
        <v>463</v>
      </c>
      <c r="E98" s="2" t="s">
        <v>518</v>
      </c>
      <c r="F98" s="35" t="s">
        <v>232</v>
      </c>
      <c r="G98" s="35" t="s">
        <v>238</v>
      </c>
      <c r="H98" s="35" t="s">
        <v>378</v>
      </c>
      <c r="I98" s="41">
        <v>0</v>
      </c>
      <c r="J98" s="42">
        <f t="shared" si="4"/>
        <v>0</v>
      </c>
    </row>
    <row r="99" spans="2:10" ht="15" customHeight="1">
      <c r="B99" s="19">
        <v>5</v>
      </c>
      <c r="C99" s="11" t="s">
        <v>516</v>
      </c>
      <c r="D99" s="11" t="s">
        <v>463</v>
      </c>
      <c r="E99" s="2" t="s">
        <v>519</v>
      </c>
      <c r="F99" s="35" t="s">
        <v>232</v>
      </c>
      <c r="G99" s="35" t="s">
        <v>238</v>
      </c>
      <c r="H99" s="35" t="s">
        <v>378</v>
      </c>
      <c r="I99" s="41">
        <v>0</v>
      </c>
      <c r="J99" s="42">
        <f t="shared" si="4"/>
        <v>0</v>
      </c>
    </row>
    <row r="100" spans="2:10" ht="15" customHeight="1">
      <c r="B100" s="19">
        <v>5</v>
      </c>
      <c r="C100" s="11" t="s">
        <v>516</v>
      </c>
      <c r="D100" s="11" t="s">
        <v>450</v>
      </c>
      <c r="E100" s="2" t="s">
        <v>520</v>
      </c>
      <c r="F100" s="35" t="s">
        <v>231</v>
      </c>
      <c r="G100" s="35" t="s">
        <v>238</v>
      </c>
      <c r="H100" s="35" t="s">
        <v>378</v>
      </c>
      <c r="I100" s="41">
        <v>0.5</v>
      </c>
      <c r="J100" s="42">
        <f t="shared" si="4"/>
        <v>0.5</v>
      </c>
    </row>
    <row r="101" spans="2:10" ht="15" customHeight="1">
      <c r="B101" s="19">
        <v>5</v>
      </c>
      <c r="C101" s="11" t="s">
        <v>516</v>
      </c>
      <c r="D101" s="11" t="s">
        <v>247</v>
      </c>
      <c r="E101" s="2" t="s">
        <v>521</v>
      </c>
      <c r="F101" s="35" t="s">
        <v>232</v>
      </c>
      <c r="G101" s="35" t="s">
        <v>238</v>
      </c>
      <c r="H101" s="35" t="s">
        <v>379</v>
      </c>
      <c r="I101" s="41">
        <v>3</v>
      </c>
      <c r="J101" s="42">
        <f t="shared" si="4"/>
        <v>3</v>
      </c>
    </row>
    <row r="102" spans="2:10" ht="15" customHeight="1">
      <c r="B102" s="19">
        <v>5</v>
      </c>
      <c r="C102" s="11" t="s">
        <v>516</v>
      </c>
      <c r="D102" s="11" t="s">
        <v>450</v>
      </c>
      <c r="E102" s="2" t="s">
        <v>522</v>
      </c>
      <c r="F102" s="35" t="s">
        <v>231</v>
      </c>
      <c r="G102" s="35" t="s">
        <v>238</v>
      </c>
      <c r="H102" s="35" t="s">
        <v>379</v>
      </c>
      <c r="I102" s="41">
        <v>3</v>
      </c>
      <c r="J102" s="42">
        <f t="shared" si="4"/>
        <v>3</v>
      </c>
    </row>
    <row r="103" spans="2:10" ht="15" customHeight="1">
      <c r="E103" s="14" t="s">
        <v>527</v>
      </c>
      <c r="I103" s="15">
        <f>SUM(I85:I102)</f>
        <v>21.5</v>
      </c>
    </row>
    <row r="105" spans="2:10" ht="30" customHeight="1">
      <c r="B105" s="79" t="s">
        <v>528</v>
      </c>
      <c r="C105" s="79"/>
      <c r="D105" s="79"/>
      <c r="E105" s="79"/>
      <c r="F105" s="79"/>
      <c r="G105" s="79"/>
      <c r="H105" s="79"/>
      <c r="I105" s="79"/>
    </row>
  </sheetData>
  <mergeCells count="3">
    <mergeCell ref="A1:L1"/>
    <mergeCell ref="A2:L2"/>
    <mergeCell ref="B105:I105"/>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76"/>
  <sheetViews>
    <sheetView topLeftCell="A39" zoomScaleNormal="100" workbookViewId="0">
      <selection activeCell="D63" sqref="D63"/>
    </sheetView>
  </sheetViews>
  <sheetFormatPr defaultColWidth="8.6328125" defaultRowHeight="14.5"/>
  <cols>
    <col min="1" max="1" width="2.453125" customWidth="1"/>
    <col min="2" max="2" width="44" customWidth="1"/>
    <col min="3" max="7" width="13" customWidth="1"/>
    <col min="8" max="8" width="3" customWidth="1"/>
    <col min="9" max="10" width="13" customWidth="1"/>
    <col min="11" max="11" width="11" customWidth="1"/>
  </cols>
  <sheetData>
    <row r="1" spans="1:10" ht="25.5" customHeight="1">
      <c r="A1" s="74" t="s">
        <v>529</v>
      </c>
      <c r="B1" s="74"/>
      <c r="C1" s="74"/>
      <c r="D1" s="74"/>
      <c r="E1" s="74"/>
      <c r="F1" s="74"/>
      <c r="G1" s="74"/>
      <c r="H1" s="74"/>
      <c r="I1" s="74"/>
      <c r="J1" s="74"/>
    </row>
    <row r="2" spans="1:10" ht="15" customHeight="1">
      <c r="A2" s="75" t="s">
        <v>530</v>
      </c>
      <c r="B2" s="75"/>
      <c r="C2" s="75"/>
      <c r="D2" s="75"/>
      <c r="E2" s="75"/>
      <c r="F2" s="75"/>
      <c r="G2" s="75"/>
      <c r="H2" s="75"/>
      <c r="I2" s="75"/>
      <c r="J2" s="75"/>
    </row>
    <row r="4" spans="1:10" ht="15" customHeight="1">
      <c r="A4" s="77" t="s">
        <v>531</v>
      </c>
      <c r="B4" s="77"/>
      <c r="C4" s="77"/>
      <c r="D4" s="77"/>
      <c r="E4" s="77"/>
      <c r="F4" s="77"/>
      <c r="G4" s="77"/>
      <c r="H4" s="77"/>
      <c r="I4" s="77"/>
      <c r="J4" s="77"/>
    </row>
    <row r="5" spans="1:10" ht="15" customHeight="1">
      <c r="B5" s="5" t="s">
        <v>203</v>
      </c>
      <c r="C5" s="5" t="s">
        <v>177</v>
      </c>
      <c r="D5" s="5" t="s">
        <v>178</v>
      </c>
      <c r="E5" s="5" t="s">
        <v>179</v>
      </c>
      <c r="F5" s="5" t="s">
        <v>180</v>
      </c>
      <c r="G5" s="5" t="s">
        <v>181</v>
      </c>
    </row>
    <row r="6" spans="1:10" ht="15" customHeight="1">
      <c r="B6" s="2" t="s">
        <v>532</v>
      </c>
      <c r="C6" s="9">
        <f>SUMIFS('Seat Ledger'!$M$5:$M$235,'Seat Ledger'!$B$5:$B$235,1,'Seat Ledger'!$C$5:$C$235,"POD")</f>
        <v>33</v>
      </c>
      <c r="D6" s="9">
        <f>SUMIFS('Seat Ledger'!$M$5:$M$235,'Seat Ledger'!$B$5:$B$235,2,'Seat Ledger'!$C$5:$C$235,"POD")</f>
        <v>44.999999801999998</v>
      </c>
      <c r="E6" s="9">
        <f>SUMIFS('Seat Ledger'!$M$5:$M$235,'Seat Ledger'!$B$5:$B$235,3,'Seat Ledger'!$C$5:$C$235,"POD")</f>
        <v>48.44</v>
      </c>
      <c r="F6" s="9">
        <f>SUMIFS('Seat Ledger'!$M$5:$M$235,'Seat Ledger'!$B$5:$B$235,4,'Seat Ledger'!$C$5:$C$235,"POD")</f>
        <v>36</v>
      </c>
      <c r="G6" s="9">
        <f>SUMIFS('Seat Ledger'!$M$5:$M$235,'Seat Ledger'!$B$5:$B$235,5,'Seat Ledger'!$C$5:$C$235,"POD")</f>
        <v>31.999999999999996</v>
      </c>
    </row>
    <row r="7" spans="1:10" ht="15" customHeight="1">
      <c r="B7" s="2" t="s">
        <v>533</v>
      </c>
      <c r="C7" s="9">
        <f>SUMIFS('Seat Ledger'!$M$5:$M$235,'Seat Ledger'!$B$5:$B$235,1,'Seat Ledger'!$C$5:$C$235,"TEAM")</f>
        <v>55</v>
      </c>
      <c r="D7" s="9">
        <f>SUMIFS('Seat Ledger'!$M$5:$M$235,'Seat Ledger'!$B$5:$B$235,2,'Seat Ledger'!$C$5:$C$235,"TEAM")</f>
        <v>18.5</v>
      </c>
      <c r="E7" s="9">
        <f>SUMIFS('Seat Ledger'!$M$5:$M$235,'Seat Ledger'!$B$5:$B$235,3,'Seat Ledger'!$C$5:$C$235,"TEAM")</f>
        <v>0</v>
      </c>
      <c r="F7" s="9">
        <f>SUMIFS('Seat Ledger'!$M$5:$M$235,'Seat Ledger'!$B$5:$B$235,4,'Seat Ledger'!$C$5:$C$235,"TEAM")</f>
        <v>0</v>
      </c>
      <c r="G7" s="9">
        <f>SUMIFS('Seat Ledger'!$M$5:$M$235,'Seat Ledger'!$B$5:$B$235,5,'Seat Ledger'!$C$5:$C$235,"TEAM")</f>
        <v>0</v>
      </c>
    </row>
    <row r="8" spans="1:10" ht="15" customHeight="1">
      <c r="B8" s="2" t="s">
        <v>534</v>
      </c>
      <c r="C8" s="9">
        <f>SUMIFS('Seat Ledger'!$M$5:$M$235,'Seat Ledger'!$B$5:$B$235,1,'Seat Ledger'!$C$5:$C$235,"HZ")</f>
        <v>18.5</v>
      </c>
      <c r="D8" s="9">
        <f>SUMIFS('Seat Ledger'!$M$5:$M$235,'Seat Ledger'!$B$5:$B$235,2,'Seat Ledger'!$C$5:$C$235,"HZ")</f>
        <v>18.5</v>
      </c>
      <c r="E8" s="9">
        <f>SUMIFS('Seat Ledger'!$M$5:$M$235,'Seat Ledger'!$B$5:$B$235,3,'Seat Ledger'!$C$5:$C$235,"HZ")</f>
        <v>19.5</v>
      </c>
      <c r="F8" s="9">
        <f>SUMIFS('Seat Ledger'!$M$5:$M$235,'Seat Ledger'!$B$5:$B$235,4,'Seat Ledger'!$C$5:$C$235,"HZ")</f>
        <v>24</v>
      </c>
      <c r="G8" s="9">
        <f>SUMIFS('Seat Ledger'!$M$5:$M$235,'Seat Ledger'!$B$5:$B$235,5,'Seat Ledger'!$C$5:$C$235,"HZ")</f>
        <v>21.5</v>
      </c>
    </row>
    <row r="9" spans="1:10" ht="15" customHeight="1">
      <c r="B9" s="14" t="s">
        <v>535</v>
      </c>
      <c r="C9" s="15">
        <f>SUM(C6:C8)</f>
        <v>106.5</v>
      </c>
      <c r="D9" s="15">
        <f>SUM(D6:D8)</f>
        <v>81.999999801999991</v>
      </c>
      <c r="E9" s="15">
        <f>SUM(E6:E8)</f>
        <v>67.94</v>
      </c>
      <c r="F9" s="15">
        <f>SUM(F6:F8)</f>
        <v>60</v>
      </c>
      <c r="G9" s="15">
        <f>SUM(G6:G8)</f>
        <v>53.5</v>
      </c>
    </row>
    <row r="10" spans="1:10" ht="15" customHeight="1">
      <c r="B10" s="2" t="s">
        <v>536</v>
      </c>
      <c r="C10" s="43" t="str">
        <f>'Delivery Mode'!C17&amp;" / "&amp;'Delivery Mode'!C19</f>
        <v>4 / 5</v>
      </c>
      <c r="D10" s="43" t="str">
        <f>'Delivery Mode'!D17&amp;" / "&amp;'Delivery Mode'!D19</f>
        <v>6 / 2</v>
      </c>
      <c r="E10" s="43" t="str">
        <f>'Delivery Mode'!E17&amp;" / "&amp;'Delivery Mode'!E19</f>
        <v>7 / 0</v>
      </c>
      <c r="F10" s="43" t="str">
        <f>'Delivery Mode'!F17&amp;" / "&amp;'Delivery Mode'!F19</f>
        <v>7 / 0</v>
      </c>
      <c r="G10" s="43" t="str">
        <f>'Delivery Mode'!G17&amp;" / "&amp;'Delivery Mode'!G19</f>
        <v>6 / 0</v>
      </c>
    </row>
    <row r="11" spans="1:10" ht="15" customHeight="1">
      <c r="B11" s="2" t="s">
        <v>537</v>
      </c>
      <c r="C11" s="9">
        <f>'Logic Tree'!C53</f>
        <v>106.0802</v>
      </c>
      <c r="D11" s="9">
        <f>'Logic Tree'!D53</f>
        <v>82.649659874160591</v>
      </c>
      <c r="E11" s="9">
        <f>'Logic Tree'!E53</f>
        <v>68.235110377531484</v>
      </c>
      <c r="F11" s="9">
        <f>'Logic Tree'!F53</f>
        <v>59.543741559597613</v>
      </c>
      <c r="G11" s="9">
        <f>'Logic Tree'!G53</f>
        <v>54.277730871220911</v>
      </c>
    </row>
    <row r="12" spans="1:10" ht="15" customHeight="1">
      <c r="B12" s="4" t="s">
        <v>538</v>
      </c>
      <c r="C12" s="39">
        <f>C9-C11</f>
        <v>0.41979999999999507</v>
      </c>
      <c r="D12" s="39">
        <f>D9-D11</f>
        <v>-0.64966007216060007</v>
      </c>
      <c r="E12" s="39">
        <f>E9-E11</f>
        <v>-0.29511037753148628</v>
      </c>
      <c r="F12" s="39">
        <f>F9-F11</f>
        <v>0.45625844040238661</v>
      </c>
      <c r="G12" s="39">
        <f>G9-G11</f>
        <v>-0.77773087122091056</v>
      </c>
    </row>
    <row r="14" spans="1:10" ht="15" customHeight="1">
      <c r="A14" s="77" t="s">
        <v>539</v>
      </c>
      <c r="B14" s="77"/>
      <c r="C14" s="77"/>
      <c r="D14" s="77"/>
      <c r="E14" s="77"/>
      <c r="F14" s="77"/>
      <c r="G14" s="77"/>
      <c r="H14" s="77"/>
      <c r="I14" s="77"/>
      <c r="J14" s="77"/>
    </row>
    <row r="15" spans="1:10" ht="27.75" customHeight="1">
      <c r="B15" s="5" t="s">
        <v>203</v>
      </c>
      <c r="C15" s="5" t="s">
        <v>540</v>
      </c>
      <c r="D15" s="5" t="s">
        <v>49</v>
      </c>
      <c r="E15" s="5" t="s">
        <v>541</v>
      </c>
      <c r="F15" s="5"/>
      <c r="G15" s="5"/>
      <c r="H15" s="5" t="s">
        <v>356</v>
      </c>
    </row>
    <row r="16" spans="1:10" ht="15" customHeight="1">
      <c r="B16" s="4" t="s">
        <v>542</v>
      </c>
      <c r="C16" s="9">
        <f>C9</f>
        <v>106.5</v>
      </c>
      <c r="D16" s="9">
        <f>'Logic Tree'!C7</f>
        <v>106.0802</v>
      </c>
      <c r="E16" s="15">
        <f>C16-D16</f>
        <v>0.41979999999999507</v>
      </c>
      <c r="H16" s="3" t="s">
        <v>543</v>
      </c>
    </row>
    <row r="17" spans="2:10" ht="15" customHeight="1">
      <c r="B17" s="4" t="s">
        <v>544</v>
      </c>
      <c r="C17" s="9">
        <f>SUMIFS('Seat Ledger'!$M$5:$M$235,'Seat Ledger'!$B$5:$B$235,1,'Seat Ledger'!$J$5:$J$235,"FTC")+SUMIFS('Seat Ledger'!$M$5:$M$235,'Seat Ledger'!$B$5:$B$235,1,'Seat Ledger'!$J$5:$J$235,"PT")</f>
        <v>69.5</v>
      </c>
      <c r="D17" s="9">
        <f>'Logic Tree'!C8</f>
        <v>69.426100000000005</v>
      </c>
      <c r="E17" s="15">
        <f>C17-D17</f>
        <v>7.3899999999994748E-2</v>
      </c>
      <c r="H17" s="3" t="s">
        <v>545</v>
      </c>
    </row>
    <row r="18" spans="2:10" ht="15" customHeight="1">
      <c r="B18" s="4" t="s">
        <v>546</v>
      </c>
      <c r="C18" s="9">
        <f>SUMIFS('Seat Ledger'!$M$5:$M$235,'Seat Ledger'!$B$5:$B$235,1,'Seat Ledger'!$J$5:$J$235,"FTC")</f>
        <v>56.5</v>
      </c>
      <c r="D18" s="28" t="s">
        <v>547</v>
      </c>
      <c r="E18" s="28" t="s">
        <v>547</v>
      </c>
      <c r="H18" s="3" t="s">
        <v>548</v>
      </c>
    </row>
    <row r="19" spans="2:10" ht="15" customHeight="1">
      <c r="B19" s="4" t="s">
        <v>549</v>
      </c>
      <c r="C19" s="9">
        <f>SUMIFS('Seat Ledger'!$M$5:$M$235,'Seat Ledger'!$B$5:$B$235,1,'Seat Ledger'!$J$5:$J$235,"PT")</f>
        <v>13</v>
      </c>
      <c r="D19" s="28" t="s">
        <v>547</v>
      </c>
      <c r="E19" s="28" t="s">
        <v>547</v>
      </c>
      <c r="H19" s="3" t="s">
        <v>550</v>
      </c>
    </row>
    <row r="20" spans="2:10" ht="15" customHeight="1">
      <c r="B20" s="4" t="s">
        <v>551</v>
      </c>
      <c r="C20" s="9">
        <f>SUMIFS('Seat Ledger'!$M$5:$M$235,'Seat Ledger'!$B$5:$B$235,1,'Seat Ledger'!$J$5:$J$235,"FTE")</f>
        <v>26</v>
      </c>
      <c r="D20" s="9">
        <f>'Logic Tree'!C9</f>
        <v>25.654199999999999</v>
      </c>
      <c r="E20" s="15">
        <f t="shared" ref="E20:E30" si="0">C20-D20</f>
        <v>0.34580000000000055</v>
      </c>
      <c r="H20" s="3" t="s">
        <v>552</v>
      </c>
    </row>
    <row r="21" spans="2:10" ht="15" customHeight="1">
      <c r="B21" s="4" t="s">
        <v>553</v>
      </c>
      <c r="C21" s="9">
        <f>SUMIFS('Seat Ledger'!$M$5:$M$235,'Seat Ledger'!$B$5:$B$235,1,'Seat Ledger'!$J$5:$J$235,"MGCC")</f>
        <v>11</v>
      </c>
      <c r="D21" s="9">
        <f>'Logic Tree'!C10</f>
        <v>11</v>
      </c>
      <c r="E21" s="15">
        <f t="shared" si="0"/>
        <v>0</v>
      </c>
      <c r="H21" s="3" t="s">
        <v>554</v>
      </c>
    </row>
    <row r="22" spans="2:10" ht="15" customHeight="1">
      <c r="B22" s="4" t="s">
        <v>555</v>
      </c>
      <c r="C22" s="9">
        <f>SUMIFS('Seat Ledger'!$M$5:$M$235,'Seat Ledger'!$B$5:$B$235,1,'Seat Ledger'!$J$5:$J$235,"FTC",'Seat Ledger'!$I$5:$I$235,"ON")+SUMIFS('Seat Ledger'!$M$5:$M$235,'Seat Ledger'!$B$5:$B$235,1,'Seat Ledger'!$J$5:$J$235,"PT",'Seat Ledger'!$I$5:$I$235,"ON")</f>
        <v>61.5</v>
      </c>
      <c r="D22" s="9">
        <f>'Logic Tree'!C11</f>
        <v>62.4636</v>
      </c>
      <c r="E22" s="15">
        <f t="shared" si="0"/>
        <v>-0.96359999999999957</v>
      </c>
      <c r="H22" s="3" t="s">
        <v>556</v>
      </c>
    </row>
    <row r="23" spans="2:10" ht="15" customHeight="1">
      <c r="B23" s="4" t="s">
        <v>557</v>
      </c>
      <c r="C23" s="9">
        <f>SUMIFS('Seat Ledger'!$M$5:$M$235,'Seat Ledger'!$B$5:$B$235,1,'Seat Ledger'!$J$5:$J$235,"FTC",'Seat Ledger'!$I$5:$I$235,"NEAR")+SUMIFS('Seat Ledger'!$M$5:$M$235,'Seat Ledger'!$B$5:$B$235,1,'Seat Ledger'!$J$5:$J$235,"PT",'Seat Ledger'!$I$5:$I$235,"NEAR")</f>
        <v>0</v>
      </c>
      <c r="D23" s="9">
        <f>'Logic Tree'!C13</f>
        <v>0</v>
      </c>
      <c r="E23" s="15">
        <f t="shared" si="0"/>
        <v>0</v>
      </c>
      <c r="H23" s="3" t="s">
        <v>558</v>
      </c>
    </row>
    <row r="24" spans="2:10" ht="15" customHeight="1">
      <c r="B24" s="4" t="s">
        <v>559</v>
      </c>
      <c r="C24" s="9">
        <f>SUMIFS('Seat Ledger'!$M$5:$M$235,'Seat Ledger'!$B$5:$B$235,1,'Seat Ledger'!$J$5:$J$235,"FTC",'Seat Ledger'!$I$5:$I$235,"OFF")+SUMIFS('Seat Ledger'!$M$5:$M$235,'Seat Ledger'!$B$5:$B$235,1,'Seat Ledger'!$J$5:$J$235,"PT",'Seat Ledger'!$I$5:$I$235,"OFF")</f>
        <v>8</v>
      </c>
      <c r="D24" s="9">
        <f>'Logic Tree'!C12</f>
        <v>6.9625000000000004</v>
      </c>
      <c r="E24" s="15">
        <f t="shared" si="0"/>
        <v>1.0374999999999996</v>
      </c>
      <c r="H24" s="3" t="s">
        <v>560</v>
      </c>
    </row>
    <row r="25" spans="2:10" ht="15" customHeight="1">
      <c r="B25" s="4" t="s">
        <v>561</v>
      </c>
      <c r="C25" s="9">
        <f>SUMIFS('Seat Ledger'!$M$5:$M$235,'Seat Ledger'!$B$5:$B$235,1,'Seat Ledger'!$J$5:$J$235,"FTC",'Seat Ledger'!$G$5:$G$235,"BSA")+SUMIFS('Seat Ledger'!$M$5:$M$235,'Seat Ledger'!$B$5:$B$235,1,'Seat Ledger'!$J$5:$J$235,"PT",'Seat Ledger'!$G$5:$G$235,"BSA")</f>
        <v>9</v>
      </c>
      <c r="D25" s="9">
        <f>'Logic Tree'!C15</f>
        <v>8.6415000000000006</v>
      </c>
      <c r="E25" s="15">
        <f t="shared" si="0"/>
        <v>0.35849999999999937</v>
      </c>
      <c r="H25" s="3" t="s">
        <v>562</v>
      </c>
    </row>
    <row r="26" spans="2:10" ht="15" customHeight="1">
      <c r="B26" s="4" t="s">
        <v>563</v>
      </c>
      <c r="C26" s="9">
        <f>SUMIFS('Seat Ledger'!$M$5:$M$235,'Seat Ledger'!$B$5:$B$235,1,'Seat Ledger'!$J$5:$J$235,"FTC",'Seat Ledger'!$G$5:$G$235,"DEV")+SUMIFS('Seat Ledger'!$M$5:$M$235,'Seat Ledger'!$B$5:$B$235,1,'Seat Ledger'!$J$5:$J$235,"PT",'Seat Ledger'!$G$5:$G$235,"DEV")</f>
        <v>38.5</v>
      </c>
      <c r="D26" s="9">
        <f>'Logic Tree'!C16</f>
        <v>45.3887</v>
      </c>
      <c r="E26" s="15">
        <f t="shared" si="0"/>
        <v>-6.8887</v>
      </c>
      <c r="H26" s="3" t="s">
        <v>564</v>
      </c>
    </row>
    <row r="27" spans="2:10" ht="15" customHeight="1">
      <c r="B27" s="4" t="s">
        <v>565</v>
      </c>
      <c r="C27" s="9">
        <f>SUMIFS('Seat Ledger'!$M$5:$M$235,'Seat Ledger'!$B$5:$B$235,1,'Seat Ledger'!$J$5:$J$235,"FTC",'Seat Ledger'!$G$5:$G$235,"TEST")+SUMIFS('Seat Ledger'!$M$5:$M$235,'Seat Ledger'!$B$5:$B$235,1,'Seat Ledger'!$J$5:$J$235,"PT",'Seat Ledger'!$G$5:$G$235,"TEST")</f>
        <v>12</v>
      </c>
      <c r="D27" s="9">
        <f>'Logic Tree'!C17</f>
        <v>11.775</v>
      </c>
      <c r="E27" s="15">
        <f t="shared" si="0"/>
        <v>0.22499999999999964</v>
      </c>
      <c r="H27" s="3" t="s">
        <v>566</v>
      </c>
    </row>
    <row r="28" spans="2:10" ht="15" customHeight="1">
      <c r="B28" s="4" t="s">
        <v>567</v>
      </c>
      <c r="C28" s="9">
        <f>SUMIFS('Seat Ledger'!$M$5:$M$235,'Seat Ledger'!$B$5:$B$235,1,'Seat Ledger'!$J$5:$J$235,"FTC",'Seat Ledger'!$G$5:$G$235,"MNT")+SUMIFS('Seat Ledger'!$M$5:$M$235,'Seat Ledger'!$B$5:$B$235,1,'Seat Ledger'!$J$5:$J$235,"PT",'Seat Ledger'!$G$5:$G$235,"MNT")</f>
        <v>4.5</v>
      </c>
      <c r="D28" s="9">
        <f>'Logic Tree'!C18</f>
        <v>3.4832999999999998</v>
      </c>
      <c r="E28" s="15">
        <f t="shared" si="0"/>
        <v>1.0167000000000002</v>
      </c>
      <c r="H28" s="3" t="s">
        <v>568</v>
      </c>
    </row>
    <row r="29" spans="2:10" ht="15" customHeight="1">
      <c r="B29" s="4" t="s">
        <v>569</v>
      </c>
      <c r="C29" s="9">
        <f>SUMIFS('Seat Ledger'!$M$5:$M$235,'Seat Ledger'!$B$5:$B$235,1,'Seat Ledger'!$J$5:$J$235,"FTC",'Seat Ledger'!$G$5:$G$235,"PM")+SUMIFS('Seat Ledger'!$M$5:$M$235,'Seat Ledger'!$B$5:$B$235,1,'Seat Ledger'!$J$5:$J$235,"PT",'Seat Ledger'!$G$5:$G$235,"PM")</f>
        <v>2</v>
      </c>
      <c r="D29" s="9">
        <f>'Logic Tree'!C19</f>
        <v>0.13750000000000001</v>
      </c>
      <c r="E29" s="15">
        <f t="shared" si="0"/>
        <v>1.8625</v>
      </c>
      <c r="H29" s="3" t="s">
        <v>570</v>
      </c>
    </row>
    <row r="30" spans="2:10" ht="15" customHeight="1">
      <c r="B30" s="4" t="s">
        <v>571</v>
      </c>
      <c r="C30" s="9">
        <f>SUMIFS('Seat Ledger'!$M$5:$M$235,'Seat Ledger'!$B$5:$B$235,1,'Seat Ledger'!$J$5:$J$235,"FTC",'Seat Ledger'!$G$5:$G$235,"OTH")+SUMIFS('Seat Ledger'!$M$5:$M$235,'Seat Ledger'!$B$5:$B$235,1,'Seat Ledger'!$J$5:$J$235,"PT",'Seat Ledger'!$G$5:$G$235,"OTH")</f>
        <v>3.5</v>
      </c>
      <c r="D30" s="9">
        <f>'Logic Tree'!C20</f>
        <v>0</v>
      </c>
      <c r="E30" s="15">
        <f t="shared" si="0"/>
        <v>3.5</v>
      </c>
      <c r="H30" s="3" t="s">
        <v>572</v>
      </c>
    </row>
    <row r="31" spans="2:10" ht="15" customHeight="1">
      <c r="B31" s="24" t="s">
        <v>573</v>
      </c>
      <c r="E31" s="26">
        <f>MAX(ABS(E16),ABS(E17),ABS(E20),ABS(E21),ABS(E22),ABS(E23),ABS(E24),ABS(E25),ABS(E26),ABS(E27),ABS(E28),ABS(E29),ABS(E30))</f>
        <v>6.8887</v>
      </c>
      <c r="G31" s="79" t="s">
        <v>574</v>
      </c>
      <c r="H31" s="79"/>
      <c r="I31" s="79"/>
      <c r="J31" s="79"/>
    </row>
    <row r="32" spans="2:10" ht="15" customHeight="1">
      <c r="B32" s="14" t="s">
        <v>575</v>
      </c>
      <c r="E32" s="22">
        <f>MAX(ABS(E16),ABS(E17),ABS(E21),ABS(E22),ABS(E23),ABS(E24),ABS(E25),ABS(E26),ABS(E27),ABS(E28),ABS(E29),ABS(E30))</f>
        <v>6.8887</v>
      </c>
      <c r="G32" s="79" t="s">
        <v>576</v>
      </c>
      <c r="H32" s="79"/>
      <c r="I32" s="79"/>
      <c r="J32" s="79"/>
    </row>
    <row r="33" spans="1:10" ht="15" customHeight="1">
      <c r="A33" s="77" t="s">
        <v>577</v>
      </c>
      <c r="B33" s="77"/>
      <c r="C33" s="77"/>
      <c r="D33" s="77"/>
      <c r="E33" s="77"/>
      <c r="F33" s="77"/>
      <c r="G33" s="77"/>
      <c r="H33" s="77"/>
      <c r="I33" s="77"/>
      <c r="J33" s="77"/>
    </row>
    <row r="34" spans="1:10" ht="18.75" customHeight="1">
      <c r="B34" s="5" t="s">
        <v>442</v>
      </c>
      <c r="C34" s="5" t="s">
        <v>49</v>
      </c>
      <c r="D34" s="5" t="s">
        <v>578</v>
      </c>
      <c r="E34" s="5" t="s">
        <v>579</v>
      </c>
      <c r="F34" s="5"/>
      <c r="G34" s="5"/>
      <c r="H34" s="5" t="s">
        <v>38</v>
      </c>
    </row>
    <row r="35" spans="1:10" ht="25.5" customHeight="1">
      <c r="B35" s="4" t="s">
        <v>247</v>
      </c>
      <c r="C35" s="9">
        <f>'Logic Tree'!C15</f>
        <v>8.6415000000000006</v>
      </c>
      <c r="D35" s="9">
        <f t="shared" ref="D35:D40" si="1">C25</f>
        <v>9</v>
      </c>
      <c r="E35" s="22">
        <f t="shared" ref="E35:E41" si="2">D35-C35</f>
        <v>0.35849999999999937</v>
      </c>
      <c r="H35" s="3" t="s">
        <v>580</v>
      </c>
    </row>
    <row r="36" spans="1:10" ht="25.5" customHeight="1">
      <c r="B36" s="4" t="s">
        <v>248</v>
      </c>
      <c r="C36" s="9">
        <f>'Logic Tree'!C16</f>
        <v>45.3887</v>
      </c>
      <c r="D36" s="9">
        <f t="shared" si="1"/>
        <v>38.5</v>
      </c>
      <c r="E36" s="22">
        <f t="shared" si="2"/>
        <v>-6.8887</v>
      </c>
      <c r="H36" s="3" t="s">
        <v>581</v>
      </c>
    </row>
    <row r="37" spans="1:10" ht="25.5" customHeight="1">
      <c r="B37" s="4" t="s">
        <v>249</v>
      </c>
      <c r="C37" s="9">
        <f>'Logic Tree'!C17</f>
        <v>11.775</v>
      </c>
      <c r="D37" s="9">
        <f t="shared" si="1"/>
        <v>12</v>
      </c>
      <c r="E37" s="22">
        <f t="shared" si="2"/>
        <v>0.22499999999999964</v>
      </c>
      <c r="H37" s="3" t="s">
        <v>582</v>
      </c>
    </row>
    <row r="38" spans="1:10" ht="25.5" customHeight="1">
      <c r="B38" s="4" t="s">
        <v>583</v>
      </c>
      <c r="C38" s="9">
        <f>'Logic Tree'!C18</f>
        <v>3.4832999999999998</v>
      </c>
      <c r="D38" s="9">
        <f t="shared" si="1"/>
        <v>4.5</v>
      </c>
      <c r="E38" s="22">
        <f t="shared" si="2"/>
        <v>1.0167000000000002</v>
      </c>
      <c r="H38" s="3" t="s">
        <v>584</v>
      </c>
    </row>
    <row r="39" spans="1:10" ht="25.5" customHeight="1">
      <c r="B39" s="4" t="s">
        <v>450</v>
      </c>
      <c r="C39" s="9">
        <f>'Logic Tree'!C19</f>
        <v>0.13750000000000001</v>
      </c>
      <c r="D39" s="9">
        <f t="shared" si="1"/>
        <v>2</v>
      </c>
      <c r="E39" s="22">
        <f t="shared" si="2"/>
        <v>1.8625</v>
      </c>
      <c r="H39" s="3" t="s">
        <v>585</v>
      </c>
    </row>
    <row r="40" spans="1:10" ht="25.5" customHeight="1">
      <c r="B40" s="4" t="s">
        <v>586</v>
      </c>
      <c r="C40" s="9">
        <f>'Logic Tree'!C20</f>
        <v>0</v>
      </c>
      <c r="D40" s="9">
        <f t="shared" si="1"/>
        <v>3.5</v>
      </c>
      <c r="E40" s="22">
        <f t="shared" si="2"/>
        <v>3.5</v>
      </c>
      <c r="H40" s="3" t="s">
        <v>587</v>
      </c>
    </row>
    <row r="41" spans="1:10" ht="43.5" customHeight="1">
      <c r="B41" s="24" t="s">
        <v>588</v>
      </c>
      <c r="C41" s="26">
        <f>SUM(C35:C40)</f>
        <v>69.426000000000002</v>
      </c>
      <c r="D41" s="26">
        <f>SUM(D35:D40)</f>
        <v>69.5</v>
      </c>
      <c r="E41" s="44">
        <f t="shared" si="2"/>
        <v>7.3999999999998067E-2</v>
      </c>
      <c r="H41" s="79" t="s">
        <v>589</v>
      </c>
      <c r="I41" s="79"/>
      <c r="J41" s="79"/>
    </row>
    <row r="43" spans="1:10" ht="15" customHeight="1">
      <c r="A43" s="77" t="s">
        <v>590</v>
      </c>
      <c r="B43" s="77"/>
      <c r="C43" s="77"/>
      <c r="D43" s="77"/>
      <c r="E43" s="77"/>
      <c r="F43" s="77"/>
      <c r="G43" s="77"/>
      <c r="H43" s="77"/>
      <c r="I43" s="77"/>
      <c r="J43" s="77"/>
    </row>
    <row r="44" spans="1:10" ht="15" customHeight="1">
      <c r="B44" s="5" t="s">
        <v>203</v>
      </c>
      <c r="C44" s="5" t="s">
        <v>177</v>
      </c>
      <c r="D44" s="5" t="s">
        <v>178</v>
      </c>
      <c r="E44" s="5" t="s">
        <v>179</v>
      </c>
      <c r="F44" s="5" t="s">
        <v>180</v>
      </c>
      <c r="G44" s="5" t="s">
        <v>181</v>
      </c>
    </row>
    <row r="45" spans="1:10" ht="15" customHeight="1">
      <c r="B45" s="2" t="s">
        <v>591</v>
      </c>
      <c r="C45" s="9">
        <f>SUMIFS('Seat Ledger'!$M$5:$M$235,'Seat Ledger'!$B$5:$B$235,1,'Seat Ledger'!$J$5:$J$235,"FTC")</f>
        <v>56.5</v>
      </c>
      <c r="D45" s="9">
        <f>SUMIFS('Seat Ledger'!$M$5:$M$235,'Seat Ledger'!$B$5:$B$235,2,'Seat Ledger'!$J$5:$J$235,"FTC")</f>
        <v>40.999999799999998</v>
      </c>
      <c r="E45" s="9">
        <f>SUMIFS('Seat Ledger'!$M$5:$M$235,'Seat Ledger'!$B$5:$B$235,3,'Seat Ledger'!$J$5:$J$235,"FTC")</f>
        <v>33.5</v>
      </c>
      <c r="F45" s="9">
        <f>SUMIFS('Seat Ledger'!$M$5:$M$235,'Seat Ledger'!$B$5:$B$235,4,'Seat Ledger'!$J$5:$J$235,"FTC")</f>
        <v>26</v>
      </c>
      <c r="G45" s="9">
        <f>SUMIFS('Seat Ledger'!$M$5:$M$235,'Seat Ledger'!$B$5:$B$235,5,'Seat Ledger'!$J$5:$J$235,"FTC")</f>
        <v>23</v>
      </c>
    </row>
    <row r="46" spans="1:10" ht="15" customHeight="1">
      <c r="B46" s="2" t="s">
        <v>592</v>
      </c>
      <c r="C46" s="9">
        <f>SUMIFS('Seat Ledger'!$M$5:$M$235,'Seat Ledger'!$B$5:$B$235,1,'Seat Ledger'!$J$5:$J$235,"PT")</f>
        <v>13</v>
      </c>
      <c r="D46" s="9">
        <f>SUMIFS('Seat Ledger'!$M$5:$M$235,'Seat Ledger'!$B$5:$B$235,2,'Seat Ledger'!$J$5:$J$235,"PT")</f>
        <v>10</v>
      </c>
      <c r="E46" s="9">
        <f>SUMIFS('Seat Ledger'!$M$5:$M$235,'Seat Ledger'!$B$5:$B$235,3,'Seat Ledger'!$J$5:$J$235,"PT")</f>
        <v>7</v>
      </c>
      <c r="F46" s="9">
        <f>SUMIFS('Seat Ledger'!$M$5:$M$235,'Seat Ledger'!$B$5:$B$235,4,'Seat Ledger'!$J$5:$J$235,"PT")</f>
        <v>4.5</v>
      </c>
      <c r="G46" s="9">
        <f>SUMIFS('Seat Ledger'!$M$5:$M$235,'Seat Ledger'!$B$5:$B$235,5,'Seat Ledger'!$J$5:$J$235,"PT")</f>
        <v>3.5</v>
      </c>
    </row>
    <row r="47" spans="1:10" ht="15" customHeight="1">
      <c r="B47" s="14" t="s">
        <v>593</v>
      </c>
      <c r="C47" s="15">
        <f>C45+C46</f>
        <v>69.5</v>
      </c>
      <c r="D47" s="15">
        <f>D45+D46</f>
        <v>50.999999799999998</v>
      </c>
      <c r="E47" s="15">
        <f>E45+E46</f>
        <v>40.5</v>
      </c>
      <c r="F47" s="15">
        <f>F45+F46</f>
        <v>30.5</v>
      </c>
      <c r="G47" s="15">
        <f>G45+G46</f>
        <v>26.5</v>
      </c>
    </row>
    <row r="48" spans="1:10" ht="15" customHeight="1">
      <c r="B48" s="2" t="s">
        <v>594</v>
      </c>
      <c r="C48" s="9">
        <f>SUMIFS('Seat Ledger'!$M$5:$M$235,'Seat Ledger'!$B$5:$B$235,1,'Seat Ledger'!$J$5:$J$235,"FTE")</f>
        <v>26</v>
      </c>
      <c r="D48" s="9">
        <f>SUMIFS('Seat Ledger'!$M$5:$M$235,'Seat Ledger'!$B$5:$B$235,2,'Seat Ledger'!$J$5:$J$235,"FTE")</f>
        <v>21.980000002000001</v>
      </c>
      <c r="E48" s="9">
        <f>SUMIFS('Seat Ledger'!$M$5:$M$235,'Seat Ledger'!$B$5:$B$235,3,'Seat Ledger'!$J$5:$J$235,"FTE")</f>
        <v>19.97</v>
      </c>
      <c r="F48" s="9">
        <f>SUMIFS('Seat Ledger'!$M$5:$M$235,'Seat Ledger'!$B$5:$B$235,4,'Seat Ledger'!$J$5:$J$235,"FTE")</f>
        <v>19.5</v>
      </c>
      <c r="G48" s="9">
        <f>SUMIFS('Seat Ledger'!$M$5:$M$235,'Seat Ledger'!$B$5:$B$235,5,'Seat Ledger'!$J$5:$J$235,"FTE")</f>
        <v>18</v>
      </c>
    </row>
    <row r="49" spans="1:10" ht="15" customHeight="1">
      <c r="B49" s="2" t="s">
        <v>553</v>
      </c>
      <c r="C49" s="9">
        <f>SUMIFS('Seat Ledger'!$M$5:$M$235,'Seat Ledger'!$B$5:$B$235,1,'Seat Ledger'!$J$5:$J$235,"MGCC")</f>
        <v>11</v>
      </c>
      <c r="D49" s="9">
        <f>SUMIFS('Seat Ledger'!$M$5:$M$235,'Seat Ledger'!$B$5:$B$235,2,'Seat Ledger'!$J$5:$J$235,"MGCC")</f>
        <v>9.02</v>
      </c>
      <c r="E49" s="9">
        <f>SUMIFS('Seat Ledger'!$M$5:$M$235,'Seat Ledger'!$B$5:$B$235,3,'Seat Ledger'!$J$5:$J$235,"MGCC")</f>
        <v>7.47</v>
      </c>
      <c r="F49" s="9">
        <f>SUMIFS('Seat Ledger'!$M$5:$M$235,'Seat Ledger'!$B$5:$B$235,4,'Seat Ledger'!$J$5:$J$235,"MGCC")</f>
        <v>10</v>
      </c>
      <c r="G49" s="9">
        <f>SUMIFS('Seat Ledger'!$M$5:$M$235,'Seat Ledger'!$B$5:$B$235,5,'Seat Ledger'!$J$5:$J$235,"MGCC")</f>
        <v>8.9999999999999982</v>
      </c>
    </row>
    <row r="50" spans="1:10" ht="15" customHeight="1">
      <c r="B50" s="14" t="s">
        <v>595</v>
      </c>
      <c r="C50" s="18">
        <f>IF(C9=0,0,C47/C9)</f>
        <v>0.65258215962441313</v>
      </c>
      <c r="D50" s="18">
        <f>IF(D9=0,0,D47/D9)</f>
        <v>0.62195121857495539</v>
      </c>
      <c r="E50" s="18">
        <f>IF(E9=0,0,E47/E9)</f>
        <v>0.5961142184280247</v>
      </c>
      <c r="F50" s="18">
        <f>IF(F9=0,0,F47/F9)</f>
        <v>0.5083333333333333</v>
      </c>
      <c r="G50" s="18">
        <f>IF(G9=0,0,G47/G9)</f>
        <v>0.49532710280373832</v>
      </c>
    </row>
    <row r="51" spans="1:10" ht="15" customHeight="1">
      <c r="B51" s="2" t="s">
        <v>233</v>
      </c>
      <c r="C51" s="9">
        <f>SUMIFS('Seat Ledger'!$M$5:$M$235,'Seat Ledger'!$B$5:$B$235,1,'Seat Ledger'!$I$5:$I$235,"ON")</f>
        <v>87.499999999999986</v>
      </c>
      <c r="D51" s="9">
        <f>SUMIFS('Seat Ledger'!$M$5:$M$235,'Seat Ledger'!$B$5:$B$235,2,'Seat Ledger'!$I$5:$I$235,"ON")</f>
        <v>46.980000001999997</v>
      </c>
      <c r="E51" s="9">
        <f>SUMIFS('Seat Ledger'!$M$5:$M$235,'Seat Ledger'!$B$5:$B$235,3,'Seat Ledger'!$I$5:$I$235,"ON")</f>
        <v>37.47</v>
      </c>
      <c r="F51" s="9">
        <f>SUMIFS('Seat Ledger'!$M$5:$M$235,'Seat Ledger'!$B$5:$B$235,4,'Seat Ledger'!$I$5:$I$235,"ON")</f>
        <v>30.5</v>
      </c>
      <c r="G51" s="9">
        <f>SUMIFS('Seat Ledger'!$M$5:$M$235,'Seat Ledger'!$B$5:$B$235,5,'Seat Ledger'!$I$5:$I$235,"ON")</f>
        <v>30.5</v>
      </c>
    </row>
    <row r="52" spans="1:10" ht="15" customHeight="1">
      <c r="B52" s="2" t="s">
        <v>596</v>
      </c>
      <c r="C52" s="9">
        <f>SUMIFS('Seat Ledger'!$M$5:$M$235,'Seat Ledger'!$B$5:$B$235,1,'Seat Ledger'!$I$5:$I$235,"OFF")</f>
        <v>19</v>
      </c>
      <c r="D52" s="9">
        <f>SUMIFS('Seat Ledger'!$M$5:$M$235,'Seat Ledger'!$B$5:$B$235,2,'Seat Ledger'!$I$5:$I$235,"OFF")</f>
        <v>35.019999800000001</v>
      </c>
      <c r="E52" s="9">
        <f>SUMIFS('Seat Ledger'!$M$5:$M$235,'Seat Ledger'!$B$5:$B$235,3,'Seat Ledger'!$I$5:$I$235,"OFF")</f>
        <v>30.47</v>
      </c>
      <c r="F52" s="9">
        <f>SUMIFS('Seat Ledger'!$M$5:$M$235,'Seat Ledger'!$B$5:$B$235,4,'Seat Ledger'!$I$5:$I$235,"OFF")</f>
        <v>29.500000000000004</v>
      </c>
      <c r="G52" s="9">
        <f>SUMIFS('Seat Ledger'!$M$5:$M$235,'Seat Ledger'!$B$5:$B$235,5,'Seat Ledger'!$I$5:$I$235,"OFF")</f>
        <v>22.999999999999996</v>
      </c>
    </row>
    <row r="53" spans="1:10" ht="15" customHeight="1">
      <c r="B53" s="2" t="s">
        <v>235</v>
      </c>
      <c r="C53" s="9">
        <f>SUMIFS('Seat Ledger'!$M$5:$M$235,'Seat Ledger'!$B$5:$B$235,1,'Seat Ledger'!$I$5:$I$235,"NEAR")</f>
        <v>0</v>
      </c>
      <c r="D53" s="9">
        <f>SUMIFS('Seat Ledger'!$M$5:$M$235,'Seat Ledger'!$B$5:$B$235,2,'Seat Ledger'!$I$5:$I$235,"NEAR")</f>
        <v>0</v>
      </c>
      <c r="E53" s="9">
        <f>SUMIFS('Seat Ledger'!$M$5:$M$235,'Seat Ledger'!$B$5:$B$235,3,'Seat Ledger'!$I$5:$I$235,"NEAR")</f>
        <v>0</v>
      </c>
      <c r="F53" s="9">
        <f>SUMIFS('Seat Ledger'!$M$5:$M$235,'Seat Ledger'!$B$5:$B$235,4,'Seat Ledger'!$I$5:$I$235,"NEAR")</f>
        <v>0</v>
      </c>
      <c r="G53" s="9">
        <f>SUMIFS('Seat Ledger'!$M$5:$M$235,'Seat Ledger'!$B$5:$B$235,5,'Seat Ledger'!$I$5:$I$235,"NEAR")</f>
        <v>0</v>
      </c>
    </row>
    <row r="54" spans="1:10" ht="15" customHeight="1">
      <c r="B54" s="14" t="s">
        <v>597</v>
      </c>
      <c r="C54" s="18">
        <f>IF(C9=0,0,(C52+C53)/C9)</f>
        <v>0.17840375586854459</v>
      </c>
      <c r="D54" s="18">
        <f>IF(D9=0,0,(D52+D53)/D9)</f>
        <v>0.42707316932390843</v>
      </c>
      <c r="E54" s="18">
        <f>IF(E9=0,0,(E52+E53)/E9)</f>
        <v>0.448483956432146</v>
      </c>
      <c r="F54" s="18">
        <f>IF(F9=0,0,(F52+F53)/F9)</f>
        <v>0.49166666666666675</v>
      </c>
      <c r="G54" s="18">
        <f>IF(G9=0,0,(G52+G53)/G9)</f>
        <v>0.4299065420560747</v>
      </c>
    </row>
    <row r="55" spans="1:10" ht="15" customHeight="1">
      <c r="B55" s="2" t="s">
        <v>598</v>
      </c>
      <c r="C55" s="12">
        <f>IF(C47=0,0,(SUMIFS('Seat Ledger'!$M$5:$M$235,'Seat Ledger'!$B$5:$B$235,1,'Seat Ledger'!$J$5:$J$235,"FTC",'Seat Ledger'!$I$5:$I$235,"OFF")+SUMIFS('Seat Ledger'!$M$5:$M$235,'Seat Ledger'!$B$5:$B$235,1,'Seat Ledger'!$J$5:$J$235,"FTC",'Seat Ledger'!$I$5:$I$235,"NEAR")+SUMIFS('Seat Ledger'!$M$5:$M$235,'Seat Ledger'!$B$5:$B$235,1,'Seat Ledger'!$J$5:$J$235,"PT",'Seat Ledger'!$I$5:$I$235,"OFF"))/C47)</f>
        <v>0.11510791366906475</v>
      </c>
      <c r="D55" s="12">
        <f>IF(D47=0,0,(SUMIFS('Seat Ledger'!$M$5:$M$235,'Seat Ledger'!$B$5:$B$235,2,'Seat Ledger'!$J$5:$J$235,"FTC",'Seat Ledger'!$I$5:$I$235,"OFF")+SUMIFS('Seat Ledger'!$M$5:$M$235,'Seat Ledger'!$B$5:$B$235,2,'Seat Ledger'!$J$5:$J$235,"FTC",'Seat Ledger'!$I$5:$I$235,"NEAR")+SUMIFS('Seat Ledger'!$M$5:$M$235,'Seat Ledger'!$B$5:$B$235,2,'Seat Ledger'!$J$5:$J$235,"PT",'Seat Ledger'!$I$5:$I$235,"OFF"))/D47)</f>
        <v>0.5098039196462899</v>
      </c>
      <c r="E55" s="12">
        <f>IF(E47=0,0,(SUMIFS('Seat Ledger'!$M$5:$M$235,'Seat Ledger'!$B$5:$B$235,3,'Seat Ledger'!$J$5:$J$235,"FTC",'Seat Ledger'!$I$5:$I$235,"OFF")+SUMIFS('Seat Ledger'!$M$5:$M$235,'Seat Ledger'!$B$5:$B$235,3,'Seat Ledger'!$J$5:$J$235,"FTC",'Seat Ledger'!$I$5:$I$235,"NEAR")+SUMIFS('Seat Ledger'!$M$5:$M$235,'Seat Ledger'!$B$5:$B$235,3,'Seat Ledger'!$J$5:$J$235,"PT",'Seat Ledger'!$I$5:$I$235,"OFF"))/E47)</f>
        <v>0.5679012345679012</v>
      </c>
      <c r="F55" s="12">
        <f>IF(F47=0,0,(SUMIFS('Seat Ledger'!$M$5:$M$235,'Seat Ledger'!$B$5:$B$235,4,'Seat Ledger'!$J$5:$J$235,"FTC",'Seat Ledger'!$I$5:$I$235,"OFF")+SUMIFS('Seat Ledger'!$M$5:$M$235,'Seat Ledger'!$B$5:$B$235,4,'Seat Ledger'!$J$5:$J$235,"FTC",'Seat Ledger'!$I$5:$I$235,"NEAR")+SUMIFS('Seat Ledger'!$M$5:$M$235,'Seat Ledger'!$B$5:$B$235,4,'Seat Ledger'!$J$5:$J$235,"PT",'Seat Ledger'!$I$5:$I$235,"OFF"))/F47)</f>
        <v>0.63934426229508201</v>
      </c>
      <c r="G55" s="12">
        <f>IF(G47=0,0,(SUMIFS('Seat Ledger'!$M$5:$M$235,'Seat Ledger'!$B$5:$B$235,5,'Seat Ledger'!$J$5:$J$235,"FTC",'Seat Ledger'!$I$5:$I$235,"OFF")+SUMIFS('Seat Ledger'!$M$5:$M$235,'Seat Ledger'!$B$5:$B$235,5,'Seat Ledger'!$J$5:$J$235,"FTC",'Seat Ledger'!$I$5:$I$235,"NEAR")+SUMIFS('Seat Ledger'!$M$5:$M$235,'Seat Ledger'!$B$5:$B$235,5,'Seat Ledger'!$J$5:$J$235,"PT",'Seat Ledger'!$I$5:$I$235,"OFF"))/G47)</f>
        <v>0.52830188679245282</v>
      </c>
    </row>
    <row r="56" spans="1:10" ht="15" customHeight="1">
      <c r="B56" s="14" t="s">
        <v>599</v>
      </c>
      <c r="C56" s="18">
        <f>IF(C45=0,0,(SUMIFS('Seat Ledger'!$M$5:$M$235,'Seat Ledger'!$B$5:$B$235,1,'Seat Ledger'!$J$5:$J$235,"FTC",'Seat Ledger'!$I$5:$I$235,"OFF")+SUMIFS('Seat Ledger'!$M$5:$M$235,'Seat Ledger'!$B$5:$B$235,1,'Seat Ledger'!$J$5:$J$235,"FTC",'Seat Ledger'!$I$5:$I$235,"NEAR"))/C45)</f>
        <v>0.1415929203539823</v>
      </c>
      <c r="D56" s="18">
        <f>IF(D45=0,0,(SUMIFS('Seat Ledger'!$M$5:$M$235,'Seat Ledger'!$B$5:$B$235,2,'Seat Ledger'!$J$5:$J$235,"FTC",'Seat Ledger'!$I$5:$I$235,"OFF")+SUMIFS('Seat Ledger'!$M$5:$M$235,'Seat Ledger'!$B$5:$B$235,2,'Seat Ledger'!$J$5:$J$235,"FTC",'Seat Ledger'!$I$5:$I$235,"NEAR"))/D45)</f>
        <v>0.63414633967876266</v>
      </c>
      <c r="E56" s="18">
        <f>IF(E45=0,0,(SUMIFS('Seat Ledger'!$M$5:$M$235,'Seat Ledger'!$B$5:$B$235,3,'Seat Ledger'!$J$5:$J$235,"FTC",'Seat Ledger'!$I$5:$I$235,"OFF")+SUMIFS('Seat Ledger'!$M$5:$M$235,'Seat Ledger'!$B$5:$B$235,3,'Seat Ledger'!$J$5:$J$235,"FTC",'Seat Ledger'!$I$5:$I$235,"NEAR"))/E45)</f>
        <v>0.68656716417910446</v>
      </c>
      <c r="F56" s="18">
        <f>IF(F45=0,0,(SUMIFS('Seat Ledger'!$M$5:$M$235,'Seat Ledger'!$B$5:$B$235,4,'Seat Ledger'!$J$5:$J$235,"FTC",'Seat Ledger'!$I$5:$I$235,"OFF")+SUMIFS('Seat Ledger'!$M$5:$M$235,'Seat Ledger'!$B$5:$B$235,4,'Seat Ledger'!$J$5:$J$235,"FTC",'Seat Ledger'!$I$5:$I$235,"NEAR"))/F45)</f>
        <v>0.75</v>
      </c>
      <c r="G56" s="18">
        <f>IF(G45=0,0,(SUMIFS('Seat Ledger'!$M$5:$M$235,'Seat Ledger'!$B$5:$B$235,5,'Seat Ledger'!$J$5:$J$235,"FTC",'Seat Ledger'!$I$5:$I$235,"OFF")+SUMIFS('Seat Ledger'!$M$5:$M$235,'Seat Ledger'!$B$5:$B$235,5,'Seat Ledger'!$J$5:$J$235,"FTC",'Seat Ledger'!$I$5:$I$235,"NEAR"))/G45)</f>
        <v>0.60869565217391308</v>
      </c>
      <c r="I56" s="3" t="s">
        <v>600</v>
      </c>
    </row>
    <row r="57" spans="1:10" ht="15" customHeight="1">
      <c r="B57" s="2" t="s">
        <v>601</v>
      </c>
      <c r="C57" s="12">
        <f>'Logic Tree'!C68</f>
        <v>0.18066992132332668</v>
      </c>
      <c r="D57" s="12">
        <f>'Logic Tree'!D68</f>
        <v>0.27517399999546654</v>
      </c>
      <c r="E57" s="12">
        <f>'Logic Tree'!E68</f>
        <v>0.36589791552072087</v>
      </c>
      <c r="F57" s="12">
        <f>'Logic Tree'!F68</f>
        <v>0.42638052587089037</v>
      </c>
      <c r="G57" s="12">
        <f>'Logic Tree'!G68</f>
        <v>0.47174248363351756</v>
      </c>
    </row>
    <row r="59" spans="1:10" ht="15" customHeight="1">
      <c r="A59" s="77" t="s">
        <v>602</v>
      </c>
      <c r="B59" s="77"/>
      <c r="C59" s="77"/>
      <c r="D59" s="77"/>
      <c r="E59" s="77"/>
      <c r="F59" s="77"/>
      <c r="G59" s="77"/>
      <c r="H59" s="77"/>
      <c r="I59" s="77"/>
      <c r="J59" s="77"/>
    </row>
    <row r="60" spans="1:10" ht="15" customHeight="1">
      <c r="B60" s="5" t="s">
        <v>442</v>
      </c>
      <c r="C60" s="5" t="s">
        <v>177</v>
      </c>
      <c r="D60" s="5" t="s">
        <v>178</v>
      </c>
      <c r="E60" s="5" t="s">
        <v>179</v>
      </c>
      <c r="F60" s="5" t="s">
        <v>180</v>
      </c>
      <c r="G60" s="5" t="s">
        <v>181</v>
      </c>
    </row>
    <row r="61" spans="1:10" ht="15" customHeight="1">
      <c r="B61" s="2" t="s">
        <v>603</v>
      </c>
      <c r="C61" s="9">
        <f>SUMIFS('Seat Ledger'!$M$5:$M$235,'Seat Ledger'!$B$5:$B$235,1,'Seat Ledger'!$G$5:$G$235,"BSA")</f>
        <v>18.5</v>
      </c>
      <c r="D61" s="9">
        <f>SUMIFS('Seat Ledger'!$M$5:$M$235,'Seat Ledger'!$B$5:$B$235,2,'Seat Ledger'!$G$5:$G$235,"BSA")</f>
        <v>19.500000002</v>
      </c>
      <c r="E61" s="9">
        <f>SUMIFS('Seat Ledger'!$M$5:$M$235,'Seat Ledger'!$B$5:$B$235,3,'Seat Ledger'!$G$5:$G$235,"BSA")</f>
        <v>16</v>
      </c>
      <c r="F61" s="9">
        <f>SUMIFS('Seat Ledger'!$M$5:$M$235,'Seat Ledger'!$B$5:$B$235,4,'Seat Ledger'!$G$5:$G$235,"BSA")</f>
        <v>13.999999999999998</v>
      </c>
      <c r="G61" s="9">
        <f>SUMIFS('Seat Ledger'!$M$5:$M$235,'Seat Ledger'!$B$5:$B$235,5,'Seat Ledger'!$G$5:$G$235,"BSA")</f>
        <v>12.000000000000002</v>
      </c>
    </row>
    <row r="62" spans="1:10" ht="15" customHeight="1">
      <c r="B62" s="2" t="s">
        <v>248</v>
      </c>
      <c r="C62" s="9">
        <f>SUMIFS('Seat Ledger'!$M$5:$M$235,'Seat Ledger'!$B$5:$B$235,1,'Seat Ledger'!$G$5:$G$235,"DEV")</f>
        <v>49.5</v>
      </c>
      <c r="D62" s="9">
        <f>SUMIFS('Seat Ledger'!$M$5:$M$235,'Seat Ledger'!$B$5:$B$235,2,'Seat Ledger'!$G$5:$G$235,"DEV")</f>
        <v>29.02</v>
      </c>
      <c r="E62" s="9">
        <f>SUMIFS('Seat Ledger'!$M$5:$M$235,'Seat Ledger'!$B$5:$B$235,3,'Seat Ledger'!$G$5:$G$235,"DEV")</f>
        <v>18.97</v>
      </c>
      <c r="F62" s="9">
        <f>SUMIFS('Seat Ledger'!$M$5:$M$235,'Seat Ledger'!$B$5:$B$235,4,'Seat Ledger'!$G$5:$G$235,"DEV")</f>
        <v>21</v>
      </c>
      <c r="G62" s="9">
        <f>SUMIFS('Seat Ledger'!$M$5:$M$235,'Seat Ledger'!$B$5:$B$235,5,'Seat Ledger'!$G$5:$G$235,"DEV")</f>
        <v>18.499999999999996</v>
      </c>
    </row>
    <row r="63" spans="1:10" ht="15" customHeight="1">
      <c r="B63" s="2" t="s">
        <v>249</v>
      </c>
      <c r="C63" s="9">
        <f>SUMIFS('Seat Ledger'!$M$5:$M$235,'Seat Ledger'!$B$5:$B$235,1,'Seat Ledger'!$G$5:$G$235,"TEST")</f>
        <v>12</v>
      </c>
      <c r="D63" s="9">
        <f>SUMIFS('Seat Ledger'!$M$5:$M$235,'Seat Ledger'!$B$5:$B$235,2,'Seat Ledger'!$G$5:$G$235,"TEST")</f>
        <v>11</v>
      </c>
      <c r="E63" s="9">
        <f>SUMIFS('Seat Ledger'!$M$5:$M$235,'Seat Ledger'!$B$5:$B$235,3,'Seat Ledger'!$G$5:$G$235,"TEST")</f>
        <v>8.5</v>
      </c>
      <c r="F63" s="9">
        <f>SUMIFS('Seat Ledger'!$M$5:$M$235,'Seat Ledger'!$B$5:$B$235,4,'Seat Ledger'!$G$5:$G$235,"TEST")</f>
        <v>8.5</v>
      </c>
      <c r="G63" s="9">
        <f>SUMIFS('Seat Ledger'!$M$5:$M$235,'Seat Ledger'!$B$5:$B$235,5,'Seat Ledger'!$G$5:$G$235,"TEST")</f>
        <v>7.5</v>
      </c>
    </row>
    <row r="64" spans="1:10" ht="15" customHeight="1">
      <c r="B64" s="2" t="s">
        <v>583</v>
      </c>
      <c r="C64" s="9">
        <f>SUMIFS('Seat Ledger'!$M$5:$M$235,'Seat Ledger'!$B$5:$B$235,1,'Seat Ledger'!$G$5:$G$235,"MNT")</f>
        <v>10</v>
      </c>
      <c r="D64" s="9">
        <f>SUMIFS('Seat Ledger'!$M$5:$M$235,'Seat Ledger'!$B$5:$B$235,2,'Seat Ledger'!$G$5:$G$235,"MNT")</f>
        <v>7.9999997999999994</v>
      </c>
      <c r="E64" s="9">
        <f>SUMIFS('Seat Ledger'!$M$5:$M$235,'Seat Ledger'!$B$5:$B$235,3,'Seat Ledger'!$G$5:$G$235,"MNT")</f>
        <v>12</v>
      </c>
      <c r="F64" s="9">
        <f>SUMIFS('Seat Ledger'!$M$5:$M$235,'Seat Ledger'!$B$5:$B$235,4,'Seat Ledger'!$G$5:$G$235,"MNT")</f>
        <v>9</v>
      </c>
      <c r="G64" s="9">
        <f>SUMIFS('Seat Ledger'!$M$5:$M$235,'Seat Ledger'!$B$5:$B$235,5,'Seat Ledger'!$G$5:$G$235,"MNT")</f>
        <v>5.5</v>
      </c>
    </row>
    <row r="65" spans="1:10" ht="15" customHeight="1">
      <c r="B65" s="2" t="s">
        <v>604</v>
      </c>
      <c r="C65" s="9">
        <f>SUMIFS('Seat Ledger'!$M$5:$M$235,'Seat Ledger'!$B$5:$B$235,1,'Seat Ledger'!$G$5:$G$235,"PM")</f>
        <v>13</v>
      </c>
      <c r="D65" s="9">
        <f>SUMIFS('Seat Ledger'!$M$5:$M$235,'Seat Ledger'!$B$5:$B$235,2,'Seat Ledger'!$G$5:$G$235,"PM")</f>
        <v>12.48</v>
      </c>
      <c r="E65" s="9">
        <f>SUMIFS('Seat Ledger'!$M$5:$M$235,'Seat Ledger'!$B$5:$B$235,3,'Seat Ledger'!$G$5:$G$235,"PM")</f>
        <v>11.969999999999999</v>
      </c>
      <c r="F65" s="9">
        <f>SUMIFS('Seat Ledger'!$M$5:$M$235,'Seat Ledger'!$B$5:$B$235,4,'Seat Ledger'!$G$5:$G$235,"PM")</f>
        <v>7.0000000000000009</v>
      </c>
      <c r="G65" s="9">
        <f>SUMIFS('Seat Ledger'!$M$5:$M$235,'Seat Ledger'!$B$5:$B$235,5,'Seat Ledger'!$G$5:$G$235,"PM")</f>
        <v>9.4999999999999982</v>
      </c>
    </row>
    <row r="66" spans="1:10" ht="15" customHeight="1">
      <c r="B66" s="2" t="s">
        <v>605</v>
      </c>
      <c r="C66" s="9">
        <f>SUMIFS('Seat Ledger'!$M$5:$M$235,'Seat Ledger'!$B$5:$B$235,1,'Seat Ledger'!$G$5:$G$235,"OTH")</f>
        <v>3.5</v>
      </c>
      <c r="D66" s="9">
        <f>SUMIFS('Seat Ledger'!$M$5:$M$235,'Seat Ledger'!$B$5:$B$235,2,'Seat Ledger'!$G$5:$G$235,"OTH")</f>
        <v>2</v>
      </c>
      <c r="E66" s="9">
        <f>SUMIFS('Seat Ledger'!$M$5:$M$235,'Seat Ledger'!$B$5:$B$235,3,'Seat Ledger'!$G$5:$G$235,"OTH")</f>
        <v>0.5</v>
      </c>
      <c r="F66" s="9">
        <f>SUMIFS('Seat Ledger'!$M$5:$M$235,'Seat Ledger'!$B$5:$B$235,4,'Seat Ledger'!$G$5:$G$235,"OTH")</f>
        <v>0.5</v>
      </c>
      <c r="G66" s="9">
        <f>SUMIFS('Seat Ledger'!$M$5:$M$235,'Seat Ledger'!$B$5:$B$235,5,'Seat Ledger'!$G$5:$G$235,"OTH")</f>
        <v>0.5</v>
      </c>
    </row>
    <row r="67" spans="1:10" ht="63.75" customHeight="1">
      <c r="B67" s="14" t="s">
        <v>606</v>
      </c>
      <c r="C67" s="18">
        <f>IF(C9=0,0,(C63+C64)/C9)</f>
        <v>0.20657276995305165</v>
      </c>
      <c r="D67" s="18">
        <f>IF(D9=0,0,(D63+D64)/D9)</f>
        <v>0.23170731519363474</v>
      </c>
      <c r="E67" s="18">
        <f>IF(E9=0,0,(E63+E64)/E9)</f>
        <v>0.30173682661171625</v>
      </c>
      <c r="F67" s="18">
        <f>IF(F9=0,0,(F63+F64)/F9)</f>
        <v>0.29166666666666669</v>
      </c>
      <c r="G67" s="18">
        <f>IF(G9=0,0,(G63+G64)/G9)</f>
        <v>0.24299065420560748</v>
      </c>
      <c r="I67" s="3" t="s">
        <v>607</v>
      </c>
    </row>
    <row r="69" spans="1:10" ht="15" customHeight="1">
      <c r="A69" s="77" t="s">
        <v>608</v>
      </c>
      <c r="B69" s="77"/>
      <c r="C69" s="77"/>
      <c r="D69" s="77"/>
      <c r="E69" s="77"/>
      <c r="F69" s="77"/>
      <c r="G69" s="77"/>
      <c r="H69" s="77"/>
      <c r="I69" s="77"/>
      <c r="J69" s="77"/>
    </row>
    <row r="70" spans="1:10" ht="15" customHeight="1">
      <c r="B70" s="5" t="s">
        <v>609</v>
      </c>
      <c r="C70" s="5" t="s">
        <v>177</v>
      </c>
      <c r="D70" s="5" t="s">
        <v>178</v>
      </c>
      <c r="E70" s="5" t="s">
        <v>179</v>
      </c>
      <c r="F70" s="5" t="s">
        <v>180</v>
      </c>
      <c r="G70" s="5" t="s">
        <v>181</v>
      </c>
    </row>
    <row r="71" spans="1:10" ht="15" customHeight="1">
      <c r="B71" s="2" t="s">
        <v>228</v>
      </c>
      <c r="C71" s="9">
        <f>SUMIFS('Seat Ledger'!$M$5:$M$235,'Seat Ledger'!$B$5:$B$235,1,'Seat Ledger'!$H$5:$H$235,"E1")</f>
        <v>0</v>
      </c>
      <c r="D71" s="9">
        <f>SUMIFS('Seat Ledger'!$M$5:$M$235,'Seat Ledger'!$B$5:$B$235,2,'Seat Ledger'!$H$5:$H$235,"E1")</f>
        <v>0</v>
      </c>
      <c r="E71" s="9">
        <f>SUMIFS('Seat Ledger'!$M$5:$M$235,'Seat Ledger'!$B$5:$B$235,3,'Seat Ledger'!$H$5:$H$235,"E1")</f>
        <v>0</v>
      </c>
      <c r="F71" s="9">
        <f>SUMIFS('Seat Ledger'!$M$5:$M$235,'Seat Ledger'!$B$5:$B$235,4,'Seat Ledger'!$H$5:$H$235,"E1")</f>
        <v>0</v>
      </c>
      <c r="G71" s="9">
        <f>SUMIFS('Seat Ledger'!$M$5:$M$235,'Seat Ledger'!$B$5:$B$235,5,'Seat Ledger'!$H$5:$H$235,"E1")</f>
        <v>0</v>
      </c>
    </row>
    <row r="72" spans="1:10" ht="15" customHeight="1">
      <c r="B72" s="2" t="s">
        <v>229</v>
      </c>
      <c r="C72" s="9">
        <f>SUMIFS('Seat Ledger'!$M$5:$M$235,'Seat Ledger'!$B$5:$B$235,1,'Seat Ledger'!$H$5:$H$235,"E2")</f>
        <v>18</v>
      </c>
      <c r="D72" s="9">
        <f>SUMIFS('Seat Ledger'!$M$5:$M$235,'Seat Ledger'!$B$5:$B$235,2,'Seat Ledger'!$H$5:$H$235,"E2")</f>
        <v>9.4999997999999994</v>
      </c>
      <c r="E72" s="9">
        <f>SUMIFS('Seat Ledger'!$M$5:$M$235,'Seat Ledger'!$B$5:$B$235,3,'Seat Ledger'!$H$5:$H$235,"E2")</f>
        <v>8</v>
      </c>
      <c r="F72" s="9">
        <f>SUMIFS('Seat Ledger'!$M$5:$M$235,'Seat Ledger'!$B$5:$B$235,4,'Seat Ledger'!$H$5:$H$235,"E2")</f>
        <v>1</v>
      </c>
      <c r="G72" s="9">
        <f>SUMIFS('Seat Ledger'!$M$5:$M$235,'Seat Ledger'!$B$5:$B$235,5,'Seat Ledger'!$H$5:$H$235,"E2")</f>
        <v>1</v>
      </c>
    </row>
    <row r="73" spans="1:10" ht="15" customHeight="1">
      <c r="B73" s="2" t="s">
        <v>230</v>
      </c>
      <c r="C73" s="9">
        <f>SUMIFS('Seat Ledger'!$M$5:$M$235,'Seat Ledger'!$B$5:$B$235,1,'Seat Ledger'!$H$5:$H$235,"E3")</f>
        <v>52.500000000000007</v>
      </c>
      <c r="D73" s="9">
        <f>SUMIFS('Seat Ledger'!$M$5:$M$235,'Seat Ledger'!$B$5:$B$235,2,'Seat Ledger'!$H$5:$H$235,"E3")</f>
        <v>45.019999999999996</v>
      </c>
      <c r="E73" s="9">
        <f>SUMIFS('Seat Ledger'!$M$5:$M$235,'Seat Ledger'!$B$5:$B$235,3,'Seat Ledger'!$H$5:$H$235,"E3")</f>
        <v>34.47</v>
      </c>
      <c r="F73" s="9">
        <f>SUMIFS('Seat Ledger'!$M$5:$M$235,'Seat Ledger'!$B$5:$B$235,4,'Seat Ledger'!$H$5:$H$235,"E3")</f>
        <v>36</v>
      </c>
      <c r="G73" s="9">
        <f>SUMIFS('Seat Ledger'!$M$5:$M$235,'Seat Ledger'!$B$5:$B$235,5,'Seat Ledger'!$H$5:$H$235,"E3")</f>
        <v>28.5</v>
      </c>
    </row>
    <row r="74" spans="1:10" ht="15" customHeight="1">
      <c r="B74" s="2" t="s">
        <v>231</v>
      </c>
      <c r="C74" s="9">
        <f>SUMIFS('Seat Ledger'!$M$5:$M$235,'Seat Ledger'!$B$5:$B$235,1,'Seat Ledger'!$H$5:$H$235,"E4")</f>
        <v>30</v>
      </c>
      <c r="D74" s="9">
        <f>SUMIFS('Seat Ledger'!$M$5:$M$235,'Seat Ledger'!$B$5:$B$235,2,'Seat Ledger'!$H$5:$H$235,"E4")</f>
        <v>24.980000002000001</v>
      </c>
      <c r="E74" s="9">
        <f>SUMIFS('Seat Ledger'!$M$5:$M$235,'Seat Ledger'!$B$5:$B$235,3,'Seat Ledger'!$H$5:$H$235,"E4")</f>
        <v>22.97</v>
      </c>
      <c r="F74" s="9">
        <f>SUMIFS('Seat Ledger'!$M$5:$M$235,'Seat Ledger'!$B$5:$B$235,4,'Seat Ledger'!$H$5:$H$235,"E4")</f>
        <v>18.000000000000004</v>
      </c>
      <c r="G74" s="9">
        <f>SUMIFS('Seat Ledger'!$M$5:$M$235,'Seat Ledger'!$B$5:$B$235,5,'Seat Ledger'!$H$5:$H$235,"E4")</f>
        <v>19.499999999999996</v>
      </c>
    </row>
    <row r="75" spans="1:10" ht="15" customHeight="1">
      <c r="B75" s="2" t="s">
        <v>232</v>
      </c>
      <c r="C75" s="9">
        <f>SUMIFS('Seat Ledger'!$M$5:$M$235,'Seat Ledger'!$B$5:$B$235,1,'Seat Ledger'!$H$5:$H$235,"E5")</f>
        <v>6</v>
      </c>
      <c r="D75" s="9">
        <f>SUMIFS('Seat Ledger'!$M$5:$M$235,'Seat Ledger'!$B$5:$B$235,2,'Seat Ledger'!$H$5:$H$235,"E5")</f>
        <v>2.5</v>
      </c>
      <c r="E75" s="9">
        <f>SUMIFS('Seat Ledger'!$M$5:$M$235,'Seat Ledger'!$B$5:$B$235,3,'Seat Ledger'!$H$5:$H$235,"E5")</f>
        <v>2.5</v>
      </c>
      <c r="F75" s="9">
        <f>SUMIFS('Seat Ledger'!$M$5:$M$235,'Seat Ledger'!$B$5:$B$235,4,'Seat Ledger'!$H$5:$H$235,"E5")</f>
        <v>5</v>
      </c>
      <c r="G75" s="9">
        <f>SUMIFS('Seat Ledger'!$M$5:$M$235,'Seat Ledger'!$B$5:$B$235,5,'Seat Ledger'!$H$5:$H$235,"E5")</f>
        <v>4.5</v>
      </c>
    </row>
    <row r="76" spans="1:10" ht="15" customHeight="1">
      <c r="B76" s="14" t="s">
        <v>610</v>
      </c>
      <c r="C76" s="18">
        <f>IF(C9=0,0,(C74+C75)/C9)</f>
        <v>0.3380281690140845</v>
      </c>
      <c r="D76" s="18">
        <f>IF(D9=0,0,(D74+D75)/D9)</f>
        <v>0.33512195205309941</v>
      </c>
      <c r="E76" s="18">
        <f>IF(E9=0,0,(E74+E75)/E9)</f>
        <v>0.3748896084780689</v>
      </c>
      <c r="F76" s="18">
        <f>IF(F9=0,0,(F74+F75)/F9)</f>
        <v>0.38333333333333341</v>
      </c>
      <c r="G76" s="18">
        <f>IF(G9=0,0,(G74+G75)/G9)</f>
        <v>0.44859813084112143</v>
      </c>
    </row>
  </sheetData>
  <mergeCells count="11">
    <mergeCell ref="A69:J69"/>
    <mergeCell ref="G32:J32"/>
    <mergeCell ref="A33:J33"/>
    <mergeCell ref="H41:J41"/>
    <mergeCell ref="A43:J43"/>
    <mergeCell ref="A59:J59"/>
    <mergeCell ref="A1:J1"/>
    <mergeCell ref="A2:J2"/>
    <mergeCell ref="A4:J4"/>
    <mergeCell ref="A14:J14"/>
    <mergeCell ref="G31:J3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80"/>
  <sheetViews>
    <sheetView zoomScaleNormal="100" workbookViewId="0">
      <selection sqref="A1:K1"/>
    </sheetView>
  </sheetViews>
  <sheetFormatPr defaultColWidth="8.6328125" defaultRowHeight="14.5"/>
  <cols>
    <col min="1" max="1" width="2.453125" customWidth="1"/>
    <col min="2" max="2" width="44" customWidth="1"/>
    <col min="3" max="8" width="12" customWidth="1"/>
    <col min="9" max="9" width="3" customWidth="1"/>
    <col min="10" max="10" width="52" customWidth="1"/>
  </cols>
  <sheetData>
    <row r="1" spans="1:11" ht="25.5" customHeight="1">
      <c r="A1" s="74" t="s">
        <v>611</v>
      </c>
      <c r="B1" s="74"/>
      <c r="C1" s="74"/>
      <c r="D1" s="74"/>
      <c r="E1" s="74"/>
      <c r="F1" s="74"/>
      <c r="G1" s="74"/>
      <c r="H1" s="74"/>
      <c r="I1" s="74"/>
      <c r="J1" s="74"/>
      <c r="K1" s="74"/>
    </row>
    <row r="2" spans="1:11" ht="15" customHeight="1">
      <c r="A2" s="75" t="s">
        <v>612</v>
      </c>
      <c r="B2" s="75"/>
      <c r="C2" s="75"/>
      <c r="D2" s="75"/>
      <c r="E2" s="75"/>
      <c r="F2" s="75"/>
      <c r="G2" s="75"/>
      <c r="H2" s="75"/>
      <c r="I2" s="75"/>
      <c r="J2" s="75"/>
      <c r="K2" s="75"/>
    </row>
    <row r="4" spans="1:11" ht="15" customHeight="1">
      <c r="A4" s="77" t="s">
        <v>613</v>
      </c>
      <c r="B4" s="77"/>
      <c r="C4" s="77"/>
      <c r="D4" s="77"/>
      <c r="E4" s="77"/>
      <c r="F4" s="77"/>
      <c r="G4" s="77"/>
      <c r="H4" s="77"/>
    </row>
    <row r="5" spans="1:11" ht="18.75" customHeight="1">
      <c r="B5" s="5" t="s">
        <v>35</v>
      </c>
      <c r="C5" s="5" t="s">
        <v>446</v>
      </c>
      <c r="D5" s="5" t="s">
        <v>614</v>
      </c>
    </row>
    <row r="6" spans="1:11" ht="37.5" customHeight="1">
      <c r="B6" s="2" t="s">
        <v>615</v>
      </c>
      <c r="C6" s="13">
        <v>277</v>
      </c>
      <c r="D6" s="80" t="s">
        <v>616</v>
      </c>
      <c r="E6" s="80"/>
      <c r="F6" s="80"/>
      <c r="G6" s="80"/>
      <c r="H6" s="80"/>
    </row>
    <row r="7" spans="1:11" ht="37.5" customHeight="1">
      <c r="B7" s="2" t="s">
        <v>617</v>
      </c>
      <c r="C7" s="13">
        <v>283</v>
      </c>
      <c r="D7" s="80" t="s">
        <v>618</v>
      </c>
      <c r="E7" s="80"/>
      <c r="F7" s="80"/>
      <c r="G7" s="80"/>
      <c r="H7" s="80"/>
    </row>
    <row r="8" spans="1:11" ht="37.5" customHeight="1">
      <c r="B8" s="2" t="s">
        <v>619</v>
      </c>
      <c r="C8" s="13">
        <v>450</v>
      </c>
      <c r="D8" s="80" t="s">
        <v>620</v>
      </c>
      <c r="E8" s="80"/>
      <c r="F8" s="80"/>
      <c r="G8" s="80"/>
      <c r="H8" s="80"/>
    </row>
    <row r="9" spans="1:11" ht="37.5" customHeight="1">
      <c r="B9" s="2" t="s">
        <v>621</v>
      </c>
      <c r="C9" s="13">
        <v>528</v>
      </c>
      <c r="D9" s="80" t="s">
        <v>622</v>
      </c>
      <c r="E9" s="80"/>
      <c r="F9" s="80"/>
      <c r="G9" s="80"/>
      <c r="H9" s="80"/>
    </row>
    <row r="10" spans="1:11" ht="37.5" customHeight="1">
      <c r="B10" s="24" t="s">
        <v>623</v>
      </c>
      <c r="C10" s="38">
        <v>41</v>
      </c>
      <c r="D10" s="80" t="s">
        <v>624</v>
      </c>
      <c r="E10" s="80"/>
      <c r="F10" s="80"/>
      <c r="G10" s="80"/>
      <c r="H10" s="80"/>
    </row>
    <row r="12" spans="1:11" ht="15" customHeight="1">
      <c r="B12" s="79" t="s">
        <v>625</v>
      </c>
      <c r="C12" s="79"/>
      <c r="D12" s="79"/>
      <c r="E12" s="79"/>
      <c r="F12" s="79"/>
      <c r="G12" s="79"/>
      <c r="H12" s="79"/>
      <c r="I12" s="79"/>
      <c r="J12" s="79"/>
    </row>
    <row r="14" spans="1:11" ht="15" customHeight="1">
      <c r="A14" s="77" t="s">
        <v>626</v>
      </c>
      <c r="B14" s="77"/>
      <c r="C14" s="77"/>
      <c r="D14" s="77"/>
      <c r="E14" s="77"/>
      <c r="F14" s="77"/>
      <c r="G14" s="77"/>
      <c r="H14" s="77"/>
    </row>
    <row r="15" spans="1:11" ht="18.75" customHeight="1">
      <c r="B15" s="5" t="s">
        <v>376</v>
      </c>
      <c r="C15" s="5" t="s">
        <v>157</v>
      </c>
      <c r="D15" s="5" t="s">
        <v>309</v>
      </c>
      <c r="E15" s="5" t="s">
        <v>627</v>
      </c>
      <c r="F15" s="5" t="s">
        <v>628</v>
      </c>
    </row>
    <row r="16" spans="1:11" ht="36.75" customHeight="1">
      <c r="B16" s="4" t="s">
        <v>392</v>
      </c>
      <c r="C16" s="35" t="s">
        <v>164</v>
      </c>
      <c r="D16" s="2" t="s">
        <v>427</v>
      </c>
      <c r="E16" s="9">
        <v>36.1</v>
      </c>
      <c r="F16" s="45">
        <v>36.104999999999997</v>
      </c>
      <c r="J16" s="3" t="s">
        <v>629</v>
      </c>
    </row>
    <row r="17" spans="1:10" ht="34.5" customHeight="1">
      <c r="B17" s="4" t="s">
        <v>630</v>
      </c>
      <c r="C17" s="35" t="s">
        <v>631</v>
      </c>
      <c r="D17" s="2" t="s">
        <v>427</v>
      </c>
      <c r="E17" s="9">
        <v>3</v>
      </c>
      <c r="F17" s="45">
        <v>20.628</v>
      </c>
    </row>
    <row r="18" spans="1:10" ht="34.5" customHeight="1">
      <c r="B18" s="4" t="s">
        <v>632</v>
      </c>
      <c r="C18" s="35" t="s">
        <v>166</v>
      </c>
      <c r="D18" s="2" t="s">
        <v>431</v>
      </c>
      <c r="E18" s="9">
        <v>1.9</v>
      </c>
      <c r="F18" s="45">
        <v>12.693</v>
      </c>
    </row>
    <row r="19" spans="1:10" ht="15" customHeight="1">
      <c r="B19" s="14" t="s">
        <v>420</v>
      </c>
      <c r="E19" s="15">
        <f>SUM(E16:E18)</f>
        <v>41</v>
      </c>
      <c r="F19" s="15">
        <f>SUM(F16:F18)</f>
        <v>69.426000000000002</v>
      </c>
    </row>
    <row r="21" spans="1:10" ht="15" customHeight="1">
      <c r="A21" s="77" t="s">
        <v>633</v>
      </c>
      <c r="B21" s="77"/>
      <c r="C21" s="77"/>
      <c r="D21" s="77"/>
      <c r="E21" s="77"/>
      <c r="F21" s="77"/>
      <c r="G21" s="77"/>
      <c r="H21" s="77"/>
    </row>
    <row r="22" spans="1:10" ht="18.75" customHeight="1">
      <c r="B22" s="5" t="s">
        <v>609</v>
      </c>
      <c r="C22" s="5" t="s">
        <v>634</v>
      </c>
      <c r="D22" s="5" t="s">
        <v>635</v>
      </c>
      <c r="E22" s="5" t="s">
        <v>636</v>
      </c>
    </row>
    <row r="23" spans="1:10" ht="27.75" customHeight="1">
      <c r="B23" s="11" t="s">
        <v>228</v>
      </c>
      <c r="C23" s="20">
        <v>0.22</v>
      </c>
      <c r="D23" s="20">
        <v>0.1</v>
      </c>
      <c r="E23" s="20">
        <v>0.2</v>
      </c>
      <c r="J23" s="3" t="s">
        <v>637</v>
      </c>
    </row>
    <row r="24" spans="1:10" ht="15" customHeight="1">
      <c r="B24" s="11" t="s">
        <v>229</v>
      </c>
      <c r="C24" s="20">
        <v>0.18</v>
      </c>
      <c r="D24" s="20">
        <v>0.09</v>
      </c>
      <c r="E24" s="20">
        <v>0.16</v>
      </c>
    </row>
    <row r="25" spans="1:10" ht="15" customHeight="1">
      <c r="B25" s="11" t="s">
        <v>230</v>
      </c>
      <c r="C25" s="20">
        <v>0.13</v>
      </c>
      <c r="D25" s="20">
        <v>7.0000000000000007E-2</v>
      </c>
      <c r="E25" s="20">
        <v>0.12</v>
      </c>
    </row>
    <row r="26" spans="1:10" ht="15" customHeight="1">
      <c r="B26" s="11" t="s">
        <v>231</v>
      </c>
      <c r="C26" s="20">
        <v>0.09</v>
      </c>
      <c r="D26" s="20">
        <v>0.05</v>
      </c>
      <c r="E26" s="20">
        <v>7.0000000000000007E-2</v>
      </c>
    </row>
    <row r="27" spans="1:10" ht="15" customHeight="1">
      <c r="B27" s="11" t="s">
        <v>232</v>
      </c>
      <c r="C27" s="20">
        <v>0.06</v>
      </c>
      <c r="D27" s="20">
        <v>0.04</v>
      </c>
      <c r="E27" s="20">
        <v>0</v>
      </c>
    </row>
    <row r="29" spans="1:10" ht="15" customHeight="1">
      <c r="A29" s="77" t="s">
        <v>638</v>
      </c>
      <c r="B29" s="77"/>
      <c r="C29" s="77"/>
      <c r="D29" s="77"/>
      <c r="E29" s="77"/>
      <c r="F29" s="77"/>
      <c r="G29" s="77"/>
      <c r="H29" s="77"/>
    </row>
    <row r="30" spans="1:10" ht="15" customHeight="1">
      <c r="B30" s="5" t="s">
        <v>203</v>
      </c>
      <c r="C30" s="5" t="s">
        <v>177</v>
      </c>
      <c r="D30" s="5" t="s">
        <v>178</v>
      </c>
      <c r="E30" s="5" t="s">
        <v>179</v>
      </c>
      <c r="F30" s="5" t="s">
        <v>180</v>
      </c>
      <c r="G30" s="5" t="s">
        <v>181</v>
      </c>
    </row>
    <row r="31" spans="1:10" ht="15" customHeight="1">
      <c r="B31" s="14" t="s">
        <v>639</v>
      </c>
      <c r="C31" s="15">
        <v>41</v>
      </c>
      <c r="D31" s="15">
        <v>35.51</v>
      </c>
      <c r="E31" s="15">
        <v>31.009654999999999</v>
      </c>
      <c r="F31" s="15">
        <v>27.2870911901</v>
      </c>
      <c r="G31" s="15">
        <v>24.180577526722299</v>
      </c>
    </row>
    <row r="32" spans="1:10" ht="15" customHeight="1">
      <c r="B32" s="2" t="s">
        <v>640</v>
      </c>
      <c r="C32" s="9">
        <v>2</v>
      </c>
      <c r="D32" s="9">
        <v>1.248</v>
      </c>
      <c r="E32" s="9">
        <v>0.778752</v>
      </c>
      <c r="F32" s="9">
        <v>0.48594124799999999</v>
      </c>
      <c r="G32" s="9">
        <v>0.30322733875199998</v>
      </c>
    </row>
    <row r="33" spans="1:10" ht="15" customHeight="1">
      <c r="B33" s="2" t="s">
        <v>641</v>
      </c>
      <c r="C33" s="9">
        <v>12</v>
      </c>
      <c r="D33" s="9">
        <v>8.5776000000000003</v>
      </c>
      <c r="E33" s="9">
        <v>6.10293888</v>
      </c>
      <c r="F33" s="9">
        <v>4.3251896125440004</v>
      </c>
      <c r="G33" s="9">
        <v>3.05499743980831</v>
      </c>
    </row>
    <row r="34" spans="1:10" ht="15" customHeight="1">
      <c r="B34" s="2" t="s">
        <v>642</v>
      </c>
      <c r="C34" s="9">
        <v>16</v>
      </c>
      <c r="D34" s="9">
        <v>13.876799999999999</v>
      </c>
      <c r="E34" s="9">
        <v>11.79267072</v>
      </c>
      <c r="F34" s="9">
        <v>9.8645385922560003</v>
      </c>
      <c r="G34" s="9">
        <v>8.1486977730379806</v>
      </c>
    </row>
    <row r="35" spans="1:10" ht="15" customHeight="1">
      <c r="B35" s="2" t="s">
        <v>643</v>
      </c>
      <c r="C35" s="9">
        <v>11</v>
      </c>
      <c r="D35" s="9">
        <v>11.0985</v>
      </c>
      <c r="E35" s="9">
        <v>10.950041069999999</v>
      </c>
      <c r="F35" s="9">
        <v>10.597174321329</v>
      </c>
      <c r="G35" s="9">
        <v>10.088179388490801</v>
      </c>
    </row>
    <row r="36" spans="1:10" ht="15" customHeight="1">
      <c r="B36" s="2" t="s">
        <v>644</v>
      </c>
      <c r="C36" s="9">
        <v>0</v>
      </c>
      <c r="D36" s="9">
        <v>0.70909999999999995</v>
      </c>
      <c r="E36" s="9">
        <v>1.3852523299999999</v>
      </c>
      <c r="F36" s="9">
        <v>2.014247415971</v>
      </c>
      <c r="G36" s="9">
        <v>2.5854755866332302</v>
      </c>
    </row>
    <row r="37" spans="1:10" ht="36.75" customHeight="1">
      <c r="B37" s="14" t="s">
        <v>645</v>
      </c>
      <c r="C37" s="18">
        <v>0.26829268292682901</v>
      </c>
      <c r="D37" s="18">
        <v>0.33251478456772798</v>
      </c>
      <c r="E37" s="18">
        <v>0.39778879835973702</v>
      </c>
      <c r="F37" s="18">
        <v>0.46217537990548202</v>
      </c>
      <c r="G37" s="18">
        <v>0.52412540441261901</v>
      </c>
      <c r="J37" s="3" t="s">
        <v>646</v>
      </c>
    </row>
    <row r="38" spans="1:10" ht="15" customHeight="1">
      <c r="B38" s="2" t="s">
        <v>647</v>
      </c>
      <c r="C38" s="9">
        <v>4</v>
      </c>
      <c r="D38" s="9">
        <v>3.78</v>
      </c>
      <c r="E38" s="9">
        <v>3.5766269999999998</v>
      </c>
      <c r="F38" s="9">
        <v>3.3881520752999998</v>
      </c>
      <c r="G38" s="9">
        <v>3.2130669991502701</v>
      </c>
    </row>
    <row r="39" spans="1:10" ht="15" customHeight="1">
      <c r="B39" s="2" t="s">
        <v>648</v>
      </c>
      <c r="C39" s="9">
        <v>37</v>
      </c>
      <c r="D39" s="9">
        <v>31.73</v>
      </c>
      <c r="E39" s="9">
        <v>27.433028</v>
      </c>
      <c r="F39" s="9">
        <v>23.898939114800001</v>
      </c>
      <c r="G39" s="9">
        <v>20.967510527572099</v>
      </c>
    </row>
    <row r="41" spans="1:10" ht="15" customHeight="1">
      <c r="A41" s="77" t="s">
        <v>649</v>
      </c>
      <c r="B41" s="77"/>
      <c r="C41" s="77"/>
      <c r="D41" s="77"/>
      <c r="E41" s="77"/>
      <c r="F41" s="77"/>
      <c r="G41" s="77"/>
      <c r="H41" s="77"/>
    </row>
    <row r="42" spans="1:10" ht="15" customHeight="1">
      <c r="B42" s="5" t="s">
        <v>203</v>
      </c>
      <c r="C42" s="5" t="s">
        <v>177</v>
      </c>
      <c r="D42" s="5" t="s">
        <v>178</v>
      </c>
      <c r="E42" s="5" t="s">
        <v>179</v>
      </c>
      <c r="F42" s="5" t="s">
        <v>180</v>
      </c>
      <c r="G42" s="5" t="s">
        <v>181</v>
      </c>
    </row>
    <row r="43" spans="1:10" ht="15" customHeight="1">
      <c r="B43" s="14" t="s">
        <v>650</v>
      </c>
      <c r="C43" s="15">
        <f>SUMIFS('Seat Ledger'!$M$5:$M$235,'Seat Ledger'!$B$5:$B$235,1,'Seat Ledger'!$J$5:$J$235,"FTC",'Seat Ledger'!$I$5:$I$235,"OFF")+SUMIFS('Seat Ledger'!$M$5:$M$235,'Seat Ledger'!$B$5:$B$235,1,'Seat Ledger'!$J$5:$J$235,"FTC",'Seat Ledger'!$I$5:$I$235,"NEAR")</f>
        <v>8</v>
      </c>
      <c r="D43" s="15">
        <f>SUMIFS('Seat Ledger'!$M$5:$M$235,'Seat Ledger'!$B$5:$B$235,2,'Seat Ledger'!$J$5:$J$235,"FTC",'Seat Ledger'!$I$5:$I$235,"OFF")+SUMIFS('Seat Ledger'!$M$5:$M$235,'Seat Ledger'!$B$5:$B$235,2,'Seat Ledger'!$J$5:$J$235,"FTC",'Seat Ledger'!$I$5:$I$235,"NEAR")</f>
        <v>25.999999800000001</v>
      </c>
      <c r="E43" s="15">
        <f>SUMIFS('Seat Ledger'!$M$5:$M$235,'Seat Ledger'!$B$5:$B$235,3,'Seat Ledger'!$J$5:$J$235,"FTC",'Seat Ledger'!$I$5:$I$235,"OFF")+SUMIFS('Seat Ledger'!$M$5:$M$235,'Seat Ledger'!$B$5:$B$235,3,'Seat Ledger'!$J$5:$J$235,"FTC",'Seat Ledger'!$I$5:$I$235,"NEAR")</f>
        <v>23</v>
      </c>
      <c r="F43" s="15">
        <f>SUMIFS('Seat Ledger'!$M$5:$M$235,'Seat Ledger'!$B$5:$B$235,4,'Seat Ledger'!$J$5:$J$235,"FTC",'Seat Ledger'!$I$5:$I$235,"OFF")+SUMIFS('Seat Ledger'!$M$5:$M$235,'Seat Ledger'!$B$5:$B$235,4,'Seat Ledger'!$J$5:$J$235,"FTC",'Seat Ledger'!$I$5:$I$235,"NEAR")</f>
        <v>19.5</v>
      </c>
      <c r="G43" s="15">
        <f>SUMIFS('Seat Ledger'!$M$5:$M$235,'Seat Ledger'!$B$5:$B$235,5,'Seat Ledger'!$J$5:$J$235,"FTC",'Seat Ledger'!$I$5:$I$235,"OFF")+SUMIFS('Seat Ledger'!$M$5:$M$235,'Seat Ledger'!$B$5:$B$235,5,'Seat Ledger'!$J$5:$J$235,"FTC",'Seat Ledger'!$I$5:$I$235,"NEAR")</f>
        <v>14</v>
      </c>
    </row>
    <row r="44" spans="1:10" ht="15" customHeight="1">
      <c r="B44" s="2" t="s">
        <v>651</v>
      </c>
      <c r="C44" s="9">
        <v>37</v>
      </c>
      <c r="D44" s="9">
        <v>31.73</v>
      </c>
      <c r="E44" s="9">
        <v>27.433028</v>
      </c>
      <c r="F44" s="9">
        <v>23.898939114800001</v>
      </c>
      <c r="G44" s="9">
        <v>20.967510527572099</v>
      </c>
    </row>
    <row r="45" spans="1:10" ht="27.75" customHeight="1">
      <c r="B45" s="14" t="s">
        <v>652</v>
      </c>
      <c r="C45" s="18">
        <f>C44/C43</f>
        <v>4.625</v>
      </c>
      <c r="D45" s="18">
        <f>D44/D43</f>
        <v>1.2203846247721895</v>
      </c>
      <c r="E45" s="18">
        <f>E44/E43</f>
        <v>1.192740347826087</v>
      </c>
      <c r="F45" s="18">
        <f>F44/F43</f>
        <v>1.225586621271795</v>
      </c>
      <c r="G45" s="18">
        <f>G44/G43</f>
        <v>1.497679323398007</v>
      </c>
      <c r="J45" s="3" t="s">
        <v>653</v>
      </c>
    </row>
    <row r="46" spans="1:10" ht="15" customHeight="1">
      <c r="B46" s="2" t="s">
        <v>654</v>
      </c>
      <c r="C46" s="9">
        <f>C43-C44</f>
        <v>-29</v>
      </c>
      <c r="D46" s="9">
        <f>D43-D44</f>
        <v>-5.7300001999999992</v>
      </c>
      <c r="E46" s="9">
        <f>E43-E44</f>
        <v>-4.4330280000000002</v>
      </c>
      <c r="F46" s="9">
        <f>F43-F44</f>
        <v>-4.398939114800001</v>
      </c>
      <c r="G46" s="9">
        <f>G43-G44</f>
        <v>-6.9675105275720988</v>
      </c>
    </row>
    <row r="48" spans="1:10" ht="15" customHeight="1">
      <c r="A48" s="77" t="s">
        <v>655</v>
      </c>
      <c r="B48" s="77"/>
      <c r="C48" s="77"/>
      <c r="D48" s="77"/>
      <c r="E48" s="77"/>
      <c r="F48" s="77"/>
      <c r="G48" s="77"/>
      <c r="H48" s="77"/>
    </row>
    <row r="49" spans="2:8" ht="15" customHeight="1">
      <c r="B49" s="5" t="s">
        <v>177</v>
      </c>
      <c r="C49" s="5" t="s">
        <v>228</v>
      </c>
      <c r="D49" s="5" t="s">
        <v>229</v>
      </c>
      <c r="E49" s="5" t="s">
        <v>230</v>
      </c>
      <c r="F49" s="5" t="s">
        <v>231</v>
      </c>
      <c r="G49" s="5" t="s">
        <v>232</v>
      </c>
      <c r="H49" s="5" t="s">
        <v>170</v>
      </c>
    </row>
    <row r="50" spans="2:8" ht="15" customHeight="1">
      <c r="B50" s="2" t="s">
        <v>656</v>
      </c>
      <c r="C50" s="9">
        <f>SUMIFS('Seat Ledger'!$M$5:$M$235,'Seat Ledger'!$B$5:$B$235,1,'Seat Ledger'!$J$5:$J$235,"FTC",'Seat Ledger'!$I$5:$I$235,"OFF",'Seat Ledger'!$H$5:$H$235,"E1")+SUMIFS('Seat Ledger'!$M$5:$M$235,'Seat Ledger'!$B$5:$B$235,1,'Seat Ledger'!$J$5:$J$235,"FTC",'Seat Ledger'!$I$5:$I$235,"NEAR",'Seat Ledger'!$H$5:$H$235,"E1")</f>
        <v>0</v>
      </c>
      <c r="D50" s="9">
        <f>SUMIFS('Seat Ledger'!$M$5:$M$235,'Seat Ledger'!$B$5:$B$235,1,'Seat Ledger'!$J$5:$J$235,"FTC",'Seat Ledger'!$I$5:$I$235,"OFF",'Seat Ledger'!$H$5:$H$235,"E2")+SUMIFS('Seat Ledger'!$M$5:$M$235,'Seat Ledger'!$B$5:$B$235,1,'Seat Ledger'!$J$5:$J$235,"FTC",'Seat Ledger'!$I$5:$I$235,"NEAR",'Seat Ledger'!$H$5:$H$235,"E2")</f>
        <v>5</v>
      </c>
      <c r="E50" s="9">
        <f>SUMIFS('Seat Ledger'!$M$5:$M$235,'Seat Ledger'!$B$5:$B$235,1,'Seat Ledger'!$J$5:$J$235,"FTC",'Seat Ledger'!$I$5:$I$235,"OFF",'Seat Ledger'!$H$5:$H$235,"E3")+SUMIFS('Seat Ledger'!$M$5:$M$235,'Seat Ledger'!$B$5:$B$235,1,'Seat Ledger'!$J$5:$J$235,"FTC",'Seat Ledger'!$I$5:$I$235,"NEAR",'Seat Ledger'!$H$5:$H$235,"E3")</f>
        <v>3</v>
      </c>
      <c r="F50" s="9">
        <f>SUMIFS('Seat Ledger'!$M$5:$M$235,'Seat Ledger'!$B$5:$B$235,1,'Seat Ledger'!$J$5:$J$235,"FTC",'Seat Ledger'!$I$5:$I$235,"OFF",'Seat Ledger'!$H$5:$H$235,"E4")+SUMIFS('Seat Ledger'!$M$5:$M$235,'Seat Ledger'!$B$5:$B$235,1,'Seat Ledger'!$J$5:$J$235,"FTC",'Seat Ledger'!$I$5:$I$235,"NEAR",'Seat Ledger'!$H$5:$H$235,"E4")</f>
        <v>0</v>
      </c>
      <c r="G50" s="9">
        <f>SUMIFS('Seat Ledger'!$M$5:$M$235,'Seat Ledger'!$B$5:$B$235,1,'Seat Ledger'!$J$5:$J$235,"FTC",'Seat Ledger'!$I$5:$I$235,"OFF",'Seat Ledger'!$H$5:$H$235,"E5")+SUMIFS('Seat Ledger'!$M$5:$M$235,'Seat Ledger'!$B$5:$B$235,1,'Seat Ledger'!$J$5:$J$235,"FTC",'Seat Ledger'!$I$5:$I$235,"NEAR",'Seat Ledger'!$H$5:$H$235,"E5")</f>
        <v>0</v>
      </c>
      <c r="H50" s="15">
        <f>SUM(C50:G50)</f>
        <v>8</v>
      </c>
    </row>
    <row r="51" spans="2:8" ht="15" customHeight="1">
      <c r="B51" s="2" t="s">
        <v>657</v>
      </c>
      <c r="C51" s="9">
        <v>2</v>
      </c>
      <c r="D51" s="9">
        <v>12</v>
      </c>
      <c r="E51" s="9">
        <v>15</v>
      </c>
      <c r="F51" s="9">
        <v>8</v>
      </c>
      <c r="G51" s="9">
        <v>0</v>
      </c>
      <c r="H51" s="15">
        <f>SUM(C51:G51)</f>
        <v>37</v>
      </c>
    </row>
    <row r="52" spans="2:8" ht="15" customHeight="1">
      <c r="B52" s="14" t="s">
        <v>658</v>
      </c>
      <c r="C52" s="15">
        <f>C50-C51</f>
        <v>-2</v>
      </c>
      <c r="D52" s="15">
        <f>D50-D51</f>
        <v>-7</v>
      </c>
      <c r="E52" s="15">
        <f>E50-E51</f>
        <v>-12</v>
      </c>
      <c r="F52" s="15">
        <f>F50-F51</f>
        <v>-8</v>
      </c>
      <c r="G52" s="15">
        <f>G50-G51</f>
        <v>0</v>
      </c>
      <c r="H52" s="15">
        <f>SUM(C52:G52)</f>
        <v>-29</v>
      </c>
    </row>
    <row r="54" spans="2:8" ht="15" customHeight="1">
      <c r="B54" s="5" t="s">
        <v>178</v>
      </c>
      <c r="C54" s="5" t="s">
        <v>228</v>
      </c>
      <c r="D54" s="5" t="s">
        <v>229</v>
      </c>
      <c r="E54" s="5" t="s">
        <v>230</v>
      </c>
      <c r="F54" s="5" t="s">
        <v>231</v>
      </c>
      <c r="G54" s="5" t="s">
        <v>232</v>
      </c>
      <c r="H54" s="5" t="s">
        <v>170</v>
      </c>
    </row>
    <row r="55" spans="2:8" ht="15" customHeight="1">
      <c r="B55" s="2" t="s">
        <v>656</v>
      </c>
      <c r="C55" s="9">
        <f>SUMIFS('Seat Ledger'!$M$5:$M$235,'Seat Ledger'!$B$5:$B$235,2,'Seat Ledger'!$J$5:$J$235,"FTC",'Seat Ledger'!$I$5:$I$235,"OFF",'Seat Ledger'!$H$5:$H$235,"E1")+SUMIFS('Seat Ledger'!$M$5:$M$235,'Seat Ledger'!$B$5:$B$235,2,'Seat Ledger'!$J$5:$J$235,"FTC",'Seat Ledger'!$I$5:$I$235,"NEAR",'Seat Ledger'!$H$5:$H$235,"E1")</f>
        <v>0</v>
      </c>
      <c r="D55" s="9">
        <f>SUMIFS('Seat Ledger'!$M$5:$M$235,'Seat Ledger'!$B$5:$B$235,2,'Seat Ledger'!$J$5:$J$235,"FTC",'Seat Ledger'!$I$5:$I$235,"OFF",'Seat Ledger'!$H$5:$H$235,"E2")+SUMIFS('Seat Ledger'!$M$5:$M$235,'Seat Ledger'!$B$5:$B$235,2,'Seat Ledger'!$J$5:$J$235,"FTC",'Seat Ledger'!$I$5:$I$235,"NEAR",'Seat Ledger'!$H$5:$H$235,"E2")</f>
        <v>9.4999997999999994</v>
      </c>
      <c r="E55" s="9">
        <f>SUMIFS('Seat Ledger'!$M$5:$M$235,'Seat Ledger'!$B$5:$B$235,2,'Seat Ledger'!$J$5:$J$235,"FTC",'Seat Ledger'!$I$5:$I$235,"OFF",'Seat Ledger'!$H$5:$H$235,"E3")+SUMIFS('Seat Ledger'!$M$5:$M$235,'Seat Ledger'!$B$5:$B$235,2,'Seat Ledger'!$J$5:$J$235,"FTC",'Seat Ledger'!$I$5:$I$235,"NEAR",'Seat Ledger'!$H$5:$H$235,"E3")</f>
        <v>13.5</v>
      </c>
      <c r="F55" s="9">
        <f>SUMIFS('Seat Ledger'!$M$5:$M$235,'Seat Ledger'!$B$5:$B$235,2,'Seat Ledger'!$J$5:$J$235,"FTC",'Seat Ledger'!$I$5:$I$235,"OFF",'Seat Ledger'!$H$5:$H$235,"E4")+SUMIFS('Seat Ledger'!$M$5:$M$235,'Seat Ledger'!$B$5:$B$235,2,'Seat Ledger'!$J$5:$J$235,"FTC",'Seat Ledger'!$I$5:$I$235,"NEAR",'Seat Ledger'!$H$5:$H$235,"E4")</f>
        <v>3</v>
      </c>
      <c r="G55" s="9">
        <f>SUMIFS('Seat Ledger'!$M$5:$M$235,'Seat Ledger'!$B$5:$B$235,2,'Seat Ledger'!$J$5:$J$235,"FTC",'Seat Ledger'!$I$5:$I$235,"OFF",'Seat Ledger'!$H$5:$H$235,"E5")+SUMIFS('Seat Ledger'!$M$5:$M$235,'Seat Ledger'!$B$5:$B$235,2,'Seat Ledger'!$J$5:$J$235,"FTC",'Seat Ledger'!$I$5:$I$235,"NEAR",'Seat Ledger'!$H$5:$H$235,"E5")</f>
        <v>0</v>
      </c>
      <c r="H55" s="15">
        <f>SUM(C55:G55)</f>
        <v>25.999999799999998</v>
      </c>
    </row>
    <row r="56" spans="2:8" ht="15" customHeight="1">
      <c r="B56" s="2" t="s">
        <v>657</v>
      </c>
      <c r="C56" s="9">
        <v>1.248</v>
      </c>
      <c r="D56" s="9">
        <v>8.5776000000000003</v>
      </c>
      <c r="E56" s="9">
        <v>13.058400000000001</v>
      </c>
      <c r="F56" s="9">
        <v>8.3363999999999994</v>
      </c>
      <c r="G56" s="9">
        <v>0.50960000000000005</v>
      </c>
      <c r="H56" s="15">
        <f>SUM(C56:G56)</f>
        <v>31.729999999999997</v>
      </c>
    </row>
    <row r="57" spans="2:8" ht="15" customHeight="1">
      <c r="B57" s="14" t="s">
        <v>658</v>
      </c>
      <c r="C57" s="15">
        <f>C55-C56</f>
        <v>-1.248</v>
      </c>
      <c r="D57" s="15">
        <f>D55-D56</f>
        <v>0.9223997999999991</v>
      </c>
      <c r="E57" s="15">
        <f>E55-E56</f>
        <v>0.44159999999999933</v>
      </c>
      <c r="F57" s="15">
        <f>F55-F56</f>
        <v>-5.3363999999999994</v>
      </c>
      <c r="G57" s="15">
        <f>G55-G56</f>
        <v>-0.50960000000000005</v>
      </c>
      <c r="H57" s="15">
        <f>SUM(C57:G57)</f>
        <v>-5.730000200000001</v>
      </c>
    </row>
    <row r="59" spans="2:8" ht="15" customHeight="1">
      <c r="B59" s="5" t="s">
        <v>179</v>
      </c>
      <c r="C59" s="5" t="s">
        <v>228</v>
      </c>
      <c r="D59" s="5" t="s">
        <v>229</v>
      </c>
      <c r="E59" s="5" t="s">
        <v>230</v>
      </c>
      <c r="F59" s="5" t="s">
        <v>231</v>
      </c>
      <c r="G59" s="5" t="s">
        <v>232</v>
      </c>
      <c r="H59" s="5" t="s">
        <v>170</v>
      </c>
    </row>
    <row r="60" spans="2:8" ht="15" customHeight="1">
      <c r="B60" s="2" t="s">
        <v>656</v>
      </c>
      <c r="C60" s="9">
        <f>SUMIFS('Seat Ledger'!$M$5:$M$235,'Seat Ledger'!$B$5:$B$235,3,'Seat Ledger'!$J$5:$J$235,"FTC",'Seat Ledger'!$I$5:$I$235,"OFF",'Seat Ledger'!$H$5:$H$235,"E1")+SUMIFS('Seat Ledger'!$M$5:$M$235,'Seat Ledger'!$B$5:$B$235,3,'Seat Ledger'!$J$5:$J$235,"FTC",'Seat Ledger'!$I$5:$I$235,"NEAR",'Seat Ledger'!$H$5:$H$235,"E1")</f>
        <v>0</v>
      </c>
      <c r="D60" s="9">
        <f>SUMIFS('Seat Ledger'!$M$5:$M$235,'Seat Ledger'!$B$5:$B$235,3,'Seat Ledger'!$J$5:$J$235,"FTC",'Seat Ledger'!$I$5:$I$235,"OFF",'Seat Ledger'!$H$5:$H$235,"E2")+SUMIFS('Seat Ledger'!$M$5:$M$235,'Seat Ledger'!$B$5:$B$235,3,'Seat Ledger'!$J$5:$J$235,"FTC",'Seat Ledger'!$I$5:$I$235,"NEAR",'Seat Ledger'!$H$5:$H$235,"E2")</f>
        <v>8</v>
      </c>
      <c r="E60" s="9">
        <f>SUMIFS('Seat Ledger'!$M$5:$M$235,'Seat Ledger'!$B$5:$B$235,3,'Seat Ledger'!$J$5:$J$235,"FTC",'Seat Ledger'!$I$5:$I$235,"OFF",'Seat Ledger'!$H$5:$H$235,"E3")+SUMIFS('Seat Ledger'!$M$5:$M$235,'Seat Ledger'!$B$5:$B$235,3,'Seat Ledger'!$J$5:$J$235,"FTC",'Seat Ledger'!$I$5:$I$235,"NEAR",'Seat Ledger'!$H$5:$H$235,"E3")</f>
        <v>11.5</v>
      </c>
      <c r="F60" s="9">
        <f>SUMIFS('Seat Ledger'!$M$5:$M$235,'Seat Ledger'!$B$5:$B$235,3,'Seat Ledger'!$J$5:$J$235,"FTC",'Seat Ledger'!$I$5:$I$235,"OFF",'Seat Ledger'!$H$5:$H$235,"E4")+SUMIFS('Seat Ledger'!$M$5:$M$235,'Seat Ledger'!$B$5:$B$235,3,'Seat Ledger'!$J$5:$J$235,"FTC",'Seat Ledger'!$I$5:$I$235,"NEAR",'Seat Ledger'!$H$5:$H$235,"E4")</f>
        <v>3.5</v>
      </c>
      <c r="G60" s="9">
        <f>SUMIFS('Seat Ledger'!$M$5:$M$235,'Seat Ledger'!$B$5:$B$235,3,'Seat Ledger'!$J$5:$J$235,"FTC",'Seat Ledger'!$I$5:$I$235,"OFF",'Seat Ledger'!$H$5:$H$235,"E5")+SUMIFS('Seat Ledger'!$M$5:$M$235,'Seat Ledger'!$B$5:$B$235,3,'Seat Ledger'!$J$5:$J$235,"FTC",'Seat Ledger'!$I$5:$I$235,"NEAR",'Seat Ledger'!$H$5:$H$235,"E5")</f>
        <v>0</v>
      </c>
      <c r="H60" s="15">
        <f>SUM(C60:G60)</f>
        <v>23</v>
      </c>
    </row>
    <row r="61" spans="2:8" ht="15" customHeight="1">
      <c r="B61" s="2" t="s">
        <v>657</v>
      </c>
      <c r="C61" s="9">
        <v>0.778752</v>
      </c>
      <c r="D61" s="9">
        <v>6.10293888</v>
      </c>
      <c r="E61" s="9">
        <v>11.122892159999999</v>
      </c>
      <c r="F61" s="9">
        <v>8.4183922800000008</v>
      </c>
      <c r="G61" s="9">
        <v>1.01005268</v>
      </c>
      <c r="H61" s="15">
        <f>SUM(C61:G61)</f>
        <v>27.433028</v>
      </c>
    </row>
    <row r="62" spans="2:8" ht="15" customHeight="1">
      <c r="B62" s="14" t="s">
        <v>658</v>
      </c>
      <c r="C62" s="15">
        <f>C60-C61</f>
        <v>-0.778752</v>
      </c>
      <c r="D62" s="15">
        <f>D60-D61</f>
        <v>1.89706112</v>
      </c>
      <c r="E62" s="15">
        <f>E60-E61</f>
        <v>0.37710784000000075</v>
      </c>
      <c r="F62" s="15">
        <f>F60-F61</f>
        <v>-4.9183922800000008</v>
      </c>
      <c r="G62" s="15">
        <f>G60-G61</f>
        <v>-1.01005268</v>
      </c>
      <c r="H62" s="15">
        <f>SUM(C62:G62)</f>
        <v>-4.4330280000000002</v>
      </c>
    </row>
    <row r="64" spans="2:8" ht="15" customHeight="1">
      <c r="B64" s="5" t="s">
        <v>180</v>
      </c>
      <c r="C64" s="5" t="s">
        <v>228</v>
      </c>
      <c r="D64" s="5" t="s">
        <v>229</v>
      </c>
      <c r="E64" s="5" t="s">
        <v>230</v>
      </c>
      <c r="F64" s="5" t="s">
        <v>231</v>
      </c>
      <c r="G64" s="5" t="s">
        <v>232</v>
      </c>
      <c r="H64" s="5" t="s">
        <v>170</v>
      </c>
    </row>
    <row r="65" spans="1:10" ht="15" customHeight="1">
      <c r="B65" s="2" t="s">
        <v>656</v>
      </c>
      <c r="C65" s="9">
        <f>SUMIFS('Seat Ledger'!$M$5:$M$235,'Seat Ledger'!$B$5:$B$235,4,'Seat Ledger'!$J$5:$J$235,"FTC",'Seat Ledger'!$I$5:$I$235,"OFF",'Seat Ledger'!$H$5:$H$235,"E1")+SUMIFS('Seat Ledger'!$M$5:$M$235,'Seat Ledger'!$B$5:$B$235,4,'Seat Ledger'!$J$5:$J$235,"FTC",'Seat Ledger'!$I$5:$I$235,"NEAR",'Seat Ledger'!$H$5:$H$235,"E1")</f>
        <v>0</v>
      </c>
      <c r="D65" s="9">
        <f>SUMIFS('Seat Ledger'!$M$5:$M$235,'Seat Ledger'!$B$5:$B$235,4,'Seat Ledger'!$J$5:$J$235,"FTC",'Seat Ledger'!$I$5:$I$235,"OFF",'Seat Ledger'!$H$5:$H$235,"E2")+SUMIFS('Seat Ledger'!$M$5:$M$235,'Seat Ledger'!$B$5:$B$235,4,'Seat Ledger'!$J$5:$J$235,"FTC",'Seat Ledger'!$I$5:$I$235,"NEAR",'Seat Ledger'!$H$5:$H$235,"E2")</f>
        <v>1</v>
      </c>
      <c r="E65" s="9">
        <f>SUMIFS('Seat Ledger'!$M$5:$M$235,'Seat Ledger'!$B$5:$B$235,4,'Seat Ledger'!$J$5:$J$235,"FTC",'Seat Ledger'!$I$5:$I$235,"OFF",'Seat Ledger'!$H$5:$H$235,"E3")+SUMIFS('Seat Ledger'!$M$5:$M$235,'Seat Ledger'!$B$5:$B$235,4,'Seat Ledger'!$J$5:$J$235,"FTC",'Seat Ledger'!$I$5:$I$235,"NEAR",'Seat Ledger'!$H$5:$H$235,"E3")</f>
        <v>11.5</v>
      </c>
      <c r="F65" s="9">
        <f>SUMIFS('Seat Ledger'!$M$5:$M$235,'Seat Ledger'!$B$5:$B$235,4,'Seat Ledger'!$J$5:$J$235,"FTC",'Seat Ledger'!$I$5:$I$235,"OFF",'Seat Ledger'!$H$5:$H$235,"E4")+SUMIFS('Seat Ledger'!$M$5:$M$235,'Seat Ledger'!$B$5:$B$235,4,'Seat Ledger'!$J$5:$J$235,"FTC",'Seat Ledger'!$I$5:$I$235,"NEAR",'Seat Ledger'!$H$5:$H$235,"E4")</f>
        <v>7</v>
      </c>
      <c r="G65" s="9">
        <f>SUMIFS('Seat Ledger'!$M$5:$M$235,'Seat Ledger'!$B$5:$B$235,4,'Seat Ledger'!$J$5:$J$235,"FTC",'Seat Ledger'!$I$5:$I$235,"OFF",'Seat Ledger'!$H$5:$H$235,"E5")+SUMIFS('Seat Ledger'!$M$5:$M$235,'Seat Ledger'!$B$5:$B$235,4,'Seat Ledger'!$J$5:$J$235,"FTC",'Seat Ledger'!$I$5:$I$235,"NEAR",'Seat Ledger'!$H$5:$H$235,"E5")</f>
        <v>0</v>
      </c>
      <c r="H65" s="15">
        <f>SUM(C65:G65)</f>
        <v>19.5</v>
      </c>
    </row>
    <row r="66" spans="1:10" ht="15" customHeight="1">
      <c r="B66" s="2" t="s">
        <v>657</v>
      </c>
      <c r="C66" s="9">
        <v>0.48594124799999999</v>
      </c>
      <c r="D66" s="9">
        <v>4.3251896125440004</v>
      </c>
      <c r="E66" s="9">
        <v>9.3163918187520007</v>
      </c>
      <c r="F66" s="9">
        <v>8.2857153280679992</v>
      </c>
      <c r="G66" s="9">
        <v>1.485701107436</v>
      </c>
      <c r="H66" s="15">
        <f>SUM(C66:G66)</f>
        <v>23.898939114800001</v>
      </c>
    </row>
    <row r="67" spans="1:10" ht="15" customHeight="1">
      <c r="B67" s="14" t="s">
        <v>658</v>
      </c>
      <c r="C67" s="15">
        <f>C65-C66</f>
        <v>-0.48594124799999999</v>
      </c>
      <c r="D67" s="15">
        <f>D65-D66</f>
        <v>-3.3251896125440004</v>
      </c>
      <c r="E67" s="15">
        <f>E65-E66</f>
        <v>2.1836081812479993</v>
      </c>
      <c r="F67" s="15">
        <f>F65-F66</f>
        <v>-1.2857153280679992</v>
      </c>
      <c r="G67" s="15">
        <f>G65-G66</f>
        <v>-1.485701107436</v>
      </c>
      <c r="H67" s="15">
        <f>SUM(C67:G67)</f>
        <v>-4.3989391148000001</v>
      </c>
    </row>
    <row r="69" spans="1:10" ht="15" customHeight="1">
      <c r="B69" s="5" t="s">
        <v>181</v>
      </c>
      <c r="C69" s="5" t="s">
        <v>228</v>
      </c>
      <c r="D69" s="5" t="s">
        <v>229</v>
      </c>
      <c r="E69" s="5" t="s">
        <v>230</v>
      </c>
      <c r="F69" s="5" t="s">
        <v>231</v>
      </c>
      <c r="G69" s="5" t="s">
        <v>232</v>
      </c>
      <c r="H69" s="5" t="s">
        <v>170</v>
      </c>
    </row>
    <row r="70" spans="1:10" ht="15" customHeight="1">
      <c r="B70" s="2" t="s">
        <v>656</v>
      </c>
      <c r="C70" s="9">
        <f>SUMIFS('Seat Ledger'!$M$5:$M$235,'Seat Ledger'!$B$5:$B$235,5,'Seat Ledger'!$J$5:$J$235,"FTC",'Seat Ledger'!$I$5:$I$235,"OFF",'Seat Ledger'!$H$5:$H$235,"E1")+SUMIFS('Seat Ledger'!$M$5:$M$235,'Seat Ledger'!$B$5:$B$235,5,'Seat Ledger'!$J$5:$J$235,"FTC",'Seat Ledger'!$I$5:$I$235,"NEAR",'Seat Ledger'!$H$5:$H$235,"E1")</f>
        <v>0</v>
      </c>
      <c r="D70" s="9">
        <f>SUMIFS('Seat Ledger'!$M$5:$M$235,'Seat Ledger'!$B$5:$B$235,5,'Seat Ledger'!$J$5:$J$235,"FTC",'Seat Ledger'!$I$5:$I$235,"OFF",'Seat Ledger'!$H$5:$H$235,"E2")+SUMIFS('Seat Ledger'!$M$5:$M$235,'Seat Ledger'!$B$5:$B$235,5,'Seat Ledger'!$J$5:$J$235,"FTC",'Seat Ledger'!$I$5:$I$235,"NEAR",'Seat Ledger'!$H$5:$H$235,"E2")</f>
        <v>1</v>
      </c>
      <c r="E70" s="9">
        <f>SUMIFS('Seat Ledger'!$M$5:$M$235,'Seat Ledger'!$B$5:$B$235,5,'Seat Ledger'!$J$5:$J$235,"FTC",'Seat Ledger'!$I$5:$I$235,"OFF",'Seat Ledger'!$H$5:$H$235,"E3")+SUMIFS('Seat Ledger'!$M$5:$M$235,'Seat Ledger'!$B$5:$B$235,5,'Seat Ledger'!$J$5:$J$235,"FTC",'Seat Ledger'!$I$5:$I$235,"NEAR",'Seat Ledger'!$H$5:$H$235,"E3")</f>
        <v>10</v>
      </c>
      <c r="F70" s="9">
        <f>SUMIFS('Seat Ledger'!$M$5:$M$235,'Seat Ledger'!$B$5:$B$235,5,'Seat Ledger'!$J$5:$J$235,"FTC",'Seat Ledger'!$I$5:$I$235,"OFF",'Seat Ledger'!$H$5:$H$235,"E4")+SUMIFS('Seat Ledger'!$M$5:$M$235,'Seat Ledger'!$B$5:$B$235,5,'Seat Ledger'!$J$5:$J$235,"FTC",'Seat Ledger'!$I$5:$I$235,"NEAR",'Seat Ledger'!$H$5:$H$235,"E4")</f>
        <v>3</v>
      </c>
      <c r="G70" s="9">
        <f>SUMIFS('Seat Ledger'!$M$5:$M$235,'Seat Ledger'!$B$5:$B$235,5,'Seat Ledger'!$J$5:$J$235,"FTC",'Seat Ledger'!$I$5:$I$235,"OFF",'Seat Ledger'!$H$5:$H$235,"E5")+SUMIFS('Seat Ledger'!$M$5:$M$235,'Seat Ledger'!$B$5:$B$235,5,'Seat Ledger'!$J$5:$J$235,"FTC",'Seat Ledger'!$I$5:$I$235,"NEAR",'Seat Ledger'!$H$5:$H$235,"E5")</f>
        <v>0</v>
      </c>
      <c r="H70" s="15">
        <f>SUM(C70:G70)</f>
        <v>14</v>
      </c>
    </row>
    <row r="71" spans="1:10" ht="15" customHeight="1">
      <c r="B71" s="2" t="s">
        <v>657</v>
      </c>
      <c r="C71" s="9">
        <v>0.30322733875199998</v>
      </c>
      <c r="D71" s="9">
        <v>3.05499743980831</v>
      </c>
      <c r="E71" s="9">
        <v>7.7000944536023104</v>
      </c>
      <c r="F71" s="9">
        <v>7.9848321880216604</v>
      </c>
      <c r="G71" s="9">
        <v>1.9243591073877699</v>
      </c>
      <c r="H71" s="15">
        <f>SUM(C71:G71)</f>
        <v>20.967510527572049</v>
      </c>
    </row>
    <row r="72" spans="1:10" ht="15" customHeight="1">
      <c r="B72" s="14" t="s">
        <v>658</v>
      </c>
      <c r="C72" s="15">
        <f>C70-C71</f>
        <v>-0.30322733875199998</v>
      </c>
      <c r="D72" s="15">
        <f>D70-D71</f>
        <v>-2.05499743980831</v>
      </c>
      <c r="E72" s="15">
        <f>E70-E71</f>
        <v>2.2999055463976896</v>
      </c>
      <c r="F72" s="15">
        <f>F70-F71</f>
        <v>-4.9848321880216604</v>
      </c>
      <c r="G72" s="15">
        <f>G70-G71</f>
        <v>-1.9243591073877699</v>
      </c>
      <c r="H72" s="15">
        <f>SUM(C72:G72)</f>
        <v>-6.9675105275720499</v>
      </c>
    </row>
    <row r="74" spans="1:10" ht="60" customHeight="1">
      <c r="B74" s="79" t="s">
        <v>659</v>
      </c>
      <c r="C74" s="79"/>
      <c r="D74" s="79"/>
      <c r="E74" s="79"/>
      <c r="F74" s="79"/>
      <c r="G74" s="79"/>
      <c r="H74" s="79"/>
      <c r="I74" s="79"/>
      <c r="J74" s="79"/>
    </row>
    <row r="76" spans="1:10" ht="15" customHeight="1">
      <c r="A76" s="77" t="s">
        <v>660</v>
      </c>
      <c r="B76" s="77"/>
      <c r="C76" s="77"/>
      <c r="D76" s="77"/>
      <c r="E76" s="77"/>
      <c r="F76" s="77"/>
      <c r="G76" s="77"/>
      <c r="H76" s="77"/>
    </row>
    <row r="77" spans="1:10" ht="49.5" customHeight="1">
      <c r="B77" s="78" t="s">
        <v>661</v>
      </c>
      <c r="C77" s="78"/>
      <c r="D77" s="78"/>
      <c r="E77" s="78"/>
      <c r="F77" s="78"/>
      <c r="G77" s="78"/>
      <c r="H77" s="78"/>
      <c r="I77" s="78"/>
      <c r="J77" s="78"/>
    </row>
    <row r="78" spans="1:10" ht="49.5" customHeight="1">
      <c r="B78" s="78" t="s">
        <v>662</v>
      </c>
      <c r="C78" s="78"/>
      <c r="D78" s="78"/>
      <c r="E78" s="78"/>
      <c r="F78" s="78"/>
      <c r="G78" s="78"/>
      <c r="H78" s="78"/>
      <c r="I78" s="78"/>
      <c r="J78" s="78"/>
    </row>
    <row r="79" spans="1:10" ht="49.5" customHeight="1">
      <c r="B79" s="78" t="s">
        <v>663</v>
      </c>
      <c r="C79" s="78"/>
      <c r="D79" s="78"/>
      <c r="E79" s="78"/>
      <c r="F79" s="78"/>
      <c r="G79" s="78"/>
      <c r="H79" s="78"/>
      <c r="I79" s="78"/>
      <c r="J79" s="78"/>
    </row>
    <row r="80" spans="1:10" ht="49.5" customHeight="1">
      <c r="B80" s="78" t="s">
        <v>664</v>
      </c>
      <c r="C80" s="78"/>
      <c r="D80" s="78"/>
      <c r="E80" s="78"/>
      <c r="F80" s="78"/>
      <c r="G80" s="78"/>
      <c r="H80" s="78"/>
      <c r="I80" s="78"/>
      <c r="J80" s="78"/>
    </row>
  </sheetData>
  <mergeCells count="20">
    <mergeCell ref="A76:H76"/>
    <mergeCell ref="B77:J77"/>
    <mergeCell ref="B78:J78"/>
    <mergeCell ref="B79:J79"/>
    <mergeCell ref="B80:J80"/>
    <mergeCell ref="A21:H21"/>
    <mergeCell ref="A29:H29"/>
    <mergeCell ref="A41:H41"/>
    <mergeCell ref="A48:H48"/>
    <mergeCell ref="B74:J74"/>
    <mergeCell ref="D8:H8"/>
    <mergeCell ref="D9:H9"/>
    <mergeCell ref="D10:H10"/>
    <mergeCell ref="B12:J12"/>
    <mergeCell ref="A14:H14"/>
    <mergeCell ref="A1:K1"/>
    <mergeCell ref="A2:K2"/>
    <mergeCell ref="A4:H4"/>
    <mergeCell ref="D6:H6"/>
    <mergeCell ref="D7:H7"/>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70"/>
  <sheetViews>
    <sheetView topLeftCell="A14" zoomScaleNormal="100" workbookViewId="0">
      <selection activeCell="B8" sqref="B8:E8"/>
    </sheetView>
  </sheetViews>
  <sheetFormatPr defaultColWidth="8.6328125" defaultRowHeight="14.5"/>
  <cols>
    <col min="1" max="1" width="2.453125" customWidth="1"/>
    <col min="2" max="2" width="48" customWidth="1"/>
    <col min="3" max="7" width="13" customWidth="1"/>
    <col min="8" max="8" width="3" customWidth="1"/>
    <col min="9" max="9" width="52" customWidth="1"/>
  </cols>
  <sheetData>
    <row r="1" spans="1:10" ht="25.5" customHeight="1">
      <c r="A1" s="74" t="s">
        <v>665</v>
      </c>
      <c r="B1" s="74"/>
      <c r="C1" s="74"/>
      <c r="D1" s="74"/>
      <c r="E1" s="74"/>
      <c r="F1" s="74"/>
      <c r="G1" s="74"/>
      <c r="H1" s="74"/>
      <c r="I1" s="74"/>
      <c r="J1" s="74"/>
    </row>
    <row r="2" spans="1:10" ht="15" customHeight="1">
      <c r="A2" s="75" t="s">
        <v>666</v>
      </c>
      <c r="B2" s="75"/>
      <c r="C2" s="75"/>
      <c r="D2" s="75"/>
      <c r="E2" s="75"/>
      <c r="F2" s="75"/>
      <c r="G2" s="75"/>
      <c r="H2" s="75"/>
      <c r="I2" s="75"/>
      <c r="J2" s="75"/>
    </row>
    <row r="4" spans="1:10" ht="15" customHeight="1">
      <c r="A4" s="77" t="s">
        <v>667</v>
      </c>
      <c r="B4" s="77"/>
      <c r="C4" s="77"/>
      <c r="D4" s="77"/>
      <c r="E4" s="77"/>
      <c r="F4" s="77"/>
      <c r="G4" s="77"/>
      <c r="H4" s="77"/>
      <c r="I4" s="77"/>
    </row>
    <row r="5" spans="1:10" ht="15" customHeight="1">
      <c r="B5" s="5" t="s">
        <v>203</v>
      </c>
      <c r="C5" s="5" t="s">
        <v>294</v>
      </c>
    </row>
    <row r="6" spans="1:10" ht="15" customHeight="1">
      <c r="B6" s="2" t="s">
        <v>134</v>
      </c>
      <c r="C6" s="13">
        <f>'Logic Tree'!C6</f>
        <v>15</v>
      </c>
    </row>
    <row r="7" spans="1:10" ht="15" customHeight="1">
      <c r="B7" s="2" t="s">
        <v>135</v>
      </c>
      <c r="C7" s="46">
        <f>'Logic Tree'!C7</f>
        <v>106.0802</v>
      </c>
    </row>
    <row r="8" spans="1:10" ht="15" customHeight="1">
      <c r="B8" s="2" t="s">
        <v>668</v>
      </c>
      <c r="C8" s="46">
        <f>'Logic Tree'!C8</f>
        <v>69.426100000000005</v>
      </c>
      <c r="D8" t="s">
        <v>825</v>
      </c>
      <c r="E8" t="s">
        <v>826</v>
      </c>
    </row>
    <row r="9" spans="1:10" ht="15" customHeight="1">
      <c r="B9" s="2" t="s">
        <v>669</v>
      </c>
      <c r="C9" s="46">
        <f>'Logic Tree'!C9</f>
        <v>25.654199999999999</v>
      </c>
    </row>
    <row r="10" spans="1:10" ht="15" customHeight="1">
      <c r="B10" s="2" t="s">
        <v>553</v>
      </c>
      <c r="C10" s="46">
        <f>'Logic Tree'!C10</f>
        <v>11</v>
      </c>
    </row>
    <row r="11" spans="1:10" ht="15" customHeight="1">
      <c r="B11" s="2" t="s">
        <v>153</v>
      </c>
      <c r="C11" s="12">
        <f>'Logic Tree'!C23</f>
        <v>0.65446741760722771</v>
      </c>
    </row>
    <row r="12" spans="1:10" ht="27.75" customHeight="1">
      <c r="B12" s="2" t="s">
        <v>670</v>
      </c>
      <c r="C12" s="12">
        <f>'Logic Tree'!C24</f>
        <v>0.16932943188266988</v>
      </c>
      <c r="I12" s="3" t="s">
        <v>671</v>
      </c>
    </row>
    <row r="13" spans="1:10" ht="15" customHeight="1">
      <c r="B13" s="2" t="s">
        <v>152</v>
      </c>
      <c r="C13" s="46">
        <f>'Logic Tree'!C22</f>
        <v>53.046399999999998</v>
      </c>
    </row>
    <row r="15" spans="1:10" ht="15" customHeight="1">
      <c r="A15" s="77" t="s">
        <v>672</v>
      </c>
      <c r="B15" s="77"/>
      <c r="C15" s="77"/>
      <c r="D15" s="77"/>
      <c r="E15" s="77"/>
      <c r="F15" s="77"/>
      <c r="G15" s="77"/>
      <c r="H15" s="77"/>
      <c r="I15" s="77"/>
    </row>
    <row r="16" spans="1:10" ht="15" customHeight="1">
      <c r="B16" s="5" t="s">
        <v>203</v>
      </c>
      <c r="C16" s="5" t="s">
        <v>177</v>
      </c>
      <c r="D16" s="5" t="s">
        <v>178</v>
      </c>
      <c r="E16" s="5" t="s">
        <v>179</v>
      </c>
      <c r="F16" s="5" t="s">
        <v>180</v>
      </c>
      <c r="G16" s="5" t="s">
        <v>181</v>
      </c>
    </row>
    <row r="17" spans="1:9" ht="15" customHeight="1">
      <c r="B17" s="2" t="s">
        <v>673</v>
      </c>
      <c r="C17" s="12">
        <f>'Delivery Mode'!C18</f>
        <v>0.60914561893207309</v>
      </c>
      <c r="D17" s="12">
        <f>'Delivery Mode'!D18</f>
        <v>0.90609707928804872</v>
      </c>
      <c r="E17" s="12">
        <f>'Delivery Mode'!E18</f>
        <v>1</v>
      </c>
      <c r="F17" s="12">
        <f>'Delivery Mode'!F18</f>
        <v>1</v>
      </c>
      <c r="G17" s="12">
        <f>'Delivery Mode'!G18</f>
        <v>1</v>
      </c>
    </row>
    <row r="18" spans="1:9" ht="15" customHeight="1">
      <c r="B18" s="2" t="s">
        <v>674</v>
      </c>
      <c r="C18" s="12">
        <f>'Logic Tree'!C45</f>
        <v>0.13701470547066685</v>
      </c>
      <c r="D18" s="12">
        <f>'Logic Tree'!D45</f>
        <v>0.30473672648061922</v>
      </c>
      <c r="E18" s="12">
        <f>'Logic Tree'!E45</f>
        <v>0.4087817175356725</v>
      </c>
      <c r="F18" s="12">
        <f>'Logic Tree'!F45</f>
        <v>0.46860083718052126</v>
      </c>
      <c r="G18" s="12">
        <f>'Logic Tree'!G45</f>
        <v>0.50806529144252233</v>
      </c>
    </row>
    <row r="19" spans="1:9" ht="15" customHeight="1">
      <c r="B19" s="2" t="s">
        <v>675</v>
      </c>
      <c r="C19" s="12">
        <f>'Logic Tree'!C50</f>
        <v>0</v>
      </c>
      <c r="D19" s="12">
        <f>'Logic Tree'!D50</f>
        <v>0.13701470547066685</v>
      </c>
      <c r="E19" s="12">
        <f>'Logic Tree'!E50</f>
        <v>0.30473672648061922</v>
      </c>
      <c r="F19" s="12">
        <f>'Logic Tree'!F50</f>
        <v>0.4087817175356725</v>
      </c>
      <c r="G19" s="12">
        <f>'Logic Tree'!G50</f>
        <v>0.46860083718052126</v>
      </c>
    </row>
    <row r="20" spans="1:9" ht="15" customHeight="1">
      <c r="B20" s="2" t="s">
        <v>197</v>
      </c>
      <c r="C20" s="12">
        <f>'Logic Tree'!C51</f>
        <v>0</v>
      </c>
      <c r="D20" s="12">
        <f>'Logic Tree'!D51</f>
        <v>8.3861010504976186E-2</v>
      </c>
      <c r="E20" s="12">
        <f>'Logic Tree'!E51</f>
        <v>5.2022495527526635E-2</v>
      </c>
      <c r="F20" s="12">
        <f>'Logic Tree'!F51</f>
        <v>2.9909559822424381E-2</v>
      </c>
      <c r="G20" s="12">
        <f>'Logic Tree'!G51</f>
        <v>1.9732227131000535E-2</v>
      </c>
    </row>
    <row r="21" spans="1:9" ht="18.75" customHeight="1">
      <c r="B21" s="14" t="s">
        <v>198</v>
      </c>
      <c r="C21" s="18">
        <f>'Logic Tree'!C52</f>
        <v>0</v>
      </c>
      <c r="D21" s="18">
        <f>'Logic Tree'!D52</f>
        <v>0.22087571597564304</v>
      </c>
      <c r="E21" s="18">
        <f>'Logic Tree'!E52</f>
        <v>0.35675922200814586</v>
      </c>
      <c r="F21" s="18">
        <f>'Logic Tree'!F52</f>
        <v>0.43869127735809688</v>
      </c>
      <c r="G21" s="18">
        <f>'Logic Tree'!G52</f>
        <v>0.48833306431152179</v>
      </c>
      <c r="I21" s="3" t="s">
        <v>676</v>
      </c>
    </row>
    <row r="22" spans="1:9" ht="15" customHeight="1">
      <c r="B22" s="2" t="s">
        <v>677</v>
      </c>
      <c r="C22" s="9">
        <f>'Logic Tree'!C53</f>
        <v>106.0802</v>
      </c>
      <c r="D22" s="9">
        <f>'Logic Tree'!D53</f>
        <v>82.649659874160591</v>
      </c>
      <c r="E22" s="9">
        <f>'Logic Tree'!E53</f>
        <v>68.235110377531484</v>
      </c>
      <c r="F22" s="9">
        <f>'Logic Tree'!F53</f>
        <v>59.543741559597613</v>
      </c>
      <c r="G22" s="9">
        <f>'Logic Tree'!G53</f>
        <v>54.277730871220911</v>
      </c>
    </row>
    <row r="23" spans="1:9" ht="15" customHeight="1">
      <c r="B23" s="2" t="s">
        <v>678</v>
      </c>
      <c r="C23" s="9">
        <f>'Team Build-Up'!C9</f>
        <v>106.5</v>
      </c>
      <c r="D23" s="9">
        <f>'Team Build-Up'!D9</f>
        <v>81.999999801999991</v>
      </c>
      <c r="E23" s="9">
        <f>'Team Build-Up'!E9</f>
        <v>67.94</v>
      </c>
      <c r="F23" s="9">
        <f>'Team Build-Up'!F9</f>
        <v>60</v>
      </c>
      <c r="G23" s="9">
        <f>'Team Build-Up'!G9</f>
        <v>53.5</v>
      </c>
    </row>
    <row r="24" spans="1:9" ht="15" customHeight="1">
      <c r="B24" s="2" t="s">
        <v>541</v>
      </c>
      <c r="C24" s="9">
        <f>'Team Build-Up'!C12</f>
        <v>0.41979999999999507</v>
      </c>
      <c r="D24" s="9">
        <f>'Team Build-Up'!D12</f>
        <v>-0.64966007216060007</v>
      </c>
      <c r="E24" s="9">
        <f>'Team Build-Up'!E12</f>
        <v>-0.29511037753148628</v>
      </c>
      <c r="F24" s="9">
        <f>'Team Build-Up'!F12</f>
        <v>0.45625844040238661</v>
      </c>
      <c r="G24" s="9">
        <f>'Team Build-Up'!G12</f>
        <v>-0.77773087122091056</v>
      </c>
    </row>
    <row r="25" spans="1:9" ht="15" customHeight="1">
      <c r="B25" s="14" t="s">
        <v>679</v>
      </c>
      <c r="C25" s="18">
        <f>1-C23/$C$7</f>
        <v>-3.9573831874373244E-3</v>
      </c>
      <c r="D25" s="18">
        <f>1-D23/$C$7</f>
        <v>0.22699995096163106</v>
      </c>
      <c r="E25" s="18">
        <f>1-E23/$C$7</f>
        <v>0.35954117733563851</v>
      </c>
      <c r="F25" s="18">
        <f>1-F23/$C$7</f>
        <v>0.43439020665496486</v>
      </c>
      <c r="G25" s="18">
        <f>1-G23/$C$7</f>
        <v>0.49566460093401032</v>
      </c>
    </row>
    <row r="26" spans="1:9" ht="23.25" customHeight="1">
      <c r="B26" s="24" t="s">
        <v>200</v>
      </c>
      <c r="E26" s="26">
        <f>'Logic Tree'!E54</f>
        <v>62.71655364747236</v>
      </c>
    </row>
    <row r="28" spans="1:9" ht="15" customHeight="1">
      <c r="A28" s="77" t="s">
        <v>680</v>
      </c>
      <c r="B28" s="77"/>
      <c r="C28" s="77"/>
      <c r="D28" s="77"/>
      <c r="E28" s="77"/>
      <c r="F28" s="77"/>
      <c r="G28" s="77"/>
      <c r="H28" s="77"/>
      <c r="I28" s="77"/>
    </row>
    <row r="29" spans="1:9" ht="15" customHeight="1">
      <c r="B29" s="5" t="s">
        <v>203</v>
      </c>
      <c r="C29" s="5" t="s">
        <v>177</v>
      </c>
      <c r="D29" s="5" t="s">
        <v>178</v>
      </c>
      <c r="E29" s="5" t="s">
        <v>179</v>
      </c>
      <c r="F29" s="5" t="s">
        <v>180</v>
      </c>
      <c r="G29" s="5" t="s">
        <v>181</v>
      </c>
    </row>
    <row r="30" spans="1:9" ht="15" customHeight="1">
      <c r="B30" s="14" t="s">
        <v>681</v>
      </c>
      <c r="C30" s="47">
        <f>'Team Build-Up'!C54</f>
        <v>0.17840375586854459</v>
      </c>
      <c r="D30" s="47">
        <f>'Team Build-Up'!D54</f>
        <v>0.42707316932390843</v>
      </c>
      <c r="E30" s="47">
        <f>'Team Build-Up'!E54</f>
        <v>0.448483956432146</v>
      </c>
      <c r="F30" s="47">
        <f>'Team Build-Up'!F54</f>
        <v>0.49166666666666675</v>
      </c>
      <c r="G30" s="47">
        <f>'Team Build-Up'!G54</f>
        <v>0.4299065420560747</v>
      </c>
    </row>
    <row r="31" spans="1:9" ht="15" customHeight="1">
      <c r="B31" s="2" t="s">
        <v>682</v>
      </c>
      <c r="C31" s="12">
        <f>'Logic Tree'!C68</f>
        <v>0.18066992132332668</v>
      </c>
      <c r="D31" s="12">
        <f>'Logic Tree'!D68</f>
        <v>0.27517399999546654</v>
      </c>
      <c r="E31" s="12">
        <f>'Logic Tree'!E68</f>
        <v>0.36589791552072087</v>
      </c>
      <c r="F31" s="12">
        <f>'Logic Tree'!F68</f>
        <v>0.42638052587089037</v>
      </c>
      <c r="G31" s="12">
        <f>'Logic Tree'!G68</f>
        <v>0.47174248363351756</v>
      </c>
    </row>
    <row r="32" spans="1:9" ht="15" customHeight="1">
      <c r="B32" s="2" t="s">
        <v>217</v>
      </c>
      <c r="C32" s="12">
        <f>'Team Build-Up'!C56</f>
        <v>0.1415929203539823</v>
      </c>
      <c r="D32" s="12">
        <f>'Team Build-Up'!D56</f>
        <v>0.63414633967876266</v>
      </c>
      <c r="E32" s="12">
        <f>'Team Build-Up'!E56</f>
        <v>0.68656716417910446</v>
      </c>
      <c r="F32" s="12">
        <f>'Team Build-Up'!F56</f>
        <v>0.75</v>
      </c>
      <c r="G32" s="12">
        <f>'Team Build-Up'!G56</f>
        <v>0.60869565217391308</v>
      </c>
    </row>
    <row r="33" spans="1:9" ht="18.75" customHeight="1">
      <c r="B33" s="2" t="s">
        <v>683</v>
      </c>
      <c r="C33" s="36">
        <f>C30*'Team Build-Up'!C9-$C$12*$C$7</f>
        <v>1.0375000000000014</v>
      </c>
      <c r="D33" s="36">
        <f>D30*'Team Build-Up'!D9-$C$12*$C$7</f>
        <v>17.057499800000002</v>
      </c>
      <c r="E33" s="36">
        <f>E30*'Team Build-Up'!E9-$C$12*$C$7</f>
        <v>12.5075</v>
      </c>
      <c r="F33" s="36">
        <f>F30*'Team Build-Up'!F9-$C$12*$C$7</f>
        <v>11.537500000000005</v>
      </c>
      <c r="G33" s="36">
        <f>G30*'Team Build-Up'!G9-$C$12*$C$7</f>
        <v>5.0374999999999979</v>
      </c>
      <c r="I33" s="3" t="s">
        <v>684</v>
      </c>
    </row>
    <row r="35" spans="1:9" ht="15" customHeight="1">
      <c r="A35" s="77" t="s">
        <v>685</v>
      </c>
      <c r="B35" s="77"/>
      <c r="C35" s="77"/>
      <c r="D35" s="77"/>
      <c r="E35" s="77"/>
      <c r="F35" s="77"/>
      <c r="G35" s="77"/>
      <c r="H35" s="77"/>
      <c r="I35" s="77"/>
    </row>
    <row r="36" spans="1:9" ht="15" customHeight="1">
      <c r="B36" s="5" t="s">
        <v>203</v>
      </c>
      <c r="C36" s="5" t="s">
        <v>177</v>
      </c>
      <c r="D36" s="5" t="s">
        <v>178</v>
      </c>
      <c r="E36" s="5" t="s">
        <v>179</v>
      </c>
      <c r="F36" s="5" t="s">
        <v>180</v>
      </c>
      <c r="G36" s="5" t="s">
        <v>181</v>
      </c>
    </row>
    <row r="37" spans="1:9" ht="15" customHeight="1">
      <c r="B37" s="2" t="s">
        <v>686</v>
      </c>
      <c r="C37" s="9">
        <f>'Team Build-Up'!C9</f>
        <v>106.5</v>
      </c>
      <c r="D37" s="9">
        <f>'Team Build-Up'!D9</f>
        <v>81.999999801999991</v>
      </c>
      <c r="E37" s="9">
        <f>'Team Build-Up'!E9</f>
        <v>67.94</v>
      </c>
      <c r="F37" s="9">
        <f>'Team Build-Up'!F9</f>
        <v>60</v>
      </c>
      <c r="G37" s="9">
        <f>'Team Build-Up'!G9</f>
        <v>53.5</v>
      </c>
    </row>
    <row r="38" spans="1:9" ht="15" customHeight="1">
      <c r="B38" s="2" t="s">
        <v>687</v>
      </c>
      <c r="C38" s="9">
        <f>'Team Build-Up'!C47</f>
        <v>69.5</v>
      </c>
      <c r="D38" s="9">
        <f>'Team Build-Up'!D47</f>
        <v>50.999999799999998</v>
      </c>
      <c r="E38" s="9">
        <f>'Team Build-Up'!E47</f>
        <v>40.5</v>
      </c>
      <c r="F38" s="9">
        <f>'Team Build-Up'!F47</f>
        <v>30.5</v>
      </c>
      <c r="G38" s="9">
        <f>'Team Build-Up'!G47</f>
        <v>26.5</v>
      </c>
    </row>
    <row r="39" spans="1:9" ht="15" customHeight="1">
      <c r="B39" s="2" t="s">
        <v>688</v>
      </c>
      <c r="C39" s="9">
        <f>'Team Build-Up'!C45</f>
        <v>56.5</v>
      </c>
      <c r="D39" s="9">
        <f>'Team Build-Up'!D45</f>
        <v>40.999999799999998</v>
      </c>
      <c r="E39" s="9">
        <f>'Team Build-Up'!E45</f>
        <v>33.5</v>
      </c>
      <c r="F39" s="9">
        <f>'Team Build-Up'!F45</f>
        <v>26</v>
      </c>
      <c r="G39" s="9">
        <f>'Team Build-Up'!G45</f>
        <v>23</v>
      </c>
    </row>
    <row r="40" spans="1:9" ht="15" customHeight="1">
      <c r="B40" s="2" t="s">
        <v>689</v>
      </c>
      <c r="C40" s="9">
        <f>'Team Build-Up'!C46</f>
        <v>13</v>
      </c>
      <c r="D40" s="9">
        <f>'Team Build-Up'!D46</f>
        <v>10</v>
      </c>
      <c r="E40" s="9">
        <f>'Team Build-Up'!E46</f>
        <v>7</v>
      </c>
      <c r="F40" s="9">
        <f>'Team Build-Up'!F46</f>
        <v>4.5</v>
      </c>
      <c r="G40" s="9">
        <f>'Team Build-Up'!G46</f>
        <v>3.5</v>
      </c>
    </row>
    <row r="41" spans="1:9" ht="15" customHeight="1">
      <c r="B41" s="2" t="s">
        <v>669</v>
      </c>
      <c r="C41" s="9">
        <f>'Team Build-Up'!C48</f>
        <v>26</v>
      </c>
      <c r="D41" s="9">
        <f>'Team Build-Up'!D48</f>
        <v>21.980000002000001</v>
      </c>
      <c r="E41" s="9">
        <f>'Team Build-Up'!E48</f>
        <v>19.97</v>
      </c>
      <c r="F41" s="9">
        <f>'Team Build-Up'!F48</f>
        <v>19.5</v>
      </c>
      <c r="G41" s="9">
        <f>'Team Build-Up'!G48</f>
        <v>18</v>
      </c>
    </row>
    <row r="42" spans="1:9" ht="15" customHeight="1">
      <c r="B42" s="2" t="s">
        <v>553</v>
      </c>
      <c r="C42" s="9">
        <f>'Team Build-Up'!C49</f>
        <v>11</v>
      </c>
      <c r="D42" s="9">
        <f>'Team Build-Up'!D49</f>
        <v>9.02</v>
      </c>
      <c r="E42" s="9">
        <f>'Team Build-Up'!E49</f>
        <v>7.47</v>
      </c>
      <c r="F42" s="9">
        <f>'Team Build-Up'!F49</f>
        <v>10</v>
      </c>
      <c r="G42" s="9">
        <f>'Team Build-Up'!G49</f>
        <v>8.9999999999999982</v>
      </c>
    </row>
    <row r="43" spans="1:9" ht="15" customHeight="1">
      <c r="B43" s="2" t="s">
        <v>690</v>
      </c>
      <c r="C43" s="9">
        <f>C41+C42</f>
        <v>37</v>
      </c>
      <c r="D43" s="9">
        <f>D41+D42</f>
        <v>31.000000002</v>
      </c>
      <c r="E43" s="9">
        <f>E41+E42</f>
        <v>27.439999999999998</v>
      </c>
      <c r="F43" s="9">
        <f>F41+F42</f>
        <v>29.5</v>
      </c>
      <c r="G43" s="9">
        <f>G41+G42</f>
        <v>27</v>
      </c>
    </row>
    <row r="44" spans="1:9" ht="15" customHeight="1">
      <c r="B44" s="2" t="s">
        <v>691</v>
      </c>
      <c r="C44" s="13">
        <f>'Logic Tree'!C75+'Logic Tree'!C76</f>
        <v>0</v>
      </c>
      <c r="D44" s="13">
        <f>'Logic Tree'!D75+'Logic Tree'!D76</f>
        <v>0</v>
      </c>
      <c r="E44" s="13">
        <f>'Logic Tree'!E75+'Logic Tree'!E76</f>
        <v>6</v>
      </c>
      <c r="F44" s="13">
        <f>'Logic Tree'!F75+'Logic Tree'!F76</f>
        <v>0</v>
      </c>
      <c r="G44" s="13">
        <f>'Logic Tree'!G75+'Logic Tree'!G76</f>
        <v>0</v>
      </c>
    </row>
    <row r="45" spans="1:9" ht="15" customHeight="1">
      <c r="B45" s="14" t="s">
        <v>282</v>
      </c>
      <c r="C45" s="18">
        <f>IF(C37=0,0,C38/C37)</f>
        <v>0.65258215962441313</v>
      </c>
      <c r="D45" s="18">
        <f>IF(D37=0,0,D38/D37)</f>
        <v>0.62195121857495539</v>
      </c>
      <c r="E45" s="18">
        <f>IF(E37=0,0,E38/E37)</f>
        <v>0.5961142184280247</v>
      </c>
      <c r="F45" s="18">
        <f>IF(F37=0,0,F38/F37)</f>
        <v>0.5083333333333333</v>
      </c>
      <c r="G45" s="18">
        <f>IF(G37=0,0,G38/G37)</f>
        <v>0.49532710280373832</v>
      </c>
    </row>
    <row r="46" spans="1:9" ht="18.75" customHeight="1">
      <c r="I46" s="3" t="s">
        <v>692</v>
      </c>
    </row>
    <row r="48" spans="1:9" ht="15" customHeight="1">
      <c r="A48" s="77" t="s">
        <v>693</v>
      </c>
      <c r="B48" s="77"/>
      <c r="C48" s="77"/>
      <c r="D48" s="77"/>
      <c r="E48" s="77"/>
      <c r="F48" s="77"/>
      <c r="G48" s="77"/>
      <c r="H48" s="77"/>
      <c r="I48" s="77"/>
    </row>
    <row r="49" spans="2:9" ht="15" customHeight="1">
      <c r="B49" s="5"/>
      <c r="C49" s="5" t="s">
        <v>294</v>
      </c>
    </row>
    <row r="50" spans="2:9" ht="27.75" customHeight="1">
      <c r="B50" s="2" t="s">
        <v>295</v>
      </c>
      <c r="C50" s="9">
        <f>E26</f>
        <v>62.71655364747236</v>
      </c>
      <c r="I50" s="3" t="s">
        <v>694</v>
      </c>
    </row>
    <row r="51" spans="2:9" ht="15" customHeight="1">
      <c r="B51" s="2" t="s">
        <v>695</v>
      </c>
      <c r="C51" s="12">
        <f>E45</f>
        <v>0.5961142184280247</v>
      </c>
    </row>
    <row r="52" spans="2:9" ht="15" customHeight="1">
      <c r="B52" s="2" t="s">
        <v>696</v>
      </c>
      <c r="C52" s="9">
        <f>C50*C51</f>
        <v>37.386229360062266</v>
      </c>
    </row>
    <row r="53" spans="2:9" ht="15" customHeight="1">
      <c r="B53" s="2" t="s">
        <v>697</v>
      </c>
      <c r="C53" s="9">
        <f>E40/E37*C50</f>
        <v>6.4618174202576766</v>
      </c>
    </row>
    <row r="54" spans="2:9" ht="15" customHeight="1">
      <c r="B54" s="2" t="s">
        <v>698</v>
      </c>
      <c r="C54" s="9">
        <f>C52-C53</f>
        <v>30.924411939804589</v>
      </c>
    </row>
    <row r="55" spans="2:9" ht="15" customHeight="1">
      <c r="B55" s="2" t="s">
        <v>298</v>
      </c>
      <c r="C55" s="9">
        <f>C50/2</f>
        <v>31.35827682373618</v>
      </c>
    </row>
    <row r="56" spans="2:9" ht="27.75" customHeight="1">
      <c r="B56" s="24" t="s">
        <v>299</v>
      </c>
      <c r="C56" s="26">
        <f>C52-C55</f>
        <v>6.0279525363260866</v>
      </c>
      <c r="I56" s="3" t="s">
        <v>699</v>
      </c>
    </row>
    <row r="57" spans="2:9" ht="15" customHeight="1">
      <c r="B57" s="2" t="s">
        <v>700</v>
      </c>
      <c r="C57" s="30">
        <f>0.7</f>
        <v>0.7</v>
      </c>
    </row>
    <row r="58" spans="2:9" ht="15" customHeight="1">
      <c r="B58" s="2" t="s">
        <v>701</v>
      </c>
      <c r="C58" s="9">
        <f>C54*C57</f>
        <v>21.647088357863211</v>
      </c>
    </row>
    <row r="59" spans="2:9" ht="15" customHeight="1">
      <c r="B59" s="2" t="s">
        <v>702</v>
      </c>
      <c r="C59" s="13">
        <f>'Logic Tree'!E77</f>
        <v>6</v>
      </c>
    </row>
    <row r="60" spans="2:9" ht="15" customHeight="1">
      <c r="B60" s="2" t="s">
        <v>703</v>
      </c>
      <c r="C60" s="12">
        <f>C59/C54</f>
        <v>0.19402147441572057</v>
      </c>
    </row>
    <row r="61" spans="2:9" ht="27.75" customHeight="1">
      <c r="B61" s="14" t="s">
        <v>304</v>
      </c>
      <c r="C61" s="15">
        <f>C56-C59</f>
        <v>2.795253632608663E-2</v>
      </c>
      <c r="I61" s="3" t="s">
        <v>704</v>
      </c>
    </row>
    <row r="62" spans="2:9" ht="15" customHeight="1">
      <c r="B62" s="2" t="s">
        <v>705</v>
      </c>
      <c r="C62" s="12">
        <f>(C52-C59)/C50</f>
        <v>0.50044569630664348</v>
      </c>
    </row>
    <row r="65" spans="1:9" ht="15" customHeight="1">
      <c r="A65" s="77" t="s">
        <v>706</v>
      </c>
      <c r="B65" s="77"/>
      <c r="C65" s="77"/>
      <c r="D65" s="77"/>
      <c r="E65" s="77"/>
      <c r="F65" s="77"/>
      <c r="G65" s="77"/>
      <c r="H65" s="77"/>
      <c r="I65" s="77"/>
    </row>
    <row r="66" spans="1:9" ht="43.5" customHeight="1">
      <c r="B66" s="78" t="s">
        <v>707</v>
      </c>
      <c r="C66" s="78"/>
      <c r="D66" s="78"/>
      <c r="E66" s="78"/>
      <c r="F66" s="78"/>
      <c r="G66" s="78"/>
      <c r="H66" s="78"/>
      <c r="I66" s="78"/>
    </row>
    <row r="67" spans="1:9" ht="43.5" customHeight="1">
      <c r="B67" s="78" t="s">
        <v>708</v>
      </c>
      <c r="C67" s="78"/>
      <c r="D67" s="78"/>
      <c r="E67" s="78"/>
      <c r="F67" s="78"/>
      <c r="G67" s="78"/>
      <c r="H67" s="78"/>
      <c r="I67" s="78"/>
    </row>
    <row r="68" spans="1:9" ht="43.5" customHeight="1">
      <c r="B68" s="78" t="s">
        <v>709</v>
      </c>
      <c r="C68" s="78"/>
      <c r="D68" s="78"/>
      <c r="E68" s="78"/>
      <c r="F68" s="78"/>
      <c r="G68" s="78"/>
      <c r="H68" s="78"/>
      <c r="I68" s="78"/>
    </row>
    <row r="69" spans="1:9" ht="43.5" customHeight="1">
      <c r="B69" s="78" t="s">
        <v>710</v>
      </c>
      <c r="C69" s="78"/>
      <c r="D69" s="78"/>
      <c r="E69" s="78"/>
      <c r="F69" s="78"/>
      <c r="G69" s="78"/>
      <c r="H69" s="78"/>
      <c r="I69" s="78"/>
    </row>
    <row r="70" spans="1:9" ht="43.5" customHeight="1">
      <c r="B70" s="78" t="s">
        <v>711</v>
      </c>
      <c r="C70" s="78"/>
      <c r="D70" s="78"/>
      <c r="E70" s="78"/>
      <c r="F70" s="78"/>
      <c r="G70" s="78"/>
      <c r="H70" s="78"/>
      <c r="I70" s="78"/>
    </row>
  </sheetData>
  <mergeCells count="13">
    <mergeCell ref="B68:I68"/>
    <mergeCell ref="B69:I69"/>
    <mergeCell ref="B70:I70"/>
    <mergeCell ref="A35:I35"/>
    <mergeCell ref="A48:I48"/>
    <mergeCell ref="A65:I65"/>
    <mergeCell ref="B66:I66"/>
    <mergeCell ref="B67:I67"/>
    <mergeCell ref="A1:J1"/>
    <mergeCell ref="A2:J2"/>
    <mergeCell ref="A4:I4"/>
    <mergeCell ref="A15:I15"/>
    <mergeCell ref="A28:I28"/>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2"/>
  <sheetViews>
    <sheetView zoomScaleNormal="100" workbookViewId="0">
      <selection sqref="A1:J1"/>
    </sheetView>
  </sheetViews>
  <sheetFormatPr defaultColWidth="8.6328125" defaultRowHeight="14.5"/>
  <cols>
    <col min="1" max="1" width="2.453125" customWidth="1"/>
    <col min="2" max="2" width="46" customWidth="1"/>
    <col min="3" max="7" width="13" customWidth="1"/>
    <col min="8" max="8" width="3" customWidth="1"/>
    <col min="9" max="9" width="50" customWidth="1"/>
  </cols>
  <sheetData>
    <row r="1" spans="1:10" ht="25.5" customHeight="1">
      <c r="A1" s="74" t="s">
        <v>712</v>
      </c>
      <c r="B1" s="74"/>
      <c r="C1" s="74"/>
      <c r="D1" s="74"/>
      <c r="E1" s="74"/>
      <c r="F1" s="74"/>
      <c r="G1" s="74"/>
      <c r="H1" s="74"/>
      <c r="I1" s="74"/>
      <c r="J1" s="74"/>
    </row>
    <row r="2" spans="1:10" ht="15" customHeight="1">
      <c r="A2" s="75" t="s">
        <v>713</v>
      </c>
      <c r="B2" s="75"/>
      <c r="C2" s="75"/>
      <c r="D2" s="75"/>
      <c r="E2" s="75"/>
      <c r="F2" s="75"/>
      <c r="G2" s="75"/>
      <c r="H2" s="75"/>
      <c r="I2" s="75"/>
      <c r="J2" s="75"/>
    </row>
    <row r="4" spans="1:10" ht="15" customHeight="1">
      <c r="A4" s="77" t="s">
        <v>714</v>
      </c>
      <c r="B4" s="77"/>
      <c r="C4" s="77"/>
      <c r="D4" s="77"/>
      <c r="E4" s="77"/>
      <c r="F4" s="77"/>
      <c r="G4" s="77"/>
      <c r="H4" s="77"/>
      <c r="I4" s="77"/>
    </row>
    <row r="5" spans="1:10" ht="15" customHeight="1">
      <c r="B5" s="5" t="s">
        <v>203</v>
      </c>
      <c r="C5" s="5" t="s">
        <v>177</v>
      </c>
      <c r="D5" s="5" t="s">
        <v>178</v>
      </c>
      <c r="E5" s="5" t="s">
        <v>179</v>
      </c>
      <c r="F5" s="5" t="s">
        <v>180</v>
      </c>
      <c r="G5" s="5" t="s">
        <v>181</v>
      </c>
    </row>
    <row r="6" spans="1:10" ht="15" customHeight="1">
      <c r="B6" s="2" t="s">
        <v>715</v>
      </c>
      <c r="C6" s="36">
        <f>SUMIFS('Seat Ledger'!$N$5:$N$235,'Seat Ledger'!$B$5:$B$235,1)</f>
        <v>143.15500000000006</v>
      </c>
      <c r="D6" s="36">
        <f>SUMIFS('Seat Ledger'!$N$5:$N$235,'Seat Ledger'!$B$5:$B$235,2)</f>
        <v>91.521399943700004</v>
      </c>
      <c r="E6" s="36">
        <f>SUMIFS('Seat Ledger'!$N$5:$N$235,'Seat Ledger'!$B$5:$B$235,3)</f>
        <v>75.786900000000017</v>
      </c>
      <c r="F6" s="36">
        <f>SUMIFS('Seat Ledger'!$N$5:$N$235,'Seat Ledger'!$B$5:$B$235,4)</f>
        <v>65.245000000000005</v>
      </c>
      <c r="G6" s="36">
        <f>SUMIFS('Seat Ledger'!$N$5:$N$235,'Seat Ledger'!$B$5:$B$235,5)</f>
        <v>63.944999999999993</v>
      </c>
    </row>
    <row r="7" spans="1:10" ht="15" customHeight="1">
      <c r="B7" s="2" t="s">
        <v>716</v>
      </c>
      <c r="C7" s="9">
        <f>'Team Build-Up'!C9</f>
        <v>106.5</v>
      </c>
      <c r="D7" s="9">
        <f>'Team Build-Up'!D9</f>
        <v>81.999999801999991</v>
      </c>
      <c r="E7" s="9">
        <f>'Team Build-Up'!E9</f>
        <v>67.94</v>
      </c>
      <c r="F7" s="9">
        <f>'Team Build-Up'!F9</f>
        <v>60</v>
      </c>
      <c r="G7" s="9">
        <f>'Team Build-Up'!G9</f>
        <v>53.5</v>
      </c>
    </row>
    <row r="8" spans="1:10" ht="15" customHeight="1">
      <c r="B8" s="2" t="s">
        <v>717</v>
      </c>
      <c r="C8" s="46">
        <f>IF(C7=0,0,C6/C7)</f>
        <v>1.3441784037558691</v>
      </c>
      <c r="D8" s="46">
        <f>IF(D7=0,0,D6/D7)</f>
        <v>1.1161146361547647</v>
      </c>
      <c r="E8" s="46">
        <f>IF(E7=0,0,E6/E7)</f>
        <v>1.1154974977921699</v>
      </c>
      <c r="F8" s="46">
        <f>IF(F7=0,0,F6/F7)</f>
        <v>1.0874166666666667</v>
      </c>
      <c r="G8" s="46">
        <f>IF(G7=0,0,G6/G7)</f>
        <v>1.1952336448598129</v>
      </c>
    </row>
    <row r="9" spans="1:10" ht="15" customHeight="1">
      <c r="B9" s="2" t="s">
        <v>718</v>
      </c>
      <c r="C9" s="48">
        <f>IF('Glidepath &amp; 50-50'!$C$7=0,0,C6/'Glidepath &amp; 50-50'!$C$7)</f>
        <v>1.349497832771809</v>
      </c>
      <c r="D9" s="48">
        <f>IF('Glidepath &amp; 50-50'!$C$7=0,0,D6/'Glidepath &amp; 50-50'!$C$7)</f>
        <v>0.86275666848007448</v>
      </c>
      <c r="E9" s="48">
        <f>IF('Glidepath &amp; 50-50'!$C$7=0,0,E6/'Glidepath &amp; 50-50'!$C$7)</f>
        <v>0.71443021412101426</v>
      </c>
      <c r="F9" s="48">
        <f>IF('Glidepath &amp; 50-50'!$C$7=0,0,F6/'Glidepath &amp; 50-50'!$C$7)</f>
        <v>0.6150535161132803</v>
      </c>
      <c r="G9" s="48">
        <f>IF('Glidepath &amp; 50-50'!$C$7=0,0,G6/'Glidepath &amp; 50-50'!$C$7)</f>
        <v>0.60279863725747118</v>
      </c>
    </row>
    <row r="10" spans="1:10" ht="15" customHeight="1">
      <c r="B10" s="14" t="s">
        <v>719</v>
      </c>
      <c r="C10" s="18">
        <f>IF($C$9=0,0,1-C9/$C$9)</f>
        <v>0</v>
      </c>
      <c r="D10" s="18">
        <f>IF($C$9=0,0,1-D9/$C$9)</f>
        <v>0.36068317597219823</v>
      </c>
      <c r="E10" s="18">
        <f>IF($C$9=0,0,1-E9/$C$9)</f>
        <v>0.47059550836505892</v>
      </c>
      <c r="F10" s="18">
        <f>IF($C$9=0,0,1-F9/$C$9)</f>
        <v>0.54423526946316947</v>
      </c>
      <c r="G10" s="18">
        <f>IF($C$9=0,0,1-G9/$C$9)</f>
        <v>0.55331633544060654</v>
      </c>
    </row>
    <row r="12" spans="1:10" ht="15" customHeight="1">
      <c r="A12" s="77" t="s">
        <v>720</v>
      </c>
      <c r="B12" s="77"/>
      <c r="C12" s="77"/>
      <c r="D12" s="77"/>
      <c r="E12" s="77"/>
      <c r="F12" s="77"/>
      <c r="G12" s="77"/>
      <c r="H12" s="77"/>
      <c r="I12" s="77"/>
    </row>
    <row r="13" spans="1:10" ht="15" customHeight="1">
      <c r="B13" s="5" t="s">
        <v>203</v>
      </c>
      <c r="C13" s="5" t="s">
        <v>177</v>
      </c>
      <c r="D13" s="5" t="s">
        <v>178</v>
      </c>
      <c r="E13" s="5" t="s">
        <v>179</v>
      </c>
      <c r="F13" s="5" t="s">
        <v>180</v>
      </c>
      <c r="G13" s="5" t="s">
        <v>181</v>
      </c>
    </row>
    <row r="14" spans="1:10" ht="15" customHeight="1">
      <c r="B14" s="2" t="s">
        <v>721</v>
      </c>
      <c r="C14" s="9">
        <f>'Team Build-Up'!C45</f>
        <v>56.5</v>
      </c>
      <c r="D14" s="9">
        <f>'Team Build-Up'!D45</f>
        <v>40.999999799999998</v>
      </c>
      <c r="E14" s="9">
        <f>'Team Build-Up'!E45</f>
        <v>33.5</v>
      </c>
      <c r="F14" s="9">
        <f>'Team Build-Up'!F45</f>
        <v>26</v>
      </c>
      <c r="G14" s="9">
        <f>'Team Build-Up'!G45</f>
        <v>23</v>
      </c>
    </row>
    <row r="15" spans="1:10" ht="15" customHeight="1">
      <c r="B15" s="2" t="s">
        <v>722</v>
      </c>
      <c r="C15" s="36">
        <f>SUMIFS('Seat Ledger'!$N$5:$N$235,'Seat Ledger'!$B$5:$B$235,1,'Seat Ledger'!$J$5:$J$235,"FTC")</f>
        <v>74.585000000000008</v>
      </c>
      <c r="D15" s="36">
        <f>SUMIFS('Seat Ledger'!$N$5:$N$235,'Seat Ledger'!$B$5:$B$235,2,'Seat Ledger'!$J$5:$J$235,"FTC")</f>
        <v>34.219999940000001</v>
      </c>
      <c r="E15" s="36">
        <f>SUMIFS('Seat Ledger'!$N$5:$N$235,'Seat Ledger'!$B$5:$B$235,3,'Seat Ledger'!$J$5:$J$235,"FTC")</f>
        <v>26.155000000000001</v>
      </c>
      <c r="F15" s="36">
        <f>SUMIFS('Seat Ledger'!$N$5:$N$235,'Seat Ledger'!$B$5:$B$235,4,'Seat Ledger'!$J$5:$J$235,"FTC")</f>
        <v>20.155000000000001</v>
      </c>
      <c r="G15" s="36">
        <f>SUMIFS('Seat Ledger'!$N$5:$N$235,'Seat Ledger'!$B$5:$B$235,5,'Seat Ledger'!$J$5:$J$235,"FTC")</f>
        <v>22</v>
      </c>
    </row>
    <row r="16" spans="1:10" ht="15" customHeight="1">
      <c r="B16" s="14" t="s">
        <v>723</v>
      </c>
      <c r="C16" s="18">
        <f>IF($C$15=0,0,C15/$C$15-1)</f>
        <v>0</v>
      </c>
      <c r="D16" s="18">
        <f>IF($C$15=0,0,D15/$C$15-1)</f>
        <v>-0.54119461098076016</v>
      </c>
      <c r="E16" s="18">
        <f>IF($C$15=0,0,E15/$C$15-1)</f>
        <v>-0.64932627203861371</v>
      </c>
      <c r="F16" s="18">
        <f>IF($C$15=0,0,F15/$C$15-1)</f>
        <v>-0.72977140175638533</v>
      </c>
      <c r="G16" s="18">
        <f>IF($C$15=0,0,G15/$C$15-1)</f>
        <v>-0.7050345243681706</v>
      </c>
    </row>
    <row r="18" spans="1:9" ht="15" customHeight="1">
      <c r="A18" s="77" t="s">
        <v>724</v>
      </c>
      <c r="B18" s="77"/>
      <c r="C18" s="77"/>
      <c r="D18" s="77"/>
      <c r="E18" s="77"/>
      <c r="F18" s="77"/>
      <c r="G18" s="77"/>
      <c r="H18" s="77"/>
      <c r="I18" s="77"/>
    </row>
    <row r="19" spans="1:9" ht="15" customHeight="1">
      <c r="B19" s="5" t="s">
        <v>725</v>
      </c>
      <c r="C19" s="5" t="s">
        <v>177</v>
      </c>
      <c r="D19" s="5" t="s">
        <v>178</v>
      </c>
      <c r="E19" s="5" t="s">
        <v>179</v>
      </c>
      <c r="F19" s="5" t="s">
        <v>180</v>
      </c>
      <c r="G19" s="5" t="s">
        <v>181</v>
      </c>
    </row>
    <row r="20" spans="1:9" ht="15" customHeight="1">
      <c r="B20" s="2" t="s">
        <v>726</v>
      </c>
      <c r="C20" s="36">
        <f>SUMIFS('Seat Ledger'!$N$5:$N$235,'Seat Ledger'!$B$5:$B$235,1,'Seat Ledger'!$I$5:$I$235,"ON")</f>
        <v>135.77500000000001</v>
      </c>
      <c r="D20" s="36">
        <f>SUMIFS('Seat Ledger'!$N$5:$N$235,'Seat Ledger'!$B$5:$B$235,2,'Seat Ledger'!$I$5:$I$235,"ON")</f>
        <v>77.413000003700006</v>
      </c>
      <c r="E20" s="36">
        <f>SUMIFS('Seat Ledger'!$N$5:$N$235,'Seat Ledger'!$B$5:$B$235,3,'Seat Ledger'!$I$5:$I$235,"ON")</f>
        <v>63.319499999999991</v>
      </c>
      <c r="F20" s="36">
        <f>SUMIFS('Seat Ledger'!$N$5:$N$235,'Seat Ledger'!$B$5:$B$235,4,'Seat Ledger'!$I$5:$I$235,"ON")</f>
        <v>51.174999999999997</v>
      </c>
      <c r="G20" s="36">
        <f>SUMIFS('Seat Ledger'!$N$5:$N$235,'Seat Ledger'!$B$5:$B$235,5,'Seat Ledger'!$I$5:$I$235,"ON")</f>
        <v>53.325000000000003</v>
      </c>
    </row>
    <row r="21" spans="1:9" ht="15" customHeight="1">
      <c r="B21" s="2" t="s">
        <v>727</v>
      </c>
      <c r="C21" s="36">
        <f>SUMIFS('Seat Ledger'!$N$5:$N$235,'Seat Ledger'!$B$5:$B$235,1,'Seat Ledger'!$I$5:$I$235,"OFF")</f>
        <v>7.38</v>
      </c>
      <c r="D21" s="36">
        <f>SUMIFS('Seat Ledger'!$N$5:$N$235,'Seat Ledger'!$B$5:$B$235,2,'Seat Ledger'!$I$5:$I$235,"OFF")</f>
        <v>14.108399940000002</v>
      </c>
      <c r="E21" s="36">
        <f>SUMIFS('Seat Ledger'!$N$5:$N$235,'Seat Ledger'!$B$5:$B$235,3,'Seat Ledger'!$I$5:$I$235,"OFF")</f>
        <v>12.467400000000005</v>
      </c>
      <c r="F21" s="36">
        <f>SUMIFS('Seat Ledger'!$N$5:$N$235,'Seat Ledger'!$B$5:$B$235,4,'Seat Ledger'!$I$5:$I$235,"OFF")</f>
        <v>14.070000000000007</v>
      </c>
      <c r="G21" s="36">
        <f>SUMIFS('Seat Ledger'!$N$5:$N$235,'Seat Ledger'!$B$5:$B$235,5,'Seat Ledger'!$I$5:$I$235,"OFF")</f>
        <v>10.620000000000001</v>
      </c>
    </row>
    <row r="22" spans="1:9" ht="15" customHeight="1">
      <c r="B22" s="2" t="s">
        <v>728</v>
      </c>
      <c r="C22" s="36">
        <f>SUMIFS('Seat Ledger'!$N$5:$N$235,'Seat Ledger'!$B$5:$B$235,1,'Seat Ledger'!$I$5:$I$235,"NEAR")</f>
        <v>0</v>
      </c>
      <c r="D22" s="36">
        <f>SUMIFS('Seat Ledger'!$N$5:$N$235,'Seat Ledger'!$B$5:$B$235,2,'Seat Ledger'!$I$5:$I$235,"NEAR")</f>
        <v>0</v>
      </c>
      <c r="E22" s="36">
        <f>SUMIFS('Seat Ledger'!$N$5:$N$235,'Seat Ledger'!$B$5:$B$235,3,'Seat Ledger'!$I$5:$I$235,"NEAR")</f>
        <v>0</v>
      </c>
      <c r="F22" s="36">
        <f>SUMIFS('Seat Ledger'!$N$5:$N$235,'Seat Ledger'!$B$5:$B$235,4,'Seat Ledger'!$I$5:$I$235,"NEAR")</f>
        <v>0</v>
      </c>
      <c r="G22" s="36">
        <f>SUMIFS('Seat Ledger'!$N$5:$N$235,'Seat Ledger'!$B$5:$B$235,5,'Seat Ledger'!$I$5:$I$235,"NEAR")</f>
        <v>0</v>
      </c>
    </row>
    <row r="23" spans="1:9" ht="15" customHeight="1">
      <c r="B23" s="14" t="s">
        <v>729</v>
      </c>
      <c r="C23" s="18">
        <f>IF(SUM(C20:C22)=0,0,C20/SUM(C20:C22))</f>
        <v>0.94844748698962666</v>
      </c>
      <c r="D23" s="18">
        <f>IF(SUM(D20:D22)=0,0,D20/SUM(D20:D22))</f>
        <v>0.84584589015597578</v>
      </c>
      <c r="E23" s="18">
        <f>IF(SUM(E20:E22)=0,0,E20/SUM(E20:E22))</f>
        <v>0.83549399698364746</v>
      </c>
      <c r="F23" s="18">
        <f>IF(SUM(F20:F22)=0,0,F20/SUM(F20:F22))</f>
        <v>0.78435129128668857</v>
      </c>
      <c r="G23" s="18">
        <f>IF(SUM(G20:G22)=0,0,G20/SUM(G20:G22))</f>
        <v>0.83391977480647428</v>
      </c>
    </row>
    <row r="25" spans="1:9" ht="15" customHeight="1">
      <c r="B25" s="2" t="s">
        <v>730</v>
      </c>
      <c r="C25" s="36">
        <f>SUMIFS('Seat Ledger'!$N$5:$N$235,'Seat Ledger'!$B$5:$B$235,1,'Seat Ledger'!$G$5:$G$235,"BSA")</f>
        <v>30.775000000000002</v>
      </c>
      <c r="D25" s="36">
        <f>SUMIFS('Seat Ledger'!$N$5:$N$235,'Seat Ledger'!$B$5:$B$235,2,'Seat Ledger'!$G$5:$G$235,"BSA")</f>
        <v>31.425000003700006</v>
      </c>
      <c r="E25" s="36">
        <f>SUMIFS('Seat Ledger'!$N$5:$N$235,'Seat Ledger'!$B$5:$B$235,3,'Seat Ledger'!$G$5:$G$235,"BSA")</f>
        <v>26.450000000000003</v>
      </c>
      <c r="F25" s="36">
        <f>SUMIFS('Seat Ledger'!$N$5:$N$235,'Seat Ledger'!$B$5:$B$235,4,'Seat Ledger'!$G$5:$G$235,"BSA")</f>
        <v>24.1</v>
      </c>
      <c r="G25" s="36">
        <f>SUMIFS('Seat Ledger'!$N$5:$N$235,'Seat Ledger'!$B$5:$B$235,5,'Seat Ledger'!$G$5:$G$235,"BSA")</f>
        <v>20.800000000000004</v>
      </c>
    </row>
    <row r="26" spans="1:9" ht="15" customHeight="1">
      <c r="B26" s="2" t="s">
        <v>731</v>
      </c>
      <c r="C26" s="36">
        <f>SUMIFS('Seat Ledger'!$N$5:$N$235,'Seat Ledger'!$B$5:$B$235,1,'Seat Ledger'!$G$5:$G$235,"DEV")</f>
        <v>55.484999999999999</v>
      </c>
      <c r="D26" s="36">
        <f>SUMIFS('Seat Ledger'!$N$5:$N$235,'Seat Ledger'!$B$5:$B$235,2,'Seat Ledger'!$G$5:$G$235,"DEV")</f>
        <v>20.998400000000004</v>
      </c>
      <c r="E26" s="36">
        <f>SUMIFS('Seat Ledger'!$N$5:$N$235,'Seat Ledger'!$B$5:$B$235,3,'Seat Ledger'!$G$5:$G$235,"DEV")</f>
        <v>8.5823999999999998</v>
      </c>
      <c r="F26" s="36">
        <f>SUMIFS('Seat Ledger'!$N$5:$N$235,'Seat Ledger'!$B$5:$B$235,4,'Seat Ledger'!$G$5:$G$235,"DEV")</f>
        <v>11.085000000000004</v>
      </c>
      <c r="G26" s="36">
        <f>SUMIFS('Seat Ledger'!$N$5:$N$235,'Seat Ledger'!$B$5:$B$235,5,'Seat Ledger'!$G$5:$G$235,"DEV")</f>
        <v>13.605000000000004</v>
      </c>
    </row>
    <row r="27" spans="1:9" ht="15" customHeight="1">
      <c r="B27" s="2" t="s">
        <v>732</v>
      </c>
      <c r="C27" s="36">
        <f>SUMIFS('Seat Ledger'!$N$5:$N$235,'Seat Ledger'!$B$5:$B$235,1,'Seat Ledger'!$G$5:$G$235,"TEST")</f>
        <v>13.41</v>
      </c>
      <c r="D27" s="36">
        <f>SUMIFS('Seat Ledger'!$N$5:$N$235,'Seat Ledger'!$B$5:$B$235,2,'Seat Ledger'!$G$5:$G$235,"TEST")</f>
        <v>5.5649999999999995</v>
      </c>
      <c r="E27" s="36">
        <f>SUMIFS('Seat Ledger'!$N$5:$N$235,'Seat Ledger'!$B$5:$B$235,3,'Seat Ledger'!$G$5:$G$235,"TEST")</f>
        <v>5.7</v>
      </c>
      <c r="F27" s="36">
        <f>SUMIFS('Seat Ledger'!$N$5:$N$235,'Seat Ledger'!$B$5:$B$235,4,'Seat Ledger'!$G$5:$G$235,"TEST")</f>
        <v>4.5750000000000002</v>
      </c>
      <c r="G27" s="36">
        <f>SUMIFS('Seat Ledger'!$N$5:$N$235,'Seat Ledger'!$B$5:$B$235,5,'Seat Ledger'!$G$5:$G$235,"TEST")</f>
        <v>4.1550000000000002</v>
      </c>
    </row>
    <row r="28" spans="1:9" ht="15" customHeight="1">
      <c r="B28" s="2" t="s">
        <v>733</v>
      </c>
      <c r="C28" s="36">
        <f>SUMIFS('Seat Ledger'!$N$5:$N$235,'Seat Ledger'!$B$5:$B$235,1,'Seat Ledger'!$G$5:$G$235,"MNT")</f>
        <v>11.924999999999999</v>
      </c>
      <c r="D28" s="36">
        <f>SUMIFS('Seat Ledger'!$N$5:$N$235,'Seat Ledger'!$B$5:$B$235,2,'Seat Ledger'!$G$5:$G$235,"MNT")</f>
        <v>7.1249999400000004</v>
      </c>
      <c r="E28" s="36">
        <f>SUMIFS('Seat Ledger'!$N$5:$N$235,'Seat Ledger'!$B$5:$B$235,3,'Seat Ledger'!$G$5:$G$235,"MNT")</f>
        <v>12.000000000000002</v>
      </c>
      <c r="F28" s="36">
        <f>SUMIFS('Seat Ledger'!$N$5:$N$235,'Seat Ledger'!$B$5:$B$235,4,'Seat Ledger'!$G$5:$G$235,"MNT")</f>
        <v>11.625</v>
      </c>
      <c r="G28" s="36">
        <f>SUMIFS('Seat Ledger'!$N$5:$N$235,'Seat Ledger'!$B$5:$B$235,5,'Seat Ledger'!$G$5:$G$235,"MNT")</f>
        <v>6.9</v>
      </c>
    </row>
    <row r="29" spans="1:9" ht="15" customHeight="1">
      <c r="B29" s="2" t="s">
        <v>734</v>
      </c>
      <c r="C29" s="36">
        <f>SUMIFS('Seat Ledger'!$N$5:$N$235,'Seat Ledger'!$B$5:$B$235,1,'Seat Ledger'!$G$5:$G$235,"PM")</f>
        <v>25.1</v>
      </c>
      <c r="D29" s="36">
        <f>SUMIFS('Seat Ledger'!$N$5:$N$235,'Seat Ledger'!$B$5:$B$235,2,'Seat Ledger'!$G$5:$G$235,"PM")</f>
        <v>24.138000000000002</v>
      </c>
      <c r="E29" s="36">
        <f>SUMIFS('Seat Ledger'!$N$5:$N$235,'Seat Ledger'!$B$5:$B$235,3,'Seat Ledger'!$G$5:$G$235,"PM")</f>
        <v>22.8445</v>
      </c>
      <c r="F29" s="36">
        <f>SUMIFS('Seat Ledger'!$N$5:$N$235,'Seat Ledger'!$B$5:$B$235,4,'Seat Ledger'!$G$5:$G$235,"PM")</f>
        <v>13.650000000000004</v>
      </c>
      <c r="G29" s="36">
        <f>SUMIFS('Seat Ledger'!$N$5:$N$235,'Seat Ledger'!$B$5:$B$235,5,'Seat Ledger'!$G$5:$G$235,"PM")</f>
        <v>18.274999999999999</v>
      </c>
    </row>
    <row r="30" spans="1:9" ht="15" customHeight="1">
      <c r="B30" s="2" t="s">
        <v>735</v>
      </c>
      <c r="C30" s="36">
        <f>SUMIFS('Seat Ledger'!$N$5:$N$235,'Seat Ledger'!$B$5:$B$235,1,'Seat Ledger'!$G$5:$G$235,"OTH")</f>
        <v>6.4600000000000009</v>
      </c>
      <c r="D30" s="36">
        <f>SUMIFS('Seat Ledger'!$N$5:$N$235,'Seat Ledger'!$B$5:$B$235,2,'Seat Ledger'!$G$5:$G$235,"OTH")</f>
        <v>2.27</v>
      </c>
      <c r="E30" s="36">
        <f>SUMIFS('Seat Ledger'!$N$5:$N$235,'Seat Ledger'!$B$5:$B$235,3,'Seat Ledger'!$G$5:$G$235,"OTH")</f>
        <v>0.21</v>
      </c>
      <c r="F30" s="36">
        <f>SUMIFS('Seat Ledger'!$N$5:$N$235,'Seat Ledger'!$B$5:$B$235,4,'Seat Ledger'!$G$5:$G$235,"OTH")</f>
        <v>0.21</v>
      </c>
      <c r="G30" s="36">
        <f>SUMIFS('Seat Ledger'!$N$5:$N$235,'Seat Ledger'!$B$5:$B$235,5,'Seat Ledger'!$G$5:$G$235,"OTH")</f>
        <v>0.21</v>
      </c>
    </row>
    <row r="32" spans="1:9" ht="15" customHeight="1">
      <c r="B32" s="79" t="s">
        <v>736</v>
      </c>
      <c r="C32" s="79"/>
      <c r="D32" s="79"/>
      <c r="E32" s="79"/>
      <c r="F32" s="79"/>
      <c r="G32" s="79"/>
      <c r="H32" s="79"/>
      <c r="I32" s="79"/>
    </row>
  </sheetData>
  <mergeCells count="6">
    <mergeCell ref="B32:I32"/>
    <mergeCell ref="A1:J1"/>
    <mergeCell ref="A2:J2"/>
    <mergeCell ref="A4:I4"/>
    <mergeCell ref="A12:I12"/>
    <mergeCell ref="A18:I18"/>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235"/>
  <sheetViews>
    <sheetView zoomScaleNormal="100" workbookViewId="0">
      <pane xSplit="1" ySplit="4" topLeftCell="B5" activePane="bottomRight" state="frozen"/>
      <selection pane="topRight" activeCell="B1" sqref="B1"/>
      <selection pane="bottomLeft" activeCell="A5" sqref="A5"/>
      <selection pane="bottomRight" sqref="A1:N1"/>
    </sheetView>
  </sheetViews>
  <sheetFormatPr defaultColWidth="8.6328125" defaultRowHeight="14.5"/>
  <cols>
    <col min="1" max="1" width="2.453125" customWidth="1"/>
    <col min="2" max="2" width="6" customWidth="1"/>
    <col min="3" max="3" width="8" customWidth="1"/>
    <col min="4" max="4" width="7" customWidth="1"/>
    <col min="5" max="5" width="8" customWidth="1"/>
    <col min="6" max="6" width="34" customWidth="1"/>
    <col min="7" max="9" width="7" customWidth="1"/>
    <col min="10" max="10" width="9" customWidth="1"/>
    <col min="11" max="11" width="10" customWidth="1"/>
    <col min="12" max="12" width="8" customWidth="1"/>
    <col min="13" max="13" width="10" customWidth="1"/>
    <col min="14" max="14" width="11" customWidth="1"/>
  </cols>
  <sheetData>
    <row r="1" spans="1:14" ht="25.5" customHeight="1">
      <c r="A1" s="74" t="s">
        <v>737</v>
      </c>
      <c r="B1" s="74"/>
      <c r="C1" s="74"/>
      <c r="D1" s="74"/>
      <c r="E1" s="74"/>
      <c r="F1" s="74"/>
      <c r="G1" s="74"/>
      <c r="H1" s="74"/>
      <c r="I1" s="74"/>
      <c r="J1" s="74"/>
      <c r="K1" s="74"/>
      <c r="L1" s="74"/>
      <c r="M1" s="74"/>
      <c r="N1" s="74"/>
    </row>
    <row r="2" spans="1:14" ht="15" customHeight="1">
      <c r="A2" s="75" t="s">
        <v>738</v>
      </c>
      <c r="B2" s="75"/>
      <c r="C2" s="75"/>
      <c r="D2" s="75"/>
      <c r="E2" s="75"/>
      <c r="F2" s="75"/>
      <c r="G2" s="75"/>
      <c r="H2" s="75"/>
      <c r="I2" s="75"/>
      <c r="J2" s="75"/>
      <c r="K2" s="75"/>
      <c r="L2" s="75"/>
      <c r="M2" s="75"/>
      <c r="N2" s="75"/>
    </row>
    <row r="4" spans="1:14" ht="15" customHeight="1">
      <c r="B4" s="5" t="s">
        <v>438</v>
      </c>
      <c r="C4" s="5" t="s">
        <v>739</v>
      </c>
      <c r="D4" s="5" t="s">
        <v>439</v>
      </c>
      <c r="E4" s="5" t="s">
        <v>740</v>
      </c>
      <c r="F4" s="5" t="s">
        <v>441</v>
      </c>
      <c r="G4" s="5" t="s">
        <v>442</v>
      </c>
      <c r="H4" s="5" t="s">
        <v>443</v>
      </c>
      <c r="I4" s="5" t="s">
        <v>444</v>
      </c>
      <c r="J4" s="5" t="s">
        <v>445</v>
      </c>
      <c r="K4" s="5" t="s">
        <v>741</v>
      </c>
      <c r="L4" s="5" t="s">
        <v>493</v>
      </c>
      <c r="M4" s="5" t="s">
        <v>742</v>
      </c>
      <c r="N4" s="5" t="s">
        <v>743</v>
      </c>
    </row>
    <row r="5" spans="1:14" ht="15" customHeight="1">
      <c r="B5" s="19">
        <v>1</v>
      </c>
      <c r="C5" s="11" t="s">
        <v>448</v>
      </c>
      <c r="D5" s="35" t="s">
        <v>324</v>
      </c>
      <c r="E5" s="35" t="s">
        <v>448</v>
      </c>
      <c r="F5" s="49" t="str">
        <f>'Pod Library'!E5</f>
        <v>MetLife Product Owner</v>
      </c>
      <c r="G5" s="43" t="str">
        <f>'Pod Library'!F5</f>
        <v>PM</v>
      </c>
      <c r="H5" s="43" t="str">
        <f>'Pod Library'!G5</f>
        <v>E4</v>
      </c>
      <c r="I5" s="43" t="str">
        <f>'Pod Library'!H5</f>
        <v>ON</v>
      </c>
      <c r="J5" s="43" t="str">
        <f>'Pod Library'!I5</f>
        <v>FTE</v>
      </c>
      <c r="K5" s="9">
        <f>'Pod Library'!J5</f>
        <v>0.875</v>
      </c>
      <c r="L5" s="13">
        <f>'Pod Plan'!E5</f>
        <v>4</v>
      </c>
      <c r="M5" s="46">
        <f t="shared" ref="M5:M68" si="0">K5*L5</f>
        <v>3.5</v>
      </c>
      <c r="N5" s="46">
        <f>M5*INDEX('Logic Tree'!$J$85:$N$87,MATCH(I5,'Logic Tree'!$I$85:$I$87,0),MATCH(H5,'Logic Tree'!$J$84:$N$84,0))</f>
        <v>6.4750000000000005</v>
      </c>
    </row>
    <row r="6" spans="1:14" ht="15" customHeight="1">
      <c r="B6" s="19">
        <v>1</v>
      </c>
      <c r="C6" s="11" t="s">
        <v>448</v>
      </c>
      <c r="D6" s="35" t="s">
        <v>324</v>
      </c>
      <c r="E6" s="35" t="s">
        <v>448</v>
      </c>
      <c r="F6" s="49" t="str">
        <f>'Pod Library'!E6</f>
        <v>MetLife Servicing SME</v>
      </c>
      <c r="G6" s="43" t="str">
        <f>'Pod Library'!F6</f>
        <v>BSA</v>
      </c>
      <c r="H6" s="43" t="str">
        <f>'Pod Library'!G6</f>
        <v>E4</v>
      </c>
      <c r="I6" s="43" t="str">
        <f>'Pod Library'!H6</f>
        <v>ON</v>
      </c>
      <c r="J6" s="43" t="str">
        <f>'Pod Library'!I6</f>
        <v>FTE</v>
      </c>
      <c r="K6" s="9">
        <f>'Pod Library'!J6</f>
        <v>0.75</v>
      </c>
      <c r="L6" s="13">
        <f>'Pod Plan'!E5</f>
        <v>4</v>
      </c>
      <c r="M6" s="46">
        <f t="shared" si="0"/>
        <v>3</v>
      </c>
      <c r="N6" s="46">
        <f>M6*INDEX('Logic Tree'!$J$85:$N$87,MATCH(I6,'Logic Tree'!$I$85:$I$87,0),MATCH(H6,'Logic Tree'!$J$84:$N$84,0))</f>
        <v>5.5500000000000007</v>
      </c>
    </row>
    <row r="7" spans="1:14" ht="15" customHeight="1">
      <c r="B7" s="19">
        <v>1</v>
      </c>
      <c r="C7" s="11" t="s">
        <v>448</v>
      </c>
      <c r="D7" s="35" t="s">
        <v>324</v>
      </c>
      <c r="E7" s="35" t="s">
        <v>448</v>
      </c>
      <c r="F7" s="49" t="str">
        <f>'Pod Library'!E7</f>
        <v>MGCC Workflow Engineer</v>
      </c>
      <c r="G7" s="43" t="str">
        <f>'Pod Library'!F7</f>
        <v>DEV</v>
      </c>
      <c r="H7" s="43" t="str">
        <f>'Pod Library'!G7</f>
        <v>E3</v>
      </c>
      <c r="I7" s="43" t="str">
        <f>'Pod Library'!H7</f>
        <v>OFF</v>
      </c>
      <c r="J7" s="43" t="str">
        <f>'Pod Library'!I7</f>
        <v>MGCC</v>
      </c>
      <c r="K7" s="9">
        <f>'Pod Library'!J7</f>
        <v>2</v>
      </c>
      <c r="L7" s="13">
        <f>'Pod Plan'!E5</f>
        <v>4</v>
      </c>
      <c r="M7" s="46">
        <f t="shared" si="0"/>
        <v>8</v>
      </c>
      <c r="N7" s="46">
        <f>M7*INDEX('Logic Tree'!$J$85:$N$87,MATCH(I7,'Logic Tree'!$I$85:$I$87,0),MATCH(H7,'Logic Tree'!$J$84:$N$84,0))</f>
        <v>3.36</v>
      </c>
    </row>
    <row r="8" spans="1:14" ht="15" customHeight="1">
      <c r="B8" s="19">
        <v>1</v>
      </c>
      <c r="C8" s="11" t="s">
        <v>448</v>
      </c>
      <c r="D8" s="35" t="s">
        <v>324</v>
      </c>
      <c r="E8" s="35" t="s">
        <v>448</v>
      </c>
      <c r="F8" s="49" t="str">
        <f>'Pod Library'!E8</f>
        <v>Business Analyst (bilingual)</v>
      </c>
      <c r="G8" s="43" t="str">
        <f>'Pod Library'!F8</f>
        <v>BSA</v>
      </c>
      <c r="H8" s="43" t="str">
        <f>'Pod Library'!G8</f>
        <v>E3</v>
      </c>
      <c r="I8" s="43" t="str">
        <f>'Pod Library'!H8</f>
        <v>ON</v>
      </c>
      <c r="J8" s="43" t="str">
        <f>'Pod Library'!I8</f>
        <v>FTC</v>
      </c>
      <c r="K8" s="9">
        <f>'Pod Library'!J8</f>
        <v>0.875</v>
      </c>
      <c r="L8" s="13">
        <f>'Pod Plan'!E5</f>
        <v>4</v>
      </c>
      <c r="M8" s="46">
        <f t="shared" si="0"/>
        <v>3.5</v>
      </c>
      <c r="N8" s="46">
        <f>M8*INDEX('Logic Tree'!$J$85:$N$87,MATCH(I8,'Logic Tree'!$I$85:$I$87,0),MATCH(H8,'Logic Tree'!$J$84:$N$84,0))</f>
        <v>4.7250000000000005</v>
      </c>
    </row>
    <row r="9" spans="1:14" ht="15" customHeight="1">
      <c r="B9" s="19">
        <v>1</v>
      </c>
      <c r="C9" s="11" t="s">
        <v>448</v>
      </c>
      <c r="D9" s="35" t="s">
        <v>324</v>
      </c>
      <c r="E9" s="35" t="s">
        <v>448</v>
      </c>
      <c r="F9" s="49" t="str">
        <f>'Pod Library'!E9</f>
        <v>Pod lead / senior engineer</v>
      </c>
      <c r="G9" s="43" t="str">
        <f>'Pod Library'!F9</f>
        <v>DEV</v>
      </c>
      <c r="H9" s="43" t="str">
        <f>'Pod Library'!G9</f>
        <v>E4</v>
      </c>
      <c r="I9" s="43" t="str">
        <f>'Pod Library'!H9</f>
        <v>ON</v>
      </c>
      <c r="J9" s="43" t="str">
        <f>'Pod Library'!I9</f>
        <v>FTC</v>
      </c>
      <c r="K9" s="9">
        <f>'Pod Library'!J9</f>
        <v>1.5</v>
      </c>
      <c r="L9" s="13">
        <f>'Pod Plan'!E5</f>
        <v>4</v>
      </c>
      <c r="M9" s="46">
        <f t="shared" si="0"/>
        <v>6</v>
      </c>
      <c r="N9" s="46">
        <f>M9*INDEX('Logic Tree'!$J$85:$N$87,MATCH(I9,'Logic Tree'!$I$85:$I$87,0),MATCH(H9,'Logic Tree'!$J$84:$N$84,0))</f>
        <v>11.100000000000001</v>
      </c>
    </row>
    <row r="10" spans="1:14" ht="15" customHeight="1">
      <c r="B10" s="19">
        <v>1</v>
      </c>
      <c r="C10" s="11" t="s">
        <v>448</v>
      </c>
      <c r="D10" s="35" t="s">
        <v>324</v>
      </c>
      <c r="E10" s="35" t="s">
        <v>448</v>
      </c>
      <c r="F10" s="49" t="str">
        <f>'Pod Library'!E10</f>
        <v>K2 Workflow Engineer</v>
      </c>
      <c r="G10" s="43" t="str">
        <f>'Pod Library'!F10</f>
        <v>DEV</v>
      </c>
      <c r="H10" s="43" t="str">
        <f>'Pod Library'!G10</f>
        <v>E3</v>
      </c>
      <c r="I10" s="43" t="str">
        <f>'Pod Library'!H10</f>
        <v>ON</v>
      </c>
      <c r="J10" s="43" t="str">
        <f>'Pod Library'!I10</f>
        <v>FTC</v>
      </c>
      <c r="K10" s="9">
        <f>'Pod Library'!J10</f>
        <v>0.5</v>
      </c>
      <c r="L10" s="13">
        <f>'Pod Plan'!E5</f>
        <v>4</v>
      </c>
      <c r="M10" s="46">
        <f t="shared" si="0"/>
        <v>2</v>
      </c>
      <c r="N10" s="46">
        <f>M10*INDEX('Logic Tree'!$J$85:$N$87,MATCH(I10,'Logic Tree'!$I$85:$I$87,0),MATCH(H10,'Logic Tree'!$J$84:$N$84,0))</f>
        <v>2.7</v>
      </c>
    </row>
    <row r="11" spans="1:14" ht="15" customHeight="1">
      <c r="B11" s="19">
        <v>1</v>
      </c>
      <c r="C11" s="11" t="s">
        <v>448</v>
      </c>
      <c r="D11" s="35" t="s">
        <v>324</v>
      </c>
      <c r="E11" s="35" t="s">
        <v>448</v>
      </c>
      <c r="F11" s="49" t="str">
        <f>'Pod Library'!E11</f>
        <v>K2 Workflow Engineer</v>
      </c>
      <c r="G11" s="43" t="str">
        <f>'Pod Library'!F11</f>
        <v>DEV</v>
      </c>
      <c r="H11" s="43" t="str">
        <f>'Pod Library'!G11</f>
        <v>E3</v>
      </c>
      <c r="I11" s="43" t="str">
        <f>'Pod Library'!H11</f>
        <v>OFF</v>
      </c>
      <c r="J11" s="43" t="str">
        <f>'Pod Library'!I11</f>
        <v>FTC</v>
      </c>
      <c r="K11" s="9">
        <f>'Pod Library'!J11</f>
        <v>0.25</v>
      </c>
      <c r="L11" s="13">
        <f>'Pod Plan'!E5</f>
        <v>4</v>
      </c>
      <c r="M11" s="46">
        <f t="shared" si="0"/>
        <v>1</v>
      </c>
      <c r="N11" s="46">
        <f>M11*INDEX('Logic Tree'!$J$85:$N$87,MATCH(I11,'Logic Tree'!$I$85:$I$87,0),MATCH(H11,'Logic Tree'!$J$84:$N$84,0))</f>
        <v>0.42</v>
      </c>
    </row>
    <row r="12" spans="1:14" ht="15" customHeight="1">
      <c r="B12" s="19">
        <v>1</v>
      </c>
      <c r="C12" s="11" t="s">
        <v>448</v>
      </c>
      <c r="D12" s="35" t="s">
        <v>324</v>
      </c>
      <c r="E12" s="35" t="s">
        <v>448</v>
      </c>
      <c r="F12" s="49" t="str">
        <f>'Pod Library'!E12</f>
        <v>K2 Workflow Engineer</v>
      </c>
      <c r="G12" s="43" t="str">
        <f>'Pod Library'!F12</f>
        <v>DEV</v>
      </c>
      <c r="H12" s="43" t="str">
        <f>'Pod Library'!G12</f>
        <v>E2</v>
      </c>
      <c r="I12" s="43" t="str">
        <f>'Pod Library'!H12</f>
        <v>OFF</v>
      </c>
      <c r="J12" s="43" t="str">
        <f>'Pod Library'!I12</f>
        <v>FTC</v>
      </c>
      <c r="K12" s="9">
        <f>'Pod Library'!J12</f>
        <v>0.25</v>
      </c>
      <c r="L12" s="13">
        <f>'Pod Plan'!E5</f>
        <v>4</v>
      </c>
      <c r="M12" s="46">
        <f t="shared" si="0"/>
        <v>1</v>
      </c>
      <c r="N12" s="46">
        <f>M12*INDEX('Logic Tree'!$J$85:$N$87,MATCH(I12,'Logic Tree'!$I$85:$I$87,0),MATCH(H12,'Logic Tree'!$J$84:$N$84,0))</f>
        <v>0.3</v>
      </c>
    </row>
    <row r="13" spans="1:14" ht="15" customHeight="1">
      <c r="B13" s="19">
        <v>1</v>
      </c>
      <c r="C13" s="11" t="s">
        <v>448</v>
      </c>
      <c r="D13" s="35" t="s">
        <v>324</v>
      </c>
      <c r="E13" s="35" t="s">
        <v>448</v>
      </c>
      <c r="F13" s="49" t="str">
        <f>'Pod Library'!E13</f>
        <v>K2 Workflow Engineer</v>
      </c>
      <c r="G13" s="43" t="str">
        <f>'Pod Library'!F13</f>
        <v>DEV</v>
      </c>
      <c r="H13" s="43" t="str">
        <f>'Pod Library'!G13</f>
        <v>E1</v>
      </c>
      <c r="I13" s="43" t="str">
        <f>'Pod Library'!H13</f>
        <v>OFF</v>
      </c>
      <c r="J13" s="43" t="str">
        <f>'Pod Library'!I13</f>
        <v>FTC</v>
      </c>
      <c r="K13" s="9">
        <f>'Pod Library'!J13</f>
        <v>0</v>
      </c>
      <c r="L13" s="13">
        <f>'Pod Plan'!E5</f>
        <v>4</v>
      </c>
      <c r="M13" s="46">
        <f t="shared" si="0"/>
        <v>0</v>
      </c>
      <c r="N13" s="46">
        <f>M13*INDEX('Logic Tree'!$J$85:$N$87,MATCH(I13,'Logic Tree'!$I$85:$I$87,0),MATCH(H13,'Logic Tree'!$J$84:$N$84,0))</f>
        <v>0</v>
      </c>
    </row>
    <row r="14" spans="1:14" ht="15" customHeight="1">
      <c r="B14" s="19">
        <v>1</v>
      </c>
      <c r="C14" s="11" t="s">
        <v>448</v>
      </c>
      <c r="D14" s="35" t="s">
        <v>324</v>
      </c>
      <c r="E14" s="35" t="s">
        <v>448</v>
      </c>
      <c r="F14" s="49" t="str">
        <f>'Pod Library'!E14</f>
        <v>Quality Engineer (SDET)</v>
      </c>
      <c r="G14" s="43" t="str">
        <f>'Pod Library'!F14</f>
        <v>TEST</v>
      </c>
      <c r="H14" s="43" t="str">
        <f>'Pod Library'!G14</f>
        <v>E2</v>
      </c>
      <c r="I14" s="43" t="str">
        <f>'Pod Library'!H14</f>
        <v>OFF</v>
      </c>
      <c r="J14" s="43" t="str">
        <f>'Pod Library'!I14</f>
        <v>FTC</v>
      </c>
      <c r="K14" s="9">
        <f>'Pod Library'!J14</f>
        <v>0.5</v>
      </c>
      <c r="L14" s="13">
        <f>'Pod Plan'!E5</f>
        <v>4</v>
      </c>
      <c r="M14" s="46">
        <f t="shared" si="0"/>
        <v>2</v>
      </c>
      <c r="N14" s="46">
        <f>M14*INDEX('Logic Tree'!$J$85:$N$87,MATCH(I14,'Logic Tree'!$I$85:$I$87,0),MATCH(H14,'Logic Tree'!$J$84:$N$84,0))</f>
        <v>0.6</v>
      </c>
    </row>
    <row r="15" spans="1:14" ht="15" customHeight="1">
      <c r="B15" s="19">
        <v>1</v>
      </c>
      <c r="C15" s="11" t="s">
        <v>448</v>
      </c>
      <c r="D15" s="35" t="s">
        <v>324</v>
      </c>
      <c r="E15" s="35" t="s">
        <v>448</v>
      </c>
      <c r="F15" s="49" t="str">
        <f>'Pod Library'!E15</f>
        <v>Application Support</v>
      </c>
      <c r="G15" s="43" t="str">
        <f>'Pod Library'!F15</f>
        <v>MNT</v>
      </c>
      <c r="H15" s="43" t="str">
        <f>'Pod Library'!G15</f>
        <v>E2</v>
      </c>
      <c r="I15" s="43" t="str">
        <f>'Pod Library'!H15</f>
        <v>OFF</v>
      </c>
      <c r="J15" s="43" t="str">
        <f>'Pod Library'!I15</f>
        <v>FTC</v>
      </c>
      <c r="K15" s="9">
        <f>'Pod Library'!J15</f>
        <v>0.25</v>
      </c>
      <c r="L15" s="13">
        <f>'Pod Plan'!E5</f>
        <v>4</v>
      </c>
      <c r="M15" s="46">
        <f t="shared" si="0"/>
        <v>1</v>
      </c>
      <c r="N15" s="46">
        <f>M15*INDEX('Logic Tree'!$J$85:$N$87,MATCH(I15,'Logic Tree'!$I$85:$I$87,0),MATCH(H15,'Logic Tree'!$J$84:$N$84,0))</f>
        <v>0.3</v>
      </c>
    </row>
    <row r="16" spans="1:14" ht="15" customHeight="1">
      <c r="B16" s="19">
        <v>1</v>
      </c>
      <c r="C16" s="11" t="s">
        <v>448</v>
      </c>
      <c r="D16" s="35" t="s">
        <v>324</v>
      </c>
      <c r="E16" s="35" t="s">
        <v>448</v>
      </c>
      <c r="F16" s="49" t="str">
        <f>'Pod Library'!E16</f>
        <v>Solution Architect</v>
      </c>
      <c r="G16" s="43" t="str">
        <f>'Pod Library'!F16</f>
        <v>OTH</v>
      </c>
      <c r="H16" s="43" t="str">
        <f>'Pod Library'!G16</f>
        <v>E4</v>
      </c>
      <c r="I16" s="43" t="str">
        <f>'Pod Library'!H16</f>
        <v>ON</v>
      </c>
      <c r="J16" s="43" t="str">
        <f>'Pod Library'!I16</f>
        <v>FTC</v>
      </c>
      <c r="K16" s="9">
        <f>'Pod Library'!J16</f>
        <v>0.5</v>
      </c>
      <c r="L16" s="13">
        <f>'Pod Plan'!E5</f>
        <v>4</v>
      </c>
      <c r="M16" s="46">
        <f t="shared" si="0"/>
        <v>2</v>
      </c>
      <c r="N16" s="46">
        <f>M16*INDEX('Logic Tree'!$J$85:$N$87,MATCH(I16,'Logic Tree'!$I$85:$I$87,0),MATCH(H16,'Logic Tree'!$J$84:$N$84,0))</f>
        <v>3.7</v>
      </c>
    </row>
    <row r="17" spans="2:14" ht="15" customHeight="1">
      <c r="B17" s="19">
        <v>1</v>
      </c>
      <c r="C17" s="11" t="s">
        <v>465</v>
      </c>
      <c r="D17" s="35" t="s">
        <v>324</v>
      </c>
      <c r="E17" s="35" t="s">
        <v>465</v>
      </c>
      <c r="F17" s="49" t="str">
        <f>'Pod Library'!E19</f>
        <v>MetLife Product Owner</v>
      </c>
      <c r="G17" s="43" t="str">
        <f>'Pod Library'!F19</f>
        <v>PM</v>
      </c>
      <c r="H17" s="43" t="str">
        <f>'Pod Library'!G19</f>
        <v>E4</v>
      </c>
      <c r="I17" s="43" t="str">
        <f>'Pod Library'!H19</f>
        <v>ON</v>
      </c>
      <c r="J17" s="43" t="str">
        <f>'Pod Library'!I19</f>
        <v>FTE</v>
      </c>
      <c r="K17" s="9">
        <f>'Pod Library'!J19</f>
        <v>1.2</v>
      </c>
      <c r="L17" s="13">
        <f>'Pod Plan'!F5</f>
        <v>3</v>
      </c>
      <c r="M17" s="46">
        <f t="shared" si="0"/>
        <v>3.5999999999999996</v>
      </c>
      <c r="N17" s="46">
        <f>M17*INDEX('Logic Tree'!$J$85:$N$87,MATCH(I17,'Logic Tree'!$I$85:$I$87,0),MATCH(H17,'Logic Tree'!$J$84:$N$84,0))</f>
        <v>6.6599999999999993</v>
      </c>
    </row>
    <row r="18" spans="2:14" ht="15" customHeight="1">
      <c r="B18" s="19">
        <v>1</v>
      </c>
      <c r="C18" s="11" t="s">
        <v>465</v>
      </c>
      <c r="D18" s="35" t="s">
        <v>324</v>
      </c>
      <c r="E18" s="35" t="s">
        <v>465</v>
      </c>
      <c r="F18" s="49" t="str">
        <f>'Pod Library'!E20</f>
        <v>MetLife Servicing SME</v>
      </c>
      <c r="G18" s="43" t="str">
        <f>'Pod Library'!F20</f>
        <v>BSA</v>
      </c>
      <c r="H18" s="43" t="str">
        <f>'Pod Library'!G20</f>
        <v>E4</v>
      </c>
      <c r="I18" s="43" t="str">
        <f>'Pod Library'!H20</f>
        <v>ON</v>
      </c>
      <c r="J18" s="43" t="str">
        <f>'Pod Library'!I20</f>
        <v>FTE</v>
      </c>
      <c r="K18" s="9">
        <f>'Pod Library'!J20</f>
        <v>0.9</v>
      </c>
      <c r="L18" s="13">
        <f>'Pod Plan'!F5</f>
        <v>3</v>
      </c>
      <c r="M18" s="46">
        <f t="shared" si="0"/>
        <v>2.7</v>
      </c>
      <c r="N18" s="46">
        <f>M18*INDEX('Logic Tree'!$J$85:$N$87,MATCH(I18,'Logic Tree'!$I$85:$I$87,0),MATCH(H18,'Logic Tree'!$J$84:$N$84,0))</f>
        <v>4.995000000000001</v>
      </c>
    </row>
    <row r="19" spans="2:14" ht="15" customHeight="1">
      <c r="B19" s="19">
        <v>1</v>
      </c>
      <c r="C19" s="11" t="s">
        <v>465</v>
      </c>
      <c r="D19" s="35" t="s">
        <v>324</v>
      </c>
      <c r="E19" s="35" t="s">
        <v>465</v>
      </c>
      <c r="F19" s="49" t="str">
        <f>'Pod Library'!E21</f>
        <v>MetLife Operations Analyst</v>
      </c>
      <c r="G19" s="43" t="str">
        <f>'Pod Library'!F21</f>
        <v>MNT</v>
      </c>
      <c r="H19" s="43" t="str">
        <f>'Pod Library'!G21</f>
        <v>E3</v>
      </c>
      <c r="I19" s="43" t="str">
        <f>'Pod Library'!H21</f>
        <v>ON</v>
      </c>
      <c r="J19" s="43" t="str">
        <f>'Pod Library'!I21</f>
        <v>FTE</v>
      </c>
      <c r="K19" s="9">
        <f>'Pod Library'!J21</f>
        <v>0.9</v>
      </c>
      <c r="L19" s="13">
        <f>'Pod Plan'!F5</f>
        <v>3</v>
      </c>
      <c r="M19" s="46">
        <f t="shared" si="0"/>
        <v>2.7</v>
      </c>
      <c r="N19" s="46">
        <f>M19*INDEX('Logic Tree'!$J$85:$N$87,MATCH(I19,'Logic Tree'!$I$85:$I$87,0),MATCH(H19,'Logic Tree'!$J$84:$N$84,0))</f>
        <v>3.6450000000000005</v>
      </c>
    </row>
    <row r="20" spans="2:14" ht="15" customHeight="1">
      <c r="B20" s="19">
        <v>1</v>
      </c>
      <c r="C20" s="11" t="s">
        <v>465</v>
      </c>
      <c r="D20" s="35" t="s">
        <v>324</v>
      </c>
      <c r="E20" s="35" t="s">
        <v>465</v>
      </c>
      <c r="F20" s="49" t="str">
        <f>'Pod Library'!E22</f>
        <v>FSI Senior Developer (JP)</v>
      </c>
      <c r="G20" s="43" t="str">
        <f>'Pod Library'!F22</f>
        <v>DEV</v>
      </c>
      <c r="H20" s="43" t="str">
        <f>'Pod Library'!G22</f>
        <v>E3</v>
      </c>
      <c r="I20" s="43" t="str">
        <f>'Pod Library'!H22</f>
        <v>ON</v>
      </c>
      <c r="J20" s="43" t="str">
        <f>'Pod Library'!I22</f>
        <v>PT</v>
      </c>
      <c r="K20" s="9">
        <f>'Pod Library'!J22</f>
        <v>1.8</v>
      </c>
      <c r="L20" s="13">
        <f>'Pod Plan'!F5</f>
        <v>3</v>
      </c>
      <c r="M20" s="46">
        <f t="shared" si="0"/>
        <v>5.4</v>
      </c>
      <c r="N20" s="46">
        <f>M20*INDEX('Logic Tree'!$J$85:$N$87,MATCH(I20,'Logic Tree'!$I$85:$I$87,0),MATCH(H20,'Logic Tree'!$J$84:$N$84,0))</f>
        <v>7.2900000000000009</v>
      </c>
    </row>
    <row r="21" spans="2:14" ht="15" customHeight="1">
      <c r="B21" s="19">
        <v>1</v>
      </c>
      <c r="C21" s="11" t="s">
        <v>465</v>
      </c>
      <c r="D21" s="35" t="s">
        <v>324</v>
      </c>
      <c r="E21" s="35" t="s">
        <v>465</v>
      </c>
      <c r="F21" s="49" t="str">
        <f>'Pod Library'!E23</f>
        <v>FSI Business Analyst (JP)</v>
      </c>
      <c r="G21" s="43" t="str">
        <f>'Pod Library'!F23</f>
        <v>BSA</v>
      </c>
      <c r="H21" s="43" t="str">
        <f>'Pod Library'!G23</f>
        <v>E3</v>
      </c>
      <c r="I21" s="43" t="str">
        <f>'Pod Library'!H23</f>
        <v>ON</v>
      </c>
      <c r="J21" s="43" t="str">
        <f>'Pod Library'!I23</f>
        <v>PT</v>
      </c>
      <c r="K21" s="9">
        <f>'Pod Library'!J23</f>
        <v>0.6</v>
      </c>
      <c r="L21" s="13">
        <f>'Pod Plan'!F5</f>
        <v>3</v>
      </c>
      <c r="M21" s="46">
        <f t="shared" si="0"/>
        <v>1.7999999999999998</v>
      </c>
      <c r="N21" s="46">
        <f>M21*INDEX('Logic Tree'!$J$85:$N$87,MATCH(I21,'Logic Tree'!$I$85:$I$87,0),MATCH(H21,'Logic Tree'!$J$84:$N$84,0))</f>
        <v>2.4299999999999997</v>
      </c>
    </row>
    <row r="22" spans="2:14" ht="15" customHeight="1">
      <c r="B22" s="19">
        <v>1</v>
      </c>
      <c r="C22" s="11" t="s">
        <v>465</v>
      </c>
      <c r="D22" s="35" t="s">
        <v>324</v>
      </c>
      <c r="E22" s="35" t="s">
        <v>465</v>
      </c>
      <c r="F22" s="49" t="str">
        <f>'Pod Library'!E24</f>
        <v>Business Analyst (bilingual)</v>
      </c>
      <c r="G22" s="43" t="str">
        <f>'Pod Library'!F24</f>
        <v>BSA</v>
      </c>
      <c r="H22" s="43" t="str">
        <f>'Pod Library'!G24</f>
        <v>E3</v>
      </c>
      <c r="I22" s="43" t="str">
        <f>'Pod Library'!H24</f>
        <v>ON</v>
      </c>
      <c r="J22" s="43" t="str">
        <f>'Pod Library'!I24</f>
        <v>FTC</v>
      </c>
      <c r="K22" s="9">
        <f>'Pod Library'!J24</f>
        <v>0.5</v>
      </c>
      <c r="L22" s="13">
        <f>'Pod Plan'!F5</f>
        <v>3</v>
      </c>
      <c r="M22" s="46">
        <f t="shared" si="0"/>
        <v>1.5</v>
      </c>
      <c r="N22" s="46">
        <f>M22*INDEX('Logic Tree'!$J$85:$N$87,MATCH(I22,'Logic Tree'!$I$85:$I$87,0),MATCH(H22,'Logic Tree'!$J$84:$N$84,0))</f>
        <v>2.0250000000000004</v>
      </c>
    </row>
    <row r="23" spans="2:14" ht="15" customHeight="1">
      <c r="B23" s="19">
        <v>1</v>
      </c>
      <c r="C23" s="11" t="s">
        <v>465</v>
      </c>
      <c r="D23" s="35" t="s">
        <v>324</v>
      </c>
      <c r="E23" s="35" t="s">
        <v>465</v>
      </c>
      <c r="F23" s="49" t="str">
        <f>'Pod Library'!E25</f>
        <v>Team lead / technical lead</v>
      </c>
      <c r="G23" s="43" t="str">
        <f>'Pod Library'!F25</f>
        <v>DEV</v>
      </c>
      <c r="H23" s="43" t="str">
        <f>'Pod Library'!G25</f>
        <v>E4</v>
      </c>
      <c r="I23" s="43" t="str">
        <f>'Pod Library'!H25</f>
        <v>ON</v>
      </c>
      <c r="J23" s="43" t="str">
        <f>'Pod Library'!I25</f>
        <v>FTC</v>
      </c>
      <c r="K23" s="9">
        <f>'Pod Library'!J25</f>
        <v>0.5</v>
      </c>
      <c r="L23" s="13">
        <f>'Pod Plan'!F5</f>
        <v>3</v>
      </c>
      <c r="M23" s="46">
        <f t="shared" si="0"/>
        <v>1.5</v>
      </c>
      <c r="N23" s="46">
        <f>M23*INDEX('Logic Tree'!$J$85:$N$87,MATCH(I23,'Logic Tree'!$I$85:$I$87,0),MATCH(H23,'Logic Tree'!$J$84:$N$84,0))</f>
        <v>2.7750000000000004</v>
      </c>
    </row>
    <row r="24" spans="2:14" ht="15" customHeight="1">
      <c r="B24" s="19">
        <v>1</v>
      </c>
      <c r="C24" s="11" t="s">
        <v>465</v>
      </c>
      <c r="D24" s="35" t="s">
        <v>324</v>
      </c>
      <c r="E24" s="35" t="s">
        <v>465</v>
      </c>
      <c r="F24" s="49" t="str">
        <f>'Pod Library'!E26</f>
        <v>Workflow Developer</v>
      </c>
      <c r="G24" s="43" t="str">
        <f>'Pod Library'!F26</f>
        <v>DEV</v>
      </c>
      <c r="H24" s="43" t="str">
        <f>'Pod Library'!G26</f>
        <v>E3</v>
      </c>
      <c r="I24" s="43" t="str">
        <f>'Pod Library'!H26</f>
        <v>ON</v>
      </c>
      <c r="J24" s="43" t="str">
        <f>'Pod Library'!I26</f>
        <v>FTC</v>
      </c>
      <c r="K24" s="9">
        <f>'Pod Library'!J26</f>
        <v>1.8</v>
      </c>
      <c r="L24" s="13">
        <f>'Pod Plan'!F5</f>
        <v>3</v>
      </c>
      <c r="M24" s="46">
        <f t="shared" si="0"/>
        <v>5.4</v>
      </c>
      <c r="N24" s="46">
        <f>M24*INDEX('Logic Tree'!$J$85:$N$87,MATCH(I24,'Logic Tree'!$I$85:$I$87,0),MATCH(H24,'Logic Tree'!$J$84:$N$84,0))</f>
        <v>7.2900000000000009</v>
      </c>
    </row>
    <row r="25" spans="2:14" ht="15" customHeight="1">
      <c r="B25" s="19">
        <v>1</v>
      </c>
      <c r="C25" s="11" t="s">
        <v>465</v>
      </c>
      <c r="D25" s="35" t="s">
        <v>324</v>
      </c>
      <c r="E25" s="35" t="s">
        <v>465</v>
      </c>
      <c r="F25" s="49" t="str">
        <f>'Pod Library'!E27</f>
        <v>Workflow Developer</v>
      </c>
      <c r="G25" s="43" t="str">
        <f>'Pod Library'!F27</f>
        <v>DEV</v>
      </c>
      <c r="H25" s="43" t="str">
        <f>'Pod Library'!G27</f>
        <v>E2</v>
      </c>
      <c r="I25" s="43" t="str">
        <f>'Pod Library'!H27</f>
        <v>ON</v>
      </c>
      <c r="J25" s="43" t="str">
        <f>'Pod Library'!I27</f>
        <v>FTC</v>
      </c>
      <c r="K25" s="9">
        <f>'Pod Library'!J27</f>
        <v>1.1000000000000001</v>
      </c>
      <c r="L25" s="13">
        <f>'Pod Plan'!F5</f>
        <v>3</v>
      </c>
      <c r="M25" s="46">
        <f t="shared" si="0"/>
        <v>3.3000000000000003</v>
      </c>
      <c r="N25" s="46">
        <f>M25*INDEX('Logic Tree'!$J$85:$N$87,MATCH(I25,'Logic Tree'!$I$85:$I$87,0),MATCH(H25,'Logic Tree'!$J$84:$N$84,0))</f>
        <v>3.3000000000000003</v>
      </c>
    </row>
    <row r="26" spans="2:14" ht="15" customHeight="1">
      <c r="B26" s="19">
        <v>1</v>
      </c>
      <c r="C26" s="11" t="s">
        <v>465</v>
      </c>
      <c r="D26" s="35" t="s">
        <v>324</v>
      </c>
      <c r="E26" s="35" t="s">
        <v>465</v>
      </c>
      <c r="F26" s="49" t="str">
        <f>'Pod Library'!E28</f>
        <v>Workflow Developer</v>
      </c>
      <c r="G26" s="43" t="str">
        <f>'Pod Library'!F28</f>
        <v>DEV</v>
      </c>
      <c r="H26" s="43" t="str">
        <f>'Pod Library'!G28</f>
        <v>E3</v>
      </c>
      <c r="I26" s="43" t="str">
        <f>'Pod Library'!H28</f>
        <v>OFF</v>
      </c>
      <c r="J26" s="43" t="str">
        <f>'Pod Library'!I28</f>
        <v>FTC</v>
      </c>
      <c r="K26" s="9">
        <f>'Pod Library'!J28</f>
        <v>0.2</v>
      </c>
      <c r="L26" s="13">
        <f>'Pod Plan'!F5</f>
        <v>3</v>
      </c>
      <c r="M26" s="46">
        <f t="shared" si="0"/>
        <v>0.60000000000000009</v>
      </c>
      <c r="N26" s="46">
        <f>M26*INDEX('Logic Tree'!$J$85:$N$87,MATCH(I26,'Logic Tree'!$I$85:$I$87,0),MATCH(H26,'Logic Tree'!$J$84:$N$84,0))</f>
        <v>0.252</v>
      </c>
    </row>
    <row r="27" spans="2:14" ht="15" customHeight="1">
      <c r="B27" s="19">
        <v>1</v>
      </c>
      <c r="C27" s="11" t="s">
        <v>465</v>
      </c>
      <c r="D27" s="35" t="s">
        <v>324</v>
      </c>
      <c r="E27" s="35" t="s">
        <v>465</v>
      </c>
      <c r="F27" s="49" t="str">
        <f>'Pod Library'!E29</f>
        <v>Test Engineer</v>
      </c>
      <c r="G27" s="43" t="str">
        <f>'Pod Library'!F29</f>
        <v>TEST</v>
      </c>
      <c r="H27" s="43" t="str">
        <f>'Pod Library'!G29</f>
        <v>E2</v>
      </c>
      <c r="I27" s="43" t="str">
        <f>'Pod Library'!H29</f>
        <v>ON</v>
      </c>
      <c r="J27" s="43" t="str">
        <f>'Pod Library'!I29</f>
        <v>FTC</v>
      </c>
      <c r="K27" s="9">
        <f>'Pod Library'!J29</f>
        <v>1.5</v>
      </c>
      <c r="L27" s="13">
        <f>'Pod Plan'!F5</f>
        <v>3</v>
      </c>
      <c r="M27" s="46">
        <f t="shared" si="0"/>
        <v>4.5</v>
      </c>
      <c r="N27" s="46">
        <f>M27*INDEX('Logic Tree'!$J$85:$N$87,MATCH(I27,'Logic Tree'!$I$85:$I$87,0),MATCH(H27,'Logic Tree'!$J$84:$N$84,0))</f>
        <v>4.5</v>
      </c>
    </row>
    <row r="28" spans="2:14" ht="15" customHeight="1">
      <c r="B28" s="19">
        <v>1</v>
      </c>
      <c r="C28" s="11" t="s">
        <v>465</v>
      </c>
      <c r="D28" s="35" t="s">
        <v>324</v>
      </c>
      <c r="E28" s="35" t="s">
        <v>465</v>
      </c>
      <c r="F28" s="49" t="str">
        <f>'Pod Library'!E30</f>
        <v>Test Engineer</v>
      </c>
      <c r="G28" s="43" t="str">
        <f>'Pod Library'!F30</f>
        <v>TEST</v>
      </c>
      <c r="H28" s="43" t="str">
        <f>'Pod Library'!G30</f>
        <v>E2</v>
      </c>
      <c r="I28" s="43" t="str">
        <f>'Pod Library'!H30</f>
        <v>OFF</v>
      </c>
      <c r="J28" s="43" t="str">
        <f>'Pod Library'!I30</f>
        <v>FTC</v>
      </c>
      <c r="K28" s="9">
        <f>'Pod Library'!J30</f>
        <v>0</v>
      </c>
      <c r="L28" s="13">
        <f>'Pod Plan'!F5</f>
        <v>3</v>
      </c>
      <c r="M28" s="46">
        <f t="shared" si="0"/>
        <v>0</v>
      </c>
      <c r="N28" s="46">
        <f>M28*INDEX('Logic Tree'!$J$85:$N$87,MATCH(I28,'Logic Tree'!$I$85:$I$87,0),MATCH(H28,'Logic Tree'!$J$84:$N$84,0))</f>
        <v>0</v>
      </c>
    </row>
    <row r="29" spans="2:14" ht="15" customHeight="1">
      <c r="B29" s="19">
        <v>1</v>
      </c>
      <c r="C29" s="11" t="s">
        <v>465</v>
      </c>
      <c r="D29" s="35" t="s">
        <v>324</v>
      </c>
      <c r="E29" s="35" t="s">
        <v>465</v>
      </c>
      <c r="F29" s="49" t="str">
        <f>'Pod Library'!E31</f>
        <v>Application Support</v>
      </c>
      <c r="G29" s="43" t="str">
        <f>'Pod Library'!F31</f>
        <v>MNT</v>
      </c>
      <c r="H29" s="43" t="str">
        <f>'Pod Library'!G31</f>
        <v>E2</v>
      </c>
      <c r="I29" s="43" t="str">
        <f>'Pod Library'!H31</f>
        <v>ON</v>
      </c>
      <c r="J29" s="43" t="str">
        <f>'Pod Library'!I31</f>
        <v>FTC</v>
      </c>
      <c r="K29" s="9">
        <f>'Pod Library'!J31</f>
        <v>0</v>
      </c>
      <c r="L29" s="13">
        <f>'Pod Plan'!F5</f>
        <v>3</v>
      </c>
      <c r="M29" s="46">
        <f t="shared" si="0"/>
        <v>0</v>
      </c>
      <c r="N29" s="46">
        <f>M29*INDEX('Logic Tree'!$J$85:$N$87,MATCH(I29,'Logic Tree'!$I$85:$I$87,0),MATCH(H29,'Logic Tree'!$J$84:$N$84,0))</f>
        <v>0</v>
      </c>
    </row>
    <row r="30" spans="2:14" ht="15" customHeight="1">
      <c r="B30" s="19">
        <v>1</v>
      </c>
      <c r="C30" s="11" t="s">
        <v>465</v>
      </c>
      <c r="D30" s="35" t="s">
        <v>324</v>
      </c>
      <c r="E30" s="35" t="s">
        <v>465</v>
      </c>
      <c r="F30" s="49" t="str">
        <f>'Pod Library'!E32</f>
        <v>Solution Architect</v>
      </c>
      <c r="G30" s="43" t="str">
        <f>'Pod Library'!F32</f>
        <v>OTH</v>
      </c>
      <c r="H30" s="43" t="str">
        <f>'Pod Library'!G32</f>
        <v>E4</v>
      </c>
      <c r="I30" s="43" t="str">
        <f>'Pod Library'!H32</f>
        <v>ON</v>
      </c>
      <c r="J30" s="43" t="str">
        <f>'Pod Library'!I32</f>
        <v>FTC</v>
      </c>
      <c r="K30" s="9">
        <f>'Pod Library'!J32</f>
        <v>0</v>
      </c>
      <c r="L30" s="13">
        <f>'Pod Plan'!F5</f>
        <v>3</v>
      </c>
      <c r="M30" s="46">
        <f t="shared" si="0"/>
        <v>0</v>
      </c>
      <c r="N30" s="46">
        <f>M30*INDEX('Logic Tree'!$J$85:$N$87,MATCH(I30,'Logic Tree'!$I$85:$I$87,0),MATCH(H30,'Logic Tree'!$J$84:$N$84,0))</f>
        <v>0</v>
      </c>
    </row>
    <row r="31" spans="2:14" ht="15" customHeight="1">
      <c r="B31" s="19">
        <v>1</v>
      </c>
      <c r="C31" s="11" t="s">
        <v>465</v>
      </c>
      <c r="D31" s="35" t="s">
        <v>325</v>
      </c>
      <c r="E31" s="35" t="s">
        <v>465</v>
      </c>
      <c r="F31" s="49" t="str">
        <f>'Pod Library'!E19</f>
        <v>MetLife Product Owner</v>
      </c>
      <c r="G31" s="43" t="str">
        <f>'Pod Library'!F19</f>
        <v>PM</v>
      </c>
      <c r="H31" s="43" t="str">
        <f>'Pod Library'!G19</f>
        <v>E4</v>
      </c>
      <c r="I31" s="43" t="str">
        <f>'Pod Library'!H19</f>
        <v>ON</v>
      </c>
      <c r="J31" s="43" t="str">
        <f>'Pod Library'!I19</f>
        <v>FTE</v>
      </c>
      <c r="K31" s="9">
        <f>'Pod Library'!J19</f>
        <v>1.2</v>
      </c>
      <c r="L31" s="13">
        <f>'Pod Plan'!F6</f>
        <v>2</v>
      </c>
      <c r="M31" s="46">
        <f t="shared" si="0"/>
        <v>2.4</v>
      </c>
      <c r="N31" s="46">
        <f>M31*INDEX('Logic Tree'!$J$85:$N$87,MATCH(I31,'Logic Tree'!$I$85:$I$87,0),MATCH(H31,'Logic Tree'!$J$84:$N$84,0))</f>
        <v>4.4400000000000004</v>
      </c>
    </row>
    <row r="32" spans="2:14" ht="15" customHeight="1">
      <c r="B32" s="19">
        <v>1</v>
      </c>
      <c r="C32" s="11" t="s">
        <v>465</v>
      </c>
      <c r="D32" s="35" t="s">
        <v>325</v>
      </c>
      <c r="E32" s="35" t="s">
        <v>465</v>
      </c>
      <c r="F32" s="49" t="str">
        <f>'Pod Library'!E20</f>
        <v>MetLife Servicing SME</v>
      </c>
      <c r="G32" s="43" t="str">
        <f>'Pod Library'!F20</f>
        <v>BSA</v>
      </c>
      <c r="H32" s="43" t="str">
        <f>'Pod Library'!G20</f>
        <v>E4</v>
      </c>
      <c r="I32" s="43" t="str">
        <f>'Pod Library'!H20</f>
        <v>ON</v>
      </c>
      <c r="J32" s="43" t="str">
        <f>'Pod Library'!I20</f>
        <v>FTE</v>
      </c>
      <c r="K32" s="9">
        <f>'Pod Library'!J20</f>
        <v>0.9</v>
      </c>
      <c r="L32" s="13">
        <f>'Pod Plan'!F6</f>
        <v>2</v>
      </c>
      <c r="M32" s="46">
        <f t="shared" si="0"/>
        <v>1.8</v>
      </c>
      <c r="N32" s="46">
        <f>M32*INDEX('Logic Tree'!$J$85:$N$87,MATCH(I32,'Logic Tree'!$I$85:$I$87,0),MATCH(H32,'Logic Tree'!$J$84:$N$84,0))</f>
        <v>3.33</v>
      </c>
    </row>
    <row r="33" spans="2:14" ht="15" customHeight="1">
      <c r="B33" s="19">
        <v>1</v>
      </c>
      <c r="C33" s="11" t="s">
        <v>465</v>
      </c>
      <c r="D33" s="35" t="s">
        <v>325</v>
      </c>
      <c r="E33" s="35" t="s">
        <v>465</v>
      </c>
      <c r="F33" s="49" t="str">
        <f>'Pod Library'!E21</f>
        <v>MetLife Operations Analyst</v>
      </c>
      <c r="G33" s="43" t="str">
        <f>'Pod Library'!F21</f>
        <v>MNT</v>
      </c>
      <c r="H33" s="43" t="str">
        <f>'Pod Library'!G21</f>
        <v>E3</v>
      </c>
      <c r="I33" s="43" t="str">
        <f>'Pod Library'!H21</f>
        <v>ON</v>
      </c>
      <c r="J33" s="43" t="str">
        <f>'Pod Library'!I21</f>
        <v>FTE</v>
      </c>
      <c r="K33" s="9">
        <f>'Pod Library'!J21</f>
        <v>0.9</v>
      </c>
      <c r="L33" s="13">
        <f>'Pod Plan'!F6</f>
        <v>2</v>
      </c>
      <c r="M33" s="46">
        <f t="shared" si="0"/>
        <v>1.8</v>
      </c>
      <c r="N33" s="46">
        <f>M33*INDEX('Logic Tree'!$J$85:$N$87,MATCH(I33,'Logic Tree'!$I$85:$I$87,0),MATCH(H33,'Logic Tree'!$J$84:$N$84,0))</f>
        <v>2.4300000000000002</v>
      </c>
    </row>
    <row r="34" spans="2:14" ht="15" customHeight="1">
      <c r="B34" s="19">
        <v>1</v>
      </c>
      <c r="C34" s="11" t="s">
        <v>465</v>
      </c>
      <c r="D34" s="35" t="s">
        <v>325</v>
      </c>
      <c r="E34" s="35" t="s">
        <v>465</v>
      </c>
      <c r="F34" s="49" t="str">
        <f>'Pod Library'!E22</f>
        <v>FSI Senior Developer (JP)</v>
      </c>
      <c r="G34" s="43" t="str">
        <f>'Pod Library'!F22</f>
        <v>DEV</v>
      </c>
      <c r="H34" s="43" t="str">
        <f>'Pod Library'!G22</f>
        <v>E3</v>
      </c>
      <c r="I34" s="43" t="str">
        <f>'Pod Library'!H22</f>
        <v>ON</v>
      </c>
      <c r="J34" s="43" t="str">
        <f>'Pod Library'!I22</f>
        <v>PT</v>
      </c>
      <c r="K34" s="9">
        <f>'Pod Library'!J22</f>
        <v>1.8</v>
      </c>
      <c r="L34" s="13">
        <f>'Pod Plan'!F6</f>
        <v>2</v>
      </c>
      <c r="M34" s="46">
        <f t="shared" si="0"/>
        <v>3.6</v>
      </c>
      <c r="N34" s="46">
        <f>M34*INDEX('Logic Tree'!$J$85:$N$87,MATCH(I34,'Logic Tree'!$I$85:$I$87,0),MATCH(H34,'Logic Tree'!$J$84:$N$84,0))</f>
        <v>4.8600000000000003</v>
      </c>
    </row>
    <row r="35" spans="2:14" ht="15" customHeight="1">
      <c r="B35" s="19">
        <v>1</v>
      </c>
      <c r="C35" s="11" t="s">
        <v>465</v>
      </c>
      <c r="D35" s="35" t="s">
        <v>325</v>
      </c>
      <c r="E35" s="35" t="s">
        <v>465</v>
      </c>
      <c r="F35" s="49" t="str">
        <f>'Pod Library'!E23</f>
        <v>FSI Business Analyst (JP)</v>
      </c>
      <c r="G35" s="43" t="str">
        <f>'Pod Library'!F23</f>
        <v>BSA</v>
      </c>
      <c r="H35" s="43" t="str">
        <f>'Pod Library'!G23</f>
        <v>E3</v>
      </c>
      <c r="I35" s="43" t="str">
        <f>'Pod Library'!H23</f>
        <v>ON</v>
      </c>
      <c r="J35" s="43" t="str">
        <f>'Pod Library'!I23</f>
        <v>PT</v>
      </c>
      <c r="K35" s="9">
        <f>'Pod Library'!J23</f>
        <v>0.6</v>
      </c>
      <c r="L35" s="13">
        <f>'Pod Plan'!F6</f>
        <v>2</v>
      </c>
      <c r="M35" s="46">
        <f t="shared" si="0"/>
        <v>1.2</v>
      </c>
      <c r="N35" s="46">
        <f>M35*INDEX('Logic Tree'!$J$85:$N$87,MATCH(I35,'Logic Tree'!$I$85:$I$87,0),MATCH(H35,'Logic Tree'!$J$84:$N$84,0))</f>
        <v>1.62</v>
      </c>
    </row>
    <row r="36" spans="2:14" ht="15" customHeight="1">
      <c r="B36" s="19">
        <v>1</v>
      </c>
      <c r="C36" s="11" t="s">
        <v>465</v>
      </c>
      <c r="D36" s="35" t="s">
        <v>325</v>
      </c>
      <c r="E36" s="35" t="s">
        <v>465</v>
      </c>
      <c r="F36" s="49" t="str">
        <f>'Pod Library'!E24</f>
        <v>Business Analyst (bilingual)</v>
      </c>
      <c r="G36" s="43" t="str">
        <f>'Pod Library'!F24</f>
        <v>BSA</v>
      </c>
      <c r="H36" s="43" t="str">
        <f>'Pod Library'!G24</f>
        <v>E3</v>
      </c>
      <c r="I36" s="43" t="str">
        <f>'Pod Library'!H24</f>
        <v>ON</v>
      </c>
      <c r="J36" s="43" t="str">
        <f>'Pod Library'!I24</f>
        <v>FTC</v>
      </c>
      <c r="K36" s="9">
        <f>'Pod Library'!J24</f>
        <v>0.5</v>
      </c>
      <c r="L36" s="13">
        <f>'Pod Plan'!F6</f>
        <v>2</v>
      </c>
      <c r="M36" s="46">
        <f t="shared" si="0"/>
        <v>1</v>
      </c>
      <c r="N36" s="46">
        <f>M36*INDEX('Logic Tree'!$J$85:$N$87,MATCH(I36,'Logic Tree'!$I$85:$I$87,0),MATCH(H36,'Logic Tree'!$J$84:$N$84,0))</f>
        <v>1.35</v>
      </c>
    </row>
    <row r="37" spans="2:14" ht="15" customHeight="1">
      <c r="B37" s="19">
        <v>1</v>
      </c>
      <c r="C37" s="11" t="s">
        <v>465</v>
      </c>
      <c r="D37" s="35" t="s">
        <v>325</v>
      </c>
      <c r="E37" s="35" t="s">
        <v>465</v>
      </c>
      <c r="F37" s="49" t="str">
        <f>'Pod Library'!E25</f>
        <v>Team lead / technical lead</v>
      </c>
      <c r="G37" s="43" t="str">
        <f>'Pod Library'!F25</f>
        <v>DEV</v>
      </c>
      <c r="H37" s="43" t="str">
        <f>'Pod Library'!G25</f>
        <v>E4</v>
      </c>
      <c r="I37" s="43" t="str">
        <f>'Pod Library'!H25</f>
        <v>ON</v>
      </c>
      <c r="J37" s="43" t="str">
        <f>'Pod Library'!I25</f>
        <v>FTC</v>
      </c>
      <c r="K37" s="9">
        <f>'Pod Library'!J25</f>
        <v>0.5</v>
      </c>
      <c r="L37" s="13">
        <f>'Pod Plan'!F6</f>
        <v>2</v>
      </c>
      <c r="M37" s="46">
        <f t="shared" si="0"/>
        <v>1</v>
      </c>
      <c r="N37" s="46">
        <f>M37*INDEX('Logic Tree'!$J$85:$N$87,MATCH(I37,'Logic Tree'!$I$85:$I$87,0),MATCH(H37,'Logic Tree'!$J$84:$N$84,0))</f>
        <v>1.85</v>
      </c>
    </row>
    <row r="38" spans="2:14" ht="15" customHeight="1">
      <c r="B38" s="19">
        <v>1</v>
      </c>
      <c r="C38" s="11" t="s">
        <v>465</v>
      </c>
      <c r="D38" s="35" t="s">
        <v>325</v>
      </c>
      <c r="E38" s="35" t="s">
        <v>465</v>
      </c>
      <c r="F38" s="49" t="str">
        <f>'Pod Library'!E26</f>
        <v>Workflow Developer</v>
      </c>
      <c r="G38" s="43" t="str">
        <f>'Pod Library'!F26</f>
        <v>DEV</v>
      </c>
      <c r="H38" s="43" t="str">
        <f>'Pod Library'!G26</f>
        <v>E3</v>
      </c>
      <c r="I38" s="43" t="str">
        <f>'Pod Library'!H26</f>
        <v>ON</v>
      </c>
      <c r="J38" s="43" t="str">
        <f>'Pod Library'!I26</f>
        <v>FTC</v>
      </c>
      <c r="K38" s="9">
        <f>'Pod Library'!J26</f>
        <v>1.8</v>
      </c>
      <c r="L38" s="13">
        <f>'Pod Plan'!F6</f>
        <v>2</v>
      </c>
      <c r="M38" s="46">
        <f t="shared" si="0"/>
        <v>3.6</v>
      </c>
      <c r="N38" s="46">
        <f>M38*INDEX('Logic Tree'!$J$85:$N$87,MATCH(I38,'Logic Tree'!$I$85:$I$87,0),MATCH(H38,'Logic Tree'!$J$84:$N$84,0))</f>
        <v>4.8600000000000003</v>
      </c>
    </row>
    <row r="39" spans="2:14" ht="15" customHeight="1">
      <c r="B39" s="19">
        <v>1</v>
      </c>
      <c r="C39" s="11" t="s">
        <v>465</v>
      </c>
      <c r="D39" s="35" t="s">
        <v>325</v>
      </c>
      <c r="E39" s="35" t="s">
        <v>465</v>
      </c>
      <c r="F39" s="49" t="str">
        <f>'Pod Library'!E27</f>
        <v>Workflow Developer</v>
      </c>
      <c r="G39" s="43" t="str">
        <f>'Pod Library'!F27</f>
        <v>DEV</v>
      </c>
      <c r="H39" s="43" t="str">
        <f>'Pod Library'!G27</f>
        <v>E2</v>
      </c>
      <c r="I39" s="43" t="str">
        <f>'Pod Library'!H27</f>
        <v>ON</v>
      </c>
      <c r="J39" s="43" t="str">
        <f>'Pod Library'!I27</f>
        <v>FTC</v>
      </c>
      <c r="K39" s="9">
        <f>'Pod Library'!J27</f>
        <v>1.1000000000000001</v>
      </c>
      <c r="L39" s="13">
        <f>'Pod Plan'!F6</f>
        <v>2</v>
      </c>
      <c r="M39" s="46">
        <f t="shared" si="0"/>
        <v>2.2000000000000002</v>
      </c>
      <c r="N39" s="46">
        <f>M39*INDEX('Logic Tree'!$J$85:$N$87,MATCH(I39,'Logic Tree'!$I$85:$I$87,0),MATCH(H39,'Logic Tree'!$J$84:$N$84,0))</f>
        <v>2.2000000000000002</v>
      </c>
    </row>
    <row r="40" spans="2:14" ht="15" customHeight="1">
      <c r="B40" s="19">
        <v>1</v>
      </c>
      <c r="C40" s="11" t="s">
        <v>465</v>
      </c>
      <c r="D40" s="35" t="s">
        <v>325</v>
      </c>
      <c r="E40" s="35" t="s">
        <v>465</v>
      </c>
      <c r="F40" s="49" t="str">
        <f>'Pod Library'!E28</f>
        <v>Workflow Developer</v>
      </c>
      <c r="G40" s="43" t="str">
        <f>'Pod Library'!F28</f>
        <v>DEV</v>
      </c>
      <c r="H40" s="43" t="str">
        <f>'Pod Library'!G28</f>
        <v>E3</v>
      </c>
      <c r="I40" s="43" t="str">
        <f>'Pod Library'!H28</f>
        <v>OFF</v>
      </c>
      <c r="J40" s="43" t="str">
        <f>'Pod Library'!I28</f>
        <v>FTC</v>
      </c>
      <c r="K40" s="9">
        <f>'Pod Library'!J28</f>
        <v>0.2</v>
      </c>
      <c r="L40" s="13">
        <f>'Pod Plan'!F6</f>
        <v>2</v>
      </c>
      <c r="M40" s="46">
        <f t="shared" si="0"/>
        <v>0.4</v>
      </c>
      <c r="N40" s="46">
        <f>M40*INDEX('Logic Tree'!$J$85:$N$87,MATCH(I40,'Logic Tree'!$I$85:$I$87,0),MATCH(H40,'Logic Tree'!$J$84:$N$84,0))</f>
        <v>0.16800000000000001</v>
      </c>
    </row>
    <row r="41" spans="2:14" ht="15" customHeight="1">
      <c r="B41" s="19">
        <v>1</v>
      </c>
      <c r="C41" s="11" t="s">
        <v>465</v>
      </c>
      <c r="D41" s="35" t="s">
        <v>325</v>
      </c>
      <c r="E41" s="35" t="s">
        <v>465</v>
      </c>
      <c r="F41" s="49" t="str">
        <f>'Pod Library'!E29</f>
        <v>Test Engineer</v>
      </c>
      <c r="G41" s="43" t="str">
        <f>'Pod Library'!F29</f>
        <v>TEST</v>
      </c>
      <c r="H41" s="43" t="str">
        <f>'Pod Library'!G29</f>
        <v>E2</v>
      </c>
      <c r="I41" s="43" t="str">
        <f>'Pod Library'!H29</f>
        <v>ON</v>
      </c>
      <c r="J41" s="43" t="str">
        <f>'Pod Library'!I29</f>
        <v>FTC</v>
      </c>
      <c r="K41" s="9">
        <f>'Pod Library'!J29</f>
        <v>1.5</v>
      </c>
      <c r="L41" s="13">
        <f>'Pod Plan'!F6</f>
        <v>2</v>
      </c>
      <c r="M41" s="46">
        <f t="shared" si="0"/>
        <v>3</v>
      </c>
      <c r="N41" s="46">
        <f>M41*INDEX('Logic Tree'!$J$85:$N$87,MATCH(I41,'Logic Tree'!$I$85:$I$87,0),MATCH(H41,'Logic Tree'!$J$84:$N$84,0))</f>
        <v>3</v>
      </c>
    </row>
    <row r="42" spans="2:14" ht="15" customHeight="1">
      <c r="B42" s="19">
        <v>1</v>
      </c>
      <c r="C42" s="11" t="s">
        <v>465</v>
      </c>
      <c r="D42" s="35" t="s">
        <v>325</v>
      </c>
      <c r="E42" s="35" t="s">
        <v>465</v>
      </c>
      <c r="F42" s="49" t="str">
        <f>'Pod Library'!E30</f>
        <v>Test Engineer</v>
      </c>
      <c r="G42" s="43" t="str">
        <f>'Pod Library'!F30</f>
        <v>TEST</v>
      </c>
      <c r="H42" s="43" t="str">
        <f>'Pod Library'!G30</f>
        <v>E2</v>
      </c>
      <c r="I42" s="43" t="str">
        <f>'Pod Library'!H30</f>
        <v>OFF</v>
      </c>
      <c r="J42" s="43" t="str">
        <f>'Pod Library'!I30</f>
        <v>FTC</v>
      </c>
      <c r="K42" s="9">
        <f>'Pod Library'!J30</f>
        <v>0</v>
      </c>
      <c r="L42" s="13">
        <f>'Pod Plan'!F6</f>
        <v>2</v>
      </c>
      <c r="M42" s="46">
        <f t="shared" si="0"/>
        <v>0</v>
      </c>
      <c r="N42" s="46">
        <f>M42*INDEX('Logic Tree'!$J$85:$N$87,MATCH(I42,'Logic Tree'!$I$85:$I$87,0),MATCH(H42,'Logic Tree'!$J$84:$N$84,0))</f>
        <v>0</v>
      </c>
    </row>
    <row r="43" spans="2:14" ht="15" customHeight="1">
      <c r="B43" s="19">
        <v>1</v>
      </c>
      <c r="C43" s="11" t="s">
        <v>465</v>
      </c>
      <c r="D43" s="35" t="s">
        <v>325</v>
      </c>
      <c r="E43" s="35" t="s">
        <v>465</v>
      </c>
      <c r="F43" s="49" t="str">
        <f>'Pod Library'!E31</f>
        <v>Application Support</v>
      </c>
      <c r="G43" s="43" t="str">
        <f>'Pod Library'!F31</f>
        <v>MNT</v>
      </c>
      <c r="H43" s="43" t="str">
        <f>'Pod Library'!G31</f>
        <v>E2</v>
      </c>
      <c r="I43" s="43" t="str">
        <f>'Pod Library'!H31</f>
        <v>ON</v>
      </c>
      <c r="J43" s="43" t="str">
        <f>'Pod Library'!I31</f>
        <v>FTC</v>
      </c>
      <c r="K43" s="9">
        <f>'Pod Library'!J31</f>
        <v>0</v>
      </c>
      <c r="L43" s="13">
        <f>'Pod Plan'!F6</f>
        <v>2</v>
      </c>
      <c r="M43" s="46">
        <f t="shared" si="0"/>
        <v>0</v>
      </c>
      <c r="N43" s="46">
        <f>M43*INDEX('Logic Tree'!$J$85:$N$87,MATCH(I43,'Logic Tree'!$I$85:$I$87,0),MATCH(H43,'Logic Tree'!$J$84:$N$84,0))</f>
        <v>0</v>
      </c>
    </row>
    <row r="44" spans="2:14" ht="15" customHeight="1">
      <c r="B44" s="19">
        <v>1</v>
      </c>
      <c r="C44" s="11" t="s">
        <v>465</v>
      </c>
      <c r="D44" s="35" t="s">
        <v>325</v>
      </c>
      <c r="E44" s="35" t="s">
        <v>465</v>
      </c>
      <c r="F44" s="49" t="str">
        <f>'Pod Library'!E32</f>
        <v>Solution Architect</v>
      </c>
      <c r="G44" s="43" t="str">
        <f>'Pod Library'!F32</f>
        <v>OTH</v>
      </c>
      <c r="H44" s="43" t="str">
        <f>'Pod Library'!G32</f>
        <v>E4</v>
      </c>
      <c r="I44" s="43" t="str">
        <f>'Pod Library'!H32</f>
        <v>ON</v>
      </c>
      <c r="J44" s="43" t="str">
        <f>'Pod Library'!I32</f>
        <v>FTC</v>
      </c>
      <c r="K44" s="9">
        <f>'Pod Library'!J32</f>
        <v>0</v>
      </c>
      <c r="L44" s="13">
        <f>'Pod Plan'!F6</f>
        <v>2</v>
      </c>
      <c r="M44" s="46">
        <f t="shared" si="0"/>
        <v>0</v>
      </c>
      <c r="N44" s="46">
        <f>M44*INDEX('Logic Tree'!$J$85:$N$87,MATCH(I44,'Logic Tree'!$I$85:$I$87,0),MATCH(H44,'Logic Tree'!$J$84:$N$84,0))</f>
        <v>0</v>
      </c>
    </row>
    <row r="45" spans="2:14" ht="15" customHeight="1">
      <c r="B45" s="19">
        <v>1</v>
      </c>
      <c r="C45" s="11" t="s">
        <v>744</v>
      </c>
      <c r="D45" s="43" t="str">
        <f>'Horizontal Teams'!C5</f>
        <v>H1</v>
      </c>
      <c r="E45" s="35" t="s">
        <v>744</v>
      </c>
      <c r="F45" s="49" t="str">
        <f>'Horizontal Teams'!E5</f>
        <v>Service Delivery Manager</v>
      </c>
      <c r="G45" s="43" t="str">
        <f>'Horizontal Teams'!D5</f>
        <v>PM</v>
      </c>
      <c r="H45" s="43" t="str">
        <f>'Horizontal Teams'!F5</f>
        <v>E5</v>
      </c>
      <c r="I45" s="43" t="str">
        <f>'Horizontal Teams'!G5</f>
        <v>ON</v>
      </c>
      <c r="J45" s="43" t="str">
        <f>'Horizontal Teams'!H5</f>
        <v>FTC</v>
      </c>
      <c r="K45" s="9">
        <f>'Horizontal Teams'!I5</f>
        <v>1</v>
      </c>
      <c r="L45" s="19">
        <v>1</v>
      </c>
      <c r="M45" s="46">
        <f t="shared" si="0"/>
        <v>1</v>
      </c>
      <c r="N45" s="46">
        <f>M45*INDEX('Logic Tree'!$J$85:$N$87,MATCH(I45,'Logic Tree'!$I$85:$I$87,0),MATCH(H45,'Logic Tree'!$J$84:$N$84,0))</f>
        <v>2.5499999999999998</v>
      </c>
    </row>
    <row r="46" spans="2:14" ht="15" customHeight="1">
      <c r="B46" s="19">
        <v>1</v>
      </c>
      <c r="C46" s="11" t="s">
        <v>744</v>
      </c>
      <c r="D46" s="43" t="str">
        <f>'Horizontal Teams'!C6</f>
        <v>H1</v>
      </c>
      <c r="E46" s="35" t="s">
        <v>744</v>
      </c>
      <c r="F46" s="49" t="str">
        <f>'Horizontal Teams'!E6</f>
        <v>Incident &amp; Problem Analyst</v>
      </c>
      <c r="G46" s="43" t="str">
        <f>'Horizontal Teams'!D6</f>
        <v>MNT</v>
      </c>
      <c r="H46" s="43" t="str">
        <f>'Horizontal Teams'!F6</f>
        <v>E3</v>
      </c>
      <c r="I46" s="43" t="str">
        <f>'Horizontal Teams'!G6</f>
        <v>ON</v>
      </c>
      <c r="J46" s="43" t="str">
        <f>'Horizontal Teams'!H6</f>
        <v>FTC</v>
      </c>
      <c r="K46" s="9">
        <f>'Horizontal Teams'!I6</f>
        <v>2</v>
      </c>
      <c r="L46" s="19">
        <v>1</v>
      </c>
      <c r="M46" s="46">
        <f t="shared" si="0"/>
        <v>2</v>
      </c>
      <c r="N46" s="46">
        <f>M46*INDEX('Logic Tree'!$J$85:$N$87,MATCH(I46,'Logic Tree'!$I$85:$I$87,0),MATCH(H46,'Logic Tree'!$J$84:$N$84,0))</f>
        <v>2.7</v>
      </c>
    </row>
    <row r="47" spans="2:14" ht="15" customHeight="1">
      <c r="B47" s="19">
        <v>1</v>
      </c>
      <c r="C47" s="11" t="s">
        <v>744</v>
      </c>
      <c r="D47" s="43" t="str">
        <f>'Horizontal Teams'!C7</f>
        <v>H1</v>
      </c>
      <c r="E47" s="35" t="s">
        <v>744</v>
      </c>
      <c r="F47" s="49" t="str">
        <f>'Horizontal Teams'!E7</f>
        <v>L2 Application Support</v>
      </c>
      <c r="G47" s="43" t="str">
        <f>'Horizontal Teams'!D7</f>
        <v>MNT</v>
      </c>
      <c r="H47" s="43" t="str">
        <f>'Horizontal Teams'!F7</f>
        <v>E2</v>
      </c>
      <c r="I47" s="43" t="str">
        <f>'Horizontal Teams'!G7</f>
        <v>OFF</v>
      </c>
      <c r="J47" s="43" t="str">
        <f>'Horizontal Teams'!H7</f>
        <v>FTC</v>
      </c>
      <c r="K47" s="9">
        <f>'Horizontal Teams'!I7</f>
        <v>0.5</v>
      </c>
      <c r="L47" s="19">
        <v>1</v>
      </c>
      <c r="M47" s="46">
        <f t="shared" si="0"/>
        <v>0.5</v>
      </c>
      <c r="N47" s="46">
        <f>M47*INDEX('Logic Tree'!$J$85:$N$87,MATCH(I47,'Logic Tree'!$I$85:$I$87,0),MATCH(H47,'Logic Tree'!$J$84:$N$84,0))</f>
        <v>0.15</v>
      </c>
    </row>
    <row r="48" spans="2:14" ht="15" customHeight="1">
      <c r="B48" s="19">
        <v>1</v>
      </c>
      <c r="C48" s="11" t="s">
        <v>744</v>
      </c>
      <c r="D48" s="43" t="str">
        <f>'Horizontal Teams'!C8</f>
        <v>H1</v>
      </c>
      <c r="E48" s="35" t="s">
        <v>744</v>
      </c>
      <c r="F48" s="49" t="str">
        <f>'Horizontal Teams'!E8</f>
        <v>Observability / AIOps Engineer</v>
      </c>
      <c r="G48" s="43" t="str">
        <f>'Horizontal Teams'!D8</f>
        <v>OTH</v>
      </c>
      <c r="H48" s="43" t="str">
        <f>'Horizontal Teams'!F8</f>
        <v>E3</v>
      </c>
      <c r="I48" s="43" t="str">
        <f>'Horizontal Teams'!G8</f>
        <v>OFF</v>
      </c>
      <c r="J48" s="43" t="str">
        <f>'Horizontal Teams'!H8</f>
        <v>FTC</v>
      </c>
      <c r="K48" s="9">
        <f>'Horizontal Teams'!I8</f>
        <v>0.5</v>
      </c>
      <c r="L48" s="19">
        <v>1</v>
      </c>
      <c r="M48" s="46">
        <f t="shared" si="0"/>
        <v>0.5</v>
      </c>
      <c r="N48" s="46">
        <f>M48*INDEX('Logic Tree'!$J$85:$N$87,MATCH(I48,'Logic Tree'!$I$85:$I$87,0),MATCH(H48,'Logic Tree'!$J$84:$N$84,0))</f>
        <v>0.21</v>
      </c>
    </row>
    <row r="49" spans="2:14" ht="15" customHeight="1">
      <c r="B49" s="19">
        <v>1</v>
      </c>
      <c r="C49" s="11" t="s">
        <v>744</v>
      </c>
      <c r="D49" s="43" t="str">
        <f>'Horizontal Teams'!C9</f>
        <v>H1</v>
      </c>
      <c r="E49" s="35" t="s">
        <v>744</v>
      </c>
      <c r="F49" s="49" t="str">
        <f>'Horizontal Teams'!E9</f>
        <v>Batch &amp; Scheduling Engineer</v>
      </c>
      <c r="G49" s="43" t="str">
        <f>'Horizontal Teams'!D9</f>
        <v>DEV</v>
      </c>
      <c r="H49" s="43" t="str">
        <f>'Horizontal Teams'!F9</f>
        <v>E3</v>
      </c>
      <c r="I49" s="43" t="str">
        <f>'Horizontal Teams'!G9</f>
        <v>ON</v>
      </c>
      <c r="J49" s="43" t="str">
        <f>'Horizontal Teams'!H9</f>
        <v>FTC</v>
      </c>
      <c r="K49" s="9">
        <f>'Horizontal Teams'!I9</f>
        <v>1</v>
      </c>
      <c r="L49" s="19">
        <v>1</v>
      </c>
      <c r="M49" s="46">
        <f t="shared" si="0"/>
        <v>1</v>
      </c>
      <c r="N49" s="46">
        <f>M49*INDEX('Logic Tree'!$J$85:$N$87,MATCH(I49,'Logic Tree'!$I$85:$I$87,0),MATCH(H49,'Logic Tree'!$J$84:$N$84,0))</f>
        <v>1.35</v>
      </c>
    </row>
    <row r="50" spans="2:14" ht="15" customHeight="1">
      <c r="B50" s="19">
        <v>1</v>
      </c>
      <c r="C50" s="11" t="s">
        <v>744</v>
      </c>
      <c r="D50" s="43" t="str">
        <f>'Horizontal Teams'!C10</f>
        <v>H1</v>
      </c>
      <c r="E50" s="35" t="s">
        <v>744</v>
      </c>
      <c r="F50" s="49" t="str">
        <f>'Horizontal Teams'!E10</f>
        <v>MGCC Platform SRE</v>
      </c>
      <c r="G50" s="43" t="str">
        <f>'Horizontal Teams'!D10</f>
        <v>DEV</v>
      </c>
      <c r="H50" s="43" t="str">
        <f>'Horizontal Teams'!F10</f>
        <v>E3</v>
      </c>
      <c r="I50" s="43" t="str">
        <f>'Horizontal Teams'!G10</f>
        <v>OFF</v>
      </c>
      <c r="J50" s="43" t="str">
        <f>'Horizontal Teams'!H10</f>
        <v>MGCC</v>
      </c>
      <c r="K50" s="9">
        <f>'Horizontal Teams'!I10</f>
        <v>3</v>
      </c>
      <c r="L50" s="19">
        <v>1</v>
      </c>
      <c r="M50" s="46">
        <f t="shared" si="0"/>
        <v>3</v>
      </c>
      <c r="N50" s="46">
        <f>M50*INDEX('Logic Tree'!$J$85:$N$87,MATCH(I50,'Logic Tree'!$I$85:$I$87,0),MATCH(H50,'Logic Tree'!$J$84:$N$84,0))</f>
        <v>1.26</v>
      </c>
    </row>
    <row r="51" spans="2:14" ht="15" customHeight="1">
      <c r="B51" s="19">
        <v>1</v>
      </c>
      <c r="C51" s="11" t="s">
        <v>744</v>
      </c>
      <c r="D51" s="43" t="str">
        <f>'Horizontal Teams'!C11</f>
        <v>H1</v>
      </c>
      <c r="E51" s="35" t="s">
        <v>744</v>
      </c>
      <c r="F51" s="49" t="str">
        <f>'Horizontal Teams'!E11</f>
        <v>FSI Batch &amp; Production Control</v>
      </c>
      <c r="G51" s="43" t="str">
        <f>'Horizontal Teams'!D11</f>
        <v>MNT</v>
      </c>
      <c r="H51" s="43" t="str">
        <f>'Horizontal Teams'!F11</f>
        <v>E3</v>
      </c>
      <c r="I51" s="43" t="str">
        <f>'Horizontal Teams'!G11</f>
        <v>ON</v>
      </c>
      <c r="J51" s="43" t="str">
        <f>'Horizontal Teams'!H11</f>
        <v>PT</v>
      </c>
      <c r="K51" s="9">
        <f>'Horizontal Teams'!I11</f>
        <v>1</v>
      </c>
      <c r="L51" s="19">
        <v>1</v>
      </c>
      <c r="M51" s="46">
        <f t="shared" si="0"/>
        <v>1</v>
      </c>
      <c r="N51" s="46">
        <f>M51*INDEX('Logic Tree'!$J$85:$N$87,MATCH(I51,'Logic Tree'!$I$85:$I$87,0),MATCH(H51,'Logic Tree'!$J$84:$N$84,0))</f>
        <v>1.35</v>
      </c>
    </row>
    <row r="52" spans="2:14" ht="15" customHeight="1">
      <c r="B52" s="19">
        <v>1</v>
      </c>
      <c r="C52" s="11" t="s">
        <v>744</v>
      </c>
      <c r="D52" s="43" t="str">
        <f>'Horizontal Teams'!C12</f>
        <v>H1</v>
      </c>
      <c r="E52" s="35" t="s">
        <v>744</v>
      </c>
      <c r="F52" s="49" t="str">
        <f>'Horizontal Teams'!E12</f>
        <v>MetLife Operations Analyst</v>
      </c>
      <c r="G52" s="43" t="str">
        <f>'Horizontal Teams'!D12</f>
        <v>MNT</v>
      </c>
      <c r="H52" s="43" t="str">
        <f>'Horizontal Teams'!F12</f>
        <v>E3</v>
      </c>
      <c r="I52" s="43" t="str">
        <f>'Horizontal Teams'!G12</f>
        <v>ON</v>
      </c>
      <c r="J52" s="43" t="str">
        <f>'Horizontal Teams'!H12</f>
        <v>FTE</v>
      </c>
      <c r="K52" s="9">
        <f>'Horizontal Teams'!I12</f>
        <v>1</v>
      </c>
      <c r="L52" s="19">
        <v>1</v>
      </c>
      <c r="M52" s="46">
        <f t="shared" si="0"/>
        <v>1</v>
      </c>
      <c r="N52" s="46">
        <f>M52*INDEX('Logic Tree'!$J$85:$N$87,MATCH(I52,'Logic Tree'!$I$85:$I$87,0),MATCH(H52,'Logic Tree'!$J$84:$N$84,0))</f>
        <v>1.35</v>
      </c>
    </row>
    <row r="53" spans="2:14" ht="15" customHeight="1">
      <c r="B53" s="19">
        <v>1</v>
      </c>
      <c r="C53" s="11" t="s">
        <v>744</v>
      </c>
      <c r="D53" s="43" t="str">
        <f>'Horizontal Teams'!C13</f>
        <v>H2</v>
      </c>
      <c r="E53" s="35" t="s">
        <v>744</v>
      </c>
      <c r="F53" s="49" t="str">
        <f>'Horizontal Teams'!E13</f>
        <v>Head of Quality Engineering</v>
      </c>
      <c r="G53" s="43" t="str">
        <f>'Horizontal Teams'!D13</f>
        <v>TEST</v>
      </c>
      <c r="H53" s="43" t="str">
        <f>'Horizontal Teams'!F13</f>
        <v>E5</v>
      </c>
      <c r="I53" s="43" t="str">
        <f>'Horizontal Teams'!G13</f>
        <v>ON</v>
      </c>
      <c r="J53" s="43" t="str">
        <f>'Horizontal Teams'!H13</f>
        <v>FTC</v>
      </c>
      <c r="K53" s="9">
        <f>'Horizontal Teams'!I13</f>
        <v>2</v>
      </c>
      <c r="L53" s="19">
        <v>1</v>
      </c>
      <c r="M53" s="46">
        <f t="shared" si="0"/>
        <v>2</v>
      </c>
      <c r="N53" s="46">
        <f>M53*INDEX('Logic Tree'!$J$85:$N$87,MATCH(I53,'Logic Tree'!$I$85:$I$87,0),MATCH(H53,'Logic Tree'!$J$84:$N$84,0))</f>
        <v>5.0999999999999996</v>
      </c>
    </row>
    <row r="54" spans="2:14" ht="15" customHeight="1">
      <c r="B54" s="19">
        <v>1</v>
      </c>
      <c r="C54" s="11" t="s">
        <v>744</v>
      </c>
      <c r="D54" s="43" t="str">
        <f>'Horizontal Teams'!C14</f>
        <v>H2</v>
      </c>
      <c r="E54" s="35" t="s">
        <v>744</v>
      </c>
      <c r="F54" s="49" t="str">
        <f>'Horizontal Teams'!E14</f>
        <v>Regression Automation Engineer</v>
      </c>
      <c r="G54" s="43" t="str">
        <f>'Horizontal Teams'!D14</f>
        <v>TEST</v>
      </c>
      <c r="H54" s="43" t="str">
        <f>'Horizontal Teams'!F14</f>
        <v>E3</v>
      </c>
      <c r="I54" s="43" t="str">
        <f>'Horizontal Teams'!G14</f>
        <v>OFF</v>
      </c>
      <c r="J54" s="43" t="str">
        <f>'Horizontal Teams'!H14</f>
        <v>FTC</v>
      </c>
      <c r="K54" s="9">
        <f>'Horizontal Teams'!I14</f>
        <v>0.5</v>
      </c>
      <c r="L54" s="19">
        <v>1</v>
      </c>
      <c r="M54" s="46">
        <f t="shared" si="0"/>
        <v>0.5</v>
      </c>
      <c r="N54" s="46">
        <f>M54*INDEX('Logic Tree'!$J$85:$N$87,MATCH(I54,'Logic Tree'!$I$85:$I$87,0),MATCH(H54,'Logic Tree'!$J$84:$N$84,0))</f>
        <v>0.21</v>
      </c>
    </row>
    <row r="55" spans="2:14" ht="15" customHeight="1">
      <c r="B55" s="19">
        <v>1</v>
      </c>
      <c r="C55" s="11" t="s">
        <v>744</v>
      </c>
      <c r="D55" s="43" t="str">
        <f>'Horizontal Teams'!C15</f>
        <v>H2</v>
      </c>
      <c r="E55" s="35" t="s">
        <v>744</v>
      </c>
      <c r="F55" s="49" t="str">
        <f>'Horizontal Teams'!E15</f>
        <v>Test Data Engineer</v>
      </c>
      <c r="G55" s="43" t="str">
        <f>'Horizontal Teams'!D15</f>
        <v>DEV</v>
      </c>
      <c r="H55" s="43" t="str">
        <f>'Horizontal Teams'!F15</f>
        <v>E2</v>
      </c>
      <c r="I55" s="43" t="str">
        <f>'Horizontal Teams'!G15</f>
        <v>OFF</v>
      </c>
      <c r="J55" s="43" t="str">
        <f>'Horizontal Teams'!H15</f>
        <v>FTC</v>
      </c>
      <c r="K55" s="9">
        <f>'Horizontal Teams'!I15</f>
        <v>0.5</v>
      </c>
      <c r="L55" s="19">
        <v>1</v>
      </c>
      <c r="M55" s="46">
        <f t="shared" si="0"/>
        <v>0.5</v>
      </c>
      <c r="N55" s="46">
        <f>M55*INDEX('Logic Tree'!$J$85:$N$87,MATCH(I55,'Logic Tree'!$I$85:$I$87,0),MATCH(H55,'Logic Tree'!$J$84:$N$84,0))</f>
        <v>0.15</v>
      </c>
    </row>
    <row r="56" spans="2:14" ht="15" customHeight="1">
      <c r="B56" s="19">
        <v>1</v>
      </c>
      <c r="C56" s="11" t="s">
        <v>744</v>
      </c>
      <c r="D56" s="43" t="str">
        <f>'Horizontal Teams'!C16</f>
        <v>H2</v>
      </c>
      <c r="E56" s="35" t="s">
        <v>744</v>
      </c>
      <c r="F56" s="49" t="str">
        <f>'Horizontal Teams'!E16</f>
        <v>MetLife Servicing Governance</v>
      </c>
      <c r="G56" s="43" t="str">
        <f>'Horizontal Teams'!D16</f>
        <v>BSA</v>
      </c>
      <c r="H56" s="43" t="str">
        <f>'Horizontal Teams'!F16</f>
        <v>E4</v>
      </c>
      <c r="I56" s="43" t="str">
        <f>'Horizontal Teams'!G16</f>
        <v>ON</v>
      </c>
      <c r="J56" s="43" t="str">
        <f>'Horizontal Teams'!H16</f>
        <v>FTE</v>
      </c>
      <c r="K56" s="9">
        <f>'Horizontal Teams'!I16</f>
        <v>0.5</v>
      </c>
      <c r="L56" s="19">
        <v>1</v>
      </c>
      <c r="M56" s="46">
        <f t="shared" si="0"/>
        <v>0.5</v>
      </c>
      <c r="N56" s="46">
        <f>M56*INDEX('Logic Tree'!$J$85:$N$87,MATCH(I56,'Logic Tree'!$I$85:$I$87,0),MATCH(H56,'Logic Tree'!$J$84:$N$84,0))</f>
        <v>0.92500000000000004</v>
      </c>
    </row>
    <row r="57" spans="2:14" ht="15" customHeight="1">
      <c r="B57" s="19">
        <v>1</v>
      </c>
      <c r="C57" s="11" t="s">
        <v>744</v>
      </c>
      <c r="D57" s="43" t="str">
        <f>'Horizontal Teams'!C17</f>
        <v>H3</v>
      </c>
      <c r="E57" s="35" t="s">
        <v>744</v>
      </c>
      <c r="F57" s="49" t="str">
        <f>'Horizontal Teams'!E17</f>
        <v>Domain Delivery Head</v>
      </c>
      <c r="G57" s="43" t="str">
        <f>'Horizontal Teams'!D17</f>
        <v>PM</v>
      </c>
      <c r="H57" s="43" t="str">
        <f>'Horizontal Teams'!F17</f>
        <v>E5</v>
      </c>
      <c r="I57" s="43" t="str">
        <f>'Horizontal Teams'!G17</f>
        <v>ON</v>
      </c>
      <c r="J57" s="43" t="str">
        <f>'Horizontal Teams'!H17</f>
        <v>FTC</v>
      </c>
      <c r="K57" s="9">
        <f>'Horizontal Teams'!I17</f>
        <v>0.5</v>
      </c>
      <c r="L57" s="19">
        <v>1</v>
      </c>
      <c r="M57" s="46">
        <f t="shared" si="0"/>
        <v>0.5</v>
      </c>
      <c r="N57" s="46">
        <f>M57*INDEX('Logic Tree'!$J$85:$N$87,MATCH(I57,'Logic Tree'!$I$85:$I$87,0),MATCH(H57,'Logic Tree'!$J$84:$N$84,0))</f>
        <v>1.2749999999999999</v>
      </c>
    </row>
    <row r="58" spans="2:14" ht="15" customHeight="1">
      <c r="B58" s="19">
        <v>1</v>
      </c>
      <c r="C58" s="11" t="s">
        <v>744</v>
      </c>
      <c r="D58" s="43" t="str">
        <f>'Horizontal Teams'!C18</f>
        <v>H3</v>
      </c>
      <c r="E58" s="35" t="s">
        <v>744</v>
      </c>
      <c r="F58" s="49" t="str">
        <f>'Horizontal Teams'!E18</f>
        <v>Chief Architect — Servicing</v>
      </c>
      <c r="G58" s="43" t="str">
        <f>'Horizontal Teams'!D18</f>
        <v>OTH</v>
      </c>
      <c r="H58" s="43" t="str">
        <f>'Horizontal Teams'!F18</f>
        <v>E5</v>
      </c>
      <c r="I58" s="43" t="str">
        <f>'Horizontal Teams'!G18</f>
        <v>ON</v>
      </c>
      <c r="J58" s="43" t="str">
        <f>'Horizontal Teams'!H18</f>
        <v>FTC</v>
      </c>
      <c r="K58" s="9">
        <f>'Horizontal Teams'!I18</f>
        <v>0.5</v>
      </c>
      <c r="L58" s="19">
        <v>1</v>
      </c>
      <c r="M58" s="46">
        <f t="shared" si="0"/>
        <v>0.5</v>
      </c>
      <c r="N58" s="46">
        <f>M58*INDEX('Logic Tree'!$J$85:$N$87,MATCH(I58,'Logic Tree'!$I$85:$I$87,0),MATCH(H58,'Logic Tree'!$J$84:$N$84,0))</f>
        <v>1.2749999999999999</v>
      </c>
    </row>
    <row r="59" spans="2:14" ht="15" customHeight="1">
      <c r="B59" s="19">
        <v>1</v>
      </c>
      <c r="C59" s="11" t="s">
        <v>744</v>
      </c>
      <c r="D59" s="43" t="str">
        <f>'Horizontal Teams'!C19</f>
        <v>H3</v>
      </c>
      <c r="E59" s="35" t="s">
        <v>744</v>
      </c>
      <c r="F59" s="49" t="str">
        <f>'Horizontal Teams'!E19</f>
        <v>Transition &amp; Substrate Lead</v>
      </c>
      <c r="G59" s="43" t="str">
        <f>'Horizontal Teams'!D19</f>
        <v>OTH</v>
      </c>
      <c r="H59" s="43" t="str">
        <f>'Horizontal Teams'!F19</f>
        <v>E5</v>
      </c>
      <c r="I59" s="43" t="str">
        <f>'Horizontal Teams'!G19</f>
        <v>ON</v>
      </c>
      <c r="J59" s="43" t="str">
        <f>'Horizontal Teams'!H19</f>
        <v>FTC</v>
      </c>
      <c r="K59" s="9">
        <f>'Horizontal Teams'!I19</f>
        <v>0.5</v>
      </c>
      <c r="L59" s="19">
        <v>1</v>
      </c>
      <c r="M59" s="46">
        <f t="shared" si="0"/>
        <v>0.5</v>
      </c>
      <c r="N59" s="46">
        <f>M59*INDEX('Logic Tree'!$J$85:$N$87,MATCH(I59,'Logic Tree'!$I$85:$I$87,0),MATCH(H59,'Logic Tree'!$J$84:$N$84,0))</f>
        <v>1.2749999999999999</v>
      </c>
    </row>
    <row r="60" spans="2:14" ht="15" customHeight="1">
      <c r="B60" s="19">
        <v>1</v>
      </c>
      <c r="C60" s="11" t="s">
        <v>744</v>
      </c>
      <c r="D60" s="43" t="str">
        <f>'Horizontal Teams'!C20</f>
        <v>H3</v>
      </c>
      <c r="E60" s="35" t="s">
        <v>744</v>
      </c>
      <c r="F60" s="49" t="str">
        <f>'Horizontal Teams'!E20</f>
        <v>Service &amp; Contract Manager</v>
      </c>
      <c r="G60" s="43" t="str">
        <f>'Horizontal Teams'!D20</f>
        <v>PM</v>
      </c>
      <c r="H60" s="43" t="str">
        <f>'Horizontal Teams'!F20</f>
        <v>E4</v>
      </c>
      <c r="I60" s="43" t="str">
        <f>'Horizontal Teams'!G20</f>
        <v>ON</v>
      </c>
      <c r="J60" s="43" t="str">
        <f>'Horizontal Teams'!H20</f>
        <v>FTC</v>
      </c>
      <c r="K60" s="9">
        <f>'Horizontal Teams'!I20</f>
        <v>0.5</v>
      </c>
      <c r="L60" s="19">
        <v>1</v>
      </c>
      <c r="M60" s="46">
        <f t="shared" si="0"/>
        <v>0.5</v>
      </c>
      <c r="N60" s="46">
        <f>M60*INDEX('Logic Tree'!$J$85:$N$87,MATCH(I60,'Logic Tree'!$I$85:$I$87,0),MATCH(H60,'Logic Tree'!$J$84:$N$84,0))</f>
        <v>0.92500000000000004</v>
      </c>
    </row>
    <row r="61" spans="2:14" ht="15" customHeight="1">
      <c r="B61" s="19">
        <v>1</v>
      </c>
      <c r="C61" s="11" t="s">
        <v>744</v>
      </c>
      <c r="D61" s="43" t="str">
        <f>'Horizontal Teams'!C21</f>
        <v>H3</v>
      </c>
      <c r="E61" s="35" t="s">
        <v>744</v>
      </c>
      <c r="F61" s="49" t="str">
        <f>'Horizontal Teams'!E21</f>
        <v>MetLife Servicing Owner</v>
      </c>
      <c r="G61" s="43" t="str">
        <f>'Horizontal Teams'!D21</f>
        <v>BSA</v>
      </c>
      <c r="H61" s="43" t="str">
        <f>'Horizontal Teams'!F21</f>
        <v>E5</v>
      </c>
      <c r="I61" s="43" t="str">
        <f>'Horizontal Teams'!G21</f>
        <v>ON</v>
      </c>
      <c r="J61" s="43" t="str">
        <f>'Horizontal Teams'!H21</f>
        <v>FTE</v>
      </c>
      <c r="K61" s="9">
        <f>'Horizontal Teams'!I21</f>
        <v>1.5</v>
      </c>
      <c r="L61" s="19">
        <v>1</v>
      </c>
      <c r="M61" s="46">
        <f t="shared" si="0"/>
        <v>1.5</v>
      </c>
      <c r="N61" s="46">
        <f>M61*INDEX('Logic Tree'!$J$85:$N$87,MATCH(I61,'Logic Tree'!$I$85:$I$87,0),MATCH(H61,'Logic Tree'!$J$84:$N$84,0))</f>
        <v>3.8249999999999997</v>
      </c>
    </row>
    <row r="62" spans="2:14" ht="15" customHeight="1">
      <c r="B62" s="19">
        <v>1</v>
      </c>
      <c r="C62" s="11" t="s">
        <v>744</v>
      </c>
      <c r="D62" s="43" t="str">
        <f>'Horizontal Teams'!C22</f>
        <v>H3</v>
      </c>
      <c r="E62" s="35" t="s">
        <v>744</v>
      </c>
      <c r="F62" s="49" t="str">
        <f>'Horizontal Teams'!E22</f>
        <v>MetLife Portfolio Manager</v>
      </c>
      <c r="G62" s="43" t="str">
        <f>'Horizontal Teams'!D22</f>
        <v>PM</v>
      </c>
      <c r="H62" s="43" t="str">
        <f>'Horizontal Teams'!F22</f>
        <v>E4</v>
      </c>
      <c r="I62" s="43" t="str">
        <f>'Horizontal Teams'!G22</f>
        <v>ON</v>
      </c>
      <c r="J62" s="43" t="str">
        <f>'Horizontal Teams'!H22</f>
        <v>FTE</v>
      </c>
      <c r="K62" s="9">
        <f>'Horizontal Teams'!I22</f>
        <v>1.5</v>
      </c>
      <c r="L62" s="19">
        <v>1</v>
      </c>
      <c r="M62" s="46">
        <f t="shared" si="0"/>
        <v>1.5</v>
      </c>
      <c r="N62" s="46">
        <f>M62*INDEX('Logic Tree'!$J$85:$N$87,MATCH(I62,'Logic Tree'!$I$85:$I$87,0),MATCH(H62,'Logic Tree'!$J$84:$N$84,0))</f>
        <v>2.7750000000000004</v>
      </c>
    </row>
    <row r="63" spans="2:14" ht="15" customHeight="1">
      <c r="B63" s="19">
        <v>2</v>
      </c>
      <c r="C63" s="11" t="s">
        <v>448</v>
      </c>
      <c r="D63" s="35" t="s">
        <v>324</v>
      </c>
      <c r="E63" s="35" t="s">
        <v>448</v>
      </c>
      <c r="F63" s="49" t="str">
        <f>'Pod Library'!E36</f>
        <v>MetLife Product Owner</v>
      </c>
      <c r="G63" s="43" t="str">
        <f>'Pod Library'!F36</f>
        <v>PM</v>
      </c>
      <c r="H63" s="43" t="str">
        <f>'Pod Library'!G36</f>
        <v>E4</v>
      </c>
      <c r="I63" s="43" t="str">
        <f>'Pod Library'!H36</f>
        <v>ON</v>
      </c>
      <c r="J63" s="43" t="str">
        <f>'Pod Library'!I36</f>
        <v>FTE</v>
      </c>
      <c r="K63" s="9">
        <f>'Pod Library'!J36</f>
        <v>1.08</v>
      </c>
      <c r="L63" s="13">
        <f>'Pod Plan'!E9</f>
        <v>6</v>
      </c>
      <c r="M63" s="46">
        <f t="shared" si="0"/>
        <v>6.48</v>
      </c>
      <c r="N63" s="46">
        <f>M63*INDEX('Logic Tree'!$J$85:$N$87,MATCH(I63,'Logic Tree'!$I$85:$I$87,0),MATCH(H63,'Logic Tree'!$J$84:$N$84,0))</f>
        <v>11.988000000000001</v>
      </c>
    </row>
    <row r="64" spans="2:14" ht="15" customHeight="1">
      <c r="B64" s="19">
        <v>2</v>
      </c>
      <c r="C64" s="11" t="s">
        <v>448</v>
      </c>
      <c r="D64" s="35" t="s">
        <v>324</v>
      </c>
      <c r="E64" s="35" t="s">
        <v>448</v>
      </c>
      <c r="F64" s="49" t="str">
        <f>'Pod Library'!E37</f>
        <v>MetLife Servicing SME</v>
      </c>
      <c r="G64" s="43" t="str">
        <f>'Pod Library'!F37</f>
        <v>BSA</v>
      </c>
      <c r="H64" s="43" t="str">
        <f>'Pod Library'!G37</f>
        <v>E4</v>
      </c>
      <c r="I64" s="43" t="str">
        <f>'Pod Library'!H37</f>
        <v>ON</v>
      </c>
      <c r="J64" s="43" t="str">
        <f>'Pod Library'!I37</f>
        <v>FTE</v>
      </c>
      <c r="K64" s="9">
        <f>'Pod Library'!J37</f>
        <v>0.91666666699999999</v>
      </c>
      <c r="L64" s="13">
        <f>'Pod Plan'!E9</f>
        <v>6</v>
      </c>
      <c r="M64" s="46">
        <f t="shared" si="0"/>
        <v>5.5000000020000002</v>
      </c>
      <c r="N64" s="46">
        <f>M64*INDEX('Logic Tree'!$J$85:$N$87,MATCH(I64,'Logic Tree'!$I$85:$I$87,0),MATCH(H64,'Logic Tree'!$J$84:$N$84,0))</f>
        <v>10.175000003700001</v>
      </c>
    </row>
    <row r="65" spans="2:14" ht="15" customHeight="1">
      <c r="B65" s="19">
        <v>2</v>
      </c>
      <c r="C65" s="11" t="s">
        <v>448</v>
      </c>
      <c r="D65" s="35" t="s">
        <v>324</v>
      </c>
      <c r="E65" s="35" t="s">
        <v>448</v>
      </c>
      <c r="F65" s="49" t="str">
        <f>'Pod Library'!E38</f>
        <v>MGCC Workflow Engineer</v>
      </c>
      <c r="G65" s="43" t="str">
        <f>'Pod Library'!F38</f>
        <v>DEV</v>
      </c>
      <c r="H65" s="43" t="str">
        <f>'Pod Library'!G38</f>
        <v>E3</v>
      </c>
      <c r="I65" s="43" t="str">
        <f>'Pod Library'!H38</f>
        <v>OFF</v>
      </c>
      <c r="J65" s="43" t="str">
        <f>'Pod Library'!I38</f>
        <v>MGCC</v>
      </c>
      <c r="K65" s="9">
        <f>'Pod Library'!J38</f>
        <v>1.17</v>
      </c>
      <c r="L65" s="13">
        <f>'Pod Plan'!E9</f>
        <v>6</v>
      </c>
      <c r="M65" s="46">
        <f t="shared" si="0"/>
        <v>7.02</v>
      </c>
      <c r="N65" s="46">
        <f>M65*INDEX('Logic Tree'!$J$85:$N$87,MATCH(I65,'Logic Tree'!$I$85:$I$87,0),MATCH(H65,'Logic Tree'!$J$84:$N$84,0))</f>
        <v>2.9483999999999999</v>
      </c>
    </row>
    <row r="66" spans="2:14" ht="15" customHeight="1">
      <c r="B66" s="19">
        <v>2</v>
      </c>
      <c r="C66" s="11" t="s">
        <v>448</v>
      </c>
      <c r="D66" s="35" t="s">
        <v>324</v>
      </c>
      <c r="E66" s="35" t="s">
        <v>448</v>
      </c>
      <c r="F66" s="49" t="str">
        <f>'Pod Library'!E39</f>
        <v>Business Analyst (bilingual)</v>
      </c>
      <c r="G66" s="43" t="str">
        <f>'Pod Library'!F39</f>
        <v>BSA</v>
      </c>
      <c r="H66" s="43" t="str">
        <f>'Pod Library'!G39</f>
        <v>E3</v>
      </c>
      <c r="I66" s="43" t="str">
        <f>'Pod Library'!H39</f>
        <v>ON</v>
      </c>
      <c r="J66" s="43" t="str">
        <f>'Pod Library'!I39</f>
        <v>FTC</v>
      </c>
      <c r="K66" s="9">
        <f>'Pod Library'!J39</f>
        <v>1</v>
      </c>
      <c r="L66" s="13">
        <f>'Pod Plan'!E9</f>
        <v>6</v>
      </c>
      <c r="M66" s="46">
        <f t="shared" si="0"/>
        <v>6</v>
      </c>
      <c r="N66" s="46">
        <f>M66*INDEX('Logic Tree'!$J$85:$N$87,MATCH(I66,'Logic Tree'!$I$85:$I$87,0),MATCH(H66,'Logic Tree'!$J$84:$N$84,0))</f>
        <v>8.1000000000000014</v>
      </c>
    </row>
    <row r="67" spans="2:14" ht="15" customHeight="1">
      <c r="B67" s="19">
        <v>2</v>
      </c>
      <c r="C67" s="11" t="s">
        <v>448</v>
      </c>
      <c r="D67" s="35" t="s">
        <v>324</v>
      </c>
      <c r="E67" s="35" t="s">
        <v>448</v>
      </c>
      <c r="F67" s="49" t="str">
        <f>'Pod Library'!E40</f>
        <v>Pod lead / senior engineer</v>
      </c>
      <c r="G67" s="43" t="str">
        <f>'Pod Library'!F40</f>
        <v>DEV</v>
      </c>
      <c r="H67" s="43" t="str">
        <f>'Pod Library'!G40</f>
        <v>E4</v>
      </c>
      <c r="I67" s="43" t="str">
        <f>'Pod Library'!H40</f>
        <v>OFF</v>
      </c>
      <c r="J67" s="43" t="str">
        <f>'Pod Library'!I40</f>
        <v>FTC</v>
      </c>
      <c r="K67" s="9">
        <f>'Pod Library'!J40</f>
        <v>0.5</v>
      </c>
      <c r="L67" s="13">
        <f>'Pod Plan'!E9</f>
        <v>6</v>
      </c>
      <c r="M67" s="46">
        <f t="shared" si="0"/>
        <v>3</v>
      </c>
      <c r="N67" s="46">
        <f>M67*INDEX('Logic Tree'!$J$85:$N$87,MATCH(I67,'Logic Tree'!$I$85:$I$87,0),MATCH(H67,'Logic Tree'!$J$84:$N$84,0))</f>
        <v>1.7999999999999998</v>
      </c>
    </row>
    <row r="68" spans="2:14" ht="15" customHeight="1">
      <c r="B68" s="19">
        <v>2</v>
      </c>
      <c r="C68" s="11" t="s">
        <v>448</v>
      </c>
      <c r="D68" s="35" t="s">
        <v>324</v>
      </c>
      <c r="E68" s="35" t="s">
        <v>448</v>
      </c>
      <c r="F68" s="49" t="str">
        <f>'Pod Library'!E41</f>
        <v>AI-assisted Workflow Engineer</v>
      </c>
      <c r="G68" s="43" t="str">
        <f>'Pod Library'!F41</f>
        <v>DEV</v>
      </c>
      <c r="H68" s="43" t="str">
        <f>'Pod Library'!G41</f>
        <v>E3</v>
      </c>
      <c r="I68" s="43" t="str">
        <f>'Pod Library'!H41</f>
        <v>OFF</v>
      </c>
      <c r="J68" s="43" t="str">
        <f>'Pod Library'!I41</f>
        <v>FTC</v>
      </c>
      <c r="K68" s="9">
        <f>'Pod Library'!J41</f>
        <v>0.5</v>
      </c>
      <c r="L68" s="13">
        <f>'Pod Plan'!E9</f>
        <v>6</v>
      </c>
      <c r="M68" s="46">
        <f t="shared" si="0"/>
        <v>3</v>
      </c>
      <c r="N68" s="46">
        <f>M68*INDEX('Logic Tree'!$J$85:$N$87,MATCH(I68,'Logic Tree'!$I$85:$I$87,0),MATCH(H68,'Logic Tree'!$J$84:$N$84,0))</f>
        <v>1.26</v>
      </c>
    </row>
    <row r="69" spans="2:14" ht="15" customHeight="1">
      <c r="B69" s="19">
        <v>2</v>
      </c>
      <c r="C69" s="11" t="s">
        <v>448</v>
      </c>
      <c r="D69" s="35" t="s">
        <v>324</v>
      </c>
      <c r="E69" s="35" t="s">
        <v>448</v>
      </c>
      <c r="F69" s="49" t="str">
        <f>'Pod Library'!E42</f>
        <v>Workflow Engineer</v>
      </c>
      <c r="G69" s="43" t="str">
        <f>'Pod Library'!F42</f>
        <v>DEV</v>
      </c>
      <c r="H69" s="43" t="str">
        <f>'Pod Library'!G42</f>
        <v>E2</v>
      </c>
      <c r="I69" s="43" t="str">
        <f>'Pod Library'!H42</f>
        <v>OFF</v>
      </c>
      <c r="J69" s="43" t="str">
        <f>'Pod Library'!I42</f>
        <v>FTC</v>
      </c>
      <c r="K69" s="9">
        <f>'Pod Library'!J42</f>
        <v>0.5</v>
      </c>
      <c r="L69" s="13">
        <f>'Pod Plan'!E9</f>
        <v>6</v>
      </c>
      <c r="M69" s="46">
        <f t="shared" ref="M69:M132" si="1">K69*L69</f>
        <v>3</v>
      </c>
      <c r="N69" s="46">
        <f>M69*INDEX('Logic Tree'!$J$85:$N$87,MATCH(I69,'Logic Tree'!$I$85:$I$87,0),MATCH(H69,'Logic Tree'!$J$84:$N$84,0))</f>
        <v>0.89999999999999991</v>
      </c>
    </row>
    <row r="70" spans="2:14" ht="15" customHeight="1">
      <c r="B70" s="19">
        <v>2</v>
      </c>
      <c r="C70" s="11" t="s">
        <v>448</v>
      </c>
      <c r="D70" s="35" t="s">
        <v>324</v>
      </c>
      <c r="E70" s="35" t="s">
        <v>448</v>
      </c>
      <c r="F70" s="49" t="str">
        <f>'Pod Library'!E43</f>
        <v>Workflow Engineer</v>
      </c>
      <c r="G70" s="43" t="str">
        <f>'Pod Library'!F43</f>
        <v>DEV</v>
      </c>
      <c r="H70" s="43" t="str">
        <f>'Pod Library'!G43</f>
        <v>E1</v>
      </c>
      <c r="I70" s="43" t="str">
        <f>'Pod Library'!H43</f>
        <v>OFF</v>
      </c>
      <c r="J70" s="43" t="str">
        <f>'Pod Library'!I43</f>
        <v>FTC</v>
      </c>
      <c r="K70" s="9">
        <f>'Pod Library'!J43</f>
        <v>0</v>
      </c>
      <c r="L70" s="13">
        <f>'Pod Plan'!E9</f>
        <v>6</v>
      </c>
      <c r="M70" s="46">
        <f t="shared" si="1"/>
        <v>0</v>
      </c>
      <c r="N70" s="46">
        <f>M70*INDEX('Logic Tree'!$J$85:$N$87,MATCH(I70,'Logic Tree'!$I$85:$I$87,0),MATCH(H70,'Logic Tree'!$J$84:$N$84,0))</f>
        <v>0</v>
      </c>
    </row>
    <row r="71" spans="2:14" ht="15" customHeight="1">
      <c r="B71" s="19">
        <v>2</v>
      </c>
      <c r="C71" s="11" t="s">
        <v>448</v>
      </c>
      <c r="D71" s="35" t="s">
        <v>324</v>
      </c>
      <c r="E71" s="35" t="s">
        <v>448</v>
      </c>
      <c r="F71" s="49" t="str">
        <f>'Pod Library'!E44</f>
        <v>Quality Engineer (SDET)</v>
      </c>
      <c r="G71" s="43" t="str">
        <f>'Pod Library'!F44</f>
        <v>TEST</v>
      </c>
      <c r="H71" s="43" t="str">
        <f>'Pod Library'!G44</f>
        <v>E3</v>
      </c>
      <c r="I71" s="43" t="str">
        <f>'Pod Library'!H44</f>
        <v>OFF</v>
      </c>
      <c r="J71" s="43" t="str">
        <f>'Pod Library'!I44</f>
        <v>FTC</v>
      </c>
      <c r="K71" s="9">
        <f>'Pod Library'!J44</f>
        <v>1.5</v>
      </c>
      <c r="L71" s="13">
        <f>'Pod Plan'!E9</f>
        <v>6</v>
      </c>
      <c r="M71" s="46">
        <f t="shared" si="1"/>
        <v>9</v>
      </c>
      <c r="N71" s="46">
        <f>M71*INDEX('Logic Tree'!$J$85:$N$87,MATCH(I71,'Logic Tree'!$I$85:$I$87,0),MATCH(H71,'Logic Tree'!$J$84:$N$84,0))</f>
        <v>3.78</v>
      </c>
    </row>
    <row r="72" spans="2:14" ht="15" customHeight="1">
      <c r="B72" s="19">
        <v>2</v>
      </c>
      <c r="C72" s="11" t="s">
        <v>448</v>
      </c>
      <c r="D72" s="35" t="s">
        <v>324</v>
      </c>
      <c r="E72" s="35" t="s">
        <v>448</v>
      </c>
      <c r="F72" s="49" t="str">
        <f>'Pod Library'!E45</f>
        <v>Application Support</v>
      </c>
      <c r="G72" s="43" t="str">
        <f>'Pod Library'!F45</f>
        <v>MNT</v>
      </c>
      <c r="H72" s="43" t="str">
        <f>'Pod Library'!G45</f>
        <v>E2</v>
      </c>
      <c r="I72" s="43" t="str">
        <f>'Pod Library'!H45</f>
        <v>OFF</v>
      </c>
      <c r="J72" s="43" t="str">
        <f>'Pod Library'!I45</f>
        <v>FTC</v>
      </c>
      <c r="K72" s="9">
        <f>'Pod Library'!J45</f>
        <v>0.3333333</v>
      </c>
      <c r="L72" s="13">
        <f>'Pod Plan'!E9</f>
        <v>6</v>
      </c>
      <c r="M72" s="46">
        <f t="shared" si="1"/>
        <v>1.9999997999999999</v>
      </c>
      <c r="N72" s="46">
        <f>M72*INDEX('Logic Tree'!$J$85:$N$87,MATCH(I72,'Logic Tree'!$I$85:$I$87,0),MATCH(H72,'Logic Tree'!$J$84:$N$84,0))</f>
        <v>0.5999999399999999</v>
      </c>
    </row>
    <row r="73" spans="2:14" ht="15" customHeight="1">
      <c r="B73" s="19">
        <v>2</v>
      </c>
      <c r="C73" s="11" t="s">
        <v>448</v>
      </c>
      <c r="D73" s="35" t="s">
        <v>324</v>
      </c>
      <c r="E73" s="35" t="s">
        <v>448</v>
      </c>
      <c r="F73" s="49" t="str">
        <f>'Pod Library'!E46</f>
        <v>Solution Architect</v>
      </c>
      <c r="G73" s="43" t="str">
        <f>'Pod Library'!F46</f>
        <v>OTH</v>
      </c>
      <c r="H73" s="43" t="str">
        <f>'Pod Library'!G46</f>
        <v>E4</v>
      </c>
      <c r="I73" s="43" t="str">
        <f>'Pod Library'!H46</f>
        <v>ON</v>
      </c>
      <c r="J73" s="43" t="str">
        <f>'Pod Library'!I46</f>
        <v>FTC</v>
      </c>
      <c r="K73" s="9">
        <f>'Pod Library'!J46</f>
        <v>0</v>
      </c>
      <c r="L73" s="13">
        <f>'Pod Plan'!E9</f>
        <v>6</v>
      </c>
      <c r="M73" s="46">
        <f t="shared" si="1"/>
        <v>0</v>
      </c>
      <c r="N73" s="46">
        <f>M73*INDEX('Logic Tree'!$J$85:$N$87,MATCH(I73,'Logic Tree'!$I$85:$I$87,0),MATCH(H73,'Logic Tree'!$J$84:$N$84,0))</f>
        <v>0</v>
      </c>
    </row>
    <row r="74" spans="2:14" ht="15" customHeight="1">
      <c r="B74" s="19">
        <v>2</v>
      </c>
      <c r="C74" s="11" t="s">
        <v>465</v>
      </c>
      <c r="D74" s="35" t="s">
        <v>324</v>
      </c>
      <c r="E74" s="35" t="s">
        <v>465</v>
      </c>
      <c r="F74" s="49" t="str">
        <f>'Pod Library'!E50</f>
        <v>MetLife Product Owner</v>
      </c>
      <c r="G74" s="43" t="str">
        <f>'Pod Library'!F50</f>
        <v>PM</v>
      </c>
      <c r="H74" s="43" t="str">
        <f>'Pod Library'!G50</f>
        <v>E4</v>
      </c>
      <c r="I74" s="43" t="str">
        <f>'Pod Library'!H50</f>
        <v>ON</v>
      </c>
      <c r="J74" s="43" t="str">
        <f>'Pod Library'!I50</f>
        <v>FTE</v>
      </c>
      <c r="K74" s="9">
        <f>'Pod Library'!J50</f>
        <v>0.75</v>
      </c>
      <c r="L74" s="13">
        <f>'Pod Plan'!F9</f>
        <v>1</v>
      </c>
      <c r="M74" s="46">
        <f t="shared" si="1"/>
        <v>0.75</v>
      </c>
      <c r="N74" s="46">
        <f>M74*INDEX('Logic Tree'!$J$85:$N$87,MATCH(I74,'Logic Tree'!$I$85:$I$87,0),MATCH(H74,'Logic Tree'!$J$84:$N$84,0))</f>
        <v>1.3875000000000002</v>
      </c>
    </row>
    <row r="75" spans="2:14" ht="15" customHeight="1">
      <c r="B75" s="19">
        <v>2</v>
      </c>
      <c r="C75" s="11" t="s">
        <v>465</v>
      </c>
      <c r="D75" s="35" t="s">
        <v>324</v>
      </c>
      <c r="E75" s="35" t="s">
        <v>465</v>
      </c>
      <c r="F75" s="49" t="str">
        <f>'Pod Library'!E51</f>
        <v>MetLife Servicing SME</v>
      </c>
      <c r="G75" s="43" t="str">
        <f>'Pod Library'!F51</f>
        <v>BSA</v>
      </c>
      <c r="H75" s="43" t="str">
        <f>'Pod Library'!G51</f>
        <v>E4</v>
      </c>
      <c r="I75" s="43" t="str">
        <f>'Pod Library'!H51</f>
        <v>ON</v>
      </c>
      <c r="J75" s="43" t="str">
        <f>'Pod Library'!I51</f>
        <v>FTE</v>
      </c>
      <c r="K75" s="9">
        <f>'Pod Library'!J51</f>
        <v>1</v>
      </c>
      <c r="L75" s="13">
        <f>'Pod Plan'!F9</f>
        <v>1</v>
      </c>
      <c r="M75" s="46">
        <f t="shared" si="1"/>
        <v>1</v>
      </c>
      <c r="N75" s="46">
        <f>M75*INDEX('Logic Tree'!$J$85:$N$87,MATCH(I75,'Logic Tree'!$I$85:$I$87,0),MATCH(H75,'Logic Tree'!$J$84:$N$84,0))</f>
        <v>1.85</v>
      </c>
    </row>
    <row r="76" spans="2:14" ht="15" customHeight="1">
      <c r="B76" s="19">
        <v>2</v>
      </c>
      <c r="C76" s="11" t="s">
        <v>465</v>
      </c>
      <c r="D76" s="35" t="s">
        <v>324</v>
      </c>
      <c r="E76" s="35" t="s">
        <v>465</v>
      </c>
      <c r="F76" s="49" t="str">
        <f>'Pod Library'!E52</f>
        <v>FSI Senior Developer (JP)</v>
      </c>
      <c r="G76" s="43" t="str">
        <f>'Pod Library'!F52</f>
        <v>DEV</v>
      </c>
      <c r="H76" s="43" t="str">
        <f>'Pod Library'!G52</f>
        <v>E3</v>
      </c>
      <c r="I76" s="43" t="str">
        <f>'Pod Library'!H52</f>
        <v>ON</v>
      </c>
      <c r="J76" s="43" t="str">
        <f>'Pod Library'!I52</f>
        <v>PT</v>
      </c>
      <c r="K76" s="9">
        <f>'Pod Library'!J52</f>
        <v>2.75</v>
      </c>
      <c r="L76" s="13">
        <f>'Pod Plan'!F9</f>
        <v>1</v>
      </c>
      <c r="M76" s="46">
        <f t="shared" si="1"/>
        <v>2.75</v>
      </c>
      <c r="N76" s="46">
        <f>M76*INDEX('Logic Tree'!$J$85:$N$87,MATCH(I76,'Logic Tree'!$I$85:$I$87,0),MATCH(H76,'Logic Tree'!$J$84:$N$84,0))</f>
        <v>3.7125000000000004</v>
      </c>
    </row>
    <row r="77" spans="2:14" ht="15" customHeight="1">
      <c r="B77" s="19">
        <v>2</v>
      </c>
      <c r="C77" s="11" t="s">
        <v>465</v>
      </c>
      <c r="D77" s="35" t="s">
        <v>324</v>
      </c>
      <c r="E77" s="35" t="s">
        <v>465</v>
      </c>
      <c r="F77" s="49" t="str">
        <f>'Pod Library'!E53</f>
        <v>FSI Business Analyst (JP)</v>
      </c>
      <c r="G77" s="43" t="str">
        <f>'Pod Library'!F53</f>
        <v>BSA</v>
      </c>
      <c r="H77" s="43" t="str">
        <f>'Pod Library'!G53</f>
        <v>E3</v>
      </c>
      <c r="I77" s="43" t="str">
        <f>'Pod Library'!H53</f>
        <v>ON</v>
      </c>
      <c r="J77" s="43" t="str">
        <f>'Pod Library'!I53</f>
        <v>PT</v>
      </c>
      <c r="K77" s="9">
        <f>'Pod Library'!J53</f>
        <v>1.5</v>
      </c>
      <c r="L77" s="13">
        <f>'Pod Plan'!F9</f>
        <v>1</v>
      </c>
      <c r="M77" s="46">
        <f t="shared" si="1"/>
        <v>1.5</v>
      </c>
      <c r="N77" s="46">
        <f>M77*INDEX('Logic Tree'!$J$85:$N$87,MATCH(I77,'Logic Tree'!$I$85:$I$87,0),MATCH(H77,'Logic Tree'!$J$84:$N$84,0))</f>
        <v>2.0250000000000004</v>
      </c>
    </row>
    <row r="78" spans="2:14" ht="15" customHeight="1">
      <c r="B78" s="19">
        <v>2</v>
      </c>
      <c r="C78" s="11" t="s">
        <v>465</v>
      </c>
      <c r="D78" s="35" t="s">
        <v>324</v>
      </c>
      <c r="E78" s="35" t="s">
        <v>465</v>
      </c>
      <c r="F78" s="49" t="str">
        <f>'Pod Library'!E54</f>
        <v>Business Analyst (bilingual)</v>
      </c>
      <c r="G78" s="43" t="str">
        <f>'Pod Library'!F54</f>
        <v>BSA</v>
      </c>
      <c r="H78" s="43" t="str">
        <f>'Pod Library'!G54</f>
        <v>E3</v>
      </c>
      <c r="I78" s="43" t="str">
        <f>'Pod Library'!H54</f>
        <v>ON</v>
      </c>
      <c r="J78" s="43" t="str">
        <f>'Pod Library'!I54</f>
        <v>FTC</v>
      </c>
      <c r="K78" s="9">
        <f>'Pod Library'!J54</f>
        <v>0.5</v>
      </c>
      <c r="L78" s="13">
        <f>'Pod Plan'!F9</f>
        <v>1</v>
      </c>
      <c r="M78" s="46">
        <f t="shared" si="1"/>
        <v>0.5</v>
      </c>
      <c r="N78" s="46">
        <f>M78*INDEX('Logic Tree'!$J$85:$N$87,MATCH(I78,'Logic Tree'!$I$85:$I$87,0),MATCH(H78,'Logic Tree'!$J$84:$N$84,0))</f>
        <v>0.67500000000000004</v>
      </c>
    </row>
    <row r="79" spans="2:14" ht="15" customHeight="1">
      <c r="B79" s="19">
        <v>2</v>
      </c>
      <c r="C79" s="11" t="s">
        <v>465</v>
      </c>
      <c r="D79" s="35" t="s">
        <v>324</v>
      </c>
      <c r="E79" s="35" t="s">
        <v>465</v>
      </c>
      <c r="F79" s="49" t="str">
        <f>'Pod Library'!E55</f>
        <v>Team lead / technical lead</v>
      </c>
      <c r="G79" s="43" t="str">
        <f>'Pod Library'!F55</f>
        <v>DEV</v>
      </c>
      <c r="H79" s="43" t="str">
        <f>'Pod Library'!G55</f>
        <v>E4</v>
      </c>
      <c r="I79" s="43" t="str">
        <f>'Pod Library'!H55</f>
        <v>ON</v>
      </c>
      <c r="J79" s="43" t="str">
        <f>'Pod Library'!I55</f>
        <v>FTC</v>
      </c>
      <c r="K79" s="9">
        <f>'Pod Library'!J55</f>
        <v>0.5</v>
      </c>
      <c r="L79" s="13">
        <f>'Pod Plan'!F9</f>
        <v>1</v>
      </c>
      <c r="M79" s="46">
        <f t="shared" si="1"/>
        <v>0.5</v>
      </c>
      <c r="N79" s="46">
        <f>M79*INDEX('Logic Tree'!$J$85:$N$87,MATCH(I79,'Logic Tree'!$I$85:$I$87,0),MATCH(H79,'Logic Tree'!$J$84:$N$84,0))</f>
        <v>0.92500000000000004</v>
      </c>
    </row>
    <row r="80" spans="2:14" ht="15" customHeight="1">
      <c r="B80" s="19">
        <v>2</v>
      </c>
      <c r="C80" s="11" t="s">
        <v>465</v>
      </c>
      <c r="D80" s="35" t="s">
        <v>324</v>
      </c>
      <c r="E80" s="35" t="s">
        <v>465</v>
      </c>
      <c r="F80" s="49" t="str">
        <f>'Pod Library'!E56</f>
        <v>Workflow Developer</v>
      </c>
      <c r="G80" s="43" t="str">
        <f>'Pod Library'!F56</f>
        <v>DEV</v>
      </c>
      <c r="H80" s="43" t="str">
        <f>'Pod Library'!G56</f>
        <v>E3</v>
      </c>
      <c r="I80" s="43" t="str">
        <f>'Pod Library'!H56</f>
        <v>ON</v>
      </c>
      <c r="J80" s="43" t="str">
        <f>'Pod Library'!I56</f>
        <v>FTC</v>
      </c>
      <c r="K80" s="9">
        <f>'Pod Library'!J56</f>
        <v>0.75</v>
      </c>
      <c r="L80" s="13">
        <f>'Pod Plan'!F9</f>
        <v>1</v>
      </c>
      <c r="M80" s="46">
        <f t="shared" si="1"/>
        <v>0.75</v>
      </c>
      <c r="N80" s="46">
        <f>M80*INDEX('Logic Tree'!$J$85:$N$87,MATCH(I80,'Logic Tree'!$I$85:$I$87,0),MATCH(H80,'Logic Tree'!$J$84:$N$84,0))</f>
        <v>1.0125000000000002</v>
      </c>
    </row>
    <row r="81" spans="2:14" ht="15" customHeight="1">
      <c r="B81" s="19">
        <v>2</v>
      </c>
      <c r="C81" s="11" t="s">
        <v>465</v>
      </c>
      <c r="D81" s="35" t="s">
        <v>324</v>
      </c>
      <c r="E81" s="35" t="s">
        <v>465</v>
      </c>
      <c r="F81" s="49" t="str">
        <f>'Pod Library'!E57</f>
        <v>Workflow Developer</v>
      </c>
      <c r="G81" s="43" t="str">
        <f>'Pod Library'!F57</f>
        <v>DEV</v>
      </c>
      <c r="H81" s="43" t="str">
        <f>'Pod Library'!G57</f>
        <v>E3</v>
      </c>
      <c r="I81" s="43" t="str">
        <f>'Pod Library'!H57</f>
        <v>OFF</v>
      </c>
      <c r="J81" s="43" t="str">
        <f>'Pod Library'!I57</f>
        <v>FTC</v>
      </c>
      <c r="K81" s="9">
        <f>'Pod Library'!J57</f>
        <v>0</v>
      </c>
      <c r="L81" s="13">
        <f>'Pod Plan'!F9</f>
        <v>1</v>
      </c>
      <c r="M81" s="46">
        <f t="shared" si="1"/>
        <v>0</v>
      </c>
      <c r="N81" s="46">
        <f>M81*INDEX('Logic Tree'!$J$85:$N$87,MATCH(I81,'Logic Tree'!$I$85:$I$87,0),MATCH(H81,'Logic Tree'!$J$84:$N$84,0))</f>
        <v>0</v>
      </c>
    </row>
    <row r="82" spans="2:14" ht="15" customHeight="1">
      <c r="B82" s="19">
        <v>2</v>
      </c>
      <c r="C82" s="11" t="s">
        <v>465</v>
      </c>
      <c r="D82" s="35" t="s">
        <v>324</v>
      </c>
      <c r="E82" s="35" t="s">
        <v>465</v>
      </c>
      <c r="F82" s="49" t="str">
        <f>'Pod Library'!E58</f>
        <v>Workflow Developer</v>
      </c>
      <c r="G82" s="43" t="str">
        <f>'Pod Library'!F58</f>
        <v>DEV</v>
      </c>
      <c r="H82" s="43" t="str">
        <f>'Pod Library'!G58</f>
        <v>E2</v>
      </c>
      <c r="I82" s="43" t="str">
        <f>'Pod Library'!H58</f>
        <v>OFF</v>
      </c>
      <c r="J82" s="43" t="str">
        <f>'Pod Library'!I58</f>
        <v>FTC</v>
      </c>
      <c r="K82" s="9">
        <f>'Pod Library'!J58</f>
        <v>1</v>
      </c>
      <c r="L82" s="13">
        <f>'Pod Plan'!F9</f>
        <v>1</v>
      </c>
      <c r="M82" s="46">
        <f t="shared" si="1"/>
        <v>1</v>
      </c>
      <c r="N82" s="46">
        <f>M82*INDEX('Logic Tree'!$J$85:$N$87,MATCH(I82,'Logic Tree'!$I$85:$I$87,0),MATCH(H82,'Logic Tree'!$J$84:$N$84,0))</f>
        <v>0.3</v>
      </c>
    </row>
    <row r="83" spans="2:14" ht="15" customHeight="1">
      <c r="B83" s="19">
        <v>2</v>
      </c>
      <c r="C83" s="11" t="s">
        <v>465</v>
      </c>
      <c r="D83" s="35" t="s">
        <v>324</v>
      </c>
      <c r="E83" s="35" t="s">
        <v>465</v>
      </c>
      <c r="F83" s="49" t="str">
        <f>'Pod Library'!E59</f>
        <v>Test Engineer (SDET)</v>
      </c>
      <c r="G83" s="43" t="str">
        <f>'Pod Library'!F59</f>
        <v>TEST</v>
      </c>
      <c r="H83" s="43" t="str">
        <f>'Pod Library'!G59</f>
        <v>E3</v>
      </c>
      <c r="I83" s="43" t="str">
        <f>'Pod Library'!H59</f>
        <v>OFF</v>
      </c>
      <c r="J83" s="43" t="str">
        <f>'Pod Library'!I59</f>
        <v>FTC</v>
      </c>
      <c r="K83" s="9">
        <f>'Pod Library'!J59</f>
        <v>0</v>
      </c>
      <c r="L83" s="13">
        <f>'Pod Plan'!F9</f>
        <v>1</v>
      </c>
      <c r="M83" s="46">
        <f t="shared" si="1"/>
        <v>0</v>
      </c>
      <c r="N83" s="46">
        <f>M83*INDEX('Logic Tree'!$J$85:$N$87,MATCH(I83,'Logic Tree'!$I$85:$I$87,0),MATCH(H83,'Logic Tree'!$J$84:$N$84,0))</f>
        <v>0</v>
      </c>
    </row>
    <row r="84" spans="2:14" ht="15" customHeight="1">
      <c r="B84" s="19">
        <v>2</v>
      </c>
      <c r="C84" s="11" t="s">
        <v>465</v>
      </c>
      <c r="D84" s="35" t="s">
        <v>324</v>
      </c>
      <c r="E84" s="35" t="s">
        <v>465</v>
      </c>
      <c r="F84" s="49" t="str">
        <f>'Pod Library'!E60</f>
        <v>Application Support</v>
      </c>
      <c r="G84" s="43" t="str">
        <f>'Pod Library'!F60</f>
        <v>MNT</v>
      </c>
      <c r="H84" s="43" t="str">
        <f>'Pod Library'!G60</f>
        <v>E2</v>
      </c>
      <c r="I84" s="43" t="str">
        <f>'Pod Library'!H60</f>
        <v>OFF</v>
      </c>
      <c r="J84" s="43" t="str">
        <f>'Pod Library'!I60</f>
        <v>FTC</v>
      </c>
      <c r="K84" s="9">
        <f>'Pod Library'!J60</f>
        <v>0</v>
      </c>
      <c r="L84" s="13">
        <f>'Pod Plan'!F9</f>
        <v>1</v>
      </c>
      <c r="M84" s="46">
        <f t="shared" si="1"/>
        <v>0</v>
      </c>
      <c r="N84" s="46">
        <f>M84*INDEX('Logic Tree'!$J$85:$N$87,MATCH(I84,'Logic Tree'!$I$85:$I$87,0),MATCH(H84,'Logic Tree'!$J$84:$N$84,0))</f>
        <v>0</v>
      </c>
    </row>
    <row r="85" spans="2:14" ht="15" customHeight="1">
      <c r="B85" s="19">
        <v>2</v>
      </c>
      <c r="C85" s="11" t="s">
        <v>465</v>
      </c>
      <c r="D85" s="35" t="s">
        <v>324</v>
      </c>
      <c r="E85" s="35" t="s">
        <v>465</v>
      </c>
      <c r="F85" s="49" t="str">
        <f>'Pod Library'!E61</f>
        <v>Solution Architect</v>
      </c>
      <c r="G85" s="43" t="str">
        <f>'Pod Library'!F61</f>
        <v>OTH</v>
      </c>
      <c r="H85" s="43" t="str">
        <f>'Pod Library'!G61</f>
        <v>E4</v>
      </c>
      <c r="I85" s="43" t="str">
        <f>'Pod Library'!H61</f>
        <v>ON</v>
      </c>
      <c r="J85" s="43" t="str">
        <f>'Pod Library'!I61</f>
        <v>FTC</v>
      </c>
      <c r="K85" s="9">
        <f>'Pod Library'!J61</f>
        <v>0.5</v>
      </c>
      <c r="L85" s="13">
        <f>'Pod Plan'!F9</f>
        <v>1</v>
      </c>
      <c r="M85" s="46">
        <f t="shared" si="1"/>
        <v>0.5</v>
      </c>
      <c r="N85" s="46">
        <f>M85*INDEX('Logic Tree'!$J$85:$N$87,MATCH(I85,'Logic Tree'!$I$85:$I$87,0),MATCH(H85,'Logic Tree'!$J$84:$N$84,0))</f>
        <v>0.92500000000000004</v>
      </c>
    </row>
    <row r="86" spans="2:14" ht="15" customHeight="1">
      <c r="B86" s="19">
        <v>2</v>
      </c>
      <c r="C86" s="11" t="s">
        <v>465</v>
      </c>
      <c r="D86" s="35" t="s">
        <v>325</v>
      </c>
      <c r="E86" s="35" t="s">
        <v>465</v>
      </c>
      <c r="F86" s="49" t="str">
        <f>'Pod Library'!E50</f>
        <v>MetLife Product Owner</v>
      </c>
      <c r="G86" s="43" t="str">
        <f>'Pod Library'!F50</f>
        <v>PM</v>
      </c>
      <c r="H86" s="43" t="str">
        <f>'Pod Library'!G50</f>
        <v>E4</v>
      </c>
      <c r="I86" s="43" t="str">
        <f>'Pod Library'!H50</f>
        <v>ON</v>
      </c>
      <c r="J86" s="43" t="str">
        <f>'Pod Library'!I50</f>
        <v>FTE</v>
      </c>
      <c r="K86" s="9">
        <f>'Pod Library'!J50</f>
        <v>0.75</v>
      </c>
      <c r="L86" s="13">
        <f>'Pod Plan'!F10</f>
        <v>1</v>
      </c>
      <c r="M86" s="46">
        <f t="shared" si="1"/>
        <v>0.75</v>
      </c>
      <c r="N86" s="46">
        <f>M86*INDEX('Logic Tree'!$J$85:$N$87,MATCH(I86,'Logic Tree'!$I$85:$I$87,0),MATCH(H86,'Logic Tree'!$J$84:$N$84,0))</f>
        <v>1.3875000000000002</v>
      </c>
    </row>
    <row r="87" spans="2:14" ht="15" customHeight="1">
      <c r="B87" s="19">
        <v>2</v>
      </c>
      <c r="C87" s="11" t="s">
        <v>465</v>
      </c>
      <c r="D87" s="35" t="s">
        <v>325</v>
      </c>
      <c r="E87" s="35" t="s">
        <v>465</v>
      </c>
      <c r="F87" s="49" t="str">
        <f>'Pod Library'!E51</f>
        <v>MetLife Servicing SME</v>
      </c>
      <c r="G87" s="43" t="str">
        <f>'Pod Library'!F51</f>
        <v>BSA</v>
      </c>
      <c r="H87" s="43" t="str">
        <f>'Pod Library'!G51</f>
        <v>E4</v>
      </c>
      <c r="I87" s="43" t="str">
        <f>'Pod Library'!H51</f>
        <v>ON</v>
      </c>
      <c r="J87" s="43" t="str">
        <f>'Pod Library'!I51</f>
        <v>FTE</v>
      </c>
      <c r="K87" s="9">
        <f>'Pod Library'!J51</f>
        <v>1</v>
      </c>
      <c r="L87" s="13">
        <f>'Pod Plan'!F10</f>
        <v>1</v>
      </c>
      <c r="M87" s="46">
        <f t="shared" si="1"/>
        <v>1</v>
      </c>
      <c r="N87" s="46">
        <f>M87*INDEX('Logic Tree'!$J$85:$N$87,MATCH(I87,'Logic Tree'!$I$85:$I$87,0),MATCH(H87,'Logic Tree'!$J$84:$N$84,0))</f>
        <v>1.85</v>
      </c>
    </row>
    <row r="88" spans="2:14" ht="15" customHeight="1">
      <c r="B88" s="19">
        <v>2</v>
      </c>
      <c r="C88" s="11" t="s">
        <v>465</v>
      </c>
      <c r="D88" s="35" t="s">
        <v>325</v>
      </c>
      <c r="E88" s="35" t="s">
        <v>465</v>
      </c>
      <c r="F88" s="49" t="str">
        <f>'Pod Library'!E52</f>
        <v>FSI Senior Developer (JP)</v>
      </c>
      <c r="G88" s="43" t="str">
        <f>'Pod Library'!F52</f>
        <v>DEV</v>
      </c>
      <c r="H88" s="43" t="str">
        <f>'Pod Library'!G52</f>
        <v>E3</v>
      </c>
      <c r="I88" s="43" t="str">
        <f>'Pod Library'!H52</f>
        <v>ON</v>
      </c>
      <c r="J88" s="43" t="str">
        <f>'Pod Library'!I52</f>
        <v>PT</v>
      </c>
      <c r="K88" s="9">
        <f>'Pod Library'!J52</f>
        <v>2.75</v>
      </c>
      <c r="L88" s="13">
        <f>'Pod Plan'!F10</f>
        <v>1</v>
      </c>
      <c r="M88" s="46">
        <f t="shared" si="1"/>
        <v>2.75</v>
      </c>
      <c r="N88" s="46">
        <f>M88*INDEX('Logic Tree'!$J$85:$N$87,MATCH(I88,'Logic Tree'!$I$85:$I$87,0),MATCH(H88,'Logic Tree'!$J$84:$N$84,0))</f>
        <v>3.7125000000000004</v>
      </c>
    </row>
    <row r="89" spans="2:14" ht="15" customHeight="1">
      <c r="B89" s="19">
        <v>2</v>
      </c>
      <c r="C89" s="11" t="s">
        <v>465</v>
      </c>
      <c r="D89" s="35" t="s">
        <v>325</v>
      </c>
      <c r="E89" s="35" t="s">
        <v>465</v>
      </c>
      <c r="F89" s="49" t="str">
        <f>'Pod Library'!E53</f>
        <v>FSI Business Analyst (JP)</v>
      </c>
      <c r="G89" s="43" t="str">
        <f>'Pod Library'!F53</f>
        <v>BSA</v>
      </c>
      <c r="H89" s="43" t="str">
        <f>'Pod Library'!G53</f>
        <v>E3</v>
      </c>
      <c r="I89" s="43" t="str">
        <f>'Pod Library'!H53</f>
        <v>ON</v>
      </c>
      <c r="J89" s="43" t="str">
        <f>'Pod Library'!I53</f>
        <v>PT</v>
      </c>
      <c r="K89" s="9">
        <f>'Pod Library'!J53</f>
        <v>1.5</v>
      </c>
      <c r="L89" s="13">
        <f>'Pod Plan'!F10</f>
        <v>1</v>
      </c>
      <c r="M89" s="46">
        <f t="shared" si="1"/>
        <v>1.5</v>
      </c>
      <c r="N89" s="46">
        <f>M89*INDEX('Logic Tree'!$J$85:$N$87,MATCH(I89,'Logic Tree'!$I$85:$I$87,0),MATCH(H89,'Logic Tree'!$J$84:$N$84,0))</f>
        <v>2.0250000000000004</v>
      </c>
    </row>
    <row r="90" spans="2:14" ht="15" customHeight="1">
      <c r="B90" s="19">
        <v>2</v>
      </c>
      <c r="C90" s="11" t="s">
        <v>465</v>
      </c>
      <c r="D90" s="35" t="s">
        <v>325</v>
      </c>
      <c r="E90" s="35" t="s">
        <v>465</v>
      </c>
      <c r="F90" s="49" t="str">
        <f>'Pod Library'!E54</f>
        <v>Business Analyst (bilingual)</v>
      </c>
      <c r="G90" s="43" t="str">
        <f>'Pod Library'!F54</f>
        <v>BSA</v>
      </c>
      <c r="H90" s="43" t="str">
        <f>'Pod Library'!G54</f>
        <v>E3</v>
      </c>
      <c r="I90" s="43" t="str">
        <f>'Pod Library'!H54</f>
        <v>ON</v>
      </c>
      <c r="J90" s="43" t="str">
        <f>'Pod Library'!I54</f>
        <v>FTC</v>
      </c>
      <c r="K90" s="9">
        <f>'Pod Library'!J54</f>
        <v>0.5</v>
      </c>
      <c r="L90" s="13">
        <f>'Pod Plan'!F10</f>
        <v>1</v>
      </c>
      <c r="M90" s="46">
        <f t="shared" si="1"/>
        <v>0.5</v>
      </c>
      <c r="N90" s="46">
        <f>M90*INDEX('Logic Tree'!$J$85:$N$87,MATCH(I90,'Logic Tree'!$I$85:$I$87,0),MATCH(H90,'Logic Tree'!$J$84:$N$84,0))</f>
        <v>0.67500000000000004</v>
      </c>
    </row>
    <row r="91" spans="2:14" ht="15" customHeight="1">
      <c r="B91" s="19">
        <v>2</v>
      </c>
      <c r="C91" s="11" t="s">
        <v>465</v>
      </c>
      <c r="D91" s="35" t="s">
        <v>325</v>
      </c>
      <c r="E91" s="35" t="s">
        <v>465</v>
      </c>
      <c r="F91" s="49" t="str">
        <f>'Pod Library'!E55</f>
        <v>Team lead / technical lead</v>
      </c>
      <c r="G91" s="43" t="str">
        <f>'Pod Library'!F55</f>
        <v>DEV</v>
      </c>
      <c r="H91" s="43" t="str">
        <f>'Pod Library'!G55</f>
        <v>E4</v>
      </c>
      <c r="I91" s="43" t="str">
        <f>'Pod Library'!H55</f>
        <v>ON</v>
      </c>
      <c r="J91" s="43" t="str">
        <f>'Pod Library'!I55</f>
        <v>FTC</v>
      </c>
      <c r="K91" s="9">
        <f>'Pod Library'!J55</f>
        <v>0.5</v>
      </c>
      <c r="L91" s="13">
        <f>'Pod Plan'!F10</f>
        <v>1</v>
      </c>
      <c r="M91" s="46">
        <f t="shared" si="1"/>
        <v>0.5</v>
      </c>
      <c r="N91" s="46">
        <f>M91*INDEX('Logic Tree'!$J$85:$N$87,MATCH(I91,'Logic Tree'!$I$85:$I$87,0),MATCH(H91,'Logic Tree'!$J$84:$N$84,0))</f>
        <v>0.92500000000000004</v>
      </c>
    </row>
    <row r="92" spans="2:14" ht="15" customHeight="1">
      <c r="B92" s="19">
        <v>2</v>
      </c>
      <c r="C92" s="11" t="s">
        <v>465</v>
      </c>
      <c r="D92" s="35" t="s">
        <v>325</v>
      </c>
      <c r="E92" s="35" t="s">
        <v>465</v>
      </c>
      <c r="F92" s="49" t="str">
        <f>'Pod Library'!E56</f>
        <v>Workflow Developer</v>
      </c>
      <c r="G92" s="43" t="str">
        <f>'Pod Library'!F56</f>
        <v>DEV</v>
      </c>
      <c r="H92" s="43" t="str">
        <f>'Pod Library'!G56</f>
        <v>E3</v>
      </c>
      <c r="I92" s="43" t="str">
        <f>'Pod Library'!H56</f>
        <v>ON</v>
      </c>
      <c r="J92" s="43" t="str">
        <f>'Pod Library'!I56</f>
        <v>FTC</v>
      </c>
      <c r="K92" s="9">
        <f>'Pod Library'!J56</f>
        <v>0.75</v>
      </c>
      <c r="L92" s="13">
        <f>'Pod Plan'!F10</f>
        <v>1</v>
      </c>
      <c r="M92" s="46">
        <f t="shared" si="1"/>
        <v>0.75</v>
      </c>
      <c r="N92" s="46">
        <f>M92*INDEX('Logic Tree'!$J$85:$N$87,MATCH(I92,'Logic Tree'!$I$85:$I$87,0),MATCH(H92,'Logic Tree'!$J$84:$N$84,0))</f>
        <v>1.0125000000000002</v>
      </c>
    </row>
    <row r="93" spans="2:14" ht="15" customHeight="1">
      <c r="B93" s="19">
        <v>2</v>
      </c>
      <c r="C93" s="11" t="s">
        <v>465</v>
      </c>
      <c r="D93" s="35" t="s">
        <v>325</v>
      </c>
      <c r="E93" s="35" t="s">
        <v>465</v>
      </c>
      <c r="F93" s="49" t="str">
        <f>'Pod Library'!E57</f>
        <v>Workflow Developer</v>
      </c>
      <c r="G93" s="43" t="str">
        <f>'Pod Library'!F57</f>
        <v>DEV</v>
      </c>
      <c r="H93" s="43" t="str">
        <f>'Pod Library'!G57</f>
        <v>E3</v>
      </c>
      <c r="I93" s="43" t="str">
        <f>'Pod Library'!H57</f>
        <v>OFF</v>
      </c>
      <c r="J93" s="43" t="str">
        <f>'Pod Library'!I57</f>
        <v>FTC</v>
      </c>
      <c r="K93" s="9">
        <f>'Pod Library'!J57</f>
        <v>0</v>
      </c>
      <c r="L93" s="13">
        <f>'Pod Plan'!F10</f>
        <v>1</v>
      </c>
      <c r="M93" s="46">
        <f t="shared" si="1"/>
        <v>0</v>
      </c>
      <c r="N93" s="46">
        <f>M93*INDEX('Logic Tree'!$J$85:$N$87,MATCH(I93,'Logic Tree'!$I$85:$I$87,0),MATCH(H93,'Logic Tree'!$J$84:$N$84,0))</f>
        <v>0</v>
      </c>
    </row>
    <row r="94" spans="2:14" ht="15" customHeight="1">
      <c r="B94" s="19">
        <v>2</v>
      </c>
      <c r="C94" s="11" t="s">
        <v>465</v>
      </c>
      <c r="D94" s="35" t="s">
        <v>325</v>
      </c>
      <c r="E94" s="35" t="s">
        <v>465</v>
      </c>
      <c r="F94" s="49" t="str">
        <f>'Pod Library'!E58</f>
        <v>Workflow Developer</v>
      </c>
      <c r="G94" s="43" t="str">
        <f>'Pod Library'!F58</f>
        <v>DEV</v>
      </c>
      <c r="H94" s="43" t="str">
        <f>'Pod Library'!G58</f>
        <v>E2</v>
      </c>
      <c r="I94" s="43" t="str">
        <f>'Pod Library'!H58</f>
        <v>OFF</v>
      </c>
      <c r="J94" s="43" t="str">
        <f>'Pod Library'!I58</f>
        <v>FTC</v>
      </c>
      <c r="K94" s="9">
        <f>'Pod Library'!J58</f>
        <v>1</v>
      </c>
      <c r="L94" s="13">
        <f>'Pod Plan'!F10</f>
        <v>1</v>
      </c>
      <c r="M94" s="46">
        <f t="shared" si="1"/>
        <v>1</v>
      </c>
      <c r="N94" s="46">
        <f>M94*INDEX('Logic Tree'!$J$85:$N$87,MATCH(I94,'Logic Tree'!$I$85:$I$87,0),MATCH(H94,'Logic Tree'!$J$84:$N$84,0))</f>
        <v>0.3</v>
      </c>
    </row>
    <row r="95" spans="2:14" ht="15" customHeight="1">
      <c r="B95" s="19">
        <v>2</v>
      </c>
      <c r="C95" s="11" t="s">
        <v>465</v>
      </c>
      <c r="D95" s="35" t="s">
        <v>325</v>
      </c>
      <c r="E95" s="35" t="s">
        <v>465</v>
      </c>
      <c r="F95" s="49" t="str">
        <f>'Pod Library'!E59</f>
        <v>Test Engineer (SDET)</v>
      </c>
      <c r="G95" s="43" t="str">
        <f>'Pod Library'!F59</f>
        <v>TEST</v>
      </c>
      <c r="H95" s="43" t="str">
        <f>'Pod Library'!G59</f>
        <v>E3</v>
      </c>
      <c r="I95" s="43" t="str">
        <f>'Pod Library'!H59</f>
        <v>OFF</v>
      </c>
      <c r="J95" s="43" t="str">
        <f>'Pod Library'!I59</f>
        <v>FTC</v>
      </c>
      <c r="K95" s="9">
        <f>'Pod Library'!J59</f>
        <v>0</v>
      </c>
      <c r="L95" s="13">
        <f>'Pod Plan'!F10</f>
        <v>1</v>
      </c>
      <c r="M95" s="46">
        <f t="shared" si="1"/>
        <v>0</v>
      </c>
      <c r="N95" s="46">
        <f>M95*INDEX('Logic Tree'!$J$85:$N$87,MATCH(I95,'Logic Tree'!$I$85:$I$87,0),MATCH(H95,'Logic Tree'!$J$84:$N$84,0))</f>
        <v>0</v>
      </c>
    </row>
    <row r="96" spans="2:14" ht="15" customHeight="1">
      <c r="B96" s="19">
        <v>2</v>
      </c>
      <c r="C96" s="11" t="s">
        <v>465</v>
      </c>
      <c r="D96" s="35" t="s">
        <v>325</v>
      </c>
      <c r="E96" s="35" t="s">
        <v>465</v>
      </c>
      <c r="F96" s="49" t="str">
        <f>'Pod Library'!E60</f>
        <v>Application Support</v>
      </c>
      <c r="G96" s="43" t="str">
        <f>'Pod Library'!F60</f>
        <v>MNT</v>
      </c>
      <c r="H96" s="43" t="str">
        <f>'Pod Library'!G60</f>
        <v>E2</v>
      </c>
      <c r="I96" s="43" t="str">
        <f>'Pod Library'!H60</f>
        <v>OFF</v>
      </c>
      <c r="J96" s="43" t="str">
        <f>'Pod Library'!I60</f>
        <v>FTC</v>
      </c>
      <c r="K96" s="9">
        <f>'Pod Library'!J60</f>
        <v>0</v>
      </c>
      <c r="L96" s="13">
        <f>'Pod Plan'!F10</f>
        <v>1</v>
      </c>
      <c r="M96" s="46">
        <f t="shared" si="1"/>
        <v>0</v>
      </c>
      <c r="N96" s="46">
        <f>M96*INDEX('Logic Tree'!$J$85:$N$87,MATCH(I96,'Logic Tree'!$I$85:$I$87,0),MATCH(H96,'Logic Tree'!$J$84:$N$84,0))</f>
        <v>0</v>
      </c>
    </row>
    <row r="97" spans="2:14" ht="15" customHeight="1">
      <c r="B97" s="19">
        <v>2</v>
      </c>
      <c r="C97" s="11" t="s">
        <v>465</v>
      </c>
      <c r="D97" s="35" t="s">
        <v>325</v>
      </c>
      <c r="E97" s="35" t="s">
        <v>465</v>
      </c>
      <c r="F97" s="49" t="str">
        <f>'Pod Library'!E61</f>
        <v>Solution Architect</v>
      </c>
      <c r="G97" s="43" t="str">
        <f>'Pod Library'!F61</f>
        <v>OTH</v>
      </c>
      <c r="H97" s="43" t="str">
        <f>'Pod Library'!G61</f>
        <v>E4</v>
      </c>
      <c r="I97" s="43" t="str">
        <f>'Pod Library'!H61</f>
        <v>ON</v>
      </c>
      <c r="J97" s="43" t="str">
        <f>'Pod Library'!I61</f>
        <v>FTC</v>
      </c>
      <c r="K97" s="9">
        <f>'Pod Library'!J61</f>
        <v>0.5</v>
      </c>
      <c r="L97" s="13">
        <f>'Pod Plan'!F10</f>
        <v>1</v>
      </c>
      <c r="M97" s="46">
        <f t="shared" si="1"/>
        <v>0.5</v>
      </c>
      <c r="N97" s="46">
        <f>M97*INDEX('Logic Tree'!$J$85:$N$87,MATCH(I97,'Logic Tree'!$I$85:$I$87,0),MATCH(H97,'Logic Tree'!$J$84:$N$84,0))</f>
        <v>0.92500000000000004</v>
      </c>
    </row>
    <row r="98" spans="2:14" ht="15" customHeight="1">
      <c r="B98" s="19">
        <v>2</v>
      </c>
      <c r="C98" s="11" t="s">
        <v>744</v>
      </c>
      <c r="D98" s="43" t="str">
        <f>'Horizontal Teams'!C25</f>
        <v>H1</v>
      </c>
      <c r="E98" s="35" t="s">
        <v>744</v>
      </c>
      <c r="F98" s="49" t="str">
        <f>'Horizontal Teams'!E25</f>
        <v>Service Delivery Manager</v>
      </c>
      <c r="G98" s="43" t="str">
        <f>'Horizontal Teams'!D25</f>
        <v>PM</v>
      </c>
      <c r="H98" s="43" t="str">
        <f>'Horizontal Teams'!F25</f>
        <v>E5</v>
      </c>
      <c r="I98" s="43" t="str">
        <f>'Horizontal Teams'!G25</f>
        <v>ON</v>
      </c>
      <c r="J98" s="43" t="str">
        <f>'Horizontal Teams'!H25</f>
        <v>FTC</v>
      </c>
      <c r="K98" s="9">
        <f>'Horizontal Teams'!I25</f>
        <v>1</v>
      </c>
      <c r="L98" s="19">
        <v>1</v>
      </c>
      <c r="M98" s="46">
        <f t="shared" si="1"/>
        <v>1</v>
      </c>
      <c r="N98" s="46">
        <f>M98*INDEX('Logic Tree'!$J$85:$N$87,MATCH(I98,'Logic Tree'!$I$85:$I$87,0),MATCH(H98,'Logic Tree'!$J$84:$N$84,0))</f>
        <v>2.5499999999999998</v>
      </c>
    </row>
    <row r="99" spans="2:14" ht="15" customHeight="1">
      <c r="B99" s="19">
        <v>2</v>
      </c>
      <c r="C99" s="11" t="s">
        <v>744</v>
      </c>
      <c r="D99" s="43" t="str">
        <f>'Horizontal Teams'!C26</f>
        <v>H1</v>
      </c>
      <c r="E99" s="35" t="s">
        <v>744</v>
      </c>
      <c r="F99" s="49" t="str">
        <f>'Horizontal Teams'!E26</f>
        <v>Incident &amp; Problem Analyst</v>
      </c>
      <c r="G99" s="43" t="str">
        <f>'Horizontal Teams'!D26</f>
        <v>MNT</v>
      </c>
      <c r="H99" s="43" t="str">
        <f>'Horizontal Teams'!F26</f>
        <v>E3</v>
      </c>
      <c r="I99" s="43" t="str">
        <f>'Horizontal Teams'!G26</f>
        <v>ON</v>
      </c>
      <c r="J99" s="43" t="str">
        <f>'Horizontal Teams'!H26</f>
        <v>FTC</v>
      </c>
      <c r="K99" s="9">
        <f>'Horizontal Teams'!I26</f>
        <v>1</v>
      </c>
      <c r="L99" s="19">
        <v>1</v>
      </c>
      <c r="M99" s="46">
        <f t="shared" si="1"/>
        <v>1</v>
      </c>
      <c r="N99" s="46">
        <f>M99*INDEX('Logic Tree'!$J$85:$N$87,MATCH(I99,'Logic Tree'!$I$85:$I$87,0),MATCH(H99,'Logic Tree'!$J$84:$N$84,0))</f>
        <v>1.35</v>
      </c>
    </row>
    <row r="100" spans="2:14" ht="15" customHeight="1">
      <c r="B100" s="19">
        <v>2</v>
      </c>
      <c r="C100" s="11" t="s">
        <v>744</v>
      </c>
      <c r="D100" s="43" t="str">
        <f>'Horizontal Teams'!C27</f>
        <v>H1</v>
      </c>
      <c r="E100" s="35" t="s">
        <v>744</v>
      </c>
      <c r="F100" s="49" t="str">
        <f>'Horizontal Teams'!E27</f>
        <v>L2 Application Support</v>
      </c>
      <c r="G100" s="43" t="str">
        <f>'Horizontal Teams'!D27</f>
        <v>MNT</v>
      </c>
      <c r="H100" s="43" t="str">
        <f>'Horizontal Teams'!F27</f>
        <v>E2</v>
      </c>
      <c r="I100" s="43" t="str">
        <f>'Horizontal Teams'!G27</f>
        <v>OFF</v>
      </c>
      <c r="J100" s="43" t="str">
        <f>'Horizontal Teams'!H27</f>
        <v>FTC</v>
      </c>
      <c r="K100" s="9">
        <f>'Horizontal Teams'!I27</f>
        <v>1.5</v>
      </c>
      <c r="L100" s="19">
        <v>1</v>
      </c>
      <c r="M100" s="46">
        <f t="shared" si="1"/>
        <v>1.5</v>
      </c>
      <c r="N100" s="46">
        <f>M100*INDEX('Logic Tree'!$J$85:$N$87,MATCH(I100,'Logic Tree'!$I$85:$I$87,0),MATCH(H100,'Logic Tree'!$J$84:$N$84,0))</f>
        <v>0.44999999999999996</v>
      </c>
    </row>
    <row r="101" spans="2:14" ht="15" customHeight="1">
      <c r="B101" s="19">
        <v>2</v>
      </c>
      <c r="C101" s="11" t="s">
        <v>744</v>
      </c>
      <c r="D101" s="43" t="str">
        <f>'Horizontal Teams'!C28</f>
        <v>H1</v>
      </c>
      <c r="E101" s="35" t="s">
        <v>744</v>
      </c>
      <c r="F101" s="49" t="str">
        <f>'Horizontal Teams'!E28</f>
        <v>Observability / AIOps Engineer</v>
      </c>
      <c r="G101" s="43" t="str">
        <f>'Horizontal Teams'!D28</f>
        <v>OTH</v>
      </c>
      <c r="H101" s="43" t="str">
        <f>'Horizontal Teams'!F28</f>
        <v>E3</v>
      </c>
      <c r="I101" s="43" t="str">
        <f>'Horizontal Teams'!G28</f>
        <v>OFF</v>
      </c>
      <c r="J101" s="43" t="str">
        <f>'Horizontal Teams'!H28</f>
        <v>FTC</v>
      </c>
      <c r="K101" s="9">
        <f>'Horizontal Teams'!I28</f>
        <v>1</v>
      </c>
      <c r="L101" s="19">
        <v>1</v>
      </c>
      <c r="M101" s="46">
        <f t="shared" si="1"/>
        <v>1</v>
      </c>
      <c r="N101" s="46">
        <f>M101*INDEX('Logic Tree'!$J$85:$N$87,MATCH(I101,'Logic Tree'!$I$85:$I$87,0),MATCH(H101,'Logic Tree'!$J$84:$N$84,0))</f>
        <v>0.42</v>
      </c>
    </row>
    <row r="102" spans="2:14" ht="15" customHeight="1">
      <c r="B102" s="19">
        <v>2</v>
      </c>
      <c r="C102" s="11" t="s">
        <v>744</v>
      </c>
      <c r="D102" s="43" t="str">
        <f>'Horizontal Teams'!C29</f>
        <v>H1</v>
      </c>
      <c r="E102" s="35" t="s">
        <v>744</v>
      </c>
      <c r="F102" s="49" t="str">
        <f>'Horizontal Teams'!E29</f>
        <v>Batch &amp; Scheduling Engineer</v>
      </c>
      <c r="G102" s="43" t="str">
        <f>'Horizontal Teams'!D29</f>
        <v>DEV</v>
      </c>
      <c r="H102" s="43" t="str">
        <f>'Horizontal Teams'!F29</f>
        <v>E3</v>
      </c>
      <c r="I102" s="43" t="str">
        <f>'Horizontal Teams'!G29</f>
        <v>ON</v>
      </c>
      <c r="J102" s="43" t="str">
        <f>'Horizontal Teams'!H29</f>
        <v>FTC</v>
      </c>
      <c r="K102" s="9">
        <f>'Horizontal Teams'!I29</f>
        <v>1</v>
      </c>
      <c r="L102" s="19">
        <v>1</v>
      </c>
      <c r="M102" s="46">
        <f t="shared" si="1"/>
        <v>1</v>
      </c>
      <c r="N102" s="46">
        <f>M102*INDEX('Logic Tree'!$J$85:$N$87,MATCH(I102,'Logic Tree'!$I$85:$I$87,0),MATCH(H102,'Logic Tree'!$J$84:$N$84,0))</f>
        <v>1.35</v>
      </c>
    </row>
    <row r="103" spans="2:14" ht="15" customHeight="1">
      <c r="B103" s="19">
        <v>2</v>
      </c>
      <c r="C103" s="11" t="s">
        <v>744</v>
      </c>
      <c r="D103" s="43" t="str">
        <f>'Horizontal Teams'!C30</f>
        <v>H1</v>
      </c>
      <c r="E103" s="35" t="s">
        <v>744</v>
      </c>
      <c r="F103" s="49" t="str">
        <f>'Horizontal Teams'!E30</f>
        <v>MGCC Platform SRE</v>
      </c>
      <c r="G103" s="43" t="str">
        <f>'Horizontal Teams'!D30</f>
        <v>DEV</v>
      </c>
      <c r="H103" s="43" t="str">
        <f>'Horizontal Teams'!F30</f>
        <v>E3</v>
      </c>
      <c r="I103" s="43" t="str">
        <f>'Horizontal Teams'!G30</f>
        <v>OFF</v>
      </c>
      <c r="J103" s="43" t="str">
        <f>'Horizontal Teams'!H30</f>
        <v>MGCC</v>
      </c>
      <c r="K103" s="9">
        <f>'Horizontal Teams'!I30</f>
        <v>2</v>
      </c>
      <c r="L103" s="19">
        <v>1</v>
      </c>
      <c r="M103" s="46">
        <f t="shared" si="1"/>
        <v>2</v>
      </c>
      <c r="N103" s="46">
        <f>M103*INDEX('Logic Tree'!$J$85:$N$87,MATCH(I103,'Logic Tree'!$I$85:$I$87,0),MATCH(H103,'Logic Tree'!$J$84:$N$84,0))</f>
        <v>0.84</v>
      </c>
    </row>
    <row r="104" spans="2:14" ht="15" customHeight="1">
      <c r="B104" s="19">
        <v>2</v>
      </c>
      <c r="C104" s="11" t="s">
        <v>744</v>
      </c>
      <c r="D104" s="43" t="str">
        <f>'Horizontal Teams'!C31</f>
        <v>H1</v>
      </c>
      <c r="E104" s="35" t="s">
        <v>744</v>
      </c>
      <c r="F104" s="49" t="str">
        <f>'Horizontal Teams'!E31</f>
        <v>FSI Batch &amp; Production Control</v>
      </c>
      <c r="G104" s="43" t="str">
        <f>'Horizontal Teams'!D31</f>
        <v>MNT</v>
      </c>
      <c r="H104" s="43" t="str">
        <f>'Horizontal Teams'!F31</f>
        <v>E3</v>
      </c>
      <c r="I104" s="43" t="str">
        <f>'Horizontal Teams'!G31</f>
        <v>ON</v>
      </c>
      <c r="J104" s="43" t="str">
        <f>'Horizontal Teams'!H31</f>
        <v>PT</v>
      </c>
      <c r="K104" s="9">
        <f>'Horizontal Teams'!I31</f>
        <v>1.5</v>
      </c>
      <c r="L104" s="19">
        <v>1</v>
      </c>
      <c r="M104" s="46">
        <f t="shared" si="1"/>
        <v>1.5</v>
      </c>
      <c r="N104" s="46">
        <f>M104*INDEX('Logic Tree'!$J$85:$N$87,MATCH(I104,'Logic Tree'!$I$85:$I$87,0),MATCH(H104,'Logic Tree'!$J$84:$N$84,0))</f>
        <v>2.0250000000000004</v>
      </c>
    </row>
    <row r="105" spans="2:14" ht="15" customHeight="1">
      <c r="B105" s="19">
        <v>2</v>
      </c>
      <c r="C105" s="11" t="s">
        <v>744</v>
      </c>
      <c r="D105" s="43" t="str">
        <f>'Horizontal Teams'!C32</f>
        <v>H1</v>
      </c>
      <c r="E105" s="35" t="s">
        <v>744</v>
      </c>
      <c r="F105" s="49" t="str">
        <f>'Horizontal Teams'!E32</f>
        <v>MetLife Operations Analyst</v>
      </c>
      <c r="G105" s="43" t="str">
        <f>'Horizontal Teams'!D32</f>
        <v>MNT</v>
      </c>
      <c r="H105" s="43" t="str">
        <f>'Horizontal Teams'!F32</f>
        <v>E3</v>
      </c>
      <c r="I105" s="43" t="str">
        <f>'Horizontal Teams'!G32</f>
        <v>ON</v>
      </c>
      <c r="J105" s="43" t="str">
        <f>'Horizontal Teams'!H32</f>
        <v>FTE</v>
      </c>
      <c r="K105" s="9">
        <f>'Horizontal Teams'!I32</f>
        <v>2</v>
      </c>
      <c r="L105" s="19">
        <v>1</v>
      </c>
      <c r="M105" s="46">
        <f t="shared" si="1"/>
        <v>2</v>
      </c>
      <c r="N105" s="46">
        <f>M105*INDEX('Logic Tree'!$J$85:$N$87,MATCH(I105,'Logic Tree'!$I$85:$I$87,0),MATCH(H105,'Logic Tree'!$J$84:$N$84,0))</f>
        <v>2.7</v>
      </c>
    </row>
    <row r="106" spans="2:14" ht="15" customHeight="1">
      <c r="B106" s="19">
        <v>2</v>
      </c>
      <c r="C106" s="11" t="s">
        <v>744</v>
      </c>
      <c r="D106" s="43" t="str">
        <f>'Horizontal Teams'!C33</f>
        <v>H2</v>
      </c>
      <c r="E106" s="35" t="s">
        <v>744</v>
      </c>
      <c r="F106" s="49" t="str">
        <f>'Horizontal Teams'!E33</f>
        <v>Head of Quality Engineering</v>
      </c>
      <c r="G106" s="43" t="str">
        <f>'Horizontal Teams'!D33</f>
        <v>TEST</v>
      </c>
      <c r="H106" s="43" t="str">
        <f>'Horizontal Teams'!F33</f>
        <v>E5</v>
      </c>
      <c r="I106" s="43" t="str">
        <f>'Horizontal Teams'!G33</f>
        <v>ON</v>
      </c>
      <c r="J106" s="43" t="str">
        <f>'Horizontal Teams'!H33</f>
        <v>FTC</v>
      </c>
      <c r="K106" s="9">
        <f>'Horizontal Teams'!I33</f>
        <v>0.5</v>
      </c>
      <c r="L106" s="19">
        <v>1</v>
      </c>
      <c r="M106" s="46">
        <f t="shared" si="1"/>
        <v>0.5</v>
      </c>
      <c r="N106" s="46">
        <f>M106*INDEX('Logic Tree'!$J$85:$N$87,MATCH(I106,'Logic Tree'!$I$85:$I$87,0),MATCH(H106,'Logic Tree'!$J$84:$N$84,0))</f>
        <v>1.2749999999999999</v>
      </c>
    </row>
    <row r="107" spans="2:14" ht="15" customHeight="1">
      <c r="B107" s="19">
        <v>2</v>
      </c>
      <c r="C107" s="11" t="s">
        <v>744</v>
      </c>
      <c r="D107" s="43" t="str">
        <f>'Horizontal Teams'!C34</f>
        <v>H2</v>
      </c>
      <c r="E107" s="35" t="s">
        <v>744</v>
      </c>
      <c r="F107" s="49" t="str">
        <f>'Horizontal Teams'!E34</f>
        <v>Regression Automation Engineer</v>
      </c>
      <c r="G107" s="43" t="str">
        <f>'Horizontal Teams'!D34</f>
        <v>TEST</v>
      </c>
      <c r="H107" s="43" t="str">
        <f>'Horizontal Teams'!F34</f>
        <v>E3</v>
      </c>
      <c r="I107" s="43" t="str">
        <f>'Horizontal Teams'!G34</f>
        <v>OFF</v>
      </c>
      <c r="J107" s="43" t="str">
        <f>'Horizontal Teams'!H34</f>
        <v>FTC</v>
      </c>
      <c r="K107" s="9">
        <f>'Horizontal Teams'!I34</f>
        <v>0.5</v>
      </c>
      <c r="L107" s="19">
        <v>1</v>
      </c>
      <c r="M107" s="46">
        <f t="shared" si="1"/>
        <v>0.5</v>
      </c>
      <c r="N107" s="46">
        <f>M107*INDEX('Logic Tree'!$J$85:$N$87,MATCH(I107,'Logic Tree'!$I$85:$I$87,0),MATCH(H107,'Logic Tree'!$J$84:$N$84,0))</f>
        <v>0.21</v>
      </c>
    </row>
    <row r="108" spans="2:14" ht="15" customHeight="1">
      <c r="B108" s="19">
        <v>2</v>
      </c>
      <c r="C108" s="11" t="s">
        <v>744</v>
      </c>
      <c r="D108" s="43" t="str">
        <f>'Horizontal Teams'!C35</f>
        <v>H2</v>
      </c>
      <c r="E108" s="35" t="s">
        <v>744</v>
      </c>
      <c r="F108" s="49" t="str">
        <f>'Horizontal Teams'!E35</f>
        <v>Test Data Engineer</v>
      </c>
      <c r="G108" s="43" t="str">
        <f>'Horizontal Teams'!D35</f>
        <v>TEST</v>
      </c>
      <c r="H108" s="43" t="str">
        <f>'Horizontal Teams'!F35</f>
        <v>E2</v>
      </c>
      <c r="I108" s="43" t="str">
        <f>'Horizontal Teams'!G35</f>
        <v>OFF</v>
      </c>
      <c r="J108" s="43" t="str">
        <f>'Horizontal Teams'!H35</f>
        <v>FTC</v>
      </c>
      <c r="K108" s="9">
        <f>'Horizontal Teams'!I35</f>
        <v>1</v>
      </c>
      <c r="L108" s="19">
        <v>1</v>
      </c>
      <c r="M108" s="46">
        <f t="shared" si="1"/>
        <v>1</v>
      </c>
      <c r="N108" s="46">
        <f>M108*INDEX('Logic Tree'!$J$85:$N$87,MATCH(I108,'Logic Tree'!$I$85:$I$87,0),MATCH(H108,'Logic Tree'!$J$84:$N$84,0))</f>
        <v>0.3</v>
      </c>
    </row>
    <row r="109" spans="2:14" ht="15" customHeight="1">
      <c r="B109" s="19">
        <v>2</v>
      </c>
      <c r="C109" s="11" t="s">
        <v>744</v>
      </c>
      <c r="D109" s="43" t="str">
        <f>'Horizontal Teams'!C36</f>
        <v>H2</v>
      </c>
      <c r="E109" s="35" t="s">
        <v>744</v>
      </c>
      <c r="F109" s="49" t="str">
        <f>'Horizontal Teams'!E36</f>
        <v>MetLife Servicing Governance</v>
      </c>
      <c r="G109" s="43" t="str">
        <f>'Horizontal Teams'!D36</f>
        <v>BSA</v>
      </c>
      <c r="H109" s="43" t="str">
        <f>'Horizontal Teams'!F36</f>
        <v>E4</v>
      </c>
      <c r="I109" s="43" t="str">
        <f>'Horizontal Teams'!G36</f>
        <v>ON</v>
      </c>
      <c r="J109" s="43" t="str">
        <f>'Horizontal Teams'!H36</f>
        <v>FTE</v>
      </c>
      <c r="K109" s="9">
        <f>'Horizontal Teams'!I36</f>
        <v>1.5</v>
      </c>
      <c r="L109" s="19">
        <v>1</v>
      </c>
      <c r="M109" s="46">
        <f t="shared" si="1"/>
        <v>1.5</v>
      </c>
      <c r="N109" s="46">
        <f>M109*INDEX('Logic Tree'!$J$85:$N$87,MATCH(I109,'Logic Tree'!$I$85:$I$87,0),MATCH(H109,'Logic Tree'!$J$84:$N$84,0))</f>
        <v>2.7750000000000004</v>
      </c>
    </row>
    <row r="110" spans="2:14" ht="15" customHeight="1">
      <c r="B110" s="19">
        <v>2</v>
      </c>
      <c r="C110" s="11" t="s">
        <v>744</v>
      </c>
      <c r="D110" s="43" t="str">
        <f>'Horizontal Teams'!C37</f>
        <v>H3</v>
      </c>
      <c r="E110" s="35" t="s">
        <v>744</v>
      </c>
      <c r="F110" s="49" t="str">
        <f>'Horizontal Teams'!E37</f>
        <v>Domain Delivery Head</v>
      </c>
      <c r="G110" s="43" t="str">
        <f>'Horizontal Teams'!D37</f>
        <v>PM</v>
      </c>
      <c r="H110" s="43" t="str">
        <f>'Horizontal Teams'!F37</f>
        <v>E5</v>
      </c>
      <c r="I110" s="43" t="str">
        <f>'Horizontal Teams'!G37</f>
        <v>ON</v>
      </c>
      <c r="J110" s="43" t="str">
        <f>'Horizontal Teams'!H37</f>
        <v>FTC</v>
      </c>
      <c r="K110" s="9">
        <f>'Horizontal Teams'!I37</f>
        <v>0.5</v>
      </c>
      <c r="L110" s="19">
        <v>1</v>
      </c>
      <c r="M110" s="46">
        <f t="shared" si="1"/>
        <v>0.5</v>
      </c>
      <c r="N110" s="46">
        <f>M110*INDEX('Logic Tree'!$J$85:$N$87,MATCH(I110,'Logic Tree'!$I$85:$I$87,0),MATCH(H110,'Logic Tree'!$J$84:$N$84,0))</f>
        <v>1.2749999999999999</v>
      </c>
    </row>
    <row r="111" spans="2:14" ht="15" customHeight="1">
      <c r="B111" s="19">
        <v>2</v>
      </c>
      <c r="C111" s="11" t="s">
        <v>744</v>
      </c>
      <c r="D111" s="43" t="str">
        <f>'Horizontal Teams'!C38</f>
        <v>H3</v>
      </c>
      <c r="E111" s="35" t="s">
        <v>744</v>
      </c>
      <c r="F111" s="49" t="str">
        <f>'Horizontal Teams'!E38</f>
        <v>Chief Architect — Servicing</v>
      </c>
      <c r="G111" s="43" t="str">
        <f>'Horizontal Teams'!D38</f>
        <v>OTH</v>
      </c>
      <c r="H111" s="43" t="str">
        <f>'Horizontal Teams'!F38</f>
        <v>E5</v>
      </c>
      <c r="I111" s="43" t="str">
        <f>'Horizontal Teams'!G38</f>
        <v>ON</v>
      </c>
      <c r="J111" s="43" t="str">
        <f>'Horizontal Teams'!H38</f>
        <v>FTC</v>
      </c>
      <c r="K111" s="9">
        <f>'Horizontal Teams'!I38</f>
        <v>0</v>
      </c>
      <c r="L111" s="19">
        <v>1</v>
      </c>
      <c r="M111" s="46">
        <f t="shared" si="1"/>
        <v>0</v>
      </c>
      <c r="N111" s="46">
        <f>M111*INDEX('Logic Tree'!$J$85:$N$87,MATCH(I111,'Logic Tree'!$I$85:$I$87,0),MATCH(H111,'Logic Tree'!$J$84:$N$84,0))</f>
        <v>0</v>
      </c>
    </row>
    <row r="112" spans="2:14" ht="15" customHeight="1">
      <c r="B112" s="19">
        <v>2</v>
      </c>
      <c r="C112" s="11" t="s">
        <v>744</v>
      </c>
      <c r="D112" s="43" t="str">
        <f>'Horizontal Teams'!C39</f>
        <v>H3</v>
      </c>
      <c r="E112" s="35" t="s">
        <v>744</v>
      </c>
      <c r="F112" s="49" t="str">
        <f>'Horizontal Teams'!E39</f>
        <v>Transition &amp; Substrate Lead</v>
      </c>
      <c r="G112" s="43" t="str">
        <f>'Horizontal Teams'!D39</f>
        <v>OTH</v>
      </c>
      <c r="H112" s="43" t="str">
        <f>'Horizontal Teams'!F39</f>
        <v>E5</v>
      </c>
      <c r="I112" s="43" t="str">
        <f>'Horizontal Teams'!G39</f>
        <v>ON</v>
      </c>
      <c r="J112" s="43" t="str">
        <f>'Horizontal Teams'!H39</f>
        <v>FTC</v>
      </c>
      <c r="K112" s="9">
        <f>'Horizontal Teams'!I39</f>
        <v>0</v>
      </c>
      <c r="L112" s="19">
        <v>1</v>
      </c>
      <c r="M112" s="46">
        <f t="shared" si="1"/>
        <v>0</v>
      </c>
      <c r="N112" s="46">
        <f>M112*INDEX('Logic Tree'!$J$85:$N$87,MATCH(I112,'Logic Tree'!$I$85:$I$87,0),MATCH(H112,'Logic Tree'!$J$84:$N$84,0))</f>
        <v>0</v>
      </c>
    </row>
    <row r="113" spans="2:14" ht="15" customHeight="1">
      <c r="B113" s="19">
        <v>2</v>
      </c>
      <c r="C113" s="11" t="s">
        <v>744</v>
      </c>
      <c r="D113" s="43" t="str">
        <f>'Horizontal Teams'!C40</f>
        <v>H3</v>
      </c>
      <c r="E113" s="35" t="s">
        <v>744</v>
      </c>
      <c r="F113" s="49" t="str">
        <f>'Horizontal Teams'!E40</f>
        <v>Service &amp; Contract Manager</v>
      </c>
      <c r="G113" s="43" t="str">
        <f>'Horizontal Teams'!D40</f>
        <v>PM</v>
      </c>
      <c r="H113" s="43" t="str">
        <f>'Horizontal Teams'!F40</f>
        <v>E4</v>
      </c>
      <c r="I113" s="43" t="str">
        <f>'Horizontal Teams'!G40</f>
        <v>ON</v>
      </c>
      <c r="J113" s="43" t="str">
        <f>'Horizontal Teams'!H40</f>
        <v>FTC</v>
      </c>
      <c r="K113" s="9">
        <f>'Horizontal Teams'!I40</f>
        <v>0.5</v>
      </c>
      <c r="L113" s="19">
        <v>1</v>
      </c>
      <c r="M113" s="46">
        <f t="shared" si="1"/>
        <v>0.5</v>
      </c>
      <c r="N113" s="46">
        <f>M113*INDEX('Logic Tree'!$J$85:$N$87,MATCH(I113,'Logic Tree'!$I$85:$I$87,0),MATCH(H113,'Logic Tree'!$J$84:$N$84,0))</f>
        <v>0.92500000000000004</v>
      </c>
    </row>
    <row r="114" spans="2:14" ht="15" customHeight="1">
      <c r="B114" s="19">
        <v>2</v>
      </c>
      <c r="C114" s="11" t="s">
        <v>744</v>
      </c>
      <c r="D114" s="43" t="str">
        <f>'Horizontal Teams'!C41</f>
        <v>H3</v>
      </c>
      <c r="E114" s="35" t="s">
        <v>744</v>
      </c>
      <c r="F114" s="49" t="str">
        <f>'Horizontal Teams'!E41</f>
        <v>MetLife Servicing Owner</v>
      </c>
      <c r="G114" s="43" t="str">
        <f>'Horizontal Teams'!D41</f>
        <v>BSA</v>
      </c>
      <c r="H114" s="43" t="str">
        <f>'Horizontal Teams'!F41</f>
        <v>E5</v>
      </c>
      <c r="I114" s="43" t="str">
        <f>'Horizontal Teams'!G41</f>
        <v>ON</v>
      </c>
      <c r="J114" s="43" t="str">
        <f>'Horizontal Teams'!H41</f>
        <v>FTE</v>
      </c>
      <c r="K114" s="9">
        <f>'Horizontal Teams'!I41</f>
        <v>0.5</v>
      </c>
      <c r="L114" s="19">
        <v>1</v>
      </c>
      <c r="M114" s="46">
        <f t="shared" si="1"/>
        <v>0.5</v>
      </c>
      <c r="N114" s="46">
        <f>M114*INDEX('Logic Tree'!$J$85:$N$87,MATCH(I114,'Logic Tree'!$I$85:$I$87,0),MATCH(H114,'Logic Tree'!$J$84:$N$84,0))</f>
        <v>1.2749999999999999</v>
      </c>
    </row>
    <row r="115" spans="2:14" ht="15" customHeight="1">
      <c r="B115" s="19">
        <v>2</v>
      </c>
      <c r="C115" s="11" t="s">
        <v>744</v>
      </c>
      <c r="D115" s="43" t="str">
        <f>'Horizontal Teams'!C42</f>
        <v>H3</v>
      </c>
      <c r="E115" s="35" t="s">
        <v>744</v>
      </c>
      <c r="F115" s="49" t="str">
        <f>'Horizontal Teams'!E42</f>
        <v>MetLife Portfolio Manager</v>
      </c>
      <c r="G115" s="43" t="str">
        <f>'Horizontal Teams'!D42</f>
        <v>PM</v>
      </c>
      <c r="H115" s="43" t="str">
        <f>'Horizontal Teams'!F42</f>
        <v>E4</v>
      </c>
      <c r="I115" s="43" t="str">
        <f>'Horizontal Teams'!G42</f>
        <v>ON</v>
      </c>
      <c r="J115" s="43" t="str">
        <f>'Horizontal Teams'!H42</f>
        <v>FTE</v>
      </c>
      <c r="K115" s="9">
        <f>'Horizontal Teams'!I42</f>
        <v>2.5</v>
      </c>
      <c r="L115" s="19">
        <v>1</v>
      </c>
      <c r="M115" s="46">
        <f t="shared" si="1"/>
        <v>2.5</v>
      </c>
      <c r="N115" s="46">
        <f>M115*INDEX('Logic Tree'!$J$85:$N$87,MATCH(I115,'Logic Tree'!$I$85:$I$87,0),MATCH(H115,'Logic Tree'!$J$84:$N$84,0))</f>
        <v>4.625</v>
      </c>
    </row>
    <row r="116" spans="2:14" ht="15" customHeight="1">
      <c r="B116" s="19">
        <v>3</v>
      </c>
      <c r="C116" s="11" t="s">
        <v>448</v>
      </c>
      <c r="D116" s="35" t="s">
        <v>324</v>
      </c>
      <c r="E116" s="35" t="s">
        <v>448</v>
      </c>
      <c r="F116" s="49" t="str">
        <f>'Pod Library'!E65</f>
        <v>MetLife Product Owner</v>
      </c>
      <c r="G116" s="43" t="str">
        <f>'Pod Library'!F65</f>
        <v>PM</v>
      </c>
      <c r="H116" s="43" t="str">
        <f>'Pod Library'!G65</f>
        <v>E4</v>
      </c>
      <c r="I116" s="43" t="str">
        <f>'Pod Library'!H65</f>
        <v>ON</v>
      </c>
      <c r="J116" s="43" t="str">
        <f>'Pod Library'!I65</f>
        <v>FTE</v>
      </c>
      <c r="K116" s="9">
        <f>'Pod Library'!J65</f>
        <v>1.21</v>
      </c>
      <c r="L116" s="13">
        <f>'Pod Plan'!E13</f>
        <v>6</v>
      </c>
      <c r="M116" s="46">
        <f t="shared" si="1"/>
        <v>7.26</v>
      </c>
      <c r="N116" s="46">
        <f>M116*INDEX('Logic Tree'!$J$85:$N$87,MATCH(I116,'Logic Tree'!$I$85:$I$87,0),MATCH(H116,'Logic Tree'!$J$84:$N$84,0))</f>
        <v>13.431000000000001</v>
      </c>
    </row>
    <row r="117" spans="2:14" ht="15" customHeight="1">
      <c r="B117" s="19">
        <v>3</v>
      </c>
      <c r="C117" s="11" t="s">
        <v>448</v>
      </c>
      <c r="D117" s="35" t="s">
        <v>324</v>
      </c>
      <c r="E117" s="35" t="s">
        <v>448</v>
      </c>
      <c r="F117" s="49" t="str">
        <f>'Pod Library'!E66</f>
        <v>MetLife Servicing SME</v>
      </c>
      <c r="G117" s="43" t="str">
        <f>'Pod Library'!F66</f>
        <v>BSA</v>
      </c>
      <c r="H117" s="43" t="str">
        <f>'Pod Library'!G66</f>
        <v>E4</v>
      </c>
      <c r="I117" s="43" t="str">
        <f>'Pod Library'!H66</f>
        <v>ON</v>
      </c>
      <c r="J117" s="43" t="str">
        <f>'Pod Library'!I66</f>
        <v>FTE</v>
      </c>
      <c r="K117" s="9">
        <f>'Pod Library'!J66</f>
        <v>1</v>
      </c>
      <c r="L117" s="13">
        <f>'Pod Plan'!E13</f>
        <v>6</v>
      </c>
      <c r="M117" s="46">
        <f t="shared" si="1"/>
        <v>6</v>
      </c>
      <c r="N117" s="46">
        <f>M117*INDEX('Logic Tree'!$J$85:$N$87,MATCH(I117,'Logic Tree'!$I$85:$I$87,0),MATCH(H117,'Logic Tree'!$J$84:$N$84,0))</f>
        <v>11.100000000000001</v>
      </c>
    </row>
    <row r="118" spans="2:14" ht="15" customHeight="1">
      <c r="B118" s="19">
        <v>3</v>
      </c>
      <c r="C118" s="11" t="s">
        <v>448</v>
      </c>
      <c r="D118" s="35" t="s">
        <v>324</v>
      </c>
      <c r="E118" s="35" t="s">
        <v>448</v>
      </c>
      <c r="F118" s="49" t="str">
        <f>'Pod Library'!E67</f>
        <v>MGCC Workflow Engineer</v>
      </c>
      <c r="G118" s="43" t="str">
        <f>'Pod Library'!F67</f>
        <v>DEV</v>
      </c>
      <c r="H118" s="43" t="str">
        <f>'Pod Library'!G67</f>
        <v>E3</v>
      </c>
      <c r="I118" s="43" t="str">
        <f>'Pod Library'!H67</f>
        <v>OFF</v>
      </c>
      <c r="J118" s="43" t="str">
        <f>'Pod Library'!I67</f>
        <v>MGCC</v>
      </c>
      <c r="K118" s="9">
        <f>'Pod Library'!J67</f>
        <v>0.71</v>
      </c>
      <c r="L118" s="13">
        <f>'Pod Plan'!E13</f>
        <v>6</v>
      </c>
      <c r="M118" s="46">
        <f t="shared" si="1"/>
        <v>4.26</v>
      </c>
      <c r="N118" s="46">
        <f>M118*INDEX('Logic Tree'!$J$85:$N$87,MATCH(I118,'Logic Tree'!$I$85:$I$87,0),MATCH(H118,'Logic Tree'!$J$84:$N$84,0))</f>
        <v>1.7891999999999999</v>
      </c>
    </row>
    <row r="119" spans="2:14" ht="15" customHeight="1">
      <c r="B119" s="19">
        <v>3</v>
      </c>
      <c r="C119" s="11" t="s">
        <v>448</v>
      </c>
      <c r="D119" s="35" t="s">
        <v>324</v>
      </c>
      <c r="E119" s="35" t="s">
        <v>448</v>
      </c>
      <c r="F119" s="49" t="str">
        <f>'Pod Library'!E68</f>
        <v>Business Analyst (bilingual)</v>
      </c>
      <c r="G119" s="43" t="str">
        <f>'Pod Library'!F68</f>
        <v>BSA</v>
      </c>
      <c r="H119" s="43" t="str">
        <f>'Pod Library'!G68</f>
        <v>E3</v>
      </c>
      <c r="I119" s="43" t="str">
        <f>'Pod Library'!H68</f>
        <v>ON</v>
      </c>
      <c r="J119" s="43" t="str">
        <f>'Pod Library'!I68</f>
        <v>FTC</v>
      </c>
      <c r="K119" s="9">
        <f>'Pod Library'!J68</f>
        <v>1</v>
      </c>
      <c r="L119" s="13">
        <f>'Pod Plan'!E13</f>
        <v>6</v>
      </c>
      <c r="M119" s="46">
        <f t="shared" si="1"/>
        <v>6</v>
      </c>
      <c r="N119" s="46">
        <f>M119*INDEX('Logic Tree'!$J$85:$N$87,MATCH(I119,'Logic Tree'!$I$85:$I$87,0),MATCH(H119,'Logic Tree'!$J$84:$N$84,0))</f>
        <v>8.1000000000000014</v>
      </c>
    </row>
    <row r="120" spans="2:14" ht="15" customHeight="1">
      <c r="B120" s="19">
        <v>3</v>
      </c>
      <c r="C120" s="11" t="s">
        <v>448</v>
      </c>
      <c r="D120" s="35" t="s">
        <v>324</v>
      </c>
      <c r="E120" s="35" t="s">
        <v>448</v>
      </c>
      <c r="F120" s="49" t="str">
        <f>'Pod Library'!E69</f>
        <v>Pod lead</v>
      </c>
      <c r="G120" s="43" t="str">
        <f>'Pod Library'!F69</f>
        <v>DEV</v>
      </c>
      <c r="H120" s="43" t="str">
        <f>'Pod Library'!G69</f>
        <v>E4</v>
      </c>
      <c r="I120" s="43" t="str">
        <f>'Pod Library'!H69</f>
        <v>OFF</v>
      </c>
      <c r="J120" s="43" t="str">
        <f>'Pod Library'!I69</f>
        <v>FTC</v>
      </c>
      <c r="K120" s="9">
        <f>'Pod Library'!J69</f>
        <v>0</v>
      </c>
      <c r="L120" s="13">
        <f>'Pod Plan'!E13</f>
        <v>6</v>
      </c>
      <c r="M120" s="46">
        <f t="shared" si="1"/>
        <v>0</v>
      </c>
      <c r="N120" s="46">
        <f>M120*INDEX('Logic Tree'!$J$85:$N$87,MATCH(I120,'Logic Tree'!$I$85:$I$87,0),MATCH(H120,'Logic Tree'!$J$84:$N$84,0))</f>
        <v>0</v>
      </c>
    </row>
    <row r="121" spans="2:14" ht="15" customHeight="1">
      <c r="B121" s="19">
        <v>3</v>
      </c>
      <c r="C121" s="11" t="s">
        <v>448</v>
      </c>
      <c r="D121" s="35" t="s">
        <v>324</v>
      </c>
      <c r="E121" s="35" t="s">
        <v>448</v>
      </c>
      <c r="F121" s="49" t="str">
        <f>'Pod Library'!E70</f>
        <v>Pod lead / senior engineer</v>
      </c>
      <c r="G121" s="43" t="str">
        <f>'Pod Library'!F70</f>
        <v>DEV</v>
      </c>
      <c r="H121" s="43" t="str">
        <f>'Pod Library'!G70</f>
        <v>E4</v>
      </c>
      <c r="I121" s="43" t="str">
        <f>'Pod Library'!H70</f>
        <v>OFF</v>
      </c>
      <c r="J121" s="43" t="str">
        <f>'Pod Library'!I70</f>
        <v>FTC</v>
      </c>
      <c r="K121" s="9">
        <f>'Pod Library'!J70</f>
        <v>0.5</v>
      </c>
      <c r="L121" s="13">
        <f>'Pod Plan'!E13</f>
        <v>6</v>
      </c>
      <c r="M121" s="46">
        <f t="shared" si="1"/>
        <v>3</v>
      </c>
      <c r="N121" s="46">
        <f>M121*INDEX('Logic Tree'!$J$85:$N$87,MATCH(I121,'Logic Tree'!$I$85:$I$87,0),MATCH(H121,'Logic Tree'!$J$84:$N$84,0))</f>
        <v>1.7999999999999998</v>
      </c>
    </row>
    <row r="122" spans="2:14" ht="15" customHeight="1">
      <c r="B122" s="19">
        <v>3</v>
      </c>
      <c r="C122" s="11" t="s">
        <v>448</v>
      </c>
      <c r="D122" s="35" t="s">
        <v>324</v>
      </c>
      <c r="E122" s="35" t="s">
        <v>448</v>
      </c>
      <c r="F122" s="49" t="str">
        <f>'Pod Library'!E71</f>
        <v>AI-assisted Workflow Engineer</v>
      </c>
      <c r="G122" s="43" t="str">
        <f>'Pod Library'!F71</f>
        <v>DEV</v>
      </c>
      <c r="H122" s="43" t="str">
        <f>'Pod Library'!G71</f>
        <v>E3</v>
      </c>
      <c r="I122" s="43" t="str">
        <f>'Pod Library'!H71</f>
        <v>OFF</v>
      </c>
      <c r="J122" s="43" t="str">
        <f>'Pod Library'!I71</f>
        <v>FTC</v>
      </c>
      <c r="K122" s="9">
        <f>'Pod Library'!J71</f>
        <v>0.5</v>
      </c>
      <c r="L122" s="13">
        <f>'Pod Plan'!E13</f>
        <v>6</v>
      </c>
      <c r="M122" s="46">
        <f t="shared" si="1"/>
        <v>3</v>
      </c>
      <c r="N122" s="46">
        <f>M122*INDEX('Logic Tree'!$J$85:$N$87,MATCH(I122,'Logic Tree'!$I$85:$I$87,0),MATCH(H122,'Logic Tree'!$J$84:$N$84,0))</f>
        <v>1.26</v>
      </c>
    </row>
    <row r="123" spans="2:14" ht="15" customHeight="1">
      <c r="B123" s="19">
        <v>3</v>
      </c>
      <c r="C123" s="11" t="s">
        <v>448</v>
      </c>
      <c r="D123" s="35" t="s">
        <v>324</v>
      </c>
      <c r="E123" s="35" t="s">
        <v>448</v>
      </c>
      <c r="F123" s="49" t="str">
        <f>'Pod Library'!E72</f>
        <v>Workflow Engineer</v>
      </c>
      <c r="G123" s="43" t="str">
        <f>'Pod Library'!F72</f>
        <v>DEV</v>
      </c>
      <c r="H123" s="43" t="str">
        <f>'Pod Library'!G72</f>
        <v>E2</v>
      </c>
      <c r="I123" s="43" t="str">
        <f>'Pod Library'!H72</f>
        <v>OFF</v>
      </c>
      <c r="J123" s="43" t="str">
        <f>'Pod Library'!I72</f>
        <v>FTC</v>
      </c>
      <c r="K123" s="9">
        <f>'Pod Library'!J72</f>
        <v>0.5</v>
      </c>
      <c r="L123" s="13">
        <f>'Pod Plan'!E13</f>
        <v>6</v>
      </c>
      <c r="M123" s="46">
        <f t="shared" si="1"/>
        <v>3</v>
      </c>
      <c r="N123" s="46">
        <f>M123*INDEX('Logic Tree'!$J$85:$N$87,MATCH(I123,'Logic Tree'!$I$85:$I$87,0),MATCH(H123,'Logic Tree'!$J$84:$N$84,0))</f>
        <v>0.89999999999999991</v>
      </c>
    </row>
    <row r="124" spans="2:14" ht="15" customHeight="1">
      <c r="B124" s="19">
        <v>3</v>
      </c>
      <c r="C124" s="11" t="s">
        <v>448</v>
      </c>
      <c r="D124" s="35" t="s">
        <v>324</v>
      </c>
      <c r="E124" s="35" t="s">
        <v>448</v>
      </c>
      <c r="F124" s="49" t="str">
        <f>'Pod Library'!E73</f>
        <v>Quality Engineer (SDET)</v>
      </c>
      <c r="G124" s="43" t="str">
        <f>'Pod Library'!F73</f>
        <v>TEST</v>
      </c>
      <c r="H124" s="43" t="str">
        <f>'Pod Library'!G73</f>
        <v>E3</v>
      </c>
      <c r="I124" s="43" t="str">
        <f>'Pod Library'!H73</f>
        <v>OFF</v>
      </c>
      <c r="J124" s="43" t="str">
        <f>'Pod Library'!I73</f>
        <v>FTC</v>
      </c>
      <c r="K124" s="9">
        <f>'Pod Library'!J73</f>
        <v>1</v>
      </c>
      <c r="L124" s="13">
        <f>'Pod Plan'!E13</f>
        <v>6</v>
      </c>
      <c r="M124" s="46">
        <f t="shared" si="1"/>
        <v>6</v>
      </c>
      <c r="N124" s="46">
        <f>M124*INDEX('Logic Tree'!$J$85:$N$87,MATCH(I124,'Logic Tree'!$I$85:$I$87,0),MATCH(H124,'Logic Tree'!$J$84:$N$84,0))</f>
        <v>2.52</v>
      </c>
    </row>
    <row r="125" spans="2:14" ht="15" customHeight="1">
      <c r="B125" s="19">
        <v>3</v>
      </c>
      <c r="C125" s="11" t="s">
        <v>448</v>
      </c>
      <c r="D125" s="35" t="s">
        <v>324</v>
      </c>
      <c r="E125" s="35" t="s">
        <v>448</v>
      </c>
      <c r="F125" s="49" t="str">
        <f>'Pod Library'!E74</f>
        <v>Application Support</v>
      </c>
      <c r="G125" s="43" t="str">
        <f>'Pod Library'!F74</f>
        <v>MNT</v>
      </c>
      <c r="H125" s="43" t="str">
        <f>'Pod Library'!G74</f>
        <v>E2</v>
      </c>
      <c r="I125" s="43" t="str">
        <f>'Pod Library'!H74</f>
        <v>OFF</v>
      </c>
      <c r="J125" s="43" t="str">
        <f>'Pod Library'!I74</f>
        <v>FTC</v>
      </c>
      <c r="K125" s="9">
        <f>'Pod Library'!J74</f>
        <v>0.5</v>
      </c>
      <c r="L125" s="13">
        <f>'Pod Plan'!E13</f>
        <v>6</v>
      </c>
      <c r="M125" s="46">
        <f t="shared" si="1"/>
        <v>3</v>
      </c>
      <c r="N125" s="46">
        <f>M125*INDEX('Logic Tree'!$J$85:$N$87,MATCH(I125,'Logic Tree'!$I$85:$I$87,0),MATCH(H125,'Logic Tree'!$J$84:$N$84,0))</f>
        <v>0.89999999999999991</v>
      </c>
    </row>
    <row r="126" spans="2:14" ht="15" customHeight="1">
      <c r="B126" s="19">
        <v>3</v>
      </c>
      <c r="C126" s="11" t="s">
        <v>448</v>
      </c>
      <c r="D126" s="35" t="s">
        <v>324</v>
      </c>
      <c r="E126" s="35" t="s">
        <v>448</v>
      </c>
      <c r="F126" s="49" t="str">
        <f>'Pod Library'!E75</f>
        <v>Solution Architect</v>
      </c>
      <c r="G126" s="43" t="str">
        <f>'Pod Library'!F75</f>
        <v>OTH</v>
      </c>
      <c r="H126" s="43" t="str">
        <f>'Pod Library'!G75</f>
        <v>E4</v>
      </c>
      <c r="I126" s="43" t="str">
        <f>'Pod Library'!H75</f>
        <v>ON</v>
      </c>
      <c r="J126" s="43" t="str">
        <f>'Pod Library'!I75</f>
        <v>FTC</v>
      </c>
      <c r="K126" s="9">
        <f>'Pod Library'!J75</f>
        <v>0</v>
      </c>
      <c r="L126" s="13">
        <f>'Pod Plan'!E13</f>
        <v>6</v>
      </c>
      <c r="M126" s="46">
        <f t="shared" si="1"/>
        <v>0</v>
      </c>
      <c r="N126" s="46">
        <f>M126*INDEX('Logic Tree'!$J$85:$N$87,MATCH(I126,'Logic Tree'!$I$85:$I$87,0),MATCH(H126,'Logic Tree'!$J$84:$N$84,0))</f>
        <v>0</v>
      </c>
    </row>
    <row r="127" spans="2:14" ht="15" customHeight="1">
      <c r="B127" s="19">
        <v>3</v>
      </c>
      <c r="C127" s="11" t="s">
        <v>448</v>
      </c>
      <c r="D127" s="35" t="s">
        <v>325</v>
      </c>
      <c r="E127" s="35" t="s">
        <v>448</v>
      </c>
      <c r="F127" s="49" t="str">
        <f>'Pod Library'!E65</f>
        <v>MetLife Product Owner</v>
      </c>
      <c r="G127" s="43" t="str">
        <f>'Pod Library'!F65</f>
        <v>PM</v>
      </c>
      <c r="H127" s="43" t="str">
        <f>'Pod Library'!G65</f>
        <v>E4</v>
      </c>
      <c r="I127" s="43" t="str">
        <f>'Pod Library'!H65</f>
        <v>ON</v>
      </c>
      <c r="J127" s="43" t="str">
        <f>'Pod Library'!I65</f>
        <v>FTE</v>
      </c>
      <c r="K127" s="9">
        <f>'Pod Library'!J65</f>
        <v>1.21</v>
      </c>
      <c r="L127" s="13">
        <f>'Pod Plan'!E14</f>
        <v>1</v>
      </c>
      <c r="M127" s="46">
        <f t="shared" si="1"/>
        <v>1.21</v>
      </c>
      <c r="N127" s="46">
        <f>M127*INDEX('Logic Tree'!$J$85:$N$87,MATCH(I127,'Logic Tree'!$I$85:$I$87,0),MATCH(H127,'Logic Tree'!$J$84:$N$84,0))</f>
        <v>2.2385000000000002</v>
      </c>
    </row>
    <row r="128" spans="2:14" ht="15" customHeight="1">
      <c r="B128" s="19">
        <v>3</v>
      </c>
      <c r="C128" s="11" t="s">
        <v>448</v>
      </c>
      <c r="D128" s="35" t="s">
        <v>325</v>
      </c>
      <c r="E128" s="35" t="s">
        <v>448</v>
      </c>
      <c r="F128" s="49" t="str">
        <f>'Pod Library'!E66</f>
        <v>MetLife Servicing SME</v>
      </c>
      <c r="G128" s="43" t="str">
        <f>'Pod Library'!F66</f>
        <v>BSA</v>
      </c>
      <c r="H128" s="43" t="str">
        <f>'Pod Library'!G66</f>
        <v>E4</v>
      </c>
      <c r="I128" s="43" t="str">
        <f>'Pod Library'!H66</f>
        <v>ON</v>
      </c>
      <c r="J128" s="43" t="str">
        <f>'Pod Library'!I66</f>
        <v>FTE</v>
      </c>
      <c r="K128" s="9">
        <f>'Pod Library'!J66</f>
        <v>1</v>
      </c>
      <c r="L128" s="13">
        <f>'Pod Plan'!E14</f>
        <v>1</v>
      </c>
      <c r="M128" s="46">
        <f t="shared" si="1"/>
        <v>1</v>
      </c>
      <c r="N128" s="46">
        <f>M128*INDEX('Logic Tree'!$J$85:$N$87,MATCH(I128,'Logic Tree'!$I$85:$I$87,0),MATCH(H128,'Logic Tree'!$J$84:$N$84,0))</f>
        <v>1.85</v>
      </c>
    </row>
    <row r="129" spans="2:14" ht="15" customHeight="1">
      <c r="B129" s="19">
        <v>3</v>
      </c>
      <c r="C129" s="11" t="s">
        <v>448</v>
      </c>
      <c r="D129" s="35" t="s">
        <v>325</v>
      </c>
      <c r="E129" s="35" t="s">
        <v>448</v>
      </c>
      <c r="F129" s="49" t="str">
        <f>'Pod Library'!E67</f>
        <v>MGCC Workflow Engineer</v>
      </c>
      <c r="G129" s="43" t="str">
        <f>'Pod Library'!F67</f>
        <v>DEV</v>
      </c>
      <c r="H129" s="43" t="str">
        <f>'Pod Library'!G67</f>
        <v>E3</v>
      </c>
      <c r="I129" s="43" t="str">
        <f>'Pod Library'!H67</f>
        <v>OFF</v>
      </c>
      <c r="J129" s="43" t="str">
        <f>'Pod Library'!I67</f>
        <v>MGCC</v>
      </c>
      <c r="K129" s="9">
        <f>'Pod Library'!J67</f>
        <v>0.71</v>
      </c>
      <c r="L129" s="13">
        <f>'Pod Plan'!E14</f>
        <v>1</v>
      </c>
      <c r="M129" s="46">
        <f t="shared" si="1"/>
        <v>0.71</v>
      </c>
      <c r="N129" s="46">
        <f>M129*INDEX('Logic Tree'!$J$85:$N$87,MATCH(I129,'Logic Tree'!$I$85:$I$87,0),MATCH(H129,'Logic Tree'!$J$84:$N$84,0))</f>
        <v>0.29819999999999997</v>
      </c>
    </row>
    <row r="130" spans="2:14" ht="15" customHeight="1">
      <c r="B130" s="19">
        <v>3</v>
      </c>
      <c r="C130" s="11" t="s">
        <v>448</v>
      </c>
      <c r="D130" s="35" t="s">
        <v>325</v>
      </c>
      <c r="E130" s="35" t="s">
        <v>448</v>
      </c>
      <c r="F130" s="49" t="str">
        <f>'Pod Library'!E68</f>
        <v>Business Analyst (bilingual)</v>
      </c>
      <c r="G130" s="43" t="str">
        <f>'Pod Library'!F68</f>
        <v>BSA</v>
      </c>
      <c r="H130" s="43" t="str">
        <f>'Pod Library'!G68</f>
        <v>E3</v>
      </c>
      <c r="I130" s="43" t="str">
        <f>'Pod Library'!H68</f>
        <v>ON</v>
      </c>
      <c r="J130" s="43" t="str">
        <f>'Pod Library'!I68</f>
        <v>FTC</v>
      </c>
      <c r="K130" s="9">
        <f>'Pod Library'!J68</f>
        <v>1</v>
      </c>
      <c r="L130" s="13">
        <f>'Pod Plan'!E14</f>
        <v>1</v>
      </c>
      <c r="M130" s="46">
        <f t="shared" si="1"/>
        <v>1</v>
      </c>
      <c r="N130" s="46">
        <f>M130*INDEX('Logic Tree'!$J$85:$N$87,MATCH(I130,'Logic Tree'!$I$85:$I$87,0),MATCH(H130,'Logic Tree'!$J$84:$N$84,0))</f>
        <v>1.35</v>
      </c>
    </row>
    <row r="131" spans="2:14" ht="15" customHeight="1">
      <c r="B131" s="19">
        <v>3</v>
      </c>
      <c r="C131" s="11" t="s">
        <v>448</v>
      </c>
      <c r="D131" s="35" t="s">
        <v>325</v>
      </c>
      <c r="E131" s="35" t="s">
        <v>448</v>
      </c>
      <c r="F131" s="49" t="str">
        <f>'Pod Library'!E69</f>
        <v>Pod lead</v>
      </c>
      <c r="G131" s="43" t="str">
        <f>'Pod Library'!F69</f>
        <v>DEV</v>
      </c>
      <c r="H131" s="43" t="str">
        <f>'Pod Library'!G69</f>
        <v>E4</v>
      </c>
      <c r="I131" s="43" t="str">
        <f>'Pod Library'!H69</f>
        <v>OFF</v>
      </c>
      <c r="J131" s="43" t="str">
        <f>'Pod Library'!I69</f>
        <v>FTC</v>
      </c>
      <c r="K131" s="9">
        <f>'Pod Library'!J69</f>
        <v>0</v>
      </c>
      <c r="L131" s="13">
        <f>'Pod Plan'!E14</f>
        <v>1</v>
      </c>
      <c r="M131" s="46">
        <f t="shared" si="1"/>
        <v>0</v>
      </c>
      <c r="N131" s="46">
        <f>M131*INDEX('Logic Tree'!$J$85:$N$87,MATCH(I131,'Logic Tree'!$I$85:$I$87,0),MATCH(H131,'Logic Tree'!$J$84:$N$84,0))</f>
        <v>0</v>
      </c>
    </row>
    <row r="132" spans="2:14" ht="15" customHeight="1">
      <c r="B132" s="19">
        <v>3</v>
      </c>
      <c r="C132" s="11" t="s">
        <v>448</v>
      </c>
      <c r="D132" s="35" t="s">
        <v>325</v>
      </c>
      <c r="E132" s="35" t="s">
        <v>448</v>
      </c>
      <c r="F132" s="49" t="str">
        <f>'Pod Library'!E70</f>
        <v>Pod lead / senior engineer</v>
      </c>
      <c r="G132" s="43" t="str">
        <f>'Pod Library'!F70</f>
        <v>DEV</v>
      </c>
      <c r="H132" s="43" t="str">
        <f>'Pod Library'!G70</f>
        <v>E4</v>
      </c>
      <c r="I132" s="43" t="str">
        <f>'Pod Library'!H70</f>
        <v>OFF</v>
      </c>
      <c r="J132" s="43" t="str">
        <f>'Pod Library'!I70</f>
        <v>FTC</v>
      </c>
      <c r="K132" s="9">
        <f>'Pod Library'!J70</f>
        <v>0.5</v>
      </c>
      <c r="L132" s="13">
        <f>'Pod Plan'!E14</f>
        <v>1</v>
      </c>
      <c r="M132" s="46">
        <f t="shared" si="1"/>
        <v>0.5</v>
      </c>
      <c r="N132" s="46">
        <f>M132*INDEX('Logic Tree'!$J$85:$N$87,MATCH(I132,'Logic Tree'!$I$85:$I$87,0),MATCH(H132,'Logic Tree'!$J$84:$N$84,0))</f>
        <v>0.3</v>
      </c>
    </row>
    <row r="133" spans="2:14" ht="15" customHeight="1">
      <c r="B133" s="19">
        <v>3</v>
      </c>
      <c r="C133" s="11" t="s">
        <v>448</v>
      </c>
      <c r="D133" s="35" t="s">
        <v>325</v>
      </c>
      <c r="E133" s="35" t="s">
        <v>448</v>
      </c>
      <c r="F133" s="49" t="str">
        <f>'Pod Library'!E71</f>
        <v>AI-assisted Workflow Engineer</v>
      </c>
      <c r="G133" s="43" t="str">
        <f>'Pod Library'!F71</f>
        <v>DEV</v>
      </c>
      <c r="H133" s="43" t="str">
        <f>'Pod Library'!G71</f>
        <v>E3</v>
      </c>
      <c r="I133" s="43" t="str">
        <f>'Pod Library'!H71</f>
        <v>OFF</v>
      </c>
      <c r="J133" s="43" t="str">
        <f>'Pod Library'!I71</f>
        <v>FTC</v>
      </c>
      <c r="K133" s="9">
        <f>'Pod Library'!J71</f>
        <v>0.5</v>
      </c>
      <c r="L133" s="13">
        <f>'Pod Plan'!E14</f>
        <v>1</v>
      </c>
      <c r="M133" s="46">
        <f t="shared" ref="M133:M196" si="2">K133*L133</f>
        <v>0.5</v>
      </c>
      <c r="N133" s="46">
        <f>M133*INDEX('Logic Tree'!$J$85:$N$87,MATCH(I133,'Logic Tree'!$I$85:$I$87,0),MATCH(H133,'Logic Tree'!$J$84:$N$84,0))</f>
        <v>0.21</v>
      </c>
    </row>
    <row r="134" spans="2:14" ht="15" customHeight="1">
      <c r="B134" s="19">
        <v>3</v>
      </c>
      <c r="C134" s="11" t="s">
        <v>448</v>
      </c>
      <c r="D134" s="35" t="s">
        <v>325</v>
      </c>
      <c r="E134" s="35" t="s">
        <v>448</v>
      </c>
      <c r="F134" s="49" t="str">
        <f>'Pod Library'!E72</f>
        <v>Workflow Engineer</v>
      </c>
      <c r="G134" s="43" t="str">
        <f>'Pod Library'!F72</f>
        <v>DEV</v>
      </c>
      <c r="H134" s="43" t="str">
        <f>'Pod Library'!G72</f>
        <v>E2</v>
      </c>
      <c r="I134" s="43" t="str">
        <f>'Pod Library'!H72</f>
        <v>OFF</v>
      </c>
      <c r="J134" s="43" t="str">
        <f>'Pod Library'!I72</f>
        <v>FTC</v>
      </c>
      <c r="K134" s="9">
        <f>'Pod Library'!J72</f>
        <v>0.5</v>
      </c>
      <c r="L134" s="13">
        <f>'Pod Plan'!E14</f>
        <v>1</v>
      </c>
      <c r="M134" s="46">
        <f t="shared" si="2"/>
        <v>0.5</v>
      </c>
      <c r="N134" s="46">
        <f>M134*INDEX('Logic Tree'!$J$85:$N$87,MATCH(I134,'Logic Tree'!$I$85:$I$87,0),MATCH(H134,'Logic Tree'!$J$84:$N$84,0))</f>
        <v>0.15</v>
      </c>
    </row>
    <row r="135" spans="2:14" ht="15" customHeight="1">
      <c r="B135" s="19">
        <v>3</v>
      </c>
      <c r="C135" s="11" t="s">
        <v>448</v>
      </c>
      <c r="D135" s="35" t="s">
        <v>325</v>
      </c>
      <c r="E135" s="35" t="s">
        <v>448</v>
      </c>
      <c r="F135" s="49" t="str">
        <f>'Pod Library'!E73</f>
        <v>Quality Engineer (SDET)</v>
      </c>
      <c r="G135" s="43" t="str">
        <f>'Pod Library'!F73</f>
        <v>TEST</v>
      </c>
      <c r="H135" s="43" t="str">
        <f>'Pod Library'!G73</f>
        <v>E3</v>
      </c>
      <c r="I135" s="43" t="str">
        <f>'Pod Library'!H73</f>
        <v>OFF</v>
      </c>
      <c r="J135" s="43" t="str">
        <f>'Pod Library'!I73</f>
        <v>FTC</v>
      </c>
      <c r="K135" s="9">
        <f>'Pod Library'!J73</f>
        <v>1</v>
      </c>
      <c r="L135" s="13">
        <f>'Pod Plan'!E14</f>
        <v>1</v>
      </c>
      <c r="M135" s="46">
        <f t="shared" si="2"/>
        <v>1</v>
      </c>
      <c r="N135" s="46">
        <f>M135*INDEX('Logic Tree'!$J$85:$N$87,MATCH(I135,'Logic Tree'!$I$85:$I$87,0),MATCH(H135,'Logic Tree'!$J$84:$N$84,0))</f>
        <v>0.42</v>
      </c>
    </row>
    <row r="136" spans="2:14" ht="15" customHeight="1">
      <c r="B136" s="19">
        <v>3</v>
      </c>
      <c r="C136" s="11" t="s">
        <v>448</v>
      </c>
      <c r="D136" s="35" t="s">
        <v>325</v>
      </c>
      <c r="E136" s="35" t="s">
        <v>448</v>
      </c>
      <c r="F136" s="49" t="str">
        <f>'Pod Library'!E74</f>
        <v>Application Support</v>
      </c>
      <c r="G136" s="43" t="str">
        <f>'Pod Library'!F74</f>
        <v>MNT</v>
      </c>
      <c r="H136" s="43" t="str">
        <f>'Pod Library'!G74</f>
        <v>E2</v>
      </c>
      <c r="I136" s="43" t="str">
        <f>'Pod Library'!H74</f>
        <v>OFF</v>
      </c>
      <c r="J136" s="43" t="str">
        <f>'Pod Library'!I74</f>
        <v>FTC</v>
      </c>
      <c r="K136" s="9">
        <f>'Pod Library'!J74</f>
        <v>0.5</v>
      </c>
      <c r="L136" s="13">
        <f>'Pod Plan'!E14</f>
        <v>1</v>
      </c>
      <c r="M136" s="46">
        <f t="shared" si="2"/>
        <v>0.5</v>
      </c>
      <c r="N136" s="46">
        <f>M136*INDEX('Logic Tree'!$J$85:$N$87,MATCH(I136,'Logic Tree'!$I$85:$I$87,0),MATCH(H136,'Logic Tree'!$J$84:$N$84,0))</f>
        <v>0.15</v>
      </c>
    </row>
    <row r="137" spans="2:14" ht="15" customHeight="1">
      <c r="B137" s="19">
        <v>3</v>
      </c>
      <c r="C137" s="11" t="s">
        <v>448</v>
      </c>
      <c r="D137" s="35" t="s">
        <v>325</v>
      </c>
      <c r="E137" s="35" t="s">
        <v>448</v>
      </c>
      <c r="F137" s="49" t="str">
        <f>'Pod Library'!E75</f>
        <v>Solution Architect</v>
      </c>
      <c r="G137" s="43" t="str">
        <f>'Pod Library'!F75</f>
        <v>OTH</v>
      </c>
      <c r="H137" s="43" t="str">
        <f>'Pod Library'!G75</f>
        <v>E4</v>
      </c>
      <c r="I137" s="43" t="str">
        <f>'Pod Library'!H75</f>
        <v>ON</v>
      </c>
      <c r="J137" s="43" t="str">
        <f>'Pod Library'!I75</f>
        <v>FTC</v>
      </c>
      <c r="K137" s="9">
        <f>'Pod Library'!J75</f>
        <v>0</v>
      </c>
      <c r="L137" s="13">
        <f>'Pod Plan'!E14</f>
        <v>1</v>
      </c>
      <c r="M137" s="46">
        <f t="shared" si="2"/>
        <v>0</v>
      </c>
      <c r="N137" s="46">
        <f>M137*INDEX('Logic Tree'!$J$85:$N$87,MATCH(I137,'Logic Tree'!$I$85:$I$87,0),MATCH(H137,'Logic Tree'!$J$84:$N$84,0))</f>
        <v>0</v>
      </c>
    </row>
    <row r="138" spans="2:14" ht="15" customHeight="1">
      <c r="B138" s="19">
        <v>3</v>
      </c>
      <c r="C138" s="11" t="s">
        <v>744</v>
      </c>
      <c r="D138" s="43" t="str">
        <f>'Horizontal Teams'!C45</f>
        <v>H1</v>
      </c>
      <c r="E138" s="35" t="s">
        <v>744</v>
      </c>
      <c r="F138" s="49" t="str">
        <f>'Horizontal Teams'!E45</f>
        <v>Service Delivery Manager</v>
      </c>
      <c r="G138" s="43" t="str">
        <f>'Horizontal Teams'!D45</f>
        <v>PM</v>
      </c>
      <c r="H138" s="43" t="str">
        <f>'Horizontal Teams'!F45</f>
        <v>E5</v>
      </c>
      <c r="I138" s="43" t="str">
        <f>'Horizontal Teams'!G45</f>
        <v>ON</v>
      </c>
      <c r="J138" s="43" t="str">
        <f>'Horizontal Teams'!H45</f>
        <v>FTC</v>
      </c>
      <c r="K138" s="9">
        <f>'Horizontal Teams'!I45</f>
        <v>0.5</v>
      </c>
      <c r="L138" s="19">
        <v>1</v>
      </c>
      <c r="M138" s="46">
        <f t="shared" si="2"/>
        <v>0.5</v>
      </c>
      <c r="N138" s="46">
        <f>M138*INDEX('Logic Tree'!$J$85:$N$87,MATCH(I138,'Logic Tree'!$I$85:$I$87,0),MATCH(H138,'Logic Tree'!$J$84:$N$84,0))</f>
        <v>1.2749999999999999</v>
      </c>
    </row>
    <row r="139" spans="2:14" ht="15" customHeight="1">
      <c r="B139" s="19">
        <v>3</v>
      </c>
      <c r="C139" s="11" t="s">
        <v>744</v>
      </c>
      <c r="D139" s="43" t="str">
        <f>'Horizontal Teams'!C46</f>
        <v>H1</v>
      </c>
      <c r="E139" s="35" t="s">
        <v>744</v>
      </c>
      <c r="F139" s="49" t="str">
        <f>'Horizontal Teams'!E46</f>
        <v>Incident &amp; Problem Analyst</v>
      </c>
      <c r="G139" s="43" t="str">
        <f>'Horizontal Teams'!D46</f>
        <v>MNT</v>
      </c>
      <c r="H139" s="43" t="str">
        <f>'Horizontal Teams'!F46</f>
        <v>E3</v>
      </c>
      <c r="I139" s="43" t="str">
        <f>'Horizontal Teams'!G46</f>
        <v>ON</v>
      </c>
      <c r="J139" s="43" t="str">
        <f>'Horizontal Teams'!H46</f>
        <v>FTC</v>
      </c>
      <c r="K139" s="9">
        <f>'Horizontal Teams'!I46</f>
        <v>0.5</v>
      </c>
      <c r="L139" s="19">
        <v>1</v>
      </c>
      <c r="M139" s="46">
        <f t="shared" si="2"/>
        <v>0.5</v>
      </c>
      <c r="N139" s="46">
        <f>M139*INDEX('Logic Tree'!$J$85:$N$87,MATCH(I139,'Logic Tree'!$I$85:$I$87,0),MATCH(H139,'Logic Tree'!$J$84:$N$84,0))</f>
        <v>0.67500000000000004</v>
      </c>
    </row>
    <row r="140" spans="2:14" ht="15" customHeight="1">
      <c r="B140" s="19">
        <v>3</v>
      </c>
      <c r="C140" s="11" t="s">
        <v>744</v>
      </c>
      <c r="D140" s="43" t="str">
        <f>'Horizontal Teams'!C47</f>
        <v>H1</v>
      </c>
      <c r="E140" s="35" t="s">
        <v>744</v>
      </c>
      <c r="F140" s="49" t="str">
        <f>'Horizontal Teams'!E47</f>
        <v>L2 Application Support</v>
      </c>
      <c r="G140" s="43" t="str">
        <f>'Horizontal Teams'!D47</f>
        <v>MNT</v>
      </c>
      <c r="H140" s="43" t="str">
        <f>'Horizontal Teams'!F47</f>
        <v>E2</v>
      </c>
      <c r="I140" s="43" t="str">
        <f>'Horizontal Teams'!G47</f>
        <v>OFF</v>
      </c>
      <c r="J140" s="43" t="str">
        <f>'Horizontal Teams'!H47</f>
        <v>FTC</v>
      </c>
      <c r="K140" s="9">
        <f>'Horizontal Teams'!I47</f>
        <v>0.5</v>
      </c>
      <c r="L140" s="19">
        <v>1</v>
      </c>
      <c r="M140" s="46">
        <f t="shared" si="2"/>
        <v>0.5</v>
      </c>
      <c r="N140" s="46">
        <f>M140*INDEX('Logic Tree'!$J$85:$N$87,MATCH(I140,'Logic Tree'!$I$85:$I$87,0),MATCH(H140,'Logic Tree'!$J$84:$N$84,0))</f>
        <v>0.15</v>
      </c>
    </row>
    <row r="141" spans="2:14" ht="15" customHeight="1">
      <c r="B141" s="19">
        <v>3</v>
      </c>
      <c r="C141" s="11" t="s">
        <v>744</v>
      </c>
      <c r="D141" s="43" t="str">
        <f>'Horizontal Teams'!C48</f>
        <v>H1</v>
      </c>
      <c r="E141" s="35" t="s">
        <v>744</v>
      </c>
      <c r="F141" s="49" t="str">
        <f>'Horizontal Teams'!E48</f>
        <v>Observability / AIOps Engineer</v>
      </c>
      <c r="G141" s="43" t="str">
        <f>'Horizontal Teams'!D48</f>
        <v>OTH</v>
      </c>
      <c r="H141" s="43" t="str">
        <f>'Horizontal Teams'!F48</f>
        <v>E3</v>
      </c>
      <c r="I141" s="43" t="str">
        <f>'Horizontal Teams'!G48</f>
        <v>OFF</v>
      </c>
      <c r="J141" s="43" t="str">
        <f>'Horizontal Teams'!H48</f>
        <v>FTC</v>
      </c>
      <c r="K141" s="9">
        <f>'Horizontal Teams'!I48</f>
        <v>0.5</v>
      </c>
      <c r="L141" s="19">
        <v>1</v>
      </c>
      <c r="M141" s="46">
        <f t="shared" si="2"/>
        <v>0.5</v>
      </c>
      <c r="N141" s="46">
        <f>M141*INDEX('Logic Tree'!$J$85:$N$87,MATCH(I141,'Logic Tree'!$I$85:$I$87,0),MATCH(H141,'Logic Tree'!$J$84:$N$84,0))</f>
        <v>0.21</v>
      </c>
    </row>
    <row r="142" spans="2:14" ht="15" customHeight="1">
      <c r="B142" s="19">
        <v>3</v>
      </c>
      <c r="C142" s="11" t="s">
        <v>744</v>
      </c>
      <c r="D142" s="43" t="str">
        <f>'Horizontal Teams'!C49</f>
        <v>H1</v>
      </c>
      <c r="E142" s="35" t="s">
        <v>744</v>
      </c>
      <c r="F142" s="49" t="str">
        <f>'Horizontal Teams'!E49</f>
        <v>Batch &amp; Scheduling Engineer</v>
      </c>
      <c r="G142" s="43" t="str">
        <f>'Horizontal Teams'!D49</f>
        <v>DEV</v>
      </c>
      <c r="H142" s="43" t="str">
        <f>'Horizontal Teams'!F49</f>
        <v>E3</v>
      </c>
      <c r="I142" s="43" t="str">
        <f>'Horizontal Teams'!G49</f>
        <v>ON</v>
      </c>
      <c r="J142" s="43" t="str">
        <f>'Horizontal Teams'!H49</f>
        <v>FTC</v>
      </c>
      <c r="K142" s="9">
        <f>'Horizontal Teams'!I49</f>
        <v>0.5</v>
      </c>
      <c r="L142" s="19">
        <v>1</v>
      </c>
      <c r="M142" s="46">
        <f t="shared" si="2"/>
        <v>0.5</v>
      </c>
      <c r="N142" s="46">
        <f>M142*INDEX('Logic Tree'!$J$85:$N$87,MATCH(I142,'Logic Tree'!$I$85:$I$87,0),MATCH(H142,'Logic Tree'!$J$84:$N$84,0))</f>
        <v>0.67500000000000004</v>
      </c>
    </row>
    <row r="143" spans="2:14" ht="15" customHeight="1">
      <c r="B143" s="19">
        <v>3</v>
      </c>
      <c r="C143" s="11" t="s">
        <v>744</v>
      </c>
      <c r="D143" s="43" t="str">
        <f>'Horizontal Teams'!C50</f>
        <v>H1</v>
      </c>
      <c r="E143" s="35" t="s">
        <v>744</v>
      </c>
      <c r="F143" s="49" t="str">
        <f>'Horizontal Teams'!E50</f>
        <v>MGCC Platform SRE</v>
      </c>
      <c r="G143" s="43" t="str">
        <f>'Horizontal Teams'!D50</f>
        <v>DEV</v>
      </c>
      <c r="H143" s="43" t="str">
        <f>'Horizontal Teams'!F50</f>
        <v>E3</v>
      </c>
      <c r="I143" s="43" t="str">
        <f>'Horizontal Teams'!G50</f>
        <v>OFF</v>
      </c>
      <c r="J143" s="43" t="str">
        <f>'Horizontal Teams'!H50</f>
        <v>MGCC</v>
      </c>
      <c r="K143" s="9">
        <f>'Horizontal Teams'!I50</f>
        <v>2.5</v>
      </c>
      <c r="L143" s="19">
        <v>1</v>
      </c>
      <c r="M143" s="46">
        <f t="shared" si="2"/>
        <v>2.5</v>
      </c>
      <c r="N143" s="46">
        <f>M143*INDEX('Logic Tree'!$J$85:$N$87,MATCH(I143,'Logic Tree'!$I$85:$I$87,0),MATCH(H143,'Logic Tree'!$J$84:$N$84,0))</f>
        <v>1.05</v>
      </c>
    </row>
    <row r="144" spans="2:14" ht="15" customHeight="1">
      <c r="B144" s="19">
        <v>3</v>
      </c>
      <c r="C144" s="11" t="s">
        <v>744</v>
      </c>
      <c r="D144" s="43" t="str">
        <f>'Horizontal Teams'!C51</f>
        <v>H1</v>
      </c>
      <c r="E144" s="35" t="s">
        <v>744</v>
      </c>
      <c r="F144" s="49" t="str">
        <f>'Horizontal Teams'!E51</f>
        <v>FSI Batch &amp; Production Control</v>
      </c>
      <c r="G144" s="43" t="str">
        <f>'Horizontal Teams'!D51</f>
        <v>MNT</v>
      </c>
      <c r="H144" s="43" t="str">
        <f>'Horizontal Teams'!F51</f>
        <v>E3</v>
      </c>
      <c r="I144" s="43" t="str">
        <f>'Horizontal Teams'!G51</f>
        <v>ON</v>
      </c>
      <c r="J144" s="43" t="str">
        <f>'Horizontal Teams'!H51</f>
        <v>PT</v>
      </c>
      <c r="K144" s="9">
        <f>'Horizontal Teams'!I51</f>
        <v>7</v>
      </c>
      <c r="L144" s="19">
        <v>1</v>
      </c>
      <c r="M144" s="46">
        <f t="shared" si="2"/>
        <v>7</v>
      </c>
      <c r="N144" s="46">
        <f>M144*INDEX('Logic Tree'!$J$85:$N$87,MATCH(I144,'Logic Tree'!$I$85:$I$87,0),MATCH(H144,'Logic Tree'!$J$84:$N$84,0))</f>
        <v>9.4500000000000011</v>
      </c>
    </row>
    <row r="145" spans="2:14" ht="15" customHeight="1">
      <c r="B145" s="19">
        <v>3</v>
      </c>
      <c r="C145" s="11" t="s">
        <v>744</v>
      </c>
      <c r="D145" s="43" t="str">
        <f>'Horizontal Teams'!C52</f>
        <v>H1</v>
      </c>
      <c r="E145" s="35" t="s">
        <v>744</v>
      </c>
      <c r="F145" s="49" t="str">
        <f>'Horizontal Teams'!E52</f>
        <v>MetLife Operations Analyst</v>
      </c>
      <c r="G145" s="43" t="str">
        <f>'Horizontal Teams'!D52</f>
        <v>MNT</v>
      </c>
      <c r="H145" s="43" t="str">
        <f>'Horizontal Teams'!F52</f>
        <v>E3</v>
      </c>
      <c r="I145" s="43" t="str">
        <f>'Horizontal Teams'!G52</f>
        <v>ON</v>
      </c>
      <c r="J145" s="43" t="str">
        <f>'Horizontal Teams'!H52</f>
        <v>FTE</v>
      </c>
      <c r="K145" s="9">
        <f>'Horizontal Teams'!I52</f>
        <v>0.5</v>
      </c>
      <c r="L145" s="19">
        <v>1</v>
      </c>
      <c r="M145" s="46">
        <f t="shared" si="2"/>
        <v>0.5</v>
      </c>
      <c r="N145" s="46">
        <f>M145*INDEX('Logic Tree'!$J$85:$N$87,MATCH(I145,'Logic Tree'!$I$85:$I$87,0),MATCH(H145,'Logic Tree'!$J$84:$N$84,0))</f>
        <v>0.67500000000000004</v>
      </c>
    </row>
    <row r="146" spans="2:14" ht="15" customHeight="1">
      <c r="B146" s="19">
        <v>3</v>
      </c>
      <c r="C146" s="11" t="s">
        <v>744</v>
      </c>
      <c r="D146" s="43" t="str">
        <f>'Horizontal Teams'!C53</f>
        <v>H2</v>
      </c>
      <c r="E146" s="35" t="s">
        <v>744</v>
      </c>
      <c r="F146" s="49" t="str">
        <f>'Horizontal Teams'!E53</f>
        <v>Head of Quality Engineering</v>
      </c>
      <c r="G146" s="43" t="str">
        <f>'Horizontal Teams'!D53</f>
        <v>TEST</v>
      </c>
      <c r="H146" s="43" t="str">
        <f>'Horizontal Teams'!F53</f>
        <v>E5</v>
      </c>
      <c r="I146" s="43" t="str">
        <f>'Horizontal Teams'!G53</f>
        <v>ON</v>
      </c>
      <c r="J146" s="43" t="str">
        <f>'Horizontal Teams'!H53</f>
        <v>FTC</v>
      </c>
      <c r="K146" s="9">
        <f>'Horizontal Teams'!I53</f>
        <v>1</v>
      </c>
      <c r="L146" s="19">
        <v>1</v>
      </c>
      <c r="M146" s="46">
        <f t="shared" si="2"/>
        <v>1</v>
      </c>
      <c r="N146" s="46">
        <f>M146*INDEX('Logic Tree'!$J$85:$N$87,MATCH(I146,'Logic Tree'!$I$85:$I$87,0),MATCH(H146,'Logic Tree'!$J$84:$N$84,0))</f>
        <v>2.5499999999999998</v>
      </c>
    </row>
    <row r="147" spans="2:14" ht="15" customHeight="1">
      <c r="B147" s="19">
        <v>3</v>
      </c>
      <c r="C147" s="11" t="s">
        <v>744</v>
      </c>
      <c r="D147" s="43" t="str">
        <f>'Horizontal Teams'!C54</f>
        <v>H2</v>
      </c>
      <c r="E147" s="35" t="s">
        <v>744</v>
      </c>
      <c r="F147" s="49" t="str">
        <f>'Horizontal Teams'!E54</f>
        <v>Regression Automation Engineer</v>
      </c>
      <c r="G147" s="43" t="str">
        <f>'Horizontal Teams'!D54</f>
        <v>TEST</v>
      </c>
      <c r="H147" s="43" t="str">
        <f>'Horizontal Teams'!F54</f>
        <v>E3</v>
      </c>
      <c r="I147" s="43" t="str">
        <f>'Horizontal Teams'!G54</f>
        <v>OFF</v>
      </c>
      <c r="J147" s="43" t="str">
        <f>'Horizontal Teams'!H54</f>
        <v>FTC</v>
      </c>
      <c r="K147" s="9">
        <f>'Horizontal Teams'!I54</f>
        <v>0.5</v>
      </c>
      <c r="L147" s="19">
        <v>1</v>
      </c>
      <c r="M147" s="46">
        <f t="shared" si="2"/>
        <v>0.5</v>
      </c>
      <c r="N147" s="46">
        <f>M147*INDEX('Logic Tree'!$J$85:$N$87,MATCH(I147,'Logic Tree'!$I$85:$I$87,0),MATCH(H147,'Logic Tree'!$J$84:$N$84,0))</f>
        <v>0.21</v>
      </c>
    </row>
    <row r="148" spans="2:14" ht="15" customHeight="1">
      <c r="B148" s="19">
        <v>3</v>
      </c>
      <c r="C148" s="11" t="s">
        <v>744</v>
      </c>
      <c r="D148" s="43" t="str">
        <f>'Horizontal Teams'!C55</f>
        <v>H2</v>
      </c>
      <c r="E148" s="35" t="s">
        <v>744</v>
      </c>
      <c r="F148" s="49" t="str">
        <f>'Horizontal Teams'!E55</f>
        <v>Test Data Engineer</v>
      </c>
      <c r="G148" s="43" t="str">
        <f>'Horizontal Teams'!D55</f>
        <v>DEV</v>
      </c>
      <c r="H148" s="43" t="str">
        <f>'Horizontal Teams'!F55</f>
        <v>E2</v>
      </c>
      <c r="I148" s="43" t="str">
        <f>'Horizontal Teams'!G55</f>
        <v>OFF</v>
      </c>
      <c r="J148" s="43" t="str">
        <f>'Horizontal Teams'!H55</f>
        <v>FTC</v>
      </c>
      <c r="K148" s="9">
        <f>'Horizontal Teams'!I55</f>
        <v>0.5</v>
      </c>
      <c r="L148" s="19">
        <v>1</v>
      </c>
      <c r="M148" s="46">
        <f t="shared" si="2"/>
        <v>0.5</v>
      </c>
      <c r="N148" s="46">
        <f>M148*INDEX('Logic Tree'!$J$85:$N$87,MATCH(I148,'Logic Tree'!$I$85:$I$87,0),MATCH(H148,'Logic Tree'!$J$84:$N$84,0))</f>
        <v>0.15</v>
      </c>
    </row>
    <row r="149" spans="2:14" ht="15" customHeight="1">
      <c r="B149" s="19">
        <v>3</v>
      </c>
      <c r="C149" s="11" t="s">
        <v>744</v>
      </c>
      <c r="D149" s="43" t="str">
        <f>'Horizontal Teams'!C56</f>
        <v>H2</v>
      </c>
      <c r="E149" s="35" t="s">
        <v>744</v>
      </c>
      <c r="F149" s="49" t="str">
        <f>'Horizontal Teams'!E56</f>
        <v>MetLife Servicing Governance</v>
      </c>
      <c r="G149" s="43" t="str">
        <f>'Horizontal Teams'!D56</f>
        <v>BSA</v>
      </c>
      <c r="H149" s="43" t="str">
        <f>'Horizontal Teams'!F56</f>
        <v>E4</v>
      </c>
      <c r="I149" s="43" t="str">
        <f>'Horizontal Teams'!G56</f>
        <v>ON</v>
      </c>
      <c r="J149" s="43" t="str">
        <f>'Horizontal Teams'!H56</f>
        <v>FTE</v>
      </c>
      <c r="K149" s="9">
        <f>'Horizontal Teams'!I56</f>
        <v>1.5</v>
      </c>
      <c r="L149" s="19">
        <v>1</v>
      </c>
      <c r="M149" s="46">
        <f t="shared" si="2"/>
        <v>1.5</v>
      </c>
      <c r="N149" s="46">
        <f>M149*INDEX('Logic Tree'!$J$85:$N$87,MATCH(I149,'Logic Tree'!$I$85:$I$87,0),MATCH(H149,'Logic Tree'!$J$84:$N$84,0))</f>
        <v>2.7750000000000004</v>
      </c>
    </row>
    <row r="150" spans="2:14" ht="15" customHeight="1">
      <c r="B150" s="19">
        <v>3</v>
      </c>
      <c r="C150" s="11" t="s">
        <v>744</v>
      </c>
      <c r="D150" s="43" t="str">
        <f>'Horizontal Teams'!C57</f>
        <v>H3</v>
      </c>
      <c r="E150" s="35" t="s">
        <v>744</v>
      </c>
      <c r="F150" s="49" t="str">
        <f>'Horizontal Teams'!E57</f>
        <v>Domain Delivery Head</v>
      </c>
      <c r="G150" s="43" t="str">
        <f>'Horizontal Teams'!D57</f>
        <v>PM</v>
      </c>
      <c r="H150" s="43" t="str">
        <f>'Horizontal Teams'!F57</f>
        <v>E5</v>
      </c>
      <c r="I150" s="43" t="str">
        <f>'Horizontal Teams'!G57</f>
        <v>ON</v>
      </c>
      <c r="J150" s="43" t="str">
        <f>'Horizontal Teams'!H57</f>
        <v>FTC</v>
      </c>
      <c r="K150" s="9">
        <f>'Horizontal Teams'!I57</f>
        <v>0.5</v>
      </c>
      <c r="L150" s="19">
        <v>1</v>
      </c>
      <c r="M150" s="46">
        <f t="shared" si="2"/>
        <v>0.5</v>
      </c>
      <c r="N150" s="46">
        <f>M150*INDEX('Logic Tree'!$J$85:$N$87,MATCH(I150,'Logic Tree'!$I$85:$I$87,0),MATCH(H150,'Logic Tree'!$J$84:$N$84,0))</f>
        <v>1.2749999999999999</v>
      </c>
    </row>
    <row r="151" spans="2:14" ht="15" customHeight="1">
      <c r="B151" s="19">
        <v>3</v>
      </c>
      <c r="C151" s="11" t="s">
        <v>744</v>
      </c>
      <c r="D151" s="43" t="str">
        <f>'Horizontal Teams'!C58</f>
        <v>H3</v>
      </c>
      <c r="E151" s="35" t="s">
        <v>744</v>
      </c>
      <c r="F151" s="49" t="str">
        <f>'Horizontal Teams'!E58</f>
        <v>Chief Architect — Servicing</v>
      </c>
      <c r="G151" s="43" t="str">
        <f>'Horizontal Teams'!D58</f>
        <v>OTH</v>
      </c>
      <c r="H151" s="43" t="str">
        <f>'Horizontal Teams'!F58</f>
        <v>E5</v>
      </c>
      <c r="I151" s="43" t="str">
        <f>'Horizontal Teams'!G58</f>
        <v>ON</v>
      </c>
      <c r="J151" s="43" t="str">
        <f>'Horizontal Teams'!H58</f>
        <v>FTC</v>
      </c>
      <c r="K151" s="9">
        <f>'Horizontal Teams'!I58</f>
        <v>0</v>
      </c>
      <c r="L151" s="19">
        <v>1</v>
      </c>
      <c r="M151" s="46">
        <f t="shared" si="2"/>
        <v>0</v>
      </c>
      <c r="N151" s="46">
        <f>M151*INDEX('Logic Tree'!$J$85:$N$87,MATCH(I151,'Logic Tree'!$I$85:$I$87,0),MATCH(H151,'Logic Tree'!$J$84:$N$84,0))</f>
        <v>0</v>
      </c>
    </row>
    <row r="152" spans="2:14" ht="15" customHeight="1">
      <c r="B152" s="19">
        <v>3</v>
      </c>
      <c r="C152" s="11" t="s">
        <v>744</v>
      </c>
      <c r="D152" s="43" t="str">
        <f>'Horizontal Teams'!C59</f>
        <v>H3</v>
      </c>
      <c r="E152" s="35" t="s">
        <v>744</v>
      </c>
      <c r="F152" s="49" t="str">
        <f>'Horizontal Teams'!E59</f>
        <v>Transition &amp; Substrate Lead</v>
      </c>
      <c r="G152" s="43" t="str">
        <f>'Horizontal Teams'!D59</f>
        <v>OTH</v>
      </c>
      <c r="H152" s="43" t="str">
        <f>'Horizontal Teams'!F59</f>
        <v>E5</v>
      </c>
      <c r="I152" s="43" t="str">
        <f>'Horizontal Teams'!G59</f>
        <v>ON</v>
      </c>
      <c r="J152" s="43" t="str">
        <f>'Horizontal Teams'!H59</f>
        <v>FTC</v>
      </c>
      <c r="K152" s="9">
        <f>'Horizontal Teams'!I59</f>
        <v>0</v>
      </c>
      <c r="L152" s="19">
        <v>1</v>
      </c>
      <c r="M152" s="46">
        <f t="shared" si="2"/>
        <v>0</v>
      </c>
      <c r="N152" s="46">
        <f>M152*INDEX('Logic Tree'!$J$85:$N$87,MATCH(I152,'Logic Tree'!$I$85:$I$87,0),MATCH(H152,'Logic Tree'!$J$84:$N$84,0))</f>
        <v>0</v>
      </c>
    </row>
    <row r="153" spans="2:14" ht="15" customHeight="1">
      <c r="B153" s="19">
        <v>3</v>
      </c>
      <c r="C153" s="11" t="s">
        <v>744</v>
      </c>
      <c r="D153" s="43" t="str">
        <f>'Horizontal Teams'!C60</f>
        <v>H3</v>
      </c>
      <c r="E153" s="35" t="s">
        <v>744</v>
      </c>
      <c r="F153" s="49" t="str">
        <f>'Horizontal Teams'!E60</f>
        <v>Service &amp; Contract Manager</v>
      </c>
      <c r="G153" s="43" t="str">
        <f>'Horizontal Teams'!D60</f>
        <v>PM</v>
      </c>
      <c r="H153" s="43" t="str">
        <f>'Horizontal Teams'!F60</f>
        <v>E4</v>
      </c>
      <c r="I153" s="43" t="str">
        <f>'Horizontal Teams'!G60</f>
        <v>ON</v>
      </c>
      <c r="J153" s="43" t="str">
        <f>'Horizontal Teams'!H60</f>
        <v>FTC</v>
      </c>
      <c r="K153" s="9">
        <f>'Horizontal Teams'!I60</f>
        <v>0.5</v>
      </c>
      <c r="L153" s="19">
        <v>1</v>
      </c>
      <c r="M153" s="46">
        <f t="shared" si="2"/>
        <v>0.5</v>
      </c>
      <c r="N153" s="46">
        <f>M153*INDEX('Logic Tree'!$J$85:$N$87,MATCH(I153,'Logic Tree'!$I$85:$I$87,0),MATCH(H153,'Logic Tree'!$J$84:$N$84,0))</f>
        <v>0.92500000000000004</v>
      </c>
    </row>
    <row r="154" spans="2:14" ht="15" customHeight="1">
      <c r="B154" s="19">
        <v>3</v>
      </c>
      <c r="C154" s="11" t="s">
        <v>744</v>
      </c>
      <c r="D154" s="43" t="str">
        <f>'Horizontal Teams'!C61</f>
        <v>H3</v>
      </c>
      <c r="E154" s="35" t="s">
        <v>744</v>
      </c>
      <c r="F154" s="49" t="str">
        <f>'Horizontal Teams'!E61</f>
        <v>MetLife Servicing Owner</v>
      </c>
      <c r="G154" s="43" t="str">
        <f>'Horizontal Teams'!D61</f>
        <v>BSA</v>
      </c>
      <c r="H154" s="43" t="str">
        <f>'Horizontal Teams'!F61</f>
        <v>E5</v>
      </c>
      <c r="I154" s="43" t="str">
        <f>'Horizontal Teams'!G61</f>
        <v>ON</v>
      </c>
      <c r="J154" s="43" t="str">
        <f>'Horizontal Teams'!H61</f>
        <v>FTE</v>
      </c>
      <c r="K154" s="9">
        <f>'Horizontal Teams'!I61</f>
        <v>0.5</v>
      </c>
      <c r="L154" s="19">
        <v>1</v>
      </c>
      <c r="M154" s="46">
        <f t="shared" si="2"/>
        <v>0.5</v>
      </c>
      <c r="N154" s="46">
        <f>M154*INDEX('Logic Tree'!$J$85:$N$87,MATCH(I154,'Logic Tree'!$I$85:$I$87,0),MATCH(H154,'Logic Tree'!$J$84:$N$84,0))</f>
        <v>1.2749999999999999</v>
      </c>
    </row>
    <row r="155" spans="2:14" ht="15" customHeight="1">
      <c r="B155" s="19">
        <v>3</v>
      </c>
      <c r="C155" s="11" t="s">
        <v>744</v>
      </c>
      <c r="D155" s="43" t="str">
        <f>'Horizontal Teams'!C62</f>
        <v>H3</v>
      </c>
      <c r="E155" s="35" t="s">
        <v>744</v>
      </c>
      <c r="F155" s="49" t="str">
        <f>'Horizontal Teams'!E62</f>
        <v>MetLife Portfolio Manager</v>
      </c>
      <c r="G155" s="43" t="str">
        <f>'Horizontal Teams'!D62</f>
        <v>PM</v>
      </c>
      <c r="H155" s="43" t="str">
        <f>'Horizontal Teams'!F62</f>
        <v>E4</v>
      </c>
      <c r="I155" s="43" t="str">
        <f>'Horizontal Teams'!G62</f>
        <v>ON</v>
      </c>
      <c r="J155" s="43" t="str">
        <f>'Horizontal Teams'!H62</f>
        <v>FTE</v>
      </c>
      <c r="K155" s="9">
        <f>'Horizontal Teams'!I62</f>
        <v>2</v>
      </c>
      <c r="L155" s="19">
        <v>1</v>
      </c>
      <c r="M155" s="46">
        <f t="shared" si="2"/>
        <v>2</v>
      </c>
      <c r="N155" s="46">
        <f>M155*INDEX('Logic Tree'!$J$85:$N$87,MATCH(I155,'Logic Tree'!$I$85:$I$87,0),MATCH(H155,'Logic Tree'!$J$84:$N$84,0))</f>
        <v>3.7</v>
      </c>
    </row>
    <row r="156" spans="2:14" ht="15" customHeight="1">
      <c r="B156" s="19">
        <v>4</v>
      </c>
      <c r="C156" s="11" t="s">
        <v>448</v>
      </c>
      <c r="D156" s="35" t="s">
        <v>324</v>
      </c>
      <c r="E156" s="35" t="s">
        <v>448</v>
      </c>
      <c r="F156" s="49" t="str">
        <f>'Pod Library'!E94</f>
        <v>MetLife Product Owner</v>
      </c>
      <c r="G156" s="43" t="str">
        <f>'Pod Library'!F94</f>
        <v>PM</v>
      </c>
      <c r="H156" s="43" t="str">
        <f>'Pod Library'!G94</f>
        <v>E4</v>
      </c>
      <c r="I156" s="43" t="str">
        <f>'Pod Library'!H94</f>
        <v>ON</v>
      </c>
      <c r="J156" s="43" t="str">
        <f>'Pod Library'!I94</f>
        <v>FTE</v>
      </c>
      <c r="K156" s="9">
        <f>'Pod Library'!J94</f>
        <v>0.64285714285714302</v>
      </c>
      <c r="L156" s="13">
        <f>'Pod Plan'!E17</f>
        <v>6</v>
      </c>
      <c r="M156" s="46">
        <f t="shared" si="2"/>
        <v>3.8571428571428581</v>
      </c>
      <c r="N156" s="46">
        <f>M156*INDEX('Logic Tree'!$J$85:$N$87,MATCH(I156,'Logic Tree'!$I$85:$I$87,0),MATCH(H156,'Logic Tree'!$J$84:$N$84,0))</f>
        <v>7.1357142857142879</v>
      </c>
    </row>
    <row r="157" spans="2:14" ht="15" customHeight="1">
      <c r="B157" s="19">
        <v>4</v>
      </c>
      <c r="C157" s="11" t="s">
        <v>448</v>
      </c>
      <c r="D157" s="35" t="s">
        <v>324</v>
      </c>
      <c r="E157" s="35" t="s">
        <v>448</v>
      </c>
      <c r="F157" s="49" t="str">
        <f>'Pod Library'!E95</f>
        <v>MetLife Servicing SME (transferred)</v>
      </c>
      <c r="G157" s="43" t="str">
        <f>'Pod Library'!F95</f>
        <v>BSA</v>
      </c>
      <c r="H157" s="43" t="str">
        <f>'Pod Library'!G95</f>
        <v>E3</v>
      </c>
      <c r="I157" s="43" t="str">
        <f>'Pod Library'!H95</f>
        <v>ON</v>
      </c>
      <c r="J157" s="43" t="str">
        <f>'Pod Library'!I95</f>
        <v>FTE</v>
      </c>
      <c r="K157" s="9">
        <f>'Pod Library'!J95</f>
        <v>0.71428571428571397</v>
      </c>
      <c r="L157" s="13">
        <f>'Pod Plan'!E17</f>
        <v>6</v>
      </c>
      <c r="M157" s="46">
        <f t="shared" si="2"/>
        <v>4.2857142857142838</v>
      </c>
      <c r="N157" s="46">
        <f>M157*INDEX('Logic Tree'!$J$85:$N$87,MATCH(I157,'Logic Tree'!$I$85:$I$87,0),MATCH(H157,'Logic Tree'!$J$84:$N$84,0))</f>
        <v>5.7857142857142838</v>
      </c>
    </row>
    <row r="158" spans="2:14" ht="15" customHeight="1">
      <c r="B158" s="19">
        <v>4</v>
      </c>
      <c r="C158" s="11" t="s">
        <v>448</v>
      </c>
      <c r="D158" s="35" t="s">
        <v>324</v>
      </c>
      <c r="E158" s="35" t="s">
        <v>448</v>
      </c>
      <c r="F158" s="49" t="str">
        <f>'Pod Library'!E96</f>
        <v>MGCC Workflow Engineer</v>
      </c>
      <c r="G158" s="43" t="str">
        <f>'Pod Library'!F96</f>
        <v>DEV</v>
      </c>
      <c r="H158" s="43" t="str">
        <f>'Pod Library'!G96</f>
        <v>E3</v>
      </c>
      <c r="I158" s="43" t="str">
        <f>'Pod Library'!H96</f>
        <v>OFF</v>
      </c>
      <c r="J158" s="43" t="str">
        <f>'Pod Library'!I96</f>
        <v>MGCC</v>
      </c>
      <c r="K158" s="9">
        <f>'Pod Library'!J96</f>
        <v>0.35714285714285698</v>
      </c>
      <c r="L158" s="13">
        <f>'Pod Plan'!E17</f>
        <v>6</v>
      </c>
      <c r="M158" s="46">
        <f t="shared" si="2"/>
        <v>2.1428571428571419</v>
      </c>
      <c r="N158" s="46">
        <f>M158*INDEX('Logic Tree'!$J$85:$N$87,MATCH(I158,'Logic Tree'!$I$85:$I$87,0),MATCH(H158,'Logic Tree'!$J$84:$N$84,0))</f>
        <v>0.89999999999999958</v>
      </c>
    </row>
    <row r="159" spans="2:14" ht="15" customHeight="1">
      <c r="B159" s="19">
        <v>4</v>
      </c>
      <c r="C159" s="11" t="s">
        <v>448</v>
      </c>
      <c r="D159" s="35" t="s">
        <v>324</v>
      </c>
      <c r="E159" s="35" t="s">
        <v>448</v>
      </c>
      <c r="F159" s="49" t="str">
        <f>'Pod Library'!E97</f>
        <v>MGCC Engineer (transferred)</v>
      </c>
      <c r="G159" s="43" t="str">
        <f>'Pod Library'!F97</f>
        <v>DEV</v>
      </c>
      <c r="H159" s="43" t="str">
        <f>'Pod Library'!G97</f>
        <v>E4</v>
      </c>
      <c r="I159" s="43" t="str">
        <f>'Pod Library'!H97</f>
        <v>OFF</v>
      </c>
      <c r="J159" s="43" t="str">
        <f>'Pod Library'!I97</f>
        <v>MGCC</v>
      </c>
      <c r="K159" s="9">
        <f>'Pod Library'!J97</f>
        <v>0.42857142857142899</v>
      </c>
      <c r="L159" s="13">
        <f>'Pod Plan'!E17</f>
        <v>6</v>
      </c>
      <c r="M159" s="46">
        <f t="shared" si="2"/>
        <v>2.5714285714285738</v>
      </c>
      <c r="N159" s="46">
        <f>M159*INDEX('Logic Tree'!$J$85:$N$87,MATCH(I159,'Logic Tree'!$I$85:$I$87,0),MATCH(H159,'Logic Tree'!$J$84:$N$84,0))</f>
        <v>1.5428571428571443</v>
      </c>
    </row>
    <row r="160" spans="2:14" ht="15" customHeight="1">
      <c r="B160" s="19">
        <v>4</v>
      </c>
      <c r="C160" s="11" t="s">
        <v>448</v>
      </c>
      <c r="D160" s="35" t="s">
        <v>324</v>
      </c>
      <c r="E160" s="35" t="s">
        <v>448</v>
      </c>
      <c r="F160" s="49" t="str">
        <f>'Pod Library'!E98</f>
        <v>Business Analyst (bilingual)</v>
      </c>
      <c r="G160" s="43" t="str">
        <f>'Pod Library'!F98</f>
        <v>BSA</v>
      </c>
      <c r="H160" s="43" t="str">
        <f>'Pod Library'!G98</f>
        <v>E3</v>
      </c>
      <c r="I160" s="43" t="str">
        <f>'Pod Library'!H98</f>
        <v>ON</v>
      </c>
      <c r="J160" s="43" t="str">
        <f>'Pod Library'!I98</f>
        <v>FTC</v>
      </c>
      <c r="K160" s="9">
        <f>'Pod Library'!J98</f>
        <v>0.5</v>
      </c>
      <c r="L160" s="13">
        <f>'Pod Plan'!E17</f>
        <v>6</v>
      </c>
      <c r="M160" s="46">
        <f t="shared" si="2"/>
        <v>3</v>
      </c>
      <c r="N160" s="46">
        <f>M160*INDEX('Logic Tree'!$J$85:$N$87,MATCH(I160,'Logic Tree'!$I$85:$I$87,0),MATCH(H160,'Logic Tree'!$J$84:$N$84,0))</f>
        <v>4.0500000000000007</v>
      </c>
    </row>
    <row r="161" spans="2:14" ht="15" customHeight="1">
      <c r="B161" s="19">
        <v>4</v>
      </c>
      <c r="C161" s="11" t="s">
        <v>448</v>
      </c>
      <c r="D161" s="35" t="s">
        <v>324</v>
      </c>
      <c r="E161" s="35" t="s">
        <v>448</v>
      </c>
      <c r="F161" s="49" t="str">
        <f>'Pod Library'!E99</f>
        <v>Pod lead</v>
      </c>
      <c r="G161" s="43" t="str">
        <f>'Pod Library'!F99</f>
        <v>DEV</v>
      </c>
      <c r="H161" s="43" t="str">
        <f>'Pod Library'!G99</f>
        <v>E4</v>
      </c>
      <c r="I161" s="43" t="str">
        <f>'Pod Library'!H99</f>
        <v>OFF</v>
      </c>
      <c r="J161" s="43" t="str">
        <f>'Pod Library'!I99</f>
        <v>FTC</v>
      </c>
      <c r="K161" s="9">
        <f>'Pod Library'!J99</f>
        <v>0.5</v>
      </c>
      <c r="L161" s="13">
        <f>'Pod Plan'!E17</f>
        <v>6</v>
      </c>
      <c r="M161" s="46">
        <f t="shared" si="2"/>
        <v>3</v>
      </c>
      <c r="N161" s="46">
        <f>M161*INDEX('Logic Tree'!$J$85:$N$87,MATCH(I161,'Logic Tree'!$I$85:$I$87,0),MATCH(H161,'Logic Tree'!$J$84:$N$84,0))</f>
        <v>1.7999999999999998</v>
      </c>
    </row>
    <row r="162" spans="2:14" ht="15" customHeight="1">
      <c r="B162" s="19">
        <v>4</v>
      </c>
      <c r="C162" s="11" t="s">
        <v>448</v>
      </c>
      <c r="D162" s="35" t="s">
        <v>324</v>
      </c>
      <c r="E162" s="35" t="s">
        <v>448</v>
      </c>
      <c r="F162" s="49" t="str">
        <f>'Pod Library'!E100</f>
        <v>Agent engineer</v>
      </c>
      <c r="G162" s="43" t="str">
        <f>'Pod Library'!F100</f>
        <v>DEV</v>
      </c>
      <c r="H162" s="43" t="str">
        <f>'Pod Library'!G100</f>
        <v>E4</v>
      </c>
      <c r="I162" s="43" t="str">
        <f>'Pod Library'!H100</f>
        <v>OFF</v>
      </c>
      <c r="J162" s="43" t="str">
        <f>'Pod Library'!I100</f>
        <v>FTC</v>
      </c>
      <c r="K162" s="9">
        <f>'Pod Library'!J100</f>
        <v>0.5</v>
      </c>
      <c r="L162" s="13">
        <f>'Pod Plan'!E17</f>
        <v>6</v>
      </c>
      <c r="M162" s="46">
        <f t="shared" si="2"/>
        <v>3</v>
      </c>
      <c r="N162" s="46">
        <f>M162*INDEX('Logic Tree'!$J$85:$N$87,MATCH(I162,'Logic Tree'!$I$85:$I$87,0),MATCH(H162,'Logic Tree'!$J$84:$N$84,0))</f>
        <v>1.7999999999999998</v>
      </c>
    </row>
    <row r="163" spans="2:14" ht="15" customHeight="1">
      <c r="B163" s="19">
        <v>4</v>
      </c>
      <c r="C163" s="11" t="s">
        <v>448</v>
      </c>
      <c r="D163" s="35" t="s">
        <v>324</v>
      </c>
      <c r="E163" s="35" t="s">
        <v>448</v>
      </c>
      <c r="F163" s="49" t="str">
        <f>'Pod Library'!E101</f>
        <v>AI-assisted Workflow Engineer</v>
      </c>
      <c r="G163" s="43" t="str">
        <f>'Pod Library'!F101</f>
        <v>DEV</v>
      </c>
      <c r="H163" s="43" t="str">
        <f>'Pod Library'!G101</f>
        <v>E3</v>
      </c>
      <c r="I163" s="43" t="str">
        <f>'Pod Library'!H101</f>
        <v>OFF</v>
      </c>
      <c r="J163" s="43" t="str">
        <f>'Pod Library'!I101</f>
        <v>FTC</v>
      </c>
      <c r="K163" s="9">
        <f>'Pod Library'!J101</f>
        <v>0.5</v>
      </c>
      <c r="L163" s="13">
        <f>'Pod Plan'!E17</f>
        <v>6</v>
      </c>
      <c r="M163" s="46">
        <f t="shared" si="2"/>
        <v>3</v>
      </c>
      <c r="N163" s="46">
        <f>M163*INDEX('Logic Tree'!$J$85:$N$87,MATCH(I163,'Logic Tree'!$I$85:$I$87,0),MATCH(H163,'Logic Tree'!$J$84:$N$84,0))</f>
        <v>1.26</v>
      </c>
    </row>
    <row r="164" spans="2:14" ht="15" customHeight="1">
      <c r="B164" s="19">
        <v>4</v>
      </c>
      <c r="C164" s="11" t="s">
        <v>448</v>
      </c>
      <c r="D164" s="35" t="s">
        <v>324</v>
      </c>
      <c r="E164" s="35" t="s">
        <v>448</v>
      </c>
      <c r="F164" s="49" t="str">
        <f>'Pod Library'!E102</f>
        <v>Quality Engineer (SDET)</v>
      </c>
      <c r="G164" s="43" t="str">
        <f>'Pod Library'!F102</f>
        <v>TEST</v>
      </c>
      <c r="H164" s="43" t="str">
        <f>'Pod Library'!G102</f>
        <v>E3</v>
      </c>
      <c r="I164" s="43" t="str">
        <f>'Pod Library'!H102</f>
        <v>OFF</v>
      </c>
      <c r="J164" s="43" t="str">
        <f>'Pod Library'!I102</f>
        <v>FTC</v>
      </c>
      <c r="K164" s="9">
        <f>'Pod Library'!J102</f>
        <v>1</v>
      </c>
      <c r="L164" s="13">
        <f>'Pod Plan'!E17</f>
        <v>6</v>
      </c>
      <c r="M164" s="46">
        <f t="shared" si="2"/>
        <v>6</v>
      </c>
      <c r="N164" s="46">
        <f>M164*INDEX('Logic Tree'!$J$85:$N$87,MATCH(I164,'Logic Tree'!$I$85:$I$87,0),MATCH(H164,'Logic Tree'!$J$84:$N$84,0))</f>
        <v>2.52</v>
      </c>
    </row>
    <row r="165" spans="2:14" ht="15" customHeight="1">
      <c r="B165" s="19">
        <v>4</v>
      </c>
      <c r="C165" s="11" t="s">
        <v>448</v>
      </c>
      <c r="D165" s="35" t="s">
        <v>324</v>
      </c>
      <c r="E165" s="35" t="s">
        <v>448</v>
      </c>
      <c r="F165" s="49" t="str">
        <f>'Pod Library'!E103</f>
        <v>Application Support</v>
      </c>
      <c r="G165" s="43" t="str">
        <f>'Pod Library'!F103</f>
        <v>MNT</v>
      </c>
      <c r="H165" s="43" t="str">
        <f>'Pod Library'!G103</f>
        <v>E2</v>
      </c>
      <c r="I165" s="43" t="str">
        <f>'Pod Library'!H103</f>
        <v>OFF</v>
      </c>
      <c r="J165" s="43" t="str">
        <f>'Pod Library'!I103</f>
        <v>FTC</v>
      </c>
      <c r="K165" s="9">
        <f>'Pod Library'!J103</f>
        <v>0</v>
      </c>
      <c r="L165" s="13">
        <f>'Pod Plan'!E17</f>
        <v>6</v>
      </c>
      <c r="M165" s="46">
        <f t="shared" si="2"/>
        <v>0</v>
      </c>
      <c r="N165" s="46">
        <f>M165*INDEX('Logic Tree'!$J$85:$N$87,MATCH(I165,'Logic Tree'!$I$85:$I$87,0),MATCH(H165,'Logic Tree'!$J$84:$N$84,0))</f>
        <v>0</v>
      </c>
    </row>
    <row r="166" spans="2:14" ht="15" customHeight="1">
      <c r="B166" s="19">
        <v>4</v>
      </c>
      <c r="C166" s="11" t="s">
        <v>448</v>
      </c>
      <c r="D166" s="35" t="s">
        <v>324</v>
      </c>
      <c r="E166" s="35" t="s">
        <v>448</v>
      </c>
      <c r="F166" s="49" t="str">
        <f>'Pod Library'!E104</f>
        <v>Solution Architect</v>
      </c>
      <c r="G166" s="43" t="str">
        <f>'Pod Library'!F104</f>
        <v>OTH</v>
      </c>
      <c r="H166" s="43" t="str">
        <f>'Pod Library'!G104</f>
        <v>E4</v>
      </c>
      <c r="I166" s="43" t="str">
        <f>'Pod Library'!H104</f>
        <v>ON</v>
      </c>
      <c r="J166" s="43" t="str">
        <f>'Pod Library'!I104</f>
        <v>FTC</v>
      </c>
      <c r="K166" s="9">
        <f>'Pod Library'!J104</f>
        <v>0</v>
      </c>
      <c r="L166" s="13">
        <f>'Pod Plan'!E17</f>
        <v>6</v>
      </c>
      <c r="M166" s="46">
        <f t="shared" si="2"/>
        <v>0</v>
      </c>
      <c r="N166" s="46">
        <f>M166*INDEX('Logic Tree'!$J$85:$N$87,MATCH(I166,'Logic Tree'!$I$85:$I$87,0),MATCH(H166,'Logic Tree'!$J$84:$N$84,0))</f>
        <v>0</v>
      </c>
    </row>
    <row r="167" spans="2:14" ht="15" customHeight="1">
      <c r="B167" s="19">
        <v>4</v>
      </c>
      <c r="C167" s="11" t="s">
        <v>448</v>
      </c>
      <c r="D167" s="35" t="s">
        <v>325</v>
      </c>
      <c r="E167" s="35" t="s">
        <v>448</v>
      </c>
      <c r="F167" s="49" t="str">
        <f>'Pod Library'!E94</f>
        <v>MetLife Product Owner</v>
      </c>
      <c r="G167" s="43" t="str">
        <f>'Pod Library'!F94</f>
        <v>PM</v>
      </c>
      <c r="H167" s="43" t="str">
        <f>'Pod Library'!G94</f>
        <v>E4</v>
      </c>
      <c r="I167" s="43" t="str">
        <f>'Pod Library'!H94</f>
        <v>ON</v>
      </c>
      <c r="J167" s="43" t="str">
        <f>'Pod Library'!I94</f>
        <v>FTE</v>
      </c>
      <c r="K167" s="9">
        <f>'Pod Library'!J94</f>
        <v>0.64285714285714302</v>
      </c>
      <c r="L167" s="13">
        <f>'Pod Plan'!E18</f>
        <v>1</v>
      </c>
      <c r="M167" s="46">
        <f t="shared" si="2"/>
        <v>0.64285714285714302</v>
      </c>
      <c r="N167" s="46">
        <f>M167*INDEX('Logic Tree'!$J$85:$N$87,MATCH(I167,'Logic Tree'!$I$85:$I$87,0),MATCH(H167,'Logic Tree'!$J$84:$N$84,0))</f>
        <v>1.1892857142857147</v>
      </c>
    </row>
    <row r="168" spans="2:14" ht="15" customHeight="1">
      <c r="B168" s="19">
        <v>4</v>
      </c>
      <c r="C168" s="11" t="s">
        <v>448</v>
      </c>
      <c r="D168" s="35" t="s">
        <v>325</v>
      </c>
      <c r="E168" s="35" t="s">
        <v>448</v>
      </c>
      <c r="F168" s="49" t="str">
        <f>'Pod Library'!E95</f>
        <v>MetLife Servicing SME (transferred)</v>
      </c>
      <c r="G168" s="43" t="str">
        <f>'Pod Library'!F95</f>
        <v>BSA</v>
      </c>
      <c r="H168" s="43" t="str">
        <f>'Pod Library'!G95</f>
        <v>E3</v>
      </c>
      <c r="I168" s="43" t="str">
        <f>'Pod Library'!H95</f>
        <v>ON</v>
      </c>
      <c r="J168" s="43" t="str">
        <f>'Pod Library'!I95</f>
        <v>FTE</v>
      </c>
      <c r="K168" s="9">
        <f>'Pod Library'!J95</f>
        <v>0.71428571428571397</v>
      </c>
      <c r="L168" s="13">
        <f>'Pod Plan'!E18</f>
        <v>1</v>
      </c>
      <c r="M168" s="46">
        <f t="shared" si="2"/>
        <v>0.71428571428571397</v>
      </c>
      <c r="N168" s="46">
        <f>M168*INDEX('Logic Tree'!$J$85:$N$87,MATCH(I168,'Logic Tree'!$I$85:$I$87,0),MATCH(H168,'Logic Tree'!$J$84:$N$84,0))</f>
        <v>0.96428571428571397</v>
      </c>
    </row>
    <row r="169" spans="2:14" ht="15" customHeight="1">
      <c r="B169" s="19">
        <v>4</v>
      </c>
      <c r="C169" s="11" t="s">
        <v>448</v>
      </c>
      <c r="D169" s="35" t="s">
        <v>325</v>
      </c>
      <c r="E169" s="35" t="s">
        <v>448</v>
      </c>
      <c r="F169" s="49" t="str">
        <f>'Pod Library'!E96</f>
        <v>MGCC Workflow Engineer</v>
      </c>
      <c r="G169" s="43" t="str">
        <f>'Pod Library'!F96</f>
        <v>DEV</v>
      </c>
      <c r="H169" s="43" t="str">
        <f>'Pod Library'!G96</f>
        <v>E3</v>
      </c>
      <c r="I169" s="43" t="str">
        <f>'Pod Library'!H96</f>
        <v>OFF</v>
      </c>
      <c r="J169" s="43" t="str">
        <f>'Pod Library'!I96</f>
        <v>MGCC</v>
      </c>
      <c r="K169" s="9">
        <f>'Pod Library'!J96</f>
        <v>0.35714285714285698</v>
      </c>
      <c r="L169" s="13">
        <f>'Pod Plan'!E18</f>
        <v>1</v>
      </c>
      <c r="M169" s="46">
        <f t="shared" si="2"/>
        <v>0.35714285714285698</v>
      </c>
      <c r="N169" s="46">
        <f>M169*INDEX('Logic Tree'!$J$85:$N$87,MATCH(I169,'Logic Tree'!$I$85:$I$87,0),MATCH(H169,'Logic Tree'!$J$84:$N$84,0))</f>
        <v>0.14999999999999994</v>
      </c>
    </row>
    <row r="170" spans="2:14" ht="15" customHeight="1">
      <c r="B170" s="19">
        <v>4</v>
      </c>
      <c r="C170" s="11" t="s">
        <v>448</v>
      </c>
      <c r="D170" s="35" t="s">
        <v>325</v>
      </c>
      <c r="E170" s="35" t="s">
        <v>448</v>
      </c>
      <c r="F170" s="49" t="str">
        <f>'Pod Library'!E97</f>
        <v>MGCC Engineer (transferred)</v>
      </c>
      <c r="G170" s="43" t="str">
        <f>'Pod Library'!F97</f>
        <v>DEV</v>
      </c>
      <c r="H170" s="43" t="str">
        <f>'Pod Library'!G97</f>
        <v>E4</v>
      </c>
      <c r="I170" s="43" t="str">
        <f>'Pod Library'!H97</f>
        <v>OFF</v>
      </c>
      <c r="J170" s="43" t="str">
        <f>'Pod Library'!I97</f>
        <v>MGCC</v>
      </c>
      <c r="K170" s="9">
        <f>'Pod Library'!J97</f>
        <v>0.42857142857142899</v>
      </c>
      <c r="L170" s="13">
        <f>'Pod Plan'!E18</f>
        <v>1</v>
      </c>
      <c r="M170" s="46">
        <f t="shared" si="2"/>
        <v>0.42857142857142899</v>
      </c>
      <c r="N170" s="46">
        <f>M170*INDEX('Logic Tree'!$J$85:$N$87,MATCH(I170,'Logic Tree'!$I$85:$I$87,0),MATCH(H170,'Logic Tree'!$J$84:$N$84,0))</f>
        <v>0.2571428571428574</v>
      </c>
    </row>
    <row r="171" spans="2:14" ht="15" customHeight="1">
      <c r="B171" s="19">
        <v>4</v>
      </c>
      <c r="C171" s="11" t="s">
        <v>448</v>
      </c>
      <c r="D171" s="35" t="s">
        <v>325</v>
      </c>
      <c r="E171" s="35" t="s">
        <v>448</v>
      </c>
      <c r="F171" s="49" t="str">
        <f>'Pod Library'!E98</f>
        <v>Business Analyst (bilingual)</v>
      </c>
      <c r="G171" s="43" t="str">
        <f>'Pod Library'!F98</f>
        <v>BSA</v>
      </c>
      <c r="H171" s="43" t="str">
        <f>'Pod Library'!G98</f>
        <v>E3</v>
      </c>
      <c r="I171" s="43" t="str">
        <f>'Pod Library'!H98</f>
        <v>ON</v>
      </c>
      <c r="J171" s="43" t="str">
        <f>'Pod Library'!I98</f>
        <v>FTC</v>
      </c>
      <c r="K171" s="9">
        <f>'Pod Library'!J98</f>
        <v>0.5</v>
      </c>
      <c r="L171" s="13">
        <f>'Pod Plan'!E18</f>
        <v>1</v>
      </c>
      <c r="M171" s="46">
        <f t="shared" si="2"/>
        <v>0.5</v>
      </c>
      <c r="N171" s="46">
        <f>M171*INDEX('Logic Tree'!$J$85:$N$87,MATCH(I171,'Logic Tree'!$I$85:$I$87,0),MATCH(H171,'Logic Tree'!$J$84:$N$84,0))</f>
        <v>0.67500000000000004</v>
      </c>
    </row>
    <row r="172" spans="2:14" ht="15" customHeight="1">
      <c r="B172" s="19">
        <v>4</v>
      </c>
      <c r="C172" s="11" t="s">
        <v>448</v>
      </c>
      <c r="D172" s="35" t="s">
        <v>325</v>
      </c>
      <c r="E172" s="35" t="s">
        <v>448</v>
      </c>
      <c r="F172" s="49" t="str">
        <f>'Pod Library'!E99</f>
        <v>Pod lead</v>
      </c>
      <c r="G172" s="43" t="str">
        <f>'Pod Library'!F99</f>
        <v>DEV</v>
      </c>
      <c r="H172" s="43" t="str">
        <f>'Pod Library'!G99</f>
        <v>E4</v>
      </c>
      <c r="I172" s="43" t="str">
        <f>'Pod Library'!H99</f>
        <v>OFF</v>
      </c>
      <c r="J172" s="43" t="str">
        <f>'Pod Library'!I99</f>
        <v>FTC</v>
      </c>
      <c r="K172" s="9">
        <f>'Pod Library'!J99</f>
        <v>0.5</v>
      </c>
      <c r="L172" s="13">
        <f>'Pod Plan'!E18</f>
        <v>1</v>
      </c>
      <c r="M172" s="46">
        <f t="shared" si="2"/>
        <v>0.5</v>
      </c>
      <c r="N172" s="46">
        <f>M172*INDEX('Logic Tree'!$J$85:$N$87,MATCH(I172,'Logic Tree'!$I$85:$I$87,0),MATCH(H172,'Logic Tree'!$J$84:$N$84,0))</f>
        <v>0.3</v>
      </c>
    </row>
    <row r="173" spans="2:14" ht="15" customHeight="1">
      <c r="B173" s="19">
        <v>4</v>
      </c>
      <c r="C173" s="11" t="s">
        <v>448</v>
      </c>
      <c r="D173" s="35" t="s">
        <v>325</v>
      </c>
      <c r="E173" s="35" t="s">
        <v>448</v>
      </c>
      <c r="F173" s="49" t="str">
        <f>'Pod Library'!E100</f>
        <v>Agent engineer</v>
      </c>
      <c r="G173" s="43" t="str">
        <f>'Pod Library'!F100</f>
        <v>DEV</v>
      </c>
      <c r="H173" s="43" t="str">
        <f>'Pod Library'!G100</f>
        <v>E4</v>
      </c>
      <c r="I173" s="43" t="str">
        <f>'Pod Library'!H100</f>
        <v>OFF</v>
      </c>
      <c r="J173" s="43" t="str">
        <f>'Pod Library'!I100</f>
        <v>FTC</v>
      </c>
      <c r="K173" s="9">
        <f>'Pod Library'!J100</f>
        <v>0.5</v>
      </c>
      <c r="L173" s="13">
        <f>'Pod Plan'!E18</f>
        <v>1</v>
      </c>
      <c r="M173" s="46">
        <f t="shared" si="2"/>
        <v>0.5</v>
      </c>
      <c r="N173" s="46">
        <f>M173*INDEX('Logic Tree'!$J$85:$N$87,MATCH(I173,'Logic Tree'!$I$85:$I$87,0),MATCH(H173,'Logic Tree'!$J$84:$N$84,0))</f>
        <v>0.3</v>
      </c>
    </row>
    <row r="174" spans="2:14" ht="15" customHeight="1">
      <c r="B174" s="19">
        <v>4</v>
      </c>
      <c r="C174" s="11" t="s">
        <v>448</v>
      </c>
      <c r="D174" s="35" t="s">
        <v>325</v>
      </c>
      <c r="E174" s="35" t="s">
        <v>448</v>
      </c>
      <c r="F174" s="49" t="str">
        <f>'Pod Library'!E101</f>
        <v>AI-assisted Workflow Engineer</v>
      </c>
      <c r="G174" s="43" t="str">
        <f>'Pod Library'!F101</f>
        <v>DEV</v>
      </c>
      <c r="H174" s="43" t="str">
        <f>'Pod Library'!G101</f>
        <v>E3</v>
      </c>
      <c r="I174" s="43" t="str">
        <f>'Pod Library'!H101</f>
        <v>OFF</v>
      </c>
      <c r="J174" s="43" t="str">
        <f>'Pod Library'!I101</f>
        <v>FTC</v>
      </c>
      <c r="K174" s="9">
        <f>'Pod Library'!J101</f>
        <v>0.5</v>
      </c>
      <c r="L174" s="13">
        <f>'Pod Plan'!E18</f>
        <v>1</v>
      </c>
      <c r="M174" s="46">
        <f t="shared" si="2"/>
        <v>0.5</v>
      </c>
      <c r="N174" s="46">
        <f>M174*INDEX('Logic Tree'!$J$85:$N$87,MATCH(I174,'Logic Tree'!$I$85:$I$87,0),MATCH(H174,'Logic Tree'!$J$84:$N$84,0))</f>
        <v>0.21</v>
      </c>
    </row>
    <row r="175" spans="2:14" ht="15" customHeight="1">
      <c r="B175" s="19">
        <v>4</v>
      </c>
      <c r="C175" s="11" t="s">
        <v>448</v>
      </c>
      <c r="D175" s="35" t="s">
        <v>325</v>
      </c>
      <c r="E175" s="35" t="s">
        <v>448</v>
      </c>
      <c r="F175" s="49" t="str">
        <f>'Pod Library'!E102</f>
        <v>Quality Engineer (SDET)</v>
      </c>
      <c r="G175" s="43" t="str">
        <f>'Pod Library'!F102</f>
        <v>TEST</v>
      </c>
      <c r="H175" s="43" t="str">
        <f>'Pod Library'!G102</f>
        <v>E3</v>
      </c>
      <c r="I175" s="43" t="str">
        <f>'Pod Library'!H102</f>
        <v>OFF</v>
      </c>
      <c r="J175" s="43" t="str">
        <f>'Pod Library'!I102</f>
        <v>FTC</v>
      </c>
      <c r="K175" s="9">
        <f>'Pod Library'!J102</f>
        <v>1</v>
      </c>
      <c r="L175" s="13">
        <f>'Pod Plan'!E18</f>
        <v>1</v>
      </c>
      <c r="M175" s="46">
        <f t="shared" si="2"/>
        <v>1</v>
      </c>
      <c r="N175" s="46">
        <f>M175*INDEX('Logic Tree'!$J$85:$N$87,MATCH(I175,'Logic Tree'!$I$85:$I$87,0),MATCH(H175,'Logic Tree'!$J$84:$N$84,0))</f>
        <v>0.42</v>
      </c>
    </row>
    <row r="176" spans="2:14" ht="15" customHeight="1">
      <c r="B176" s="19">
        <v>4</v>
      </c>
      <c r="C176" s="11" t="s">
        <v>448</v>
      </c>
      <c r="D176" s="35" t="s">
        <v>325</v>
      </c>
      <c r="E176" s="35" t="s">
        <v>448</v>
      </c>
      <c r="F176" s="49" t="str">
        <f>'Pod Library'!E103</f>
        <v>Application Support</v>
      </c>
      <c r="G176" s="43" t="str">
        <f>'Pod Library'!F103</f>
        <v>MNT</v>
      </c>
      <c r="H176" s="43" t="str">
        <f>'Pod Library'!G103</f>
        <v>E2</v>
      </c>
      <c r="I176" s="43" t="str">
        <f>'Pod Library'!H103</f>
        <v>OFF</v>
      </c>
      <c r="J176" s="43" t="str">
        <f>'Pod Library'!I103</f>
        <v>FTC</v>
      </c>
      <c r="K176" s="9">
        <f>'Pod Library'!J103</f>
        <v>0</v>
      </c>
      <c r="L176" s="13">
        <f>'Pod Plan'!E18</f>
        <v>1</v>
      </c>
      <c r="M176" s="46">
        <f t="shared" si="2"/>
        <v>0</v>
      </c>
      <c r="N176" s="46">
        <f>M176*INDEX('Logic Tree'!$J$85:$N$87,MATCH(I176,'Logic Tree'!$I$85:$I$87,0),MATCH(H176,'Logic Tree'!$J$84:$N$84,0))</f>
        <v>0</v>
      </c>
    </row>
    <row r="177" spans="2:14" ht="15" customHeight="1">
      <c r="B177" s="19">
        <v>4</v>
      </c>
      <c r="C177" s="11" t="s">
        <v>448</v>
      </c>
      <c r="D177" s="35" t="s">
        <v>325</v>
      </c>
      <c r="E177" s="35" t="s">
        <v>448</v>
      </c>
      <c r="F177" s="49" t="str">
        <f>'Pod Library'!E104</f>
        <v>Solution Architect</v>
      </c>
      <c r="G177" s="43" t="str">
        <f>'Pod Library'!F104</f>
        <v>OTH</v>
      </c>
      <c r="H177" s="43" t="str">
        <f>'Pod Library'!G104</f>
        <v>E4</v>
      </c>
      <c r="I177" s="43" t="str">
        <f>'Pod Library'!H104</f>
        <v>ON</v>
      </c>
      <c r="J177" s="43" t="str">
        <f>'Pod Library'!I104</f>
        <v>FTC</v>
      </c>
      <c r="K177" s="9">
        <f>'Pod Library'!J104</f>
        <v>0</v>
      </c>
      <c r="L177" s="13">
        <f>'Pod Plan'!E18</f>
        <v>1</v>
      </c>
      <c r="M177" s="46">
        <f t="shared" si="2"/>
        <v>0</v>
      </c>
      <c r="N177" s="46">
        <f>M177*INDEX('Logic Tree'!$J$85:$N$87,MATCH(I177,'Logic Tree'!$I$85:$I$87,0),MATCH(H177,'Logic Tree'!$J$84:$N$84,0))</f>
        <v>0</v>
      </c>
    </row>
    <row r="178" spans="2:14" ht="15" customHeight="1">
      <c r="B178" s="19">
        <v>4</v>
      </c>
      <c r="C178" s="11" t="s">
        <v>744</v>
      </c>
      <c r="D178" s="43" t="str">
        <f>'Horizontal Teams'!C65</f>
        <v>H1</v>
      </c>
      <c r="E178" s="35" t="s">
        <v>744</v>
      </c>
      <c r="F178" s="49" t="str">
        <f>'Horizontal Teams'!E65</f>
        <v>Service Delivery Manager</v>
      </c>
      <c r="G178" s="43" t="str">
        <f>'Horizontal Teams'!D65</f>
        <v>PM</v>
      </c>
      <c r="H178" s="43" t="str">
        <f>'Horizontal Teams'!F65</f>
        <v>E5</v>
      </c>
      <c r="I178" s="43" t="str">
        <f>'Horizontal Teams'!G65</f>
        <v>ON</v>
      </c>
      <c r="J178" s="43" t="str">
        <f>'Horizontal Teams'!H65</f>
        <v>FTC</v>
      </c>
      <c r="K178" s="9">
        <f>'Horizontal Teams'!I65</f>
        <v>0.5</v>
      </c>
      <c r="L178" s="19">
        <v>1</v>
      </c>
      <c r="M178" s="46">
        <f t="shared" si="2"/>
        <v>0.5</v>
      </c>
      <c r="N178" s="46">
        <f>M178*INDEX('Logic Tree'!$J$85:$N$87,MATCH(I178,'Logic Tree'!$I$85:$I$87,0),MATCH(H178,'Logic Tree'!$J$84:$N$84,0))</f>
        <v>1.2749999999999999</v>
      </c>
    </row>
    <row r="179" spans="2:14" ht="15" customHeight="1">
      <c r="B179" s="19">
        <v>4</v>
      </c>
      <c r="C179" s="11" t="s">
        <v>744</v>
      </c>
      <c r="D179" s="43" t="str">
        <f>'Horizontal Teams'!C66</f>
        <v>H1</v>
      </c>
      <c r="E179" s="35" t="s">
        <v>744</v>
      </c>
      <c r="F179" s="49" t="str">
        <f>'Horizontal Teams'!E66</f>
        <v>Incident &amp; Problem Analyst</v>
      </c>
      <c r="G179" s="43" t="str">
        <f>'Horizontal Teams'!D66</f>
        <v>MNT</v>
      </c>
      <c r="H179" s="43" t="str">
        <f>'Horizontal Teams'!F66</f>
        <v>E3</v>
      </c>
      <c r="I179" s="43" t="str">
        <f>'Horizontal Teams'!G66</f>
        <v>ON</v>
      </c>
      <c r="J179" s="43" t="str">
        <f>'Horizontal Teams'!H66</f>
        <v>FTC</v>
      </c>
      <c r="K179" s="9">
        <f>'Horizontal Teams'!I66</f>
        <v>0.5</v>
      </c>
      <c r="L179" s="19">
        <v>1</v>
      </c>
      <c r="M179" s="46">
        <f t="shared" si="2"/>
        <v>0.5</v>
      </c>
      <c r="N179" s="46">
        <f>M179*INDEX('Logic Tree'!$J$85:$N$87,MATCH(I179,'Logic Tree'!$I$85:$I$87,0),MATCH(H179,'Logic Tree'!$J$84:$N$84,0))</f>
        <v>0.67500000000000004</v>
      </c>
    </row>
    <row r="180" spans="2:14" ht="15" customHeight="1">
      <c r="B180" s="19">
        <v>4</v>
      </c>
      <c r="C180" s="11" t="s">
        <v>744</v>
      </c>
      <c r="D180" s="43" t="str">
        <f>'Horizontal Teams'!C67</f>
        <v>H1</v>
      </c>
      <c r="E180" s="35" t="s">
        <v>744</v>
      </c>
      <c r="F180" s="49" t="str">
        <f>'Horizontal Teams'!E67</f>
        <v>L2 Application Support</v>
      </c>
      <c r="G180" s="43" t="str">
        <f>'Horizontal Teams'!D67</f>
        <v>MNT</v>
      </c>
      <c r="H180" s="43" t="str">
        <f>'Horizontal Teams'!F67</f>
        <v>E2</v>
      </c>
      <c r="I180" s="43" t="str">
        <f>'Horizontal Teams'!G67</f>
        <v>OFF</v>
      </c>
      <c r="J180" s="43" t="str">
        <f>'Horizontal Teams'!H67</f>
        <v>FTC</v>
      </c>
      <c r="K180" s="9">
        <f>'Horizontal Teams'!I67</f>
        <v>0.5</v>
      </c>
      <c r="L180" s="19">
        <v>1</v>
      </c>
      <c r="M180" s="46">
        <f t="shared" si="2"/>
        <v>0.5</v>
      </c>
      <c r="N180" s="46">
        <f>M180*INDEX('Logic Tree'!$J$85:$N$87,MATCH(I180,'Logic Tree'!$I$85:$I$87,0),MATCH(H180,'Logic Tree'!$J$84:$N$84,0))</f>
        <v>0.15</v>
      </c>
    </row>
    <row r="181" spans="2:14" ht="15" customHeight="1">
      <c r="B181" s="19">
        <v>4</v>
      </c>
      <c r="C181" s="11" t="s">
        <v>744</v>
      </c>
      <c r="D181" s="43" t="str">
        <f>'Horizontal Teams'!C68</f>
        <v>H1</v>
      </c>
      <c r="E181" s="35" t="s">
        <v>744</v>
      </c>
      <c r="F181" s="49" t="str">
        <f>'Horizontal Teams'!E68</f>
        <v>Observability / AIOps Engineer</v>
      </c>
      <c r="G181" s="43" t="str">
        <f>'Horizontal Teams'!D68</f>
        <v>OTH</v>
      </c>
      <c r="H181" s="43" t="str">
        <f>'Horizontal Teams'!F68</f>
        <v>E3</v>
      </c>
      <c r="I181" s="43" t="str">
        <f>'Horizontal Teams'!G68</f>
        <v>OFF</v>
      </c>
      <c r="J181" s="43" t="str">
        <f>'Horizontal Teams'!H68</f>
        <v>FTC</v>
      </c>
      <c r="K181" s="9">
        <f>'Horizontal Teams'!I68</f>
        <v>0.5</v>
      </c>
      <c r="L181" s="19">
        <v>1</v>
      </c>
      <c r="M181" s="46">
        <f t="shared" si="2"/>
        <v>0.5</v>
      </c>
      <c r="N181" s="46">
        <f>M181*INDEX('Logic Tree'!$J$85:$N$87,MATCH(I181,'Logic Tree'!$I$85:$I$87,0),MATCH(H181,'Logic Tree'!$J$84:$N$84,0))</f>
        <v>0.21</v>
      </c>
    </row>
    <row r="182" spans="2:14" ht="15" customHeight="1">
      <c r="B182" s="19">
        <v>4</v>
      </c>
      <c r="C182" s="11" t="s">
        <v>744</v>
      </c>
      <c r="D182" s="43" t="str">
        <f>'Horizontal Teams'!C69</f>
        <v>H1</v>
      </c>
      <c r="E182" s="35" t="s">
        <v>744</v>
      </c>
      <c r="F182" s="49" t="str">
        <f>'Horizontal Teams'!E69</f>
        <v>Batch &amp; Scheduling Engineer</v>
      </c>
      <c r="G182" s="43" t="str">
        <f>'Horizontal Teams'!D69</f>
        <v>DEV</v>
      </c>
      <c r="H182" s="43" t="str">
        <f>'Horizontal Teams'!F69</f>
        <v>E3</v>
      </c>
      <c r="I182" s="43" t="str">
        <f>'Horizontal Teams'!G69</f>
        <v>ON</v>
      </c>
      <c r="J182" s="43" t="str">
        <f>'Horizontal Teams'!H69</f>
        <v>FTC</v>
      </c>
      <c r="K182" s="9">
        <f>'Horizontal Teams'!I69</f>
        <v>0.5</v>
      </c>
      <c r="L182" s="19">
        <v>1</v>
      </c>
      <c r="M182" s="46">
        <f t="shared" si="2"/>
        <v>0.5</v>
      </c>
      <c r="N182" s="46">
        <f>M182*INDEX('Logic Tree'!$J$85:$N$87,MATCH(I182,'Logic Tree'!$I$85:$I$87,0),MATCH(H182,'Logic Tree'!$J$84:$N$84,0))</f>
        <v>0.67500000000000004</v>
      </c>
    </row>
    <row r="183" spans="2:14" ht="15" customHeight="1">
      <c r="B183" s="19">
        <v>4</v>
      </c>
      <c r="C183" s="11" t="s">
        <v>744</v>
      </c>
      <c r="D183" s="43" t="str">
        <f>'Horizontal Teams'!C70</f>
        <v>H1</v>
      </c>
      <c r="E183" s="35" t="s">
        <v>744</v>
      </c>
      <c r="F183" s="49" t="str">
        <f>'Horizontal Teams'!E70</f>
        <v>MGCC Platform SRE</v>
      </c>
      <c r="G183" s="43" t="str">
        <f>'Horizontal Teams'!D70</f>
        <v>DEV</v>
      </c>
      <c r="H183" s="43" t="str">
        <f>'Horizontal Teams'!F70</f>
        <v>E3</v>
      </c>
      <c r="I183" s="43" t="str">
        <f>'Horizontal Teams'!G70</f>
        <v>OFF</v>
      </c>
      <c r="J183" s="43" t="str">
        <f>'Horizontal Teams'!H70</f>
        <v>MGCC</v>
      </c>
      <c r="K183" s="9">
        <f>'Horizontal Teams'!I70</f>
        <v>4.5</v>
      </c>
      <c r="L183" s="19">
        <v>1</v>
      </c>
      <c r="M183" s="46">
        <f t="shared" si="2"/>
        <v>4.5</v>
      </c>
      <c r="N183" s="46">
        <f>M183*INDEX('Logic Tree'!$J$85:$N$87,MATCH(I183,'Logic Tree'!$I$85:$I$87,0),MATCH(H183,'Logic Tree'!$J$84:$N$84,0))</f>
        <v>1.89</v>
      </c>
    </row>
    <row r="184" spans="2:14" ht="15" customHeight="1">
      <c r="B184" s="19">
        <v>4</v>
      </c>
      <c r="C184" s="11" t="s">
        <v>744</v>
      </c>
      <c r="D184" s="43" t="str">
        <f>'Horizontal Teams'!C71</f>
        <v>H1</v>
      </c>
      <c r="E184" s="35" t="s">
        <v>744</v>
      </c>
      <c r="F184" s="49" t="str">
        <f>'Horizontal Teams'!E71</f>
        <v>FSI Batch &amp; Production Control</v>
      </c>
      <c r="G184" s="43" t="str">
        <f>'Horizontal Teams'!D71</f>
        <v>MNT</v>
      </c>
      <c r="H184" s="43" t="str">
        <f>'Horizontal Teams'!F71</f>
        <v>E3</v>
      </c>
      <c r="I184" s="43" t="str">
        <f>'Horizontal Teams'!G71</f>
        <v>ON</v>
      </c>
      <c r="J184" s="43" t="str">
        <f>'Horizontal Teams'!H71</f>
        <v>PT</v>
      </c>
      <c r="K184" s="9">
        <f>'Horizontal Teams'!I71</f>
        <v>4.5</v>
      </c>
      <c r="L184" s="19">
        <v>1</v>
      </c>
      <c r="M184" s="46">
        <f t="shared" si="2"/>
        <v>4.5</v>
      </c>
      <c r="N184" s="46">
        <f>M184*INDEX('Logic Tree'!$J$85:$N$87,MATCH(I184,'Logic Tree'!$I$85:$I$87,0),MATCH(H184,'Logic Tree'!$J$84:$N$84,0))</f>
        <v>6.0750000000000002</v>
      </c>
    </row>
    <row r="185" spans="2:14" ht="15" customHeight="1">
      <c r="B185" s="19">
        <v>4</v>
      </c>
      <c r="C185" s="11" t="s">
        <v>744</v>
      </c>
      <c r="D185" s="43" t="str">
        <f>'Horizontal Teams'!C72</f>
        <v>H1</v>
      </c>
      <c r="E185" s="35" t="s">
        <v>744</v>
      </c>
      <c r="F185" s="49" t="str">
        <f>'Horizontal Teams'!E72</f>
        <v>MetLife Operations Analyst</v>
      </c>
      <c r="G185" s="43" t="str">
        <f>'Horizontal Teams'!D72</f>
        <v>MNT</v>
      </c>
      <c r="H185" s="43" t="str">
        <f>'Horizontal Teams'!F72</f>
        <v>E3</v>
      </c>
      <c r="I185" s="43" t="str">
        <f>'Horizontal Teams'!G72</f>
        <v>ON</v>
      </c>
      <c r="J185" s="43" t="str">
        <f>'Horizontal Teams'!H72</f>
        <v>FTE</v>
      </c>
      <c r="K185" s="9">
        <f>'Horizontal Teams'!I72</f>
        <v>3.5</v>
      </c>
      <c r="L185" s="19">
        <v>1</v>
      </c>
      <c r="M185" s="46">
        <f t="shared" si="2"/>
        <v>3.5</v>
      </c>
      <c r="N185" s="46">
        <f>M185*INDEX('Logic Tree'!$J$85:$N$87,MATCH(I185,'Logic Tree'!$I$85:$I$87,0),MATCH(H185,'Logic Tree'!$J$84:$N$84,0))</f>
        <v>4.7250000000000005</v>
      </c>
    </row>
    <row r="186" spans="2:14" ht="15" customHeight="1">
      <c r="B186" s="19">
        <v>4</v>
      </c>
      <c r="C186" s="11" t="s">
        <v>744</v>
      </c>
      <c r="D186" s="43" t="str">
        <f>'Horizontal Teams'!C73</f>
        <v>H2</v>
      </c>
      <c r="E186" s="35" t="s">
        <v>744</v>
      </c>
      <c r="F186" s="49" t="str">
        <f>'Horizontal Teams'!E73</f>
        <v>Head of Quality Engineering</v>
      </c>
      <c r="G186" s="43" t="str">
        <f>'Horizontal Teams'!D73</f>
        <v>TEST</v>
      </c>
      <c r="H186" s="43" t="str">
        <f>'Horizontal Teams'!F73</f>
        <v>E5</v>
      </c>
      <c r="I186" s="43" t="str">
        <f>'Horizontal Teams'!G73</f>
        <v>ON</v>
      </c>
      <c r="J186" s="43" t="str">
        <f>'Horizontal Teams'!H73</f>
        <v>FTC</v>
      </c>
      <c r="K186" s="9">
        <f>'Horizontal Teams'!I73</f>
        <v>0.5</v>
      </c>
      <c r="L186" s="19">
        <v>1</v>
      </c>
      <c r="M186" s="46">
        <f t="shared" si="2"/>
        <v>0.5</v>
      </c>
      <c r="N186" s="46">
        <f>M186*INDEX('Logic Tree'!$J$85:$N$87,MATCH(I186,'Logic Tree'!$I$85:$I$87,0),MATCH(H186,'Logic Tree'!$J$84:$N$84,0))</f>
        <v>1.2749999999999999</v>
      </c>
    </row>
    <row r="187" spans="2:14" ht="15" customHeight="1">
      <c r="B187" s="19">
        <v>4</v>
      </c>
      <c r="C187" s="11" t="s">
        <v>744</v>
      </c>
      <c r="D187" s="43" t="str">
        <f>'Horizontal Teams'!C74</f>
        <v>H2</v>
      </c>
      <c r="E187" s="35" t="s">
        <v>744</v>
      </c>
      <c r="F187" s="49" t="str">
        <f>'Horizontal Teams'!E74</f>
        <v>Regression Automation Engineer</v>
      </c>
      <c r="G187" s="43" t="str">
        <f>'Horizontal Teams'!D74</f>
        <v>TEST</v>
      </c>
      <c r="H187" s="43" t="str">
        <f>'Horizontal Teams'!F74</f>
        <v>E3</v>
      </c>
      <c r="I187" s="43" t="str">
        <f>'Horizontal Teams'!G74</f>
        <v>OFF</v>
      </c>
      <c r="J187" s="43" t="str">
        <f>'Horizontal Teams'!H74</f>
        <v>FTC</v>
      </c>
      <c r="K187" s="9">
        <f>'Horizontal Teams'!I74</f>
        <v>0.5</v>
      </c>
      <c r="L187" s="19">
        <v>1</v>
      </c>
      <c r="M187" s="46">
        <f t="shared" si="2"/>
        <v>0.5</v>
      </c>
      <c r="N187" s="46">
        <f>M187*INDEX('Logic Tree'!$J$85:$N$87,MATCH(I187,'Logic Tree'!$I$85:$I$87,0),MATCH(H187,'Logic Tree'!$J$84:$N$84,0))</f>
        <v>0.21</v>
      </c>
    </row>
    <row r="188" spans="2:14" ht="15" customHeight="1">
      <c r="B188" s="19">
        <v>4</v>
      </c>
      <c r="C188" s="11" t="s">
        <v>744</v>
      </c>
      <c r="D188" s="43" t="str">
        <f>'Horizontal Teams'!C75</f>
        <v>H2</v>
      </c>
      <c r="E188" s="35" t="s">
        <v>744</v>
      </c>
      <c r="F188" s="49" t="str">
        <f>'Horizontal Teams'!E75</f>
        <v>Test Data Engineer</v>
      </c>
      <c r="G188" s="43" t="str">
        <f>'Horizontal Teams'!D75</f>
        <v>TEST</v>
      </c>
      <c r="H188" s="43" t="str">
        <f>'Horizontal Teams'!F75</f>
        <v>E2</v>
      </c>
      <c r="I188" s="43" t="str">
        <f>'Horizontal Teams'!G75</f>
        <v>OFF</v>
      </c>
      <c r="J188" s="43" t="str">
        <f>'Horizontal Teams'!H75</f>
        <v>FTC</v>
      </c>
      <c r="K188" s="9">
        <f>'Horizontal Teams'!I75</f>
        <v>0.5</v>
      </c>
      <c r="L188" s="19">
        <v>1</v>
      </c>
      <c r="M188" s="46">
        <f t="shared" si="2"/>
        <v>0.5</v>
      </c>
      <c r="N188" s="46">
        <f>M188*INDEX('Logic Tree'!$J$85:$N$87,MATCH(I188,'Logic Tree'!$I$85:$I$87,0),MATCH(H188,'Logic Tree'!$J$84:$N$84,0))</f>
        <v>0.15</v>
      </c>
    </row>
    <row r="189" spans="2:14" ht="15" customHeight="1">
      <c r="B189" s="19">
        <v>4</v>
      </c>
      <c r="C189" s="11" t="s">
        <v>744</v>
      </c>
      <c r="D189" s="43" t="str">
        <f>'Horizontal Teams'!C76</f>
        <v>H2</v>
      </c>
      <c r="E189" s="35" t="s">
        <v>744</v>
      </c>
      <c r="F189" s="49" t="str">
        <f>'Horizontal Teams'!E76</f>
        <v>MetLife Servicing Governance</v>
      </c>
      <c r="G189" s="43" t="str">
        <f>'Horizontal Teams'!D76</f>
        <v>BSA</v>
      </c>
      <c r="H189" s="43" t="str">
        <f>'Horizontal Teams'!F76</f>
        <v>E4</v>
      </c>
      <c r="I189" s="43" t="str">
        <f>'Horizontal Teams'!G76</f>
        <v>ON</v>
      </c>
      <c r="J189" s="43" t="str">
        <f>'Horizontal Teams'!H76</f>
        <v>FTE</v>
      </c>
      <c r="K189" s="9">
        <f>'Horizontal Teams'!I76</f>
        <v>2</v>
      </c>
      <c r="L189" s="19">
        <v>1</v>
      </c>
      <c r="M189" s="46">
        <f t="shared" si="2"/>
        <v>2</v>
      </c>
      <c r="N189" s="46">
        <f>M189*INDEX('Logic Tree'!$J$85:$N$87,MATCH(I189,'Logic Tree'!$I$85:$I$87,0),MATCH(H189,'Logic Tree'!$J$84:$N$84,0))</f>
        <v>3.7</v>
      </c>
    </row>
    <row r="190" spans="2:14" ht="15" customHeight="1">
      <c r="B190" s="19">
        <v>4</v>
      </c>
      <c r="C190" s="11" t="s">
        <v>744</v>
      </c>
      <c r="D190" s="43" t="str">
        <f>'Horizontal Teams'!C77</f>
        <v>H3</v>
      </c>
      <c r="E190" s="35" t="s">
        <v>744</v>
      </c>
      <c r="F190" s="49" t="str">
        <f>'Horizontal Teams'!E77</f>
        <v>Domain Delivery Head</v>
      </c>
      <c r="G190" s="43" t="str">
        <f>'Horizontal Teams'!D77</f>
        <v>PM</v>
      </c>
      <c r="H190" s="43" t="str">
        <f>'Horizontal Teams'!F77</f>
        <v>E5</v>
      </c>
      <c r="I190" s="43" t="str">
        <f>'Horizontal Teams'!G77</f>
        <v>ON</v>
      </c>
      <c r="J190" s="43" t="str">
        <f>'Horizontal Teams'!H77</f>
        <v>FTC</v>
      </c>
      <c r="K190" s="9">
        <f>'Horizontal Teams'!I77</f>
        <v>0.5</v>
      </c>
      <c r="L190" s="19">
        <v>1</v>
      </c>
      <c r="M190" s="46">
        <f t="shared" si="2"/>
        <v>0.5</v>
      </c>
      <c r="N190" s="46">
        <f>M190*INDEX('Logic Tree'!$J$85:$N$87,MATCH(I190,'Logic Tree'!$I$85:$I$87,0),MATCH(H190,'Logic Tree'!$J$84:$N$84,0))</f>
        <v>1.2749999999999999</v>
      </c>
    </row>
    <row r="191" spans="2:14" ht="15" customHeight="1">
      <c r="B191" s="19">
        <v>4</v>
      </c>
      <c r="C191" s="11" t="s">
        <v>744</v>
      </c>
      <c r="D191" s="43" t="str">
        <f>'Horizontal Teams'!C78</f>
        <v>H3</v>
      </c>
      <c r="E191" s="35" t="s">
        <v>744</v>
      </c>
      <c r="F191" s="49" t="str">
        <f>'Horizontal Teams'!E78</f>
        <v>Chief Architect — Servicing</v>
      </c>
      <c r="G191" s="43" t="str">
        <f>'Horizontal Teams'!D78</f>
        <v>OTH</v>
      </c>
      <c r="H191" s="43" t="str">
        <f>'Horizontal Teams'!F78</f>
        <v>E5</v>
      </c>
      <c r="I191" s="43" t="str">
        <f>'Horizontal Teams'!G78</f>
        <v>ON</v>
      </c>
      <c r="J191" s="43" t="str">
        <f>'Horizontal Teams'!H78</f>
        <v>FTC</v>
      </c>
      <c r="K191" s="9">
        <f>'Horizontal Teams'!I78</f>
        <v>0</v>
      </c>
      <c r="L191" s="19">
        <v>1</v>
      </c>
      <c r="M191" s="46">
        <f t="shared" si="2"/>
        <v>0</v>
      </c>
      <c r="N191" s="46">
        <f>M191*INDEX('Logic Tree'!$J$85:$N$87,MATCH(I191,'Logic Tree'!$I$85:$I$87,0),MATCH(H191,'Logic Tree'!$J$84:$N$84,0))</f>
        <v>0</v>
      </c>
    </row>
    <row r="192" spans="2:14" ht="15" customHeight="1">
      <c r="B192" s="19">
        <v>4</v>
      </c>
      <c r="C192" s="11" t="s">
        <v>744</v>
      </c>
      <c r="D192" s="43" t="str">
        <f>'Horizontal Teams'!C79</f>
        <v>H3</v>
      </c>
      <c r="E192" s="35" t="s">
        <v>744</v>
      </c>
      <c r="F192" s="49" t="str">
        <f>'Horizontal Teams'!E79</f>
        <v>Transition &amp; Substrate Lead</v>
      </c>
      <c r="G192" s="43" t="str">
        <f>'Horizontal Teams'!D79</f>
        <v>OTH</v>
      </c>
      <c r="H192" s="43" t="str">
        <f>'Horizontal Teams'!F79</f>
        <v>E5</v>
      </c>
      <c r="I192" s="43" t="str">
        <f>'Horizontal Teams'!G79</f>
        <v>ON</v>
      </c>
      <c r="J192" s="43" t="str">
        <f>'Horizontal Teams'!H79</f>
        <v>FTC</v>
      </c>
      <c r="K192" s="9">
        <f>'Horizontal Teams'!I79</f>
        <v>0</v>
      </c>
      <c r="L192" s="19">
        <v>1</v>
      </c>
      <c r="M192" s="46">
        <f t="shared" si="2"/>
        <v>0</v>
      </c>
      <c r="N192" s="46">
        <f>M192*INDEX('Logic Tree'!$J$85:$N$87,MATCH(I192,'Logic Tree'!$I$85:$I$87,0),MATCH(H192,'Logic Tree'!$J$84:$N$84,0))</f>
        <v>0</v>
      </c>
    </row>
    <row r="193" spans="2:14" ht="15" customHeight="1">
      <c r="B193" s="19">
        <v>4</v>
      </c>
      <c r="C193" s="11" t="s">
        <v>744</v>
      </c>
      <c r="D193" s="43" t="str">
        <f>'Horizontal Teams'!C80</f>
        <v>H3</v>
      </c>
      <c r="E193" s="35" t="s">
        <v>744</v>
      </c>
      <c r="F193" s="49" t="str">
        <f>'Horizontal Teams'!E80</f>
        <v>Service &amp; Contract Manager</v>
      </c>
      <c r="G193" s="43" t="str">
        <f>'Horizontal Teams'!D80</f>
        <v>PM</v>
      </c>
      <c r="H193" s="43" t="str">
        <f>'Horizontal Teams'!F80</f>
        <v>E4</v>
      </c>
      <c r="I193" s="43" t="str">
        <f>'Horizontal Teams'!G80</f>
        <v>ON</v>
      </c>
      <c r="J193" s="43" t="str">
        <f>'Horizontal Teams'!H80</f>
        <v>FTC</v>
      </c>
      <c r="K193" s="9">
        <f>'Horizontal Teams'!I80</f>
        <v>0.5</v>
      </c>
      <c r="L193" s="19">
        <v>1</v>
      </c>
      <c r="M193" s="46">
        <f t="shared" si="2"/>
        <v>0.5</v>
      </c>
      <c r="N193" s="46">
        <f>M193*INDEX('Logic Tree'!$J$85:$N$87,MATCH(I193,'Logic Tree'!$I$85:$I$87,0),MATCH(H193,'Logic Tree'!$J$84:$N$84,0))</f>
        <v>0.92500000000000004</v>
      </c>
    </row>
    <row r="194" spans="2:14" ht="15" customHeight="1">
      <c r="B194" s="19">
        <v>4</v>
      </c>
      <c r="C194" s="11" t="s">
        <v>744</v>
      </c>
      <c r="D194" s="43" t="str">
        <f>'Horizontal Teams'!C81</f>
        <v>H3</v>
      </c>
      <c r="E194" s="35" t="s">
        <v>744</v>
      </c>
      <c r="F194" s="49" t="str">
        <f>'Horizontal Teams'!E81</f>
        <v>MetLife Servicing Owner</v>
      </c>
      <c r="G194" s="43" t="str">
        <f>'Horizontal Teams'!D81</f>
        <v>BSA</v>
      </c>
      <c r="H194" s="43" t="str">
        <f>'Horizontal Teams'!F81</f>
        <v>E5</v>
      </c>
      <c r="I194" s="43" t="str">
        <f>'Horizontal Teams'!G81</f>
        <v>ON</v>
      </c>
      <c r="J194" s="43" t="str">
        <f>'Horizontal Teams'!H81</f>
        <v>FTE</v>
      </c>
      <c r="K194" s="9">
        <f>'Horizontal Teams'!I81</f>
        <v>3.5</v>
      </c>
      <c r="L194" s="19">
        <v>1</v>
      </c>
      <c r="M194" s="46">
        <f t="shared" si="2"/>
        <v>3.5</v>
      </c>
      <c r="N194" s="46">
        <f>M194*INDEX('Logic Tree'!$J$85:$N$87,MATCH(I194,'Logic Tree'!$I$85:$I$87,0),MATCH(H194,'Logic Tree'!$J$84:$N$84,0))</f>
        <v>8.9249999999999989</v>
      </c>
    </row>
    <row r="195" spans="2:14" ht="15" customHeight="1">
      <c r="B195" s="19">
        <v>4</v>
      </c>
      <c r="C195" s="11" t="s">
        <v>744</v>
      </c>
      <c r="D195" s="43" t="str">
        <f>'Horizontal Teams'!C82</f>
        <v>H3</v>
      </c>
      <c r="E195" s="35" t="s">
        <v>744</v>
      </c>
      <c r="F195" s="49" t="str">
        <f>'Horizontal Teams'!E82</f>
        <v>MetLife Portfolio Manager</v>
      </c>
      <c r="G195" s="43" t="str">
        <f>'Horizontal Teams'!D82</f>
        <v>PM</v>
      </c>
      <c r="H195" s="43" t="str">
        <f>'Horizontal Teams'!F82</f>
        <v>E4</v>
      </c>
      <c r="I195" s="43" t="str">
        <f>'Horizontal Teams'!G82</f>
        <v>ON</v>
      </c>
      <c r="J195" s="43" t="str">
        <f>'Horizontal Teams'!H82</f>
        <v>FTE</v>
      </c>
      <c r="K195" s="9">
        <f>'Horizontal Teams'!I82</f>
        <v>1</v>
      </c>
      <c r="L195" s="19">
        <v>1</v>
      </c>
      <c r="M195" s="46">
        <f t="shared" si="2"/>
        <v>1</v>
      </c>
      <c r="N195" s="46">
        <f>M195*INDEX('Logic Tree'!$J$85:$N$87,MATCH(I195,'Logic Tree'!$I$85:$I$87,0),MATCH(H195,'Logic Tree'!$J$84:$N$84,0))</f>
        <v>1.85</v>
      </c>
    </row>
    <row r="196" spans="2:14" ht="15" customHeight="1">
      <c r="B196" s="19">
        <v>5</v>
      </c>
      <c r="C196" s="11" t="s">
        <v>448</v>
      </c>
      <c r="D196" s="35" t="s">
        <v>324</v>
      </c>
      <c r="E196" s="35" t="s">
        <v>448</v>
      </c>
      <c r="F196" s="49" t="str">
        <f>'Pod Library'!E108</f>
        <v>MetLife Product Owner</v>
      </c>
      <c r="G196" s="43" t="str">
        <f>'Pod Library'!F108</f>
        <v>PM</v>
      </c>
      <c r="H196" s="43" t="str">
        <f>'Pod Library'!G108</f>
        <v>E4</v>
      </c>
      <c r="I196" s="43" t="str">
        <f>'Pod Library'!H108</f>
        <v>ON</v>
      </c>
      <c r="J196" s="43" t="str">
        <f>'Pod Library'!I108</f>
        <v>FTE</v>
      </c>
      <c r="K196" s="9">
        <f>'Pod Library'!J108</f>
        <v>0.83333333333333304</v>
      </c>
      <c r="L196" s="13">
        <f>'Pod Plan'!E21</f>
        <v>5</v>
      </c>
      <c r="M196" s="46">
        <f t="shared" si="2"/>
        <v>4.1666666666666652</v>
      </c>
      <c r="N196" s="46">
        <f>M196*INDEX('Logic Tree'!$J$85:$N$87,MATCH(I196,'Logic Tree'!$I$85:$I$87,0),MATCH(H196,'Logic Tree'!$J$84:$N$84,0))</f>
        <v>7.7083333333333313</v>
      </c>
    </row>
    <row r="197" spans="2:14" ht="15" customHeight="1">
      <c r="B197" s="19">
        <v>5</v>
      </c>
      <c r="C197" s="11" t="s">
        <v>448</v>
      </c>
      <c r="D197" s="35" t="s">
        <v>324</v>
      </c>
      <c r="E197" s="35" t="s">
        <v>448</v>
      </c>
      <c r="F197" s="49" t="str">
        <f>'Pod Library'!E109</f>
        <v>MetLife Servicing SME (transferred)</v>
      </c>
      <c r="G197" s="43" t="str">
        <f>'Pod Library'!F109</f>
        <v>BSA</v>
      </c>
      <c r="H197" s="43" t="str">
        <f>'Pod Library'!G109</f>
        <v>E3</v>
      </c>
      <c r="I197" s="43" t="str">
        <f>'Pod Library'!H109</f>
        <v>ON</v>
      </c>
      <c r="J197" s="43" t="str">
        <f>'Pod Library'!I109</f>
        <v>FTE</v>
      </c>
      <c r="K197" s="9">
        <f>'Pod Library'!J109</f>
        <v>0.66666666666666696</v>
      </c>
      <c r="L197" s="13">
        <f>'Pod Plan'!E21</f>
        <v>5</v>
      </c>
      <c r="M197" s="46">
        <f t="shared" ref="M197:M235" si="3">K197*L197</f>
        <v>3.3333333333333348</v>
      </c>
      <c r="N197" s="46">
        <f>M197*INDEX('Logic Tree'!$J$85:$N$87,MATCH(I197,'Logic Tree'!$I$85:$I$87,0),MATCH(H197,'Logic Tree'!$J$84:$N$84,0))</f>
        <v>4.5000000000000027</v>
      </c>
    </row>
    <row r="198" spans="2:14" ht="15" customHeight="1">
      <c r="B198" s="19">
        <v>5</v>
      </c>
      <c r="C198" s="11" t="s">
        <v>448</v>
      </c>
      <c r="D198" s="35" t="s">
        <v>324</v>
      </c>
      <c r="E198" s="35" t="s">
        <v>448</v>
      </c>
      <c r="F198" s="49" t="str">
        <f>'Pod Library'!E110</f>
        <v>MGCC Workflow Engineer</v>
      </c>
      <c r="G198" s="43" t="str">
        <f>'Pod Library'!F110</f>
        <v>DEV</v>
      </c>
      <c r="H198" s="43" t="str">
        <f>'Pod Library'!G110</f>
        <v>E3</v>
      </c>
      <c r="I198" s="43" t="str">
        <f>'Pod Library'!H110</f>
        <v>OFF</v>
      </c>
      <c r="J198" s="43" t="str">
        <f>'Pod Library'!I110</f>
        <v>MGCC</v>
      </c>
      <c r="K198" s="9">
        <f>'Pod Library'!J110</f>
        <v>0.33333333333333298</v>
      </c>
      <c r="L198" s="13">
        <f>'Pod Plan'!E21</f>
        <v>5</v>
      </c>
      <c r="M198" s="46">
        <f t="shared" si="3"/>
        <v>1.666666666666665</v>
      </c>
      <c r="N198" s="46">
        <f>M198*INDEX('Logic Tree'!$J$85:$N$87,MATCH(I198,'Logic Tree'!$I$85:$I$87,0),MATCH(H198,'Logic Tree'!$J$84:$N$84,0))</f>
        <v>0.69999999999999929</v>
      </c>
    </row>
    <row r="199" spans="2:14" ht="15" customHeight="1">
      <c r="B199" s="19">
        <v>5</v>
      </c>
      <c r="C199" s="11" t="s">
        <v>448</v>
      </c>
      <c r="D199" s="35" t="s">
        <v>324</v>
      </c>
      <c r="E199" s="35" t="s">
        <v>448</v>
      </c>
      <c r="F199" s="49" t="str">
        <f>'Pod Library'!E111</f>
        <v>MGCC Engineer (transferred)</v>
      </c>
      <c r="G199" s="43" t="str">
        <f>'Pod Library'!F111</f>
        <v>DEV</v>
      </c>
      <c r="H199" s="43" t="str">
        <f>'Pod Library'!G111</f>
        <v>E4</v>
      </c>
      <c r="I199" s="43" t="str">
        <f>'Pod Library'!H111</f>
        <v>OFF</v>
      </c>
      <c r="J199" s="43" t="str">
        <f>'Pod Library'!I111</f>
        <v>MGCC</v>
      </c>
      <c r="K199" s="9">
        <f>'Pod Library'!J111</f>
        <v>0.5</v>
      </c>
      <c r="L199" s="13">
        <f>'Pod Plan'!E21</f>
        <v>5</v>
      </c>
      <c r="M199" s="46">
        <f t="shared" si="3"/>
        <v>2.5</v>
      </c>
      <c r="N199" s="46">
        <f>M199*INDEX('Logic Tree'!$J$85:$N$87,MATCH(I199,'Logic Tree'!$I$85:$I$87,0),MATCH(H199,'Logic Tree'!$J$84:$N$84,0))</f>
        <v>1.5</v>
      </c>
    </row>
    <row r="200" spans="2:14" ht="15" customHeight="1">
      <c r="B200" s="19">
        <v>5</v>
      </c>
      <c r="C200" s="11" t="s">
        <v>448</v>
      </c>
      <c r="D200" s="35" t="s">
        <v>324</v>
      </c>
      <c r="E200" s="35" t="s">
        <v>448</v>
      </c>
      <c r="F200" s="49" t="str">
        <f>'Pod Library'!E112</f>
        <v>Business Analyst (bilingual)</v>
      </c>
      <c r="G200" s="43" t="str">
        <f>'Pod Library'!F112</f>
        <v>BSA</v>
      </c>
      <c r="H200" s="43" t="str">
        <f>'Pod Library'!G112</f>
        <v>E3</v>
      </c>
      <c r="I200" s="43" t="str">
        <f>'Pod Library'!H112</f>
        <v>ON</v>
      </c>
      <c r="J200" s="43" t="str">
        <f>'Pod Library'!I112</f>
        <v>FTC</v>
      </c>
      <c r="K200" s="9">
        <f>'Pod Library'!J112</f>
        <v>0.5</v>
      </c>
      <c r="L200" s="13">
        <f>'Pod Plan'!E21</f>
        <v>5</v>
      </c>
      <c r="M200" s="46">
        <f t="shared" si="3"/>
        <v>2.5</v>
      </c>
      <c r="N200" s="46">
        <f>M200*INDEX('Logic Tree'!$J$85:$N$87,MATCH(I200,'Logic Tree'!$I$85:$I$87,0),MATCH(H200,'Logic Tree'!$J$84:$N$84,0))</f>
        <v>3.375</v>
      </c>
    </row>
    <row r="201" spans="2:14" ht="15" customHeight="1">
      <c r="B201" s="19">
        <v>5</v>
      </c>
      <c r="C201" s="11" t="s">
        <v>448</v>
      </c>
      <c r="D201" s="35" t="s">
        <v>324</v>
      </c>
      <c r="E201" s="35" t="s">
        <v>448</v>
      </c>
      <c r="F201" s="49" t="str">
        <f>'Pod Library'!E113</f>
        <v>Pod lead</v>
      </c>
      <c r="G201" s="43" t="str">
        <f>'Pod Library'!F113</f>
        <v>DEV</v>
      </c>
      <c r="H201" s="43" t="str">
        <f>'Pod Library'!G113</f>
        <v>E4</v>
      </c>
      <c r="I201" s="43" t="str">
        <f>'Pod Library'!H113</f>
        <v>ON</v>
      </c>
      <c r="J201" s="43" t="str">
        <f>'Pod Library'!I113</f>
        <v>FTC</v>
      </c>
      <c r="K201" s="9">
        <f>'Pod Library'!J113</f>
        <v>0.5</v>
      </c>
      <c r="L201" s="13">
        <f>'Pod Plan'!E21</f>
        <v>5</v>
      </c>
      <c r="M201" s="46">
        <f t="shared" si="3"/>
        <v>2.5</v>
      </c>
      <c r="N201" s="46">
        <f>M201*INDEX('Logic Tree'!$J$85:$N$87,MATCH(I201,'Logic Tree'!$I$85:$I$87,0),MATCH(H201,'Logic Tree'!$J$84:$N$84,0))</f>
        <v>4.625</v>
      </c>
    </row>
    <row r="202" spans="2:14" ht="15" customHeight="1">
      <c r="B202" s="19">
        <v>5</v>
      </c>
      <c r="C202" s="11" t="s">
        <v>448</v>
      </c>
      <c r="D202" s="35" t="s">
        <v>324</v>
      </c>
      <c r="E202" s="35" t="s">
        <v>448</v>
      </c>
      <c r="F202" s="49" t="str">
        <f>'Pod Library'!E114</f>
        <v>Agent engineer</v>
      </c>
      <c r="G202" s="43" t="str">
        <f>'Pod Library'!F114</f>
        <v>DEV</v>
      </c>
      <c r="H202" s="43" t="str">
        <f>'Pod Library'!G114</f>
        <v>E4</v>
      </c>
      <c r="I202" s="43" t="str">
        <f>'Pod Library'!H114</f>
        <v>OFF</v>
      </c>
      <c r="J202" s="43" t="str">
        <f>'Pod Library'!I114</f>
        <v>FTC</v>
      </c>
      <c r="K202" s="9">
        <f>'Pod Library'!J114</f>
        <v>0.5</v>
      </c>
      <c r="L202" s="13">
        <f>'Pod Plan'!E21</f>
        <v>5</v>
      </c>
      <c r="M202" s="46">
        <f t="shared" si="3"/>
        <v>2.5</v>
      </c>
      <c r="N202" s="46">
        <f>M202*INDEX('Logic Tree'!$J$85:$N$87,MATCH(I202,'Logic Tree'!$I$85:$I$87,0),MATCH(H202,'Logic Tree'!$J$84:$N$84,0))</f>
        <v>1.5</v>
      </c>
    </row>
    <row r="203" spans="2:14" ht="15" customHeight="1">
      <c r="B203" s="19">
        <v>5</v>
      </c>
      <c r="C203" s="11" t="s">
        <v>448</v>
      </c>
      <c r="D203" s="35" t="s">
        <v>324</v>
      </c>
      <c r="E203" s="35" t="s">
        <v>448</v>
      </c>
      <c r="F203" s="49" t="str">
        <f>'Pod Library'!E115</f>
        <v>AI-assisted Workflow Engineer</v>
      </c>
      <c r="G203" s="43" t="str">
        <f>'Pod Library'!F115</f>
        <v>DEV</v>
      </c>
      <c r="H203" s="43" t="str">
        <f>'Pod Library'!G115</f>
        <v>E3</v>
      </c>
      <c r="I203" s="43" t="str">
        <f>'Pod Library'!H115</f>
        <v>OFF</v>
      </c>
      <c r="J203" s="43" t="str">
        <f>'Pod Library'!I115</f>
        <v>FTC</v>
      </c>
      <c r="K203" s="9">
        <f>'Pod Library'!J115</f>
        <v>0.5</v>
      </c>
      <c r="L203" s="13">
        <f>'Pod Plan'!E21</f>
        <v>5</v>
      </c>
      <c r="M203" s="46">
        <f t="shared" si="3"/>
        <v>2.5</v>
      </c>
      <c r="N203" s="46">
        <f>M203*INDEX('Logic Tree'!$J$85:$N$87,MATCH(I203,'Logic Tree'!$I$85:$I$87,0),MATCH(H203,'Logic Tree'!$J$84:$N$84,0))</f>
        <v>1.05</v>
      </c>
    </row>
    <row r="204" spans="2:14" ht="15" customHeight="1">
      <c r="B204" s="19">
        <v>5</v>
      </c>
      <c r="C204" s="11" t="s">
        <v>448</v>
      </c>
      <c r="D204" s="35" t="s">
        <v>324</v>
      </c>
      <c r="E204" s="35" t="s">
        <v>448</v>
      </c>
      <c r="F204" s="49" t="str">
        <f>'Pod Library'!E116</f>
        <v>Quality Engineer (SDET)</v>
      </c>
      <c r="G204" s="43" t="str">
        <f>'Pod Library'!F116</f>
        <v>TEST</v>
      </c>
      <c r="H204" s="43" t="str">
        <f>'Pod Library'!G116</f>
        <v>E3</v>
      </c>
      <c r="I204" s="43" t="str">
        <f>'Pod Library'!H116</f>
        <v>OFF</v>
      </c>
      <c r="J204" s="43" t="str">
        <f>'Pod Library'!I116</f>
        <v>FTC</v>
      </c>
      <c r="K204" s="9">
        <f>'Pod Library'!J116</f>
        <v>1</v>
      </c>
      <c r="L204" s="13">
        <f>'Pod Plan'!E21</f>
        <v>5</v>
      </c>
      <c r="M204" s="46">
        <f t="shared" si="3"/>
        <v>5</v>
      </c>
      <c r="N204" s="46">
        <f>M204*INDEX('Logic Tree'!$J$85:$N$87,MATCH(I204,'Logic Tree'!$I$85:$I$87,0),MATCH(H204,'Logic Tree'!$J$84:$N$84,0))</f>
        <v>2.1</v>
      </c>
    </row>
    <row r="205" spans="2:14" ht="15" customHeight="1">
      <c r="B205" s="19">
        <v>5</v>
      </c>
      <c r="C205" s="11" t="s">
        <v>448</v>
      </c>
      <c r="D205" s="35" t="s">
        <v>324</v>
      </c>
      <c r="E205" s="35" t="s">
        <v>448</v>
      </c>
      <c r="F205" s="49" t="str">
        <f>'Pod Library'!E117</f>
        <v>Application Support</v>
      </c>
      <c r="G205" s="43" t="str">
        <f>'Pod Library'!F117</f>
        <v>MNT</v>
      </c>
      <c r="H205" s="43" t="str">
        <f>'Pod Library'!G117</f>
        <v>E2</v>
      </c>
      <c r="I205" s="43" t="str">
        <f>'Pod Library'!H117</f>
        <v>OFF</v>
      </c>
      <c r="J205" s="43" t="str">
        <f>'Pod Library'!I117</f>
        <v>FTC</v>
      </c>
      <c r="K205" s="9">
        <f>'Pod Library'!J117</f>
        <v>0</v>
      </c>
      <c r="L205" s="13">
        <f>'Pod Plan'!E21</f>
        <v>5</v>
      </c>
      <c r="M205" s="46">
        <f t="shared" si="3"/>
        <v>0</v>
      </c>
      <c r="N205" s="46">
        <f>M205*INDEX('Logic Tree'!$J$85:$N$87,MATCH(I205,'Logic Tree'!$I$85:$I$87,0),MATCH(H205,'Logic Tree'!$J$84:$N$84,0))</f>
        <v>0</v>
      </c>
    </row>
    <row r="206" spans="2:14" ht="15" customHeight="1">
      <c r="B206" s="19">
        <v>5</v>
      </c>
      <c r="C206" s="11" t="s">
        <v>448</v>
      </c>
      <c r="D206" s="35" t="s">
        <v>324</v>
      </c>
      <c r="E206" s="35" t="s">
        <v>448</v>
      </c>
      <c r="F206" s="49" t="str">
        <f>'Pod Library'!E118</f>
        <v>Solution Architect</v>
      </c>
      <c r="G206" s="43" t="str">
        <f>'Pod Library'!F118</f>
        <v>OTH</v>
      </c>
      <c r="H206" s="43" t="str">
        <f>'Pod Library'!G118</f>
        <v>E4</v>
      </c>
      <c r="I206" s="43" t="str">
        <f>'Pod Library'!H118</f>
        <v>ON</v>
      </c>
      <c r="J206" s="43" t="str">
        <f>'Pod Library'!I118</f>
        <v>FTC</v>
      </c>
      <c r="K206" s="9">
        <f>'Pod Library'!J118</f>
        <v>0</v>
      </c>
      <c r="L206" s="13">
        <f>'Pod Plan'!E21</f>
        <v>5</v>
      </c>
      <c r="M206" s="46">
        <f t="shared" si="3"/>
        <v>0</v>
      </c>
      <c r="N206" s="46">
        <f>M206*INDEX('Logic Tree'!$J$85:$N$87,MATCH(I206,'Logic Tree'!$I$85:$I$87,0),MATCH(H206,'Logic Tree'!$J$84:$N$84,0))</f>
        <v>0</v>
      </c>
    </row>
    <row r="207" spans="2:14" ht="15" customHeight="1">
      <c r="B207" s="19">
        <v>5</v>
      </c>
      <c r="C207" s="11" t="s">
        <v>448</v>
      </c>
      <c r="D207" s="35" t="s">
        <v>325</v>
      </c>
      <c r="E207" s="35" t="s">
        <v>448</v>
      </c>
      <c r="F207" s="49" t="str">
        <f>'Pod Library'!E108</f>
        <v>MetLife Product Owner</v>
      </c>
      <c r="G207" s="43" t="str">
        <f>'Pod Library'!F108</f>
        <v>PM</v>
      </c>
      <c r="H207" s="43" t="str">
        <f>'Pod Library'!G108</f>
        <v>E4</v>
      </c>
      <c r="I207" s="43" t="str">
        <f>'Pod Library'!H108</f>
        <v>ON</v>
      </c>
      <c r="J207" s="43" t="str">
        <f>'Pod Library'!I108</f>
        <v>FTE</v>
      </c>
      <c r="K207" s="9">
        <f>'Pod Library'!J108</f>
        <v>0.83333333333333304</v>
      </c>
      <c r="L207" s="13">
        <f>'Pod Plan'!E22</f>
        <v>1</v>
      </c>
      <c r="M207" s="46">
        <f t="shared" si="3"/>
        <v>0.83333333333333304</v>
      </c>
      <c r="N207" s="46">
        <f>M207*INDEX('Logic Tree'!$J$85:$N$87,MATCH(I207,'Logic Tree'!$I$85:$I$87,0),MATCH(H207,'Logic Tree'!$J$84:$N$84,0))</f>
        <v>1.5416666666666663</v>
      </c>
    </row>
    <row r="208" spans="2:14" ht="15" customHeight="1">
      <c r="B208" s="19">
        <v>5</v>
      </c>
      <c r="C208" s="11" t="s">
        <v>448</v>
      </c>
      <c r="D208" s="35" t="s">
        <v>325</v>
      </c>
      <c r="E208" s="35" t="s">
        <v>448</v>
      </c>
      <c r="F208" s="49" t="str">
        <f>'Pod Library'!E109</f>
        <v>MetLife Servicing SME (transferred)</v>
      </c>
      <c r="G208" s="43" t="str">
        <f>'Pod Library'!F109</f>
        <v>BSA</v>
      </c>
      <c r="H208" s="43" t="str">
        <f>'Pod Library'!G109</f>
        <v>E3</v>
      </c>
      <c r="I208" s="43" t="str">
        <f>'Pod Library'!H109</f>
        <v>ON</v>
      </c>
      <c r="J208" s="43" t="str">
        <f>'Pod Library'!I109</f>
        <v>FTE</v>
      </c>
      <c r="K208" s="9">
        <f>'Pod Library'!J109</f>
        <v>0.66666666666666696</v>
      </c>
      <c r="L208" s="13">
        <f>'Pod Plan'!E22</f>
        <v>1</v>
      </c>
      <c r="M208" s="46">
        <f t="shared" si="3"/>
        <v>0.66666666666666696</v>
      </c>
      <c r="N208" s="46">
        <f>M208*INDEX('Logic Tree'!$J$85:$N$87,MATCH(I208,'Logic Tree'!$I$85:$I$87,0),MATCH(H208,'Logic Tree'!$J$84:$N$84,0))</f>
        <v>0.90000000000000047</v>
      </c>
    </row>
    <row r="209" spans="2:14" ht="15" customHeight="1">
      <c r="B209" s="19">
        <v>5</v>
      </c>
      <c r="C209" s="11" t="s">
        <v>448</v>
      </c>
      <c r="D209" s="35" t="s">
        <v>325</v>
      </c>
      <c r="E209" s="35" t="s">
        <v>448</v>
      </c>
      <c r="F209" s="49" t="str">
        <f>'Pod Library'!E110</f>
        <v>MGCC Workflow Engineer</v>
      </c>
      <c r="G209" s="43" t="str">
        <f>'Pod Library'!F110</f>
        <v>DEV</v>
      </c>
      <c r="H209" s="43" t="str">
        <f>'Pod Library'!G110</f>
        <v>E3</v>
      </c>
      <c r="I209" s="43" t="str">
        <f>'Pod Library'!H110</f>
        <v>OFF</v>
      </c>
      <c r="J209" s="43" t="str">
        <f>'Pod Library'!I110</f>
        <v>MGCC</v>
      </c>
      <c r="K209" s="9">
        <f>'Pod Library'!J110</f>
        <v>0.33333333333333298</v>
      </c>
      <c r="L209" s="13">
        <f>'Pod Plan'!E22</f>
        <v>1</v>
      </c>
      <c r="M209" s="46">
        <f t="shared" si="3"/>
        <v>0.33333333333333298</v>
      </c>
      <c r="N209" s="46">
        <f>M209*INDEX('Logic Tree'!$J$85:$N$87,MATCH(I209,'Logic Tree'!$I$85:$I$87,0),MATCH(H209,'Logic Tree'!$J$84:$N$84,0))</f>
        <v>0.13999999999999985</v>
      </c>
    </row>
    <row r="210" spans="2:14" ht="15" customHeight="1">
      <c r="B210" s="19">
        <v>5</v>
      </c>
      <c r="C210" s="11" t="s">
        <v>448</v>
      </c>
      <c r="D210" s="35" t="s">
        <v>325</v>
      </c>
      <c r="E210" s="35" t="s">
        <v>448</v>
      </c>
      <c r="F210" s="49" t="str">
        <f>'Pod Library'!E111</f>
        <v>MGCC Engineer (transferred)</v>
      </c>
      <c r="G210" s="43" t="str">
        <f>'Pod Library'!F111</f>
        <v>DEV</v>
      </c>
      <c r="H210" s="43" t="str">
        <f>'Pod Library'!G111</f>
        <v>E4</v>
      </c>
      <c r="I210" s="43" t="str">
        <f>'Pod Library'!H111</f>
        <v>OFF</v>
      </c>
      <c r="J210" s="43" t="str">
        <f>'Pod Library'!I111</f>
        <v>MGCC</v>
      </c>
      <c r="K210" s="9">
        <f>'Pod Library'!J111</f>
        <v>0.5</v>
      </c>
      <c r="L210" s="13">
        <f>'Pod Plan'!E22</f>
        <v>1</v>
      </c>
      <c r="M210" s="46">
        <f t="shared" si="3"/>
        <v>0.5</v>
      </c>
      <c r="N210" s="46">
        <f>M210*INDEX('Logic Tree'!$J$85:$N$87,MATCH(I210,'Logic Tree'!$I$85:$I$87,0),MATCH(H210,'Logic Tree'!$J$84:$N$84,0))</f>
        <v>0.3</v>
      </c>
    </row>
    <row r="211" spans="2:14" ht="15" customHeight="1">
      <c r="B211" s="19">
        <v>5</v>
      </c>
      <c r="C211" s="11" t="s">
        <v>448</v>
      </c>
      <c r="D211" s="35" t="s">
        <v>325</v>
      </c>
      <c r="E211" s="35" t="s">
        <v>448</v>
      </c>
      <c r="F211" s="49" t="str">
        <f>'Pod Library'!E112</f>
        <v>Business Analyst (bilingual)</v>
      </c>
      <c r="G211" s="43" t="str">
        <f>'Pod Library'!F112</f>
        <v>BSA</v>
      </c>
      <c r="H211" s="43" t="str">
        <f>'Pod Library'!G112</f>
        <v>E3</v>
      </c>
      <c r="I211" s="43" t="str">
        <f>'Pod Library'!H112</f>
        <v>ON</v>
      </c>
      <c r="J211" s="43" t="str">
        <f>'Pod Library'!I112</f>
        <v>FTC</v>
      </c>
      <c r="K211" s="9">
        <f>'Pod Library'!J112</f>
        <v>0.5</v>
      </c>
      <c r="L211" s="13">
        <f>'Pod Plan'!E22</f>
        <v>1</v>
      </c>
      <c r="M211" s="46">
        <f t="shared" si="3"/>
        <v>0.5</v>
      </c>
      <c r="N211" s="46">
        <f>M211*INDEX('Logic Tree'!$J$85:$N$87,MATCH(I211,'Logic Tree'!$I$85:$I$87,0),MATCH(H211,'Logic Tree'!$J$84:$N$84,0))</f>
        <v>0.67500000000000004</v>
      </c>
    </row>
    <row r="212" spans="2:14" ht="15" customHeight="1">
      <c r="B212" s="19">
        <v>5</v>
      </c>
      <c r="C212" s="11" t="s">
        <v>448</v>
      </c>
      <c r="D212" s="35" t="s">
        <v>325</v>
      </c>
      <c r="E212" s="35" t="s">
        <v>448</v>
      </c>
      <c r="F212" s="49" t="str">
        <f>'Pod Library'!E113</f>
        <v>Pod lead</v>
      </c>
      <c r="G212" s="43" t="str">
        <f>'Pod Library'!F113</f>
        <v>DEV</v>
      </c>
      <c r="H212" s="43" t="str">
        <f>'Pod Library'!G113</f>
        <v>E4</v>
      </c>
      <c r="I212" s="43" t="str">
        <f>'Pod Library'!H113</f>
        <v>ON</v>
      </c>
      <c r="J212" s="43" t="str">
        <f>'Pod Library'!I113</f>
        <v>FTC</v>
      </c>
      <c r="K212" s="9">
        <f>'Pod Library'!J113</f>
        <v>0.5</v>
      </c>
      <c r="L212" s="13">
        <f>'Pod Plan'!E22</f>
        <v>1</v>
      </c>
      <c r="M212" s="46">
        <f t="shared" si="3"/>
        <v>0.5</v>
      </c>
      <c r="N212" s="46">
        <f>M212*INDEX('Logic Tree'!$J$85:$N$87,MATCH(I212,'Logic Tree'!$I$85:$I$87,0),MATCH(H212,'Logic Tree'!$J$84:$N$84,0))</f>
        <v>0.92500000000000004</v>
      </c>
    </row>
    <row r="213" spans="2:14" ht="15" customHeight="1">
      <c r="B213" s="19">
        <v>5</v>
      </c>
      <c r="C213" s="11" t="s">
        <v>448</v>
      </c>
      <c r="D213" s="35" t="s">
        <v>325</v>
      </c>
      <c r="E213" s="35" t="s">
        <v>448</v>
      </c>
      <c r="F213" s="49" t="str">
        <f>'Pod Library'!E114</f>
        <v>Agent engineer</v>
      </c>
      <c r="G213" s="43" t="str">
        <f>'Pod Library'!F114</f>
        <v>DEV</v>
      </c>
      <c r="H213" s="43" t="str">
        <f>'Pod Library'!G114</f>
        <v>E4</v>
      </c>
      <c r="I213" s="43" t="str">
        <f>'Pod Library'!H114</f>
        <v>OFF</v>
      </c>
      <c r="J213" s="43" t="str">
        <f>'Pod Library'!I114</f>
        <v>FTC</v>
      </c>
      <c r="K213" s="9">
        <f>'Pod Library'!J114</f>
        <v>0.5</v>
      </c>
      <c r="L213" s="13">
        <f>'Pod Plan'!E22</f>
        <v>1</v>
      </c>
      <c r="M213" s="46">
        <f t="shared" si="3"/>
        <v>0.5</v>
      </c>
      <c r="N213" s="46">
        <f>M213*INDEX('Logic Tree'!$J$85:$N$87,MATCH(I213,'Logic Tree'!$I$85:$I$87,0),MATCH(H213,'Logic Tree'!$J$84:$N$84,0))</f>
        <v>0.3</v>
      </c>
    </row>
    <row r="214" spans="2:14" ht="15" customHeight="1">
      <c r="B214" s="19">
        <v>5</v>
      </c>
      <c r="C214" s="11" t="s">
        <v>448</v>
      </c>
      <c r="D214" s="35" t="s">
        <v>325</v>
      </c>
      <c r="E214" s="35" t="s">
        <v>448</v>
      </c>
      <c r="F214" s="49" t="str">
        <f>'Pod Library'!E115</f>
        <v>AI-assisted Workflow Engineer</v>
      </c>
      <c r="G214" s="43" t="str">
        <f>'Pod Library'!F115</f>
        <v>DEV</v>
      </c>
      <c r="H214" s="43" t="str">
        <f>'Pod Library'!G115</f>
        <v>E3</v>
      </c>
      <c r="I214" s="43" t="str">
        <f>'Pod Library'!H115</f>
        <v>OFF</v>
      </c>
      <c r="J214" s="43" t="str">
        <f>'Pod Library'!I115</f>
        <v>FTC</v>
      </c>
      <c r="K214" s="9">
        <f>'Pod Library'!J115</f>
        <v>0.5</v>
      </c>
      <c r="L214" s="13">
        <f>'Pod Plan'!E22</f>
        <v>1</v>
      </c>
      <c r="M214" s="46">
        <f t="shared" si="3"/>
        <v>0.5</v>
      </c>
      <c r="N214" s="46">
        <f>M214*INDEX('Logic Tree'!$J$85:$N$87,MATCH(I214,'Logic Tree'!$I$85:$I$87,0),MATCH(H214,'Logic Tree'!$J$84:$N$84,0))</f>
        <v>0.21</v>
      </c>
    </row>
    <row r="215" spans="2:14" ht="15" customHeight="1">
      <c r="B215" s="19">
        <v>5</v>
      </c>
      <c r="C215" s="11" t="s">
        <v>448</v>
      </c>
      <c r="D215" s="35" t="s">
        <v>325</v>
      </c>
      <c r="E215" s="35" t="s">
        <v>448</v>
      </c>
      <c r="F215" s="49" t="str">
        <f>'Pod Library'!E116</f>
        <v>Quality Engineer (SDET)</v>
      </c>
      <c r="G215" s="43" t="str">
        <f>'Pod Library'!F116</f>
        <v>TEST</v>
      </c>
      <c r="H215" s="43" t="str">
        <f>'Pod Library'!G116</f>
        <v>E3</v>
      </c>
      <c r="I215" s="43" t="str">
        <f>'Pod Library'!H116</f>
        <v>OFF</v>
      </c>
      <c r="J215" s="43" t="str">
        <f>'Pod Library'!I116</f>
        <v>FTC</v>
      </c>
      <c r="K215" s="9">
        <f>'Pod Library'!J116</f>
        <v>1</v>
      </c>
      <c r="L215" s="13">
        <f>'Pod Plan'!E22</f>
        <v>1</v>
      </c>
      <c r="M215" s="46">
        <f t="shared" si="3"/>
        <v>1</v>
      </c>
      <c r="N215" s="46">
        <f>M215*INDEX('Logic Tree'!$J$85:$N$87,MATCH(I215,'Logic Tree'!$I$85:$I$87,0),MATCH(H215,'Logic Tree'!$J$84:$N$84,0))</f>
        <v>0.42</v>
      </c>
    </row>
    <row r="216" spans="2:14" ht="15" customHeight="1">
      <c r="B216" s="19">
        <v>5</v>
      </c>
      <c r="C216" s="11" t="s">
        <v>448</v>
      </c>
      <c r="D216" s="35" t="s">
        <v>325</v>
      </c>
      <c r="E216" s="35" t="s">
        <v>448</v>
      </c>
      <c r="F216" s="49" t="str">
        <f>'Pod Library'!E117</f>
        <v>Application Support</v>
      </c>
      <c r="G216" s="43" t="str">
        <f>'Pod Library'!F117</f>
        <v>MNT</v>
      </c>
      <c r="H216" s="43" t="str">
        <f>'Pod Library'!G117</f>
        <v>E2</v>
      </c>
      <c r="I216" s="43" t="str">
        <f>'Pod Library'!H117</f>
        <v>OFF</v>
      </c>
      <c r="J216" s="43" t="str">
        <f>'Pod Library'!I117</f>
        <v>FTC</v>
      </c>
      <c r="K216" s="9">
        <f>'Pod Library'!J117</f>
        <v>0</v>
      </c>
      <c r="L216" s="13">
        <f>'Pod Plan'!E22</f>
        <v>1</v>
      </c>
      <c r="M216" s="46">
        <f t="shared" si="3"/>
        <v>0</v>
      </c>
      <c r="N216" s="46">
        <f>M216*INDEX('Logic Tree'!$J$85:$N$87,MATCH(I216,'Logic Tree'!$I$85:$I$87,0),MATCH(H216,'Logic Tree'!$J$84:$N$84,0))</f>
        <v>0</v>
      </c>
    </row>
    <row r="217" spans="2:14" ht="15" customHeight="1">
      <c r="B217" s="19">
        <v>5</v>
      </c>
      <c r="C217" s="11" t="s">
        <v>448</v>
      </c>
      <c r="D217" s="35" t="s">
        <v>325</v>
      </c>
      <c r="E217" s="35" t="s">
        <v>448</v>
      </c>
      <c r="F217" s="49" t="str">
        <f>'Pod Library'!E118</f>
        <v>Solution Architect</v>
      </c>
      <c r="G217" s="43" t="str">
        <f>'Pod Library'!F118</f>
        <v>OTH</v>
      </c>
      <c r="H217" s="43" t="str">
        <f>'Pod Library'!G118</f>
        <v>E4</v>
      </c>
      <c r="I217" s="43" t="str">
        <f>'Pod Library'!H118</f>
        <v>ON</v>
      </c>
      <c r="J217" s="43" t="str">
        <f>'Pod Library'!I118</f>
        <v>FTC</v>
      </c>
      <c r="K217" s="9">
        <f>'Pod Library'!J118</f>
        <v>0</v>
      </c>
      <c r="L217" s="13">
        <f>'Pod Plan'!E22</f>
        <v>1</v>
      </c>
      <c r="M217" s="46">
        <f t="shared" si="3"/>
        <v>0</v>
      </c>
      <c r="N217" s="46">
        <f>M217*INDEX('Logic Tree'!$J$85:$N$87,MATCH(I217,'Logic Tree'!$I$85:$I$87,0),MATCH(H217,'Logic Tree'!$J$84:$N$84,0))</f>
        <v>0</v>
      </c>
    </row>
    <row r="218" spans="2:14" ht="15" customHeight="1">
      <c r="B218" s="19">
        <v>5</v>
      </c>
      <c r="C218" s="11" t="s">
        <v>744</v>
      </c>
      <c r="D218" s="43" t="str">
        <f>'Horizontal Teams'!C85</f>
        <v>H1</v>
      </c>
      <c r="E218" s="35" t="s">
        <v>744</v>
      </c>
      <c r="F218" s="49" t="str">
        <f>'Horizontal Teams'!E85</f>
        <v>Service Delivery Manager</v>
      </c>
      <c r="G218" s="43" t="str">
        <f>'Horizontal Teams'!D85</f>
        <v>PM</v>
      </c>
      <c r="H218" s="43" t="str">
        <f>'Horizontal Teams'!F85</f>
        <v>E5</v>
      </c>
      <c r="I218" s="43" t="str">
        <f>'Horizontal Teams'!G85</f>
        <v>ON</v>
      </c>
      <c r="J218" s="43" t="str">
        <f>'Horizontal Teams'!H85</f>
        <v>FTC</v>
      </c>
      <c r="K218" s="9">
        <f>'Horizontal Teams'!I85</f>
        <v>0.5</v>
      </c>
      <c r="L218" s="19">
        <v>1</v>
      </c>
      <c r="M218" s="46">
        <f t="shared" si="3"/>
        <v>0.5</v>
      </c>
      <c r="N218" s="46">
        <f>M218*INDEX('Logic Tree'!$J$85:$N$87,MATCH(I218,'Logic Tree'!$I$85:$I$87,0),MATCH(H218,'Logic Tree'!$J$84:$N$84,0))</f>
        <v>1.2749999999999999</v>
      </c>
    </row>
    <row r="219" spans="2:14" ht="15" customHeight="1">
      <c r="B219" s="19">
        <v>5</v>
      </c>
      <c r="C219" s="11" t="s">
        <v>744</v>
      </c>
      <c r="D219" s="43" t="str">
        <f>'Horizontal Teams'!C86</f>
        <v>H1</v>
      </c>
      <c r="E219" s="35" t="s">
        <v>744</v>
      </c>
      <c r="F219" s="49" t="str">
        <f>'Horizontal Teams'!E86</f>
        <v>Incident &amp; Problem Analyst</v>
      </c>
      <c r="G219" s="43" t="str">
        <f>'Horizontal Teams'!D86</f>
        <v>MNT</v>
      </c>
      <c r="H219" s="43" t="str">
        <f>'Horizontal Teams'!F86</f>
        <v>E3</v>
      </c>
      <c r="I219" s="43" t="str">
        <f>'Horizontal Teams'!G86</f>
        <v>ON</v>
      </c>
      <c r="J219" s="43" t="str">
        <f>'Horizontal Teams'!H86</f>
        <v>FTC</v>
      </c>
      <c r="K219" s="9">
        <f>'Horizontal Teams'!I86</f>
        <v>0.5</v>
      </c>
      <c r="L219" s="19">
        <v>1</v>
      </c>
      <c r="M219" s="46">
        <f t="shared" si="3"/>
        <v>0.5</v>
      </c>
      <c r="N219" s="46">
        <f>M219*INDEX('Logic Tree'!$J$85:$N$87,MATCH(I219,'Logic Tree'!$I$85:$I$87,0),MATCH(H219,'Logic Tree'!$J$84:$N$84,0))</f>
        <v>0.67500000000000004</v>
      </c>
    </row>
    <row r="220" spans="2:14" ht="15" customHeight="1">
      <c r="B220" s="19">
        <v>5</v>
      </c>
      <c r="C220" s="11" t="s">
        <v>744</v>
      </c>
      <c r="D220" s="43" t="str">
        <f>'Horizontal Teams'!C87</f>
        <v>H1</v>
      </c>
      <c r="E220" s="35" t="s">
        <v>744</v>
      </c>
      <c r="F220" s="49" t="str">
        <f>'Horizontal Teams'!E87</f>
        <v>L2 Application Support</v>
      </c>
      <c r="G220" s="43" t="str">
        <f>'Horizontal Teams'!D87</f>
        <v>MNT</v>
      </c>
      <c r="H220" s="43" t="str">
        <f>'Horizontal Teams'!F87</f>
        <v>E2</v>
      </c>
      <c r="I220" s="43" t="str">
        <f>'Horizontal Teams'!G87</f>
        <v>OFF</v>
      </c>
      <c r="J220" s="43" t="str">
        <f>'Horizontal Teams'!H87</f>
        <v>FTC</v>
      </c>
      <c r="K220" s="9">
        <f>'Horizontal Teams'!I87</f>
        <v>0.5</v>
      </c>
      <c r="L220" s="19">
        <v>1</v>
      </c>
      <c r="M220" s="46">
        <f t="shared" si="3"/>
        <v>0.5</v>
      </c>
      <c r="N220" s="46">
        <f>M220*INDEX('Logic Tree'!$J$85:$N$87,MATCH(I220,'Logic Tree'!$I$85:$I$87,0),MATCH(H220,'Logic Tree'!$J$84:$N$84,0))</f>
        <v>0.15</v>
      </c>
    </row>
    <row r="221" spans="2:14" ht="15" customHeight="1">
      <c r="B221" s="19">
        <v>5</v>
      </c>
      <c r="C221" s="11" t="s">
        <v>744</v>
      </c>
      <c r="D221" s="43" t="str">
        <f>'Horizontal Teams'!C88</f>
        <v>H1</v>
      </c>
      <c r="E221" s="35" t="s">
        <v>744</v>
      </c>
      <c r="F221" s="49" t="str">
        <f>'Horizontal Teams'!E88</f>
        <v>Observability / AIOps Engineer</v>
      </c>
      <c r="G221" s="43" t="str">
        <f>'Horizontal Teams'!D88</f>
        <v>OTH</v>
      </c>
      <c r="H221" s="43" t="str">
        <f>'Horizontal Teams'!F88</f>
        <v>E3</v>
      </c>
      <c r="I221" s="43" t="str">
        <f>'Horizontal Teams'!G88</f>
        <v>OFF</v>
      </c>
      <c r="J221" s="43" t="str">
        <f>'Horizontal Teams'!H88</f>
        <v>FTC</v>
      </c>
      <c r="K221" s="9">
        <f>'Horizontal Teams'!I88</f>
        <v>0.5</v>
      </c>
      <c r="L221" s="19">
        <v>1</v>
      </c>
      <c r="M221" s="46">
        <f t="shared" si="3"/>
        <v>0.5</v>
      </c>
      <c r="N221" s="46">
        <f>M221*INDEX('Logic Tree'!$J$85:$N$87,MATCH(I221,'Logic Tree'!$I$85:$I$87,0),MATCH(H221,'Logic Tree'!$J$84:$N$84,0))</f>
        <v>0.21</v>
      </c>
    </row>
    <row r="222" spans="2:14" ht="15" customHeight="1">
      <c r="B222" s="19">
        <v>5</v>
      </c>
      <c r="C222" s="11" t="s">
        <v>744</v>
      </c>
      <c r="D222" s="43" t="str">
        <f>'Horizontal Teams'!C89</f>
        <v>H1</v>
      </c>
      <c r="E222" s="35" t="s">
        <v>744</v>
      </c>
      <c r="F222" s="49" t="str">
        <f>'Horizontal Teams'!E89</f>
        <v>Batch &amp; Scheduling Engineer</v>
      </c>
      <c r="G222" s="43" t="str">
        <f>'Horizontal Teams'!D89</f>
        <v>DEV</v>
      </c>
      <c r="H222" s="43" t="str">
        <f>'Horizontal Teams'!F89</f>
        <v>E3</v>
      </c>
      <c r="I222" s="43" t="str">
        <f>'Horizontal Teams'!G89</f>
        <v>ON</v>
      </c>
      <c r="J222" s="43" t="str">
        <f>'Horizontal Teams'!H89</f>
        <v>FTC</v>
      </c>
      <c r="K222" s="9">
        <f>'Horizontal Teams'!I89</f>
        <v>0.5</v>
      </c>
      <c r="L222" s="19">
        <v>1</v>
      </c>
      <c r="M222" s="46">
        <f t="shared" si="3"/>
        <v>0.5</v>
      </c>
      <c r="N222" s="46">
        <f>M222*INDEX('Logic Tree'!$J$85:$N$87,MATCH(I222,'Logic Tree'!$I$85:$I$87,0),MATCH(H222,'Logic Tree'!$J$84:$N$84,0))</f>
        <v>0.67500000000000004</v>
      </c>
    </row>
    <row r="223" spans="2:14" ht="15" customHeight="1">
      <c r="B223" s="19">
        <v>5</v>
      </c>
      <c r="C223" s="11" t="s">
        <v>744</v>
      </c>
      <c r="D223" s="43" t="str">
        <f>'Horizontal Teams'!C90</f>
        <v>H1</v>
      </c>
      <c r="E223" s="35" t="s">
        <v>744</v>
      </c>
      <c r="F223" s="49" t="str">
        <f>'Horizontal Teams'!E90</f>
        <v>MGCC Platform SRE</v>
      </c>
      <c r="G223" s="43" t="str">
        <f>'Horizontal Teams'!D90</f>
        <v>DEV</v>
      </c>
      <c r="H223" s="43" t="str">
        <f>'Horizontal Teams'!F90</f>
        <v>E3</v>
      </c>
      <c r="I223" s="43" t="str">
        <f>'Horizontal Teams'!G90</f>
        <v>OFF</v>
      </c>
      <c r="J223" s="43" t="str">
        <f>'Horizontal Teams'!H90</f>
        <v>MGCC</v>
      </c>
      <c r="K223" s="9">
        <f>'Horizontal Teams'!I90</f>
        <v>4</v>
      </c>
      <c r="L223" s="19">
        <v>1</v>
      </c>
      <c r="M223" s="46">
        <f t="shared" si="3"/>
        <v>4</v>
      </c>
      <c r="N223" s="46">
        <f>M223*INDEX('Logic Tree'!$J$85:$N$87,MATCH(I223,'Logic Tree'!$I$85:$I$87,0),MATCH(H223,'Logic Tree'!$J$84:$N$84,0))</f>
        <v>1.68</v>
      </c>
    </row>
    <row r="224" spans="2:14" ht="15" customHeight="1">
      <c r="B224" s="19">
        <v>5</v>
      </c>
      <c r="C224" s="11" t="s">
        <v>744</v>
      </c>
      <c r="D224" s="43" t="str">
        <f>'Horizontal Teams'!C91</f>
        <v>H1</v>
      </c>
      <c r="E224" s="35" t="s">
        <v>744</v>
      </c>
      <c r="F224" s="49" t="str">
        <f>'Horizontal Teams'!E91</f>
        <v>FSI Batch &amp; Production Control</v>
      </c>
      <c r="G224" s="43" t="str">
        <f>'Horizontal Teams'!D91</f>
        <v>MNT</v>
      </c>
      <c r="H224" s="43" t="str">
        <f>'Horizontal Teams'!F91</f>
        <v>E3</v>
      </c>
      <c r="I224" s="43" t="str">
        <f>'Horizontal Teams'!G91</f>
        <v>ON</v>
      </c>
      <c r="J224" s="43" t="str">
        <f>'Horizontal Teams'!H91</f>
        <v>PT</v>
      </c>
      <c r="K224" s="9">
        <f>'Horizontal Teams'!I91</f>
        <v>3.5</v>
      </c>
      <c r="L224" s="19">
        <v>1</v>
      </c>
      <c r="M224" s="46">
        <f t="shared" si="3"/>
        <v>3.5</v>
      </c>
      <c r="N224" s="46">
        <f>M224*INDEX('Logic Tree'!$J$85:$N$87,MATCH(I224,'Logic Tree'!$I$85:$I$87,0),MATCH(H224,'Logic Tree'!$J$84:$N$84,0))</f>
        <v>4.7250000000000005</v>
      </c>
    </row>
    <row r="225" spans="2:14" ht="15" customHeight="1">
      <c r="B225" s="19">
        <v>5</v>
      </c>
      <c r="C225" s="11" t="s">
        <v>744</v>
      </c>
      <c r="D225" s="43" t="str">
        <f>'Horizontal Teams'!C92</f>
        <v>H1</v>
      </c>
      <c r="E225" s="35" t="s">
        <v>744</v>
      </c>
      <c r="F225" s="49" t="str">
        <f>'Horizontal Teams'!E92</f>
        <v>MetLife Operations Analyst</v>
      </c>
      <c r="G225" s="43" t="str">
        <f>'Horizontal Teams'!D92</f>
        <v>MNT</v>
      </c>
      <c r="H225" s="43" t="str">
        <f>'Horizontal Teams'!F92</f>
        <v>E3</v>
      </c>
      <c r="I225" s="43" t="str">
        <f>'Horizontal Teams'!G92</f>
        <v>ON</v>
      </c>
      <c r="J225" s="43" t="str">
        <f>'Horizontal Teams'!H92</f>
        <v>FTE</v>
      </c>
      <c r="K225" s="9">
        <f>'Horizontal Teams'!I92</f>
        <v>1</v>
      </c>
      <c r="L225" s="19">
        <v>1</v>
      </c>
      <c r="M225" s="46">
        <f t="shared" si="3"/>
        <v>1</v>
      </c>
      <c r="N225" s="46">
        <f>M225*INDEX('Logic Tree'!$J$85:$N$87,MATCH(I225,'Logic Tree'!$I$85:$I$87,0),MATCH(H225,'Logic Tree'!$J$84:$N$84,0))</f>
        <v>1.35</v>
      </c>
    </row>
    <row r="226" spans="2:14" ht="15" customHeight="1">
      <c r="B226" s="19">
        <v>5</v>
      </c>
      <c r="C226" s="11" t="s">
        <v>744</v>
      </c>
      <c r="D226" s="43" t="str">
        <f>'Horizontal Teams'!C93</f>
        <v>H2</v>
      </c>
      <c r="E226" s="35" t="s">
        <v>744</v>
      </c>
      <c r="F226" s="49" t="str">
        <f>'Horizontal Teams'!E93</f>
        <v>Head of Quality Engineering</v>
      </c>
      <c r="G226" s="43" t="str">
        <f>'Horizontal Teams'!D93</f>
        <v>TEST</v>
      </c>
      <c r="H226" s="43" t="str">
        <f>'Horizontal Teams'!F93</f>
        <v>E5</v>
      </c>
      <c r="I226" s="43" t="str">
        <f>'Horizontal Teams'!G93</f>
        <v>ON</v>
      </c>
      <c r="J226" s="43" t="str">
        <f>'Horizontal Teams'!H93</f>
        <v>FTC</v>
      </c>
      <c r="K226" s="9">
        <f>'Horizontal Teams'!I93</f>
        <v>0.5</v>
      </c>
      <c r="L226" s="19">
        <v>1</v>
      </c>
      <c r="M226" s="46">
        <f t="shared" si="3"/>
        <v>0.5</v>
      </c>
      <c r="N226" s="46">
        <f>M226*INDEX('Logic Tree'!$J$85:$N$87,MATCH(I226,'Logic Tree'!$I$85:$I$87,0),MATCH(H226,'Logic Tree'!$J$84:$N$84,0))</f>
        <v>1.2749999999999999</v>
      </c>
    </row>
    <row r="227" spans="2:14" ht="15" customHeight="1">
      <c r="B227" s="19">
        <v>5</v>
      </c>
      <c r="C227" s="11" t="s">
        <v>744</v>
      </c>
      <c r="D227" s="43" t="str">
        <f>'Horizontal Teams'!C94</f>
        <v>H2</v>
      </c>
      <c r="E227" s="35" t="s">
        <v>744</v>
      </c>
      <c r="F227" s="49" t="str">
        <f>'Horizontal Teams'!E94</f>
        <v>Regression Automation Engineer</v>
      </c>
      <c r="G227" s="43" t="str">
        <f>'Horizontal Teams'!D94</f>
        <v>TEST</v>
      </c>
      <c r="H227" s="43" t="str">
        <f>'Horizontal Teams'!F94</f>
        <v>E3</v>
      </c>
      <c r="I227" s="43" t="str">
        <f>'Horizontal Teams'!G94</f>
        <v>OFF</v>
      </c>
      <c r="J227" s="43" t="str">
        <f>'Horizontal Teams'!H94</f>
        <v>FTC</v>
      </c>
      <c r="K227" s="9">
        <f>'Horizontal Teams'!I94</f>
        <v>0.5</v>
      </c>
      <c r="L227" s="19">
        <v>1</v>
      </c>
      <c r="M227" s="46">
        <f t="shared" si="3"/>
        <v>0.5</v>
      </c>
      <c r="N227" s="46">
        <f>M227*INDEX('Logic Tree'!$J$85:$N$87,MATCH(I227,'Logic Tree'!$I$85:$I$87,0),MATCH(H227,'Logic Tree'!$J$84:$N$84,0))</f>
        <v>0.21</v>
      </c>
    </row>
    <row r="228" spans="2:14" ht="15" customHeight="1">
      <c r="B228" s="19">
        <v>5</v>
      </c>
      <c r="C228" s="11" t="s">
        <v>744</v>
      </c>
      <c r="D228" s="43" t="str">
        <f>'Horizontal Teams'!C95</f>
        <v>H2</v>
      </c>
      <c r="E228" s="35" t="s">
        <v>744</v>
      </c>
      <c r="F228" s="49" t="str">
        <f>'Horizontal Teams'!E95</f>
        <v>Test Data Engineer</v>
      </c>
      <c r="G228" s="43" t="str">
        <f>'Horizontal Teams'!D95</f>
        <v>TEST</v>
      </c>
      <c r="H228" s="43" t="str">
        <f>'Horizontal Teams'!F95</f>
        <v>E2</v>
      </c>
      <c r="I228" s="43" t="str">
        <f>'Horizontal Teams'!G95</f>
        <v>OFF</v>
      </c>
      <c r="J228" s="43" t="str">
        <f>'Horizontal Teams'!H95</f>
        <v>FTC</v>
      </c>
      <c r="K228" s="9">
        <f>'Horizontal Teams'!I95</f>
        <v>0.5</v>
      </c>
      <c r="L228" s="19">
        <v>1</v>
      </c>
      <c r="M228" s="46">
        <f t="shared" si="3"/>
        <v>0.5</v>
      </c>
      <c r="N228" s="46">
        <f>M228*INDEX('Logic Tree'!$J$85:$N$87,MATCH(I228,'Logic Tree'!$I$85:$I$87,0),MATCH(H228,'Logic Tree'!$J$84:$N$84,0))</f>
        <v>0.15</v>
      </c>
    </row>
    <row r="229" spans="2:14" ht="15" customHeight="1">
      <c r="B229" s="19">
        <v>5</v>
      </c>
      <c r="C229" s="11" t="s">
        <v>744</v>
      </c>
      <c r="D229" s="43" t="str">
        <f>'Horizontal Teams'!C96</f>
        <v>H2</v>
      </c>
      <c r="E229" s="35" t="s">
        <v>744</v>
      </c>
      <c r="F229" s="49" t="str">
        <f>'Horizontal Teams'!E96</f>
        <v>MetLife Servicing Governance</v>
      </c>
      <c r="G229" s="43" t="str">
        <f>'Horizontal Teams'!D96</f>
        <v>BSA</v>
      </c>
      <c r="H229" s="43" t="str">
        <f>'Horizontal Teams'!F96</f>
        <v>E4</v>
      </c>
      <c r="I229" s="43" t="str">
        <f>'Horizontal Teams'!G96</f>
        <v>ON</v>
      </c>
      <c r="J229" s="43" t="str">
        <f>'Horizontal Teams'!H96</f>
        <v>FTE</v>
      </c>
      <c r="K229" s="9">
        <f>'Horizontal Teams'!I96</f>
        <v>2</v>
      </c>
      <c r="L229" s="19">
        <v>1</v>
      </c>
      <c r="M229" s="46">
        <f t="shared" si="3"/>
        <v>2</v>
      </c>
      <c r="N229" s="46">
        <f>M229*INDEX('Logic Tree'!$J$85:$N$87,MATCH(I229,'Logic Tree'!$I$85:$I$87,0),MATCH(H229,'Logic Tree'!$J$84:$N$84,0))</f>
        <v>3.7</v>
      </c>
    </row>
    <row r="230" spans="2:14" ht="15" customHeight="1">
      <c r="B230" s="19">
        <v>5</v>
      </c>
      <c r="C230" s="11" t="s">
        <v>744</v>
      </c>
      <c r="D230" s="43" t="str">
        <f>'Horizontal Teams'!C97</f>
        <v>H3</v>
      </c>
      <c r="E230" s="35" t="s">
        <v>744</v>
      </c>
      <c r="F230" s="49" t="str">
        <f>'Horizontal Teams'!E97</f>
        <v>Domain Delivery Head</v>
      </c>
      <c r="G230" s="43" t="str">
        <f>'Horizontal Teams'!D97</f>
        <v>PM</v>
      </c>
      <c r="H230" s="43" t="str">
        <f>'Horizontal Teams'!F97</f>
        <v>E5</v>
      </c>
      <c r="I230" s="43" t="str">
        <f>'Horizontal Teams'!G97</f>
        <v>ON</v>
      </c>
      <c r="J230" s="43" t="str">
        <f>'Horizontal Teams'!H97</f>
        <v>FTC</v>
      </c>
      <c r="K230" s="9">
        <f>'Horizontal Teams'!I97</f>
        <v>0.5</v>
      </c>
      <c r="L230" s="19">
        <v>1</v>
      </c>
      <c r="M230" s="46">
        <f t="shared" si="3"/>
        <v>0.5</v>
      </c>
      <c r="N230" s="46">
        <f>M230*INDEX('Logic Tree'!$J$85:$N$87,MATCH(I230,'Logic Tree'!$I$85:$I$87,0),MATCH(H230,'Logic Tree'!$J$84:$N$84,0))</f>
        <v>1.2749999999999999</v>
      </c>
    </row>
    <row r="231" spans="2:14" ht="15" customHeight="1">
      <c r="B231" s="19">
        <v>5</v>
      </c>
      <c r="C231" s="11" t="s">
        <v>744</v>
      </c>
      <c r="D231" s="43" t="str">
        <f>'Horizontal Teams'!C98</f>
        <v>H3</v>
      </c>
      <c r="E231" s="35" t="s">
        <v>744</v>
      </c>
      <c r="F231" s="49" t="str">
        <f>'Horizontal Teams'!E98</f>
        <v>Chief Architect — Servicing</v>
      </c>
      <c r="G231" s="43" t="str">
        <f>'Horizontal Teams'!D98</f>
        <v>OTH</v>
      </c>
      <c r="H231" s="43" t="str">
        <f>'Horizontal Teams'!F98</f>
        <v>E5</v>
      </c>
      <c r="I231" s="43" t="str">
        <f>'Horizontal Teams'!G98</f>
        <v>ON</v>
      </c>
      <c r="J231" s="43" t="str">
        <f>'Horizontal Teams'!H98</f>
        <v>FTC</v>
      </c>
      <c r="K231" s="9">
        <f>'Horizontal Teams'!I98</f>
        <v>0</v>
      </c>
      <c r="L231" s="19">
        <v>1</v>
      </c>
      <c r="M231" s="46">
        <f t="shared" si="3"/>
        <v>0</v>
      </c>
      <c r="N231" s="46">
        <f>M231*INDEX('Logic Tree'!$J$85:$N$87,MATCH(I231,'Logic Tree'!$I$85:$I$87,0),MATCH(H231,'Logic Tree'!$J$84:$N$84,0))</f>
        <v>0</v>
      </c>
    </row>
    <row r="232" spans="2:14" ht="15" customHeight="1">
      <c r="B232" s="19">
        <v>5</v>
      </c>
      <c r="C232" s="11" t="s">
        <v>744</v>
      </c>
      <c r="D232" s="43" t="str">
        <f>'Horizontal Teams'!C99</f>
        <v>H3</v>
      </c>
      <c r="E232" s="35" t="s">
        <v>744</v>
      </c>
      <c r="F232" s="49" t="str">
        <f>'Horizontal Teams'!E99</f>
        <v>Transition &amp; Substrate Lead</v>
      </c>
      <c r="G232" s="43" t="str">
        <f>'Horizontal Teams'!D99</f>
        <v>OTH</v>
      </c>
      <c r="H232" s="43" t="str">
        <f>'Horizontal Teams'!F99</f>
        <v>E5</v>
      </c>
      <c r="I232" s="43" t="str">
        <f>'Horizontal Teams'!G99</f>
        <v>ON</v>
      </c>
      <c r="J232" s="43" t="str">
        <f>'Horizontal Teams'!H99</f>
        <v>FTC</v>
      </c>
      <c r="K232" s="9">
        <f>'Horizontal Teams'!I99</f>
        <v>0</v>
      </c>
      <c r="L232" s="19">
        <v>1</v>
      </c>
      <c r="M232" s="46">
        <f t="shared" si="3"/>
        <v>0</v>
      </c>
      <c r="N232" s="46">
        <f>M232*INDEX('Logic Tree'!$J$85:$N$87,MATCH(I232,'Logic Tree'!$I$85:$I$87,0),MATCH(H232,'Logic Tree'!$J$84:$N$84,0))</f>
        <v>0</v>
      </c>
    </row>
    <row r="233" spans="2:14" ht="15" customHeight="1">
      <c r="B233" s="19">
        <v>5</v>
      </c>
      <c r="C233" s="11" t="s">
        <v>744</v>
      </c>
      <c r="D233" s="43" t="str">
        <f>'Horizontal Teams'!C100</f>
        <v>H3</v>
      </c>
      <c r="E233" s="35" t="s">
        <v>744</v>
      </c>
      <c r="F233" s="49" t="str">
        <f>'Horizontal Teams'!E100</f>
        <v>Service &amp; Contract Manager</v>
      </c>
      <c r="G233" s="43" t="str">
        <f>'Horizontal Teams'!D100</f>
        <v>PM</v>
      </c>
      <c r="H233" s="43" t="str">
        <f>'Horizontal Teams'!F100</f>
        <v>E4</v>
      </c>
      <c r="I233" s="43" t="str">
        <f>'Horizontal Teams'!G100</f>
        <v>ON</v>
      </c>
      <c r="J233" s="43" t="str">
        <f>'Horizontal Teams'!H100</f>
        <v>FTC</v>
      </c>
      <c r="K233" s="9">
        <f>'Horizontal Teams'!I100</f>
        <v>0.5</v>
      </c>
      <c r="L233" s="19">
        <v>1</v>
      </c>
      <c r="M233" s="46">
        <f t="shared" si="3"/>
        <v>0.5</v>
      </c>
      <c r="N233" s="46">
        <f>M233*INDEX('Logic Tree'!$J$85:$N$87,MATCH(I233,'Logic Tree'!$I$85:$I$87,0),MATCH(H233,'Logic Tree'!$J$84:$N$84,0))</f>
        <v>0.92500000000000004</v>
      </c>
    </row>
    <row r="234" spans="2:14" ht="15" customHeight="1">
      <c r="B234" s="19">
        <v>5</v>
      </c>
      <c r="C234" s="11" t="s">
        <v>744</v>
      </c>
      <c r="D234" s="43" t="str">
        <f>'Horizontal Teams'!C101</f>
        <v>H3</v>
      </c>
      <c r="E234" s="35" t="s">
        <v>744</v>
      </c>
      <c r="F234" s="49" t="str">
        <f>'Horizontal Teams'!E101</f>
        <v>MetLife Servicing Owner</v>
      </c>
      <c r="G234" s="43" t="str">
        <f>'Horizontal Teams'!D101</f>
        <v>BSA</v>
      </c>
      <c r="H234" s="43" t="str">
        <f>'Horizontal Teams'!F101</f>
        <v>E5</v>
      </c>
      <c r="I234" s="43" t="str">
        <f>'Horizontal Teams'!G101</f>
        <v>ON</v>
      </c>
      <c r="J234" s="43" t="str">
        <f>'Horizontal Teams'!H101</f>
        <v>FTE</v>
      </c>
      <c r="K234" s="9">
        <f>'Horizontal Teams'!I101</f>
        <v>3</v>
      </c>
      <c r="L234" s="19">
        <v>1</v>
      </c>
      <c r="M234" s="46">
        <f t="shared" si="3"/>
        <v>3</v>
      </c>
      <c r="N234" s="46">
        <f>M234*INDEX('Logic Tree'!$J$85:$N$87,MATCH(I234,'Logic Tree'!$I$85:$I$87,0),MATCH(H234,'Logic Tree'!$J$84:$N$84,0))</f>
        <v>7.6499999999999995</v>
      </c>
    </row>
    <row r="235" spans="2:14" ht="15" customHeight="1">
      <c r="B235" s="19">
        <v>5</v>
      </c>
      <c r="C235" s="11" t="s">
        <v>744</v>
      </c>
      <c r="D235" s="43" t="str">
        <f>'Horizontal Teams'!C102</f>
        <v>H3</v>
      </c>
      <c r="E235" s="35" t="s">
        <v>744</v>
      </c>
      <c r="F235" s="49" t="str">
        <f>'Horizontal Teams'!E102</f>
        <v>MetLife Portfolio Manager</v>
      </c>
      <c r="G235" s="43" t="str">
        <f>'Horizontal Teams'!D102</f>
        <v>PM</v>
      </c>
      <c r="H235" s="43" t="str">
        <f>'Horizontal Teams'!F102</f>
        <v>E4</v>
      </c>
      <c r="I235" s="43" t="str">
        <f>'Horizontal Teams'!G102</f>
        <v>ON</v>
      </c>
      <c r="J235" s="43" t="str">
        <f>'Horizontal Teams'!H102</f>
        <v>FTE</v>
      </c>
      <c r="K235" s="9">
        <f>'Horizontal Teams'!I102</f>
        <v>3</v>
      </c>
      <c r="L235" s="19">
        <v>1</v>
      </c>
      <c r="M235" s="46">
        <f t="shared" si="3"/>
        <v>3</v>
      </c>
      <c r="N235" s="46">
        <f>M235*INDEX('Logic Tree'!$J$85:$N$87,MATCH(I235,'Logic Tree'!$I$85:$I$87,0),MATCH(H235,'Logic Tree'!$J$84:$N$84,0))</f>
        <v>5.5500000000000007</v>
      </c>
    </row>
  </sheetData>
  <mergeCells count="2">
    <mergeCell ref="A1:N1"/>
    <mergeCell ref="A2:N2"/>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75"/>
  <sheetViews>
    <sheetView zoomScaleNormal="100" workbookViewId="0">
      <pane xSplit="1" ySplit="27" topLeftCell="B28" activePane="bottomRight" state="frozen"/>
      <selection pane="topRight" activeCell="B1" sqref="B1"/>
      <selection pane="bottomLeft" activeCell="A28" sqref="A28"/>
      <selection pane="bottomRight"/>
    </sheetView>
  </sheetViews>
  <sheetFormatPr defaultColWidth="8.6328125" defaultRowHeight="14.5"/>
  <cols>
    <col min="1" max="1" width="2.453125" customWidth="1"/>
    <col min="2" max="2" width="30" customWidth="1"/>
    <col min="3" max="5" width="9" customWidth="1"/>
    <col min="6" max="6" width="11" customWidth="1"/>
    <col min="7" max="8" width="10" customWidth="1"/>
    <col min="9" max="9" width="11" customWidth="1"/>
    <col min="10" max="11" width="10" customWidth="1"/>
    <col min="12" max="12" width="54" customWidth="1"/>
  </cols>
  <sheetData>
    <row r="1" spans="1:12" ht="25.5" customHeight="1">
      <c r="A1" s="74" t="s">
        <v>745</v>
      </c>
      <c r="B1" s="74"/>
      <c r="C1" s="74"/>
      <c r="D1" s="74"/>
      <c r="E1" s="74"/>
      <c r="F1" s="74"/>
      <c r="G1" s="74"/>
      <c r="H1" s="74"/>
      <c r="I1" s="74"/>
      <c r="J1" s="74"/>
      <c r="K1" s="74"/>
      <c r="L1" s="74"/>
    </row>
    <row r="2" spans="1:12" ht="15" customHeight="1">
      <c r="A2" s="75" t="s">
        <v>746</v>
      </c>
      <c r="B2" s="75"/>
      <c r="C2" s="75"/>
      <c r="D2" s="75"/>
      <c r="E2" s="75"/>
      <c r="F2" s="75"/>
      <c r="G2" s="75"/>
      <c r="H2" s="75"/>
      <c r="I2" s="75"/>
      <c r="J2" s="75"/>
      <c r="K2" s="75"/>
      <c r="L2" s="75"/>
    </row>
    <row r="4" spans="1:12" ht="15" customHeight="1">
      <c r="A4" s="77" t="s">
        <v>747</v>
      </c>
      <c r="B4" s="77"/>
      <c r="C4" s="77"/>
      <c r="D4" s="77"/>
      <c r="E4" s="77"/>
      <c r="F4" s="77"/>
      <c r="G4" s="77"/>
      <c r="H4" s="77"/>
      <c r="I4" s="77"/>
      <c r="J4" s="77"/>
      <c r="K4" s="77"/>
      <c r="L4" s="77"/>
    </row>
    <row r="5" spans="1:12" ht="15" customHeight="1">
      <c r="B5" s="5" t="s">
        <v>748</v>
      </c>
      <c r="C5" s="5" t="s">
        <v>100</v>
      </c>
      <c r="D5" s="5" t="s">
        <v>101</v>
      </c>
      <c r="E5" s="5" t="s">
        <v>102</v>
      </c>
      <c r="F5" s="5" t="s">
        <v>103</v>
      </c>
      <c r="G5" s="5" t="s">
        <v>104</v>
      </c>
      <c r="H5" s="5" t="s">
        <v>749</v>
      </c>
    </row>
    <row r="6" spans="1:12" ht="23.25" customHeight="1">
      <c r="B6" s="14" t="s">
        <v>750</v>
      </c>
      <c r="C6" s="15">
        <v>106.5</v>
      </c>
      <c r="D6" s="15">
        <v>82.5</v>
      </c>
      <c r="E6" s="15">
        <v>68.5</v>
      </c>
      <c r="F6" s="15">
        <v>59.5</v>
      </c>
      <c r="G6" s="15">
        <v>54.5</v>
      </c>
    </row>
    <row r="7" spans="1:12" ht="30" customHeight="1">
      <c r="B7" s="50" t="s">
        <v>751</v>
      </c>
      <c r="C7" s="51">
        <v>122</v>
      </c>
      <c r="D7" s="51">
        <v>98</v>
      </c>
      <c r="E7" s="51">
        <v>86</v>
      </c>
      <c r="F7" s="51">
        <v>77</v>
      </c>
      <c r="G7" s="51">
        <v>70</v>
      </c>
      <c r="H7" s="1" t="s">
        <v>752</v>
      </c>
    </row>
    <row r="8" spans="1:12" ht="30" customHeight="1">
      <c r="B8" s="52" t="s">
        <v>753</v>
      </c>
      <c r="C8" s="16">
        <v>105</v>
      </c>
      <c r="D8" s="16">
        <v>81</v>
      </c>
      <c r="E8" s="16">
        <v>62</v>
      </c>
      <c r="F8" s="16">
        <v>53</v>
      </c>
      <c r="G8" s="16">
        <v>47</v>
      </c>
      <c r="H8" s="1" t="s">
        <v>754</v>
      </c>
    </row>
    <row r="9" spans="1:12" ht="30" customHeight="1">
      <c r="B9" s="14" t="s">
        <v>755</v>
      </c>
      <c r="C9" s="15">
        <v>106.5</v>
      </c>
      <c r="D9" s="15">
        <v>82.5</v>
      </c>
      <c r="E9" s="15">
        <v>68.5</v>
      </c>
      <c r="F9" s="15">
        <v>59.5</v>
      </c>
      <c r="G9" s="15">
        <v>54.5</v>
      </c>
      <c r="H9" s="1" t="s">
        <v>756</v>
      </c>
    </row>
    <row r="11" spans="1:12" ht="15" customHeight="1">
      <c r="A11" s="77" t="s">
        <v>757</v>
      </c>
      <c r="B11" s="77"/>
      <c r="C11" s="77"/>
      <c r="D11" s="77"/>
      <c r="E11" s="77"/>
      <c r="F11" s="77"/>
      <c r="G11" s="77"/>
      <c r="H11" s="77"/>
      <c r="I11" s="77"/>
      <c r="J11" s="77"/>
      <c r="K11" s="77"/>
      <c r="L11" s="77"/>
    </row>
    <row r="12" spans="1:12" ht="27.75" customHeight="1">
      <c r="B12" s="78" t="s">
        <v>758</v>
      </c>
      <c r="C12" s="78"/>
      <c r="D12" s="78"/>
      <c r="E12" s="78"/>
      <c r="F12" s="78"/>
      <c r="G12" s="78"/>
      <c r="H12" s="78"/>
      <c r="I12" s="78"/>
      <c r="J12" s="78"/>
      <c r="K12" s="78"/>
      <c r="L12" s="78"/>
    </row>
    <row r="13" spans="1:12" ht="18.75" customHeight="1">
      <c r="B13" s="5" t="s">
        <v>759</v>
      </c>
      <c r="C13" s="5" t="s">
        <v>760</v>
      </c>
      <c r="D13" s="5" t="s">
        <v>761</v>
      </c>
      <c r="E13" s="5" t="s">
        <v>762</v>
      </c>
    </row>
    <row r="14" spans="1:12" ht="42" customHeight="1">
      <c r="B14" s="24" t="s">
        <v>763</v>
      </c>
      <c r="C14" s="80" t="s">
        <v>764</v>
      </c>
      <c r="D14" s="80"/>
      <c r="E14" s="80"/>
      <c r="F14" s="80"/>
      <c r="G14" s="80" t="s">
        <v>765</v>
      </c>
      <c r="H14" s="80"/>
      <c r="I14" s="80"/>
      <c r="J14" s="81" t="s">
        <v>766</v>
      </c>
      <c r="K14" s="81"/>
      <c r="L14" s="81"/>
    </row>
    <row r="15" spans="1:12" ht="42" customHeight="1">
      <c r="B15" s="24" t="s">
        <v>767</v>
      </c>
      <c r="C15" s="80" t="s">
        <v>768</v>
      </c>
      <c r="D15" s="80"/>
      <c r="E15" s="80"/>
      <c r="F15" s="80"/>
      <c r="G15" s="80" t="s">
        <v>769</v>
      </c>
      <c r="H15" s="80"/>
      <c r="I15" s="80"/>
      <c r="J15" s="81" t="s">
        <v>770</v>
      </c>
      <c r="K15" s="81"/>
      <c r="L15" s="81"/>
    </row>
    <row r="16" spans="1:12" ht="15" customHeight="1">
      <c r="B16" s="79" t="s">
        <v>771</v>
      </c>
      <c r="C16" s="79"/>
      <c r="D16" s="79"/>
      <c r="E16" s="79"/>
      <c r="F16" s="79"/>
      <c r="G16" s="79"/>
      <c r="H16" s="79"/>
      <c r="I16" s="79"/>
      <c r="J16" s="79"/>
      <c r="K16" s="79"/>
      <c r="L16" s="79"/>
    </row>
    <row r="18" spans="1:13" ht="15" customHeight="1">
      <c r="A18" s="77" t="s">
        <v>772</v>
      </c>
      <c r="B18" s="77"/>
      <c r="C18" s="77"/>
      <c r="D18" s="77"/>
      <c r="E18" s="77"/>
      <c r="F18" s="77"/>
      <c r="G18" s="77"/>
      <c r="H18" s="77"/>
      <c r="I18" s="77"/>
      <c r="J18" s="77"/>
      <c r="K18" s="77"/>
      <c r="L18" s="77"/>
    </row>
    <row r="19" spans="1:13" ht="15" customHeight="1">
      <c r="B19" s="5" t="s">
        <v>203</v>
      </c>
      <c r="C19" s="5" t="s">
        <v>100</v>
      </c>
      <c r="D19" s="5" t="s">
        <v>101</v>
      </c>
      <c r="E19" s="5" t="s">
        <v>102</v>
      </c>
      <c r="F19" s="5" t="s">
        <v>103</v>
      </c>
      <c r="G19" s="5" t="s">
        <v>104</v>
      </c>
      <c r="H19" s="5" t="s">
        <v>38</v>
      </c>
    </row>
    <row r="20" spans="1:13" ht="25.5" customHeight="1">
      <c r="B20" s="14" t="s">
        <v>773</v>
      </c>
      <c r="C20" s="15">
        <v>106.5</v>
      </c>
      <c r="D20" s="15">
        <v>82.5</v>
      </c>
      <c r="E20" s="15">
        <v>68.5</v>
      </c>
      <c r="F20" s="15">
        <v>59.5</v>
      </c>
      <c r="G20" s="15">
        <v>54.5</v>
      </c>
      <c r="H20" s="1" t="s">
        <v>774</v>
      </c>
    </row>
    <row r="21" spans="1:13" ht="25.5" customHeight="1">
      <c r="B21" s="14" t="s">
        <v>775</v>
      </c>
      <c r="C21" s="37">
        <v>1278</v>
      </c>
      <c r="D21" s="37">
        <v>990</v>
      </c>
      <c r="E21" s="37">
        <v>822</v>
      </c>
      <c r="F21" s="37">
        <v>714</v>
      </c>
      <c r="G21" s="37">
        <v>654</v>
      </c>
      <c r="H21" s="1" t="s">
        <v>776</v>
      </c>
    </row>
    <row r="22" spans="1:13" ht="25.5" customHeight="1">
      <c r="B22" s="2" t="s">
        <v>777</v>
      </c>
      <c r="C22" s="13">
        <v>114</v>
      </c>
      <c r="D22" s="13">
        <v>92</v>
      </c>
      <c r="E22" s="13">
        <v>77</v>
      </c>
      <c r="F22" s="13">
        <v>68</v>
      </c>
      <c r="G22" s="13">
        <v>60</v>
      </c>
      <c r="H22" s="1" t="s">
        <v>778</v>
      </c>
    </row>
    <row r="23" spans="1:13" ht="25.5" customHeight="1">
      <c r="B23" s="2" t="s">
        <v>779</v>
      </c>
      <c r="C23" s="13">
        <v>99</v>
      </c>
      <c r="D23" s="13">
        <v>73</v>
      </c>
      <c r="E23" s="13">
        <v>60</v>
      </c>
      <c r="F23" s="13">
        <v>51</v>
      </c>
      <c r="G23" s="13">
        <v>49</v>
      </c>
      <c r="H23" s="1" t="s">
        <v>780</v>
      </c>
    </row>
    <row r="24" spans="1:13" ht="25.5" customHeight="1">
      <c r="B24" s="2" t="s">
        <v>781</v>
      </c>
      <c r="C24" s="30">
        <v>0.93421052631579005</v>
      </c>
      <c r="D24" s="30">
        <v>0.89673913043478304</v>
      </c>
      <c r="E24" s="30">
        <v>0.88961038961038996</v>
      </c>
      <c r="F24" s="30">
        <v>0.875</v>
      </c>
      <c r="G24" s="30">
        <v>0.90833333333333299</v>
      </c>
      <c r="H24" s="1" t="s">
        <v>782</v>
      </c>
    </row>
    <row r="26" spans="1:13" ht="15" customHeight="1">
      <c r="A26" s="77" t="s">
        <v>783</v>
      </c>
      <c r="B26" s="77"/>
      <c r="C26" s="77"/>
      <c r="D26" s="77"/>
      <c r="E26" s="77"/>
      <c r="F26" s="77"/>
      <c r="G26" s="77"/>
      <c r="H26" s="77"/>
      <c r="I26" s="77"/>
      <c r="J26" s="77"/>
      <c r="K26" s="77"/>
      <c r="L26" s="77"/>
    </row>
    <row r="27" spans="1:13" ht="27.75" customHeight="1">
      <c r="B27" s="5" t="s">
        <v>438</v>
      </c>
      <c r="C27" s="5" t="s">
        <v>445</v>
      </c>
      <c r="D27" s="5" t="s">
        <v>442</v>
      </c>
      <c r="E27" s="5" t="s">
        <v>609</v>
      </c>
      <c r="F27" s="5" t="s">
        <v>227</v>
      </c>
      <c r="G27" s="5" t="s">
        <v>784</v>
      </c>
      <c r="H27" s="5" t="s">
        <v>773</v>
      </c>
      <c r="I27" s="5" t="s">
        <v>785</v>
      </c>
      <c r="J27" s="5" t="s">
        <v>759</v>
      </c>
      <c r="K27" s="5" t="s">
        <v>786</v>
      </c>
      <c r="L27" s="5" t="s">
        <v>787</v>
      </c>
      <c r="M27" s="5" t="s">
        <v>788</v>
      </c>
    </row>
    <row r="28" spans="1:13" ht="15" customHeight="1">
      <c r="B28" s="19">
        <v>1</v>
      </c>
      <c r="C28" s="11" t="s">
        <v>378</v>
      </c>
      <c r="D28" s="11" t="s">
        <v>247</v>
      </c>
      <c r="E28" s="35" t="s">
        <v>230</v>
      </c>
      <c r="F28" s="35" t="s">
        <v>238</v>
      </c>
      <c r="G28" s="35" t="s">
        <v>789</v>
      </c>
      <c r="H28" s="53">
        <v>6</v>
      </c>
      <c r="I28" s="36">
        <v>72</v>
      </c>
      <c r="J28" s="54" t="s">
        <v>763</v>
      </c>
      <c r="K28" s="55">
        <v>6</v>
      </c>
      <c r="L28" s="9"/>
      <c r="M28" s="30"/>
    </row>
    <row r="29" spans="1:13" ht="15" customHeight="1">
      <c r="B29" s="19">
        <v>1</v>
      </c>
      <c r="C29" s="11" t="s">
        <v>378</v>
      </c>
      <c r="D29" s="11" t="s">
        <v>453</v>
      </c>
      <c r="E29" s="35" t="s">
        <v>228</v>
      </c>
      <c r="F29" s="35" t="s">
        <v>239</v>
      </c>
      <c r="G29" s="35" t="s">
        <v>789</v>
      </c>
      <c r="H29" s="53">
        <v>0</v>
      </c>
      <c r="I29" s="36">
        <v>0</v>
      </c>
      <c r="J29" s="56" t="s">
        <v>767</v>
      </c>
      <c r="K29" s="55">
        <v>0</v>
      </c>
      <c r="L29" s="9"/>
      <c r="M29" s="30"/>
    </row>
    <row r="30" spans="1:13" ht="15" customHeight="1">
      <c r="B30" s="19">
        <v>1</v>
      </c>
      <c r="C30" s="11" t="s">
        <v>378</v>
      </c>
      <c r="D30" s="11" t="s">
        <v>453</v>
      </c>
      <c r="E30" s="35" t="s">
        <v>229</v>
      </c>
      <c r="F30" s="35" t="s">
        <v>239</v>
      </c>
      <c r="G30" s="35" t="s">
        <v>789</v>
      </c>
      <c r="H30" s="53">
        <v>1</v>
      </c>
      <c r="I30" s="36">
        <v>12</v>
      </c>
      <c r="J30" s="54" t="s">
        <v>763</v>
      </c>
      <c r="K30" s="55">
        <v>1</v>
      </c>
      <c r="L30" s="9"/>
      <c r="M30" s="30"/>
    </row>
    <row r="31" spans="1:13" ht="15" customHeight="1">
      <c r="B31" s="19">
        <v>1</v>
      </c>
      <c r="C31" s="11" t="s">
        <v>378</v>
      </c>
      <c r="D31" s="11" t="s">
        <v>453</v>
      </c>
      <c r="E31" s="35" t="s">
        <v>229</v>
      </c>
      <c r="F31" s="35" t="s">
        <v>238</v>
      </c>
      <c r="G31" s="35" t="s">
        <v>789</v>
      </c>
      <c r="H31" s="53">
        <v>5.5</v>
      </c>
      <c r="I31" s="36">
        <v>66</v>
      </c>
      <c r="J31" s="54" t="s">
        <v>763</v>
      </c>
      <c r="K31" s="55">
        <v>5</v>
      </c>
      <c r="L31" s="9">
        <v>6</v>
      </c>
      <c r="M31" s="30"/>
    </row>
    <row r="32" spans="1:13" ht="15" customHeight="1">
      <c r="B32" s="19">
        <v>1</v>
      </c>
      <c r="C32" s="11" t="s">
        <v>378</v>
      </c>
      <c r="D32" s="11" t="s">
        <v>453</v>
      </c>
      <c r="E32" s="35" t="s">
        <v>230</v>
      </c>
      <c r="F32" s="35" t="s">
        <v>239</v>
      </c>
      <c r="G32" s="35" t="s">
        <v>789</v>
      </c>
      <c r="H32" s="53">
        <v>2</v>
      </c>
      <c r="I32" s="36">
        <v>24</v>
      </c>
      <c r="J32" s="54" t="s">
        <v>763</v>
      </c>
      <c r="K32" s="55">
        <v>2</v>
      </c>
      <c r="L32" s="9"/>
      <c r="M32" s="30"/>
    </row>
    <row r="33" spans="2:13" ht="15" customHeight="1">
      <c r="B33" s="19">
        <v>1</v>
      </c>
      <c r="C33" s="11" t="s">
        <v>378</v>
      </c>
      <c r="D33" s="11" t="s">
        <v>453</v>
      </c>
      <c r="E33" s="35" t="s">
        <v>230</v>
      </c>
      <c r="F33" s="35" t="s">
        <v>238</v>
      </c>
      <c r="G33" s="35" t="s">
        <v>789</v>
      </c>
      <c r="H33" s="53">
        <v>11</v>
      </c>
      <c r="I33" s="36">
        <v>132</v>
      </c>
      <c r="J33" s="54" t="s">
        <v>763</v>
      </c>
      <c r="K33" s="55">
        <v>11</v>
      </c>
      <c r="L33" s="9"/>
      <c r="M33" s="30"/>
    </row>
    <row r="34" spans="2:13" ht="15" customHeight="1">
      <c r="B34" s="19">
        <v>1</v>
      </c>
      <c r="C34" s="11" t="s">
        <v>378</v>
      </c>
      <c r="D34" s="11" t="s">
        <v>453</v>
      </c>
      <c r="E34" s="35" t="s">
        <v>231</v>
      </c>
      <c r="F34" s="35" t="s">
        <v>238</v>
      </c>
      <c r="G34" s="35" t="s">
        <v>789</v>
      </c>
      <c r="H34" s="53">
        <v>8.5</v>
      </c>
      <c r="I34" s="36">
        <v>102</v>
      </c>
      <c r="J34" s="54" t="s">
        <v>763</v>
      </c>
      <c r="K34" s="55">
        <v>8</v>
      </c>
      <c r="L34" s="9">
        <v>6</v>
      </c>
      <c r="M34" s="30"/>
    </row>
    <row r="35" spans="2:13" ht="15" customHeight="1">
      <c r="B35" s="19">
        <v>1</v>
      </c>
      <c r="C35" s="11" t="s">
        <v>378</v>
      </c>
      <c r="D35" s="11" t="s">
        <v>461</v>
      </c>
      <c r="E35" s="35" t="s">
        <v>229</v>
      </c>
      <c r="F35" s="35" t="s">
        <v>239</v>
      </c>
      <c r="G35" s="35" t="s">
        <v>789</v>
      </c>
      <c r="H35" s="53">
        <v>1</v>
      </c>
      <c r="I35" s="36">
        <v>12</v>
      </c>
      <c r="J35" s="54" t="s">
        <v>763</v>
      </c>
      <c r="K35" s="55">
        <v>1</v>
      </c>
      <c r="L35" s="9"/>
      <c r="M35" s="30"/>
    </row>
    <row r="36" spans="2:13" ht="15" customHeight="1">
      <c r="B36" s="19">
        <v>1</v>
      </c>
      <c r="C36" s="11" t="s">
        <v>378</v>
      </c>
      <c r="D36" s="11" t="s">
        <v>461</v>
      </c>
      <c r="E36" s="35" t="s">
        <v>229</v>
      </c>
      <c r="F36" s="35" t="s">
        <v>238</v>
      </c>
      <c r="G36" s="35" t="s">
        <v>789</v>
      </c>
      <c r="H36" s="53">
        <v>0</v>
      </c>
      <c r="I36" s="36">
        <v>0</v>
      </c>
      <c r="J36" s="56" t="s">
        <v>767</v>
      </c>
      <c r="K36" s="55">
        <v>0</v>
      </c>
      <c r="L36" s="9"/>
      <c r="M36" s="30"/>
    </row>
    <row r="37" spans="2:13" ht="15" customHeight="1">
      <c r="B37" s="19">
        <v>1</v>
      </c>
      <c r="C37" s="11" t="s">
        <v>378</v>
      </c>
      <c r="D37" s="11" t="s">
        <v>463</v>
      </c>
      <c r="E37" s="35" t="s">
        <v>231</v>
      </c>
      <c r="F37" s="35" t="s">
        <v>238</v>
      </c>
      <c r="G37" s="35" t="s">
        <v>789</v>
      </c>
      <c r="H37" s="53">
        <v>2</v>
      </c>
      <c r="I37" s="36">
        <v>24</v>
      </c>
      <c r="J37" s="56" t="s">
        <v>767</v>
      </c>
      <c r="K37" s="55">
        <v>2</v>
      </c>
      <c r="L37" s="9"/>
      <c r="M37" s="30"/>
    </row>
    <row r="38" spans="2:13" ht="15" customHeight="1">
      <c r="B38" s="19">
        <v>1</v>
      </c>
      <c r="C38" s="11" t="s">
        <v>378</v>
      </c>
      <c r="D38" s="11" t="s">
        <v>459</v>
      </c>
      <c r="E38" s="35" t="s">
        <v>229</v>
      </c>
      <c r="F38" s="35" t="s">
        <v>239</v>
      </c>
      <c r="G38" s="35" t="s">
        <v>789</v>
      </c>
      <c r="H38" s="53">
        <v>2</v>
      </c>
      <c r="I38" s="36">
        <v>24</v>
      </c>
      <c r="J38" s="54" t="s">
        <v>763</v>
      </c>
      <c r="K38" s="55">
        <v>2</v>
      </c>
      <c r="L38" s="9"/>
      <c r="M38" s="30"/>
    </row>
    <row r="39" spans="2:13" ht="15" customHeight="1">
      <c r="B39" s="19">
        <v>1</v>
      </c>
      <c r="C39" s="11" t="s">
        <v>378</v>
      </c>
      <c r="D39" s="11" t="s">
        <v>459</v>
      </c>
      <c r="E39" s="35" t="s">
        <v>229</v>
      </c>
      <c r="F39" s="35" t="s">
        <v>238</v>
      </c>
      <c r="G39" s="35" t="s">
        <v>789</v>
      </c>
      <c r="H39" s="53">
        <v>7.5</v>
      </c>
      <c r="I39" s="36">
        <v>90</v>
      </c>
      <c r="J39" s="54" t="s">
        <v>763</v>
      </c>
      <c r="K39" s="55">
        <v>7</v>
      </c>
      <c r="L39" s="9">
        <v>6</v>
      </c>
      <c r="M39" s="30"/>
    </row>
    <row r="40" spans="2:13" ht="15" customHeight="1">
      <c r="B40" s="19">
        <v>1</v>
      </c>
      <c r="C40" s="11" t="s">
        <v>378</v>
      </c>
      <c r="D40" s="11" t="s">
        <v>453</v>
      </c>
      <c r="E40" s="35" t="s">
        <v>229</v>
      </c>
      <c r="F40" s="35" t="s">
        <v>239</v>
      </c>
      <c r="G40" s="35" t="s">
        <v>790</v>
      </c>
      <c r="H40" s="53">
        <v>0.5</v>
      </c>
      <c r="I40" s="36">
        <v>6</v>
      </c>
      <c r="J40" s="56" t="s">
        <v>767</v>
      </c>
      <c r="K40" s="55">
        <v>0</v>
      </c>
      <c r="L40" s="9">
        <v>6</v>
      </c>
      <c r="M40" s="30">
        <v>0.5</v>
      </c>
    </row>
    <row r="41" spans="2:13" ht="15" customHeight="1">
      <c r="B41" s="19">
        <v>1</v>
      </c>
      <c r="C41" s="11" t="s">
        <v>378</v>
      </c>
      <c r="D41" s="11" t="s">
        <v>453</v>
      </c>
      <c r="E41" s="35" t="s">
        <v>230</v>
      </c>
      <c r="F41" s="35" t="s">
        <v>238</v>
      </c>
      <c r="G41" s="35" t="s">
        <v>790</v>
      </c>
      <c r="H41" s="53">
        <v>1</v>
      </c>
      <c r="I41" s="36">
        <v>12</v>
      </c>
      <c r="J41" s="56" t="s">
        <v>767</v>
      </c>
      <c r="K41" s="55">
        <v>1</v>
      </c>
      <c r="L41" s="9"/>
      <c r="M41" s="30"/>
    </row>
    <row r="42" spans="2:13" ht="15" customHeight="1">
      <c r="B42" s="19">
        <v>1</v>
      </c>
      <c r="C42" s="11" t="s">
        <v>378</v>
      </c>
      <c r="D42" s="11" t="s">
        <v>461</v>
      </c>
      <c r="E42" s="35" t="s">
        <v>229</v>
      </c>
      <c r="F42" s="35" t="s">
        <v>239</v>
      </c>
      <c r="G42" s="35" t="s">
        <v>790</v>
      </c>
      <c r="H42" s="53">
        <v>0.5</v>
      </c>
      <c r="I42" s="36">
        <v>6</v>
      </c>
      <c r="J42" s="56" t="s">
        <v>767</v>
      </c>
      <c r="K42" s="55">
        <v>0</v>
      </c>
      <c r="L42" s="9">
        <v>6</v>
      </c>
      <c r="M42" s="30">
        <v>0.5</v>
      </c>
    </row>
    <row r="43" spans="2:13" ht="15" customHeight="1">
      <c r="B43" s="19">
        <v>1</v>
      </c>
      <c r="C43" s="11" t="s">
        <v>378</v>
      </c>
      <c r="D43" s="11" t="s">
        <v>461</v>
      </c>
      <c r="E43" s="35" t="s">
        <v>230</v>
      </c>
      <c r="F43" s="35" t="s">
        <v>238</v>
      </c>
      <c r="G43" s="35" t="s">
        <v>790</v>
      </c>
      <c r="H43" s="53">
        <v>2</v>
      </c>
      <c r="I43" s="36">
        <v>24</v>
      </c>
      <c r="J43" s="56" t="s">
        <v>767</v>
      </c>
      <c r="K43" s="55">
        <v>2</v>
      </c>
      <c r="L43" s="9"/>
      <c r="M43" s="30"/>
    </row>
    <row r="44" spans="2:13" ht="15" customHeight="1">
      <c r="B44" s="19">
        <v>1</v>
      </c>
      <c r="C44" s="11" t="s">
        <v>378</v>
      </c>
      <c r="D44" s="11" t="s">
        <v>463</v>
      </c>
      <c r="E44" s="35" t="s">
        <v>230</v>
      </c>
      <c r="F44" s="35" t="s">
        <v>239</v>
      </c>
      <c r="G44" s="35" t="s">
        <v>790</v>
      </c>
      <c r="H44" s="53">
        <v>0.5</v>
      </c>
      <c r="I44" s="36">
        <v>6</v>
      </c>
      <c r="J44" s="56" t="s">
        <v>767</v>
      </c>
      <c r="K44" s="55">
        <v>0</v>
      </c>
      <c r="L44" s="9">
        <v>6</v>
      </c>
      <c r="M44" s="30">
        <v>0.5</v>
      </c>
    </row>
    <row r="45" spans="2:13" ht="15" customHeight="1">
      <c r="B45" s="19">
        <v>1</v>
      </c>
      <c r="C45" s="11" t="s">
        <v>378</v>
      </c>
      <c r="D45" s="11" t="s">
        <v>463</v>
      </c>
      <c r="E45" s="35" t="s">
        <v>232</v>
      </c>
      <c r="F45" s="35" t="s">
        <v>238</v>
      </c>
      <c r="G45" s="35" t="s">
        <v>790</v>
      </c>
      <c r="H45" s="53">
        <v>1</v>
      </c>
      <c r="I45" s="36">
        <v>12</v>
      </c>
      <c r="J45" s="56" t="s">
        <v>767</v>
      </c>
      <c r="K45" s="55">
        <v>1</v>
      </c>
      <c r="L45" s="9"/>
      <c r="M45" s="30"/>
    </row>
    <row r="46" spans="2:13" ht="15" customHeight="1">
      <c r="B46" s="19">
        <v>1</v>
      </c>
      <c r="C46" s="11" t="s">
        <v>378</v>
      </c>
      <c r="D46" s="11" t="s">
        <v>450</v>
      </c>
      <c r="E46" s="35" t="s">
        <v>231</v>
      </c>
      <c r="F46" s="35" t="s">
        <v>238</v>
      </c>
      <c r="G46" s="35" t="s">
        <v>790</v>
      </c>
      <c r="H46" s="53">
        <v>0.5</v>
      </c>
      <c r="I46" s="36">
        <v>6</v>
      </c>
      <c r="J46" s="56" t="s">
        <v>767</v>
      </c>
      <c r="K46" s="55">
        <v>0</v>
      </c>
      <c r="L46" s="9">
        <v>6</v>
      </c>
      <c r="M46" s="30">
        <v>0.5</v>
      </c>
    </row>
    <row r="47" spans="2:13" ht="15" customHeight="1">
      <c r="B47" s="19">
        <v>1</v>
      </c>
      <c r="C47" s="11" t="s">
        <v>378</v>
      </c>
      <c r="D47" s="11" t="s">
        <v>450</v>
      </c>
      <c r="E47" s="35" t="s">
        <v>232</v>
      </c>
      <c r="F47" s="35" t="s">
        <v>238</v>
      </c>
      <c r="G47" s="35" t="s">
        <v>790</v>
      </c>
      <c r="H47" s="53">
        <v>1.5</v>
      </c>
      <c r="I47" s="36">
        <v>18</v>
      </c>
      <c r="J47" s="56" t="s">
        <v>767</v>
      </c>
      <c r="K47" s="55">
        <v>1</v>
      </c>
      <c r="L47" s="9">
        <v>6</v>
      </c>
      <c r="M47" s="30">
        <v>0.5</v>
      </c>
    </row>
    <row r="48" spans="2:13" ht="15" customHeight="1">
      <c r="B48" s="19">
        <v>1</v>
      </c>
      <c r="C48" s="11" t="s">
        <v>378</v>
      </c>
      <c r="D48" s="11" t="s">
        <v>459</v>
      </c>
      <c r="E48" s="35" t="s">
        <v>230</v>
      </c>
      <c r="F48" s="35" t="s">
        <v>239</v>
      </c>
      <c r="G48" s="35" t="s">
        <v>790</v>
      </c>
      <c r="H48" s="53">
        <v>0.5</v>
      </c>
      <c r="I48" s="36">
        <v>6</v>
      </c>
      <c r="J48" s="56" t="s">
        <v>767</v>
      </c>
      <c r="K48" s="55">
        <v>0</v>
      </c>
      <c r="L48" s="9">
        <v>6</v>
      </c>
      <c r="M48" s="30">
        <v>0.5</v>
      </c>
    </row>
    <row r="49" spans="2:13" ht="15" customHeight="1">
      <c r="B49" s="19">
        <v>1</v>
      </c>
      <c r="C49" s="11" t="s">
        <v>378</v>
      </c>
      <c r="D49" s="11" t="s">
        <v>459</v>
      </c>
      <c r="E49" s="35" t="s">
        <v>232</v>
      </c>
      <c r="F49" s="35" t="s">
        <v>238</v>
      </c>
      <c r="G49" s="35" t="s">
        <v>790</v>
      </c>
      <c r="H49" s="53">
        <v>2</v>
      </c>
      <c r="I49" s="36">
        <v>24</v>
      </c>
      <c r="J49" s="56" t="s">
        <v>767</v>
      </c>
      <c r="K49" s="55">
        <v>2</v>
      </c>
      <c r="L49" s="9"/>
      <c r="M49" s="30"/>
    </row>
    <row r="50" spans="2:13" ht="15" customHeight="1">
      <c r="B50" s="19">
        <v>1</v>
      </c>
      <c r="C50" s="11" t="s">
        <v>379</v>
      </c>
      <c r="D50" s="11" t="s">
        <v>247</v>
      </c>
      <c r="E50" s="35" t="s">
        <v>231</v>
      </c>
      <c r="F50" s="35" t="s">
        <v>238</v>
      </c>
      <c r="G50" s="35" t="s">
        <v>789</v>
      </c>
      <c r="H50" s="53">
        <v>7.5</v>
      </c>
      <c r="I50" s="36">
        <v>90</v>
      </c>
      <c r="J50" s="54" t="s">
        <v>763</v>
      </c>
      <c r="K50" s="55">
        <v>7</v>
      </c>
      <c r="L50" s="9">
        <v>6</v>
      </c>
      <c r="M50" s="30"/>
    </row>
    <row r="51" spans="2:13" ht="15" customHeight="1">
      <c r="B51" s="19">
        <v>1</v>
      </c>
      <c r="C51" s="11" t="s">
        <v>379</v>
      </c>
      <c r="D51" s="11" t="s">
        <v>461</v>
      </c>
      <c r="E51" s="35" t="s">
        <v>230</v>
      </c>
      <c r="F51" s="35" t="s">
        <v>238</v>
      </c>
      <c r="G51" s="35" t="s">
        <v>789</v>
      </c>
      <c r="H51" s="53">
        <v>4.5</v>
      </c>
      <c r="I51" s="36">
        <v>54</v>
      </c>
      <c r="J51" s="54" t="s">
        <v>763</v>
      </c>
      <c r="K51" s="55">
        <v>4</v>
      </c>
      <c r="L51" s="9">
        <v>6</v>
      </c>
      <c r="M51" s="30"/>
    </row>
    <row r="52" spans="2:13" ht="15" customHeight="1">
      <c r="B52" s="19">
        <v>1</v>
      </c>
      <c r="C52" s="11" t="s">
        <v>379</v>
      </c>
      <c r="D52" s="11" t="s">
        <v>450</v>
      </c>
      <c r="E52" s="35" t="s">
        <v>231</v>
      </c>
      <c r="F52" s="35" t="s">
        <v>238</v>
      </c>
      <c r="G52" s="35" t="s">
        <v>789</v>
      </c>
      <c r="H52" s="53">
        <v>9.5</v>
      </c>
      <c r="I52" s="36">
        <v>114</v>
      </c>
      <c r="J52" s="56" t="s">
        <v>767</v>
      </c>
      <c r="K52" s="55">
        <v>9</v>
      </c>
      <c r="L52" s="9">
        <v>6</v>
      </c>
      <c r="M52" s="30">
        <v>0.5</v>
      </c>
    </row>
    <row r="53" spans="2:13" ht="15" customHeight="1">
      <c r="B53" s="19">
        <v>1</v>
      </c>
      <c r="C53" s="11" t="s">
        <v>379</v>
      </c>
      <c r="D53" s="11" t="s">
        <v>247</v>
      </c>
      <c r="E53" s="35" t="s">
        <v>231</v>
      </c>
      <c r="F53" s="35" t="s">
        <v>238</v>
      </c>
      <c r="G53" s="35" t="s">
        <v>790</v>
      </c>
      <c r="H53" s="53">
        <v>0.5</v>
      </c>
      <c r="I53" s="36">
        <v>6</v>
      </c>
      <c r="J53" s="56" t="s">
        <v>767</v>
      </c>
      <c r="K53" s="55">
        <v>0</v>
      </c>
      <c r="L53" s="9">
        <v>6</v>
      </c>
      <c r="M53" s="30">
        <v>0.5</v>
      </c>
    </row>
    <row r="54" spans="2:13" ht="15" customHeight="1">
      <c r="B54" s="19">
        <v>1</v>
      </c>
      <c r="C54" s="11" t="s">
        <v>379</v>
      </c>
      <c r="D54" s="11" t="s">
        <v>247</v>
      </c>
      <c r="E54" s="35" t="s">
        <v>232</v>
      </c>
      <c r="F54" s="35" t="s">
        <v>238</v>
      </c>
      <c r="G54" s="35" t="s">
        <v>790</v>
      </c>
      <c r="H54" s="53">
        <v>1.5</v>
      </c>
      <c r="I54" s="36">
        <v>18</v>
      </c>
      <c r="J54" s="56" t="s">
        <v>767</v>
      </c>
      <c r="K54" s="55">
        <v>1</v>
      </c>
      <c r="L54" s="9">
        <v>6</v>
      </c>
      <c r="M54" s="30">
        <v>0.5</v>
      </c>
    </row>
    <row r="55" spans="2:13" ht="15" customHeight="1">
      <c r="B55" s="19">
        <v>1</v>
      </c>
      <c r="C55" s="11" t="s">
        <v>379</v>
      </c>
      <c r="D55" s="11" t="s">
        <v>461</v>
      </c>
      <c r="E55" s="35" t="s">
        <v>230</v>
      </c>
      <c r="F55" s="35" t="s">
        <v>238</v>
      </c>
      <c r="G55" s="35" t="s">
        <v>790</v>
      </c>
      <c r="H55" s="53">
        <v>1</v>
      </c>
      <c r="I55" s="36">
        <v>12</v>
      </c>
      <c r="J55" s="56" t="s">
        <v>767</v>
      </c>
      <c r="K55" s="55">
        <v>1</v>
      </c>
      <c r="L55" s="9"/>
      <c r="M55" s="30"/>
    </row>
    <row r="56" spans="2:13" ht="15" customHeight="1">
      <c r="B56" s="19">
        <v>1</v>
      </c>
      <c r="C56" s="11" t="s">
        <v>379</v>
      </c>
      <c r="D56" s="11" t="s">
        <v>450</v>
      </c>
      <c r="E56" s="35" t="s">
        <v>231</v>
      </c>
      <c r="F56" s="35" t="s">
        <v>238</v>
      </c>
      <c r="G56" s="35" t="s">
        <v>790</v>
      </c>
      <c r="H56" s="53">
        <v>1.5</v>
      </c>
      <c r="I56" s="36">
        <v>18</v>
      </c>
      <c r="J56" s="56" t="s">
        <v>767</v>
      </c>
      <c r="K56" s="55">
        <v>1</v>
      </c>
      <c r="L56" s="9">
        <v>6</v>
      </c>
      <c r="M56" s="30">
        <v>0.5</v>
      </c>
    </row>
    <row r="57" spans="2:13" ht="15" customHeight="1">
      <c r="B57" s="19">
        <v>1</v>
      </c>
      <c r="C57" s="11" t="s">
        <v>454</v>
      </c>
      <c r="D57" s="11" t="s">
        <v>453</v>
      </c>
      <c r="E57" s="35" t="s">
        <v>230</v>
      </c>
      <c r="F57" s="35" t="s">
        <v>239</v>
      </c>
      <c r="G57" s="35" t="s">
        <v>789</v>
      </c>
      <c r="H57" s="53">
        <v>8</v>
      </c>
      <c r="I57" s="36">
        <v>96</v>
      </c>
      <c r="J57" s="54" t="s">
        <v>763</v>
      </c>
      <c r="K57" s="55">
        <v>8</v>
      </c>
      <c r="L57" s="9"/>
      <c r="M57" s="30"/>
    </row>
    <row r="58" spans="2:13" ht="15" customHeight="1">
      <c r="B58" s="19">
        <v>1</v>
      </c>
      <c r="C58" s="11" t="s">
        <v>454</v>
      </c>
      <c r="D58" s="11" t="s">
        <v>453</v>
      </c>
      <c r="E58" s="35" t="s">
        <v>230</v>
      </c>
      <c r="F58" s="35" t="s">
        <v>239</v>
      </c>
      <c r="G58" s="35" t="s">
        <v>790</v>
      </c>
      <c r="H58" s="53">
        <v>3</v>
      </c>
      <c r="I58" s="36">
        <v>36</v>
      </c>
      <c r="J58" s="56" t="s">
        <v>767</v>
      </c>
      <c r="K58" s="55">
        <v>3</v>
      </c>
      <c r="L58" s="9"/>
      <c r="M58" s="30"/>
    </row>
    <row r="59" spans="2:13" ht="15" customHeight="1">
      <c r="B59" s="19">
        <v>1</v>
      </c>
      <c r="C59" s="11" t="s">
        <v>468</v>
      </c>
      <c r="D59" s="11" t="s">
        <v>247</v>
      </c>
      <c r="E59" s="35" t="s">
        <v>230</v>
      </c>
      <c r="F59" s="35" t="s">
        <v>238</v>
      </c>
      <c r="G59" s="35" t="s">
        <v>789</v>
      </c>
      <c r="H59" s="53">
        <v>3</v>
      </c>
      <c r="I59" s="36">
        <v>36</v>
      </c>
      <c r="J59" s="54" t="s">
        <v>763</v>
      </c>
      <c r="K59" s="55">
        <v>3</v>
      </c>
      <c r="L59" s="9"/>
      <c r="M59" s="30"/>
    </row>
    <row r="60" spans="2:13" ht="15" customHeight="1">
      <c r="B60" s="19">
        <v>1</v>
      </c>
      <c r="C60" s="11" t="s">
        <v>468</v>
      </c>
      <c r="D60" s="11" t="s">
        <v>453</v>
      </c>
      <c r="E60" s="35" t="s">
        <v>230</v>
      </c>
      <c r="F60" s="35" t="s">
        <v>238</v>
      </c>
      <c r="G60" s="35" t="s">
        <v>789</v>
      </c>
      <c r="H60" s="53">
        <v>9</v>
      </c>
      <c r="I60" s="36">
        <v>108</v>
      </c>
      <c r="J60" s="54" t="s">
        <v>763</v>
      </c>
      <c r="K60" s="55">
        <v>9</v>
      </c>
      <c r="L60" s="9"/>
      <c r="M60" s="30"/>
    </row>
    <row r="61" spans="2:13" ht="15" customHeight="1">
      <c r="B61" s="19">
        <v>1</v>
      </c>
      <c r="C61" s="11" t="s">
        <v>468</v>
      </c>
      <c r="D61" s="11" t="s">
        <v>461</v>
      </c>
      <c r="E61" s="35" t="s">
        <v>230</v>
      </c>
      <c r="F61" s="35" t="s">
        <v>238</v>
      </c>
      <c r="G61" s="35" t="s">
        <v>790</v>
      </c>
      <c r="H61" s="53">
        <v>1</v>
      </c>
      <c r="I61" s="36">
        <v>12</v>
      </c>
      <c r="J61" s="56" t="s">
        <v>767</v>
      </c>
      <c r="K61" s="55">
        <v>1</v>
      </c>
      <c r="L61" s="9"/>
      <c r="M61" s="30"/>
    </row>
    <row r="62" spans="2:13" ht="15" customHeight="1">
      <c r="B62" s="19">
        <v>2</v>
      </c>
      <c r="C62" s="11" t="s">
        <v>378</v>
      </c>
      <c r="D62" s="11" t="s">
        <v>247</v>
      </c>
      <c r="E62" s="35" t="s">
        <v>230</v>
      </c>
      <c r="F62" s="35" t="s">
        <v>238</v>
      </c>
      <c r="G62" s="35" t="s">
        <v>789</v>
      </c>
      <c r="H62" s="53">
        <v>8.5</v>
      </c>
      <c r="I62" s="36">
        <v>102</v>
      </c>
      <c r="J62" s="54" t="s">
        <v>763</v>
      </c>
      <c r="K62" s="55">
        <v>8</v>
      </c>
      <c r="L62" s="9">
        <v>6</v>
      </c>
      <c r="M62" s="30"/>
    </row>
    <row r="63" spans="2:13" ht="15" customHeight="1">
      <c r="B63" s="19">
        <v>2</v>
      </c>
      <c r="C63" s="11" t="s">
        <v>378</v>
      </c>
      <c r="D63" s="11" t="s">
        <v>453</v>
      </c>
      <c r="E63" s="35" t="s">
        <v>228</v>
      </c>
      <c r="F63" s="35" t="s">
        <v>239</v>
      </c>
      <c r="G63" s="35" t="s">
        <v>789</v>
      </c>
      <c r="H63" s="53">
        <v>0</v>
      </c>
      <c r="I63" s="36">
        <v>0</v>
      </c>
      <c r="J63" s="56" t="s">
        <v>767</v>
      </c>
      <c r="K63" s="55">
        <v>0</v>
      </c>
      <c r="L63" s="9"/>
      <c r="M63" s="30"/>
    </row>
    <row r="64" spans="2:13" ht="15" customHeight="1">
      <c r="B64" s="19">
        <v>2</v>
      </c>
      <c r="C64" s="11" t="s">
        <v>378</v>
      </c>
      <c r="D64" s="11" t="s">
        <v>453</v>
      </c>
      <c r="E64" s="35" t="s">
        <v>229</v>
      </c>
      <c r="F64" s="35" t="s">
        <v>239</v>
      </c>
      <c r="G64" s="35" t="s">
        <v>789</v>
      </c>
      <c r="H64" s="53">
        <v>4.5</v>
      </c>
      <c r="I64" s="36">
        <v>54</v>
      </c>
      <c r="J64" s="54" t="s">
        <v>763</v>
      </c>
      <c r="K64" s="55">
        <v>4</v>
      </c>
      <c r="L64" s="9">
        <v>6</v>
      </c>
      <c r="M64" s="30"/>
    </row>
    <row r="65" spans="2:13" ht="15" customHeight="1">
      <c r="B65" s="19">
        <v>2</v>
      </c>
      <c r="C65" s="11" t="s">
        <v>378</v>
      </c>
      <c r="D65" s="11" t="s">
        <v>453</v>
      </c>
      <c r="E65" s="35" t="s">
        <v>230</v>
      </c>
      <c r="F65" s="35" t="s">
        <v>239</v>
      </c>
      <c r="G65" s="35" t="s">
        <v>789</v>
      </c>
      <c r="H65" s="53">
        <v>2.5</v>
      </c>
      <c r="I65" s="36">
        <v>30</v>
      </c>
      <c r="J65" s="54" t="s">
        <v>763</v>
      </c>
      <c r="K65" s="55">
        <v>2</v>
      </c>
      <c r="L65" s="9">
        <v>6</v>
      </c>
      <c r="M65" s="30"/>
    </row>
    <row r="66" spans="2:13" ht="15" customHeight="1">
      <c r="B66" s="19">
        <v>2</v>
      </c>
      <c r="C66" s="11" t="s">
        <v>378</v>
      </c>
      <c r="D66" s="11" t="s">
        <v>453</v>
      </c>
      <c r="E66" s="35" t="s">
        <v>230</v>
      </c>
      <c r="F66" s="35" t="s">
        <v>238</v>
      </c>
      <c r="G66" s="35" t="s">
        <v>789</v>
      </c>
      <c r="H66" s="53">
        <v>1.5</v>
      </c>
      <c r="I66" s="36">
        <v>18</v>
      </c>
      <c r="J66" s="54" t="s">
        <v>763</v>
      </c>
      <c r="K66" s="55">
        <v>1</v>
      </c>
      <c r="L66" s="9">
        <v>6</v>
      </c>
      <c r="M66" s="30"/>
    </row>
    <row r="67" spans="2:13" ht="15" customHeight="1">
      <c r="B67" s="19">
        <v>2</v>
      </c>
      <c r="C67" s="11" t="s">
        <v>378</v>
      </c>
      <c r="D67" s="11" t="s">
        <v>453</v>
      </c>
      <c r="E67" s="35" t="s">
        <v>231</v>
      </c>
      <c r="F67" s="35" t="s">
        <v>238</v>
      </c>
      <c r="G67" s="35" t="s">
        <v>789</v>
      </c>
      <c r="H67" s="53">
        <v>6.5</v>
      </c>
      <c r="I67" s="36">
        <v>78</v>
      </c>
      <c r="J67" s="54" t="s">
        <v>763</v>
      </c>
      <c r="K67" s="55">
        <v>6</v>
      </c>
      <c r="L67" s="9">
        <v>6</v>
      </c>
      <c r="M67" s="30"/>
    </row>
    <row r="68" spans="2:13" ht="15" customHeight="1">
      <c r="B68" s="19">
        <v>2</v>
      </c>
      <c r="C68" s="11" t="s">
        <v>378</v>
      </c>
      <c r="D68" s="11" t="s">
        <v>461</v>
      </c>
      <c r="E68" s="35" t="s">
        <v>229</v>
      </c>
      <c r="F68" s="35" t="s">
        <v>239</v>
      </c>
      <c r="G68" s="35" t="s">
        <v>789</v>
      </c>
      <c r="H68" s="53">
        <v>2</v>
      </c>
      <c r="I68" s="36">
        <v>24</v>
      </c>
      <c r="J68" s="54" t="s">
        <v>763</v>
      </c>
      <c r="K68" s="55">
        <v>2</v>
      </c>
      <c r="L68" s="9"/>
      <c r="M68" s="30"/>
    </row>
    <row r="69" spans="2:13" ht="15" customHeight="1">
      <c r="B69" s="19">
        <v>2</v>
      </c>
      <c r="C69" s="11" t="s">
        <v>378</v>
      </c>
      <c r="D69" s="11" t="s">
        <v>463</v>
      </c>
      <c r="E69" s="35" t="s">
        <v>231</v>
      </c>
      <c r="F69" s="35" t="s">
        <v>238</v>
      </c>
      <c r="G69" s="35" t="s">
        <v>789</v>
      </c>
      <c r="H69" s="53">
        <v>4.5</v>
      </c>
      <c r="I69" s="36">
        <v>54</v>
      </c>
      <c r="J69" s="56" t="s">
        <v>767</v>
      </c>
      <c r="K69" s="55">
        <v>4</v>
      </c>
      <c r="L69" s="9">
        <v>6</v>
      </c>
      <c r="M69" s="30">
        <v>0.5</v>
      </c>
    </row>
    <row r="70" spans="2:13" ht="15" customHeight="1">
      <c r="B70" s="19">
        <v>2</v>
      </c>
      <c r="C70" s="11" t="s">
        <v>378</v>
      </c>
      <c r="D70" s="11" t="s">
        <v>459</v>
      </c>
      <c r="E70" s="35" t="s">
        <v>230</v>
      </c>
      <c r="F70" s="35" t="s">
        <v>239</v>
      </c>
      <c r="G70" s="35" t="s">
        <v>789</v>
      </c>
      <c r="H70" s="53">
        <v>1</v>
      </c>
      <c r="I70" s="36">
        <v>12</v>
      </c>
      <c r="J70" s="54" t="s">
        <v>763</v>
      </c>
      <c r="K70" s="55">
        <v>1</v>
      </c>
      <c r="L70" s="9"/>
      <c r="M70" s="30"/>
    </row>
    <row r="71" spans="2:13" ht="15" customHeight="1">
      <c r="B71" s="19">
        <v>2</v>
      </c>
      <c r="C71" s="11" t="s">
        <v>378</v>
      </c>
      <c r="D71" s="11" t="s">
        <v>453</v>
      </c>
      <c r="E71" s="35" t="s">
        <v>229</v>
      </c>
      <c r="F71" s="35" t="s">
        <v>239</v>
      </c>
      <c r="G71" s="35" t="s">
        <v>790</v>
      </c>
      <c r="H71" s="53">
        <v>0.5</v>
      </c>
      <c r="I71" s="36">
        <v>6</v>
      </c>
      <c r="J71" s="56" t="s">
        <v>767</v>
      </c>
      <c r="K71" s="55">
        <v>0</v>
      </c>
      <c r="L71" s="9">
        <v>6</v>
      </c>
      <c r="M71" s="30">
        <v>0.5</v>
      </c>
    </row>
    <row r="72" spans="2:13" ht="15" customHeight="1">
      <c r="B72" s="19">
        <v>2</v>
      </c>
      <c r="C72" s="11" t="s">
        <v>378</v>
      </c>
      <c r="D72" s="11" t="s">
        <v>453</v>
      </c>
      <c r="E72" s="35" t="s">
        <v>230</v>
      </c>
      <c r="F72" s="35" t="s">
        <v>238</v>
      </c>
      <c r="G72" s="35" t="s">
        <v>790</v>
      </c>
      <c r="H72" s="53">
        <v>1</v>
      </c>
      <c r="I72" s="36">
        <v>12</v>
      </c>
      <c r="J72" s="56" t="s">
        <v>767</v>
      </c>
      <c r="K72" s="55">
        <v>1</v>
      </c>
      <c r="L72" s="9"/>
      <c r="M72" s="30"/>
    </row>
    <row r="73" spans="2:13" ht="15" customHeight="1">
      <c r="B73" s="19">
        <v>2</v>
      </c>
      <c r="C73" s="11" t="s">
        <v>378</v>
      </c>
      <c r="D73" s="11" t="s">
        <v>461</v>
      </c>
      <c r="E73" s="35" t="s">
        <v>229</v>
      </c>
      <c r="F73" s="35" t="s">
        <v>239</v>
      </c>
      <c r="G73" s="35" t="s">
        <v>790</v>
      </c>
      <c r="H73" s="53">
        <v>1.5</v>
      </c>
      <c r="I73" s="36">
        <v>18</v>
      </c>
      <c r="J73" s="56" t="s">
        <v>767</v>
      </c>
      <c r="K73" s="55">
        <v>1</v>
      </c>
      <c r="L73" s="9">
        <v>6</v>
      </c>
      <c r="M73" s="30">
        <v>0.5</v>
      </c>
    </row>
    <row r="74" spans="2:13" ht="15" customHeight="1">
      <c r="B74" s="19">
        <v>2</v>
      </c>
      <c r="C74" s="11" t="s">
        <v>378</v>
      </c>
      <c r="D74" s="11" t="s">
        <v>461</v>
      </c>
      <c r="E74" s="35" t="s">
        <v>230</v>
      </c>
      <c r="F74" s="35" t="s">
        <v>238</v>
      </c>
      <c r="G74" s="35" t="s">
        <v>790</v>
      </c>
      <c r="H74" s="53">
        <v>1</v>
      </c>
      <c r="I74" s="36">
        <v>12</v>
      </c>
      <c r="J74" s="56" t="s">
        <v>767</v>
      </c>
      <c r="K74" s="55">
        <v>1</v>
      </c>
      <c r="L74" s="9"/>
      <c r="M74" s="30"/>
    </row>
    <row r="75" spans="2:13" ht="15" customHeight="1">
      <c r="B75" s="19">
        <v>2</v>
      </c>
      <c r="C75" s="11" t="s">
        <v>378</v>
      </c>
      <c r="D75" s="11" t="s">
        <v>463</v>
      </c>
      <c r="E75" s="35" t="s">
        <v>230</v>
      </c>
      <c r="F75" s="35" t="s">
        <v>239</v>
      </c>
      <c r="G75" s="35" t="s">
        <v>790</v>
      </c>
      <c r="H75" s="53">
        <v>1.5</v>
      </c>
      <c r="I75" s="36">
        <v>18</v>
      </c>
      <c r="J75" s="56" t="s">
        <v>767</v>
      </c>
      <c r="K75" s="55">
        <v>1</v>
      </c>
      <c r="L75" s="9">
        <v>6</v>
      </c>
      <c r="M75" s="30">
        <v>0.5</v>
      </c>
    </row>
    <row r="76" spans="2:13" ht="15" customHeight="1">
      <c r="B76" s="19">
        <v>2</v>
      </c>
      <c r="C76" s="11" t="s">
        <v>378</v>
      </c>
      <c r="D76" s="11" t="s">
        <v>463</v>
      </c>
      <c r="E76" s="35" t="s">
        <v>232</v>
      </c>
      <c r="F76" s="35" t="s">
        <v>238</v>
      </c>
      <c r="G76" s="35" t="s">
        <v>790</v>
      </c>
      <c r="H76" s="53">
        <v>1</v>
      </c>
      <c r="I76" s="36">
        <v>12</v>
      </c>
      <c r="J76" s="56" t="s">
        <v>767</v>
      </c>
      <c r="K76" s="55">
        <v>1</v>
      </c>
      <c r="L76" s="9"/>
      <c r="M76" s="30"/>
    </row>
    <row r="77" spans="2:13" ht="15" customHeight="1">
      <c r="B77" s="19">
        <v>2</v>
      </c>
      <c r="C77" s="11" t="s">
        <v>378</v>
      </c>
      <c r="D77" s="11" t="s">
        <v>450</v>
      </c>
      <c r="E77" s="35" t="s">
        <v>231</v>
      </c>
      <c r="F77" s="35" t="s">
        <v>238</v>
      </c>
      <c r="G77" s="35" t="s">
        <v>790</v>
      </c>
      <c r="H77" s="53">
        <v>0.5</v>
      </c>
      <c r="I77" s="36">
        <v>6</v>
      </c>
      <c r="J77" s="56" t="s">
        <v>767</v>
      </c>
      <c r="K77" s="55">
        <v>0</v>
      </c>
      <c r="L77" s="9">
        <v>6</v>
      </c>
      <c r="M77" s="30">
        <v>0.5</v>
      </c>
    </row>
    <row r="78" spans="2:13" ht="15" customHeight="1">
      <c r="B78" s="19">
        <v>2</v>
      </c>
      <c r="C78" s="11" t="s">
        <v>378</v>
      </c>
      <c r="D78" s="11" t="s">
        <v>450</v>
      </c>
      <c r="E78" s="35" t="s">
        <v>232</v>
      </c>
      <c r="F78" s="35" t="s">
        <v>238</v>
      </c>
      <c r="G78" s="35" t="s">
        <v>790</v>
      </c>
      <c r="H78" s="53">
        <v>2.5</v>
      </c>
      <c r="I78" s="36">
        <v>30</v>
      </c>
      <c r="J78" s="56" t="s">
        <v>767</v>
      </c>
      <c r="K78" s="55">
        <v>2</v>
      </c>
      <c r="L78" s="9">
        <v>6</v>
      </c>
      <c r="M78" s="30">
        <v>0.5</v>
      </c>
    </row>
    <row r="79" spans="2:13" ht="15" customHeight="1">
      <c r="B79" s="19">
        <v>2</v>
      </c>
      <c r="C79" s="11" t="s">
        <v>378</v>
      </c>
      <c r="D79" s="11" t="s">
        <v>459</v>
      </c>
      <c r="E79" s="35" t="s">
        <v>230</v>
      </c>
      <c r="F79" s="35" t="s">
        <v>239</v>
      </c>
      <c r="G79" s="35" t="s">
        <v>790</v>
      </c>
      <c r="H79" s="53">
        <v>0.5</v>
      </c>
      <c r="I79" s="36">
        <v>6</v>
      </c>
      <c r="J79" s="56" t="s">
        <v>767</v>
      </c>
      <c r="K79" s="55">
        <v>0</v>
      </c>
      <c r="L79" s="9">
        <v>6</v>
      </c>
      <c r="M79" s="30">
        <v>0.5</v>
      </c>
    </row>
    <row r="80" spans="2:13" ht="15" customHeight="1">
      <c r="B80" s="19">
        <v>2</v>
      </c>
      <c r="C80" s="11" t="s">
        <v>378</v>
      </c>
      <c r="D80" s="11" t="s">
        <v>459</v>
      </c>
      <c r="E80" s="35" t="s">
        <v>232</v>
      </c>
      <c r="F80" s="35" t="s">
        <v>238</v>
      </c>
      <c r="G80" s="35" t="s">
        <v>790</v>
      </c>
      <c r="H80" s="53">
        <v>0.5</v>
      </c>
      <c r="I80" s="36">
        <v>6</v>
      </c>
      <c r="J80" s="56" t="s">
        <v>767</v>
      </c>
      <c r="K80" s="55">
        <v>0</v>
      </c>
      <c r="L80" s="9">
        <v>6</v>
      </c>
      <c r="M80" s="30">
        <v>0.5</v>
      </c>
    </row>
    <row r="81" spans="2:13" ht="15" customHeight="1">
      <c r="B81" s="19">
        <v>2</v>
      </c>
      <c r="C81" s="11" t="s">
        <v>379</v>
      </c>
      <c r="D81" s="11" t="s">
        <v>247</v>
      </c>
      <c r="E81" s="35" t="s">
        <v>231</v>
      </c>
      <c r="F81" s="35" t="s">
        <v>238</v>
      </c>
      <c r="G81" s="35" t="s">
        <v>789</v>
      </c>
      <c r="H81" s="53">
        <v>7.5</v>
      </c>
      <c r="I81" s="36">
        <v>90</v>
      </c>
      <c r="J81" s="54" t="s">
        <v>763</v>
      </c>
      <c r="K81" s="55">
        <v>7</v>
      </c>
      <c r="L81" s="9">
        <v>6</v>
      </c>
      <c r="M81" s="30"/>
    </row>
    <row r="82" spans="2:13" ht="15" customHeight="1">
      <c r="B82" s="19">
        <v>2</v>
      </c>
      <c r="C82" s="11" t="s">
        <v>379</v>
      </c>
      <c r="D82" s="11" t="s">
        <v>450</v>
      </c>
      <c r="E82" s="35" t="s">
        <v>231</v>
      </c>
      <c r="F82" s="35" t="s">
        <v>238</v>
      </c>
      <c r="G82" s="35" t="s">
        <v>789</v>
      </c>
      <c r="H82" s="53">
        <v>8</v>
      </c>
      <c r="I82" s="36">
        <v>96</v>
      </c>
      <c r="J82" s="56" t="s">
        <v>767</v>
      </c>
      <c r="K82" s="55">
        <v>8</v>
      </c>
      <c r="L82" s="9"/>
      <c r="M82" s="30"/>
    </row>
    <row r="83" spans="2:13" ht="15" customHeight="1">
      <c r="B83" s="19">
        <v>2</v>
      </c>
      <c r="C83" s="11" t="s">
        <v>379</v>
      </c>
      <c r="D83" s="11" t="s">
        <v>247</v>
      </c>
      <c r="E83" s="35" t="s">
        <v>231</v>
      </c>
      <c r="F83" s="35" t="s">
        <v>238</v>
      </c>
      <c r="G83" s="35" t="s">
        <v>790</v>
      </c>
      <c r="H83" s="53">
        <v>1.5</v>
      </c>
      <c r="I83" s="36">
        <v>18</v>
      </c>
      <c r="J83" s="56" t="s">
        <v>767</v>
      </c>
      <c r="K83" s="55">
        <v>1</v>
      </c>
      <c r="L83" s="9">
        <v>6</v>
      </c>
      <c r="M83" s="30">
        <v>0.5</v>
      </c>
    </row>
    <row r="84" spans="2:13" ht="15" customHeight="1">
      <c r="B84" s="19">
        <v>2</v>
      </c>
      <c r="C84" s="11" t="s">
        <v>379</v>
      </c>
      <c r="D84" s="11" t="s">
        <v>247</v>
      </c>
      <c r="E84" s="35" t="s">
        <v>232</v>
      </c>
      <c r="F84" s="35" t="s">
        <v>238</v>
      </c>
      <c r="G84" s="35" t="s">
        <v>790</v>
      </c>
      <c r="H84" s="53">
        <v>0.5</v>
      </c>
      <c r="I84" s="36">
        <v>6</v>
      </c>
      <c r="J84" s="56" t="s">
        <v>767</v>
      </c>
      <c r="K84" s="55">
        <v>0</v>
      </c>
      <c r="L84" s="9">
        <v>6</v>
      </c>
      <c r="M84" s="30">
        <v>0.5</v>
      </c>
    </row>
    <row r="85" spans="2:13" ht="15" customHeight="1">
      <c r="B85" s="19">
        <v>2</v>
      </c>
      <c r="C85" s="11" t="s">
        <v>379</v>
      </c>
      <c r="D85" s="11" t="s">
        <v>461</v>
      </c>
      <c r="E85" s="35" t="s">
        <v>230</v>
      </c>
      <c r="F85" s="35" t="s">
        <v>238</v>
      </c>
      <c r="G85" s="35" t="s">
        <v>790</v>
      </c>
      <c r="H85" s="53">
        <v>2</v>
      </c>
      <c r="I85" s="36">
        <v>24</v>
      </c>
      <c r="J85" s="56" t="s">
        <v>767</v>
      </c>
      <c r="K85" s="55">
        <v>2</v>
      </c>
      <c r="L85" s="9"/>
      <c r="M85" s="30"/>
    </row>
    <row r="86" spans="2:13" ht="15" customHeight="1">
      <c r="B86" s="19">
        <v>2</v>
      </c>
      <c r="C86" s="11" t="s">
        <v>379</v>
      </c>
      <c r="D86" s="11" t="s">
        <v>450</v>
      </c>
      <c r="E86" s="35" t="s">
        <v>231</v>
      </c>
      <c r="F86" s="35" t="s">
        <v>238</v>
      </c>
      <c r="G86" s="35" t="s">
        <v>790</v>
      </c>
      <c r="H86" s="53">
        <v>2.5</v>
      </c>
      <c r="I86" s="36">
        <v>30</v>
      </c>
      <c r="J86" s="56" t="s">
        <v>767</v>
      </c>
      <c r="K86" s="55">
        <v>2</v>
      </c>
      <c r="L86" s="9">
        <v>6</v>
      </c>
      <c r="M86" s="30">
        <v>0.5</v>
      </c>
    </row>
    <row r="87" spans="2:13" ht="15" customHeight="1">
      <c r="B87" s="19">
        <v>2</v>
      </c>
      <c r="C87" s="11" t="s">
        <v>454</v>
      </c>
      <c r="D87" s="11" t="s">
        <v>453</v>
      </c>
      <c r="E87" s="35" t="s">
        <v>230</v>
      </c>
      <c r="F87" s="35" t="s">
        <v>239</v>
      </c>
      <c r="G87" s="35" t="s">
        <v>789</v>
      </c>
      <c r="H87" s="53">
        <v>7</v>
      </c>
      <c r="I87" s="36">
        <v>84</v>
      </c>
      <c r="J87" s="54" t="s">
        <v>763</v>
      </c>
      <c r="K87" s="55">
        <v>7</v>
      </c>
      <c r="L87" s="9"/>
      <c r="M87" s="30"/>
    </row>
    <row r="88" spans="2:13" ht="15" customHeight="1">
      <c r="B88" s="19">
        <v>2</v>
      </c>
      <c r="C88" s="11" t="s">
        <v>454</v>
      </c>
      <c r="D88" s="11" t="s">
        <v>453</v>
      </c>
      <c r="E88" s="35" t="s">
        <v>230</v>
      </c>
      <c r="F88" s="35" t="s">
        <v>239</v>
      </c>
      <c r="G88" s="35" t="s">
        <v>790</v>
      </c>
      <c r="H88" s="53">
        <v>2</v>
      </c>
      <c r="I88" s="36">
        <v>24</v>
      </c>
      <c r="J88" s="56" t="s">
        <v>767</v>
      </c>
      <c r="K88" s="55">
        <v>2</v>
      </c>
      <c r="L88" s="9"/>
      <c r="M88" s="30"/>
    </row>
    <row r="89" spans="2:13" ht="15" customHeight="1">
      <c r="B89" s="19">
        <v>2</v>
      </c>
      <c r="C89" s="11" t="s">
        <v>468</v>
      </c>
      <c r="D89" s="11" t="s">
        <v>247</v>
      </c>
      <c r="E89" s="35" t="s">
        <v>230</v>
      </c>
      <c r="F89" s="35" t="s">
        <v>238</v>
      </c>
      <c r="G89" s="35" t="s">
        <v>789</v>
      </c>
      <c r="H89" s="53">
        <v>3</v>
      </c>
      <c r="I89" s="36">
        <v>36</v>
      </c>
      <c r="J89" s="54" t="s">
        <v>763</v>
      </c>
      <c r="K89" s="55">
        <v>3</v>
      </c>
      <c r="L89" s="9"/>
      <c r="M89" s="30"/>
    </row>
    <row r="90" spans="2:13" ht="15" customHeight="1">
      <c r="B90" s="19">
        <v>2</v>
      </c>
      <c r="C90" s="11" t="s">
        <v>468</v>
      </c>
      <c r="D90" s="11" t="s">
        <v>453</v>
      </c>
      <c r="E90" s="35" t="s">
        <v>230</v>
      </c>
      <c r="F90" s="35" t="s">
        <v>238</v>
      </c>
      <c r="G90" s="35" t="s">
        <v>789</v>
      </c>
      <c r="H90" s="53">
        <v>5.5</v>
      </c>
      <c r="I90" s="36">
        <v>66</v>
      </c>
      <c r="J90" s="54" t="s">
        <v>763</v>
      </c>
      <c r="K90" s="55">
        <v>5</v>
      </c>
      <c r="L90" s="9">
        <v>6</v>
      </c>
      <c r="M90" s="30"/>
    </row>
    <row r="91" spans="2:13" ht="15" customHeight="1">
      <c r="B91" s="19">
        <v>2</v>
      </c>
      <c r="C91" s="11" t="s">
        <v>468</v>
      </c>
      <c r="D91" s="11" t="s">
        <v>461</v>
      </c>
      <c r="E91" s="35" t="s">
        <v>230</v>
      </c>
      <c r="F91" s="35" t="s">
        <v>238</v>
      </c>
      <c r="G91" s="35" t="s">
        <v>790</v>
      </c>
      <c r="H91" s="53">
        <v>1.5</v>
      </c>
      <c r="I91" s="36">
        <v>18</v>
      </c>
      <c r="J91" s="56" t="s">
        <v>767</v>
      </c>
      <c r="K91" s="55">
        <v>1</v>
      </c>
      <c r="L91" s="9">
        <v>6</v>
      </c>
      <c r="M91" s="30">
        <v>0.5</v>
      </c>
    </row>
    <row r="92" spans="2:13" ht="15" customHeight="1">
      <c r="B92" s="19">
        <v>3</v>
      </c>
      <c r="C92" s="11" t="s">
        <v>378</v>
      </c>
      <c r="D92" s="11" t="s">
        <v>247</v>
      </c>
      <c r="E92" s="35" t="s">
        <v>230</v>
      </c>
      <c r="F92" s="35" t="s">
        <v>238</v>
      </c>
      <c r="G92" s="35" t="s">
        <v>789</v>
      </c>
      <c r="H92" s="53">
        <v>4.5</v>
      </c>
      <c r="I92" s="36">
        <v>54</v>
      </c>
      <c r="J92" s="54" t="s">
        <v>763</v>
      </c>
      <c r="K92" s="55">
        <v>4</v>
      </c>
      <c r="L92" s="9">
        <v>6</v>
      </c>
      <c r="M92" s="30"/>
    </row>
    <row r="93" spans="2:13" ht="15" customHeight="1">
      <c r="B93" s="19">
        <v>3</v>
      </c>
      <c r="C93" s="11" t="s">
        <v>378</v>
      </c>
      <c r="D93" s="11" t="s">
        <v>453</v>
      </c>
      <c r="E93" s="35" t="s">
        <v>229</v>
      </c>
      <c r="F93" s="35" t="s">
        <v>239</v>
      </c>
      <c r="G93" s="35" t="s">
        <v>789</v>
      </c>
      <c r="H93" s="53">
        <v>3.5</v>
      </c>
      <c r="I93" s="36">
        <v>42</v>
      </c>
      <c r="J93" s="54" t="s">
        <v>763</v>
      </c>
      <c r="K93" s="55">
        <v>3</v>
      </c>
      <c r="L93" s="9">
        <v>6</v>
      </c>
      <c r="M93" s="30"/>
    </row>
    <row r="94" spans="2:13" ht="15" customHeight="1">
      <c r="B94" s="19">
        <v>3</v>
      </c>
      <c r="C94" s="11" t="s">
        <v>378</v>
      </c>
      <c r="D94" s="11" t="s">
        <v>453</v>
      </c>
      <c r="E94" s="35" t="s">
        <v>230</v>
      </c>
      <c r="F94" s="35" t="s">
        <v>239</v>
      </c>
      <c r="G94" s="35" t="s">
        <v>789</v>
      </c>
      <c r="H94" s="53">
        <v>7.5</v>
      </c>
      <c r="I94" s="36">
        <v>90</v>
      </c>
      <c r="J94" s="54" t="s">
        <v>763</v>
      </c>
      <c r="K94" s="55">
        <v>7</v>
      </c>
      <c r="L94" s="9">
        <v>6</v>
      </c>
      <c r="M94" s="30"/>
    </row>
    <row r="95" spans="2:13" ht="15" customHeight="1">
      <c r="B95" s="19">
        <v>3</v>
      </c>
      <c r="C95" s="11" t="s">
        <v>378</v>
      </c>
      <c r="D95" s="11" t="s">
        <v>453</v>
      </c>
      <c r="E95" s="35" t="s">
        <v>231</v>
      </c>
      <c r="F95" s="35" t="s">
        <v>239</v>
      </c>
      <c r="G95" s="35" t="s">
        <v>789</v>
      </c>
      <c r="H95" s="53">
        <v>1</v>
      </c>
      <c r="I95" s="36">
        <v>12</v>
      </c>
      <c r="J95" s="54" t="s">
        <v>763</v>
      </c>
      <c r="K95" s="55">
        <v>1</v>
      </c>
      <c r="L95" s="9"/>
      <c r="M95" s="30"/>
    </row>
    <row r="96" spans="2:13" ht="15" customHeight="1">
      <c r="B96" s="19">
        <v>3</v>
      </c>
      <c r="C96" s="11" t="s">
        <v>378</v>
      </c>
      <c r="D96" s="11" t="s">
        <v>453</v>
      </c>
      <c r="E96" s="35" t="s">
        <v>231</v>
      </c>
      <c r="F96" s="35" t="s">
        <v>238</v>
      </c>
      <c r="G96" s="35" t="s">
        <v>789</v>
      </c>
      <c r="H96" s="53">
        <v>2</v>
      </c>
      <c r="I96" s="36">
        <v>24</v>
      </c>
      <c r="J96" s="54" t="s">
        <v>763</v>
      </c>
      <c r="K96" s="55">
        <v>2</v>
      </c>
      <c r="L96" s="9"/>
      <c r="M96" s="30"/>
    </row>
    <row r="97" spans="2:13" ht="15" customHeight="1">
      <c r="B97" s="19">
        <v>3</v>
      </c>
      <c r="C97" s="11" t="s">
        <v>378</v>
      </c>
      <c r="D97" s="11" t="s">
        <v>461</v>
      </c>
      <c r="E97" s="35" t="s">
        <v>229</v>
      </c>
      <c r="F97" s="35" t="s">
        <v>239</v>
      </c>
      <c r="G97" s="35" t="s">
        <v>789</v>
      </c>
      <c r="H97" s="53">
        <v>1</v>
      </c>
      <c r="I97" s="36">
        <v>12</v>
      </c>
      <c r="J97" s="54" t="s">
        <v>763</v>
      </c>
      <c r="K97" s="55">
        <v>1</v>
      </c>
      <c r="L97" s="9"/>
      <c r="M97" s="30"/>
    </row>
    <row r="98" spans="2:13" ht="15" customHeight="1">
      <c r="B98" s="19">
        <v>3</v>
      </c>
      <c r="C98" s="11" t="s">
        <v>378</v>
      </c>
      <c r="D98" s="11" t="s">
        <v>463</v>
      </c>
      <c r="E98" s="35" t="s">
        <v>231</v>
      </c>
      <c r="F98" s="35" t="s">
        <v>238</v>
      </c>
      <c r="G98" s="35" t="s">
        <v>789</v>
      </c>
      <c r="H98" s="53">
        <v>4</v>
      </c>
      <c r="I98" s="36">
        <v>48</v>
      </c>
      <c r="J98" s="56" t="s">
        <v>767</v>
      </c>
      <c r="K98" s="55">
        <v>4</v>
      </c>
      <c r="L98" s="9"/>
      <c r="M98" s="30"/>
    </row>
    <row r="99" spans="2:13" ht="15" customHeight="1">
      <c r="B99" s="19">
        <v>3</v>
      </c>
      <c r="C99" s="11" t="s">
        <v>378</v>
      </c>
      <c r="D99" s="11" t="s">
        <v>459</v>
      </c>
      <c r="E99" s="35" t="s">
        <v>230</v>
      </c>
      <c r="F99" s="35" t="s">
        <v>239</v>
      </c>
      <c r="G99" s="35" t="s">
        <v>789</v>
      </c>
      <c r="H99" s="53">
        <v>3</v>
      </c>
      <c r="I99" s="36">
        <v>36</v>
      </c>
      <c r="J99" s="54" t="s">
        <v>763</v>
      </c>
      <c r="K99" s="55">
        <v>3</v>
      </c>
      <c r="L99" s="9"/>
      <c r="M99" s="30"/>
    </row>
    <row r="100" spans="2:13" ht="15" customHeight="1">
      <c r="B100" s="19">
        <v>3</v>
      </c>
      <c r="C100" s="11" t="s">
        <v>378</v>
      </c>
      <c r="D100" s="11" t="s">
        <v>453</v>
      </c>
      <c r="E100" s="35" t="s">
        <v>229</v>
      </c>
      <c r="F100" s="35" t="s">
        <v>239</v>
      </c>
      <c r="G100" s="35" t="s">
        <v>790</v>
      </c>
      <c r="H100" s="53">
        <v>0.5</v>
      </c>
      <c r="I100" s="36">
        <v>6</v>
      </c>
      <c r="J100" s="56" t="s">
        <v>767</v>
      </c>
      <c r="K100" s="55">
        <v>0</v>
      </c>
      <c r="L100" s="9">
        <v>6</v>
      </c>
      <c r="M100" s="30">
        <v>0.5</v>
      </c>
    </row>
    <row r="101" spans="2:13" ht="15" customHeight="1">
      <c r="B101" s="19">
        <v>3</v>
      </c>
      <c r="C101" s="11" t="s">
        <v>378</v>
      </c>
      <c r="D101" s="11" t="s">
        <v>453</v>
      </c>
      <c r="E101" s="35" t="s">
        <v>230</v>
      </c>
      <c r="F101" s="35" t="s">
        <v>238</v>
      </c>
      <c r="G101" s="35" t="s">
        <v>790</v>
      </c>
      <c r="H101" s="53">
        <v>0.5</v>
      </c>
      <c r="I101" s="36">
        <v>6</v>
      </c>
      <c r="J101" s="56" t="s">
        <v>767</v>
      </c>
      <c r="K101" s="55">
        <v>0</v>
      </c>
      <c r="L101" s="9">
        <v>6</v>
      </c>
      <c r="M101" s="30">
        <v>0.5</v>
      </c>
    </row>
    <row r="102" spans="2:13" ht="15" customHeight="1">
      <c r="B102" s="19">
        <v>3</v>
      </c>
      <c r="C102" s="11" t="s">
        <v>378</v>
      </c>
      <c r="D102" s="11" t="s">
        <v>461</v>
      </c>
      <c r="E102" s="35" t="s">
        <v>229</v>
      </c>
      <c r="F102" s="35" t="s">
        <v>239</v>
      </c>
      <c r="G102" s="35" t="s">
        <v>790</v>
      </c>
      <c r="H102" s="53">
        <v>0.5</v>
      </c>
      <c r="I102" s="36">
        <v>6</v>
      </c>
      <c r="J102" s="56" t="s">
        <v>767</v>
      </c>
      <c r="K102" s="55">
        <v>0</v>
      </c>
      <c r="L102" s="9">
        <v>6</v>
      </c>
      <c r="M102" s="30">
        <v>0.5</v>
      </c>
    </row>
    <row r="103" spans="2:13" ht="15" customHeight="1">
      <c r="B103" s="19">
        <v>3</v>
      </c>
      <c r="C103" s="11" t="s">
        <v>378</v>
      </c>
      <c r="D103" s="11" t="s">
        <v>461</v>
      </c>
      <c r="E103" s="35" t="s">
        <v>230</v>
      </c>
      <c r="F103" s="35" t="s">
        <v>238</v>
      </c>
      <c r="G103" s="35" t="s">
        <v>790</v>
      </c>
      <c r="H103" s="53">
        <v>0.5</v>
      </c>
      <c r="I103" s="36">
        <v>6</v>
      </c>
      <c r="J103" s="56" t="s">
        <v>767</v>
      </c>
      <c r="K103" s="55">
        <v>0</v>
      </c>
      <c r="L103" s="9">
        <v>6</v>
      </c>
      <c r="M103" s="30">
        <v>0.5</v>
      </c>
    </row>
    <row r="104" spans="2:13" ht="15" customHeight="1">
      <c r="B104" s="19">
        <v>3</v>
      </c>
      <c r="C104" s="11" t="s">
        <v>378</v>
      </c>
      <c r="D104" s="11" t="s">
        <v>463</v>
      </c>
      <c r="E104" s="35" t="s">
        <v>230</v>
      </c>
      <c r="F104" s="35" t="s">
        <v>239</v>
      </c>
      <c r="G104" s="35" t="s">
        <v>790</v>
      </c>
      <c r="H104" s="53">
        <v>0.5</v>
      </c>
      <c r="I104" s="36">
        <v>6</v>
      </c>
      <c r="J104" s="56" t="s">
        <v>767</v>
      </c>
      <c r="K104" s="55">
        <v>0</v>
      </c>
      <c r="L104" s="9">
        <v>6</v>
      </c>
      <c r="M104" s="30">
        <v>0.5</v>
      </c>
    </row>
    <row r="105" spans="2:13" ht="15" customHeight="1">
      <c r="B105" s="19">
        <v>3</v>
      </c>
      <c r="C105" s="11" t="s">
        <v>378</v>
      </c>
      <c r="D105" s="11" t="s">
        <v>463</v>
      </c>
      <c r="E105" s="35" t="s">
        <v>232</v>
      </c>
      <c r="F105" s="35" t="s">
        <v>238</v>
      </c>
      <c r="G105" s="35" t="s">
        <v>790</v>
      </c>
      <c r="H105" s="53">
        <v>1.5</v>
      </c>
      <c r="I105" s="36">
        <v>18</v>
      </c>
      <c r="J105" s="56" t="s">
        <v>767</v>
      </c>
      <c r="K105" s="55">
        <v>1</v>
      </c>
      <c r="L105" s="9">
        <v>6</v>
      </c>
      <c r="M105" s="30">
        <v>0.5</v>
      </c>
    </row>
    <row r="106" spans="2:13" ht="15" customHeight="1">
      <c r="B106" s="19">
        <v>3</v>
      </c>
      <c r="C106" s="11" t="s">
        <v>378</v>
      </c>
      <c r="D106" s="11" t="s">
        <v>450</v>
      </c>
      <c r="E106" s="35" t="s">
        <v>231</v>
      </c>
      <c r="F106" s="35" t="s">
        <v>238</v>
      </c>
      <c r="G106" s="35" t="s">
        <v>790</v>
      </c>
      <c r="H106" s="53">
        <v>0.5</v>
      </c>
      <c r="I106" s="36">
        <v>6</v>
      </c>
      <c r="J106" s="56" t="s">
        <v>767</v>
      </c>
      <c r="K106" s="55">
        <v>0</v>
      </c>
      <c r="L106" s="9">
        <v>6</v>
      </c>
      <c r="M106" s="30">
        <v>0.5</v>
      </c>
    </row>
    <row r="107" spans="2:13" ht="15" customHeight="1">
      <c r="B107" s="19">
        <v>3</v>
      </c>
      <c r="C107" s="11" t="s">
        <v>378</v>
      </c>
      <c r="D107" s="11" t="s">
        <v>450</v>
      </c>
      <c r="E107" s="35" t="s">
        <v>232</v>
      </c>
      <c r="F107" s="35" t="s">
        <v>238</v>
      </c>
      <c r="G107" s="35" t="s">
        <v>790</v>
      </c>
      <c r="H107" s="53">
        <v>1</v>
      </c>
      <c r="I107" s="36">
        <v>12</v>
      </c>
      <c r="J107" s="56" t="s">
        <v>767</v>
      </c>
      <c r="K107" s="55">
        <v>1</v>
      </c>
      <c r="L107" s="9"/>
      <c r="M107" s="30"/>
    </row>
    <row r="108" spans="2:13" ht="15" customHeight="1">
      <c r="B108" s="19">
        <v>3</v>
      </c>
      <c r="C108" s="11" t="s">
        <v>378</v>
      </c>
      <c r="D108" s="11" t="s">
        <v>459</v>
      </c>
      <c r="E108" s="35" t="s">
        <v>230</v>
      </c>
      <c r="F108" s="35" t="s">
        <v>239</v>
      </c>
      <c r="G108" s="35" t="s">
        <v>790</v>
      </c>
      <c r="H108" s="53">
        <v>0.5</v>
      </c>
      <c r="I108" s="36">
        <v>6</v>
      </c>
      <c r="J108" s="56" t="s">
        <v>767</v>
      </c>
      <c r="K108" s="55">
        <v>0</v>
      </c>
      <c r="L108" s="9">
        <v>6</v>
      </c>
      <c r="M108" s="30">
        <v>0.5</v>
      </c>
    </row>
    <row r="109" spans="2:13" ht="15" customHeight="1">
      <c r="B109" s="19">
        <v>3</v>
      </c>
      <c r="C109" s="11" t="s">
        <v>378</v>
      </c>
      <c r="D109" s="11" t="s">
        <v>459</v>
      </c>
      <c r="E109" s="35" t="s">
        <v>232</v>
      </c>
      <c r="F109" s="35" t="s">
        <v>238</v>
      </c>
      <c r="G109" s="35" t="s">
        <v>790</v>
      </c>
      <c r="H109" s="53">
        <v>1.5</v>
      </c>
      <c r="I109" s="36">
        <v>18</v>
      </c>
      <c r="J109" s="56" t="s">
        <v>767</v>
      </c>
      <c r="K109" s="55">
        <v>1</v>
      </c>
      <c r="L109" s="9">
        <v>6</v>
      </c>
      <c r="M109" s="30">
        <v>0.5</v>
      </c>
    </row>
    <row r="110" spans="2:13" ht="15" customHeight="1">
      <c r="B110" s="19">
        <v>3</v>
      </c>
      <c r="C110" s="11" t="s">
        <v>379</v>
      </c>
      <c r="D110" s="11" t="s">
        <v>247</v>
      </c>
      <c r="E110" s="35" t="s">
        <v>231</v>
      </c>
      <c r="F110" s="35" t="s">
        <v>238</v>
      </c>
      <c r="G110" s="35" t="s">
        <v>789</v>
      </c>
      <c r="H110" s="53">
        <v>7</v>
      </c>
      <c r="I110" s="36">
        <v>84</v>
      </c>
      <c r="J110" s="54" t="s">
        <v>763</v>
      </c>
      <c r="K110" s="55">
        <v>7</v>
      </c>
      <c r="L110" s="9"/>
      <c r="M110" s="30"/>
    </row>
    <row r="111" spans="2:13" ht="15" customHeight="1">
      <c r="B111" s="19">
        <v>3</v>
      </c>
      <c r="C111" s="11" t="s">
        <v>379</v>
      </c>
      <c r="D111" s="11" t="s">
        <v>450</v>
      </c>
      <c r="E111" s="35" t="s">
        <v>231</v>
      </c>
      <c r="F111" s="35" t="s">
        <v>238</v>
      </c>
      <c r="G111" s="35" t="s">
        <v>789</v>
      </c>
      <c r="H111" s="53">
        <v>8.4999999999999893</v>
      </c>
      <c r="I111" s="36">
        <v>102</v>
      </c>
      <c r="J111" s="56" t="s">
        <v>767</v>
      </c>
      <c r="K111" s="55">
        <v>8</v>
      </c>
      <c r="L111" s="9">
        <v>6</v>
      </c>
      <c r="M111" s="30">
        <v>0.5</v>
      </c>
    </row>
    <row r="112" spans="2:13" ht="15" customHeight="1">
      <c r="B112" s="19">
        <v>3</v>
      </c>
      <c r="C112" s="11" t="s">
        <v>379</v>
      </c>
      <c r="D112" s="11" t="s">
        <v>247</v>
      </c>
      <c r="E112" s="35" t="s">
        <v>231</v>
      </c>
      <c r="F112" s="35" t="s">
        <v>238</v>
      </c>
      <c r="G112" s="35" t="s">
        <v>790</v>
      </c>
      <c r="H112" s="53">
        <v>1.5</v>
      </c>
      <c r="I112" s="36">
        <v>18</v>
      </c>
      <c r="J112" s="56" t="s">
        <v>767</v>
      </c>
      <c r="K112" s="55">
        <v>1</v>
      </c>
      <c r="L112" s="9">
        <v>6</v>
      </c>
      <c r="M112" s="30">
        <v>0.5</v>
      </c>
    </row>
    <row r="113" spans="2:13" ht="15" customHeight="1">
      <c r="B113" s="19">
        <v>3</v>
      </c>
      <c r="C113" s="11" t="s">
        <v>379</v>
      </c>
      <c r="D113" s="11" t="s">
        <v>247</v>
      </c>
      <c r="E113" s="35" t="s">
        <v>232</v>
      </c>
      <c r="F113" s="35" t="s">
        <v>238</v>
      </c>
      <c r="G113" s="35" t="s">
        <v>790</v>
      </c>
      <c r="H113" s="53">
        <v>0.5</v>
      </c>
      <c r="I113" s="36">
        <v>6</v>
      </c>
      <c r="J113" s="56" t="s">
        <v>767</v>
      </c>
      <c r="K113" s="55">
        <v>0</v>
      </c>
      <c r="L113" s="9">
        <v>6</v>
      </c>
      <c r="M113" s="30">
        <v>0.5</v>
      </c>
    </row>
    <row r="114" spans="2:13" ht="15" customHeight="1">
      <c r="B114" s="19">
        <v>3</v>
      </c>
      <c r="C114" s="11" t="s">
        <v>379</v>
      </c>
      <c r="D114" s="11" t="s">
        <v>461</v>
      </c>
      <c r="E114" s="35" t="s">
        <v>230</v>
      </c>
      <c r="F114" s="35" t="s">
        <v>238</v>
      </c>
      <c r="G114" s="35" t="s">
        <v>790</v>
      </c>
      <c r="H114" s="53">
        <v>0.5</v>
      </c>
      <c r="I114" s="36">
        <v>6</v>
      </c>
      <c r="J114" s="56" t="s">
        <v>767</v>
      </c>
      <c r="K114" s="55">
        <v>0</v>
      </c>
      <c r="L114" s="9">
        <v>6</v>
      </c>
      <c r="M114" s="30">
        <v>0.5</v>
      </c>
    </row>
    <row r="115" spans="2:13" ht="15" customHeight="1">
      <c r="B115" s="19">
        <v>3</v>
      </c>
      <c r="C115" s="11" t="s">
        <v>379</v>
      </c>
      <c r="D115" s="11" t="s">
        <v>450</v>
      </c>
      <c r="E115" s="35" t="s">
        <v>231</v>
      </c>
      <c r="F115" s="35" t="s">
        <v>238</v>
      </c>
      <c r="G115" s="35" t="s">
        <v>790</v>
      </c>
      <c r="H115" s="53">
        <v>2</v>
      </c>
      <c r="I115" s="36">
        <v>24</v>
      </c>
      <c r="J115" s="56" t="s">
        <v>767</v>
      </c>
      <c r="K115" s="55">
        <v>2</v>
      </c>
      <c r="L115" s="9"/>
      <c r="M115" s="30"/>
    </row>
    <row r="116" spans="2:13" ht="15" customHeight="1">
      <c r="B116" s="19">
        <v>3</v>
      </c>
      <c r="C116" s="11" t="s">
        <v>454</v>
      </c>
      <c r="D116" s="11" t="s">
        <v>453</v>
      </c>
      <c r="E116" s="35" t="s">
        <v>230</v>
      </c>
      <c r="F116" s="35" t="s">
        <v>239</v>
      </c>
      <c r="G116" s="35" t="s">
        <v>789</v>
      </c>
      <c r="H116" s="53">
        <v>5</v>
      </c>
      <c r="I116" s="36">
        <v>60</v>
      </c>
      <c r="J116" s="54" t="s">
        <v>763</v>
      </c>
      <c r="K116" s="55">
        <v>5</v>
      </c>
      <c r="L116" s="9"/>
      <c r="M116" s="30"/>
    </row>
    <row r="117" spans="2:13" ht="15" customHeight="1">
      <c r="B117" s="19">
        <v>3</v>
      </c>
      <c r="C117" s="11" t="s">
        <v>454</v>
      </c>
      <c r="D117" s="11" t="s">
        <v>453</v>
      </c>
      <c r="E117" s="35" t="s">
        <v>230</v>
      </c>
      <c r="F117" s="35" t="s">
        <v>239</v>
      </c>
      <c r="G117" s="35" t="s">
        <v>790</v>
      </c>
      <c r="H117" s="53">
        <v>2.5</v>
      </c>
      <c r="I117" s="36">
        <v>30</v>
      </c>
      <c r="J117" s="56" t="s">
        <v>767</v>
      </c>
      <c r="K117" s="55">
        <v>2</v>
      </c>
      <c r="L117" s="9">
        <v>6</v>
      </c>
      <c r="M117" s="30">
        <v>0.5</v>
      </c>
    </row>
    <row r="118" spans="2:13" ht="15" customHeight="1">
      <c r="B118" s="19">
        <v>3</v>
      </c>
      <c r="C118" s="11" t="s">
        <v>468</v>
      </c>
      <c r="D118" s="11" t="s">
        <v>461</v>
      </c>
      <c r="E118" s="35" t="s">
        <v>230</v>
      </c>
      <c r="F118" s="35" t="s">
        <v>238</v>
      </c>
      <c r="G118" s="35" t="s">
        <v>790</v>
      </c>
      <c r="H118" s="53">
        <v>7</v>
      </c>
      <c r="I118" s="36">
        <v>84</v>
      </c>
      <c r="J118" s="56" t="s">
        <v>767</v>
      </c>
      <c r="K118" s="55">
        <v>7</v>
      </c>
      <c r="L118" s="9"/>
      <c r="M118" s="30"/>
    </row>
    <row r="119" spans="2:13" ht="15" customHeight="1">
      <c r="B119" s="19">
        <v>4</v>
      </c>
      <c r="C119" s="11" t="s">
        <v>378</v>
      </c>
      <c r="D119" s="11" t="s">
        <v>247</v>
      </c>
      <c r="E119" s="35" t="s">
        <v>230</v>
      </c>
      <c r="F119" s="35" t="s">
        <v>238</v>
      </c>
      <c r="G119" s="35" t="s">
        <v>789</v>
      </c>
      <c r="H119" s="53">
        <v>0</v>
      </c>
      <c r="I119" s="36">
        <v>0</v>
      </c>
      <c r="J119" s="56" t="s">
        <v>767</v>
      </c>
      <c r="K119" s="55">
        <v>0</v>
      </c>
      <c r="L119" s="9"/>
      <c r="M119" s="30"/>
    </row>
    <row r="120" spans="2:13" ht="15" customHeight="1">
      <c r="B120" s="19">
        <v>4</v>
      </c>
      <c r="C120" s="11" t="s">
        <v>378</v>
      </c>
      <c r="D120" s="11" t="s">
        <v>453</v>
      </c>
      <c r="E120" s="35" t="s">
        <v>230</v>
      </c>
      <c r="F120" s="35" t="s">
        <v>239</v>
      </c>
      <c r="G120" s="35" t="s">
        <v>789</v>
      </c>
      <c r="H120" s="53">
        <v>5.5</v>
      </c>
      <c r="I120" s="36">
        <v>66</v>
      </c>
      <c r="J120" s="54" t="s">
        <v>763</v>
      </c>
      <c r="K120" s="55">
        <v>5</v>
      </c>
      <c r="L120" s="9">
        <v>6</v>
      </c>
      <c r="M120" s="30"/>
    </row>
    <row r="121" spans="2:13" ht="15" customHeight="1">
      <c r="B121" s="19">
        <v>4</v>
      </c>
      <c r="C121" s="11" t="s">
        <v>378</v>
      </c>
      <c r="D121" s="11" t="s">
        <v>453</v>
      </c>
      <c r="E121" s="35" t="s">
        <v>231</v>
      </c>
      <c r="F121" s="35" t="s">
        <v>239</v>
      </c>
      <c r="G121" s="35" t="s">
        <v>789</v>
      </c>
      <c r="H121" s="53">
        <v>7</v>
      </c>
      <c r="I121" s="36">
        <v>84</v>
      </c>
      <c r="J121" s="54" t="s">
        <v>763</v>
      </c>
      <c r="K121" s="55">
        <v>7</v>
      </c>
      <c r="L121" s="9"/>
      <c r="M121" s="30"/>
    </row>
    <row r="122" spans="2:13" ht="15" customHeight="1">
      <c r="B122" s="19">
        <v>4</v>
      </c>
      <c r="C122" s="11" t="s">
        <v>378</v>
      </c>
      <c r="D122" s="11" t="s">
        <v>453</v>
      </c>
      <c r="E122" s="35" t="s">
        <v>231</v>
      </c>
      <c r="F122" s="35" t="s">
        <v>238</v>
      </c>
      <c r="G122" s="35" t="s">
        <v>789</v>
      </c>
      <c r="H122" s="53">
        <v>1.5</v>
      </c>
      <c r="I122" s="36">
        <v>18.000000000000099</v>
      </c>
      <c r="J122" s="54" t="s">
        <v>763</v>
      </c>
      <c r="K122" s="55">
        <v>1</v>
      </c>
      <c r="L122" s="9">
        <v>6</v>
      </c>
      <c r="M122" s="30"/>
    </row>
    <row r="123" spans="2:13" ht="15" customHeight="1">
      <c r="B123" s="19">
        <v>4</v>
      </c>
      <c r="C123" s="11" t="s">
        <v>378</v>
      </c>
      <c r="D123" s="11" t="s">
        <v>461</v>
      </c>
      <c r="E123" s="35" t="s">
        <v>229</v>
      </c>
      <c r="F123" s="35" t="s">
        <v>239</v>
      </c>
      <c r="G123" s="35" t="s">
        <v>789</v>
      </c>
      <c r="H123" s="53">
        <v>1</v>
      </c>
      <c r="I123" s="36">
        <v>12</v>
      </c>
      <c r="J123" s="54" t="s">
        <v>763</v>
      </c>
      <c r="K123" s="55">
        <v>1</v>
      </c>
      <c r="L123" s="9"/>
      <c r="M123" s="30"/>
    </row>
    <row r="124" spans="2:13" ht="15" customHeight="1">
      <c r="B124" s="19">
        <v>4</v>
      </c>
      <c r="C124" s="11" t="s">
        <v>378</v>
      </c>
      <c r="D124" s="11" t="s">
        <v>463</v>
      </c>
      <c r="E124" s="35" t="s">
        <v>231</v>
      </c>
      <c r="F124" s="35" t="s">
        <v>238</v>
      </c>
      <c r="G124" s="35" t="s">
        <v>789</v>
      </c>
      <c r="H124" s="53">
        <v>3</v>
      </c>
      <c r="I124" s="36">
        <v>36</v>
      </c>
      <c r="J124" s="56" t="s">
        <v>767</v>
      </c>
      <c r="K124" s="55">
        <v>3</v>
      </c>
      <c r="L124" s="9"/>
      <c r="M124" s="30"/>
    </row>
    <row r="125" spans="2:13" ht="15" customHeight="1">
      <c r="B125" s="19">
        <v>4</v>
      </c>
      <c r="C125" s="11" t="s">
        <v>378</v>
      </c>
      <c r="D125" s="11" t="s">
        <v>459</v>
      </c>
      <c r="E125" s="35" t="s">
        <v>230</v>
      </c>
      <c r="F125" s="35" t="s">
        <v>239</v>
      </c>
      <c r="G125" s="35" t="s">
        <v>789</v>
      </c>
      <c r="H125" s="53">
        <v>1.5</v>
      </c>
      <c r="I125" s="36">
        <v>18.000000000000099</v>
      </c>
      <c r="J125" s="54" t="s">
        <v>763</v>
      </c>
      <c r="K125" s="55">
        <v>1</v>
      </c>
      <c r="L125" s="9">
        <v>6</v>
      </c>
      <c r="M125" s="30"/>
    </row>
    <row r="126" spans="2:13" ht="15" customHeight="1">
      <c r="B126" s="19">
        <v>4</v>
      </c>
      <c r="C126" s="11" t="s">
        <v>378</v>
      </c>
      <c r="D126" s="11" t="s">
        <v>453</v>
      </c>
      <c r="E126" s="35" t="s">
        <v>229</v>
      </c>
      <c r="F126" s="35" t="s">
        <v>239</v>
      </c>
      <c r="G126" s="35" t="s">
        <v>790</v>
      </c>
      <c r="H126" s="53">
        <v>0.5</v>
      </c>
      <c r="I126" s="36">
        <v>6</v>
      </c>
      <c r="J126" s="56" t="s">
        <v>767</v>
      </c>
      <c r="K126" s="55">
        <v>0</v>
      </c>
      <c r="L126" s="9">
        <v>6</v>
      </c>
      <c r="M126" s="30">
        <v>0.5</v>
      </c>
    </row>
    <row r="127" spans="2:13" ht="15" customHeight="1">
      <c r="B127" s="19">
        <v>4</v>
      </c>
      <c r="C127" s="11" t="s">
        <v>378</v>
      </c>
      <c r="D127" s="11" t="s">
        <v>453</v>
      </c>
      <c r="E127" s="35" t="s">
        <v>230</v>
      </c>
      <c r="F127" s="35" t="s">
        <v>238</v>
      </c>
      <c r="G127" s="35" t="s">
        <v>790</v>
      </c>
      <c r="H127" s="53">
        <v>0.5</v>
      </c>
      <c r="I127" s="36">
        <v>6</v>
      </c>
      <c r="J127" s="56" t="s">
        <v>767</v>
      </c>
      <c r="K127" s="55">
        <v>0</v>
      </c>
      <c r="L127" s="9">
        <v>6</v>
      </c>
      <c r="M127" s="30">
        <v>0.5</v>
      </c>
    </row>
    <row r="128" spans="2:13" ht="15" customHeight="1">
      <c r="B128" s="19">
        <v>4</v>
      </c>
      <c r="C128" s="11" t="s">
        <v>378</v>
      </c>
      <c r="D128" s="11" t="s">
        <v>461</v>
      </c>
      <c r="E128" s="35" t="s">
        <v>229</v>
      </c>
      <c r="F128" s="35" t="s">
        <v>239</v>
      </c>
      <c r="G128" s="35" t="s">
        <v>790</v>
      </c>
      <c r="H128" s="53">
        <v>0.5</v>
      </c>
      <c r="I128" s="36">
        <v>6</v>
      </c>
      <c r="J128" s="56" t="s">
        <v>767</v>
      </c>
      <c r="K128" s="55">
        <v>0</v>
      </c>
      <c r="L128" s="9">
        <v>6</v>
      </c>
      <c r="M128" s="30">
        <v>0.5</v>
      </c>
    </row>
    <row r="129" spans="2:13" ht="15" customHeight="1">
      <c r="B129" s="19">
        <v>4</v>
      </c>
      <c r="C129" s="11" t="s">
        <v>378</v>
      </c>
      <c r="D129" s="11" t="s">
        <v>461</v>
      </c>
      <c r="E129" s="35" t="s">
        <v>230</v>
      </c>
      <c r="F129" s="35" t="s">
        <v>238</v>
      </c>
      <c r="G129" s="35" t="s">
        <v>790</v>
      </c>
      <c r="H129" s="53">
        <v>0.5</v>
      </c>
      <c r="I129" s="36">
        <v>6</v>
      </c>
      <c r="J129" s="56" t="s">
        <v>767</v>
      </c>
      <c r="K129" s="55">
        <v>0</v>
      </c>
      <c r="L129" s="9">
        <v>6</v>
      </c>
      <c r="M129" s="30">
        <v>0.5</v>
      </c>
    </row>
    <row r="130" spans="2:13" ht="15" customHeight="1">
      <c r="B130" s="19">
        <v>4</v>
      </c>
      <c r="C130" s="11" t="s">
        <v>378</v>
      </c>
      <c r="D130" s="11" t="s">
        <v>463</v>
      </c>
      <c r="E130" s="35" t="s">
        <v>230</v>
      </c>
      <c r="F130" s="35" t="s">
        <v>239</v>
      </c>
      <c r="G130" s="35" t="s">
        <v>790</v>
      </c>
      <c r="H130" s="53">
        <v>0.5</v>
      </c>
      <c r="I130" s="36">
        <v>6</v>
      </c>
      <c r="J130" s="56" t="s">
        <v>767</v>
      </c>
      <c r="K130" s="55">
        <v>0</v>
      </c>
      <c r="L130" s="9">
        <v>6</v>
      </c>
      <c r="M130" s="30">
        <v>0.5</v>
      </c>
    </row>
    <row r="131" spans="2:13" ht="15" customHeight="1">
      <c r="B131" s="19">
        <v>4</v>
      </c>
      <c r="C131" s="11" t="s">
        <v>378</v>
      </c>
      <c r="D131" s="11" t="s">
        <v>463</v>
      </c>
      <c r="E131" s="35" t="s">
        <v>232</v>
      </c>
      <c r="F131" s="35" t="s">
        <v>238</v>
      </c>
      <c r="G131" s="35" t="s">
        <v>790</v>
      </c>
      <c r="H131" s="53">
        <v>1</v>
      </c>
      <c r="I131" s="36">
        <v>12</v>
      </c>
      <c r="J131" s="56" t="s">
        <v>767</v>
      </c>
      <c r="K131" s="55">
        <v>1</v>
      </c>
      <c r="L131" s="9"/>
      <c r="M131" s="30"/>
    </row>
    <row r="132" spans="2:13" ht="15" customHeight="1">
      <c r="B132" s="19">
        <v>4</v>
      </c>
      <c r="C132" s="11" t="s">
        <v>378</v>
      </c>
      <c r="D132" s="11" t="s">
        <v>450</v>
      </c>
      <c r="E132" s="35" t="s">
        <v>231</v>
      </c>
      <c r="F132" s="35" t="s">
        <v>238</v>
      </c>
      <c r="G132" s="35" t="s">
        <v>790</v>
      </c>
      <c r="H132" s="53">
        <v>0.5</v>
      </c>
      <c r="I132" s="36">
        <v>6</v>
      </c>
      <c r="J132" s="56" t="s">
        <v>767</v>
      </c>
      <c r="K132" s="55">
        <v>0</v>
      </c>
      <c r="L132" s="9">
        <v>6</v>
      </c>
      <c r="M132" s="30">
        <v>0.5</v>
      </c>
    </row>
    <row r="133" spans="2:13" ht="15" customHeight="1">
      <c r="B133" s="19">
        <v>4</v>
      </c>
      <c r="C133" s="11" t="s">
        <v>378</v>
      </c>
      <c r="D133" s="11" t="s">
        <v>450</v>
      </c>
      <c r="E133" s="35" t="s">
        <v>232</v>
      </c>
      <c r="F133" s="35" t="s">
        <v>238</v>
      </c>
      <c r="G133" s="35" t="s">
        <v>790</v>
      </c>
      <c r="H133" s="53">
        <v>1</v>
      </c>
      <c r="I133" s="36">
        <v>12</v>
      </c>
      <c r="J133" s="56" t="s">
        <v>767</v>
      </c>
      <c r="K133" s="55">
        <v>1</v>
      </c>
      <c r="L133" s="9"/>
      <c r="M133" s="30"/>
    </row>
    <row r="134" spans="2:13" ht="15" customHeight="1">
      <c r="B134" s="19">
        <v>4</v>
      </c>
      <c r="C134" s="11" t="s">
        <v>378</v>
      </c>
      <c r="D134" s="11" t="s">
        <v>459</v>
      </c>
      <c r="E134" s="35" t="s">
        <v>230</v>
      </c>
      <c r="F134" s="35" t="s">
        <v>239</v>
      </c>
      <c r="G134" s="35" t="s">
        <v>790</v>
      </c>
      <c r="H134" s="53">
        <v>0.5</v>
      </c>
      <c r="I134" s="36">
        <v>6</v>
      </c>
      <c r="J134" s="56" t="s">
        <v>767</v>
      </c>
      <c r="K134" s="55">
        <v>0</v>
      </c>
      <c r="L134" s="9">
        <v>6</v>
      </c>
      <c r="M134" s="30">
        <v>0.5</v>
      </c>
    </row>
    <row r="135" spans="2:13" ht="15" customHeight="1">
      <c r="B135" s="19">
        <v>4</v>
      </c>
      <c r="C135" s="11" t="s">
        <v>378</v>
      </c>
      <c r="D135" s="11" t="s">
        <v>459</v>
      </c>
      <c r="E135" s="35" t="s">
        <v>232</v>
      </c>
      <c r="F135" s="35" t="s">
        <v>238</v>
      </c>
      <c r="G135" s="35" t="s">
        <v>790</v>
      </c>
      <c r="H135" s="53">
        <v>0.5</v>
      </c>
      <c r="I135" s="36">
        <v>6</v>
      </c>
      <c r="J135" s="56" t="s">
        <v>767</v>
      </c>
      <c r="K135" s="55">
        <v>0</v>
      </c>
      <c r="L135" s="9">
        <v>6</v>
      </c>
      <c r="M135" s="30">
        <v>0.5</v>
      </c>
    </row>
    <row r="136" spans="2:13" ht="15" customHeight="1">
      <c r="B136" s="19">
        <v>4</v>
      </c>
      <c r="C136" s="11" t="s">
        <v>379</v>
      </c>
      <c r="D136" s="11" t="s">
        <v>247</v>
      </c>
      <c r="E136" s="35" t="s">
        <v>230</v>
      </c>
      <c r="F136" s="35" t="s">
        <v>238</v>
      </c>
      <c r="G136" s="35" t="s">
        <v>789</v>
      </c>
      <c r="H136" s="53">
        <v>5</v>
      </c>
      <c r="I136" s="36">
        <v>60</v>
      </c>
      <c r="J136" s="54" t="s">
        <v>763</v>
      </c>
      <c r="K136" s="55">
        <v>5</v>
      </c>
      <c r="L136" s="9"/>
      <c r="M136" s="30"/>
    </row>
    <row r="137" spans="2:13" ht="15" customHeight="1">
      <c r="B137" s="19">
        <v>4</v>
      </c>
      <c r="C137" s="11" t="s">
        <v>379</v>
      </c>
      <c r="D137" s="11" t="s">
        <v>450</v>
      </c>
      <c r="E137" s="35" t="s">
        <v>231</v>
      </c>
      <c r="F137" s="35" t="s">
        <v>238</v>
      </c>
      <c r="G137" s="35" t="s">
        <v>789</v>
      </c>
      <c r="H137" s="53">
        <v>4.5</v>
      </c>
      <c r="I137" s="36">
        <v>54</v>
      </c>
      <c r="J137" s="56" t="s">
        <v>767</v>
      </c>
      <c r="K137" s="55">
        <v>4</v>
      </c>
      <c r="L137" s="9">
        <v>6</v>
      </c>
      <c r="M137" s="30">
        <v>0.5</v>
      </c>
    </row>
    <row r="138" spans="2:13" ht="15" customHeight="1">
      <c r="B138" s="19">
        <v>4</v>
      </c>
      <c r="C138" s="11" t="s">
        <v>379</v>
      </c>
      <c r="D138" s="11" t="s">
        <v>247</v>
      </c>
      <c r="E138" s="35" t="s">
        <v>231</v>
      </c>
      <c r="F138" s="35" t="s">
        <v>238</v>
      </c>
      <c r="G138" s="35" t="s">
        <v>790</v>
      </c>
      <c r="H138" s="53">
        <v>2</v>
      </c>
      <c r="I138" s="36">
        <v>24</v>
      </c>
      <c r="J138" s="56" t="s">
        <v>767</v>
      </c>
      <c r="K138" s="55">
        <v>2</v>
      </c>
      <c r="L138" s="9"/>
      <c r="M138" s="30"/>
    </row>
    <row r="139" spans="2:13" ht="15" customHeight="1">
      <c r="B139" s="19">
        <v>4</v>
      </c>
      <c r="C139" s="11" t="s">
        <v>379</v>
      </c>
      <c r="D139" s="11" t="s">
        <v>247</v>
      </c>
      <c r="E139" s="35" t="s">
        <v>232</v>
      </c>
      <c r="F139" s="35" t="s">
        <v>238</v>
      </c>
      <c r="G139" s="35" t="s">
        <v>790</v>
      </c>
      <c r="H139" s="53">
        <v>3.5</v>
      </c>
      <c r="I139" s="36">
        <v>42</v>
      </c>
      <c r="J139" s="56" t="s">
        <v>767</v>
      </c>
      <c r="K139" s="55">
        <v>3</v>
      </c>
      <c r="L139" s="9">
        <v>6</v>
      </c>
      <c r="M139" s="30">
        <v>0.5</v>
      </c>
    </row>
    <row r="140" spans="2:13" ht="15" customHeight="1">
      <c r="B140" s="19">
        <v>4</v>
      </c>
      <c r="C140" s="11" t="s">
        <v>379</v>
      </c>
      <c r="D140" s="11" t="s">
        <v>461</v>
      </c>
      <c r="E140" s="35" t="s">
        <v>230</v>
      </c>
      <c r="F140" s="35" t="s">
        <v>238</v>
      </c>
      <c r="G140" s="35" t="s">
        <v>790</v>
      </c>
      <c r="H140" s="53">
        <v>3.5</v>
      </c>
      <c r="I140" s="36">
        <v>42</v>
      </c>
      <c r="J140" s="56" t="s">
        <v>767</v>
      </c>
      <c r="K140" s="55">
        <v>3</v>
      </c>
      <c r="L140" s="9">
        <v>6</v>
      </c>
      <c r="M140" s="30">
        <v>0.5</v>
      </c>
    </row>
    <row r="141" spans="2:13" ht="15" customHeight="1">
      <c r="B141" s="19">
        <v>4</v>
      </c>
      <c r="C141" s="11" t="s">
        <v>379</v>
      </c>
      <c r="D141" s="11" t="s">
        <v>450</v>
      </c>
      <c r="E141" s="35" t="s">
        <v>231</v>
      </c>
      <c r="F141" s="35" t="s">
        <v>238</v>
      </c>
      <c r="G141" s="35" t="s">
        <v>790</v>
      </c>
      <c r="H141" s="53">
        <v>1</v>
      </c>
      <c r="I141" s="36">
        <v>12</v>
      </c>
      <c r="J141" s="56" t="s">
        <v>767</v>
      </c>
      <c r="K141" s="55">
        <v>1</v>
      </c>
      <c r="L141" s="9"/>
      <c r="M141" s="30"/>
    </row>
    <row r="142" spans="2:13" ht="15" customHeight="1">
      <c r="B142" s="19">
        <v>4</v>
      </c>
      <c r="C142" s="11" t="s">
        <v>454</v>
      </c>
      <c r="D142" s="11" t="s">
        <v>453</v>
      </c>
      <c r="E142" s="35" t="s">
        <v>230</v>
      </c>
      <c r="F142" s="35" t="s">
        <v>239</v>
      </c>
      <c r="G142" s="35" t="s">
        <v>789</v>
      </c>
      <c r="H142" s="53">
        <v>2.5</v>
      </c>
      <c r="I142" s="36">
        <v>30</v>
      </c>
      <c r="J142" s="54" t="s">
        <v>763</v>
      </c>
      <c r="K142" s="55">
        <v>2</v>
      </c>
      <c r="L142" s="9">
        <v>6</v>
      </c>
      <c r="M142" s="30"/>
    </row>
    <row r="143" spans="2:13" ht="15" customHeight="1">
      <c r="B143" s="19">
        <v>4</v>
      </c>
      <c r="C143" s="11" t="s">
        <v>454</v>
      </c>
      <c r="D143" s="11" t="s">
        <v>453</v>
      </c>
      <c r="E143" s="35" t="s">
        <v>231</v>
      </c>
      <c r="F143" s="35" t="s">
        <v>239</v>
      </c>
      <c r="G143" s="35" t="s">
        <v>789</v>
      </c>
      <c r="H143" s="53">
        <v>3</v>
      </c>
      <c r="I143" s="36">
        <v>36</v>
      </c>
      <c r="J143" s="54" t="s">
        <v>763</v>
      </c>
      <c r="K143" s="55">
        <v>3</v>
      </c>
      <c r="L143" s="9"/>
      <c r="M143" s="30"/>
    </row>
    <row r="144" spans="2:13" ht="15" customHeight="1">
      <c r="B144" s="19">
        <v>4</v>
      </c>
      <c r="C144" s="11" t="s">
        <v>454</v>
      </c>
      <c r="D144" s="11" t="s">
        <v>453</v>
      </c>
      <c r="E144" s="35" t="s">
        <v>230</v>
      </c>
      <c r="F144" s="35" t="s">
        <v>239</v>
      </c>
      <c r="G144" s="35" t="s">
        <v>790</v>
      </c>
      <c r="H144" s="53">
        <v>4.5</v>
      </c>
      <c r="I144" s="36">
        <v>54</v>
      </c>
      <c r="J144" s="56" t="s">
        <v>767</v>
      </c>
      <c r="K144" s="55">
        <v>4</v>
      </c>
      <c r="L144" s="9">
        <v>6</v>
      </c>
      <c r="M144" s="30">
        <v>0.5</v>
      </c>
    </row>
    <row r="145" spans="2:13" ht="15" customHeight="1">
      <c r="B145" s="19">
        <v>4</v>
      </c>
      <c r="C145" s="11" t="s">
        <v>468</v>
      </c>
      <c r="D145" s="11" t="s">
        <v>461</v>
      </c>
      <c r="E145" s="35" t="s">
        <v>230</v>
      </c>
      <c r="F145" s="35" t="s">
        <v>238</v>
      </c>
      <c r="G145" s="35" t="s">
        <v>790</v>
      </c>
      <c r="H145" s="53">
        <v>4.5</v>
      </c>
      <c r="I145" s="36">
        <v>54</v>
      </c>
      <c r="J145" s="56" t="s">
        <v>767</v>
      </c>
      <c r="K145" s="55">
        <v>4</v>
      </c>
      <c r="L145" s="9">
        <v>6</v>
      </c>
      <c r="M145" s="30">
        <v>0.5</v>
      </c>
    </row>
    <row r="146" spans="2:13" ht="15" customHeight="1">
      <c r="B146" s="19">
        <v>5</v>
      </c>
      <c r="C146" s="11" t="s">
        <v>378</v>
      </c>
      <c r="D146" s="11" t="s">
        <v>247</v>
      </c>
      <c r="E146" s="35" t="s">
        <v>230</v>
      </c>
      <c r="F146" s="35" t="s">
        <v>238</v>
      </c>
      <c r="G146" s="35" t="s">
        <v>789</v>
      </c>
      <c r="H146" s="53">
        <v>0</v>
      </c>
      <c r="I146" s="36">
        <v>0</v>
      </c>
      <c r="J146" s="56" t="s">
        <v>767</v>
      </c>
      <c r="K146" s="55">
        <v>0</v>
      </c>
      <c r="L146" s="9"/>
      <c r="M146" s="30"/>
    </row>
    <row r="147" spans="2:13" ht="15" customHeight="1">
      <c r="B147" s="19">
        <v>5</v>
      </c>
      <c r="C147" s="11" t="s">
        <v>378</v>
      </c>
      <c r="D147" s="11" t="s">
        <v>453</v>
      </c>
      <c r="E147" s="35" t="s">
        <v>230</v>
      </c>
      <c r="F147" s="35" t="s">
        <v>239</v>
      </c>
      <c r="G147" s="35" t="s">
        <v>789</v>
      </c>
      <c r="H147" s="53">
        <v>5</v>
      </c>
      <c r="I147" s="36">
        <v>60</v>
      </c>
      <c r="J147" s="54" t="s">
        <v>763</v>
      </c>
      <c r="K147" s="55">
        <v>5</v>
      </c>
      <c r="L147" s="9"/>
      <c r="M147" s="30"/>
    </row>
    <row r="148" spans="2:13" ht="15" customHeight="1">
      <c r="B148" s="19">
        <v>5</v>
      </c>
      <c r="C148" s="11" t="s">
        <v>378</v>
      </c>
      <c r="D148" s="11" t="s">
        <v>453</v>
      </c>
      <c r="E148" s="35" t="s">
        <v>231</v>
      </c>
      <c r="F148" s="35" t="s">
        <v>239</v>
      </c>
      <c r="G148" s="35" t="s">
        <v>789</v>
      </c>
      <c r="H148" s="53">
        <v>6.5</v>
      </c>
      <c r="I148" s="36">
        <v>78</v>
      </c>
      <c r="J148" s="54" t="s">
        <v>763</v>
      </c>
      <c r="K148" s="55">
        <v>6</v>
      </c>
      <c r="L148" s="9">
        <v>6</v>
      </c>
      <c r="M148" s="30"/>
    </row>
    <row r="149" spans="2:13" ht="15" customHeight="1">
      <c r="B149" s="19">
        <v>5</v>
      </c>
      <c r="C149" s="11" t="s">
        <v>378</v>
      </c>
      <c r="D149" s="11" t="s">
        <v>453</v>
      </c>
      <c r="E149" s="35" t="s">
        <v>231</v>
      </c>
      <c r="F149" s="35" t="s">
        <v>238</v>
      </c>
      <c r="G149" s="35" t="s">
        <v>789</v>
      </c>
      <c r="H149" s="53">
        <v>2.5</v>
      </c>
      <c r="I149" s="36">
        <v>30</v>
      </c>
      <c r="J149" s="54" t="s">
        <v>763</v>
      </c>
      <c r="K149" s="55">
        <v>2</v>
      </c>
      <c r="L149" s="9">
        <v>6</v>
      </c>
      <c r="M149" s="30"/>
    </row>
    <row r="150" spans="2:13" ht="15" customHeight="1">
      <c r="B150" s="19">
        <v>5</v>
      </c>
      <c r="C150" s="11" t="s">
        <v>378</v>
      </c>
      <c r="D150" s="11" t="s">
        <v>461</v>
      </c>
      <c r="E150" s="35" t="s">
        <v>229</v>
      </c>
      <c r="F150" s="35" t="s">
        <v>239</v>
      </c>
      <c r="G150" s="35" t="s">
        <v>789</v>
      </c>
      <c r="H150" s="53">
        <v>0</v>
      </c>
      <c r="I150" s="36">
        <v>0</v>
      </c>
      <c r="J150" s="56" t="s">
        <v>767</v>
      </c>
      <c r="K150" s="55">
        <v>0</v>
      </c>
      <c r="L150" s="9"/>
      <c r="M150" s="30"/>
    </row>
    <row r="151" spans="2:13" ht="15" customHeight="1">
      <c r="B151" s="19">
        <v>5</v>
      </c>
      <c r="C151" s="11" t="s">
        <v>378</v>
      </c>
      <c r="D151" s="11" t="s">
        <v>463</v>
      </c>
      <c r="E151" s="35" t="s">
        <v>231</v>
      </c>
      <c r="F151" s="35" t="s">
        <v>238</v>
      </c>
      <c r="G151" s="35" t="s">
        <v>789</v>
      </c>
      <c r="H151" s="53">
        <v>0</v>
      </c>
      <c r="I151" s="36">
        <v>0</v>
      </c>
      <c r="J151" s="56" t="s">
        <v>767</v>
      </c>
      <c r="K151" s="55">
        <v>0</v>
      </c>
      <c r="L151" s="9"/>
      <c r="M151" s="30"/>
    </row>
    <row r="152" spans="2:13" ht="15" customHeight="1">
      <c r="B152" s="19">
        <v>5</v>
      </c>
      <c r="C152" s="11" t="s">
        <v>378</v>
      </c>
      <c r="D152" s="11" t="s">
        <v>459</v>
      </c>
      <c r="E152" s="35" t="s">
        <v>230</v>
      </c>
      <c r="F152" s="35" t="s">
        <v>239</v>
      </c>
      <c r="G152" s="35" t="s">
        <v>789</v>
      </c>
      <c r="H152" s="53">
        <v>4</v>
      </c>
      <c r="I152" s="36">
        <v>48</v>
      </c>
      <c r="J152" s="54" t="s">
        <v>763</v>
      </c>
      <c r="K152" s="55">
        <v>4</v>
      </c>
      <c r="L152" s="9"/>
      <c r="M152" s="30"/>
    </row>
    <row r="153" spans="2:13" ht="15" customHeight="1">
      <c r="B153" s="19">
        <v>5</v>
      </c>
      <c r="C153" s="11" t="s">
        <v>378</v>
      </c>
      <c r="D153" s="11" t="s">
        <v>453</v>
      </c>
      <c r="E153" s="35" t="s">
        <v>229</v>
      </c>
      <c r="F153" s="35" t="s">
        <v>239</v>
      </c>
      <c r="G153" s="35" t="s">
        <v>790</v>
      </c>
      <c r="H153" s="53">
        <v>0.5</v>
      </c>
      <c r="I153" s="36">
        <v>6</v>
      </c>
      <c r="J153" s="56" t="s">
        <v>767</v>
      </c>
      <c r="K153" s="55">
        <v>0</v>
      </c>
      <c r="L153" s="9">
        <v>6</v>
      </c>
      <c r="M153" s="30">
        <v>0.5</v>
      </c>
    </row>
    <row r="154" spans="2:13" ht="15" customHeight="1">
      <c r="B154" s="19">
        <v>5</v>
      </c>
      <c r="C154" s="11" t="s">
        <v>378</v>
      </c>
      <c r="D154" s="11" t="s">
        <v>453</v>
      </c>
      <c r="E154" s="35" t="s">
        <v>230</v>
      </c>
      <c r="F154" s="35" t="s">
        <v>238</v>
      </c>
      <c r="G154" s="35" t="s">
        <v>790</v>
      </c>
      <c r="H154" s="53">
        <v>0.5</v>
      </c>
      <c r="I154" s="36">
        <v>6</v>
      </c>
      <c r="J154" s="56" t="s">
        <v>767</v>
      </c>
      <c r="K154" s="55">
        <v>0</v>
      </c>
      <c r="L154" s="9">
        <v>6</v>
      </c>
      <c r="M154" s="30">
        <v>0.5</v>
      </c>
    </row>
    <row r="155" spans="2:13" ht="15" customHeight="1">
      <c r="B155" s="19">
        <v>5</v>
      </c>
      <c r="C155" s="11" t="s">
        <v>378</v>
      </c>
      <c r="D155" s="11" t="s">
        <v>461</v>
      </c>
      <c r="E155" s="35" t="s">
        <v>229</v>
      </c>
      <c r="F155" s="35" t="s">
        <v>239</v>
      </c>
      <c r="G155" s="35" t="s">
        <v>790</v>
      </c>
      <c r="H155" s="53">
        <v>0.5</v>
      </c>
      <c r="I155" s="36">
        <v>6</v>
      </c>
      <c r="J155" s="56" t="s">
        <v>767</v>
      </c>
      <c r="K155" s="55">
        <v>0</v>
      </c>
      <c r="L155" s="9">
        <v>6</v>
      </c>
      <c r="M155" s="30">
        <v>0.5</v>
      </c>
    </row>
    <row r="156" spans="2:13" ht="15" customHeight="1">
      <c r="B156" s="19">
        <v>5</v>
      </c>
      <c r="C156" s="11" t="s">
        <v>378</v>
      </c>
      <c r="D156" s="11" t="s">
        <v>461</v>
      </c>
      <c r="E156" s="35" t="s">
        <v>230</v>
      </c>
      <c r="F156" s="35" t="s">
        <v>238</v>
      </c>
      <c r="G156" s="35" t="s">
        <v>790</v>
      </c>
      <c r="H156" s="53">
        <v>0.5</v>
      </c>
      <c r="I156" s="36">
        <v>6</v>
      </c>
      <c r="J156" s="56" t="s">
        <v>767</v>
      </c>
      <c r="K156" s="55">
        <v>0</v>
      </c>
      <c r="L156" s="9">
        <v>6</v>
      </c>
      <c r="M156" s="30">
        <v>0.5</v>
      </c>
    </row>
    <row r="157" spans="2:13" ht="15" customHeight="1">
      <c r="B157" s="19">
        <v>5</v>
      </c>
      <c r="C157" s="11" t="s">
        <v>378</v>
      </c>
      <c r="D157" s="11" t="s">
        <v>463</v>
      </c>
      <c r="E157" s="35" t="s">
        <v>230</v>
      </c>
      <c r="F157" s="35" t="s">
        <v>239</v>
      </c>
      <c r="G157" s="35" t="s">
        <v>790</v>
      </c>
      <c r="H157" s="53">
        <v>0.5</v>
      </c>
      <c r="I157" s="36">
        <v>6</v>
      </c>
      <c r="J157" s="56" t="s">
        <v>767</v>
      </c>
      <c r="K157" s="55">
        <v>0</v>
      </c>
      <c r="L157" s="9">
        <v>6</v>
      </c>
      <c r="M157" s="30">
        <v>0.5</v>
      </c>
    </row>
    <row r="158" spans="2:13" ht="15" customHeight="1">
      <c r="B158" s="19">
        <v>5</v>
      </c>
      <c r="C158" s="11" t="s">
        <v>378</v>
      </c>
      <c r="D158" s="11" t="s">
        <v>463</v>
      </c>
      <c r="E158" s="35" t="s">
        <v>232</v>
      </c>
      <c r="F158" s="35" t="s">
        <v>238</v>
      </c>
      <c r="G158" s="35" t="s">
        <v>790</v>
      </c>
      <c r="H158" s="53">
        <v>1</v>
      </c>
      <c r="I158" s="36">
        <v>12</v>
      </c>
      <c r="J158" s="56" t="s">
        <v>767</v>
      </c>
      <c r="K158" s="55">
        <v>1</v>
      </c>
      <c r="L158" s="9"/>
      <c r="M158" s="30"/>
    </row>
    <row r="159" spans="2:13" ht="15" customHeight="1">
      <c r="B159" s="19">
        <v>5</v>
      </c>
      <c r="C159" s="11" t="s">
        <v>378</v>
      </c>
      <c r="D159" s="11" t="s">
        <v>450</v>
      </c>
      <c r="E159" s="35" t="s">
        <v>231</v>
      </c>
      <c r="F159" s="35" t="s">
        <v>238</v>
      </c>
      <c r="G159" s="35" t="s">
        <v>790</v>
      </c>
      <c r="H159" s="53">
        <v>0.5</v>
      </c>
      <c r="I159" s="36">
        <v>6</v>
      </c>
      <c r="J159" s="56" t="s">
        <v>767</v>
      </c>
      <c r="K159" s="55">
        <v>0</v>
      </c>
      <c r="L159" s="9">
        <v>6</v>
      </c>
      <c r="M159" s="30">
        <v>0.5</v>
      </c>
    </row>
    <row r="160" spans="2:13" ht="15" customHeight="1">
      <c r="B160" s="19">
        <v>5</v>
      </c>
      <c r="C160" s="11" t="s">
        <v>378</v>
      </c>
      <c r="D160" s="11" t="s">
        <v>450</v>
      </c>
      <c r="E160" s="35" t="s">
        <v>232</v>
      </c>
      <c r="F160" s="35" t="s">
        <v>238</v>
      </c>
      <c r="G160" s="35" t="s">
        <v>790</v>
      </c>
      <c r="H160" s="53">
        <v>1</v>
      </c>
      <c r="I160" s="36">
        <v>12</v>
      </c>
      <c r="J160" s="56" t="s">
        <v>767</v>
      </c>
      <c r="K160" s="55">
        <v>1</v>
      </c>
      <c r="L160" s="9"/>
      <c r="M160" s="30"/>
    </row>
    <row r="161" spans="2:13" ht="15" customHeight="1">
      <c r="B161" s="19">
        <v>5</v>
      </c>
      <c r="C161" s="11" t="s">
        <v>378</v>
      </c>
      <c r="D161" s="11" t="s">
        <v>459</v>
      </c>
      <c r="E161" s="35" t="s">
        <v>230</v>
      </c>
      <c r="F161" s="35" t="s">
        <v>239</v>
      </c>
      <c r="G161" s="35" t="s">
        <v>790</v>
      </c>
      <c r="H161" s="53">
        <v>0.5</v>
      </c>
      <c r="I161" s="36">
        <v>6</v>
      </c>
      <c r="J161" s="56" t="s">
        <v>767</v>
      </c>
      <c r="K161" s="55">
        <v>0</v>
      </c>
      <c r="L161" s="9">
        <v>6</v>
      </c>
      <c r="M161" s="30">
        <v>0.5</v>
      </c>
    </row>
    <row r="162" spans="2:13" ht="15" customHeight="1">
      <c r="B162" s="19">
        <v>5</v>
      </c>
      <c r="C162" s="11" t="s">
        <v>378</v>
      </c>
      <c r="D162" s="11" t="s">
        <v>459</v>
      </c>
      <c r="E162" s="35" t="s">
        <v>232</v>
      </c>
      <c r="F162" s="35" t="s">
        <v>238</v>
      </c>
      <c r="G162" s="35" t="s">
        <v>790</v>
      </c>
      <c r="H162" s="53">
        <v>0.5</v>
      </c>
      <c r="I162" s="36">
        <v>6</v>
      </c>
      <c r="J162" s="56" t="s">
        <v>767</v>
      </c>
      <c r="K162" s="55">
        <v>0</v>
      </c>
      <c r="L162" s="9">
        <v>6</v>
      </c>
      <c r="M162" s="30">
        <v>0.5</v>
      </c>
    </row>
    <row r="163" spans="2:13" ht="15" customHeight="1">
      <c r="B163" s="19">
        <v>5</v>
      </c>
      <c r="C163" s="11" t="s">
        <v>379</v>
      </c>
      <c r="D163" s="11" t="s">
        <v>247</v>
      </c>
      <c r="E163" s="35" t="s">
        <v>230</v>
      </c>
      <c r="F163" s="35" t="s">
        <v>238</v>
      </c>
      <c r="G163" s="35" t="s">
        <v>789</v>
      </c>
      <c r="H163" s="53">
        <v>4</v>
      </c>
      <c r="I163" s="36">
        <v>48</v>
      </c>
      <c r="J163" s="54" t="s">
        <v>763</v>
      </c>
      <c r="K163" s="55">
        <v>4</v>
      </c>
      <c r="L163" s="9"/>
      <c r="M163" s="30"/>
    </row>
    <row r="164" spans="2:13" ht="15" customHeight="1">
      <c r="B164" s="19">
        <v>5</v>
      </c>
      <c r="C164" s="11" t="s">
        <v>379</v>
      </c>
      <c r="D164" s="11" t="s">
        <v>450</v>
      </c>
      <c r="E164" s="35" t="s">
        <v>231</v>
      </c>
      <c r="F164" s="35" t="s">
        <v>238</v>
      </c>
      <c r="G164" s="35" t="s">
        <v>789</v>
      </c>
      <c r="H164" s="53">
        <v>5</v>
      </c>
      <c r="I164" s="36">
        <v>60</v>
      </c>
      <c r="J164" s="56" t="s">
        <v>767</v>
      </c>
      <c r="K164" s="55">
        <v>5</v>
      </c>
      <c r="L164" s="9"/>
      <c r="M164" s="30"/>
    </row>
    <row r="165" spans="2:13" ht="15" customHeight="1">
      <c r="B165" s="19">
        <v>5</v>
      </c>
      <c r="C165" s="11" t="s">
        <v>379</v>
      </c>
      <c r="D165" s="11" t="s">
        <v>247</v>
      </c>
      <c r="E165" s="35" t="s">
        <v>231</v>
      </c>
      <c r="F165" s="35" t="s">
        <v>238</v>
      </c>
      <c r="G165" s="35" t="s">
        <v>790</v>
      </c>
      <c r="H165" s="53">
        <v>2</v>
      </c>
      <c r="I165" s="36">
        <v>24</v>
      </c>
      <c r="J165" s="56" t="s">
        <v>767</v>
      </c>
      <c r="K165" s="55">
        <v>2</v>
      </c>
      <c r="L165" s="9"/>
      <c r="M165" s="30"/>
    </row>
    <row r="166" spans="2:13" ht="15" customHeight="1">
      <c r="B166" s="19">
        <v>5</v>
      </c>
      <c r="C166" s="11" t="s">
        <v>379</v>
      </c>
      <c r="D166" s="11" t="s">
        <v>247</v>
      </c>
      <c r="E166" s="35" t="s">
        <v>232</v>
      </c>
      <c r="F166" s="35" t="s">
        <v>238</v>
      </c>
      <c r="G166" s="35" t="s">
        <v>790</v>
      </c>
      <c r="H166" s="53">
        <v>3</v>
      </c>
      <c r="I166" s="36">
        <v>36</v>
      </c>
      <c r="J166" s="56" t="s">
        <v>767</v>
      </c>
      <c r="K166" s="55">
        <v>3</v>
      </c>
      <c r="L166" s="9"/>
      <c r="M166" s="30"/>
    </row>
    <row r="167" spans="2:13" ht="15" customHeight="1">
      <c r="B167" s="19">
        <v>5</v>
      </c>
      <c r="C167" s="11" t="s">
        <v>379</v>
      </c>
      <c r="D167" s="11" t="s">
        <v>461</v>
      </c>
      <c r="E167" s="35" t="s">
        <v>230</v>
      </c>
      <c r="F167" s="35" t="s">
        <v>238</v>
      </c>
      <c r="G167" s="35" t="s">
        <v>790</v>
      </c>
      <c r="H167" s="53">
        <v>1</v>
      </c>
      <c r="I167" s="36">
        <v>12</v>
      </c>
      <c r="J167" s="56" t="s">
        <v>767</v>
      </c>
      <c r="K167" s="55">
        <v>1</v>
      </c>
      <c r="L167" s="9"/>
      <c r="M167" s="30"/>
    </row>
    <row r="168" spans="2:13" ht="15" customHeight="1">
      <c r="B168" s="19">
        <v>5</v>
      </c>
      <c r="C168" s="11" t="s">
        <v>379</v>
      </c>
      <c r="D168" s="11" t="s">
        <v>450</v>
      </c>
      <c r="E168" s="35" t="s">
        <v>231</v>
      </c>
      <c r="F168" s="35" t="s">
        <v>238</v>
      </c>
      <c r="G168" s="35" t="s">
        <v>790</v>
      </c>
      <c r="H168" s="53">
        <v>3</v>
      </c>
      <c r="I168" s="36">
        <v>36</v>
      </c>
      <c r="J168" s="56" t="s">
        <v>767</v>
      </c>
      <c r="K168" s="55">
        <v>3</v>
      </c>
      <c r="L168" s="9"/>
      <c r="M168" s="30"/>
    </row>
    <row r="169" spans="2:13" ht="15" customHeight="1">
      <c r="B169" s="19">
        <v>5</v>
      </c>
      <c r="C169" s="11" t="s">
        <v>454</v>
      </c>
      <c r="D169" s="11" t="s">
        <v>453</v>
      </c>
      <c r="E169" s="35" t="s">
        <v>230</v>
      </c>
      <c r="F169" s="35" t="s">
        <v>239</v>
      </c>
      <c r="G169" s="35" t="s">
        <v>789</v>
      </c>
      <c r="H169" s="53">
        <v>2</v>
      </c>
      <c r="I169" s="36">
        <v>24</v>
      </c>
      <c r="J169" s="54" t="s">
        <v>763</v>
      </c>
      <c r="K169" s="55">
        <v>2</v>
      </c>
      <c r="L169" s="9"/>
      <c r="M169" s="30"/>
    </row>
    <row r="170" spans="2:13" ht="15" customHeight="1">
      <c r="B170" s="19">
        <v>5</v>
      </c>
      <c r="C170" s="11" t="s">
        <v>454</v>
      </c>
      <c r="D170" s="11" t="s">
        <v>453</v>
      </c>
      <c r="E170" s="35" t="s">
        <v>231</v>
      </c>
      <c r="F170" s="35" t="s">
        <v>239</v>
      </c>
      <c r="G170" s="35" t="s">
        <v>789</v>
      </c>
      <c r="H170" s="53">
        <v>3</v>
      </c>
      <c r="I170" s="36">
        <v>36</v>
      </c>
      <c r="J170" s="54" t="s">
        <v>763</v>
      </c>
      <c r="K170" s="55">
        <v>3</v>
      </c>
      <c r="L170" s="9"/>
      <c r="M170" s="30"/>
    </row>
    <row r="171" spans="2:13" ht="15" customHeight="1">
      <c r="B171" s="19">
        <v>5</v>
      </c>
      <c r="C171" s="11" t="s">
        <v>454</v>
      </c>
      <c r="D171" s="11" t="s">
        <v>453</v>
      </c>
      <c r="E171" s="35" t="s">
        <v>230</v>
      </c>
      <c r="F171" s="35" t="s">
        <v>239</v>
      </c>
      <c r="G171" s="35" t="s">
        <v>790</v>
      </c>
      <c r="H171" s="53">
        <v>4</v>
      </c>
      <c r="I171" s="36">
        <v>48</v>
      </c>
      <c r="J171" s="56" t="s">
        <v>767</v>
      </c>
      <c r="K171" s="55">
        <v>4</v>
      </c>
      <c r="L171" s="9"/>
      <c r="M171" s="30"/>
    </row>
    <row r="172" spans="2:13" ht="15" customHeight="1">
      <c r="B172" s="19">
        <v>5</v>
      </c>
      <c r="C172" s="11" t="s">
        <v>468</v>
      </c>
      <c r="D172" s="11" t="s">
        <v>461</v>
      </c>
      <c r="E172" s="35" t="s">
        <v>230</v>
      </c>
      <c r="F172" s="35" t="s">
        <v>238</v>
      </c>
      <c r="G172" s="35" t="s">
        <v>790</v>
      </c>
      <c r="H172" s="53">
        <v>3.5</v>
      </c>
      <c r="I172" s="36">
        <v>42</v>
      </c>
      <c r="J172" s="56" t="s">
        <v>767</v>
      </c>
      <c r="K172" s="55">
        <v>3</v>
      </c>
      <c r="L172" s="9">
        <v>6</v>
      </c>
      <c r="M172" s="30">
        <v>0.5</v>
      </c>
    </row>
    <row r="173" spans="2:13" ht="15" customHeight="1">
      <c r="B173" s="14" t="s">
        <v>420</v>
      </c>
      <c r="H173" s="15">
        <f>SUM(H28:H172)</f>
        <v>371.5</v>
      </c>
      <c r="I173" s="37">
        <f>SUM(I28:I172)</f>
        <v>4458</v>
      </c>
      <c r="K173" s="21">
        <f>SUM(K28:K172)</f>
        <v>332</v>
      </c>
      <c r="L173" s="15">
        <f>SUM(L28:L172)</f>
        <v>474</v>
      </c>
    </row>
    <row r="175" spans="2:13" ht="30" customHeight="1">
      <c r="B175" s="79" t="s">
        <v>791</v>
      </c>
      <c r="C175" s="79"/>
      <c r="D175" s="79"/>
      <c r="E175" s="79"/>
      <c r="F175" s="79"/>
      <c r="G175" s="79"/>
      <c r="H175" s="79"/>
      <c r="I175" s="79"/>
      <c r="J175" s="79"/>
      <c r="K175" s="79"/>
      <c r="L175" s="79"/>
    </row>
  </sheetData>
  <mergeCells count="15">
    <mergeCell ref="B16:L16"/>
    <mergeCell ref="A18:L18"/>
    <mergeCell ref="A26:L26"/>
    <mergeCell ref="B175:L175"/>
    <mergeCell ref="C14:F14"/>
    <mergeCell ref="G14:I14"/>
    <mergeCell ref="J14:L14"/>
    <mergeCell ref="C15:F15"/>
    <mergeCell ref="G15:I15"/>
    <mergeCell ref="J15:L15"/>
    <mergeCell ref="A1:L1"/>
    <mergeCell ref="A2:L2"/>
    <mergeCell ref="A4:L4"/>
    <mergeCell ref="A11:L11"/>
    <mergeCell ref="B12:L12"/>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37"/>
  <sheetViews>
    <sheetView zoomScaleNormal="100" workbookViewId="0"/>
  </sheetViews>
  <sheetFormatPr defaultColWidth="8.6328125" defaultRowHeight="14.5"/>
  <cols>
    <col min="1" max="1" width="2.453125" customWidth="1"/>
    <col min="2" max="2" width="40" customWidth="1"/>
    <col min="3" max="8" width="12" customWidth="1"/>
    <col min="9" max="9" width="4" customWidth="1"/>
    <col min="10" max="10" width="50" customWidth="1"/>
  </cols>
  <sheetData>
    <row r="1" spans="1:12" ht="25.5" customHeight="1">
      <c r="A1" s="74" t="s">
        <v>792</v>
      </c>
      <c r="B1" s="74"/>
      <c r="C1" s="74"/>
      <c r="D1" s="74"/>
      <c r="E1" s="74"/>
      <c r="F1" s="74"/>
      <c r="G1" s="74"/>
      <c r="H1" s="74"/>
      <c r="I1" s="74"/>
      <c r="J1" s="74"/>
      <c r="K1" s="74"/>
      <c r="L1" s="74"/>
    </row>
    <row r="2" spans="1:12" ht="15" customHeight="1">
      <c r="A2" s="75" t="s">
        <v>793</v>
      </c>
      <c r="B2" s="75"/>
      <c r="C2" s="75"/>
      <c r="D2" s="75"/>
      <c r="E2" s="75"/>
      <c r="F2" s="75"/>
      <c r="G2" s="75"/>
      <c r="H2" s="75"/>
      <c r="I2" s="75"/>
      <c r="J2" s="75"/>
      <c r="K2" s="75"/>
      <c r="L2" s="75"/>
    </row>
    <row r="4" spans="1:12" ht="15" customHeight="1">
      <c r="A4" s="77" t="s">
        <v>794</v>
      </c>
      <c r="B4" s="77"/>
      <c r="C4" s="77"/>
      <c r="D4" s="77"/>
      <c r="E4" s="77"/>
      <c r="F4" s="77"/>
      <c r="G4" s="77"/>
      <c r="H4" s="77"/>
      <c r="I4" s="77"/>
      <c r="J4" s="77"/>
      <c r="K4" s="77"/>
    </row>
    <row r="5" spans="1:12" ht="27.75" customHeight="1">
      <c r="B5" s="3" t="s">
        <v>795</v>
      </c>
    </row>
    <row r="7" spans="1:12" ht="15" customHeight="1">
      <c r="A7" s="77" t="s">
        <v>796</v>
      </c>
      <c r="B7" s="77"/>
      <c r="C7" s="77"/>
      <c r="D7" s="77"/>
      <c r="E7" s="77"/>
      <c r="F7" s="77"/>
      <c r="G7" s="77"/>
      <c r="H7" s="77"/>
      <c r="I7" s="77"/>
      <c r="J7" s="77"/>
      <c r="K7" s="77"/>
    </row>
    <row r="8" spans="1:12" ht="15" customHeight="1">
      <c r="B8" s="5" t="s">
        <v>797</v>
      </c>
      <c r="C8" s="5" t="s">
        <v>233</v>
      </c>
      <c r="D8" s="5" t="s">
        <v>596</v>
      </c>
    </row>
    <row r="9" spans="1:12" ht="15" customHeight="1">
      <c r="B9" s="2" t="s">
        <v>798</v>
      </c>
      <c r="C9" s="48">
        <f>IFERROR((SUMIFS('Seat Ledger'!$N$5:$N$235,'Seat Ledger'!$B$5:$B$235,5,'Seat Ledger'!$I$5:$I$235,"ON",'Seat Ledger'!$H$5:$H$235,"E1") + SUMIFS('Seat Ledger'!$N$5:$N$235,'Seat Ledger'!$B$5:$B$235,5,'Seat Ledger'!$I$5:$I$235,"ON",'Seat Ledger'!$H$5:$H$235,"E2") + SUMIFS('Seat Ledger'!$N$5:$N$235,'Seat Ledger'!$B$5:$B$235,5,'Seat Ledger'!$I$5:$I$235,"ON",'Seat Ledger'!$H$5:$H$235,"E3"))/(SUMIFS('Seat Ledger'!$M$5:$M$235,'Seat Ledger'!$B$5:$B$235,5,'Seat Ledger'!$I$5:$I$235,"ON",'Seat Ledger'!$H$5:$H$235,"E1") + SUMIFS('Seat Ledger'!$M$5:$M$235,'Seat Ledger'!$B$5:$B$235,5,'Seat Ledger'!$I$5:$I$235,"ON",'Seat Ledger'!$H$5:$H$235,"E2") + SUMIFS('Seat Ledger'!$M$5:$M$235,'Seat Ledger'!$B$5:$B$235,5,'Seat Ledger'!$I$5:$I$235,"ON",'Seat Ledger'!$H$5:$H$235,"E3")),0)</f>
        <v>1.3500000000000003</v>
      </c>
      <c r="D9" s="48">
        <f>IFERROR((SUMIFS('Seat Ledger'!$N$5:$N$235,'Seat Ledger'!$B$5:$B$235,5,'Seat Ledger'!$I$5:$I$235,"OFF",'Seat Ledger'!$H$5:$H$235,"E1") + SUMIFS('Seat Ledger'!$N$5:$N$235,'Seat Ledger'!$B$5:$B$235,5,'Seat Ledger'!$I$5:$I$235,"OFF",'Seat Ledger'!$H$5:$H$235,"E2") + SUMIFS('Seat Ledger'!$N$5:$N$235,'Seat Ledger'!$B$5:$B$235,5,'Seat Ledger'!$I$5:$I$235,"OFF",'Seat Ledger'!$H$5:$H$235,"E3"))/(SUMIFS('Seat Ledger'!$M$5:$M$235,'Seat Ledger'!$B$5:$B$235,5,'Seat Ledger'!$I$5:$I$235,"OFF",'Seat Ledger'!$H$5:$H$235,"E1") + SUMIFS('Seat Ledger'!$M$5:$M$235,'Seat Ledger'!$B$5:$B$235,5,'Seat Ledger'!$I$5:$I$235,"OFF",'Seat Ledger'!$H$5:$H$235,"E2") + SUMIFS('Seat Ledger'!$M$5:$M$235,'Seat Ledger'!$B$5:$B$235,5,'Seat Ledger'!$I$5:$I$235,"OFF",'Seat Ledger'!$H$5:$H$235,"E3")),0)</f>
        <v>0.41294117647058826</v>
      </c>
    </row>
    <row r="10" spans="1:12" ht="15" customHeight="1">
      <c r="B10" s="2" t="s">
        <v>799</v>
      </c>
      <c r="C10" s="48">
        <f>IFERROR((SUMIFS('Seat Ledger'!$N$5:$N$235,'Seat Ledger'!$B$5:$B$235,5,'Seat Ledger'!$I$5:$I$235,"ON",'Seat Ledger'!$H$5:$H$235,"E4") + SUMIFS('Seat Ledger'!$N$5:$N$235,'Seat Ledger'!$B$5:$B$235,5,'Seat Ledger'!$I$5:$I$235,"ON",'Seat Ledger'!$H$5:$H$235,"E5"))/(SUMIFS('Seat Ledger'!$M$5:$M$235,'Seat Ledger'!$B$5:$B$235,5,'Seat Ledger'!$I$5:$I$235,"ON",'Seat Ledger'!$H$5:$H$235,"E4") + SUMIFS('Seat Ledger'!$M$5:$M$235,'Seat Ledger'!$B$5:$B$235,5,'Seat Ledger'!$I$5:$I$235,"ON",'Seat Ledger'!$H$5:$H$235,"E5")),0)</f>
        <v>2.0250000000000004</v>
      </c>
      <c r="D10" s="48">
        <f>IFERROR((SUMIFS('Seat Ledger'!$N$5:$N$235,'Seat Ledger'!$B$5:$B$235,5,'Seat Ledger'!$I$5:$I$235,"OFF",'Seat Ledger'!$H$5:$H$235,"E4") + SUMIFS('Seat Ledger'!$N$5:$N$235,'Seat Ledger'!$B$5:$B$235,5,'Seat Ledger'!$I$5:$I$235,"OFF",'Seat Ledger'!$H$5:$H$235,"E5"))/(SUMIFS('Seat Ledger'!$M$5:$M$235,'Seat Ledger'!$B$5:$B$235,5,'Seat Ledger'!$I$5:$I$235,"OFF",'Seat Ledger'!$H$5:$H$235,"E4") + SUMIFS('Seat Ledger'!$M$5:$M$235,'Seat Ledger'!$B$5:$B$235,5,'Seat Ledger'!$I$5:$I$235,"OFF",'Seat Ledger'!$H$5:$H$235,"E5")),0)</f>
        <v>0.6</v>
      </c>
    </row>
    <row r="12" spans="1:12" ht="15" customHeight="1">
      <c r="A12" s="77" t="s">
        <v>800</v>
      </c>
      <c r="B12" s="77"/>
      <c r="C12" s="77"/>
      <c r="D12" s="77"/>
      <c r="E12" s="77"/>
      <c r="F12" s="77"/>
      <c r="G12" s="77"/>
      <c r="H12" s="77"/>
      <c r="I12" s="77"/>
      <c r="J12" s="77"/>
      <c r="K12" s="77"/>
    </row>
    <row r="13" spans="1:12" ht="15" customHeight="1">
      <c r="B13" s="5" t="s">
        <v>203</v>
      </c>
      <c r="C13" s="5" t="s">
        <v>177</v>
      </c>
      <c r="D13" s="5" t="s">
        <v>178</v>
      </c>
      <c r="E13" s="5" t="s">
        <v>179</v>
      </c>
      <c r="F13" s="5" t="s">
        <v>180</v>
      </c>
      <c r="G13" s="5" t="s">
        <v>181</v>
      </c>
    </row>
    <row r="14" spans="1:12" ht="15" customHeight="1">
      <c r="B14" s="2" t="s">
        <v>801</v>
      </c>
      <c r="C14" s="12">
        <f>'Glidepath &amp; 50-50'!C25</f>
        <v>-3.9573831874373244E-3</v>
      </c>
      <c r="D14" s="12">
        <f>'Glidepath &amp; 50-50'!D25</f>
        <v>0.22699995096163106</v>
      </c>
      <c r="E14" s="12">
        <f>'Glidepath &amp; 50-50'!E25</f>
        <v>0.35954117733563851</v>
      </c>
      <c r="F14" s="12">
        <f>'Glidepath &amp; 50-50'!F25</f>
        <v>0.43439020665496486</v>
      </c>
      <c r="G14" s="12">
        <f>'Glidepath &amp; 50-50'!G25</f>
        <v>0.49566460093401032</v>
      </c>
    </row>
    <row r="15" spans="1:12" ht="15" customHeight="1">
      <c r="B15" s="2" t="s">
        <v>802</v>
      </c>
      <c r="C15" s="12">
        <f>'Team Build-Up'!C54</f>
        <v>0.17840375586854459</v>
      </c>
      <c r="D15" s="12">
        <f>'Team Build-Up'!D54</f>
        <v>0.42707316932390843</v>
      </c>
      <c r="E15" s="12">
        <f>'Team Build-Up'!E54</f>
        <v>0.448483956432146</v>
      </c>
      <c r="F15" s="12">
        <f>'Team Build-Up'!F54</f>
        <v>0.49166666666666675</v>
      </c>
      <c r="G15" s="12">
        <f>'Team Build-Up'!G54</f>
        <v>0.4299065420560747</v>
      </c>
    </row>
    <row r="16" spans="1:12" ht="15" customHeight="1">
      <c r="B16" s="2" t="s">
        <v>803</v>
      </c>
      <c r="C16" s="12">
        <f>'Team Build-Up'!C76</f>
        <v>0.3380281690140845</v>
      </c>
      <c r="D16" s="12">
        <f>'Team Build-Up'!D76</f>
        <v>0.33512195205309941</v>
      </c>
      <c r="E16" s="12">
        <f>'Team Build-Up'!E76</f>
        <v>0.3748896084780689</v>
      </c>
      <c r="F16" s="12">
        <f>'Team Build-Up'!F76</f>
        <v>0.38333333333333341</v>
      </c>
      <c r="G16" s="12">
        <f>'Team Build-Up'!G76</f>
        <v>0.44859813084112143</v>
      </c>
    </row>
    <row r="17" spans="1:11" ht="15" customHeight="1">
      <c r="B17" s="2" t="s">
        <v>804</v>
      </c>
      <c r="C17" s="12">
        <f>'Delivery Mode'!C18</f>
        <v>0.60914561893207309</v>
      </c>
      <c r="D17" s="12">
        <f>'Delivery Mode'!D18</f>
        <v>0.90609707928804872</v>
      </c>
      <c r="E17" s="12">
        <f>'Delivery Mode'!E18</f>
        <v>1</v>
      </c>
      <c r="F17" s="12">
        <f>'Delivery Mode'!F18</f>
        <v>1</v>
      </c>
      <c r="G17" s="12">
        <f>'Delivery Mode'!G18</f>
        <v>1</v>
      </c>
    </row>
    <row r="18" spans="1:11" ht="15" customHeight="1">
      <c r="B18" s="14" t="s">
        <v>805</v>
      </c>
      <c r="C18" s="57">
        <f>'Cost &amp; Commercial'!C9</f>
        <v>1.349497832771809</v>
      </c>
      <c r="D18" s="57">
        <f>'Cost &amp; Commercial'!D9</f>
        <v>0.86275666848007448</v>
      </c>
      <c r="E18" s="57">
        <f>'Cost &amp; Commercial'!E9</f>
        <v>0.71443021412101426</v>
      </c>
      <c r="F18" s="57">
        <f>'Cost &amp; Commercial'!F9</f>
        <v>0.6150535161132803</v>
      </c>
      <c r="G18" s="57">
        <f>'Cost &amp; Commercial'!G9</f>
        <v>0.60279863725747118</v>
      </c>
    </row>
    <row r="19" spans="1:11" ht="15" customHeight="1">
      <c r="B19" s="2" t="s">
        <v>806</v>
      </c>
      <c r="C19" s="48">
        <f>(1-C14)*(C15*(C16*$D$10+(1-C16)*$D$9)+(1-C15)*(C16*$C$10+(1-C16)*$C$9))</f>
        <v>1.3870360629602083</v>
      </c>
      <c r="D19" s="48">
        <f>(1-D14)*(D15*(D16*$D$10+(1-D16)*$D$9)+(1-D15)*(D16*$C$10+(1-D16)*$C$9))</f>
        <v>0.85507697547768546</v>
      </c>
      <c r="E19" s="48">
        <f>(1-E14)*(E15*(E16*$D$10+(1-E16)*$D$9)+(1-E15)*(E16*$C$10+(1-E16)*$C$9))</f>
        <v>0.70498897091852919</v>
      </c>
      <c r="F19" s="48">
        <f>(1-F14)*(F15*(F16*$D$10+(1-F16)*$D$9)+(1-F15)*(F16*$C$10+(1-F16)*$C$9))</f>
        <v>0.59732130251728532</v>
      </c>
      <c r="G19" s="48">
        <f>(1-G14)*(G15*(G16*$D$10+(1-G16)*$D$9)+(1-G15)*(G16*$C$10+(1-G16)*$C$9))</f>
        <v>0.58293808425272275</v>
      </c>
    </row>
    <row r="20" spans="1:11" ht="15" customHeight="1">
      <c r="B20" s="24" t="s">
        <v>807</v>
      </c>
      <c r="G20" s="58">
        <f>IF(G19=0,1,G18/G19)</f>
        <v>1.0340697469272537</v>
      </c>
    </row>
    <row r="22" spans="1:11" ht="15" customHeight="1">
      <c r="A22" s="77" t="s">
        <v>808</v>
      </c>
      <c r="B22" s="77"/>
      <c r="C22" s="77"/>
      <c r="D22" s="77"/>
      <c r="E22" s="77"/>
      <c r="F22" s="77"/>
      <c r="G22" s="77"/>
      <c r="H22" s="77"/>
      <c r="I22" s="77"/>
      <c r="J22" s="77"/>
      <c r="K22" s="77"/>
    </row>
    <row r="23" spans="1:11" ht="15" customHeight="1">
      <c r="B23" s="5" t="s">
        <v>809</v>
      </c>
      <c r="C23" s="59">
        <v>0.35</v>
      </c>
      <c r="D23" s="59">
        <v>0.4</v>
      </c>
      <c r="E23" s="59">
        <v>0.45</v>
      </c>
      <c r="F23" s="59">
        <v>0.5</v>
      </c>
      <c r="G23" s="59">
        <v>0.55000000000000004</v>
      </c>
      <c r="H23" s="59">
        <v>0.6</v>
      </c>
    </row>
    <row r="24" spans="1:11" ht="15" customHeight="1">
      <c r="B24" s="23">
        <v>0.45</v>
      </c>
      <c r="C24" s="48">
        <f t="shared" ref="C24:H28" si="0">$G$20*(1-C$23)*($B24*($G$16*$D$10+(1-$G$16)*$D$9)+(1-$B24)*($G$16*$C$10+(1-$G$16)*$C$9))</f>
        <v>0.76128995011075618</v>
      </c>
      <c r="D24" s="48">
        <f t="shared" si="0"/>
        <v>0.70272918471762091</v>
      </c>
      <c r="E24" s="48">
        <f t="shared" si="0"/>
        <v>0.64416841932448599</v>
      </c>
      <c r="F24" s="48">
        <f t="shared" si="0"/>
        <v>0.58560765393135084</v>
      </c>
      <c r="G24" s="48">
        <f t="shared" si="0"/>
        <v>0.5270468885382158</v>
      </c>
      <c r="H24" s="48">
        <f t="shared" si="0"/>
        <v>0.4684861231450807</v>
      </c>
    </row>
    <row r="25" spans="1:11" ht="15" customHeight="1">
      <c r="B25" s="23">
        <v>0.55000000000000004</v>
      </c>
      <c r="C25" s="48">
        <f t="shared" si="0"/>
        <v>0.68359342275498403</v>
      </c>
      <c r="D25" s="48">
        <f t="shared" si="0"/>
        <v>0.63100931331229282</v>
      </c>
      <c r="E25" s="48">
        <f t="shared" si="0"/>
        <v>0.57842520386960194</v>
      </c>
      <c r="F25" s="48">
        <f t="shared" si="0"/>
        <v>0.52584109442691074</v>
      </c>
      <c r="G25" s="48">
        <f t="shared" si="0"/>
        <v>0.47325698498421964</v>
      </c>
      <c r="H25" s="48">
        <f t="shared" si="0"/>
        <v>0.4206728755415286</v>
      </c>
    </row>
    <row r="26" spans="1:11" ht="15" customHeight="1">
      <c r="B26" s="23">
        <v>0.65</v>
      </c>
      <c r="C26" s="48">
        <f t="shared" si="0"/>
        <v>0.60589689539921188</v>
      </c>
      <c r="D26" s="48">
        <f t="shared" si="0"/>
        <v>0.55928944190696472</v>
      </c>
      <c r="E26" s="48">
        <f t="shared" si="0"/>
        <v>0.51268198841471779</v>
      </c>
      <c r="F26" s="48">
        <f t="shared" si="0"/>
        <v>0.4660745349224707</v>
      </c>
      <c r="G26" s="48">
        <f t="shared" si="0"/>
        <v>0.4194670814302236</v>
      </c>
      <c r="H26" s="48">
        <f t="shared" si="0"/>
        <v>0.37285962793797656</v>
      </c>
    </row>
    <row r="27" spans="1:11" ht="15" customHeight="1">
      <c r="B27" s="23">
        <v>0.75</v>
      </c>
      <c r="C27" s="48">
        <f t="shared" si="0"/>
        <v>0.52820036804343984</v>
      </c>
      <c r="D27" s="48">
        <f t="shared" si="0"/>
        <v>0.48756957050163674</v>
      </c>
      <c r="E27" s="48">
        <f t="shared" si="0"/>
        <v>0.44693877295983375</v>
      </c>
      <c r="F27" s="48">
        <f t="shared" si="0"/>
        <v>0.40630797541803065</v>
      </c>
      <c r="G27" s="48">
        <f t="shared" si="0"/>
        <v>0.36567717787622755</v>
      </c>
      <c r="H27" s="48">
        <f t="shared" si="0"/>
        <v>0.32504638033442451</v>
      </c>
    </row>
    <row r="28" spans="1:11" ht="15" customHeight="1">
      <c r="B28" s="23">
        <v>0.85</v>
      </c>
      <c r="C28" s="48">
        <f t="shared" si="0"/>
        <v>0.4505038406876678</v>
      </c>
      <c r="D28" s="48">
        <f t="shared" si="0"/>
        <v>0.4158496990963087</v>
      </c>
      <c r="E28" s="48">
        <f t="shared" si="0"/>
        <v>0.38119555750494971</v>
      </c>
      <c r="F28" s="48">
        <f t="shared" si="0"/>
        <v>0.34654141591359061</v>
      </c>
      <c r="G28" s="48">
        <f t="shared" si="0"/>
        <v>0.31188727432223151</v>
      </c>
      <c r="H28" s="48">
        <f t="shared" si="0"/>
        <v>0.27723313273087252</v>
      </c>
    </row>
    <row r="30" spans="1:11" ht="15" customHeight="1">
      <c r="A30" s="77" t="s">
        <v>810</v>
      </c>
      <c r="B30" s="77"/>
      <c r="C30" s="77"/>
      <c r="D30" s="77"/>
      <c r="E30" s="77"/>
      <c r="F30" s="77"/>
      <c r="G30" s="77"/>
      <c r="H30" s="77"/>
      <c r="I30" s="77"/>
      <c r="J30" s="77"/>
      <c r="K30" s="77"/>
    </row>
    <row r="31" spans="1:11" ht="15" customHeight="1">
      <c r="B31" s="5" t="s">
        <v>811</v>
      </c>
      <c r="C31" s="5" t="s">
        <v>812</v>
      </c>
      <c r="D31" s="5" t="s">
        <v>813</v>
      </c>
      <c r="E31" s="5" t="s">
        <v>814</v>
      </c>
      <c r="F31" s="5" t="s">
        <v>815</v>
      </c>
      <c r="G31" s="5" t="s">
        <v>356</v>
      </c>
    </row>
    <row r="32" spans="1:11" ht="27.75" customHeight="1">
      <c r="B32" s="4" t="s">
        <v>816</v>
      </c>
      <c r="C32" s="48">
        <f>$G$20*(1-($G$14-0.1))*(($G$15)*(($G$16)*$D$10+(1-($G$16))*$D$9)+(1-($G$15))*(($G$16)*$C$10+(1-($G$16))*$C$9))</f>
        <v>0.7223220017434524</v>
      </c>
      <c r="D32" s="48">
        <f>$G$20*(1-($G$14))*(($G$15)*(($G$16)*$D$10+(1-($G$16))*$D$9)+(1-($G$15))*(($G$16)*$C$10+(1-($G$16))*$C$9))</f>
        <v>0.60279863725747118</v>
      </c>
      <c r="E32" s="48">
        <f>$G$20*(1-($G$14+0.1))*(($G$15)*(($G$16)*$D$10+(1-($G$16))*$D$9)+(1-($G$15))*(($G$16)*$C$10+(1-($G$16))*$C$9))</f>
        <v>0.48327527277148991</v>
      </c>
      <c r="F32" s="57">
        <f>ABS(E32-C32)</f>
        <v>0.2390467289719625</v>
      </c>
      <c r="G32" s="1" t="s">
        <v>817</v>
      </c>
    </row>
    <row r="33" spans="2:7" ht="54.75" customHeight="1">
      <c r="B33" s="4" t="s">
        <v>818</v>
      </c>
      <c r="C33" s="48">
        <f>$G$20*(1-($G$14))*(($G$15-0.1)*(($G$16)*$D$10+(1-($G$16))*$D$9)+(1-($G$15-0.1))*(($G$16)*$C$10+(1-($G$16))*$C$9))</f>
        <v>0.66308342053441716</v>
      </c>
      <c r="D33" s="48">
        <f>$G$20*(1-($G$14))*(($G$15)*(($G$16)*$D$10+(1-($G$16))*$D$9)+(1-($G$15))*(($G$16)*$C$10+(1-($G$16))*$C$9))</f>
        <v>0.60279863725747118</v>
      </c>
      <c r="E33" s="48">
        <f>$G$20*(1-($G$14))*(($G$15+0.1)*(($G$16)*$D$10+(1-($G$16))*$D$9)+(1-($G$15+0.1))*(($G$16)*$C$10+(1-($G$16))*$C$9))</f>
        <v>0.54251385398052532</v>
      </c>
      <c r="F33" s="57">
        <f>ABS(E33-C33)</f>
        <v>0.12056956655389184</v>
      </c>
      <c r="G33" s="1" t="s">
        <v>819</v>
      </c>
    </row>
    <row r="34" spans="2:7" ht="54.75" customHeight="1">
      <c r="B34" s="4" t="s">
        <v>820</v>
      </c>
      <c r="C34" s="48">
        <f>$G$20*(1-($G$14))*(($G$15)*(($G$16-0.1)*$D$10+(1-($G$16-0.1))*$D$9)+(1-($G$15))*(($G$16-0.1)*$C$10+(1-($G$16-0.1))*$C$9))</f>
        <v>0.57853600961165341</v>
      </c>
      <c r="D34" s="48">
        <f>$G$20*(1-($G$14))*(($G$15)*(($G$16)*$D$10+(1-($G$16))*$D$9)+(1-($G$15))*(($G$16)*$C$10+(1-($G$16))*$C$9))</f>
        <v>0.60279863725747118</v>
      </c>
      <c r="E34" s="48">
        <f>$G$20*(1-($G$14))*(($G$15)*(($G$16+0.1)*$D$10+(1-($G$16+0.1))*$D$9)+(1-($G$15))*(($G$16+0.1)*$C$10+(1-($G$16+0.1))*$C$9))</f>
        <v>0.62706126490328928</v>
      </c>
      <c r="F34" s="57">
        <f>ABS(E34-C34)</f>
        <v>4.8525255291635871E-2</v>
      </c>
      <c r="G34" s="1" t="s">
        <v>821</v>
      </c>
    </row>
    <row r="35" spans="2:7" ht="48" customHeight="1">
      <c r="B35" s="24" t="s">
        <v>822</v>
      </c>
      <c r="G35" s="1" t="s">
        <v>823</v>
      </c>
    </row>
    <row r="37" spans="2:7" ht="18.75" customHeight="1">
      <c r="B37" s="3" t="s">
        <v>824</v>
      </c>
    </row>
  </sheetData>
  <mergeCells count="7">
    <mergeCell ref="A22:K22"/>
    <mergeCell ref="A30:K30"/>
    <mergeCell ref="A1:L1"/>
    <mergeCell ref="A2:L2"/>
    <mergeCell ref="A4:K4"/>
    <mergeCell ref="A7:K7"/>
    <mergeCell ref="A12:K12"/>
  </mergeCells>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bb5d96ea-ab39-44a0-a6d6-b6f0aac5958b}"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README</vt:lpstr>
      <vt:lpstr>Basis &amp; Assumptions</vt:lpstr>
      <vt:lpstr>Change Control</vt:lpstr>
      <vt:lpstr>Logic Tree</vt:lpstr>
      <vt:lpstr>Sourcing &amp; Productivity</vt:lpstr>
      <vt:lpstr>Delivery Mode</vt:lpstr>
      <vt:lpstr>AMS &amp; Ticket Load</vt:lpstr>
      <vt:lpstr>Inventory</vt:lpstr>
      <vt:lpstr>Value Streams</vt:lpstr>
      <vt:lpstr>Pod Library</vt:lpstr>
      <vt:lpstr>Pod Plan</vt:lpstr>
      <vt:lpstr>Horizontal Teams</vt:lpstr>
      <vt:lpstr>Team Build-Up</vt:lpstr>
      <vt:lpstr>Inherited Workforce</vt:lpstr>
      <vt:lpstr>Glidepath &amp; 50-50</vt:lpstr>
      <vt:lpstr>Cost &amp; Commercial</vt:lpstr>
      <vt:lpstr>Seat Ledger</vt:lpstr>
      <vt:lpstr>SIT Loading</vt:lpstr>
      <vt:lpstr>Unit Cost Sensitivity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Prasad, Mukesh Kumar</cp:lastModifiedBy>
  <cp:revision>0</cp:revision>
  <dcterms:created xsi:type="dcterms:W3CDTF">2026-09-14T04:12:07Z</dcterms:created>
  <dcterms:modified xsi:type="dcterms:W3CDTF">2026-09-17T15:36:42Z</dcterms:modified>
  <dc:language>en-US</dc:language>
</cp:coreProperties>
</file>