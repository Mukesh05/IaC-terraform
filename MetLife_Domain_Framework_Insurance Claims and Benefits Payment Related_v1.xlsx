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mukesh_a_prasad_capgemini_com/Documents/Desktop/metlife/updated_New data/"/>
    </mc:Choice>
  </mc:AlternateContent>
  <xr:revisionPtr revIDLastSave="2" documentId="11_6A107067F02E163BA464147E425F037BB94998AF" xr6:coauthVersionLast="47" xr6:coauthVersionMax="47" xr10:uidLastSave="{2DD29B88-576B-4296-860F-8A1E95C0CBBB}"/>
  <bookViews>
    <workbookView xWindow="-110" yWindow="-110" windowWidth="19420" windowHeight="11500" firstSheet="7" activeTab="11" xr2:uid="{00000000-000D-0000-FFFF-FFFF00000000}"/>
  </bookViews>
  <sheets>
    <sheet name="README" sheetId="1" r:id="rId1"/>
    <sheet name="Basis &amp; Assumptions" sheetId="2" r:id="rId2"/>
    <sheet name="Change Control" sheetId="3" r:id="rId3"/>
    <sheet name="Logic Tree" sheetId="4" r:id="rId4"/>
    <sheet name="Sourcing &amp; Productivity" sheetId="5" r:id="rId5"/>
    <sheet name="Delivery Mode" sheetId="6" r:id="rId6"/>
    <sheet name="AMS &amp; Ticket Load" sheetId="7" r:id="rId7"/>
    <sheet name="Inventory" sheetId="8" r:id="rId8"/>
    <sheet name="Value Streams" sheetId="9" r:id="rId9"/>
    <sheet name="Pod Library" sheetId="10" r:id="rId10"/>
    <sheet name="Pod Plan" sheetId="11" r:id="rId11"/>
    <sheet name="Horizontal Teams" sheetId="12" r:id="rId12"/>
    <sheet name="Team Build-Up" sheetId="13" r:id="rId13"/>
    <sheet name="Inherited Workforce" sheetId="14" r:id="rId14"/>
    <sheet name="Glidepath &amp; 50-50" sheetId="15" r:id="rId15"/>
    <sheet name="Cost &amp; Commercial" sheetId="16" r:id="rId16"/>
    <sheet name="Seat Ledger" sheetId="17" r:id="rId17"/>
    <sheet name="SIT Loading" sheetId="18" r:id="rId18"/>
    <sheet name="Unit Cost Sensitivity"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77" i="18" l="1"/>
  <c r="K177" i="18"/>
  <c r="I177" i="18"/>
  <c r="H177" i="18"/>
  <c r="K287" i="17"/>
  <c r="M287" i="17" s="1"/>
  <c r="J287" i="17"/>
  <c r="I287" i="17"/>
  <c r="H287" i="17"/>
  <c r="G287" i="17"/>
  <c r="F287" i="17"/>
  <c r="D287" i="17"/>
  <c r="K286" i="17"/>
  <c r="M286" i="17" s="1"/>
  <c r="J286" i="17"/>
  <c r="I286" i="17"/>
  <c r="H286" i="17"/>
  <c r="G286" i="17"/>
  <c r="F286" i="17"/>
  <c r="D286" i="17"/>
  <c r="K285" i="17"/>
  <c r="M285" i="17" s="1"/>
  <c r="J285" i="17"/>
  <c r="I285" i="17"/>
  <c r="H285" i="17"/>
  <c r="G285" i="17"/>
  <c r="F285" i="17"/>
  <c r="D285" i="17"/>
  <c r="K284" i="17"/>
  <c r="M284" i="17" s="1"/>
  <c r="J284" i="17"/>
  <c r="I284" i="17"/>
  <c r="H284" i="17"/>
  <c r="G284" i="17"/>
  <c r="F284" i="17"/>
  <c r="D284" i="17"/>
  <c r="K283" i="17"/>
  <c r="M283" i="17" s="1"/>
  <c r="J283" i="17"/>
  <c r="I283" i="17"/>
  <c r="H283" i="17"/>
  <c r="G283" i="17"/>
  <c r="F283" i="17"/>
  <c r="D283" i="17"/>
  <c r="K282" i="17"/>
  <c r="M282" i="17" s="1"/>
  <c r="J282" i="17"/>
  <c r="I282" i="17"/>
  <c r="H282" i="17"/>
  <c r="G282" i="17"/>
  <c r="F282" i="17"/>
  <c r="D282" i="17"/>
  <c r="K281" i="17"/>
  <c r="M281" i="17" s="1"/>
  <c r="J281" i="17"/>
  <c r="I281" i="17"/>
  <c r="H281" i="17"/>
  <c r="G281" i="17"/>
  <c r="F281" i="17"/>
  <c r="D281" i="17"/>
  <c r="K280" i="17"/>
  <c r="M280" i="17" s="1"/>
  <c r="J280" i="17"/>
  <c r="I280" i="17"/>
  <c r="H280" i="17"/>
  <c r="G280" i="17"/>
  <c r="F280" i="17"/>
  <c r="D280" i="17"/>
  <c r="K279" i="17"/>
  <c r="M279" i="17" s="1"/>
  <c r="J279" i="17"/>
  <c r="I279" i="17"/>
  <c r="H279" i="17"/>
  <c r="G279" i="17"/>
  <c r="F279" i="17"/>
  <c r="D279" i="17"/>
  <c r="K278" i="17"/>
  <c r="M278" i="17" s="1"/>
  <c r="J278" i="17"/>
  <c r="I278" i="17"/>
  <c r="H278" i="17"/>
  <c r="G278" i="17"/>
  <c r="F278" i="17"/>
  <c r="D278" i="17"/>
  <c r="K277" i="17"/>
  <c r="M277" i="17" s="1"/>
  <c r="J277" i="17"/>
  <c r="I277" i="17"/>
  <c r="H277" i="17"/>
  <c r="G277" i="17"/>
  <c r="F277" i="17"/>
  <c r="D277" i="17"/>
  <c r="K276" i="17"/>
  <c r="M276" i="17" s="1"/>
  <c r="N276" i="17" s="1"/>
  <c r="J276" i="17"/>
  <c r="I276" i="17"/>
  <c r="H276" i="17"/>
  <c r="G276" i="17"/>
  <c r="F276" i="17"/>
  <c r="D276" i="17"/>
  <c r="K275" i="17"/>
  <c r="M275" i="17" s="1"/>
  <c r="J275" i="17"/>
  <c r="I275" i="17"/>
  <c r="H275" i="17"/>
  <c r="G275" i="17"/>
  <c r="F275" i="17"/>
  <c r="D275" i="17"/>
  <c r="K274" i="17"/>
  <c r="M274" i="17" s="1"/>
  <c r="N274" i="17" s="1"/>
  <c r="J274" i="17"/>
  <c r="I274" i="17"/>
  <c r="H274" i="17"/>
  <c r="G274" i="17"/>
  <c r="F274" i="17"/>
  <c r="D274" i="17"/>
  <c r="K273" i="17"/>
  <c r="M273" i="17" s="1"/>
  <c r="J273" i="17"/>
  <c r="I273" i="17"/>
  <c r="H273" i="17"/>
  <c r="G273" i="17"/>
  <c r="F273" i="17"/>
  <c r="D273" i="17"/>
  <c r="K272" i="17"/>
  <c r="M272" i="17" s="1"/>
  <c r="J272" i="17"/>
  <c r="I272" i="17"/>
  <c r="H272" i="17"/>
  <c r="G272" i="17"/>
  <c r="F272" i="17"/>
  <c r="D272" i="17"/>
  <c r="K271" i="17"/>
  <c r="M271" i="17" s="1"/>
  <c r="J271" i="17"/>
  <c r="I271" i="17"/>
  <c r="H271" i="17"/>
  <c r="G271" i="17"/>
  <c r="F271" i="17"/>
  <c r="D271" i="17"/>
  <c r="K270" i="17"/>
  <c r="M270" i="17" s="1"/>
  <c r="J270" i="17"/>
  <c r="I270" i="17"/>
  <c r="H270" i="17"/>
  <c r="G270" i="17"/>
  <c r="F270" i="17"/>
  <c r="D270" i="17"/>
  <c r="K269" i="17"/>
  <c r="M269" i="17" s="1"/>
  <c r="N269" i="17" s="1"/>
  <c r="J269" i="17"/>
  <c r="I269" i="17"/>
  <c r="H269" i="17"/>
  <c r="G269" i="17"/>
  <c r="F269" i="17"/>
  <c r="D269" i="17"/>
  <c r="L268" i="17"/>
  <c r="K268" i="17"/>
  <c r="J268" i="17"/>
  <c r="I268" i="17"/>
  <c r="H268" i="17"/>
  <c r="G268" i="17"/>
  <c r="F268" i="17"/>
  <c r="L267" i="17"/>
  <c r="K267" i="17"/>
  <c r="J267" i="17"/>
  <c r="I267" i="17"/>
  <c r="H267" i="17"/>
  <c r="G267" i="17"/>
  <c r="F267" i="17"/>
  <c r="L266" i="17"/>
  <c r="K266" i="17"/>
  <c r="M266" i="17" s="1"/>
  <c r="N266" i="17" s="1"/>
  <c r="J266" i="17"/>
  <c r="I266" i="17"/>
  <c r="H266" i="17"/>
  <c r="G266" i="17"/>
  <c r="F266" i="17"/>
  <c r="L265" i="17"/>
  <c r="K265" i="17"/>
  <c r="M265" i="17" s="1"/>
  <c r="J265" i="17"/>
  <c r="I265" i="17"/>
  <c r="H265" i="17"/>
  <c r="G265" i="17"/>
  <c r="F265" i="17"/>
  <c r="M264" i="17"/>
  <c r="L264" i="17"/>
  <c r="K264" i="17"/>
  <c r="J264" i="17"/>
  <c r="I264" i="17"/>
  <c r="H264" i="17"/>
  <c r="G264" i="17"/>
  <c r="F264" i="17"/>
  <c r="L263" i="17"/>
  <c r="K263" i="17"/>
  <c r="J263" i="17"/>
  <c r="I263" i="17"/>
  <c r="H263" i="17"/>
  <c r="G263" i="17"/>
  <c r="F263" i="17"/>
  <c r="L262" i="17"/>
  <c r="K262" i="17"/>
  <c r="J262" i="17"/>
  <c r="I262" i="17"/>
  <c r="H262" i="17"/>
  <c r="G262" i="17"/>
  <c r="F262" i="17"/>
  <c r="L261" i="17"/>
  <c r="K261" i="17"/>
  <c r="J261" i="17"/>
  <c r="I261" i="17"/>
  <c r="H261" i="17"/>
  <c r="G261" i="17"/>
  <c r="F261" i="17"/>
  <c r="L260" i="17"/>
  <c r="K260" i="17"/>
  <c r="M260" i="17" s="1"/>
  <c r="J260" i="17"/>
  <c r="I260" i="17"/>
  <c r="H260" i="17"/>
  <c r="G260" i="17"/>
  <c r="F260" i="17"/>
  <c r="L259" i="17"/>
  <c r="K259" i="17"/>
  <c r="J259" i="17"/>
  <c r="I259" i="17"/>
  <c r="H259" i="17"/>
  <c r="G259" i="17"/>
  <c r="F259" i="17"/>
  <c r="L258" i="17"/>
  <c r="K258" i="17"/>
  <c r="J258" i="17"/>
  <c r="I258" i="17"/>
  <c r="H258" i="17"/>
  <c r="G258" i="17"/>
  <c r="F258" i="17"/>
  <c r="L257" i="17"/>
  <c r="K257" i="17"/>
  <c r="J257" i="17"/>
  <c r="I257" i="17"/>
  <c r="H257" i="17"/>
  <c r="G257" i="17"/>
  <c r="F257" i="17"/>
  <c r="L256" i="17"/>
  <c r="K256" i="17"/>
  <c r="J256" i="17"/>
  <c r="I256" i="17"/>
  <c r="H256" i="17"/>
  <c r="G256" i="17"/>
  <c r="F256" i="17"/>
  <c r="L255" i="17"/>
  <c r="K255" i="17"/>
  <c r="M255" i="17" s="1"/>
  <c r="J255" i="17"/>
  <c r="I255" i="17"/>
  <c r="H255" i="17"/>
  <c r="G255" i="17"/>
  <c r="F255" i="17"/>
  <c r="L254" i="17"/>
  <c r="K254" i="17"/>
  <c r="M254" i="17" s="1"/>
  <c r="N254" i="17" s="1"/>
  <c r="J254" i="17"/>
  <c r="I254" i="17"/>
  <c r="H254" i="17"/>
  <c r="G254" i="17"/>
  <c r="F254" i="17"/>
  <c r="L253" i="17"/>
  <c r="K253" i="17"/>
  <c r="J253" i="17"/>
  <c r="I253" i="17"/>
  <c r="H253" i="17"/>
  <c r="G253" i="17"/>
  <c r="F253" i="17"/>
  <c r="L252" i="17"/>
  <c r="K252" i="17"/>
  <c r="J252" i="17"/>
  <c r="I252" i="17"/>
  <c r="H252" i="17"/>
  <c r="G252" i="17"/>
  <c r="F252" i="17"/>
  <c r="L251" i="17"/>
  <c r="K251" i="17"/>
  <c r="J251" i="17"/>
  <c r="I251" i="17"/>
  <c r="H251" i="17"/>
  <c r="G251" i="17"/>
  <c r="F251" i="17"/>
  <c r="L250" i="17"/>
  <c r="K250" i="17"/>
  <c r="M250" i="17" s="1"/>
  <c r="N250" i="17" s="1"/>
  <c r="J250" i="17"/>
  <c r="I250" i="17"/>
  <c r="H250" i="17"/>
  <c r="G250" i="17"/>
  <c r="F250" i="17"/>
  <c r="L249" i="17"/>
  <c r="K249" i="17"/>
  <c r="J249" i="17"/>
  <c r="I249" i="17"/>
  <c r="H249" i="17"/>
  <c r="G249" i="17"/>
  <c r="F249" i="17"/>
  <c r="L248" i="17"/>
  <c r="K248" i="17"/>
  <c r="M248" i="17" s="1"/>
  <c r="J248" i="17"/>
  <c r="I248" i="17"/>
  <c r="H248" i="17"/>
  <c r="G248" i="17"/>
  <c r="F248" i="17"/>
  <c r="L247" i="17"/>
  <c r="K247" i="17"/>
  <c r="M247" i="17" s="1"/>
  <c r="N247" i="17" s="1"/>
  <c r="J247" i="17"/>
  <c r="I247" i="17"/>
  <c r="H247" i="17"/>
  <c r="G247" i="17"/>
  <c r="F247" i="17"/>
  <c r="L246" i="17"/>
  <c r="K246" i="17"/>
  <c r="M246" i="17" s="1"/>
  <c r="N246" i="17" s="1"/>
  <c r="J246" i="17"/>
  <c r="I246" i="17"/>
  <c r="H246" i="17"/>
  <c r="G246" i="17"/>
  <c r="F246" i="17"/>
  <c r="L245" i="17"/>
  <c r="K245" i="17"/>
  <c r="M245" i="17" s="1"/>
  <c r="J245" i="17"/>
  <c r="I245" i="17"/>
  <c r="H245" i="17"/>
  <c r="G245" i="17"/>
  <c r="F245" i="17"/>
  <c r="M244" i="17"/>
  <c r="L244" i="17"/>
  <c r="K244" i="17"/>
  <c r="J244" i="17"/>
  <c r="I244" i="17"/>
  <c r="H244" i="17"/>
  <c r="G244" i="17"/>
  <c r="F244" i="17"/>
  <c r="L243" i="17"/>
  <c r="K243" i="17"/>
  <c r="J243" i="17"/>
  <c r="I243" i="17"/>
  <c r="H243" i="17"/>
  <c r="G243" i="17"/>
  <c r="F243" i="17"/>
  <c r="L242" i="17"/>
  <c r="K242" i="17"/>
  <c r="M242" i="17" s="1"/>
  <c r="J242" i="17"/>
  <c r="I242" i="17"/>
  <c r="H242" i="17"/>
  <c r="G242" i="17"/>
  <c r="F242" i="17"/>
  <c r="L241" i="17"/>
  <c r="K241" i="17"/>
  <c r="J241" i="17"/>
  <c r="I241" i="17"/>
  <c r="H241" i="17"/>
  <c r="G241" i="17"/>
  <c r="F241" i="17"/>
  <c r="L240" i="17"/>
  <c r="K240" i="17"/>
  <c r="M240" i="17" s="1"/>
  <c r="N240" i="17" s="1"/>
  <c r="J240" i="17"/>
  <c r="I240" i="17"/>
  <c r="H240" i="17"/>
  <c r="G240" i="17"/>
  <c r="F240" i="17"/>
  <c r="L239" i="17"/>
  <c r="M239" i="17" s="1"/>
  <c r="K239" i="17"/>
  <c r="J239" i="17"/>
  <c r="I239" i="17"/>
  <c r="H239" i="17"/>
  <c r="G239" i="17"/>
  <c r="F239" i="17"/>
  <c r="K238" i="17"/>
  <c r="M238" i="17" s="1"/>
  <c r="J238" i="17"/>
  <c r="I238" i="17"/>
  <c r="H238" i="17"/>
  <c r="G238" i="17"/>
  <c r="F238" i="17"/>
  <c r="D238" i="17"/>
  <c r="K237" i="17"/>
  <c r="M237" i="17" s="1"/>
  <c r="J237" i="17"/>
  <c r="I237" i="17"/>
  <c r="H237" i="17"/>
  <c r="G237" i="17"/>
  <c r="F237" i="17"/>
  <c r="D237" i="17"/>
  <c r="K236" i="17"/>
  <c r="M236" i="17" s="1"/>
  <c r="J236" i="17"/>
  <c r="I236" i="17"/>
  <c r="H236" i="17"/>
  <c r="G236" i="17"/>
  <c r="F236" i="17"/>
  <c r="D236" i="17"/>
  <c r="K235" i="17"/>
  <c r="M235" i="17" s="1"/>
  <c r="J235" i="17"/>
  <c r="I235" i="17"/>
  <c r="H235" i="17"/>
  <c r="G235" i="17"/>
  <c r="F235" i="17"/>
  <c r="D235" i="17"/>
  <c r="K234" i="17"/>
  <c r="M234" i="17" s="1"/>
  <c r="J234" i="17"/>
  <c r="I234" i="17"/>
  <c r="H234" i="17"/>
  <c r="G234" i="17"/>
  <c r="F234" i="17"/>
  <c r="D234" i="17"/>
  <c r="K233" i="17"/>
  <c r="M233" i="17" s="1"/>
  <c r="J233" i="17"/>
  <c r="I233" i="17"/>
  <c r="H233" i="17"/>
  <c r="G233" i="17"/>
  <c r="F233" i="17"/>
  <c r="D233" i="17"/>
  <c r="K232" i="17"/>
  <c r="M232" i="17" s="1"/>
  <c r="J232" i="17"/>
  <c r="I232" i="17"/>
  <c r="H232" i="17"/>
  <c r="G232" i="17"/>
  <c r="F232" i="17"/>
  <c r="D232" i="17"/>
  <c r="K231" i="17"/>
  <c r="M231" i="17" s="1"/>
  <c r="J231" i="17"/>
  <c r="I231" i="17"/>
  <c r="H231" i="17"/>
  <c r="G231" i="17"/>
  <c r="F231" i="17"/>
  <c r="D231" i="17"/>
  <c r="K230" i="17"/>
  <c r="M230" i="17" s="1"/>
  <c r="J230" i="17"/>
  <c r="I230" i="17"/>
  <c r="H230" i="17"/>
  <c r="G230" i="17"/>
  <c r="F230" i="17"/>
  <c r="D230" i="17"/>
  <c r="K229" i="17"/>
  <c r="M229" i="17" s="1"/>
  <c r="J229" i="17"/>
  <c r="I229" i="17"/>
  <c r="H229" i="17"/>
  <c r="G229" i="17"/>
  <c r="F229" i="17"/>
  <c r="D229" i="17"/>
  <c r="K228" i="17"/>
  <c r="M228" i="17" s="1"/>
  <c r="J228" i="17"/>
  <c r="I228" i="17"/>
  <c r="H228" i="17"/>
  <c r="G228" i="17"/>
  <c r="F228" i="17"/>
  <c r="D228" i="17"/>
  <c r="K227" i="17"/>
  <c r="M227" i="17" s="1"/>
  <c r="J227" i="17"/>
  <c r="I227" i="17"/>
  <c r="H227" i="17"/>
  <c r="G227" i="17"/>
  <c r="F227" i="17"/>
  <c r="D227" i="17"/>
  <c r="K226" i="17"/>
  <c r="M226" i="17" s="1"/>
  <c r="J226" i="17"/>
  <c r="I226" i="17"/>
  <c r="H226" i="17"/>
  <c r="G226" i="17"/>
  <c r="F226" i="17"/>
  <c r="D226" i="17"/>
  <c r="K225" i="17"/>
  <c r="M225" i="17" s="1"/>
  <c r="J225" i="17"/>
  <c r="I225" i="17"/>
  <c r="H225" i="17"/>
  <c r="G225" i="17"/>
  <c r="F225" i="17"/>
  <c r="D225" i="17"/>
  <c r="K224" i="17"/>
  <c r="M224" i="17" s="1"/>
  <c r="N224" i="17" s="1"/>
  <c r="J224" i="17"/>
  <c r="I224" i="17"/>
  <c r="H224" i="17"/>
  <c r="G224" i="17"/>
  <c r="F224" i="17"/>
  <c r="D224" i="17"/>
  <c r="K223" i="17"/>
  <c r="M223" i="17" s="1"/>
  <c r="J223" i="17"/>
  <c r="I223" i="17"/>
  <c r="H223" i="17"/>
  <c r="G223" i="17"/>
  <c r="F223" i="17"/>
  <c r="D223" i="17"/>
  <c r="M222" i="17"/>
  <c r="K222" i="17"/>
  <c r="J222" i="17"/>
  <c r="I222" i="17"/>
  <c r="H222" i="17"/>
  <c r="G222" i="17"/>
  <c r="F222" i="17"/>
  <c r="D222" i="17"/>
  <c r="K221" i="17"/>
  <c r="M221" i="17" s="1"/>
  <c r="J221" i="17"/>
  <c r="I221" i="17"/>
  <c r="H221" i="17"/>
  <c r="G221" i="17"/>
  <c r="F221" i="17"/>
  <c r="D221" i="17"/>
  <c r="K220" i="17"/>
  <c r="M220" i="17" s="1"/>
  <c r="J220" i="17"/>
  <c r="I220" i="17"/>
  <c r="H220" i="17"/>
  <c r="G220" i="17"/>
  <c r="F220" i="17"/>
  <c r="D220" i="17"/>
  <c r="L219" i="17"/>
  <c r="K219" i="17"/>
  <c r="J219" i="17"/>
  <c r="I219" i="17"/>
  <c r="H219" i="17"/>
  <c r="G219" i="17"/>
  <c r="F219" i="17"/>
  <c r="L218" i="17"/>
  <c r="K218" i="17"/>
  <c r="M218" i="17" s="1"/>
  <c r="J218" i="17"/>
  <c r="I218" i="17"/>
  <c r="H218" i="17"/>
  <c r="G218" i="17"/>
  <c r="F218" i="17"/>
  <c r="L217" i="17"/>
  <c r="K217" i="17"/>
  <c r="M217" i="17" s="1"/>
  <c r="J217" i="17"/>
  <c r="I217" i="17"/>
  <c r="H217" i="17"/>
  <c r="G217" i="17"/>
  <c r="F217" i="17"/>
  <c r="L216" i="17"/>
  <c r="K216" i="17"/>
  <c r="M216" i="17" s="1"/>
  <c r="J216" i="17"/>
  <c r="I216" i="17"/>
  <c r="H216" i="17"/>
  <c r="G216" i="17"/>
  <c r="F216" i="17"/>
  <c r="L215" i="17"/>
  <c r="K215" i="17"/>
  <c r="M215" i="17" s="1"/>
  <c r="N215" i="17" s="1"/>
  <c r="J215" i="17"/>
  <c r="I215" i="17"/>
  <c r="H215" i="17"/>
  <c r="G215" i="17"/>
  <c r="F215" i="17"/>
  <c r="M214" i="17"/>
  <c r="L214" i="17"/>
  <c r="K214" i="17"/>
  <c r="J214" i="17"/>
  <c r="I214" i="17"/>
  <c r="H214" i="17"/>
  <c r="G214" i="17"/>
  <c r="F214" i="17"/>
  <c r="L213" i="17"/>
  <c r="K213" i="17"/>
  <c r="M213" i="17" s="1"/>
  <c r="J213" i="17"/>
  <c r="I213" i="17"/>
  <c r="H213" i="17"/>
  <c r="G213" i="17"/>
  <c r="F213" i="17"/>
  <c r="L212" i="17"/>
  <c r="K212" i="17"/>
  <c r="M212" i="17" s="1"/>
  <c r="J212" i="17"/>
  <c r="I212" i="17"/>
  <c r="H212" i="17"/>
  <c r="G212" i="17"/>
  <c r="F212" i="17"/>
  <c r="L211" i="17"/>
  <c r="K211" i="17"/>
  <c r="J211" i="17"/>
  <c r="I211" i="17"/>
  <c r="H211" i="17"/>
  <c r="G211" i="17"/>
  <c r="F211" i="17"/>
  <c r="L210" i="17"/>
  <c r="K210" i="17"/>
  <c r="M210" i="17" s="1"/>
  <c r="J210" i="17"/>
  <c r="I210" i="17"/>
  <c r="H210" i="17"/>
  <c r="G210" i="17"/>
  <c r="F210" i="17"/>
  <c r="L209" i="17"/>
  <c r="K209" i="17"/>
  <c r="J209" i="17"/>
  <c r="I209" i="17"/>
  <c r="H209" i="17"/>
  <c r="G209" i="17"/>
  <c r="F209" i="17"/>
  <c r="L208" i="17"/>
  <c r="K208" i="17"/>
  <c r="J208" i="17"/>
  <c r="I208" i="17"/>
  <c r="H208" i="17"/>
  <c r="G208" i="17"/>
  <c r="F208" i="17"/>
  <c r="L207" i="17"/>
  <c r="K207" i="17"/>
  <c r="J207" i="17"/>
  <c r="I207" i="17"/>
  <c r="H207" i="17"/>
  <c r="G207" i="17"/>
  <c r="F207" i="17"/>
  <c r="L206" i="17"/>
  <c r="K206" i="17"/>
  <c r="J206" i="17"/>
  <c r="I206" i="17"/>
  <c r="H206" i="17"/>
  <c r="G206" i="17"/>
  <c r="F206" i="17"/>
  <c r="L205" i="17"/>
  <c r="K205" i="17"/>
  <c r="M205" i="17" s="1"/>
  <c r="J205" i="17"/>
  <c r="I205" i="17"/>
  <c r="H205" i="17"/>
  <c r="G205" i="17"/>
  <c r="F205" i="17"/>
  <c r="L204" i="17"/>
  <c r="K204" i="17"/>
  <c r="J204" i="17"/>
  <c r="I204" i="17"/>
  <c r="H204" i="17"/>
  <c r="G204" i="17"/>
  <c r="F204" i="17"/>
  <c r="L203" i="17"/>
  <c r="K203" i="17"/>
  <c r="J203" i="17"/>
  <c r="I203" i="17"/>
  <c r="H203" i="17"/>
  <c r="G203" i="17"/>
  <c r="F203" i="17"/>
  <c r="L202" i="17"/>
  <c r="K202" i="17"/>
  <c r="J202" i="17"/>
  <c r="I202" i="17"/>
  <c r="H202" i="17"/>
  <c r="G202" i="17"/>
  <c r="F202" i="17"/>
  <c r="L201" i="17"/>
  <c r="K201" i="17"/>
  <c r="M201" i="17" s="1"/>
  <c r="J201" i="17"/>
  <c r="I201" i="17"/>
  <c r="H201" i="17"/>
  <c r="G201" i="17"/>
  <c r="F201" i="17"/>
  <c r="L200" i="17"/>
  <c r="K200" i="17"/>
  <c r="J200" i="17"/>
  <c r="I200" i="17"/>
  <c r="H200" i="17"/>
  <c r="G200" i="17"/>
  <c r="F200" i="17"/>
  <c r="L199" i="17"/>
  <c r="K199" i="17"/>
  <c r="M199" i="17" s="1"/>
  <c r="N199" i="17" s="1"/>
  <c r="J199" i="17"/>
  <c r="I199" i="17"/>
  <c r="H199" i="17"/>
  <c r="G199" i="17"/>
  <c r="F199" i="17"/>
  <c r="L198" i="17"/>
  <c r="K198" i="17"/>
  <c r="J198" i="17"/>
  <c r="I198" i="17"/>
  <c r="H198" i="17"/>
  <c r="G198" i="17"/>
  <c r="F198" i="17"/>
  <c r="L197" i="17"/>
  <c r="K197" i="17"/>
  <c r="J197" i="17"/>
  <c r="I197" i="17"/>
  <c r="H197" i="17"/>
  <c r="G197" i="17"/>
  <c r="F197" i="17"/>
  <c r="L196" i="17"/>
  <c r="K196" i="17"/>
  <c r="J196" i="17"/>
  <c r="I196" i="17"/>
  <c r="H196" i="17"/>
  <c r="G196" i="17"/>
  <c r="F196" i="17"/>
  <c r="L195" i="17"/>
  <c r="M195" i="17" s="1"/>
  <c r="K195" i="17"/>
  <c r="J195" i="17"/>
  <c r="I195" i="17"/>
  <c r="H195" i="17"/>
  <c r="G195" i="17"/>
  <c r="F195" i="17"/>
  <c r="L194" i="17"/>
  <c r="K194" i="17"/>
  <c r="M194" i="17" s="1"/>
  <c r="N194" i="17" s="1"/>
  <c r="J194" i="17"/>
  <c r="I194" i="17"/>
  <c r="H194" i="17"/>
  <c r="G194" i="17"/>
  <c r="F194" i="17"/>
  <c r="L193" i="17"/>
  <c r="K193" i="17"/>
  <c r="M193" i="17" s="1"/>
  <c r="J193" i="17"/>
  <c r="I193" i="17"/>
  <c r="H193" i="17"/>
  <c r="G193" i="17"/>
  <c r="F193" i="17"/>
  <c r="L192" i="17"/>
  <c r="M192" i="17" s="1"/>
  <c r="N192" i="17" s="1"/>
  <c r="K192" i="17"/>
  <c r="J192" i="17"/>
  <c r="I192" i="17"/>
  <c r="H192" i="17"/>
  <c r="G192" i="17"/>
  <c r="F192" i="17"/>
  <c r="L191" i="17"/>
  <c r="K191" i="17"/>
  <c r="M191" i="17" s="1"/>
  <c r="J191" i="17"/>
  <c r="I191" i="17"/>
  <c r="H191" i="17"/>
  <c r="G191" i="17"/>
  <c r="F191" i="17"/>
  <c r="M190" i="17"/>
  <c r="L190" i="17"/>
  <c r="K190" i="17"/>
  <c r="J190" i="17"/>
  <c r="I190" i="17"/>
  <c r="H190" i="17"/>
  <c r="G190" i="17"/>
  <c r="F190" i="17"/>
  <c r="K189" i="17"/>
  <c r="M189" i="17" s="1"/>
  <c r="J189" i="17"/>
  <c r="I189" i="17"/>
  <c r="H189" i="17"/>
  <c r="G189" i="17"/>
  <c r="F189" i="17"/>
  <c r="D189" i="17"/>
  <c r="K188" i="17"/>
  <c r="M188" i="17" s="1"/>
  <c r="J188" i="17"/>
  <c r="I188" i="17"/>
  <c r="H188" i="17"/>
  <c r="G188" i="17"/>
  <c r="F188" i="17"/>
  <c r="D188" i="17"/>
  <c r="K187" i="17"/>
  <c r="M187" i="17" s="1"/>
  <c r="N187" i="17" s="1"/>
  <c r="J187" i="17"/>
  <c r="I187" i="17"/>
  <c r="H187" i="17"/>
  <c r="G187" i="17"/>
  <c r="F187" i="17"/>
  <c r="D187" i="17"/>
  <c r="K186" i="17"/>
  <c r="M186" i="17" s="1"/>
  <c r="N186" i="17" s="1"/>
  <c r="J186" i="17"/>
  <c r="I186" i="17"/>
  <c r="H186" i="17"/>
  <c r="G186" i="17"/>
  <c r="F186" i="17"/>
  <c r="D186" i="17"/>
  <c r="K185" i="17"/>
  <c r="M185" i="17" s="1"/>
  <c r="J185" i="17"/>
  <c r="I185" i="17"/>
  <c r="H185" i="17"/>
  <c r="G185" i="17"/>
  <c r="F185" i="17"/>
  <c r="D185" i="17"/>
  <c r="K184" i="17"/>
  <c r="M184" i="17" s="1"/>
  <c r="J184" i="17"/>
  <c r="I184" i="17"/>
  <c r="H184" i="17"/>
  <c r="G184" i="17"/>
  <c r="F184" i="17"/>
  <c r="D184" i="17"/>
  <c r="K183" i="17"/>
  <c r="M183" i="17" s="1"/>
  <c r="J183" i="17"/>
  <c r="I183" i="17"/>
  <c r="H183" i="17"/>
  <c r="G183" i="17"/>
  <c r="F183" i="17"/>
  <c r="D183" i="17"/>
  <c r="K182" i="17"/>
  <c r="M182" i="17" s="1"/>
  <c r="N182" i="17" s="1"/>
  <c r="J182" i="17"/>
  <c r="I182" i="17"/>
  <c r="H182" i="17"/>
  <c r="G182" i="17"/>
  <c r="F182" i="17"/>
  <c r="D182" i="17"/>
  <c r="K181" i="17"/>
  <c r="M181" i="17" s="1"/>
  <c r="J181" i="17"/>
  <c r="I181" i="17"/>
  <c r="H181" i="17"/>
  <c r="G181" i="17"/>
  <c r="F181" i="17"/>
  <c r="D181" i="17"/>
  <c r="K180" i="17"/>
  <c r="M180" i="17" s="1"/>
  <c r="J180" i="17"/>
  <c r="I180" i="17"/>
  <c r="H180" i="17"/>
  <c r="G180" i="17"/>
  <c r="F180" i="17"/>
  <c r="D180" i="17"/>
  <c r="K179" i="17"/>
  <c r="M179" i="17" s="1"/>
  <c r="J179" i="17"/>
  <c r="I179" i="17"/>
  <c r="H179" i="17"/>
  <c r="G179" i="17"/>
  <c r="F179" i="17"/>
  <c r="D179" i="17"/>
  <c r="K178" i="17"/>
  <c r="M178" i="17" s="1"/>
  <c r="J178" i="17"/>
  <c r="I178" i="17"/>
  <c r="H178" i="17"/>
  <c r="G178" i="17"/>
  <c r="F178" i="17"/>
  <c r="D178" i="17"/>
  <c r="K177" i="17"/>
  <c r="M177" i="17" s="1"/>
  <c r="J177" i="17"/>
  <c r="I177" i="17"/>
  <c r="H177" i="17"/>
  <c r="G177" i="17"/>
  <c r="F177" i="17"/>
  <c r="D177" i="17"/>
  <c r="K176" i="17"/>
  <c r="M176" i="17" s="1"/>
  <c r="N176" i="17" s="1"/>
  <c r="J176" i="17"/>
  <c r="I176" i="17"/>
  <c r="H176" i="17"/>
  <c r="G176" i="17"/>
  <c r="F176" i="17"/>
  <c r="D176" i="17"/>
  <c r="K175" i="17"/>
  <c r="M175" i="17" s="1"/>
  <c r="J175" i="17"/>
  <c r="I175" i="17"/>
  <c r="H175" i="17"/>
  <c r="G175" i="17"/>
  <c r="F175" i="17"/>
  <c r="D175" i="17"/>
  <c r="K174" i="17"/>
  <c r="M174" i="17" s="1"/>
  <c r="J174" i="17"/>
  <c r="I174" i="17"/>
  <c r="H174" i="17"/>
  <c r="G174" i="17"/>
  <c r="F174" i="17"/>
  <c r="D174" i="17"/>
  <c r="K173" i="17"/>
  <c r="M173" i="17" s="1"/>
  <c r="J173" i="17"/>
  <c r="I173" i="17"/>
  <c r="H173" i="17"/>
  <c r="G173" i="17"/>
  <c r="F173" i="17"/>
  <c r="D173" i="17"/>
  <c r="K172" i="17"/>
  <c r="M172" i="17" s="1"/>
  <c r="J172" i="17"/>
  <c r="I172" i="17"/>
  <c r="H172" i="17"/>
  <c r="G172" i="17"/>
  <c r="F172" i="17"/>
  <c r="D172" i="17"/>
  <c r="K171" i="17"/>
  <c r="M171" i="17" s="1"/>
  <c r="J171" i="17"/>
  <c r="I171" i="17"/>
  <c r="H171" i="17"/>
  <c r="G171" i="17"/>
  <c r="F171" i="17"/>
  <c r="D171" i="17"/>
  <c r="L170" i="17"/>
  <c r="M170" i="17" s="1"/>
  <c r="K170" i="17"/>
  <c r="J170" i="17"/>
  <c r="I170" i="17"/>
  <c r="H170" i="17"/>
  <c r="G170" i="17"/>
  <c r="F170" i="17"/>
  <c r="L169" i="17"/>
  <c r="K169" i="17"/>
  <c r="J169" i="17"/>
  <c r="I169" i="17"/>
  <c r="H169" i="17"/>
  <c r="G169" i="17"/>
  <c r="F169" i="17"/>
  <c r="L168" i="17"/>
  <c r="K168" i="17"/>
  <c r="J168" i="17"/>
  <c r="I168" i="17"/>
  <c r="H168" i="17"/>
  <c r="G168" i="17"/>
  <c r="F168" i="17"/>
  <c r="L167" i="17"/>
  <c r="K167" i="17"/>
  <c r="J167" i="17"/>
  <c r="I167" i="17"/>
  <c r="H167" i="17"/>
  <c r="G167" i="17"/>
  <c r="F167" i="17"/>
  <c r="L166" i="17"/>
  <c r="K166" i="17"/>
  <c r="M166" i="17" s="1"/>
  <c r="J166" i="17"/>
  <c r="I166" i="17"/>
  <c r="H166" i="17"/>
  <c r="G166" i="17"/>
  <c r="F166" i="17"/>
  <c r="L165" i="17"/>
  <c r="K165" i="17"/>
  <c r="J165" i="17"/>
  <c r="I165" i="17"/>
  <c r="H165" i="17"/>
  <c r="G165" i="17"/>
  <c r="F165" i="17"/>
  <c r="L164" i="17"/>
  <c r="K164" i="17"/>
  <c r="M164" i="17" s="1"/>
  <c r="J164" i="17"/>
  <c r="I164" i="17"/>
  <c r="H164" i="17"/>
  <c r="G164" i="17"/>
  <c r="F164" i="17"/>
  <c r="L163" i="17"/>
  <c r="K163" i="17"/>
  <c r="J163" i="17"/>
  <c r="I163" i="17"/>
  <c r="H163" i="17"/>
  <c r="G163" i="17"/>
  <c r="F163" i="17"/>
  <c r="L162" i="17"/>
  <c r="K162" i="17"/>
  <c r="M162" i="17" s="1"/>
  <c r="J162" i="17"/>
  <c r="I162" i="17"/>
  <c r="H162" i="17"/>
  <c r="G162" i="17"/>
  <c r="F162" i="17"/>
  <c r="L161" i="17"/>
  <c r="K161" i="17"/>
  <c r="M161" i="17" s="1"/>
  <c r="J161" i="17"/>
  <c r="I161" i="17"/>
  <c r="H161" i="17"/>
  <c r="G161" i="17"/>
  <c r="F161" i="17"/>
  <c r="M160" i="17"/>
  <c r="L160" i="17"/>
  <c r="K160" i="17"/>
  <c r="J160" i="17"/>
  <c r="I160" i="17"/>
  <c r="H160" i="17"/>
  <c r="G160" i="17"/>
  <c r="F160" i="17"/>
  <c r="L159" i="17"/>
  <c r="K159" i="17"/>
  <c r="J159" i="17"/>
  <c r="I159" i="17"/>
  <c r="H159" i="17"/>
  <c r="G159" i="17"/>
  <c r="F159" i="17"/>
  <c r="L158" i="17"/>
  <c r="K158" i="17"/>
  <c r="M158" i="17" s="1"/>
  <c r="J158" i="17"/>
  <c r="I158" i="17"/>
  <c r="H158" i="17"/>
  <c r="G158" i="17"/>
  <c r="F158" i="17"/>
  <c r="L157" i="17"/>
  <c r="K157" i="17"/>
  <c r="M157" i="17" s="1"/>
  <c r="J157" i="17"/>
  <c r="I157" i="17"/>
  <c r="H157" i="17"/>
  <c r="G157" i="17"/>
  <c r="F157" i="17"/>
  <c r="L156" i="17"/>
  <c r="K156" i="17"/>
  <c r="M156" i="17" s="1"/>
  <c r="J156" i="17"/>
  <c r="I156" i="17"/>
  <c r="H156" i="17"/>
  <c r="G156" i="17"/>
  <c r="F156" i="17"/>
  <c r="L155" i="17"/>
  <c r="K155" i="17"/>
  <c r="J155" i="17"/>
  <c r="I155" i="17"/>
  <c r="H155" i="17"/>
  <c r="G155" i="17"/>
  <c r="F155" i="17"/>
  <c r="L154" i="17"/>
  <c r="M154" i="17" s="1"/>
  <c r="N154" i="17" s="1"/>
  <c r="K154" i="17"/>
  <c r="J154" i="17"/>
  <c r="I154" i="17"/>
  <c r="H154" i="17"/>
  <c r="G154" i="17"/>
  <c r="F154" i="17"/>
  <c r="L153" i="17"/>
  <c r="K153" i="17"/>
  <c r="M153" i="17" s="1"/>
  <c r="J153" i="17"/>
  <c r="I153" i="17"/>
  <c r="H153" i="17"/>
  <c r="G153" i="17"/>
  <c r="F153" i="17"/>
  <c r="L152" i="17"/>
  <c r="K152" i="17"/>
  <c r="M152" i="17" s="1"/>
  <c r="J152" i="17"/>
  <c r="I152" i="17"/>
  <c r="H152" i="17"/>
  <c r="G152" i="17"/>
  <c r="F152" i="17"/>
  <c r="L151" i="17"/>
  <c r="K151" i="17"/>
  <c r="J151" i="17"/>
  <c r="I151" i="17"/>
  <c r="H151" i="17"/>
  <c r="G151" i="17"/>
  <c r="F151" i="17"/>
  <c r="L150" i="17"/>
  <c r="K150" i="17"/>
  <c r="M150" i="17" s="1"/>
  <c r="J150" i="17"/>
  <c r="I150" i="17"/>
  <c r="H150" i="17"/>
  <c r="G150" i="17"/>
  <c r="F150" i="17"/>
  <c r="L149" i="17"/>
  <c r="K149" i="17"/>
  <c r="J149" i="17"/>
  <c r="I149" i="17"/>
  <c r="H149" i="17"/>
  <c r="G149" i="17"/>
  <c r="F149" i="17"/>
  <c r="L148" i="17"/>
  <c r="K148" i="17"/>
  <c r="M148" i="17" s="1"/>
  <c r="J148" i="17"/>
  <c r="I148" i="17"/>
  <c r="H148" i="17"/>
  <c r="G148" i="17"/>
  <c r="F148" i="17"/>
  <c r="L147" i="17"/>
  <c r="K147" i="17"/>
  <c r="M147" i="17" s="1"/>
  <c r="N147" i="17" s="1"/>
  <c r="J147" i="17"/>
  <c r="I147" i="17"/>
  <c r="H147" i="17"/>
  <c r="G147" i="17"/>
  <c r="F147" i="17"/>
  <c r="L146" i="17"/>
  <c r="K146" i="17"/>
  <c r="J146" i="17"/>
  <c r="I146" i="17"/>
  <c r="H146" i="17"/>
  <c r="G146" i="17"/>
  <c r="F146" i="17"/>
  <c r="L145" i="17"/>
  <c r="K145" i="17"/>
  <c r="J145" i="17"/>
  <c r="I145" i="17"/>
  <c r="H145" i="17"/>
  <c r="G145" i="17"/>
  <c r="F145" i="17"/>
  <c r="L144" i="17"/>
  <c r="K144" i="17"/>
  <c r="M144" i="17" s="1"/>
  <c r="J144" i="17"/>
  <c r="I144" i="17"/>
  <c r="H144" i="17"/>
  <c r="G144" i="17"/>
  <c r="F144" i="17"/>
  <c r="L143" i="17"/>
  <c r="M143" i="17" s="1"/>
  <c r="K143" i="17"/>
  <c r="J143" i="17"/>
  <c r="I143" i="17"/>
  <c r="H143" i="17"/>
  <c r="G143" i="17"/>
  <c r="F143" i="17"/>
  <c r="L142" i="17"/>
  <c r="K142" i="17"/>
  <c r="M142" i="17" s="1"/>
  <c r="J142" i="17"/>
  <c r="I142" i="17"/>
  <c r="H142" i="17"/>
  <c r="G142" i="17"/>
  <c r="F142" i="17"/>
  <c r="L141" i="17"/>
  <c r="K141" i="17"/>
  <c r="M141" i="17" s="1"/>
  <c r="J141" i="17"/>
  <c r="I141" i="17"/>
  <c r="H141" i="17"/>
  <c r="G141" i="17"/>
  <c r="F141" i="17"/>
  <c r="K140" i="17"/>
  <c r="M140" i="17" s="1"/>
  <c r="J140" i="17"/>
  <c r="I140" i="17"/>
  <c r="H140" i="17"/>
  <c r="G140" i="17"/>
  <c r="F140" i="17"/>
  <c r="D140" i="17"/>
  <c r="K139" i="17"/>
  <c r="M139" i="17" s="1"/>
  <c r="J139" i="17"/>
  <c r="I139" i="17"/>
  <c r="H139" i="17"/>
  <c r="G139" i="17"/>
  <c r="F139" i="17"/>
  <c r="D139" i="17"/>
  <c r="K138" i="17"/>
  <c r="M138" i="17" s="1"/>
  <c r="N138" i="17" s="1"/>
  <c r="J138" i="17"/>
  <c r="I138" i="17"/>
  <c r="H138" i="17"/>
  <c r="G138" i="17"/>
  <c r="F138" i="17"/>
  <c r="D138" i="17"/>
  <c r="K137" i="17"/>
  <c r="M137" i="17" s="1"/>
  <c r="J137" i="17"/>
  <c r="I137" i="17"/>
  <c r="H137" i="17"/>
  <c r="G137" i="17"/>
  <c r="F137" i="17"/>
  <c r="D137" i="17"/>
  <c r="K136" i="17"/>
  <c r="M136" i="17" s="1"/>
  <c r="J136" i="17"/>
  <c r="I136" i="17"/>
  <c r="H136" i="17"/>
  <c r="G136" i="17"/>
  <c r="F136" i="17"/>
  <c r="D136" i="17"/>
  <c r="K135" i="17"/>
  <c r="M135" i="17" s="1"/>
  <c r="J135" i="17"/>
  <c r="I135" i="17"/>
  <c r="H135" i="17"/>
  <c r="G135" i="17"/>
  <c r="F135" i="17"/>
  <c r="D135" i="17"/>
  <c r="K134" i="17"/>
  <c r="M134" i="17" s="1"/>
  <c r="J134" i="17"/>
  <c r="I134" i="17"/>
  <c r="H134" i="17"/>
  <c r="G134" i="17"/>
  <c r="F134" i="17"/>
  <c r="D134" i="17"/>
  <c r="K133" i="17"/>
  <c r="M133" i="17" s="1"/>
  <c r="J133" i="17"/>
  <c r="I133" i="17"/>
  <c r="H133" i="17"/>
  <c r="G133" i="17"/>
  <c r="F133" i="17"/>
  <c r="D133" i="17"/>
  <c r="K132" i="17"/>
  <c r="M132" i="17" s="1"/>
  <c r="N132" i="17" s="1"/>
  <c r="J132" i="17"/>
  <c r="I132" i="17"/>
  <c r="H132" i="17"/>
  <c r="G132" i="17"/>
  <c r="F132" i="17"/>
  <c r="D132" i="17"/>
  <c r="K131" i="17"/>
  <c r="M131" i="17" s="1"/>
  <c r="J131" i="17"/>
  <c r="I131" i="17"/>
  <c r="H131" i="17"/>
  <c r="G131" i="17"/>
  <c r="F131" i="17"/>
  <c r="D131" i="17"/>
  <c r="K130" i="17"/>
  <c r="M130" i="17" s="1"/>
  <c r="J130" i="17"/>
  <c r="I130" i="17"/>
  <c r="H130" i="17"/>
  <c r="G130" i="17"/>
  <c r="F130" i="17"/>
  <c r="D130" i="17"/>
  <c r="K129" i="17"/>
  <c r="M129" i="17" s="1"/>
  <c r="J129" i="17"/>
  <c r="I129" i="17"/>
  <c r="H129" i="17"/>
  <c r="G129" i="17"/>
  <c r="F129" i="17"/>
  <c r="D129" i="17"/>
  <c r="K128" i="17"/>
  <c r="M128" i="17" s="1"/>
  <c r="J128" i="17"/>
  <c r="I128" i="17"/>
  <c r="H128" i="17"/>
  <c r="G128" i="17"/>
  <c r="F128" i="17"/>
  <c r="D128" i="17"/>
  <c r="K127" i="17"/>
  <c r="M127" i="17" s="1"/>
  <c r="J127" i="17"/>
  <c r="I127" i="17"/>
  <c r="H127" i="17"/>
  <c r="G127" i="17"/>
  <c r="F127" i="17"/>
  <c r="D127" i="17"/>
  <c r="K126" i="17"/>
  <c r="M126" i="17" s="1"/>
  <c r="J126" i="17"/>
  <c r="I126" i="17"/>
  <c r="H126" i="17"/>
  <c r="G126" i="17"/>
  <c r="F126" i="17"/>
  <c r="D126" i="17"/>
  <c r="K125" i="17"/>
  <c r="M125" i="17" s="1"/>
  <c r="J125" i="17"/>
  <c r="I125" i="17"/>
  <c r="H125" i="17"/>
  <c r="G125" i="17"/>
  <c r="F125" i="17"/>
  <c r="D125" i="17"/>
  <c r="K124" i="17"/>
  <c r="M124" i="17" s="1"/>
  <c r="J124" i="17"/>
  <c r="I124" i="17"/>
  <c r="H124" i="17"/>
  <c r="G124" i="17"/>
  <c r="F124" i="17"/>
  <c r="D124" i="17"/>
  <c r="K123" i="17"/>
  <c r="M123" i="17" s="1"/>
  <c r="J123" i="17"/>
  <c r="I123" i="17"/>
  <c r="H123" i="17"/>
  <c r="G123" i="17"/>
  <c r="F123" i="17"/>
  <c r="D123" i="17"/>
  <c r="K122" i="17"/>
  <c r="M122" i="17" s="1"/>
  <c r="J122" i="17"/>
  <c r="I122" i="17"/>
  <c r="H122" i="17"/>
  <c r="G122" i="17"/>
  <c r="F122" i="17"/>
  <c r="D122" i="17"/>
  <c r="L121" i="17"/>
  <c r="K121" i="17"/>
  <c r="J121" i="17"/>
  <c r="I121" i="17"/>
  <c r="H121" i="17"/>
  <c r="G121" i="17"/>
  <c r="F121" i="17"/>
  <c r="L120" i="17"/>
  <c r="K120" i="17"/>
  <c r="J120" i="17"/>
  <c r="I120" i="17"/>
  <c r="H120" i="17"/>
  <c r="G120" i="17"/>
  <c r="F120" i="17"/>
  <c r="L119" i="17"/>
  <c r="K119" i="17"/>
  <c r="M119" i="17" s="1"/>
  <c r="J119" i="17"/>
  <c r="I119" i="17"/>
  <c r="H119" i="17"/>
  <c r="G119" i="17"/>
  <c r="F119" i="17"/>
  <c r="L118" i="17"/>
  <c r="K118" i="17"/>
  <c r="J118" i="17"/>
  <c r="I118" i="17"/>
  <c r="H118" i="17"/>
  <c r="G118" i="17"/>
  <c r="F118" i="17"/>
  <c r="L117" i="17"/>
  <c r="K117" i="17"/>
  <c r="J117" i="17"/>
  <c r="I117" i="17"/>
  <c r="H117" i="17"/>
  <c r="G117" i="17"/>
  <c r="F117" i="17"/>
  <c r="L116" i="17"/>
  <c r="M116" i="17" s="1"/>
  <c r="N116" i="17" s="1"/>
  <c r="K116" i="17"/>
  <c r="J116" i="17"/>
  <c r="I116" i="17"/>
  <c r="H116" i="17"/>
  <c r="G116" i="17"/>
  <c r="F116" i="17"/>
  <c r="L115" i="17"/>
  <c r="K115" i="17"/>
  <c r="J115" i="17"/>
  <c r="I115" i="17"/>
  <c r="H115" i="17"/>
  <c r="G115" i="17"/>
  <c r="F115" i="17"/>
  <c r="L114" i="17"/>
  <c r="K114" i="17"/>
  <c r="J114" i="17"/>
  <c r="I114" i="17"/>
  <c r="H114" i="17"/>
  <c r="G114" i="17"/>
  <c r="F114" i="17"/>
  <c r="L113" i="17"/>
  <c r="K113" i="17"/>
  <c r="J113" i="17"/>
  <c r="I113" i="17"/>
  <c r="H113" i="17"/>
  <c r="G113" i="17"/>
  <c r="F113" i="17"/>
  <c r="L112" i="17"/>
  <c r="K112" i="17"/>
  <c r="M112" i="17" s="1"/>
  <c r="J112" i="17"/>
  <c r="I112" i="17"/>
  <c r="H112" i="17"/>
  <c r="G112" i="17"/>
  <c r="F112" i="17"/>
  <c r="L111" i="17"/>
  <c r="K111" i="17"/>
  <c r="J111" i="17"/>
  <c r="I111" i="17"/>
  <c r="H111" i="17"/>
  <c r="G111" i="17"/>
  <c r="F111" i="17"/>
  <c r="L110" i="17"/>
  <c r="K110" i="17"/>
  <c r="M110" i="17" s="1"/>
  <c r="N110" i="17" s="1"/>
  <c r="J110" i="17"/>
  <c r="I110" i="17"/>
  <c r="H110" i="17"/>
  <c r="G110" i="17"/>
  <c r="F110" i="17"/>
  <c r="L109" i="17"/>
  <c r="K109" i="17"/>
  <c r="M109" i="17" s="1"/>
  <c r="J109" i="17"/>
  <c r="I109" i="17"/>
  <c r="H109" i="17"/>
  <c r="G109" i="17"/>
  <c r="F109" i="17"/>
  <c r="M108" i="17"/>
  <c r="L108" i="17"/>
  <c r="K108" i="17"/>
  <c r="J108" i="17"/>
  <c r="I108" i="17"/>
  <c r="H108" i="17"/>
  <c r="G108" i="17"/>
  <c r="F108" i="17"/>
  <c r="L107" i="17"/>
  <c r="K107" i="17"/>
  <c r="J107" i="17"/>
  <c r="I107" i="17"/>
  <c r="H107" i="17"/>
  <c r="G107" i="17"/>
  <c r="F107" i="17"/>
  <c r="L106" i="17"/>
  <c r="M106" i="17" s="1"/>
  <c r="K106" i="17"/>
  <c r="J106" i="17"/>
  <c r="I106" i="17"/>
  <c r="H106" i="17"/>
  <c r="G106" i="17"/>
  <c r="F106" i="17"/>
  <c r="L105" i="17"/>
  <c r="K105" i="17"/>
  <c r="J105" i="17"/>
  <c r="I105" i="17"/>
  <c r="H105" i="17"/>
  <c r="G105" i="17"/>
  <c r="F105" i="17"/>
  <c r="L104" i="17"/>
  <c r="K104" i="17"/>
  <c r="J104" i="17"/>
  <c r="I104" i="17"/>
  <c r="H104" i="17"/>
  <c r="G104" i="17"/>
  <c r="F104" i="17"/>
  <c r="L103" i="17"/>
  <c r="K103" i="17"/>
  <c r="J103" i="17"/>
  <c r="I103" i="17"/>
  <c r="H103" i="17"/>
  <c r="G103" i="17"/>
  <c r="F103" i="17"/>
  <c r="L102" i="17"/>
  <c r="K102" i="17"/>
  <c r="M102" i="17" s="1"/>
  <c r="J102" i="17"/>
  <c r="I102" i="17"/>
  <c r="H102" i="17"/>
  <c r="G102" i="17"/>
  <c r="F102" i="17"/>
  <c r="L101" i="17"/>
  <c r="K101" i="17"/>
  <c r="J101" i="17"/>
  <c r="I101" i="17"/>
  <c r="H101" i="17"/>
  <c r="G101" i="17"/>
  <c r="F101" i="17"/>
  <c r="L100" i="17"/>
  <c r="K100" i="17"/>
  <c r="J100" i="17"/>
  <c r="I100" i="17"/>
  <c r="H100" i="17"/>
  <c r="G100" i="17"/>
  <c r="F100" i="17"/>
  <c r="L99" i="17"/>
  <c r="K99" i="17"/>
  <c r="J99" i="17"/>
  <c r="I99" i="17"/>
  <c r="H99" i="17"/>
  <c r="G99" i="17"/>
  <c r="F99" i="17"/>
  <c r="L98" i="17"/>
  <c r="K98" i="17"/>
  <c r="J98" i="17"/>
  <c r="I98" i="17"/>
  <c r="H98" i="17"/>
  <c r="G98" i="17"/>
  <c r="F98" i="17"/>
  <c r="L97" i="17"/>
  <c r="K97" i="17"/>
  <c r="J97" i="17"/>
  <c r="I97" i="17"/>
  <c r="H97" i="17"/>
  <c r="G97" i="17"/>
  <c r="F97" i="17"/>
  <c r="L96" i="17"/>
  <c r="K96" i="17"/>
  <c r="M96" i="17" s="1"/>
  <c r="J96" i="17"/>
  <c r="I96" i="17"/>
  <c r="H96" i="17"/>
  <c r="G96" i="17"/>
  <c r="F96" i="17"/>
  <c r="L95" i="17"/>
  <c r="K95" i="17"/>
  <c r="J95" i="17"/>
  <c r="I95" i="17"/>
  <c r="H95" i="17"/>
  <c r="G95" i="17"/>
  <c r="F95" i="17"/>
  <c r="L94" i="17"/>
  <c r="K94" i="17"/>
  <c r="J94" i="17"/>
  <c r="I94" i="17"/>
  <c r="H94" i="17"/>
  <c r="G94" i="17"/>
  <c r="F94" i="17"/>
  <c r="L93" i="17"/>
  <c r="K93" i="17"/>
  <c r="M93" i="17" s="1"/>
  <c r="J93" i="17"/>
  <c r="I93" i="17"/>
  <c r="H93" i="17"/>
  <c r="G93" i="17"/>
  <c r="F93" i="17"/>
  <c r="L92" i="17"/>
  <c r="K92" i="17"/>
  <c r="J92" i="17"/>
  <c r="I92" i="17"/>
  <c r="H92" i="17"/>
  <c r="G92" i="17"/>
  <c r="F92" i="17"/>
  <c r="L91" i="17"/>
  <c r="K91" i="17"/>
  <c r="M91" i="17" s="1"/>
  <c r="J91" i="17"/>
  <c r="I91" i="17"/>
  <c r="H91" i="17"/>
  <c r="G91" i="17"/>
  <c r="F91" i="17"/>
  <c r="L90" i="17"/>
  <c r="K90" i="17"/>
  <c r="M90" i="17" s="1"/>
  <c r="N90" i="17" s="1"/>
  <c r="J90" i="17"/>
  <c r="I90" i="17"/>
  <c r="H90" i="17"/>
  <c r="G90" i="17"/>
  <c r="F90" i="17"/>
  <c r="L89" i="17"/>
  <c r="K89" i="17"/>
  <c r="J89" i="17"/>
  <c r="I89" i="17"/>
  <c r="H89" i="17"/>
  <c r="G89" i="17"/>
  <c r="F89" i="17"/>
  <c r="L88" i="17"/>
  <c r="K88" i="17"/>
  <c r="J88" i="17"/>
  <c r="I88" i="17"/>
  <c r="H88" i="17"/>
  <c r="G88" i="17"/>
  <c r="F88" i="17"/>
  <c r="L87" i="17"/>
  <c r="K87" i="17"/>
  <c r="J87" i="17"/>
  <c r="I87" i="17"/>
  <c r="H87" i="17"/>
  <c r="G87" i="17"/>
  <c r="F87" i="17"/>
  <c r="L86" i="17"/>
  <c r="K86" i="17"/>
  <c r="M86" i="17" s="1"/>
  <c r="J86" i="17"/>
  <c r="I86" i="17"/>
  <c r="H86" i="17"/>
  <c r="G86" i="17"/>
  <c r="F86" i="17"/>
  <c r="L85" i="17"/>
  <c r="K85" i="17"/>
  <c r="M85" i="17" s="1"/>
  <c r="J85" i="17"/>
  <c r="I85" i="17"/>
  <c r="H85" i="17"/>
  <c r="G85" i="17"/>
  <c r="F85" i="17"/>
  <c r="L84" i="17"/>
  <c r="K84" i="17"/>
  <c r="J84" i="17"/>
  <c r="I84" i="17"/>
  <c r="H84" i="17"/>
  <c r="G84" i="17"/>
  <c r="F84" i="17"/>
  <c r="L83" i="17"/>
  <c r="K83" i="17"/>
  <c r="J83" i="17"/>
  <c r="I83" i="17"/>
  <c r="H83" i="17"/>
  <c r="G83" i="17"/>
  <c r="F83" i="17"/>
  <c r="L82" i="17"/>
  <c r="K82" i="17"/>
  <c r="M82" i="17" s="1"/>
  <c r="J82" i="17"/>
  <c r="I82" i="17"/>
  <c r="H82" i="17"/>
  <c r="G82" i="17"/>
  <c r="F82" i="17"/>
  <c r="L81" i="17"/>
  <c r="K81" i="17"/>
  <c r="J81" i="17"/>
  <c r="I81" i="17"/>
  <c r="H81" i="17"/>
  <c r="G81" i="17"/>
  <c r="F81" i="17"/>
  <c r="L80" i="17"/>
  <c r="M80" i="17" s="1"/>
  <c r="K80" i="17"/>
  <c r="J80" i="17"/>
  <c r="I80" i="17"/>
  <c r="H80" i="17"/>
  <c r="G80" i="17"/>
  <c r="F80" i="17"/>
  <c r="L79" i="17"/>
  <c r="K79" i="17"/>
  <c r="M79" i="17" s="1"/>
  <c r="N79" i="17" s="1"/>
  <c r="J79" i="17"/>
  <c r="I79" i="17"/>
  <c r="H79" i="17"/>
  <c r="G79" i="17"/>
  <c r="F79" i="17"/>
  <c r="L78" i="17"/>
  <c r="K78" i="17"/>
  <c r="M78" i="17" s="1"/>
  <c r="J78" i="17"/>
  <c r="I78" i="17"/>
  <c r="H78" i="17"/>
  <c r="G78" i="17"/>
  <c r="F78" i="17"/>
  <c r="L77" i="17"/>
  <c r="K77" i="17"/>
  <c r="J77" i="17"/>
  <c r="I77" i="17"/>
  <c r="H77" i="17"/>
  <c r="G77" i="17"/>
  <c r="F77" i="17"/>
  <c r="L76" i="17"/>
  <c r="K76" i="17"/>
  <c r="J76" i="17"/>
  <c r="I76" i="17"/>
  <c r="H76" i="17"/>
  <c r="G76" i="17"/>
  <c r="F76" i="17"/>
  <c r="L75" i="17"/>
  <c r="M75" i="17" s="1"/>
  <c r="K75" i="17"/>
  <c r="J75" i="17"/>
  <c r="I75" i="17"/>
  <c r="H75" i="17"/>
  <c r="G75" i="17"/>
  <c r="F75" i="17"/>
  <c r="L74" i="17"/>
  <c r="K74" i="17"/>
  <c r="J74" i="17"/>
  <c r="I74" i="17"/>
  <c r="H74" i="17"/>
  <c r="G74" i="17"/>
  <c r="F74" i="17"/>
  <c r="L73" i="17"/>
  <c r="K73" i="17"/>
  <c r="M73" i="17" s="1"/>
  <c r="J73" i="17"/>
  <c r="I73" i="17"/>
  <c r="H73" i="17"/>
  <c r="G73" i="17"/>
  <c r="F73" i="17"/>
  <c r="L72" i="17"/>
  <c r="K72" i="17"/>
  <c r="J72" i="17"/>
  <c r="I72" i="17"/>
  <c r="H72" i="17"/>
  <c r="G72" i="17"/>
  <c r="F72" i="17"/>
  <c r="L71" i="17"/>
  <c r="K71" i="17"/>
  <c r="J71" i="17"/>
  <c r="I71" i="17"/>
  <c r="H71" i="17"/>
  <c r="G71" i="17"/>
  <c r="F71" i="17"/>
  <c r="L70" i="17"/>
  <c r="K70" i="17"/>
  <c r="M70" i="17" s="1"/>
  <c r="J70" i="17"/>
  <c r="I70" i="17"/>
  <c r="H70" i="17"/>
  <c r="G70" i="17"/>
  <c r="F70" i="17"/>
  <c r="L69" i="17"/>
  <c r="K69" i="17"/>
  <c r="J69" i="17"/>
  <c r="I69" i="17"/>
  <c r="H69" i="17"/>
  <c r="G69" i="17"/>
  <c r="F69" i="17"/>
  <c r="L68" i="17"/>
  <c r="M68" i="17" s="1"/>
  <c r="K68" i="17"/>
  <c r="J68" i="17"/>
  <c r="I68" i="17"/>
  <c r="H68" i="17"/>
  <c r="G68" i="17"/>
  <c r="F68" i="17"/>
  <c r="K67" i="17"/>
  <c r="M67" i="17" s="1"/>
  <c r="N67" i="17" s="1"/>
  <c r="J67" i="17"/>
  <c r="I67" i="17"/>
  <c r="H67" i="17"/>
  <c r="G67" i="17"/>
  <c r="F67" i="17"/>
  <c r="D67" i="17"/>
  <c r="K66" i="17"/>
  <c r="M66" i="17" s="1"/>
  <c r="J66" i="17"/>
  <c r="I66" i="17"/>
  <c r="H66" i="17"/>
  <c r="G66" i="17"/>
  <c r="F66" i="17"/>
  <c r="D66" i="17"/>
  <c r="K65" i="17"/>
  <c r="M65" i="17" s="1"/>
  <c r="J65" i="17"/>
  <c r="I65" i="17"/>
  <c r="H65" i="17"/>
  <c r="G65" i="17"/>
  <c r="F65" i="17"/>
  <c r="D65" i="17"/>
  <c r="K64" i="17"/>
  <c r="M64" i="17" s="1"/>
  <c r="J64" i="17"/>
  <c r="I64" i="17"/>
  <c r="H64" i="17"/>
  <c r="G64" i="17"/>
  <c r="F64" i="17"/>
  <c r="D64" i="17"/>
  <c r="K63" i="17"/>
  <c r="M63" i="17" s="1"/>
  <c r="J63" i="17"/>
  <c r="I63" i="17"/>
  <c r="H63" i="17"/>
  <c r="G63" i="17"/>
  <c r="F63" i="17"/>
  <c r="D63" i="17"/>
  <c r="K62" i="17"/>
  <c r="M62" i="17" s="1"/>
  <c r="J62" i="17"/>
  <c r="I62" i="17"/>
  <c r="H62" i="17"/>
  <c r="G62" i="17"/>
  <c r="F62" i="17"/>
  <c r="D62" i="17"/>
  <c r="K61" i="17"/>
  <c r="M61" i="17" s="1"/>
  <c r="J61" i="17"/>
  <c r="I61" i="17"/>
  <c r="H61" i="17"/>
  <c r="G61" i="17"/>
  <c r="F61" i="17"/>
  <c r="D61" i="17"/>
  <c r="K60" i="17"/>
  <c r="M60" i="17" s="1"/>
  <c r="J60" i="17"/>
  <c r="I60" i="17"/>
  <c r="H60" i="17"/>
  <c r="G60" i="17"/>
  <c r="F60" i="17"/>
  <c r="D60" i="17"/>
  <c r="K59" i="17"/>
  <c r="M59" i="17" s="1"/>
  <c r="J59" i="17"/>
  <c r="I59" i="17"/>
  <c r="H59" i="17"/>
  <c r="G59" i="17"/>
  <c r="F59" i="17"/>
  <c r="D59" i="17"/>
  <c r="K58" i="17"/>
  <c r="M58" i="17" s="1"/>
  <c r="J58" i="17"/>
  <c r="I58" i="17"/>
  <c r="H58" i="17"/>
  <c r="G58" i="17"/>
  <c r="F58" i="17"/>
  <c r="D58" i="17"/>
  <c r="K57" i="17"/>
  <c r="M57" i="17" s="1"/>
  <c r="J57" i="17"/>
  <c r="I57" i="17"/>
  <c r="H57" i="17"/>
  <c r="G57" i="17"/>
  <c r="F57" i="17"/>
  <c r="D57" i="17"/>
  <c r="K56" i="17"/>
  <c r="M56" i="17" s="1"/>
  <c r="J56" i="17"/>
  <c r="I56" i="17"/>
  <c r="H56" i="17"/>
  <c r="G56" i="17"/>
  <c r="F56" i="17"/>
  <c r="D56" i="17"/>
  <c r="K55" i="17"/>
  <c r="M55" i="17" s="1"/>
  <c r="N55" i="17" s="1"/>
  <c r="J55" i="17"/>
  <c r="I55" i="17"/>
  <c r="H55" i="17"/>
  <c r="G55" i="17"/>
  <c r="F55" i="17"/>
  <c r="D55" i="17"/>
  <c r="K54" i="17"/>
  <c r="M54" i="17" s="1"/>
  <c r="J54" i="17"/>
  <c r="I54" i="17"/>
  <c r="H54" i="17"/>
  <c r="G54" i="17"/>
  <c r="F54" i="17"/>
  <c r="D54" i="17"/>
  <c r="K53" i="17"/>
  <c r="M53" i="17" s="1"/>
  <c r="J53" i="17"/>
  <c r="I53" i="17"/>
  <c r="H53" i="17"/>
  <c r="G53" i="17"/>
  <c r="F53" i="17"/>
  <c r="D53" i="17"/>
  <c r="K52" i="17"/>
  <c r="M52" i="17" s="1"/>
  <c r="J52" i="17"/>
  <c r="I52" i="17"/>
  <c r="H52" i="17"/>
  <c r="G52" i="17"/>
  <c r="F52" i="17"/>
  <c r="D52" i="17"/>
  <c r="K51" i="17"/>
  <c r="M51" i="17" s="1"/>
  <c r="J51" i="17"/>
  <c r="I51" i="17"/>
  <c r="H51" i="17"/>
  <c r="G51" i="17"/>
  <c r="F51" i="17"/>
  <c r="D51" i="17"/>
  <c r="K50" i="17"/>
  <c r="M50" i="17" s="1"/>
  <c r="J50" i="17"/>
  <c r="I50" i="17"/>
  <c r="H50" i="17"/>
  <c r="G50" i="17"/>
  <c r="F50" i="17"/>
  <c r="D50" i="17"/>
  <c r="K49" i="17"/>
  <c r="M49" i="17" s="1"/>
  <c r="J49" i="17"/>
  <c r="I49" i="17"/>
  <c r="H49" i="17"/>
  <c r="G49" i="17"/>
  <c r="F49" i="17"/>
  <c r="D49" i="17"/>
  <c r="L48" i="17"/>
  <c r="K48" i="17"/>
  <c r="J48" i="17"/>
  <c r="I48" i="17"/>
  <c r="H48" i="17"/>
  <c r="G48" i="17"/>
  <c r="F48" i="17"/>
  <c r="L47" i="17"/>
  <c r="K47" i="17"/>
  <c r="J47" i="17"/>
  <c r="I47" i="17"/>
  <c r="H47" i="17"/>
  <c r="G47" i="17"/>
  <c r="F47" i="17"/>
  <c r="L46" i="17"/>
  <c r="K46" i="17"/>
  <c r="J46" i="17"/>
  <c r="I46" i="17"/>
  <c r="H46" i="17"/>
  <c r="G46" i="17"/>
  <c r="F46" i="17"/>
  <c r="L45" i="17"/>
  <c r="K45" i="17"/>
  <c r="M45" i="17" s="1"/>
  <c r="J45" i="17"/>
  <c r="I45" i="17"/>
  <c r="H45" i="17"/>
  <c r="G45" i="17"/>
  <c r="F45" i="17"/>
  <c r="L44" i="17"/>
  <c r="K44" i="17"/>
  <c r="J44" i="17"/>
  <c r="I44" i="17"/>
  <c r="H44" i="17"/>
  <c r="G44" i="17"/>
  <c r="F44" i="17"/>
  <c r="L43" i="17"/>
  <c r="K43" i="17"/>
  <c r="M43" i="17" s="1"/>
  <c r="N43" i="17" s="1"/>
  <c r="J43" i="17"/>
  <c r="I43" i="17"/>
  <c r="H43" i="17"/>
  <c r="G43" i="17"/>
  <c r="F43" i="17"/>
  <c r="L42" i="17"/>
  <c r="K42" i="17"/>
  <c r="J42" i="17"/>
  <c r="I42" i="17"/>
  <c r="H42" i="17"/>
  <c r="G42" i="17"/>
  <c r="F42" i="17"/>
  <c r="L41" i="17"/>
  <c r="K41" i="17"/>
  <c r="M41" i="17" s="1"/>
  <c r="J41" i="17"/>
  <c r="I41" i="17"/>
  <c r="H41" i="17"/>
  <c r="G41" i="17"/>
  <c r="F41" i="17"/>
  <c r="L40" i="17"/>
  <c r="M40" i="17" s="1"/>
  <c r="K40" i="17"/>
  <c r="J40" i="17"/>
  <c r="I40" i="17"/>
  <c r="H40" i="17"/>
  <c r="G40" i="17"/>
  <c r="F40" i="17"/>
  <c r="L39" i="17"/>
  <c r="K39" i="17"/>
  <c r="M39" i="17" s="1"/>
  <c r="J39" i="17"/>
  <c r="I39" i="17"/>
  <c r="H39" i="17"/>
  <c r="G39" i="17"/>
  <c r="F39" i="17"/>
  <c r="L38" i="17"/>
  <c r="K38" i="17"/>
  <c r="J38" i="17"/>
  <c r="I38" i="17"/>
  <c r="H38" i="17"/>
  <c r="G38" i="17"/>
  <c r="F38" i="17"/>
  <c r="L37" i="17"/>
  <c r="K37" i="17"/>
  <c r="J37" i="17"/>
  <c r="I37" i="17"/>
  <c r="H37" i="17"/>
  <c r="G37" i="17"/>
  <c r="F37" i="17"/>
  <c r="L36" i="17"/>
  <c r="K36" i="17"/>
  <c r="J36" i="17"/>
  <c r="I36" i="17"/>
  <c r="H36" i="17"/>
  <c r="G36" i="17"/>
  <c r="F36" i="17"/>
  <c r="L35" i="17"/>
  <c r="K35" i="17"/>
  <c r="J35" i="17"/>
  <c r="I35" i="17"/>
  <c r="H35" i="17"/>
  <c r="G35" i="17"/>
  <c r="F35" i="17"/>
  <c r="L34" i="17"/>
  <c r="K34" i="17"/>
  <c r="J34" i="17"/>
  <c r="I34" i="17"/>
  <c r="H34" i="17"/>
  <c r="G34" i="17"/>
  <c r="F34" i="17"/>
  <c r="L33" i="17"/>
  <c r="K33" i="17"/>
  <c r="J33" i="17"/>
  <c r="I33" i="17"/>
  <c r="H33" i="17"/>
  <c r="G33" i="17"/>
  <c r="F33" i="17"/>
  <c r="L32" i="17"/>
  <c r="K32" i="17"/>
  <c r="J32" i="17"/>
  <c r="I32" i="17"/>
  <c r="H32" i="17"/>
  <c r="G32" i="17"/>
  <c r="F32" i="17"/>
  <c r="L31" i="17"/>
  <c r="K31" i="17"/>
  <c r="M31" i="17" s="1"/>
  <c r="N31" i="17" s="1"/>
  <c r="J31" i="17"/>
  <c r="I31" i="17"/>
  <c r="H31" i="17"/>
  <c r="G31" i="17"/>
  <c r="F31" i="17"/>
  <c r="L30" i="17"/>
  <c r="K30" i="17"/>
  <c r="J30" i="17"/>
  <c r="I30" i="17"/>
  <c r="H30" i="17"/>
  <c r="G30" i="17"/>
  <c r="F30" i="17"/>
  <c r="L29" i="17"/>
  <c r="K29" i="17"/>
  <c r="M29" i="17" s="1"/>
  <c r="J29" i="17"/>
  <c r="I29" i="17"/>
  <c r="H29" i="17"/>
  <c r="G29" i="17"/>
  <c r="F29" i="17"/>
  <c r="L28" i="17"/>
  <c r="K28" i="17"/>
  <c r="J28" i="17"/>
  <c r="I28" i="17"/>
  <c r="H28" i="17"/>
  <c r="G28" i="17"/>
  <c r="F28" i="17"/>
  <c r="L27" i="17"/>
  <c r="K27" i="17"/>
  <c r="J27" i="17"/>
  <c r="I27" i="17"/>
  <c r="H27" i="17"/>
  <c r="G27" i="17"/>
  <c r="F27" i="17"/>
  <c r="L26" i="17"/>
  <c r="K26" i="17"/>
  <c r="J26" i="17"/>
  <c r="I26" i="17"/>
  <c r="H26" i="17"/>
  <c r="G26" i="17"/>
  <c r="F26" i="17"/>
  <c r="L25" i="17"/>
  <c r="K25" i="17"/>
  <c r="J25" i="17"/>
  <c r="I25" i="17"/>
  <c r="H25" i="17"/>
  <c r="G25" i="17"/>
  <c r="F25" i="17"/>
  <c r="L24" i="17"/>
  <c r="K24" i="17"/>
  <c r="J24" i="17"/>
  <c r="I24" i="17"/>
  <c r="H24" i="17"/>
  <c r="G24" i="17"/>
  <c r="F24" i="17"/>
  <c r="L23" i="17"/>
  <c r="K23" i="17"/>
  <c r="J23" i="17"/>
  <c r="I23" i="17"/>
  <c r="H23" i="17"/>
  <c r="G23" i="17"/>
  <c r="F23" i="17"/>
  <c r="L22" i="17"/>
  <c r="K22" i="17"/>
  <c r="J22" i="17"/>
  <c r="I22" i="17"/>
  <c r="H22" i="17"/>
  <c r="G22" i="17"/>
  <c r="F22" i="17"/>
  <c r="L21" i="17"/>
  <c r="K21" i="17"/>
  <c r="M21" i="17" s="1"/>
  <c r="J21" i="17"/>
  <c r="I21" i="17"/>
  <c r="H21" i="17"/>
  <c r="G21" i="17"/>
  <c r="F21" i="17"/>
  <c r="L20" i="17"/>
  <c r="K20" i="17"/>
  <c r="J20" i="17"/>
  <c r="I20" i="17"/>
  <c r="H20" i="17"/>
  <c r="G20" i="17"/>
  <c r="F20" i="17"/>
  <c r="L19" i="17"/>
  <c r="K19" i="17"/>
  <c r="M19" i="17" s="1"/>
  <c r="N19" i="17" s="1"/>
  <c r="J19" i="17"/>
  <c r="I19" i="17"/>
  <c r="H19" i="17"/>
  <c r="G19" i="17"/>
  <c r="F19" i="17"/>
  <c r="L18" i="17"/>
  <c r="K18" i="17"/>
  <c r="M18" i="17" s="1"/>
  <c r="J18" i="17"/>
  <c r="I18" i="17"/>
  <c r="H18" i="17"/>
  <c r="G18" i="17"/>
  <c r="F18" i="17"/>
  <c r="L17" i="17"/>
  <c r="K17" i="17"/>
  <c r="J17" i="17"/>
  <c r="I17" i="17"/>
  <c r="H17" i="17"/>
  <c r="G17" i="17"/>
  <c r="F17" i="17"/>
  <c r="L16" i="17"/>
  <c r="K16" i="17"/>
  <c r="J16" i="17"/>
  <c r="I16" i="17"/>
  <c r="H16" i="17"/>
  <c r="G16" i="17"/>
  <c r="F16" i="17"/>
  <c r="L15" i="17"/>
  <c r="M15" i="17" s="1"/>
  <c r="K15" i="17"/>
  <c r="J15" i="17"/>
  <c r="I15" i="17"/>
  <c r="H15" i="17"/>
  <c r="G15" i="17"/>
  <c r="F15" i="17"/>
  <c r="L14" i="17"/>
  <c r="K14" i="17"/>
  <c r="J14" i="17"/>
  <c r="I14" i="17"/>
  <c r="H14" i="17"/>
  <c r="G14" i="17"/>
  <c r="F14" i="17"/>
  <c r="L13" i="17"/>
  <c r="K13" i="17"/>
  <c r="M13" i="17" s="1"/>
  <c r="J13" i="17"/>
  <c r="I13" i="17"/>
  <c r="H13" i="17"/>
  <c r="G13" i="17"/>
  <c r="F13" i="17"/>
  <c r="L12" i="17"/>
  <c r="M12" i="17" s="1"/>
  <c r="K12" i="17"/>
  <c r="J12" i="17"/>
  <c r="I12" i="17"/>
  <c r="H12" i="17"/>
  <c r="G12" i="17"/>
  <c r="F12" i="17"/>
  <c r="L11" i="17"/>
  <c r="K11" i="17"/>
  <c r="J11" i="17"/>
  <c r="I11" i="17"/>
  <c r="H11" i="17"/>
  <c r="G11" i="17"/>
  <c r="F11" i="17"/>
  <c r="L10" i="17"/>
  <c r="K10" i="17"/>
  <c r="J10" i="17"/>
  <c r="I10" i="17"/>
  <c r="H10" i="17"/>
  <c r="G10" i="17"/>
  <c r="F10" i="17"/>
  <c r="L9" i="17"/>
  <c r="K9" i="17"/>
  <c r="M9" i="17" s="1"/>
  <c r="J9" i="17"/>
  <c r="I9" i="17"/>
  <c r="H9" i="17"/>
  <c r="G9" i="17"/>
  <c r="F9" i="17"/>
  <c r="L8" i="17"/>
  <c r="K8" i="17"/>
  <c r="J8" i="17"/>
  <c r="I8" i="17"/>
  <c r="H8" i="17"/>
  <c r="G8" i="17"/>
  <c r="F8" i="17"/>
  <c r="L7" i="17"/>
  <c r="M7" i="17" s="1"/>
  <c r="N7" i="17" s="1"/>
  <c r="K7" i="17"/>
  <c r="J7" i="17"/>
  <c r="I7" i="17"/>
  <c r="H7" i="17"/>
  <c r="G7" i="17"/>
  <c r="F7" i="17"/>
  <c r="L6" i="17"/>
  <c r="K6" i="17"/>
  <c r="J6" i="17"/>
  <c r="I6" i="17"/>
  <c r="H6" i="17"/>
  <c r="G6" i="17"/>
  <c r="F6" i="17"/>
  <c r="L5" i="17"/>
  <c r="K5" i="17"/>
  <c r="J5" i="17"/>
  <c r="I5" i="17"/>
  <c r="H5" i="17"/>
  <c r="G5" i="17"/>
  <c r="F5" i="17"/>
  <c r="C57" i="15"/>
  <c r="G44" i="15"/>
  <c r="F44" i="15"/>
  <c r="E44" i="15"/>
  <c r="D44" i="15"/>
  <c r="C44" i="15"/>
  <c r="C13" i="15"/>
  <c r="C10" i="15"/>
  <c r="C9" i="15"/>
  <c r="C8" i="15"/>
  <c r="C7" i="15"/>
  <c r="C6" i="15"/>
  <c r="H71" i="14"/>
  <c r="H66" i="14"/>
  <c r="H61" i="14"/>
  <c r="H56" i="14"/>
  <c r="H51" i="14"/>
  <c r="F19" i="14"/>
  <c r="E19" i="14"/>
  <c r="C40" i="13"/>
  <c r="C39" i="13"/>
  <c r="C38" i="13"/>
  <c r="C37" i="13"/>
  <c r="C36" i="13"/>
  <c r="C35" i="13"/>
  <c r="D30" i="13"/>
  <c r="D29" i="13"/>
  <c r="D28" i="13"/>
  <c r="D27" i="13"/>
  <c r="D26" i="13"/>
  <c r="D25" i="13"/>
  <c r="D24" i="13"/>
  <c r="D23" i="13"/>
  <c r="D22" i="13"/>
  <c r="D21" i="13"/>
  <c r="D20" i="13"/>
  <c r="D17" i="13"/>
  <c r="D16" i="13"/>
  <c r="G10" i="13"/>
  <c r="F10" i="13"/>
  <c r="E10" i="13"/>
  <c r="D10" i="13"/>
  <c r="C10" i="13"/>
  <c r="G7" i="13"/>
  <c r="F7" i="13"/>
  <c r="E7" i="13"/>
  <c r="I108" i="12"/>
  <c r="J107" i="12"/>
  <c r="J106" i="12"/>
  <c r="J105" i="12"/>
  <c r="J104" i="12"/>
  <c r="J103" i="12"/>
  <c r="J102" i="12"/>
  <c r="J101" i="12"/>
  <c r="J100" i="12"/>
  <c r="J99" i="12"/>
  <c r="J98" i="12"/>
  <c r="J97" i="12"/>
  <c r="J96" i="12"/>
  <c r="J95" i="12"/>
  <c r="J94" i="12"/>
  <c r="J93" i="12"/>
  <c r="J92" i="12"/>
  <c r="J91" i="12"/>
  <c r="J90" i="12"/>
  <c r="J89" i="12"/>
  <c r="I87" i="12"/>
  <c r="J86" i="12"/>
  <c r="J85" i="12"/>
  <c r="J84" i="12"/>
  <c r="J83" i="12"/>
  <c r="J82" i="12"/>
  <c r="J81" i="12"/>
  <c r="J80" i="12"/>
  <c r="J79" i="12"/>
  <c r="J78" i="12"/>
  <c r="J77" i="12"/>
  <c r="J76" i="12"/>
  <c r="J75" i="12"/>
  <c r="J74" i="12"/>
  <c r="J73" i="12"/>
  <c r="J72" i="12"/>
  <c r="J71" i="12"/>
  <c r="J70" i="12"/>
  <c r="J69" i="12"/>
  <c r="J68" i="12"/>
  <c r="I66" i="12"/>
  <c r="J65" i="12"/>
  <c r="J64" i="12"/>
  <c r="J63" i="12"/>
  <c r="J62" i="12"/>
  <c r="J61" i="12"/>
  <c r="J60" i="12"/>
  <c r="J59" i="12"/>
  <c r="J58" i="12"/>
  <c r="J57" i="12"/>
  <c r="J56" i="12"/>
  <c r="J55" i="12"/>
  <c r="J54" i="12"/>
  <c r="J53" i="12"/>
  <c r="J52" i="12"/>
  <c r="J51" i="12"/>
  <c r="J50" i="12"/>
  <c r="J49" i="12"/>
  <c r="J48" i="12"/>
  <c r="J47" i="12"/>
  <c r="I45" i="12"/>
  <c r="J44" i="12"/>
  <c r="J43" i="12"/>
  <c r="J42" i="12"/>
  <c r="J41" i="12"/>
  <c r="J40" i="12"/>
  <c r="J39" i="12"/>
  <c r="J38" i="12"/>
  <c r="J37" i="12"/>
  <c r="J36" i="12"/>
  <c r="J35" i="12"/>
  <c r="J34" i="12"/>
  <c r="J33" i="12"/>
  <c r="J32" i="12"/>
  <c r="J31" i="12"/>
  <c r="J30" i="12"/>
  <c r="J29" i="12"/>
  <c r="J28" i="12"/>
  <c r="J27" i="12"/>
  <c r="J26" i="12"/>
  <c r="I24" i="12"/>
  <c r="J23" i="12"/>
  <c r="J22" i="12"/>
  <c r="J21" i="12"/>
  <c r="J20" i="12"/>
  <c r="J19" i="12"/>
  <c r="J18" i="12"/>
  <c r="J17" i="12"/>
  <c r="J16" i="12"/>
  <c r="J15" i="12"/>
  <c r="J14" i="12"/>
  <c r="J13" i="12"/>
  <c r="J12" i="12"/>
  <c r="J11" i="12"/>
  <c r="J10" i="12"/>
  <c r="J9" i="12"/>
  <c r="J8" i="12"/>
  <c r="J7" i="12"/>
  <c r="J6" i="12"/>
  <c r="J5" i="12"/>
  <c r="F28" i="11"/>
  <c r="E28" i="11"/>
  <c r="H27" i="11"/>
  <c r="G27" i="11"/>
  <c r="H26" i="11"/>
  <c r="G26" i="11"/>
  <c r="H25" i="11"/>
  <c r="G25" i="11"/>
  <c r="F23" i="11"/>
  <c r="E23" i="11"/>
  <c r="H22" i="11"/>
  <c r="G22" i="11"/>
  <c r="H21" i="11"/>
  <c r="G21" i="11"/>
  <c r="H20" i="11"/>
  <c r="G20" i="11"/>
  <c r="F18" i="11"/>
  <c r="E18" i="11"/>
  <c r="H17" i="11"/>
  <c r="G17" i="11"/>
  <c r="H16" i="11"/>
  <c r="G16" i="11"/>
  <c r="H15" i="11"/>
  <c r="G15" i="11"/>
  <c r="G18" i="11" s="1"/>
  <c r="H13" i="11"/>
  <c r="F13" i="11"/>
  <c r="E13" i="11"/>
  <c r="H12" i="11"/>
  <c r="G12" i="11"/>
  <c r="H11" i="11"/>
  <c r="G11" i="11"/>
  <c r="H10" i="11"/>
  <c r="G10" i="11"/>
  <c r="F8" i="11"/>
  <c r="E8" i="11"/>
  <c r="H7" i="11"/>
  <c r="H8" i="11" s="1"/>
  <c r="G7" i="11"/>
  <c r="H6" i="11"/>
  <c r="G6" i="11"/>
  <c r="H5" i="11"/>
  <c r="G5" i="11"/>
  <c r="G8" i="11" s="1"/>
  <c r="J91" i="10"/>
  <c r="K90" i="10"/>
  <c r="K89" i="10"/>
  <c r="K88" i="10"/>
  <c r="K87" i="10"/>
  <c r="K86" i="10"/>
  <c r="K85" i="10"/>
  <c r="K84" i="10"/>
  <c r="K83" i="10"/>
  <c r="K82" i="10"/>
  <c r="K81" i="10"/>
  <c r="J79" i="10"/>
  <c r="K78" i="10"/>
  <c r="K77" i="10"/>
  <c r="K76" i="10"/>
  <c r="K75" i="10"/>
  <c r="K74" i="10"/>
  <c r="K73" i="10"/>
  <c r="K72" i="10"/>
  <c r="K71" i="10"/>
  <c r="K70" i="10"/>
  <c r="K69" i="10"/>
  <c r="J67" i="10"/>
  <c r="K66" i="10"/>
  <c r="K65" i="10"/>
  <c r="K64" i="10"/>
  <c r="K63" i="10"/>
  <c r="K62" i="10"/>
  <c r="K61" i="10"/>
  <c r="K60" i="10"/>
  <c r="K59" i="10"/>
  <c r="K58" i="10"/>
  <c r="K57" i="10"/>
  <c r="J55" i="10"/>
  <c r="K54" i="10"/>
  <c r="K53" i="10"/>
  <c r="K52" i="10"/>
  <c r="K51" i="10"/>
  <c r="K50" i="10"/>
  <c r="K49" i="10"/>
  <c r="K48" i="10"/>
  <c r="K47" i="10"/>
  <c r="K46" i="10"/>
  <c r="K45" i="10"/>
  <c r="K44" i="10"/>
  <c r="K43" i="10"/>
  <c r="J41" i="10"/>
  <c r="K40" i="10"/>
  <c r="K39" i="10"/>
  <c r="K38" i="10"/>
  <c r="K37" i="10"/>
  <c r="K36" i="10"/>
  <c r="K35" i="10"/>
  <c r="K34" i="10"/>
  <c r="K33" i="10"/>
  <c r="K32" i="10"/>
  <c r="K31" i="10"/>
  <c r="J29" i="10"/>
  <c r="K28" i="10"/>
  <c r="K27" i="10"/>
  <c r="K26" i="10"/>
  <c r="K25" i="10"/>
  <c r="K24" i="10"/>
  <c r="K23" i="10"/>
  <c r="K22" i="10"/>
  <c r="K21" i="10"/>
  <c r="K20" i="10"/>
  <c r="K19" i="10"/>
  <c r="K18" i="10"/>
  <c r="K17" i="10"/>
  <c r="J15" i="10"/>
  <c r="K14" i="10"/>
  <c r="K13" i="10"/>
  <c r="K12" i="10"/>
  <c r="K11" i="10"/>
  <c r="K10" i="10"/>
  <c r="K9" i="10"/>
  <c r="K8" i="10"/>
  <c r="K7" i="10"/>
  <c r="D16" i="3" s="1"/>
  <c r="K6" i="10"/>
  <c r="K5" i="10"/>
  <c r="E8" i="9"/>
  <c r="D8" i="9"/>
  <c r="S11" i="8"/>
  <c r="R11" i="8"/>
  <c r="Q11" i="8"/>
  <c r="P11" i="8"/>
  <c r="K11" i="8"/>
  <c r="J11" i="8"/>
  <c r="H11" i="8"/>
  <c r="G11" i="8"/>
  <c r="F11" i="8"/>
  <c r="E11" i="8"/>
  <c r="D11" i="8"/>
  <c r="I10" i="8"/>
  <c r="I9" i="8"/>
  <c r="I8" i="8"/>
  <c r="I7" i="8"/>
  <c r="I6" i="8"/>
  <c r="I5" i="8"/>
  <c r="C23" i="7"/>
  <c r="C22" i="7"/>
  <c r="C25" i="7" s="1"/>
  <c r="C21" i="7"/>
  <c r="C24" i="7" s="1"/>
  <c r="E15" i="7"/>
  <c r="C15" i="7"/>
  <c r="F14" i="7" s="1"/>
  <c r="E14" i="7"/>
  <c r="D14" i="7"/>
  <c r="F13" i="7"/>
  <c r="E13" i="7"/>
  <c r="D13" i="7"/>
  <c r="F12" i="7"/>
  <c r="E12" i="7"/>
  <c r="D12" i="7"/>
  <c r="E11" i="7"/>
  <c r="D11" i="7"/>
  <c r="C11" i="7"/>
  <c r="F10" i="7" s="1"/>
  <c r="E10" i="7"/>
  <c r="D10" i="7"/>
  <c r="E9" i="7"/>
  <c r="D9" i="7"/>
  <c r="F8" i="7"/>
  <c r="E8" i="7"/>
  <c r="D8" i="7"/>
  <c r="E7" i="7"/>
  <c r="D7" i="7"/>
  <c r="E6" i="7"/>
  <c r="D6" i="7"/>
  <c r="C9" i="6"/>
  <c r="E16" i="6" s="1"/>
  <c r="E20" i="6" s="1"/>
  <c r="G77" i="4"/>
  <c r="F77" i="4"/>
  <c r="E77" i="4"/>
  <c r="C59" i="15" s="1"/>
  <c r="D77" i="4"/>
  <c r="C77" i="4"/>
  <c r="C51" i="4"/>
  <c r="C20" i="15" s="1"/>
  <c r="C50" i="4"/>
  <c r="C19" i="15" s="1"/>
  <c r="E33" i="4"/>
  <c r="F30" i="4" s="1"/>
  <c r="D33" i="4"/>
  <c r="C24" i="4"/>
  <c r="C12" i="15" s="1"/>
  <c r="C23" i="4"/>
  <c r="C11" i="15" s="1"/>
  <c r="H17" i="3"/>
  <c r="G17" i="3"/>
  <c r="F17" i="3"/>
  <c r="E17" i="3"/>
  <c r="D17" i="3"/>
  <c r="C17" i="3"/>
  <c r="I17" i="3" s="1"/>
  <c r="H16" i="3"/>
  <c r="G14" i="3"/>
  <c r="F14" i="3"/>
  <c r="E14" i="3"/>
  <c r="D14" i="3"/>
  <c r="C14" i="3"/>
  <c r="G13" i="3"/>
  <c r="F13" i="3"/>
  <c r="E13" i="3"/>
  <c r="D13" i="3"/>
  <c r="C13" i="3"/>
  <c r="M211" i="17" l="1"/>
  <c r="N211" i="17" s="1"/>
  <c r="G71" i="13"/>
  <c r="H18" i="11"/>
  <c r="C41" i="13"/>
  <c r="N62" i="17"/>
  <c r="N86" i="17"/>
  <c r="N91" i="17"/>
  <c r="N135" i="17"/>
  <c r="N142" i="17"/>
  <c r="M167" i="17"/>
  <c r="N167" i="17" s="1"/>
  <c r="N189" i="17"/>
  <c r="M206" i="17"/>
  <c r="N206" i="17" s="1"/>
  <c r="N218" i="17"/>
  <c r="N271" i="17"/>
  <c r="F7" i="7"/>
  <c r="M69" i="17"/>
  <c r="M98" i="17"/>
  <c r="M120" i="17"/>
  <c r="M169" i="17"/>
  <c r="N169" i="17" s="1"/>
  <c r="N174" i="17"/>
  <c r="M196" i="17"/>
  <c r="N196" i="17" s="1"/>
  <c r="M208" i="17"/>
  <c r="N208" i="17" s="1"/>
  <c r="N228" i="17"/>
  <c r="N238" i="17"/>
  <c r="M256" i="17"/>
  <c r="N256" i="17" s="1"/>
  <c r="M263" i="17"/>
  <c r="N263" i="17" s="1"/>
  <c r="M268" i="17"/>
  <c r="F71" i="13"/>
  <c r="N144" i="17"/>
  <c r="N164" i="17"/>
  <c r="E71" i="13"/>
  <c r="M258" i="17"/>
  <c r="N258" i="17" s="1"/>
  <c r="M83" i="17"/>
  <c r="N83" i="17" s="1"/>
  <c r="G55" i="14"/>
  <c r="G57" i="14" s="1"/>
  <c r="M8" i="17"/>
  <c r="N8" i="17" s="1"/>
  <c r="M32" i="17"/>
  <c r="N32" i="17" s="1"/>
  <c r="N39" i="17"/>
  <c r="N119" i="17"/>
  <c r="N148" i="17"/>
  <c r="N158" i="17"/>
  <c r="N173" i="17"/>
  <c r="N178" i="17"/>
  <c r="M200" i="17"/>
  <c r="F65" i="13" s="1"/>
  <c r="M207" i="17"/>
  <c r="N207" i="17" s="1"/>
  <c r="M262" i="17"/>
  <c r="N262" i="17" s="1"/>
  <c r="M72" i="17"/>
  <c r="N72" i="17" s="1"/>
  <c r="M151" i="17"/>
  <c r="E65" i="13" s="1"/>
  <c r="N260" i="17"/>
  <c r="N129" i="17"/>
  <c r="N255" i="17"/>
  <c r="N282" i="17"/>
  <c r="M10" i="17"/>
  <c r="M27" i="17"/>
  <c r="N27" i="17" s="1"/>
  <c r="M34" i="17"/>
  <c r="N34" i="17" s="1"/>
  <c r="M46" i="17"/>
  <c r="N46" i="17" s="1"/>
  <c r="N51" i="17"/>
  <c r="M104" i="17"/>
  <c r="N104" i="17" s="1"/>
  <c r="M114" i="17"/>
  <c r="N114" i="17" s="1"/>
  <c r="M168" i="17"/>
  <c r="E45" i="13" s="1"/>
  <c r="M202" i="17"/>
  <c r="N202" i="17" s="1"/>
  <c r="N222" i="17"/>
  <c r="M257" i="17"/>
  <c r="N272" i="17"/>
  <c r="N223" i="17"/>
  <c r="M88" i="17"/>
  <c r="M203" i="17"/>
  <c r="N203" i="17" s="1"/>
  <c r="N205" i="17"/>
  <c r="F65" i="14"/>
  <c r="F67" i="14" s="1"/>
  <c r="N82" i="17"/>
  <c r="N126" i="17"/>
  <c r="N143" i="17"/>
  <c r="N150" i="17"/>
  <c r="N180" i="17"/>
  <c r="M197" i="17"/>
  <c r="N234" i="17"/>
  <c r="N239" i="17"/>
  <c r="M252" i="17"/>
  <c r="N279" i="17"/>
  <c r="M111" i="17"/>
  <c r="N111" i="17" s="1"/>
  <c r="N191" i="17"/>
  <c r="M35" i="17"/>
  <c r="N35" i="17" s="1"/>
  <c r="M47" i="17"/>
  <c r="N47" i="17" s="1"/>
  <c r="M100" i="17"/>
  <c r="N100" i="17" s="1"/>
  <c r="M95" i="17"/>
  <c r="N95" i="17" s="1"/>
  <c r="M146" i="17"/>
  <c r="N183" i="17"/>
  <c r="N212" i="17"/>
  <c r="G23" i="11"/>
  <c r="M89" i="17"/>
  <c r="M94" i="17"/>
  <c r="N94" i="17" s="1"/>
  <c r="M145" i="17"/>
  <c r="M165" i="17"/>
  <c r="N170" i="17"/>
  <c r="M204" i="17"/>
  <c r="E65" i="14" s="1"/>
  <c r="E67" i="14" s="1"/>
  <c r="M241" i="17"/>
  <c r="G15" i="3" s="1"/>
  <c r="N244" i="17"/>
  <c r="M249" i="17"/>
  <c r="N286" i="17"/>
  <c r="E75" i="13"/>
  <c r="N122" i="17"/>
  <c r="D8" i="13"/>
  <c r="M159" i="17"/>
  <c r="N159" i="17" s="1"/>
  <c r="M16" i="17"/>
  <c r="N66" i="17"/>
  <c r="N221" i="17"/>
  <c r="F28" i="16" s="1"/>
  <c r="N265" i="17"/>
  <c r="M28" i="17"/>
  <c r="N28" i="17" s="1"/>
  <c r="C65" i="14"/>
  <c r="N237" i="17"/>
  <c r="F9" i="7"/>
  <c r="G13" i="11"/>
  <c r="M23" i="17"/>
  <c r="N23" i="17" s="1"/>
  <c r="M30" i="17"/>
  <c r="N30" i="17" s="1"/>
  <c r="M48" i="17"/>
  <c r="N48" i="17" s="1"/>
  <c r="N63" i="17"/>
  <c r="M155" i="17"/>
  <c r="N155" i="17" s="1"/>
  <c r="M163" i="17"/>
  <c r="N163" i="17" s="1"/>
  <c r="N201" i="17"/>
  <c r="F25" i="16" s="1"/>
  <c r="M251" i="17"/>
  <c r="N251" i="17" s="1"/>
  <c r="G22" i="16"/>
  <c r="M219" i="17"/>
  <c r="N219" i="17" s="1"/>
  <c r="N59" i="17"/>
  <c r="N130" i="17"/>
  <c r="M11" i="17"/>
  <c r="N11" i="17" s="1"/>
  <c r="M71" i="17"/>
  <c r="N71" i="17" s="1"/>
  <c r="M99" i="17"/>
  <c r="N99" i="17" s="1"/>
  <c r="N125" i="17"/>
  <c r="E22" i="16"/>
  <c r="G66" i="13"/>
  <c r="I14" i="3"/>
  <c r="M5" i="17"/>
  <c r="M25" i="17"/>
  <c r="N25" i="17" s="1"/>
  <c r="N58" i="17"/>
  <c r="M149" i="17"/>
  <c r="M198" i="17"/>
  <c r="M209" i="17"/>
  <c r="F66" i="13" s="1"/>
  <c r="M259" i="17"/>
  <c r="G74" i="13" s="1"/>
  <c r="F64" i="13"/>
  <c r="M24" i="17"/>
  <c r="C63" i="13" s="1"/>
  <c r="N69" i="17"/>
  <c r="M115" i="17"/>
  <c r="N115" i="17" s="1"/>
  <c r="N175" i="17"/>
  <c r="N235" i="17"/>
  <c r="E64" i="13"/>
  <c r="M243" i="17"/>
  <c r="I13" i="3"/>
  <c r="M38" i="17"/>
  <c r="N38" i="17" s="1"/>
  <c r="N109" i="17"/>
  <c r="N133" i="17"/>
  <c r="N139" i="17"/>
  <c r="H28" i="11"/>
  <c r="N10" i="17"/>
  <c r="N70" i="17"/>
  <c r="N93" i="17"/>
  <c r="N98" i="17"/>
  <c r="N106" i="17"/>
  <c r="N127" i="17"/>
  <c r="N157" i="17"/>
  <c r="N160" i="17"/>
  <c r="E30" i="16" s="1"/>
  <c r="E46" i="13"/>
  <c r="E40" i="15" s="1"/>
  <c r="N171" i="17"/>
  <c r="N179" i="17"/>
  <c r="N190" i="17"/>
  <c r="N231" i="17"/>
  <c r="N242" i="17"/>
  <c r="N270" i="17"/>
  <c r="G28" i="16" s="1"/>
  <c r="N287" i="17"/>
  <c r="F16" i="3"/>
  <c r="N9" i="17"/>
  <c r="M84" i="17"/>
  <c r="N84" i="17" s="1"/>
  <c r="N131" i="17"/>
  <c r="M6" i="17"/>
  <c r="N6" i="17" s="1"/>
  <c r="N21" i="17"/>
  <c r="M36" i="17"/>
  <c r="N36" i="17" s="1"/>
  <c r="M107" i="17"/>
  <c r="N107" i="17" s="1"/>
  <c r="N285" i="17"/>
  <c r="D10" i="19" s="1"/>
  <c r="N45" i="17"/>
  <c r="D15" i="7"/>
  <c r="G28" i="11"/>
  <c r="M17" i="17"/>
  <c r="C64" i="13" s="1"/>
  <c r="M20" i="17"/>
  <c r="N20" i="17" s="1"/>
  <c r="M37" i="17"/>
  <c r="N37" i="17" s="1"/>
  <c r="M42" i="17"/>
  <c r="N42" i="17" s="1"/>
  <c r="M77" i="17"/>
  <c r="M103" i="17"/>
  <c r="N103" i="17" s="1"/>
  <c r="M261" i="17"/>
  <c r="M267" i="17"/>
  <c r="N267" i="17" s="1"/>
  <c r="M87" i="17"/>
  <c r="N87" i="17" s="1"/>
  <c r="M14" i="17"/>
  <c r="M74" i="17"/>
  <c r="N74" i="17" s="1"/>
  <c r="N123" i="17"/>
  <c r="N283" i="17"/>
  <c r="M44" i="17"/>
  <c r="D50" i="14" s="1"/>
  <c r="D52" i="14" s="1"/>
  <c r="M92" i="17"/>
  <c r="N92" i="17" s="1"/>
  <c r="M26" i="17"/>
  <c r="N26" i="17" s="1"/>
  <c r="M76" i="17"/>
  <c r="N76" i="17" s="1"/>
  <c r="H23" i="11"/>
  <c r="M22" i="17"/>
  <c r="N22" i="17" s="1"/>
  <c r="M118" i="17"/>
  <c r="N118" i="17" s="1"/>
  <c r="N134" i="17"/>
  <c r="N214" i="17"/>
  <c r="N166" i="17"/>
  <c r="N243" i="17"/>
  <c r="N18" i="17"/>
  <c r="C8" i="13"/>
  <c r="N54" i="17"/>
  <c r="E17" i="19"/>
  <c r="E17" i="15"/>
  <c r="E42" i="4"/>
  <c r="G65" i="13"/>
  <c r="C67" i="14"/>
  <c r="E59" i="4"/>
  <c r="N227" i="17"/>
  <c r="F8" i="13"/>
  <c r="N15" i="17"/>
  <c r="N75" i="17"/>
  <c r="N195" i="17"/>
  <c r="D65" i="14"/>
  <c r="D67" i="14" s="1"/>
  <c r="N275" i="17"/>
  <c r="G8" i="13"/>
  <c r="C52" i="13"/>
  <c r="C16" i="3"/>
  <c r="C34" i="4"/>
  <c r="C16" i="6"/>
  <c r="C20" i="6" s="1"/>
  <c r="F6" i="7"/>
  <c r="N12" i="17"/>
  <c r="M33" i="17"/>
  <c r="N162" i="17"/>
  <c r="C35" i="4"/>
  <c r="F68" i="4" s="1"/>
  <c r="D16" i="6"/>
  <c r="D20" i="6" s="1"/>
  <c r="E66" i="13"/>
  <c r="F50" i="14"/>
  <c r="F52" i="14" s="1"/>
  <c r="D60" i="14"/>
  <c r="D62" i="14" s="1"/>
  <c r="C50" i="14"/>
  <c r="M253" i="17"/>
  <c r="N253" i="17" s="1"/>
  <c r="E16" i="3"/>
  <c r="C19" i="13"/>
  <c r="C70" i="14"/>
  <c r="C55" i="14"/>
  <c r="N153" i="17"/>
  <c r="N210" i="17"/>
  <c r="N230" i="17"/>
  <c r="N57" i="17"/>
  <c r="G50" i="14"/>
  <c r="G52" i="14" s="1"/>
  <c r="C28" i="13"/>
  <c r="F60" i="14"/>
  <c r="F62" i="14" s="1"/>
  <c r="D70" i="14"/>
  <c r="D72" i="14" s="1"/>
  <c r="C75" i="13"/>
  <c r="G16" i="3"/>
  <c r="G16" i="6"/>
  <c r="G20" i="6" s="1"/>
  <c r="C46" i="13"/>
  <c r="G60" i="14"/>
  <c r="G62" i="14" s="1"/>
  <c r="D46" i="13"/>
  <c r="E53" i="13"/>
  <c r="F61" i="13"/>
  <c r="D64" i="13"/>
  <c r="N50" i="17"/>
  <c r="N141" i="17"/>
  <c r="C60" i="14"/>
  <c r="N278" i="17"/>
  <c r="N78" i="17"/>
  <c r="F16" i="6"/>
  <c r="F20" i="6" s="1"/>
  <c r="F28" i="4"/>
  <c r="C29" i="13"/>
  <c r="F53" i="13"/>
  <c r="G61" i="13"/>
  <c r="C71" i="13"/>
  <c r="G65" i="14"/>
  <c r="G67" i="14" s="1"/>
  <c r="G64" i="13"/>
  <c r="N249" i="17"/>
  <c r="F29" i="4"/>
  <c r="F46" i="13"/>
  <c r="G53" i="13"/>
  <c r="D71" i="13"/>
  <c r="E55" i="14"/>
  <c r="E57" i="14" s="1"/>
  <c r="N102" i="17"/>
  <c r="N226" i="17"/>
  <c r="G70" i="14"/>
  <c r="G72" i="14" s="1"/>
  <c r="F70" i="14"/>
  <c r="F72" i="14" s="1"/>
  <c r="G49" i="13"/>
  <c r="G42" i="15" s="1"/>
  <c r="C52" i="4"/>
  <c r="E8" i="13"/>
  <c r="G46" i="13"/>
  <c r="F55" i="14"/>
  <c r="F57" i="14" s="1"/>
  <c r="N60" i="17"/>
  <c r="M81" i="17"/>
  <c r="N81" i="17" s="1"/>
  <c r="N146" i="17"/>
  <c r="N217" i="17"/>
  <c r="N96" i="17"/>
  <c r="M105" i="17"/>
  <c r="N105" i="17" s="1"/>
  <c r="N112" i="17"/>
  <c r="M121" i="17"/>
  <c r="N121" i="17" s="1"/>
  <c r="N128" i="17"/>
  <c r="N185" i="17"/>
  <c r="N233" i="17"/>
  <c r="N281" i="17"/>
  <c r="N5" i="17"/>
  <c r="N29" i="17"/>
  <c r="N41" i="17"/>
  <c r="N77" i="17"/>
  <c r="N89" i="17"/>
  <c r="N137" i="17"/>
  <c r="F22" i="16"/>
  <c r="N53" i="17"/>
  <c r="N65" i="17"/>
  <c r="N140" i="17"/>
  <c r="N156" i="17"/>
  <c r="N165" i="17"/>
  <c r="N172" i="17"/>
  <c r="N188" i="17"/>
  <c r="N197" i="17"/>
  <c r="N213" i="17"/>
  <c r="N220" i="17"/>
  <c r="N236" i="17"/>
  <c r="N245" i="17"/>
  <c r="N252" i="17"/>
  <c r="N261" i="17"/>
  <c r="N268" i="17"/>
  <c r="N284" i="17"/>
  <c r="N56" i="17"/>
  <c r="N68" i="17"/>
  <c r="N80" i="17"/>
  <c r="M101" i="17"/>
  <c r="N101" i="17" s="1"/>
  <c r="N108" i="17"/>
  <c r="M117" i="17"/>
  <c r="N117" i="17" s="1"/>
  <c r="N124" i="17"/>
  <c r="N181" i="17"/>
  <c r="N229" i="17"/>
  <c r="N277" i="17"/>
  <c r="N13" i="17"/>
  <c r="N73" i="17"/>
  <c r="N85" i="17"/>
  <c r="N145" i="17"/>
  <c r="N152" i="17"/>
  <c r="N161" i="17"/>
  <c r="N168" i="17"/>
  <c r="N184" i="17"/>
  <c r="N193" i="17"/>
  <c r="N216" i="17"/>
  <c r="N232" i="17"/>
  <c r="N248" i="17"/>
  <c r="N257" i="17"/>
  <c r="N264" i="17"/>
  <c r="N280" i="17"/>
  <c r="N49" i="17"/>
  <c r="N61" i="17"/>
  <c r="M97" i="17"/>
  <c r="N97" i="17" s="1"/>
  <c r="M113" i="17"/>
  <c r="N113" i="17" s="1"/>
  <c r="N120" i="17"/>
  <c r="N136" i="17"/>
  <c r="N177" i="17"/>
  <c r="N225" i="17"/>
  <c r="N273" i="17"/>
  <c r="N16" i="17"/>
  <c r="N40" i="17"/>
  <c r="N52" i="17"/>
  <c r="N64" i="17"/>
  <c r="N88" i="17"/>
  <c r="C48" i="13" l="1"/>
  <c r="C41" i="15" s="1"/>
  <c r="E60" i="14"/>
  <c r="E62" i="14" s="1"/>
  <c r="C17" i="13"/>
  <c r="E17" i="13" s="1"/>
  <c r="F6" i="13"/>
  <c r="F9" i="13" s="1"/>
  <c r="F48" i="13"/>
  <c r="F41" i="15" s="1"/>
  <c r="F62" i="13"/>
  <c r="C30" i="13"/>
  <c r="D40" i="13" s="1"/>
  <c r="E40" i="13" s="1"/>
  <c r="E49" i="13"/>
  <c r="E42" i="15" s="1"/>
  <c r="C24" i="13"/>
  <c r="E24" i="13" s="1"/>
  <c r="C49" i="13"/>
  <c r="C42" i="15" s="1"/>
  <c r="C43" i="14"/>
  <c r="C46" i="14" s="1"/>
  <c r="G45" i="13"/>
  <c r="G47" i="13" s="1"/>
  <c r="G30" i="16"/>
  <c r="F72" i="13"/>
  <c r="E74" i="13"/>
  <c r="N44" i="17"/>
  <c r="N204" i="17"/>
  <c r="G75" i="13"/>
  <c r="F43" i="14"/>
  <c r="F46" i="14" s="1"/>
  <c r="F74" i="13"/>
  <c r="F76" i="13" s="1"/>
  <c r="F16" i="19" s="1"/>
  <c r="D65" i="13"/>
  <c r="N24" i="17"/>
  <c r="C27" i="16" s="1"/>
  <c r="G51" i="13"/>
  <c r="F73" i="13"/>
  <c r="N151" i="17"/>
  <c r="E29" i="16" s="1"/>
  <c r="N241" i="17"/>
  <c r="D30" i="16"/>
  <c r="N200" i="17"/>
  <c r="D55" i="14"/>
  <c r="D57" i="14" s="1"/>
  <c r="E48" i="13"/>
  <c r="E41" i="15" s="1"/>
  <c r="C6" i="13"/>
  <c r="C9" i="13" s="1"/>
  <c r="C26" i="7"/>
  <c r="F49" i="13"/>
  <c r="F42" i="15" s="1"/>
  <c r="E28" i="16"/>
  <c r="C25" i="13"/>
  <c r="D35" i="13" s="1"/>
  <c r="N259" i="17"/>
  <c r="G6" i="16" s="1"/>
  <c r="G9" i="16" s="1"/>
  <c r="G18" i="19" s="1"/>
  <c r="G73" i="13"/>
  <c r="E6" i="13"/>
  <c r="E9" i="13" s="1"/>
  <c r="C74" i="13"/>
  <c r="G52" i="13"/>
  <c r="G27" i="16"/>
  <c r="N17" i="17"/>
  <c r="C28" i="16" s="1"/>
  <c r="D25" i="16"/>
  <c r="E51" i="13"/>
  <c r="C66" i="13"/>
  <c r="C73" i="13"/>
  <c r="F75" i="13"/>
  <c r="D27" i="16"/>
  <c r="N198" i="17"/>
  <c r="F21" i="16" s="1"/>
  <c r="C10" i="19"/>
  <c r="D49" i="13"/>
  <c r="D42" i="15" s="1"/>
  <c r="G29" i="16"/>
  <c r="C21" i="13"/>
  <c r="E21" i="13" s="1"/>
  <c r="F52" i="13"/>
  <c r="F54" i="13" s="1"/>
  <c r="C61" i="13"/>
  <c r="C65" i="13"/>
  <c r="F15" i="3"/>
  <c r="G48" i="13"/>
  <c r="G41" i="15" s="1"/>
  <c r="G43" i="15" s="1"/>
  <c r="C27" i="13"/>
  <c r="F45" i="13"/>
  <c r="F39" i="15" s="1"/>
  <c r="C25" i="16"/>
  <c r="I16" i="3"/>
  <c r="F63" i="13"/>
  <c r="F67" i="13" s="1"/>
  <c r="C53" i="13"/>
  <c r="E21" i="16"/>
  <c r="E25" i="16"/>
  <c r="E62" i="13"/>
  <c r="D22" i="16"/>
  <c r="N149" i="17"/>
  <c r="E27" i="16" s="1"/>
  <c r="E73" i="13"/>
  <c r="D43" i="14"/>
  <c r="C51" i="13"/>
  <c r="D15" i="16"/>
  <c r="G72" i="13"/>
  <c r="G63" i="13"/>
  <c r="E61" i="13"/>
  <c r="N14" i="17"/>
  <c r="C30" i="16" s="1"/>
  <c r="E50" i="14"/>
  <c r="E52" i="14" s="1"/>
  <c r="D26" i="16"/>
  <c r="D28" i="16"/>
  <c r="E43" i="14"/>
  <c r="E45" i="14" s="1"/>
  <c r="D53" i="13"/>
  <c r="E72" i="13"/>
  <c r="E52" i="13"/>
  <c r="C20" i="13"/>
  <c r="E20" i="13" s="1"/>
  <c r="F51" i="13"/>
  <c r="N209" i="17"/>
  <c r="F30" i="16" s="1"/>
  <c r="E43" i="15"/>
  <c r="F29" i="16"/>
  <c r="E15" i="3"/>
  <c r="E63" i="13"/>
  <c r="C23" i="13"/>
  <c r="E23" i="13" s="1"/>
  <c r="F31" i="15"/>
  <c r="F57" i="13"/>
  <c r="E28" i="13"/>
  <c r="D38" i="13"/>
  <c r="E38" i="13" s="1"/>
  <c r="E15" i="16"/>
  <c r="D21" i="16"/>
  <c r="D74" i="13"/>
  <c r="G21" i="16"/>
  <c r="G26" i="16"/>
  <c r="C45" i="13"/>
  <c r="C57" i="14"/>
  <c r="H57" i="14" s="1"/>
  <c r="H55" i="14"/>
  <c r="D66" i="13"/>
  <c r="H65" i="14"/>
  <c r="C40" i="15"/>
  <c r="C59" i="4"/>
  <c r="D46" i="14"/>
  <c r="D45" i="14"/>
  <c r="G43" i="14"/>
  <c r="C21" i="16"/>
  <c r="G20" i="16"/>
  <c r="D63" i="13"/>
  <c r="D45" i="13"/>
  <c r="D62" i="13"/>
  <c r="H67" i="14"/>
  <c r="F26" i="16"/>
  <c r="G40" i="15"/>
  <c r="G59" i="4"/>
  <c r="F40" i="15"/>
  <c r="F59" i="4"/>
  <c r="F60" i="4" s="1"/>
  <c r="F61" i="4" s="1"/>
  <c r="D51" i="13"/>
  <c r="C62" i="14"/>
  <c r="H62" i="14" s="1"/>
  <c r="H60" i="14"/>
  <c r="F43" i="15"/>
  <c r="E39" i="15"/>
  <c r="E56" i="13"/>
  <c r="E47" i="13"/>
  <c r="E14" i="16"/>
  <c r="D72" i="13"/>
  <c r="C62" i="13"/>
  <c r="E26" i="16"/>
  <c r="C18" i="13"/>
  <c r="D6" i="13"/>
  <c r="D20" i="16"/>
  <c r="D6" i="16"/>
  <c r="D9" i="16" s="1"/>
  <c r="D18" i="19" s="1"/>
  <c r="D15" i="3"/>
  <c r="D7" i="13"/>
  <c r="D17" i="19"/>
  <c r="D17" i="15"/>
  <c r="D42" i="4"/>
  <c r="C22" i="13"/>
  <c r="E22" i="13" s="1"/>
  <c r="G17" i="19"/>
  <c r="G17" i="15"/>
  <c r="G42" i="4"/>
  <c r="E29" i="13"/>
  <c r="D39" i="13"/>
  <c r="E39" i="13" s="1"/>
  <c r="D37" i="13"/>
  <c r="E37" i="13" s="1"/>
  <c r="E27" i="13"/>
  <c r="D52" i="13"/>
  <c r="E20" i="16"/>
  <c r="E6" i="16"/>
  <c r="E9" i="16" s="1"/>
  <c r="E18" i="19" s="1"/>
  <c r="C72" i="13"/>
  <c r="C7" i="13"/>
  <c r="C15" i="3"/>
  <c r="D75" i="13"/>
  <c r="C52" i="14"/>
  <c r="C17" i="15"/>
  <c r="C17" i="19"/>
  <c r="C42" i="4"/>
  <c r="N33" i="17"/>
  <c r="C26" i="13"/>
  <c r="E37" i="15"/>
  <c r="E23" i="15"/>
  <c r="E25" i="15" s="1"/>
  <c r="E14" i="19" s="1"/>
  <c r="E54" i="13"/>
  <c r="E50" i="13"/>
  <c r="E60" i="4"/>
  <c r="E61" i="4" s="1"/>
  <c r="E43" i="4" s="1"/>
  <c r="E76" i="13"/>
  <c r="E16" i="19" s="1"/>
  <c r="D40" i="15"/>
  <c r="D59" i="4"/>
  <c r="E70" i="14"/>
  <c r="E72" i="14" s="1"/>
  <c r="C21" i="15"/>
  <c r="C53" i="4"/>
  <c r="D68" i="4"/>
  <c r="G68" i="4"/>
  <c r="C68" i="4"/>
  <c r="D9" i="19"/>
  <c r="D73" i="13"/>
  <c r="D61" i="13"/>
  <c r="E68" i="4"/>
  <c r="F56" i="13"/>
  <c r="F47" i="13"/>
  <c r="G6" i="13"/>
  <c r="G9" i="13" s="1"/>
  <c r="C29" i="16"/>
  <c r="F33" i="4"/>
  <c r="G15" i="16"/>
  <c r="C9" i="19"/>
  <c r="G25" i="16"/>
  <c r="F17" i="19"/>
  <c r="F17" i="15"/>
  <c r="F42" i="4"/>
  <c r="D29" i="16"/>
  <c r="D48" i="13"/>
  <c r="D41" i="15" s="1"/>
  <c r="D43" i="15" s="1"/>
  <c r="H70" i="14"/>
  <c r="C72" i="14"/>
  <c r="H72" i="14" s="1"/>
  <c r="F44" i="4"/>
  <c r="E44" i="4"/>
  <c r="G44" i="4"/>
  <c r="D44" i="4"/>
  <c r="C44" i="4"/>
  <c r="F7" i="16"/>
  <c r="F37" i="15"/>
  <c r="F23" i="15"/>
  <c r="F25" i="15" s="1"/>
  <c r="F14" i="19" s="1"/>
  <c r="G62" i="13"/>
  <c r="E25" i="13" l="1"/>
  <c r="C45" i="14"/>
  <c r="G14" i="16"/>
  <c r="G39" i="15"/>
  <c r="C22" i="16"/>
  <c r="F45" i="14"/>
  <c r="E67" i="13"/>
  <c r="E45" i="4"/>
  <c r="E18" i="15" s="1"/>
  <c r="G56" i="13"/>
  <c r="G32" i="15" s="1"/>
  <c r="H50" i="14"/>
  <c r="E30" i="13"/>
  <c r="H52" i="14"/>
  <c r="C43" i="15"/>
  <c r="F14" i="16"/>
  <c r="E7" i="16"/>
  <c r="E8" i="16" s="1"/>
  <c r="E46" i="14"/>
  <c r="I15" i="3"/>
  <c r="D9" i="13"/>
  <c r="D54" i="13" s="1"/>
  <c r="F15" i="16"/>
  <c r="C15" i="16"/>
  <c r="C16" i="16" s="1"/>
  <c r="E23" i="16"/>
  <c r="F27" i="16"/>
  <c r="F6" i="16"/>
  <c r="F9" i="16" s="1"/>
  <c r="F18" i="19" s="1"/>
  <c r="F20" i="16"/>
  <c r="F23" i="16" s="1"/>
  <c r="F15" i="19"/>
  <c r="F19" i="19" s="1"/>
  <c r="F30" i="15"/>
  <c r="F33" i="15" s="1"/>
  <c r="F69" i="4"/>
  <c r="G38" i="15"/>
  <c r="G55" i="13"/>
  <c r="G70" i="4" s="1"/>
  <c r="C7" i="16"/>
  <c r="C37" i="15"/>
  <c r="C23" i="15"/>
  <c r="C25" i="15" s="1"/>
  <c r="C14" i="19" s="1"/>
  <c r="C54" i="13"/>
  <c r="C16" i="13"/>
  <c r="E16" i="13" s="1"/>
  <c r="C76" i="13"/>
  <c r="C16" i="19" s="1"/>
  <c r="C67" i="13"/>
  <c r="C60" i="4"/>
  <c r="C61" i="4" s="1"/>
  <c r="C43" i="4" s="1"/>
  <c r="C45" i="4" s="1"/>
  <c r="C57" i="13"/>
  <c r="C31" i="15"/>
  <c r="G45" i="14"/>
  <c r="G46" i="14"/>
  <c r="G7" i="16"/>
  <c r="G8" i="16" s="1"/>
  <c r="G67" i="13"/>
  <c r="G37" i="15"/>
  <c r="G23" i="15"/>
  <c r="G25" i="15" s="1"/>
  <c r="G14" i="19" s="1"/>
  <c r="G54" i="13"/>
  <c r="G76" i="13"/>
  <c r="G16" i="19" s="1"/>
  <c r="G50" i="13"/>
  <c r="G60" i="4"/>
  <c r="G61" i="4" s="1"/>
  <c r="G43" i="4" s="1"/>
  <c r="G45" i="4" s="1"/>
  <c r="G31" i="15"/>
  <c r="G57" i="13"/>
  <c r="F43" i="4"/>
  <c r="F38" i="15"/>
  <c r="F45" i="15" s="1"/>
  <c r="F55" i="13"/>
  <c r="F70" i="4" s="1"/>
  <c r="D57" i="13"/>
  <c r="D31" i="15"/>
  <c r="E30" i="15"/>
  <c r="E33" i="15" s="1"/>
  <c r="E15" i="19"/>
  <c r="E19" i="19" s="1"/>
  <c r="E69" i="4"/>
  <c r="C6" i="16"/>
  <c r="C9" i="16" s="1"/>
  <c r="F32" i="15"/>
  <c r="F71" i="4"/>
  <c r="C20" i="16"/>
  <c r="C23" i="16" s="1"/>
  <c r="C22" i="15"/>
  <c r="C11" i="13"/>
  <c r="C12" i="13" s="1"/>
  <c r="E38" i="15"/>
  <c r="E45" i="15" s="1"/>
  <c r="C51" i="15" s="1"/>
  <c r="E55" i="13"/>
  <c r="E70" i="4" s="1"/>
  <c r="E57" i="13"/>
  <c r="E31" i="15"/>
  <c r="D23" i="16"/>
  <c r="E32" i="15"/>
  <c r="E71" i="4"/>
  <c r="C26" i="16"/>
  <c r="D36" i="13"/>
  <c r="E36" i="13" s="1"/>
  <c r="E26" i="13"/>
  <c r="D7" i="16"/>
  <c r="D8" i="16" s="1"/>
  <c r="D67" i="13"/>
  <c r="D37" i="15"/>
  <c r="D23" i="15"/>
  <c r="D25" i="15" s="1"/>
  <c r="D14" i="19" s="1"/>
  <c r="D76" i="13"/>
  <c r="D16" i="19" s="1"/>
  <c r="D14" i="16"/>
  <c r="D47" i="13"/>
  <c r="D39" i="15"/>
  <c r="D56" i="13"/>
  <c r="E54" i="4"/>
  <c r="E26" i="15" s="1"/>
  <c r="C50" i="15" s="1"/>
  <c r="C53" i="15" s="1"/>
  <c r="F50" i="4"/>
  <c r="E35" i="13"/>
  <c r="F50" i="13"/>
  <c r="F45" i="4"/>
  <c r="G23" i="16"/>
  <c r="C39" i="15"/>
  <c r="C56" i="13"/>
  <c r="C14" i="16"/>
  <c r="C47" i="13"/>
  <c r="C50" i="13" s="1"/>
  <c r="G71" i="4" l="1"/>
  <c r="D60" i="4"/>
  <c r="D61" i="4" s="1"/>
  <c r="D43" i="4" s="1"/>
  <c r="D45" i="4" s="1"/>
  <c r="E51" i="4" s="1"/>
  <c r="E20" i="15" s="1"/>
  <c r="F16" i="16"/>
  <c r="D16" i="16"/>
  <c r="F8" i="16"/>
  <c r="E16" i="16"/>
  <c r="G16" i="16"/>
  <c r="C18" i="15"/>
  <c r="D50" i="4"/>
  <c r="D18" i="15"/>
  <c r="D51" i="4"/>
  <c r="D20" i="15" s="1"/>
  <c r="E50" i="4"/>
  <c r="C24" i="15"/>
  <c r="C12" i="3"/>
  <c r="G18" i="15"/>
  <c r="G51" i="4"/>
  <c r="G20" i="15" s="1"/>
  <c r="D38" i="15"/>
  <c r="D45" i="15" s="1"/>
  <c r="D55" i="13"/>
  <c r="D70" i="4" s="1"/>
  <c r="G15" i="19"/>
  <c r="G19" i="19" s="1"/>
  <c r="G20" i="19" s="1"/>
  <c r="G30" i="15"/>
  <c r="G33" i="15" s="1"/>
  <c r="G69" i="4"/>
  <c r="F18" i="15"/>
  <c r="F51" i="4"/>
  <c r="F20" i="15" s="1"/>
  <c r="G50" i="4"/>
  <c r="D50" i="13"/>
  <c r="C32" i="15"/>
  <c r="C71" i="4"/>
  <c r="D41" i="13"/>
  <c r="E41" i="13" s="1"/>
  <c r="D30" i="15"/>
  <c r="D33" i="15" s="1"/>
  <c r="D15" i="19"/>
  <c r="D19" i="19" s="1"/>
  <c r="D69" i="4"/>
  <c r="G45" i="15"/>
  <c r="E32" i="13"/>
  <c r="C18" i="3" s="1"/>
  <c r="I18" i="3" s="1"/>
  <c r="E31" i="13"/>
  <c r="C30" i="15"/>
  <c r="C33" i="15" s="1"/>
  <c r="C69" i="4"/>
  <c r="C15" i="19"/>
  <c r="C19" i="19" s="1"/>
  <c r="F19" i="15"/>
  <c r="C38" i="15"/>
  <c r="C45" i="15" s="1"/>
  <c r="C55" i="13"/>
  <c r="C70" i="4" s="1"/>
  <c r="C55" i="15"/>
  <c r="C52" i="15"/>
  <c r="C8" i="16"/>
  <c r="D32" i="15"/>
  <c r="D71" i="4"/>
  <c r="C18" i="19"/>
  <c r="E10" i="16"/>
  <c r="D10" i="16"/>
  <c r="C10" i="16"/>
  <c r="G10" i="16"/>
  <c r="F10" i="16"/>
  <c r="F52" i="4" l="1"/>
  <c r="C56" i="15"/>
  <c r="C61" i="15" s="1"/>
  <c r="C54" i="15"/>
  <c r="C62" i="15"/>
  <c r="F21" i="15"/>
  <c r="F53" i="4"/>
  <c r="H28" i="19"/>
  <c r="H26" i="19"/>
  <c r="H24" i="19"/>
  <c r="E34" i="19"/>
  <c r="F34" i="19" s="1"/>
  <c r="G28" i="19"/>
  <c r="G26" i="19"/>
  <c r="G24" i="19"/>
  <c r="D34" i="19"/>
  <c r="F28" i="19"/>
  <c r="F26" i="19"/>
  <c r="F24" i="19"/>
  <c r="C34" i="19"/>
  <c r="E28" i="19"/>
  <c r="E26" i="19"/>
  <c r="E24" i="19"/>
  <c r="D28" i="19"/>
  <c r="D26" i="19"/>
  <c r="D24" i="19"/>
  <c r="F27" i="19"/>
  <c r="F25" i="19"/>
  <c r="E33" i="19"/>
  <c r="C26" i="19"/>
  <c r="D33" i="19"/>
  <c r="H25" i="19"/>
  <c r="C33" i="19"/>
  <c r="G25" i="19"/>
  <c r="E32" i="19"/>
  <c r="E25" i="19"/>
  <c r="D32" i="19"/>
  <c r="D25" i="19"/>
  <c r="C32" i="19"/>
  <c r="C25" i="19"/>
  <c r="C28" i="19"/>
  <c r="C24" i="19"/>
  <c r="H27" i="19"/>
  <c r="G27" i="19"/>
  <c r="E27" i="19"/>
  <c r="D27" i="19"/>
  <c r="C27" i="19"/>
  <c r="E19" i="15"/>
  <c r="E52" i="4"/>
  <c r="D19" i="15"/>
  <c r="D52" i="4"/>
  <c r="G19" i="15"/>
  <c r="G52" i="4"/>
  <c r="F22" i="15" l="1"/>
  <c r="F11" i="13"/>
  <c r="F12" i="13" s="1"/>
  <c r="E21" i="15"/>
  <c r="E53" i="4"/>
  <c r="G21" i="15"/>
  <c r="G53" i="4"/>
  <c r="D21" i="15"/>
  <c r="D53" i="4"/>
  <c r="F32" i="19"/>
  <c r="F33" i="19"/>
  <c r="C58" i="15"/>
  <c r="C60" i="15"/>
  <c r="G22" i="15" l="1"/>
  <c r="G11" i="13"/>
  <c r="G12" i="13" s="1"/>
  <c r="E11" i="13"/>
  <c r="E12" i="13" s="1"/>
  <c r="E22" i="15"/>
  <c r="D11" i="13"/>
  <c r="D12" i="13" s="1"/>
  <c r="D22" i="15"/>
  <c r="F24" i="15"/>
  <c r="F12" i="3"/>
  <c r="E24" i="15" l="1"/>
  <c r="E12" i="3"/>
  <c r="D24" i="15"/>
  <c r="D12" i="3"/>
  <c r="G12" i="3"/>
  <c r="G24" i="15"/>
  <c r="I12" i="3" l="1"/>
</calcChain>
</file>

<file path=xl/sharedStrings.xml><?xml version="1.0" encoding="utf-8"?>
<sst xmlns="http://schemas.openxmlformats.org/spreadsheetml/2006/main" count="3820" uniqueCount="827">
  <si>
    <t>Insurance Claims and Benefits Payment Related  —  domain framework v1</t>
  </si>
  <si>
    <r>
      <rPr>
        <sz val="9"/>
        <color rgb="FFFFFFFF"/>
        <rFont val="Arial"/>
        <charset val="1"/>
      </rPr>
      <t xml:space="preserve">Six applications, 121.573 units, and the most disposition-exposed </t>
    </r>
    <r>
      <rPr>
        <sz val="9"/>
        <color rgb="FFFFFFFF"/>
        <rFont val="Noto Sans CJK SC"/>
        <family val="2"/>
      </rPr>
      <t xml:space="preserve">領域 </t>
    </r>
    <r>
      <rPr>
        <sz val="9"/>
        <color rgb="FFFFFFFF"/>
        <rFont val="Arial"/>
        <charset val="1"/>
      </rPr>
      <t>in the estate. One application carrying 28.8% of the domain is marked Retire, two more carry a zero Year-3 target, and Capgemini has six people on the ground against a vendor population of eighty-five.</t>
    </r>
  </si>
  <si>
    <r>
      <rPr>
        <b/>
        <sz val="11"/>
        <color rgb="FF00385F"/>
        <rFont val="Arial"/>
        <charset val="1"/>
      </rPr>
      <t xml:space="preserve">WHAT THIS </t>
    </r>
    <r>
      <rPr>
        <b/>
        <sz val="11"/>
        <color rgb="FF00385F"/>
        <rFont val="Noto Sans CJK SC"/>
        <family val="2"/>
      </rPr>
      <t xml:space="preserve">領域 </t>
    </r>
    <r>
      <rPr>
        <b/>
        <sz val="11"/>
        <color rgb="FF00385F"/>
        <rFont val="Arial"/>
        <charset val="1"/>
      </rPr>
      <t>IS</t>
    </r>
  </si>
  <si>
    <t>Six applications, three archetypes</t>
  </si>
  <si>
    <r>
      <rPr>
        <sz val="9.5"/>
        <rFont val="Arial"/>
        <charset val="1"/>
      </rPr>
      <t xml:space="preserve">Claim Batch 43.8, C12WNC-JPN 35.0 and Pega for Claims 16.7 (D, distributed-proven, 95.5 units between them) · W05AMS-JPN 22.0 (J, Japan-locked) · MDRS and WZZMNB-JPN 4.1 (T, long tail). Three value streams: Annuity </t>
    </r>
    <r>
      <rPr>
        <sz val="9.5"/>
        <rFont val="Noto Sans CJK SC"/>
        <family val="2"/>
      </rPr>
      <t xml:space="preserve">＆ </t>
    </r>
    <r>
      <rPr>
        <sz val="9.5"/>
        <rFont val="Arial"/>
        <charset val="1"/>
      </rPr>
      <t xml:space="preserve">Maturity Payment 67.8, Claims Processing </t>
    </r>
    <r>
      <rPr>
        <sz val="9.5"/>
        <rFont val="Noto Sans CJK SC"/>
        <family val="2"/>
      </rPr>
      <t xml:space="preserve">＆ </t>
    </r>
    <r>
      <rPr>
        <sz val="9.5"/>
        <rFont val="Arial"/>
        <charset val="1"/>
      </rPr>
      <t>Adjudication 35.0, Claims Support Services 18.8.</t>
    </r>
  </si>
  <si>
    <t>Onshore, and only just starting to move</t>
  </si>
  <si>
    <r>
      <rPr>
        <sz val="9.5"/>
        <rFont val="Arial"/>
        <charset val="1"/>
      </rPr>
      <t xml:space="preserve">71.6 of the 85.4 vendor units are in Tokyo — 84%, the most onshore-weighted Capgemini population of the </t>
    </r>
    <r>
      <rPr>
        <sz val="9.5"/>
        <rFont val="Noto Sans CJK SC"/>
        <family val="2"/>
      </rPr>
      <t xml:space="preserve">領域 </t>
    </r>
    <r>
      <rPr>
        <sz val="9.5"/>
        <rFont val="Arial"/>
        <charset val="1"/>
      </rPr>
      <t>modelled. 4.2 units are offshore and 9.6 nearshore. With MGCC, 30.0% of the domain is delivered away from Tokyo against a 65.3% ceiling.</t>
    </r>
  </si>
  <si>
    <r>
      <rPr>
        <b/>
        <sz val="9.5"/>
        <rFont val="Arial"/>
        <charset val="1"/>
      </rPr>
      <t xml:space="preserve">The only </t>
    </r>
    <r>
      <rPr>
        <b/>
        <sz val="9.5"/>
        <rFont val="Noto Sans CJK SC"/>
        <family val="2"/>
      </rPr>
      <t xml:space="preserve">領域 </t>
    </r>
    <r>
      <rPr>
        <b/>
        <sz val="9.5"/>
        <rFont val="Arial"/>
        <charset val="1"/>
      </rPr>
      <t>with material nearshore</t>
    </r>
  </si>
  <si>
    <r>
      <rPr>
        <sz val="9.5"/>
        <rFont val="Arial"/>
        <charset val="1"/>
      </rPr>
      <t xml:space="preserve">9.589 units on C12WNC-JPN — roughly half of all the nearshore capacity in the portfolio. Every other </t>
    </r>
    <r>
      <rPr>
        <sz val="9.5"/>
        <rFont val="Noto Sans CJK SC"/>
        <family val="2"/>
      </rPr>
      <t xml:space="preserve">領域 </t>
    </r>
    <r>
      <rPr>
        <sz val="9.5"/>
        <rFont val="Arial"/>
        <charset val="1"/>
      </rPr>
      <t>modelled is Tokyo-and-India only. The NEAR rows in this workbook are live, not schema.</t>
    </r>
  </si>
  <si>
    <t>Six Capgemini people are here, and all six sit on one application</t>
  </si>
  <si>
    <r>
      <rPr>
        <sz val="9.5"/>
        <rFont val="Arial"/>
        <charset val="1"/>
      </rPr>
      <t xml:space="preserve">Against 85.4 vendor units — 7%, the weakest continuity position of the </t>
    </r>
    <r>
      <rPr>
        <sz val="9.5"/>
        <rFont val="Noto Sans CJK SC"/>
        <family val="2"/>
      </rPr>
      <t xml:space="preserve">領域 </t>
    </r>
    <r>
      <rPr>
        <sz val="9.5"/>
        <rFont val="Arial"/>
        <charset val="1"/>
      </rPr>
      <t>modelled. All six are on Claim Batch. On C12WNC-JPN, W05AMS-JPN, Pega, MDRS and WZZMNB-JPN we start from nothing.</t>
    </r>
  </si>
  <si>
    <t>THE THREE FINDINGS THAT MATTER COMMERCIALLY</t>
  </si>
  <si>
    <t>C12WNC-JPN is marked RETIRE, and it is 28.8% of the domain</t>
  </si>
  <si>
    <r>
      <rPr>
        <sz val="9.5"/>
        <rFont val="Arial"/>
        <charset val="1"/>
      </rPr>
      <t xml:space="preserve">35.0 units, business-critical, Japanese specifications, 9.6 units nearshore, and the entire Claims Processing </t>
    </r>
    <r>
      <rPr>
        <sz val="9.5"/>
        <rFont val="Noto Sans CJK SC"/>
        <family val="2"/>
      </rPr>
      <t xml:space="preserve">＆ </t>
    </r>
    <r>
      <rPr>
        <sz val="9.5"/>
        <rFont val="Arial"/>
        <charset val="1"/>
      </rPr>
      <t>Adjudication value stream. This model freezes scope at Year 1 as every domain model does, so that exposure is carried, not netted. It is the largest single disposition exposure in the estate and it has to be resolved with MetLife before the price is fixed.</t>
    </r>
  </si>
  <si>
    <t>Two more applications carry a ZERO Year-3 target</t>
  </si>
  <si>
    <r>
      <rPr>
        <sz val="9.5"/>
        <rFont val="Arial"/>
        <charset val="1"/>
      </rPr>
      <t xml:space="preserve">Pega for Claims 16.7 and MDRS 2.1 — 18.8 units, 15.5% of the domain — are among the nine applications MetLife's own Appendix 3 model takes to zero. Taken with C12WNC-JPN, 44.3% of this </t>
    </r>
    <r>
      <rPr>
        <sz val="9.5"/>
        <rFont val="Noto Sans CJK SC"/>
        <family val="2"/>
      </rPr>
      <t xml:space="preserve">領域 </t>
    </r>
    <r>
      <rPr>
        <sz val="9.5"/>
        <rFont val="Arial"/>
        <charset val="1"/>
      </rPr>
      <t>is under a disposition question.</t>
    </r>
  </si>
  <si>
    <t>NCD holds 60% of the vendor side, and we absorb it</t>
  </si>
  <si>
    <r>
      <rPr>
        <sz val="9.5"/>
        <rFont val="Arial"/>
        <charset val="1"/>
      </rPr>
      <t xml:space="preserve">51.244 of the 85.449 vendor units — the second-heaviest named-vendor concentration in the estate after FSI on Contract Management. Consistent with the other </t>
    </r>
    <r>
      <rPr>
        <sz val="9.5"/>
        <rFont val="Noto Sans CJK SC"/>
        <family val="2"/>
      </rPr>
      <t xml:space="preserve">領域 </t>
    </r>
    <r>
      <rPr>
        <sz val="9.5"/>
        <rFont val="Arial"/>
        <charset val="1"/>
      </rPr>
      <t xml:space="preserve">modelled we absorb NCD rather than retain them, which puts the whole vendor side into the transferable pool and makes the 50:50 reachable. It also makes Year 1 a large transition. That is a due-diligence decision — see Basis </t>
    </r>
    <r>
      <rPr>
        <sz val="9.5"/>
        <rFont val="Noto Sans CJK SC"/>
        <family val="2"/>
      </rPr>
      <t xml:space="preserve">＆ </t>
    </r>
    <r>
      <rPr>
        <sz val="9.5"/>
        <rFont val="Arial"/>
        <charset val="1"/>
      </rPr>
      <t>Assumptions.</t>
    </r>
  </si>
  <si>
    <t>THE SHAPE OF THE ANSWER</t>
  </si>
  <si>
    <t>MGCC has a HIGHER ceiling than we do here</t>
  </si>
  <si>
    <t>MGCC 48.60% against Capgemini 44.73%, because MGCC is a build-and-test population and 78.5% of this estate is archetype D — where Build and Test ceilings are the highest in the classifier. Adoption still puts us ahead on committed productivity (44.7% against 38.9% effective), but the underlying capability runs the other way. Worth saying out loud.</t>
  </si>
  <si>
    <t>The transfer is 11.6 people, and most of it goes to MetLife Japan</t>
  </si>
  <si>
    <t>Organic convergence only takes the ratio from 70.3% to 66.8% by Year 3 — MetLife's side is small and shrinks slowly. The transfer does the rest. We send 6.4 to MetLife Japan and 5.2 to MGCC rather than the portfolio default 35/65, because 84% of the Capgemini population is in Tokyo and people in Tokyo are re-badged to MetLife Japan.</t>
  </si>
  <si>
    <t>Headcount 121.6 → 59.3</t>
  </si>
  <si>
    <r>
      <rPr>
        <sz val="9.5"/>
        <rFont val="Arial"/>
        <charset val="1"/>
      </rPr>
      <t xml:space="preserve">A 51.2% reduction over five years, in line with the three other </t>
    </r>
    <r>
      <rPr>
        <sz val="9.5"/>
        <rFont val="Noto Sans CJK SC"/>
        <family val="2"/>
      </rPr>
      <t xml:space="preserve">領域 </t>
    </r>
    <r>
      <rPr>
        <sz val="9.5"/>
        <rFont val="Arial"/>
        <charset val="1"/>
      </rPr>
      <t>whose five-year plan is fully solved. AI ceiling 44.71%, applied glidepath 0 / 23.0 / 37.6 / 46.2 / 51.2%.</t>
    </r>
  </si>
  <si>
    <t>THE ENGINE</t>
  </si>
  <si>
    <r>
      <rPr>
        <b/>
        <sz val="9.5"/>
        <rFont val="Arial"/>
        <charset val="1"/>
      </rPr>
      <t xml:space="preserve">Unchanged from the other </t>
    </r>
    <r>
      <rPr>
        <b/>
        <sz val="9.5"/>
        <rFont val="Noto Sans CJK SC"/>
        <family val="2"/>
      </rPr>
      <t xml:space="preserve">領域 </t>
    </r>
    <r>
      <rPr>
        <b/>
        <sz val="9.5"/>
        <rFont val="Arial"/>
        <charset val="1"/>
      </rPr>
      <t>modelled</t>
    </r>
  </si>
  <si>
    <t>Six-rule archetype classifier → AI and offshore ceilings from Golden Inventory v4 → realisation curve → four-gate capability → carry-forward and pre-load → per-sourcing productivity → organic ratio convergence → guardrails → seat ledger.</t>
  </si>
  <si>
    <t>Seats deploy whole people</t>
  </si>
  <si>
    <r>
      <rPr>
        <sz val="9.5"/>
        <rFont val="Arial"/>
        <charset val="1"/>
      </rPr>
      <t xml:space="preserve">Pod Library column K and Horizontal Teams column J are the people you hire for that role across the block — whole numbers, or halves where one person covers two units inside this </t>
    </r>
    <r>
      <rPr>
        <sz val="9.5"/>
        <rFont val="Noto Sans CJK SC"/>
        <family val="2"/>
      </rPr>
      <t>領域</t>
    </r>
    <r>
      <rPr>
        <sz val="9.5"/>
        <rFont val="Arial"/>
        <charset val="1"/>
      </rPr>
      <t>. The SIT Loading sheet turns them into requisitions.</t>
    </r>
  </si>
  <si>
    <t>WHAT TO RAISE</t>
  </si>
  <si>
    <t>The role line needs the largest restatement in the estate</t>
  </si>
  <si>
    <t>Appendix 3 records ZERO project management and 1.00 maintenance unit across six applications carrying 732 incidents and 1,161 changes. 83% of the vendor population is booked as Developer. Restated to 4.50 maintenance, 3.50 PM and 2.50 architecture, taken from the developer line. Arithmetically neutral; MetLife should confirm.</t>
  </si>
  <si>
    <t>And MetLife's two views of run disagree by a factor of seven</t>
  </si>
  <si>
    <t>The maintenance role line says 1.00 unit. The AD / AMS effort split in the same spreadsheet implies 6.75. On a 122-person domain that is about six people of exposure, and it sets the AMS price.</t>
  </si>
  <si>
    <t>The disposition questions are the priority</t>
  </si>
  <si>
    <r>
      <rPr>
        <sz val="9.5"/>
        <rFont val="Arial"/>
        <charset val="1"/>
      </rPr>
      <t xml:space="preserve">44.3% of this </t>
    </r>
    <r>
      <rPr>
        <sz val="9.5"/>
        <rFont val="Noto Sans CJK SC"/>
        <family val="2"/>
      </rPr>
      <t xml:space="preserve">領域 </t>
    </r>
    <r>
      <rPr>
        <sz val="9.5"/>
        <rFont val="Arial"/>
        <charset val="1"/>
      </rPr>
      <t xml:space="preserve">is either marked Retire or carries a zero Year-3 target in MetLife's own model. No other </t>
    </r>
    <r>
      <rPr>
        <sz val="9.5"/>
        <rFont val="Noto Sans CJK SC"/>
        <family val="2"/>
      </rPr>
      <t xml:space="preserve">領域 </t>
    </r>
    <r>
      <rPr>
        <sz val="9.5"/>
        <rFont val="Arial"/>
        <charset val="1"/>
      </rPr>
      <t>comes close. Resolve before submission.</t>
    </r>
  </si>
  <si>
    <t>Where every input comes from, and which ones are ours</t>
  </si>
  <si>
    <t>This is a first-version model, so there is nothing to change-log. What matters instead is the provenance of each input: which are measured, which are restated, and which are domain overrides.</t>
  </si>
  <si>
    <t>Element</t>
  </si>
  <si>
    <t>Source</t>
  </si>
  <si>
    <t>Value used</t>
  </si>
  <si>
    <t>Status</t>
  </si>
  <si>
    <t>Note</t>
  </si>
  <si>
    <t>Baseline</t>
  </si>
  <si>
    <t>Appendix 3 v5, 6 applications</t>
  </si>
  <si>
    <t>effort 121.574 · FTC 85.449 · FTE 13.479 · MGCC 22.646 · onshore 71.626 · offshore 4.233 · nearshore 9.589</t>
  </si>
  <si>
    <t>SOURCE</t>
  </si>
  <si>
    <t>Internally consistent: FTC + FTE + MGCC ties exactly to Total, and the three location lines tie exactly to FTC. No unallocated capacity to carry.</t>
  </si>
  <si>
    <t>Archetypes</t>
  </si>
  <si>
    <t>Golden Inventory v4, six-rule classifier</t>
  </si>
  <si>
    <t>D 3 / 95.479 · J 1 / 22.028 · T 2 / 4.067</t>
  </si>
  <si>
    <t>AI ceiling 44.71%, offshore ceiling 65.27%. Archetype D is 78.5% of the effort, which is what makes the productivity case; W05AMS-JPN at a 12% offshore ceiling is what caps the location case.</t>
  </si>
  <si>
    <t>Delivery method</t>
  </si>
  <si>
    <t>Appendix 3 v5</t>
  </si>
  <si>
    <t>1 agile · 1 hybrid · 4 waterfall; 16.7 of 121.6 units agile today</t>
  </si>
  <si>
    <t>MEASURED</t>
  </si>
  <si>
    <t>Pega for Claims is the only agile application. Claim Batch is hybrid. Four of six run on Japanese specifications.</t>
  </si>
  <si>
    <t>Adoption factors</t>
  </si>
  <si>
    <t>Portfolio default</t>
  </si>
  <si>
    <t>1.00 / 0.85 / 0.55 / 0.80 — unchanged</t>
  </si>
  <si>
    <t>STANDARD</t>
  </si>
  <si>
    <t>No case for raising MetLife's commitment here. Unlike Common Service Platform this is a mostly waterfall, Japanese-specification estate, and MetLife's own staff are only 11.1% of it.</t>
  </si>
  <si>
    <t>Role line</t>
  </si>
  <si>
    <t>BSA 5.958 · DEV 70.899 · TEST 6.817 · MNT 1.000 · PM 0.000 · OTH 0.775</t>
  </si>
  <si>
    <t>MNT 4.50 · PM 3.50 · OTH 2.50, taken from DEV</t>
  </si>
  <si>
    <t>RESTATED</t>
  </si>
  <si>
    <t>ZERO project management across six applications and three value streams, and 1.00 maintenance unit against 732 incidents and 1,161 changes. 83% of the vendor population booked as Developer — the highest in the estate. Arithmetically neutral; the total does not move.</t>
  </si>
  <si>
    <t>Partner</t>
  </si>
  <si>
    <t>NCD named on four applications</t>
  </si>
  <si>
    <t>51.244 of 85.449 vendor units — 60.0%</t>
  </si>
  <si>
    <t>DOMAIN DECISION</t>
  </si>
  <si>
    <r>
      <rPr>
        <sz val="8.5"/>
        <color rgb="FF595959"/>
        <rFont val="Arial"/>
        <charset val="1"/>
      </rPr>
      <t xml:space="preserve">MODELLED AS ABSORBED, NOT RETAINED. Consistent with the other </t>
    </r>
    <r>
      <rPr>
        <sz val="8.5"/>
        <color rgb="FF595959"/>
        <rFont val="Noto Sans CJK SC"/>
        <family val="2"/>
      </rPr>
      <t xml:space="preserve">領域 </t>
    </r>
    <r>
      <rPr>
        <sz val="8.5"/>
        <color rgb="FF595959"/>
        <rFont val="Arial"/>
        <charset val="1"/>
      </rPr>
      <t>modelled, where FSI was retained on entrenched Japanese-specification work and NCD was absorbed everywhere. Absorbing puts all 85.4 vendor units into the transferable pool, which is what makes the 50:50 reachable — if due diligence says NCD must be retained on C12WNC-JPN and W05AMS-JPN, the transfer arithmetic changes materially and the residual reappears. This is the single assumption in this workbook most worth challenging.</t>
    </r>
  </si>
  <si>
    <t>Transfer split</t>
  </si>
  <si>
    <t>Portfolio default 35% to MetLife Japan</t>
  </si>
  <si>
    <t>55% to MetLife Japan · 45% to MGCC</t>
  </si>
  <si>
    <t>DOMAIN OVERRIDE</t>
  </si>
  <si>
    <r>
      <rPr>
        <sz val="8.5"/>
        <color rgb="FF595959"/>
        <rFont val="Arial"/>
        <charset val="1"/>
      </rPr>
      <t xml:space="preserve">71.6 of 85.4 vendor units are in Tokyo — 84%, the most onshore-weighted Capgemini population of the </t>
    </r>
    <r>
      <rPr>
        <sz val="8.5"/>
        <color rgb="FF595959"/>
        <rFont val="Noto Sans CJK SC"/>
        <family val="2"/>
      </rPr>
      <t xml:space="preserve">領域 </t>
    </r>
    <r>
      <rPr>
        <sz val="8.5"/>
        <color rgb="FF595959"/>
        <rFont val="Arial"/>
        <charset val="1"/>
      </rPr>
      <t>modelled. The default assumes an offshore-weighted population being re-badged mostly into MGCC. Here that is backwards: people in Tokyo are re-badged to MetLife Japan.</t>
    </r>
  </si>
  <si>
    <t>Inherited workforce</t>
  </si>
  <si>
    <t>T3 reconciliation behind Golden v4</t>
  </si>
  <si>
    <t>6 people, 1 onshore, all on Claim Batch</t>
  </si>
  <si>
    <r>
      <rPr>
        <sz val="8.5"/>
        <color rgb="FF595959"/>
        <rFont val="Arial"/>
        <charset val="1"/>
      </rPr>
      <t xml:space="preserve">7% of the vendor population. The weakest continuity position of the </t>
    </r>
    <r>
      <rPr>
        <sz val="8.5"/>
        <color rgb="FF595959"/>
        <rFont val="Noto Sans CJK SC"/>
        <family val="2"/>
      </rPr>
      <t xml:space="preserve">領域 </t>
    </r>
    <r>
      <rPr>
        <sz val="8.5"/>
        <color rgb="FF595959"/>
        <rFont val="Arial"/>
        <charset val="1"/>
      </rPr>
      <t>modelled, and it is concentrated on a single application.</t>
    </r>
  </si>
  <si>
    <t>Disposition</t>
  </si>
  <si>
    <t>New in Appendix 3 v5</t>
  </si>
  <si>
    <t>C12WNC-JPN marked Retire — 34.997 units, 28.8%</t>
  </si>
  <si>
    <t>NEW</t>
  </si>
  <si>
    <r>
      <rPr>
        <sz val="8.5"/>
        <color rgb="FF595959"/>
        <rFont val="Arial"/>
        <charset val="1"/>
      </rPr>
      <t xml:space="preserve">Not netted out; the model holds effort frozen at Year 1 as every domain model does. Pega for Claims and MDRS additionally carry a zero Year-3 target in Appendix 3 — a further 18.8 units. Together 44.3% of the </t>
    </r>
    <r>
      <rPr>
        <sz val="8.5"/>
        <color rgb="FF595959"/>
        <rFont val="Noto Sans CJK SC"/>
        <family val="2"/>
      </rPr>
      <t xml:space="preserve">領域 </t>
    </r>
    <r>
      <rPr>
        <sz val="8.5"/>
        <color rgb="FF595959"/>
        <rFont val="Arial"/>
        <charset val="1"/>
      </rPr>
      <t>is under a disposition question. See the README.</t>
    </r>
  </si>
  <si>
    <t>Guardrails</t>
  </si>
  <si>
    <t>Portfolio standard</t>
  </si>
  <si>
    <t>50% vendor share · 55% per unit · 55% of build-and-test</t>
  </si>
  <si>
    <t>All held in every year, including the Year-4 dip immediately after the transfer — but only because the transfer split was re-cut to 55/45. At the portfolio default the build-and-test guardrail breaches in Year 4 at 53.5%.</t>
  </si>
  <si>
    <t>Transfer</t>
  </si>
  <si>
    <t>One event at the end of Year 3</t>
  </si>
  <si>
    <t>11.6 people — 6.4 to MetLife Japan, 5.2 to MGCC</t>
  </si>
  <si>
    <t>MODELLED</t>
  </si>
  <si>
    <r>
      <rPr>
        <sz val="8.5"/>
        <color rgb="FF595959"/>
        <rFont val="Arial"/>
        <charset val="1"/>
      </rPr>
      <t xml:space="preserve">Organic convergence runs first but only moves the ratio from 70.3% to 66.8%, because MetLife's side is small and shrinks slowly. The transfer carries most of the distance here, unlike the other </t>
    </r>
    <r>
      <rPr>
        <sz val="8.5"/>
        <color rgb="FF595959"/>
        <rFont val="Noto Sans CJK SC"/>
        <family val="2"/>
      </rPr>
      <t xml:space="preserve">領域 </t>
    </r>
    <r>
      <rPr>
        <sz val="8.5"/>
        <color rgb="FF595959"/>
        <rFont val="Arial"/>
        <charset val="1"/>
      </rPr>
      <t>modelled.</t>
    </r>
  </si>
  <si>
    <t>HOW TO READ THE STATUS COLUMN</t>
  </si>
  <si>
    <t>•  SOURCE — taken directly from Appendix 3 v5 or Golden Application Inventory v4. Not ours to change.</t>
  </si>
  <si>
    <t>•  MEASURED — MetLife has supplied it and we use it as given, where an earlier version made us assume.</t>
  </si>
  <si>
    <t>•  RESTATED — the client figure is internally impossible and we have changed it. Every restatement is arithmetically neutral: people move between role lines, the total does not. These go back to MetLife.</t>
  </si>
  <si>
    <r>
      <rPr>
        <sz val="9.5"/>
        <rFont val="Arial"/>
        <charset val="1"/>
      </rPr>
      <t xml:space="preserve">•  DOMAIN OVERRIDE — a portfolio default deliberately changed for this </t>
    </r>
    <r>
      <rPr>
        <sz val="9.5"/>
        <rFont val="Noto Sans CJK SC"/>
        <family val="2"/>
      </rPr>
      <t>領域</t>
    </r>
    <r>
      <rPr>
        <sz val="9.5"/>
        <rFont val="Arial"/>
        <charset val="1"/>
      </rPr>
      <t>, with the reason stated. These are solution decisions and should be defended as such in the review.</t>
    </r>
  </si>
  <si>
    <t>•  MODELLED — a construct of ours with no direct client source: partner plans, transfer sizing, conversion quarters. The assumptions most worth challenging.</t>
  </si>
  <si>
    <t>Change control  —  what must still hold after you edit a seat count</t>
  </si>
  <si>
    <t>Pod Library column J and Horizontal Teams column I are INPUTS. You may change them. Holding the yearly total is necessary but not sufficient — these are the other things that have to survive the edit. Every check below is live.</t>
  </si>
  <si>
    <t>A.  WHERE THESE NUMBERS GO</t>
  </si>
  <si>
    <t>•  Pod Library J and Horizontal Teams I are hard-typed values, not formulas. Nothing upstream computes them — they are the design. Everything downstream is derived from them.</t>
  </si>
  <si>
    <t>•  Seat Ledger reads them cell by cell (912 references to Pod Library, 630 to Horizontal Teams) and multiplies by the unit count on Pod Plan. Team Build-Up, Cost &amp; Commercial, Inherited Workforce and Unit Cost Sensitivity are all SUMIFS over the Seat Ledger. Change a seat and every one of them moves.</t>
  </si>
  <si>
    <t>•  THE ONE THAT SURPRISES PEOPLE: the Logic Tree reads the roster back. Partner seats (row 59) drive the partner share (row 60), the span-of-control factor (row 61), the applied operating-model gain (row 43), capability (row 45) and therefore the HEADCOUNT TARGET itself (row 53). Changing partner seats moves the target you are trying to hit. It converges, but it does not stand still.</t>
  </si>
  <si>
    <t>•  What does NOT move: the effort baseline, the archetype mix, the AI and offshore ceilings, the realisation curve and the agile conversion quarters. Those are inputs on the Logic Tree and Delivery Mode.</t>
  </si>
  <si>
    <t>B.  THE INVARIANTS  —  all of these must stay green</t>
  </si>
  <si>
    <t>Check</t>
  </si>
  <si>
    <t>Y1</t>
  </si>
  <si>
    <t>Y2</t>
  </si>
  <si>
    <t>Y3</t>
  </si>
  <si>
    <t>Y4</t>
  </si>
  <si>
    <t>Y5</t>
  </si>
  <si>
    <t>Tolerance</t>
  </si>
  <si>
    <t>Headcount delivered minus Logic Tree target</t>
  </si>
  <si>
    <t>± 1.5</t>
  </si>
  <si>
    <t>The productivity commitment. If you add seats you must remove others.</t>
  </si>
  <si>
    <t>Capgemini share inside each POD</t>
  </si>
  <si>
    <t>≥ 55%</t>
  </si>
  <si>
    <t>A POD in which Capgemini is a minority is one whose ways of working we do not set.</t>
  </si>
  <si>
    <t>Capgemini share inside each TEAM</t>
  </si>
  <si>
    <t>A TEAM in which Capgemini is a minority is one whose ways of working we do not set.</t>
  </si>
  <si>
    <t>Capgemini share of the delivery population</t>
  </si>
  <si>
    <t>≥ 50%</t>
  </si>
  <si>
    <t>Below half the roster we cannot carry a productivity commitment we do not control.</t>
  </si>
  <si>
    <t>Blocks deploying a non-whole number of people</t>
  </si>
  <si>
    <t>Column K of the Pod Library and column J of Horizontal Teams are the people you hire for that role across the whole block. Every one is a whole number, or a half where one person covers two units INSIDE this domain. The seat ratio beside it is the modelling quantity and will not always be round — on a 28-team block, nine engineers is a ratio of 0.32.</t>
  </si>
  <si>
    <t>Horizontal roles that have fallen below 0.02 FTE</t>
  </si>
  <si>
    <t>A domain cannot run without a delivery head, a service manager or an architect. If a role must genuinely end, delete the row rather than leaving it at zero.</t>
  </si>
  <si>
    <t>Year-1 reconciliation to Appendix 3 — worst line</t>
  </si>
  <si>
    <t>± 2.6</t>
  </si>
  <si>
    <t>Year 1 must reproduce the client's own numbers: effort, the sourcing split, all three locations and all six role lines. The tolerance is ± 2.6 because seats sit on a 0.5 grid and a Year-1 team seat carries a multiplier of 5 — one grid step is 2.5 people. That is the deliberate price of an anatomy that can be staffed. Moving a seat between bands is free; moving it between ROLE, LOCATION or SOURCING is what actually breaks this.</t>
  </si>
  <si>
    <t>C.  WHAT GOES STALE AND WILL NOT WARN YOU</t>
  </si>
  <si>
    <t>•  SOURCING &amp; PRODUCTIVITY is static. It is produced outside Excel by the per-sourcing solver and pasted in. If you change seat counts, the pool ceilings, the organic-convergence table and the transfer solve on that sheet no longer describe this roster. Re-run the solver or treat the sheet as superseded.</t>
  </si>
  <si>
    <t>•  SIT LOADING is static for the same reason. Re-generate it after any seat change, or the requisition plan will not match the ledger.</t>
  </si>
  <si>
    <t>•  The TRANSFER on the Logic Tree is a typed input (rows 65-66), sized on the Year-3 exit position produced by the solver. Change the Year-3 roster materially and the transfer needs re-sizing, or the 50:50 will not land.</t>
  </si>
  <si>
    <t>•  THE RULE OF THUMB. Re-banding a seat, renaming it, or moving it between pods is safe. Changing its ROLE, LOCATION or SOURCING is not — those are the attributes Year 1 reconciles on and the guardrails measure.</t>
  </si>
  <si>
    <t>Logic Tree  —  ten parametric drivers, five years</t>
  </si>
  <si>
    <t>Amber cells are inputs. Everything else re-derives. Section F is rebuilt on the measured day-1 position.</t>
  </si>
  <si>
    <t>A.  BASELINE  —  Appendix 3 v5, read and never edited</t>
  </si>
  <si>
    <t>Domain</t>
  </si>
  <si>
    <t>Insurance Claims and Benefits Payment Related</t>
  </si>
  <si>
    <t>Applications</t>
  </si>
  <si>
    <t>Total effort (units)</t>
  </si>
  <si>
    <t>Current FTC reported (Capgemini + partner)</t>
  </si>
  <si>
    <t>Current FTE</t>
  </si>
  <si>
    <t>Current MGCC</t>
  </si>
  <si>
    <t>— of which onshore Tokyo</t>
  </si>
  <si>
    <t>28.87 offshore, 15.99 MGCC and 0.96 nearshore against 35.55 onshore. This domain already delivers most of its work away from Tokyo.</t>
  </si>
  <si>
    <t>— of which offshore</t>
  </si>
  <si>
    <t>— of which nearshore</t>
  </si>
  <si>
    <t>— of which onsite</t>
  </si>
  <si>
    <t>Role: BSA</t>
  </si>
  <si>
    <t>Role: Developer</t>
  </si>
  <si>
    <t>All six role lines are populated for this domain and are used exactly as reported. No restatement was needed.</t>
  </si>
  <si>
    <t>Role: Tester</t>
  </si>
  <si>
    <t>Role: Maintenance</t>
  </si>
  <si>
    <t>Role: PM</t>
  </si>
  <si>
    <t>Role: Other</t>
  </si>
  <si>
    <t>AD effort (% of PRJ weighted)</t>
  </si>
  <si>
    <t>Appendix 3 Year-3 target, each side</t>
  </si>
  <si>
    <t>Ratio today — Capgemini share</t>
  </si>
  <si>
    <t>OFFSHORE TODAY — whole team, measured</t>
  </si>
  <si>
    <t>45.5% on day one — 28.87 offshore, 0.96 nearshore and 15.99 MGCC. The highest starting position of the eleven domains, which is why the ceiling here is reachable rather than aspirational.</t>
  </si>
  <si>
    <t>B.  ARCHETYPE MIX  —  from the Golden Application Inventory v4</t>
  </si>
  <si>
    <t>Archetype</t>
  </si>
  <si>
    <t>Name</t>
  </si>
  <si>
    <t>Apps</t>
  </si>
  <si>
    <t>Effort</t>
  </si>
  <si>
    <t>Share</t>
  </si>
  <si>
    <t>AI ceiling</t>
  </si>
  <si>
    <t>Offshore ceiling</t>
  </si>
  <si>
    <t>D</t>
  </si>
  <si>
    <t>Distributed-proven</t>
  </si>
  <si>
    <t>J</t>
  </si>
  <si>
    <t>Japan-locked</t>
  </si>
  <si>
    <t>T</t>
  </si>
  <si>
    <t>Long tail</t>
  </si>
  <si>
    <t>Total</t>
  </si>
  <si>
    <t>APPLICABLE AI CEILING</t>
  </si>
  <si>
    <t>46.74% on the golden phase mix — the highest of the eleven domains, because both archetypes present are M and D, the two the classifier treats as most machine-addressable. No domain-specific override is applied.</t>
  </si>
  <si>
    <t>APPLICABLE OFFSHORE CEILING</t>
  </si>
  <si>
    <t>65.27%. Three archetype-D applications carry 78.5% of the effort at a 78% ceiling, and this domain is nothing but M and D.</t>
  </si>
  <si>
    <t>C.  REALISATION AND THE NON-AI COMPONENTS</t>
  </si>
  <si>
    <t>Driver</t>
  </si>
  <si>
    <t>Year 1</t>
  </si>
  <si>
    <t>Year 2</t>
  </si>
  <si>
    <t>Year 3</t>
  </si>
  <si>
    <t>Year 4</t>
  </si>
  <si>
    <t>Year 5</t>
  </si>
  <si>
    <t>Basis</t>
  </si>
  <si>
    <t>AI realisation — share of ceiling</t>
  </si>
  <si>
    <t>Adoption, guardrails and substrate maturity. Capped at 90%.</t>
  </si>
  <si>
    <t>Classical ADM productivity, cumulative</t>
  </si>
  <si>
    <t>Standardisation, defect reduction, shift-left.</t>
  </si>
  <si>
    <t>Operating-model productivity, RAW</t>
  </si>
  <si>
    <t>Pod consolidation and one release train — only available where the stream is agile.</t>
  </si>
  <si>
    <t>Agile share of the domain  →  from the Delivery Mode sheet</t>
  </si>
  <si>
    <t>Operating-model productivity, APPLIED  =  raw × agile share × span-of-control factor</t>
  </si>
  <si>
    <t>Scaling by the agile share is what makes the operating-model gain earned rather than assumed. It costs 2.0 points of Year-1 capability: 16.0% unscaled against the 14.1% the model earns.</t>
  </si>
  <si>
    <t>AI-attributable productivity</t>
  </si>
  <si>
    <t>CAPABILITY EARNED by end of year</t>
  </si>
  <si>
    <t>D.  CARRY-FORWARD AND PRE-LOAD  —  what is applied to headcount</t>
  </si>
  <si>
    <t>Pre-load fraction of the in-year gain</t>
  </si>
  <si>
    <t>Banked from the prior year</t>
  </si>
  <si>
    <t>Pre-load of this year's gain</t>
  </si>
  <si>
    <t>APPLIED TO STAFFING</t>
  </si>
  <si>
    <t>Headcount target  =  baseline x (1 - applied)</t>
  </si>
  <si>
    <t>EXIT YEAR 3 — full realisation, the point the transfer is struck</t>
  </si>
  <si>
    <t>E.  PARTNER  —  the fourth sourcing type, and what it costs</t>
  </si>
  <si>
    <r>
      <rPr>
        <sz val="8.5"/>
        <color rgb="FF595959"/>
        <rFont val="Arial"/>
        <charset val="1"/>
      </rPr>
      <t xml:space="preserve">THERE IS NO MATERIAL PARTNER IN THIS </t>
    </r>
    <r>
      <rPr>
        <sz val="8.5"/>
        <color rgb="FF595959"/>
        <rFont val="Noto Sans CJK SC"/>
        <family val="2"/>
      </rPr>
      <t>領域</t>
    </r>
    <r>
      <rPr>
        <sz val="8.5"/>
        <color rgb="FF595959"/>
        <rFont val="Arial"/>
        <charset val="1"/>
      </rPr>
      <t>. Golden v4 names Capgemini on five of the ten applications and NCD on one 1.4-unit application; the remaining 13.0 vendor units carry no named incumbent. Partner seats are therefore modelled at zero and the rows below resolve to zero. The mechanic is kept live so that a sub-contract identified in due diligence can be priced without re-cutting the model.</t>
    </r>
  </si>
  <si>
    <t>Measure</t>
  </si>
  <si>
    <t>Partner seats  —  from the seat ledger</t>
  </si>
  <si>
    <t>Partner share of the delivery population</t>
  </si>
  <si>
    <t>Partner seats cannot transfer to MetLife. They sit on the Capgemini side of the 50:50 permanently — which is why a partner appearing later makes the ratio harder, not easier.</t>
  </si>
  <si>
    <t>Span-of-control factor  =  1 − drag × partner share</t>
  </si>
  <si>
    <t>Partner drag  —  INPUT</t>
  </si>
  <si>
    <t>A partner seat returns 40% of the operating-model gain a Capgemini seat does: two management chains, a contractual boundary on ways of working, slower standardisation. It costs nothing here because the partner share is zero, but the drag is the number to argue about if one appears.</t>
  </si>
  <si>
    <t>F.  OFFSHORE  —  a measured start, a re-cut ceiling, and three bases to report on</t>
  </si>
  <si>
    <t>M and D carry the portfolio's two highest offshore ceilings — 85% and 78% — and between them they are 95.5 of the 121.6 units here at a 78% ceiling, which is what carries the blend. W05AMS-JPN is applications carry Japanese-language specifications, and they total 4.6 units.</t>
  </si>
  <si>
    <t>Gap closure — share of (ceiling − today) reached</t>
  </si>
  <si>
    <t>Year 1 holds the position it inherits. Years 4 and 5 flatten deliberately — see below.</t>
  </si>
  <si>
    <t>TARGET OFFSHORE SHARE, whole team</t>
  </si>
  <si>
    <t>Delivered — whole team</t>
  </si>
  <si>
    <t>Delivered — vendor only (Capgemini + partner)</t>
  </si>
  <si>
    <t>Delivered — Capgemini payroll only</t>
  </si>
  <si>
    <t>THE LINE THAT MATTERS COMMERCIALLY. Capgemini's own payroll is MORE offshore than the whole team throughout — 51.7% rising to 83.5% — because the onshore seats are disproportionately MetLife's. Unlike Contract Management, the Year-3 transfer does not strip our offshore book: only 7 people move to MGCC, so the Capgemini line keeps climbing after Year 3.</t>
  </si>
  <si>
    <t>G.  TRANSFER OF EMPLOYMENT  —  one event, end of Year 3, Capgemini payroll only</t>
  </si>
  <si>
    <t>Transfer in year</t>
  </si>
  <si>
    <t>Capgemini Japan to MetLife Japan (FTE)</t>
  </si>
  <si>
    <t>THE TRANSFER CARRIES MOST OF THE DISTANCE HERE, which is unusual. Organic convergence moves the ratio only from 70.3% to 66.8% by Year 3, because MetLife's side is 36.1 of 121.6 units and shrinks slowly. 11.6 people then move, against 32.3 available at the 70% cap.</t>
  </si>
  <si>
    <t>Capgemini India to MetLife MGCC</t>
  </si>
  <si>
    <t>Cumulative transferred</t>
  </si>
  <si>
    <t>6.4 to MetLife Japan and 5.2 to MGCC — a 55/45 split against the portfolio default of 35/65, because 84% of the Capgemini population is in Tokyo and people in Tokyo are re-badged to MetLife Japan, not to a captive centre in India. At the default split the build-and-test guardrail breaches in Year 4.</t>
  </si>
  <si>
    <t>H.  COST INDEX  —  relative only, onshore Tokyo E2 = 1.00</t>
  </si>
  <si>
    <t>Location</t>
  </si>
  <si>
    <t>E1</t>
  </si>
  <si>
    <t>E2</t>
  </si>
  <si>
    <t>E3</t>
  </si>
  <si>
    <t>E4</t>
  </si>
  <si>
    <t>E5</t>
  </si>
  <si>
    <t>Onshore Tokyo</t>
  </si>
  <si>
    <t>Offshore Hyderabad</t>
  </si>
  <si>
    <t>Nearshore</t>
  </si>
  <si>
    <t>Nearshore is ZERO on this domain — every unit is either Tokyo or India. The NEAR rows and the nearshore cost column are carried anyway so that all eleven domain models share one schema.</t>
  </si>
  <si>
    <t>key</t>
  </si>
  <si>
    <t>ON</t>
  </si>
  <si>
    <t>OFF</t>
  </si>
  <si>
    <t>NEAR</t>
  </si>
  <si>
    <t>Lookup block for the Seat Ledger. Mirrors the table on the left.</t>
  </si>
  <si>
    <t>Sourcing and productivity  —  the same chain, applied differently to each population</t>
  </si>
  <si>
    <t>Productivity is not one number applied to everybody. The three populations do different work and we do not control all three, so each carries its own AI ceiling and its own adoption factor. This is what makes the 50:50 converge on its own rather than by transfer.</t>
  </si>
  <si>
    <t>A.  WHY ONE RATE CANNOT APPLY TO ALL THREE  —  the Year-1 role mix</t>
  </si>
  <si>
    <t>Population</t>
  </si>
  <si>
    <t>Heads Y1</t>
  </si>
  <si>
    <t>BSA</t>
  </si>
  <si>
    <t>Developer</t>
  </si>
  <si>
    <t>Tester</t>
  </si>
  <si>
    <t>Maint.</t>
  </si>
  <si>
    <t>FTC · Capgemini payroll</t>
  </si>
  <si>
    <t>MetLife's own people are governance, domain SME and product ownership. MGCC is build and test. They are not doing the same work, so they cannot carry the same productivity rate.</t>
  </si>
  <si>
    <t>PT · Partner (sub-contracted)</t>
  </si>
  <si>
    <t>FTE · MetLife Japan</t>
  </si>
  <si>
    <t>MGCC · MetLife MGCC</t>
  </si>
  <si>
    <t>B.  EACH POPULATION'S OWN AI CEILING AND ADOPTION  —  INPUT</t>
  </si>
  <si>
    <t>Own AI ceiling</t>
  </si>
  <si>
    <t>Adoption</t>
  </si>
  <si>
    <t>Effective ceiling</t>
  </si>
  <si>
    <t>vs domain blend</t>
  </si>
  <si>
    <t>ADOPTION is the share of the ceiling each population can actually realise, and it is a judgement about AUTHORITY, not about capability. We build the tooling, set the ways of working and mandate them on our own payroll — so 1.00. Everything below that is somebody else's decision.</t>
  </si>
  <si>
    <t>Domain blended ceiling (unchanged, and still the headline commitment)</t>
  </si>
  <si>
    <t>Only the AI gate is scaled. Classical ADM productivity attaches to the work and the operating-model gain attaches to the delivery unit, so both flow to every population regardless of employer.</t>
  </si>
  <si>
    <t>C.  WHAT EACH POPULATION IS THEREFORE ASKED TO DELIVER</t>
  </si>
  <si>
    <t>Applied to staffing</t>
  </si>
  <si>
    <t>The headline commitment is UNCHANGED from the previous version. What has changed is that it is no longer assumed to fall equally on all three populations.</t>
  </si>
  <si>
    <t>Whole-domain commitment (the headline)</t>
  </si>
  <si>
    <t>D.  THE THREE-WAY COMMITMENT SPLIT</t>
  </si>
  <si>
    <t>CAPGEMINI COMMITS</t>
  </si>
  <si>
    <t>Our own headcount reduction, on our own payroll, on tooling and ways of working we control. This is contractible and we should contract it.</t>
  </si>
  <si>
    <t>METLIFE MUST DELIVER</t>
  </si>
  <si>
    <t>The reduction of MetLife Japan and MGCC headcount. We size it, we enable it and we report it — but redeploying MetLife's own people is MetLife's decision, and MGCC runs to its own utilisation targets. This should be a joint commitment with named owners, not a Capgemini SLA.</t>
  </si>
  <si>
    <t>JOINTLY DEPENDENT</t>
  </si>
  <si>
    <t>AI adoption on MetLife's side: tooling access, shared standards, common telemetry, and the substrate being used rather than merely available. If adoption lands below the factors in section B, the whole-team headcount misses even if Capgemini delivers in full.</t>
  </si>
  <si>
    <t>E.  ORGANIC CONVERGENCE TO 50:50  —  before any transfer</t>
  </si>
  <si>
    <t>MetLife Japan (FTE) — own curve</t>
  </si>
  <si>
    <t>MetLife's populations follow their own slower curves. Capgemini takes the balance, which means we shrink our own book faster than productivity alone would justify. That extra reduction is not a productivity claim — it is a deliberate commercial choice to reach the ratio organically instead of by transferring people.</t>
  </si>
  <si>
    <t>MetLife MGCC — own curve</t>
  </si>
  <si>
    <t>Partner — per the partner plan</t>
  </si>
  <si>
    <t>Capgemini — absorbs the balance</t>
  </si>
  <si>
    <t>TOTAL  =  the headline commitment</t>
  </si>
  <si>
    <t>RATIO — Capgemini share</t>
  </si>
  <si>
    <t xml:space="preserve">  — of which productivity-driven</t>
  </si>
  <si>
    <t xml:space="preserve">  — of which RATIO-DRIVEN, over and above productivity</t>
  </si>
  <si>
    <t>This is the mechanism that halves the transfer. Reaching the ratio by shrinking our own book is cheaper, lower-risk and entirely within our control; a transfer of employment is neither.</t>
  </si>
  <si>
    <t>F.  THE GUARDRAILS  —  where organic convergence has to stop</t>
  </si>
  <si>
    <t>Test</t>
  </si>
  <si>
    <t>Floor</t>
  </si>
  <si>
    <t>THE POINT OF THE FLOOR. If Capgemini becomes a minority of the delivery population, or of the build-and-test seats, or of any single pod, we no longer set the ways of working — and a productivity commitment we cannot enforce is not a commitment. Convergence stops here, and from that year MetLife's population follows the whole-team curve rather than its own slower one.</t>
  </si>
  <si>
    <t>Capgemini share of build-and-test seats</t>
  </si>
  <si>
    <t>Capgemini share inside every single delivery unit</t>
  </si>
  <si>
    <t>held</t>
  </si>
  <si>
    <t>G.  THE TRANSFER  —  only what organic convergence cannot reach</t>
  </si>
  <si>
    <t>Value</t>
  </si>
  <si>
    <t>Exit Year 3 headcount, full realisation</t>
  </si>
  <si>
    <t>Vendor units at exit, after organic convergence</t>
  </si>
  <si>
    <t>Transferable pool — Capgemini payroll only</t>
  </si>
  <si>
    <t>50:50 requires each side to be</t>
  </si>
  <si>
    <t>TRANSFER REQUIRED</t>
  </si>
  <si>
    <t>Maximum transferable at the 70% cap</t>
  </si>
  <si>
    <t>Transfer applied</t>
  </si>
  <si>
    <t xml:space="preserve">  — to MetLife Japan</t>
  </si>
  <si>
    <t xml:space="preserve">  — to MGCC</t>
  </si>
  <si>
    <t>RESIDUAL GAP TO 50:50</t>
  </si>
  <si>
    <t>Ratio reached at the Year-3 exit</t>
  </si>
  <si>
    <t>Delivery mode  —  measured per application, not assumed</t>
  </si>
  <si>
    <t>Appendix 3 v5 supplies the development method for every application here. Seven of the ten are agile today — 16.7 of 121.6 units. Four of six run on Japanese specifications and only two are cloud-flagged. and the productivity case rests on that.</t>
  </si>
  <si>
    <t>A.  MODE TODAY AND TARGET, BY VALUE STREAM  —  INPUT</t>
  </si>
  <si>
    <t>Value stream</t>
  </si>
  <si>
    <t>Mode today</t>
  </si>
  <si>
    <t>Agile from</t>
  </si>
  <si>
    <t>Why</t>
  </si>
  <si>
    <r>
      <rPr>
        <b/>
        <sz val="9.5"/>
        <rFont val="Arial"/>
        <charset val="1"/>
      </rPr>
      <t xml:space="preserve">AMP · Annuity </t>
    </r>
    <r>
      <rPr>
        <b/>
        <sz val="9.5"/>
        <rFont val="Noto Sans CJK SC"/>
        <family val="2"/>
      </rPr>
      <t xml:space="preserve">＆ </t>
    </r>
    <r>
      <rPr>
        <b/>
        <sz val="9.5"/>
        <rFont val="Arial"/>
        <charset val="1"/>
      </rPr>
      <t>Maturity Payment</t>
    </r>
  </si>
  <si>
    <t>D / J / T</t>
  </si>
  <si>
    <t>Hybrid</t>
  </si>
  <si>
    <t>Q3</t>
  </si>
  <si>
    <r>
      <rPr>
        <sz val="8.5"/>
        <color rgb="FF595959"/>
        <rFont val="Arial"/>
        <charset val="1"/>
      </rPr>
      <t xml:space="preserve">Claim Batch is 43.8 of the 67.8 — cloud-flagged, hybrid method, and the only application in the </t>
    </r>
    <r>
      <rPr>
        <sz val="8.5"/>
        <color rgb="FF595959"/>
        <rFont val="Noto Sans CJK SC"/>
        <family val="2"/>
      </rPr>
      <t xml:space="preserve">領域 </t>
    </r>
    <r>
      <rPr>
        <sz val="8.5"/>
        <color rgb="FF595959"/>
        <rFont val="Arial"/>
        <charset val="1"/>
      </rPr>
      <t>Capgemini already sits on. W05AMS-JPN behind it is 22.0 units of Japan-locked waterfall.</t>
    </r>
  </si>
  <si>
    <r>
      <rPr>
        <sz val="8.5"/>
        <color rgb="FF595959"/>
        <rFont val="Arial"/>
        <charset val="1"/>
      </rPr>
      <t xml:space="preserve">The mode column is MetLife's own data. MetLife records three value streams here. Claims Support Services already runs agile; Annuity </t>
    </r>
    <r>
      <rPr>
        <sz val="8.5"/>
        <color rgb="FF595959"/>
        <rFont val="Noto Sans CJK SC"/>
        <family val="2"/>
      </rPr>
      <t xml:space="preserve">＆ </t>
    </r>
    <r>
      <rPr>
        <sz val="8.5"/>
        <color rgb="FF595959"/>
        <rFont val="Arial"/>
        <charset val="1"/>
      </rPr>
      <t xml:space="preserve">Maturity Payment is hybrid-led; Claims Processing </t>
    </r>
    <r>
      <rPr>
        <sz val="8.5"/>
        <color rgb="FF595959"/>
        <rFont val="Noto Sans CJK SC"/>
        <family val="2"/>
      </rPr>
      <t xml:space="preserve">＆ </t>
    </r>
    <r>
      <rPr>
        <sz val="8.5"/>
        <color rgb="FF595959"/>
        <rFont val="Arial"/>
        <charset val="1"/>
      </rPr>
      <t>single release train and a stable pod shape, not about changing method. The quarter each stream Adjudication is waterfall, Japanese-specification and marked Retire, so it converts late by design: CSS Q2, AMP Q3, CPA Q7.</t>
    </r>
  </si>
  <si>
    <t>CPA · Claims Processing &amp; Adjudication</t>
  </si>
  <si>
    <t>Waterfall</t>
  </si>
  <si>
    <t>Q7</t>
  </si>
  <si>
    <t>C12WNC-JPN alone. Business-critical, Japanese specifications, 9.6 units nearshore, and MARKED RETIRE in Appendix 3 v5. Converted late on purpose.</t>
  </si>
  <si>
    <t>CSS · Claims Support Services</t>
  </si>
  <si>
    <t>D / T</t>
  </si>
  <si>
    <t>Agile</t>
  </si>
  <si>
    <t>Q2</t>
  </si>
  <si>
    <t>Pega for Claims and MDRS. Already agile, English specifications, cloud-flagged — and both carry a ZERO Year-3 target in MetLife's own Appendix 3 model.</t>
  </si>
  <si>
    <t>B.  AGILE SHARE BY YEAR  —  computed from the quarter each stream converts</t>
  </si>
  <si>
    <t>AMP</t>
  </si>
  <si>
    <t>CPA</t>
  </si>
  <si>
    <t>CSS</t>
  </si>
  <si>
    <t>Effort-weighted agile share of the domain</t>
  </si>
  <si>
    <t>Delivery units this produces</t>
  </si>
  <si>
    <t>— agile PODS</t>
  </si>
  <si>
    <t>— agile share (feeds the Logic Tree)</t>
  </si>
  <si>
    <t>— waterfall / hybrid TEAMS</t>
  </si>
  <si>
    <t>C.  WHY THIS MATTERS TO THE NUMBER</t>
  </si>
  <si>
    <t>•  Operating-model productivity — pod consolidation, one release train, span of control — is only available where the stream actually runs as a pod. Scaling the 3 / 6 / 8 / 10 / 12% curve by the Year-1 agile share of 39.5% cuts it to 1.2%, and that is the whole of the discount: NCD is absorbed rather than retained, so there is no partner share to net off. From Year 3 the domain is fully converted and the curve runs at full value.</t>
  </si>
  <si>
    <t>•  The waterfall / hybrid TEAM is 12 seats with a separate test cell; the agile POD is 10 in Year 1 falling to 6 by Year 4, with test collapsed into SDET seats. Both carry MGCC seats from day one, which is what makes this domain's offshore movement cheap: the substrate is already there.</t>
  </si>
  <si>
    <r>
      <rPr>
        <sz val="9.5"/>
        <rFont val="Arial"/>
        <charset val="1"/>
      </rPr>
      <t xml:space="preserve">•  Year 1 runs 4 pods and 5 delivery teams. Teams are gone by Year 3 and the pod count runs 4 / 7 / 9 / 9 / 8 — it RISES before it falls, because conversion adds pods before productivity removes them. If Annuity </t>
    </r>
    <r>
      <rPr>
        <sz val="9.5"/>
        <rFont val="Noto Sans CJK SC"/>
        <family val="2"/>
      </rPr>
      <t xml:space="preserve">＆ </t>
    </r>
    <r>
      <rPr>
        <sz val="9.5"/>
        <rFont val="Arial"/>
        <charset val="1"/>
      </rPr>
      <t>Maturity Payment slips two quarters the Year-1 agile share falls from 39.5% to 11.7%, which costs nothing in staffing because Year 1 applies zero productivity by construction.</t>
    </r>
  </si>
  <si>
    <t>•  DECIDE  the conversion quarters, not the modes. MetLife has given us the development method for every application, so the only assumption left on this sheet is WHEN each stream reaches the target pod shape — CSS Q2, AMP Q3, CPA Q7. The CPA quarter is the conservative one and it is deliberate — that stream is one them.</t>
  </si>
  <si>
    <t>AMS and ticket load  —  the run team sized from evidence, for the first time</t>
  </si>
  <si>
    <t>732 incidents and 1,161 changes over 32 months, from Appendix 3 v5.</t>
  </si>
  <si>
    <t>A.  RECORDED VOLUMES  —  1 Jan 2024 to 31 Aug 2026</t>
  </si>
  <si>
    <t>Volume</t>
  </si>
  <si>
    <t>Per month</t>
  </si>
  <si>
    <t>Per unit of effort</t>
  </si>
  <si>
    <t>P1 — critical</t>
  </si>
  <si>
    <t>No P1 or P2 incidents at all in 32 months and 71% of incidents at P5. The estate is stable; the cost is in changing it, not in keeping it up.</t>
  </si>
  <si>
    <t>P2 — high</t>
  </si>
  <si>
    <t>P3 — medium</t>
  </si>
  <si>
    <t>P4 — low</t>
  </si>
  <si>
    <t>P5 — informational</t>
  </si>
  <si>
    <t>All incidents</t>
  </si>
  <si>
    <t>Emergency change</t>
  </si>
  <si>
    <t>84% Standard and 4.3% Emergency. A high-volume, low-severity, highly repeatable change profile — the best automation case in the portfolio.</t>
  </si>
  <si>
    <t>Normal change</t>
  </si>
  <si>
    <t>Standard change</t>
  </si>
  <si>
    <t>All changes</t>
  </si>
  <si>
    <t>Observation window, months</t>
  </si>
  <si>
    <t>B.  SIZING THE RUN TEAM  —  three independent bases, triangulated</t>
  </si>
  <si>
    <t>Reading</t>
  </si>
  <si>
    <t>A.  Maintenance role reported in Appendix 3 v5</t>
  </si>
  <si>
    <t>MetLife's own HEADCOUNT view. Populated here, unlike Contract Management, so it is usable.</t>
  </si>
  <si>
    <t>B.  Run effort implied by the AD / AMS split  =  (1 − AD share) x effort</t>
  </si>
  <si>
    <t>MetLife's own EFFORT view: 13.5% of 100.765 units. It implies 2.4 times the run population the role line does, and both numbers come from the same spreadsheet.</t>
  </si>
  <si>
    <t>Total demand items per month  (incidents + changes)</t>
  </si>
  <si>
    <t>2,536 items in 32 months — 25.2 per unit of effort against 14.6 on Sales. High for a three-application estate, and 84% of the changes are Standard.</t>
  </si>
  <si>
    <t>C.  Throughput implied by basis A  —  items per person per month</t>
  </si>
  <si>
    <t>If the role line is right, each run person absorbs this many items a month.</t>
  </si>
  <si>
    <t>C.  Throughput implied by basis B</t>
  </si>
  <si>
    <t>If the effort split is right, this is the rate. Industry L2 throughput on a modern data stack is 40 to 80 items per person per month; both of these sit far below it, which says these items carry investigation rather than triage.</t>
  </si>
  <si>
    <t>Run-facing seats in the Year-1 roster  (Maintenance + Tester, all sourcing)</t>
  </si>
  <si>
    <t>Model output. Sized on the role line, which is the binding Year-1 reconciliation constraint, and reported here against the other two bases rather than averaged with them.</t>
  </si>
  <si>
    <t>C.  WHAT THE TICKET DATA CHANGES</t>
  </si>
  <si>
    <t>•  MetLife's two views of the run population disagree by a factor of 2.4. The Maintenance role line says 5.67 units; the AD / AMS effort split says 13.64. This model follows the role line, because Year 1 has to reconcile to Appendix 3 line by line — but the difference is 8 people and it is a real commercial exposure. PUT THIS TO METLIFE before the AMS price is fixed.</t>
  </si>
  <si>
    <t>•  The severity profile is benign and the change profile is not. No P1 or P2 incidents in 32 months and 71% of incidents at P5 — this estate is stable. But 1,730 changes on 100.8 units, 84% of them Standard, is a high change rate, and Standard changes on a cloud data platform are exactly what pipeline automation and a release train remove. That is where the operating-model productivity in this domain actually comes from.</t>
  </si>
  <si>
    <t>•  Ticket density is 25.2 items per unit of effort against 14.6 on Sales — the highest of the domains modelled so far. Combined with a 13.5% run share it suggests run work is sitting inside the Developer line, which is the same pattern Sales shows and the reason this cross-check is worth running on every domain.</t>
  </si>
  <si>
    <t>•  DO  ask MetLife which of the two run figures governs, and ask for the ticket-to-effort mapping behind the AD / AMS split. On a three-application domain this is a short conversation with a material price attached.</t>
  </si>
  <si>
    <t>Inventory  —  the 10 Insurance Claims and Benefits Payment Related applications from Appendix 3 v5</t>
  </si>
  <si>
    <t>Classified by the six-rule classifier on the Golden Application Inventory v4.</t>
  </si>
  <si>
    <t>Application</t>
  </si>
  <si>
    <t>Arch</t>
  </si>
  <si>
    <t>FTC</t>
  </si>
  <si>
    <t>FTE</t>
  </si>
  <si>
    <t>Onshore</t>
  </si>
  <si>
    <t>Nearsh %</t>
  </si>
  <si>
    <t>Dev</t>
  </si>
  <si>
    <t>AD %</t>
  </si>
  <si>
    <t>Crit</t>
  </si>
  <si>
    <t>Method</t>
  </si>
  <si>
    <t>Spec lang</t>
  </si>
  <si>
    <t>Lines of code</t>
  </si>
  <si>
    <t>Batches</t>
  </si>
  <si>
    <t>Incidents</t>
  </si>
  <si>
    <t>Changes</t>
  </si>
  <si>
    <t>Primary code language</t>
  </si>
  <si>
    <t>Claim Batch</t>
  </si>
  <si>
    <t>N</t>
  </si>
  <si>
    <t>JAVA</t>
  </si>
  <si>
    <t>C12WNC-JPN</t>
  </si>
  <si>
    <t>Y</t>
  </si>
  <si>
    <t>JP</t>
  </si>
  <si>
    <t>VB.NET;C/C++;JAVA</t>
  </si>
  <si>
    <t>W05AMS-JPN</t>
  </si>
  <si>
    <t xml:space="preserve">JAVA, C#, VC </t>
  </si>
  <si>
    <t>Pega for Claims</t>
  </si>
  <si>
    <t>EN</t>
  </si>
  <si>
    <t>MDRS</t>
  </si>
  <si>
    <t>VB.NET</t>
  </si>
  <si>
    <t>WZZMNB-JPN</t>
  </si>
  <si>
    <t>TOTAL</t>
  </si>
  <si>
    <r>
      <rPr>
        <sz val="8.5"/>
        <color rgb="FF595959"/>
        <rFont val="Arial"/>
        <charset val="1"/>
      </rPr>
      <t xml:space="preserve">All six carry a development method and a specification language. Four run on Japanese specifications, only two are cloud-flagged and none is marked </t>
    </r>
    <r>
      <rPr>
        <sz val="8.5"/>
        <color rgb="FF595959"/>
        <rFont val="Noto Sans CJK SC"/>
        <family val="2"/>
      </rPr>
      <t>優先引継対象</t>
    </r>
    <r>
      <rPr>
        <sz val="8.5"/>
        <color rgb="FF595959"/>
        <rFont val="Arial"/>
        <charset val="1"/>
      </rPr>
      <t xml:space="preserve">. Code volume totals 1.26 million lines across three applications. Read the disposition column before anything else: C12WNC-JPN is marked RETIRE and is 35.0 of the 121.6 units, and Pega for Claims and MDRS carry a zero Year-3 target in MetLife's own Appendix 3 model. Together that is 44.3% of the </t>
    </r>
    <r>
      <rPr>
        <sz val="8.5"/>
        <color rgb="FF595959"/>
        <rFont val="Noto Sans CJK SC"/>
        <family val="2"/>
      </rPr>
      <t xml:space="preserve">領域 </t>
    </r>
    <r>
      <rPr>
        <sz val="8.5"/>
        <color rgb="FF595959"/>
        <rFont val="Arial"/>
        <charset val="1"/>
      </rPr>
      <t xml:space="preserve">under a disposition question — the highest exposure of any </t>
    </r>
    <r>
      <rPr>
        <sz val="8.5"/>
        <color rgb="FF595959"/>
        <rFont val="Noto Sans CJK SC"/>
        <family val="2"/>
      </rPr>
      <t xml:space="preserve">領域 </t>
    </r>
    <r>
      <rPr>
        <sz val="8.5"/>
        <color rgb="FF595959"/>
        <rFont val="Arial"/>
        <charset val="1"/>
      </rPr>
      <t>modelled, and the first thing to resolve with MetLife.</t>
    </r>
  </si>
  <si>
    <t>Delivery streams  —  reconciling to 10 applications and 198.780 units</t>
  </si>
  <si>
    <r>
      <rPr>
        <sz val="9"/>
        <color rgb="FFFFFFFF"/>
        <rFont val="Arial"/>
        <charset val="1"/>
      </rPr>
      <t xml:space="preserve">MetLife records THREE value streams here — Annuity </t>
    </r>
    <r>
      <rPr>
        <sz val="9"/>
        <color rgb="FFFFFFFF"/>
        <rFont val="Noto Sans CJK SC"/>
        <family val="2"/>
      </rPr>
      <t xml:space="preserve">＆ </t>
    </r>
    <r>
      <rPr>
        <sz val="9"/>
        <color rgb="FFFFFFFF"/>
        <rFont val="Arial"/>
        <charset val="1"/>
      </rPr>
      <t xml:space="preserve">Maturity Payment (3 applications, 67.754 units), Claims Processing </t>
    </r>
    <r>
      <rPr>
        <sz val="9"/>
        <color rgb="FFFFFFFF"/>
        <rFont val="Noto Sans CJK SC"/>
        <family val="2"/>
      </rPr>
      <t xml:space="preserve">＆ </t>
    </r>
    <r>
      <rPr>
        <sz val="9"/>
        <color rgb="FFFFFFFF"/>
        <rFont val="Arial"/>
        <charset val="1"/>
      </rPr>
      <t>Adjudication (1 application, 34.997) and Claims Support Services (2, 18.823). All three are used as given; no synthetic stream was needed.</t>
    </r>
  </si>
  <si>
    <t>Code</t>
  </si>
  <si>
    <t>Y1 pods</t>
  </si>
  <si>
    <t>Vendor position today</t>
  </si>
  <si>
    <r>
      <rPr>
        <b/>
        <sz val="9.5"/>
        <rFont val="Arial"/>
        <charset val="1"/>
      </rPr>
      <t xml:space="preserve">Annuity </t>
    </r>
    <r>
      <rPr>
        <b/>
        <sz val="9.5"/>
        <rFont val="Noto Sans CJK SC"/>
        <family val="2"/>
      </rPr>
      <t xml:space="preserve">＆ </t>
    </r>
    <r>
      <rPr>
        <b/>
        <sz val="9.5"/>
        <rFont val="Arial"/>
        <charset val="1"/>
      </rPr>
      <t>Maturity Payment</t>
    </r>
  </si>
  <si>
    <t>2 + 3t</t>
  </si>
  <si>
    <t>4 + 1t</t>
  </si>
  <si>
    <t>NCD 21.9 · CG 20.6</t>
  </si>
  <si>
    <t>Claims Processing &amp; Adjudication</t>
  </si>
  <si>
    <t>0 + 2t</t>
  </si>
  <si>
    <t>1 + 1t</t>
  </si>
  <si>
    <t>NCD 29.4</t>
  </si>
  <si>
    <t>Claims Support Services</t>
  </si>
  <si>
    <t>unnamed 13.6</t>
  </si>
  <si>
    <r>
      <rPr>
        <sz val="8.5"/>
        <color rgb="FF595959"/>
        <rFont val="Arial"/>
        <charset val="1"/>
      </rPr>
      <t xml:space="preserve">Pod counts read 'pods + teams'. Teams are gone from Year 2 — the fastest conversion in the portfolio, because both streams already run agile. No delivery unit carries a partner seat: there is no named sub-contractor of size in this </t>
    </r>
    <r>
      <rPr>
        <sz val="8.5"/>
        <color rgb="FF595959"/>
        <rFont val="Noto Sans CJK SC"/>
        <family val="2"/>
      </rPr>
      <t>領域</t>
    </r>
    <r>
      <rPr>
        <sz val="8.5"/>
        <color rgb="FF595959"/>
        <rFont val="Arial"/>
        <charset val="1"/>
      </rPr>
      <t>. Note the MGCC seats inside every pod from Year 1 — 22.6 units, 18.6% of the domain — which is the only capacity already away here cheap and the 50:50 already met.</t>
    </r>
  </si>
  <si>
    <t>Pod library  —  every seat, with MetLife's own role taxonomy and four sourcing types</t>
  </si>
  <si>
    <r>
      <rPr>
        <sz val="9"/>
        <color rgb="FFFFFFFF"/>
        <rFont val="Arial"/>
        <charset val="1"/>
      </rPr>
      <t xml:space="preserve">INPUT. Sourcing FTC = Capgemini payroll · PT = named sub-contractor, zero in this </t>
    </r>
    <r>
      <rPr>
        <sz val="9"/>
        <color rgb="FFFFFFFF"/>
        <rFont val="Noto Sans CJK SC"/>
        <family val="2"/>
      </rPr>
      <t xml:space="preserve">領域 </t>
    </r>
    <r>
      <rPr>
        <sz val="9"/>
        <color rgb="FFFFFFFF"/>
        <rFont val="Arial"/>
        <charset val="1"/>
      </rPr>
      <t>· FTE = MetLife Japan · MGCC = MetLife Global Capability Centre. Only FTC can transfer, and here nothing needs to.</t>
    </r>
  </si>
  <si>
    <t>Year</t>
  </si>
  <si>
    <t>Unit</t>
  </si>
  <si>
    <t>Seat</t>
  </si>
  <si>
    <t>Role detail</t>
  </si>
  <si>
    <t>Role</t>
  </si>
  <si>
    <t>Exp</t>
  </si>
  <si>
    <t>Loc</t>
  </si>
  <si>
    <t>Sourcing</t>
  </si>
  <si>
    <t>Count</t>
  </si>
  <si>
    <t>People in the block</t>
  </si>
  <si>
    <t>POD</t>
  </si>
  <si>
    <t>MetLife Claims Product Owner</t>
  </si>
  <si>
    <t>PM</t>
  </si>
  <si>
    <t>MetLife Claims SME</t>
  </si>
  <si>
    <t>Business Analyst (bilingual)</t>
  </si>
  <si>
    <t>Pod lead / senior engineer</t>
  </si>
  <si>
    <t>DEV</t>
  </si>
  <si>
    <t>Claims Engineer</t>
  </si>
  <si>
    <t>MGCC Payments Engineer</t>
  </si>
  <si>
    <t>MGCC</t>
  </si>
  <si>
    <t>SDET / Automation Engineer</t>
  </si>
  <si>
    <t>TEST</t>
  </si>
  <si>
    <t>MGCC Quality Engineer</t>
  </si>
  <si>
    <t>Solution Architect</t>
  </si>
  <si>
    <t>OTH</t>
  </si>
  <si>
    <t>POD size — Year 1</t>
  </si>
  <si>
    <t>TEAM</t>
  </si>
  <si>
    <t>MetLife Operations Analyst</t>
  </si>
  <si>
    <t>MNT</t>
  </si>
  <si>
    <t>Team lead / senior engineer</t>
  </si>
  <si>
    <t>Application Developer</t>
  </si>
  <si>
    <t>Test Analyst</t>
  </si>
  <si>
    <t>Test Engineer</t>
  </si>
  <si>
    <t>Technical Lead</t>
  </si>
  <si>
    <t>TEAM size — Year 1</t>
  </si>
  <si>
    <t>POD size — Year 2</t>
  </si>
  <si>
    <t>TEAM size — Year 2</t>
  </si>
  <si>
    <t>POD size — Year 3</t>
  </si>
  <si>
    <t>POD size — Year 4</t>
  </si>
  <si>
    <t>POD size — Year 5</t>
  </si>
  <si>
    <r>
      <rPr>
        <sz val="8.5"/>
        <color rgb="FF595959"/>
        <rFont val="Arial"/>
        <charset val="1"/>
      </rPr>
      <t xml:space="preserve">Year 1 runs 4 pods and 5 delivery teams — the teams carry Claims Processing </t>
    </r>
    <r>
      <rPr>
        <sz val="8.5"/>
        <color rgb="FF595959"/>
        <rFont val="Noto Sans CJK SC"/>
        <family val="2"/>
      </rPr>
      <t xml:space="preserve">＆ </t>
    </r>
    <r>
      <rPr>
        <sz val="8.5"/>
        <color rgb="FF595959"/>
        <rFont val="Arial"/>
        <charset val="1"/>
      </rPr>
      <t xml:space="preserve">Adjudication and the waterfall half of Annuity </t>
    </r>
    <r>
      <rPr>
        <sz val="8.5"/>
        <color rgb="FF595959"/>
        <rFont val="Noto Sans CJK SC"/>
        <family val="2"/>
      </rPr>
      <t xml:space="preserve">＆ </t>
    </r>
    <r>
      <rPr>
        <sz val="8.5"/>
        <color rgb="FF595959"/>
        <rFont val="Arial"/>
        <charset val="1"/>
      </rPr>
      <t>Maturity Payment, and are gone by Year 3. From Year 4 the pod anatomy CONTAINS the transferred MetLife and MGCC seats, which is why the Year-3 transfer shows up in the Year-4 ratio rather than only in the Glidepath solve.</t>
    </r>
  </si>
  <si>
    <t>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</si>
  <si>
    <t>Pod plan  —  how many pods and how many waterfall teams, per stream per year</t>
  </si>
  <si>
    <t>INPUT. This is where productivity shows up in the headcount, and where the agile conversion shows up in the unit mix.</t>
  </si>
  <si>
    <t>VS</t>
  </si>
  <si>
    <t>Pods</t>
  </si>
  <si>
    <t>Teams</t>
  </si>
  <si>
    <t>Units</t>
  </si>
  <si>
    <t>People</t>
  </si>
  <si>
    <r>
      <rPr>
        <sz val="9.5"/>
        <rFont val="Arial"/>
        <charset val="1"/>
      </rPr>
      <t xml:space="preserve">Annuity </t>
    </r>
    <r>
      <rPr>
        <sz val="9.5"/>
        <rFont val="Noto Sans CJK SC"/>
        <family val="2"/>
      </rPr>
      <t xml:space="preserve">＆ </t>
    </r>
    <r>
      <rPr>
        <sz val="9.5"/>
        <rFont val="Arial"/>
        <charset val="1"/>
      </rPr>
      <t>Maturity Payment</t>
    </r>
  </si>
  <si>
    <t>Year 1 total</t>
  </si>
  <si>
    <t>Year 2 total</t>
  </si>
  <si>
    <t>Year 3 total</t>
  </si>
  <si>
    <t>Year 4 total</t>
  </si>
  <si>
    <t>Year 5 total</t>
  </si>
  <si>
    <t>Horizontal teams  —  work that is not stream-bounded</t>
  </si>
  <si>
    <t>INPUT, defined per year rather than scaled, because the partner share and the sourcing mix inside the horizontal layer both change as the estate transitions.</t>
  </si>
  <si>
    <t>Team</t>
  </si>
  <si>
    <t>H1</t>
  </si>
  <si>
    <t>Service Delivery Manager</t>
  </si>
  <si>
    <t>Incident &amp; Problem Analyst</t>
  </si>
  <si>
    <t>L2 Application Support</t>
  </si>
  <si>
    <t>Observability / AIOps Engineer</t>
  </si>
  <si>
    <t>MetLife Operations Lead</t>
  </si>
  <si>
    <t>H2</t>
  </si>
  <si>
    <t>Quality Lead</t>
  </si>
  <si>
    <t>Test Automation Engineer</t>
  </si>
  <si>
    <t>Performance &amp; Batch Test Engineer</t>
  </si>
  <si>
    <t>Payments Assurance Analyst</t>
  </si>
  <si>
    <t>H3</t>
  </si>
  <si>
    <t>Domain Solution Architect</t>
  </si>
  <si>
    <t>Release Manager</t>
  </si>
  <si>
    <t>DevOps / Platform Engineer</t>
  </si>
  <si>
    <t>Delivery Manager</t>
  </si>
  <si>
    <t>Knowledge &amp; Enablement Lead</t>
  </si>
  <si>
    <t>AI Orchestration Engineer</t>
  </si>
  <si>
    <t>MetLife Portfolio Lead</t>
  </si>
  <si>
    <t>MGCC Engineering Lead</t>
  </si>
  <si>
    <t>Year 1 horizontal total</t>
  </si>
  <si>
    <t>Year 2 horizontal total</t>
  </si>
  <si>
    <t>Year 3 horizontal total</t>
  </si>
  <si>
    <t>Year 4 horizontal total</t>
  </si>
  <si>
    <t>Year 5 horizontal total</t>
  </si>
  <si>
    <t>H1 is sized from the incident and change load on the AMS sheet — 732 incidents and 1,161 changes a year, of which only 4 are P1/P2. H2 is the platform and API assurance function; it is substantial here because Appendix 3 records 24.0 tester units, a quarter of the vendor population. H3 carries the architecture and enablement seats that the restatement created.</t>
  </si>
  <si>
    <t>Team build-up  —  and the Year-1 reconciliation to Appendix 3 v5</t>
  </si>
  <si>
    <t>Nothing on this sheet is typed. Section B is the test that matters: the roster has to be the client's own Year-1 position on effort, sourcing, location AND role.</t>
  </si>
  <si>
    <t>A.  HEADCOUNT</t>
  </si>
  <si>
    <t>People in agile pods</t>
  </si>
  <si>
    <t>People in waterfall / hybrid teams</t>
  </si>
  <si>
    <t>People in horizontal teams</t>
  </si>
  <si>
    <t>TOTAL PEOPLE</t>
  </si>
  <si>
    <t>Delivery units — pods / teams</t>
  </si>
  <si>
    <t>Headcount target from the Logic Tree</t>
  </si>
  <si>
    <t>Variance to target</t>
  </si>
  <si>
    <t>B.  YEAR-1 RECONCILIATION TO APPENDIX 3 v3</t>
  </si>
  <si>
    <t>Model Year 1</t>
  </si>
  <si>
    <t>Variance</t>
  </si>
  <si>
    <t>Total effort / people</t>
  </si>
  <si>
    <t>Whole-domain size. Unchanged since v2.</t>
  </si>
  <si>
    <t>FTC reported  (Capgemini + partner)</t>
  </si>
  <si>
    <t>Appendix 3 reports the vendor as one number. This is the line that has to reconcile.</t>
  </si>
  <si>
    <t xml:space="preserve">  — of which Capgemini payroll</t>
  </si>
  <si>
    <t>—</t>
  </si>
  <si>
    <t>Transferable at the end of Year 3.</t>
  </si>
  <si>
    <t xml:space="preserve">  — of which named sub-contractor</t>
  </si>
  <si>
    <r>
      <rPr>
        <sz val="8.5"/>
        <color rgb="FF595959"/>
        <rFont val="Arial"/>
        <charset val="1"/>
      </rPr>
      <t xml:space="preserve">Zero in this </t>
    </r>
    <r>
      <rPr>
        <sz val="8.5"/>
        <color rgb="FF595959"/>
        <rFont val="Noto Sans CJK SC"/>
        <family val="2"/>
      </rPr>
      <t>領域</t>
    </r>
    <r>
      <rPr>
        <sz val="8.5"/>
        <color rgb="FF595959"/>
        <rFont val="Arial"/>
        <charset val="1"/>
      </rPr>
      <t>. The row is live so a sub-contract found in due diligence can be priced.</t>
    </r>
  </si>
  <si>
    <t>MetLife Japan FTE</t>
  </si>
  <si>
    <t>Product owners, domain SMEs and application owners.</t>
  </si>
  <si>
    <t>MetLife MGCC</t>
  </si>
  <si>
    <t>15.99 units on day one — MGCC is already the second largest sourcing pool in this domain.</t>
  </si>
  <si>
    <t>Vendor onshore Tokyo</t>
  </si>
  <si>
    <t>MEASURED, not assumed.</t>
  </si>
  <si>
    <t>Vendor nearshore</t>
  </si>
  <si>
    <r>
      <rPr>
        <sz val="8.5"/>
        <color rgb="FF595959"/>
        <rFont val="Arial"/>
        <charset val="1"/>
      </rPr>
      <t xml:space="preserve">Zero. There is no nearshore capacity in this </t>
    </r>
    <r>
      <rPr>
        <sz val="8.5"/>
        <color rgb="FF595959"/>
        <rFont val="Noto Sans CJK SC"/>
        <family val="2"/>
      </rPr>
      <t>領域</t>
    </r>
    <r>
      <rPr>
        <sz val="8.5"/>
        <color rgb="FF595959"/>
        <rFont val="Arial"/>
        <charset val="1"/>
      </rPr>
      <t>.</t>
    </r>
  </si>
  <si>
    <t>Vendor offshore</t>
  </si>
  <si>
    <t>28.87 units already offshore — 44% of the Capgemini population on day one. MGCC is excluded: it is MetLife's.</t>
  </si>
  <si>
    <t>Role — BSA</t>
  </si>
  <si>
    <t>Reconciles.</t>
  </si>
  <si>
    <t>Role — Developer</t>
  </si>
  <si>
    <t>As reported. 66% of the vendor population.</t>
  </si>
  <si>
    <t>Role — Tester</t>
  </si>
  <si>
    <t>As reported. The lowest tester share in the portfolio, at 7.9%.</t>
  </si>
  <si>
    <t>Role — Maintenance</t>
  </si>
  <si>
    <t>As reported by MetLife and used unchanged.</t>
  </si>
  <si>
    <t>Role — PM</t>
  </si>
  <si>
    <t>As reported. Thin at 2.2%, but populated.</t>
  </si>
  <si>
    <t>Role — Other</t>
  </si>
  <si>
    <t>As reported. Architecture and enablement.</t>
  </si>
  <si>
    <t>Largest variance across every reconciling line</t>
  </si>
  <si>
    <r>
      <rPr>
        <sz val="8.5"/>
        <color rgb="FF595959"/>
        <rFont val="Arial"/>
        <charset val="1"/>
      </rPr>
      <t xml:space="preserve">Appendix 3 v5 is internally consistent for all ten applications in this </t>
    </r>
    <r>
      <rPr>
        <sz val="8.5"/>
        <color rgb="FF595959"/>
        <rFont val="Noto Sans CJK SC"/>
        <family val="2"/>
      </rPr>
      <t>領域</t>
    </r>
    <r>
      <rPr>
        <sz val="8.5"/>
        <color rgb="FF595959"/>
        <rFont val="Arial"/>
        <charset val="1"/>
      </rPr>
      <t>: every Total equals its FTC + FTE + MGCC, and every location line sums to the vendor number. There is no unallocated capacity to carry.</t>
    </r>
  </si>
  <si>
    <t>Largest variance excluding the MetLife FTE line  (twelve lines)</t>
  </si>
  <si>
    <t>Every line — effort, vendor total, MetLife FTE, MGCC, both locations and all six client role lines — reconciles to within a few hundredths of a person after head-grid quantisation.</t>
  </si>
  <si>
    <t>C.  THE ROLE LINE  —  used exactly as MetLife reports it</t>
  </si>
  <si>
    <t>This model</t>
  </si>
  <si>
    <t>Difference</t>
  </si>
  <si>
    <r>
      <rPr>
        <sz val="8.5"/>
        <color rgb="FF595959"/>
        <rFont val="Arial"/>
        <charset val="1"/>
      </rPr>
      <t xml:space="preserve">8.6% of the vendor population. Thin, and consistent with platform work where the requirement comes from the consuming </t>
    </r>
    <r>
      <rPr>
        <sz val="8.5"/>
        <color rgb="FF595959"/>
        <rFont val="Noto Sans CJK SC"/>
        <family val="2"/>
      </rPr>
      <t>領域</t>
    </r>
    <r>
      <rPr>
        <sz val="8.5"/>
        <color rgb="FF595959"/>
        <rFont val="Arial"/>
        <charset val="1"/>
      </rPr>
      <t>, not from here.</t>
    </r>
  </si>
  <si>
    <t>53.7% after restatement, against 64.5% as MetLife reports it. Platform and API engineering.</t>
  </si>
  <si>
    <r>
      <rPr>
        <sz val="8.5"/>
        <color rgb="FF595959"/>
        <rFont val="Arial"/>
        <charset val="1"/>
      </rPr>
      <t xml:space="preserve">24.5% — the highest tester share of the five modelled </t>
    </r>
    <r>
      <rPr>
        <sz val="8.5"/>
        <color rgb="FF595959"/>
        <rFont val="Noto Sans CJK SC"/>
        <family val="2"/>
      </rPr>
      <t>領域</t>
    </r>
    <r>
      <rPr>
        <sz val="8.5"/>
        <color rgb="FF595959"/>
        <rFont val="Arial"/>
        <charset val="1"/>
      </rPr>
      <t>. A shared platform breaks everything downstream when it regresses, and the role line reflects that.</t>
    </r>
  </si>
  <si>
    <t>Maintenance</t>
  </si>
  <si>
    <t>RESTATED to 4.50 from 1.00. One person of run against 732 incidents a year is a coding convention, not a plan.</t>
  </si>
  <si>
    <t>RESTATED to 4.00 from 1.30. Two value streams and eighteen pods at peak cannot be run on 1.3 units.</t>
  </si>
  <si>
    <t>Other</t>
  </si>
  <si>
    <r>
      <rPr>
        <sz val="8.5"/>
        <color rgb="FF595959"/>
        <rFont val="Arial"/>
        <charset val="1"/>
      </rPr>
      <t xml:space="preserve">RESTATED to 3.00 from 0.08. Architecture and enablement on the platform every other </t>
    </r>
    <r>
      <rPr>
        <sz val="8.5"/>
        <color rgb="FF595959"/>
        <rFont val="Noto Sans CJK SC"/>
        <family val="2"/>
      </rPr>
      <t xml:space="preserve">領域 </t>
    </r>
    <r>
      <rPr>
        <sz val="8.5"/>
        <color rgb="FF595959"/>
        <rFont val="Arial"/>
        <charset val="1"/>
      </rPr>
      <t>consumes.</t>
    </r>
  </si>
  <si>
    <t>Sum of the six role lines</t>
  </si>
  <si>
    <t>THREE LINES RESTATED, ARITHMETICALLY NEUTRAL. MetLife reports 1.03 maintenance, 1.30 PM and 0.08 architecture across six applications carrying 732 incidents and 1,161 changes a year. We move 10.58 units out of Developer into Maintenance, PM and Other. The total does not change by a single unit, and the restatement goes back to MetLife as a clarification question.</t>
  </si>
  <si>
    <t>D.  SOURCING, LOCATION AND THE THREE OFFSHORE BASES</t>
  </si>
  <si>
    <t>Capgemini payroll (FTC)</t>
  </si>
  <si>
    <t>Incumbent partner (PT)</t>
  </si>
  <si>
    <t>VENDOR TOTAL  =  Appendix 3 FTC</t>
  </si>
  <si>
    <t>MetLife Japan (FTE)</t>
  </si>
  <si>
    <t>RATIO — vendor share</t>
  </si>
  <si>
    <t>Offshore</t>
  </si>
  <si>
    <t>Offshore share — whole team</t>
  </si>
  <si>
    <t>Offshore share — vendor only</t>
  </si>
  <si>
    <t>Offshore share — Capgemini payroll only</t>
  </si>
  <si>
    <t>Rises across the five years and keeps rising through Year 4. Only 5 people transfer, so our own offshore book survives the event — the opposite of Contract Management.</t>
  </si>
  <si>
    <t>Target from the Logic Tree</t>
  </si>
  <si>
    <t>E.  ROLE MIX  —  MetLife's taxonomy, all sourcing types</t>
  </si>
  <si>
    <t>BSA — business and systems analysis</t>
  </si>
  <si>
    <t>PM and product ownership</t>
  </si>
  <si>
    <t>Other — architecture and enablement</t>
  </si>
  <si>
    <t>Run-facing share  (Maintenance + Tester)</t>
  </si>
  <si>
    <t>15.3% in Year 1 falling to 9.0% by Year 5, as pipeline automation and auto-remediation land.</t>
  </si>
  <si>
    <t>F.  EXPERIENCE MIX</t>
  </si>
  <si>
    <t>Band</t>
  </si>
  <si>
    <t>Senior share (E4 + E5)</t>
  </si>
  <si>
    <t>The 20 Capgemini people already on these applications  —  and why this cohort is the opposite problem</t>
  </si>
  <si>
    <t>Supply comes from the T3 headcount reconciliation behind Golden Inventory v4. Demand comes from the seat ledger. The difference is the hiring, promotion and reskilling plan.</t>
  </si>
  <si>
    <t>A.  WHERE THE NUMBER COMES FROM</t>
  </si>
  <si>
    <t>What it is used for</t>
  </si>
  <si>
    <t>Billing details — named individuals</t>
  </si>
  <si>
    <t>THE COUNT. 277 de-duplicated employee IDs across T3, DMO and JET, each with a location and a Capgemini grade.</t>
  </si>
  <si>
    <t>Mapping of current Capgemini staff — billable FTE</t>
  </si>
  <si>
    <t>THE ROLE MIX and the grade ladder. Developer → Developer, Cloud Engineer → Maintenance, Testers → Tester, BSA / Scrum Master / Functional Analyst → BSA, Tech Lead / Solution Architect → Other.</t>
  </si>
  <si>
    <t>EAIs.xlsx — 'CG HC by EAI'</t>
  </si>
  <si>
    <t>THE SHAPE of the application-level distribution, rescaled to 277 and capped at each application's own vendor FTC.</t>
  </si>
  <si>
    <t>EAIs.xlsx Sheet1 — direct EAI tags</t>
  </si>
  <si>
    <t>Cross-check only. Double-counts people serving more than one application.</t>
  </si>
  <si>
    <t>Of the 277, allocated to Insurance Claims and Benefits Payment Related</t>
  </si>
  <si>
    <t>33 in India, 5 in Japan. 45 of the 277 sit in cross-domain teams with no application mapping and are excluded from every domain.</t>
  </si>
  <si>
    <t>Capgemini grade → experience band: A4/A5 → E1 · B1/B2 → E2 · C1 and Sub-Con → E3 · C2/D1 → E4 · D2/E1 → E5. Location is binary: Japan → onshore, everything else → India / offshore.</t>
  </si>
  <si>
    <t>B.  WHERE THEY SIT TODAY</t>
  </si>
  <si>
    <t>CG heads today</t>
  </si>
  <si>
    <t>Vendor FTC</t>
  </si>
  <si>
    <r>
      <rPr>
        <b/>
        <sz val="9.5"/>
        <rFont val="Arial"/>
        <charset val="1"/>
      </rPr>
      <t xml:space="preserve">Annuity </t>
    </r>
    <r>
      <rPr>
        <b/>
        <sz val="9.5"/>
        <rFont val="Noto Sans CJK SC"/>
        <family val="2"/>
      </rPr>
      <t xml:space="preserve">＆ </t>
    </r>
    <r>
      <rPr>
        <b/>
        <sz val="9.5"/>
        <rFont val="Arial"/>
        <charset val="1"/>
      </rPr>
      <t>Maturity Payment  (3 apps)</t>
    </r>
  </si>
  <si>
    <t>Claim Batch, W05AMS-JPN, WZZMNB-JPN</t>
  </si>
  <si>
    <r>
      <rPr>
        <sz val="8.5"/>
        <color rgb="FF595959"/>
        <rFont val="Arial"/>
        <charset val="1"/>
      </rPr>
      <t xml:space="preserve">6 people against 85.4 vendor units — 7%, and all six sit on Claim Batch. This is the weakest the strongest continuity position of the five </t>
    </r>
    <r>
      <rPr>
        <sz val="8.5"/>
        <color rgb="FF595959"/>
        <rFont val="Noto Sans CJK SC"/>
        <family val="2"/>
      </rPr>
      <t xml:space="preserve">領域 </t>
    </r>
    <r>
      <rPr>
        <sz val="8.5"/>
        <color rgb="FF595959"/>
        <rFont val="Arial"/>
        <charset val="1"/>
      </rPr>
      <t>modelled. The split is almost even between the two streams, which is why neither can be treated as a standing start.</t>
    </r>
  </si>
  <si>
    <r>
      <rPr>
        <b/>
        <sz val="9.5"/>
        <rFont val="Arial"/>
        <charset val="1"/>
      </rPr>
      <t xml:space="preserve">Claims Processing </t>
    </r>
    <r>
      <rPr>
        <b/>
        <sz val="9.5"/>
        <rFont val="Noto Sans CJK SC"/>
        <family val="2"/>
      </rPr>
      <t xml:space="preserve">＆ </t>
    </r>
    <r>
      <rPr>
        <b/>
        <sz val="9.5"/>
        <rFont val="Arial"/>
        <charset val="1"/>
      </rPr>
      <t>Adjudication  (1)</t>
    </r>
  </si>
  <si>
    <t>C12WNC-JPN — marked Retire</t>
  </si>
  <si>
    <t>Claims Support Services  (2 apps)</t>
  </si>
  <si>
    <t>Pega for Claims, MDRS</t>
  </si>
  <si>
    <t>C.  THE EVOLUTION MECHANIC  —  INPUT</t>
  </si>
  <si>
    <t>Attrition — offshore</t>
  </si>
  <si>
    <t>Attrition — onshore</t>
  </si>
  <si>
    <t>Promotion out of band</t>
  </si>
  <si>
    <t>Identical rates to Sales / Insurance v6 and Contract Management v7 — attrition first, promotion to the survivors. The same mechanic, applied to a very different starting shape.</t>
  </si>
  <si>
    <t>D.  THE COHORT ROLLED FORWARD</t>
  </si>
  <si>
    <t>Inherited people surviving</t>
  </si>
  <si>
    <t xml:space="preserve">  — E1</t>
  </si>
  <si>
    <t xml:space="preserve">  — E2</t>
  </si>
  <si>
    <t xml:space="preserve">  — E3</t>
  </si>
  <si>
    <t xml:space="preserve">  — E4</t>
  </si>
  <si>
    <t xml:space="preserve">  — E5</t>
  </si>
  <si>
    <t>Senior share  (E4 + E5)</t>
  </si>
  <si>
    <t>The cohort starts at 28.9% senior (11 of 38 at E4 or E5) and the attrition-and-promotion mechanic seniorises it every year. Row 37 is the number to watch: it drives cost per head, and the design counters it by hiring at E2 and E3 offshore as the team shrinks.</t>
  </si>
  <si>
    <t xml:space="preserve">  — in Japan</t>
  </si>
  <si>
    <t xml:space="preserve">  — in India</t>
  </si>
  <si>
    <t>E.  SUPPLY AGAINST DEMAND  —  offshore, where 18 of the 20 sit</t>
  </si>
  <si>
    <t>Offshore Capgemini seats the design asks for</t>
  </si>
  <si>
    <t>Inherited people still there</t>
  </si>
  <si>
    <t>Covered by people we already have</t>
  </si>
  <si>
    <t>60% covered in Year 1, against 90% on Sales. This domain has to hire more of its own offshore team from a standing start, and the people it hires must be junior enough to balance a cohort that is already senior.</t>
  </si>
  <si>
    <t>To hire, redeploy or reskill</t>
  </si>
  <si>
    <t>F.  BAND BY BAND  —  the seats we designed against the people we hold, offshore</t>
  </si>
  <si>
    <t>Seats the design asks for</t>
  </si>
  <si>
    <t>People we already have</t>
  </si>
  <si>
    <t>Gap  —  positive is a hire</t>
  </si>
  <si>
    <t>The shortage is at E2 and E3 in every year, and the surplus is at E5 in every year — the mirror image of Sales. The E5 surplus is small in absolute terms (2.0 people in Year 1 rising to 2.8 by Year 5) but it is 100% of the E5 population, because the design carries no offshore E5 seat at all. Those people belong in the horizontal architecture and quality-lead roles, which is where the seat ledger puts them, or they are a redeployment out of the domain.</t>
  </si>
  <si>
    <t>G.  WHAT THIS MEANS FOR THE SOLUTION</t>
  </si>
  <si>
    <r>
      <rPr>
        <sz val="9.5"/>
        <rFont val="Arial"/>
        <charset val="1"/>
      </rPr>
      <t xml:space="preserve">•  The continuity argument is the strongest in the portfolio. 33 of the Year-1 Capgemini offshore seats are people already sitting on these applications. The balance are hires onto a Java, JavaScript and API estate — the easiest hiring profile of the five </t>
    </r>
    <r>
      <rPr>
        <sz val="9.5"/>
        <rFont val="Noto Sans CJK SC"/>
        <family val="2"/>
      </rPr>
      <t xml:space="preserve">領域 </t>
    </r>
    <r>
      <rPr>
        <sz val="9.5"/>
        <rFont val="Arial"/>
        <charset val="1"/>
      </rPr>
      <t>modelled, onshore or offshore.</t>
    </r>
  </si>
  <si>
    <t>•  The talent-shape risk is manageable. The cohort is 28.9% senior on day one and seniorises from there. The design counters it by hiring at E2/E3 offshore and by placing surviving seniors in the architecture, quality-lead and pod-lead roles where they earn their band.</t>
  </si>
  <si>
    <t>•  There is no incumbent sub-contractor to displace. Golden v4 names Capgemini on five of the ten applications and NCD on one 1.4-unit application; 13.0 vendor units carry no named vendor at all. That is a due-diligence question, not a modelled partner — and it is why the PT rows in this workbook resolve to zero.</t>
  </si>
  <si>
    <t>•  Five people in Japan against 36.7 onshore vendor units on day one. Every other bilingual Tokyo seat is a hire or a redeployment. Smaller here than elsewhere because the stack is English-specification and the offshore ceiling is only 65.3% and 84% of the vendor population is in Tokyo today.</t>
  </si>
  <si>
    <t>Glidepath  —  capability, carry-forward, offshore, and one transfer at the end of Year 3</t>
  </si>
  <si>
    <t>Year 1 passes nothing through. The transfer is struck on the exit position at full realisation.</t>
  </si>
  <si>
    <t>A.  BASELINE</t>
  </si>
  <si>
    <t>Capgemini FTC</t>
  </si>
  <si>
    <t>MetLife FTE</t>
  </si>
  <si>
    <t>Offshore today — whole team, measured</t>
  </si>
  <si>
    <t>45.5% offshore on day one — 28.87 offshore, 0.96 nearshore and 15.99 MGCC against 100.765 units. A 30.0% start against a 65.3% ceiling — the gap is real but the runway is long.</t>
  </si>
  <si>
    <t>B.  PRODUCTIVITY</t>
  </si>
  <si>
    <t>Agile share of the domain</t>
  </si>
  <si>
    <t>Capability earned by end of year</t>
  </si>
  <si>
    <t>Banked from prior year</t>
  </si>
  <si>
    <t>Year 1 applies nothing: the capability the tree allows is consumed by transition, substrate build and the agile conversion itself.</t>
  </si>
  <si>
    <t>Headcount target</t>
  </si>
  <si>
    <t>Headcount delivered by the design</t>
  </si>
  <si>
    <t>Delivered productivity vs baseline</t>
  </si>
  <si>
    <t>C.  OFFSHORE</t>
  </si>
  <si>
    <t>Delivered — bottom-up from seat locations</t>
  </si>
  <si>
    <t>Target — today plus the closed gap</t>
  </si>
  <si>
    <t>Movement from today, in people</t>
  </si>
  <si>
    <t>The offshore SHARE rises every year while the offshore HEADCOUNT falls from Year 2. Both are true and only the second one costs anything.</t>
  </si>
  <si>
    <t>D.  THE 50:50</t>
  </si>
  <si>
    <t>Total people</t>
  </si>
  <si>
    <t>Vendor total  (Capgemini + partner)</t>
  </si>
  <si>
    <t xml:space="preserve">  — Capgemini payroll</t>
  </si>
  <si>
    <r>
      <rPr>
        <sz val="9.5"/>
        <rFont val="Arial"/>
        <charset val="1"/>
      </rPr>
      <t xml:space="preserve">  — named sub-contractor (zero in this </t>
    </r>
    <r>
      <rPr>
        <sz val="9.5"/>
        <rFont val="Noto Sans CJK SC"/>
        <family val="2"/>
      </rPr>
      <t>領域</t>
    </r>
    <r>
      <rPr>
        <sz val="9.5"/>
        <rFont val="Arial"/>
        <charset val="1"/>
      </rPr>
      <t>)</t>
    </r>
  </si>
  <si>
    <t>MetLife side total</t>
  </si>
  <si>
    <t>Transferred this year</t>
  </si>
  <si>
    <t>Years 1-3 are the pre-transfer position. Year 4 and Year 5 already carry the transferred seats as MetLife, inside the pods.</t>
  </si>
  <si>
    <t>E.  THE TRANSFER SOLVE  —  Capgemini payroll only, and here it closes</t>
  </si>
  <si>
    <t>ZERO. The whole Capgemini population is transferable — there is no sub-contractor — but none of it needs to move, because the ratio is already past 50:50 on day one.</t>
  </si>
  <si>
    <t>Vendor share at the exit position</t>
  </si>
  <si>
    <t>Vendor units at exit, before transfer</t>
  </si>
  <si>
    <t xml:space="preserve">  — of which sub-contracted, IMMOVABLE</t>
  </si>
  <si>
    <t xml:space="preserve">  — of which Capgemini payroll, the transfer pool</t>
  </si>
  <si>
    <t>The requirement computes NEGATIVE — the model is 4.46 people the wrong side of 50:50, in MetLife's favour. Transfer applied is zero, and the row is kept so the arithmetic is visible.</t>
  </si>
  <si>
    <t>Cap on the transferable pool — solution constraint</t>
  </si>
  <si>
    <t>Maximum transferable from Capgemini payroll</t>
  </si>
  <si>
    <t>Transfer applied in the model</t>
  </si>
  <si>
    <t>Transfer as a share of the Capgemini pool</t>
  </si>
  <si>
    <t>The Year-3 exit lands at exactly 50.0% and Years 4 and 5 hold there, because the transferred seats sit inside the pod anatomy rather than being re-solved each year.</t>
  </si>
  <si>
    <t>Ratio actually reached at the Year-3 exit</t>
  </si>
  <si>
    <t>F.  WHAT THIS DOMAIN SHOWS</t>
  </si>
  <si>
    <r>
      <rPr>
        <sz val="9.5"/>
        <rFont val="Arial"/>
        <charset val="1"/>
      </rPr>
      <t xml:space="preserve">•  THE DISPOSITION EXPOSURE IS THE HEADLINE, NOT THE PRODUCTIVITY. C12WNC-JPN is marked RETIRE in Appendix 3 v5 and it is 35.0 units — 28.8% of this </t>
    </r>
    <r>
      <rPr>
        <sz val="9.5"/>
        <rFont val="Noto Sans CJK SC"/>
        <family val="2"/>
      </rPr>
      <t xml:space="preserve">領域 </t>
    </r>
    <r>
      <rPr>
        <sz val="9.5"/>
        <rFont val="Arial"/>
        <charset val="1"/>
      </rPr>
      <t xml:space="preserve">and the whole of one value stream. Pega for Claims and MDRS carry a zero Year-3 target, another 18.8 units. That is 44.3% of the domain under a disposition question, against 3% on Storage </t>
    </r>
    <r>
      <rPr>
        <sz val="9.5"/>
        <rFont val="Noto Sans CJK SC"/>
        <family val="2"/>
      </rPr>
      <t xml:space="preserve">＆ </t>
    </r>
    <r>
      <rPr>
        <sz val="9.5"/>
        <rFont val="Arial"/>
        <charset val="1"/>
      </rPr>
      <t>Preservation and none anywhere else. This model freezes scope at Year 1 as every domain model does, so the exposure is carried rather than netted — and it has to be resolved with MetLife before the price is fixed.</t>
    </r>
  </si>
  <si>
    <t>•  MGCC HAS A HIGHER CEILING THAN WE DO HERE, and we should say so rather than hide it. MGCC 48.60% against Capgemini 44.73%, because MGCC is a build-and-test population and 78.5% of this estate is archetype D — where Build and Test carry the highest ceilings in the classifier. Adoption still puts us ahead on committed productivity, 44.7% effective against 38.9%, because we mandate the tooling and they do not. But the underlying capability runs the other way, and a sharp reader of the model will find it.</t>
  </si>
  <si>
    <r>
      <rPr>
        <sz val="9.5"/>
        <rFont val="Arial"/>
        <charset val="1"/>
      </rPr>
      <t xml:space="preserve">•  The transfer does more work here than in any other </t>
    </r>
    <r>
      <rPr>
        <sz val="9.5"/>
        <rFont val="Noto Sans CJK SC"/>
        <family val="2"/>
      </rPr>
      <t>領域</t>
    </r>
    <r>
      <rPr>
        <sz val="9.5"/>
        <rFont val="Arial"/>
        <charset val="1"/>
      </rPr>
      <t>. Organic convergence moves the ratio only from 70.3% to 66.8% by Year 3, because MetLife holds just 36.1 of the 121.6 units and their side shrinks slowly. 11.6 people then transfer against 32.3 available at the 70% cap — 25% of our own pool. We send 6.4 to MetLife Japan and 5.2 to MGCC rather than the portfolio 35/65, because 84% of the Capgemini population is in Tokyo. At the default split the build-and-test guardrail breaches in Year 4 at 53.5%.</t>
    </r>
  </si>
  <si>
    <r>
      <rPr>
        <sz val="9.5"/>
        <rFont val="Arial"/>
        <charset val="1"/>
      </rPr>
      <t xml:space="preserve">•  The productivity case is solid and unremarkable. AI ceiling 44.71% blended, capability 14.0 / 32.0 / 43.1 / 49.2 / 53.2%, applied glidepath 0 / 23.0 / 37.6 / 46.2 / 51.2%. Headcount goes 121.6 → 59.3, a 51.2% reduction in line with the three other </t>
    </r>
    <r>
      <rPr>
        <sz val="9.5"/>
        <rFont val="Noto Sans CJK SC"/>
        <family val="2"/>
      </rPr>
      <t xml:space="preserve">領域 </t>
    </r>
    <r>
      <rPr>
        <sz val="9.5"/>
        <rFont val="Arial"/>
        <charset val="1"/>
      </rPr>
      <t>whose five-year plan is fully solved. The offshore case is the weaker half: 30.0% today against a 65.3% ceiling, held down by W05AMS-JPN at 12%, and 84% of the vendor population sits in Tokyo on day one.</t>
    </r>
  </si>
  <si>
    <t>•  The continuity risk is the highest in the estate. Six Capgemini people against 85.4 vendor units, all six on Claim Batch. On C12WNC-JPN, W05AMS-JPN, Pega, MDRS and WZZMNB-JPN we start from nothing — and NCD, who hold 60% of the vendor side, are modelled as absorbed rather than retained. Year 1 is therefore a large transition on applications where we have no institutional memory, four of which run on Japanese specifications.</t>
  </si>
  <si>
    <r>
      <rPr>
        <sz val="9.5"/>
        <rFont val="Arial"/>
        <charset val="1"/>
      </rPr>
      <t xml:space="preserve">•  The one number to challenge is MetLife's own. The Maintenance role line says 1.00 unit of run against 732 incidents and 1,161 changes a year, while the AD / AMS effort split in the same spreadsheet implies 6.75 units — a factor of seven, the widest disagreement of any </t>
    </r>
    <r>
      <rPr>
        <sz val="9.5"/>
        <rFont val="Noto Sans CJK SC"/>
        <family val="2"/>
      </rPr>
      <t xml:space="preserve">領域 </t>
    </r>
    <r>
      <rPr>
        <sz val="9.5"/>
        <rFont val="Arial"/>
        <charset val="1"/>
      </rPr>
      <t>modelled. And ZERO project management is recorded across six applications and three value streams. We restate both, arithmetically neutral, and views is about six people of exposure on a 122-person domain. It sets the AMS price, so it should be resolved before submission.</t>
    </r>
  </si>
  <si>
    <t>Cost and commercial position — relative index pending the rate card</t>
  </si>
  <si>
    <t>Onshore Tokyo E2 = 1.00. Unit cost divides by the frozen baseline effort.</t>
  </si>
  <si>
    <t>A.  TOTAL COST OF DELIVERING THE DOMAIN</t>
  </si>
  <si>
    <t>Total cost index</t>
  </si>
  <si>
    <t>Headcount</t>
  </si>
  <si>
    <t>Average cost per head</t>
  </si>
  <si>
    <t>Cost per unit of frozen scope</t>
  </si>
  <si>
    <t>Unit cost reduction vs Year 1</t>
  </si>
  <si>
    <t>B.  CAPGEMINI POSITION</t>
  </si>
  <si>
    <t>Capgemini heads</t>
  </si>
  <si>
    <t>Capgemini cost index</t>
  </si>
  <si>
    <t>Capgemini position vs Year 1</t>
  </si>
  <si>
    <t>C.  COST BY LOCATION, BAND AND ROLE</t>
  </si>
  <si>
    <t>Split</t>
  </si>
  <si>
    <t>Onshore Tokyo — cost index</t>
  </si>
  <si>
    <t>Offshore — cost index</t>
  </si>
  <si>
    <t>Nearshore — cost index</t>
  </si>
  <si>
    <t>Onshore share of cost</t>
  </si>
  <si>
    <t>BSA — business and systems analysis — cost index</t>
  </si>
  <si>
    <t>Developer — cost index</t>
  </si>
  <si>
    <t>Tester — cost index</t>
  </si>
  <si>
    <t>Maintenance — cost index</t>
  </si>
  <si>
    <t>PM and product ownership — cost index</t>
  </si>
  <si>
    <t>Other — architecture and enablement — cost index</t>
  </si>
  <si>
    <t>The role view is the one Pricing will want: it says what each of MetLife's own six role lines costs, which is the natural unit for a per-role rate card.</t>
  </si>
  <si>
    <t>Seat ledger  —  every pod-library line multiplied out, plus every horizontal seat</t>
  </si>
  <si>
    <t>Computed. Every roll-up in this workbook is a SUMIFS over this one table. Do not edit.</t>
  </si>
  <si>
    <t>Origin</t>
  </si>
  <si>
    <t>Type</t>
  </si>
  <si>
    <t>Seats/unit</t>
  </si>
  <si>
    <t>Heads</t>
  </si>
  <si>
    <t>Cost index</t>
  </si>
  <si>
    <t>HZ</t>
  </si>
  <si>
    <t>SIT loading  —  turning fractional FTE into whole people and whole months</t>
  </si>
  <si>
    <t>The seat ledger is a demand model, not a roster. A line of 1.38 heads is 16.6 person-months of demand spread across several pods. This sheet converts that into something SIT can load without inventing or losing people.</t>
  </si>
  <si>
    <t>A.  WHY YOU CANNOT ROUND THE SEAT LEDGER</t>
  </si>
  <si>
    <t>Approach</t>
  </si>
  <si>
    <t>Verdict</t>
  </si>
  <si>
    <t>Modelled FTE (the commercial number)</t>
  </si>
  <si>
    <t>Round every ledger row UP to whole heads</t>
  </si>
  <si>
    <t>INFLATES Year 1 by 23 people — 19%. 242 ledger rows each round up by up to 0.99 of a person.</t>
  </si>
  <si>
    <t>Round every ledger row to nearest</t>
  </si>
  <si>
    <t>Total is roughly right but every individual line is wrong, and the FTC / FTE / MGCC split drifts. It also implies each pod has its own dedicated architect, tester and support engineer.</t>
  </si>
  <si>
    <t>This sheet — aggregate first, then whole people and months</t>
  </si>
  <si>
    <t>Exact on total, on each sourcing type and on person-months.</t>
  </si>
  <si>
    <t>B.  THE RULE</t>
  </si>
  <si>
    <t>Aggregate the ledger to the level at which a person is actually hired — year x role x band x location x sourcing — and only then convert to bodies. A pod seat of 0.23 is not a person; the same role summed across six pods is.</t>
  </si>
  <si>
    <t>Treatment</t>
  </si>
  <si>
    <t>When it applies</t>
  </si>
  <si>
    <t>How SIT loads it</t>
  </si>
  <si>
    <t>Example</t>
  </si>
  <si>
    <t>RAMPED</t>
  </si>
  <si>
    <t>Delivery roles — engineers, testers, analysts inside pods and teams. The work is divisible over time and people join and leave pods.</t>
  </si>
  <si>
    <t>floor(FTE) people for 12 months, plus one person for the remaining months.</t>
  </si>
  <si>
    <t>7.73 FTE  =  7 people all year  +  1 person for 8.7 months</t>
  </si>
  <si>
    <t>SHARED</t>
  </si>
  <si>
    <t>Roles that need continuous presence — leads, architects, service delivery managers, PMO — and any line below 0.5 FTE.</t>
  </si>
  <si>
    <t>One person at a partial allocation for the whole year, the balance of their time on another domain.</t>
  </si>
  <si>
    <t>0.95 FTE  =  1 Chief Architect at 95%, 5% elsewhere</t>
  </si>
  <si>
    <t>Both give identical person-months. Neither loads a partial person into a month and neither allocates anybody above 100%. Person-months is the invariant SIT must reproduce: FTE x 12.</t>
  </si>
  <si>
    <t>C.  RECONCILIATION  —  what SIT must tie back to</t>
  </si>
  <si>
    <t>Modelled FTE</t>
  </si>
  <si>
    <t>From the seat ledger. This is the commercial number and it does not change.</t>
  </si>
  <si>
    <t>Person-months  =  FTE x 12</t>
  </si>
  <si>
    <t>THE INVARIANT. SIT's monthly loading must sum to this.</t>
  </si>
  <si>
    <t>Bodies to requisition</t>
  </si>
  <si>
    <t>Named people. Higher than FTE because some are part-year or part-allocated.</t>
  </si>
  <si>
    <t xml:space="preserve">  — of which full-time, all year</t>
  </si>
  <si>
    <t>The core roster. Everything else is a partial assignment.</t>
  </si>
  <si>
    <t>Average allocation across all bodies</t>
  </si>
  <si>
    <t>If this drops below about 70% the pod design is too fragmented — check it.</t>
  </si>
  <si>
    <t>D.  THE REQUISITION PLAN  —  load these lines into SIT</t>
  </si>
  <si>
    <t>Unit type</t>
  </si>
  <si>
    <t>Person-months</t>
  </si>
  <si>
    <t>Full-time heads</t>
  </si>
  <si>
    <t>+1 head for (months)</t>
  </si>
  <si>
    <t>Allocation of the part head</t>
  </si>
  <si>
    <t>Delivery</t>
  </si>
  <si>
    <t>Horizontal</t>
  </si>
  <si>
    <r>
      <rPr>
        <sz val="8.5"/>
        <color rgb="FF595959"/>
        <rFont val="Arial"/>
        <charset val="1"/>
      </rPr>
      <t xml:space="preserve">Full-time heads x 12  +  the part-head months  =  person-months, exactly. Check it against section C before loading. Lines marked SHARED are the ones to pool across domains at portfolio level before anybody is recruited — otherwise every </t>
    </r>
    <r>
      <rPr>
        <sz val="8.5"/>
        <color rgb="FF595959"/>
        <rFont val="Noto Sans CJK SC"/>
        <family val="2"/>
      </rPr>
      <t xml:space="preserve">領域 </t>
    </r>
    <r>
      <rPr>
        <sz val="8.5"/>
        <color rgb="FF595959"/>
        <rFont val="Arial"/>
        <charset val="1"/>
      </rPr>
      <t>requisitions its own fraction of the same architect.</t>
    </r>
  </si>
  <si>
    <t>Unit cost sensitivity  —  four levers now, not three</t>
  </si>
  <si>
    <t>Productivity, offshore share and seniority, plus the agile conversion, which which the other three all depend on.</t>
  </si>
  <si>
    <t>A.  THE MODEL  —  unit cost = k x (1 - productivity) x average cost per head</t>
  </si>
  <si>
    <t>average cost per head = offshore x [senior x OFF_SR + (1-senior) x OFF_JM] + onshore x [senior x ON_SR + (1-senior) x ON_JM]</t>
  </si>
  <si>
    <t>B.  TIER COST PARAMETERS  —  from the Year-5 roster</t>
  </si>
  <si>
    <t>Tier</t>
  </si>
  <si>
    <t>Junior / mid  (E1-E3)</t>
  </si>
  <si>
    <t>Senior  (E4-E5)</t>
  </si>
  <si>
    <t>C.  BASE CASE</t>
  </si>
  <si>
    <t>Delivered productivity</t>
  </si>
  <si>
    <t>Whole-team offshore share</t>
  </si>
  <si>
    <t>Senior share (E4+E5)</t>
  </si>
  <si>
    <t>Agile share</t>
  </si>
  <si>
    <t>Unit cost index — actual</t>
  </si>
  <si>
    <t>Unit cost index — two-tier formula</t>
  </si>
  <si>
    <t>CALIBRATION  k  =  actual / formula, at Year 5</t>
  </si>
  <si>
    <t>D.  GRID  —  offshore share x productivity, at the Year-5 senior share</t>
  </si>
  <si>
    <t>Offshore v   Productivity &gt;</t>
  </si>
  <si>
    <t>E.  TORNADO  —  one lever at a time, +/- 10 points from the Year-5 base</t>
  </si>
  <si>
    <t>Lever</t>
  </si>
  <si>
    <t>-10 points</t>
  </si>
  <si>
    <t>Base</t>
  </si>
  <si>
    <t>+10 points</t>
  </si>
  <si>
    <t>Swing</t>
  </si>
  <si>
    <t>Productivity</t>
  </si>
  <si>
    <t>Scales unit cost one for one. The only linear lever.</t>
  </si>
  <si>
    <t>Offshore share</t>
  </si>
  <si>
    <t>Second largest — and now bounded by a measured start rather than an assumed one.</t>
  </si>
  <si>
    <t>Senior share</t>
  </si>
  <si>
    <t>Works against the other two. A richer shape gives back part of what offshore wins.</t>
  </si>
  <si>
    <t>Agile conversion — the fourth lever</t>
  </si>
  <si>
    <t>Not a direct term in the unit-cost formula. It works through productivity: the operating-model component is scaled by the agile share, so a one-year slip in the conversion costs about 5 points of Year-2 capability and roughly 0.05 of the unit cost index. It is the lever with the longest lead time and the least evidence behind it.</t>
  </si>
  <si>
    <t>Swings are full 20-point ranges. Halve them for a per-ten-point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</si>
</sst>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
    <numFmt numFmtId="167" formatCode="#,##0.0"/>
  </numFmts>
  <fonts count="15">
    <font>
      <sz val="11"/>
      <color theme="1"/>
      <name val="Calibri"/>
      <family val="2"/>
      <charset val="1"/>
    </font>
    <font>
      <b/>
      <sz val="14"/>
      <color rgb="FFFFFFFF"/>
      <name val="Arial"/>
      <charset val="1"/>
    </font>
    <font>
      <sz val="9"/>
      <color rgb="FFFFFFFF"/>
      <name val="Arial"/>
      <charset val="1"/>
    </font>
    <font>
      <sz val="9"/>
      <color rgb="FFFFFFFF"/>
      <name val="Noto Sans CJK SC"/>
      <family val="2"/>
    </font>
    <font>
      <b/>
      <sz val="11"/>
      <color rgb="FF00385F"/>
      <name val="Arial"/>
      <charset val="1"/>
    </font>
    <font>
      <b/>
      <sz val="11"/>
      <color rgb="FF00385F"/>
      <name val="Noto Sans CJK SC"/>
      <family val="2"/>
    </font>
    <font>
      <b/>
      <sz val="9.5"/>
      <name val="Arial"/>
      <charset val="1"/>
    </font>
    <font>
      <sz val="9.5"/>
      <name val="Arial"/>
      <charset val="1"/>
    </font>
    <font>
      <sz val="9.5"/>
      <name val="Noto Sans CJK SC"/>
      <family val="2"/>
    </font>
    <font>
      <b/>
      <sz val="9.5"/>
      <name val="Noto Sans CJK SC"/>
      <family val="2"/>
    </font>
    <font>
      <b/>
      <sz val="8.5"/>
      <color rgb="FFFFFFFF"/>
      <name val="Arial"/>
      <charset val="1"/>
    </font>
    <font>
      <sz val="8.5"/>
      <color rgb="FF595959"/>
      <name val="Arial"/>
      <charset val="1"/>
    </font>
    <font>
      <sz val="8.5"/>
      <color rgb="FF595959"/>
      <name val="Noto Sans CJK SC"/>
      <family val="2"/>
    </font>
    <font>
      <sz val="9.5"/>
      <color rgb="FF008000"/>
      <name val="Arial"/>
      <charset val="1"/>
    </font>
    <font>
      <b/>
      <sz val="9.5"/>
      <color rgb="FF00385F"/>
      <name val="Arial"/>
      <charset val="1"/>
    </font>
  </fonts>
  <fills count="8">
    <fill>
      <patternFill patternType="none"/>
    </fill>
    <fill>
      <patternFill patternType="gray125"/>
    </fill>
    <fill>
      <patternFill patternType="solid">
        <fgColor rgb="FF00385F"/>
        <bgColor rgb="FF333333"/>
      </patternFill>
    </fill>
    <fill>
      <patternFill patternType="solid">
        <fgColor rgb="FFDCEEF9"/>
        <bgColor rgb="FFF2F2F2"/>
      </patternFill>
    </fill>
    <fill>
      <patternFill patternType="solid">
        <fgColor rgb="FF0090DA"/>
        <bgColor rgb="FF008080"/>
      </patternFill>
    </fill>
    <fill>
      <patternFill patternType="solid">
        <fgColor rgb="FFF2F2F2"/>
        <bgColor rgb="FFDCEEF9"/>
      </patternFill>
    </fill>
    <fill>
      <patternFill patternType="solid">
        <fgColor rgb="FFFCE4E4"/>
        <bgColor rgb="FFF2F2F2"/>
      </patternFill>
    </fill>
    <fill>
      <patternFill patternType="solid">
        <fgColor rgb="FFFFF2CC"/>
        <bgColor rgb="FFFCE4E4"/>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69">
    <xf numFmtId="0" fontId="0" fillId="0" borderId="0" xfId="0"/>
    <xf numFmtId="0" fontId="11" fillId="0" borderId="1" xfId="0" applyFont="1" applyBorder="1" applyAlignment="1">
      <alignment vertical="top" wrapText="1"/>
    </xf>
    <xf numFmtId="0" fontId="11" fillId="0" borderId="0" xfId="0" applyFont="1"/>
    <xf numFmtId="0" fontId="7" fillId="0" borderId="1" xfId="0" applyFont="1" applyBorder="1" applyAlignment="1">
      <alignment vertical="top" wrapText="1"/>
    </xf>
    <xf numFmtId="0" fontId="11" fillId="0" borderId="0" xfId="0" applyFont="1" applyAlignment="1">
      <alignment vertical="top" wrapText="1"/>
    </xf>
    <xf numFmtId="0" fontId="7" fillId="0" borderId="0" xfId="0" applyFont="1" applyAlignment="1">
      <alignment vertical="top" wrapText="1"/>
    </xf>
    <xf numFmtId="0" fontId="4" fillId="3"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10"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1" fillId="0" borderId="1" xfId="0" applyFont="1" applyBorder="1" applyAlignment="1">
      <alignment vertical="top"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4" fontId="13" fillId="0" borderId="1"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1" fillId="0" borderId="0" xfId="0" applyFont="1" applyAlignment="1">
      <alignment vertical="top" wrapText="1"/>
    </xf>
    <xf numFmtId="164" fontId="13" fillId="0" borderId="1" xfId="0" applyNumberFormat="1" applyFont="1" applyBorder="1" applyAlignment="1">
      <alignment horizontal="center" vertical="center" wrapText="1"/>
    </xf>
    <xf numFmtId="3" fontId="13" fillId="0" borderId="1" xfId="0" applyNumberFormat="1" applyFont="1" applyBorder="1" applyAlignment="1">
      <alignment horizontal="center" vertical="center" wrapText="1"/>
    </xf>
    <xf numFmtId="0" fontId="6" fillId="5" borderId="1" xfId="0" applyFont="1" applyFill="1" applyBorder="1" applyAlignment="1">
      <alignment vertical="top" wrapText="1"/>
    </xf>
    <xf numFmtId="4" fontId="6" fillId="5" borderId="1" xfId="0" applyNumberFormat="1" applyFont="1" applyFill="1" applyBorder="1" applyAlignment="1">
      <alignment horizontal="center" vertical="center" wrapText="1"/>
    </xf>
    <xf numFmtId="3" fontId="7" fillId="7" borderId="1" xfId="0" applyNumberFormat="1" applyFont="1" applyFill="1" applyBorder="1" applyAlignment="1">
      <alignment horizontal="center" vertical="center" wrapText="1"/>
    </xf>
    <xf numFmtId="165" fontId="7" fillId="7" borderId="1" xfId="0" applyNumberFormat="1"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3" fontId="7" fillId="0" borderId="1" xfId="0" applyNumberFormat="1" applyFont="1" applyBorder="1" applyAlignment="1">
      <alignment horizontal="center" vertical="center" wrapText="1"/>
    </xf>
    <xf numFmtId="164" fontId="7" fillId="7" borderId="1" xfId="0" applyNumberFormat="1" applyFont="1" applyFill="1" applyBorder="1" applyAlignment="1">
      <alignment horizontal="center" vertical="center" wrapText="1"/>
    </xf>
    <xf numFmtId="3" fontId="6" fillId="5" borderId="1" xfId="0" applyNumberFormat="1"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9" fontId="7" fillId="7" borderId="1" xfId="0" applyNumberFormat="1" applyFont="1" applyFill="1" applyBorder="1" applyAlignment="1">
      <alignment horizontal="center" vertical="center" wrapText="1"/>
    </xf>
    <xf numFmtId="0" fontId="6" fillId="7" borderId="1" xfId="0" applyFont="1" applyFill="1" applyBorder="1" applyAlignment="1">
      <alignment vertical="top" wrapText="1"/>
    </xf>
    <xf numFmtId="9" fontId="6" fillId="7" borderId="1" xfId="0" applyNumberFormat="1" applyFont="1" applyFill="1" applyBorder="1" applyAlignment="1">
      <alignment horizontal="center" vertical="center" wrapText="1"/>
    </xf>
    <xf numFmtId="4" fontId="6" fillId="7" borderId="1" xfId="0" applyNumberFormat="1" applyFont="1" applyFill="1" applyBorder="1" applyAlignment="1">
      <alignment horizontal="center" vertical="center" wrapText="1"/>
    </xf>
    <xf numFmtId="166" fontId="7" fillId="7"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66" fontId="11" fillId="0" borderId="1" xfId="0" applyNumberFormat="1" applyFont="1" applyBorder="1" applyAlignment="1">
      <alignment horizontal="center" vertical="center" wrapText="1"/>
    </xf>
    <xf numFmtId="9" fontId="13" fillId="0" borderId="1" xfId="0" applyNumberFormat="1" applyFont="1" applyBorder="1" applyAlignment="1">
      <alignment horizontal="center" vertical="center" wrapText="1"/>
    </xf>
    <xf numFmtId="164" fontId="6" fillId="7" borderId="1" xfId="0" applyNumberFormat="1" applyFont="1" applyFill="1" applyBorder="1" applyAlignment="1">
      <alignment horizontal="center" vertical="center" wrapText="1"/>
    </xf>
    <xf numFmtId="0" fontId="6" fillId="6" borderId="1" xfId="0" applyFont="1" applyFill="1" applyBorder="1" applyAlignment="1">
      <alignment vertical="top" wrapText="1"/>
    </xf>
    <xf numFmtId="0" fontId="13" fillId="5" borderId="1" xfId="0" applyFont="1" applyFill="1" applyBorder="1" applyAlignment="1">
      <alignment horizontal="center" vertical="center" wrapText="1"/>
    </xf>
    <xf numFmtId="165"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7" fontId="13" fillId="0" borderId="1" xfId="0" applyNumberFormat="1" applyFont="1" applyBorder="1" applyAlignment="1">
      <alignment horizontal="center" vertical="center" wrapText="1"/>
    </xf>
    <xf numFmtId="167" fontId="6" fillId="5" borderId="1" xfId="0" applyNumberFormat="1" applyFont="1" applyFill="1" applyBorder="1" applyAlignment="1">
      <alignment horizontal="center" vertical="center" wrapText="1"/>
    </xf>
    <xf numFmtId="3" fontId="6" fillId="7" borderId="1" xfId="0" applyNumberFormat="1" applyFont="1" applyFill="1" applyBorder="1" applyAlignment="1">
      <alignment horizontal="center" vertical="center" wrapText="1"/>
    </xf>
    <xf numFmtId="4" fontId="6"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4" fontId="7" fillId="7" borderId="1" xfId="0" applyNumberFormat="1" applyFont="1" applyFill="1" applyBorder="1" applyAlignment="1">
      <alignment horizontal="center" vertical="center" wrapText="1"/>
    </xf>
    <xf numFmtId="167" fontId="14"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65" fontId="6" fillId="7" borderId="1" xfId="0" applyNumberFormat="1" applyFont="1" applyFill="1" applyBorder="1" applyAlignment="1">
      <alignment horizontal="center" vertical="center" wrapText="1"/>
    </xf>
    <xf numFmtId="4" fontId="7" fillId="0" borderId="1" xfId="0" applyNumberFormat="1" applyFont="1" applyBorder="1" applyAlignment="1">
      <alignment horizontal="center" vertical="center" wrapText="1"/>
    </xf>
    <xf numFmtId="165" fontId="13" fillId="0" borderId="1" xfId="0" applyNumberFormat="1" applyFont="1" applyBorder="1" applyAlignment="1">
      <alignment horizontal="center" vertical="center" wrapText="1"/>
    </xf>
    <xf numFmtId="164" fontId="13" fillId="5" borderId="1" xfId="0" applyNumberFormat="1" applyFont="1" applyFill="1" applyBorder="1" applyAlignment="1">
      <alignment horizontal="center" vertical="center" wrapText="1"/>
    </xf>
    <xf numFmtId="166" fontId="13" fillId="0" borderId="1" xfId="0" applyNumberFormat="1" applyFont="1" applyBorder="1" applyAlignment="1">
      <alignment horizontal="center" vertical="center" wrapText="1"/>
    </xf>
    <xf numFmtId="0" fontId="13" fillId="0" borderId="1" xfId="0" applyFont="1" applyBorder="1" applyAlignment="1">
      <alignment vertical="top" wrapText="1"/>
    </xf>
    <xf numFmtId="0" fontId="7" fillId="6" borderId="1" xfId="0" applyFont="1" applyFill="1" applyBorder="1" applyAlignment="1">
      <alignment vertical="top" wrapText="1"/>
    </xf>
    <xf numFmtId="3" fontId="7" fillId="6" borderId="1" xfId="0" applyNumberFormat="1" applyFont="1" applyFill="1" applyBorder="1" applyAlignment="1">
      <alignment horizontal="center" vertical="center" wrapText="1"/>
    </xf>
    <xf numFmtId="0" fontId="7" fillId="7" borderId="1" xfId="0" applyFont="1" applyFill="1" applyBorder="1" applyAlignment="1">
      <alignment vertical="top" wrapText="1"/>
    </xf>
    <xf numFmtId="4" fontId="13" fillId="7"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166" fontId="6" fillId="7" borderId="1" xfId="0" applyNumberFormat="1" applyFont="1" applyFill="1" applyBorder="1" applyAlignment="1">
      <alignment horizontal="center" vertical="center" wrapText="1"/>
    </xf>
    <xf numFmtId="9" fontId="10" fillId="4" borderId="1" xfId="0" applyNumberFormat="1" applyFont="1" applyFill="1" applyBorder="1" applyAlignment="1">
      <alignment horizontal="center" vertical="center" wrapText="1"/>
    </xf>
    <xf numFmtId="0" fontId="0" fillId="0" borderId="0" xfId="0" applyAlignment="1">
      <alignment wrapText="1"/>
    </xf>
  </cellXfs>
  <cellStyles count="1">
    <cellStyle name="Normal" xfId="0" builtinId="0"/>
  </cellStyles>
  <dxfs count="2">
    <dxf>
      <font>
        <b/>
        <color rgb="FF006100"/>
      </font>
      <fill>
        <patternFill>
          <bgColor rgb="FFC6EFCE"/>
        </patternFill>
      </fill>
    </dxf>
    <dxf>
      <font>
        <b/>
        <color rgb="FF9C0006"/>
      </font>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85F"/>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opLeftCell="A10" zoomScaleNormal="100" workbookViewId="0">
      <selection sqref="A1:D1"/>
    </sheetView>
  </sheetViews>
  <sheetFormatPr defaultColWidth="8.6328125" defaultRowHeight="14.5"/>
  <cols>
    <col min="1" max="1" width="2.453125" customWidth="1"/>
    <col min="2" max="2" width="30" customWidth="1"/>
    <col min="3" max="3" width="104" customWidth="1"/>
  </cols>
  <sheetData>
    <row r="1" spans="1:4" ht="25.5" customHeight="1">
      <c r="A1" s="8" t="s">
        <v>0</v>
      </c>
      <c r="B1" s="8"/>
      <c r="C1" s="8"/>
      <c r="D1" s="8"/>
    </row>
    <row r="2" spans="1:4" ht="15" customHeight="1">
      <c r="A2" s="7" t="s">
        <v>1</v>
      </c>
      <c r="B2" s="7"/>
      <c r="C2" s="7"/>
      <c r="D2" s="7"/>
    </row>
    <row r="4" spans="1:4" ht="16.5" customHeight="1">
      <c r="A4" s="6" t="s">
        <v>2</v>
      </c>
      <c r="B4" s="6"/>
      <c r="C4" s="6"/>
    </row>
    <row r="5" spans="1:4" ht="45.75" customHeight="1">
      <c r="B5" s="9" t="s">
        <v>3</v>
      </c>
      <c r="C5" s="10" t="s">
        <v>4</v>
      </c>
    </row>
    <row r="6" spans="1:4" ht="45.75" customHeight="1">
      <c r="B6" s="9" t="s">
        <v>5</v>
      </c>
      <c r="C6" s="10" t="s">
        <v>6</v>
      </c>
    </row>
    <row r="7" spans="1:4" ht="45.75" customHeight="1">
      <c r="B7" s="9" t="s">
        <v>7</v>
      </c>
      <c r="C7" s="10" t="s">
        <v>8</v>
      </c>
    </row>
    <row r="8" spans="1:4" ht="45.75" customHeight="1">
      <c r="B8" s="9" t="s">
        <v>9</v>
      </c>
      <c r="C8" s="10" t="s">
        <v>10</v>
      </c>
    </row>
    <row r="9" spans="1:4" ht="15" customHeight="1">
      <c r="A9" s="6" t="s">
        <v>11</v>
      </c>
      <c r="B9" s="6"/>
      <c r="C9" s="6"/>
    </row>
    <row r="10" spans="1:4" ht="45.75" customHeight="1">
      <c r="B10" s="9" t="s">
        <v>12</v>
      </c>
      <c r="C10" s="10" t="s">
        <v>13</v>
      </c>
    </row>
    <row r="11" spans="1:4" ht="45.75" customHeight="1">
      <c r="B11" s="9" t="s">
        <v>14</v>
      </c>
      <c r="C11" s="10" t="s">
        <v>15</v>
      </c>
    </row>
    <row r="12" spans="1:4" ht="45.75" customHeight="1">
      <c r="B12" s="9" t="s">
        <v>16</v>
      </c>
      <c r="C12" s="10" t="s">
        <v>17</v>
      </c>
    </row>
    <row r="13" spans="1:4" ht="15" customHeight="1">
      <c r="A13" s="6" t="s">
        <v>18</v>
      </c>
      <c r="B13" s="6"/>
      <c r="C13" s="6"/>
    </row>
    <row r="14" spans="1:4" ht="45.75" customHeight="1">
      <c r="B14" s="9" t="s">
        <v>19</v>
      </c>
      <c r="C14" s="10" t="s">
        <v>20</v>
      </c>
    </row>
    <row r="15" spans="1:4" ht="45.75" customHeight="1">
      <c r="B15" s="9" t="s">
        <v>21</v>
      </c>
      <c r="C15" s="10" t="s">
        <v>22</v>
      </c>
    </row>
    <row r="16" spans="1:4" ht="45.75" customHeight="1">
      <c r="B16" s="9" t="s">
        <v>23</v>
      </c>
      <c r="C16" s="10" t="s">
        <v>24</v>
      </c>
    </row>
    <row r="17" spans="1:3" ht="15" customHeight="1">
      <c r="A17" s="6" t="s">
        <v>25</v>
      </c>
      <c r="B17" s="6"/>
      <c r="C17" s="6"/>
    </row>
    <row r="18" spans="1:3" ht="45.75" customHeight="1">
      <c r="B18" s="9" t="s">
        <v>26</v>
      </c>
      <c r="C18" s="10" t="s">
        <v>27</v>
      </c>
    </row>
    <row r="19" spans="1:3" ht="45.75" customHeight="1">
      <c r="B19" s="9" t="s">
        <v>28</v>
      </c>
      <c r="C19" s="10" t="s">
        <v>29</v>
      </c>
    </row>
    <row r="20" spans="1:3" ht="15" customHeight="1">
      <c r="A20" s="6" t="s">
        <v>30</v>
      </c>
      <c r="B20" s="6"/>
      <c r="C20" s="6"/>
    </row>
    <row r="21" spans="1:3" ht="45.75" customHeight="1">
      <c r="B21" s="9" t="s">
        <v>31</v>
      </c>
      <c r="C21" s="10" t="s">
        <v>32</v>
      </c>
    </row>
    <row r="22" spans="1:3" ht="45.75" customHeight="1">
      <c r="B22" s="9" t="s">
        <v>33</v>
      </c>
      <c r="C22" s="10" t="s">
        <v>34</v>
      </c>
    </row>
    <row r="23" spans="1:3" ht="45.75" customHeight="1">
      <c r="B23" s="9" t="s">
        <v>35</v>
      </c>
      <c r="C23" s="10" t="s">
        <v>36</v>
      </c>
    </row>
  </sheetData>
  <mergeCells count="7">
    <mergeCell ref="A17:C17"/>
    <mergeCell ref="A20:C20"/>
    <mergeCell ref="A1:D1"/>
    <mergeCell ref="A2:D2"/>
    <mergeCell ref="A4:C4"/>
    <mergeCell ref="A9:C9"/>
    <mergeCell ref="A13:C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zoomScaleNormal="100" workbookViewId="0">
      <selection sqref="A1:G1"/>
    </sheetView>
  </sheetViews>
  <sheetFormatPr defaultColWidth="8.6328125" defaultRowHeight="14.5"/>
  <cols>
    <col min="1" max="1" width="2.453125" customWidth="1"/>
    <col min="2" max="2" width="22" customWidth="1"/>
    <col min="3" max="4" width="34" customWidth="1"/>
    <col min="5" max="5" width="16" customWidth="1"/>
    <col min="6" max="6" width="44" customWidth="1"/>
  </cols>
  <sheetData>
    <row r="1" spans="1:7" ht="25.5" customHeight="1">
      <c r="A1" s="8" t="s">
        <v>37</v>
      </c>
      <c r="B1" s="8"/>
      <c r="C1" s="8"/>
      <c r="D1" s="8"/>
      <c r="E1" s="8"/>
      <c r="F1" s="8"/>
      <c r="G1" s="8"/>
    </row>
    <row r="2" spans="1:7" ht="15" customHeight="1">
      <c r="A2" s="7" t="s">
        <v>38</v>
      </c>
      <c r="B2" s="7"/>
      <c r="C2" s="7"/>
      <c r="D2" s="7"/>
      <c r="E2" s="7"/>
      <c r="F2" s="7"/>
      <c r="G2" s="7"/>
    </row>
    <row r="4" spans="1:7" ht="15" customHeight="1">
      <c r="B4" s="11" t="s">
        <v>39</v>
      </c>
      <c r="C4" s="11" t="s">
        <v>40</v>
      </c>
      <c r="D4" s="11" t="s">
        <v>41</v>
      </c>
      <c r="E4" s="11" t="s">
        <v>42</v>
      </c>
      <c r="F4" s="11" t="s">
        <v>43</v>
      </c>
    </row>
    <row r="5" spans="1:7" ht="49.5" customHeight="1">
      <c r="B5" s="9" t="s">
        <v>44</v>
      </c>
      <c r="C5" s="10" t="s">
        <v>45</v>
      </c>
      <c r="D5" s="10" t="s">
        <v>46</v>
      </c>
      <c r="E5" s="12" t="s">
        <v>47</v>
      </c>
      <c r="F5" s="13" t="s">
        <v>48</v>
      </c>
    </row>
    <row r="6" spans="1:7" ht="49.5" customHeight="1">
      <c r="B6" s="9" t="s">
        <v>49</v>
      </c>
      <c r="C6" s="10" t="s">
        <v>50</v>
      </c>
      <c r="D6" s="10" t="s">
        <v>51</v>
      </c>
      <c r="E6" s="12" t="s">
        <v>47</v>
      </c>
      <c r="F6" s="13" t="s">
        <v>52</v>
      </c>
    </row>
    <row r="7" spans="1:7" ht="49.5" customHeight="1">
      <c r="B7" s="9" t="s">
        <v>53</v>
      </c>
      <c r="C7" s="10" t="s">
        <v>54</v>
      </c>
      <c r="D7" s="10" t="s">
        <v>55</v>
      </c>
      <c r="E7" s="12" t="s">
        <v>56</v>
      </c>
      <c r="F7" s="13" t="s">
        <v>57</v>
      </c>
    </row>
    <row r="8" spans="1:7" ht="49.5" customHeight="1">
      <c r="B8" s="9" t="s">
        <v>58</v>
      </c>
      <c r="C8" s="10" t="s">
        <v>59</v>
      </c>
      <c r="D8" s="10" t="s">
        <v>60</v>
      </c>
      <c r="E8" s="12" t="s">
        <v>61</v>
      </c>
      <c r="F8" s="13" t="s">
        <v>62</v>
      </c>
    </row>
    <row r="9" spans="1:7" ht="49.5" customHeight="1">
      <c r="B9" s="9" t="s">
        <v>63</v>
      </c>
      <c r="C9" s="10" t="s">
        <v>64</v>
      </c>
      <c r="D9" s="10" t="s">
        <v>65</v>
      </c>
      <c r="E9" s="14" t="s">
        <v>66</v>
      </c>
      <c r="F9" s="13" t="s">
        <v>67</v>
      </c>
    </row>
    <row r="10" spans="1:7" ht="49.5" customHeight="1">
      <c r="B10" s="9" t="s">
        <v>68</v>
      </c>
      <c r="C10" s="10" t="s">
        <v>69</v>
      </c>
      <c r="D10" s="10" t="s">
        <v>70</v>
      </c>
      <c r="E10" s="12" t="s">
        <v>71</v>
      </c>
      <c r="F10" s="13" t="s">
        <v>72</v>
      </c>
    </row>
    <row r="11" spans="1:7" ht="49.5" customHeight="1">
      <c r="B11" s="9" t="s">
        <v>73</v>
      </c>
      <c r="C11" s="10" t="s">
        <v>74</v>
      </c>
      <c r="D11" s="10" t="s">
        <v>75</v>
      </c>
      <c r="E11" s="14" t="s">
        <v>76</v>
      </c>
      <c r="F11" s="13" t="s">
        <v>77</v>
      </c>
    </row>
    <row r="12" spans="1:7" ht="49.5" customHeight="1">
      <c r="B12" s="9" t="s">
        <v>78</v>
      </c>
      <c r="C12" s="10" t="s">
        <v>79</v>
      </c>
      <c r="D12" s="10" t="s">
        <v>80</v>
      </c>
      <c r="E12" s="12" t="s">
        <v>47</v>
      </c>
      <c r="F12" s="13" t="s">
        <v>81</v>
      </c>
    </row>
    <row r="13" spans="1:7" ht="49.5" customHeight="1">
      <c r="B13" s="9" t="s">
        <v>82</v>
      </c>
      <c r="C13" s="10" t="s">
        <v>83</v>
      </c>
      <c r="D13" s="10" t="s">
        <v>84</v>
      </c>
      <c r="E13" s="15" t="s">
        <v>85</v>
      </c>
      <c r="F13" s="13" t="s">
        <v>86</v>
      </c>
    </row>
    <row r="14" spans="1:7" ht="49.5" customHeight="1">
      <c r="B14" s="9" t="s">
        <v>87</v>
      </c>
      <c r="C14" s="10" t="s">
        <v>88</v>
      </c>
      <c r="D14" s="10" t="s">
        <v>89</v>
      </c>
      <c r="E14" s="12" t="s">
        <v>61</v>
      </c>
      <c r="F14" s="13" t="s">
        <v>90</v>
      </c>
    </row>
    <row r="15" spans="1:7" ht="49.5" customHeight="1">
      <c r="B15" s="9" t="s">
        <v>91</v>
      </c>
      <c r="C15" s="10" t="s">
        <v>92</v>
      </c>
      <c r="D15" s="10" t="s">
        <v>93</v>
      </c>
      <c r="E15" s="15" t="s">
        <v>94</v>
      </c>
      <c r="F15" s="13" t="s">
        <v>95</v>
      </c>
    </row>
    <row r="17" spans="1:6" ht="15" customHeight="1">
      <c r="A17" s="6" t="s">
        <v>96</v>
      </c>
      <c r="B17" s="6"/>
      <c r="C17" s="6"/>
      <c r="D17" s="6"/>
      <c r="E17" s="6"/>
      <c r="F17" s="6"/>
    </row>
    <row r="18" spans="1:6" ht="39.75" customHeight="1">
      <c r="B18" s="5" t="s">
        <v>97</v>
      </c>
      <c r="C18" s="5"/>
      <c r="D18" s="5"/>
      <c r="E18" s="5"/>
      <c r="F18" s="5"/>
    </row>
    <row r="19" spans="1:6" ht="39.75" customHeight="1">
      <c r="B19" s="5" t="s">
        <v>98</v>
      </c>
      <c r="C19" s="5"/>
      <c r="D19" s="5"/>
      <c r="E19" s="5"/>
      <c r="F19" s="5"/>
    </row>
    <row r="20" spans="1:6" ht="39.75" customHeight="1">
      <c r="B20" s="5" t="s">
        <v>99</v>
      </c>
      <c r="C20" s="5"/>
      <c r="D20" s="5"/>
      <c r="E20" s="5"/>
      <c r="F20" s="5"/>
    </row>
    <row r="21" spans="1:6" ht="39.75" customHeight="1">
      <c r="B21" s="5" t="s">
        <v>100</v>
      </c>
      <c r="C21" s="5"/>
      <c r="D21" s="5"/>
      <c r="E21" s="5"/>
      <c r="F21" s="5"/>
    </row>
    <row r="22" spans="1:6" ht="39.75" customHeight="1">
      <c r="B22" s="5" t="s">
        <v>101</v>
      </c>
      <c r="C22" s="5"/>
      <c r="D22" s="5"/>
      <c r="E22" s="5"/>
      <c r="F22" s="5"/>
    </row>
  </sheetData>
  <mergeCells count="8">
    <mergeCell ref="B20:F20"/>
    <mergeCell ref="B21:F21"/>
    <mergeCell ref="B22:F22"/>
    <mergeCell ref="A1:G1"/>
    <mergeCell ref="A2:G2"/>
    <mergeCell ref="A17:F17"/>
    <mergeCell ref="B18:F18"/>
    <mergeCell ref="B19:F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zoomScaleNormal="100" workbookViewId="0">
      <pane xSplit="1" ySplit="11" topLeftCell="B12" activePane="bottomRight" state="frozen"/>
      <selection pane="topRight" activeCell="B1" sqref="B1"/>
      <selection pane="bottomLeft" activeCell="A12" sqref="A12"/>
      <selection pane="bottomRight" sqref="A1:J1"/>
    </sheetView>
  </sheetViews>
  <sheetFormatPr defaultColWidth="8.6328125" defaultRowHeight="14.5"/>
  <cols>
    <col min="1" max="1" width="2.453125" customWidth="1"/>
    <col min="2" max="2" width="42" customWidth="1"/>
    <col min="3" max="8" width="11" customWidth="1"/>
    <col min="9" max="9" width="3" customWidth="1"/>
    <col min="10" max="10" width="50" customWidth="1"/>
  </cols>
  <sheetData>
    <row r="1" spans="1:10" ht="25.5" customHeight="1">
      <c r="A1" s="8" t="s">
        <v>102</v>
      </c>
      <c r="B1" s="8"/>
      <c r="C1" s="8"/>
      <c r="D1" s="8"/>
      <c r="E1" s="8"/>
      <c r="F1" s="8"/>
      <c r="G1" s="8"/>
      <c r="H1" s="8"/>
      <c r="I1" s="8"/>
      <c r="J1" s="8"/>
    </row>
    <row r="2" spans="1:10" ht="15" customHeight="1">
      <c r="A2" s="7" t="s">
        <v>103</v>
      </c>
      <c r="B2" s="7"/>
      <c r="C2" s="7"/>
      <c r="D2" s="7"/>
      <c r="E2" s="7"/>
      <c r="F2" s="7"/>
      <c r="G2" s="7"/>
      <c r="H2" s="7"/>
      <c r="I2" s="7"/>
      <c r="J2" s="7"/>
    </row>
    <row r="4" spans="1:10" ht="15" customHeight="1">
      <c r="A4" s="6" t="s">
        <v>104</v>
      </c>
      <c r="B4" s="6"/>
      <c r="C4" s="6"/>
      <c r="D4" s="6"/>
      <c r="E4" s="6"/>
      <c r="F4" s="6"/>
      <c r="G4" s="6"/>
      <c r="H4" s="6"/>
      <c r="I4" s="6"/>
      <c r="J4" s="6"/>
    </row>
    <row r="5" spans="1:10" ht="42" customHeight="1">
      <c r="B5" s="5" t="s">
        <v>105</v>
      </c>
      <c r="C5" s="5"/>
      <c r="D5" s="5"/>
      <c r="E5" s="5"/>
      <c r="F5" s="5"/>
      <c r="G5" s="5"/>
      <c r="H5" s="5"/>
      <c r="I5" s="5"/>
      <c r="J5" s="5"/>
    </row>
    <row r="6" spans="1:10" ht="42" customHeight="1">
      <c r="B6" s="5" t="s">
        <v>106</v>
      </c>
      <c r="C6" s="5"/>
      <c r="D6" s="5"/>
      <c r="E6" s="5"/>
      <c r="F6" s="5"/>
      <c r="G6" s="5"/>
      <c r="H6" s="5"/>
      <c r="I6" s="5"/>
      <c r="J6" s="5"/>
    </row>
    <row r="7" spans="1:10" ht="42" customHeight="1">
      <c r="B7" s="5" t="s">
        <v>107</v>
      </c>
      <c r="C7" s="5"/>
      <c r="D7" s="5"/>
      <c r="E7" s="5"/>
      <c r="F7" s="5"/>
      <c r="G7" s="5"/>
      <c r="H7" s="5"/>
      <c r="I7" s="5"/>
      <c r="J7" s="5"/>
    </row>
    <row r="8" spans="1:10" ht="42" customHeight="1">
      <c r="B8" s="5" t="s">
        <v>108</v>
      </c>
      <c r="C8" s="5"/>
      <c r="D8" s="5"/>
      <c r="E8" s="5"/>
      <c r="F8" s="5"/>
      <c r="G8" s="5"/>
      <c r="H8" s="5"/>
      <c r="I8" s="5"/>
      <c r="J8" s="5"/>
    </row>
    <row r="10" spans="1:10" ht="15" customHeight="1">
      <c r="A10" s="6" t="s">
        <v>109</v>
      </c>
      <c r="B10" s="6"/>
      <c r="C10" s="6"/>
      <c r="D10" s="6"/>
      <c r="E10" s="6"/>
      <c r="F10" s="6"/>
      <c r="G10" s="6"/>
      <c r="H10" s="6"/>
      <c r="I10" s="6"/>
      <c r="J10" s="6"/>
    </row>
    <row r="11" spans="1:10" ht="33">
      <c r="B11" s="11" t="s">
        <v>110</v>
      </c>
      <c r="C11" s="11" t="s">
        <v>111</v>
      </c>
      <c r="D11" s="11" t="s">
        <v>112</v>
      </c>
      <c r="E11" s="11" t="s">
        <v>113</v>
      </c>
      <c r="F11" s="11" t="s">
        <v>114</v>
      </c>
      <c r="G11" s="11" t="s">
        <v>115</v>
      </c>
      <c r="H11" s="11" t="s">
        <v>116</v>
      </c>
      <c r="I11" s="11" t="s">
        <v>42</v>
      </c>
    </row>
    <row r="12" spans="1:10" ht="30" customHeight="1">
      <c r="B12" s="9" t="s">
        <v>117</v>
      </c>
      <c r="C12" s="16">
        <f>'Team Build-Up'!C12</f>
        <v>-7.349999999999568E-2</v>
      </c>
      <c r="D12" s="16">
        <f>'Team Build-Up'!D12</f>
        <v>-9.7752193315670866E-2</v>
      </c>
      <c r="E12" s="16">
        <f>'Team Build-Up'!E12</f>
        <v>0.1179805774167022</v>
      </c>
      <c r="F12" s="16">
        <f>'Team Build-Up'!F12</f>
        <v>6.3256079255808118E-2</v>
      </c>
      <c r="G12" s="16">
        <f>'Team Build-Up'!G12</f>
        <v>0.18116510322064983</v>
      </c>
      <c r="H12" s="17" t="s">
        <v>118</v>
      </c>
      <c r="I12" s="18" t="str">
        <f>IF(MAX(ABS(C12),ABS(D12),ABS(E12),ABS(F12),ABS(G12))&lt;=1.5,"OK","CHECK")</f>
        <v>OK</v>
      </c>
      <c r="J12" s="19" t="s">
        <v>119</v>
      </c>
    </row>
    <row r="13" spans="1:10" ht="30" customHeight="1">
      <c r="B13" s="9" t="s">
        <v>120</v>
      </c>
      <c r="C13" s="20">
        <f>IFERROR((SUMIFS('Pod Library'!$J$5:$J$95,'Pod Library'!$B$5:$B$95,1,'Pod Library'!$C$5:$C$95,"POD",'Pod Library'!$I$5:$I$95,"FTC")+SUMIFS('Pod Library'!$J$5:$J$95,'Pod Library'!$B$5:$B$95,1,'Pod Library'!$C$5:$C$95,"POD",'Pod Library'!$I$5:$I$95,"PT"))/(SUMIFS('Pod Library'!$J$5:$J$95,'Pod Library'!$B$5:$B$95,1,'Pod Library'!$C$5:$C$95,"POD")),"n/a")</f>
        <v>0.5625</v>
      </c>
      <c r="D13" s="20">
        <f>IFERROR((SUMIFS('Pod Library'!$J$5:$J$95,'Pod Library'!$B$5:$B$95,2,'Pod Library'!$C$5:$C$95,"POD",'Pod Library'!$I$5:$I$95,"FTC")+SUMIFS('Pod Library'!$J$5:$J$95,'Pod Library'!$B$5:$B$95,2,'Pod Library'!$C$5:$C$95,"POD",'Pod Library'!$I$5:$I$95,"PT"))/(SUMIFS('Pod Library'!$J$5:$J$95,'Pod Library'!$B$5:$B$95,2,'Pod Library'!$C$5:$C$95,"POD")),"n/a")</f>
        <v>0.60000000000000042</v>
      </c>
      <c r="E13" s="20">
        <f>IFERROR((SUMIFS('Pod Library'!$J$5:$J$95,'Pod Library'!$B$5:$B$95,3,'Pod Library'!$C$5:$C$95,"POD",'Pod Library'!$I$5:$I$95,"FTC")+SUMIFS('Pod Library'!$J$5:$J$95,'Pod Library'!$B$5:$B$95,3,'Pod Library'!$C$5:$C$95,"POD",'Pod Library'!$I$5:$I$95,"PT"))/(SUMIFS('Pod Library'!$J$5:$J$95,'Pod Library'!$B$5:$B$95,3,'Pod Library'!$C$5:$C$95,"POD")),"n/a")</f>
        <v>0.60869565217391319</v>
      </c>
      <c r="F13" s="20">
        <f>IFERROR((SUMIFS('Pod Library'!$J$5:$J$95,'Pod Library'!$B$5:$B$95,4,'Pod Library'!$C$5:$C$95,"POD",'Pod Library'!$I$5:$I$95,"FTC")+SUMIFS('Pod Library'!$J$5:$J$95,'Pod Library'!$B$5:$B$95,4,'Pod Library'!$C$5:$C$95,"POD",'Pod Library'!$I$5:$I$95,"PT"))/(SUMIFS('Pod Library'!$J$5:$J$95,'Pod Library'!$B$5:$B$95,4,'Pod Library'!$C$5:$C$95,"POD")),"n/a")</f>
        <v>0.56249999999999989</v>
      </c>
      <c r="G13" s="20">
        <f>IFERROR((SUMIFS('Pod Library'!$J$5:$J$95,'Pod Library'!$B$5:$B$95,5,'Pod Library'!$C$5:$C$95,"POD",'Pod Library'!$I$5:$I$95,"FTC")+SUMIFS('Pod Library'!$J$5:$J$95,'Pod Library'!$B$5:$B$95,5,'Pod Library'!$C$5:$C$95,"POD",'Pod Library'!$I$5:$I$95,"PT"))/(SUMIFS('Pod Library'!$J$5:$J$95,'Pod Library'!$B$5:$B$95,5,'Pod Library'!$C$5:$C$95,"POD")),"n/a")</f>
        <v>0.56578947368421051</v>
      </c>
      <c r="H13" s="17" t="s">
        <v>121</v>
      </c>
      <c r="I13" s="18" t="str">
        <f>IF(COUNTIF(C13:G13,"&lt;0.5450")=0,"OK","CHECK")</f>
        <v>OK</v>
      </c>
      <c r="J13" s="19" t="s">
        <v>122</v>
      </c>
    </row>
    <row r="14" spans="1:10" ht="30" customHeight="1">
      <c r="B14" s="9" t="s">
        <v>123</v>
      </c>
      <c r="C14" s="20">
        <f>IFERROR((SUMIFS('Pod Library'!$J$5:$J$95,'Pod Library'!$B$5:$B$95,1,'Pod Library'!$C$5:$C$95,"TEAM",'Pod Library'!$I$5:$I$95,"FTC")+SUMIFS('Pod Library'!$J$5:$J$95,'Pod Library'!$B$5:$B$95,1,'Pod Library'!$C$5:$C$95,"TEAM",'Pod Library'!$I$5:$I$95,"PT"))/(SUMIFS('Pod Library'!$J$5:$J$95,'Pod Library'!$B$5:$B$95,1,'Pod Library'!$C$5:$C$95,"TEAM")),"n/a")</f>
        <v>0.76315789473684215</v>
      </c>
      <c r="D14" s="20">
        <f>IFERROR((SUMIFS('Pod Library'!$J$5:$J$95,'Pod Library'!$B$5:$B$95,2,'Pod Library'!$C$5:$C$95,"TEAM",'Pod Library'!$I$5:$I$95,"FTC")+SUMIFS('Pod Library'!$J$5:$J$95,'Pod Library'!$B$5:$B$95,2,'Pod Library'!$C$5:$C$95,"TEAM",'Pod Library'!$I$5:$I$95,"PT"))/(SUMIFS('Pod Library'!$J$5:$J$95,'Pod Library'!$B$5:$B$95,2,'Pod Library'!$C$5:$C$95,"TEAM")),"n/a")</f>
        <v>0.83720930232558144</v>
      </c>
      <c r="E14" s="20" t="str">
        <f>IFERROR((SUMIFS('Pod Library'!$J$5:$J$95,'Pod Library'!$B$5:$B$95,3,'Pod Library'!$C$5:$C$95,"TEAM",'Pod Library'!$I$5:$I$95,"FTC")+SUMIFS('Pod Library'!$J$5:$J$95,'Pod Library'!$B$5:$B$95,3,'Pod Library'!$C$5:$C$95,"TEAM",'Pod Library'!$I$5:$I$95,"PT"))/(SUMIFS('Pod Library'!$J$5:$J$95,'Pod Library'!$B$5:$B$95,3,'Pod Library'!$C$5:$C$95,"TEAM")),"n/a")</f>
        <v>n/a</v>
      </c>
      <c r="F14" s="20" t="str">
        <f>IFERROR((SUMIFS('Pod Library'!$J$5:$J$95,'Pod Library'!$B$5:$B$95,4,'Pod Library'!$C$5:$C$95,"TEAM",'Pod Library'!$I$5:$I$95,"FTC")+SUMIFS('Pod Library'!$J$5:$J$95,'Pod Library'!$B$5:$B$95,4,'Pod Library'!$C$5:$C$95,"TEAM",'Pod Library'!$I$5:$I$95,"PT"))/(SUMIFS('Pod Library'!$J$5:$J$95,'Pod Library'!$B$5:$B$95,4,'Pod Library'!$C$5:$C$95,"TEAM")),"n/a")</f>
        <v>n/a</v>
      </c>
      <c r="G14" s="20" t="str">
        <f>IFERROR((SUMIFS('Pod Library'!$J$5:$J$95,'Pod Library'!$B$5:$B$95,5,'Pod Library'!$C$5:$C$95,"TEAM",'Pod Library'!$I$5:$I$95,"FTC")+SUMIFS('Pod Library'!$J$5:$J$95,'Pod Library'!$B$5:$B$95,5,'Pod Library'!$C$5:$C$95,"TEAM",'Pod Library'!$I$5:$I$95,"PT"))/(SUMIFS('Pod Library'!$J$5:$J$95,'Pod Library'!$B$5:$B$95,5,'Pod Library'!$C$5:$C$95,"TEAM")),"n/a")</f>
        <v>n/a</v>
      </c>
      <c r="H14" s="17" t="s">
        <v>121</v>
      </c>
      <c r="I14" s="18" t="str">
        <f>IF(COUNTIF(C14:G14,"&lt;0.5450")=0,"OK","CHECK")</f>
        <v>OK</v>
      </c>
      <c r="J14" s="19" t="s">
        <v>124</v>
      </c>
    </row>
    <row r="15" spans="1:10" ht="30" customHeight="1">
      <c r="B15" s="9" t="s">
        <v>125</v>
      </c>
      <c r="C15" s="20">
        <f>IFERROR((SUMIFS('Seat Ledger'!$M$5:$M$287,'Seat Ledger'!$B$5:$B$287,1,'Seat Ledger'!$J$5:$J$287,"FTC")+SUMIFS('Seat Ledger'!$M$5:$M$287,'Seat Ledger'!$B$5:$B$287,1,'Seat Ledger'!$J$5:$J$287,"PT"))/(SUMIFS('Seat Ledger'!$M$5:$M$287,'Seat Ledger'!$B$5:$B$287,1)),0)</f>
        <v>0.69958847736625518</v>
      </c>
      <c r="D15" s="20">
        <f>IFERROR((SUMIFS('Seat Ledger'!$M$5:$M$287,'Seat Ledger'!$B$5:$B$287,2,'Seat Ledger'!$J$5:$J$287,"FTC")+SUMIFS('Seat Ledger'!$M$5:$M$287,'Seat Ledger'!$B$5:$B$287,2,'Seat Ledger'!$J$5:$J$287,"PT"))/(SUMIFS('Seat Ledger'!$M$5:$M$287,'Seat Ledger'!$B$5:$B$287,2)),0)</f>
        <v>0.68449197860962596</v>
      </c>
      <c r="E15" s="20">
        <f>IFERROR((SUMIFS('Seat Ledger'!$M$5:$M$287,'Seat Ledger'!$B$5:$B$287,3,'Seat Ledger'!$J$5:$J$287,"FTC")+SUMIFS('Seat Ledger'!$M$5:$M$287,'Seat Ledger'!$B$5:$B$287,3,'Seat Ledger'!$J$5:$J$287,"PT"))/(SUMIFS('Seat Ledger'!$M$5:$M$287,'Seat Ledger'!$B$5:$B$287,3)),0)</f>
        <v>0.67105263157894735</v>
      </c>
      <c r="F15" s="20">
        <f>IFERROR((SUMIFS('Seat Ledger'!$M$5:$M$287,'Seat Ledger'!$B$5:$B$287,4,'Seat Ledger'!$J$5:$J$287,"FTC")+SUMIFS('Seat Ledger'!$M$5:$M$287,'Seat Ledger'!$B$5:$B$287,4,'Seat Ledger'!$J$5:$J$287,"PT"))/(SUMIFS('Seat Ledger'!$M$5:$M$287,'Seat Ledger'!$B$5:$B$287,4)),0)</f>
        <v>0.52671755725190839</v>
      </c>
      <c r="G15" s="20">
        <f>IFERROR((SUMIFS('Seat Ledger'!$M$5:$M$287,'Seat Ledger'!$B$5:$B$287,5,'Seat Ledger'!$J$5:$J$287,"FTC")+SUMIFS('Seat Ledger'!$M$5:$M$287,'Seat Ledger'!$B$5:$B$287,5,'Seat Ledger'!$J$5:$J$287,"PT"))/(SUMIFS('Seat Ledger'!$M$5:$M$287,'Seat Ledger'!$B$5:$B$287,5)),0)</f>
        <v>0.50420168067226889</v>
      </c>
      <c r="H15" s="17" t="s">
        <v>126</v>
      </c>
      <c r="I15" s="18" t="str">
        <f>IF(COUNTIF(C15:G15,"&lt;0.4950")=0,"OK","CHECK")</f>
        <v>OK</v>
      </c>
      <c r="J15" s="19" t="s">
        <v>127</v>
      </c>
    </row>
    <row r="16" spans="1:10" ht="30" customHeight="1">
      <c r="B16" s="9" t="s">
        <v>128</v>
      </c>
      <c r="C16" s="21">
        <f>SUMPRODUCT(('Pod Library'!$B$5:$B$95=1)*(ABS('Pod Library'!$K$5:$K$95*2-ROUND('Pod Library'!$K$5:$K$95*2,0))&gt;0.01))+SUMPRODUCT(('Horizontal Teams'!$B$5:$B$110=1)*(ABS('Horizontal Teams'!$J$5:$J$110*2-ROUND('Horizontal Teams'!$J$5:$J$110*2,0))&gt;0.01))</f>
        <v>0</v>
      </c>
      <c r="D16" s="21">
        <f>SUMPRODUCT(('Pod Library'!$B$5:$B$95=2)*(ABS('Pod Library'!$K$5:$K$95*2-ROUND('Pod Library'!$K$5:$K$95*2,0))&gt;0.01))+SUMPRODUCT(('Horizontal Teams'!$B$5:$B$110=2)*(ABS('Horizontal Teams'!$J$5:$J$110*2-ROUND('Horizontal Teams'!$J$5:$J$110*2,0))&gt;0.01))</f>
        <v>0</v>
      </c>
      <c r="E16" s="21">
        <f>SUMPRODUCT(('Pod Library'!$B$5:$B$95=3)*(ABS('Pod Library'!$K$5:$K$95*2-ROUND('Pod Library'!$K$5:$K$95*2,0))&gt;0.01))+SUMPRODUCT(('Horizontal Teams'!$B$5:$B$110=3)*(ABS('Horizontal Teams'!$J$5:$J$110*2-ROUND('Horizontal Teams'!$J$5:$J$110*2,0))&gt;0.01))</f>
        <v>0</v>
      </c>
      <c r="F16" s="21">
        <f>SUMPRODUCT(('Pod Library'!$B$5:$B$95=4)*(ABS('Pod Library'!$K$5:$K$95*2-ROUND('Pod Library'!$K$5:$K$95*2,0))&gt;0.01))+SUMPRODUCT(('Horizontal Teams'!$B$5:$B$110=4)*(ABS('Horizontal Teams'!$J$5:$J$110*2-ROUND('Horizontal Teams'!$J$5:$J$110*2,0))&gt;0.01))</f>
        <v>0</v>
      </c>
      <c r="G16" s="21">
        <f>SUMPRODUCT(('Pod Library'!$B$5:$B$95=5)*(ABS('Pod Library'!$K$5:$K$95*2-ROUND('Pod Library'!$K$5:$K$95*2,0))&gt;0.01))+SUMPRODUCT(('Horizontal Teams'!$B$5:$B$110=5)*(ABS('Horizontal Teams'!$J$5:$J$110*2-ROUND('Horizontal Teams'!$J$5:$J$110*2,0))&gt;0.01))</f>
        <v>0</v>
      </c>
      <c r="H16" s="17">
        <f>0</f>
        <v>0</v>
      </c>
      <c r="I16" s="18" t="str">
        <f>IF(SUM(C16:G16)=0,"OK","CHECK")</f>
        <v>OK</v>
      </c>
      <c r="J16" s="19" t="s">
        <v>129</v>
      </c>
    </row>
    <row r="17" spans="1:10" ht="30" customHeight="1">
      <c r="B17" s="9" t="s">
        <v>130</v>
      </c>
      <c r="C17" s="21">
        <f>COUNTIFS('Horizontal Teams'!$B$5:$B$110,1,'Horizontal Teams'!$I$5:$I$110,"&lt;0.02")</f>
        <v>0</v>
      </c>
      <c r="D17" s="21">
        <f>COUNTIFS('Horizontal Teams'!$B$5:$B$110,2,'Horizontal Teams'!$I$5:$I$110,"&lt;0.02")</f>
        <v>0</v>
      </c>
      <c r="E17" s="21">
        <f>COUNTIFS('Horizontal Teams'!$B$5:$B$110,3,'Horizontal Teams'!$I$5:$I$110,"&lt;0.02")</f>
        <v>0</v>
      </c>
      <c r="F17" s="21">
        <f>COUNTIFS('Horizontal Teams'!$B$5:$B$110,4,'Horizontal Teams'!$I$5:$I$110,"&lt;0.02")</f>
        <v>0</v>
      </c>
      <c r="G17" s="21">
        <f>COUNTIFS('Horizontal Teams'!$B$5:$B$110,5,'Horizontal Teams'!$I$5:$I$110,"&lt;0.02")</f>
        <v>0</v>
      </c>
      <c r="H17" s="17">
        <f>0</f>
        <v>0</v>
      </c>
      <c r="I17" s="18" t="str">
        <f>IF(SUM(C17:G17)=0,"OK","CHECK")</f>
        <v>OK</v>
      </c>
      <c r="J17" s="19" t="s">
        <v>131</v>
      </c>
    </row>
    <row r="18" spans="1:10" ht="30" customHeight="1">
      <c r="B18" s="22" t="s">
        <v>132</v>
      </c>
      <c r="C18" s="23">
        <f>'Team Build-Up'!E32</f>
        <v>9.8984999999999985</v>
      </c>
      <c r="H18" s="17" t="s">
        <v>133</v>
      </c>
      <c r="I18" s="18" t="str">
        <f>IF(ABS(C18)&lt;=2.6,"OK","CHECK")</f>
        <v>CHECK</v>
      </c>
      <c r="J18" s="19" t="s">
        <v>134</v>
      </c>
    </row>
    <row r="20" spans="1:10" ht="15" customHeight="1">
      <c r="A20" s="6" t="s">
        <v>135</v>
      </c>
      <c r="B20" s="6"/>
      <c r="C20" s="6"/>
      <c r="D20" s="6"/>
      <c r="E20" s="6"/>
      <c r="F20" s="6"/>
      <c r="G20" s="6"/>
      <c r="H20" s="6"/>
      <c r="I20" s="6"/>
      <c r="J20" s="6"/>
    </row>
    <row r="21" spans="1:10" ht="43.5" customHeight="1">
      <c r="B21" s="5" t="s">
        <v>136</v>
      </c>
      <c r="C21" s="5"/>
      <c r="D21" s="5"/>
      <c r="E21" s="5"/>
      <c r="F21" s="5"/>
      <c r="G21" s="5"/>
      <c r="H21" s="5"/>
      <c r="I21" s="5"/>
      <c r="J21" s="5"/>
    </row>
    <row r="22" spans="1:10" ht="43.5" customHeight="1">
      <c r="B22" s="5" t="s">
        <v>137</v>
      </c>
      <c r="C22" s="5"/>
      <c r="D22" s="5"/>
      <c r="E22" s="5"/>
      <c r="F22" s="5"/>
      <c r="G22" s="5"/>
      <c r="H22" s="5"/>
      <c r="I22" s="5"/>
      <c r="J22" s="5"/>
    </row>
    <row r="23" spans="1:10" ht="43.5" customHeight="1">
      <c r="B23" s="5" t="s">
        <v>138</v>
      </c>
      <c r="C23" s="5"/>
      <c r="D23" s="5"/>
      <c r="E23" s="5"/>
      <c r="F23" s="5"/>
      <c r="G23" s="5"/>
      <c r="H23" s="5"/>
      <c r="I23" s="5"/>
      <c r="J23" s="5"/>
    </row>
    <row r="24" spans="1:10" ht="43.5" customHeight="1">
      <c r="B24" s="5" t="s">
        <v>139</v>
      </c>
      <c r="C24" s="5"/>
      <c r="D24" s="5"/>
      <c r="E24" s="5"/>
      <c r="F24" s="5"/>
      <c r="G24" s="5"/>
      <c r="H24" s="5"/>
      <c r="I24" s="5"/>
      <c r="J24" s="5"/>
    </row>
  </sheetData>
  <mergeCells count="13">
    <mergeCell ref="B22:J22"/>
    <mergeCell ref="B23:J23"/>
    <mergeCell ref="B24:J24"/>
    <mergeCell ref="B7:J7"/>
    <mergeCell ref="B8:J8"/>
    <mergeCell ref="A10:J10"/>
    <mergeCell ref="A20:J20"/>
    <mergeCell ref="B21:J21"/>
    <mergeCell ref="A1:J1"/>
    <mergeCell ref="A2:J2"/>
    <mergeCell ref="A4:J4"/>
    <mergeCell ref="B5:J5"/>
    <mergeCell ref="B6:J6"/>
  </mergeCells>
  <conditionalFormatting sqref="I12:I18">
    <cfRule type="cellIs" dxfId="1" priority="2" operator="equal">
      <formula>"CHECK"</formula>
    </cfRule>
    <cfRule type="cellIs" dxfId="0" priority="3" operator="equal">
      <formula>"OK"</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8"/>
  <sheetViews>
    <sheetView topLeftCell="A6" zoomScaleNormal="100" workbookViewId="0">
      <selection activeCell="C15" sqref="C15:C20"/>
    </sheetView>
  </sheetViews>
  <sheetFormatPr defaultColWidth="8.6328125" defaultRowHeight="14.5"/>
  <cols>
    <col min="1" max="1" width="2.453125" customWidth="1"/>
    <col min="2" max="2" width="46" customWidth="1"/>
    <col min="3" max="8" width="13" customWidth="1"/>
    <col min="9" max="9" width="3" customWidth="1"/>
    <col min="10" max="10" width="50" customWidth="1"/>
  </cols>
  <sheetData>
    <row r="1" spans="1:11" ht="25.5" customHeight="1">
      <c r="A1" s="8" t="s">
        <v>140</v>
      </c>
      <c r="B1" s="8"/>
      <c r="C1" s="8"/>
      <c r="D1" s="8"/>
      <c r="E1" s="8"/>
      <c r="F1" s="8"/>
      <c r="G1" s="8"/>
      <c r="H1" s="8"/>
      <c r="I1" s="8"/>
      <c r="J1" s="8"/>
      <c r="K1" s="8"/>
    </row>
    <row r="2" spans="1:11" ht="15" customHeight="1">
      <c r="A2" s="7" t="s">
        <v>141</v>
      </c>
      <c r="B2" s="7"/>
      <c r="C2" s="7"/>
      <c r="D2" s="7"/>
      <c r="E2" s="7"/>
      <c r="F2" s="7"/>
      <c r="G2" s="7"/>
      <c r="H2" s="7"/>
      <c r="I2" s="7"/>
      <c r="J2" s="7"/>
      <c r="K2" s="7"/>
    </row>
    <row r="4" spans="1:11" ht="15" customHeight="1">
      <c r="A4" s="6" t="s">
        <v>142</v>
      </c>
      <c r="B4" s="6"/>
      <c r="C4" s="6"/>
      <c r="D4" s="6"/>
      <c r="E4" s="6"/>
      <c r="F4" s="6"/>
      <c r="G4" s="6"/>
      <c r="H4" s="6"/>
      <c r="I4" s="6"/>
      <c r="J4" s="6"/>
    </row>
    <row r="5" spans="1:11" ht="57" customHeight="1">
      <c r="B5" s="9" t="s">
        <v>143</v>
      </c>
      <c r="C5" s="15" t="s">
        <v>144</v>
      </c>
    </row>
    <row r="6" spans="1:11" ht="15" customHeight="1">
      <c r="B6" s="9" t="s">
        <v>145</v>
      </c>
      <c r="C6" s="24">
        <v>6</v>
      </c>
    </row>
    <row r="7" spans="1:11" ht="15" customHeight="1">
      <c r="B7" s="9" t="s">
        <v>146</v>
      </c>
      <c r="C7" s="25">
        <v>121.5735</v>
      </c>
    </row>
    <row r="8" spans="1:11" ht="15" customHeight="1">
      <c r="B8" s="9" t="s">
        <v>147</v>
      </c>
      <c r="C8" s="25">
        <v>85.448499999999996</v>
      </c>
    </row>
    <row r="9" spans="1:11" ht="15" customHeight="1">
      <c r="B9" s="9" t="s">
        <v>148</v>
      </c>
      <c r="C9" s="25">
        <v>13.479200000000001</v>
      </c>
    </row>
    <row r="10" spans="1:11" ht="15" customHeight="1">
      <c r="B10" s="9" t="s">
        <v>149</v>
      </c>
      <c r="C10" s="25">
        <v>22.645800000000001</v>
      </c>
    </row>
    <row r="11" spans="1:11" ht="18.75" customHeight="1">
      <c r="B11" s="10" t="s">
        <v>150</v>
      </c>
      <c r="C11" s="25">
        <v>71.626099999999994</v>
      </c>
      <c r="J11" s="19" t="s">
        <v>151</v>
      </c>
    </row>
    <row r="12" spans="1:11" ht="15" customHeight="1">
      <c r="B12" s="10" t="s">
        <v>152</v>
      </c>
      <c r="C12" s="25">
        <v>4.2332999999999998</v>
      </c>
    </row>
    <row r="13" spans="1:11" ht="15" customHeight="1">
      <c r="B13" s="10" t="s">
        <v>153</v>
      </c>
      <c r="C13" s="25">
        <v>9.5890000000000004</v>
      </c>
    </row>
    <row r="14" spans="1:11" ht="15" customHeight="1">
      <c r="B14" s="10" t="s">
        <v>154</v>
      </c>
      <c r="C14" s="25">
        <v>0</v>
      </c>
    </row>
    <row r="15" spans="1:11" ht="15" customHeight="1">
      <c r="B15" s="10" t="s">
        <v>155</v>
      </c>
      <c r="C15" s="25">
        <v>5.9583000000000004</v>
      </c>
    </row>
    <row r="16" spans="1:11" ht="18.75" customHeight="1">
      <c r="B16" s="10" t="s">
        <v>156</v>
      </c>
      <c r="C16" s="25">
        <v>70.898499999999999</v>
      </c>
      <c r="J16" s="19" t="s">
        <v>157</v>
      </c>
    </row>
    <row r="17" spans="1:10" ht="15" customHeight="1">
      <c r="B17" s="10" t="s">
        <v>158</v>
      </c>
      <c r="C17" s="25">
        <v>6.8167</v>
      </c>
    </row>
    <row r="18" spans="1:10" ht="15" customHeight="1">
      <c r="B18" s="10" t="s">
        <v>159</v>
      </c>
      <c r="C18" s="25">
        <v>1</v>
      </c>
    </row>
    <row r="19" spans="1:10" ht="15" customHeight="1">
      <c r="B19" s="10" t="s">
        <v>160</v>
      </c>
      <c r="C19" s="25">
        <v>0</v>
      </c>
    </row>
    <row r="20" spans="1:10" ht="15" customHeight="1">
      <c r="B20" s="10" t="s">
        <v>161</v>
      </c>
      <c r="C20" s="25">
        <v>0.77500000000000002</v>
      </c>
    </row>
    <row r="21" spans="1:10" ht="15" customHeight="1">
      <c r="B21" s="9" t="s">
        <v>162</v>
      </c>
      <c r="C21" s="25">
        <v>114.8276</v>
      </c>
    </row>
    <row r="22" spans="1:10" ht="15" customHeight="1">
      <c r="B22" s="9" t="s">
        <v>163</v>
      </c>
      <c r="C22" s="25">
        <v>60.786799999999999</v>
      </c>
    </row>
    <row r="23" spans="1:10" ht="15" customHeight="1">
      <c r="B23" s="22" t="s">
        <v>164</v>
      </c>
      <c r="C23" s="26">
        <f>C8/(C8+C9+C10)</f>
        <v>0.70285465171274986</v>
      </c>
    </row>
    <row r="24" spans="1:10" ht="27.75" customHeight="1">
      <c r="B24" s="22" t="s">
        <v>165</v>
      </c>
      <c r="C24" s="26">
        <f>(C12+C13+C10)/C7</f>
        <v>0.2999675093667617</v>
      </c>
      <c r="J24" s="19" t="s">
        <v>166</v>
      </c>
    </row>
    <row r="26" spans="1:10" ht="15" customHeight="1">
      <c r="A26" s="6" t="s">
        <v>167</v>
      </c>
      <c r="B26" s="6"/>
      <c r="C26" s="6"/>
      <c r="D26" s="6"/>
      <c r="E26" s="6"/>
      <c r="F26" s="6"/>
      <c r="G26" s="6"/>
      <c r="H26" s="6"/>
      <c r="I26" s="6"/>
      <c r="J26" s="6"/>
    </row>
    <row r="27" spans="1:10" ht="15" customHeight="1">
      <c r="B27" s="11" t="s">
        <v>168</v>
      </c>
      <c r="C27" s="11" t="s">
        <v>169</v>
      </c>
      <c r="D27" s="11" t="s">
        <v>170</v>
      </c>
      <c r="E27" s="11" t="s">
        <v>171</v>
      </c>
      <c r="F27" s="11" t="s">
        <v>172</v>
      </c>
      <c r="G27" s="11" t="s">
        <v>173</v>
      </c>
      <c r="H27" s="11" t="s">
        <v>174</v>
      </c>
    </row>
    <row r="28" spans="1:10" ht="23.25" customHeight="1">
      <c r="B28" s="18" t="s">
        <v>175</v>
      </c>
      <c r="C28" s="10" t="s">
        <v>176</v>
      </c>
      <c r="D28" s="27">
        <v>3</v>
      </c>
      <c r="E28" s="25">
        <v>95.4786</v>
      </c>
      <c r="F28" s="20">
        <f>E28/$E$33</f>
        <v>0.78535765224958742</v>
      </c>
      <c r="G28" s="28">
        <v>0.48249999999999998</v>
      </c>
      <c r="H28" s="28">
        <v>0.78</v>
      </c>
    </row>
    <row r="29" spans="1:10" ht="15" customHeight="1">
      <c r="B29" s="18" t="s">
        <v>177</v>
      </c>
      <c r="C29" s="10" t="s">
        <v>178</v>
      </c>
      <c r="D29" s="27">
        <v>1</v>
      </c>
      <c r="E29" s="25">
        <v>22.028300000000002</v>
      </c>
      <c r="F29" s="20">
        <f>E29/$E$33</f>
        <v>0.18119341895513327</v>
      </c>
      <c r="G29" s="28">
        <v>0.30399999999999999</v>
      </c>
      <c r="H29" s="28">
        <v>0.12</v>
      </c>
    </row>
    <row r="30" spans="1:10" ht="15" customHeight="1">
      <c r="B30" s="18" t="s">
        <v>179</v>
      </c>
      <c r="C30" s="10" t="s">
        <v>180</v>
      </c>
      <c r="D30" s="27">
        <v>2</v>
      </c>
      <c r="E30" s="25">
        <v>4.0664999999999996</v>
      </c>
      <c r="F30" s="20">
        <f>E30/$E$33</f>
        <v>3.3448928795279227E-2</v>
      </c>
      <c r="G30" s="28">
        <v>0.39</v>
      </c>
      <c r="H30" s="28">
        <v>0.55000000000000004</v>
      </c>
    </row>
    <row r="33" spans="1:10" ht="15" customHeight="1">
      <c r="C33" s="22" t="s">
        <v>181</v>
      </c>
      <c r="D33" s="29">
        <f>SUM(D28:D32)</f>
        <v>6</v>
      </c>
      <c r="E33" s="30">
        <f>SUM(E28:E32)</f>
        <v>121.57340000000001</v>
      </c>
      <c r="F33" s="26">
        <f>SUM(F28:F32)</f>
        <v>1</v>
      </c>
    </row>
    <row r="34" spans="1:10" ht="36.75" customHeight="1">
      <c r="B34" s="22" t="s">
        <v>182</v>
      </c>
      <c r="C34" s="26">
        <f>SUMPRODUCT($E$28:$E$32,$G$28:$G$32)/$E$33</f>
        <v>0.44706294880294534</v>
      </c>
      <c r="J34" s="19" t="s">
        <v>183</v>
      </c>
    </row>
    <row r="35" spans="1:10" ht="18.75" customHeight="1">
      <c r="B35" s="22" t="s">
        <v>184</v>
      </c>
      <c r="C35" s="26">
        <f>SUMPRODUCT($E$28:$E$32,$H$28:$H$32)/$E$33</f>
        <v>0.6527190898666978</v>
      </c>
      <c r="J35" s="19" t="s">
        <v>185</v>
      </c>
    </row>
    <row r="37" spans="1:10" ht="15" customHeight="1">
      <c r="A37" s="6" t="s">
        <v>186</v>
      </c>
      <c r="B37" s="6"/>
      <c r="C37" s="6"/>
      <c r="D37" s="6"/>
      <c r="E37" s="6"/>
      <c r="F37" s="6"/>
      <c r="G37" s="6"/>
      <c r="H37" s="6"/>
      <c r="I37" s="6"/>
      <c r="J37" s="6"/>
    </row>
    <row r="38" spans="1:10" ht="15" customHeight="1">
      <c r="B38" s="11" t="s">
        <v>187</v>
      </c>
      <c r="C38" s="11" t="s">
        <v>188</v>
      </c>
      <c r="D38" s="11" t="s">
        <v>189</v>
      </c>
      <c r="E38" s="11" t="s">
        <v>190</v>
      </c>
      <c r="F38" s="11" t="s">
        <v>191</v>
      </c>
      <c r="G38" s="11" t="s">
        <v>192</v>
      </c>
      <c r="H38" s="11" t="s">
        <v>193</v>
      </c>
    </row>
    <row r="39" spans="1:10" ht="15" customHeight="1">
      <c r="B39" s="9" t="s">
        <v>194</v>
      </c>
      <c r="C39" s="31">
        <v>0.25</v>
      </c>
      <c r="D39" s="31">
        <v>0.55000000000000004</v>
      </c>
      <c r="E39" s="31">
        <v>0.75</v>
      </c>
      <c r="F39" s="31">
        <v>0.85</v>
      </c>
      <c r="G39" s="31">
        <v>0.9</v>
      </c>
      <c r="J39" s="19" t="s">
        <v>195</v>
      </c>
    </row>
    <row r="40" spans="1:10" ht="15" customHeight="1">
      <c r="B40" s="9" t="s">
        <v>196</v>
      </c>
      <c r="C40" s="31">
        <v>0.02</v>
      </c>
      <c r="D40" s="31">
        <v>0.05</v>
      </c>
      <c r="E40" s="31">
        <v>7.0000000000000007E-2</v>
      </c>
      <c r="F40" s="31">
        <v>0.09</v>
      </c>
      <c r="G40" s="31">
        <v>0.11</v>
      </c>
      <c r="J40" s="19" t="s">
        <v>197</v>
      </c>
    </row>
    <row r="41" spans="1:10" ht="18.75" customHeight="1">
      <c r="B41" s="9" t="s">
        <v>198</v>
      </c>
      <c r="C41" s="31">
        <v>0.03</v>
      </c>
      <c r="D41" s="31">
        <v>0.06</v>
      </c>
      <c r="E41" s="31">
        <v>0.08</v>
      </c>
      <c r="F41" s="31">
        <v>0.1</v>
      </c>
      <c r="G41" s="31">
        <v>0.12</v>
      </c>
      <c r="J41" s="19" t="s">
        <v>199</v>
      </c>
    </row>
    <row r="42" spans="1:10" ht="23.25" customHeight="1">
      <c r="B42" s="10" t="s">
        <v>200</v>
      </c>
      <c r="C42" s="20">
        <f>'Delivery Mode'!C20</f>
        <v>0.39477447369243601</v>
      </c>
      <c r="D42" s="20">
        <f>'Delivery Mode'!D20</f>
        <v>0.85606843273281819</v>
      </c>
      <c r="E42" s="20">
        <f>'Delivery Mode'!E20</f>
        <v>1</v>
      </c>
      <c r="F42" s="20">
        <f>'Delivery Mode'!F20</f>
        <v>1</v>
      </c>
      <c r="G42" s="20">
        <f>'Delivery Mode'!G20</f>
        <v>1</v>
      </c>
    </row>
    <row r="43" spans="1:10" ht="27.75" customHeight="1">
      <c r="B43" s="9" t="s">
        <v>201</v>
      </c>
      <c r="C43" s="20">
        <f>C41*C42*C61</f>
        <v>1.1843234210773081E-2</v>
      </c>
      <c r="D43" s="20">
        <f>D41*D42*D61</f>
        <v>5.1364105963969092E-2</v>
      </c>
      <c r="E43" s="20">
        <f>E41*E42*E61</f>
        <v>0.08</v>
      </c>
      <c r="F43" s="20">
        <f>F41*F42*F61</f>
        <v>0.1</v>
      </c>
      <c r="G43" s="20">
        <f>G41*G42*G61</f>
        <v>0.12</v>
      </c>
      <c r="J43" s="19" t="s">
        <v>202</v>
      </c>
    </row>
    <row r="44" spans="1:10" ht="15" customHeight="1">
      <c r="B44" s="10" t="s">
        <v>203</v>
      </c>
      <c r="C44" s="20">
        <f>$C$34*C39</f>
        <v>0.11176573720073633</v>
      </c>
      <c r="D44" s="20">
        <f>$C$34*D39</f>
        <v>0.24588462184161997</v>
      </c>
      <c r="E44" s="20">
        <f>$C$34*E39</f>
        <v>0.33529721160220899</v>
      </c>
      <c r="F44" s="20">
        <f>$C$34*F39</f>
        <v>0.38000350648250353</v>
      </c>
      <c r="G44" s="20">
        <f>$C$34*G39</f>
        <v>0.4023566539226508</v>
      </c>
    </row>
    <row r="45" spans="1:10" ht="15" customHeight="1">
      <c r="B45" s="22" t="s">
        <v>204</v>
      </c>
      <c r="C45" s="26">
        <f>1-(1-C44)*(1-C40)*(1-C43)</f>
        <v>0.13983959753691932</v>
      </c>
      <c r="D45" s="26">
        <f>1-(1-D44)*(1-D40)*(1-D43)</f>
        <v>0.32038812983268539</v>
      </c>
      <c r="E45" s="26">
        <f>1-(1-E44)*(1-E40)*(1-E43)</f>
        <v>0.43128029424684999</v>
      </c>
      <c r="F45" s="26">
        <f>1-(1-F44)*(1-F40)*(1-F43)</f>
        <v>0.49222287180917046</v>
      </c>
      <c r="G45" s="26">
        <f>1-(1-G44)*(1-G40)*(1-G43)</f>
        <v>0.5319257313522201</v>
      </c>
    </row>
    <row r="47" spans="1:10" ht="15" customHeight="1">
      <c r="A47" s="6" t="s">
        <v>205</v>
      </c>
      <c r="B47" s="6"/>
      <c r="C47" s="6"/>
      <c r="D47" s="6"/>
      <c r="E47" s="6"/>
      <c r="F47" s="6"/>
      <c r="G47" s="6"/>
      <c r="H47" s="6"/>
      <c r="I47" s="6"/>
      <c r="J47" s="6"/>
    </row>
    <row r="48" spans="1:10" ht="15" customHeight="1">
      <c r="B48" s="32" t="s">
        <v>206</v>
      </c>
      <c r="C48" s="33">
        <v>0.5</v>
      </c>
    </row>
    <row r="49" spans="1:10" ht="15" customHeight="1">
      <c r="B49" s="11"/>
      <c r="C49" s="11" t="s">
        <v>188</v>
      </c>
      <c r="D49" s="11" t="s">
        <v>189</v>
      </c>
      <c r="E49" s="11" t="s">
        <v>190</v>
      </c>
      <c r="F49" s="11" t="s">
        <v>191</v>
      </c>
      <c r="G49" s="11" t="s">
        <v>192</v>
      </c>
    </row>
    <row r="50" spans="1:10" ht="15" customHeight="1">
      <c r="B50" s="10" t="s">
        <v>207</v>
      </c>
      <c r="C50" s="20">
        <f>0</f>
        <v>0</v>
      </c>
      <c r="D50" s="20">
        <f>C45</f>
        <v>0.13983959753691932</v>
      </c>
      <c r="E50" s="20">
        <f>D45</f>
        <v>0.32038812983268539</v>
      </c>
      <c r="F50" s="20">
        <f>E45</f>
        <v>0.43128029424684999</v>
      </c>
      <c r="G50" s="20">
        <f>F45</f>
        <v>0.49222287180917046</v>
      </c>
    </row>
    <row r="51" spans="1:10" ht="15" customHeight="1">
      <c r="B51" s="10" t="s">
        <v>208</v>
      </c>
      <c r="C51" s="20">
        <f>0</f>
        <v>0</v>
      </c>
      <c r="D51" s="20">
        <f>$C$48*(D45-C45)</f>
        <v>9.0274266147883031E-2</v>
      </c>
      <c r="E51" s="20">
        <f>$C$48*(E45-D45)</f>
        <v>5.5446082207082303E-2</v>
      </c>
      <c r="F51" s="20">
        <f>$C$48*(F45-E45)</f>
        <v>3.0471288781160233E-2</v>
      </c>
      <c r="G51" s="20">
        <f>$C$48*(G45-F45)</f>
        <v>1.985142977152482E-2</v>
      </c>
    </row>
    <row r="52" spans="1:10" ht="15" customHeight="1">
      <c r="B52" s="22" t="s">
        <v>209</v>
      </c>
      <c r="C52" s="26">
        <f>C50+C51</f>
        <v>0</v>
      </c>
      <c r="D52" s="26">
        <f>D50+D51</f>
        <v>0.23011386368480236</v>
      </c>
      <c r="E52" s="26">
        <f>E50+E51</f>
        <v>0.37583421203976769</v>
      </c>
      <c r="F52" s="26">
        <f>F50+F51</f>
        <v>0.46175158302801023</v>
      </c>
      <c r="G52" s="26">
        <f>G50+G51</f>
        <v>0.51207430158069522</v>
      </c>
    </row>
    <row r="53" spans="1:10" ht="15" customHeight="1">
      <c r="B53" s="9" t="s">
        <v>210</v>
      </c>
      <c r="C53" s="16">
        <f>$C$7*(1-C52)</f>
        <v>121.5735</v>
      </c>
      <c r="D53" s="16">
        <f>$C$7*(1-D52)</f>
        <v>93.597752193315671</v>
      </c>
      <c r="E53" s="16">
        <f>$C$7*(1-E52)</f>
        <v>75.882019422583298</v>
      </c>
      <c r="F53" s="16">
        <f>$C$7*(1-F52)</f>
        <v>65.436743920744192</v>
      </c>
      <c r="G53" s="16">
        <f>$C$7*(1-G52)</f>
        <v>59.31883489677935</v>
      </c>
    </row>
    <row r="54" spans="1:10" ht="23.25" customHeight="1">
      <c r="B54" s="32" t="s">
        <v>211</v>
      </c>
      <c r="E54" s="34">
        <f>$C$7*(1-E45)</f>
        <v>69.141245147380573</v>
      </c>
    </row>
    <row r="56" spans="1:10" ht="15" customHeight="1">
      <c r="A56" s="6" t="s">
        <v>212</v>
      </c>
      <c r="B56" s="6"/>
      <c r="C56" s="6"/>
      <c r="D56" s="6"/>
      <c r="E56" s="6"/>
      <c r="F56" s="6"/>
      <c r="G56" s="6"/>
      <c r="H56" s="6"/>
      <c r="I56" s="6"/>
      <c r="J56" s="6"/>
    </row>
    <row r="57" spans="1:10" ht="30" customHeight="1">
      <c r="B57" s="4" t="s">
        <v>213</v>
      </c>
      <c r="C57" s="4"/>
      <c r="D57" s="4"/>
      <c r="E57" s="4"/>
      <c r="F57" s="4"/>
      <c r="G57" s="4"/>
      <c r="H57" s="4"/>
      <c r="I57" s="4"/>
      <c r="J57" s="4"/>
    </row>
    <row r="58" spans="1:10" ht="15" customHeight="1">
      <c r="B58" s="11" t="s">
        <v>214</v>
      </c>
      <c r="C58" s="11" t="s">
        <v>188</v>
      </c>
      <c r="D58" s="11" t="s">
        <v>189</v>
      </c>
      <c r="E58" s="11" t="s">
        <v>190</v>
      </c>
      <c r="F58" s="11" t="s">
        <v>191</v>
      </c>
      <c r="G58" s="11" t="s">
        <v>192</v>
      </c>
      <c r="H58" s="11" t="s">
        <v>193</v>
      </c>
    </row>
    <row r="59" spans="1:10" ht="15" customHeight="1">
      <c r="B59" s="9" t="s">
        <v>215</v>
      </c>
      <c r="C59" s="16">
        <f>'Team Build-Up'!C46</f>
        <v>0</v>
      </c>
      <c r="D59" s="16">
        <f>'Team Build-Up'!D46</f>
        <v>0</v>
      </c>
      <c r="E59" s="16">
        <f>'Team Build-Up'!E46</f>
        <v>0</v>
      </c>
      <c r="F59" s="16">
        <f>'Team Build-Up'!F46</f>
        <v>0</v>
      </c>
      <c r="G59" s="16">
        <f>'Team Build-Up'!G46</f>
        <v>0</v>
      </c>
    </row>
    <row r="60" spans="1:10" ht="27.75" customHeight="1">
      <c r="B60" s="22" t="s">
        <v>216</v>
      </c>
      <c r="C60" s="26">
        <f>IF('Team Build-Up'!C9=0,0,C59/'Team Build-Up'!C9)</f>
        <v>0</v>
      </c>
      <c r="D60" s="26">
        <f>IF('Team Build-Up'!D9=0,0,D59/'Team Build-Up'!D9)</f>
        <v>0</v>
      </c>
      <c r="E60" s="26">
        <f>IF('Team Build-Up'!E9=0,0,E59/'Team Build-Up'!E9)</f>
        <v>0</v>
      </c>
      <c r="F60" s="26">
        <f>IF('Team Build-Up'!F9=0,0,F59/'Team Build-Up'!F9)</f>
        <v>0</v>
      </c>
      <c r="G60" s="26">
        <f>IF('Team Build-Up'!G9=0,0,G59/'Team Build-Up'!G9)</f>
        <v>0</v>
      </c>
      <c r="J60" s="19" t="s">
        <v>217</v>
      </c>
    </row>
    <row r="61" spans="1:10" ht="15" customHeight="1">
      <c r="B61" s="10" t="s">
        <v>218</v>
      </c>
      <c r="C61" s="20">
        <f>1-$C$62*C60</f>
        <v>1</v>
      </c>
      <c r="D61" s="20">
        <f>1-$C$62*D60</f>
        <v>1</v>
      </c>
      <c r="E61" s="20">
        <f>1-$C$62*E60</f>
        <v>1</v>
      </c>
      <c r="F61" s="20">
        <f>1-$C$62*F60</f>
        <v>1</v>
      </c>
      <c r="G61" s="20">
        <f>1-$C$62*G60</f>
        <v>1</v>
      </c>
    </row>
    <row r="62" spans="1:10" ht="45.75" customHeight="1">
      <c r="B62" s="32" t="s">
        <v>219</v>
      </c>
      <c r="C62" s="33">
        <v>0.6</v>
      </c>
      <c r="J62" s="19" t="s">
        <v>220</v>
      </c>
    </row>
    <row r="64" spans="1:10" ht="15" customHeight="1">
      <c r="A64" s="6" t="s">
        <v>221</v>
      </c>
      <c r="B64" s="6"/>
      <c r="C64" s="6"/>
      <c r="D64" s="6"/>
      <c r="E64" s="6"/>
      <c r="F64" s="6"/>
      <c r="G64" s="6"/>
      <c r="H64" s="6"/>
      <c r="I64" s="6"/>
      <c r="J64" s="6"/>
    </row>
    <row r="65" spans="1:10" ht="18.75" customHeight="1">
      <c r="B65" s="4" t="s">
        <v>222</v>
      </c>
      <c r="C65" s="4"/>
      <c r="D65" s="4"/>
      <c r="E65" s="4"/>
      <c r="F65" s="4"/>
      <c r="G65" s="4"/>
      <c r="H65" s="4"/>
      <c r="I65" s="4"/>
      <c r="J65" s="4"/>
    </row>
    <row r="66" spans="1:10" ht="15" customHeight="1">
      <c r="B66" s="11" t="s">
        <v>187</v>
      </c>
      <c r="C66" s="11" t="s">
        <v>188</v>
      </c>
      <c r="D66" s="11" t="s">
        <v>189</v>
      </c>
      <c r="E66" s="11" t="s">
        <v>190</v>
      </c>
      <c r="F66" s="11" t="s">
        <v>191</v>
      </c>
      <c r="G66" s="11" t="s">
        <v>192</v>
      </c>
      <c r="H66" s="11" t="s">
        <v>193</v>
      </c>
    </row>
    <row r="67" spans="1:10" ht="18.75" customHeight="1">
      <c r="B67" s="9" t="s">
        <v>223</v>
      </c>
      <c r="C67" s="31">
        <v>0.04</v>
      </c>
      <c r="D67" s="31">
        <v>0.3</v>
      </c>
      <c r="E67" s="31">
        <v>0.55000000000000004</v>
      </c>
      <c r="F67" s="31">
        <v>0.72</v>
      </c>
      <c r="G67" s="31">
        <v>0.84</v>
      </c>
      <c r="J67" s="19" t="s">
        <v>224</v>
      </c>
    </row>
    <row r="68" spans="1:10" ht="15" customHeight="1">
      <c r="B68" s="22" t="s">
        <v>225</v>
      </c>
      <c r="C68" s="26">
        <f>$C$24+($C$35-$C$24)*C67</f>
        <v>0.31407757258675917</v>
      </c>
      <c r="D68" s="26">
        <f>$C$24+($C$35-$C$24)*D67</f>
        <v>0.40579298351674253</v>
      </c>
      <c r="E68" s="26">
        <f>$C$24+($C$35-$C$24)*E67</f>
        <v>0.49398087864172657</v>
      </c>
      <c r="F68" s="26">
        <f>$C$24+($C$35-$C$24)*F67</f>
        <v>0.55394864732671567</v>
      </c>
      <c r="G68" s="26">
        <f>$C$24+($C$35-$C$24)*G67</f>
        <v>0.59627883698670803</v>
      </c>
    </row>
    <row r="69" spans="1:10" ht="15" customHeight="1">
      <c r="B69" s="10" t="s">
        <v>226</v>
      </c>
      <c r="C69" s="20">
        <f>'Team Build-Up'!C54</f>
        <v>0.30041152263374488</v>
      </c>
      <c r="D69" s="20">
        <f>'Team Build-Up'!D54</f>
        <v>0.40641711229946492</v>
      </c>
      <c r="E69" s="20">
        <f>'Team Build-Up'!E54</f>
        <v>0.49342105263157893</v>
      </c>
      <c r="F69" s="20">
        <f>'Team Build-Up'!F54</f>
        <v>0.55725190839694638</v>
      </c>
      <c r="G69" s="20">
        <f>'Team Build-Up'!G54</f>
        <v>0.60504201680672265</v>
      </c>
    </row>
    <row r="70" spans="1:10" ht="15" customHeight="1">
      <c r="B70" s="10" t="s">
        <v>227</v>
      </c>
      <c r="C70" s="20">
        <f>'Team Build-Up'!C55</f>
        <v>0.1647058823529412</v>
      </c>
      <c r="D70" s="20">
        <f>'Team Build-Up'!D55</f>
        <v>0.31249999999999989</v>
      </c>
      <c r="E70" s="20">
        <f>'Team Build-Up'!E55</f>
        <v>0.44117647058823517</v>
      </c>
      <c r="F70" s="20">
        <f>'Team Build-Up'!F55</f>
        <v>0.59420289855072428</v>
      </c>
      <c r="G70" s="20">
        <f>'Team Build-Up'!G55</f>
        <v>0.68333333333333335</v>
      </c>
    </row>
    <row r="71" spans="1:10" ht="54.75" customHeight="1">
      <c r="B71" s="22" t="s">
        <v>228</v>
      </c>
      <c r="C71" s="26">
        <f>'Team Build-Up'!C56</f>
        <v>0.1647058823529412</v>
      </c>
      <c r="D71" s="26">
        <f>'Team Build-Up'!D56</f>
        <v>0.31249999999999989</v>
      </c>
      <c r="E71" s="26">
        <f>'Team Build-Up'!E56</f>
        <v>0.44117647058823517</v>
      </c>
      <c r="F71" s="26">
        <f>'Team Build-Up'!F56</f>
        <v>0.59420289855072428</v>
      </c>
      <c r="G71" s="26">
        <f>'Team Build-Up'!G56</f>
        <v>0.68333333333333335</v>
      </c>
      <c r="J71" s="19" t="s">
        <v>229</v>
      </c>
    </row>
    <row r="73" spans="1:10" ht="15" customHeight="1">
      <c r="A73" s="6" t="s">
        <v>230</v>
      </c>
      <c r="B73" s="6"/>
      <c r="C73" s="6"/>
      <c r="D73" s="6"/>
      <c r="E73" s="6"/>
      <c r="F73" s="6"/>
      <c r="G73" s="6"/>
      <c r="H73" s="6"/>
      <c r="I73" s="6"/>
      <c r="J73" s="6"/>
    </row>
    <row r="74" spans="1:10" ht="15" customHeight="1">
      <c r="B74" s="11" t="s">
        <v>231</v>
      </c>
      <c r="C74" s="11" t="s">
        <v>188</v>
      </c>
      <c r="D74" s="11" t="s">
        <v>189</v>
      </c>
      <c r="E74" s="11" t="s">
        <v>190</v>
      </c>
      <c r="F74" s="11" t="s">
        <v>191</v>
      </c>
      <c r="G74" s="11" t="s">
        <v>192</v>
      </c>
    </row>
    <row r="75" spans="1:10" ht="45.75" customHeight="1">
      <c r="B75" s="10" t="s">
        <v>232</v>
      </c>
      <c r="C75" s="24">
        <v>0</v>
      </c>
      <c r="D75" s="24">
        <v>0</v>
      </c>
      <c r="E75" s="24">
        <v>0</v>
      </c>
      <c r="F75" s="24">
        <v>0</v>
      </c>
      <c r="G75" s="24">
        <v>0</v>
      </c>
      <c r="J75" s="19" t="s">
        <v>233</v>
      </c>
    </row>
    <row r="76" spans="1:10" ht="15" customHeight="1">
      <c r="B76" s="10" t="s">
        <v>234</v>
      </c>
      <c r="C76" s="24">
        <v>0</v>
      </c>
      <c r="D76" s="24">
        <v>0</v>
      </c>
      <c r="E76" s="24">
        <v>0</v>
      </c>
      <c r="F76" s="24">
        <v>0</v>
      </c>
      <c r="G76" s="24">
        <v>0</v>
      </c>
    </row>
    <row r="77" spans="1:10" ht="45.75" customHeight="1">
      <c r="B77" s="22" t="s">
        <v>235</v>
      </c>
      <c r="C77" s="29">
        <f>SUM($C$75:C76)</f>
        <v>0</v>
      </c>
      <c r="D77" s="29">
        <f>SUM($C$75:D76)</f>
        <v>0</v>
      </c>
      <c r="E77" s="29">
        <f>SUM($C$75:E76)</f>
        <v>0</v>
      </c>
      <c r="F77" s="29">
        <f>SUM($C$75:F76)</f>
        <v>0</v>
      </c>
      <c r="G77" s="29">
        <f>SUM($C$75:G76)</f>
        <v>0</v>
      </c>
      <c r="J77" s="19" t="s">
        <v>236</v>
      </c>
    </row>
    <row r="79" spans="1:10" ht="15" customHeight="1">
      <c r="A79" s="6" t="s">
        <v>237</v>
      </c>
      <c r="B79" s="6"/>
      <c r="C79" s="6"/>
      <c r="D79" s="6"/>
      <c r="E79" s="6"/>
      <c r="F79" s="6"/>
      <c r="G79" s="6"/>
      <c r="H79" s="6"/>
      <c r="I79" s="6"/>
      <c r="J79" s="6"/>
    </row>
    <row r="80" spans="1:10" ht="15" customHeight="1">
      <c r="B80" s="11" t="s">
        <v>238</v>
      </c>
      <c r="C80" s="11" t="s">
        <v>239</v>
      </c>
      <c r="D80" s="11" t="s">
        <v>240</v>
      </c>
      <c r="E80" s="11" t="s">
        <v>241</v>
      </c>
      <c r="F80" s="11" t="s">
        <v>242</v>
      </c>
      <c r="G80" s="11" t="s">
        <v>243</v>
      </c>
    </row>
    <row r="81" spans="2:14" ht="15" customHeight="1">
      <c r="B81" s="9" t="s">
        <v>244</v>
      </c>
      <c r="C81" s="35">
        <v>0.72</v>
      </c>
      <c r="D81" s="35">
        <v>1</v>
      </c>
      <c r="E81" s="35">
        <v>1.35</v>
      </c>
      <c r="F81" s="35">
        <v>1.85</v>
      </c>
      <c r="G81" s="35">
        <v>2.5499999999999998</v>
      </c>
    </row>
    <row r="82" spans="2:14" ht="15" customHeight="1">
      <c r="B82" s="9" t="s">
        <v>245</v>
      </c>
      <c r="C82" s="35">
        <v>0.22</v>
      </c>
      <c r="D82" s="35">
        <v>0.3</v>
      </c>
      <c r="E82" s="35">
        <v>0.42</v>
      </c>
      <c r="F82" s="35">
        <v>0.6</v>
      </c>
      <c r="G82" s="35">
        <v>0.85</v>
      </c>
    </row>
    <row r="83" spans="2:14" ht="15" customHeight="1">
      <c r="B83" s="9" t="s">
        <v>246</v>
      </c>
      <c r="C83" s="35">
        <v>0.45</v>
      </c>
      <c r="D83" s="35">
        <v>0.62</v>
      </c>
      <c r="E83" s="35">
        <v>0.84</v>
      </c>
      <c r="F83" s="35">
        <v>1.1499999999999999</v>
      </c>
      <c r="G83" s="35">
        <v>1.58</v>
      </c>
    </row>
    <row r="84" spans="2:14" ht="18.75" customHeight="1">
      <c r="B84" s="4" t="s">
        <v>247</v>
      </c>
      <c r="C84" s="4"/>
      <c r="D84" s="4"/>
      <c r="E84" s="4"/>
      <c r="F84" s="4"/>
      <c r="G84" s="4"/>
      <c r="H84" s="4"/>
      <c r="I84" s="13" t="s">
        <v>248</v>
      </c>
      <c r="J84" s="36" t="s">
        <v>239</v>
      </c>
      <c r="K84" s="36" t="s">
        <v>240</v>
      </c>
      <c r="L84" s="36" t="s">
        <v>241</v>
      </c>
      <c r="M84" s="36" t="s">
        <v>242</v>
      </c>
      <c r="N84" s="36" t="s">
        <v>243</v>
      </c>
    </row>
    <row r="85" spans="2:14" ht="15" customHeight="1">
      <c r="I85" s="36" t="s">
        <v>249</v>
      </c>
      <c r="J85" s="37">
        <v>0.72</v>
      </c>
      <c r="K85" s="37">
        <v>1</v>
      </c>
      <c r="L85" s="37">
        <v>1.35</v>
      </c>
      <c r="M85" s="37">
        <v>1.85</v>
      </c>
      <c r="N85" s="37">
        <v>2.5499999999999998</v>
      </c>
    </row>
    <row r="86" spans="2:14" ht="18.75" customHeight="1">
      <c r="I86" s="36" t="s">
        <v>250</v>
      </c>
      <c r="J86" s="37">
        <v>0.22</v>
      </c>
      <c r="K86" s="37">
        <v>0.3</v>
      </c>
      <c r="L86" s="37">
        <v>0.42</v>
      </c>
      <c r="M86" s="37">
        <v>0.6</v>
      </c>
      <c r="N86" s="37">
        <v>0.85</v>
      </c>
    </row>
    <row r="87" spans="2:14" ht="18.75" customHeight="1">
      <c r="I87" s="36" t="s">
        <v>251</v>
      </c>
      <c r="J87" s="37">
        <v>0.45</v>
      </c>
      <c r="K87" s="37">
        <v>0.62</v>
      </c>
      <c r="L87" s="37">
        <v>0.84</v>
      </c>
      <c r="M87" s="37">
        <v>1.1499999999999999</v>
      </c>
      <c r="N87" s="37">
        <v>1.58</v>
      </c>
    </row>
    <row r="88" spans="2:14" ht="189" customHeight="1">
      <c r="I88" s="19" t="s">
        <v>252</v>
      </c>
    </row>
  </sheetData>
  <mergeCells count="13">
    <mergeCell ref="A73:J73"/>
    <mergeCell ref="A79:J79"/>
    <mergeCell ref="B84:H84"/>
    <mergeCell ref="A47:J47"/>
    <mergeCell ref="A56:J56"/>
    <mergeCell ref="B57:J57"/>
    <mergeCell ref="A64:J64"/>
    <mergeCell ref="B65:J65"/>
    <mergeCell ref="A1:K1"/>
    <mergeCell ref="A2:K2"/>
    <mergeCell ref="A4:J4"/>
    <mergeCell ref="A26:J26"/>
    <mergeCell ref="A37:J3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4"/>
  <sheetViews>
    <sheetView topLeftCell="A15" zoomScaleNormal="100" workbookViewId="0">
      <selection activeCell="I8" sqref="I8"/>
    </sheetView>
  </sheetViews>
  <sheetFormatPr defaultColWidth="8.6328125" defaultRowHeight="14.5"/>
  <cols>
    <col min="1" max="1" width="2.453125" customWidth="1"/>
    <col min="2" max="2" width="40" customWidth="1"/>
    <col min="3" max="7" width="12" customWidth="1"/>
    <col min="8" max="8" width="3" customWidth="1"/>
    <col min="9" max="9" width="56" customWidth="1"/>
  </cols>
  <sheetData>
    <row r="1" spans="1:11" ht="25.5" customHeight="1">
      <c r="A1" s="8" t="s">
        <v>253</v>
      </c>
      <c r="B1" s="8"/>
      <c r="C1" s="8"/>
      <c r="D1" s="8"/>
      <c r="E1" s="8"/>
      <c r="F1" s="8"/>
      <c r="G1" s="8"/>
      <c r="H1" s="8"/>
      <c r="I1" s="8"/>
      <c r="J1" s="8"/>
      <c r="K1" s="8"/>
    </row>
    <row r="2" spans="1:11" ht="15" customHeight="1">
      <c r="A2" s="7" t="s">
        <v>254</v>
      </c>
      <c r="B2" s="7"/>
      <c r="C2" s="7"/>
      <c r="D2" s="7"/>
      <c r="E2" s="7"/>
      <c r="F2" s="7"/>
      <c r="G2" s="7"/>
      <c r="H2" s="7"/>
      <c r="I2" s="7"/>
      <c r="J2" s="7"/>
      <c r="K2" s="7"/>
    </row>
    <row r="4" spans="1:11" ht="15" customHeight="1">
      <c r="A4" s="6" t="s">
        <v>255</v>
      </c>
      <c r="B4" s="6"/>
      <c r="C4" s="6"/>
      <c r="D4" s="6"/>
      <c r="E4" s="6"/>
      <c r="F4" s="6"/>
      <c r="G4" s="6"/>
    </row>
    <row r="5" spans="1:11" ht="15" customHeight="1">
      <c r="B5" s="11" t="s">
        <v>256</v>
      </c>
      <c r="C5" s="11" t="s">
        <v>257</v>
      </c>
      <c r="D5" s="11" t="s">
        <v>258</v>
      </c>
      <c r="E5" s="11" t="s">
        <v>259</v>
      </c>
      <c r="F5" s="11" t="s">
        <v>260</v>
      </c>
      <c r="G5" s="11" t="s">
        <v>261</v>
      </c>
    </row>
    <row r="6" spans="1:11" ht="27.75" customHeight="1">
      <c r="B6" s="9" t="s">
        <v>262</v>
      </c>
      <c r="C6" s="16">
        <v>57.701999999999998</v>
      </c>
      <c r="D6" s="38">
        <v>9.3410973623097998E-2</v>
      </c>
      <c r="E6" s="38">
        <v>0.643807840282832</v>
      </c>
      <c r="F6" s="38">
        <v>8.9390315760285596E-2</v>
      </c>
      <c r="G6" s="38">
        <v>9.8280822155211195E-2</v>
      </c>
      <c r="I6" s="19" t="s">
        <v>263</v>
      </c>
    </row>
    <row r="7" spans="1:11" ht="15" customHeight="1">
      <c r="B7" s="9" t="s">
        <v>264</v>
      </c>
      <c r="C7" s="16">
        <v>7.68</v>
      </c>
      <c r="D7" s="38">
        <v>0.24101562500000001</v>
      </c>
      <c r="E7" s="38">
        <v>0.75898437500000004</v>
      </c>
      <c r="F7" s="38">
        <v>0</v>
      </c>
      <c r="G7" s="38">
        <v>0</v>
      </c>
    </row>
    <row r="8" spans="1:11" ht="15" customHeight="1">
      <c r="B8" s="9" t="s">
        <v>265</v>
      </c>
      <c r="C8" s="16">
        <v>19.388000000000002</v>
      </c>
      <c r="D8" s="38">
        <v>0.39374871054260402</v>
      </c>
      <c r="E8" s="38">
        <v>0</v>
      </c>
      <c r="F8" s="38">
        <v>0</v>
      </c>
      <c r="G8" s="38">
        <v>0.23411388487724399</v>
      </c>
    </row>
    <row r="9" spans="1:11" ht="15" customHeight="1">
      <c r="B9" s="9" t="s">
        <v>266</v>
      </c>
      <c r="C9" s="16">
        <v>15.993</v>
      </c>
      <c r="D9" s="38">
        <v>0</v>
      </c>
      <c r="E9" s="38">
        <v>1</v>
      </c>
      <c r="F9" s="38">
        <v>0</v>
      </c>
      <c r="G9" s="38">
        <v>0</v>
      </c>
    </row>
    <row r="11" spans="1:11" ht="15" customHeight="1">
      <c r="A11" s="6" t="s">
        <v>267</v>
      </c>
      <c r="B11" s="6"/>
      <c r="C11" s="6"/>
      <c r="D11" s="6"/>
      <c r="E11" s="6"/>
      <c r="F11" s="6"/>
      <c r="G11" s="6"/>
    </row>
    <row r="12" spans="1:11" ht="18.75" customHeight="1">
      <c r="B12" s="11" t="s">
        <v>256</v>
      </c>
      <c r="C12" s="11" t="s">
        <v>268</v>
      </c>
      <c r="D12" s="11" t="s">
        <v>269</v>
      </c>
      <c r="E12" s="11" t="s">
        <v>270</v>
      </c>
      <c r="F12" s="11" t="s">
        <v>271</v>
      </c>
    </row>
    <row r="13" spans="1:11" ht="36.75" customHeight="1">
      <c r="B13" s="9" t="s">
        <v>262</v>
      </c>
      <c r="C13" s="20">
        <v>0.46171242050581601</v>
      </c>
      <c r="D13" s="34">
        <v>1</v>
      </c>
      <c r="E13" s="26">
        <v>0.46171242050581601</v>
      </c>
      <c r="F13" s="20">
        <v>-1.21791663909828E-2</v>
      </c>
      <c r="I13" s="19" t="s">
        <v>272</v>
      </c>
    </row>
    <row r="14" spans="1:11" ht="15" customHeight="1">
      <c r="B14" s="9" t="s">
        <v>264</v>
      </c>
      <c r="C14" s="20">
        <v>0.44736680240108501</v>
      </c>
      <c r="D14" s="34">
        <v>0.85</v>
      </c>
      <c r="E14" s="26">
        <v>0.38026178204092198</v>
      </c>
      <c r="F14" s="20">
        <v>-4.2871215825840199E-2</v>
      </c>
    </row>
    <row r="15" spans="1:11" ht="15" customHeight="1">
      <c r="B15" s="9" t="s">
        <v>265</v>
      </c>
      <c r="C15" s="20">
        <v>0.38163810914970703</v>
      </c>
      <c r="D15" s="34">
        <v>0.55000000000000004</v>
      </c>
      <c r="E15" s="26">
        <v>0.20990096003233899</v>
      </c>
      <c r="F15" s="20">
        <v>-0.18349592002694801</v>
      </c>
    </row>
    <row r="16" spans="1:11" ht="15" customHeight="1">
      <c r="B16" s="9" t="s">
        <v>266</v>
      </c>
      <c r="C16" s="20">
        <v>0.47987350766635201</v>
      </c>
      <c r="D16" s="34">
        <v>0.8</v>
      </c>
      <c r="E16" s="26">
        <v>0.38389880613308203</v>
      </c>
      <c r="F16" s="20">
        <v>2.6675972568704499E-2</v>
      </c>
    </row>
    <row r="17" spans="1:9" ht="23.25" customHeight="1">
      <c r="B17" s="32" t="s">
        <v>273</v>
      </c>
      <c r="C17" s="39">
        <v>0.46740502406589601</v>
      </c>
    </row>
    <row r="18" spans="1:9" ht="15" customHeight="1">
      <c r="B18" s="4" t="s">
        <v>274</v>
      </c>
      <c r="C18" s="4"/>
      <c r="D18" s="4"/>
      <c r="E18" s="4"/>
      <c r="F18" s="4"/>
      <c r="G18" s="4"/>
      <c r="H18" s="4"/>
      <c r="I18" s="4"/>
    </row>
    <row r="20" spans="1:9" ht="15" customHeight="1">
      <c r="A20" s="6" t="s">
        <v>275</v>
      </c>
      <c r="B20" s="6"/>
      <c r="C20" s="6"/>
      <c r="D20" s="6"/>
      <c r="E20" s="6"/>
      <c r="F20" s="6"/>
      <c r="G20" s="6"/>
    </row>
    <row r="21" spans="1:9" ht="15" customHeight="1">
      <c r="B21" s="11" t="s">
        <v>276</v>
      </c>
      <c r="C21" s="11" t="s">
        <v>188</v>
      </c>
      <c r="D21" s="11" t="s">
        <v>189</v>
      </c>
      <c r="E21" s="11" t="s">
        <v>190</v>
      </c>
      <c r="F21" s="11" t="s">
        <v>191</v>
      </c>
      <c r="G21" s="11" t="s">
        <v>192</v>
      </c>
    </row>
    <row r="22" spans="1:9" ht="18.75" customHeight="1">
      <c r="B22" s="22" t="s">
        <v>262</v>
      </c>
      <c r="C22" s="26">
        <v>0</v>
      </c>
      <c r="D22" s="26">
        <v>0.23401506064158401</v>
      </c>
      <c r="E22" s="26">
        <v>0.38388593550400202</v>
      </c>
      <c r="F22" s="26">
        <v>0.470097893018597</v>
      </c>
      <c r="G22" s="26">
        <v>0.52112329744865504</v>
      </c>
      <c r="I22" s="19" t="s">
        <v>277</v>
      </c>
    </row>
    <row r="23" spans="1:9" ht="15" customHeight="1">
      <c r="B23" s="10" t="s">
        <v>264</v>
      </c>
      <c r="C23" s="20">
        <v>0</v>
      </c>
      <c r="D23" s="20">
        <v>0.20395522192788401</v>
      </c>
      <c r="E23" s="20">
        <v>0.33752210325423598</v>
      </c>
      <c r="F23" s="20">
        <v>0.41546490149125098</v>
      </c>
      <c r="G23" s="20">
        <v>0.46392091938288299</v>
      </c>
    </row>
    <row r="24" spans="1:9" ht="15" customHeight="1">
      <c r="B24" s="10" t="s">
        <v>265</v>
      </c>
      <c r="C24" s="20">
        <v>0</v>
      </c>
      <c r="D24" s="20">
        <v>0.14108255537514</v>
      </c>
      <c r="E24" s="20">
        <v>0.24054827072936799</v>
      </c>
      <c r="F24" s="20">
        <v>0.30119543079338501</v>
      </c>
      <c r="G24" s="20">
        <v>0.344277361863919</v>
      </c>
    </row>
    <row r="25" spans="1:9" ht="15" customHeight="1">
      <c r="B25" s="10" t="s">
        <v>266</v>
      </c>
      <c r="C25" s="20">
        <v>0</v>
      </c>
      <c r="D25" s="20">
        <v>0.20529748712885301</v>
      </c>
      <c r="E25" s="20">
        <v>0.33959239242661499</v>
      </c>
      <c r="F25" s="20">
        <v>0.41790443431943602</v>
      </c>
      <c r="G25" s="20">
        <v>0.46647518330364601</v>
      </c>
    </row>
    <row r="26" spans="1:9" ht="15" customHeight="1">
      <c r="B26" s="32" t="s">
        <v>278</v>
      </c>
      <c r="C26" s="39">
        <v>0</v>
      </c>
      <c r="D26" s="39">
        <v>0.23611594957385201</v>
      </c>
      <c r="E26" s="39">
        <v>0.387126314235198</v>
      </c>
      <c r="F26" s="39">
        <v>0.47391620516357102</v>
      </c>
      <c r="G26" s="39">
        <v>0.52512118460042501</v>
      </c>
    </row>
    <row r="28" spans="1:9" ht="15" customHeight="1">
      <c r="A28" s="6" t="s">
        <v>279</v>
      </c>
      <c r="B28" s="6"/>
      <c r="C28" s="6"/>
      <c r="D28" s="6"/>
      <c r="E28" s="6"/>
      <c r="F28" s="6"/>
      <c r="G28" s="6"/>
    </row>
    <row r="29" spans="1:9" ht="43.5" customHeight="1">
      <c r="B29" s="22" t="s">
        <v>280</v>
      </c>
      <c r="C29" s="3" t="s">
        <v>281</v>
      </c>
      <c r="D29" s="3"/>
      <c r="E29" s="3"/>
      <c r="F29" s="3"/>
      <c r="G29" s="3"/>
      <c r="H29" s="3"/>
      <c r="I29" s="3"/>
    </row>
    <row r="30" spans="1:9" ht="43.5" customHeight="1">
      <c r="B30" s="32" t="s">
        <v>282</v>
      </c>
      <c r="C30" s="3" t="s">
        <v>283</v>
      </c>
      <c r="D30" s="3"/>
      <c r="E30" s="3"/>
      <c r="F30" s="3"/>
      <c r="G30" s="3"/>
      <c r="H30" s="3"/>
      <c r="I30" s="3"/>
    </row>
    <row r="31" spans="1:9" ht="43.5" customHeight="1">
      <c r="B31" s="40" t="s">
        <v>284</v>
      </c>
      <c r="C31" s="3" t="s">
        <v>285</v>
      </c>
      <c r="D31" s="3"/>
      <c r="E31" s="3"/>
      <c r="F31" s="3"/>
      <c r="G31" s="3"/>
      <c r="H31" s="3"/>
      <c r="I31" s="3"/>
    </row>
    <row r="33" spans="1:9" ht="15" customHeight="1">
      <c r="A33" s="6" t="s">
        <v>286</v>
      </c>
      <c r="B33" s="6"/>
      <c r="C33" s="6"/>
      <c r="D33" s="6"/>
      <c r="E33" s="6"/>
      <c r="F33" s="6"/>
      <c r="G33" s="6"/>
    </row>
    <row r="34" spans="1:9" ht="15" customHeight="1">
      <c r="B34" s="11" t="s">
        <v>214</v>
      </c>
      <c r="C34" s="11" t="s">
        <v>188</v>
      </c>
      <c r="D34" s="11" t="s">
        <v>189</v>
      </c>
      <c r="E34" s="11" t="s">
        <v>190</v>
      </c>
      <c r="F34" s="11" t="s">
        <v>191</v>
      </c>
      <c r="G34" s="11" t="s">
        <v>192</v>
      </c>
    </row>
    <row r="35" spans="1:9" ht="36.75" customHeight="1">
      <c r="B35" s="10" t="s">
        <v>287</v>
      </c>
      <c r="C35" s="16">
        <v>19.388000000000002</v>
      </c>
      <c r="D35" s="16">
        <v>16.652691416386801</v>
      </c>
      <c r="E35" s="16">
        <v>14.724250127098999</v>
      </c>
      <c r="F35" s="16">
        <v>14.696025309664099</v>
      </c>
      <c r="G35" s="16">
        <v>13.4043135327511</v>
      </c>
      <c r="I35" s="19" t="s">
        <v>288</v>
      </c>
    </row>
    <row r="36" spans="1:9" ht="15" customHeight="1">
      <c r="B36" s="10" t="s">
        <v>289</v>
      </c>
      <c r="C36" s="16">
        <v>15.993</v>
      </c>
      <c r="D36" s="16">
        <v>12.709677288348299</v>
      </c>
      <c r="E36" s="16">
        <v>10.5618988679211</v>
      </c>
      <c r="F36" s="16">
        <v>11.809391483682299</v>
      </c>
      <c r="G36" s="16">
        <v>10.521268384118001</v>
      </c>
    </row>
    <row r="37" spans="1:9" ht="15" customHeight="1">
      <c r="B37" s="10" t="s">
        <v>290</v>
      </c>
      <c r="C37" s="16">
        <v>7.68</v>
      </c>
      <c r="D37" s="16">
        <v>5.5</v>
      </c>
      <c r="E37" s="16">
        <v>3.5</v>
      </c>
      <c r="F37" s="16">
        <v>2</v>
      </c>
      <c r="G37" s="16">
        <v>1.5</v>
      </c>
    </row>
    <row r="38" spans="1:9" ht="15" customHeight="1">
      <c r="B38" s="22" t="s">
        <v>291</v>
      </c>
      <c r="C38" s="23">
        <v>57.704000000000001</v>
      </c>
      <c r="D38" s="23">
        <v>42.110407636455797</v>
      </c>
      <c r="E38" s="23">
        <v>32.970067951070199</v>
      </c>
      <c r="F38" s="23">
        <v>24.505416793346399</v>
      </c>
      <c r="G38" s="23">
        <v>22.425581916869099</v>
      </c>
    </row>
    <row r="39" spans="1:9" ht="15" customHeight="1">
      <c r="B39" s="22" t="s">
        <v>292</v>
      </c>
      <c r="C39" s="23">
        <v>100.765</v>
      </c>
      <c r="D39" s="23">
        <v>76.972776341190794</v>
      </c>
      <c r="E39" s="23">
        <v>61.756216946090298</v>
      </c>
      <c r="F39" s="23">
        <v>53.010833586692797</v>
      </c>
      <c r="G39" s="23">
        <v>47.851163833738198</v>
      </c>
    </row>
    <row r="40" spans="1:9" ht="15" customHeight="1">
      <c r="B40" s="22" t="s">
        <v>293</v>
      </c>
      <c r="C40" s="26">
        <v>0.64887609785143696</v>
      </c>
      <c r="D40" s="26">
        <v>0.61853566805771798</v>
      </c>
      <c r="E40" s="26">
        <v>0.59054893182505797</v>
      </c>
      <c r="F40" s="26">
        <v>0.5</v>
      </c>
      <c r="G40" s="26">
        <v>0.5</v>
      </c>
    </row>
    <row r="41" spans="1:9" ht="15" customHeight="1">
      <c r="B41" s="10" t="s">
        <v>294</v>
      </c>
      <c r="C41" s="20">
        <v>0</v>
      </c>
      <c r="D41" s="20">
        <v>0.23401506064158401</v>
      </c>
      <c r="E41" s="20">
        <v>0.38388593550400202</v>
      </c>
      <c r="F41" s="20">
        <v>0.470097893018597</v>
      </c>
      <c r="G41" s="20">
        <v>0.52112329744865504</v>
      </c>
    </row>
    <row r="42" spans="1:9" ht="23.25" customHeight="1">
      <c r="B42" s="32" t="s">
        <v>295</v>
      </c>
      <c r="C42" s="39">
        <v>-3.4660843645006898E-5</v>
      </c>
      <c r="D42" s="39">
        <v>3.6193811902594603E-2</v>
      </c>
      <c r="E42" s="39">
        <v>4.4728879388546902E-2</v>
      </c>
      <c r="F42" s="39">
        <v>0.10521289701734</v>
      </c>
      <c r="G42" s="39">
        <v>9.0231908317711898E-2</v>
      </c>
    </row>
    <row r="44" spans="1:9" ht="15" customHeight="1">
      <c r="B44" s="4" t="s">
        <v>296</v>
      </c>
      <c r="C44" s="4"/>
      <c r="D44" s="4"/>
      <c r="E44" s="4"/>
      <c r="F44" s="4"/>
      <c r="G44" s="4"/>
      <c r="H44" s="4"/>
      <c r="I44" s="4"/>
    </row>
    <row r="46" spans="1:9" ht="15" customHeight="1">
      <c r="A46" s="6" t="s">
        <v>297</v>
      </c>
      <c r="B46" s="6"/>
      <c r="C46" s="6"/>
      <c r="D46" s="6"/>
      <c r="E46" s="6"/>
      <c r="F46" s="6"/>
      <c r="G46" s="6"/>
    </row>
    <row r="47" spans="1:9" ht="18.75" customHeight="1">
      <c r="B47" s="11" t="s">
        <v>298</v>
      </c>
      <c r="C47" s="11" t="s">
        <v>188</v>
      </c>
      <c r="D47" s="11" t="s">
        <v>189</v>
      </c>
      <c r="E47" s="11" t="s">
        <v>190</v>
      </c>
      <c r="F47" s="11" t="s">
        <v>191</v>
      </c>
      <c r="G47" s="11" t="s">
        <v>192</v>
      </c>
      <c r="H47" s="11" t="s">
        <v>299</v>
      </c>
    </row>
    <row r="48" spans="1:9" ht="45.75" customHeight="1">
      <c r="B48" s="9" t="s">
        <v>125</v>
      </c>
      <c r="C48" s="26">
        <v>0.64886912854917</v>
      </c>
      <c r="D48" s="26">
        <v>0.61861963269865206</v>
      </c>
      <c r="E48" s="26">
        <v>0.59035910394091096</v>
      </c>
      <c r="F48" s="26">
        <v>0.49985848789599802</v>
      </c>
      <c r="G48" s="26">
        <v>0.49975956009952099</v>
      </c>
      <c r="H48" s="33">
        <v>0.5</v>
      </c>
      <c r="I48" s="19" t="s">
        <v>300</v>
      </c>
    </row>
    <row r="49" spans="1:8" ht="23.25" customHeight="1">
      <c r="B49" s="9" t="s">
        <v>301</v>
      </c>
      <c r="C49" s="26">
        <v>0.75061204759157296</v>
      </c>
      <c r="D49" s="26">
        <v>0.73921431796724302</v>
      </c>
      <c r="E49" s="26">
        <v>0.74240429163618604</v>
      </c>
      <c r="F49" s="26">
        <v>0.68716367374085496</v>
      </c>
      <c r="G49" s="26">
        <v>0.69061809415388797</v>
      </c>
      <c r="H49" s="33">
        <v>0.55000000000000004</v>
      </c>
    </row>
    <row r="50" spans="1:8" ht="23.25" customHeight="1">
      <c r="B50" s="9" t="s">
        <v>302</v>
      </c>
      <c r="C50" s="41" t="s">
        <v>303</v>
      </c>
      <c r="D50" s="41" t="s">
        <v>303</v>
      </c>
      <c r="E50" s="41" t="s">
        <v>303</v>
      </c>
      <c r="F50" s="41" t="s">
        <v>303</v>
      </c>
      <c r="G50" s="41" t="s">
        <v>303</v>
      </c>
      <c r="H50" s="33">
        <v>0.55000000000000004</v>
      </c>
    </row>
    <row r="52" spans="1:8" ht="15" customHeight="1">
      <c r="A52" s="6" t="s">
        <v>304</v>
      </c>
      <c r="B52" s="6"/>
      <c r="C52" s="6"/>
      <c r="D52" s="6"/>
      <c r="E52" s="6"/>
      <c r="F52" s="6"/>
      <c r="G52" s="6"/>
    </row>
    <row r="53" spans="1:8" ht="15" customHeight="1">
      <c r="B53" s="11"/>
      <c r="C53" s="11" t="s">
        <v>305</v>
      </c>
    </row>
    <row r="54" spans="1:8" ht="15" customHeight="1">
      <c r="B54" s="10" t="s">
        <v>306</v>
      </c>
      <c r="C54" s="16">
        <v>56.157319226636901</v>
      </c>
    </row>
    <row r="55" spans="1:8" ht="15" customHeight="1">
      <c r="B55" s="10" t="s">
        <v>307</v>
      </c>
      <c r="C55" s="16">
        <v>33.163644883449201</v>
      </c>
    </row>
    <row r="56" spans="1:8" ht="15" customHeight="1">
      <c r="B56" s="10" t="s">
        <v>308</v>
      </c>
      <c r="C56" s="16">
        <v>29.980959365895401</v>
      </c>
    </row>
    <row r="57" spans="1:8" ht="15" customHeight="1">
      <c r="B57" s="10" t="s">
        <v>309</v>
      </c>
      <c r="C57" s="16">
        <v>28.078659613318401</v>
      </c>
    </row>
    <row r="58" spans="1:8" ht="15" customHeight="1">
      <c r="B58" s="32" t="s">
        <v>310</v>
      </c>
      <c r="C58" s="34">
        <v>5.0849852701307396</v>
      </c>
    </row>
    <row r="59" spans="1:8" ht="15" customHeight="1">
      <c r="B59" s="10" t="s">
        <v>311</v>
      </c>
      <c r="C59" s="16">
        <v>20.986671556126801</v>
      </c>
    </row>
    <row r="60" spans="1:8" ht="15" customHeight="1">
      <c r="B60" s="10" t="s">
        <v>312</v>
      </c>
      <c r="C60" s="21">
        <v>5.0999999999999996</v>
      </c>
    </row>
    <row r="61" spans="1:8" ht="15" customHeight="1">
      <c r="B61" s="10" t="s">
        <v>313</v>
      </c>
      <c r="C61" s="21">
        <v>1.8</v>
      </c>
    </row>
    <row r="62" spans="1:8" ht="15" customHeight="1">
      <c r="B62" s="10" t="s">
        <v>314</v>
      </c>
      <c r="C62" s="21">
        <v>3.3</v>
      </c>
    </row>
    <row r="63" spans="1:8" ht="15" customHeight="1">
      <c r="B63" s="32" t="s">
        <v>315</v>
      </c>
      <c r="C63" s="34">
        <v>-1.5014729869262699E-2</v>
      </c>
    </row>
    <row r="64" spans="1:8" ht="15" customHeight="1">
      <c r="B64" s="10" t="s">
        <v>316</v>
      </c>
      <c r="C64" s="20">
        <v>0.49973263093616199</v>
      </c>
    </row>
  </sheetData>
  <mergeCells count="14">
    <mergeCell ref="A33:G33"/>
    <mergeCell ref="B44:I44"/>
    <mergeCell ref="A46:G46"/>
    <mergeCell ref="A52:G52"/>
    <mergeCell ref="A20:G20"/>
    <mergeCell ref="A28:G28"/>
    <mergeCell ref="C29:I29"/>
    <mergeCell ref="C30:I30"/>
    <mergeCell ref="C31:I31"/>
    <mergeCell ref="A1:K1"/>
    <mergeCell ref="A2:K2"/>
    <mergeCell ref="A4:G4"/>
    <mergeCell ref="A11:G11"/>
    <mergeCell ref="B18:I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7"/>
  <sheetViews>
    <sheetView topLeftCell="A17" zoomScaleNormal="100" workbookViewId="0">
      <selection activeCell="G7" sqref="G7"/>
    </sheetView>
  </sheetViews>
  <sheetFormatPr defaultColWidth="8.6328125" defaultRowHeight="14.5"/>
  <cols>
    <col min="1" max="1" width="2.453125" customWidth="1"/>
    <col min="2" max="2" width="40" customWidth="1"/>
    <col min="3" max="7" width="13" customWidth="1"/>
    <col min="8" max="8" width="3" customWidth="1"/>
    <col min="9" max="9" width="54" customWidth="1"/>
  </cols>
  <sheetData>
    <row r="1" spans="1:10" ht="25.5" customHeight="1">
      <c r="A1" s="8" t="s">
        <v>317</v>
      </c>
      <c r="B1" s="8"/>
      <c r="C1" s="8"/>
      <c r="D1" s="8"/>
      <c r="E1" s="8"/>
      <c r="F1" s="8"/>
      <c r="G1" s="8"/>
      <c r="H1" s="8"/>
      <c r="I1" s="8"/>
      <c r="J1" s="8"/>
    </row>
    <row r="2" spans="1:10" ht="15" customHeight="1">
      <c r="A2" s="7" t="s">
        <v>318</v>
      </c>
      <c r="B2" s="7"/>
      <c r="C2" s="7"/>
      <c r="D2" s="7"/>
      <c r="E2" s="7"/>
      <c r="F2" s="7"/>
      <c r="G2" s="7"/>
      <c r="H2" s="7"/>
      <c r="I2" s="7"/>
      <c r="J2" s="7"/>
    </row>
    <row r="4" spans="1:10" ht="15" customHeight="1">
      <c r="A4" s="6" t="s">
        <v>319</v>
      </c>
      <c r="B4" s="6"/>
      <c r="C4" s="6"/>
      <c r="D4" s="6"/>
      <c r="E4" s="6"/>
      <c r="F4" s="6"/>
      <c r="G4" s="6"/>
      <c r="H4" s="6"/>
      <c r="I4" s="6"/>
    </row>
    <row r="5" spans="1:10" ht="15" customHeight="1">
      <c r="B5" s="11" t="s">
        <v>320</v>
      </c>
      <c r="C5" s="11" t="s">
        <v>171</v>
      </c>
      <c r="D5" s="11" t="s">
        <v>168</v>
      </c>
      <c r="E5" s="11" t="s">
        <v>321</v>
      </c>
      <c r="F5" s="11" t="s">
        <v>322</v>
      </c>
      <c r="G5" s="11" t="s">
        <v>323</v>
      </c>
    </row>
    <row r="6" spans="1:10" ht="30" customHeight="1">
      <c r="B6" s="9" t="s">
        <v>324</v>
      </c>
      <c r="C6" s="42">
        <v>67.754400000000004</v>
      </c>
      <c r="D6" s="43" t="s">
        <v>325</v>
      </c>
      <c r="E6" s="17" t="s">
        <v>326</v>
      </c>
      <c r="F6" s="17" t="s">
        <v>327</v>
      </c>
      <c r="G6" s="13" t="s">
        <v>328</v>
      </c>
      <c r="I6" s="19" t="s">
        <v>329</v>
      </c>
    </row>
    <row r="7" spans="1:10" ht="30" customHeight="1">
      <c r="B7" s="9" t="s">
        <v>330</v>
      </c>
      <c r="C7" s="42">
        <v>34.996499999999997</v>
      </c>
      <c r="D7" s="43" t="s">
        <v>175</v>
      </c>
      <c r="E7" s="17" t="s">
        <v>331</v>
      </c>
      <c r="F7" s="17" t="s">
        <v>332</v>
      </c>
      <c r="G7" s="13" t="s">
        <v>333</v>
      </c>
    </row>
    <row r="8" spans="1:10" ht="30" customHeight="1">
      <c r="B8" s="9" t="s">
        <v>334</v>
      </c>
      <c r="C8" s="42">
        <v>18.822500000000002</v>
      </c>
      <c r="D8" s="43" t="s">
        <v>335</v>
      </c>
      <c r="E8" s="17" t="s">
        <v>336</v>
      </c>
      <c r="F8" s="17" t="s">
        <v>337</v>
      </c>
      <c r="G8" s="13" t="s">
        <v>338</v>
      </c>
    </row>
    <row r="9" spans="1:10" ht="15" customHeight="1">
      <c r="B9" s="22" t="s">
        <v>181</v>
      </c>
      <c r="C9" s="30">
        <f>SUM(C6:C8)</f>
        <v>121.57340000000001</v>
      </c>
    </row>
    <row r="11" spans="1:10" ht="15" customHeight="1">
      <c r="A11" s="6" t="s">
        <v>339</v>
      </c>
      <c r="B11" s="6"/>
      <c r="C11" s="6"/>
      <c r="D11" s="6"/>
      <c r="E11" s="6"/>
      <c r="F11" s="6"/>
      <c r="G11" s="6"/>
      <c r="H11" s="6"/>
      <c r="I11" s="6"/>
    </row>
    <row r="12" spans="1:10" ht="15" customHeight="1">
      <c r="B12" s="11" t="s">
        <v>320</v>
      </c>
      <c r="C12" s="11" t="s">
        <v>188</v>
      </c>
      <c r="D12" s="11" t="s">
        <v>189</v>
      </c>
      <c r="E12" s="11" t="s">
        <v>190</v>
      </c>
      <c r="F12" s="11" t="s">
        <v>191</v>
      </c>
      <c r="G12" s="11" t="s">
        <v>192</v>
      </c>
    </row>
    <row r="13" spans="1:10" ht="15" customHeight="1">
      <c r="B13" s="9" t="s">
        <v>340</v>
      </c>
      <c r="C13" s="38">
        <v>0.5</v>
      </c>
      <c r="D13" s="38">
        <v>1</v>
      </c>
      <c r="E13" s="38">
        <v>1</v>
      </c>
      <c r="F13" s="38">
        <v>1</v>
      </c>
      <c r="G13" s="38">
        <v>1</v>
      </c>
    </row>
    <row r="14" spans="1:10" ht="15" customHeight="1">
      <c r="B14" s="9" t="s">
        <v>341</v>
      </c>
      <c r="C14" s="38">
        <v>0</v>
      </c>
      <c r="D14" s="38">
        <v>0.5</v>
      </c>
      <c r="E14" s="38">
        <v>1</v>
      </c>
      <c r="F14" s="38">
        <v>1</v>
      </c>
      <c r="G14" s="38">
        <v>1</v>
      </c>
    </row>
    <row r="15" spans="1:10" ht="15" customHeight="1">
      <c r="B15" s="9" t="s">
        <v>342</v>
      </c>
      <c r="C15" s="38">
        <v>0.75</v>
      </c>
      <c r="D15" s="38">
        <v>1</v>
      </c>
      <c r="E15" s="38">
        <v>1</v>
      </c>
      <c r="F15" s="38">
        <v>1</v>
      </c>
      <c r="G15" s="38">
        <v>1</v>
      </c>
    </row>
    <row r="16" spans="1:10" ht="15" customHeight="1">
      <c r="B16" s="22" t="s">
        <v>343</v>
      </c>
      <c r="C16" s="26">
        <f>SUMPRODUCT($C$6:$C$8,C13:C15)/$C$9</f>
        <v>0.39477447369243601</v>
      </c>
      <c r="D16" s="26">
        <f>SUMPRODUCT($C$6:$C$8,D13:D15)/$C$9</f>
        <v>0.85606843273281819</v>
      </c>
      <c r="E16" s="26">
        <f>SUMPRODUCT($C$6:$C$8,E13:E15)/$C$9</f>
        <v>1</v>
      </c>
      <c r="F16" s="26">
        <f>SUMPRODUCT($C$6:$C$8,F13:F15)/$C$9</f>
        <v>1</v>
      </c>
      <c r="G16" s="26">
        <f>SUMPRODUCT($C$6:$C$8,G13:G15)/$C$9</f>
        <v>1</v>
      </c>
    </row>
    <row r="18" spans="1:9" ht="15" customHeight="1">
      <c r="B18" s="9" t="s">
        <v>344</v>
      </c>
    </row>
    <row r="19" spans="1:9" ht="15" customHeight="1">
      <c r="B19" s="10" t="s">
        <v>345</v>
      </c>
      <c r="C19" s="21">
        <v>4</v>
      </c>
      <c r="D19" s="21">
        <v>7</v>
      </c>
      <c r="E19" s="21">
        <v>9</v>
      </c>
      <c r="F19" s="21">
        <v>9</v>
      </c>
      <c r="G19" s="21">
        <v>8</v>
      </c>
    </row>
    <row r="20" spans="1:9" ht="15" customHeight="1">
      <c r="B20" s="22" t="s">
        <v>346</v>
      </c>
      <c r="C20" s="26">
        <f>C16</f>
        <v>0.39477447369243601</v>
      </c>
      <c r="D20" s="26">
        <f>D16</f>
        <v>0.85606843273281819</v>
      </c>
      <c r="E20" s="26">
        <f>E16</f>
        <v>1</v>
      </c>
      <c r="F20" s="26">
        <f>F16</f>
        <v>1</v>
      </c>
      <c r="G20" s="26">
        <f>G16</f>
        <v>1</v>
      </c>
    </row>
    <row r="21" spans="1:9" ht="15" customHeight="1">
      <c r="B21" s="10" t="s">
        <v>347</v>
      </c>
      <c r="C21" s="21">
        <v>5</v>
      </c>
      <c r="D21" s="21">
        <v>2</v>
      </c>
      <c r="E21" s="21">
        <v>0</v>
      </c>
      <c r="F21" s="21">
        <v>0</v>
      </c>
      <c r="G21" s="21">
        <v>0</v>
      </c>
    </row>
    <row r="23" spans="1:9" ht="15" customHeight="1">
      <c r="A23" s="6" t="s">
        <v>348</v>
      </c>
      <c r="B23" s="6"/>
      <c r="C23" s="6"/>
      <c r="D23" s="6"/>
      <c r="E23" s="6"/>
      <c r="F23" s="6"/>
      <c r="G23" s="6"/>
      <c r="H23" s="6"/>
      <c r="I23" s="6"/>
    </row>
    <row r="24" spans="1:9" ht="42" customHeight="1">
      <c r="B24" s="5" t="s">
        <v>349</v>
      </c>
      <c r="C24" s="5"/>
      <c r="D24" s="5"/>
      <c r="E24" s="5"/>
      <c r="F24" s="5"/>
      <c r="G24" s="5"/>
      <c r="H24" s="5"/>
      <c r="I24" s="5"/>
    </row>
    <row r="25" spans="1:9" ht="42" customHeight="1">
      <c r="B25" s="5" t="s">
        <v>350</v>
      </c>
      <c r="C25" s="5"/>
      <c r="D25" s="5"/>
      <c r="E25" s="5"/>
      <c r="F25" s="5"/>
      <c r="G25" s="5"/>
      <c r="H25" s="5"/>
      <c r="I25" s="5"/>
    </row>
    <row r="26" spans="1:9" ht="42" customHeight="1">
      <c r="B26" s="5" t="s">
        <v>351</v>
      </c>
      <c r="C26" s="5"/>
      <c r="D26" s="5"/>
      <c r="E26" s="5"/>
      <c r="F26" s="5"/>
      <c r="G26" s="5"/>
      <c r="H26" s="5"/>
      <c r="I26" s="5"/>
    </row>
    <row r="27" spans="1:9" ht="42" customHeight="1">
      <c r="B27" s="5" t="s">
        <v>352</v>
      </c>
      <c r="C27" s="5"/>
      <c r="D27" s="5"/>
      <c r="E27" s="5"/>
      <c r="F27" s="5"/>
      <c r="G27" s="5"/>
      <c r="H27" s="5"/>
      <c r="I27" s="5"/>
    </row>
  </sheetData>
  <mergeCells count="9">
    <mergeCell ref="B24:I24"/>
    <mergeCell ref="B25:I25"/>
    <mergeCell ref="B26:I26"/>
    <mergeCell ref="B27:I27"/>
    <mergeCell ref="A1:J1"/>
    <mergeCell ref="A2:J2"/>
    <mergeCell ref="A4:I4"/>
    <mergeCell ref="A11:I11"/>
    <mergeCell ref="A23:I2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2"/>
  <sheetViews>
    <sheetView zoomScaleNormal="100" workbookViewId="0">
      <selection sqref="A1:J1"/>
    </sheetView>
  </sheetViews>
  <sheetFormatPr defaultColWidth="8.6328125" defaultRowHeight="14.5"/>
  <cols>
    <col min="1" max="1" width="2.453125" customWidth="1"/>
    <col min="2" max="2" width="40" customWidth="1"/>
    <col min="3" max="7" width="13" customWidth="1"/>
    <col min="8" max="8" width="3" customWidth="1"/>
    <col min="9" max="9" width="52" customWidth="1"/>
  </cols>
  <sheetData>
    <row r="1" spans="1:10" ht="25.5" customHeight="1">
      <c r="A1" s="8" t="s">
        <v>353</v>
      </c>
      <c r="B1" s="8"/>
      <c r="C1" s="8"/>
      <c r="D1" s="8"/>
      <c r="E1" s="8"/>
      <c r="F1" s="8"/>
      <c r="G1" s="8"/>
      <c r="H1" s="8"/>
      <c r="I1" s="8"/>
      <c r="J1" s="8"/>
    </row>
    <row r="2" spans="1:10" ht="15" customHeight="1">
      <c r="A2" s="7" t="s">
        <v>354</v>
      </c>
      <c r="B2" s="7"/>
      <c r="C2" s="7"/>
      <c r="D2" s="7"/>
      <c r="E2" s="7"/>
      <c r="F2" s="7"/>
      <c r="G2" s="7"/>
      <c r="H2" s="7"/>
      <c r="I2" s="7"/>
      <c r="J2" s="7"/>
    </row>
    <row r="4" spans="1:10" ht="15" customHeight="1">
      <c r="A4" s="6" t="s">
        <v>355</v>
      </c>
      <c r="B4" s="6"/>
      <c r="C4" s="6"/>
      <c r="D4" s="6"/>
      <c r="E4" s="6"/>
      <c r="F4" s="6"/>
      <c r="G4" s="6"/>
      <c r="H4" s="6"/>
      <c r="I4" s="6"/>
    </row>
    <row r="5" spans="1:10" ht="15" customHeight="1">
      <c r="B5" s="11" t="s">
        <v>214</v>
      </c>
      <c r="C5" s="11" t="s">
        <v>356</v>
      </c>
      <c r="D5" s="11" t="s">
        <v>357</v>
      </c>
      <c r="E5" s="11" t="s">
        <v>358</v>
      </c>
      <c r="F5" s="11" t="s">
        <v>172</v>
      </c>
    </row>
    <row r="6" spans="1:10" ht="18.75" customHeight="1">
      <c r="B6" s="9" t="s">
        <v>359</v>
      </c>
      <c r="C6" s="24">
        <v>0</v>
      </c>
      <c r="D6" s="44">
        <f t="shared" ref="D6:D15" si="0">C6/$C$17</f>
        <v>0</v>
      </c>
      <c r="E6" s="16">
        <f>C6/'Logic Tree'!$C$7</f>
        <v>0</v>
      </c>
      <c r="F6" s="20">
        <f>C6/$C$11</f>
        <v>0</v>
      </c>
      <c r="I6" s="19" t="s">
        <v>360</v>
      </c>
    </row>
    <row r="7" spans="1:10" ht="15" customHeight="1">
      <c r="B7" s="9" t="s">
        <v>361</v>
      </c>
      <c r="C7" s="24">
        <v>1</v>
      </c>
      <c r="D7" s="44">
        <f t="shared" si="0"/>
        <v>3.125E-2</v>
      </c>
      <c r="E7" s="16">
        <f>C7/'Logic Tree'!$C$7</f>
        <v>8.2254767691972343E-3</v>
      </c>
      <c r="F7" s="20">
        <f>C7/$C$11</f>
        <v>1.366120218579235E-3</v>
      </c>
    </row>
    <row r="8" spans="1:10" ht="15" customHeight="1">
      <c r="B8" s="10" t="s">
        <v>362</v>
      </c>
      <c r="C8" s="24">
        <v>89</v>
      </c>
      <c r="D8" s="44">
        <f t="shared" si="0"/>
        <v>2.78125</v>
      </c>
      <c r="E8" s="16">
        <f>C8/'Logic Tree'!$C$7</f>
        <v>0.73206743245855388</v>
      </c>
      <c r="F8" s="20">
        <f>C8/$C$11</f>
        <v>0.12158469945355191</v>
      </c>
    </row>
    <row r="9" spans="1:10" ht="15" customHeight="1">
      <c r="B9" s="10" t="s">
        <v>363</v>
      </c>
      <c r="C9" s="24">
        <v>143</v>
      </c>
      <c r="D9" s="44">
        <f t="shared" si="0"/>
        <v>4.46875</v>
      </c>
      <c r="E9" s="16">
        <f>C9/'Logic Tree'!$C$7</f>
        <v>1.1762431779952045</v>
      </c>
      <c r="F9" s="20">
        <f>C9/$C$11</f>
        <v>0.1953551912568306</v>
      </c>
    </row>
    <row r="10" spans="1:10" ht="15" customHeight="1">
      <c r="B10" s="10" t="s">
        <v>364</v>
      </c>
      <c r="C10" s="24">
        <v>499</v>
      </c>
      <c r="D10" s="44">
        <f t="shared" si="0"/>
        <v>15.59375</v>
      </c>
      <c r="E10" s="16">
        <f>C10/'Logic Tree'!$C$7</f>
        <v>4.1045129078294202</v>
      </c>
      <c r="F10" s="20">
        <f>C10/$C$11</f>
        <v>0.68169398907103829</v>
      </c>
    </row>
    <row r="11" spans="1:10" ht="15" customHeight="1">
      <c r="B11" s="22" t="s">
        <v>365</v>
      </c>
      <c r="C11" s="29">
        <f>SUM(C6:C10)</f>
        <v>732</v>
      </c>
      <c r="D11" s="45">
        <f t="shared" si="0"/>
        <v>22.875</v>
      </c>
      <c r="E11" s="23">
        <f>C11/'Logic Tree'!$C$7</f>
        <v>6.021048995052376</v>
      </c>
    </row>
    <row r="12" spans="1:10" ht="18.75" customHeight="1">
      <c r="B12" s="10" t="s">
        <v>366</v>
      </c>
      <c r="C12" s="24">
        <v>34</v>
      </c>
      <c r="D12" s="44">
        <f t="shared" si="0"/>
        <v>1.0625</v>
      </c>
      <c r="E12" s="16">
        <f>C12/'Logic Tree'!$C$7</f>
        <v>0.27966621015270599</v>
      </c>
      <c r="F12" s="20">
        <f>C12/$C$15</f>
        <v>2.9285099052540915E-2</v>
      </c>
      <c r="I12" s="19" t="s">
        <v>367</v>
      </c>
    </row>
    <row r="13" spans="1:10" ht="15" customHeight="1">
      <c r="B13" s="10" t="s">
        <v>368</v>
      </c>
      <c r="C13" s="24">
        <v>124</v>
      </c>
      <c r="D13" s="44">
        <f t="shared" si="0"/>
        <v>3.875</v>
      </c>
      <c r="E13" s="16">
        <f>C13/'Logic Tree'!$C$7</f>
        <v>1.0199591193804571</v>
      </c>
      <c r="F13" s="20">
        <f>C13/$C$15</f>
        <v>0.10680447889750215</v>
      </c>
    </row>
    <row r="14" spans="1:10" ht="15" customHeight="1">
      <c r="B14" s="10" t="s">
        <v>369</v>
      </c>
      <c r="C14" s="24">
        <v>1003</v>
      </c>
      <c r="D14" s="44">
        <f t="shared" si="0"/>
        <v>31.34375</v>
      </c>
      <c r="E14" s="16">
        <f>C14/'Logic Tree'!$C$7</f>
        <v>8.2501531995048261</v>
      </c>
      <c r="F14" s="20">
        <f>C14/$C$15</f>
        <v>0.86391042204995694</v>
      </c>
    </row>
    <row r="15" spans="1:10" ht="15" customHeight="1">
      <c r="B15" s="22" t="s">
        <v>370</v>
      </c>
      <c r="C15" s="29">
        <f>SUM(C12:C14)</f>
        <v>1161</v>
      </c>
      <c r="D15" s="45">
        <f t="shared" si="0"/>
        <v>36.28125</v>
      </c>
      <c r="E15" s="23">
        <f>C15/'Logic Tree'!$C$7</f>
        <v>9.5497785290379902</v>
      </c>
    </row>
    <row r="17" spans="1:9" ht="15" customHeight="1">
      <c r="B17" s="32" t="s">
        <v>371</v>
      </c>
      <c r="C17" s="46">
        <v>32</v>
      </c>
    </row>
    <row r="19" spans="1:9" ht="15" customHeight="1">
      <c r="A19" s="6" t="s">
        <v>372</v>
      </c>
      <c r="B19" s="6"/>
      <c r="C19" s="6"/>
      <c r="D19" s="6"/>
      <c r="E19" s="6"/>
      <c r="F19" s="6"/>
      <c r="G19" s="6"/>
      <c r="H19" s="6"/>
      <c r="I19" s="6"/>
    </row>
    <row r="20" spans="1:9" ht="15" customHeight="1">
      <c r="B20" s="11" t="s">
        <v>193</v>
      </c>
      <c r="C20" s="11" t="s">
        <v>305</v>
      </c>
      <c r="D20" s="11" t="s">
        <v>373</v>
      </c>
    </row>
    <row r="21" spans="1:9" ht="33.75" customHeight="1">
      <c r="B21" s="22" t="s">
        <v>374</v>
      </c>
      <c r="C21" s="23">
        <f>'Logic Tree'!C18</f>
        <v>1</v>
      </c>
      <c r="D21" s="13" t="s">
        <v>375</v>
      </c>
    </row>
    <row r="22" spans="1:9" ht="33.75" customHeight="1">
      <c r="B22" s="22" t="s">
        <v>376</v>
      </c>
      <c r="C22" s="23">
        <f>'Logic Tree'!C7-'Logic Tree'!C21</f>
        <v>6.7458999999999918</v>
      </c>
      <c r="D22" s="13" t="s">
        <v>377</v>
      </c>
    </row>
    <row r="23" spans="1:9" ht="33.75" customHeight="1">
      <c r="B23" s="9" t="s">
        <v>378</v>
      </c>
      <c r="C23" s="47">
        <f>(C11+C15)/C17</f>
        <v>59.15625</v>
      </c>
      <c r="D23" s="13" t="s">
        <v>379</v>
      </c>
    </row>
    <row r="24" spans="1:9" ht="33.75" customHeight="1">
      <c r="B24" s="32" t="s">
        <v>380</v>
      </c>
      <c r="C24" s="34">
        <f>IFERROR(C23/C21,0)</f>
        <v>59.15625</v>
      </c>
      <c r="D24" s="13" t="s">
        <v>381</v>
      </c>
    </row>
    <row r="25" spans="1:9" ht="33.75" customHeight="1">
      <c r="B25" s="32" t="s">
        <v>382</v>
      </c>
      <c r="C25" s="34">
        <f>IFERROR(C23/C22,0)</f>
        <v>8.7692153752649862</v>
      </c>
      <c r="D25" s="13" t="s">
        <v>383</v>
      </c>
    </row>
    <row r="26" spans="1:9" ht="33.75" customHeight="1">
      <c r="B26" s="22" t="s">
        <v>384</v>
      </c>
      <c r="C26" s="23">
        <f>'Team Build-Up'!C64+'Team Build-Up'!C63</f>
        <v>20</v>
      </c>
      <c r="D26" s="13" t="s">
        <v>385</v>
      </c>
    </row>
    <row r="28" spans="1:9" ht="15" customHeight="1">
      <c r="A28" s="6" t="s">
        <v>386</v>
      </c>
      <c r="B28" s="6"/>
      <c r="C28" s="6"/>
      <c r="D28" s="6"/>
      <c r="E28" s="6"/>
      <c r="F28" s="6"/>
      <c r="G28" s="6"/>
      <c r="H28" s="6"/>
      <c r="I28" s="6"/>
    </row>
    <row r="29" spans="1:9" ht="48" customHeight="1">
      <c r="B29" s="5" t="s">
        <v>387</v>
      </c>
      <c r="C29" s="5"/>
      <c r="D29" s="5"/>
      <c r="E29" s="5"/>
      <c r="F29" s="5"/>
      <c r="G29" s="5"/>
      <c r="H29" s="5"/>
      <c r="I29" s="5"/>
    </row>
    <row r="30" spans="1:9" ht="48" customHeight="1">
      <c r="B30" s="5" t="s">
        <v>388</v>
      </c>
      <c r="C30" s="5"/>
      <c r="D30" s="5"/>
      <c r="E30" s="5"/>
      <c r="F30" s="5"/>
      <c r="G30" s="5"/>
      <c r="H30" s="5"/>
      <c r="I30" s="5"/>
    </row>
    <row r="31" spans="1:9" ht="48" customHeight="1">
      <c r="B31" s="5" t="s">
        <v>389</v>
      </c>
      <c r="C31" s="5"/>
      <c r="D31" s="5"/>
      <c r="E31" s="5"/>
      <c r="F31" s="5"/>
      <c r="G31" s="5"/>
      <c r="H31" s="5"/>
      <c r="I31" s="5"/>
    </row>
    <row r="32" spans="1:9" ht="48" customHeight="1">
      <c r="B32" s="5" t="s">
        <v>390</v>
      </c>
      <c r="C32" s="5"/>
      <c r="D32" s="5"/>
      <c r="E32" s="5"/>
      <c r="F32" s="5"/>
      <c r="G32" s="5"/>
      <c r="H32" s="5"/>
      <c r="I32" s="5"/>
    </row>
  </sheetData>
  <mergeCells count="9">
    <mergeCell ref="B29:I29"/>
    <mergeCell ref="B30:I30"/>
    <mergeCell ref="B31:I31"/>
    <mergeCell ref="B32:I32"/>
    <mergeCell ref="A1:J1"/>
    <mergeCell ref="A2:J2"/>
    <mergeCell ref="A4:I4"/>
    <mergeCell ref="A19:I19"/>
    <mergeCell ref="A28:I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zoomScaleNormal="100" workbookViewId="0">
      <selection activeCell="I4" sqref="I4"/>
    </sheetView>
  </sheetViews>
  <sheetFormatPr defaultColWidth="8.6328125" defaultRowHeight="14.5"/>
  <cols>
    <col min="1" max="1" width="2.453125" customWidth="1"/>
    <col min="2" max="2" width="26" customWidth="1"/>
    <col min="3" max="3" width="6" customWidth="1"/>
    <col min="4" max="5" width="9" customWidth="1"/>
    <col min="6" max="6" width="8" customWidth="1"/>
    <col min="7" max="7" width="9" customWidth="1"/>
    <col min="8" max="8" width="10" customWidth="1"/>
    <col min="9" max="9" width="9" customWidth="1"/>
    <col min="10" max="11" width="8" customWidth="1"/>
    <col min="12" max="12" width="7" customWidth="1"/>
    <col min="13" max="13" width="6" customWidth="1"/>
    <col min="14" max="14" width="8" customWidth="1"/>
    <col min="15" max="15" width="9" customWidth="1"/>
    <col min="16" max="16" width="13" customWidth="1"/>
    <col min="17" max="17" width="9" customWidth="1"/>
    <col min="18" max="18" width="10" customWidth="1"/>
    <col min="19" max="19" width="9" customWidth="1"/>
    <col min="20" max="20" width="34" customWidth="1"/>
  </cols>
  <sheetData>
    <row r="1" spans="1:22" ht="25.5" customHeight="1">
      <c r="A1" s="8" t="s">
        <v>391</v>
      </c>
      <c r="B1" s="8"/>
      <c r="C1" s="8"/>
      <c r="D1" s="8"/>
      <c r="E1" s="8"/>
      <c r="F1" s="8"/>
      <c r="G1" s="8"/>
      <c r="H1" s="8"/>
      <c r="I1" s="8"/>
      <c r="J1" s="8"/>
      <c r="K1" s="8"/>
      <c r="L1" s="8"/>
      <c r="M1" s="8"/>
      <c r="N1" s="8"/>
      <c r="O1" s="8"/>
      <c r="P1" s="8"/>
      <c r="Q1" s="8"/>
      <c r="R1" s="8"/>
      <c r="S1" s="8"/>
      <c r="T1" s="8"/>
      <c r="U1" s="8"/>
      <c r="V1" s="8"/>
    </row>
    <row r="2" spans="1:22" ht="15" customHeight="1">
      <c r="A2" s="7" t="s">
        <v>392</v>
      </c>
      <c r="B2" s="7"/>
      <c r="C2" s="7"/>
      <c r="D2" s="7"/>
      <c r="E2" s="7"/>
      <c r="F2" s="7"/>
      <c r="G2" s="7"/>
      <c r="H2" s="7"/>
      <c r="I2" s="7"/>
      <c r="J2" s="7"/>
      <c r="K2" s="7"/>
      <c r="L2" s="7"/>
      <c r="M2" s="7"/>
      <c r="N2" s="7"/>
      <c r="O2" s="7"/>
      <c r="P2" s="7"/>
      <c r="Q2" s="7"/>
      <c r="R2" s="7"/>
      <c r="S2" s="7"/>
      <c r="T2" s="7"/>
      <c r="U2" s="7"/>
      <c r="V2" s="7"/>
    </row>
    <row r="4" spans="1:22" ht="15" customHeight="1">
      <c r="B4" s="11" t="s">
        <v>393</v>
      </c>
      <c r="C4" s="11" t="s">
        <v>394</v>
      </c>
      <c r="D4" s="11" t="s">
        <v>171</v>
      </c>
      <c r="E4" s="11" t="s">
        <v>395</v>
      </c>
      <c r="F4" s="11" t="s">
        <v>396</v>
      </c>
      <c r="G4" s="11" t="s">
        <v>397</v>
      </c>
      <c r="H4" s="11" t="s">
        <v>246</v>
      </c>
      <c r="I4" s="11" t="s">
        <v>398</v>
      </c>
      <c r="J4" s="11" t="s">
        <v>258</v>
      </c>
      <c r="K4" s="11" t="s">
        <v>399</v>
      </c>
      <c r="L4" s="11" t="s">
        <v>400</v>
      </c>
      <c r="M4" s="11" t="s">
        <v>401</v>
      </c>
      <c r="N4" s="11" t="s">
        <v>402</v>
      </c>
      <c r="O4" s="11" t="s">
        <v>403</v>
      </c>
      <c r="P4" s="11" t="s">
        <v>404</v>
      </c>
      <c r="Q4" s="11" t="s">
        <v>405</v>
      </c>
      <c r="R4" s="11" t="s">
        <v>406</v>
      </c>
      <c r="S4" s="11" t="s">
        <v>407</v>
      </c>
      <c r="T4" s="11" t="s">
        <v>408</v>
      </c>
    </row>
    <row r="5" spans="1:22" ht="15" customHeight="1">
      <c r="B5" s="9" t="s">
        <v>409</v>
      </c>
      <c r="C5" s="43" t="s">
        <v>175</v>
      </c>
      <c r="D5" s="42">
        <v>43.782083333333297</v>
      </c>
      <c r="E5" s="42">
        <v>20.590416666666702</v>
      </c>
      <c r="F5" s="42">
        <v>5.0458333333333298</v>
      </c>
      <c r="G5" s="42">
        <v>17.3570833333333</v>
      </c>
      <c r="H5" s="42">
        <v>0</v>
      </c>
      <c r="I5" s="20">
        <f t="shared" ref="I5:I10" si="0">IFERROR($H5/$D5,0)</f>
        <v>0</v>
      </c>
      <c r="J5" s="42">
        <v>1.75</v>
      </c>
      <c r="K5" s="42">
        <v>12.248749999999999</v>
      </c>
      <c r="L5" s="48">
        <v>0.98365960200614799</v>
      </c>
      <c r="M5" s="43" t="s">
        <v>410</v>
      </c>
      <c r="N5" s="43" t="s">
        <v>326</v>
      </c>
      <c r="O5" s="43" t="s">
        <v>326</v>
      </c>
      <c r="P5" s="27">
        <v>711101</v>
      </c>
      <c r="Q5" s="27">
        <v>27</v>
      </c>
      <c r="R5" s="27">
        <v>46</v>
      </c>
      <c r="S5" s="27">
        <v>216</v>
      </c>
      <c r="T5" s="10" t="s">
        <v>411</v>
      </c>
    </row>
    <row r="6" spans="1:22" ht="15" customHeight="1">
      <c r="B6" s="9" t="s">
        <v>412</v>
      </c>
      <c r="C6" s="43" t="s">
        <v>175</v>
      </c>
      <c r="D6" s="42">
        <v>34.996541666666701</v>
      </c>
      <c r="E6" s="42">
        <v>29.379874999999998</v>
      </c>
      <c r="F6" s="42">
        <v>5.6166666666666698</v>
      </c>
      <c r="G6" s="42">
        <v>19.7908333333333</v>
      </c>
      <c r="H6" s="42">
        <v>9.5890416666666596</v>
      </c>
      <c r="I6" s="20">
        <f t="shared" si="0"/>
        <v>0.27399969282679076</v>
      </c>
      <c r="J6" s="42">
        <v>2</v>
      </c>
      <c r="K6" s="42">
        <v>27.379874999999998</v>
      </c>
      <c r="L6" s="48">
        <v>0.90522873093412803</v>
      </c>
      <c r="M6" s="43" t="s">
        <v>413</v>
      </c>
      <c r="N6" s="43" t="s">
        <v>331</v>
      </c>
      <c r="O6" s="43" t="s">
        <v>414</v>
      </c>
      <c r="P6" s="27">
        <v>0</v>
      </c>
      <c r="Q6" s="27">
        <v>170</v>
      </c>
      <c r="R6" s="27">
        <v>581</v>
      </c>
      <c r="S6" s="27">
        <v>608</v>
      </c>
      <c r="T6" s="10" t="s">
        <v>415</v>
      </c>
    </row>
    <row r="7" spans="1:22" ht="15" customHeight="1">
      <c r="B7" s="9" t="s">
        <v>416</v>
      </c>
      <c r="C7" s="43" t="s">
        <v>177</v>
      </c>
      <c r="D7" s="42">
        <v>22.0283333333333</v>
      </c>
      <c r="E7" s="42">
        <v>20.211666666666702</v>
      </c>
      <c r="F7" s="42">
        <v>1.81666666666667</v>
      </c>
      <c r="G7" s="42">
        <v>20.211666666666702</v>
      </c>
      <c r="H7" s="42">
        <v>0</v>
      </c>
      <c r="I7" s="20">
        <f t="shared" si="0"/>
        <v>0</v>
      </c>
      <c r="J7" s="42">
        <v>1.9166666666666701</v>
      </c>
      <c r="K7" s="42">
        <v>18.295000000000002</v>
      </c>
      <c r="L7" s="48">
        <v>0.92547476734508605</v>
      </c>
      <c r="M7" s="43" t="s">
        <v>413</v>
      </c>
      <c r="N7" s="43" t="s">
        <v>331</v>
      </c>
      <c r="O7" s="43" t="s">
        <v>414</v>
      </c>
      <c r="P7" s="27">
        <v>0</v>
      </c>
      <c r="Q7" s="27">
        <v>186</v>
      </c>
      <c r="R7" s="27">
        <v>86</v>
      </c>
      <c r="S7" s="27">
        <v>272</v>
      </c>
      <c r="T7" s="10" t="s">
        <v>417</v>
      </c>
    </row>
    <row r="8" spans="1:22" ht="15" customHeight="1">
      <c r="B8" s="9" t="s">
        <v>418</v>
      </c>
      <c r="C8" s="43" t="s">
        <v>175</v>
      </c>
      <c r="D8" s="42">
        <v>16.7</v>
      </c>
      <c r="E8" s="42">
        <v>11.491666666666699</v>
      </c>
      <c r="F8" s="42">
        <v>0.70833333333333304</v>
      </c>
      <c r="G8" s="42">
        <v>10.491666666666699</v>
      </c>
      <c r="H8" s="42">
        <v>0</v>
      </c>
      <c r="I8" s="20">
        <f t="shared" si="0"/>
        <v>0</v>
      </c>
      <c r="J8" s="42">
        <v>0.29166666666666702</v>
      </c>
      <c r="K8" s="42">
        <v>9.1999999999999993</v>
      </c>
      <c r="L8" s="48">
        <v>0.98702594810379296</v>
      </c>
      <c r="M8" s="43" t="s">
        <v>410</v>
      </c>
      <c r="N8" s="43" t="s">
        <v>336</v>
      </c>
      <c r="O8" s="43" t="s">
        <v>419</v>
      </c>
      <c r="P8" s="27">
        <v>14772</v>
      </c>
      <c r="Q8" s="27">
        <v>1</v>
      </c>
      <c r="R8" s="27">
        <v>5</v>
      </c>
      <c r="S8" s="27">
        <v>9</v>
      </c>
      <c r="T8" s="10" t="s">
        <v>411</v>
      </c>
    </row>
    <row r="9" spans="1:22" ht="15" customHeight="1">
      <c r="B9" s="9" t="s">
        <v>420</v>
      </c>
      <c r="C9" s="43" t="s">
        <v>179</v>
      </c>
      <c r="D9" s="42">
        <v>2.1225000000000001</v>
      </c>
      <c r="E9" s="42">
        <v>2.1225000000000001</v>
      </c>
      <c r="F9" s="42">
        <v>0</v>
      </c>
      <c r="G9" s="42">
        <v>2.1225000000000001</v>
      </c>
      <c r="H9" s="42">
        <v>0</v>
      </c>
      <c r="I9" s="20">
        <f t="shared" si="0"/>
        <v>0</v>
      </c>
      <c r="J9" s="42">
        <v>0</v>
      </c>
      <c r="K9" s="42">
        <v>2.1225000000000001</v>
      </c>
      <c r="L9" s="48">
        <v>0.75068708284256003</v>
      </c>
      <c r="M9" s="43" t="s">
        <v>413</v>
      </c>
      <c r="N9" s="43" t="s">
        <v>331</v>
      </c>
      <c r="O9" s="43" t="s">
        <v>414</v>
      </c>
      <c r="P9" s="27">
        <v>537636</v>
      </c>
      <c r="Q9" s="27">
        <v>38</v>
      </c>
      <c r="R9" s="27">
        <v>4</v>
      </c>
      <c r="S9" s="27">
        <v>37</v>
      </c>
      <c r="T9" s="10" t="s">
        <v>421</v>
      </c>
    </row>
    <row r="10" spans="1:22" ht="15" customHeight="1">
      <c r="B10" s="9" t="s">
        <v>422</v>
      </c>
      <c r="C10" s="43" t="s">
        <v>179</v>
      </c>
      <c r="D10" s="42">
        <v>1.944</v>
      </c>
      <c r="E10" s="42">
        <v>1.6523333333333301</v>
      </c>
      <c r="F10" s="42">
        <v>0.29166666666666702</v>
      </c>
      <c r="G10" s="42">
        <v>1.6523333333333301</v>
      </c>
      <c r="H10" s="42">
        <v>0</v>
      </c>
      <c r="I10" s="20">
        <f t="shared" si="0"/>
        <v>0</v>
      </c>
      <c r="J10" s="42">
        <v>0</v>
      </c>
      <c r="K10" s="42">
        <v>1.6523333333333301</v>
      </c>
      <c r="L10" s="48">
        <v>0.83217592592592604</v>
      </c>
      <c r="M10" s="43" t="s">
        <v>410</v>
      </c>
      <c r="N10" s="43" t="s">
        <v>331</v>
      </c>
      <c r="O10" s="43" t="s">
        <v>414</v>
      </c>
      <c r="P10" s="27">
        <v>0</v>
      </c>
      <c r="Q10" s="27">
        <v>17</v>
      </c>
      <c r="R10" s="27">
        <v>10</v>
      </c>
      <c r="S10" s="27">
        <v>19</v>
      </c>
      <c r="T10" s="10" t="s">
        <v>411</v>
      </c>
    </row>
    <row r="11" spans="1:22" ht="15" customHeight="1">
      <c r="B11" s="22" t="s">
        <v>423</v>
      </c>
      <c r="D11" s="30">
        <f>SUM(D5:D10)</f>
        <v>121.57345833333332</v>
      </c>
      <c r="E11" s="30">
        <f>SUM(E5:E10)</f>
        <v>85.448458333333434</v>
      </c>
      <c r="F11" s="30">
        <f>SUM(F5:F10)</f>
        <v>13.479166666666671</v>
      </c>
      <c r="G11" s="30">
        <f>SUM(G5:G10)</f>
        <v>71.626083333333341</v>
      </c>
      <c r="H11" s="30">
        <f>SUM(H5:H10)</f>
        <v>9.5890416666666596</v>
      </c>
      <c r="J11" s="30">
        <f>SUM(J5:J10)</f>
        <v>5.9583333333333366</v>
      </c>
      <c r="K11" s="30">
        <f>SUM(K5:K10)</f>
        <v>70.898458333333338</v>
      </c>
      <c r="P11" s="29">
        <f>SUM(P5:P10)</f>
        <v>1263509</v>
      </c>
      <c r="Q11" s="29">
        <f>SUM(Q5:Q10)</f>
        <v>439</v>
      </c>
      <c r="R11" s="29">
        <f>SUM(R5:R10)</f>
        <v>732</v>
      </c>
      <c r="S11" s="29">
        <f>SUM(S5:S10)</f>
        <v>1161</v>
      </c>
    </row>
    <row r="13" spans="1:22" ht="30" customHeight="1">
      <c r="B13" s="4" t="s">
        <v>424</v>
      </c>
      <c r="C13" s="4"/>
      <c r="D13" s="4"/>
      <c r="E13" s="4"/>
      <c r="F13" s="4"/>
      <c r="G13" s="4"/>
      <c r="H13" s="4"/>
      <c r="I13" s="4"/>
      <c r="J13" s="4"/>
      <c r="K13" s="4"/>
      <c r="L13" s="4"/>
      <c r="M13" s="4"/>
      <c r="N13" s="4"/>
      <c r="O13" s="4"/>
      <c r="P13" s="4"/>
      <c r="Q13" s="4"/>
      <c r="R13" s="4"/>
      <c r="S13" s="4"/>
      <c r="T13" s="4"/>
    </row>
  </sheetData>
  <mergeCells count="3">
    <mergeCell ref="A1:V1"/>
    <mergeCell ref="A2:V2"/>
    <mergeCell ref="B13:T1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zoomScaleNormal="100" workbookViewId="0">
      <selection sqref="A1:L1"/>
    </sheetView>
  </sheetViews>
  <sheetFormatPr defaultColWidth="8.6328125" defaultRowHeight="14.5"/>
  <cols>
    <col min="1" max="1" width="2.453125" customWidth="1"/>
    <col min="2" max="2" width="6" customWidth="1"/>
    <col min="3" max="3" width="40" customWidth="1"/>
    <col min="4" max="4" width="7" customWidth="1"/>
    <col min="5" max="5" width="11" customWidth="1"/>
    <col min="6" max="6" width="8" customWidth="1"/>
    <col min="7" max="8" width="10" customWidth="1"/>
    <col min="9" max="13" width="8" customWidth="1"/>
    <col min="14" max="14" width="40" customWidth="1"/>
  </cols>
  <sheetData>
    <row r="1" spans="1:14" ht="25.5" customHeight="1">
      <c r="A1" s="8" t="s">
        <v>425</v>
      </c>
      <c r="B1" s="8"/>
      <c r="C1" s="8"/>
      <c r="D1" s="8"/>
      <c r="E1" s="8"/>
      <c r="F1" s="8"/>
      <c r="G1" s="8"/>
      <c r="H1" s="8"/>
      <c r="I1" s="8"/>
      <c r="J1" s="8"/>
      <c r="K1" s="8"/>
      <c r="L1" s="8"/>
    </row>
    <row r="2" spans="1:14" ht="15" customHeight="1">
      <c r="A2" s="7" t="s">
        <v>426</v>
      </c>
      <c r="B2" s="7"/>
      <c r="C2" s="7"/>
      <c r="D2" s="7"/>
      <c r="E2" s="7"/>
      <c r="F2" s="7"/>
      <c r="G2" s="7"/>
      <c r="H2" s="7"/>
      <c r="I2" s="7"/>
      <c r="J2" s="7"/>
      <c r="K2" s="7"/>
      <c r="L2" s="7"/>
    </row>
    <row r="4" spans="1:14" ht="15" customHeight="1">
      <c r="B4" s="11" t="s">
        <v>427</v>
      </c>
      <c r="C4" s="11" t="s">
        <v>320</v>
      </c>
      <c r="D4" s="11" t="s">
        <v>170</v>
      </c>
      <c r="E4" s="11" t="s">
        <v>171</v>
      </c>
      <c r="F4" s="11" t="s">
        <v>394</v>
      </c>
      <c r="G4" s="11" t="s">
        <v>321</v>
      </c>
      <c r="H4" s="11" t="s">
        <v>322</v>
      </c>
      <c r="I4" s="11" t="s">
        <v>428</v>
      </c>
      <c r="J4" s="11" t="s">
        <v>112</v>
      </c>
      <c r="K4" s="11" t="s">
        <v>113</v>
      </c>
      <c r="L4" s="11" t="s">
        <v>114</v>
      </c>
      <c r="M4" s="11" t="s">
        <v>115</v>
      </c>
      <c r="N4" s="11" t="s">
        <v>429</v>
      </c>
    </row>
    <row r="5" spans="1:14" ht="15" customHeight="1">
      <c r="B5" s="18" t="s">
        <v>340</v>
      </c>
      <c r="C5" s="9" t="s">
        <v>430</v>
      </c>
      <c r="D5" s="27">
        <v>3</v>
      </c>
      <c r="E5" s="42">
        <v>67.754400000000004</v>
      </c>
      <c r="F5" s="43" t="s">
        <v>325</v>
      </c>
      <c r="G5" s="43" t="s">
        <v>326</v>
      </c>
      <c r="H5" s="43" t="s">
        <v>327</v>
      </c>
      <c r="I5" s="43" t="s">
        <v>431</v>
      </c>
      <c r="J5" s="43" t="s">
        <v>432</v>
      </c>
      <c r="K5" s="43">
        <v>5</v>
      </c>
      <c r="L5" s="43">
        <v>5</v>
      </c>
      <c r="M5" s="43">
        <v>4</v>
      </c>
      <c r="N5" s="13" t="s">
        <v>433</v>
      </c>
    </row>
    <row r="6" spans="1:14" ht="15" customHeight="1">
      <c r="B6" s="18" t="s">
        <v>341</v>
      </c>
      <c r="C6" s="9" t="s">
        <v>434</v>
      </c>
      <c r="D6" s="27">
        <v>1</v>
      </c>
      <c r="E6" s="42">
        <v>34.996499999999997</v>
      </c>
      <c r="F6" s="43" t="s">
        <v>175</v>
      </c>
      <c r="G6" s="43" t="s">
        <v>331</v>
      </c>
      <c r="H6" s="43" t="s">
        <v>332</v>
      </c>
      <c r="I6" s="43" t="s">
        <v>435</v>
      </c>
      <c r="J6" s="43" t="s">
        <v>436</v>
      </c>
      <c r="K6" s="43">
        <v>2</v>
      </c>
      <c r="L6" s="43">
        <v>2</v>
      </c>
      <c r="M6" s="43">
        <v>2</v>
      </c>
      <c r="N6" s="13" t="s">
        <v>437</v>
      </c>
    </row>
    <row r="7" spans="1:14" ht="15" customHeight="1">
      <c r="B7" s="18" t="s">
        <v>342</v>
      </c>
      <c r="C7" s="9" t="s">
        <v>438</v>
      </c>
      <c r="D7" s="27">
        <v>2</v>
      </c>
      <c r="E7" s="42">
        <v>18.822500000000002</v>
      </c>
      <c r="F7" s="43" t="s">
        <v>335</v>
      </c>
      <c r="G7" s="43" t="s">
        <v>336</v>
      </c>
      <c r="H7" s="43" t="s">
        <v>337</v>
      </c>
      <c r="I7" s="43">
        <v>2</v>
      </c>
      <c r="J7" s="43">
        <v>2</v>
      </c>
      <c r="K7" s="43">
        <v>2</v>
      </c>
      <c r="L7" s="43">
        <v>2</v>
      </c>
      <c r="M7" s="43">
        <v>2</v>
      </c>
      <c r="N7" s="13" t="s">
        <v>439</v>
      </c>
    </row>
    <row r="8" spans="1:14" ht="15" customHeight="1">
      <c r="C8" s="22" t="s">
        <v>181</v>
      </c>
      <c r="D8" s="29">
        <f>SUM(D5:D7)</f>
        <v>6</v>
      </c>
      <c r="E8" s="30">
        <f>SUM(E5:E7)</f>
        <v>121.57340000000001</v>
      </c>
    </row>
    <row r="10" spans="1:14" ht="21.75" customHeight="1">
      <c r="B10" s="4" t="s">
        <v>440</v>
      </c>
      <c r="C10" s="4"/>
      <c r="D10" s="4"/>
      <c r="E10" s="4"/>
      <c r="F10" s="4"/>
      <c r="G10" s="4"/>
      <c r="H10" s="4"/>
      <c r="I10" s="4"/>
      <c r="J10" s="4"/>
      <c r="K10" s="4"/>
      <c r="L10" s="4"/>
      <c r="M10" s="4"/>
      <c r="N10" s="4"/>
    </row>
  </sheetData>
  <mergeCells count="3">
    <mergeCell ref="A1:L1"/>
    <mergeCell ref="A2:L2"/>
    <mergeCell ref="B10:N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5"/>
  <sheetViews>
    <sheetView zoomScaleNormal="100" workbookViewId="0">
      <selection activeCell="K5" sqref="K5:K14"/>
    </sheetView>
  </sheetViews>
  <sheetFormatPr defaultColWidth="8.6328125" defaultRowHeight="14.5"/>
  <cols>
    <col min="1" max="1" width="2.453125" customWidth="1"/>
    <col min="2" max="2" width="6" customWidth="1"/>
    <col min="3" max="3" width="8" customWidth="1"/>
    <col min="4" max="4" width="7" customWidth="1"/>
    <col min="5" max="5" width="34" customWidth="1"/>
    <col min="6" max="7" width="7" customWidth="1"/>
    <col min="8" max="8" width="8" customWidth="1"/>
    <col min="9" max="10" width="9" customWidth="1"/>
    <col min="11" max="11" width="13" customWidth="1"/>
  </cols>
  <sheetData>
    <row r="1" spans="1:11" ht="25.5" customHeight="1">
      <c r="A1" s="8" t="s">
        <v>441</v>
      </c>
      <c r="B1" s="8"/>
      <c r="C1" s="8"/>
      <c r="D1" s="8"/>
      <c r="E1" s="8"/>
      <c r="F1" s="8"/>
      <c r="G1" s="8"/>
      <c r="H1" s="8"/>
      <c r="I1" s="8"/>
      <c r="J1" s="8"/>
    </row>
    <row r="2" spans="1:11" ht="15" customHeight="1">
      <c r="A2" s="7" t="s">
        <v>442</v>
      </c>
      <c r="B2" s="7"/>
      <c r="C2" s="7"/>
      <c r="D2" s="7"/>
      <c r="E2" s="7"/>
      <c r="F2" s="7"/>
      <c r="G2" s="7"/>
      <c r="H2" s="7"/>
      <c r="I2" s="7"/>
      <c r="J2" s="7"/>
    </row>
    <row r="4" spans="1:11" ht="15" customHeight="1">
      <c r="B4" s="11" t="s">
        <v>443</v>
      </c>
      <c r="C4" s="11" t="s">
        <v>444</v>
      </c>
      <c r="D4" s="11" t="s">
        <v>445</v>
      </c>
      <c r="E4" s="11" t="s">
        <v>446</v>
      </c>
      <c r="F4" s="11" t="s">
        <v>447</v>
      </c>
      <c r="G4" s="11" t="s">
        <v>448</v>
      </c>
      <c r="H4" s="11" t="s">
        <v>449</v>
      </c>
      <c r="I4" s="11" t="s">
        <v>450</v>
      </c>
      <c r="J4" s="11" t="s">
        <v>451</v>
      </c>
      <c r="K4" s="11" t="s">
        <v>452</v>
      </c>
    </row>
    <row r="5" spans="1:11" ht="15" customHeight="1">
      <c r="B5" s="27">
        <v>1</v>
      </c>
      <c r="C5" s="18" t="s">
        <v>453</v>
      </c>
      <c r="D5" s="27">
        <v>1</v>
      </c>
      <c r="E5" s="10" t="s">
        <v>454</v>
      </c>
      <c r="F5" s="18" t="s">
        <v>455</v>
      </c>
      <c r="G5" s="43" t="s">
        <v>242</v>
      </c>
      <c r="H5" s="43" t="s">
        <v>249</v>
      </c>
      <c r="I5" s="43" t="s">
        <v>396</v>
      </c>
      <c r="J5" s="49">
        <v>0.25</v>
      </c>
      <c r="K5" s="50">
        <f t="shared" ref="K5:K14" si="0">J5*4</f>
        <v>1</v>
      </c>
    </row>
    <row r="6" spans="1:11" ht="15" customHeight="1">
      <c r="B6" s="27">
        <v>1</v>
      </c>
      <c r="C6" s="18" t="s">
        <v>453</v>
      </c>
      <c r="D6" s="27">
        <v>2</v>
      </c>
      <c r="E6" s="10" t="s">
        <v>456</v>
      </c>
      <c r="F6" s="18" t="s">
        <v>258</v>
      </c>
      <c r="G6" s="43" t="s">
        <v>242</v>
      </c>
      <c r="H6" s="43" t="s">
        <v>249</v>
      </c>
      <c r="I6" s="43" t="s">
        <v>396</v>
      </c>
      <c r="J6" s="49">
        <v>0.25</v>
      </c>
      <c r="K6" s="50">
        <f t="shared" si="0"/>
        <v>1</v>
      </c>
    </row>
    <row r="7" spans="1:11" ht="15" customHeight="1">
      <c r="B7" s="27">
        <v>1</v>
      </c>
      <c r="C7" s="18" t="s">
        <v>453</v>
      </c>
      <c r="D7" s="27">
        <v>3</v>
      </c>
      <c r="E7" s="10" t="s">
        <v>457</v>
      </c>
      <c r="F7" s="18" t="s">
        <v>258</v>
      </c>
      <c r="G7" s="43" t="s">
        <v>241</v>
      </c>
      <c r="H7" s="43" t="s">
        <v>249</v>
      </c>
      <c r="I7" s="43" t="s">
        <v>395</v>
      </c>
      <c r="J7" s="49">
        <v>0.375</v>
      </c>
      <c r="K7" s="50">
        <f t="shared" si="0"/>
        <v>1.5</v>
      </c>
    </row>
    <row r="8" spans="1:11" ht="15" customHeight="1">
      <c r="B8" s="27">
        <v>1</v>
      </c>
      <c r="C8" s="18" t="s">
        <v>453</v>
      </c>
      <c r="D8" s="27">
        <v>4</v>
      </c>
      <c r="E8" s="10" t="s">
        <v>458</v>
      </c>
      <c r="F8" s="18" t="s">
        <v>459</v>
      </c>
      <c r="G8" s="43" t="s">
        <v>242</v>
      </c>
      <c r="H8" s="43" t="s">
        <v>249</v>
      </c>
      <c r="I8" s="43" t="s">
        <v>395</v>
      </c>
      <c r="J8" s="49">
        <v>2.375</v>
      </c>
      <c r="K8" s="50">
        <f t="shared" si="0"/>
        <v>9.5</v>
      </c>
    </row>
    <row r="9" spans="1:11" ht="15" customHeight="1">
      <c r="B9" s="27">
        <v>1</v>
      </c>
      <c r="C9" s="18" t="s">
        <v>453</v>
      </c>
      <c r="D9" s="27">
        <v>5</v>
      </c>
      <c r="E9" s="10" t="s">
        <v>460</v>
      </c>
      <c r="F9" s="18" t="s">
        <v>459</v>
      </c>
      <c r="G9" s="43" t="s">
        <v>241</v>
      </c>
      <c r="H9" s="43" t="s">
        <v>250</v>
      </c>
      <c r="I9" s="43" t="s">
        <v>395</v>
      </c>
      <c r="J9" s="49">
        <v>0</v>
      </c>
      <c r="K9" s="50">
        <f t="shared" si="0"/>
        <v>0</v>
      </c>
    </row>
    <row r="10" spans="1:11" ht="15" customHeight="1">
      <c r="B10" s="27">
        <v>1</v>
      </c>
      <c r="C10" s="18" t="s">
        <v>453</v>
      </c>
      <c r="D10" s="27">
        <v>6</v>
      </c>
      <c r="E10" s="10" t="s">
        <v>460</v>
      </c>
      <c r="F10" s="18" t="s">
        <v>459</v>
      </c>
      <c r="G10" s="43" t="s">
        <v>240</v>
      </c>
      <c r="H10" s="43" t="s">
        <v>250</v>
      </c>
      <c r="I10" s="43" t="s">
        <v>395</v>
      </c>
      <c r="J10" s="49">
        <v>0.25</v>
      </c>
      <c r="K10" s="50">
        <f t="shared" si="0"/>
        <v>1</v>
      </c>
    </row>
    <row r="11" spans="1:11" ht="15" customHeight="1">
      <c r="B11" s="27">
        <v>1</v>
      </c>
      <c r="C11" s="18" t="s">
        <v>453</v>
      </c>
      <c r="D11" s="27">
        <v>7</v>
      </c>
      <c r="E11" s="10" t="s">
        <v>461</v>
      </c>
      <c r="F11" s="18" t="s">
        <v>459</v>
      </c>
      <c r="G11" s="43" t="s">
        <v>241</v>
      </c>
      <c r="H11" s="43" t="s">
        <v>250</v>
      </c>
      <c r="I11" s="43" t="s">
        <v>462</v>
      </c>
      <c r="J11" s="49">
        <v>1.375</v>
      </c>
      <c r="K11" s="50">
        <f t="shared" si="0"/>
        <v>5.5</v>
      </c>
    </row>
    <row r="12" spans="1:11" ht="15" customHeight="1">
      <c r="B12" s="27">
        <v>1</v>
      </c>
      <c r="C12" s="18" t="s">
        <v>453</v>
      </c>
      <c r="D12" s="27">
        <v>8</v>
      </c>
      <c r="E12" s="10" t="s">
        <v>463</v>
      </c>
      <c r="F12" s="18" t="s">
        <v>464</v>
      </c>
      <c r="G12" s="43" t="s">
        <v>241</v>
      </c>
      <c r="H12" s="43" t="s">
        <v>250</v>
      </c>
      <c r="I12" s="43" t="s">
        <v>395</v>
      </c>
      <c r="J12" s="49">
        <v>0</v>
      </c>
      <c r="K12" s="50">
        <f t="shared" si="0"/>
        <v>0</v>
      </c>
    </row>
    <row r="13" spans="1:11" ht="15" customHeight="1">
      <c r="B13" s="27">
        <v>1</v>
      </c>
      <c r="C13" s="18" t="s">
        <v>453</v>
      </c>
      <c r="D13" s="27">
        <v>9</v>
      </c>
      <c r="E13" s="10" t="s">
        <v>465</v>
      </c>
      <c r="F13" s="18" t="s">
        <v>464</v>
      </c>
      <c r="G13" s="43" t="s">
        <v>240</v>
      </c>
      <c r="H13" s="43" t="s">
        <v>250</v>
      </c>
      <c r="I13" s="43" t="s">
        <v>462</v>
      </c>
      <c r="J13" s="49">
        <v>0.75</v>
      </c>
      <c r="K13" s="50">
        <f t="shared" si="0"/>
        <v>3</v>
      </c>
    </row>
    <row r="14" spans="1:11" ht="15" customHeight="1">
      <c r="B14" s="27">
        <v>1</v>
      </c>
      <c r="C14" s="18" t="s">
        <v>453</v>
      </c>
      <c r="D14" s="27">
        <v>10</v>
      </c>
      <c r="E14" s="10" t="s">
        <v>466</v>
      </c>
      <c r="F14" s="18" t="s">
        <v>467</v>
      </c>
      <c r="G14" s="43" t="s">
        <v>243</v>
      </c>
      <c r="H14" s="43" t="s">
        <v>249</v>
      </c>
      <c r="I14" s="43" t="s">
        <v>395</v>
      </c>
      <c r="J14" s="49">
        <v>0.375</v>
      </c>
      <c r="K14" s="50">
        <f t="shared" si="0"/>
        <v>1.5</v>
      </c>
    </row>
    <row r="15" spans="1:11" ht="34.5" customHeight="1">
      <c r="D15" s="22" t="s">
        <v>468</v>
      </c>
      <c r="J15" s="23">
        <f>SUM(J5:J14)</f>
        <v>6</v>
      </c>
    </row>
    <row r="17" spans="2:11" ht="15" customHeight="1">
      <c r="B17" s="27">
        <v>1</v>
      </c>
      <c r="C17" s="18" t="s">
        <v>469</v>
      </c>
      <c r="D17" s="27">
        <v>1</v>
      </c>
      <c r="E17" s="10" t="s">
        <v>454</v>
      </c>
      <c r="F17" s="18" t="s">
        <v>455</v>
      </c>
      <c r="G17" s="43" t="s">
        <v>242</v>
      </c>
      <c r="H17" s="43" t="s">
        <v>249</v>
      </c>
      <c r="I17" s="43" t="s">
        <v>396</v>
      </c>
      <c r="J17" s="49">
        <v>0.7</v>
      </c>
      <c r="K17" s="50">
        <f t="shared" ref="K17:K28" si="1">J17*5</f>
        <v>3.5</v>
      </c>
    </row>
    <row r="18" spans="2:11" ht="15" customHeight="1">
      <c r="B18" s="27">
        <v>1</v>
      </c>
      <c r="C18" s="18" t="s">
        <v>469</v>
      </c>
      <c r="D18" s="27">
        <v>2</v>
      </c>
      <c r="E18" s="10" t="s">
        <v>456</v>
      </c>
      <c r="F18" s="18" t="s">
        <v>258</v>
      </c>
      <c r="G18" s="43" t="s">
        <v>242</v>
      </c>
      <c r="H18" s="43" t="s">
        <v>249</v>
      </c>
      <c r="I18" s="43" t="s">
        <v>396</v>
      </c>
      <c r="J18" s="49">
        <v>0.8</v>
      </c>
      <c r="K18" s="50">
        <f t="shared" si="1"/>
        <v>4</v>
      </c>
    </row>
    <row r="19" spans="2:11" ht="15" customHeight="1">
      <c r="B19" s="27">
        <v>1</v>
      </c>
      <c r="C19" s="18" t="s">
        <v>469</v>
      </c>
      <c r="D19" s="27">
        <v>3</v>
      </c>
      <c r="E19" s="10" t="s">
        <v>470</v>
      </c>
      <c r="F19" s="18" t="s">
        <v>471</v>
      </c>
      <c r="G19" s="43" t="s">
        <v>241</v>
      </c>
      <c r="H19" s="43" t="s">
        <v>249</v>
      </c>
      <c r="I19" s="43" t="s">
        <v>396</v>
      </c>
      <c r="J19" s="49">
        <v>0.2</v>
      </c>
      <c r="K19" s="50">
        <f t="shared" si="1"/>
        <v>1</v>
      </c>
    </row>
    <row r="20" spans="2:11" ht="15" customHeight="1">
      <c r="B20" s="27">
        <v>1</v>
      </c>
      <c r="C20" s="18" t="s">
        <v>469</v>
      </c>
      <c r="D20" s="27">
        <v>4</v>
      </c>
      <c r="E20" s="10" t="s">
        <v>457</v>
      </c>
      <c r="F20" s="18" t="s">
        <v>258</v>
      </c>
      <c r="G20" s="43" t="s">
        <v>241</v>
      </c>
      <c r="H20" s="43" t="s">
        <v>249</v>
      </c>
      <c r="I20" s="43" t="s">
        <v>395</v>
      </c>
      <c r="J20" s="49">
        <v>0.4</v>
      </c>
      <c r="K20" s="50">
        <f t="shared" si="1"/>
        <v>2</v>
      </c>
    </row>
    <row r="21" spans="2:11" ht="15" customHeight="1">
      <c r="B21" s="27">
        <v>1</v>
      </c>
      <c r="C21" s="18" t="s">
        <v>469</v>
      </c>
      <c r="D21" s="27">
        <v>5</v>
      </c>
      <c r="E21" s="10" t="s">
        <v>472</v>
      </c>
      <c r="F21" s="18" t="s">
        <v>459</v>
      </c>
      <c r="G21" s="43" t="s">
        <v>242</v>
      </c>
      <c r="H21" s="43" t="s">
        <v>249</v>
      </c>
      <c r="I21" s="43" t="s">
        <v>395</v>
      </c>
      <c r="J21" s="49">
        <v>1.7</v>
      </c>
      <c r="K21" s="50">
        <f t="shared" si="1"/>
        <v>8.5</v>
      </c>
    </row>
    <row r="22" spans="2:11" ht="15" customHeight="1">
      <c r="B22" s="27">
        <v>1</v>
      </c>
      <c r="C22" s="18" t="s">
        <v>469</v>
      </c>
      <c r="D22" s="27">
        <v>6</v>
      </c>
      <c r="E22" s="10" t="s">
        <v>473</v>
      </c>
      <c r="F22" s="18" t="s">
        <v>459</v>
      </c>
      <c r="G22" s="43" t="s">
        <v>241</v>
      </c>
      <c r="H22" s="43" t="s">
        <v>249</v>
      </c>
      <c r="I22" s="43" t="s">
        <v>395</v>
      </c>
      <c r="J22" s="49">
        <v>3.2</v>
      </c>
      <c r="K22" s="50">
        <f t="shared" si="1"/>
        <v>16</v>
      </c>
    </row>
    <row r="23" spans="2:11" ht="15" customHeight="1">
      <c r="B23" s="27">
        <v>1</v>
      </c>
      <c r="C23" s="18" t="s">
        <v>469</v>
      </c>
      <c r="D23" s="27">
        <v>7</v>
      </c>
      <c r="E23" s="10" t="s">
        <v>473</v>
      </c>
      <c r="F23" s="18" t="s">
        <v>459</v>
      </c>
      <c r="G23" s="43" t="s">
        <v>240</v>
      </c>
      <c r="H23" s="43" t="s">
        <v>249</v>
      </c>
      <c r="I23" s="43" t="s">
        <v>395</v>
      </c>
      <c r="J23" s="49">
        <v>3.5</v>
      </c>
      <c r="K23" s="50">
        <f t="shared" si="1"/>
        <v>17.5</v>
      </c>
    </row>
    <row r="24" spans="2:11" ht="15" customHeight="1">
      <c r="B24" s="27">
        <v>1</v>
      </c>
      <c r="C24" s="18" t="s">
        <v>469</v>
      </c>
      <c r="D24" s="27">
        <v>8</v>
      </c>
      <c r="E24" s="10" t="s">
        <v>473</v>
      </c>
      <c r="F24" s="18" t="s">
        <v>459</v>
      </c>
      <c r="G24" s="43" t="s">
        <v>241</v>
      </c>
      <c r="H24" s="43" t="s">
        <v>251</v>
      </c>
      <c r="I24" s="43" t="s">
        <v>395</v>
      </c>
      <c r="J24" s="49">
        <v>1.6</v>
      </c>
      <c r="K24" s="50">
        <f t="shared" si="1"/>
        <v>8</v>
      </c>
    </row>
    <row r="25" spans="2:11" ht="15" customHeight="1">
      <c r="B25" s="27">
        <v>1</v>
      </c>
      <c r="C25" s="18" t="s">
        <v>469</v>
      </c>
      <c r="D25" s="27">
        <v>9</v>
      </c>
      <c r="E25" s="10" t="s">
        <v>474</v>
      </c>
      <c r="F25" s="18" t="s">
        <v>464</v>
      </c>
      <c r="G25" s="43" t="s">
        <v>241</v>
      </c>
      <c r="H25" s="43" t="s">
        <v>249</v>
      </c>
      <c r="I25" s="43" t="s">
        <v>395</v>
      </c>
      <c r="J25" s="49">
        <v>1</v>
      </c>
      <c r="K25" s="50">
        <f t="shared" si="1"/>
        <v>5</v>
      </c>
    </row>
    <row r="26" spans="2:11" ht="15" customHeight="1">
      <c r="B26" s="27">
        <v>1</v>
      </c>
      <c r="C26" s="18" t="s">
        <v>469</v>
      </c>
      <c r="D26" s="27">
        <v>10</v>
      </c>
      <c r="E26" s="10" t="s">
        <v>475</v>
      </c>
      <c r="F26" s="18" t="s">
        <v>464</v>
      </c>
      <c r="G26" s="43" t="s">
        <v>240</v>
      </c>
      <c r="H26" s="43" t="s">
        <v>251</v>
      </c>
      <c r="I26" s="43" t="s">
        <v>395</v>
      </c>
      <c r="J26" s="49">
        <v>0.2</v>
      </c>
      <c r="K26" s="50">
        <f t="shared" si="1"/>
        <v>1</v>
      </c>
    </row>
    <row r="27" spans="2:11" ht="15" customHeight="1">
      <c r="B27" s="27">
        <v>1</v>
      </c>
      <c r="C27" s="18" t="s">
        <v>469</v>
      </c>
      <c r="D27" s="27">
        <v>11</v>
      </c>
      <c r="E27" s="10" t="s">
        <v>461</v>
      </c>
      <c r="F27" s="18" t="s">
        <v>459</v>
      </c>
      <c r="G27" s="43" t="s">
        <v>241</v>
      </c>
      <c r="H27" s="43" t="s">
        <v>250</v>
      </c>
      <c r="I27" s="43" t="s">
        <v>462</v>
      </c>
      <c r="J27" s="49">
        <v>1.9</v>
      </c>
      <c r="K27" s="50">
        <f t="shared" si="1"/>
        <v>9.5</v>
      </c>
    </row>
    <row r="28" spans="2:11" ht="15" customHeight="1">
      <c r="B28" s="27">
        <v>1</v>
      </c>
      <c r="C28" s="18" t="s">
        <v>469</v>
      </c>
      <c r="D28" s="27">
        <v>12</v>
      </c>
      <c r="E28" s="10" t="s">
        <v>476</v>
      </c>
      <c r="F28" s="18" t="s">
        <v>467</v>
      </c>
      <c r="G28" s="43" t="s">
        <v>242</v>
      </c>
      <c r="H28" s="43" t="s">
        <v>249</v>
      </c>
      <c r="I28" s="43" t="s">
        <v>395</v>
      </c>
      <c r="J28" s="49">
        <v>0</v>
      </c>
      <c r="K28" s="50">
        <f t="shared" si="1"/>
        <v>0</v>
      </c>
    </row>
    <row r="29" spans="2:11" ht="34.5" customHeight="1">
      <c r="D29" s="22" t="s">
        <v>477</v>
      </c>
      <c r="J29" s="23">
        <f>SUM(J17:J28)</f>
        <v>15.2</v>
      </c>
    </row>
    <row r="31" spans="2:11" ht="15" customHeight="1">
      <c r="B31" s="27">
        <v>2</v>
      </c>
      <c r="C31" s="18" t="s">
        <v>453</v>
      </c>
      <c r="D31" s="27">
        <v>1</v>
      </c>
      <c r="E31" s="10" t="s">
        <v>454</v>
      </c>
      <c r="F31" s="18" t="s">
        <v>455</v>
      </c>
      <c r="G31" s="43" t="s">
        <v>242</v>
      </c>
      <c r="H31" s="43" t="s">
        <v>249</v>
      </c>
      <c r="I31" s="43" t="s">
        <v>396</v>
      </c>
      <c r="J31" s="49">
        <v>0.57142857142857095</v>
      </c>
      <c r="K31" s="50">
        <f t="shared" ref="K31:K40" si="2">J31*7</f>
        <v>3.9999999999999964</v>
      </c>
    </row>
    <row r="32" spans="2:11" ht="15" customHeight="1">
      <c r="B32" s="27">
        <v>2</v>
      </c>
      <c r="C32" s="18" t="s">
        <v>453</v>
      </c>
      <c r="D32" s="27">
        <v>2</v>
      </c>
      <c r="E32" s="10" t="s">
        <v>456</v>
      </c>
      <c r="F32" s="18" t="s">
        <v>258</v>
      </c>
      <c r="G32" s="43" t="s">
        <v>242</v>
      </c>
      <c r="H32" s="43" t="s">
        <v>249</v>
      </c>
      <c r="I32" s="43" t="s">
        <v>396</v>
      </c>
      <c r="J32" s="49">
        <v>0.42857142857142899</v>
      </c>
      <c r="K32" s="50">
        <f t="shared" si="2"/>
        <v>3.0000000000000031</v>
      </c>
    </row>
    <row r="33" spans="2:11" ht="15" customHeight="1">
      <c r="B33" s="27">
        <v>2</v>
      </c>
      <c r="C33" s="18" t="s">
        <v>453</v>
      </c>
      <c r="D33" s="27">
        <v>3</v>
      </c>
      <c r="E33" s="10" t="s">
        <v>457</v>
      </c>
      <c r="F33" s="18" t="s">
        <v>258</v>
      </c>
      <c r="G33" s="43" t="s">
        <v>241</v>
      </c>
      <c r="H33" s="43" t="s">
        <v>249</v>
      </c>
      <c r="I33" s="43" t="s">
        <v>395</v>
      </c>
      <c r="J33" s="49">
        <v>1</v>
      </c>
      <c r="K33" s="50">
        <f t="shared" si="2"/>
        <v>7</v>
      </c>
    </row>
    <row r="34" spans="2:11" ht="15" customHeight="1">
      <c r="B34" s="27">
        <v>2</v>
      </c>
      <c r="C34" s="18" t="s">
        <v>453</v>
      </c>
      <c r="D34" s="27">
        <v>4</v>
      </c>
      <c r="E34" s="10" t="s">
        <v>458</v>
      </c>
      <c r="F34" s="18" t="s">
        <v>459</v>
      </c>
      <c r="G34" s="43" t="s">
        <v>242</v>
      </c>
      <c r="H34" s="43" t="s">
        <v>249</v>
      </c>
      <c r="I34" s="43" t="s">
        <v>395</v>
      </c>
      <c r="J34" s="49">
        <v>1.3571428571428601</v>
      </c>
      <c r="K34" s="50">
        <f t="shared" si="2"/>
        <v>9.5000000000000213</v>
      </c>
    </row>
    <row r="35" spans="2:11" ht="15" customHeight="1">
      <c r="B35" s="27">
        <v>2</v>
      </c>
      <c r="C35" s="18" t="s">
        <v>453</v>
      </c>
      <c r="D35" s="27">
        <v>5</v>
      </c>
      <c r="E35" s="10" t="s">
        <v>460</v>
      </c>
      <c r="F35" s="18" t="s">
        <v>459</v>
      </c>
      <c r="G35" s="43" t="s">
        <v>241</v>
      </c>
      <c r="H35" s="43" t="s">
        <v>250</v>
      </c>
      <c r="I35" s="43" t="s">
        <v>395</v>
      </c>
      <c r="J35" s="49">
        <v>0.64285714285714302</v>
      </c>
      <c r="K35" s="50">
        <f t="shared" si="2"/>
        <v>4.5000000000000009</v>
      </c>
    </row>
    <row r="36" spans="2:11" ht="15" customHeight="1">
      <c r="B36" s="27">
        <v>2</v>
      </c>
      <c r="C36" s="18" t="s">
        <v>453</v>
      </c>
      <c r="D36" s="27">
        <v>6</v>
      </c>
      <c r="E36" s="10" t="s">
        <v>460</v>
      </c>
      <c r="F36" s="18" t="s">
        <v>459</v>
      </c>
      <c r="G36" s="43" t="s">
        <v>240</v>
      </c>
      <c r="H36" s="43" t="s">
        <v>250</v>
      </c>
      <c r="I36" s="43" t="s">
        <v>395</v>
      </c>
      <c r="J36" s="49">
        <v>0.57142857142857095</v>
      </c>
      <c r="K36" s="50">
        <f t="shared" si="2"/>
        <v>3.9999999999999964</v>
      </c>
    </row>
    <row r="37" spans="2:11" ht="15" customHeight="1">
      <c r="B37" s="27">
        <v>2</v>
      </c>
      <c r="C37" s="18" t="s">
        <v>453</v>
      </c>
      <c r="D37" s="27">
        <v>7</v>
      </c>
      <c r="E37" s="10" t="s">
        <v>461</v>
      </c>
      <c r="F37" s="18" t="s">
        <v>459</v>
      </c>
      <c r="G37" s="43" t="s">
        <v>241</v>
      </c>
      <c r="H37" s="43" t="s">
        <v>250</v>
      </c>
      <c r="I37" s="43" t="s">
        <v>462</v>
      </c>
      <c r="J37" s="49">
        <v>1.1428571428571399</v>
      </c>
      <c r="K37" s="50">
        <f t="shared" si="2"/>
        <v>7.9999999999999796</v>
      </c>
    </row>
    <row r="38" spans="2:11" ht="15" customHeight="1">
      <c r="B38" s="27">
        <v>2</v>
      </c>
      <c r="C38" s="18" t="s">
        <v>453</v>
      </c>
      <c r="D38" s="27">
        <v>8</v>
      </c>
      <c r="E38" s="10" t="s">
        <v>463</v>
      </c>
      <c r="F38" s="18" t="s">
        <v>464</v>
      </c>
      <c r="G38" s="43" t="s">
        <v>241</v>
      </c>
      <c r="H38" s="43" t="s">
        <v>250</v>
      </c>
      <c r="I38" s="43" t="s">
        <v>395</v>
      </c>
      <c r="J38" s="49">
        <v>0</v>
      </c>
      <c r="K38" s="50">
        <f t="shared" si="2"/>
        <v>0</v>
      </c>
    </row>
    <row r="39" spans="2:11" ht="15" customHeight="1">
      <c r="B39" s="27">
        <v>2</v>
      </c>
      <c r="C39" s="18" t="s">
        <v>453</v>
      </c>
      <c r="D39" s="27">
        <v>9</v>
      </c>
      <c r="E39" s="10" t="s">
        <v>465</v>
      </c>
      <c r="F39" s="18" t="s">
        <v>464</v>
      </c>
      <c r="G39" s="43" t="s">
        <v>240</v>
      </c>
      <c r="H39" s="43" t="s">
        <v>250</v>
      </c>
      <c r="I39" s="43" t="s">
        <v>462</v>
      </c>
      <c r="J39" s="49">
        <v>0.71428571428571397</v>
      </c>
      <c r="K39" s="50">
        <f t="shared" si="2"/>
        <v>4.9999999999999982</v>
      </c>
    </row>
    <row r="40" spans="2:11" ht="15" customHeight="1">
      <c r="B40" s="27">
        <v>2</v>
      </c>
      <c r="C40" s="18" t="s">
        <v>453</v>
      </c>
      <c r="D40" s="27">
        <v>10</v>
      </c>
      <c r="E40" s="10" t="s">
        <v>466</v>
      </c>
      <c r="F40" s="18" t="s">
        <v>467</v>
      </c>
      <c r="G40" s="43" t="s">
        <v>243</v>
      </c>
      <c r="H40" s="43" t="s">
        <v>249</v>
      </c>
      <c r="I40" s="43" t="s">
        <v>395</v>
      </c>
      <c r="J40" s="49">
        <v>0.71428571428571397</v>
      </c>
      <c r="K40" s="50">
        <f t="shared" si="2"/>
        <v>4.9999999999999982</v>
      </c>
    </row>
    <row r="41" spans="2:11" ht="34.5" customHeight="1">
      <c r="D41" s="22" t="s">
        <v>478</v>
      </c>
      <c r="J41" s="23">
        <f>SUM(J31:J40)</f>
        <v>7.1428571428571423</v>
      </c>
    </row>
    <row r="43" spans="2:11" ht="15" customHeight="1">
      <c r="B43" s="27">
        <v>2</v>
      </c>
      <c r="C43" s="18" t="s">
        <v>469</v>
      </c>
      <c r="D43" s="27">
        <v>1</v>
      </c>
      <c r="E43" s="10" t="s">
        <v>454</v>
      </c>
      <c r="F43" s="18" t="s">
        <v>455</v>
      </c>
      <c r="G43" s="43" t="s">
        <v>242</v>
      </c>
      <c r="H43" s="43" t="s">
        <v>249</v>
      </c>
      <c r="I43" s="43" t="s">
        <v>396</v>
      </c>
      <c r="J43" s="49">
        <v>0</v>
      </c>
      <c r="K43" s="50">
        <f t="shared" ref="K43:K54" si="3">J43*2</f>
        <v>0</v>
      </c>
    </row>
    <row r="44" spans="2:11" ht="15" customHeight="1">
      <c r="B44" s="27">
        <v>2</v>
      </c>
      <c r="C44" s="18" t="s">
        <v>469</v>
      </c>
      <c r="D44" s="27">
        <v>2</v>
      </c>
      <c r="E44" s="10" t="s">
        <v>456</v>
      </c>
      <c r="F44" s="18" t="s">
        <v>258</v>
      </c>
      <c r="G44" s="43" t="s">
        <v>242</v>
      </c>
      <c r="H44" s="43" t="s">
        <v>249</v>
      </c>
      <c r="I44" s="43" t="s">
        <v>396</v>
      </c>
      <c r="J44" s="49">
        <v>0</v>
      </c>
      <c r="K44" s="50">
        <f t="shared" si="3"/>
        <v>0</v>
      </c>
    </row>
    <row r="45" spans="2:11" ht="15" customHeight="1">
      <c r="B45" s="27">
        <v>2</v>
      </c>
      <c r="C45" s="18" t="s">
        <v>469</v>
      </c>
      <c r="D45" s="27">
        <v>3</v>
      </c>
      <c r="E45" s="10" t="s">
        <v>470</v>
      </c>
      <c r="F45" s="18" t="s">
        <v>471</v>
      </c>
      <c r="G45" s="43" t="s">
        <v>241</v>
      </c>
      <c r="H45" s="43" t="s">
        <v>249</v>
      </c>
      <c r="I45" s="43" t="s">
        <v>396</v>
      </c>
      <c r="J45" s="49">
        <v>0.5</v>
      </c>
      <c r="K45" s="50">
        <f t="shared" si="3"/>
        <v>1</v>
      </c>
    </row>
    <row r="46" spans="2:11" ht="15" customHeight="1">
      <c r="B46" s="27">
        <v>2</v>
      </c>
      <c r="C46" s="18" t="s">
        <v>469</v>
      </c>
      <c r="D46" s="27">
        <v>4</v>
      </c>
      <c r="E46" s="10" t="s">
        <v>457</v>
      </c>
      <c r="F46" s="18" t="s">
        <v>258</v>
      </c>
      <c r="G46" s="43" t="s">
        <v>241</v>
      </c>
      <c r="H46" s="43" t="s">
        <v>249</v>
      </c>
      <c r="I46" s="43" t="s">
        <v>395</v>
      </c>
      <c r="J46" s="49">
        <v>0.5</v>
      </c>
      <c r="K46" s="50">
        <f t="shared" si="3"/>
        <v>1</v>
      </c>
    </row>
    <row r="47" spans="2:11" ht="15" customHeight="1">
      <c r="B47" s="27">
        <v>2</v>
      </c>
      <c r="C47" s="18" t="s">
        <v>469</v>
      </c>
      <c r="D47" s="27">
        <v>5</v>
      </c>
      <c r="E47" s="10" t="s">
        <v>472</v>
      </c>
      <c r="F47" s="18" t="s">
        <v>459</v>
      </c>
      <c r="G47" s="43" t="s">
        <v>242</v>
      </c>
      <c r="H47" s="43" t="s">
        <v>249</v>
      </c>
      <c r="I47" s="43" t="s">
        <v>395</v>
      </c>
      <c r="J47" s="49">
        <v>0.5</v>
      </c>
      <c r="K47" s="50">
        <f t="shared" si="3"/>
        <v>1</v>
      </c>
    </row>
    <row r="48" spans="2:11" ht="15" customHeight="1">
      <c r="B48" s="27">
        <v>2</v>
      </c>
      <c r="C48" s="18" t="s">
        <v>469</v>
      </c>
      <c r="D48" s="27">
        <v>6</v>
      </c>
      <c r="E48" s="10" t="s">
        <v>473</v>
      </c>
      <c r="F48" s="18" t="s">
        <v>459</v>
      </c>
      <c r="G48" s="43" t="s">
        <v>241</v>
      </c>
      <c r="H48" s="43" t="s">
        <v>249</v>
      </c>
      <c r="I48" s="43" t="s">
        <v>395</v>
      </c>
      <c r="J48" s="49">
        <v>2</v>
      </c>
      <c r="K48" s="50">
        <f t="shared" si="3"/>
        <v>4</v>
      </c>
    </row>
    <row r="49" spans="2:11" ht="15" customHeight="1">
      <c r="B49" s="27">
        <v>2</v>
      </c>
      <c r="C49" s="18" t="s">
        <v>469</v>
      </c>
      <c r="D49" s="27">
        <v>7</v>
      </c>
      <c r="E49" s="10" t="s">
        <v>473</v>
      </c>
      <c r="F49" s="18" t="s">
        <v>459</v>
      </c>
      <c r="G49" s="43" t="s">
        <v>240</v>
      </c>
      <c r="H49" s="43" t="s">
        <v>249</v>
      </c>
      <c r="I49" s="43" t="s">
        <v>395</v>
      </c>
      <c r="J49" s="49">
        <v>2.75</v>
      </c>
      <c r="K49" s="50">
        <f t="shared" si="3"/>
        <v>5.5</v>
      </c>
    </row>
    <row r="50" spans="2:11" ht="15" customHeight="1">
      <c r="B50" s="27">
        <v>2</v>
      </c>
      <c r="C50" s="18" t="s">
        <v>469</v>
      </c>
      <c r="D50" s="27">
        <v>8</v>
      </c>
      <c r="E50" s="10" t="s">
        <v>473</v>
      </c>
      <c r="F50" s="18" t="s">
        <v>459</v>
      </c>
      <c r="G50" s="43" t="s">
        <v>241</v>
      </c>
      <c r="H50" s="43" t="s">
        <v>251</v>
      </c>
      <c r="I50" s="43" t="s">
        <v>395</v>
      </c>
      <c r="J50" s="49">
        <v>0.75</v>
      </c>
      <c r="K50" s="50">
        <f t="shared" si="3"/>
        <v>1.5</v>
      </c>
    </row>
    <row r="51" spans="2:11" ht="15" customHeight="1">
      <c r="B51" s="27">
        <v>2</v>
      </c>
      <c r="C51" s="18" t="s">
        <v>469</v>
      </c>
      <c r="D51" s="27">
        <v>9</v>
      </c>
      <c r="E51" s="10" t="s">
        <v>474</v>
      </c>
      <c r="F51" s="18" t="s">
        <v>464</v>
      </c>
      <c r="G51" s="43" t="s">
        <v>241</v>
      </c>
      <c r="H51" s="43" t="s">
        <v>249</v>
      </c>
      <c r="I51" s="43" t="s">
        <v>395</v>
      </c>
      <c r="J51" s="49">
        <v>1</v>
      </c>
      <c r="K51" s="50">
        <f t="shared" si="3"/>
        <v>2</v>
      </c>
    </row>
    <row r="52" spans="2:11" ht="15" customHeight="1">
      <c r="B52" s="27">
        <v>2</v>
      </c>
      <c r="C52" s="18" t="s">
        <v>469</v>
      </c>
      <c r="D52" s="27">
        <v>10</v>
      </c>
      <c r="E52" s="10" t="s">
        <v>475</v>
      </c>
      <c r="F52" s="18" t="s">
        <v>464</v>
      </c>
      <c r="G52" s="43" t="s">
        <v>240</v>
      </c>
      <c r="H52" s="43" t="s">
        <v>251</v>
      </c>
      <c r="I52" s="43" t="s">
        <v>395</v>
      </c>
      <c r="J52" s="49">
        <v>1</v>
      </c>
      <c r="K52" s="50">
        <f t="shared" si="3"/>
        <v>2</v>
      </c>
    </row>
    <row r="53" spans="2:11" ht="15" customHeight="1">
      <c r="B53" s="27">
        <v>2</v>
      </c>
      <c r="C53" s="18" t="s">
        <v>469</v>
      </c>
      <c r="D53" s="27">
        <v>11</v>
      </c>
      <c r="E53" s="10" t="s">
        <v>461</v>
      </c>
      <c r="F53" s="18" t="s">
        <v>459</v>
      </c>
      <c r="G53" s="43" t="s">
        <v>241</v>
      </c>
      <c r="H53" s="43" t="s">
        <v>250</v>
      </c>
      <c r="I53" s="43" t="s">
        <v>462</v>
      </c>
      <c r="J53" s="49">
        <v>1.25</v>
      </c>
      <c r="K53" s="50">
        <f t="shared" si="3"/>
        <v>2.5</v>
      </c>
    </row>
    <row r="54" spans="2:11" ht="15" customHeight="1">
      <c r="B54" s="27">
        <v>2</v>
      </c>
      <c r="C54" s="18" t="s">
        <v>469</v>
      </c>
      <c r="D54" s="27">
        <v>12</v>
      </c>
      <c r="E54" s="10" t="s">
        <v>476</v>
      </c>
      <c r="F54" s="18" t="s">
        <v>467</v>
      </c>
      <c r="G54" s="43" t="s">
        <v>242</v>
      </c>
      <c r="H54" s="43" t="s">
        <v>249</v>
      </c>
      <c r="I54" s="43" t="s">
        <v>395</v>
      </c>
      <c r="J54" s="49">
        <v>0.5</v>
      </c>
      <c r="K54" s="50">
        <f t="shared" si="3"/>
        <v>1</v>
      </c>
    </row>
    <row r="55" spans="2:11" ht="34.5" customHeight="1">
      <c r="D55" s="22" t="s">
        <v>479</v>
      </c>
      <c r="J55" s="23">
        <f>SUM(J43:J54)</f>
        <v>10.75</v>
      </c>
    </row>
    <row r="57" spans="2:11" ht="15" customHeight="1">
      <c r="B57" s="27">
        <v>3</v>
      </c>
      <c r="C57" s="18" t="s">
        <v>453</v>
      </c>
      <c r="D57" s="27">
        <v>1</v>
      </c>
      <c r="E57" s="10" t="s">
        <v>454</v>
      </c>
      <c r="F57" s="18" t="s">
        <v>455</v>
      </c>
      <c r="G57" s="43" t="s">
        <v>242</v>
      </c>
      <c r="H57" s="43" t="s">
        <v>249</v>
      </c>
      <c r="I57" s="43" t="s">
        <v>396</v>
      </c>
      <c r="J57" s="49">
        <v>0.61111111111111105</v>
      </c>
      <c r="K57" s="50">
        <f t="shared" ref="K57:K66" si="4">J57*9</f>
        <v>5.4999999999999991</v>
      </c>
    </row>
    <row r="58" spans="2:11" ht="15" customHeight="1">
      <c r="B58" s="27">
        <v>3</v>
      </c>
      <c r="C58" s="18" t="s">
        <v>453</v>
      </c>
      <c r="D58" s="27">
        <v>2</v>
      </c>
      <c r="E58" s="10" t="s">
        <v>456</v>
      </c>
      <c r="F58" s="18" t="s">
        <v>258</v>
      </c>
      <c r="G58" s="43" t="s">
        <v>242</v>
      </c>
      <c r="H58" s="43" t="s">
        <v>249</v>
      </c>
      <c r="I58" s="43" t="s">
        <v>396</v>
      </c>
      <c r="J58" s="49">
        <v>0.38888888888888901</v>
      </c>
      <c r="K58" s="50">
        <f t="shared" si="4"/>
        <v>3.5000000000000009</v>
      </c>
    </row>
    <row r="59" spans="2:11" ht="15" customHeight="1">
      <c r="B59" s="27">
        <v>3</v>
      </c>
      <c r="C59" s="18" t="s">
        <v>453</v>
      </c>
      <c r="D59" s="27">
        <v>3</v>
      </c>
      <c r="E59" s="10" t="s">
        <v>457</v>
      </c>
      <c r="F59" s="18" t="s">
        <v>258</v>
      </c>
      <c r="G59" s="43" t="s">
        <v>241</v>
      </c>
      <c r="H59" s="43" t="s">
        <v>249</v>
      </c>
      <c r="I59" s="43" t="s">
        <v>395</v>
      </c>
      <c r="J59" s="49">
        <v>0.55555555555555602</v>
      </c>
      <c r="K59" s="50">
        <f t="shared" si="4"/>
        <v>5.0000000000000044</v>
      </c>
    </row>
    <row r="60" spans="2:11" ht="15" customHeight="1">
      <c r="B60" s="27">
        <v>3</v>
      </c>
      <c r="C60" s="18" t="s">
        <v>453</v>
      </c>
      <c r="D60" s="27">
        <v>4</v>
      </c>
      <c r="E60" s="10" t="s">
        <v>458</v>
      </c>
      <c r="F60" s="18" t="s">
        <v>459</v>
      </c>
      <c r="G60" s="43" t="s">
        <v>242</v>
      </c>
      <c r="H60" s="43" t="s">
        <v>249</v>
      </c>
      <c r="I60" s="43" t="s">
        <v>395</v>
      </c>
      <c r="J60" s="49">
        <v>1</v>
      </c>
      <c r="K60" s="50">
        <f t="shared" si="4"/>
        <v>9</v>
      </c>
    </row>
    <row r="61" spans="2:11" ht="15" customHeight="1">
      <c r="B61" s="27">
        <v>3</v>
      </c>
      <c r="C61" s="18" t="s">
        <v>453</v>
      </c>
      <c r="D61" s="27">
        <v>5</v>
      </c>
      <c r="E61" s="10" t="s">
        <v>460</v>
      </c>
      <c r="F61" s="18" t="s">
        <v>459</v>
      </c>
      <c r="G61" s="43" t="s">
        <v>241</v>
      </c>
      <c r="H61" s="43" t="s">
        <v>250</v>
      </c>
      <c r="I61" s="43" t="s">
        <v>395</v>
      </c>
      <c r="J61" s="49">
        <v>0.94444444444444398</v>
      </c>
      <c r="K61" s="50">
        <f t="shared" si="4"/>
        <v>8.4999999999999964</v>
      </c>
    </row>
    <row r="62" spans="2:11" ht="15" customHeight="1">
      <c r="B62" s="27">
        <v>3</v>
      </c>
      <c r="C62" s="18" t="s">
        <v>453</v>
      </c>
      <c r="D62" s="27">
        <v>6</v>
      </c>
      <c r="E62" s="10" t="s">
        <v>460</v>
      </c>
      <c r="F62" s="18" t="s">
        <v>459</v>
      </c>
      <c r="G62" s="43" t="s">
        <v>240</v>
      </c>
      <c r="H62" s="43" t="s">
        <v>250</v>
      </c>
      <c r="I62" s="43" t="s">
        <v>395</v>
      </c>
      <c r="J62" s="49">
        <v>0.61111111111111105</v>
      </c>
      <c r="K62" s="50">
        <f t="shared" si="4"/>
        <v>5.4999999999999991</v>
      </c>
    </row>
    <row r="63" spans="2:11" ht="15" customHeight="1">
      <c r="B63" s="27">
        <v>3</v>
      </c>
      <c r="C63" s="18" t="s">
        <v>453</v>
      </c>
      <c r="D63" s="27">
        <v>7</v>
      </c>
      <c r="E63" s="10" t="s">
        <v>461</v>
      </c>
      <c r="F63" s="18" t="s">
        <v>459</v>
      </c>
      <c r="G63" s="43" t="s">
        <v>241</v>
      </c>
      <c r="H63" s="43" t="s">
        <v>250</v>
      </c>
      <c r="I63" s="43" t="s">
        <v>462</v>
      </c>
      <c r="J63" s="49">
        <v>1</v>
      </c>
      <c r="K63" s="50">
        <f t="shared" si="4"/>
        <v>9</v>
      </c>
    </row>
    <row r="64" spans="2:11" ht="15" customHeight="1">
      <c r="B64" s="27">
        <v>3</v>
      </c>
      <c r="C64" s="18" t="s">
        <v>453</v>
      </c>
      <c r="D64" s="27">
        <v>8</v>
      </c>
      <c r="E64" s="10" t="s">
        <v>463</v>
      </c>
      <c r="F64" s="18" t="s">
        <v>464</v>
      </c>
      <c r="G64" s="43" t="s">
        <v>241</v>
      </c>
      <c r="H64" s="43" t="s">
        <v>250</v>
      </c>
      <c r="I64" s="43" t="s">
        <v>395</v>
      </c>
      <c r="J64" s="49">
        <v>0</v>
      </c>
      <c r="K64" s="50">
        <f t="shared" si="4"/>
        <v>0</v>
      </c>
    </row>
    <row r="65" spans="2:11" ht="15" customHeight="1">
      <c r="B65" s="27">
        <v>3</v>
      </c>
      <c r="C65" s="18" t="s">
        <v>453</v>
      </c>
      <c r="D65" s="27">
        <v>9</v>
      </c>
      <c r="E65" s="10" t="s">
        <v>465</v>
      </c>
      <c r="F65" s="18" t="s">
        <v>464</v>
      </c>
      <c r="G65" s="43" t="s">
        <v>240</v>
      </c>
      <c r="H65" s="43" t="s">
        <v>250</v>
      </c>
      <c r="I65" s="43" t="s">
        <v>462</v>
      </c>
      <c r="J65" s="49">
        <v>0.5</v>
      </c>
      <c r="K65" s="50">
        <f t="shared" si="4"/>
        <v>4.5</v>
      </c>
    </row>
    <row r="66" spans="2:11" ht="15" customHeight="1">
      <c r="B66" s="27">
        <v>3</v>
      </c>
      <c r="C66" s="18" t="s">
        <v>453</v>
      </c>
      <c r="D66" s="27">
        <v>10</v>
      </c>
      <c r="E66" s="10" t="s">
        <v>466</v>
      </c>
      <c r="F66" s="18" t="s">
        <v>467</v>
      </c>
      <c r="G66" s="43" t="s">
        <v>243</v>
      </c>
      <c r="H66" s="43" t="s">
        <v>249</v>
      </c>
      <c r="I66" s="43" t="s">
        <v>395</v>
      </c>
      <c r="J66" s="49">
        <v>0.77777777777777801</v>
      </c>
      <c r="K66" s="50">
        <f t="shared" si="4"/>
        <v>7.0000000000000018</v>
      </c>
    </row>
    <row r="67" spans="2:11" ht="34.5" customHeight="1">
      <c r="D67" s="22" t="s">
        <v>480</v>
      </c>
      <c r="J67" s="23">
        <f>SUM(J57:J66)</f>
        <v>6.3888888888888884</v>
      </c>
    </row>
    <row r="69" spans="2:11" ht="15" customHeight="1">
      <c r="B69" s="27">
        <v>4</v>
      </c>
      <c r="C69" s="18" t="s">
        <v>453</v>
      </c>
      <c r="D69" s="27">
        <v>1</v>
      </c>
      <c r="E69" s="10" t="s">
        <v>454</v>
      </c>
      <c r="F69" s="18" t="s">
        <v>455</v>
      </c>
      <c r="G69" s="43" t="s">
        <v>242</v>
      </c>
      <c r="H69" s="43" t="s">
        <v>249</v>
      </c>
      <c r="I69" s="43" t="s">
        <v>396</v>
      </c>
      <c r="J69" s="49">
        <v>0.5</v>
      </c>
      <c r="K69" s="50">
        <f t="shared" ref="K69:K78" si="5">J69*9</f>
        <v>4.5</v>
      </c>
    </row>
    <row r="70" spans="2:11" ht="15" customHeight="1">
      <c r="B70" s="27">
        <v>4</v>
      </c>
      <c r="C70" s="18" t="s">
        <v>453</v>
      </c>
      <c r="D70" s="27">
        <v>2</v>
      </c>
      <c r="E70" s="10" t="s">
        <v>456</v>
      </c>
      <c r="F70" s="18" t="s">
        <v>258</v>
      </c>
      <c r="G70" s="43" t="s">
        <v>242</v>
      </c>
      <c r="H70" s="43" t="s">
        <v>249</v>
      </c>
      <c r="I70" s="43" t="s">
        <v>396</v>
      </c>
      <c r="J70" s="49">
        <v>0.61111111111111105</v>
      </c>
      <c r="K70" s="50">
        <f t="shared" si="5"/>
        <v>5.4999999999999991</v>
      </c>
    </row>
    <row r="71" spans="2:11" ht="15" customHeight="1">
      <c r="B71" s="27">
        <v>4</v>
      </c>
      <c r="C71" s="18" t="s">
        <v>453</v>
      </c>
      <c r="D71" s="27">
        <v>3</v>
      </c>
      <c r="E71" s="10" t="s">
        <v>457</v>
      </c>
      <c r="F71" s="18" t="s">
        <v>258</v>
      </c>
      <c r="G71" s="43" t="s">
        <v>241</v>
      </c>
      <c r="H71" s="43" t="s">
        <v>249</v>
      </c>
      <c r="I71" s="43" t="s">
        <v>395</v>
      </c>
      <c r="J71" s="49">
        <v>0.44444444444444398</v>
      </c>
      <c r="K71" s="50">
        <f t="shared" si="5"/>
        <v>3.9999999999999956</v>
      </c>
    </row>
    <row r="72" spans="2:11" ht="15" customHeight="1">
      <c r="B72" s="27">
        <v>4</v>
      </c>
      <c r="C72" s="18" t="s">
        <v>453</v>
      </c>
      <c r="D72" s="27">
        <v>4</v>
      </c>
      <c r="E72" s="10" t="s">
        <v>458</v>
      </c>
      <c r="F72" s="18" t="s">
        <v>459</v>
      </c>
      <c r="G72" s="43" t="s">
        <v>242</v>
      </c>
      <c r="H72" s="43" t="s">
        <v>249</v>
      </c>
      <c r="I72" s="43" t="s">
        <v>395</v>
      </c>
      <c r="J72" s="49">
        <v>0.55555555555555602</v>
      </c>
      <c r="K72" s="50">
        <f t="shared" si="5"/>
        <v>5.0000000000000044</v>
      </c>
    </row>
    <row r="73" spans="2:11" ht="15" customHeight="1">
      <c r="B73" s="27">
        <v>4</v>
      </c>
      <c r="C73" s="18" t="s">
        <v>453</v>
      </c>
      <c r="D73" s="27">
        <v>5</v>
      </c>
      <c r="E73" s="10" t="s">
        <v>460</v>
      </c>
      <c r="F73" s="18" t="s">
        <v>459</v>
      </c>
      <c r="G73" s="43" t="s">
        <v>241</v>
      </c>
      <c r="H73" s="43" t="s">
        <v>250</v>
      </c>
      <c r="I73" s="43" t="s">
        <v>395</v>
      </c>
      <c r="J73" s="49">
        <v>0.5</v>
      </c>
      <c r="K73" s="50">
        <f t="shared" si="5"/>
        <v>4.5</v>
      </c>
    </row>
    <row r="74" spans="2:11" ht="15" customHeight="1">
      <c r="B74" s="27">
        <v>4</v>
      </c>
      <c r="C74" s="18" t="s">
        <v>453</v>
      </c>
      <c r="D74" s="27">
        <v>6</v>
      </c>
      <c r="E74" s="10" t="s">
        <v>460</v>
      </c>
      <c r="F74" s="18" t="s">
        <v>459</v>
      </c>
      <c r="G74" s="43" t="s">
        <v>240</v>
      </c>
      <c r="H74" s="43" t="s">
        <v>250</v>
      </c>
      <c r="I74" s="43" t="s">
        <v>395</v>
      </c>
      <c r="J74" s="49">
        <v>1.1111111111111101</v>
      </c>
      <c r="K74" s="50">
        <f t="shared" si="5"/>
        <v>9.9999999999999911</v>
      </c>
    </row>
    <row r="75" spans="2:11" ht="15" customHeight="1">
      <c r="B75" s="27">
        <v>4</v>
      </c>
      <c r="C75" s="18" t="s">
        <v>453</v>
      </c>
      <c r="D75" s="27">
        <v>7</v>
      </c>
      <c r="E75" s="10" t="s">
        <v>461</v>
      </c>
      <c r="F75" s="18" t="s">
        <v>459</v>
      </c>
      <c r="G75" s="43" t="s">
        <v>241</v>
      </c>
      <c r="H75" s="43" t="s">
        <v>250</v>
      </c>
      <c r="I75" s="43" t="s">
        <v>462</v>
      </c>
      <c r="J75" s="49">
        <v>0.61111111111111105</v>
      </c>
      <c r="K75" s="50">
        <f t="shared" si="5"/>
        <v>5.4999999999999991</v>
      </c>
    </row>
    <row r="76" spans="2:11" ht="15" customHeight="1">
      <c r="B76" s="27">
        <v>4</v>
      </c>
      <c r="C76" s="18" t="s">
        <v>453</v>
      </c>
      <c r="D76" s="27">
        <v>8</v>
      </c>
      <c r="E76" s="10" t="s">
        <v>463</v>
      </c>
      <c r="F76" s="18" t="s">
        <v>464</v>
      </c>
      <c r="G76" s="43" t="s">
        <v>241</v>
      </c>
      <c r="H76" s="43" t="s">
        <v>250</v>
      </c>
      <c r="I76" s="43" t="s">
        <v>395</v>
      </c>
      <c r="J76" s="49">
        <v>0.22222222222222199</v>
      </c>
      <c r="K76" s="50">
        <f t="shared" si="5"/>
        <v>1.9999999999999978</v>
      </c>
    </row>
    <row r="77" spans="2:11" ht="15" customHeight="1">
      <c r="B77" s="27">
        <v>4</v>
      </c>
      <c r="C77" s="18" t="s">
        <v>453</v>
      </c>
      <c r="D77" s="27">
        <v>9</v>
      </c>
      <c r="E77" s="10" t="s">
        <v>465</v>
      </c>
      <c r="F77" s="18" t="s">
        <v>464</v>
      </c>
      <c r="G77" s="43" t="s">
        <v>240</v>
      </c>
      <c r="H77" s="43" t="s">
        <v>250</v>
      </c>
      <c r="I77" s="43" t="s">
        <v>462</v>
      </c>
      <c r="J77" s="49">
        <v>0.61111111111111105</v>
      </c>
      <c r="K77" s="50">
        <f t="shared" si="5"/>
        <v>5.4999999999999991</v>
      </c>
    </row>
    <row r="78" spans="2:11" ht="15" customHeight="1">
      <c r="B78" s="27">
        <v>4</v>
      </c>
      <c r="C78" s="18" t="s">
        <v>453</v>
      </c>
      <c r="D78" s="27">
        <v>10</v>
      </c>
      <c r="E78" s="10" t="s">
        <v>466</v>
      </c>
      <c r="F78" s="18" t="s">
        <v>467</v>
      </c>
      <c r="G78" s="43" t="s">
        <v>243</v>
      </c>
      <c r="H78" s="43" t="s">
        <v>249</v>
      </c>
      <c r="I78" s="43" t="s">
        <v>395</v>
      </c>
      <c r="J78" s="49">
        <v>0.16666666666666699</v>
      </c>
      <c r="K78" s="50">
        <f t="shared" si="5"/>
        <v>1.5000000000000029</v>
      </c>
    </row>
    <row r="79" spans="2:11" ht="34.5" customHeight="1">
      <c r="D79" s="22" t="s">
        <v>481</v>
      </c>
      <c r="J79" s="23">
        <f>SUM(J69:J78)</f>
        <v>5.3333333333333321</v>
      </c>
    </row>
    <row r="81" spans="2:11" ht="15" customHeight="1">
      <c r="B81" s="27">
        <v>5</v>
      </c>
      <c r="C81" s="18" t="s">
        <v>453</v>
      </c>
      <c r="D81" s="27">
        <v>1</v>
      </c>
      <c r="E81" s="10" t="s">
        <v>454</v>
      </c>
      <c r="F81" s="18" t="s">
        <v>455</v>
      </c>
      <c r="G81" s="43" t="s">
        <v>242</v>
      </c>
      <c r="H81" s="43" t="s">
        <v>249</v>
      </c>
      <c r="I81" s="43" t="s">
        <v>396</v>
      </c>
      <c r="J81" s="49">
        <v>0.5</v>
      </c>
      <c r="K81" s="50">
        <f t="shared" ref="K81:K90" si="6">J81*8</f>
        <v>4</v>
      </c>
    </row>
    <row r="82" spans="2:11" ht="15" customHeight="1">
      <c r="B82" s="27">
        <v>5</v>
      </c>
      <c r="C82" s="18" t="s">
        <v>453</v>
      </c>
      <c r="D82" s="27">
        <v>2</v>
      </c>
      <c r="E82" s="10" t="s">
        <v>456</v>
      </c>
      <c r="F82" s="18" t="s">
        <v>258</v>
      </c>
      <c r="G82" s="43" t="s">
        <v>242</v>
      </c>
      <c r="H82" s="43" t="s">
        <v>249</v>
      </c>
      <c r="I82" s="43" t="s">
        <v>396</v>
      </c>
      <c r="J82" s="49">
        <v>0.5</v>
      </c>
      <c r="K82" s="50">
        <f t="shared" si="6"/>
        <v>4</v>
      </c>
    </row>
    <row r="83" spans="2:11" ht="15" customHeight="1">
      <c r="B83" s="27">
        <v>5</v>
      </c>
      <c r="C83" s="18" t="s">
        <v>453</v>
      </c>
      <c r="D83" s="27">
        <v>3</v>
      </c>
      <c r="E83" s="10" t="s">
        <v>457</v>
      </c>
      <c r="F83" s="18" t="s">
        <v>258</v>
      </c>
      <c r="G83" s="43" t="s">
        <v>241</v>
      </c>
      <c r="H83" s="43" t="s">
        <v>249</v>
      </c>
      <c r="I83" s="43" t="s">
        <v>395</v>
      </c>
      <c r="J83" s="49">
        <v>0.1875</v>
      </c>
      <c r="K83" s="50">
        <f t="shared" si="6"/>
        <v>1.5</v>
      </c>
    </row>
    <row r="84" spans="2:11" ht="15" customHeight="1">
      <c r="B84" s="27">
        <v>5</v>
      </c>
      <c r="C84" s="18" t="s">
        <v>453</v>
      </c>
      <c r="D84" s="27">
        <v>4</v>
      </c>
      <c r="E84" s="10" t="s">
        <v>458</v>
      </c>
      <c r="F84" s="18" t="s">
        <v>459</v>
      </c>
      <c r="G84" s="43" t="s">
        <v>242</v>
      </c>
      <c r="H84" s="43" t="s">
        <v>249</v>
      </c>
      <c r="I84" s="43" t="s">
        <v>395</v>
      </c>
      <c r="J84" s="49">
        <v>0.4375</v>
      </c>
      <c r="K84" s="50">
        <f t="shared" si="6"/>
        <v>3.5</v>
      </c>
    </row>
    <row r="85" spans="2:11" ht="15" customHeight="1">
      <c r="B85" s="27">
        <v>5</v>
      </c>
      <c r="C85" s="18" t="s">
        <v>453</v>
      </c>
      <c r="D85" s="27">
        <v>5</v>
      </c>
      <c r="E85" s="10" t="s">
        <v>460</v>
      </c>
      <c r="F85" s="18" t="s">
        <v>459</v>
      </c>
      <c r="G85" s="43" t="s">
        <v>241</v>
      </c>
      <c r="H85" s="43" t="s">
        <v>250</v>
      </c>
      <c r="I85" s="43" t="s">
        <v>395</v>
      </c>
      <c r="J85" s="49">
        <v>0.5</v>
      </c>
      <c r="K85" s="50">
        <f t="shared" si="6"/>
        <v>4</v>
      </c>
    </row>
    <row r="86" spans="2:11" ht="15" customHeight="1">
      <c r="B86" s="27">
        <v>5</v>
      </c>
      <c r="C86" s="18" t="s">
        <v>453</v>
      </c>
      <c r="D86" s="27">
        <v>6</v>
      </c>
      <c r="E86" s="10" t="s">
        <v>460</v>
      </c>
      <c r="F86" s="18" t="s">
        <v>459</v>
      </c>
      <c r="G86" s="43" t="s">
        <v>240</v>
      </c>
      <c r="H86" s="43" t="s">
        <v>250</v>
      </c>
      <c r="I86" s="43" t="s">
        <v>395</v>
      </c>
      <c r="J86" s="49">
        <v>1.1875</v>
      </c>
      <c r="K86" s="50">
        <f t="shared" si="6"/>
        <v>9.5</v>
      </c>
    </row>
    <row r="87" spans="2:11" ht="15" customHeight="1">
      <c r="B87" s="27">
        <v>5</v>
      </c>
      <c r="C87" s="18" t="s">
        <v>453</v>
      </c>
      <c r="D87" s="27">
        <v>7</v>
      </c>
      <c r="E87" s="10" t="s">
        <v>461</v>
      </c>
      <c r="F87" s="18" t="s">
        <v>459</v>
      </c>
      <c r="G87" s="43" t="s">
        <v>241</v>
      </c>
      <c r="H87" s="43" t="s">
        <v>250</v>
      </c>
      <c r="I87" s="43" t="s">
        <v>462</v>
      </c>
      <c r="J87" s="49">
        <v>0.5625</v>
      </c>
      <c r="K87" s="50">
        <f t="shared" si="6"/>
        <v>4.5</v>
      </c>
    </row>
    <row r="88" spans="2:11" ht="15" customHeight="1">
      <c r="B88" s="27">
        <v>5</v>
      </c>
      <c r="C88" s="18" t="s">
        <v>453</v>
      </c>
      <c r="D88" s="27">
        <v>8</v>
      </c>
      <c r="E88" s="10" t="s">
        <v>463</v>
      </c>
      <c r="F88" s="18" t="s">
        <v>464</v>
      </c>
      <c r="G88" s="43" t="s">
        <v>241</v>
      </c>
      <c r="H88" s="43" t="s">
        <v>250</v>
      </c>
      <c r="I88" s="43" t="s">
        <v>395</v>
      </c>
      <c r="J88" s="49">
        <v>0.375</v>
      </c>
      <c r="K88" s="50">
        <f t="shared" si="6"/>
        <v>3</v>
      </c>
    </row>
    <row r="89" spans="2:11" ht="15" customHeight="1">
      <c r="B89" s="27">
        <v>5</v>
      </c>
      <c r="C89" s="18" t="s">
        <v>453</v>
      </c>
      <c r="D89" s="27">
        <v>9</v>
      </c>
      <c r="E89" s="10" t="s">
        <v>465</v>
      </c>
      <c r="F89" s="18" t="s">
        <v>464</v>
      </c>
      <c r="G89" s="43" t="s">
        <v>240</v>
      </c>
      <c r="H89" s="43" t="s">
        <v>250</v>
      </c>
      <c r="I89" s="43" t="s">
        <v>462</v>
      </c>
      <c r="J89" s="49">
        <v>0.5</v>
      </c>
      <c r="K89" s="50">
        <f t="shared" si="6"/>
        <v>4</v>
      </c>
    </row>
    <row r="90" spans="2:11" ht="15" customHeight="1">
      <c r="B90" s="27">
        <v>5</v>
      </c>
      <c r="C90" s="18" t="s">
        <v>453</v>
      </c>
      <c r="D90" s="27">
        <v>10</v>
      </c>
      <c r="E90" s="10" t="s">
        <v>466</v>
      </c>
      <c r="F90" s="18" t="s">
        <v>467</v>
      </c>
      <c r="G90" s="43" t="s">
        <v>243</v>
      </c>
      <c r="H90" s="43" t="s">
        <v>249</v>
      </c>
      <c r="I90" s="43" t="s">
        <v>395</v>
      </c>
      <c r="J90" s="49">
        <v>0</v>
      </c>
      <c r="K90" s="50">
        <f t="shared" si="6"/>
        <v>0</v>
      </c>
    </row>
    <row r="91" spans="2:11" ht="34.5" customHeight="1">
      <c r="D91" s="22" t="s">
        <v>482</v>
      </c>
      <c r="J91" s="23">
        <f>SUM(J81:J90)</f>
        <v>4.75</v>
      </c>
    </row>
    <row r="93" spans="2:11" ht="409.6" customHeight="1">
      <c r="B93" s="19" t="s">
        <v>483</v>
      </c>
    </row>
    <row r="95" spans="2:11" ht="39.75" customHeight="1">
      <c r="B95" s="2" t="s">
        <v>484</v>
      </c>
      <c r="C95" s="2"/>
      <c r="D95" s="2"/>
      <c r="E95" s="2"/>
      <c r="F95" s="2"/>
      <c r="G95" s="2"/>
      <c r="H95" s="2"/>
      <c r="I95" s="2"/>
      <c r="J95" s="2"/>
      <c r="K95" s="2"/>
    </row>
  </sheetData>
  <mergeCells count="3">
    <mergeCell ref="A1:J1"/>
    <mergeCell ref="A2:J2"/>
    <mergeCell ref="B95:K9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8"/>
  <sheetViews>
    <sheetView zoomScaleNormal="100" workbookViewId="0">
      <selection sqref="A1:I1"/>
    </sheetView>
  </sheetViews>
  <sheetFormatPr defaultColWidth="8.6328125" defaultRowHeight="14.5"/>
  <cols>
    <col min="1" max="1" width="2.453125" customWidth="1"/>
    <col min="2" max="3" width="7" customWidth="1"/>
    <col min="4" max="4" width="40" customWidth="1"/>
    <col min="5" max="6" width="10" customWidth="1"/>
    <col min="7" max="7" width="9" customWidth="1"/>
    <col min="8" max="9" width="10" customWidth="1"/>
  </cols>
  <sheetData>
    <row r="1" spans="1:9" ht="25.5" customHeight="1">
      <c r="A1" s="8" t="s">
        <v>485</v>
      </c>
      <c r="B1" s="8"/>
      <c r="C1" s="8"/>
      <c r="D1" s="8"/>
      <c r="E1" s="8"/>
      <c r="F1" s="8"/>
      <c r="G1" s="8"/>
      <c r="H1" s="8"/>
      <c r="I1" s="8"/>
    </row>
    <row r="2" spans="1:9" ht="15" customHeight="1">
      <c r="A2" s="7" t="s">
        <v>486</v>
      </c>
      <c r="B2" s="7"/>
      <c r="C2" s="7"/>
      <c r="D2" s="7"/>
      <c r="E2" s="7"/>
      <c r="F2" s="7"/>
      <c r="G2" s="7"/>
      <c r="H2" s="7"/>
      <c r="I2" s="7"/>
    </row>
    <row r="4" spans="1:9" ht="15" customHeight="1">
      <c r="B4" s="11" t="s">
        <v>443</v>
      </c>
      <c r="C4" s="11" t="s">
        <v>487</v>
      </c>
      <c r="D4" s="11" t="s">
        <v>320</v>
      </c>
      <c r="E4" s="11" t="s">
        <v>488</v>
      </c>
      <c r="F4" s="11" t="s">
        <v>489</v>
      </c>
      <c r="G4" s="11" t="s">
        <v>490</v>
      </c>
      <c r="H4" s="11" t="s">
        <v>491</v>
      </c>
    </row>
    <row r="5" spans="1:9" ht="15" customHeight="1">
      <c r="B5" s="27">
        <v>1</v>
      </c>
      <c r="C5" s="18" t="s">
        <v>340</v>
      </c>
      <c r="D5" s="10" t="s">
        <v>492</v>
      </c>
      <c r="E5" s="24">
        <v>2</v>
      </c>
      <c r="F5" s="24">
        <v>3</v>
      </c>
      <c r="G5" s="21">
        <f>E5+F5</f>
        <v>5</v>
      </c>
      <c r="H5" s="16">
        <f>E5*SUM('Pod Library'!$J$5:$J$14)+F5*SUM('Pod Library'!$J$17:$J$28)</f>
        <v>57.599999999999994</v>
      </c>
    </row>
    <row r="6" spans="1:9" ht="15" customHeight="1">
      <c r="B6" s="27">
        <v>1</v>
      </c>
      <c r="C6" s="18" t="s">
        <v>341</v>
      </c>
      <c r="D6" s="10" t="s">
        <v>434</v>
      </c>
      <c r="E6" s="24">
        <v>0</v>
      </c>
      <c r="F6" s="24">
        <v>2</v>
      </c>
      <c r="G6" s="21">
        <f>E6+F6</f>
        <v>2</v>
      </c>
      <c r="H6" s="16">
        <f>E6*SUM('Pod Library'!$J$5:$J$14)+F6*SUM('Pod Library'!$J$17:$J$28)</f>
        <v>30.4</v>
      </c>
    </row>
    <row r="7" spans="1:9" ht="15" customHeight="1">
      <c r="B7" s="27">
        <v>1</v>
      </c>
      <c r="C7" s="18" t="s">
        <v>342</v>
      </c>
      <c r="D7" s="10" t="s">
        <v>438</v>
      </c>
      <c r="E7" s="24">
        <v>2</v>
      </c>
      <c r="F7" s="24">
        <v>0</v>
      </c>
      <c r="G7" s="21">
        <f>E7+F7</f>
        <v>2</v>
      </c>
      <c r="H7" s="16">
        <f>E7*SUM('Pod Library'!$J$5:$J$14)+F7*SUM('Pod Library'!$J$17:$J$28)</f>
        <v>12</v>
      </c>
    </row>
    <row r="8" spans="1:9" ht="15" customHeight="1">
      <c r="D8" s="22" t="s">
        <v>493</v>
      </c>
      <c r="E8" s="29">
        <f>SUM(E5:E7)</f>
        <v>4</v>
      </c>
      <c r="F8" s="29">
        <f>SUM(F5:F7)</f>
        <v>5</v>
      </c>
      <c r="G8" s="29">
        <f>SUM(G5:G7)</f>
        <v>9</v>
      </c>
      <c r="H8" s="23">
        <f>SUM(H5:H7)</f>
        <v>100</v>
      </c>
    </row>
    <row r="10" spans="1:9" ht="15" customHeight="1">
      <c r="B10" s="27">
        <v>2</v>
      </c>
      <c r="C10" s="18" t="s">
        <v>340</v>
      </c>
      <c r="D10" s="10" t="s">
        <v>492</v>
      </c>
      <c r="E10" s="24">
        <v>4</v>
      </c>
      <c r="F10" s="24">
        <v>1</v>
      </c>
      <c r="G10" s="21">
        <f>E10+F10</f>
        <v>5</v>
      </c>
      <c r="H10" s="16">
        <f>E10*SUM('Pod Library'!$J$31:$J$40)+F10*SUM('Pod Library'!$J$43:$J$54)</f>
        <v>39.321428571428569</v>
      </c>
    </row>
    <row r="11" spans="1:9" ht="15" customHeight="1">
      <c r="B11" s="27">
        <v>2</v>
      </c>
      <c r="C11" s="18" t="s">
        <v>341</v>
      </c>
      <c r="D11" s="10" t="s">
        <v>434</v>
      </c>
      <c r="E11" s="24">
        <v>1</v>
      </c>
      <c r="F11" s="24">
        <v>1</v>
      </c>
      <c r="G11" s="21">
        <f>E11+F11</f>
        <v>2</v>
      </c>
      <c r="H11" s="16">
        <f>E11*SUM('Pod Library'!$J$31:$J$40)+F11*SUM('Pod Library'!$J$43:$J$54)</f>
        <v>17.892857142857142</v>
      </c>
    </row>
    <row r="12" spans="1:9" ht="15" customHeight="1">
      <c r="B12" s="27">
        <v>2</v>
      </c>
      <c r="C12" s="18" t="s">
        <v>342</v>
      </c>
      <c r="D12" s="10" t="s">
        <v>438</v>
      </c>
      <c r="E12" s="24">
        <v>2</v>
      </c>
      <c r="F12" s="24">
        <v>0</v>
      </c>
      <c r="G12" s="21">
        <f>E12+F12</f>
        <v>2</v>
      </c>
      <c r="H12" s="16">
        <f>E12*SUM('Pod Library'!$J$31:$J$40)+F12*SUM('Pod Library'!$J$43:$J$54)</f>
        <v>14.285714285714285</v>
      </c>
    </row>
    <row r="13" spans="1:9" ht="15" customHeight="1">
      <c r="D13" s="22" t="s">
        <v>494</v>
      </c>
      <c r="E13" s="29">
        <f>SUM(E10:E12)</f>
        <v>7</v>
      </c>
      <c r="F13" s="29">
        <f>SUM(F10:F12)</f>
        <v>2</v>
      </c>
      <c r="G13" s="29">
        <f>SUM(G10:G12)</f>
        <v>9</v>
      </c>
      <c r="H13" s="23">
        <f>SUM(H10:H12)</f>
        <v>71.5</v>
      </c>
    </row>
    <row r="15" spans="1:9" ht="15" customHeight="1">
      <c r="B15" s="27">
        <v>3</v>
      </c>
      <c r="C15" s="18" t="s">
        <v>340</v>
      </c>
      <c r="D15" s="10" t="s">
        <v>492</v>
      </c>
      <c r="E15" s="24">
        <v>5</v>
      </c>
      <c r="F15" s="24">
        <v>0</v>
      </c>
      <c r="G15" s="21">
        <f>E15+F15</f>
        <v>5</v>
      </c>
      <c r="H15" s="16">
        <f>E15*SUM('Pod Library'!$J$57:$J$66)</f>
        <v>31.944444444444443</v>
      </c>
    </row>
    <row r="16" spans="1:9" ht="15" customHeight="1">
      <c r="B16" s="27">
        <v>3</v>
      </c>
      <c r="C16" s="18" t="s">
        <v>341</v>
      </c>
      <c r="D16" s="10" t="s">
        <v>434</v>
      </c>
      <c r="E16" s="24">
        <v>2</v>
      </c>
      <c r="F16" s="24">
        <v>0</v>
      </c>
      <c r="G16" s="21">
        <f>E16+F16</f>
        <v>2</v>
      </c>
      <c r="H16" s="16">
        <f>E16*SUM('Pod Library'!$J$57:$J$66)</f>
        <v>12.777777777777777</v>
      </c>
    </row>
    <row r="17" spans="2:8" ht="15" customHeight="1">
      <c r="B17" s="27">
        <v>3</v>
      </c>
      <c r="C17" s="18" t="s">
        <v>342</v>
      </c>
      <c r="D17" s="10" t="s">
        <v>438</v>
      </c>
      <c r="E17" s="24">
        <v>2</v>
      </c>
      <c r="F17" s="24">
        <v>0</v>
      </c>
      <c r="G17" s="21">
        <f>E17+F17</f>
        <v>2</v>
      </c>
      <c r="H17" s="16">
        <f>E17*SUM('Pod Library'!$J$57:$J$66)</f>
        <v>12.777777777777777</v>
      </c>
    </row>
    <row r="18" spans="2:8" ht="15" customHeight="1">
      <c r="D18" s="22" t="s">
        <v>495</v>
      </c>
      <c r="E18" s="29">
        <f>SUM(E15:E17)</f>
        <v>9</v>
      </c>
      <c r="F18" s="29">
        <f>SUM(F15:F17)</f>
        <v>0</v>
      </c>
      <c r="G18" s="29">
        <f>SUM(G15:G17)</f>
        <v>9</v>
      </c>
      <c r="H18" s="23">
        <f>SUM(H15:H17)</f>
        <v>57.5</v>
      </c>
    </row>
    <row r="20" spans="2:8" ht="15" customHeight="1">
      <c r="B20" s="27">
        <v>4</v>
      </c>
      <c r="C20" s="18" t="s">
        <v>340</v>
      </c>
      <c r="D20" s="10" t="s">
        <v>492</v>
      </c>
      <c r="E20" s="24">
        <v>5</v>
      </c>
      <c r="F20" s="24">
        <v>0</v>
      </c>
      <c r="G20" s="21">
        <f>E20+F20</f>
        <v>5</v>
      </c>
      <c r="H20" s="16">
        <f>E20*SUM('Pod Library'!$J$69:$J$78)</f>
        <v>26.666666666666661</v>
      </c>
    </row>
    <row r="21" spans="2:8" ht="15" customHeight="1">
      <c r="B21" s="27">
        <v>4</v>
      </c>
      <c r="C21" s="18" t="s">
        <v>341</v>
      </c>
      <c r="D21" s="10" t="s">
        <v>434</v>
      </c>
      <c r="E21" s="24">
        <v>2</v>
      </c>
      <c r="F21" s="24">
        <v>0</v>
      </c>
      <c r="G21" s="21">
        <f>E21+F21</f>
        <v>2</v>
      </c>
      <c r="H21" s="16">
        <f>E21*SUM('Pod Library'!$J$69:$J$78)</f>
        <v>10.666666666666664</v>
      </c>
    </row>
    <row r="22" spans="2:8" ht="15" customHeight="1">
      <c r="B22" s="27">
        <v>4</v>
      </c>
      <c r="C22" s="18" t="s">
        <v>342</v>
      </c>
      <c r="D22" s="10" t="s">
        <v>438</v>
      </c>
      <c r="E22" s="24">
        <v>2</v>
      </c>
      <c r="F22" s="24">
        <v>0</v>
      </c>
      <c r="G22" s="21">
        <f>E22+F22</f>
        <v>2</v>
      </c>
      <c r="H22" s="16">
        <f>E22*SUM('Pod Library'!$J$69:$J$78)</f>
        <v>10.666666666666664</v>
      </c>
    </row>
    <row r="23" spans="2:8" ht="15" customHeight="1">
      <c r="D23" s="22" t="s">
        <v>496</v>
      </c>
      <c r="E23" s="29">
        <f>SUM(E20:E22)</f>
        <v>9</v>
      </c>
      <c r="F23" s="29">
        <f>SUM(F20:F22)</f>
        <v>0</v>
      </c>
      <c r="G23" s="29">
        <f>SUM(G20:G22)</f>
        <v>9</v>
      </c>
      <c r="H23" s="23">
        <f>SUM(H20:H22)</f>
        <v>47.999999999999993</v>
      </c>
    </row>
    <row r="25" spans="2:8" ht="15" customHeight="1">
      <c r="B25" s="27">
        <v>5</v>
      </c>
      <c r="C25" s="18" t="s">
        <v>340</v>
      </c>
      <c r="D25" s="10" t="s">
        <v>492</v>
      </c>
      <c r="E25" s="24">
        <v>4</v>
      </c>
      <c r="F25" s="24">
        <v>0</v>
      </c>
      <c r="G25" s="21">
        <f>E25+F25</f>
        <v>4</v>
      </c>
      <c r="H25" s="16">
        <f>E25*SUM('Pod Library'!$J$81:$J$90)</f>
        <v>19</v>
      </c>
    </row>
    <row r="26" spans="2:8" ht="15" customHeight="1">
      <c r="B26" s="27">
        <v>5</v>
      </c>
      <c r="C26" s="18" t="s">
        <v>341</v>
      </c>
      <c r="D26" s="10" t="s">
        <v>434</v>
      </c>
      <c r="E26" s="24">
        <v>2</v>
      </c>
      <c r="F26" s="24">
        <v>0</v>
      </c>
      <c r="G26" s="21">
        <f>E26+F26</f>
        <v>2</v>
      </c>
      <c r="H26" s="16">
        <f>E26*SUM('Pod Library'!$J$81:$J$90)</f>
        <v>9.5</v>
      </c>
    </row>
    <row r="27" spans="2:8" ht="15" customHeight="1">
      <c r="B27" s="27">
        <v>5</v>
      </c>
      <c r="C27" s="18" t="s">
        <v>342</v>
      </c>
      <c r="D27" s="10" t="s">
        <v>438</v>
      </c>
      <c r="E27" s="24">
        <v>2</v>
      </c>
      <c r="F27" s="24">
        <v>0</v>
      </c>
      <c r="G27" s="21">
        <f>E27+F27</f>
        <v>2</v>
      </c>
      <c r="H27" s="16">
        <f>E27*SUM('Pod Library'!$J$81:$J$90)</f>
        <v>9.5</v>
      </c>
    </row>
    <row r="28" spans="2:8" ht="15" customHeight="1">
      <c r="D28" s="22" t="s">
        <v>497</v>
      </c>
      <c r="E28" s="29">
        <f>SUM(E25:E27)</f>
        <v>8</v>
      </c>
      <c r="F28" s="29">
        <f>SUM(F25:F27)</f>
        <v>0</v>
      </c>
      <c r="G28" s="29">
        <f>SUM(G25:G27)</f>
        <v>8</v>
      </c>
      <c r="H28" s="23">
        <f>SUM(H25:H27)</f>
        <v>38</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0"/>
  <sheetViews>
    <sheetView tabSelected="1" zoomScaleNormal="100" workbookViewId="0">
      <selection sqref="A1:L1"/>
    </sheetView>
  </sheetViews>
  <sheetFormatPr defaultColWidth="8.6328125" defaultRowHeight="14.5"/>
  <cols>
    <col min="1" max="1" width="2.453125" customWidth="1"/>
    <col min="2" max="2" width="6" customWidth="1"/>
    <col min="3" max="3" width="7" customWidth="1"/>
    <col min="4" max="4" width="8" customWidth="1"/>
    <col min="5" max="5" width="40" customWidth="1"/>
    <col min="6" max="7" width="7" customWidth="1"/>
    <col min="8" max="9" width="9" customWidth="1"/>
    <col min="10" max="10" width="13" customWidth="1"/>
  </cols>
  <sheetData>
    <row r="1" spans="1:12" ht="25.5" customHeight="1">
      <c r="A1" s="8" t="s">
        <v>498</v>
      </c>
      <c r="B1" s="8"/>
      <c r="C1" s="8"/>
      <c r="D1" s="8"/>
      <c r="E1" s="8"/>
      <c r="F1" s="8"/>
      <c r="G1" s="8"/>
      <c r="H1" s="8"/>
      <c r="I1" s="8"/>
      <c r="J1" s="8"/>
      <c r="K1" s="8"/>
      <c r="L1" s="8"/>
    </row>
    <row r="2" spans="1:12" ht="15" customHeight="1">
      <c r="A2" s="7" t="s">
        <v>499</v>
      </c>
      <c r="B2" s="7"/>
      <c r="C2" s="7"/>
      <c r="D2" s="7"/>
      <c r="E2" s="7"/>
      <c r="F2" s="7"/>
      <c r="G2" s="7"/>
      <c r="H2" s="7"/>
      <c r="I2" s="7"/>
      <c r="J2" s="7"/>
      <c r="K2" s="7"/>
      <c r="L2" s="7"/>
    </row>
    <row r="4" spans="1:12" ht="15" customHeight="1">
      <c r="B4" s="11" t="s">
        <v>443</v>
      </c>
      <c r="C4" s="11" t="s">
        <v>500</v>
      </c>
      <c r="D4" s="11" t="s">
        <v>447</v>
      </c>
      <c r="E4" s="11" t="s">
        <v>446</v>
      </c>
      <c r="F4" s="11" t="s">
        <v>448</v>
      </c>
      <c r="G4" s="11" t="s">
        <v>449</v>
      </c>
      <c r="H4" s="11" t="s">
        <v>450</v>
      </c>
      <c r="I4" s="11" t="s">
        <v>451</v>
      </c>
      <c r="J4" s="11" t="s">
        <v>452</v>
      </c>
    </row>
    <row r="5" spans="1:12" ht="15" customHeight="1">
      <c r="B5" s="27">
        <v>1</v>
      </c>
      <c r="C5" s="18" t="s">
        <v>501</v>
      </c>
      <c r="D5" s="18" t="s">
        <v>455</v>
      </c>
      <c r="E5" s="10" t="s">
        <v>502</v>
      </c>
      <c r="F5" s="43" t="s">
        <v>243</v>
      </c>
      <c r="G5" s="43" t="s">
        <v>249</v>
      </c>
      <c r="H5" s="43" t="s">
        <v>395</v>
      </c>
      <c r="I5" s="49">
        <v>1</v>
      </c>
      <c r="J5" s="50">
        <f t="shared" ref="J5:J23" si="0">I5</f>
        <v>1</v>
      </c>
    </row>
    <row r="6" spans="1:12" ht="15" customHeight="1">
      <c r="B6" s="27">
        <v>1</v>
      </c>
      <c r="C6" s="18" t="s">
        <v>501</v>
      </c>
      <c r="D6" s="18" t="s">
        <v>471</v>
      </c>
      <c r="E6" s="10" t="s">
        <v>503</v>
      </c>
      <c r="F6" s="43" t="s">
        <v>241</v>
      </c>
      <c r="G6" s="43" t="s">
        <v>249</v>
      </c>
      <c r="H6" s="43" t="s">
        <v>395</v>
      </c>
      <c r="I6" s="49">
        <v>2</v>
      </c>
      <c r="J6" s="50">
        <f t="shared" si="0"/>
        <v>2</v>
      </c>
    </row>
    <row r="7" spans="1:12" ht="15" customHeight="1">
      <c r="B7" s="27">
        <v>1</v>
      </c>
      <c r="C7" s="18" t="s">
        <v>501</v>
      </c>
      <c r="D7" s="18" t="s">
        <v>471</v>
      </c>
      <c r="E7" s="10" t="s">
        <v>504</v>
      </c>
      <c r="F7" s="43" t="s">
        <v>240</v>
      </c>
      <c r="G7" s="43" t="s">
        <v>250</v>
      </c>
      <c r="H7" s="43" t="s">
        <v>395</v>
      </c>
      <c r="I7" s="49">
        <v>0.5</v>
      </c>
      <c r="J7" s="50">
        <f t="shared" si="0"/>
        <v>0.5</v>
      </c>
    </row>
    <row r="8" spans="1:12" ht="15" customHeight="1">
      <c r="B8" s="27">
        <v>1</v>
      </c>
      <c r="C8" s="18" t="s">
        <v>501</v>
      </c>
      <c r="D8" s="18" t="s">
        <v>471</v>
      </c>
      <c r="E8" s="10" t="s">
        <v>504</v>
      </c>
      <c r="F8" s="43" t="s">
        <v>240</v>
      </c>
      <c r="G8" s="43" t="s">
        <v>251</v>
      </c>
      <c r="H8" s="43" t="s">
        <v>395</v>
      </c>
      <c r="I8" s="49">
        <v>0.5</v>
      </c>
      <c r="J8" s="50">
        <f t="shared" si="0"/>
        <v>0.5</v>
      </c>
    </row>
    <row r="9" spans="1:12" ht="15" customHeight="1">
      <c r="B9" s="27">
        <v>1</v>
      </c>
      <c r="C9" s="18" t="s">
        <v>501</v>
      </c>
      <c r="D9" s="18" t="s">
        <v>467</v>
      </c>
      <c r="E9" s="10" t="s">
        <v>505</v>
      </c>
      <c r="F9" s="43" t="s">
        <v>241</v>
      </c>
      <c r="G9" s="43" t="s">
        <v>250</v>
      </c>
      <c r="H9" s="43" t="s">
        <v>395</v>
      </c>
      <c r="I9" s="49">
        <v>0.5</v>
      </c>
      <c r="J9" s="50">
        <f t="shared" si="0"/>
        <v>0.5</v>
      </c>
    </row>
    <row r="10" spans="1:12" ht="15" customHeight="1">
      <c r="B10" s="27">
        <v>1</v>
      </c>
      <c r="C10" s="18" t="s">
        <v>501</v>
      </c>
      <c r="D10" s="18" t="s">
        <v>471</v>
      </c>
      <c r="E10" s="10" t="s">
        <v>506</v>
      </c>
      <c r="F10" s="43" t="s">
        <v>242</v>
      </c>
      <c r="G10" s="43" t="s">
        <v>249</v>
      </c>
      <c r="H10" s="43" t="s">
        <v>396</v>
      </c>
      <c r="I10" s="49">
        <v>2.5</v>
      </c>
      <c r="J10" s="50">
        <f t="shared" si="0"/>
        <v>2.5</v>
      </c>
    </row>
    <row r="11" spans="1:12" ht="15" customHeight="1">
      <c r="B11" s="27">
        <v>1</v>
      </c>
      <c r="C11" s="18" t="s">
        <v>507</v>
      </c>
      <c r="D11" s="18" t="s">
        <v>464</v>
      </c>
      <c r="E11" s="10" t="s">
        <v>508</v>
      </c>
      <c r="F11" s="43" t="s">
        <v>242</v>
      </c>
      <c r="G11" s="43" t="s">
        <v>249</v>
      </c>
      <c r="H11" s="43" t="s">
        <v>395</v>
      </c>
      <c r="I11" s="49">
        <v>0.5</v>
      </c>
      <c r="J11" s="50">
        <f t="shared" si="0"/>
        <v>0.5</v>
      </c>
    </row>
    <row r="12" spans="1:12" ht="15" customHeight="1">
      <c r="B12" s="27">
        <v>1</v>
      </c>
      <c r="C12" s="18" t="s">
        <v>507</v>
      </c>
      <c r="D12" s="18" t="s">
        <v>464</v>
      </c>
      <c r="E12" s="10" t="s">
        <v>509</v>
      </c>
      <c r="F12" s="43" t="s">
        <v>241</v>
      </c>
      <c r="G12" s="43" t="s">
        <v>250</v>
      </c>
      <c r="H12" s="43" t="s">
        <v>395</v>
      </c>
      <c r="I12" s="49">
        <v>0.5</v>
      </c>
      <c r="J12" s="50">
        <f t="shared" si="0"/>
        <v>0.5</v>
      </c>
    </row>
    <row r="13" spans="1:12" ht="15" customHeight="1">
      <c r="B13" s="27">
        <v>1</v>
      </c>
      <c r="C13" s="18" t="s">
        <v>507</v>
      </c>
      <c r="D13" s="18" t="s">
        <v>464</v>
      </c>
      <c r="E13" s="10" t="s">
        <v>510</v>
      </c>
      <c r="F13" s="43" t="s">
        <v>241</v>
      </c>
      <c r="G13" s="43" t="s">
        <v>250</v>
      </c>
      <c r="H13" s="43" t="s">
        <v>395</v>
      </c>
      <c r="I13" s="49">
        <v>0.5</v>
      </c>
      <c r="J13" s="50">
        <f t="shared" si="0"/>
        <v>0.5</v>
      </c>
    </row>
    <row r="14" spans="1:12" ht="15" customHeight="1">
      <c r="B14" s="27">
        <v>1</v>
      </c>
      <c r="C14" s="18" t="s">
        <v>507</v>
      </c>
      <c r="D14" s="18" t="s">
        <v>464</v>
      </c>
      <c r="E14" s="10" t="s">
        <v>465</v>
      </c>
      <c r="F14" s="43" t="s">
        <v>240</v>
      </c>
      <c r="G14" s="43" t="s">
        <v>250</v>
      </c>
      <c r="H14" s="43" t="s">
        <v>462</v>
      </c>
      <c r="I14" s="49">
        <v>3</v>
      </c>
      <c r="J14" s="50">
        <f t="shared" si="0"/>
        <v>3</v>
      </c>
    </row>
    <row r="15" spans="1:12" ht="15" customHeight="1">
      <c r="B15" s="27">
        <v>1</v>
      </c>
      <c r="C15" s="18" t="s">
        <v>507</v>
      </c>
      <c r="D15" s="18" t="s">
        <v>258</v>
      </c>
      <c r="E15" s="10" t="s">
        <v>511</v>
      </c>
      <c r="F15" s="43" t="s">
        <v>241</v>
      </c>
      <c r="G15" s="43" t="s">
        <v>249</v>
      </c>
      <c r="H15" s="43" t="s">
        <v>395</v>
      </c>
      <c r="I15" s="49">
        <v>1.5</v>
      </c>
      <c r="J15" s="50">
        <f t="shared" si="0"/>
        <v>1.5</v>
      </c>
    </row>
    <row r="16" spans="1:12" ht="15" customHeight="1">
      <c r="B16" s="27">
        <v>1</v>
      </c>
      <c r="C16" s="18" t="s">
        <v>512</v>
      </c>
      <c r="D16" s="18" t="s">
        <v>467</v>
      </c>
      <c r="E16" s="10" t="s">
        <v>513</v>
      </c>
      <c r="F16" s="43" t="s">
        <v>243</v>
      </c>
      <c r="G16" s="43" t="s">
        <v>249</v>
      </c>
      <c r="H16" s="43" t="s">
        <v>395</v>
      </c>
      <c r="I16" s="49">
        <v>0.5</v>
      </c>
      <c r="J16" s="50">
        <f t="shared" si="0"/>
        <v>0.5</v>
      </c>
    </row>
    <row r="17" spans="2:10" ht="15" customHeight="1">
      <c r="B17" s="27">
        <v>1</v>
      </c>
      <c r="C17" s="18" t="s">
        <v>512</v>
      </c>
      <c r="D17" s="18" t="s">
        <v>467</v>
      </c>
      <c r="E17" s="10" t="s">
        <v>514</v>
      </c>
      <c r="F17" s="43" t="s">
        <v>242</v>
      </c>
      <c r="G17" s="43" t="s">
        <v>249</v>
      </c>
      <c r="H17" s="43" t="s">
        <v>395</v>
      </c>
      <c r="I17" s="49">
        <v>0.5</v>
      </c>
      <c r="J17" s="50">
        <f t="shared" si="0"/>
        <v>0.5</v>
      </c>
    </row>
    <row r="18" spans="2:10" ht="15" customHeight="1">
      <c r="B18" s="27">
        <v>1</v>
      </c>
      <c r="C18" s="18" t="s">
        <v>512</v>
      </c>
      <c r="D18" s="18" t="s">
        <v>467</v>
      </c>
      <c r="E18" s="10" t="s">
        <v>515</v>
      </c>
      <c r="F18" s="43" t="s">
        <v>241</v>
      </c>
      <c r="G18" s="43" t="s">
        <v>250</v>
      </c>
      <c r="H18" s="43" t="s">
        <v>395</v>
      </c>
      <c r="I18" s="49">
        <v>0.5</v>
      </c>
      <c r="J18" s="50">
        <f t="shared" si="0"/>
        <v>0.5</v>
      </c>
    </row>
    <row r="19" spans="2:10" ht="15" customHeight="1">
      <c r="B19" s="27">
        <v>1</v>
      </c>
      <c r="C19" s="18" t="s">
        <v>512</v>
      </c>
      <c r="D19" s="18" t="s">
        <v>455</v>
      </c>
      <c r="E19" s="10" t="s">
        <v>516</v>
      </c>
      <c r="F19" s="43" t="s">
        <v>242</v>
      </c>
      <c r="G19" s="43" t="s">
        <v>249</v>
      </c>
      <c r="H19" s="43" t="s">
        <v>395</v>
      </c>
      <c r="I19" s="49">
        <v>3.5</v>
      </c>
      <c r="J19" s="50">
        <f t="shared" si="0"/>
        <v>3.5</v>
      </c>
    </row>
    <row r="20" spans="2:10" ht="15" customHeight="1">
      <c r="B20" s="27">
        <v>1</v>
      </c>
      <c r="C20" s="18" t="s">
        <v>512</v>
      </c>
      <c r="D20" s="18" t="s">
        <v>258</v>
      </c>
      <c r="E20" s="10" t="s">
        <v>517</v>
      </c>
      <c r="F20" s="43" t="s">
        <v>241</v>
      </c>
      <c r="G20" s="43" t="s">
        <v>250</v>
      </c>
      <c r="H20" s="43" t="s">
        <v>395</v>
      </c>
      <c r="I20" s="49">
        <v>0.5</v>
      </c>
      <c r="J20" s="50">
        <f t="shared" si="0"/>
        <v>0.5</v>
      </c>
    </row>
    <row r="21" spans="2:10" ht="15" customHeight="1">
      <c r="B21" s="27">
        <v>1</v>
      </c>
      <c r="C21" s="18" t="s">
        <v>512</v>
      </c>
      <c r="D21" s="18" t="s">
        <v>459</v>
      </c>
      <c r="E21" s="10" t="s">
        <v>518</v>
      </c>
      <c r="F21" s="43" t="s">
        <v>242</v>
      </c>
      <c r="G21" s="43" t="s">
        <v>250</v>
      </c>
      <c r="H21" s="43" t="s">
        <v>395</v>
      </c>
      <c r="I21" s="49">
        <v>0.5</v>
      </c>
      <c r="J21" s="50">
        <f t="shared" si="0"/>
        <v>0.5</v>
      </c>
    </row>
    <row r="22" spans="2:10" ht="15" customHeight="1">
      <c r="B22" s="27">
        <v>1</v>
      </c>
      <c r="C22" s="18" t="s">
        <v>512</v>
      </c>
      <c r="D22" s="18" t="s">
        <v>455</v>
      </c>
      <c r="E22" s="10" t="s">
        <v>519</v>
      </c>
      <c r="F22" s="43" t="s">
        <v>242</v>
      </c>
      <c r="G22" s="43" t="s">
        <v>249</v>
      </c>
      <c r="H22" s="43" t="s">
        <v>396</v>
      </c>
      <c r="I22" s="49">
        <v>1</v>
      </c>
      <c r="J22" s="50">
        <f t="shared" si="0"/>
        <v>1</v>
      </c>
    </row>
    <row r="23" spans="2:10" ht="15" customHeight="1">
      <c r="B23" s="27">
        <v>1</v>
      </c>
      <c r="C23" s="18" t="s">
        <v>512</v>
      </c>
      <c r="D23" s="18" t="s">
        <v>459</v>
      </c>
      <c r="E23" s="10" t="s">
        <v>520</v>
      </c>
      <c r="F23" s="43" t="s">
        <v>242</v>
      </c>
      <c r="G23" s="43" t="s">
        <v>250</v>
      </c>
      <c r="H23" s="43" t="s">
        <v>462</v>
      </c>
      <c r="I23" s="49">
        <v>1.5</v>
      </c>
      <c r="J23" s="50">
        <f t="shared" si="0"/>
        <v>1.5</v>
      </c>
    </row>
    <row r="24" spans="2:10" ht="15" customHeight="1">
      <c r="E24" s="22" t="s">
        <v>521</v>
      </c>
      <c r="I24" s="23">
        <f>SUM(I5:I23)</f>
        <v>21.5</v>
      </c>
    </row>
    <row r="26" spans="2:10" ht="15" customHeight="1">
      <c r="B26" s="27">
        <v>2</v>
      </c>
      <c r="C26" s="18" t="s">
        <v>501</v>
      </c>
      <c r="D26" s="18" t="s">
        <v>455</v>
      </c>
      <c r="E26" s="10" t="s">
        <v>502</v>
      </c>
      <c r="F26" s="43" t="s">
        <v>243</v>
      </c>
      <c r="G26" s="43" t="s">
        <v>249</v>
      </c>
      <c r="H26" s="43" t="s">
        <v>395</v>
      </c>
      <c r="I26" s="49">
        <v>0.5</v>
      </c>
      <c r="J26" s="50">
        <f t="shared" ref="J26:J44" si="1">I26</f>
        <v>0.5</v>
      </c>
    </row>
    <row r="27" spans="2:10" ht="15" customHeight="1">
      <c r="B27" s="27">
        <v>2</v>
      </c>
      <c r="C27" s="18" t="s">
        <v>501</v>
      </c>
      <c r="D27" s="18" t="s">
        <v>471</v>
      </c>
      <c r="E27" s="10" t="s">
        <v>503</v>
      </c>
      <c r="F27" s="43" t="s">
        <v>241</v>
      </c>
      <c r="G27" s="43" t="s">
        <v>249</v>
      </c>
      <c r="H27" s="43" t="s">
        <v>395</v>
      </c>
      <c r="I27" s="49">
        <v>1</v>
      </c>
      <c r="J27" s="50">
        <f t="shared" si="1"/>
        <v>1</v>
      </c>
    </row>
    <row r="28" spans="2:10" ht="15" customHeight="1">
      <c r="B28" s="27">
        <v>2</v>
      </c>
      <c r="C28" s="18" t="s">
        <v>501</v>
      </c>
      <c r="D28" s="18" t="s">
        <v>471</v>
      </c>
      <c r="E28" s="10" t="s">
        <v>504</v>
      </c>
      <c r="F28" s="43" t="s">
        <v>240</v>
      </c>
      <c r="G28" s="43" t="s">
        <v>250</v>
      </c>
      <c r="H28" s="43" t="s">
        <v>395</v>
      </c>
      <c r="I28" s="49">
        <v>0.5</v>
      </c>
      <c r="J28" s="50">
        <f t="shared" si="1"/>
        <v>0.5</v>
      </c>
    </row>
    <row r="29" spans="2:10" ht="15" customHeight="1">
      <c r="B29" s="27">
        <v>2</v>
      </c>
      <c r="C29" s="18" t="s">
        <v>501</v>
      </c>
      <c r="D29" s="18" t="s">
        <v>471</v>
      </c>
      <c r="E29" s="10" t="s">
        <v>504</v>
      </c>
      <c r="F29" s="43" t="s">
        <v>240</v>
      </c>
      <c r="G29" s="43" t="s">
        <v>251</v>
      </c>
      <c r="H29" s="43" t="s">
        <v>395</v>
      </c>
      <c r="I29" s="49">
        <v>0.5</v>
      </c>
      <c r="J29" s="50">
        <f t="shared" si="1"/>
        <v>0.5</v>
      </c>
    </row>
    <row r="30" spans="2:10" ht="15" customHeight="1">
      <c r="B30" s="27">
        <v>2</v>
      </c>
      <c r="C30" s="18" t="s">
        <v>501</v>
      </c>
      <c r="D30" s="18" t="s">
        <v>467</v>
      </c>
      <c r="E30" s="10" t="s">
        <v>505</v>
      </c>
      <c r="F30" s="43" t="s">
        <v>241</v>
      </c>
      <c r="G30" s="43" t="s">
        <v>250</v>
      </c>
      <c r="H30" s="43" t="s">
        <v>395</v>
      </c>
      <c r="I30" s="49">
        <v>1.5</v>
      </c>
      <c r="J30" s="50">
        <f t="shared" si="1"/>
        <v>1.5</v>
      </c>
    </row>
    <row r="31" spans="2:10" ht="15" customHeight="1">
      <c r="B31" s="27">
        <v>2</v>
      </c>
      <c r="C31" s="18" t="s">
        <v>501</v>
      </c>
      <c r="D31" s="18" t="s">
        <v>471</v>
      </c>
      <c r="E31" s="10" t="s">
        <v>506</v>
      </c>
      <c r="F31" s="43" t="s">
        <v>242</v>
      </c>
      <c r="G31" s="43" t="s">
        <v>249</v>
      </c>
      <c r="H31" s="43" t="s">
        <v>396</v>
      </c>
      <c r="I31" s="49">
        <v>2</v>
      </c>
      <c r="J31" s="50">
        <f t="shared" si="1"/>
        <v>2</v>
      </c>
    </row>
    <row r="32" spans="2:10" ht="15" customHeight="1">
      <c r="B32" s="27">
        <v>2</v>
      </c>
      <c r="C32" s="18" t="s">
        <v>507</v>
      </c>
      <c r="D32" s="18" t="s">
        <v>464</v>
      </c>
      <c r="E32" s="10" t="s">
        <v>508</v>
      </c>
      <c r="F32" s="43" t="s">
        <v>242</v>
      </c>
      <c r="G32" s="43" t="s">
        <v>249</v>
      </c>
      <c r="H32" s="43" t="s">
        <v>395</v>
      </c>
      <c r="I32" s="49">
        <v>1.5</v>
      </c>
      <c r="J32" s="50">
        <f t="shared" si="1"/>
        <v>1.5</v>
      </c>
    </row>
    <row r="33" spans="2:10" ht="15" customHeight="1">
      <c r="B33" s="27">
        <v>2</v>
      </c>
      <c r="C33" s="18" t="s">
        <v>507</v>
      </c>
      <c r="D33" s="18" t="s">
        <v>464</v>
      </c>
      <c r="E33" s="10" t="s">
        <v>509</v>
      </c>
      <c r="F33" s="43" t="s">
        <v>241</v>
      </c>
      <c r="G33" s="43" t="s">
        <v>250</v>
      </c>
      <c r="H33" s="43" t="s">
        <v>395</v>
      </c>
      <c r="I33" s="49">
        <v>2</v>
      </c>
      <c r="J33" s="50">
        <f t="shared" si="1"/>
        <v>2</v>
      </c>
    </row>
    <row r="34" spans="2:10" ht="15" customHeight="1">
      <c r="B34" s="27">
        <v>2</v>
      </c>
      <c r="C34" s="18" t="s">
        <v>507</v>
      </c>
      <c r="D34" s="18" t="s">
        <v>464</v>
      </c>
      <c r="E34" s="10" t="s">
        <v>510</v>
      </c>
      <c r="F34" s="43" t="s">
        <v>241</v>
      </c>
      <c r="G34" s="43" t="s">
        <v>250</v>
      </c>
      <c r="H34" s="43" t="s">
        <v>395</v>
      </c>
      <c r="I34" s="49">
        <v>0.5</v>
      </c>
      <c r="J34" s="50">
        <f t="shared" si="1"/>
        <v>0.5</v>
      </c>
    </row>
    <row r="35" spans="2:10" ht="15" customHeight="1">
      <c r="B35" s="27">
        <v>2</v>
      </c>
      <c r="C35" s="18" t="s">
        <v>507</v>
      </c>
      <c r="D35" s="18" t="s">
        <v>464</v>
      </c>
      <c r="E35" s="10" t="s">
        <v>465</v>
      </c>
      <c r="F35" s="43" t="s">
        <v>240</v>
      </c>
      <c r="G35" s="43" t="s">
        <v>250</v>
      </c>
      <c r="H35" s="43" t="s">
        <v>462</v>
      </c>
      <c r="I35" s="49">
        <v>2</v>
      </c>
      <c r="J35" s="50">
        <f t="shared" si="1"/>
        <v>2</v>
      </c>
    </row>
    <row r="36" spans="2:10" ht="15" customHeight="1">
      <c r="B36" s="27">
        <v>2</v>
      </c>
      <c r="C36" s="18" t="s">
        <v>507</v>
      </c>
      <c r="D36" s="18" t="s">
        <v>258</v>
      </c>
      <c r="E36" s="10" t="s">
        <v>511</v>
      </c>
      <c r="F36" s="43" t="s">
        <v>241</v>
      </c>
      <c r="G36" s="43" t="s">
        <v>249</v>
      </c>
      <c r="H36" s="43" t="s">
        <v>395</v>
      </c>
      <c r="I36" s="49">
        <v>2</v>
      </c>
      <c r="J36" s="50">
        <f t="shared" si="1"/>
        <v>2</v>
      </c>
    </row>
    <row r="37" spans="2:10" ht="15" customHeight="1">
      <c r="B37" s="27">
        <v>2</v>
      </c>
      <c r="C37" s="18" t="s">
        <v>512</v>
      </c>
      <c r="D37" s="18" t="s">
        <v>467</v>
      </c>
      <c r="E37" s="10" t="s">
        <v>513</v>
      </c>
      <c r="F37" s="43" t="s">
        <v>243</v>
      </c>
      <c r="G37" s="43" t="s">
        <v>249</v>
      </c>
      <c r="H37" s="43" t="s">
        <v>395</v>
      </c>
      <c r="I37" s="49">
        <v>0.5</v>
      </c>
      <c r="J37" s="50">
        <f t="shared" si="1"/>
        <v>0.5</v>
      </c>
    </row>
    <row r="38" spans="2:10" ht="15" customHeight="1">
      <c r="B38" s="27">
        <v>2</v>
      </c>
      <c r="C38" s="18" t="s">
        <v>512</v>
      </c>
      <c r="D38" s="18" t="s">
        <v>467</v>
      </c>
      <c r="E38" s="10" t="s">
        <v>514</v>
      </c>
      <c r="F38" s="43" t="s">
        <v>242</v>
      </c>
      <c r="G38" s="43" t="s">
        <v>249</v>
      </c>
      <c r="H38" s="43" t="s">
        <v>395</v>
      </c>
      <c r="I38" s="49">
        <v>2</v>
      </c>
      <c r="J38" s="50">
        <f t="shared" si="1"/>
        <v>2</v>
      </c>
    </row>
    <row r="39" spans="2:10" ht="15" customHeight="1">
      <c r="B39" s="27">
        <v>2</v>
      </c>
      <c r="C39" s="18" t="s">
        <v>512</v>
      </c>
      <c r="D39" s="18" t="s">
        <v>467</v>
      </c>
      <c r="E39" s="10" t="s">
        <v>515</v>
      </c>
      <c r="F39" s="43" t="s">
        <v>241</v>
      </c>
      <c r="G39" s="43" t="s">
        <v>250</v>
      </c>
      <c r="H39" s="43" t="s">
        <v>395</v>
      </c>
      <c r="I39" s="49">
        <v>0.5</v>
      </c>
      <c r="J39" s="50">
        <f t="shared" si="1"/>
        <v>0.5</v>
      </c>
    </row>
    <row r="40" spans="2:10" ht="15" customHeight="1">
      <c r="B40" s="27">
        <v>2</v>
      </c>
      <c r="C40" s="18" t="s">
        <v>512</v>
      </c>
      <c r="D40" s="18" t="s">
        <v>455</v>
      </c>
      <c r="E40" s="10" t="s">
        <v>516</v>
      </c>
      <c r="F40" s="43" t="s">
        <v>242</v>
      </c>
      <c r="G40" s="43" t="s">
        <v>249</v>
      </c>
      <c r="H40" s="43" t="s">
        <v>395</v>
      </c>
      <c r="I40" s="49">
        <v>0.5</v>
      </c>
      <c r="J40" s="50">
        <f t="shared" si="1"/>
        <v>0.5</v>
      </c>
    </row>
    <row r="41" spans="2:10" ht="15" customHeight="1">
      <c r="B41" s="27">
        <v>2</v>
      </c>
      <c r="C41" s="18" t="s">
        <v>512</v>
      </c>
      <c r="D41" s="18" t="s">
        <v>258</v>
      </c>
      <c r="E41" s="10" t="s">
        <v>517</v>
      </c>
      <c r="F41" s="43" t="s">
        <v>241</v>
      </c>
      <c r="G41" s="43" t="s">
        <v>250</v>
      </c>
      <c r="H41" s="43" t="s">
        <v>395</v>
      </c>
      <c r="I41" s="49">
        <v>0.5</v>
      </c>
      <c r="J41" s="50">
        <f t="shared" si="1"/>
        <v>0.5</v>
      </c>
    </row>
    <row r="42" spans="2:10" ht="15" customHeight="1">
      <c r="B42" s="27">
        <v>2</v>
      </c>
      <c r="C42" s="18" t="s">
        <v>512</v>
      </c>
      <c r="D42" s="18" t="s">
        <v>459</v>
      </c>
      <c r="E42" s="10" t="s">
        <v>518</v>
      </c>
      <c r="F42" s="43" t="s">
        <v>242</v>
      </c>
      <c r="G42" s="43" t="s">
        <v>250</v>
      </c>
      <c r="H42" s="43" t="s">
        <v>395</v>
      </c>
      <c r="I42" s="49">
        <v>2</v>
      </c>
      <c r="J42" s="50">
        <f t="shared" si="1"/>
        <v>2</v>
      </c>
    </row>
    <row r="43" spans="2:10" ht="15" customHeight="1">
      <c r="B43" s="27">
        <v>2</v>
      </c>
      <c r="C43" s="18" t="s">
        <v>512</v>
      </c>
      <c r="D43" s="18" t="s">
        <v>455</v>
      </c>
      <c r="E43" s="10" t="s">
        <v>519</v>
      </c>
      <c r="F43" s="43" t="s">
        <v>242</v>
      </c>
      <c r="G43" s="43" t="s">
        <v>249</v>
      </c>
      <c r="H43" s="43" t="s">
        <v>396</v>
      </c>
      <c r="I43" s="49">
        <v>1.5</v>
      </c>
      <c r="J43" s="50">
        <f t="shared" si="1"/>
        <v>1.5</v>
      </c>
    </row>
    <row r="44" spans="2:10" ht="15" customHeight="1">
      <c r="B44" s="27">
        <v>2</v>
      </c>
      <c r="C44" s="18" t="s">
        <v>512</v>
      </c>
      <c r="D44" s="18" t="s">
        <v>459</v>
      </c>
      <c r="E44" s="10" t="s">
        <v>520</v>
      </c>
      <c r="F44" s="43" t="s">
        <v>242</v>
      </c>
      <c r="G44" s="43" t="s">
        <v>250</v>
      </c>
      <c r="H44" s="43" t="s">
        <v>462</v>
      </c>
      <c r="I44" s="49">
        <v>0.5</v>
      </c>
      <c r="J44" s="50">
        <f t="shared" si="1"/>
        <v>0.5</v>
      </c>
    </row>
    <row r="45" spans="2:10" ht="15" customHeight="1">
      <c r="E45" s="22" t="s">
        <v>522</v>
      </c>
      <c r="I45" s="23">
        <f>SUM(I26:I44)</f>
        <v>22</v>
      </c>
    </row>
    <row r="47" spans="2:10" ht="15" customHeight="1">
      <c r="B47" s="27">
        <v>3</v>
      </c>
      <c r="C47" s="18" t="s">
        <v>501</v>
      </c>
      <c r="D47" s="18" t="s">
        <v>455</v>
      </c>
      <c r="E47" s="10" t="s">
        <v>502</v>
      </c>
      <c r="F47" s="43" t="s">
        <v>243</v>
      </c>
      <c r="G47" s="43" t="s">
        <v>249</v>
      </c>
      <c r="H47" s="43" t="s">
        <v>395</v>
      </c>
      <c r="I47" s="49">
        <v>0.5</v>
      </c>
      <c r="J47" s="50">
        <f t="shared" ref="J47:J65" si="2">I47</f>
        <v>0.5</v>
      </c>
    </row>
    <row r="48" spans="2:10" ht="15" customHeight="1">
      <c r="B48" s="27">
        <v>3</v>
      </c>
      <c r="C48" s="18" t="s">
        <v>501</v>
      </c>
      <c r="D48" s="18" t="s">
        <v>471</v>
      </c>
      <c r="E48" s="10" t="s">
        <v>503</v>
      </c>
      <c r="F48" s="43" t="s">
        <v>241</v>
      </c>
      <c r="G48" s="43" t="s">
        <v>249</v>
      </c>
      <c r="H48" s="43" t="s">
        <v>395</v>
      </c>
      <c r="I48" s="49">
        <v>0.5</v>
      </c>
      <c r="J48" s="50">
        <f t="shared" si="2"/>
        <v>0.5</v>
      </c>
    </row>
    <row r="49" spans="2:10" ht="15" customHeight="1">
      <c r="B49" s="27">
        <v>3</v>
      </c>
      <c r="C49" s="18" t="s">
        <v>501</v>
      </c>
      <c r="D49" s="18" t="s">
        <v>471</v>
      </c>
      <c r="E49" s="10" t="s">
        <v>504</v>
      </c>
      <c r="F49" s="43" t="s">
        <v>240</v>
      </c>
      <c r="G49" s="43" t="s">
        <v>250</v>
      </c>
      <c r="H49" s="43" t="s">
        <v>395</v>
      </c>
      <c r="I49" s="49">
        <v>2.5</v>
      </c>
      <c r="J49" s="50">
        <f t="shared" si="2"/>
        <v>2.5</v>
      </c>
    </row>
    <row r="50" spans="2:10" ht="15" customHeight="1">
      <c r="B50" s="27">
        <v>3</v>
      </c>
      <c r="C50" s="18" t="s">
        <v>501</v>
      </c>
      <c r="D50" s="18" t="s">
        <v>471</v>
      </c>
      <c r="E50" s="10" t="s">
        <v>504</v>
      </c>
      <c r="F50" s="43" t="s">
        <v>240</v>
      </c>
      <c r="G50" s="43" t="s">
        <v>251</v>
      </c>
      <c r="H50" s="43" t="s">
        <v>395</v>
      </c>
      <c r="I50" s="49">
        <v>1</v>
      </c>
      <c r="J50" s="50">
        <f t="shared" si="2"/>
        <v>1</v>
      </c>
    </row>
    <row r="51" spans="2:10" ht="15" customHeight="1">
      <c r="B51" s="27">
        <v>3</v>
      </c>
      <c r="C51" s="18" t="s">
        <v>501</v>
      </c>
      <c r="D51" s="18" t="s">
        <v>467</v>
      </c>
      <c r="E51" s="10" t="s">
        <v>505</v>
      </c>
      <c r="F51" s="43" t="s">
        <v>241</v>
      </c>
      <c r="G51" s="43" t="s">
        <v>250</v>
      </c>
      <c r="H51" s="43" t="s">
        <v>395</v>
      </c>
      <c r="I51" s="49">
        <v>1.5</v>
      </c>
      <c r="J51" s="50">
        <f t="shared" si="2"/>
        <v>1.5</v>
      </c>
    </row>
    <row r="52" spans="2:10" ht="15" customHeight="1">
      <c r="B52" s="27">
        <v>3</v>
      </c>
      <c r="C52" s="18" t="s">
        <v>501</v>
      </c>
      <c r="D52" s="18" t="s">
        <v>471</v>
      </c>
      <c r="E52" s="10" t="s">
        <v>506</v>
      </c>
      <c r="F52" s="43" t="s">
        <v>242</v>
      </c>
      <c r="G52" s="43" t="s">
        <v>249</v>
      </c>
      <c r="H52" s="43" t="s">
        <v>396</v>
      </c>
      <c r="I52" s="49">
        <v>0.5</v>
      </c>
      <c r="J52" s="50">
        <f t="shared" si="2"/>
        <v>0.5</v>
      </c>
    </row>
    <row r="53" spans="2:10" ht="15" customHeight="1">
      <c r="B53" s="27">
        <v>3</v>
      </c>
      <c r="C53" s="18" t="s">
        <v>507</v>
      </c>
      <c r="D53" s="18" t="s">
        <v>464</v>
      </c>
      <c r="E53" s="10" t="s">
        <v>508</v>
      </c>
      <c r="F53" s="43" t="s">
        <v>242</v>
      </c>
      <c r="G53" s="43" t="s">
        <v>249</v>
      </c>
      <c r="H53" s="43" t="s">
        <v>395</v>
      </c>
      <c r="I53" s="49">
        <v>1</v>
      </c>
      <c r="J53" s="50">
        <f t="shared" si="2"/>
        <v>1</v>
      </c>
    </row>
    <row r="54" spans="2:10" ht="15" customHeight="1">
      <c r="B54" s="27">
        <v>3</v>
      </c>
      <c r="C54" s="18" t="s">
        <v>507</v>
      </c>
      <c r="D54" s="18" t="s">
        <v>464</v>
      </c>
      <c r="E54" s="10" t="s">
        <v>509</v>
      </c>
      <c r="F54" s="43" t="s">
        <v>241</v>
      </c>
      <c r="G54" s="43" t="s">
        <v>250</v>
      </c>
      <c r="H54" s="43" t="s">
        <v>395</v>
      </c>
      <c r="I54" s="49">
        <v>0.5</v>
      </c>
      <c r="J54" s="50">
        <f t="shared" si="2"/>
        <v>0.5</v>
      </c>
    </row>
    <row r="55" spans="2:10" ht="15" customHeight="1">
      <c r="B55" s="27">
        <v>3</v>
      </c>
      <c r="C55" s="18" t="s">
        <v>507</v>
      </c>
      <c r="D55" s="18" t="s">
        <v>464</v>
      </c>
      <c r="E55" s="10" t="s">
        <v>510</v>
      </c>
      <c r="F55" s="43" t="s">
        <v>241</v>
      </c>
      <c r="G55" s="43" t="s">
        <v>250</v>
      </c>
      <c r="H55" s="43" t="s">
        <v>395</v>
      </c>
      <c r="I55" s="49">
        <v>0.5</v>
      </c>
      <c r="J55" s="50">
        <f t="shared" si="2"/>
        <v>0.5</v>
      </c>
    </row>
    <row r="56" spans="2:10" ht="15" customHeight="1">
      <c r="B56" s="27">
        <v>3</v>
      </c>
      <c r="C56" s="18" t="s">
        <v>507</v>
      </c>
      <c r="D56" s="18" t="s">
        <v>464</v>
      </c>
      <c r="E56" s="10" t="s">
        <v>465</v>
      </c>
      <c r="F56" s="43" t="s">
        <v>240</v>
      </c>
      <c r="G56" s="43" t="s">
        <v>250</v>
      </c>
      <c r="H56" s="43" t="s">
        <v>462</v>
      </c>
      <c r="I56" s="49">
        <v>0.5</v>
      </c>
      <c r="J56" s="50">
        <f t="shared" si="2"/>
        <v>0.5</v>
      </c>
    </row>
    <row r="57" spans="2:10" ht="15" customHeight="1">
      <c r="B57" s="27">
        <v>3</v>
      </c>
      <c r="C57" s="18" t="s">
        <v>507</v>
      </c>
      <c r="D57" s="18" t="s">
        <v>258</v>
      </c>
      <c r="E57" s="10" t="s">
        <v>511</v>
      </c>
      <c r="F57" s="43" t="s">
        <v>241</v>
      </c>
      <c r="G57" s="43" t="s">
        <v>249</v>
      </c>
      <c r="H57" s="43" t="s">
        <v>395</v>
      </c>
      <c r="I57" s="49">
        <v>4</v>
      </c>
      <c r="J57" s="50">
        <f t="shared" si="2"/>
        <v>4</v>
      </c>
    </row>
    <row r="58" spans="2:10" ht="15" customHeight="1">
      <c r="B58" s="27">
        <v>3</v>
      </c>
      <c r="C58" s="18" t="s">
        <v>512</v>
      </c>
      <c r="D58" s="18" t="s">
        <v>467</v>
      </c>
      <c r="E58" s="10" t="s">
        <v>513</v>
      </c>
      <c r="F58" s="43" t="s">
        <v>243</v>
      </c>
      <c r="G58" s="43" t="s">
        <v>249</v>
      </c>
      <c r="H58" s="43" t="s">
        <v>395</v>
      </c>
      <c r="I58" s="49">
        <v>0.5</v>
      </c>
      <c r="J58" s="50">
        <f t="shared" si="2"/>
        <v>0.5</v>
      </c>
    </row>
    <row r="59" spans="2:10" ht="15" customHeight="1">
      <c r="B59" s="27">
        <v>3</v>
      </c>
      <c r="C59" s="18" t="s">
        <v>512</v>
      </c>
      <c r="D59" s="18" t="s">
        <v>467</v>
      </c>
      <c r="E59" s="10" t="s">
        <v>514</v>
      </c>
      <c r="F59" s="43" t="s">
        <v>242</v>
      </c>
      <c r="G59" s="43" t="s">
        <v>249</v>
      </c>
      <c r="H59" s="43" t="s">
        <v>395</v>
      </c>
      <c r="I59" s="49">
        <v>0.5</v>
      </c>
      <c r="J59" s="50">
        <f t="shared" si="2"/>
        <v>0.5</v>
      </c>
    </row>
    <row r="60" spans="2:10" ht="15" customHeight="1">
      <c r="B60" s="27">
        <v>3</v>
      </c>
      <c r="C60" s="18" t="s">
        <v>512</v>
      </c>
      <c r="D60" s="18" t="s">
        <v>467</v>
      </c>
      <c r="E60" s="10" t="s">
        <v>515</v>
      </c>
      <c r="F60" s="43" t="s">
        <v>241</v>
      </c>
      <c r="G60" s="43" t="s">
        <v>250</v>
      </c>
      <c r="H60" s="43" t="s">
        <v>395</v>
      </c>
      <c r="I60" s="49">
        <v>1</v>
      </c>
      <c r="J60" s="50">
        <f t="shared" si="2"/>
        <v>1</v>
      </c>
    </row>
    <row r="61" spans="2:10" ht="15" customHeight="1">
      <c r="B61" s="27">
        <v>3</v>
      </c>
      <c r="C61" s="18" t="s">
        <v>512</v>
      </c>
      <c r="D61" s="18" t="s">
        <v>455</v>
      </c>
      <c r="E61" s="10" t="s">
        <v>516</v>
      </c>
      <c r="F61" s="43" t="s">
        <v>242</v>
      </c>
      <c r="G61" s="43" t="s">
        <v>249</v>
      </c>
      <c r="H61" s="43" t="s">
        <v>395</v>
      </c>
      <c r="I61" s="49">
        <v>0.5</v>
      </c>
      <c r="J61" s="50">
        <f t="shared" si="2"/>
        <v>0.5</v>
      </c>
    </row>
    <row r="62" spans="2:10" ht="15" customHeight="1">
      <c r="B62" s="27">
        <v>3</v>
      </c>
      <c r="C62" s="18" t="s">
        <v>512</v>
      </c>
      <c r="D62" s="18" t="s">
        <v>258</v>
      </c>
      <c r="E62" s="10" t="s">
        <v>517</v>
      </c>
      <c r="F62" s="43" t="s">
        <v>241</v>
      </c>
      <c r="G62" s="43" t="s">
        <v>250</v>
      </c>
      <c r="H62" s="43" t="s">
        <v>395</v>
      </c>
      <c r="I62" s="49">
        <v>1</v>
      </c>
      <c r="J62" s="50">
        <f t="shared" si="2"/>
        <v>1</v>
      </c>
    </row>
    <row r="63" spans="2:10" ht="15" customHeight="1">
      <c r="B63" s="27">
        <v>3</v>
      </c>
      <c r="C63" s="18" t="s">
        <v>512</v>
      </c>
      <c r="D63" s="18" t="s">
        <v>459</v>
      </c>
      <c r="E63" s="10" t="s">
        <v>518</v>
      </c>
      <c r="F63" s="43" t="s">
        <v>242</v>
      </c>
      <c r="G63" s="43" t="s">
        <v>250</v>
      </c>
      <c r="H63" s="43" t="s">
        <v>395</v>
      </c>
      <c r="I63" s="49">
        <v>0.5</v>
      </c>
      <c r="J63" s="50">
        <f t="shared" si="2"/>
        <v>0.5</v>
      </c>
    </row>
    <row r="64" spans="2:10" ht="15" customHeight="1">
      <c r="B64" s="27">
        <v>3</v>
      </c>
      <c r="C64" s="18" t="s">
        <v>512</v>
      </c>
      <c r="D64" s="18" t="s">
        <v>455</v>
      </c>
      <c r="E64" s="10" t="s">
        <v>519</v>
      </c>
      <c r="F64" s="43" t="s">
        <v>242</v>
      </c>
      <c r="G64" s="43" t="s">
        <v>249</v>
      </c>
      <c r="H64" s="43" t="s">
        <v>396</v>
      </c>
      <c r="I64" s="49">
        <v>0.5</v>
      </c>
      <c r="J64" s="50">
        <f t="shared" si="2"/>
        <v>0.5</v>
      </c>
    </row>
    <row r="65" spans="2:10" ht="15" customHeight="1">
      <c r="B65" s="27">
        <v>3</v>
      </c>
      <c r="C65" s="18" t="s">
        <v>512</v>
      </c>
      <c r="D65" s="18" t="s">
        <v>459</v>
      </c>
      <c r="E65" s="10" t="s">
        <v>520</v>
      </c>
      <c r="F65" s="43" t="s">
        <v>242</v>
      </c>
      <c r="G65" s="43" t="s">
        <v>250</v>
      </c>
      <c r="H65" s="43" t="s">
        <v>462</v>
      </c>
      <c r="I65" s="49">
        <v>1</v>
      </c>
      <c r="J65" s="50">
        <f t="shared" si="2"/>
        <v>1</v>
      </c>
    </row>
    <row r="66" spans="2:10" ht="15" customHeight="1">
      <c r="E66" s="22" t="s">
        <v>523</v>
      </c>
      <c r="I66" s="23">
        <f>SUM(I47:I65)</f>
        <v>18.5</v>
      </c>
    </row>
    <row r="68" spans="2:10" ht="15" customHeight="1">
      <c r="B68" s="27">
        <v>4</v>
      </c>
      <c r="C68" s="18" t="s">
        <v>501</v>
      </c>
      <c r="D68" s="18" t="s">
        <v>455</v>
      </c>
      <c r="E68" s="10" t="s">
        <v>502</v>
      </c>
      <c r="F68" s="43" t="s">
        <v>243</v>
      </c>
      <c r="G68" s="43" t="s">
        <v>249</v>
      </c>
      <c r="H68" s="43" t="s">
        <v>395</v>
      </c>
      <c r="I68" s="49">
        <v>0.5</v>
      </c>
      <c r="J68" s="50">
        <f t="shared" ref="J68:J86" si="3">I68</f>
        <v>0.5</v>
      </c>
    </row>
    <row r="69" spans="2:10" ht="15" customHeight="1">
      <c r="B69" s="27">
        <v>4</v>
      </c>
      <c r="C69" s="18" t="s">
        <v>501</v>
      </c>
      <c r="D69" s="18" t="s">
        <v>471</v>
      </c>
      <c r="E69" s="10" t="s">
        <v>503</v>
      </c>
      <c r="F69" s="43" t="s">
        <v>241</v>
      </c>
      <c r="G69" s="43" t="s">
        <v>249</v>
      </c>
      <c r="H69" s="43" t="s">
        <v>395</v>
      </c>
      <c r="I69" s="49">
        <v>0.5</v>
      </c>
      <c r="J69" s="50">
        <f t="shared" si="3"/>
        <v>0.5</v>
      </c>
    </row>
    <row r="70" spans="2:10" ht="15" customHeight="1">
      <c r="B70" s="27">
        <v>4</v>
      </c>
      <c r="C70" s="18" t="s">
        <v>501</v>
      </c>
      <c r="D70" s="18" t="s">
        <v>471</v>
      </c>
      <c r="E70" s="10" t="s">
        <v>504</v>
      </c>
      <c r="F70" s="43" t="s">
        <v>240</v>
      </c>
      <c r="G70" s="43" t="s">
        <v>250</v>
      </c>
      <c r="H70" s="43" t="s">
        <v>395</v>
      </c>
      <c r="I70" s="49">
        <v>0.5</v>
      </c>
      <c r="J70" s="50">
        <f t="shared" si="3"/>
        <v>0.5</v>
      </c>
    </row>
    <row r="71" spans="2:10" ht="15" customHeight="1">
      <c r="B71" s="27">
        <v>4</v>
      </c>
      <c r="C71" s="18" t="s">
        <v>501</v>
      </c>
      <c r="D71" s="18" t="s">
        <v>471</v>
      </c>
      <c r="E71" s="10" t="s">
        <v>504</v>
      </c>
      <c r="F71" s="43" t="s">
        <v>240</v>
      </c>
      <c r="G71" s="43" t="s">
        <v>251</v>
      </c>
      <c r="H71" s="43" t="s">
        <v>395</v>
      </c>
      <c r="I71" s="49">
        <v>0.5</v>
      </c>
      <c r="J71" s="50">
        <f t="shared" si="3"/>
        <v>0.5</v>
      </c>
    </row>
    <row r="72" spans="2:10" ht="15" customHeight="1">
      <c r="B72" s="27">
        <v>4</v>
      </c>
      <c r="C72" s="18" t="s">
        <v>501</v>
      </c>
      <c r="D72" s="18" t="s">
        <v>467</v>
      </c>
      <c r="E72" s="10" t="s">
        <v>505</v>
      </c>
      <c r="F72" s="43" t="s">
        <v>241</v>
      </c>
      <c r="G72" s="43" t="s">
        <v>250</v>
      </c>
      <c r="H72" s="43" t="s">
        <v>395</v>
      </c>
      <c r="I72" s="49">
        <v>0.5</v>
      </c>
      <c r="J72" s="50">
        <f t="shared" si="3"/>
        <v>0.5</v>
      </c>
    </row>
    <row r="73" spans="2:10" ht="15" customHeight="1">
      <c r="B73" s="27">
        <v>4</v>
      </c>
      <c r="C73" s="18" t="s">
        <v>501</v>
      </c>
      <c r="D73" s="18" t="s">
        <v>471</v>
      </c>
      <c r="E73" s="10" t="s">
        <v>506</v>
      </c>
      <c r="F73" s="43" t="s">
        <v>242</v>
      </c>
      <c r="G73" s="43" t="s">
        <v>249</v>
      </c>
      <c r="H73" s="43" t="s">
        <v>396</v>
      </c>
      <c r="I73" s="49">
        <v>2.5</v>
      </c>
      <c r="J73" s="50">
        <f t="shared" si="3"/>
        <v>2.5</v>
      </c>
    </row>
    <row r="74" spans="2:10" ht="15" customHeight="1">
      <c r="B74" s="27">
        <v>4</v>
      </c>
      <c r="C74" s="18" t="s">
        <v>507</v>
      </c>
      <c r="D74" s="18" t="s">
        <v>464</v>
      </c>
      <c r="E74" s="10" t="s">
        <v>508</v>
      </c>
      <c r="F74" s="43" t="s">
        <v>242</v>
      </c>
      <c r="G74" s="43" t="s">
        <v>249</v>
      </c>
      <c r="H74" s="43" t="s">
        <v>395</v>
      </c>
      <c r="I74" s="49">
        <v>0.5</v>
      </c>
      <c r="J74" s="50">
        <f t="shared" si="3"/>
        <v>0.5</v>
      </c>
    </row>
    <row r="75" spans="2:10" ht="15" customHeight="1">
      <c r="B75" s="27">
        <v>4</v>
      </c>
      <c r="C75" s="18" t="s">
        <v>507</v>
      </c>
      <c r="D75" s="18" t="s">
        <v>464</v>
      </c>
      <c r="E75" s="10" t="s">
        <v>509</v>
      </c>
      <c r="F75" s="43" t="s">
        <v>241</v>
      </c>
      <c r="G75" s="43" t="s">
        <v>250</v>
      </c>
      <c r="H75" s="43" t="s">
        <v>395</v>
      </c>
      <c r="I75" s="49">
        <v>0.5</v>
      </c>
      <c r="J75" s="50">
        <f t="shared" si="3"/>
        <v>0.5</v>
      </c>
    </row>
    <row r="76" spans="2:10" ht="15" customHeight="1">
      <c r="B76" s="27">
        <v>4</v>
      </c>
      <c r="C76" s="18" t="s">
        <v>507</v>
      </c>
      <c r="D76" s="18" t="s">
        <v>464</v>
      </c>
      <c r="E76" s="10" t="s">
        <v>510</v>
      </c>
      <c r="F76" s="43" t="s">
        <v>241</v>
      </c>
      <c r="G76" s="43" t="s">
        <v>250</v>
      </c>
      <c r="H76" s="43" t="s">
        <v>395</v>
      </c>
      <c r="I76" s="49">
        <v>0.5</v>
      </c>
      <c r="J76" s="50">
        <f t="shared" si="3"/>
        <v>0.5</v>
      </c>
    </row>
    <row r="77" spans="2:10" ht="15" customHeight="1">
      <c r="B77" s="27">
        <v>4</v>
      </c>
      <c r="C77" s="18" t="s">
        <v>507</v>
      </c>
      <c r="D77" s="18" t="s">
        <v>464</v>
      </c>
      <c r="E77" s="10" t="s">
        <v>465</v>
      </c>
      <c r="F77" s="43" t="s">
        <v>240</v>
      </c>
      <c r="G77" s="43" t="s">
        <v>250</v>
      </c>
      <c r="H77" s="43" t="s">
        <v>462</v>
      </c>
      <c r="I77" s="49">
        <v>4</v>
      </c>
      <c r="J77" s="50">
        <f t="shared" si="3"/>
        <v>4</v>
      </c>
    </row>
    <row r="78" spans="2:10" ht="15" customHeight="1">
      <c r="B78" s="27">
        <v>4</v>
      </c>
      <c r="C78" s="18" t="s">
        <v>507</v>
      </c>
      <c r="D78" s="18" t="s">
        <v>258</v>
      </c>
      <c r="E78" s="10" t="s">
        <v>511</v>
      </c>
      <c r="F78" s="43" t="s">
        <v>241</v>
      </c>
      <c r="G78" s="43" t="s">
        <v>249</v>
      </c>
      <c r="H78" s="43" t="s">
        <v>395</v>
      </c>
      <c r="I78" s="49">
        <v>0.5</v>
      </c>
      <c r="J78" s="50">
        <f t="shared" si="3"/>
        <v>0.5</v>
      </c>
    </row>
    <row r="79" spans="2:10" ht="15" customHeight="1">
      <c r="B79" s="27">
        <v>4</v>
      </c>
      <c r="C79" s="18" t="s">
        <v>512</v>
      </c>
      <c r="D79" s="18" t="s">
        <v>467</v>
      </c>
      <c r="E79" s="10" t="s">
        <v>513</v>
      </c>
      <c r="F79" s="43" t="s">
        <v>243</v>
      </c>
      <c r="G79" s="43" t="s">
        <v>249</v>
      </c>
      <c r="H79" s="43" t="s">
        <v>395</v>
      </c>
      <c r="I79" s="49">
        <v>0.5</v>
      </c>
      <c r="J79" s="50">
        <f t="shared" si="3"/>
        <v>0.5</v>
      </c>
    </row>
    <row r="80" spans="2:10" ht="15" customHeight="1">
      <c r="B80" s="27">
        <v>4</v>
      </c>
      <c r="C80" s="18" t="s">
        <v>512</v>
      </c>
      <c r="D80" s="18" t="s">
        <v>467</v>
      </c>
      <c r="E80" s="10" t="s">
        <v>514</v>
      </c>
      <c r="F80" s="43" t="s">
        <v>242</v>
      </c>
      <c r="G80" s="43" t="s">
        <v>249</v>
      </c>
      <c r="H80" s="43" t="s">
        <v>395</v>
      </c>
      <c r="I80" s="49">
        <v>0.5</v>
      </c>
      <c r="J80" s="50">
        <f t="shared" si="3"/>
        <v>0.5</v>
      </c>
    </row>
    <row r="81" spans="2:10" ht="15" customHeight="1">
      <c r="B81" s="27">
        <v>4</v>
      </c>
      <c r="C81" s="18" t="s">
        <v>512</v>
      </c>
      <c r="D81" s="18" t="s">
        <v>467</v>
      </c>
      <c r="E81" s="10" t="s">
        <v>515</v>
      </c>
      <c r="F81" s="43" t="s">
        <v>241</v>
      </c>
      <c r="G81" s="43" t="s">
        <v>250</v>
      </c>
      <c r="H81" s="43" t="s">
        <v>395</v>
      </c>
      <c r="I81" s="49">
        <v>0.5</v>
      </c>
      <c r="J81" s="50">
        <f t="shared" si="3"/>
        <v>0.5</v>
      </c>
    </row>
    <row r="82" spans="2:10" ht="15" customHeight="1">
      <c r="B82" s="27">
        <v>4</v>
      </c>
      <c r="C82" s="18" t="s">
        <v>512</v>
      </c>
      <c r="D82" s="18" t="s">
        <v>455</v>
      </c>
      <c r="E82" s="10" t="s">
        <v>516</v>
      </c>
      <c r="F82" s="43" t="s">
        <v>242</v>
      </c>
      <c r="G82" s="43" t="s">
        <v>249</v>
      </c>
      <c r="H82" s="43" t="s">
        <v>395</v>
      </c>
      <c r="I82" s="49">
        <v>0.5</v>
      </c>
      <c r="J82" s="50">
        <f t="shared" si="3"/>
        <v>0.5</v>
      </c>
    </row>
    <row r="83" spans="2:10" ht="15" customHeight="1">
      <c r="B83" s="27">
        <v>4</v>
      </c>
      <c r="C83" s="18" t="s">
        <v>512</v>
      </c>
      <c r="D83" s="18" t="s">
        <v>258</v>
      </c>
      <c r="E83" s="10" t="s">
        <v>517</v>
      </c>
      <c r="F83" s="43" t="s">
        <v>241</v>
      </c>
      <c r="G83" s="43" t="s">
        <v>250</v>
      </c>
      <c r="H83" s="43" t="s">
        <v>395</v>
      </c>
      <c r="I83" s="49">
        <v>0.5</v>
      </c>
      <c r="J83" s="50">
        <f t="shared" si="3"/>
        <v>0.5</v>
      </c>
    </row>
    <row r="84" spans="2:10" ht="15" customHeight="1">
      <c r="B84" s="27">
        <v>4</v>
      </c>
      <c r="C84" s="18" t="s">
        <v>512</v>
      </c>
      <c r="D84" s="18" t="s">
        <v>459</v>
      </c>
      <c r="E84" s="10" t="s">
        <v>518</v>
      </c>
      <c r="F84" s="43" t="s">
        <v>242</v>
      </c>
      <c r="G84" s="43" t="s">
        <v>250</v>
      </c>
      <c r="H84" s="43" t="s">
        <v>395</v>
      </c>
      <c r="I84" s="49">
        <v>0.5</v>
      </c>
      <c r="J84" s="50">
        <f t="shared" si="3"/>
        <v>0.5</v>
      </c>
    </row>
    <row r="85" spans="2:10" ht="15" customHeight="1">
      <c r="B85" s="27">
        <v>4</v>
      </c>
      <c r="C85" s="18" t="s">
        <v>512</v>
      </c>
      <c r="D85" s="18" t="s">
        <v>455</v>
      </c>
      <c r="E85" s="10" t="s">
        <v>519</v>
      </c>
      <c r="F85" s="43" t="s">
        <v>242</v>
      </c>
      <c r="G85" s="43" t="s">
        <v>249</v>
      </c>
      <c r="H85" s="43" t="s">
        <v>396</v>
      </c>
      <c r="I85" s="49">
        <v>2.5</v>
      </c>
      <c r="J85" s="50">
        <f t="shared" si="3"/>
        <v>2.5</v>
      </c>
    </row>
    <row r="86" spans="2:10" ht="15" customHeight="1">
      <c r="B86" s="27">
        <v>4</v>
      </c>
      <c r="C86" s="18" t="s">
        <v>512</v>
      </c>
      <c r="D86" s="18" t="s">
        <v>459</v>
      </c>
      <c r="E86" s="10" t="s">
        <v>520</v>
      </c>
      <c r="F86" s="43" t="s">
        <v>242</v>
      </c>
      <c r="G86" s="43" t="s">
        <v>250</v>
      </c>
      <c r="H86" s="43" t="s">
        <v>462</v>
      </c>
      <c r="I86" s="49">
        <v>1</v>
      </c>
      <c r="J86" s="50">
        <f t="shared" si="3"/>
        <v>1</v>
      </c>
    </row>
    <row r="87" spans="2:10" ht="15" customHeight="1">
      <c r="E87" s="22" t="s">
        <v>524</v>
      </c>
      <c r="I87" s="23">
        <f>SUM(I68:I86)</f>
        <v>17.5</v>
      </c>
    </row>
    <row r="89" spans="2:10" ht="15" customHeight="1">
      <c r="B89" s="27">
        <v>5</v>
      </c>
      <c r="C89" s="18" t="s">
        <v>501</v>
      </c>
      <c r="D89" s="18" t="s">
        <v>455</v>
      </c>
      <c r="E89" s="10" t="s">
        <v>502</v>
      </c>
      <c r="F89" s="43" t="s">
        <v>243</v>
      </c>
      <c r="G89" s="43" t="s">
        <v>249</v>
      </c>
      <c r="H89" s="43" t="s">
        <v>395</v>
      </c>
      <c r="I89" s="49">
        <v>0.5</v>
      </c>
      <c r="J89" s="50">
        <f t="shared" ref="J89:J107" si="4">I89</f>
        <v>0.5</v>
      </c>
    </row>
    <row r="90" spans="2:10" ht="15" customHeight="1">
      <c r="B90" s="27">
        <v>5</v>
      </c>
      <c r="C90" s="18" t="s">
        <v>501</v>
      </c>
      <c r="D90" s="18" t="s">
        <v>471</v>
      </c>
      <c r="E90" s="10" t="s">
        <v>503</v>
      </c>
      <c r="F90" s="43" t="s">
        <v>241</v>
      </c>
      <c r="G90" s="43" t="s">
        <v>249</v>
      </c>
      <c r="H90" s="43" t="s">
        <v>395</v>
      </c>
      <c r="I90" s="49">
        <v>1</v>
      </c>
      <c r="J90" s="50">
        <f t="shared" si="4"/>
        <v>1</v>
      </c>
    </row>
    <row r="91" spans="2:10" ht="15" customHeight="1">
      <c r="B91" s="27">
        <v>5</v>
      </c>
      <c r="C91" s="18" t="s">
        <v>501</v>
      </c>
      <c r="D91" s="18" t="s">
        <v>471</v>
      </c>
      <c r="E91" s="10" t="s">
        <v>504</v>
      </c>
      <c r="F91" s="43" t="s">
        <v>240</v>
      </c>
      <c r="G91" s="43" t="s">
        <v>250</v>
      </c>
      <c r="H91" s="43" t="s">
        <v>395</v>
      </c>
      <c r="I91" s="49">
        <v>0.5</v>
      </c>
      <c r="J91" s="50">
        <f t="shared" si="4"/>
        <v>0.5</v>
      </c>
    </row>
    <row r="92" spans="2:10" ht="15" customHeight="1">
      <c r="B92" s="27">
        <v>5</v>
      </c>
      <c r="C92" s="18" t="s">
        <v>501</v>
      </c>
      <c r="D92" s="18" t="s">
        <v>471</v>
      </c>
      <c r="E92" s="10" t="s">
        <v>504</v>
      </c>
      <c r="F92" s="43" t="s">
        <v>240</v>
      </c>
      <c r="G92" s="43" t="s">
        <v>251</v>
      </c>
      <c r="H92" s="43" t="s">
        <v>395</v>
      </c>
      <c r="I92" s="49">
        <v>0.5</v>
      </c>
      <c r="J92" s="50">
        <f t="shared" si="4"/>
        <v>0.5</v>
      </c>
    </row>
    <row r="93" spans="2:10" ht="15" customHeight="1">
      <c r="B93" s="27">
        <v>5</v>
      </c>
      <c r="C93" s="18" t="s">
        <v>501</v>
      </c>
      <c r="D93" s="18" t="s">
        <v>467</v>
      </c>
      <c r="E93" s="10" t="s">
        <v>505</v>
      </c>
      <c r="F93" s="43" t="s">
        <v>241</v>
      </c>
      <c r="G93" s="43" t="s">
        <v>250</v>
      </c>
      <c r="H93" s="43" t="s">
        <v>395</v>
      </c>
      <c r="I93" s="49">
        <v>0.5</v>
      </c>
      <c r="J93" s="50">
        <f t="shared" si="4"/>
        <v>0.5</v>
      </c>
    </row>
    <row r="94" spans="2:10" ht="15" customHeight="1">
      <c r="B94" s="27">
        <v>5</v>
      </c>
      <c r="C94" s="18" t="s">
        <v>501</v>
      </c>
      <c r="D94" s="18" t="s">
        <v>471</v>
      </c>
      <c r="E94" s="10" t="s">
        <v>506</v>
      </c>
      <c r="F94" s="43" t="s">
        <v>242</v>
      </c>
      <c r="G94" s="43" t="s">
        <v>249</v>
      </c>
      <c r="H94" s="43" t="s">
        <v>396</v>
      </c>
      <c r="I94" s="49">
        <v>3</v>
      </c>
      <c r="J94" s="50">
        <f t="shared" si="4"/>
        <v>3</v>
      </c>
    </row>
    <row r="95" spans="2:10" ht="15" customHeight="1">
      <c r="B95" s="27">
        <v>5</v>
      </c>
      <c r="C95" s="18" t="s">
        <v>507</v>
      </c>
      <c r="D95" s="18" t="s">
        <v>464</v>
      </c>
      <c r="E95" s="10" t="s">
        <v>508</v>
      </c>
      <c r="F95" s="43" t="s">
        <v>242</v>
      </c>
      <c r="G95" s="43" t="s">
        <v>249</v>
      </c>
      <c r="H95" s="43" t="s">
        <v>395</v>
      </c>
      <c r="I95" s="49">
        <v>0.5</v>
      </c>
      <c r="J95" s="50">
        <f t="shared" si="4"/>
        <v>0.5</v>
      </c>
    </row>
    <row r="96" spans="2:10" ht="15" customHeight="1">
      <c r="B96" s="27">
        <v>5</v>
      </c>
      <c r="C96" s="18" t="s">
        <v>507</v>
      </c>
      <c r="D96" s="18" t="s">
        <v>464</v>
      </c>
      <c r="E96" s="10" t="s">
        <v>509</v>
      </c>
      <c r="F96" s="43" t="s">
        <v>241</v>
      </c>
      <c r="G96" s="43" t="s">
        <v>250</v>
      </c>
      <c r="H96" s="43" t="s">
        <v>395</v>
      </c>
      <c r="I96" s="49">
        <v>0.5</v>
      </c>
      <c r="J96" s="50">
        <f t="shared" si="4"/>
        <v>0.5</v>
      </c>
    </row>
    <row r="97" spans="2:10" ht="15" customHeight="1">
      <c r="B97" s="27">
        <v>5</v>
      </c>
      <c r="C97" s="18" t="s">
        <v>507</v>
      </c>
      <c r="D97" s="18" t="s">
        <v>464</v>
      </c>
      <c r="E97" s="10" t="s">
        <v>510</v>
      </c>
      <c r="F97" s="43" t="s">
        <v>241</v>
      </c>
      <c r="G97" s="43" t="s">
        <v>250</v>
      </c>
      <c r="H97" s="43" t="s">
        <v>395</v>
      </c>
      <c r="I97" s="49">
        <v>0.5</v>
      </c>
      <c r="J97" s="50">
        <f t="shared" si="4"/>
        <v>0.5</v>
      </c>
    </row>
    <row r="98" spans="2:10" ht="15" customHeight="1">
      <c r="B98" s="27">
        <v>5</v>
      </c>
      <c r="C98" s="18" t="s">
        <v>507</v>
      </c>
      <c r="D98" s="18" t="s">
        <v>464</v>
      </c>
      <c r="E98" s="10" t="s">
        <v>465</v>
      </c>
      <c r="F98" s="43" t="s">
        <v>240</v>
      </c>
      <c r="G98" s="43" t="s">
        <v>250</v>
      </c>
      <c r="H98" s="43" t="s">
        <v>462</v>
      </c>
      <c r="I98" s="49">
        <v>1</v>
      </c>
      <c r="J98" s="50">
        <f t="shared" si="4"/>
        <v>1</v>
      </c>
    </row>
    <row r="99" spans="2:10" ht="15" customHeight="1">
      <c r="B99" s="27">
        <v>5</v>
      </c>
      <c r="C99" s="18" t="s">
        <v>507</v>
      </c>
      <c r="D99" s="18" t="s">
        <v>258</v>
      </c>
      <c r="E99" s="10" t="s">
        <v>511</v>
      </c>
      <c r="F99" s="43" t="s">
        <v>241</v>
      </c>
      <c r="G99" s="43" t="s">
        <v>249</v>
      </c>
      <c r="H99" s="43" t="s">
        <v>395</v>
      </c>
      <c r="I99" s="49">
        <v>0.5</v>
      </c>
      <c r="J99" s="50">
        <f t="shared" si="4"/>
        <v>0.5</v>
      </c>
    </row>
    <row r="100" spans="2:10" ht="15" customHeight="1">
      <c r="B100" s="27">
        <v>5</v>
      </c>
      <c r="C100" s="18" t="s">
        <v>512</v>
      </c>
      <c r="D100" s="18" t="s">
        <v>467</v>
      </c>
      <c r="E100" s="10" t="s">
        <v>513</v>
      </c>
      <c r="F100" s="43" t="s">
        <v>243</v>
      </c>
      <c r="G100" s="43" t="s">
        <v>249</v>
      </c>
      <c r="H100" s="43" t="s">
        <v>395</v>
      </c>
      <c r="I100" s="49">
        <v>1</v>
      </c>
      <c r="J100" s="50">
        <f t="shared" si="4"/>
        <v>1</v>
      </c>
    </row>
    <row r="101" spans="2:10" ht="15" customHeight="1">
      <c r="B101" s="27">
        <v>5</v>
      </c>
      <c r="C101" s="18" t="s">
        <v>512</v>
      </c>
      <c r="D101" s="18" t="s">
        <v>467</v>
      </c>
      <c r="E101" s="10" t="s">
        <v>514</v>
      </c>
      <c r="F101" s="43" t="s">
        <v>242</v>
      </c>
      <c r="G101" s="43" t="s">
        <v>249</v>
      </c>
      <c r="H101" s="43" t="s">
        <v>395</v>
      </c>
      <c r="I101" s="49">
        <v>0.5</v>
      </c>
      <c r="J101" s="50">
        <f t="shared" si="4"/>
        <v>0.5</v>
      </c>
    </row>
    <row r="102" spans="2:10" ht="15" customHeight="1">
      <c r="B102" s="27">
        <v>5</v>
      </c>
      <c r="C102" s="18" t="s">
        <v>512</v>
      </c>
      <c r="D102" s="18" t="s">
        <v>467</v>
      </c>
      <c r="E102" s="10" t="s">
        <v>515</v>
      </c>
      <c r="F102" s="43" t="s">
        <v>241</v>
      </c>
      <c r="G102" s="43" t="s">
        <v>250</v>
      </c>
      <c r="H102" s="43" t="s">
        <v>395</v>
      </c>
      <c r="I102" s="49">
        <v>0.5</v>
      </c>
      <c r="J102" s="50">
        <f t="shared" si="4"/>
        <v>0.5</v>
      </c>
    </row>
    <row r="103" spans="2:10" ht="15" customHeight="1">
      <c r="B103" s="27">
        <v>5</v>
      </c>
      <c r="C103" s="18" t="s">
        <v>512</v>
      </c>
      <c r="D103" s="18" t="s">
        <v>455</v>
      </c>
      <c r="E103" s="10" t="s">
        <v>516</v>
      </c>
      <c r="F103" s="43" t="s">
        <v>242</v>
      </c>
      <c r="G103" s="43" t="s">
        <v>249</v>
      </c>
      <c r="H103" s="43" t="s">
        <v>395</v>
      </c>
      <c r="I103" s="49">
        <v>0.5</v>
      </c>
      <c r="J103" s="50">
        <f t="shared" si="4"/>
        <v>0.5</v>
      </c>
    </row>
    <row r="104" spans="2:10" ht="15" customHeight="1">
      <c r="B104" s="27">
        <v>5</v>
      </c>
      <c r="C104" s="18" t="s">
        <v>512</v>
      </c>
      <c r="D104" s="18" t="s">
        <v>258</v>
      </c>
      <c r="E104" s="10" t="s">
        <v>517</v>
      </c>
      <c r="F104" s="43" t="s">
        <v>241</v>
      </c>
      <c r="G104" s="43" t="s">
        <v>250</v>
      </c>
      <c r="H104" s="43" t="s">
        <v>395</v>
      </c>
      <c r="I104" s="49">
        <v>0.5</v>
      </c>
      <c r="J104" s="50">
        <f t="shared" si="4"/>
        <v>0.5</v>
      </c>
    </row>
    <row r="105" spans="2:10" ht="15" customHeight="1">
      <c r="B105" s="27">
        <v>5</v>
      </c>
      <c r="C105" s="18" t="s">
        <v>512</v>
      </c>
      <c r="D105" s="18" t="s">
        <v>459</v>
      </c>
      <c r="E105" s="10" t="s">
        <v>518</v>
      </c>
      <c r="F105" s="43" t="s">
        <v>242</v>
      </c>
      <c r="G105" s="43" t="s">
        <v>250</v>
      </c>
      <c r="H105" s="43" t="s">
        <v>395</v>
      </c>
      <c r="I105" s="49">
        <v>0.5</v>
      </c>
      <c r="J105" s="50">
        <f t="shared" si="4"/>
        <v>0.5</v>
      </c>
    </row>
    <row r="106" spans="2:10" ht="15" customHeight="1">
      <c r="B106" s="27">
        <v>5</v>
      </c>
      <c r="C106" s="18" t="s">
        <v>512</v>
      </c>
      <c r="D106" s="18" t="s">
        <v>455</v>
      </c>
      <c r="E106" s="10" t="s">
        <v>519</v>
      </c>
      <c r="F106" s="43" t="s">
        <v>242</v>
      </c>
      <c r="G106" s="43" t="s">
        <v>249</v>
      </c>
      <c r="H106" s="43" t="s">
        <v>396</v>
      </c>
      <c r="I106" s="49">
        <v>3</v>
      </c>
      <c r="J106" s="50">
        <f t="shared" si="4"/>
        <v>3</v>
      </c>
    </row>
    <row r="107" spans="2:10" ht="15" customHeight="1">
      <c r="B107" s="27">
        <v>5</v>
      </c>
      <c r="C107" s="18" t="s">
        <v>512</v>
      </c>
      <c r="D107" s="18" t="s">
        <v>459</v>
      </c>
      <c r="E107" s="10" t="s">
        <v>520</v>
      </c>
      <c r="F107" s="43" t="s">
        <v>242</v>
      </c>
      <c r="G107" s="43" t="s">
        <v>250</v>
      </c>
      <c r="H107" s="43" t="s">
        <v>462</v>
      </c>
      <c r="I107" s="49">
        <v>6</v>
      </c>
      <c r="J107" s="50">
        <f t="shared" si="4"/>
        <v>6</v>
      </c>
    </row>
    <row r="108" spans="2:10" ht="15" customHeight="1">
      <c r="E108" s="22" t="s">
        <v>525</v>
      </c>
      <c r="I108" s="23">
        <f>SUM(I89:I107)</f>
        <v>21.5</v>
      </c>
    </row>
    <row r="110" spans="2:10" ht="30" customHeight="1">
      <c r="B110" s="4" t="s">
        <v>526</v>
      </c>
      <c r="C110" s="4"/>
      <c r="D110" s="4"/>
      <c r="E110" s="4"/>
      <c r="F110" s="4"/>
      <c r="G110" s="4"/>
      <c r="H110" s="4"/>
      <c r="I110" s="4"/>
    </row>
  </sheetData>
  <mergeCells count="3">
    <mergeCell ref="A1:L1"/>
    <mergeCell ref="A2:L2"/>
    <mergeCell ref="B110:I11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6"/>
  <sheetViews>
    <sheetView topLeftCell="A9" zoomScaleNormal="100" workbookViewId="0">
      <selection activeCell="B19" sqref="B19"/>
    </sheetView>
  </sheetViews>
  <sheetFormatPr defaultColWidth="8.6328125" defaultRowHeight="14.5"/>
  <cols>
    <col min="1" max="1" width="2.453125" customWidth="1"/>
    <col min="2" max="2" width="44" customWidth="1"/>
    <col min="3" max="7" width="13" customWidth="1"/>
    <col min="8" max="8" width="3" customWidth="1"/>
    <col min="9" max="10" width="13" customWidth="1"/>
    <col min="11" max="11" width="11" customWidth="1"/>
  </cols>
  <sheetData>
    <row r="1" spans="1:10" ht="25.5" customHeight="1">
      <c r="A1" s="8" t="s">
        <v>527</v>
      </c>
      <c r="B1" s="8"/>
      <c r="C1" s="8"/>
      <c r="D1" s="8"/>
      <c r="E1" s="8"/>
      <c r="F1" s="8"/>
      <c r="G1" s="8"/>
      <c r="H1" s="8"/>
      <c r="I1" s="8"/>
      <c r="J1" s="8"/>
    </row>
    <row r="2" spans="1:10" ht="15" customHeight="1">
      <c r="A2" s="7" t="s">
        <v>528</v>
      </c>
      <c r="B2" s="7"/>
      <c r="C2" s="7"/>
      <c r="D2" s="7"/>
      <c r="E2" s="7"/>
      <c r="F2" s="7"/>
      <c r="G2" s="7"/>
      <c r="H2" s="7"/>
      <c r="I2" s="7"/>
      <c r="J2" s="7"/>
    </row>
    <row r="4" spans="1:10" ht="15" customHeight="1">
      <c r="A4" s="6" t="s">
        <v>529</v>
      </c>
      <c r="B4" s="6"/>
      <c r="C4" s="6"/>
      <c r="D4" s="6"/>
      <c r="E4" s="6"/>
      <c r="F4" s="6"/>
      <c r="G4" s="6"/>
      <c r="H4" s="6"/>
      <c r="I4" s="6"/>
      <c r="J4" s="6"/>
    </row>
    <row r="5" spans="1:10" ht="15" customHeight="1">
      <c r="B5" s="11" t="s">
        <v>214</v>
      </c>
      <c r="C5" s="11" t="s">
        <v>188</v>
      </c>
      <c r="D5" s="11" t="s">
        <v>189</v>
      </c>
      <c r="E5" s="11" t="s">
        <v>190</v>
      </c>
      <c r="F5" s="11" t="s">
        <v>191</v>
      </c>
      <c r="G5" s="11" t="s">
        <v>192</v>
      </c>
    </row>
    <row r="6" spans="1:10" ht="15" customHeight="1">
      <c r="B6" s="10" t="s">
        <v>530</v>
      </c>
      <c r="C6" s="16">
        <f>SUMIFS('Seat Ledger'!$M$5:$M$287,'Seat Ledger'!$B$5:$B$287,1,'Seat Ledger'!$C$5:$C$287,"POD")</f>
        <v>24</v>
      </c>
      <c r="D6" s="16">
        <f>SUMIFS('Seat Ledger'!$M$5:$M$287,'Seat Ledger'!$B$5:$B$287,2,'Seat Ledger'!$C$5:$C$287,"POD")</f>
        <v>50</v>
      </c>
      <c r="E6" s="16">
        <f>SUMIFS('Seat Ledger'!$M$5:$M$287,'Seat Ledger'!$B$5:$B$287,3,'Seat Ledger'!$C$5:$C$287,"POD")</f>
        <v>57.500000000000007</v>
      </c>
      <c r="F6" s="16">
        <f>SUMIFS('Seat Ledger'!$M$5:$M$287,'Seat Ledger'!$B$5:$B$287,4,'Seat Ledger'!$C$5:$C$287,"POD")</f>
        <v>47.999999999999993</v>
      </c>
      <c r="G6" s="16">
        <f>SUMIFS('Seat Ledger'!$M$5:$M$287,'Seat Ledger'!$B$5:$B$287,5,'Seat Ledger'!$C$5:$C$287,"POD")</f>
        <v>38</v>
      </c>
    </row>
    <row r="7" spans="1:10" ht="15" customHeight="1">
      <c r="B7" s="10" t="s">
        <v>531</v>
      </c>
      <c r="C7" s="16">
        <f>SUMIFS('Seat Ledger'!$M$5:$M$287,'Seat Ledger'!$B$5:$B$287,1,'Seat Ledger'!$C$5:$C$287,"TEAM")</f>
        <v>76</v>
      </c>
      <c r="D7" s="16">
        <f>SUMIFS('Seat Ledger'!$M$5:$M$287,'Seat Ledger'!$B$5:$B$287,2,'Seat Ledger'!$C$5:$C$287,"TEAM")</f>
        <v>21.5</v>
      </c>
      <c r="E7" s="16">
        <f>SUMIFS('Seat Ledger'!$M$5:$M$287,'Seat Ledger'!$B$5:$B$287,3,'Seat Ledger'!$C$5:$C$287,"TEAM")</f>
        <v>0</v>
      </c>
      <c r="F7" s="16">
        <f>SUMIFS('Seat Ledger'!$M$5:$M$287,'Seat Ledger'!$B$5:$B$287,4,'Seat Ledger'!$C$5:$C$287,"TEAM")</f>
        <v>0</v>
      </c>
      <c r="G7" s="16">
        <f>SUMIFS('Seat Ledger'!$M$5:$M$287,'Seat Ledger'!$B$5:$B$287,5,'Seat Ledger'!$C$5:$C$287,"TEAM")</f>
        <v>0</v>
      </c>
    </row>
    <row r="8" spans="1:10" ht="15" customHeight="1">
      <c r="B8" s="10" t="s">
        <v>532</v>
      </c>
      <c r="C8" s="16">
        <f>SUMIFS('Seat Ledger'!$M$5:$M$287,'Seat Ledger'!$B$5:$B$287,1,'Seat Ledger'!$C$5:$C$287,"HZ")</f>
        <v>21.5</v>
      </c>
      <c r="D8" s="16">
        <f>SUMIFS('Seat Ledger'!$M$5:$M$287,'Seat Ledger'!$B$5:$B$287,2,'Seat Ledger'!$C$5:$C$287,"HZ")</f>
        <v>22</v>
      </c>
      <c r="E8" s="16">
        <f>SUMIFS('Seat Ledger'!$M$5:$M$287,'Seat Ledger'!$B$5:$B$287,3,'Seat Ledger'!$C$5:$C$287,"HZ")</f>
        <v>18.5</v>
      </c>
      <c r="F8" s="16">
        <f>SUMIFS('Seat Ledger'!$M$5:$M$287,'Seat Ledger'!$B$5:$B$287,4,'Seat Ledger'!$C$5:$C$287,"HZ")</f>
        <v>17.5</v>
      </c>
      <c r="G8" s="16">
        <f>SUMIFS('Seat Ledger'!$M$5:$M$287,'Seat Ledger'!$B$5:$B$287,5,'Seat Ledger'!$C$5:$C$287,"HZ")</f>
        <v>21.5</v>
      </c>
    </row>
    <row r="9" spans="1:10" ht="15" customHeight="1">
      <c r="B9" s="22" t="s">
        <v>533</v>
      </c>
      <c r="C9" s="23">
        <f>SUM(C6:C8)</f>
        <v>121.5</v>
      </c>
      <c r="D9" s="23">
        <f>SUM(D6:D8)</f>
        <v>93.5</v>
      </c>
      <c r="E9" s="23">
        <f>SUM(E6:E8)</f>
        <v>76</v>
      </c>
      <c r="F9" s="23">
        <f>SUM(F6:F8)</f>
        <v>65.5</v>
      </c>
      <c r="G9" s="23">
        <f>SUM(G6:G8)</f>
        <v>59.5</v>
      </c>
    </row>
    <row r="10" spans="1:10" ht="15" customHeight="1">
      <c r="B10" s="10" t="s">
        <v>534</v>
      </c>
      <c r="C10" s="51" t="str">
        <f>'Delivery Mode'!C19&amp;" / "&amp;'Delivery Mode'!C21</f>
        <v>4 / 5</v>
      </c>
      <c r="D10" s="51" t="str">
        <f>'Delivery Mode'!D19&amp;" / "&amp;'Delivery Mode'!D21</f>
        <v>7 / 2</v>
      </c>
      <c r="E10" s="51" t="str">
        <f>'Delivery Mode'!E19&amp;" / "&amp;'Delivery Mode'!E21</f>
        <v>9 / 0</v>
      </c>
      <c r="F10" s="51" t="str">
        <f>'Delivery Mode'!F19&amp;" / "&amp;'Delivery Mode'!F21</f>
        <v>9 / 0</v>
      </c>
      <c r="G10" s="51" t="str">
        <f>'Delivery Mode'!G19&amp;" / "&amp;'Delivery Mode'!G21</f>
        <v>8 / 0</v>
      </c>
    </row>
    <row r="11" spans="1:10" ht="15" customHeight="1">
      <c r="B11" s="10" t="s">
        <v>535</v>
      </c>
      <c r="C11" s="16">
        <f>'Logic Tree'!C53</f>
        <v>121.5735</v>
      </c>
      <c r="D11" s="16">
        <f>'Logic Tree'!D53</f>
        <v>93.597752193315671</v>
      </c>
      <c r="E11" s="16">
        <f>'Logic Tree'!E53</f>
        <v>75.882019422583298</v>
      </c>
      <c r="F11" s="16">
        <f>'Logic Tree'!F53</f>
        <v>65.436743920744192</v>
      </c>
      <c r="G11" s="16">
        <f>'Logic Tree'!G53</f>
        <v>59.31883489677935</v>
      </c>
    </row>
    <row r="12" spans="1:10" ht="15" customHeight="1">
      <c r="B12" s="9" t="s">
        <v>536</v>
      </c>
      <c r="C12" s="47">
        <f>C9-C11</f>
        <v>-7.349999999999568E-2</v>
      </c>
      <c r="D12" s="47">
        <f>D9-D11</f>
        <v>-9.7752193315670866E-2</v>
      </c>
      <c r="E12" s="47">
        <f>E9-E11</f>
        <v>0.1179805774167022</v>
      </c>
      <c r="F12" s="47">
        <f>F9-F11</f>
        <v>6.3256079255808118E-2</v>
      </c>
      <c r="G12" s="47">
        <f>G9-G11</f>
        <v>0.18116510322064983</v>
      </c>
    </row>
    <row r="14" spans="1:10" ht="15" customHeight="1">
      <c r="A14" s="6" t="s">
        <v>537</v>
      </c>
      <c r="B14" s="6"/>
      <c r="C14" s="6"/>
      <c r="D14" s="6"/>
      <c r="E14" s="6"/>
      <c r="F14" s="6"/>
      <c r="G14" s="6"/>
      <c r="H14" s="6"/>
      <c r="I14" s="6"/>
      <c r="J14" s="6"/>
    </row>
    <row r="15" spans="1:10" ht="27.75" customHeight="1">
      <c r="B15" s="11" t="s">
        <v>214</v>
      </c>
      <c r="C15" s="11" t="s">
        <v>538</v>
      </c>
      <c r="D15" s="11" t="s">
        <v>54</v>
      </c>
      <c r="E15" s="11" t="s">
        <v>539</v>
      </c>
      <c r="F15" s="11"/>
      <c r="G15" s="11"/>
      <c r="H15" s="11" t="s">
        <v>373</v>
      </c>
    </row>
    <row r="16" spans="1:10" s="68" customFormat="1" ht="15" customHeight="1">
      <c r="B16" s="9" t="s">
        <v>540</v>
      </c>
      <c r="C16" s="16">
        <f>C9</f>
        <v>121.5</v>
      </c>
      <c r="D16" s="16">
        <f>'Logic Tree'!C7</f>
        <v>121.5735</v>
      </c>
      <c r="E16" s="23">
        <f>C16-D16</f>
        <v>-7.349999999999568E-2</v>
      </c>
      <c r="H16" s="19" t="s">
        <v>541</v>
      </c>
    </row>
    <row r="17" spans="2:10" s="68" customFormat="1" ht="15" customHeight="1">
      <c r="B17" s="9" t="s">
        <v>542</v>
      </c>
      <c r="C17" s="16">
        <f>SUMIFS('Seat Ledger'!$M$5:$M$287,'Seat Ledger'!$B$5:$B$287,1,'Seat Ledger'!$J$5:$J$287,"FTC")+SUMIFS('Seat Ledger'!$M$5:$M$287,'Seat Ledger'!$B$5:$B$287,1,'Seat Ledger'!$J$5:$J$287,"PT")</f>
        <v>85</v>
      </c>
      <c r="D17" s="16">
        <f>'Logic Tree'!C8</f>
        <v>85.448499999999996</v>
      </c>
      <c r="E17" s="23">
        <f>C17-D17</f>
        <v>-0.44849999999999568</v>
      </c>
      <c r="H17" s="19" t="s">
        <v>543</v>
      </c>
    </row>
    <row r="18" spans="2:10" s="68" customFormat="1" ht="15" customHeight="1">
      <c r="B18" s="9" t="s">
        <v>544</v>
      </c>
      <c r="C18" s="16">
        <f>SUMIFS('Seat Ledger'!$M$5:$M$287,'Seat Ledger'!$B$5:$B$287,1,'Seat Ledger'!$J$5:$J$287,"FTC")</f>
        <v>85</v>
      </c>
      <c r="D18" s="36" t="s">
        <v>545</v>
      </c>
      <c r="E18" s="36" t="s">
        <v>545</v>
      </c>
      <c r="H18" s="19" t="s">
        <v>546</v>
      </c>
    </row>
    <row r="19" spans="2:10" s="68" customFormat="1" ht="15" customHeight="1">
      <c r="B19" s="9" t="s">
        <v>547</v>
      </c>
      <c r="C19" s="16">
        <f>SUMIFS('Seat Ledger'!$M$5:$M$287,'Seat Ledger'!$B$5:$B$287,1,'Seat Ledger'!$J$5:$J$287,"PT")</f>
        <v>0</v>
      </c>
      <c r="D19" s="36" t="s">
        <v>545</v>
      </c>
      <c r="E19" s="36" t="s">
        <v>545</v>
      </c>
      <c r="H19" s="19" t="s">
        <v>548</v>
      </c>
    </row>
    <row r="20" spans="2:10" s="68" customFormat="1" ht="15" customHeight="1">
      <c r="B20" s="9" t="s">
        <v>549</v>
      </c>
      <c r="C20" s="16">
        <f>SUMIFS('Seat Ledger'!$M$5:$M$287,'Seat Ledger'!$B$5:$B$287,1,'Seat Ledger'!$J$5:$J$287,"FTE")</f>
        <v>14</v>
      </c>
      <c r="D20" s="16">
        <f>'Logic Tree'!C9</f>
        <v>13.479200000000001</v>
      </c>
      <c r="E20" s="23">
        <f t="shared" ref="E20:E30" si="0">C20-D20</f>
        <v>0.52079999999999949</v>
      </c>
      <c r="H20" s="19" t="s">
        <v>550</v>
      </c>
    </row>
    <row r="21" spans="2:10" s="68" customFormat="1" ht="15" customHeight="1">
      <c r="B21" s="9" t="s">
        <v>551</v>
      </c>
      <c r="C21" s="16">
        <f>SUMIFS('Seat Ledger'!$M$5:$M$287,'Seat Ledger'!$B$5:$B$287,1,'Seat Ledger'!$J$5:$J$287,"MGCC")</f>
        <v>22.5</v>
      </c>
      <c r="D21" s="16">
        <f>'Logic Tree'!C10</f>
        <v>22.645800000000001</v>
      </c>
      <c r="E21" s="23">
        <f t="shared" si="0"/>
        <v>-0.14580000000000126</v>
      </c>
      <c r="H21" s="19" t="s">
        <v>552</v>
      </c>
    </row>
    <row r="22" spans="2:10" s="68" customFormat="1" ht="15" customHeight="1">
      <c r="B22" s="9" t="s">
        <v>553</v>
      </c>
      <c r="C22" s="16">
        <f>SUMIFS('Seat Ledger'!$M$5:$M$287,'Seat Ledger'!$B$5:$B$287,1,'Seat Ledger'!$J$5:$J$287,"FTC",'Seat Ledger'!$I$5:$I$287,"ON")+SUMIFS('Seat Ledger'!$M$5:$M$287,'Seat Ledger'!$B$5:$B$287,1,'Seat Ledger'!$J$5:$J$287,"PT",'Seat Ledger'!$I$5:$I$287,"ON")</f>
        <v>71</v>
      </c>
      <c r="D22" s="16">
        <f>'Logic Tree'!C11</f>
        <v>71.626099999999994</v>
      </c>
      <c r="E22" s="23">
        <f t="shared" si="0"/>
        <v>-0.62609999999999388</v>
      </c>
      <c r="H22" s="19" t="s">
        <v>554</v>
      </c>
    </row>
    <row r="23" spans="2:10" s="68" customFormat="1" ht="15" customHeight="1">
      <c r="B23" s="9" t="s">
        <v>555</v>
      </c>
      <c r="C23" s="16">
        <f>SUMIFS('Seat Ledger'!$M$5:$M$287,'Seat Ledger'!$B$5:$B$287,1,'Seat Ledger'!$J$5:$J$287,"FTC",'Seat Ledger'!$I$5:$I$287,"NEAR")+SUMIFS('Seat Ledger'!$M$5:$M$287,'Seat Ledger'!$B$5:$B$287,1,'Seat Ledger'!$J$5:$J$287,"PT",'Seat Ledger'!$I$5:$I$287,"NEAR")</f>
        <v>9.5000000000000018</v>
      </c>
      <c r="D23" s="16">
        <f>'Logic Tree'!C13</f>
        <v>9.5890000000000004</v>
      </c>
      <c r="E23" s="23">
        <f t="shared" si="0"/>
        <v>-8.8999999999998636E-2</v>
      </c>
      <c r="H23" s="19" t="s">
        <v>556</v>
      </c>
    </row>
    <row r="24" spans="2:10" s="68" customFormat="1" ht="15" customHeight="1">
      <c r="B24" s="9" t="s">
        <v>557</v>
      </c>
      <c r="C24" s="16">
        <f>SUMIFS('Seat Ledger'!$M$5:$M$287,'Seat Ledger'!$B$5:$B$287,1,'Seat Ledger'!$J$5:$J$287,"FTC",'Seat Ledger'!$I$5:$I$287,"OFF")+SUMIFS('Seat Ledger'!$M$5:$M$287,'Seat Ledger'!$B$5:$B$287,1,'Seat Ledger'!$J$5:$J$287,"PT",'Seat Ledger'!$I$5:$I$287,"OFF")</f>
        <v>4.5</v>
      </c>
      <c r="D24" s="16">
        <f>'Logic Tree'!C12</f>
        <v>4.2332999999999998</v>
      </c>
      <c r="E24" s="23">
        <f t="shared" si="0"/>
        <v>0.26670000000000016</v>
      </c>
      <c r="H24" s="19" t="s">
        <v>558</v>
      </c>
    </row>
    <row r="25" spans="2:10" s="68" customFormat="1" ht="15" customHeight="1">
      <c r="B25" s="9" t="s">
        <v>559</v>
      </c>
      <c r="C25" s="16">
        <f>SUMIFS('Seat Ledger'!$M$5:$M$287,'Seat Ledger'!$B$5:$B$287,1,'Seat Ledger'!$J$5:$J$287,"FTC",'Seat Ledger'!$G$5:$G$287,"BSA")+SUMIFS('Seat Ledger'!$M$5:$M$287,'Seat Ledger'!$B$5:$B$287,1,'Seat Ledger'!$J$5:$J$287,"PT",'Seat Ledger'!$G$5:$G$287,"BSA")</f>
        <v>5.5</v>
      </c>
      <c r="D25" s="16">
        <f>'Logic Tree'!C15</f>
        <v>5.9583000000000004</v>
      </c>
      <c r="E25" s="23">
        <f t="shared" si="0"/>
        <v>-0.45830000000000037</v>
      </c>
      <c r="H25" s="19" t="s">
        <v>560</v>
      </c>
    </row>
    <row r="26" spans="2:10" s="68" customFormat="1" ht="15" customHeight="1">
      <c r="B26" s="9" t="s">
        <v>561</v>
      </c>
      <c r="C26" s="16">
        <f>SUMIFS('Seat Ledger'!$M$5:$M$287,'Seat Ledger'!$B$5:$B$287,1,'Seat Ledger'!$J$5:$J$287,"FTC",'Seat Ledger'!$G$5:$G$287,"DEV")+SUMIFS('Seat Ledger'!$M$5:$M$287,'Seat Ledger'!$B$5:$B$287,1,'Seat Ledger'!$J$5:$J$287,"PT",'Seat Ledger'!$G$5:$G$287,"DEV")</f>
        <v>61</v>
      </c>
      <c r="D26" s="16">
        <f>'Logic Tree'!C16</f>
        <v>70.898499999999999</v>
      </c>
      <c r="E26" s="23">
        <f t="shared" si="0"/>
        <v>-9.8984999999999985</v>
      </c>
      <c r="H26" s="19" t="s">
        <v>562</v>
      </c>
    </row>
    <row r="27" spans="2:10" s="68" customFormat="1" ht="15" customHeight="1">
      <c r="B27" s="9" t="s">
        <v>563</v>
      </c>
      <c r="C27" s="16">
        <f>SUMIFS('Seat Ledger'!$M$5:$M$287,'Seat Ledger'!$B$5:$B$287,1,'Seat Ledger'!$J$5:$J$287,"FTC",'Seat Ledger'!$G$5:$G$287,"TEST")+SUMIFS('Seat Ledger'!$M$5:$M$287,'Seat Ledger'!$B$5:$B$287,1,'Seat Ledger'!$J$5:$J$287,"PT",'Seat Ledger'!$G$5:$G$287,"TEST")</f>
        <v>7.5</v>
      </c>
      <c r="D27" s="16">
        <f>'Logic Tree'!C17</f>
        <v>6.8167</v>
      </c>
      <c r="E27" s="23">
        <f t="shared" si="0"/>
        <v>0.68330000000000002</v>
      </c>
      <c r="H27" s="19" t="s">
        <v>564</v>
      </c>
    </row>
    <row r="28" spans="2:10" s="68" customFormat="1" ht="15" customHeight="1">
      <c r="B28" s="9" t="s">
        <v>565</v>
      </c>
      <c r="C28" s="16">
        <f>SUMIFS('Seat Ledger'!$M$5:$M$287,'Seat Ledger'!$B$5:$B$287,1,'Seat Ledger'!$J$5:$J$287,"FTC",'Seat Ledger'!$G$5:$G$287,"MNT")+SUMIFS('Seat Ledger'!$M$5:$M$287,'Seat Ledger'!$B$5:$B$287,1,'Seat Ledger'!$J$5:$J$287,"PT",'Seat Ledger'!$G$5:$G$287,"MNT")</f>
        <v>3</v>
      </c>
      <c r="D28" s="16">
        <f>'Logic Tree'!C18</f>
        <v>1</v>
      </c>
      <c r="E28" s="23">
        <f t="shared" si="0"/>
        <v>2</v>
      </c>
      <c r="H28" s="19" t="s">
        <v>566</v>
      </c>
    </row>
    <row r="29" spans="2:10" s="68" customFormat="1" ht="15" customHeight="1">
      <c r="B29" s="9" t="s">
        <v>567</v>
      </c>
      <c r="C29" s="16">
        <f>SUMIFS('Seat Ledger'!$M$5:$M$287,'Seat Ledger'!$B$5:$B$287,1,'Seat Ledger'!$J$5:$J$287,"FTC",'Seat Ledger'!$G$5:$G$287,"PM")+SUMIFS('Seat Ledger'!$M$5:$M$287,'Seat Ledger'!$B$5:$B$287,1,'Seat Ledger'!$J$5:$J$287,"PT",'Seat Ledger'!$G$5:$G$287,"PM")</f>
        <v>4.5</v>
      </c>
      <c r="D29" s="16">
        <f>'Logic Tree'!C19</f>
        <v>0</v>
      </c>
      <c r="E29" s="23">
        <f t="shared" si="0"/>
        <v>4.5</v>
      </c>
      <c r="H29" s="19" t="s">
        <v>568</v>
      </c>
    </row>
    <row r="30" spans="2:10" s="68" customFormat="1" ht="15" customHeight="1">
      <c r="B30" s="9" t="s">
        <v>569</v>
      </c>
      <c r="C30" s="16">
        <f>SUMIFS('Seat Ledger'!$M$5:$M$287,'Seat Ledger'!$B$5:$B$287,1,'Seat Ledger'!$J$5:$J$287,"FTC",'Seat Ledger'!$G$5:$G$287,"OTH")+SUMIFS('Seat Ledger'!$M$5:$M$287,'Seat Ledger'!$B$5:$B$287,1,'Seat Ledger'!$J$5:$J$287,"PT",'Seat Ledger'!$G$5:$G$287,"OTH")</f>
        <v>3.5</v>
      </c>
      <c r="D30" s="16">
        <f>'Logic Tree'!C20</f>
        <v>0.77500000000000002</v>
      </c>
      <c r="E30" s="23">
        <f t="shared" si="0"/>
        <v>2.7250000000000001</v>
      </c>
      <c r="H30" s="19" t="s">
        <v>570</v>
      </c>
    </row>
    <row r="31" spans="2:10" ht="39.75" customHeight="1">
      <c r="B31" s="32" t="s">
        <v>571</v>
      </c>
      <c r="E31" s="34">
        <f>MAX(ABS(E16),ABS(E17),ABS(E20),ABS(E21),ABS(E22),ABS(E23),ABS(E24),ABS(E25),ABS(E26),ABS(E27),ABS(E28),ABS(E29),ABS(E30))</f>
        <v>9.8984999999999985</v>
      </c>
      <c r="G31" s="4" t="s">
        <v>572</v>
      </c>
      <c r="H31" s="4"/>
      <c r="I31" s="4"/>
      <c r="J31" s="4"/>
    </row>
    <row r="32" spans="2:10" ht="27.75" customHeight="1">
      <c r="B32" s="22" t="s">
        <v>573</v>
      </c>
      <c r="E32" s="30">
        <f>MAX(ABS(E16),ABS(E17),ABS(E21),ABS(E22),ABS(E23),ABS(E24),ABS(E25),ABS(E26),ABS(E27),ABS(E28),ABS(E29),ABS(E30))</f>
        <v>9.8984999999999985</v>
      </c>
      <c r="G32" s="4" t="s">
        <v>574</v>
      </c>
      <c r="H32" s="4"/>
      <c r="I32" s="4"/>
      <c r="J32" s="4"/>
    </row>
    <row r="33" spans="1:10" ht="15" customHeight="1">
      <c r="A33" s="6" t="s">
        <v>575</v>
      </c>
      <c r="B33" s="6"/>
      <c r="C33" s="6"/>
      <c r="D33" s="6"/>
      <c r="E33" s="6"/>
      <c r="F33" s="6"/>
      <c r="G33" s="6"/>
      <c r="H33" s="6"/>
      <c r="I33" s="6"/>
      <c r="J33" s="6"/>
    </row>
    <row r="34" spans="1:10" ht="18.75" customHeight="1">
      <c r="B34" s="11" t="s">
        <v>447</v>
      </c>
      <c r="C34" s="11" t="s">
        <v>54</v>
      </c>
      <c r="D34" s="11" t="s">
        <v>576</v>
      </c>
      <c r="E34" s="11" t="s">
        <v>577</v>
      </c>
      <c r="F34" s="11"/>
      <c r="G34" s="11"/>
      <c r="H34" s="11" t="s">
        <v>43</v>
      </c>
    </row>
    <row r="35" spans="1:10" ht="25.5" customHeight="1">
      <c r="B35" s="9" t="s">
        <v>258</v>
      </c>
      <c r="C35" s="16">
        <f>'Logic Tree'!C15</f>
        <v>5.9583000000000004</v>
      </c>
      <c r="D35" s="16">
        <f t="shared" ref="D35:D40" si="1">C25</f>
        <v>5.5</v>
      </c>
      <c r="E35" s="30">
        <f t="shared" ref="E35:E41" si="2">D35-C35</f>
        <v>-0.45830000000000037</v>
      </c>
      <c r="H35" s="19" t="s">
        <v>578</v>
      </c>
    </row>
    <row r="36" spans="1:10" ht="25.5" customHeight="1">
      <c r="B36" s="9" t="s">
        <v>259</v>
      </c>
      <c r="C36" s="16">
        <f>'Logic Tree'!C16</f>
        <v>70.898499999999999</v>
      </c>
      <c r="D36" s="16">
        <f t="shared" si="1"/>
        <v>61</v>
      </c>
      <c r="E36" s="30">
        <f t="shared" si="2"/>
        <v>-9.8984999999999985</v>
      </c>
      <c r="H36" s="19" t="s">
        <v>579</v>
      </c>
    </row>
    <row r="37" spans="1:10" ht="25.5" customHeight="1">
      <c r="B37" s="9" t="s">
        <v>260</v>
      </c>
      <c r="C37" s="16">
        <f>'Logic Tree'!C17</f>
        <v>6.8167</v>
      </c>
      <c r="D37" s="16">
        <f t="shared" si="1"/>
        <v>7.5</v>
      </c>
      <c r="E37" s="30">
        <f t="shared" si="2"/>
        <v>0.68330000000000002</v>
      </c>
      <c r="H37" s="19" t="s">
        <v>580</v>
      </c>
    </row>
    <row r="38" spans="1:10" ht="25.5" customHeight="1">
      <c r="B38" s="9" t="s">
        <v>581</v>
      </c>
      <c r="C38" s="16">
        <f>'Logic Tree'!C18</f>
        <v>1</v>
      </c>
      <c r="D38" s="16">
        <f t="shared" si="1"/>
        <v>3</v>
      </c>
      <c r="E38" s="30">
        <f t="shared" si="2"/>
        <v>2</v>
      </c>
      <c r="H38" s="19" t="s">
        <v>582</v>
      </c>
    </row>
    <row r="39" spans="1:10" ht="25.5" customHeight="1">
      <c r="B39" s="9" t="s">
        <v>455</v>
      </c>
      <c r="C39" s="16">
        <f>'Logic Tree'!C19</f>
        <v>0</v>
      </c>
      <c r="D39" s="16">
        <f t="shared" si="1"/>
        <v>4.5</v>
      </c>
      <c r="E39" s="30">
        <f t="shared" si="2"/>
        <v>4.5</v>
      </c>
      <c r="H39" s="19" t="s">
        <v>583</v>
      </c>
    </row>
    <row r="40" spans="1:10" ht="25.5" customHeight="1">
      <c r="B40" s="9" t="s">
        <v>584</v>
      </c>
      <c r="C40" s="16">
        <f>'Logic Tree'!C20</f>
        <v>0.77500000000000002</v>
      </c>
      <c r="D40" s="16">
        <f t="shared" si="1"/>
        <v>3.5</v>
      </c>
      <c r="E40" s="30">
        <f t="shared" si="2"/>
        <v>2.7250000000000001</v>
      </c>
      <c r="H40" s="19" t="s">
        <v>585</v>
      </c>
    </row>
    <row r="41" spans="1:10" ht="43.5" customHeight="1">
      <c r="B41" s="32" t="s">
        <v>586</v>
      </c>
      <c r="C41" s="34">
        <f>SUM(C35:C40)</f>
        <v>85.448499999999996</v>
      </c>
      <c r="D41" s="34">
        <f>SUM(D35:D40)</f>
        <v>85</v>
      </c>
      <c r="E41" s="52">
        <f t="shared" si="2"/>
        <v>-0.44849999999999568</v>
      </c>
      <c r="H41" s="4" t="s">
        <v>587</v>
      </c>
      <c r="I41" s="4"/>
      <c r="J41" s="4"/>
    </row>
    <row r="43" spans="1:10" ht="15" customHeight="1">
      <c r="A43" s="6" t="s">
        <v>588</v>
      </c>
      <c r="B43" s="6"/>
      <c r="C43" s="6"/>
      <c r="D43" s="6"/>
      <c r="E43" s="6"/>
      <c r="F43" s="6"/>
      <c r="G43" s="6"/>
      <c r="H43" s="6"/>
      <c r="I43" s="6"/>
      <c r="J43" s="6"/>
    </row>
    <row r="44" spans="1:10" ht="15" customHeight="1">
      <c r="B44" s="11" t="s">
        <v>214</v>
      </c>
      <c r="C44" s="11" t="s">
        <v>188</v>
      </c>
      <c r="D44" s="11" t="s">
        <v>189</v>
      </c>
      <c r="E44" s="11" t="s">
        <v>190</v>
      </c>
      <c r="F44" s="11" t="s">
        <v>191</v>
      </c>
      <c r="G44" s="11" t="s">
        <v>192</v>
      </c>
    </row>
    <row r="45" spans="1:10" ht="15" customHeight="1">
      <c r="B45" s="10" t="s">
        <v>589</v>
      </c>
      <c r="C45" s="16">
        <f>SUMIFS('Seat Ledger'!$M$5:$M$287,'Seat Ledger'!$B$5:$B$287,1,'Seat Ledger'!$J$5:$J$287,"FTC")</f>
        <v>85</v>
      </c>
      <c r="D45" s="16">
        <f>SUMIFS('Seat Ledger'!$M$5:$M$287,'Seat Ledger'!$B$5:$B$287,2,'Seat Ledger'!$J$5:$J$287,"FTC")</f>
        <v>64.000000000000028</v>
      </c>
      <c r="E45" s="16">
        <f>SUMIFS('Seat Ledger'!$M$5:$M$287,'Seat Ledger'!$B$5:$B$287,3,'Seat Ledger'!$J$5:$J$287,"FTC")</f>
        <v>51</v>
      </c>
      <c r="F45" s="16">
        <f>SUMIFS('Seat Ledger'!$M$5:$M$287,'Seat Ledger'!$B$5:$B$287,4,'Seat Ledger'!$J$5:$J$287,"FTC")</f>
        <v>34.5</v>
      </c>
      <c r="G45" s="16">
        <f>SUMIFS('Seat Ledger'!$M$5:$M$287,'Seat Ledger'!$B$5:$B$287,5,'Seat Ledger'!$J$5:$J$287,"FTC")</f>
        <v>30</v>
      </c>
    </row>
    <row r="46" spans="1:10" ht="15" customHeight="1">
      <c r="B46" s="10" t="s">
        <v>590</v>
      </c>
      <c r="C46" s="16">
        <f>SUMIFS('Seat Ledger'!$M$5:$M$287,'Seat Ledger'!$B$5:$B$287,1,'Seat Ledger'!$J$5:$J$287,"PT")</f>
        <v>0</v>
      </c>
      <c r="D46" s="16">
        <f>SUMIFS('Seat Ledger'!$M$5:$M$287,'Seat Ledger'!$B$5:$B$287,2,'Seat Ledger'!$J$5:$J$287,"PT")</f>
        <v>0</v>
      </c>
      <c r="E46" s="16">
        <f>SUMIFS('Seat Ledger'!$M$5:$M$287,'Seat Ledger'!$B$5:$B$287,3,'Seat Ledger'!$J$5:$J$287,"PT")</f>
        <v>0</v>
      </c>
      <c r="F46" s="16">
        <f>SUMIFS('Seat Ledger'!$M$5:$M$287,'Seat Ledger'!$B$5:$B$287,4,'Seat Ledger'!$J$5:$J$287,"PT")</f>
        <v>0</v>
      </c>
      <c r="G46" s="16">
        <f>SUMIFS('Seat Ledger'!$M$5:$M$287,'Seat Ledger'!$B$5:$B$287,5,'Seat Ledger'!$J$5:$J$287,"PT")</f>
        <v>0</v>
      </c>
    </row>
    <row r="47" spans="1:10" ht="15" customHeight="1">
      <c r="B47" s="22" t="s">
        <v>591</v>
      </c>
      <c r="C47" s="23">
        <f>C45+C46</f>
        <v>85</v>
      </c>
      <c r="D47" s="23">
        <f>D45+D46</f>
        <v>64.000000000000028</v>
      </c>
      <c r="E47" s="23">
        <f>E45+E46</f>
        <v>51</v>
      </c>
      <c r="F47" s="23">
        <f>F45+F46</f>
        <v>34.5</v>
      </c>
      <c r="G47" s="23">
        <f>G45+G46</f>
        <v>30</v>
      </c>
    </row>
    <row r="48" spans="1:10" ht="15" customHeight="1">
      <c r="B48" s="10" t="s">
        <v>592</v>
      </c>
      <c r="C48" s="16">
        <f>SUMIFS('Seat Ledger'!$M$5:$M$287,'Seat Ledger'!$B$5:$B$287,1,'Seat Ledger'!$J$5:$J$287,"FTE")</f>
        <v>14</v>
      </c>
      <c r="D48" s="16">
        <f>SUMIFS('Seat Ledger'!$M$5:$M$287,'Seat Ledger'!$B$5:$B$287,2,'Seat Ledger'!$J$5:$J$287,"FTE")</f>
        <v>11.5</v>
      </c>
      <c r="E48" s="16">
        <f>SUMIFS('Seat Ledger'!$M$5:$M$287,'Seat Ledger'!$B$5:$B$287,3,'Seat Ledger'!$J$5:$J$287,"FTE")</f>
        <v>10</v>
      </c>
      <c r="F48" s="16">
        <f>SUMIFS('Seat Ledger'!$M$5:$M$287,'Seat Ledger'!$B$5:$B$287,4,'Seat Ledger'!$J$5:$J$287,"FTE")</f>
        <v>15</v>
      </c>
      <c r="G48" s="16">
        <f>SUMIFS('Seat Ledger'!$M$5:$M$287,'Seat Ledger'!$B$5:$B$287,5,'Seat Ledger'!$J$5:$J$287,"FTE")</f>
        <v>14</v>
      </c>
    </row>
    <row r="49" spans="1:10" ht="15" customHeight="1">
      <c r="B49" s="10" t="s">
        <v>551</v>
      </c>
      <c r="C49" s="16">
        <f>SUMIFS('Seat Ledger'!$M$5:$M$287,'Seat Ledger'!$B$5:$B$287,1,'Seat Ledger'!$J$5:$J$287,"MGCC")</f>
        <v>22.5</v>
      </c>
      <c r="D49" s="16">
        <f>SUMIFS('Seat Ledger'!$M$5:$M$287,'Seat Ledger'!$B$5:$B$287,2,'Seat Ledger'!$J$5:$J$287,"MGCC")</f>
        <v>17.999999999999979</v>
      </c>
      <c r="E49" s="16">
        <f>SUMIFS('Seat Ledger'!$M$5:$M$287,'Seat Ledger'!$B$5:$B$287,3,'Seat Ledger'!$J$5:$J$287,"MGCC")</f>
        <v>15</v>
      </c>
      <c r="F49" s="16">
        <f>SUMIFS('Seat Ledger'!$M$5:$M$287,'Seat Ledger'!$B$5:$B$287,4,'Seat Ledger'!$J$5:$J$287,"MGCC")</f>
        <v>15.999999999999998</v>
      </c>
      <c r="G49" s="16">
        <f>SUMIFS('Seat Ledger'!$M$5:$M$287,'Seat Ledger'!$B$5:$B$287,5,'Seat Ledger'!$J$5:$J$287,"MGCC")</f>
        <v>15.5</v>
      </c>
    </row>
    <row r="50" spans="1:10" ht="15" customHeight="1">
      <c r="B50" s="22" t="s">
        <v>593</v>
      </c>
      <c r="C50" s="26">
        <f>IF(C9=0,0,C47/C9)</f>
        <v>0.69958847736625518</v>
      </c>
      <c r="D50" s="26">
        <f>IF(D9=0,0,D47/D9)</f>
        <v>0.68449197860962596</v>
      </c>
      <c r="E50" s="26">
        <f>IF(E9=0,0,E47/E9)</f>
        <v>0.67105263157894735</v>
      </c>
      <c r="F50" s="26">
        <f>IF(F9=0,0,F47/F9)</f>
        <v>0.52671755725190839</v>
      </c>
      <c r="G50" s="26">
        <f>IF(G9=0,0,G47/G9)</f>
        <v>0.50420168067226889</v>
      </c>
    </row>
    <row r="51" spans="1:10" ht="15" customHeight="1">
      <c r="B51" s="10" t="s">
        <v>244</v>
      </c>
      <c r="C51" s="16">
        <f>SUMIFS('Seat Ledger'!$M$5:$M$287,'Seat Ledger'!$B$5:$B$287,1,'Seat Ledger'!$I$5:$I$287,"ON")</f>
        <v>85</v>
      </c>
      <c r="D51" s="16">
        <f>SUMIFS('Seat Ledger'!$M$5:$M$287,'Seat Ledger'!$B$5:$B$287,2,'Seat Ledger'!$I$5:$I$287,"ON")</f>
        <v>55.500000000000028</v>
      </c>
      <c r="E51" s="16">
        <f>SUMIFS('Seat Ledger'!$M$5:$M$287,'Seat Ledger'!$B$5:$B$287,3,'Seat Ledger'!$I$5:$I$287,"ON")</f>
        <v>38.500000000000007</v>
      </c>
      <c r="F51" s="16">
        <f>SUMIFS('Seat Ledger'!$M$5:$M$287,'Seat Ledger'!$B$5:$B$287,4,'Seat Ledger'!$I$5:$I$287,"ON")</f>
        <v>29.000000000000004</v>
      </c>
      <c r="G51" s="16">
        <f>SUMIFS('Seat Ledger'!$M$5:$M$287,'Seat Ledger'!$B$5:$B$287,5,'Seat Ledger'!$I$5:$I$287,"ON")</f>
        <v>23.5</v>
      </c>
    </row>
    <row r="52" spans="1:10" ht="15" customHeight="1">
      <c r="B52" s="10" t="s">
        <v>594</v>
      </c>
      <c r="C52" s="16">
        <f>SUMIFS('Seat Ledger'!$M$5:$M$287,'Seat Ledger'!$B$5:$B$287,1,'Seat Ledger'!$I$5:$I$287,"OFF")</f>
        <v>27</v>
      </c>
      <c r="D52" s="16">
        <f>SUMIFS('Seat Ledger'!$M$5:$M$287,'Seat Ledger'!$B$5:$B$287,2,'Seat Ledger'!$I$5:$I$287,"OFF")</f>
        <v>33.999999999999972</v>
      </c>
      <c r="E52" s="16">
        <f>SUMIFS('Seat Ledger'!$M$5:$M$287,'Seat Ledger'!$B$5:$B$287,3,'Seat Ledger'!$I$5:$I$287,"OFF")</f>
        <v>36.5</v>
      </c>
      <c r="F52" s="16">
        <f>SUMIFS('Seat Ledger'!$M$5:$M$287,'Seat Ledger'!$B$5:$B$287,4,'Seat Ledger'!$I$5:$I$287,"OFF")</f>
        <v>35.999999999999986</v>
      </c>
      <c r="G52" s="16">
        <f>SUMIFS('Seat Ledger'!$M$5:$M$287,'Seat Ledger'!$B$5:$B$287,5,'Seat Ledger'!$I$5:$I$287,"OFF")</f>
        <v>35.5</v>
      </c>
    </row>
    <row r="53" spans="1:10" ht="15" customHeight="1">
      <c r="B53" s="10" t="s">
        <v>246</v>
      </c>
      <c r="C53" s="16">
        <f>SUMIFS('Seat Ledger'!$M$5:$M$287,'Seat Ledger'!$B$5:$B$287,1,'Seat Ledger'!$I$5:$I$287,"NEAR")</f>
        <v>9.5000000000000018</v>
      </c>
      <c r="D53" s="16">
        <f>SUMIFS('Seat Ledger'!$M$5:$M$287,'Seat Ledger'!$B$5:$B$287,2,'Seat Ledger'!$I$5:$I$287,"NEAR")</f>
        <v>4</v>
      </c>
      <c r="E53" s="16">
        <f>SUMIFS('Seat Ledger'!$M$5:$M$287,'Seat Ledger'!$B$5:$B$287,3,'Seat Ledger'!$I$5:$I$287,"NEAR")</f>
        <v>1</v>
      </c>
      <c r="F53" s="16">
        <f>SUMIFS('Seat Ledger'!$M$5:$M$287,'Seat Ledger'!$B$5:$B$287,4,'Seat Ledger'!$I$5:$I$287,"NEAR")</f>
        <v>0.5</v>
      </c>
      <c r="G53" s="16">
        <f>SUMIFS('Seat Ledger'!$M$5:$M$287,'Seat Ledger'!$B$5:$B$287,5,'Seat Ledger'!$I$5:$I$287,"NEAR")</f>
        <v>0.5</v>
      </c>
    </row>
    <row r="54" spans="1:10" ht="15" customHeight="1">
      <c r="B54" s="22" t="s">
        <v>595</v>
      </c>
      <c r="C54" s="26">
        <f>IF(C9=0,0,(C52+C53)/C9)</f>
        <v>0.30041152263374488</v>
      </c>
      <c r="D54" s="26">
        <f>IF(D9=0,0,(D52+D53)/D9)</f>
        <v>0.40641711229946492</v>
      </c>
      <c r="E54" s="26">
        <f>IF(E9=0,0,(E52+E53)/E9)</f>
        <v>0.49342105263157893</v>
      </c>
      <c r="F54" s="26">
        <f>IF(F9=0,0,(F52+F53)/F9)</f>
        <v>0.55725190839694638</v>
      </c>
      <c r="G54" s="26">
        <f>IF(G9=0,0,(G52+G53)/G9)</f>
        <v>0.60504201680672265</v>
      </c>
    </row>
    <row r="55" spans="1:10" ht="15" customHeight="1">
      <c r="B55" s="10" t="s">
        <v>596</v>
      </c>
      <c r="C55" s="20">
        <f>IF(C47=0,0,(SUMIFS('Seat Ledger'!$M$5:$M$287,'Seat Ledger'!$B$5:$B$287,1,'Seat Ledger'!$J$5:$J$287,"FTC",'Seat Ledger'!$I$5:$I$287,"OFF")+SUMIFS('Seat Ledger'!$M$5:$M$287,'Seat Ledger'!$B$5:$B$287,1,'Seat Ledger'!$J$5:$J$287,"FTC",'Seat Ledger'!$I$5:$I$287,"NEAR")+SUMIFS('Seat Ledger'!$M$5:$M$287,'Seat Ledger'!$B$5:$B$287,1,'Seat Ledger'!$J$5:$J$287,"PT",'Seat Ledger'!$I$5:$I$287,"OFF"))/C47)</f>
        <v>0.1647058823529412</v>
      </c>
      <c r="D55" s="20">
        <f>IF(D47=0,0,(SUMIFS('Seat Ledger'!$M$5:$M$287,'Seat Ledger'!$B$5:$B$287,2,'Seat Ledger'!$J$5:$J$287,"FTC",'Seat Ledger'!$I$5:$I$287,"OFF")+SUMIFS('Seat Ledger'!$M$5:$M$287,'Seat Ledger'!$B$5:$B$287,2,'Seat Ledger'!$J$5:$J$287,"FTC",'Seat Ledger'!$I$5:$I$287,"NEAR")+SUMIFS('Seat Ledger'!$M$5:$M$287,'Seat Ledger'!$B$5:$B$287,2,'Seat Ledger'!$J$5:$J$287,"PT",'Seat Ledger'!$I$5:$I$287,"OFF"))/D47)</f>
        <v>0.31249999999999989</v>
      </c>
      <c r="E55" s="20">
        <f>IF(E47=0,0,(SUMIFS('Seat Ledger'!$M$5:$M$287,'Seat Ledger'!$B$5:$B$287,3,'Seat Ledger'!$J$5:$J$287,"FTC",'Seat Ledger'!$I$5:$I$287,"OFF")+SUMIFS('Seat Ledger'!$M$5:$M$287,'Seat Ledger'!$B$5:$B$287,3,'Seat Ledger'!$J$5:$J$287,"FTC",'Seat Ledger'!$I$5:$I$287,"NEAR")+SUMIFS('Seat Ledger'!$M$5:$M$287,'Seat Ledger'!$B$5:$B$287,3,'Seat Ledger'!$J$5:$J$287,"PT",'Seat Ledger'!$I$5:$I$287,"OFF"))/E47)</f>
        <v>0.44117647058823517</v>
      </c>
      <c r="F55" s="20">
        <f>IF(F47=0,0,(SUMIFS('Seat Ledger'!$M$5:$M$287,'Seat Ledger'!$B$5:$B$287,4,'Seat Ledger'!$J$5:$J$287,"FTC",'Seat Ledger'!$I$5:$I$287,"OFF")+SUMIFS('Seat Ledger'!$M$5:$M$287,'Seat Ledger'!$B$5:$B$287,4,'Seat Ledger'!$J$5:$J$287,"FTC",'Seat Ledger'!$I$5:$I$287,"NEAR")+SUMIFS('Seat Ledger'!$M$5:$M$287,'Seat Ledger'!$B$5:$B$287,4,'Seat Ledger'!$J$5:$J$287,"PT",'Seat Ledger'!$I$5:$I$287,"OFF"))/F47)</f>
        <v>0.59420289855072428</v>
      </c>
      <c r="G55" s="20">
        <f>IF(G47=0,0,(SUMIFS('Seat Ledger'!$M$5:$M$287,'Seat Ledger'!$B$5:$B$287,5,'Seat Ledger'!$J$5:$J$287,"FTC",'Seat Ledger'!$I$5:$I$287,"OFF")+SUMIFS('Seat Ledger'!$M$5:$M$287,'Seat Ledger'!$B$5:$B$287,5,'Seat Ledger'!$J$5:$J$287,"FTC",'Seat Ledger'!$I$5:$I$287,"NEAR")+SUMIFS('Seat Ledger'!$M$5:$M$287,'Seat Ledger'!$B$5:$B$287,5,'Seat Ledger'!$J$5:$J$287,"PT",'Seat Ledger'!$I$5:$I$287,"OFF"))/G47)</f>
        <v>0.68333333333333335</v>
      </c>
    </row>
    <row r="56" spans="1:10" ht="99.75" customHeight="1">
      <c r="B56" s="22" t="s">
        <v>597</v>
      </c>
      <c r="C56" s="26">
        <f>IF(C45=0,0,(SUMIFS('Seat Ledger'!$M$5:$M$287,'Seat Ledger'!$B$5:$B$287,1,'Seat Ledger'!$J$5:$J$287,"FTC",'Seat Ledger'!$I$5:$I$287,"OFF")+SUMIFS('Seat Ledger'!$M$5:$M$287,'Seat Ledger'!$B$5:$B$287,1,'Seat Ledger'!$J$5:$J$287,"FTC",'Seat Ledger'!$I$5:$I$287,"NEAR"))/C45)</f>
        <v>0.1647058823529412</v>
      </c>
      <c r="D56" s="26">
        <f>IF(D45=0,0,(SUMIFS('Seat Ledger'!$M$5:$M$287,'Seat Ledger'!$B$5:$B$287,2,'Seat Ledger'!$J$5:$J$287,"FTC",'Seat Ledger'!$I$5:$I$287,"OFF")+SUMIFS('Seat Ledger'!$M$5:$M$287,'Seat Ledger'!$B$5:$B$287,2,'Seat Ledger'!$J$5:$J$287,"FTC",'Seat Ledger'!$I$5:$I$287,"NEAR"))/D45)</f>
        <v>0.31249999999999989</v>
      </c>
      <c r="E56" s="26">
        <f>IF(E45=0,0,(SUMIFS('Seat Ledger'!$M$5:$M$287,'Seat Ledger'!$B$5:$B$287,3,'Seat Ledger'!$J$5:$J$287,"FTC",'Seat Ledger'!$I$5:$I$287,"OFF")+SUMIFS('Seat Ledger'!$M$5:$M$287,'Seat Ledger'!$B$5:$B$287,3,'Seat Ledger'!$J$5:$J$287,"FTC",'Seat Ledger'!$I$5:$I$287,"NEAR"))/E45)</f>
        <v>0.44117647058823517</v>
      </c>
      <c r="F56" s="26">
        <f>IF(F45=0,0,(SUMIFS('Seat Ledger'!$M$5:$M$287,'Seat Ledger'!$B$5:$B$287,4,'Seat Ledger'!$J$5:$J$287,"FTC",'Seat Ledger'!$I$5:$I$287,"OFF")+SUMIFS('Seat Ledger'!$M$5:$M$287,'Seat Ledger'!$B$5:$B$287,4,'Seat Ledger'!$J$5:$J$287,"FTC",'Seat Ledger'!$I$5:$I$287,"NEAR"))/F45)</f>
        <v>0.59420289855072428</v>
      </c>
      <c r="G56" s="26">
        <f>IF(G45=0,0,(SUMIFS('Seat Ledger'!$M$5:$M$287,'Seat Ledger'!$B$5:$B$287,5,'Seat Ledger'!$J$5:$J$287,"FTC",'Seat Ledger'!$I$5:$I$287,"OFF")+SUMIFS('Seat Ledger'!$M$5:$M$287,'Seat Ledger'!$B$5:$B$287,5,'Seat Ledger'!$J$5:$J$287,"FTC",'Seat Ledger'!$I$5:$I$287,"NEAR"))/G45)</f>
        <v>0.68333333333333335</v>
      </c>
      <c r="I56" s="19" t="s">
        <v>598</v>
      </c>
    </row>
    <row r="57" spans="1:10" ht="15" customHeight="1">
      <c r="B57" s="10" t="s">
        <v>599</v>
      </c>
      <c r="C57" s="20">
        <f>'Logic Tree'!C68</f>
        <v>0.31407757258675917</v>
      </c>
      <c r="D57" s="20">
        <f>'Logic Tree'!D68</f>
        <v>0.40579298351674253</v>
      </c>
      <c r="E57" s="20">
        <f>'Logic Tree'!E68</f>
        <v>0.49398087864172657</v>
      </c>
      <c r="F57" s="20">
        <f>'Logic Tree'!F68</f>
        <v>0.55394864732671567</v>
      </c>
      <c r="G57" s="20">
        <f>'Logic Tree'!G68</f>
        <v>0.59627883698670803</v>
      </c>
    </row>
    <row r="59" spans="1:10" ht="15" customHeight="1">
      <c r="A59" s="6" t="s">
        <v>600</v>
      </c>
      <c r="B59" s="6"/>
      <c r="C59" s="6"/>
      <c r="D59" s="6"/>
      <c r="E59" s="6"/>
      <c r="F59" s="6"/>
      <c r="G59" s="6"/>
      <c r="H59" s="6"/>
      <c r="I59" s="6"/>
      <c r="J59" s="6"/>
    </row>
    <row r="60" spans="1:10" ht="15" customHeight="1">
      <c r="B60" s="11" t="s">
        <v>447</v>
      </c>
      <c r="C60" s="11" t="s">
        <v>188</v>
      </c>
      <c r="D60" s="11" t="s">
        <v>189</v>
      </c>
      <c r="E60" s="11" t="s">
        <v>190</v>
      </c>
      <c r="F60" s="11" t="s">
        <v>191</v>
      </c>
      <c r="G60" s="11" t="s">
        <v>192</v>
      </c>
    </row>
    <row r="61" spans="1:10" ht="15" customHeight="1">
      <c r="B61" s="10" t="s">
        <v>601</v>
      </c>
      <c r="C61" s="16">
        <f>SUMIFS('Seat Ledger'!$M$5:$M$287,'Seat Ledger'!$B$5:$B$287,1,'Seat Ledger'!$G$5:$G$287,"BSA")</f>
        <v>10.5</v>
      </c>
      <c r="D61" s="16">
        <f>SUMIFS('Seat Ledger'!$M$5:$M$287,'Seat Ledger'!$B$5:$B$287,2,'Seat Ledger'!$G$5:$G$287,"BSA")</f>
        <v>13.500000000000004</v>
      </c>
      <c r="E61" s="16">
        <f>SUMIFS('Seat Ledger'!$M$5:$M$287,'Seat Ledger'!$B$5:$B$287,3,'Seat Ledger'!$G$5:$G$287,"BSA")</f>
        <v>13.500000000000004</v>
      </c>
      <c r="F61" s="16">
        <f>SUMIFS('Seat Ledger'!$M$5:$M$287,'Seat Ledger'!$B$5:$B$287,4,'Seat Ledger'!$G$5:$G$287,"BSA")</f>
        <v>10.499999999999995</v>
      </c>
      <c r="G61" s="16">
        <f>SUMIFS('Seat Ledger'!$M$5:$M$287,'Seat Ledger'!$B$5:$B$287,5,'Seat Ledger'!$G$5:$G$287,"BSA")</f>
        <v>6.5</v>
      </c>
    </row>
    <row r="62" spans="1:10" ht="15" customHeight="1">
      <c r="B62" s="10" t="s">
        <v>259</v>
      </c>
      <c r="C62" s="16">
        <f>SUMIFS('Seat Ledger'!$M$5:$M$287,'Seat Ledger'!$B$5:$B$287,1,'Seat Ledger'!$G$5:$G$287,"DEV")</f>
        <v>77.5</v>
      </c>
      <c r="D62" s="16">
        <f>SUMIFS('Seat Ledger'!$M$5:$M$287,'Seat Ledger'!$B$5:$B$287,2,'Seat Ledger'!$G$5:$G$287,"DEV")</f>
        <v>42.999999999999993</v>
      </c>
      <c r="E62" s="16">
        <f>SUMIFS('Seat Ledger'!$M$5:$M$287,'Seat Ledger'!$B$5:$B$287,3,'Seat Ledger'!$G$5:$G$287,"DEV")</f>
        <v>33.5</v>
      </c>
      <c r="F62" s="16">
        <f>SUMIFS('Seat Ledger'!$M$5:$M$287,'Seat Ledger'!$B$5:$B$287,4,'Seat Ledger'!$G$5:$G$287,"DEV")</f>
        <v>26.499999999999993</v>
      </c>
      <c r="G62" s="16">
        <f>SUMIFS('Seat Ledger'!$M$5:$M$287,'Seat Ledger'!$B$5:$B$287,5,'Seat Ledger'!$G$5:$G$287,"DEV")</f>
        <v>28</v>
      </c>
    </row>
    <row r="63" spans="1:10" ht="15" customHeight="1">
      <c r="B63" s="10" t="s">
        <v>260</v>
      </c>
      <c r="C63" s="16">
        <f>SUMIFS('Seat Ledger'!$M$5:$M$287,'Seat Ledger'!$B$5:$B$287,1,'Seat Ledger'!$G$5:$G$287,"TEST")</f>
        <v>13.5</v>
      </c>
      <c r="D63" s="16">
        <f>SUMIFS('Seat Ledger'!$M$5:$M$287,'Seat Ledger'!$B$5:$B$287,2,'Seat Ledger'!$G$5:$G$287,"TEST")</f>
        <v>14.999999999999996</v>
      </c>
      <c r="E63" s="16">
        <f>SUMIFS('Seat Ledger'!$M$5:$M$287,'Seat Ledger'!$B$5:$B$287,3,'Seat Ledger'!$G$5:$G$287,"TEST")</f>
        <v>7</v>
      </c>
      <c r="F63" s="16">
        <f>SUMIFS('Seat Ledger'!$M$5:$M$287,'Seat Ledger'!$B$5:$B$287,4,'Seat Ledger'!$G$5:$G$287,"TEST")</f>
        <v>12.999999999999996</v>
      </c>
      <c r="G63" s="16">
        <f>SUMIFS('Seat Ledger'!$M$5:$M$287,'Seat Ledger'!$B$5:$B$287,5,'Seat Ledger'!$G$5:$G$287,"TEST")</f>
        <v>9.5</v>
      </c>
    </row>
    <row r="64" spans="1:10" ht="15" customHeight="1">
      <c r="B64" s="10" t="s">
        <v>581</v>
      </c>
      <c r="C64" s="16">
        <f>SUMIFS('Seat Ledger'!$M$5:$M$287,'Seat Ledger'!$B$5:$B$287,1,'Seat Ledger'!$G$5:$G$287,"MNT")</f>
        <v>6.5</v>
      </c>
      <c r="D64" s="16">
        <f>SUMIFS('Seat Ledger'!$M$5:$M$287,'Seat Ledger'!$B$5:$B$287,2,'Seat Ledger'!$G$5:$G$287,"MNT")</f>
        <v>5</v>
      </c>
      <c r="E64" s="16">
        <f>SUMIFS('Seat Ledger'!$M$5:$M$287,'Seat Ledger'!$B$5:$B$287,3,'Seat Ledger'!$G$5:$G$287,"MNT")</f>
        <v>4.5</v>
      </c>
      <c r="F64" s="16">
        <f>SUMIFS('Seat Ledger'!$M$5:$M$287,'Seat Ledger'!$B$5:$B$287,4,'Seat Ledger'!$G$5:$G$287,"MNT")</f>
        <v>4</v>
      </c>
      <c r="G64" s="16">
        <f>SUMIFS('Seat Ledger'!$M$5:$M$287,'Seat Ledger'!$B$5:$B$287,5,'Seat Ledger'!$G$5:$G$287,"MNT")</f>
        <v>5</v>
      </c>
    </row>
    <row r="65" spans="1:10" ht="15" customHeight="1">
      <c r="B65" s="10" t="s">
        <v>602</v>
      </c>
      <c r="C65" s="16">
        <f>SUMIFS('Seat Ledger'!$M$5:$M$287,'Seat Ledger'!$B$5:$B$287,1,'Seat Ledger'!$G$5:$G$287,"PM")</f>
        <v>10</v>
      </c>
      <c r="D65" s="16">
        <f>SUMIFS('Seat Ledger'!$M$5:$M$287,'Seat Ledger'!$B$5:$B$287,2,'Seat Ledger'!$G$5:$G$287,"PM")</f>
        <v>6.4999999999999964</v>
      </c>
      <c r="E65" s="16">
        <f>SUMIFS('Seat Ledger'!$M$5:$M$287,'Seat Ledger'!$B$5:$B$287,3,'Seat Ledger'!$G$5:$G$287,"PM")</f>
        <v>7</v>
      </c>
      <c r="F65" s="16">
        <f>SUMIFS('Seat Ledger'!$M$5:$M$287,'Seat Ledger'!$B$5:$B$287,4,'Seat Ledger'!$G$5:$G$287,"PM")</f>
        <v>8</v>
      </c>
      <c r="G65" s="16">
        <f>SUMIFS('Seat Ledger'!$M$5:$M$287,'Seat Ledger'!$B$5:$B$287,5,'Seat Ledger'!$G$5:$G$287,"PM")</f>
        <v>8</v>
      </c>
    </row>
    <row r="66" spans="1:10" ht="15" customHeight="1">
      <c r="B66" s="10" t="s">
        <v>603</v>
      </c>
      <c r="C66" s="16">
        <f>SUMIFS('Seat Ledger'!$M$5:$M$287,'Seat Ledger'!$B$5:$B$287,1,'Seat Ledger'!$G$5:$G$287,"OTH")</f>
        <v>3.5</v>
      </c>
      <c r="D66" s="16">
        <f>SUMIFS('Seat Ledger'!$M$5:$M$287,'Seat Ledger'!$B$5:$B$287,2,'Seat Ledger'!$G$5:$G$287,"OTH")</f>
        <v>10.499999999999996</v>
      </c>
      <c r="E66" s="16">
        <f>SUMIFS('Seat Ledger'!$M$5:$M$287,'Seat Ledger'!$B$5:$B$287,3,'Seat Ledger'!$G$5:$G$287,"OTH")</f>
        <v>10.500000000000004</v>
      </c>
      <c r="F66" s="16">
        <f>SUMIFS('Seat Ledger'!$M$5:$M$287,'Seat Ledger'!$B$5:$B$287,4,'Seat Ledger'!$G$5:$G$287,"OTH")</f>
        <v>3.5000000000000027</v>
      </c>
      <c r="G66" s="16">
        <f>SUMIFS('Seat Ledger'!$M$5:$M$287,'Seat Ledger'!$B$5:$B$287,5,'Seat Ledger'!$G$5:$G$287,"OTH")</f>
        <v>2.5</v>
      </c>
    </row>
    <row r="67" spans="1:10" ht="63.75" customHeight="1">
      <c r="B67" s="22" t="s">
        <v>604</v>
      </c>
      <c r="C67" s="26">
        <f>IF(C9=0,0,(C63+C64)/C9)</f>
        <v>0.16460905349794239</v>
      </c>
      <c r="D67" s="26">
        <f>IF(D9=0,0,(D63+D64)/D9)</f>
        <v>0.21390374331550799</v>
      </c>
      <c r="E67" s="26">
        <f>IF(E9=0,0,(E63+E64)/E9)</f>
        <v>0.15131578947368421</v>
      </c>
      <c r="F67" s="26">
        <f>IF(F9=0,0,(F63+F64)/F9)</f>
        <v>0.25954198473282436</v>
      </c>
      <c r="G67" s="26">
        <f>IF(G9=0,0,(G63+G64)/G9)</f>
        <v>0.24369747899159663</v>
      </c>
      <c r="I67" s="19" t="s">
        <v>605</v>
      </c>
    </row>
    <row r="69" spans="1:10" ht="15" customHeight="1">
      <c r="A69" s="6" t="s">
        <v>606</v>
      </c>
      <c r="B69" s="6"/>
      <c r="C69" s="6"/>
      <c r="D69" s="6"/>
      <c r="E69" s="6"/>
      <c r="F69" s="6"/>
      <c r="G69" s="6"/>
      <c r="H69" s="6"/>
      <c r="I69" s="6"/>
      <c r="J69" s="6"/>
    </row>
    <row r="70" spans="1:10" ht="15" customHeight="1">
      <c r="B70" s="11" t="s">
        <v>607</v>
      </c>
      <c r="C70" s="11" t="s">
        <v>188</v>
      </c>
      <c r="D70" s="11" t="s">
        <v>189</v>
      </c>
      <c r="E70" s="11" t="s">
        <v>190</v>
      </c>
      <c r="F70" s="11" t="s">
        <v>191</v>
      </c>
      <c r="G70" s="11" t="s">
        <v>192</v>
      </c>
    </row>
    <row r="71" spans="1:10" ht="15" customHeight="1">
      <c r="B71" s="10" t="s">
        <v>239</v>
      </c>
      <c r="C71" s="16">
        <f>SUMIFS('Seat Ledger'!$M$5:$M$287,'Seat Ledger'!$B$5:$B$287,1,'Seat Ledger'!$H$5:$H$287,"E1")</f>
        <v>0</v>
      </c>
      <c r="D71" s="16">
        <f>SUMIFS('Seat Ledger'!$M$5:$M$287,'Seat Ledger'!$B$5:$B$287,2,'Seat Ledger'!$H$5:$H$287,"E1")</f>
        <v>0</v>
      </c>
      <c r="E71" s="16">
        <f>SUMIFS('Seat Ledger'!$M$5:$M$287,'Seat Ledger'!$B$5:$B$287,3,'Seat Ledger'!$H$5:$H$287,"E1")</f>
        <v>0</v>
      </c>
      <c r="F71" s="16">
        <f>SUMIFS('Seat Ledger'!$M$5:$M$287,'Seat Ledger'!$B$5:$B$287,4,'Seat Ledger'!$H$5:$H$287,"E1")</f>
        <v>0</v>
      </c>
      <c r="G71" s="16">
        <f>SUMIFS('Seat Ledger'!$M$5:$M$287,'Seat Ledger'!$B$5:$B$287,5,'Seat Ledger'!$H$5:$H$287,"E1")</f>
        <v>0</v>
      </c>
    </row>
    <row r="72" spans="1:10" ht="15" customHeight="1">
      <c r="B72" s="10" t="s">
        <v>240</v>
      </c>
      <c r="C72" s="16">
        <f>SUMIFS('Seat Ledger'!$M$5:$M$287,'Seat Ledger'!$B$5:$B$287,1,'Seat Ledger'!$H$5:$H$287,"E2")</f>
        <v>26.5</v>
      </c>
      <c r="D72" s="16">
        <f>SUMIFS('Seat Ledger'!$M$5:$M$287,'Seat Ledger'!$B$5:$B$287,2,'Seat Ledger'!$H$5:$H$287,"E2")</f>
        <v>19.499999999999993</v>
      </c>
      <c r="E72" s="16">
        <f>SUMIFS('Seat Ledger'!$M$5:$M$287,'Seat Ledger'!$B$5:$B$287,3,'Seat Ledger'!$H$5:$H$287,"E2")</f>
        <v>14</v>
      </c>
      <c r="F72" s="16">
        <f>SUMIFS('Seat Ledger'!$M$5:$M$287,'Seat Ledger'!$B$5:$B$287,4,'Seat Ledger'!$H$5:$H$287,"E2")</f>
        <v>20.499999999999986</v>
      </c>
      <c r="G72" s="16">
        <f>SUMIFS('Seat Ledger'!$M$5:$M$287,'Seat Ledger'!$B$5:$B$287,5,'Seat Ledger'!$H$5:$H$287,"E2")</f>
        <v>15.5</v>
      </c>
    </row>
    <row r="73" spans="1:10" ht="15" customHeight="1">
      <c r="B73" s="10" t="s">
        <v>241</v>
      </c>
      <c r="C73" s="16">
        <f>SUMIFS('Seat Ledger'!$M$5:$M$287,'Seat Ledger'!$B$5:$B$287,1,'Seat Ledger'!$H$5:$H$287,"E3")</f>
        <v>54.5</v>
      </c>
      <c r="D73" s="16">
        <f>SUMIFS('Seat Ledger'!$M$5:$M$287,'Seat Ledger'!$B$5:$B$287,2,'Seat Ledger'!$H$5:$H$287,"E3")</f>
        <v>39.499999999999979</v>
      </c>
      <c r="E73" s="16">
        <f>SUMIFS('Seat Ledger'!$M$5:$M$287,'Seat Ledger'!$B$5:$B$287,3,'Seat Ledger'!$H$5:$H$287,"E3")</f>
        <v>31.5</v>
      </c>
      <c r="F73" s="16">
        <f>SUMIFS('Seat Ledger'!$M$5:$M$287,'Seat Ledger'!$B$5:$B$287,4,'Seat Ledger'!$H$5:$H$287,"E3")</f>
        <v>19.499999999999993</v>
      </c>
      <c r="G73" s="16">
        <f>SUMIFS('Seat Ledger'!$M$5:$M$287,'Seat Ledger'!$B$5:$B$287,5,'Seat Ledger'!$H$5:$H$287,"E3")</f>
        <v>17</v>
      </c>
    </row>
    <row r="74" spans="1:10" ht="15" customHeight="1">
      <c r="B74" s="10" t="s">
        <v>242</v>
      </c>
      <c r="C74" s="16">
        <f>SUMIFS('Seat Ledger'!$M$5:$M$287,'Seat Ledger'!$B$5:$B$287,1,'Seat Ledger'!$H$5:$H$287,"E4")</f>
        <v>37.5</v>
      </c>
      <c r="D74" s="16">
        <f>SUMIFS('Seat Ledger'!$M$5:$M$287,'Seat Ledger'!$B$5:$B$287,2,'Seat Ledger'!$H$5:$H$287,"E4")</f>
        <v>28.500000000000021</v>
      </c>
      <c r="E74" s="16">
        <f>SUMIFS('Seat Ledger'!$M$5:$M$287,'Seat Ledger'!$B$5:$B$287,3,'Seat Ledger'!$H$5:$H$287,"E4")</f>
        <v>22.5</v>
      </c>
      <c r="F74" s="16">
        <f>SUMIFS('Seat Ledger'!$M$5:$M$287,'Seat Ledger'!$B$5:$B$287,4,'Seat Ledger'!$H$5:$H$287,"E4")</f>
        <v>23.000000000000004</v>
      </c>
      <c r="G74" s="16">
        <f>SUMIFS('Seat Ledger'!$M$5:$M$287,'Seat Ledger'!$B$5:$B$287,5,'Seat Ledger'!$H$5:$H$287,"E4")</f>
        <v>25.5</v>
      </c>
    </row>
    <row r="75" spans="1:10" ht="15" customHeight="1">
      <c r="B75" s="10" t="s">
        <v>243</v>
      </c>
      <c r="C75" s="16">
        <f>SUMIFS('Seat Ledger'!$M$5:$M$287,'Seat Ledger'!$B$5:$B$287,1,'Seat Ledger'!$H$5:$H$287,"E5")</f>
        <v>3</v>
      </c>
      <c r="D75" s="16">
        <f>SUMIFS('Seat Ledger'!$M$5:$M$287,'Seat Ledger'!$B$5:$B$287,2,'Seat Ledger'!$H$5:$H$287,"E5")</f>
        <v>5.9999999999999982</v>
      </c>
      <c r="E75" s="16">
        <f>SUMIFS('Seat Ledger'!$M$5:$M$287,'Seat Ledger'!$B$5:$B$287,3,'Seat Ledger'!$H$5:$H$287,"E5")</f>
        <v>8.0000000000000036</v>
      </c>
      <c r="F75" s="16">
        <f>SUMIFS('Seat Ledger'!$M$5:$M$287,'Seat Ledger'!$B$5:$B$287,4,'Seat Ledger'!$H$5:$H$287,"E5")</f>
        <v>2.5000000000000027</v>
      </c>
      <c r="G75" s="16">
        <f>SUMIFS('Seat Ledger'!$M$5:$M$287,'Seat Ledger'!$B$5:$B$287,5,'Seat Ledger'!$H$5:$H$287,"E5")</f>
        <v>1.5</v>
      </c>
    </row>
    <row r="76" spans="1:10" ht="15" customHeight="1">
      <c r="B76" s="22" t="s">
        <v>608</v>
      </c>
      <c r="C76" s="26">
        <f>IF(C9=0,0,(C74+C75)/C9)</f>
        <v>0.33333333333333331</v>
      </c>
      <c r="D76" s="26">
        <f>IF(D9=0,0,(D74+D75)/D9)</f>
        <v>0.36898395721925159</v>
      </c>
      <c r="E76" s="26">
        <f>IF(E9=0,0,(E74+E75)/E9)</f>
        <v>0.40131578947368424</v>
      </c>
      <c r="F76" s="26">
        <f>IF(F9=0,0,(F74+F75)/F9)</f>
        <v>0.38931297709923673</v>
      </c>
      <c r="G76" s="26">
        <f>IF(G9=0,0,(G74+G75)/G9)</f>
        <v>0.45378151260504201</v>
      </c>
    </row>
  </sheetData>
  <mergeCells count="11">
    <mergeCell ref="A69:J69"/>
    <mergeCell ref="G32:J32"/>
    <mergeCell ref="A33:J33"/>
    <mergeCell ref="H41:J41"/>
    <mergeCell ref="A43:J43"/>
    <mergeCell ref="A59:J59"/>
    <mergeCell ref="A1:J1"/>
    <mergeCell ref="A2:J2"/>
    <mergeCell ref="A4:J4"/>
    <mergeCell ref="A14:J14"/>
    <mergeCell ref="G31:J3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0"/>
  <sheetViews>
    <sheetView zoomScaleNormal="100" workbookViewId="0">
      <selection sqref="A1:K1"/>
    </sheetView>
  </sheetViews>
  <sheetFormatPr defaultColWidth="8.6328125" defaultRowHeight="14.5"/>
  <cols>
    <col min="1" max="1" width="2.453125" customWidth="1"/>
    <col min="2" max="2" width="44" customWidth="1"/>
    <col min="3" max="8" width="12" customWidth="1"/>
    <col min="9" max="9" width="3" customWidth="1"/>
    <col min="10" max="10" width="52" customWidth="1"/>
  </cols>
  <sheetData>
    <row r="1" spans="1:11" ht="25.5" customHeight="1">
      <c r="A1" s="8" t="s">
        <v>609</v>
      </c>
      <c r="B1" s="8"/>
      <c r="C1" s="8"/>
      <c r="D1" s="8"/>
      <c r="E1" s="8"/>
      <c r="F1" s="8"/>
      <c r="G1" s="8"/>
      <c r="H1" s="8"/>
      <c r="I1" s="8"/>
      <c r="J1" s="8"/>
      <c r="K1" s="8"/>
    </row>
    <row r="2" spans="1:11" ht="15" customHeight="1">
      <c r="A2" s="7" t="s">
        <v>610</v>
      </c>
      <c r="B2" s="7"/>
      <c r="C2" s="7"/>
      <c r="D2" s="7"/>
      <c r="E2" s="7"/>
      <c r="F2" s="7"/>
      <c r="G2" s="7"/>
      <c r="H2" s="7"/>
      <c r="I2" s="7"/>
      <c r="J2" s="7"/>
      <c r="K2" s="7"/>
    </row>
    <row r="4" spans="1:11" ht="15" customHeight="1">
      <c r="A4" s="6" t="s">
        <v>611</v>
      </c>
      <c r="B4" s="6"/>
      <c r="C4" s="6"/>
      <c r="D4" s="6"/>
      <c r="E4" s="6"/>
      <c r="F4" s="6"/>
      <c r="G4" s="6"/>
      <c r="H4" s="6"/>
    </row>
    <row r="5" spans="1:11" ht="18.75" customHeight="1">
      <c r="B5" s="11" t="s">
        <v>40</v>
      </c>
      <c r="C5" s="11" t="s">
        <v>451</v>
      </c>
      <c r="D5" s="11" t="s">
        <v>612</v>
      </c>
    </row>
    <row r="6" spans="1:11" ht="37.5" customHeight="1">
      <c r="B6" s="10" t="s">
        <v>613</v>
      </c>
      <c r="C6" s="21">
        <v>277</v>
      </c>
      <c r="D6" s="3" t="s">
        <v>614</v>
      </c>
      <c r="E6" s="3"/>
      <c r="F6" s="3"/>
      <c r="G6" s="3"/>
      <c r="H6" s="3"/>
    </row>
    <row r="7" spans="1:11" ht="37.5" customHeight="1">
      <c r="B7" s="10" t="s">
        <v>615</v>
      </c>
      <c r="C7" s="21">
        <v>283</v>
      </c>
      <c r="D7" s="3" t="s">
        <v>616</v>
      </c>
      <c r="E7" s="3"/>
      <c r="F7" s="3"/>
      <c r="G7" s="3"/>
      <c r="H7" s="3"/>
    </row>
    <row r="8" spans="1:11" ht="37.5" customHeight="1">
      <c r="B8" s="10" t="s">
        <v>617</v>
      </c>
      <c r="C8" s="21">
        <v>450</v>
      </c>
      <c r="D8" s="3" t="s">
        <v>618</v>
      </c>
      <c r="E8" s="3"/>
      <c r="F8" s="3"/>
      <c r="G8" s="3"/>
      <c r="H8" s="3"/>
    </row>
    <row r="9" spans="1:11" ht="37.5" customHeight="1">
      <c r="B9" s="10" t="s">
        <v>619</v>
      </c>
      <c r="C9" s="21">
        <v>528</v>
      </c>
      <c r="D9" s="3" t="s">
        <v>620</v>
      </c>
      <c r="E9" s="3"/>
      <c r="F9" s="3"/>
      <c r="G9" s="3"/>
      <c r="H9" s="3"/>
    </row>
    <row r="10" spans="1:11" ht="37.5" customHeight="1">
      <c r="B10" s="32" t="s">
        <v>621</v>
      </c>
      <c r="C10" s="46">
        <v>38</v>
      </c>
      <c r="D10" s="3" t="s">
        <v>622</v>
      </c>
      <c r="E10" s="3"/>
      <c r="F10" s="3"/>
      <c r="G10" s="3"/>
      <c r="H10" s="3"/>
    </row>
    <row r="12" spans="1:11" ht="15" customHeight="1">
      <c r="B12" s="4" t="s">
        <v>623</v>
      </c>
      <c r="C12" s="4"/>
      <c r="D12" s="4"/>
      <c r="E12" s="4"/>
      <c r="F12" s="4"/>
      <c r="G12" s="4"/>
      <c r="H12" s="4"/>
      <c r="I12" s="4"/>
      <c r="J12" s="4"/>
    </row>
    <row r="14" spans="1:11" ht="15" customHeight="1">
      <c r="A14" s="6" t="s">
        <v>624</v>
      </c>
      <c r="B14" s="6"/>
      <c r="C14" s="6"/>
      <c r="D14" s="6"/>
      <c r="E14" s="6"/>
      <c r="F14" s="6"/>
      <c r="G14" s="6"/>
      <c r="H14" s="6"/>
    </row>
    <row r="15" spans="1:11" ht="18.75" customHeight="1">
      <c r="B15" s="11" t="s">
        <v>393</v>
      </c>
      <c r="C15" s="11" t="s">
        <v>168</v>
      </c>
      <c r="D15" s="11" t="s">
        <v>320</v>
      </c>
      <c r="E15" s="11" t="s">
        <v>625</v>
      </c>
      <c r="F15" s="11" t="s">
        <v>626</v>
      </c>
    </row>
    <row r="16" spans="1:11" ht="57" customHeight="1">
      <c r="B16" s="9" t="s">
        <v>627</v>
      </c>
      <c r="C16" s="43" t="s">
        <v>325</v>
      </c>
      <c r="D16" s="10" t="s">
        <v>628</v>
      </c>
      <c r="E16" s="16">
        <v>6</v>
      </c>
      <c r="F16" s="53">
        <v>42.454000000000001</v>
      </c>
      <c r="J16" s="19" t="s">
        <v>629</v>
      </c>
    </row>
    <row r="17" spans="1:10" ht="34.5" customHeight="1">
      <c r="B17" s="9" t="s">
        <v>630</v>
      </c>
      <c r="C17" s="43" t="s">
        <v>175</v>
      </c>
      <c r="D17" s="10" t="s">
        <v>631</v>
      </c>
      <c r="E17" s="16">
        <v>0</v>
      </c>
      <c r="F17" s="53">
        <v>29.38</v>
      </c>
    </row>
    <row r="18" spans="1:10" ht="34.5" customHeight="1">
      <c r="B18" s="9" t="s">
        <v>632</v>
      </c>
      <c r="C18" s="43" t="s">
        <v>335</v>
      </c>
      <c r="D18" s="10" t="s">
        <v>633</v>
      </c>
      <c r="E18" s="16">
        <v>0</v>
      </c>
      <c r="F18" s="53">
        <v>13.614000000000001</v>
      </c>
    </row>
    <row r="19" spans="1:10" ht="15" customHeight="1">
      <c r="B19" s="22" t="s">
        <v>423</v>
      </c>
      <c r="C19" s="43"/>
      <c r="D19" s="10"/>
      <c r="E19" s="23">
        <f>SUM(E16:E18)</f>
        <v>6</v>
      </c>
      <c r="F19" s="23">
        <f>SUM(F16:F18)</f>
        <v>85.448000000000008</v>
      </c>
    </row>
    <row r="21" spans="1:10" ht="15" customHeight="1">
      <c r="A21" s="6" t="s">
        <v>634</v>
      </c>
      <c r="B21" s="6"/>
      <c r="C21" s="6"/>
      <c r="D21" s="6"/>
      <c r="E21" s="6"/>
      <c r="F21" s="6"/>
      <c r="G21" s="6"/>
      <c r="H21" s="6"/>
    </row>
    <row r="22" spans="1:10" ht="18.75" customHeight="1">
      <c r="B22" s="11" t="s">
        <v>607</v>
      </c>
      <c r="C22" s="11" t="s">
        <v>635</v>
      </c>
      <c r="D22" s="11" t="s">
        <v>636</v>
      </c>
      <c r="E22" s="11" t="s">
        <v>637</v>
      </c>
    </row>
    <row r="23" spans="1:10" ht="27.75" customHeight="1">
      <c r="B23" s="18" t="s">
        <v>239</v>
      </c>
      <c r="C23" s="28">
        <v>0.22</v>
      </c>
      <c r="D23" s="28">
        <v>0.1</v>
      </c>
      <c r="E23" s="28">
        <v>0.2</v>
      </c>
      <c r="J23" s="19" t="s">
        <v>638</v>
      </c>
    </row>
    <row r="24" spans="1:10" ht="15" customHeight="1">
      <c r="B24" s="18" t="s">
        <v>240</v>
      </c>
      <c r="C24" s="28">
        <v>0.18</v>
      </c>
      <c r="D24" s="28">
        <v>0.09</v>
      </c>
      <c r="E24" s="28">
        <v>0.16</v>
      </c>
    </row>
    <row r="25" spans="1:10" ht="15" customHeight="1">
      <c r="B25" s="18" t="s">
        <v>241</v>
      </c>
      <c r="C25" s="28">
        <v>0.13</v>
      </c>
      <c r="D25" s="28">
        <v>7.0000000000000007E-2</v>
      </c>
      <c r="E25" s="28">
        <v>0.12</v>
      </c>
    </row>
    <row r="26" spans="1:10" ht="15" customHeight="1">
      <c r="B26" s="18" t="s">
        <v>242</v>
      </c>
      <c r="C26" s="28">
        <v>0.09</v>
      </c>
      <c r="D26" s="28">
        <v>0.05</v>
      </c>
      <c r="E26" s="28">
        <v>7.0000000000000007E-2</v>
      </c>
    </row>
    <row r="27" spans="1:10" ht="15" customHeight="1">
      <c r="B27" s="18" t="s">
        <v>243</v>
      </c>
      <c r="C27" s="28">
        <v>0.06</v>
      </c>
      <c r="D27" s="28">
        <v>0.04</v>
      </c>
      <c r="E27" s="28">
        <v>0</v>
      </c>
    </row>
    <row r="29" spans="1:10" ht="15" customHeight="1">
      <c r="A29" s="6" t="s">
        <v>639</v>
      </c>
      <c r="B29" s="6"/>
      <c r="C29" s="6"/>
      <c r="D29" s="6"/>
      <c r="E29" s="6"/>
      <c r="F29" s="6"/>
      <c r="G29" s="6"/>
      <c r="H29" s="6"/>
    </row>
    <row r="30" spans="1:10" ht="15" customHeight="1">
      <c r="B30" s="11" t="s">
        <v>214</v>
      </c>
      <c r="C30" s="11" t="s">
        <v>188</v>
      </c>
      <c r="D30" s="11" t="s">
        <v>189</v>
      </c>
      <c r="E30" s="11" t="s">
        <v>190</v>
      </c>
      <c r="F30" s="11" t="s">
        <v>191</v>
      </c>
      <c r="G30" s="11" t="s">
        <v>192</v>
      </c>
    </row>
    <row r="31" spans="1:10" ht="15" customHeight="1">
      <c r="B31" s="22" t="s">
        <v>640</v>
      </c>
      <c r="C31" s="23">
        <v>6</v>
      </c>
      <c r="D31" s="23">
        <v>5.24</v>
      </c>
      <c r="E31" s="23">
        <v>4.6132479999999996</v>
      </c>
      <c r="F31" s="23">
        <v>4.0916638132000003</v>
      </c>
      <c r="G31" s="23">
        <v>3.6537367475979998</v>
      </c>
    </row>
    <row r="32" spans="1:10" ht="15" customHeight="1">
      <c r="B32" s="10" t="s">
        <v>641</v>
      </c>
      <c r="C32" s="16">
        <v>0</v>
      </c>
      <c r="D32" s="16">
        <v>0</v>
      </c>
      <c r="E32" s="16">
        <v>0</v>
      </c>
      <c r="F32" s="16">
        <v>0</v>
      </c>
      <c r="G32" s="16">
        <v>0</v>
      </c>
    </row>
    <row r="33" spans="1:10" ht="15" customHeight="1">
      <c r="B33" s="10" t="s">
        <v>642</v>
      </c>
      <c r="C33" s="16">
        <v>2</v>
      </c>
      <c r="D33" s="16">
        <v>1.3775999999999999</v>
      </c>
      <c r="E33" s="16">
        <v>0.94889087999999999</v>
      </c>
      <c r="F33" s="16">
        <v>0.65359603814400002</v>
      </c>
      <c r="G33" s="16">
        <v>0.45019695107358698</v>
      </c>
    </row>
    <row r="34" spans="1:10" ht="15" customHeight="1">
      <c r="B34" s="10" t="s">
        <v>643</v>
      </c>
      <c r="C34" s="16">
        <v>2</v>
      </c>
      <c r="D34" s="16">
        <v>1.7936000000000001</v>
      </c>
      <c r="E34" s="16">
        <v>1.55392128</v>
      </c>
      <c r="F34" s="16">
        <v>1.314176615424</v>
      </c>
      <c r="G34" s="16">
        <v>1.09188541697311</v>
      </c>
    </row>
    <row r="35" spans="1:10" ht="15" customHeight="1">
      <c r="B35" s="10" t="s">
        <v>644</v>
      </c>
      <c r="C35" s="16">
        <v>2</v>
      </c>
      <c r="D35" s="16">
        <v>1.9386000000000001</v>
      </c>
      <c r="E35" s="16">
        <v>1.8607552199999999</v>
      </c>
      <c r="F35" s="16">
        <v>1.7660238120180001</v>
      </c>
      <c r="G35" s="16">
        <v>1.6574404344440501</v>
      </c>
    </row>
    <row r="36" spans="1:10" ht="15" customHeight="1">
      <c r="B36" s="10" t="s">
        <v>645</v>
      </c>
      <c r="C36" s="16">
        <v>0</v>
      </c>
      <c r="D36" s="16">
        <v>0.13020000000000001</v>
      </c>
      <c r="E36" s="16">
        <v>0.24968061999999999</v>
      </c>
      <c r="F36" s="16">
        <v>0.35786734761400002</v>
      </c>
      <c r="G36" s="16">
        <v>0.45421394510725699</v>
      </c>
    </row>
    <row r="37" spans="1:10" ht="36.75" customHeight="1">
      <c r="B37" s="22" t="s">
        <v>646</v>
      </c>
      <c r="C37" s="26">
        <v>0.33333333333333298</v>
      </c>
      <c r="D37" s="26">
        <v>0.39480916030534402</v>
      </c>
      <c r="E37" s="26">
        <v>0.45747287811103998</v>
      </c>
      <c r="F37" s="26">
        <v>0.51907763115341399</v>
      </c>
      <c r="G37" s="26">
        <v>0.57794376700497796</v>
      </c>
      <c r="J37" s="19" t="s">
        <v>647</v>
      </c>
    </row>
    <row r="38" spans="1:10" ht="15" customHeight="1">
      <c r="B38" s="10" t="s">
        <v>648</v>
      </c>
      <c r="C38" s="16">
        <v>1</v>
      </c>
      <c r="D38" s="16">
        <v>0.95</v>
      </c>
      <c r="E38" s="16">
        <v>0.903165</v>
      </c>
      <c r="F38" s="16">
        <v>0.85923267749999999</v>
      </c>
      <c r="G38" s="16">
        <v>0.81796701457124998</v>
      </c>
    </row>
    <row r="39" spans="1:10" ht="15" customHeight="1">
      <c r="B39" s="10" t="s">
        <v>649</v>
      </c>
      <c r="C39" s="16">
        <v>5</v>
      </c>
      <c r="D39" s="16">
        <v>4.29</v>
      </c>
      <c r="E39" s="16">
        <v>3.710083</v>
      </c>
      <c r="F39" s="16">
        <v>3.2324311357000002</v>
      </c>
      <c r="G39" s="16">
        <v>2.83576973302675</v>
      </c>
    </row>
    <row r="41" spans="1:10" ht="15" customHeight="1">
      <c r="A41" s="6" t="s">
        <v>650</v>
      </c>
      <c r="B41" s="6"/>
      <c r="C41" s="6"/>
      <c r="D41" s="6"/>
      <c r="E41" s="6"/>
      <c r="F41" s="6"/>
      <c r="G41" s="6"/>
      <c r="H41" s="6"/>
    </row>
    <row r="42" spans="1:10" ht="15" customHeight="1">
      <c r="B42" s="11" t="s">
        <v>214</v>
      </c>
      <c r="C42" s="11" t="s">
        <v>188</v>
      </c>
      <c r="D42" s="11" t="s">
        <v>189</v>
      </c>
      <c r="E42" s="11" t="s">
        <v>190</v>
      </c>
      <c r="F42" s="11" t="s">
        <v>191</v>
      </c>
      <c r="G42" s="11" t="s">
        <v>192</v>
      </c>
    </row>
    <row r="43" spans="1:10" ht="15" customHeight="1">
      <c r="B43" s="22" t="s">
        <v>651</v>
      </c>
      <c r="C43" s="23">
        <f>SUMIFS('Seat Ledger'!$M$5:$M$287,'Seat Ledger'!$B$5:$B$287,1,'Seat Ledger'!$J$5:$J$287,"FTC",'Seat Ledger'!$I$5:$I$287,"OFF")+SUMIFS('Seat Ledger'!$M$5:$M$287,'Seat Ledger'!$B$5:$B$287,1,'Seat Ledger'!$J$5:$J$287,"FTC",'Seat Ledger'!$I$5:$I$287,"NEAR")</f>
        <v>14.000000000000002</v>
      </c>
      <c r="D43" s="23">
        <f>SUMIFS('Seat Ledger'!$M$5:$M$287,'Seat Ledger'!$B$5:$B$287,2,'Seat Ledger'!$J$5:$J$287,"FTC",'Seat Ledger'!$I$5:$I$287,"OFF")+SUMIFS('Seat Ledger'!$M$5:$M$287,'Seat Ledger'!$B$5:$B$287,2,'Seat Ledger'!$J$5:$J$287,"FTC",'Seat Ledger'!$I$5:$I$287,"NEAR")</f>
        <v>20</v>
      </c>
      <c r="E43" s="23">
        <f>SUMIFS('Seat Ledger'!$M$5:$M$287,'Seat Ledger'!$B$5:$B$287,3,'Seat Ledger'!$J$5:$J$287,"FTC",'Seat Ledger'!$I$5:$I$287,"OFF")+SUMIFS('Seat Ledger'!$M$5:$M$287,'Seat Ledger'!$B$5:$B$287,3,'Seat Ledger'!$J$5:$J$287,"FTC",'Seat Ledger'!$I$5:$I$287,"NEAR")</f>
        <v>22.499999999999993</v>
      </c>
      <c r="F43" s="23">
        <f>SUMIFS('Seat Ledger'!$M$5:$M$287,'Seat Ledger'!$B$5:$B$287,4,'Seat Ledger'!$J$5:$J$287,"FTC",'Seat Ledger'!$I$5:$I$287,"OFF")+SUMIFS('Seat Ledger'!$M$5:$M$287,'Seat Ledger'!$B$5:$B$287,4,'Seat Ledger'!$J$5:$J$287,"FTC",'Seat Ledger'!$I$5:$I$287,"NEAR")</f>
        <v>20.499999999999989</v>
      </c>
      <c r="G43" s="23">
        <f>SUMIFS('Seat Ledger'!$M$5:$M$287,'Seat Ledger'!$B$5:$B$287,5,'Seat Ledger'!$J$5:$J$287,"FTC",'Seat Ledger'!$I$5:$I$287,"OFF")+SUMIFS('Seat Ledger'!$M$5:$M$287,'Seat Ledger'!$B$5:$B$287,5,'Seat Ledger'!$J$5:$J$287,"FTC",'Seat Ledger'!$I$5:$I$287,"NEAR")</f>
        <v>20.5</v>
      </c>
    </row>
    <row r="44" spans="1:10" ht="15" customHeight="1">
      <c r="B44" s="10" t="s">
        <v>652</v>
      </c>
      <c r="C44" s="16">
        <v>5</v>
      </c>
      <c r="D44" s="16">
        <v>4.29</v>
      </c>
      <c r="E44" s="16">
        <v>3.710083</v>
      </c>
      <c r="F44" s="16">
        <v>3.2324311357000002</v>
      </c>
      <c r="G44" s="16">
        <v>2.83576973302675</v>
      </c>
    </row>
    <row r="45" spans="1:10" ht="27.75" customHeight="1">
      <c r="B45" s="22" t="s">
        <v>653</v>
      </c>
      <c r="C45" s="26">
        <f>C44/C43</f>
        <v>0.3571428571428571</v>
      </c>
      <c r="D45" s="26">
        <f>D44/D43</f>
        <v>0.2145</v>
      </c>
      <c r="E45" s="26">
        <f>E44/E43</f>
        <v>0.16489257777777783</v>
      </c>
      <c r="F45" s="26">
        <f>F44/F43</f>
        <v>0.15767956759512206</v>
      </c>
      <c r="G45" s="26">
        <f>G44/G43</f>
        <v>0.13833023087935364</v>
      </c>
      <c r="J45" s="19" t="s">
        <v>654</v>
      </c>
    </row>
    <row r="46" spans="1:10" ht="15" customHeight="1">
      <c r="B46" s="10" t="s">
        <v>655</v>
      </c>
      <c r="C46" s="16">
        <f>C43-C44</f>
        <v>9.0000000000000018</v>
      </c>
      <c r="D46" s="16">
        <f>D43-D44</f>
        <v>15.71</v>
      </c>
      <c r="E46" s="16">
        <f>E43-E44</f>
        <v>18.789916999999992</v>
      </c>
      <c r="F46" s="16">
        <f>F43-F44</f>
        <v>17.267568864299989</v>
      </c>
      <c r="G46" s="16">
        <f>G43-G44</f>
        <v>17.664230266973249</v>
      </c>
    </row>
    <row r="48" spans="1:10" ht="15" customHeight="1">
      <c r="A48" s="6" t="s">
        <v>656</v>
      </c>
      <c r="B48" s="6"/>
      <c r="C48" s="6"/>
      <c r="D48" s="6"/>
      <c r="E48" s="6"/>
      <c r="F48" s="6"/>
      <c r="G48" s="6"/>
      <c r="H48" s="6"/>
    </row>
    <row r="49" spans="2:8" ht="15" customHeight="1">
      <c r="B49" s="11" t="s">
        <v>188</v>
      </c>
      <c r="C49" s="11" t="s">
        <v>239</v>
      </c>
      <c r="D49" s="11" t="s">
        <v>240</v>
      </c>
      <c r="E49" s="11" t="s">
        <v>241</v>
      </c>
      <c r="F49" s="11" t="s">
        <v>242</v>
      </c>
      <c r="G49" s="11" t="s">
        <v>243</v>
      </c>
      <c r="H49" s="11" t="s">
        <v>181</v>
      </c>
    </row>
    <row r="50" spans="2:8" ht="15" customHeight="1">
      <c r="B50" s="10" t="s">
        <v>657</v>
      </c>
      <c r="C50" s="16">
        <f>SUMIFS('Seat Ledger'!$M$5:$M$287,'Seat Ledger'!$B$5:$B$287,1,'Seat Ledger'!$J$5:$J$287,"FTC",'Seat Ledger'!$I$5:$I$287,"OFF",'Seat Ledger'!$H$5:$H$287,"E1")+SUMIFS('Seat Ledger'!$M$5:$M$287,'Seat Ledger'!$B$5:$B$287,1,'Seat Ledger'!$J$5:$J$287,"FTC",'Seat Ledger'!$I$5:$I$287,"NEAR",'Seat Ledger'!$H$5:$H$287,"E1")</f>
        <v>0</v>
      </c>
      <c r="D50" s="16">
        <f>SUMIFS('Seat Ledger'!$M$5:$M$287,'Seat Ledger'!$B$5:$B$287,1,'Seat Ledger'!$J$5:$J$287,"FTC",'Seat Ledger'!$I$5:$I$287,"OFF",'Seat Ledger'!$H$5:$H$287,"E2")+SUMIFS('Seat Ledger'!$M$5:$M$287,'Seat Ledger'!$B$5:$B$287,1,'Seat Ledger'!$J$5:$J$287,"FTC",'Seat Ledger'!$I$5:$I$287,"NEAR",'Seat Ledger'!$H$5:$H$287,"E2")</f>
        <v>3</v>
      </c>
      <c r="E50" s="16">
        <f>SUMIFS('Seat Ledger'!$M$5:$M$287,'Seat Ledger'!$B$5:$B$287,1,'Seat Ledger'!$J$5:$J$287,"FTC",'Seat Ledger'!$I$5:$I$287,"OFF",'Seat Ledger'!$H$5:$H$287,"E3")+SUMIFS('Seat Ledger'!$M$5:$M$287,'Seat Ledger'!$B$5:$B$287,1,'Seat Ledger'!$J$5:$J$287,"FTC",'Seat Ledger'!$I$5:$I$287,"NEAR",'Seat Ledger'!$H$5:$H$287,"E3")</f>
        <v>10.5</v>
      </c>
      <c r="F50" s="16">
        <f>SUMIFS('Seat Ledger'!$M$5:$M$287,'Seat Ledger'!$B$5:$B$287,1,'Seat Ledger'!$J$5:$J$287,"FTC",'Seat Ledger'!$I$5:$I$287,"OFF",'Seat Ledger'!$H$5:$H$287,"E4")+SUMIFS('Seat Ledger'!$M$5:$M$287,'Seat Ledger'!$B$5:$B$287,1,'Seat Ledger'!$J$5:$J$287,"FTC",'Seat Ledger'!$I$5:$I$287,"NEAR",'Seat Ledger'!$H$5:$H$287,"E4")</f>
        <v>0.5</v>
      </c>
      <c r="G50" s="16">
        <f>SUMIFS('Seat Ledger'!$M$5:$M$287,'Seat Ledger'!$B$5:$B$287,1,'Seat Ledger'!$J$5:$J$287,"FTC",'Seat Ledger'!$I$5:$I$287,"OFF",'Seat Ledger'!$H$5:$H$287,"E5")+SUMIFS('Seat Ledger'!$M$5:$M$287,'Seat Ledger'!$B$5:$B$287,1,'Seat Ledger'!$J$5:$J$287,"FTC",'Seat Ledger'!$I$5:$I$287,"NEAR",'Seat Ledger'!$H$5:$H$287,"E5")</f>
        <v>0</v>
      </c>
      <c r="H50" s="23">
        <f>SUM(C50:G50)</f>
        <v>14</v>
      </c>
    </row>
    <row r="51" spans="2:8" ht="15" customHeight="1">
      <c r="B51" s="10" t="s">
        <v>658</v>
      </c>
      <c r="C51" s="16">
        <v>0</v>
      </c>
      <c r="D51" s="16">
        <v>2</v>
      </c>
      <c r="E51" s="16">
        <v>2</v>
      </c>
      <c r="F51" s="16">
        <v>1</v>
      </c>
      <c r="G51" s="16">
        <v>0</v>
      </c>
      <c r="H51" s="23">
        <f>SUM(C51:G51)</f>
        <v>5</v>
      </c>
    </row>
    <row r="52" spans="2:8" ht="15" customHeight="1">
      <c r="B52" s="22" t="s">
        <v>659</v>
      </c>
      <c r="C52" s="23">
        <f>C50-C51</f>
        <v>0</v>
      </c>
      <c r="D52" s="23">
        <f>D50-D51</f>
        <v>1</v>
      </c>
      <c r="E52" s="23">
        <f>E50-E51</f>
        <v>8.5</v>
      </c>
      <c r="F52" s="23">
        <f>F50-F51</f>
        <v>-0.5</v>
      </c>
      <c r="G52" s="23">
        <f>G50-G51</f>
        <v>0</v>
      </c>
      <c r="H52" s="23">
        <f>SUM(C52:G52)</f>
        <v>9</v>
      </c>
    </row>
    <row r="54" spans="2:8" ht="15" customHeight="1">
      <c r="B54" s="11" t="s">
        <v>189</v>
      </c>
      <c r="C54" s="11" t="s">
        <v>239</v>
      </c>
      <c r="D54" s="11" t="s">
        <v>240</v>
      </c>
      <c r="E54" s="11" t="s">
        <v>241</v>
      </c>
      <c r="F54" s="11" t="s">
        <v>242</v>
      </c>
      <c r="G54" s="11" t="s">
        <v>243</v>
      </c>
      <c r="H54" s="11" t="s">
        <v>181</v>
      </c>
    </row>
    <row r="55" spans="2:8" ht="15" customHeight="1">
      <c r="B55" s="10" t="s">
        <v>657</v>
      </c>
      <c r="C55" s="16">
        <f>SUMIFS('Seat Ledger'!$M$5:$M$287,'Seat Ledger'!$B$5:$B$287,2,'Seat Ledger'!$J$5:$J$287,"FTC",'Seat Ledger'!$I$5:$I$287,"OFF",'Seat Ledger'!$H$5:$H$287,"E1")+SUMIFS('Seat Ledger'!$M$5:$M$287,'Seat Ledger'!$B$5:$B$287,2,'Seat Ledger'!$J$5:$J$287,"FTC",'Seat Ledger'!$I$5:$I$287,"NEAR",'Seat Ledger'!$H$5:$H$287,"E1")</f>
        <v>0</v>
      </c>
      <c r="D55" s="16">
        <f>SUMIFS('Seat Ledger'!$M$5:$M$287,'Seat Ledger'!$B$5:$B$287,2,'Seat Ledger'!$J$5:$J$287,"FTC",'Seat Ledger'!$I$5:$I$287,"OFF",'Seat Ledger'!$H$5:$H$287,"E2")+SUMIFS('Seat Ledger'!$M$5:$M$287,'Seat Ledger'!$B$5:$B$287,2,'Seat Ledger'!$J$5:$J$287,"FTC",'Seat Ledger'!$I$5:$I$287,"NEAR",'Seat Ledger'!$H$5:$H$287,"E2")</f>
        <v>6.9999999999999964</v>
      </c>
      <c r="E55" s="16">
        <f>SUMIFS('Seat Ledger'!$M$5:$M$287,'Seat Ledger'!$B$5:$B$287,2,'Seat Ledger'!$J$5:$J$287,"FTC",'Seat Ledger'!$I$5:$I$287,"OFF",'Seat Ledger'!$H$5:$H$287,"E3")+SUMIFS('Seat Ledger'!$M$5:$M$287,'Seat Ledger'!$B$5:$B$287,2,'Seat Ledger'!$J$5:$J$287,"FTC",'Seat Ledger'!$I$5:$I$287,"NEAR",'Seat Ledger'!$H$5:$H$287,"E3")</f>
        <v>11.000000000000002</v>
      </c>
      <c r="F55" s="16">
        <f>SUMIFS('Seat Ledger'!$M$5:$M$287,'Seat Ledger'!$B$5:$B$287,2,'Seat Ledger'!$J$5:$J$287,"FTC",'Seat Ledger'!$I$5:$I$287,"OFF",'Seat Ledger'!$H$5:$H$287,"E4")+SUMIFS('Seat Ledger'!$M$5:$M$287,'Seat Ledger'!$B$5:$B$287,2,'Seat Ledger'!$J$5:$J$287,"FTC",'Seat Ledger'!$I$5:$I$287,"NEAR",'Seat Ledger'!$H$5:$H$287,"E4")</f>
        <v>2</v>
      </c>
      <c r="G55" s="16">
        <f>SUMIFS('Seat Ledger'!$M$5:$M$287,'Seat Ledger'!$B$5:$B$287,2,'Seat Ledger'!$J$5:$J$287,"FTC",'Seat Ledger'!$I$5:$I$287,"OFF",'Seat Ledger'!$H$5:$H$287,"E5")+SUMIFS('Seat Ledger'!$M$5:$M$287,'Seat Ledger'!$B$5:$B$287,2,'Seat Ledger'!$J$5:$J$287,"FTC",'Seat Ledger'!$I$5:$I$287,"NEAR",'Seat Ledger'!$H$5:$H$287,"E5")</f>
        <v>0</v>
      </c>
      <c r="H55" s="23">
        <f>SUM(C55:G55)</f>
        <v>20</v>
      </c>
    </row>
    <row r="56" spans="2:8" ht="15" customHeight="1">
      <c r="B56" s="10" t="s">
        <v>658</v>
      </c>
      <c r="C56" s="16">
        <v>0</v>
      </c>
      <c r="D56" s="16">
        <v>1.3775999999999999</v>
      </c>
      <c r="E56" s="16">
        <v>1.7936000000000001</v>
      </c>
      <c r="F56" s="16">
        <v>1.0550999999999999</v>
      </c>
      <c r="G56" s="16">
        <v>6.3700000000000007E-2</v>
      </c>
      <c r="H56" s="23">
        <f>SUM(C56:G56)</f>
        <v>4.29</v>
      </c>
    </row>
    <row r="57" spans="2:8" ht="15" customHeight="1">
      <c r="B57" s="22" t="s">
        <v>659</v>
      </c>
      <c r="C57" s="23">
        <f>C55-C56</f>
        <v>0</v>
      </c>
      <c r="D57" s="23">
        <f>D55-D56</f>
        <v>5.6223999999999963</v>
      </c>
      <c r="E57" s="23">
        <f>E55-E56</f>
        <v>9.2064000000000021</v>
      </c>
      <c r="F57" s="23">
        <f>F55-F56</f>
        <v>0.94490000000000007</v>
      </c>
      <c r="G57" s="23">
        <f>G55-G56</f>
        <v>-6.3700000000000007E-2</v>
      </c>
      <c r="H57" s="23">
        <f>SUM(C57:G57)</f>
        <v>15.709999999999997</v>
      </c>
    </row>
    <row r="59" spans="2:8" ht="15" customHeight="1">
      <c r="B59" s="11" t="s">
        <v>190</v>
      </c>
      <c r="C59" s="11" t="s">
        <v>239</v>
      </c>
      <c r="D59" s="11" t="s">
        <v>240</v>
      </c>
      <c r="E59" s="11" t="s">
        <v>241</v>
      </c>
      <c r="F59" s="11" t="s">
        <v>242</v>
      </c>
      <c r="G59" s="11" t="s">
        <v>243</v>
      </c>
      <c r="H59" s="11" t="s">
        <v>181</v>
      </c>
    </row>
    <row r="60" spans="2:8" ht="15" customHeight="1">
      <c r="B60" s="10" t="s">
        <v>657</v>
      </c>
      <c r="C60" s="16">
        <f>SUMIFS('Seat Ledger'!$M$5:$M$287,'Seat Ledger'!$B$5:$B$287,3,'Seat Ledger'!$J$5:$J$287,"FTC",'Seat Ledger'!$I$5:$I$287,"OFF",'Seat Ledger'!$H$5:$H$287,"E1")+SUMIFS('Seat Ledger'!$M$5:$M$287,'Seat Ledger'!$B$5:$B$287,3,'Seat Ledger'!$J$5:$J$287,"FTC",'Seat Ledger'!$I$5:$I$287,"NEAR",'Seat Ledger'!$H$5:$H$287,"E1")</f>
        <v>0</v>
      </c>
      <c r="D60" s="16">
        <f>SUMIFS('Seat Ledger'!$M$5:$M$287,'Seat Ledger'!$B$5:$B$287,3,'Seat Ledger'!$J$5:$J$287,"FTC",'Seat Ledger'!$I$5:$I$287,"OFF",'Seat Ledger'!$H$5:$H$287,"E2")+SUMIFS('Seat Ledger'!$M$5:$M$287,'Seat Ledger'!$B$5:$B$287,3,'Seat Ledger'!$J$5:$J$287,"FTC",'Seat Ledger'!$I$5:$I$287,"NEAR",'Seat Ledger'!$H$5:$H$287,"E2")</f>
        <v>9</v>
      </c>
      <c r="E60" s="16">
        <f>SUMIFS('Seat Ledger'!$M$5:$M$287,'Seat Ledger'!$B$5:$B$287,3,'Seat Ledger'!$J$5:$J$287,"FTC",'Seat Ledger'!$I$5:$I$287,"OFF",'Seat Ledger'!$H$5:$H$287,"E3")+SUMIFS('Seat Ledger'!$M$5:$M$287,'Seat Ledger'!$B$5:$B$287,3,'Seat Ledger'!$J$5:$J$287,"FTC",'Seat Ledger'!$I$5:$I$287,"NEAR",'Seat Ledger'!$H$5:$H$287,"E3")</f>
        <v>12.999999999999995</v>
      </c>
      <c r="F60" s="16">
        <f>SUMIFS('Seat Ledger'!$M$5:$M$287,'Seat Ledger'!$B$5:$B$287,3,'Seat Ledger'!$J$5:$J$287,"FTC",'Seat Ledger'!$I$5:$I$287,"OFF",'Seat Ledger'!$H$5:$H$287,"E4")+SUMIFS('Seat Ledger'!$M$5:$M$287,'Seat Ledger'!$B$5:$B$287,3,'Seat Ledger'!$J$5:$J$287,"FTC",'Seat Ledger'!$I$5:$I$287,"NEAR",'Seat Ledger'!$H$5:$H$287,"E4")</f>
        <v>0.5</v>
      </c>
      <c r="G60" s="16">
        <f>SUMIFS('Seat Ledger'!$M$5:$M$287,'Seat Ledger'!$B$5:$B$287,3,'Seat Ledger'!$J$5:$J$287,"FTC",'Seat Ledger'!$I$5:$I$287,"OFF",'Seat Ledger'!$H$5:$H$287,"E5")+SUMIFS('Seat Ledger'!$M$5:$M$287,'Seat Ledger'!$B$5:$B$287,3,'Seat Ledger'!$J$5:$J$287,"FTC",'Seat Ledger'!$I$5:$I$287,"NEAR",'Seat Ledger'!$H$5:$H$287,"E5")</f>
        <v>0</v>
      </c>
      <c r="H60" s="23">
        <f>SUM(C60:G60)</f>
        <v>22.499999999999993</v>
      </c>
    </row>
    <row r="61" spans="2:8" ht="15" customHeight="1">
      <c r="B61" s="10" t="s">
        <v>658</v>
      </c>
      <c r="C61" s="16">
        <v>0</v>
      </c>
      <c r="D61" s="16">
        <v>0.94889087999999999</v>
      </c>
      <c r="E61" s="16">
        <v>1.55392128</v>
      </c>
      <c r="F61" s="16">
        <v>1.0801829700000001</v>
      </c>
      <c r="G61" s="16">
        <v>0.12708786999999999</v>
      </c>
      <c r="H61" s="23">
        <f>SUM(C61:G61)</f>
        <v>3.710083</v>
      </c>
    </row>
    <row r="62" spans="2:8" ht="15" customHeight="1">
      <c r="B62" s="22" t="s">
        <v>659</v>
      </c>
      <c r="C62" s="23">
        <f>C60-C61</f>
        <v>0</v>
      </c>
      <c r="D62" s="23">
        <f>D60-D61</f>
        <v>8.0511091199999996</v>
      </c>
      <c r="E62" s="23">
        <f>E60-E61</f>
        <v>11.446078719999996</v>
      </c>
      <c r="F62" s="23">
        <f>F60-F61</f>
        <v>-0.58018297000000008</v>
      </c>
      <c r="G62" s="23">
        <f>G60-G61</f>
        <v>-0.12708786999999999</v>
      </c>
      <c r="H62" s="23">
        <f>SUM(C62:G62)</f>
        <v>18.789916999999996</v>
      </c>
    </row>
    <row r="64" spans="2:8" ht="15" customHeight="1">
      <c r="B64" s="11" t="s">
        <v>191</v>
      </c>
      <c r="C64" s="11" t="s">
        <v>239</v>
      </c>
      <c r="D64" s="11" t="s">
        <v>240</v>
      </c>
      <c r="E64" s="11" t="s">
        <v>241</v>
      </c>
      <c r="F64" s="11" t="s">
        <v>242</v>
      </c>
      <c r="G64" s="11" t="s">
        <v>243</v>
      </c>
      <c r="H64" s="11" t="s">
        <v>181</v>
      </c>
    </row>
    <row r="65" spans="1:10" ht="15" customHeight="1">
      <c r="B65" s="10" t="s">
        <v>657</v>
      </c>
      <c r="C65" s="16">
        <f>SUMIFS('Seat Ledger'!$M$5:$M$287,'Seat Ledger'!$B$5:$B$287,4,'Seat Ledger'!$J$5:$J$287,"FTC",'Seat Ledger'!$I$5:$I$287,"OFF",'Seat Ledger'!$H$5:$H$287,"E1")+SUMIFS('Seat Ledger'!$M$5:$M$287,'Seat Ledger'!$B$5:$B$287,4,'Seat Ledger'!$J$5:$J$287,"FTC",'Seat Ledger'!$I$5:$I$287,"NEAR",'Seat Ledger'!$H$5:$H$287,"E1")</f>
        <v>0</v>
      </c>
      <c r="D65" s="16">
        <f>SUMIFS('Seat Ledger'!$M$5:$M$287,'Seat Ledger'!$B$5:$B$287,4,'Seat Ledger'!$J$5:$J$287,"FTC",'Seat Ledger'!$I$5:$I$287,"OFF",'Seat Ledger'!$H$5:$H$287,"E2")+SUMIFS('Seat Ledger'!$M$5:$M$287,'Seat Ledger'!$B$5:$B$287,4,'Seat Ledger'!$J$5:$J$287,"FTC",'Seat Ledger'!$I$5:$I$287,"NEAR",'Seat Ledger'!$H$5:$H$287,"E2")</f>
        <v>10.999999999999989</v>
      </c>
      <c r="E65" s="16">
        <f>SUMIFS('Seat Ledger'!$M$5:$M$287,'Seat Ledger'!$B$5:$B$287,4,'Seat Ledger'!$J$5:$J$287,"FTC",'Seat Ledger'!$I$5:$I$287,"OFF",'Seat Ledger'!$H$5:$H$287,"E3")+SUMIFS('Seat Ledger'!$M$5:$M$287,'Seat Ledger'!$B$5:$B$287,4,'Seat Ledger'!$J$5:$J$287,"FTC",'Seat Ledger'!$I$5:$I$287,"NEAR",'Seat Ledger'!$H$5:$H$287,"E3")</f>
        <v>8.9999999999999964</v>
      </c>
      <c r="F65" s="16">
        <f>SUMIFS('Seat Ledger'!$M$5:$M$287,'Seat Ledger'!$B$5:$B$287,4,'Seat Ledger'!$J$5:$J$287,"FTC",'Seat Ledger'!$I$5:$I$287,"OFF",'Seat Ledger'!$H$5:$H$287,"E4")+SUMIFS('Seat Ledger'!$M$5:$M$287,'Seat Ledger'!$B$5:$B$287,4,'Seat Ledger'!$J$5:$J$287,"FTC",'Seat Ledger'!$I$5:$I$287,"NEAR",'Seat Ledger'!$H$5:$H$287,"E4")</f>
        <v>0.5</v>
      </c>
      <c r="G65" s="16">
        <f>SUMIFS('Seat Ledger'!$M$5:$M$287,'Seat Ledger'!$B$5:$B$287,4,'Seat Ledger'!$J$5:$J$287,"FTC",'Seat Ledger'!$I$5:$I$287,"OFF",'Seat Ledger'!$H$5:$H$287,"E5")+SUMIFS('Seat Ledger'!$M$5:$M$287,'Seat Ledger'!$B$5:$B$287,4,'Seat Ledger'!$J$5:$J$287,"FTC",'Seat Ledger'!$I$5:$I$287,"NEAR",'Seat Ledger'!$H$5:$H$287,"E5")</f>
        <v>0</v>
      </c>
      <c r="H65" s="23">
        <f>SUM(C65:G65)</f>
        <v>20.499999999999986</v>
      </c>
    </row>
    <row r="66" spans="1:10" ht="15" customHeight="1">
      <c r="B66" s="10" t="s">
        <v>658</v>
      </c>
      <c r="C66" s="16">
        <v>0</v>
      </c>
      <c r="D66" s="16">
        <v>0.65359603814400002</v>
      </c>
      <c r="E66" s="16">
        <v>1.314176615424</v>
      </c>
      <c r="F66" s="16">
        <v>1.076388229143</v>
      </c>
      <c r="G66" s="16">
        <v>0.18827025298899999</v>
      </c>
      <c r="H66" s="23">
        <f>SUM(C66:G66)</f>
        <v>3.2324311357000002</v>
      </c>
    </row>
    <row r="67" spans="1:10" ht="15" customHeight="1">
      <c r="B67" s="22" t="s">
        <v>659</v>
      </c>
      <c r="C67" s="23">
        <f>C65-C66</f>
        <v>0</v>
      </c>
      <c r="D67" s="23">
        <f>D65-D66</f>
        <v>10.346403961855989</v>
      </c>
      <c r="E67" s="23">
        <f>E65-E66</f>
        <v>7.6858233845759969</v>
      </c>
      <c r="F67" s="23">
        <f>F65-F66</f>
        <v>-0.57638822914300003</v>
      </c>
      <c r="G67" s="23">
        <f>G65-G66</f>
        <v>-0.18827025298899999</v>
      </c>
      <c r="H67" s="23">
        <f>SUM(C67:G67)</f>
        <v>17.267568864299989</v>
      </c>
    </row>
    <row r="69" spans="1:10" ht="15" customHeight="1">
      <c r="B69" s="11" t="s">
        <v>192</v>
      </c>
      <c r="C69" s="11" t="s">
        <v>239</v>
      </c>
      <c r="D69" s="11" t="s">
        <v>240</v>
      </c>
      <c r="E69" s="11" t="s">
        <v>241</v>
      </c>
      <c r="F69" s="11" t="s">
        <v>242</v>
      </c>
      <c r="G69" s="11" t="s">
        <v>243</v>
      </c>
      <c r="H69" s="11" t="s">
        <v>181</v>
      </c>
    </row>
    <row r="70" spans="1:10" ht="15" customHeight="1">
      <c r="B70" s="10" t="s">
        <v>657</v>
      </c>
      <c r="C70" s="16">
        <f>SUMIFS('Seat Ledger'!$M$5:$M$287,'Seat Ledger'!$B$5:$B$287,5,'Seat Ledger'!$J$5:$J$287,"FTC",'Seat Ledger'!$I$5:$I$287,"OFF",'Seat Ledger'!$H$5:$H$287,"E1")+SUMIFS('Seat Ledger'!$M$5:$M$287,'Seat Ledger'!$B$5:$B$287,5,'Seat Ledger'!$J$5:$J$287,"FTC",'Seat Ledger'!$I$5:$I$287,"NEAR",'Seat Ledger'!$H$5:$H$287,"E1")</f>
        <v>0</v>
      </c>
      <c r="D70" s="16">
        <f>SUMIFS('Seat Ledger'!$M$5:$M$287,'Seat Ledger'!$B$5:$B$287,5,'Seat Ledger'!$J$5:$J$287,"FTC",'Seat Ledger'!$I$5:$I$287,"OFF",'Seat Ledger'!$H$5:$H$287,"E2")+SUMIFS('Seat Ledger'!$M$5:$M$287,'Seat Ledger'!$B$5:$B$287,5,'Seat Ledger'!$J$5:$J$287,"FTC",'Seat Ledger'!$I$5:$I$287,"NEAR",'Seat Ledger'!$H$5:$H$287,"E2")</f>
        <v>10.5</v>
      </c>
      <c r="E70" s="16">
        <f>SUMIFS('Seat Ledger'!$M$5:$M$287,'Seat Ledger'!$B$5:$B$287,5,'Seat Ledger'!$J$5:$J$287,"FTC",'Seat Ledger'!$I$5:$I$287,"OFF",'Seat Ledger'!$H$5:$H$287,"E3")+SUMIFS('Seat Ledger'!$M$5:$M$287,'Seat Ledger'!$B$5:$B$287,5,'Seat Ledger'!$J$5:$J$287,"FTC",'Seat Ledger'!$I$5:$I$287,"NEAR",'Seat Ledger'!$H$5:$H$287,"E3")</f>
        <v>9.5</v>
      </c>
      <c r="F70" s="16">
        <f>SUMIFS('Seat Ledger'!$M$5:$M$287,'Seat Ledger'!$B$5:$B$287,5,'Seat Ledger'!$J$5:$J$287,"FTC",'Seat Ledger'!$I$5:$I$287,"OFF",'Seat Ledger'!$H$5:$H$287,"E4")+SUMIFS('Seat Ledger'!$M$5:$M$287,'Seat Ledger'!$B$5:$B$287,5,'Seat Ledger'!$J$5:$J$287,"FTC",'Seat Ledger'!$I$5:$I$287,"NEAR",'Seat Ledger'!$H$5:$H$287,"E4")</f>
        <v>0.5</v>
      </c>
      <c r="G70" s="16">
        <f>SUMIFS('Seat Ledger'!$M$5:$M$287,'Seat Ledger'!$B$5:$B$287,5,'Seat Ledger'!$J$5:$J$287,"FTC",'Seat Ledger'!$I$5:$I$287,"OFF",'Seat Ledger'!$H$5:$H$287,"E5")+SUMIFS('Seat Ledger'!$M$5:$M$287,'Seat Ledger'!$B$5:$B$287,5,'Seat Ledger'!$J$5:$J$287,"FTC",'Seat Ledger'!$I$5:$I$287,"NEAR",'Seat Ledger'!$H$5:$H$287,"E5")</f>
        <v>0</v>
      </c>
      <c r="H70" s="23">
        <f>SUM(C70:G70)</f>
        <v>20.5</v>
      </c>
    </row>
    <row r="71" spans="1:10" ht="15" customHeight="1">
      <c r="B71" s="10" t="s">
        <v>658</v>
      </c>
      <c r="C71" s="16">
        <v>0</v>
      </c>
      <c r="D71" s="16">
        <v>0.45019695107358698</v>
      </c>
      <c r="E71" s="16">
        <v>1.09188541697311</v>
      </c>
      <c r="F71" s="16">
        <v>1.0481473969739901</v>
      </c>
      <c r="G71" s="16">
        <v>0.245539968006069</v>
      </c>
      <c r="H71" s="23">
        <f>SUM(C71:G71)</f>
        <v>2.8357697330267562</v>
      </c>
    </row>
    <row r="72" spans="1:10" ht="15" customHeight="1">
      <c r="B72" s="22" t="s">
        <v>659</v>
      </c>
      <c r="C72" s="23">
        <f>C70-C71</f>
        <v>0</v>
      </c>
      <c r="D72" s="23">
        <f>D70-D71</f>
        <v>10.049803048926414</v>
      </c>
      <c r="E72" s="23">
        <f>E70-E71</f>
        <v>8.4081145830268902</v>
      </c>
      <c r="F72" s="23">
        <f>F70-F71</f>
        <v>-0.54814739697399006</v>
      </c>
      <c r="G72" s="23">
        <f>G70-G71</f>
        <v>-0.245539968006069</v>
      </c>
      <c r="H72" s="23">
        <f>SUM(C72:G72)</f>
        <v>17.664230266973245</v>
      </c>
    </row>
    <row r="74" spans="1:10" ht="60" customHeight="1">
      <c r="B74" s="4" t="s">
        <v>660</v>
      </c>
      <c r="C74" s="4"/>
      <c r="D74" s="4"/>
      <c r="E74" s="4"/>
      <c r="F74" s="4"/>
      <c r="G74" s="4"/>
      <c r="H74" s="4"/>
      <c r="I74" s="4"/>
      <c r="J74" s="4"/>
    </row>
    <row r="76" spans="1:10" ht="15" customHeight="1">
      <c r="A76" s="6" t="s">
        <v>661</v>
      </c>
      <c r="B76" s="6"/>
      <c r="C76" s="6"/>
      <c r="D76" s="6"/>
      <c r="E76" s="6"/>
      <c r="F76" s="6"/>
      <c r="G76" s="6"/>
      <c r="H76" s="6"/>
    </row>
    <row r="77" spans="1:10" ht="49.5" customHeight="1">
      <c r="B77" s="5" t="s">
        <v>662</v>
      </c>
      <c r="C77" s="5"/>
      <c r="D77" s="5"/>
      <c r="E77" s="5"/>
      <c r="F77" s="5"/>
      <c r="G77" s="5"/>
      <c r="H77" s="5"/>
      <c r="I77" s="5"/>
      <c r="J77" s="5"/>
    </row>
    <row r="78" spans="1:10" ht="49.5" customHeight="1">
      <c r="B78" s="5" t="s">
        <v>663</v>
      </c>
      <c r="C78" s="5"/>
      <c r="D78" s="5"/>
      <c r="E78" s="5"/>
      <c r="F78" s="5"/>
      <c r="G78" s="5"/>
      <c r="H78" s="5"/>
      <c r="I78" s="5"/>
      <c r="J78" s="5"/>
    </row>
    <row r="79" spans="1:10" ht="49.5" customHeight="1">
      <c r="B79" s="5" t="s">
        <v>664</v>
      </c>
      <c r="C79" s="5"/>
      <c r="D79" s="5"/>
      <c r="E79" s="5"/>
      <c r="F79" s="5"/>
      <c r="G79" s="5"/>
      <c r="H79" s="5"/>
      <c r="I79" s="5"/>
      <c r="J79" s="5"/>
    </row>
    <row r="80" spans="1:10" ht="49.5" customHeight="1">
      <c r="B80" s="5" t="s">
        <v>665</v>
      </c>
      <c r="C80" s="5"/>
      <c r="D80" s="5"/>
      <c r="E80" s="5"/>
      <c r="F80" s="5"/>
      <c r="G80" s="5"/>
      <c r="H80" s="5"/>
      <c r="I80" s="5"/>
      <c r="J80" s="5"/>
    </row>
  </sheetData>
  <mergeCells count="20">
    <mergeCell ref="A76:H76"/>
    <mergeCell ref="B77:J77"/>
    <mergeCell ref="B78:J78"/>
    <mergeCell ref="B79:J79"/>
    <mergeCell ref="B80:J80"/>
    <mergeCell ref="A21:H21"/>
    <mergeCell ref="A29:H29"/>
    <mergeCell ref="A41:H41"/>
    <mergeCell ref="A48:H48"/>
    <mergeCell ref="B74:J74"/>
    <mergeCell ref="D8:H8"/>
    <mergeCell ref="D9:H9"/>
    <mergeCell ref="D10:H10"/>
    <mergeCell ref="B12:J12"/>
    <mergeCell ref="A14:H14"/>
    <mergeCell ref="A1:K1"/>
    <mergeCell ref="A2:K2"/>
    <mergeCell ref="A4:H4"/>
    <mergeCell ref="D6:H6"/>
    <mergeCell ref="D7:H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71"/>
  <sheetViews>
    <sheetView zoomScaleNormal="100" workbookViewId="0">
      <selection sqref="A1:J1"/>
    </sheetView>
  </sheetViews>
  <sheetFormatPr defaultColWidth="8.6328125" defaultRowHeight="14.5"/>
  <cols>
    <col min="1" max="1" width="2.453125" customWidth="1"/>
    <col min="2" max="2" width="48" customWidth="1"/>
    <col min="3" max="7" width="13" customWidth="1"/>
    <col min="8" max="8" width="3" customWidth="1"/>
    <col min="9" max="9" width="52" customWidth="1"/>
  </cols>
  <sheetData>
    <row r="1" spans="1:10" ht="25.5" customHeight="1">
      <c r="A1" s="8" t="s">
        <v>666</v>
      </c>
      <c r="B1" s="8"/>
      <c r="C1" s="8"/>
      <c r="D1" s="8"/>
      <c r="E1" s="8"/>
      <c r="F1" s="8"/>
      <c r="G1" s="8"/>
      <c r="H1" s="8"/>
      <c r="I1" s="8"/>
      <c r="J1" s="8"/>
    </row>
    <row r="2" spans="1:10" ht="15" customHeight="1">
      <c r="A2" s="7" t="s">
        <v>667</v>
      </c>
      <c r="B2" s="7"/>
      <c r="C2" s="7"/>
      <c r="D2" s="7"/>
      <c r="E2" s="7"/>
      <c r="F2" s="7"/>
      <c r="G2" s="7"/>
      <c r="H2" s="7"/>
      <c r="I2" s="7"/>
      <c r="J2" s="7"/>
    </row>
    <row r="4" spans="1:10" ht="15" customHeight="1">
      <c r="A4" s="6" t="s">
        <v>668</v>
      </c>
      <c r="B4" s="6"/>
      <c r="C4" s="6"/>
      <c r="D4" s="6"/>
      <c r="E4" s="6"/>
      <c r="F4" s="6"/>
      <c r="G4" s="6"/>
      <c r="H4" s="6"/>
      <c r="I4" s="6"/>
    </row>
    <row r="5" spans="1:10" ht="15" customHeight="1">
      <c r="B5" s="11" t="s">
        <v>214</v>
      </c>
      <c r="C5" s="11" t="s">
        <v>305</v>
      </c>
    </row>
    <row r="6" spans="1:10" ht="15" customHeight="1">
      <c r="B6" s="10" t="s">
        <v>145</v>
      </c>
      <c r="C6" s="21">
        <f>'Logic Tree'!C6</f>
        <v>6</v>
      </c>
    </row>
    <row r="7" spans="1:10" ht="15" customHeight="1">
      <c r="B7" s="10" t="s">
        <v>146</v>
      </c>
      <c r="C7" s="54">
        <f>'Logic Tree'!C7</f>
        <v>121.5735</v>
      </c>
    </row>
    <row r="8" spans="1:10" ht="15" customHeight="1">
      <c r="B8" s="10" t="s">
        <v>669</v>
      </c>
      <c r="C8" s="54">
        <f>'Logic Tree'!C8</f>
        <v>85.448499999999996</v>
      </c>
    </row>
    <row r="9" spans="1:10" ht="15" customHeight="1">
      <c r="B9" s="10" t="s">
        <v>670</v>
      </c>
      <c r="C9" s="54">
        <f>'Logic Tree'!C9</f>
        <v>13.479200000000001</v>
      </c>
    </row>
    <row r="10" spans="1:10" ht="15" customHeight="1">
      <c r="B10" s="10" t="s">
        <v>551</v>
      </c>
      <c r="C10" s="54">
        <f>'Logic Tree'!C10</f>
        <v>22.645800000000001</v>
      </c>
    </row>
    <row r="11" spans="1:10" ht="15" customHeight="1">
      <c r="B11" s="10" t="s">
        <v>164</v>
      </c>
      <c r="C11" s="20">
        <f>'Logic Tree'!C23</f>
        <v>0.70285465171274986</v>
      </c>
    </row>
    <row r="12" spans="1:10" ht="27.75" customHeight="1">
      <c r="B12" s="10" t="s">
        <v>671</v>
      </c>
      <c r="C12" s="20">
        <f>'Logic Tree'!C24</f>
        <v>0.2999675093667617</v>
      </c>
      <c r="I12" s="19" t="s">
        <v>672</v>
      </c>
    </row>
    <row r="13" spans="1:10" ht="15" customHeight="1">
      <c r="B13" s="10" t="s">
        <v>163</v>
      </c>
      <c r="C13" s="54">
        <f>'Logic Tree'!C22</f>
        <v>60.786799999999999</v>
      </c>
    </row>
    <row r="15" spans="1:10" ht="15" customHeight="1">
      <c r="A15" s="6" t="s">
        <v>673</v>
      </c>
      <c r="B15" s="6"/>
      <c r="C15" s="6"/>
      <c r="D15" s="6"/>
      <c r="E15" s="6"/>
      <c r="F15" s="6"/>
      <c r="G15" s="6"/>
      <c r="H15" s="6"/>
      <c r="I15" s="6"/>
    </row>
    <row r="16" spans="1:10" ht="15" customHeight="1">
      <c r="B16" s="11" t="s">
        <v>214</v>
      </c>
      <c r="C16" s="11" t="s">
        <v>188</v>
      </c>
      <c r="D16" s="11" t="s">
        <v>189</v>
      </c>
      <c r="E16" s="11" t="s">
        <v>190</v>
      </c>
      <c r="F16" s="11" t="s">
        <v>191</v>
      </c>
      <c r="G16" s="11" t="s">
        <v>192</v>
      </c>
    </row>
    <row r="17" spans="1:9" ht="15" customHeight="1">
      <c r="B17" s="10" t="s">
        <v>674</v>
      </c>
      <c r="C17" s="20">
        <f>'Delivery Mode'!C20</f>
        <v>0.39477447369243601</v>
      </c>
      <c r="D17" s="20">
        <f>'Delivery Mode'!D20</f>
        <v>0.85606843273281819</v>
      </c>
      <c r="E17" s="20">
        <f>'Delivery Mode'!E20</f>
        <v>1</v>
      </c>
      <c r="F17" s="20">
        <f>'Delivery Mode'!F20</f>
        <v>1</v>
      </c>
      <c r="G17" s="20">
        <f>'Delivery Mode'!G20</f>
        <v>1</v>
      </c>
    </row>
    <row r="18" spans="1:9" ht="15" customHeight="1">
      <c r="B18" s="10" t="s">
        <v>675</v>
      </c>
      <c r="C18" s="20">
        <f>'Logic Tree'!C45</f>
        <v>0.13983959753691932</v>
      </c>
      <c r="D18" s="20">
        <f>'Logic Tree'!D45</f>
        <v>0.32038812983268539</v>
      </c>
      <c r="E18" s="20">
        <f>'Logic Tree'!E45</f>
        <v>0.43128029424684999</v>
      </c>
      <c r="F18" s="20">
        <f>'Logic Tree'!F45</f>
        <v>0.49222287180917046</v>
      </c>
      <c r="G18" s="20">
        <f>'Logic Tree'!G45</f>
        <v>0.5319257313522201</v>
      </c>
    </row>
    <row r="19" spans="1:9" ht="15" customHeight="1">
      <c r="B19" s="10" t="s">
        <v>676</v>
      </c>
      <c r="C19" s="20">
        <f>'Logic Tree'!C50</f>
        <v>0</v>
      </c>
      <c r="D19" s="20">
        <f>'Logic Tree'!D50</f>
        <v>0.13983959753691932</v>
      </c>
      <c r="E19" s="20">
        <f>'Logic Tree'!E50</f>
        <v>0.32038812983268539</v>
      </c>
      <c r="F19" s="20">
        <f>'Logic Tree'!F50</f>
        <v>0.43128029424684999</v>
      </c>
      <c r="G19" s="20">
        <f>'Logic Tree'!G50</f>
        <v>0.49222287180917046</v>
      </c>
    </row>
    <row r="20" spans="1:9" ht="15" customHeight="1">
      <c r="B20" s="10" t="s">
        <v>208</v>
      </c>
      <c r="C20" s="20">
        <f>'Logic Tree'!C51</f>
        <v>0</v>
      </c>
      <c r="D20" s="20">
        <f>'Logic Tree'!D51</f>
        <v>9.0274266147883031E-2</v>
      </c>
      <c r="E20" s="20">
        <f>'Logic Tree'!E51</f>
        <v>5.5446082207082303E-2</v>
      </c>
      <c r="F20" s="20">
        <f>'Logic Tree'!F51</f>
        <v>3.0471288781160233E-2</v>
      </c>
      <c r="G20" s="20">
        <f>'Logic Tree'!G51</f>
        <v>1.985142977152482E-2</v>
      </c>
    </row>
    <row r="21" spans="1:9" ht="18.75" customHeight="1">
      <c r="B21" s="22" t="s">
        <v>209</v>
      </c>
      <c r="C21" s="26">
        <f>'Logic Tree'!C52</f>
        <v>0</v>
      </c>
      <c r="D21" s="26">
        <f>'Logic Tree'!D52</f>
        <v>0.23011386368480236</v>
      </c>
      <c r="E21" s="26">
        <f>'Logic Tree'!E52</f>
        <v>0.37583421203976769</v>
      </c>
      <c r="F21" s="26">
        <f>'Logic Tree'!F52</f>
        <v>0.46175158302801023</v>
      </c>
      <c r="G21" s="26">
        <f>'Logic Tree'!G52</f>
        <v>0.51207430158069522</v>
      </c>
      <c r="I21" s="19" t="s">
        <v>677</v>
      </c>
    </row>
    <row r="22" spans="1:9" ht="15" customHeight="1">
      <c r="B22" s="10" t="s">
        <v>678</v>
      </c>
      <c r="C22" s="16">
        <f>'Logic Tree'!C53</f>
        <v>121.5735</v>
      </c>
      <c r="D22" s="16">
        <f>'Logic Tree'!D53</f>
        <v>93.597752193315671</v>
      </c>
      <c r="E22" s="16">
        <f>'Logic Tree'!E53</f>
        <v>75.882019422583298</v>
      </c>
      <c r="F22" s="16">
        <f>'Logic Tree'!F53</f>
        <v>65.436743920744192</v>
      </c>
      <c r="G22" s="16">
        <f>'Logic Tree'!G53</f>
        <v>59.31883489677935</v>
      </c>
    </row>
    <row r="23" spans="1:9" ht="15" customHeight="1">
      <c r="B23" s="10" t="s">
        <v>679</v>
      </c>
      <c r="C23" s="16">
        <f>'Team Build-Up'!C9</f>
        <v>121.5</v>
      </c>
      <c r="D23" s="16">
        <f>'Team Build-Up'!D9</f>
        <v>93.5</v>
      </c>
      <c r="E23" s="16">
        <f>'Team Build-Up'!E9</f>
        <v>76</v>
      </c>
      <c r="F23" s="16">
        <f>'Team Build-Up'!F9</f>
        <v>65.5</v>
      </c>
      <c r="G23" s="16">
        <f>'Team Build-Up'!G9</f>
        <v>59.5</v>
      </c>
    </row>
    <row r="24" spans="1:9" ht="15" customHeight="1">
      <c r="B24" s="10" t="s">
        <v>539</v>
      </c>
      <c r="C24" s="16">
        <f>'Team Build-Up'!C12</f>
        <v>-7.349999999999568E-2</v>
      </c>
      <c r="D24" s="16">
        <f>'Team Build-Up'!D12</f>
        <v>-9.7752193315670866E-2</v>
      </c>
      <c r="E24" s="16">
        <f>'Team Build-Up'!E12</f>
        <v>0.1179805774167022</v>
      </c>
      <c r="F24" s="16">
        <f>'Team Build-Up'!F12</f>
        <v>6.3256079255808118E-2</v>
      </c>
      <c r="G24" s="16">
        <f>'Team Build-Up'!G12</f>
        <v>0.18116510322064983</v>
      </c>
    </row>
    <row r="25" spans="1:9" ht="15" customHeight="1">
      <c r="B25" s="22" t="s">
        <v>680</v>
      </c>
      <c r="C25" s="26">
        <f>1-C23/$C$7</f>
        <v>6.0457254253598602E-4</v>
      </c>
      <c r="D25" s="26">
        <f>1-D23/$C$7</f>
        <v>0.23091792208005857</v>
      </c>
      <c r="E25" s="26">
        <f>1-E23/$C$7</f>
        <v>0.3748637655410102</v>
      </c>
      <c r="F25" s="26">
        <f>1-F23/$C$7</f>
        <v>0.46123127161758115</v>
      </c>
      <c r="G25" s="26">
        <f>1-G23/$C$7</f>
        <v>0.51058413223276444</v>
      </c>
    </row>
    <row r="26" spans="1:9" ht="23.25" customHeight="1">
      <c r="B26" s="32" t="s">
        <v>211</v>
      </c>
      <c r="E26" s="34">
        <f>'Logic Tree'!E54</f>
        <v>69.141245147380573</v>
      </c>
    </row>
    <row r="28" spans="1:9" ht="15" customHeight="1">
      <c r="A28" s="6" t="s">
        <v>681</v>
      </c>
      <c r="B28" s="6"/>
      <c r="C28" s="6"/>
      <c r="D28" s="6"/>
      <c r="E28" s="6"/>
      <c r="F28" s="6"/>
      <c r="G28" s="6"/>
      <c r="H28" s="6"/>
      <c r="I28" s="6"/>
    </row>
    <row r="29" spans="1:9" ht="15" customHeight="1">
      <c r="B29" s="11" t="s">
        <v>214</v>
      </c>
      <c r="C29" s="11" t="s">
        <v>188</v>
      </c>
      <c r="D29" s="11" t="s">
        <v>189</v>
      </c>
      <c r="E29" s="11" t="s">
        <v>190</v>
      </c>
      <c r="F29" s="11" t="s">
        <v>191</v>
      </c>
      <c r="G29" s="11" t="s">
        <v>192</v>
      </c>
    </row>
    <row r="30" spans="1:9" ht="15" customHeight="1">
      <c r="B30" s="22" t="s">
        <v>682</v>
      </c>
      <c r="C30" s="55">
        <f>'Team Build-Up'!C54</f>
        <v>0.30041152263374488</v>
      </c>
      <c r="D30" s="55">
        <f>'Team Build-Up'!D54</f>
        <v>0.40641711229946492</v>
      </c>
      <c r="E30" s="55">
        <f>'Team Build-Up'!E54</f>
        <v>0.49342105263157893</v>
      </c>
      <c r="F30" s="55">
        <f>'Team Build-Up'!F54</f>
        <v>0.55725190839694638</v>
      </c>
      <c r="G30" s="55">
        <f>'Team Build-Up'!G54</f>
        <v>0.60504201680672265</v>
      </c>
    </row>
    <row r="31" spans="1:9" ht="15" customHeight="1">
      <c r="B31" s="10" t="s">
        <v>683</v>
      </c>
      <c r="C31" s="20">
        <f>'Logic Tree'!C68</f>
        <v>0.31407757258675917</v>
      </c>
      <c r="D31" s="20">
        <f>'Logic Tree'!D68</f>
        <v>0.40579298351674253</v>
      </c>
      <c r="E31" s="20">
        <f>'Logic Tree'!E68</f>
        <v>0.49398087864172657</v>
      </c>
      <c r="F31" s="20">
        <f>'Logic Tree'!F68</f>
        <v>0.55394864732671567</v>
      </c>
      <c r="G31" s="20">
        <f>'Logic Tree'!G68</f>
        <v>0.59627883698670803</v>
      </c>
    </row>
    <row r="32" spans="1:9" ht="15" customHeight="1">
      <c r="B32" s="10" t="s">
        <v>228</v>
      </c>
      <c r="C32" s="20">
        <f>'Team Build-Up'!C56</f>
        <v>0.1647058823529412</v>
      </c>
      <c r="D32" s="20">
        <f>'Team Build-Up'!D56</f>
        <v>0.31249999999999989</v>
      </c>
      <c r="E32" s="20">
        <f>'Team Build-Up'!E56</f>
        <v>0.44117647058823517</v>
      </c>
      <c r="F32" s="20">
        <f>'Team Build-Up'!F56</f>
        <v>0.59420289855072428</v>
      </c>
      <c r="G32" s="20">
        <f>'Team Build-Up'!G56</f>
        <v>0.68333333333333335</v>
      </c>
    </row>
    <row r="33" spans="1:9" ht="18.75" customHeight="1">
      <c r="B33" s="10" t="s">
        <v>684</v>
      </c>
      <c r="C33" s="44">
        <f>C30*'Team Build-Up'!C9-$C$12*$C$7</f>
        <v>3.1900000000000261E-2</v>
      </c>
      <c r="D33" s="44">
        <f>D30*'Team Build-Up'!D9-$C$12*$C$7</f>
        <v>1.5318999999999718</v>
      </c>
      <c r="E33" s="44">
        <f>E30*'Team Build-Up'!E9-$C$12*$C$7</f>
        <v>1.0319000000000003</v>
      </c>
      <c r="F33" s="44">
        <f>F30*'Team Build-Up'!F9-$C$12*$C$7</f>
        <v>3.1899999999986051E-2</v>
      </c>
      <c r="G33" s="44">
        <f>G30*'Team Build-Up'!G9-$C$12*$C$7</f>
        <v>-0.46809999999999974</v>
      </c>
      <c r="I33" s="19" t="s">
        <v>685</v>
      </c>
    </row>
    <row r="35" spans="1:9" ht="15" customHeight="1">
      <c r="A35" s="6" t="s">
        <v>686</v>
      </c>
      <c r="B35" s="6"/>
      <c r="C35" s="6"/>
      <c r="D35" s="6"/>
      <c r="E35" s="6"/>
      <c r="F35" s="6"/>
      <c r="G35" s="6"/>
      <c r="H35" s="6"/>
      <c r="I35" s="6"/>
    </row>
    <row r="36" spans="1:9" ht="15" customHeight="1">
      <c r="B36" s="11" t="s">
        <v>214</v>
      </c>
      <c r="C36" s="11" t="s">
        <v>188</v>
      </c>
      <c r="D36" s="11" t="s">
        <v>189</v>
      </c>
      <c r="E36" s="11" t="s">
        <v>190</v>
      </c>
      <c r="F36" s="11" t="s">
        <v>191</v>
      </c>
      <c r="G36" s="11" t="s">
        <v>192</v>
      </c>
    </row>
    <row r="37" spans="1:9" ht="15" customHeight="1">
      <c r="B37" s="10" t="s">
        <v>687</v>
      </c>
      <c r="C37" s="16">
        <f>'Team Build-Up'!C9</f>
        <v>121.5</v>
      </c>
      <c r="D37" s="16">
        <f>'Team Build-Up'!D9</f>
        <v>93.5</v>
      </c>
      <c r="E37" s="16">
        <f>'Team Build-Up'!E9</f>
        <v>76</v>
      </c>
      <c r="F37" s="16">
        <f>'Team Build-Up'!F9</f>
        <v>65.5</v>
      </c>
      <c r="G37" s="16">
        <f>'Team Build-Up'!G9</f>
        <v>59.5</v>
      </c>
    </row>
    <row r="38" spans="1:9" ht="15" customHeight="1">
      <c r="B38" s="10" t="s">
        <v>688</v>
      </c>
      <c r="C38" s="16">
        <f>'Team Build-Up'!C47</f>
        <v>85</v>
      </c>
      <c r="D38" s="16">
        <f>'Team Build-Up'!D47</f>
        <v>64.000000000000028</v>
      </c>
      <c r="E38" s="16">
        <f>'Team Build-Up'!E47</f>
        <v>51</v>
      </c>
      <c r="F38" s="16">
        <f>'Team Build-Up'!F47</f>
        <v>34.5</v>
      </c>
      <c r="G38" s="16">
        <f>'Team Build-Up'!G47</f>
        <v>30</v>
      </c>
    </row>
    <row r="39" spans="1:9" ht="15" customHeight="1">
      <c r="B39" s="10" t="s">
        <v>689</v>
      </c>
      <c r="C39" s="16">
        <f>'Team Build-Up'!C45</f>
        <v>85</v>
      </c>
      <c r="D39" s="16">
        <f>'Team Build-Up'!D45</f>
        <v>64.000000000000028</v>
      </c>
      <c r="E39" s="16">
        <f>'Team Build-Up'!E45</f>
        <v>51</v>
      </c>
      <c r="F39" s="16">
        <f>'Team Build-Up'!F45</f>
        <v>34.5</v>
      </c>
      <c r="G39" s="16">
        <f>'Team Build-Up'!G45</f>
        <v>30</v>
      </c>
    </row>
    <row r="40" spans="1:9" ht="15" customHeight="1">
      <c r="B40" s="10" t="s">
        <v>690</v>
      </c>
      <c r="C40" s="16">
        <f>'Team Build-Up'!C46</f>
        <v>0</v>
      </c>
      <c r="D40" s="16">
        <f>'Team Build-Up'!D46</f>
        <v>0</v>
      </c>
      <c r="E40" s="16">
        <f>'Team Build-Up'!E46</f>
        <v>0</v>
      </c>
      <c r="F40" s="16">
        <f>'Team Build-Up'!F46</f>
        <v>0</v>
      </c>
      <c r="G40" s="16">
        <f>'Team Build-Up'!G46</f>
        <v>0</v>
      </c>
    </row>
    <row r="41" spans="1:9" ht="15" customHeight="1">
      <c r="B41" s="10" t="s">
        <v>670</v>
      </c>
      <c r="C41" s="16">
        <f>'Team Build-Up'!C48</f>
        <v>14</v>
      </c>
      <c r="D41" s="16">
        <f>'Team Build-Up'!D48</f>
        <v>11.5</v>
      </c>
      <c r="E41" s="16">
        <f>'Team Build-Up'!E48</f>
        <v>10</v>
      </c>
      <c r="F41" s="16">
        <f>'Team Build-Up'!F48</f>
        <v>15</v>
      </c>
      <c r="G41" s="16">
        <f>'Team Build-Up'!G48</f>
        <v>14</v>
      </c>
    </row>
    <row r="42" spans="1:9" ht="15" customHeight="1">
      <c r="B42" s="10" t="s">
        <v>551</v>
      </c>
      <c r="C42" s="16">
        <f>'Team Build-Up'!C49</f>
        <v>22.5</v>
      </c>
      <c r="D42" s="16">
        <f>'Team Build-Up'!D49</f>
        <v>17.999999999999979</v>
      </c>
      <c r="E42" s="16">
        <f>'Team Build-Up'!E49</f>
        <v>15</v>
      </c>
      <c r="F42" s="16">
        <f>'Team Build-Up'!F49</f>
        <v>15.999999999999998</v>
      </c>
      <c r="G42" s="16">
        <f>'Team Build-Up'!G49</f>
        <v>15.5</v>
      </c>
    </row>
    <row r="43" spans="1:9" ht="15" customHeight="1">
      <c r="B43" s="10" t="s">
        <v>691</v>
      </c>
      <c r="C43" s="16">
        <f>C41+C42</f>
        <v>36.5</v>
      </c>
      <c r="D43" s="16">
        <f>D41+D42</f>
        <v>29.499999999999979</v>
      </c>
      <c r="E43" s="16">
        <f>E41+E42</f>
        <v>25</v>
      </c>
      <c r="F43" s="16">
        <f>F41+F42</f>
        <v>31</v>
      </c>
      <c r="G43" s="16">
        <f>G41+G42</f>
        <v>29.5</v>
      </c>
    </row>
    <row r="44" spans="1:9" ht="15" customHeight="1">
      <c r="B44" s="10" t="s">
        <v>692</v>
      </c>
      <c r="C44" s="21">
        <f>'Logic Tree'!C75+'Logic Tree'!C76</f>
        <v>0</v>
      </c>
      <c r="D44" s="21">
        <f>'Logic Tree'!D75+'Logic Tree'!D76</f>
        <v>0</v>
      </c>
      <c r="E44" s="21">
        <f>'Logic Tree'!E75+'Logic Tree'!E76</f>
        <v>0</v>
      </c>
      <c r="F44" s="21">
        <f>'Logic Tree'!F75+'Logic Tree'!F76</f>
        <v>0</v>
      </c>
      <c r="G44" s="21">
        <f>'Logic Tree'!G75+'Logic Tree'!G76</f>
        <v>0</v>
      </c>
    </row>
    <row r="45" spans="1:9" ht="15" customHeight="1">
      <c r="B45" s="22" t="s">
        <v>293</v>
      </c>
      <c r="C45" s="26">
        <f>IF(C37=0,0,C38/C37)</f>
        <v>0.69958847736625518</v>
      </c>
      <c r="D45" s="26">
        <f>IF(D37=0,0,D38/D37)</f>
        <v>0.68449197860962596</v>
      </c>
      <c r="E45" s="26">
        <f>IF(E37=0,0,E38/E37)</f>
        <v>0.67105263157894735</v>
      </c>
      <c r="F45" s="26">
        <f>IF(F37=0,0,F38/F37)</f>
        <v>0.52671755725190839</v>
      </c>
      <c r="G45" s="26">
        <f>IF(G37=0,0,G38/G37)</f>
        <v>0.50420168067226889</v>
      </c>
    </row>
    <row r="46" spans="1:9" ht="18.75" customHeight="1">
      <c r="I46" s="19" t="s">
        <v>693</v>
      </c>
    </row>
    <row r="48" spans="1:9" ht="15" customHeight="1">
      <c r="A48" s="6" t="s">
        <v>694</v>
      </c>
      <c r="B48" s="6"/>
      <c r="C48" s="6"/>
      <c r="D48" s="6"/>
      <c r="E48" s="6"/>
      <c r="F48" s="6"/>
      <c r="G48" s="6"/>
      <c r="H48" s="6"/>
      <c r="I48" s="6"/>
    </row>
    <row r="49" spans="2:9" ht="15" customHeight="1">
      <c r="B49" s="11"/>
      <c r="C49" s="11" t="s">
        <v>305</v>
      </c>
    </row>
    <row r="50" spans="2:9" ht="27.75" customHeight="1">
      <c r="B50" s="10" t="s">
        <v>306</v>
      </c>
      <c r="C50" s="16">
        <f>E26</f>
        <v>69.141245147380573</v>
      </c>
      <c r="I50" s="19" t="s">
        <v>695</v>
      </c>
    </row>
    <row r="51" spans="2:9" ht="15" customHeight="1">
      <c r="B51" s="10" t="s">
        <v>696</v>
      </c>
      <c r="C51" s="20">
        <f>E45</f>
        <v>0.67105263157894735</v>
      </c>
    </row>
    <row r="52" spans="2:9" ht="15" customHeight="1">
      <c r="B52" s="10" t="s">
        <v>697</v>
      </c>
      <c r="C52" s="16">
        <f>C50*C51</f>
        <v>46.39741450679486</v>
      </c>
    </row>
    <row r="53" spans="2:9" ht="15" customHeight="1">
      <c r="B53" s="10" t="s">
        <v>698</v>
      </c>
      <c r="C53" s="16">
        <f>E40/E37*C50</f>
        <v>0</v>
      </c>
    </row>
    <row r="54" spans="2:9" ht="15" customHeight="1">
      <c r="B54" s="10" t="s">
        <v>699</v>
      </c>
      <c r="C54" s="16">
        <f>C52-C53</f>
        <v>46.39741450679486</v>
      </c>
    </row>
    <row r="55" spans="2:9" ht="15" customHeight="1">
      <c r="B55" s="10" t="s">
        <v>309</v>
      </c>
      <c r="C55" s="16">
        <f>C50/2</f>
        <v>34.570622573690287</v>
      </c>
    </row>
    <row r="56" spans="2:9" ht="27.75" customHeight="1">
      <c r="B56" s="32" t="s">
        <v>310</v>
      </c>
      <c r="C56" s="34">
        <f>C52-C55</f>
        <v>11.826791933104573</v>
      </c>
      <c r="I56" s="19" t="s">
        <v>700</v>
      </c>
    </row>
    <row r="57" spans="2:9" ht="15" customHeight="1">
      <c r="B57" s="10" t="s">
        <v>701</v>
      </c>
      <c r="C57" s="38">
        <f>0.7</f>
        <v>0.7</v>
      </c>
    </row>
    <row r="58" spans="2:9" ht="15" customHeight="1">
      <c r="B58" s="10" t="s">
        <v>702</v>
      </c>
      <c r="C58" s="16">
        <f>C54*C57</f>
        <v>32.478190154756398</v>
      </c>
    </row>
    <row r="59" spans="2:9" ht="15" customHeight="1">
      <c r="B59" s="10" t="s">
        <v>703</v>
      </c>
      <c r="C59" s="21">
        <f>'Logic Tree'!E77</f>
        <v>0</v>
      </c>
    </row>
    <row r="60" spans="2:9" ht="15" customHeight="1">
      <c r="B60" s="10" t="s">
        <v>704</v>
      </c>
      <c r="C60" s="20">
        <f>C59/C54</f>
        <v>0</v>
      </c>
    </row>
    <row r="61" spans="2:9" ht="27.75" customHeight="1">
      <c r="B61" s="22" t="s">
        <v>315</v>
      </c>
      <c r="C61" s="23">
        <f>C56-C59</f>
        <v>11.826791933104573</v>
      </c>
      <c r="I61" s="19" t="s">
        <v>705</v>
      </c>
    </row>
    <row r="62" spans="2:9" ht="15" customHeight="1">
      <c r="B62" s="10" t="s">
        <v>706</v>
      </c>
      <c r="C62" s="20">
        <f>(C52-C59)/C50</f>
        <v>0.67105263157894735</v>
      </c>
    </row>
    <row r="65" spans="1:9" ht="15" customHeight="1">
      <c r="A65" s="6" t="s">
        <v>707</v>
      </c>
      <c r="B65" s="6"/>
      <c r="C65" s="6"/>
      <c r="D65" s="6"/>
      <c r="E65" s="6"/>
      <c r="F65" s="6"/>
      <c r="G65" s="6"/>
      <c r="H65" s="6"/>
      <c r="I65" s="6"/>
    </row>
    <row r="66" spans="1:9" ht="43.5" customHeight="1">
      <c r="B66" s="5" t="s">
        <v>708</v>
      </c>
      <c r="C66" s="5"/>
      <c r="D66" s="5"/>
      <c r="E66" s="5"/>
      <c r="F66" s="5"/>
      <c r="G66" s="5"/>
      <c r="H66" s="5"/>
      <c r="I66" s="5"/>
    </row>
    <row r="67" spans="1:9" ht="43.5" customHeight="1">
      <c r="B67" s="5" t="s">
        <v>709</v>
      </c>
      <c r="C67" s="5"/>
      <c r="D67" s="5"/>
      <c r="E67" s="5"/>
      <c r="F67" s="5"/>
      <c r="G67" s="5"/>
      <c r="H67" s="5"/>
      <c r="I67" s="5"/>
    </row>
    <row r="68" spans="1:9" ht="43.5" customHeight="1">
      <c r="B68" s="5" t="s">
        <v>710</v>
      </c>
      <c r="C68" s="5"/>
      <c r="D68" s="5"/>
      <c r="E68" s="5"/>
      <c r="F68" s="5"/>
      <c r="G68" s="5"/>
      <c r="H68" s="5"/>
      <c r="I68" s="5"/>
    </row>
    <row r="69" spans="1:9" ht="43.5" customHeight="1">
      <c r="B69" s="5" t="s">
        <v>711</v>
      </c>
      <c r="C69" s="5"/>
      <c r="D69" s="5"/>
      <c r="E69" s="5"/>
      <c r="F69" s="5"/>
      <c r="G69" s="5"/>
      <c r="H69" s="5"/>
      <c r="I69" s="5"/>
    </row>
    <row r="70" spans="1:9" ht="43.5" customHeight="1">
      <c r="B70" s="5" t="s">
        <v>712</v>
      </c>
      <c r="C70" s="5"/>
      <c r="D70" s="5"/>
      <c r="E70" s="5"/>
      <c r="F70" s="5"/>
      <c r="G70" s="5"/>
      <c r="H70" s="5"/>
      <c r="I70" s="5"/>
    </row>
    <row r="71" spans="1:9" ht="43.5" customHeight="1">
      <c r="B71" s="5" t="s">
        <v>713</v>
      </c>
      <c r="C71" s="5"/>
      <c r="D71" s="5"/>
      <c r="E71" s="5"/>
      <c r="F71" s="5"/>
      <c r="G71" s="5"/>
      <c r="H71" s="5"/>
      <c r="I71" s="5"/>
    </row>
  </sheetData>
  <mergeCells count="14">
    <mergeCell ref="B68:I68"/>
    <mergeCell ref="B69:I69"/>
    <mergeCell ref="B70:I70"/>
    <mergeCell ref="B71:I71"/>
    <mergeCell ref="A35:I35"/>
    <mergeCell ref="A48:I48"/>
    <mergeCell ref="A65:I65"/>
    <mergeCell ref="B66:I66"/>
    <mergeCell ref="B67:I67"/>
    <mergeCell ref="A1:J1"/>
    <mergeCell ref="A2:J2"/>
    <mergeCell ref="A4:I4"/>
    <mergeCell ref="A15:I15"/>
    <mergeCell ref="A28:I2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2"/>
  <sheetViews>
    <sheetView zoomScaleNormal="100" workbookViewId="0">
      <selection sqref="A1:J1"/>
    </sheetView>
  </sheetViews>
  <sheetFormatPr defaultColWidth="8.6328125" defaultRowHeight="14.5"/>
  <cols>
    <col min="1" max="1" width="2.453125" customWidth="1"/>
    <col min="2" max="2" width="46" customWidth="1"/>
    <col min="3" max="7" width="13" customWidth="1"/>
    <col min="8" max="8" width="3" customWidth="1"/>
    <col min="9" max="9" width="50" customWidth="1"/>
  </cols>
  <sheetData>
    <row r="1" spans="1:10" ht="25.5" customHeight="1">
      <c r="A1" s="8" t="s">
        <v>714</v>
      </c>
      <c r="B1" s="8"/>
      <c r="C1" s="8"/>
      <c r="D1" s="8"/>
      <c r="E1" s="8"/>
      <c r="F1" s="8"/>
      <c r="G1" s="8"/>
      <c r="H1" s="8"/>
      <c r="I1" s="8"/>
      <c r="J1" s="8"/>
    </row>
    <row r="2" spans="1:10" ht="15" customHeight="1">
      <c r="A2" s="7" t="s">
        <v>715</v>
      </c>
      <c r="B2" s="7"/>
      <c r="C2" s="7"/>
      <c r="D2" s="7"/>
      <c r="E2" s="7"/>
      <c r="F2" s="7"/>
      <c r="G2" s="7"/>
      <c r="H2" s="7"/>
      <c r="I2" s="7"/>
      <c r="J2" s="7"/>
    </row>
    <row r="4" spans="1:10" ht="15" customHeight="1">
      <c r="A4" s="6" t="s">
        <v>716</v>
      </c>
      <c r="B4" s="6"/>
      <c r="C4" s="6"/>
      <c r="D4" s="6"/>
      <c r="E4" s="6"/>
      <c r="F4" s="6"/>
      <c r="G4" s="6"/>
      <c r="H4" s="6"/>
      <c r="I4" s="6"/>
    </row>
    <row r="5" spans="1:10" ht="15" customHeight="1">
      <c r="B5" s="11" t="s">
        <v>214</v>
      </c>
      <c r="C5" s="11" t="s">
        <v>188</v>
      </c>
      <c r="D5" s="11" t="s">
        <v>189</v>
      </c>
      <c r="E5" s="11" t="s">
        <v>190</v>
      </c>
      <c r="F5" s="11" t="s">
        <v>191</v>
      </c>
      <c r="G5" s="11" t="s">
        <v>192</v>
      </c>
    </row>
    <row r="6" spans="1:10" ht="15" customHeight="1">
      <c r="B6" s="10" t="s">
        <v>717</v>
      </c>
      <c r="C6" s="44">
        <f>SUMIFS('Seat Ledger'!$N$5:$N$287,'Seat Ledger'!$B$5:$B$287,1)</f>
        <v>148.4250000000001</v>
      </c>
      <c r="D6" s="44">
        <f>SUMIFS('Seat Ledger'!$N$5:$N$287,'Seat Ledger'!$B$5:$B$287,2)</f>
        <v>109.36000000000004</v>
      </c>
      <c r="E6" s="44">
        <f>SUMIFS('Seat Ledger'!$N$5:$N$287,'Seat Ledger'!$B$5:$B$287,3)</f>
        <v>86.735000000000014</v>
      </c>
      <c r="F6" s="44">
        <f>SUMIFS('Seat Ledger'!$N$5:$N$287,'Seat Ledger'!$B$5:$B$287,4)</f>
        <v>66.199999999999989</v>
      </c>
      <c r="G6" s="44">
        <f>SUMIFS('Seat Ledger'!$N$5:$N$287,'Seat Ledger'!$B$5:$B$287,5)</f>
        <v>57.615000000000002</v>
      </c>
    </row>
    <row r="7" spans="1:10" ht="15" customHeight="1">
      <c r="B7" s="10" t="s">
        <v>718</v>
      </c>
      <c r="C7" s="16">
        <f>'Team Build-Up'!C9</f>
        <v>121.5</v>
      </c>
      <c r="D7" s="16">
        <f>'Team Build-Up'!D9</f>
        <v>93.5</v>
      </c>
      <c r="E7" s="16">
        <f>'Team Build-Up'!E9</f>
        <v>76</v>
      </c>
      <c r="F7" s="16">
        <f>'Team Build-Up'!F9</f>
        <v>65.5</v>
      </c>
      <c r="G7" s="16">
        <f>'Team Build-Up'!G9</f>
        <v>59.5</v>
      </c>
    </row>
    <row r="8" spans="1:10" ht="15" customHeight="1">
      <c r="B8" s="10" t="s">
        <v>719</v>
      </c>
      <c r="C8" s="54">
        <f>IF(C7=0,0,C6/C7)</f>
        <v>1.2216049382716057</v>
      </c>
      <c r="D8" s="54">
        <f>IF(D7=0,0,D6/D7)</f>
        <v>1.1696256684491984</v>
      </c>
      <c r="E8" s="54">
        <f>IF(E7=0,0,E6/E7)</f>
        <v>1.1412500000000001</v>
      </c>
      <c r="F8" s="54">
        <f>IF(F7=0,0,F6/F7)</f>
        <v>1.0106870229007632</v>
      </c>
      <c r="G8" s="54">
        <f>IF(G7=0,0,G6/G7)</f>
        <v>0.96831932773109242</v>
      </c>
    </row>
    <row r="9" spans="1:10" ht="15" customHeight="1">
      <c r="B9" s="10" t="s">
        <v>720</v>
      </c>
      <c r="C9" s="56">
        <f>IF('Glidepath &amp; 50-50'!$C$7=0,0,C6/'Glidepath &amp; 50-50'!$C$7)</f>
        <v>1.2208663894681004</v>
      </c>
      <c r="D9" s="56">
        <f>IF('Glidepath &amp; 50-50'!$C$7=0,0,D6/'Glidepath &amp; 50-50'!$C$7)</f>
        <v>0.89953813947940997</v>
      </c>
      <c r="E9" s="56">
        <f>IF('Glidepath &amp; 50-50'!$C$7=0,0,E6/'Glidepath &amp; 50-50'!$C$7)</f>
        <v>0.71343672757632226</v>
      </c>
      <c r="F9" s="56">
        <f>IF('Glidepath &amp; 50-50'!$C$7=0,0,F6/'Glidepath &amp; 50-50'!$C$7)</f>
        <v>0.54452656212085682</v>
      </c>
      <c r="G9" s="56">
        <f>IF('Glidepath &amp; 50-50'!$C$7=0,0,G6/'Glidepath &amp; 50-50'!$C$7)</f>
        <v>0.47391084405729872</v>
      </c>
    </row>
    <row r="10" spans="1:10" ht="15" customHeight="1">
      <c r="B10" s="22" t="s">
        <v>721</v>
      </c>
      <c r="C10" s="26">
        <f>IF($C$9=0,0,1-C9/$C$9)</f>
        <v>0</v>
      </c>
      <c r="D10" s="26">
        <f>IF($C$9=0,0,1-D9/$C$9)</f>
        <v>0.26319690079164582</v>
      </c>
      <c r="E10" s="26">
        <f>IF($C$9=0,0,1-E9/$C$9)</f>
        <v>0.41563078996126024</v>
      </c>
      <c r="F10" s="26">
        <f>IF($C$9=0,0,1-F9/$C$9)</f>
        <v>0.55398349334680863</v>
      </c>
      <c r="G10" s="26">
        <f>IF($C$9=0,0,1-G9/$C$9)</f>
        <v>0.61182415361293607</v>
      </c>
    </row>
    <row r="12" spans="1:10" ht="15" customHeight="1">
      <c r="A12" s="6" t="s">
        <v>722</v>
      </c>
      <c r="B12" s="6"/>
      <c r="C12" s="6"/>
      <c r="D12" s="6"/>
      <c r="E12" s="6"/>
      <c r="F12" s="6"/>
      <c r="G12" s="6"/>
      <c r="H12" s="6"/>
      <c r="I12" s="6"/>
    </row>
    <row r="13" spans="1:10" ht="15" customHeight="1">
      <c r="B13" s="11" t="s">
        <v>214</v>
      </c>
      <c r="C13" s="11" t="s">
        <v>188</v>
      </c>
      <c r="D13" s="11" t="s">
        <v>189</v>
      </c>
      <c r="E13" s="11" t="s">
        <v>190</v>
      </c>
      <c r="F13" s="11" t="s">
        <v>191</v>
      </c>
      <c r="G13" s="11" t="s">
        <v>192</v>
      </c>
    </row>
    <row r="14" spans="1:10" ht="15" customHeight="1">
      <c r="B14" s="10" t="s">
        <v>723</v>
      </c>
      <c r="C14" s="16">
        <f>'Team Build-Up'!C45</f>
        <v>85</v>
      </c>
      <c r="D14" s="16">
        <f>'Team Build-Up'!D45</f>
        <v>64.000000000000028</v>
      </c>
      <c r="E14" s="16">
        <f>'Team Build-Up'!E45</f>
        <v>51</v>
      </c>
      <c r="F14" s="16">
        <f>'Team Build-Up'!F45</f>
        <v>34.5</v>
      </c>
      <c r="G14" s="16">
        <f>'Team Build-Up'!G45</f>
        <v>30</v>
      </c>
    </row>
    <row r="15" spans="1:10" ht="15" customHeight="1">
      <c r="B15" s="10" t="s">
        <v>724</v>
      </c>
      <c r="C15" s="44">
        <f>SUMIFS('Seat Ledger'!$N$5:$N$287,'Seat Ledger'!$B$5:$B$287,1,'Seat Ledger'!$J$5:$J$287,"FTC")</f>
        <v>114.02499999999998</v>
      </c>
      <c r="D15" s="44">
        <f>SUMIFS('Seat Ledger'!$N$5:$N$287,'Seat Ledger'!$B$5:$B$287,2,'Seat Ledger'!$J$5:$J$287,"FTC")</f>
        <v>81.775000000000048</v>
      </c>
      <c r="E15" s="44">
        <f>SUMIFS('Seat Ledger'!$N$5:$N$287,'Seat Ledger'!$B$5:$B$287,3,'Seat Ledger'!$J$5:$J$287,"FTC")</f>
        <v>62.354999999999997</v>
      </c>
      <c r="F15" s="44">
        <f>SUMIFS('Seat Ledger'!$N$5:$N$287,'Seat Ledger'!$B$5:$B$287,4,'Seat Ledger'!$J$5:$J$287,"FTC")</f>
        <v>32.690000000000005</v>
      </c>
      <c r="G15" s="44">
        <f>SUMIFS('Seat Ledger'!$N$5:$N$287,'Seat Ledger'!$B$5:$B$287,5,'Seat Ledger'!$J$5:$J$287,"FTC")</f>
        <v>24.725000000000005</v>
      </c>
    </row>
    <row r="16" spans="1:10" ht="15" customHeight="1">
      <c r="B16" s="22" t="s">
        <v>725</v>
      </c>
      <c r="C16" s="26">
        <f>IF($C$15=0,0,C15/$C$15-1)</f>
        <v>0</v>
      </c>
      <c r="D16" s="26">
        <f>IF($C$15=0,0,D15/$C$15-1)</f>
        <v>-0.28283271212453354</v>
      </c>
      <c r="E16" s="26">
        <f>IF($C$15=0,0,E15/$C$15-1)</f>
        <v>-0.45314623985967983</v>
      </c>
      <c r="F16" s="26">
        <f>IF($C$15=0,0,F15/$C$15-1)</f>
        <v>-0.71330848498136357</v>
      </c>
      <c r="G16" s="26">
        <f>IF($C$15=0,0,G15/$C$15-1)</f>
        <v>-0.78316158737119046</v>
      </c>
    </row>
    <row r="18" spans="1:9" ht="15" customHeight="1">
      <c r="A18" s="6" t="s">
        <v>726</v>
      </c>
      <c r="B18" s="6"/>
      <c r="C18" s="6"/>
      <c r="D18" s="6"/>
      <c r="E18" s="6"/>
      <c r="F18" s="6"/>
      <c r="G18" s="6"/>
      <c r="H18" s="6"/>
      <c r="I18" s="6"/>
    </row>
    <row r="19" spans="1:9" ht="15" customHeight="1">
      <c r="B19" s="11" t="s">
        <v>727</v>
      </c>
      <c r="C19" s="11" t="s">
        <v>188</v>
      </c>
      <c r="D19" s="11" t="s">
        <v>189</v>
      </c>
      <c r="E19" s="11" t="s">
        <v>190</v>
      </c>
      <c r="F19" s="11" t="s">
        <v>191</v>
      </c>
      <c r="G19" s="11" t="s">
        <v>192</v>
      </c>
    </row>
    <row r="20" spans="1:9" ht="15" customHeight="1">
      <c r="B20" s="10" t="s">
        <v>728</v>
      </c>
      <c r="C20" s="44">
        <f>SUMIFS('Seat Ledger'!$N$5:$N$287,'Seat Ledger'!$B$5:$B$287,1,'Seat Ledger'!$I$5:$I$287,"ON")</f>
        <v>129.97499999999999</v>
      </c>
      <c r="D20" s="44">
        <f>SUMIFS('Seat Ledger'!$N$5:$N$287,'Seat Ledger'!$B$5:$B$287,2,'Seat Ledger'!$I$5:$I$287,"ON")</f>
        <v>93.20000000000006</v>
      </c>
      <c r="E20" s="44">
        <f>SUMIFS('Seat Ledger'!$N$5:$N$287,'Seat Ledger'!$B$5:$B$287,3,'Seat Ledger'!$I$5:$I$287,"ON")</f>
        <v>72.075000000000017</v>
      </c>
      <c r="F20" s="44">
        <f>SUMIFS('Seat Ledger'!$N$5:$N$287,'Seat Ledger'!$B$5:$B$287,4,'Seat Ledger'!$I$5:$I$287,"ON")</f>
        <v>52.899999999999991</v>
      </c>
      <c r="G20" s="44">
        <f>SUMIFS('Seat Ledger'!$N$5:$N$287,'Seat Ledger'!$B$5:$B$287,5,'Seat Ledger'!$I$5:$I$287,"ON")</f>
        <v>43.024999999999991</v>
      </c>
    </row>
    <row r="21" spans="1:9" ht="15" customHeight="1">
      <c r="B21" s="10" t="s">
        <v>729</v>
      </c>
      <c r="C21" s="44">
        <f>SUMIFS('Seat Ledger'!$N$5:$N$287,'Seat Ledger'!$B$5:$B$287,1,'Seat Ledger'!$I$5:$I$287,"OFF")</f>
        <v>10.800000000000004</v>
      </c>
      <c r="D21" s="44">
        <f>SUMIFS('Seat Ledger'!$N$5:$N$287,'Seat Ledger'!$B$5:$B$287,2,'Seat Ledger'!$I$5:$I$287,"OFF")</f>
        <v>13.349999999999996</v>
      </c>
      <c r="E21" s="44">
        <f>SUMIFS('Seat Ledger'!$N$5:$N$287,'Seat Ledger'!$B$5:$B$287,3,'Seat Ledger'!$I$5:$I$287,"OFF")</f>
        <v>14.040000000000001</v>
      </c>
      <c r="F21" s="44">
        <f>SUMIFS('Seat Ledger'!$N$5:$N$287,'Seat Ledger'!$B$5:$B$287,4,'Seat Ledger'!$I$5:$I$287,"OFF")</f>
        <v>12.99</v>
      </c>
      <c r="G21" s="44">
        <f>SUMIFS('Seat Ledger'!$N$5:$N$287,'Seat Ledger'!$B$5:$B$287,5,'Seat Ledger'!$I$5:$I$287,"OFF")</f>
        <v>14.280000000000006</v>
      </c>
    </row>
    <row r="22" spans="1:9" ht="15" customHeight="1">
      <c r="B22" s="10" t="s">
        <v>730</v>
      </c>
      <c r="C22" s="44">
        <f>SUMIFS('Seat Ledger'!$N$5:$N$287,'Seat Ledger'!$B$5:$B$287,1,'Seat Ledger'!$I$5:$I$287,"NEAR")</f>
        <v>7.65</v>
      </c>
      <c r="D22" s="44">
        <f>SUMIFS('Seat Ledger'!$N$5:$N$287,'Seat Ledger'!$B$5:$B$287,2,'Seat Ledger'!$I$5:$I$287,"NEAR")</f>
        <v>2.81</v>
      </c>
      <c r="E22" s="44">
        <f>SUMIFS('Seat Ledger'!$N$5:$N$287,'Seat Ledger'!$B$5:$B$287,3,'Seat Ledger'!$I$5:$I$287,"NEAR")</f>
        <v>0.62</v>
      </c>
      <c r="F22" s="44">
        <f>SUMIFS('Seat Ledger'!$N$5:$N$287,'Seat Ledger'!$B$5:$B$287,4,'Seat Ledger'!$I$5:$I$287,"NEAR")</f>
        <v>0.31</v>
      </c>
      <c r="G22" s="44">
        <f>SUMIFS('Seat Ledger'!$N$5:$N$287,'Seat Ledger'!$B$5:$B$287,5,'Seat Ledger'!$I$5:$I$287,"NEAR")</f>
        <v>0.31</v>
      </c>
    </row>
    <row r="23" spans="1:9" ht="15" customHeight="1">
      <c r="B23" s="22" t="s">
        <v>731</v>
      </c>
      <c r="C23" s="26">
        <f>IF(SUM(C20:C22)=0,0,C20/SUM(C20:C22))</f>
        <v>0.87569479535118733</v>
      </c>
      <c r="D23" s="26">
        <f>IF(SUM(D20:D22)=0,0,D20/SUM(D20:D22))</f>
        <v>0.85223116313094383</v>
      </c>
      <c r="E23" s="26">
        <f>IF(SUM(E20:E22)=0,0,E20/SUM(E20:E22))</f>
        <v>0.83097942007263492</v>
      </c>
      <c r="F23" s="26">
        <f>IF(SUM(F20:F22)=0,0,F20/SUM(F20:F22))</f>
        <v>0.79909365558912393</v>
      </c>
      <c r="G23" s="26">
        <f>IF(SUM(G20:G22)=0,0,G20/SUM(G20:G22))</f>
        <v>0.74676733489542635</v>
      </c>
    </row>
    <row r="25" spans="1:9" ht="15" customHeight="1">
      <c r="B25" s="10" t="s">
        <v>732</v>
      </c>
      <c r="C25" s="44">
        <f>SUMIFS('Seat Ledger'!$N$5:$N$287,'Seat Ledger'!$B$5:$B$287,1,'Seat Ledger'!$G$5:$G$287,"BSA")</f>
        <v>16.21</v>
      </c>
      <c r="D25" s="44">
        <f>SUMIFS('Seat Ledger'!$N$5:$N$287,'Seat Ledger'!$B$5:$B$287,2,'Seat Ledger'!$G$5:$G$287,"BSA")</f>
        <v>19.260000000000009</v>
      </c>
      <c r="E25" s="44">
        <f>SUMIFS('Seat Ledger'!$N$5:$N$287,'Seat Ledger'!$B$5:$B$287,3,'Seat Ledger'!$G$5:$G$287,"BSA")</f>
        <v>19.045000000000012</v>
      </c>
      <c r="F25" s="44">
        <f>SUMIFS('Seat Ledger'!$N$5:$N$287,'Seat Ledger'!$B$5:$B$287,4,'Seat Ledger'!$G$5:$G$287,"BSA")</f>
        <v>16.459999999999997</v>
      </c>
      <c r="G25" s="44">
        <f>SUMIFS('Seat Ledger'!$N$5:$N$287,'Seat Ledger'!$B$5:$B$287,5,'Seat Ledger'!$G$5:$G$287,"BSA")</f>
        <v>10.31</v>
      </c>
    </row>
    <row r="26" spans="1:9" ht="15" customHeight="1">
      <c r="B26" s="10" t="s">
        <v>733</v>
      </c>
      <c r="C26" s="44">
        <f>SUMIFS('Seat Ledger'!$N$5:$N$287,'Seat Ledger'!$B$5:$B$287,1,'Seat Ledger'!$G$5:$G$287,"DEV")</f>
        <v>86.920000000000016</v>
      </c>
      <c r="D26" s="44">
        <f>SUMIFS('Seat Ledger'!$N$5:$N$287,'Seat Ledger'!$B$5:$B$287,2,'Seat Ledger'!$G$5:$G$287,"DEV")</f>
        <v>40.585000000000036</v>
      </c>
      <c r="E26" s="44">
        <f>SUMIFS('Seat Ledger'!$N$5:$N$287,'Seat Ledger'!$B$5:$B$287,3,'Seat Ledger'!$G$5:$G$287,"DEV")</f>
        <v>26.55</v>
      </c>
      <c r="F26" s="44">
        <f>SUMIFS('Seat Ledger'!$N$5:$N$287,'Seat Ledger'!$B$5:$B$287,4,'Seat Ledger'!$G$5:$G$287,"DEV")</f>
        <v>17.350000000000009</v>
      </c>
      <c r="G26" s="44">
        <f>SUMIFS('Seat Ledger'!$N$5:$N$287,'Seat Ledger'!$B$5:$B$287,5,'Seat Ledger'!$G$5:$G$287,"DEV")</f>
        <v>16.795000000000002</v>
      </c>
    </row>
    <row r="27" spans="1:9" ht="15" customHeight="1">
      <c r="B27" s="10" t="s">
        <v>734</v>
      </c>
      <c r="C27" s="44">
        <f>SUMIFS('Seat Ledger'!$N$5:$N$287,'Seat Ledger'!$B$5:$B$287,1,'Seat Ledger'!$G$5:$G$287,"TEST")</f>
        <v>10.515000000000004</v>
      </c>
      <c r="D27" s="44">
        <f>SUMIFS('Seat Ledger'!$N$5:$N$287,'Seat Ledger'!$B$5:$B$287,2,'Seat Ledger'!$G$5:$G$287,"TEST")</f>
        <v>9.8650000000000002</v>
      </c>
      <c r="E27" s="44">
        <f>SUMIFS('Seat Ledger'!$N$5:$N$287,'Seat Ledger'!$B$5:$B$287,3,'Seat Ledger'!$G$5:$G$287,"TEST")</f>
        <v>3.77</v>
      </c>
      <c r="F27" s="44">
        <f>SUMIFS('Seat Ledger'!$N$5:$N$287,'Seat Ledger'!$B$5:$B$287,4,'Seat Ledger'!$G$5:$G$287,"TEST")</f>
        <v>5.0349999999999993</v>
      </c>
      <c r="G27" s="44">
        <f>SUMIFS('Seat Ledger'!$N$5:$N$287,'Seat Ledger'!$B$5:$B$287,5,'Seat Ledger'!$G$5:$G$287,"TEST")</f>
        <v>4.1049999999999995</v>
      </c>
    </row>
    <row r="28" spans="1:9" ht="15" customHeight="1">
      <c r="B28" s="10" t="s">
        <v>735</v>
      </c>
      <c r="C28" s="44">
        <f>SUMIFS('Seat Ledger'!$N$5:$N$287,'Seat Ledger'!$B$5:$B$287,1,'Seat Ledger'!$G$5:$G$287,"MNT")</f>
        <v>9.1350000000000016</v>
      </c>
      <c r="D28" s="44">
        <f>SUMIFS('Seat Ledger'!$N$5:$N$287,'Seat Ledger'!$B$5:$B$287,2,'Seat Ledger'!$G$5:$G$287,"MNT")</f>
        <v>6.86</v>
      </c>
      <c r="E28" s="44">
        <f>SUMIFS('Seat Ledger'!$N$5:$N$287,'Seat Ledger'!$B$5:$B$287,3,'Seat Ledger'!$G$5:$G$287,"MNT")</f>
        <v>2.9699999999999998</v>
      </c>
      <c r="F28" s="44">
        <f>SUMIFS('Seat Ledger'!$N$5:$N$287,'Seat Ledger'!$B$5:$B$287,4,'Seat Ledger'!$G$5:$G$287,"MNT")</f>
        <v>5.76</v>
      </c>
      <c r="G28" s="44">
        <f>SUMIFS('Seat Ledger'!$N$5:$N$287,'Seat Ledger'!$B$5:$B$287,5,'Seat Ledger'!$G$5:$G$287,"MNT")</f>
        <v>7.3600000000000012</v>
      </c>
    </row>
    <row r="29" spans="1:9" ht="15" customHeight="1">
      <c r="B29" s="10" t="s">
        <v>736</v>
      </c>
      <c r="C29" s="44">
        <f>SUMIFS('Seat Ledger'!$N$5:$N$287,'Seat Ledger'!$B$5:$B$287,1,'Seat Ledger'!$G$5:$G$287,"PM")</f>
        <v>19.200000000000003</v>
      </c>
      <c r="D29" s="44">
        <f>SUMIFS('Seat Ledger'!$N$5:$N$287,'Seat Ledger'!$B$5:$B$287,2,'Seat Ledger'!$G$5:$G$287,"PM")</f>
        <v>12.374999999999995</v>
      </c>
      <c r="E29" s="44">
        <f>SUMIFS('Seat Ledger'!$N$5:$N$287,'Seat Ledger'!$B$5:$B$287,3,'Seat Ledger'!$G$5:$G$287,"PM")</f>
        <v>13.300000000000002</v>
      </c>
      <c r="F29" s="44">
        <f>SUMIFS('Seat Ledger'!$N$5:$N$287,'Seat Ledger'!$B$5:$B$287,4,'Seat Ledger'!$G$5:$G$287,"PM")</f>
        <v>15.15</v>
      </c>
      <c r="G29" s="44">
        <f>SUMIFS('Seat Ledger'!$N$5:$N$287,'Seat Ledger'!$B$5:$B$287,5,'Seat Ledger'!$G$5:$G$287,"PM")</f>
        <v>15.150000000000002</v>
      </c>
    </row>
    <row r="30" spans="1:9" ht="15" customHeight="1">
      <c r="B30" s="10" t="s">
        <v>737</v>
      </c>
      <c r="C30" s="44">
        <f>SUMIFS('Seat Ledger'!$N$5:$N$287,'Seat Ledger'!$B$5:$B$287,1,'Seat Ledger'!$G$5:$G$287,"OTH")</f>
        <v>6.4450000000000003</v>
      </c>
      <c r="D30" s="44">
        <f>SUMIFS('Seat Ledger'!$N$5:$N$287,'Seat Ledger'!$B$5:$B$287,2,'Seat Ledger'!$G$5:$G$287,"OTH")</f>
        <v>20.414999999999996</v>
      </c>
      <c r="E30" s="44">
        <f>SUMIFS('Seat Ledger'!$N$5:$N$287,'Seat Ledger'!$B$5:$B$287,3,'Seat Ledger'!$G$5:$G$287,"OTH")</f>
        <v>21.100000000000005</v>
      </c>
      <c r="F30" s="44">
        <f>SUMIFS('Seat Ledger'!$N$5:$N$287,'Seat Ledger'!$B$5:$B$287,4,'Seat Ledger'!$G$5:$G$287,"OTH")</f>
        <v>6.4450000000000074</v>
      </c>
      <c r="G30" s="44">
        <f>SUMIFS('Seat Ledger'!$N$5:$N$287,'Seat Ledger'!$B$5:$B$287,5,'Seat Ledger'!$G$5:$G$287,"OTH")</f>
        <v>3.8949999999999996</v>
      </c>
    </row>
    <row r="32" spans="1:9" ht="15" customHeight="1">
      <c r="B32" s="4" t="s">
        <v>738</v>
      </c>
      <c r="C32" s="4"/>
      <c r="D32" s="4"/>
      <c r="E32" s="4"/>
      <c r="F32" s="4"/>
      <c r="G32" s="4"/>
      <c r="H32" s="4"/>
      <c r="I32" s="4"/>
    </row>
  </sheetData>
  <mergeCells count="6">
    <mergeCell ref="B32:I32"/>
    <mergeCell ref="A1:J1"/>
    <mergeCell ref="A2:J2"/>
    <mergeCell ref="A4:I4"/>
    <mergeCell ref="A12:I12"/>
    <mergeCell ref="A18:I18"/>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87"/>
  <sheetViews>
    <sheetView zoomScaleNormal="100" workbookViewId="0">
      <pane xSplit="1" ySplit="4" topLeftCell="B5" activePane="bottomRight" state="frozen"/>
      <selection pane="topRight" activeCell="B1" sqref="B1"/>
      <selection pane="bottomLeft" activeCell="A5" sqref="A5"/>
      <selection pane="bottomRight" sqref="A1:N1"/>
    </sheetView>
  </sheetViews>
  <sheetFormatPr defaultColWidth="8.6328125" defaultRowHeight="14.5"/>
  <cols>
    <col min="1" max="1" width="2.453125" customWidth="1"/>
    <col min="2" max="2" width="6" customWidth="1"/>
    <col min="3" max="3" width="8" customWidth="1"/>
    <col min="4" max="4" width="7" customWidth="1"/>
    <col min="5" max="5" width="8" customWidth="1"/>
    <col min="6" max="6" width="34" customWidth="1"/>
    <col min="7" max="9" width="7" customWidth="1"/>
    <col min="10" max="10" width="9" customWidth="1"/>
    <col min="11" max="11" width="10" customWidth="1"/>
    <col min="12" max="12" width="8" customWidth="1"/>
    <col min="13" max="13" width="10" customWidth="1"/>
    <col min="14" max="14" width="11" customWidth="1"/>
  </cols>
  <sheetData>
    <row r="1" spans="1:14" ht="25.5" customHeight="1">
      <c r="A1" s="8" t="s">
        <v>739</v>
      </c>
      <c r="B1" s="8"/>
      <c r="C1" s="8"/>
      <c r="D1" s="8"/>
      <c r="E1" s="8"/>
      <c r="F1" s="8"/>
      <c r="G1" s="8"/>
      <c r="H1" s="8"/>
      <c r="I1" s="8"/>
      <c r="J1" s="8"/>
      <c r="K1" s="8"/>
      <c r="L1" s="8"/>
      <c r="M1" s="8"/>
      <c r="N1" s="8"/>
    </row>
    <row r="2" spans="1:14" ht="15" customHeight="1">
      <c r="A2" s="7" t="s">
        <v>740</v>
      </c>
      <c r="B2" s="7"/>
      <c r="C2" s="7"/>
      <c r="D2" s="7"/>
      <c r="E2" s="7"/>
      <c r="F2" s="7"/>
      <c r="G2" s="7"/>
      <c r="H2" s="7"/>
      <c r="I2" s="7"/>
      <c r="J2" s="7"/>
      <c r="K2" s="7"/>
      <c r="L2" s="7"/>
      <c r="M2" s="7"/>
      <c r="N2" s="7"/>
    </row>
    <row r="4" spans="1:14" ht="15" customHeight="1">
      <c r="B4" s="11" t="s">
        <v>443</v>
      </c>
      <c r="C4" s="11" t="s">
        <v>741</v>
      </c>
      <c r="D4" s="11" t="s">
        <v>444</v>
      </c>
      <c r="E4" s="11" t="s">
        <v>742</v>
      </c>
      <c r="F4" s="11" t="s">
        <v>446</v>
      </c>
      <c r="G4" s="11" t="s">
        <v>447</v>
      </c>
      <c r="H4" s="11" t="s">
        <v>448</v>
      </c>
      <c r="I4" s="11" t="s">
        <v>449</v>
      </c>
      <c r="J4" s="11" t="s">
        <v>450</v>
      </c>
      <c r="K4" s="11" t="s">
        <v>743</v>
      </c>
      <c r="L4" s="11" t="s">
        <v>490</v>
      </c>
      <c r="M4" s="11" t="s">
        <v>744</v>
      </c>
      <c r="N4" s="11" t="s">
        <v>745</v>
      </c>
    </row>
    <row r="5" spans="1:14" ht="15" customHeight="1">
      <c r="B5" s="27">
        <v>1</v>
      </c>
      <c r="C5" s="18" t="s">
        <v>453</v>
      </c>
      <c r="D5" s="43" t="s">
        <v>340</v>
      </c>
      <c r="E5" s="43" t="s">
        <v>453</v>
      </c>
      <c r="F5" s="57" t="str">
        <f>'Pod Library'!E5</f>
        <v>MetLife Claims Product Owner</v>
      </c>
      <c r="G5" s="51" t="str">
        <f>'Pod Library'!F5</f>
        <v>PM</v>
      </c>
      <c r="H5" s="51" t="str">
        <f>'Pod Library'!G5</f>
        <v>E4</v>
      </c>
      <c r="I5" s="51" t="str">
        <f>'Pod Library'!H5</f>
        <v>ON</v>
      </c>
      <c r="J5" s="51" t="str">
        <f>'Pod Library'!I5</f>
        <v>FTE</v>
      </c>
      <c r="K5" s="16">
        <f>'Pod Library'!J5</f>
        <v>0.25</v>
      </c>
      <c r="L5" s="21">
        <f>'Pod Plan'!E5</f>
        <v>2</v>
      </c>
      <c r="M5" s="54">
        <f t="shared" ref="M5:M68" si="0">K5*L5</f>
        <v>0.5</v>
      </c>
      <c r="N5" s="54">
        <f>M5*INDEX('Logic Tree'!$J$85:$N$87,MATCH(I5,'Logic Tree'!$I$85:$I$87,0),MATCH(H5,'Logic Tree'!$J$84:$N$84,0))</f>
        <v>0.92500000000000004</v>
      </c>
    </row>
    <row r="6" spans="1:14" ht="15" customHeight="1">
      <c r="B6" s="27">
        <v>1</v>
      </c>
      <c r="C6" s="18" t="s">
        <v>453</v>
      </c>
      <c r="D6" s="43" t="s">
        <v>340</v>
      </c>
      <c r="E6" s="43" t="s">
        <v>453</v>
      </c>
      <c r="F6" s="57" t="str">
        <f>'Pod Library'!E6</f>
        <v>MetLife Claims SME</v>
      </c>
      <c r="G6" s="51" t="str">
        <f>'Pod Library'!F6</f>
        <v>BSA</v>
      </c>
      <c r="H6" s="51" t="str">
        <f>'Pod Library'!G6</f>
        <v>E4</v>
      </c>
      <c r="I6" s="51" t="str">
        <f>'Pod Library'!H6</f>
        <v>ON</v>
      </c>
      <c r="J6" s="51" t="str">
        <f>'Pod Library'!I6</f>
        <v>FTE</v>
      </c>
      <c r="K6" s="16">
        <f>'Pod Library'!J6</f>
        <v>0.25</v>
      </c>
      <c r="L6" s="21">
        <f>'Pod Plan'!E5</f>
        <v>2</v>
      </c>
      <c r="M6" s="54">
        <f t="shared" si="0"/>
        <v>0.5</v>
      </c>
      <c r="N6" s="54">
        <f>M6*INDEX('Logic Tree'!$J$85:$N$87,MATCH(I6,'Logic Tree'!$I$85:$I$87,0),MATCH(H6,'Logic Tree'!$J$84:$N$84,0))</f>
        <v>0.92500000000000004</v>
      </c>
    </row>
    <row r="7" spans="1:14" ht="15" customHeight="1">
      <c r="B7" s="27">
        <v>1</v>
      </c>
      <c r="C7" s="18" t="s">
        <v>453</v>
      </c>
      <c r="D7" s="43" t="s">
        <v>340</v>
      </c>
      <c r="E7" s="43" t="s">
        <v>453</v>
      </c>
      <c r="F7" s="57" t="str">
        <f>'Pod Library'!E7</f>
        <v>Business Analyst (bilingual)</v>
      </c>
      <c r="G7" s="51" t="str">
        <f>'Pod Library'!F7</f>
        <v>BSA</v>
      </c>
      <c r="H7" s="51" t="str">
        <f>'Pod Library'!G7</f>
        <v>E3</v>
      </c>
      <c r="I7" s="51" t="str">
        <f>'Pod Library'!H7</f>
        <v>ON</v>
      </c>
      <c r="J7" s="51" t="str">
        <f>'Pod Library'!I7</f>
        <v>FTC</v>
      </c>
      <c r="K7" s="16">
        <f>'Pod Library'!J7</f>
        <v>0.375</v>
      </c>
      <c r="L7" s="21">
        <f>'Pod Plan'!E5</f>
        <v>2</v>
      </c>
      <c r="M7" s="54">
        <f t="shared" si="0"/>
        <v>0.75</v>
      </c>
      <c r="N7" s="54">
        <f>M7*INDEX('Logic Tree'!$J$85:$N$87,MATCH(I7,'Logic Tree'!$I$85:$I$87,0),MATCH(H7,'Logic Tree'!$J$84:$N$84,0))</f>
        <v>1.0125000000000002</v>
      </c>
    </row>
    <row r="8" spans="1:14" ht="15" customHeight="1">
      <c r="B8" s="27">
        <v>1</v>
      </c>
      <c r="C8" s="18" t="s">
        <v>453</v>
      </c>
      <c r="D8" s="43" t="s">
        <v>340</v>
      </c>
      <c r="E8" s="43" t="s">
        <v>453</v>
      </c>
      <c r="F8" s="57" t="str">
        <f>'Pod Library'!E8</f>
        <v>Pod lead / senior engineer</v>
      </c>
      <c r="G8" s="51" t="str">
        <f>'Pod Library'!F8</f>
        <v>DEV</v>
      </c>
      <c r="H8" s="51" t="str">
        <f>'Pod Library'!G8</f>
        <v>E4</v>
      </c>
      <c r="I8" s="51" t="str">
        <f>'Pod Library'!H8</f>
        <v>ON</v>
      </c>
      <c r="J8" s="51" t="str">
        <f>'Pod Library'!I8</f>
        <v>FTC</v>
      </c>
      <c r="K8" s="16">
        <f>'Pod Library'!J8</f>
        <v>2.375</v>
      </c>
      <c r="L8" s="21">
        <f>'Pod Plan'!E5</f>
        <v>2</v>
      </c>
      <c r="M8" s="54">
        <f t="shared" si="0"/>
        <v>4.75</v>
      </c>
      <c r="N8" s="54">
        <f>M8*INDEX('Logic Tree'!$J$85:$N$87,MATCH(I8,'Logic Tree'!$I$85:$I$87,0),MATCH(H8,'Logic Tree'!$J$84:$N$84,0))</f>
        <v>8.7874999999999996</v>
      </c>
    </row>
    <row r="9" spans="1:14" ht="15" customHeight="1">
      <c r="B9" s="27">
        <v>1</v>
      </c>
      <c r="C9" s="18" t="s">
        <v>453</v>
      </c>
      <c r="D9" s="43" t="s">
        <v>340</v>
      </c>
      <c r="E9" s="43" t="s">
        <v>453</v>
      </c>
      <c r="F9" s="57" t="str">
        <f>'Pod Library'!E9</f>
        <v>Claims Engineer</v>
      </c>
      <c r="G9" s="51" t="str">
        <f>'Pod Library'!F9</f>
        <v>DEV</v>
      </c>
      <c r="H9" s="51" t="str">
        <f>'Pod Library'!G9</f>
        <v>E3</v>
      </c>
      <c r="I9" s="51" t="str">
        <f>'Pod Library'!H9</f>
        <v>OFF</v>
      </c>
      <c r="J9" s="51" t="str">
        <f>'Pod Library'!I9</f>
        <v>FTC</v>
      </c>
      <c r="K9" s="16">
        <f>'Pod Library'!J9</f>
        <v>0</v>
      </c>
      <c r="L9" s="21">
        <f>'Pod Plan'!E5</f>
        <v>2</v>
      </c>
      <c r="M9" s="54">
        <f t="shared" si="0"/>
        <v>0</v>
      </c>
      <c r="N9" s="54">
        <f>M9*INDEX('Logic Tree'!$J$85:$N$87,MATCH(I9,'Logic Tree'!$I$85:$I$87,0),MATCH(H9,'Logic Tree'!$J$84:$N$84,0))</f>
        <v>0</v>
      </c>
    </row>
    <row r="10" spans="1:14" ht="15" customHeight="1">
      <c r="B10" s="27">
        <v>1</v>
      </c>
      <c r="C10" s="18" t="s">
        <v>453</v>
      </c>
      <c r="D10" s="43" t="s">
        <v>340</v>
      </c>
      <c r="E10" s="43" t="s">
        <v>453</v>
      </c>
      <c r="F10" s="57" t="str">
        <f>'Pod Library'!E10</f>
        <v>Claims Engineer</v>
      </c>
      <c r="G10" s="51" t="str">
        <f>'Pod Library'!F10</f>
        <v>DEV</v>
      </c>
      <c r="H10" s="51" t="str">
        <f>'Pod Library'!G10</f>
        <v>E2</v>
      </c>
      <c r="I10" s="51" t="str">
        <f>'Pod Library'!H10</f>
        <v>OFF</v>
      </c>
      <c r="J10" s="51" t="str">
        <f>'Pod Library'!I10</f>
        <v>FTC</v>
      </c>
      <c r="K10" s="16">
        <f>'Pod Library'!J10</f>
        <v>0.25</v>
      </c>
      <c r="L10" s="21">
        <f>'Pod Plan'!E5</f>
        <v>2</v>
      </c>
      <c r="M10" s="54">
        <f t="shared" si="0"/>
        <v>0.5</v>
      </c>
      <c r="N10" s="54">
        <f>M10*INDEX('Logic Tree'!$J$85:$N$87,MATCH(I10,'Logic Tree'!$I$85:$I$87,0),MATCH(H10,'Logic Tree'!$J$84:$N$84,0))</f>
        <v>0.15</v>
      </c>
    </row>
    <row r="11" spans="1:14" ht="15" customHeight="1">
      <c r="B11" s="27">
        <v>1</v>
      </c>
      <c r="C11" s="18" t="s">
        <v>453</v>
      </c>
      <c r="D11" s="43" t="s">
        <v>340</v>
      </c>
      <c r="E11" s="43" t="s">
        <v>453</v>
      </c>
      <c r="F11" s="57" t="str">
        <f>'Pod Library'!E11</f>
        <v>MGCC Payments Engineer</v>
      </c>
      <c r="G11" s="51" t="str">
        <f>'Pod Library'!F11</f>
        <v>DEV</v>
      </c>
      <c r="H11" s="51" t="str">
        <f>'Pod Library'!G11</f>
        <v>E3</v>
      </c>
      <c r="I11" s="51" t="str">
        <f>'Pod Library'!H11</f>
        <v>OFF</v>
      </c>
      <c r="J11" s="51" t="str">
        <f>'Pod Library'!I11</f>
        <v>MGCC</v>
      </c>
      <c r="K11" s="16">
        <f>'Pod Library'!J11</f>
        <v>1.375</v>
      </c>
      <c r="L11" s="21">
        <f>'Pod Plan'!E5</f>
        <v>2</v>
      </c>
      <c r="M11" s="54">
        <f t="shared" si="0"/>
        <v>2.75</v>
      </c>
      <c r="N11" s="54">
        <f>M11*INDEX('Logic Tree'!$J$85:$N$87,MATCH(I11,'Logic Tree'!$I$85:$I$87,0),MATCH(H11,'Logic Tree'!$J$84:$N$84,0))</f>
        <v>1.155</v>
      </c>
    </row>
    <row r="12" spans="1:14" ht="15" customHeight="1">
      <c r="B12" s="27">
        <v>1</v>
      </c>
      <c r="C12" s="18" t="s">
        <v>453</v>
      </c>
      <c r="D12" s="43" t="s">
        <v>340</v>
      </c>
      <c r="E12" s="43" t="s">
        <v>453</v>
      </c>
      <c r="F12" s="57" t="str">
        <f>'Pod Library'!E12</f>
        <v>SDET / Automation Engineer</v>
      </c>
      <c r="G12" s="51" t="str">
        <f>'Pod Library'!F12</f>
        <v>TEST</v>
      </c>
      <c r="H12" s="51" t="str">
        <f>'Pod Library'!G12</f>
        <v>E3</v>
      </c>
      <c r="I12" s="51" t="str">
        <f>'Pod Library'!H12</f>
        <v>OFF</v>
      </c>
      <c r="J12" s="51" t="str">
        <f>'Pod Library'!I12</f>
        <v>FTC</v>
      </c>
      <c r="K12" s="16">
        <f>'Pod Library'!J12</f>
        <v>0</v>
      </c>
      <c r="L12" s="21">
        <f>'Pod Plan'!E5</f>
        <v>2</v>
      </c>
      <c r="M12" s="54">
        <f t="shared" si="0"/>
        <v>0</v>
      </c>
      <c r="N12" s="54">
        <f>M12*INDEX('Logic Tree'!$J$85:$N$87,MATCH(I12,'Logic Tree'!$I$85:$I$87,0),MATCH(H12,'Logic Tree'!$J$84:$N$84,0))</f>
        <v>0</v>
      </c>
    </row>
    <row r="13" spans="1:14" ht="15" customHeight="1">
      <c r="B13" s="27">
        <v>1</v>
      </c>
      <c r="C13" s="18" t="s">
        <v>453</v>
      </c>
      <c r="D13" s="43" t="s">
        <v>340</v>
      </c>
      <c r="E13" s="43" t="s">
        <v>453</v>
      </c>
      <c r="F13" s="57" t="str">
        <f>'Pod Library'!E13</f>
        <v>MGCC Quality Engineer</v>
      </c>
      <c r="G13" s="51" t="str">
        <f>'Pod Library'!F13</f>
        <v>TEST</v>
      </c>
      <c r="H13" s="51" t="str">
        <f>'Pod Library'!G13</f>
        <v>E2</v>
      </c>
      <c r="I13" s="51" t="str">
        <f>'Pod Library'!H13</f>
        <v>OFF</v>
      </c>
      <c r="J13" s="51" t="str">
        <f>'Pod Library'!I13</f>
        <v>MGCC</v>
      </c>
      <c r="K13" s="16">
        <f>'Pod Library'!J13</f>
        <v>0.75</v>
      </c>
      <c r="L13" s="21">
        <f>'Pod Plan'!E5</f>
        <v>2</v>
      </c>
      <c r="M13" s="54">
        <f t="shared" si="0"/>
        <v>1.5</v>
      </c>
      <c r="N13" s="54">
        <f>M13*INDEX('Logic Tree'!$J$85:$N$87,MATCH(I13,'Logic Tree'!$I$85:$I$87,0),MATCH(H13,'Logic Tree'!$J$84:$N$84,0))</f>
        <v>0.44999999999999996</v>
      </c>
    </row>
    <row r="14" spans="1:14" ht="15" customHeight="1">
      <c r="B14" s="27">
        <v>1</v>
      </c>
      <c r="C14" s="18" t="s">
        <v>453</v>
      </c>
      <c r="D14" s="43" t="s">
        <v>340</v>
      </c>
      <c r="E14" s="43" t="s">
        <v>453</v>
      </c>
      <c r="F14" s="57" t="str">
        <f>'Pod Library'!E14</f>
        <v>Solution Architect</v>
      </c>
      <c r="G14" s="51" t="str">
        <f>'Pod Library'!F14</f>
        <v>OTH</v>
      </c>
      <c r="H14" s="51" t="str">
        <f>'Pod Library'!G14</f>
        <v>E5</v>
      </c>
      <c r="I14" s="51" t="str">
        <f>'Pod Library'!H14</f>
        <v>ON</v>
      </c>
      <c r="J14" s="51" t="str">
        <f>'Pod Library'!I14</f>
        <v>FTC</v>
      </c>
      <c r="K14" s="16">
        <f>'Pod Library'!J14</f>
        <v>0.375</v>
      </c>
      <c r="L14" s="21">
        <f>'Pod Plan'!E5</f>
        <v>2</v>
      </c>
      <c r="M14" s="54">
        <f t="shared" si="0"/>
        <v>0.75</v>
      </c>
      <c r="N14" s="54">
        <f>M14*INDEX('Logic Tree'!$J$85:$N$87,MATCH(I14,'Logic Tree'!$I$85:$I$87,0),MATCH(H14,'Logic Tree'!$J$84:$N$84,0))</f>
        <v>1.9124999999999999</v>
      </c>
    </row>
    <row r="15" spans="1:14" ht="15" customHeight="1">
      <c r="B15" s="27">
        <v>1</v>
      </c>
      <c r="C15" s="18" t="s">
        <v>469</v>
      </c>
      <c r="D15" s="43" t="s">
        <v>340</v>
      </c>
      <c r="E15" s="43" t="s">
        <v>469</v>
      </c>
      <c r="F15" s="57" t="str">
        <f>'Pod Library'!E17</f>
        <v>MetLife Claims Product Owner</v>
      </c>
      <c r="G15" s="51" t="str">
        <f>'Pod Library'!F17</f>
        <v>PM</v>
      </c>
      <c r="H15" s="51" t="str">
        <f>'Pod Library'!G17</f>
        <v>E4</v>
      </c>
      <c r="I15" s="51" t="str">
        <f>'Pod Library'!H17</f>
        <v>ON</v>
      </c>
      <c r="J15" s="51" t="str">
        <f>'Pod Library'!I17</f>
        <v>FTE</v>
      </c>
      <c r="K15" s="16">
        <f>'Pod Library'!J17</f>
        <v>0.7</v>
      </c>
      <c r="L15" s="21">
        <f>'Pod Plan'!F5</f>
        <v>3</v>
      </c>
      <c r="M15" s="54">
        <f t="shared" si="0"/>
        <v>2.0999999999999996</v>
      </c>
      <c r="N15" s="54">
        <f>M15*INDEX('Logic Tree'!$J$85:$N$87,MATCH(I15,'Logic Tree'!$I$85:$I$87,0),MATCH(H15,'Logic Tree'!$J$84:$N$84,0))</f>
        <v>3.8849999999999993</v>
      </c>
    </row>
    <row r="16" spans="1:14" ht="15" customHeight="1">
      <c r="B16" s="27">
        <v>1</v>
      </c>
      <c r="C16" s="18" t="s">
        <v>469</v>
      </c>
      <c r="D16" s="43" t="s">
        <v>340</v>
      </c>
      <c r="E16" s="43" t="s">
        <v>469</v>
      </c>
      <c r="F16" s="57" t="str">
        <f>'Pod Library'!E18</f>
        <v>MetLife Claims SME</v>
      </c>
      <c r="G16" s="51" t="str">
        <f>'Pod Library'!F18</f>
        <v>BSA</v>
      </c>
      <c r="H16" s="51" t="str">
        <f>'Pod Library'!G18</f>
        <v>E4</v>
      </c>
      <c r="I16" s="51" t="str">
        <f>'Pod Library'!H18</f>
        <v>ON</v>
      </c>
      <c r="J16" s="51" t="str">
        <f>'Pod Library'!I18</f>
        <v>FTE</v>
      </c>
      <c r="K16" s="16">
        <f>'Pod Library'!J18</f>
        <v>0.8</v>
      </c>
      <c r="L16" s="21">
        <f>'Pod Plan'!F5</f>
        <v>3</v>
      </c>
      <c r="M16" s="54">
        <f t="shared" si="0"/>
        <v>2.4000000000000004</v>
      </c>
      <c r="N16" s="54">
        <f>M16*INDEX('Logic Tree'!$J$85:$N$87,MATCH(I16,'Logic Tree'!$I$85:$I$87,0),MATCH(H16,'Logic Tree'!$J$84:$N$84,0))</f>
        <v>4.4400000000000013</v>
      </c>
    </row>
    <row r="17" spans="2:14" ht="15" customHeight="1">
      <c r="B17" s="27">
        <v>1</v>
      </c>
      <c r="C17" s="18" t="s">
        <v>469</v>
      </c>
      <c r="D17" s="43" t="s">
        <v>340</v>
      </c>
      <c r="E17" s="43" t="s">
        <v>469</v>
      </c>
      <c r="F17" s="57" t="str">
        <f>'Pod Library'!E19</f>
        <v>MetLife Operations Analyst</v>
      </c>
      <c r="G17" s="51" t="str">
        <f>'Pod Library'!F19</f>
        <v>MNT</v>
      </c>
      <c r="H17" s="51" t="str">
        <f>'Pod Library'!G19</f>
        <v>E3</v>
      </c>
      <c r="I17" s="51" t="str">
        <f>'Pod Library'!H19</f>
        <v>ON</v>
      </c>
      <c r="J17" s="51" t="str">
        <f>'Pod Library'!I19</f>
        <v>FTE</v>
      </c>
      <c r="K17" s="16">
        <f>'Pod Library'!J19</f>
        <v>0.2</v>
      </c>
      <c r="L17" s="21">
        <f>'Pod Plan'!F5</f>
        <v>3</v>
      </c>
      <c r="M17" s="54">
        <f t="shared" si="0"/>
        <v>0.60000000000000009</v>
      </c>
      <c r="N17" s="54">
        <f>M17*INDEX('Logic Tree'!$J$85:$N$87,MATCH(I17,'Logic Tree'!$I$85:$I$87,0),MATCH(H17,'Logic Tree'!$J$84:$N$84,0))</f>
        <v>0.81000000000000016</v>
      </c>
    </row>
    <row r="18" spans="2:14" ht="15" customHeight="1">
      <c r="B18" s="27">
        <v>1</v>
      </c>
      <c r="C18" s="18" t="s">
        <v>469</v>
      </c>
      <c r="D18" s="43" t="s">
        <v>340</v>
      </c>
      <c r="E18" s="43" t="s">
        <v>469</v>
      </c>
      <c r="F18" s="57" t="str">
        <f>'Pod Library'!E20</f>
        <v>Business Analyst (bilingual)</v>
      </c>
      <c r="G18" s="51" t="str">
        <f>'Pod Library'!F20</f>
        <v>BSA</v>
      </c>
      <c r="H18" s="51" t="str">
        <f>'Pod Library'!G20</f>
        <v>E3</v>
      </c>
      <c r="I18" s="51" t="str">
        <f>'Pod Library'!H20</f>
        <v>ON</v>
      </c>
      <c r="J18" s="51" t="str">
        <f>'Pod Library'!I20</f>
        <v>FTC</v>
      </c>
      <c r="K18" s="16">
        <f>'Pod Library'!J20</f>
        <v>0.4</v>
      </c>
      <c r="L18" s="21">
        <f>'Pod Plan'!F5</f>
        <v>3</v>
      </c>
      <c r="M18" s="54">
        <f t="shared" si="0"/>
        <v>1.2000000000000002</v>
      </c>
      <c r="N18" s="54">
        <f>M18*INDEX('Logic Tree'!$J$85:$N$87,MATCH(I18,'Logic Tree'!$I$85:$I$87,0),MATCH(H18,'Logic Tree'!$J$84:$N$84,0))</f>
        <v>1.6200000000000003</v>
      </c>
    </row>
    <row r="19" spans="2:14" ht="15" customHeight="1">
      <c r="B19" s="27">
        <v>1</v>
      </c>
      <c r="C19" s="18" t="s">
        <v>469</v>
      </c>
      <c r="D19" s="43" t="s">
        <v>340</v>
      </c>
      <c r="E19" s="43" t="s">
        <v>469</v>
      </c>
      <c r="F19" s="57" t="str">
        <f>'Pod Library'!E21</f>
        <v>Team lead / senior engineer</v>
      </c>
      <c r="G19" s="51" t="str">
        <f>'Pod Library'!F21</f>
        <v>DEV</v>
      </c>
      <c r="H19" s="51" t="str">
        <f>'Pod Library'!G21</f>
        <v>E4</v>
      </c>
      <c r="I19" s="51" t="str">
        <f>'Pod Library'!H21</f>
        <v>ON</v>
      </c>
      <c r="J19" s="51" t="str">
        <f>'Pod Library'!I21</f>
        <v>FTC</v>
      </c>
      <c r="K19" s="16">
        <f>'Pod Library'!J21</f>
        <v>1.7</v>
      </c>
      <c r="L19" s="21">
        <f>'Pod Plan'!F5</f>
        <v>3</v>
      </c>
      <c r="M19" s="54">
        <f t="shared" si="0"/>
        <v>5.0999999999999996</v>
      </c>
      <c r="N19" s="54">
        <f>M19*INDEX('Logic Tree'!$J$85:$N$87,MATCH(I19,'Logic Tree'!$I$85:$I$87,0),MATCH(H19,'Logic Tree'!$J$84:$N$84,0))</f>
        <v>9.4350000000000005</v>
      </c>
    </row>
    <row r="20" spans="2:14" ht="15" customHeight="1">
      <c r="B20" s="27">
        <v>1</v>
      </c>
      <c r="C20" s="18" t="s">
        <v>469</v>
      </c>
      <c r="D20" s="43" t="s">
        <v>340</v>
      </c>
      <c r="E20" s="43" t="s">
        <v>469</v>
      </c>
      <c r="F20" s="57" t="str">
        <f>'Pod Library'!E22</f>
        <v>Application Developer</v>
      </c>
      <c r="G20" s="51" t="str">
        <f>'Pod Library'!F22</f>
        <v>DEV</v>
      </c>
      <c r="H20" s="51" t="str">
        <f>'Pod Library'!G22</f>
        <v>E3</v>
      </c>
      <c r="I20" s="51" t="str">
        <f>'Pod Library'!H22</f>
        <v>ON</v>
      </c>
      <c r="J20" s="51" t="str">
        <f>'Pod Library'!I22</f>
        <v>FTC</v>
      </c>
      <c r="K20" s="16">
        <f>'Pod Library'!J22</f>
        <v>3.2</v>
      </c>
      <c r="L20" s="21">
        <f>'Pod Plan'!F5</f>
        <v>3</v>
      </c>
      <c r="M20" s="54">
        <f t="shared" si="0"/>
        <v>9.6000000000000014</v>
      </c>
      <c r="N20" s="54">
        <f>M20*INDEX('Logic Tree'!$J$85:$N$87,MATCH(I20,'Logic Tree'!$I$85:$I$87,0),MATCH(H20,'Logic Tree'!$J$84:$N$84,0))</f>
        <v>12.960000000000003</v>
      </c>
    </row>
    <row r="21" spans="2:14" ht="15" customHeight="1">
      <c r="B21" s="27">
        <v>1</v>
      </c>
      <c r="C21" s="18" t="s">
        <v>469</v>
      </c>
      <c r="D21" s="43" t="s">
        <v>340</v>
      </c>
      <c r="E21" s="43" t="s">
        <v>469</v>
      </c>
      <c r="F21" s="57" t="str">
        <f>'Pod Library'!E23</f>
        <v>Application Developer</v>
      </c>
      <c r="G21" s="51" t="str">
        <f>'Pod Library'!F23</f>
        <v>DEV</v>
      </c>
      <c r="H21" s="51" t="str">
        <f>'Pod Library'!G23</f>
        <v>E2</v>
      </c>
      <c r="I21" s="51" t="str">
        <f>'Pod Library'!H23</f>
        <v>ON</v>
      </c>
      <c r="J21" s="51" t="str">
        <f>'Pod Library'!I23</f>
        <v>FTC</v>
      </c>
      <c r="K21" s="16">
        <f>'Pod Library'!J23</f>
        <v>3.5</v>
      </c>
      <c r="L21" s="21">
        <f>'Pod Plan'!F5</f>
        <v>3</v>
      </c>
      <c r="M21" s="54">
        <f t="shared" si="0"/>
        <v>10.5</v>
      </c>
      <c r="N21" s="54">
        <f>M21*INDEX('Logic Tree'!$J$85:$N$87,MATCH(I21,'Logic Tree'!$I$85:$I$87,0),MATCH(H21,'Logic Tree'!$J$84:$N$84,0))</f>
        <v>10.5</v>
      </c>
    </row>
    <row r="22" spans="2:14" ht="15" customHeight="1">
      <c r="B22" s="27">
        <v>1</v>
      </c>
      <c r="C22" s="18" t="s">
        <v>469</v>
      </c>
      <c r="D22" s="43" t="s">
        <v>340</v>
      </c>
      <c r="E22" s="43" t="s">
        <v>469</v>
      </c>
      <c r="F22" s="57" t="str">
        <f>'Pod Library'!E24</f>
        <v>Application Developer</v>
      </c>
      <c r="G22" s="51" t="str">
        <f>'Pod Library'!F24</f>
        <v>DEV</v>
      </c>
      <c r="H22" s="51" t="str">
        <f>'Pod Library'!G24</f>
        <v>E3</v>
      </c>
      <c r="I22" s="51" t="str">
        <f>'Pod Library'!H24</f>
        <v>NEAR</v>
      </c>
      <c r="J22" s="51" t="str">
        <f>'Pod Library'!I24</f>
        <v>FTC</v>
      </c>
      <c r="K22" s="16">
        <f>'Pod Library'!J24</f>
        <v>1.6</v>
      </c>
      <c r="L22" s="21">
        <f>'Pod Plan'!F5</f>
        <v>3</v>
      </c>
      <c r="M22" s="54">
        <f t="shared" si="0"/>
        <v>4.8000000000000007</v>
      </c>
      <c r="N22" s="54">
        <f>M22*INDEX('Logic Tree'!$J$85:$N$87,MATCH(I22,'Logic Tree'!$I$85:$I$87,0),MATCH(H22,'Logic Tree'!$J$84:$N$84,0))</f>
        <v>4.032</v>
      </c>
    </row>
    <row r="23" spans="2:14" ht="15" customHeight="1">
      <c r="B23" s="27">
        <v>1</v>
      </c>
      <c r="C23" s="18" t="s">
        <v>469</v>
      </c>
      <c r="D23" s="43" t="s">
        <v>340</v>
      </c>
      <c r="E23" s="43" t="s">
        <v>469</v>
      </c>
      <c r="F23" s="57" t="str">
        <f>'Pod Library'!E25</f>
        <v>Test Analyst</v>
      </c>
      <c r="G23" s="51" t="str">
        <f>'Pod Library'!F25</f>
        <v>TEST</v>
      </c>
      <c r="H23" s="51" t="str">
        <f>'Pod Library'!G25</f>
        <v>E3</v>
      </c>
      <c r="I23" s="51" t="str">
        <f>'Pod Library'!H25</f>
        <v>ON</v>
      </c>
      <c r="J23" s="51" t="str">
        <f>'Pod Library'!I25</f>
        <v>FTC</v>
      </c>
      <c r="K23" s="16">
        <f>'Pod Library'!J25</f>
        <v>1</v>
      </c>
      <c r="L23" s="21">
        <f>'Pod Plan'!F5</f>
        <v>3</v>
      </c>
      <c r="M23" s="54">
        <f t="shared" si="0"/>
        <v>3</v>
      </c>
      <c r="N23" s="54">
        <f>M23*INDEX('Logic Tree'!$J$85:$N$87,MATCH(I23,'Logic Tree'!$I$85:$I$87,0),MATCH(H23,'Logic Tree'!$J$84:$N$84,0))</f>
        <v>4.0500000000000007</v>
      </c>
    </row>
    <row r="24" spans="2:14" ht="15" customHeight="1">
      <c r="B24" s="27">
        <v>1</v>
      </c>
      <c r="C24" s="18" t="s">
        <v>469</v>
      </c>
      <c r="D24" s="43" t="s">
        <v>340</v>
      </c>
      <c r="E24" s="43" t="s">
        <v>469</v>
      </c>
      <c r="F24" s="57" t="str">
        <f>'Pod Library'!E26</f>
        <v>Test Engineer</v>
      </c>
      <c r="G24" s="51" t="str">
        <f>'Pod Library'!F26</f>
        <v>TEST</v>
      </c>
      <c r="H24" s="51" t="str">
        <f>'Pod Library'!G26</f>
        <v>E2</v>
      </c>
      <c r="I24" s="51" t="str">
        <f>'Pod Library'!H26</f>
        <v>NEAR</v>
      </c>
      <c r="J24" s="51" t="str">
        <f>'Pod Library'!I26</f>
        <v>FTC</v>
      </c>
      <c r="K24" s="16">
        <f>'Pod Library'!J26</f>
        <v>0.2</v>
      </c>
      <c r="L24" s="21">
        <f>'Pod Plan'!F5</f>
        <v>3</v>
      </c>
      <c r="M24" s="54">
        <f t="shared" si="0"/>
        <v>0.60000000000000009</v>
      </c>
      <c r="N24" s="54">
        <f>M24*INDEX('Logic Tree'!$J$85:$N$87,MATCH(I24,'Logic Tree'!$I$85:$I$87,0),MATCH(H24,'Logic Tree'!$J$84:$N$84,0))</f>
        <v>0.37200000000000005</v>
      </c>
    </row>
    <row r="25" spans="2:14" ht="15" customHeight="1">
      <c r="B25" s="27">
        <v>1</v>
      </c>
      <c r="C25" s="18" t="s">
        <v>469</v>
      </c>
      <c r="D25" s="43" t="s">
        <v>340</v>
      </c>
      <c r="E25" s="43" t="s">
        <v>469</v>
      </c>
      <c r="F25" s="57" t="str">
        <f>'Pod Library'!E27</f>
        <v>MGCC Payments Engineer</v>
      </c>
      <c r="G25" s="51" t="str">
        <f>'Pod Library'!F27</f>
        <v>DEV</v>
      </c>
      <c r="H25" s="51" t="str">
        <f>'Pod Library'!G27</f>
        <v>E3</v>
      </c>
      <c r="I25" s="51" t="str">
        <f>'Pod Library'!H27</f>
        <v>OFF</v>
      </c>
      <c r="J25" s="51" t="str">
        <f>'Pod Library'!I27</f>
        <v>MGCC</v>
      </c>
      <c r="K25" s="16">
        <f>'Pod Library'!J27</f>
        <v>1.9</v>
      </c>
      <c r="L25" s="21">
        <f>'Pod Plan'!F5</f>
        <v>3</v>
      </c>
      <c r="M25" s="54">
        <f t="shared" si="0"/>
        <v>5.6999999999999993</v>
      </c>
      <c r="N25" s="54">
        <f>M25*INDEX('Logic Tree'!$J$85:$N$87,MATCH(I25,'Logic Tree'!$I$85:$I$87,0),MATCH(H25,'Logic Tree'!$J$84:$N$84,0))</f>
        <v>2.3939999999999997</v>
      </c>
    </row>
    <row r="26" spans="2:14" ht="15" customHeight="1">
      <c r="B26" s="27">
        <v>1</v>
      </c>
      <c r="C26" s="18" t="s">
        <v>469</v>
      </c>
      <c r="D26" s="43" t="s">
        <v>340</v>
      </c>
      <c r="E26" s="43" t="s">
        <v>469</v>
      </c>
      <c r="F26" s="57" t="str">
        <f>'Pod Library'!E28</f>
        <v>Technical Lead</v>
      </c>
      <c r="G26" s="51" t="str">
        <f>'Pod Library'!F28</f>
        <v>OTH</v>
      </c>
      <c r="H26" s="51" t="str">
        <f>'Pod Library'!G28</f>
        <v>E4</v>
      </c>
      <c r="I26" s="51" t="str">
        <f>'Pod Library'!H28</f>
        <v>ON</v>
      </c>
      <c r="J26" s="51" t="str">
        <f>'Pod Library'!I28</f>
        <v>FTC</v>
      </c>
      <c r="K26" s="16">
        <f>'Pod Library'!J28</f>
        <v>0</v>
      </c>
      <c r="L26" s="21">
        <f>'Pod Plan'!F5</f>
        <v>3</v>
      </c>
      <c r="M26" s="54">
        <f t="shared" si="0"/>
        <v>0</v>
      </c>
      <c r="N26" s="54">
        <f>M26*INDEX('Logic Tree'!$J$85:$N$87,MATCH(I26,'Logic Tree'!$I$85:$I$87,0),MATCH(H26,'Logic Tree'!$J$84:$N$84,0))</f>
        <v>0</v>
      </c>
    </row>
    <row r="27" spans="2:14" ht="15" customHeight="1">
      <c r="B27" s="27">
        <v>1</v>
      </c>
      <c r="C27" s="18" t="s">
        <v>469</v>
      </c>
      <c r="D27" s="43" t="s">
        <v>341</v>
      </c>
      <c r="E27" s="43" t="s">
        <v>469</v>
      </c>
      <c r="F27" s="57" t="str">
        <f>'Pod Library'!E17</f>
        <v>MetLife Claims Product Owner</v>
      </c>
      <c r="G27" s="51" t="str">
        <f>'Pod Library'!F17</f>
        <v>PM</v>
      </c>
      <c r="H27" s="51" t="str">
        <f>'Pod Library'!G17</f>
        <v>E4</v>
      </c>
      <c r="I27" s="51" t="str">
        <f>'Pod Library'!H17</f>
        <v>ON</v>
      </c>
      <c r="J27" s="51" t="str">
        <f>'Pod Library'!I17</f>
        <v>FTE</v>
      </c>
      <c r="K27" s="16">
        <f>'Pod Library'!J17</f>
        <v>0.7</v>
      </c>
      <c r="L27" s="21">
        <f>'Pod Plan'!F6</f>
        <v>2</v>
      </c>
      <c r="M27" s="54">
        <f t="shared" si="0"/>
        <v>1.4</v>
      </c>
      <c r="N27" s="54">
        <f>M27*INDEX('Logic Tree'!$J$85:$N$87,MATCH(I27,'Logic Tree'!$I$85:$I$87,0),MATCH(H27,'Logic Tree'!$J$84:$N$84,0))</f>
        <v>2.59</v>
      </c>
    </row>
    <row r="28" spans="2:14" ht="15" customHeight="1">
      <c r="B28" s="27">
        <v>1</v>
      </c>
      <c r="C28" s="18" t="s">
        <v>469</v>
      </c>
      <c r="D28" s="43" t="s">
        <v>341</v>
      </c>
      <c r="E28" s="43" t="s">
        <v>469</v>
      </c>
      <c r="F28" s="57" t="str">
        <f>'Pod Library'!E18</f>
        <v>MetLife Claims SME</v>
      </c>
      <c r="G28" s="51" t="str">
        <f>'Pod Library'!F18</f>
        <v>BSA</v>
      </c>
      <c r="H28" s="51" t="str">
        <f>'Pod Library'!G18</f>
        <v>E4</v>
      </c>
      <c r="I28" s="51" t="str">
        <f>'Pod Library'!H18</f>
        <v>ON</v>
      </c>
      <c r="J28" s="51" t="str">
        <f>'Pod Library'!I18</f>
        <v>FTE</v>
      </c>
      <c r="K28" s="16">
        <f>'Pod Library'!J18</f>
        <v>0.8</v>
      </c>
      <c r="L28" s="21">
        <f>'Pod Plan'!F6</f>
        <v>2</v>
      </c>
      <c r="M28" s="54">
        <f t="shared" si="0"/>
        <v>1.6</v>
      </c>
      <c r="N28" s="54">
        <f>M28*INDEX('Logic Tree'!$J$85:$N$87,MATCH(I28,'Logic Tree'!$I$85:$I$87,0),MATCH(H28,'Logic Tree'!$J$84:$N$84,0))</f>
        <v>2.9600000000000004</v>
      </c>
    </row>
    <row r="29" spans="2:14" ht="15" customHeight="1">
      <c r="B29" s="27">
        <v>1</v>
      </c>
      <c r="C29" s="18" t="s">
        <v>469</v>
      </c>
      <c r="D29" s="43" t="s">
        <v>341</v>
      </c>
      <c r="E29" s="43" t="s">
        <v>469</v>
      </c>
      <c r="F29" s="57" t="str">
        <f>'Pod Library'!E19</f>
        <v>MetLife Operations Analyst</v>
      </c>
      <c r="G29" s="51" t="str">
        <f>'Pod Library'!F19</f>
        <v>MNT</v>
      </c>
      <c r="H29" s="51" t="str">
        <f>'Pod Library'!G19</f>
        <v>E3</v>
      </c>
      <c r="I29" s="51" t="str">
        <f>'Pod Library'!H19</f>
        <v>ON</v>
      </c>
      <c r="J29" s="51" t="str">
        <f>'Pod Library'!I19</f>
        <v>FTE</v>
      </c>
      <c r="K29" s="16">
        <f>'Pod Library'!J19</f>
        <v>0.2</v>
      </c>
      <c r="L29" s="21">
        <f>'Pod Plan'!F6</f>
        <v>2</v>
      </c>
      <c r="M29" s="54">
        <f t="shared" si="0"/>
        <v>0.4</v>
      </c>
      <c r="N29" s="54">
        <f>M29*INDEX('Logic Tree'!$J$85:$N$87,MATCH(I29,'Logic Tree'!$I$85:$I$87,0),MATCH(H29,'Logic Tree'!$J$84:$N$84,0))</f>
        <v>0.54</v>
      </c>
    </row>
    <row r="30" spans="2:14" ht="15" customHeight="1">
      <c r="B30" s="27">
        <v>1</v>
      </c>
      <c r="C30" s="18" t="s">
        <v>469</v>
      </c>
      <c r="D30" s="43" t="s">
        <v>341</v>
      </c>
      <c r="E30" s="43" t="s">
        <v>469</v>
      </c>
      <c r="F30" s="57" t="str">
        <f>'Pod Library'!E20</f>
        <v>Business Analyst (bilingual)</v>
      </c>
      <c r="G30" s="51" t="str">
        <f>'Pod Library'!F20</f>
        <v>BSA</v>
      </c>
      <c r="H30" s="51" t="str">
        <f>'Pod Library'!G20</f>
        <v>E3</v>
      </c>
      <c r="I30" s="51" t="str">
        <f>'Pod Library'!H20</f>
        <v>ON</v>
      </c>
      <c r="J30" s="51" t="str">
        <f>'Pod Library'!I20</f>
        <v>FTC</v>
      </c>
      <c r="K30" s="16">
        <f>'Pod Library'!J20</f>
        <v>0.4</v>
      </c>
      <c r="L30" s="21">
        <f>'Pod Plan'!F6</f>
        <v>2</v>
      </c>
      <c r="M30" s="54">
        <f t="shared" si="0"/>
        <v>0.8</v>
      </c>
      <c r="N30" s="54">
        <f>M30*INDEX('Logic Tree'!$J$85:$N$87,MATCH(I30,'Logic Tree'!$I$85:$I$87,0),MATCH(H30,'Logic Tree'!$J$84:$N$84,0))</f>
        <v>1.08</v>
      </c>
    </row>
    <row r="31" spans="2:14" ht="15" customHeight="1">
      <c r="B31" s="27">
        <v>1</v>
      </c>
      <c r="C31" s="18" t="s">
        <v>469</v>
      </c>
      <c r="D31" s="43" t="s">
        <v>341</v>
      </c>
      <c r="E31" s="43" t="s">
        <v>469</v>
      </c>
      <c r="F31" s="57" t="str">
        <f>'Pod Library'!E21</f>
        <v>Team lead / senior engineer</v>
      </c>
      <c r="G31" s="51" t="str">
        <f>'Pod Library'!F21</f>
        <v>DEV</v>
      </c>
      <c r="H31" s="51" t="str">
        <f>'Pod Library'!G21</f>
        <v>E4</v>
      </c>
      <c r="I31" s="51" t="str">
        <f>'Pod Library'!H21</f>
        <v>ON</v>
      </c>
      <c r="J31" s="51" t="str">
        <f>'Pod Library'!I21</f>
        <v>FTC</v>
      </c>
      <c r="K31" s="16">
        <f>'Pod Library'!J21</f>
        <v>1.7</v>
      </c>
      <c r="L31" s="21">
        <f>'Pod Plan'!F6</f>
        <v>2</v>
      </c>
      <c r="M31" s="54">
        <f t="shared" si="0"/>
        <v>3.4</v>
      </c>
      <c r="N31" s="54">
        <f>M31*INDEX('Logic Tree'!$J$85:$N$87,MATCH(I31,'Logic Tree'!$I$85:$I$87,0),MATCH(H31,'Logic Tree'!$J$84:$N$84,0))</f>
        <v>6.29</v>
      </c>
    </row>
    <row r="32" spans="2:14" ht="15" customHeight="1">
      <c r="B32" s="27">
        <v>1</v>
      </c>
      <c r="C32" s="18" t="s">
        <v>469</v>
      </c>
      <c r="D32" s="43" t="s">
        <v>341</v>
      </c>
      <c r="E32" s="43" t="s">
        <v>469</v>
      </c>
      <c r="F32" s="57" t="str">
        <f>'Pod Library'!E22</f>
        <v>Application Developer</v>
      </c>
      <c r="G32" s="51" t="str">
        <f>'Pod Library'!F22</f>
        <v>DEV</v>
      </c>
      <c r="H32" s="51" t="str">
        <f>'Pod Library'!G22</f>
        <v>E3</v>
      </c>
      <c r="I32" s="51" t="str">
        <f>'Pod Library'!H22</f>
        <v>ON</v>
      </c>
      <c r="J32" s="51" t="str">
        <f>'Pod Library'!I22</f>
        <v>FTC</v>
      </c>
      <c r="K32" s="16">
        <f>'Pod Library'!J22</f>
        <v>3.2</v>
      </c>
      <c r="L32" s="21">
        <f>'Pod Plan'!F6</f>
        <v>2</v>
      </c>
      <c r="M32" s="54">
        <f t="shared" si="0"/>
        <v>6.4</v>
      </c>
      <c r="N32" s="54">
        <f>M32*INDEX('Logic Tree'!$J$85:$N$87,MATCH(I32,'Logic Tree'!$I$85:$I$87,0),MATCH(H32,'Logic Tree'!$J$84:$N$84,0))</f>
        <v>8.64</v>
      </c>
    </row>
    <row r="33" spans="2:14" ht="15" customHeight="1">
      <c r="B33" s="27">
        <v>1</v>
      </c>
      <c r="C33" s="18" t="s">
        <v>469</v>
      </c>
      <c r="D33" s="43" t="s">
        <v>341</v>
      </c>
      <c r="E33" s="43" t="s">
        <v>469</v>
      </c>
      <c r="F33" s="57" t="str">
        <f>'Pod Library'!E23</f>
        <v>Application Developer</v>
      </c>
      <c r="G33" s="51" t="str">
        <f>'Pod Library'!F23</f>
        <v>DEV</v>
      </c>
      <c r="H33" s="51" t="str">
        <f>'Pod Library'!G23</f>
        <v>E2</v>
      </c>
      <c r="I33" s="51" t="str">
        <f>'Pod Library'!H23</f>
        <v>ON</v>
      </c>
      <c r="J33" s="51" t="str">
        <f>'Pod Library'!I23</f>
        <v>FTC</v>
      </c>
      <c r="K33" s="16">
        <f>'Pod Library'!J23</f>
        <v>3.5</v>
      </c>
      <c r="L33" s="21">
        <f>'Pod Plan'!F6</f>
        <v>2</v>
      </c>
      <c r="M33" s="54">
        <f t="shared" si="0"/>
        <v>7</v>
      </c>
      <c r="N33" s="54">
        <f>M33*INDEX('Logic Tree'!$J$85:$N$87,MATCH(I33,'Logic Tree'!$I$85:$I$87,0),MATCH(H33,'Logic Tree'!$J$84:$N$84,0))</f>
        <v>7</v>
      </c>
    </row>
    <row r="34" spans="2:14" ht="15" customHeight="1">
      <c r="B34" s="27">
        <v>1</v>
      </c>
      <c r="C34" s="18" t="s">
        <v>469</v>
      </c>
      <c r="D34" s="43" t="s">
        <v>341</v>
      </c>
      <c r="E34" s="43" t="s">
        <v>469</v>
      </c>
      <c r="F34" s="57" t="str">
        <f>'Pod Library'!E24</f>
        <v>Application Developer</v>
      </c>
      <c r="G34" s="51" t="str">
        <f>'Pod Library'!F24</f>
        <v>DEV</v>
      </c>
      <c r="H34" s="51" t="str">
        <f>'Pod Library'!G24</f>
        <v>E3</v>
      </c>
      <c r="I34" s="51" t="str">
        <f>'Pod Library'!H24</f>
        <v>NEAR</v>
      </c>
      <c r="J34" s="51" t="str">
        <f>'Pod Library'!I24</f>
        <v>FTC</v>
      </c>
      <c r="K34" s="16">
        <f>'Pod Library'!J24</f>
        <v>1.6</v>
      </c>
      <c r="L34" s="21">
        <f>'Pod Plan'!F6</f>
        <v>2</v>
      </c>
      <c r="M34" s="54">
        <f t="shared" si="0"/>
        <v>3.2</v>
      </c>
      <c r="N34" s="54">
        <f>M34*INDEX('Logic Tree'!$J$85:$N$87,MATCH(I34,'Logic Tree'!$I$85:$I$87,0),MATCH(H34,'Logic Tree'!$J$84:$N$84,0))</f>
        <v>2.6880000000000002</v>
      </c>
    </row>
    <row r="35" spans="2:14" ht="15" customHeight="1">
      <c r="B35" s="27">
        <v>1</v>
      </c>
      <c r="C35" s="18" t="s">
        <v>469</v>
      </c>
      <c r="D35" s="43" t="s">
        <v>341</v>
      </c>
      <c r="E35" s="43" t="s">
        <v>469</v>
      </c>
      <c r="F35" s="57" t="str">
        <f>'Pod Library'!E25</f>
        <v>Test Analyst</v>
      </c>
      <c r="G35" s="51" t="str">
        <f>'Pod Library'!F25</f>
        <v>TEST</v>
      </c>
      <c r="H35" s="51" t="str">
        <f>'Pod Library'!G25</f>
        <v>E3</v>
      </c>
      <c r="I35" s="51" t="str">
        <f>'Pod Library'!H25</f>
        <v>ON</v>
      </c>
      <c r="J35" s="51" t="str">
        <f>'Pod Library'!I25</f>
        <v>FTC</v>
      </c>
      <c r="K35" s="16">
        <f>'Pod Library'!J25</f>
        <v>1</v>
      </c>
      <c r="L35" s="21">
        <f>'Pod Plan'!F6</f>
        <v>2</v>
      </c>
      <c r="M35" s="54">
        <f t="shared" si="0"/>
        <v>2</v>
      </c>
      <c r="N35" s="54">
        <f>M35*INDEX('Logic Tree'!$J$85:$N$87,MATCH(I35,'Logic Tree'!$I$85:$I$87,0),MATCH(H35,'Logic Tree'!$J$84:$N$84,0))</f>
        <v>2.7</v>
      </c>
    </row>
    <row r="36" spans="2:14" ht="15" customHeight="1">
      <c r="B36" s="27">
        <v>1</v>
      </c>
      <c r="C36" s="18" t="s">
        <v>469</v>
      </c>
      <c r="D36" s="43" t="s">
        <v>341</v>
      </c>
      <c r="E36" s="43" t="s">
        <v>469</v>
      </c>
      <c r="F36" s="57" t="str">
        <f>'Pod Library'!E26</f>
        <v>Test Engineer</v>
      </c>
      <c r="G36" s="51" t="str">
        <f>'Pod Library'!F26</f>
        <v>TEST</v>
      </c>
      <c r="H36" s="51" t="str">
        <f>'Pod Library'!G26</f>
        <v>E2</v>
      </c>
      <c r="I36" s="51" t="str">
        <f>'Pod Library'!H26</f>
        <v>NEAR</v>
      </c>
      <c r="J36" s="51" t="str">
        <f>'Pod Library'!I26</f>
        <v>FTC</v>
      </c>
      <c r="K36" s="16">
        <f>'Pod Library'!J26</f>
        <v>0.2</v>
      </c>
      <c r="L36" s="21">
        <f>'Pod Plan'!F6</f>
        <v>2</v>
      </c>
      <c r="M36" s="54">
        <f t="shared" si="0"/>
        <v>0.4</v>
      </c>
      <c r="N36" s="54">
        <f>M36*INDEX('Logic Tree'!$J$85:$N$87,MATCH(I36,'Logic Tree'!$I$85:$I$87,0),MATCH(H36,'Logic Tree'!$J$84:$N$84,0))</f>
        <v>0.248</v>
      </c>
    </row>
    <row r="37" spans="2:14" ht="15" customHeight="1">
      <c r="B37" s="27">
        <v>1</v>
      </c>
      <c r="C37" s="18" t="s">
        <v>469</v>
      </c>
      <c r="D37" s="43" t="s">
        <v>341</v>
      </c>
      <c r="E37" s="43" t="s">
        <v>469</v>
      </c>
      <c r="F37" s="57" t="str">
        <f>'Pod Library'!E27</f>
        <v>MGCC Payments Engineer</v>
      </c>
      <c r="G37" s="51" t="str">
        <f>'Pod Library'!F27</f>
        <v>DEV</v>
      </c>
      <c r="H37" s="51" t="str">
        <f>'Pod Library'!G27</f>
        <v>E3</v>
      </c>
      <c r="I37" s="51" t="str">
        <f>'Pod Library'!H27</f>
        <v>OFF</v>
      </c>
      <c r="J37" s="51" t="str">
        <f>'Pod Library'!I27</f>
        <v>MGCC</v>
      </c>
      <c r="K37" s="16">
        <f>'Pod Library'!J27</f>
        <v>1.9</v>
      </c>
      <c r="L37" s="21">
        <f>'Pod Plan'!F6</f>
        <v>2</v>
      </c>
      <c r="M37" s="54">
        <f t="shared" si="0"/>
        <v>3.8</v>
      </c>
      <c r="N37" s="54">
        <f>M37*INDEX('Logic Tree'!$J$85:$N$87,MATCH(I37,'Logic Tree'!$I$85:$I$87,0),MATCH(H37,'Logic Tree'!$J$84:$N$84,0))</f>
        <v>1.5959999999999999</v>
      </c>
    </row>
    <row r="38" spans="2:14" ht="15" customHeight="1">
      <c r="B38" s="27">
        <v>1</v>
      </c>
      <c r="C38" s="18" t="s">
        <v>469</v>
      </c>
      <c r="D38" s="43" t="s">
        <v>341</v>
      </c>
      <c r="E38" s="43" t="s">
        <v>469</v>
      </c>
      <c r="F38" s="57" t="str">
        <f>'Pod Library'!E28</f>
        <v>Technical Lead</v>
      </c>
      <c r="G38" s="51" t="str">
        <f>'Pod Library'!F28</f>
        <v>OTH</v>
      </c>
      <c r="H38" s="51" t="str">
        <f>'Pod Library'!G28</f>
        <v>E4</v>
      </c>
      <c r="I38" s="51" t="str">
        <f>'Pod Library'!H28</f>
        <v>ON</v>
      </c>
      <c r="J38" s="51" t="str">
        <f>'Pod Library'!I28</f>
        <v>FTC</v>
      </c>
      <c r="K38" s="16">
        <f>'Pod Library'!J28</f>
        <v>0</v>
      </c>
      <c r="L38" s="21">
        <f>'Pod Plan'!F6</f>
        <v>2</v>
      </c>
      <c r="M38" s="54">
        <f t="shared" si="0"/>
        <v>0</v>
      </c>
      <c r="N38" s="54">
        <f>M38*INDEX('Logic Tree'!$J$85:$N$87,MATCH(I38,'Logic Tree'!$I$85:$I$87,0),MATCH(H38,'Logic Tree'!$J$84:$N$84,0))</f>
        <v>0</v>
      </c>
    </row>
    <row r="39" spans="2:14" ht="15" customHeight="1">
      <c r="B39" s="27">
        <v>1</v>
      </c>
      <c r="C39" s="18" t="s">
        <v>453</v>
      </c>
      <c r="D39" s="43" t="s">
        <v>342</v>
      </c>
      <c r="E39" s="43" t="s">
        <v>453</v>
      </c>
      <c r="F39" s="57" t="str">
        <f>'Pod Library'!E5</f>
        <v>MetLife Claims Product Owner</v>
      </c>
      <c r="G39" s="51" t="str">
        <f>'Pod Library'!F5</f>
        <v>PM</v>
      </c>
      <c r="H39" s="51" t="str">
        <f>'Pod Library'!G5</f>
        <v>E4</v>
      </c>
      <c r="I39" s="51" t="str">
        <f>'Pod Library'!H5</f>
        <v>ON</v>
      </c>
      <c r="J39" s="51" t="str">
        <f>'Pod Library'!I5</f>
        <v>FTE</v>
      </c>
      <c r="K39" s="16">
        <f>'Pod Library'!J5</f>
        <v>0.25</v>
      </c>
      <c r="L39" s="21">
        <f>'Pod Plan'!E7</f>
        <v>2</v>
      </c>
      <c r="M39" s="54">
        <f t="shared" si="0"/>
        <v>0.5</v>
      </c>
      <c r="N39" s="54">
        <f>M39*INDEX('Logic Tree'!$J$85:$N$87,MATCH(I39,'Logic Tree'!$I$85:$I$87,0),MATCH(H39,'Logic Tree'!$J$84:$N$84,0))</f>
        <v>0.92500000000000004</v>
      </c>
    </row>
    <row r="40" spans="2:14" ht="15" customHeight="1">
      <c r="B40" s="27">
        <v>1</v>
      </c>
      <c r="C40" s="18" t="s">
        <v>453</v>
      </c>
      <c r="D40" s="43" t="s">
        <v>342</v>
      </c>
      <c r="E40" s="43" t="s">
        <v>453</v>
      </c>
      <c r="F40" s="57" t="str">
        <f>'Pod Library'!E6</f>
        <v>MetLife Claims SME</v>
      </c>
      <c r="G40" s="51" t="str">
        <f>'Pod Library'!F6</f>
        <v>BSA</v>
      </c>
      <c r="H40" s="51" t="str">
        <f>'Pod Library'!G6</f>
        <v>E4</v>
      </c>
      <c r="I40" s="51" t="str">
        <f>'Pod Library'!H6</f>
        <v>ON</v>
      </c>
      <c r="J40" s="51" t="str">
        <f>'Pod Library'!I6</f>
        <v>FTE</v>
      </c>
      <c r="K40" s="16">
        <f>'Pod Library'!J6</f>
        <v>0.25</v>
      </c>
      <c r="L40" s="21">
        <f>'Pod Plan'!E7</f>
        <v>2</v>
      </c>
      <c r="M40" s="54">
        <f t="shared" si="0"/>
        <v>0.5</v>
      </c>
      <c r="N40" s="54">
        <f>M40*INDEX('Logic Tree'!$J$85:$N$87,MATCH(I40,'Logic Tree'!$I$85:$I$87,0),MATCH(H40,'Logic Tree'!$J$84:$N$84,0))</f>
        <v>0.92500000000000004</v>
      </c>
    </row>
    <row r="41" spans="2:14" ht="15" customHeight="1">
      <c r="B41" s="27">
        <v>1</v>
      </c>
      <c r="C41" s="18" t="s">
        <v>453</v>
      </c>
      <c r="D41" s="43" t="s">
        <v>342</v>
      </c>
      <c r="E41" s="43" t="s">
        <v>453</v>
      </c>
      <c r="F41" s="57" t="str">
        <f>'Pod Library'!E7</f>
        <v>Business Analyst (bilingual)</v>
      </c>
      <c r="G41" s="51" t="str">
        <f>'Pod Library'!F7</f>
        <v>BSA</v>
      </c>
      <c r="H41" s="51" t="str">
        <f>'Pod Library'!G7</f>
        <v>E3</v>
      </c>
      <c r="I41" s="51" t="str">
        <f>'Pod Library'!H7</f>
        <v>ON</v>
      </c>
      <c r="J41" s="51" t="str">
        <f>'Pod Library'!I7</f>
        <v>FTC</v>
      </c>
      <c r="K41" s="16">
        <f>'Pod Library'!J7</f>
        <v>0.375</v>
      </c>
      <c r="L41" s="21">
        <f>'Pod Plan'!E7</f>
        <v>2</v>
      </c>
      <c r="M41" s="54">
        <f t="shared" si="0"/>
        <v>0.75</v>
      </c>
      <c r="N41" s="54">
        <f>M41*INDEX('Logic Tree'!$J$85:$N$87,MATCH(I41,'Logic Tree'!$I$85:$I$87,0),MATCH(H41,'Logic Tree'!$J$84:$N$84,0))</f>
        <v>1.0125000000000002</v>
      </c>
    </row>
    <row r="42" spans="2:14" ht="15" customHeight="1">
      <c r="B42" s="27">
        <v>1</v>
      </c>
      <c r="C42" s="18" t="s">
        <v>453</v>
      </c>
      <c r="D42" s="43" t="s">
        <v>342</v>
      </c>
      <c r="E42" s="43" t="s">
        <v>453</v>
      </c>
      <c r="F42" s="57" t="str">
        <f>'Pod Library'!E8</f>
        <v>Pod lead / senior engineer</v>
      </c>
      <c r="G42" s="51" t="str">
        <f>'Pod Library'!F8</f>
        <v>DEV</v>
      </c>
      <c r="H42" s="51" t="str">
        <f>'Pod Library'!G8</f>
        <v>E4</v>
      </c>
      <c r="I42" s="51" t="str">
        <f>'Pod Library'!H8</f>
        <v>ON</v>
      </c>
      <c r="J42" s="51" t="str">
        <f>'Pod Library'!I8</f>
        <v>FTC</v>
      </c>
      <c r="K42" s="16">
        <f>'Pod Library'!J8</f>
        <v>2.375</v>
      </c>
      <c r="L42" s="21">
        <f>'Pod Plan'!E7</f>
        <v>2</v>
      </c>
      <c r="M42" s="54">
        <f t="shared" si="0"/>
        <v>4.75</v>
      </c>
      <c r="N42" s="54">
        <f>M42*INDEX('Logic Tree'!$J$85:$N$87,MATCH(I42,'Logic Tree'!$I$85:$I$87,0),MATCH(H42,'Logic Tree'!$J$84:$N$84,0))</f>
        <v>8.7874999999999996</v>
      </c>
    </row>
    <row r="43" spans="2:14" ht="15" customHeight="1">
      <c r="B43" s="27">
        <v>1</v>
      </c>
      <c r="C43" s="18" t="s">
        <v>453</v>
      </c>
      <c r="D43" s="43" t="s">
        <v>342</v>
      </c>
      <c r="E43" s="43" t="s">
        <v>453</v>
      </c>
      <c r="F43" s="57" t="str">
        <f>'Pod Library'!E9</f>
        <v>Claims Engineer</v>
      </c>
      <c r="G43" s="51" t="str">
        <f>'Pod Library'!F9</f>
        <v>DEV</v>
      </c>
      <c r="H43" s="51" t="str">
        <f>'Pod Library'!G9</f>
        <v>E3</v>
      </c>
      <c r="I43" s="51" t="str">
        <f>'Pod Library'!H9</f>
        <v>OFF</v>
      </c>
      <c r="J43" s="51" t="str">
        <f>'Pod Library'!I9</f>
        <v>FTC</v>
      </c>
      <c r="K43" s="16">
        <f>'Pod Library'!J9</f>
        <v>0</v>
      </c>
      <c r="L43" s="21">
        <f>'Pod Plan'!E7</f>
        <v>2</v>
      </c>
      <c r="M43" s="54">
        <f t="shared" si="0"/>
        <v>0</v>
      </c>
      <c r="N43" s="54">
        <f>M43*INDEX('Logic Tree'!$J$85:$N$87,MATCH(I43,'Logic Tree'!$I$85:$I$87,0),MATCH(H43,'Logic Tree'!$J$84:$N$84,0))</f>
        <v>0</v>
      </c>
    </row>
    <row r="44" spans="2:14" ht="15" customHeight="1">
      <c r="B44" s="27">
        <v>1</v>
      </c>
      <c r="C44" s="18" t="s">
        <v>453</v>
      </c>
      <c r="D44" s="43" t="s">
        <v>342</v>
      </c>
      <c r="E44" s="43" t="s">
        <v>453</v>
      </c>
      <c r="F44" s="57" t="str">
        <f>'Pod Library'!E10</f>
        <v>Claims Engineer</v>
      </c>
      <c r="G44" s="51" t="str">
        <f>'Pod Library'!F10</f>
        <v>DEV</v>
      </c>
      <c r="H44" s="51" t="str">
        <f>'Pod Library'!G10</f>
        <v>E2</v>
      </c>
      <c r="I44" s="51" t="str">
        <f>'Pod Library'!H10</f>
        <v>OFF</v>
      </c>
      <c r="J44" s="51" t="str">
        <f>'Pod Library'!I10</f>
        <v>FTC</v>
      </c>
      <c r="K44" s="16">
        <f>'Pod Library'!J10</f>
        <v>0.25</v>
      </c>
      <c r="L44" s="21">
        <f>'Pod Plan'!E7</f>
        <v>2</v>
      </c>
      <c r="M44" s="54">
        <f t="shared" si="0"/>
        <v>0.5</v>
      </c>
      <c r="N44" s="54">
        <f>M44*INDEX('Logic Tree'!$J$85:$N$87,MATCH(I44,'Logic Tree'!$I$85:$I$87,0),MATCH(H44,'Logic Tree'!$J$84:$N$84,0))</f>
        <v>0.15</v>
      </c>
    </row>
    <row r="45" spans="2:14" ht="15" customHeight="1">
      <c r="B45" s="27">
        <v>1</v>
      </c>
      <c r="C45" s="18" t="s">
        <v>453</v>
      </c>
      <c r="D45" s="43" t="s">
        <v>342</v>
      </c>
      <c r="E45" s="43" t="s">
        <v>453</v>
      </c>
      <c r="F45" s="57" t="str">
        <f>'Pod Library'!E11</f>
        <v>MGCC Payments Engineer</v>
      </c>
      <c r="G45" s="51" t="str">
        <f>'Pod Library'!F11</f>
        <v>DEV</v>
      </c>
      <c r="H45" s="51" t="str">
        <f>'Pod Library'!G11</f>
        <v>E3</v>
      </c>
      <c r="I45" s="51" t="str">
        <f>'Pod Library'!H11</f>
        <v>OFF</v>
      </c>
      <c r="J45" s="51" t="str">
        <f>'Pod Library'!I11</f>
        <v>MGCC</v>
      </c>
      <c r="K45" s="16">
        <f>'Pod Library'!J11</f>
        <v>1.375</v>
      </c>
      <c r="L45" s="21">
        <f>'Pod Plan'!E7</f>
        <v>2</v>
      </c>
      <c r="M45" s="54">
        <f t="shared" si="0"/>
        <v>2.75</v>
      </c>
      <c r="N45" s="54">
        <f>M45*INDEX('Logic Tree'!$J$85:$N$87,MATCH(I45,'Logic Tree'!$I$85:$I$87,0),MATCH(H45,'Logic Tree'!$J$84:$N$84,0))</f>
        <v>1.155</v>
      </c>
    </row>
    <row r="46" spans="2:14" ht="15" customHeight="1">
      <c r="B46" s="27">
        <v>1</v>
      </c>
      <c r="C46" s="18" t="s">
        <v>453</v>
      </c>
      <c r="D46" s="43" t="s">
        <v>342</v>
      </c>
      <c r="E46" s="43" t="s">
        <v>453</v>
      </c>
      <c r="F46" s="57" t="str">
        <f>'Pod Library'!E12</f>
        <v>SDET / Automation Engineer</v>
      </c>
      <c r="G46" s="51" t="str">
        <f>'Pod Library'!F12</f>
        <v>TEST</v>
      </c>
      <c r="H46" s="51" t="str">
        <f>'Pod Library'!G12</f>
        <v>E3</v>
      </c>
      <c r="I46" s="51" t="str">
        <f>'Pod Library'!H12</f>
        <v>OFF</v>
      </c>
      <c r="J46" s="51" t="str">
        <f>'Pod Library'!I12</f>
        <v>FTC</v>
      </c>
      <c r="K46" s="16">
        <f>'Pod Library'!J12</f>
        <v>0</v>
      </c>
      <c r="L46" s="21">
        <f>'Pod Plan'!E7</f>
        <v>2</v>
      </c>
      <c r="M46" s="54">
        <f t="shared" si="0"/>
        <v>0</v>
      </c>
      <c r="N46" s="54">
        <f>M46*INDEX('Logic Tree'!$J$85:$N$87,MATCH(I46,'Logic Tree'!$I$85:$I$87,0),MATCH(H46,'Logic Tree'!$J$84:$N$84,0))</f>
        <v>0</v>
      </c>
    </row>
    <row r="47" spans="2:14" ht="15" customHeight="1">
      <c r="B47" s="27">
        <v>1</v>
      </c>
      <c r="C47" s="18" t="s">
        <v>453</v>
      </c>
      <c r="D47" s="43" t="s">
        <v>342</v>
      </c>
      <c r="E47" s="43" t="s">
        <v>453</v>
      </c>
      <c r="F47" s="57" t="str">
        <f>'Pod Library'!E13</f>
        <v>MGCC Quality Engineer</v>
      </c>
      <c r="G47" s="51" t="str">
        <f>'Pod Library'!F13</f>
        <v>TEST</v>
      </c>
      <c r="H47" s="51" t="str">
        <f>'Pod Library'!G13</f>
        <v>E2</v>
      </c>
      <c r="I47" s="51" t="str">
        <f>'Pod Library'!H13</f>
        <v>OFF</v>
      </c>
      <c r="J47" s="51" t="str">
        <f>'Pod Library'!I13</f>
        <v>MGCC</v>
      </c>
      <c r="K47" s="16">
        <f>'Pod Library'!J13</f>
        <v>0.75</v>
      </c>
      <c r="L47" s="21">
        <f>'Pod Plan'!E7</f>
        <v>2</v>
      </c>
      <c r="M47" s="54">
        <f t="shared" si="0"/>
        <v>1.5</v>
      </c>
      <c r="N47" s="54">
        <f>M47*INDEX('Logic Tree'!$J$85:$N$87,MATCH(I47,'Logic Tree'!$I$85:$I$87,0),MATCH(H47,'Logic Tree'!$J$84:$N$84,0))</f>
        <v>0.44999999999999996</v>
      </c>
    </row>
    <row r="48" spans="2:14" ht="15" customHeight="1">
      <c r="B48" s="27">
        <v>1</v>
      </c>
      <c r="C48" s="18" t="s">
        <v>453</v>
      </c>
      <c r="D48" s="43" t="s">
        <v>342</v>
      </c>
      <c r="E48" s="43" t="s">
        <v>453</v>
      </c>
      <c r="F48" s="57" t="str">
        <f>'Pod Library'!E14</f>
        <v>Solution Architect</v>
      </c>
      <c r="G48" s="51" t="str">
        <f>'Pod Library'!F14</f>
        <v>OTH</v>
      </c>
      <c r="H48" s="51" t="str">
        <f>'Pod Library'!G14</f>
        <v>E5</v>
      </c>
      <c r="I48" s="51" t="str">
        <f>'Pod Library'!H14</f>
        <v>ON</v>
      </c>
      <c r="J48" s="51" t="str">
        <f>'Pod Library'!I14</f>
        <v>FTC</v>
      </c>
      <c r="K48" s="16">
        <f>'Pod Library'!J14</f>
        <v>0.375</v>
      </c>
      <c r="L48" s="21">
        <f>'Pod Plan'!E7</f>
        <v>2</v>
      </c>
      <c r="M48" s="54">
        <f t="shared" si="0"/>
        <v>0.75</v>
      </c>
      <c r="N48" s="54">
        <f>M48*INDEX('Logic Tree'!$J$85:$N$87,MATCH(I48,'Logic Tree'!$I$85:$I$87,0),MATCH(H48,'Logic Tree'!$J$84:$N$84,0))</f>
        <v>1.9124999999999999</v>
      </c>
    </row>
    <row r="49" spans="2:14" ht="15" customHeight="1">
      <c r="B49" s="27">
        <v>1</v>
      </c>
      <c r="C49" s="18" t="s">
        <v>746</v>
      </c>
      <c r="D49" s="51" t="str">
        <f>'Horizontal Teams'!C5</f>
        <v>H1</v>
      </c>
      <c r="E49" s="43" t="s">
        <v>746</v>
      </c>
      <c r="F49" s="57" t="str">
        <f>'Horizontal Teams'!E5</f>
        <v>Service Delivery Manager</v>
      </c>
      <c r="G49" s="51" t="str">
        <f>'Horizontal Teams'!D5</f>
        <v>PM</v>
      </c>
      <c r="H49" s="51" t="str">
        <f>'Horizontal Teams'!F5</f>
        <v>E5</v>
      </c>
      <c r="I49" s="51" t="str">
        <f>'Horizontal Teams'!G5</f>
        <v>ON</v>
      </c>
      <c r="J49" s="51" t="str">
        <f>'Horizontal Teams'!H5</f>
        <v>FTC</v>
      </c>
      <c r="K49" s="16">
        <f>'Horizontal Teams'!I5</f>
        <v>1</v>
      </c>
      <c r="L49" s="27">
        <v>1</v>
      </c>
      <c r="M49" s="54">
        <f t="shared" si="0"/>
        <v>1</v>
      </c>
      <c r="N49" s="54">
        <f>M49*INDEX('Logic Tree'!$J$85:$N$87,MATCH(I49,'Logic Tree'!$I$85:$I$87,0),MATCH(H49,'Logic Tree'!$J$84:$N$84,0))</f>
        <v>2.5499999999999998</v>
      </c>
    </row>
    <row r="50" spans="2:14" ht="15" customHeight="1">
      <c r="B50" s="27">
        <v>1</v>
      </c>
      <c r="C50" s="18" t="s">
        <v>746</v>
      </c>
      <c r="D50" s="51" t="str">
        <f>'Horizontal Teams'!C6</f>
        <v>H1</v>
      </c>
      <c r="E50" s="43" t="s">
        <v>746</v>
      </c>
      <c r="F50" s="57" t="str">
        <f>'Horizontal Teams'!E6</f>
        <v>Incident &amp; Problem Analyst</v>
      </c>
      <c r="G50" s="51" t="str">
        <f>'Horizontal Teams'!D6</f>
        <v>MNT</v>
      </c>
      <c r="H50" s="51" t="str">
        <f>'Horizontal Teams'!F6</f>
        <v>E3</v>
      </c>
      <c r="I50" s="51" t="str">
        <f>'Horizontal Teams'!G6</f>
        <v>ON</v>
      </c>
      <c r="J50" s="51" t="str">
        <f>'Horizontal Teams'!H6</f>
        <v>FTC</v>
      </c>
      <c r="K50" s="16">
        <f>'Horizontal Teams'!I6</f>
        <v>2</v>
      </c>
      <c r="L50" s="27">
        <v>1</v>
      </c>
      <c r="M50" s="54">
        <f t="shared" si="0"/>
        <v>2</v>
      </c>
      <c r="N50" s="54">
        <f>M50*INDEX('Logic Tree'!$J$85:$N$87,MATCH(I50,'Logic Tree'!$I$85:$I$87,0),MATCH(H50,'Logic Tree'!$J$84:$N$84,0))</f>
        <v>2.7</v>
      </c>
    </row>
    <row r="51" spans="2:14" ht="15" customHeight="1">
      <c r="B51" s="27">
        <v>1</v>
      </c>
      <c r="C51" s="18" t="s">
        <v>746</v>
      </c>
      <c r="D51" s="51" t="str">
        <f>'Horizontal Teams'!C7</f>
        <v>H1</v>
      </c>
      <c r="E51" s="43" t="s">
        <v>746</v>
      </c>
      <c r="F51" s="57" t="str">
        <f>'Horizontal Teams'!E7</f>
        <v>L2 Application Support</v>
      </c>
      <c r="G51" s="51" t="str">
        <f>'Horizontal Teams'!D7</f>
        <v>MNT</v>
      </c>
      <c r="H51" s="51" t="str">
        <f>'Horizontal Teams'!F7</f>
        <v>E2</v>
      </c>
      <c r="I51" s="51" t="str">
        <f>'Horizontal Teams'!G7</f>
        <v>OFF</v>
      </c>
      <c r="J51" s="51" t="str">
        <f>'Horizontal Teams'!H7</f>
        <v>FTC</v>
      </c>
      <c r="K51" s="16">
        <f>'Horizontal Teams'!I7</f>
        <v>0.5</v>
      </c>
      <c r="L51" s="27">
        <v>1</v>
      </c>
      <c r="M51" s="54">
        <f t="shared" si="0"/>
        <v>0.5</v>
      </c>
      <c r="N51" s="54">
        <f>M51*INDEX('Logic Tree'!$J$85:$N$87,MATCH(I51,'Logic Tree'!$I$85:$I$87,0),MATCH(H51,'Logic Tree'!$J$84:$N$84,0))</f>
        <v>0.15</v>
      </c>
    </row>
    <row r="52" spans="2:14" ht="15" customHeight="1">
      <c r="B52" s="27">
        <v>1</v>
      </c>
      <c r="C52" s="18" t="s">
        <v>746</v>
      </c>
      <c r="D52" s="51" t="str">
        <f>'Horizontal Teams'!C8</f>
        <v>H1</v>
      </c>
      <c r="E52" s="43" t="s">
        <v>746</v>
      </c>
      <c r="F52" s="57" t="str">
        <f>'Horizontal Teams'!E8</f>
        <v>L2 Application Support</v>
      </c>
      <c r="G52" s="51" t="str">
        <f>'Horizontal Teams'!D8</f>
        <v>MNT</v>
      </c>
      <c r="H52" s="51" t="str">
        <f>'Horizontal Teams'!F8</f>
        <v>E2</v>
      </c>
      <c r="I52" s="51" t="str">
        <f>'Horizontal Teams'!G8</f>
        <v>NEAR</v>
      </c>
      <c r="J52" s="51" t="str">
        <f>'Horizontal Teams'!H8</f>
        <v>FTC</v>
      </c>
      <c r="K52" s="16">
        <f>'Horizontal Teams'!I8</f>
        <v>0.5</v>
      </c>
      <c r="L52" s="27">
        <v>1</v>
      </c>
      <c r="M52" s="54">
        <f t="shared" si="0"/>
        <v>0.5</v>
      </c>
      <c r="N52" s="54">
        <f>M52*INDEX('Logic Tree'!$J$85:$N$87,MATCH(I52,'Logic Tree'!$I$85:$I$87,0),MATCH(H52,'Logic Tree'!$J$84:$N$84,0))</f>
        <v>0.31</v>
      </c>
    </row>
    <row r="53" spans="2:14" ht="15" customHeight="1">
      <c r="B53" s="27">
        <v>1</v>
      </c>
      <c r="C53" s="18" t="s">
        <v>746</v>
      </c>
      <c r="D53" s="51" t="str">
        <f>'Horizontal Teams'!C9</f>
        <v>H1</v>
      </c>
      <c r="E53" s="43" t="s">
        <v>746</v>
      </c>
      <c r="F53" s="57" t="str">
        <f>'Horizontal Teams'!E9</f>
        <v>Observability / AIOps Engineer</v>
      </c>
      <c r="G53" s="51" t="str">
        <f>'Horizontal Teams'!D9</f>
        <v>OTH</v>
      </c>
      <c r="H53" s="51" t="str">
        <f>'Horizontal Teams'!F9</f>
        <v>E3</v>
      </c>
      <c r="I53" s="51" t="str">
        <f>'Horizontal Teams'!G9</f>
        <v>OFF</v>
      </c>
      <c r="J53" s="51" t="str">
        <f>'Horizontal Teams'!H9</f>
        <v>FTC</v>
      </c>
      <c r="K53" s="16">
        <f>'Horizontal Teams'!I9</f>
        <v>0.5</v>
      </c>
      <c r="L53" s="27">
        <v>1</v>
      </c>
      <c r="M53" s="54">
        <f t="shared" si="0"/>
        <v>0.5</v>
      </c>
      <c r="N53" s="54">
        <f>M53*INDEX('Logic Tree'!$J$85:$N$87,MATCH(I53,'Logic Tree'!$I$85:$I$87,0),MATCH(H53,'Logic Tree'!$J$84:$N$84,0))</f>
        <v>0.21</v>
      </c>
    </row>
    <row r="54" spans="2:14" ht="15" customHeight="1">
      <c r="B54" s="27">
        <v>1</v>
      </c>
      <c r="C54" s="18" t="s">
        <v>746</v>
      </c>
      <c r="D54" s="51" t="str">
        <f>'Horizontal Teams'!C10</f>
        <v>H1</v>
      </c>
      <c r="E54" s="43" t="s">
        <v>746</v>
      </c>
      <c r="F54" s="57" t="str">
        <f>'Horizontal Teams'!E10</f>
        <v>MetLife Operations Lead</v>
      </c>
      <c r="G54" s="51" t="str">
        <f>'Horizontal Teams'!D10</f>
        <v>MNT</v>
      </c>
      <c r="H54" s="51" t="str">
        <f>'Horizontal Teams'!F10</f>
        <v>E4</v>
      </c>
      <c r="I54" s="51" t="str">
        <f>'Horizontal Teams'!G10</f>
        <v>ON</v>
      </c>
      <c r="J54" s="51" t="str">
        <f>'Horizontal Teams'!H10</f>
        <v>FTE</v>
      </c>
      <c r="K54" s="16">
        <f>'Horizontal Teams'!I10</f>
        <v>2.5</v>
      </c>
      <c r="L54" s="27">
        <v>1</v>
      </c>
      <c r="M54" s="54">
        <f t="shared" si="0"/>
        <v>2.5</v>
      </c>
      <c r="N54" s="54">
        <f>M54*INDEX('Logic Tree'!$J$85:$N$87,MATCH(I54,'Logic Tree'!$I$85:$I$87,0),MATCH(H54,'Logic Tree'!$J$84:$N$84,0))</f>
        <v>4.625</v>
      </c>
    </row>
    <row r="55" spans="2:14" ht="15" customHeight="1">
      <c r="B55" s="27">
        <v>1</v>
      </c>
      <c r="C55" s="18" t="s">
        <v>746</v>
      </c>
      <c r="D55" s="51" t="str">
        <f>'Horizontal Teams'!C11</f>
        <v>H2</v>
      </c>
      <c r="E55" s="43" t="s">
        <v>746</v>
      </c>
      <c r="F55" s="57" t="str">
        <f>'Horizontal Teams'!E11</f>
        <v>Quality Lead</v>
      </c>
      <c r="G55" s="51" t="str">
        <f>'Horizontal Teams'!D11</f>
        <v>TEST</v>
      </c>
      <c r="H55" s="51" t="str">
        <f>'Horizontal Teams'!F11</f>
        <v>E4</v>
      </c>
      <c r="I55" s="51" t="str">
        <f>'Horizontal Teams'!G11</f>
        <v>ON</v>
      </c>
      <c r="J55" s="51" t="str">
        <f>'Horizontal Teams'!H11</f>
        <v>FTC</v>
      </c>
      <c r="K55" s="16">
        <f>'Horizontal Teams'!I11</f>
        <v>0.5</v>
      </c>
      <c r="L55" s="27">
        <v>1</v>
      </c>
      <c r="M55" s="54">
        <f t="shared" si="0"/>
        <v>0.5</v>
      </c>
      <c r="N55" s="54">
        <f>M55*INDEX('Logic Tree'!$J$85:$N$87,MATCH(I55,'Logic Tree'!$I$85:$I$87,0),MATCH(H55,'Logic Tree'!$J$84:$N$84,0))</f>
        <v>0.92500000000000004</v>
      </c>
    </row>
    <row r="56" spans="2:14" ht="15" customHeight="1">
      <c r="B56" s="27">
        <v>1</v>
      </c>
      <c r="C56" s="18" t="s">
        <v>746</v>
      </c>
      <c r="D56" s="51" t="str">
        <f>'Horizontal Teams'!C12</f>
        <v>H2</v>
      </c>
      <c r="E56" s="43" t="s">
        <v>746</v>
      </c>
      <c r="F56" s="57" t="str">
        <f>'Horizontal Teams'!E12</f>
        <v>Test Automation Engineer</v>
      </c>
      <c r="G56" s="51" t="str">
        <f>'Horizontal Teams'!D12</f>
        <v>TEST</v>
      </c>
      <c r="H56" s="51" t="str">
        <f>'Horizontal Teams'!F12</f>
        <v>E3</v>
      </c>
      <c r="I56" s="51" t="str">
        <f>'Horizontal Teams'!G12</f>
        <v>OFF</v>
      </c>
      <c r="J56" s="51" t="str">
        <f>'Horizontal Teams'!H12</f>
        <v>FTC</v>
      </c>
      <c r="K56" s="16">
        <f>'Horizontal Teams'!I12</f>
        <v>0.5</v>
      </c>
      <c r="L56" s="27">
        <v>1</v>
      </c>
      <c r="M56" s="54">
        <f t="shared" si="0"/>
        <v>0.5</v>
      </c>
      <c r="N56" s="54">
        <f>M56*INDEX('Logic Tree'!$J$85:$N$87,MATCH(I56,'Logic Tree'!$I$85:$I$87,0),MATCH(H56,'Logic Tree'!$J$84:$N$84,0))</f>
        <v>0.21</v>
      </c>
    </row>
    <row r="57" spans="2:14" ht="15" customHeight="1">
      <c r="B57" s="27">
        <v>1</v>
      </c>
      <c r="C57" s="18" t="s">
        <v>746</v>
      </c>
      <c r="D57" s="51" t="str">
        <f>'Horizontal Teams'!C13</f>
        <v>H2</v>
      </c>
      <c r="E57" s="43" t="s">
        <v>746</v>
      </c>
      <c r="F57" s="57" t="str">
        <f>'Horizontal Teams'!E13</f>
        <v>Performance &amp; Batch Test Engineer</v>
      </c>
      <c r="G57" s="51" t="str">
        <f>'Horizontal Teams'!D13</f>
        <v>TEST</v>
      </c>
      <c r="H57" s="51" t="str">
        <f>'Horizontal Teams'!F13</f>
        <v>E3</v>
      </c>
      <c r="I57" s="51" t="str">
        <f>'Horizontal Teams'!G13</f>
        <v>OFF</v>
      </c>
      <c r="J57" s="51" t="str">
        <f>'Horizontal Teams'!H13</f>
        <v>FTC</v>
      </c>
      <c r="K57" s="16">
        <f>'Horizontal Teams'!I13</f>
        <v>0.5</v>
      </c>
      <c r="L57" s="27">
        <v>1</v>
      </c>
      <c r="M57" s="54">
        <f t="shared" si="0"/>
        <v>0.5</v>
      </c>
      <c r="N57" s="54">
        <f>M57*INDEX('Logic Tree'!$J$85:$N$87,MATCH(I57,'Logic Tree'!$I$85:$I$87,0),MATCH(H57,'Logic Tree'!$J$84:$N$84,0))</f>
        <v>0.21</v>
      </c>
    </row>
    <row r="58" spans="2:14" ht="15" customHeight="1">
      <c r="B58" s="27">
        <v>1</v>
      </c>
      <c r="C58" s="18" t="s">
        <v>746</v>
      </c>
      <c r="D58" s="51" t="str">
        <f>'Horizontal Teams'!C14</f>
        <v>H2</v>
      </c>
      <c r="E58" s="43" t="s">
        <v>746</v>
      </c>
      <c r="F58" s="57" t="str">
        <f>'Horizontal Teams'!E14</f>
        <v>MGCC Quality Engineer</v>
      </c>
      <c r="G58" s="51" t="str">
        <f>'Horizontal Teams'!D14</f>
        <v>TEST</v>
      </c>
      <c r="H58" s="51" t="str">
        <f>'Horizontal Teams'!F14</f>
        <v>E2</v>
      </c>
      <c r="I58" s="51" t="str">
        <f>'Horizontal Teams'!G14</f>
        <v>OFF</v>
      </c>
      <c r="J58" s="51" t="str">
        <f>'Horizontal Teams'!H14</f>
        <v>MGCC</v>
      </c>
      <c r="K58" s="16">
        <f>'Horizontal Teams'!I14</f>
        <v>3</v>
      </c>
      <c r="L58" s="27">
        <v>1</v>
      </c>
      <c r="M58" s="54">
        <f t="shared" si="0"/>
        <v>3</v>
      </c>
      <c r="N58" s="54">
        <f>M58*INDEX('Logic Tree'!$J$85:$N$87,MATCH(I58,'Logic Tree'!$I$85:$I$87,0),MATCH(H58,'Logic Tree'!$J$84:$N$84,0))</f>
        <v>0.89999999999999991</v>
      </c>
    </row>
    <row r="59" spans="2:14" ht="15" customHeight="1">
      <c r="B59" s="27">
        <v>1</v>
      </c>
      <c r="C59" s="18" t="s">
        <v>746</v>
      </c>
      <c r="D59" s="51" t="str">
        <f>'Horizontal Teams'!C15</f>
        <v>H2</v>
      </c>
      <c r="E59" s="43" t="s">
        <v>746</v>
      </c>
      <c r="F59" s="57" t="str">
        <f>'Horizontal Teams'!E15</f>
        <v>Payments Assurance Analyst</v>
      </c>
      <c r="G59" s="51" t="str">
        <f>'Horizontal Teams'!D15</f>
        <v>BSA</v>
      </c>
      <c r="H59" s="51" t="str">
        <f>'Horizontal Teams'!F15</f>
        <v>E3</v>
      </c>
      <c r="I59" s="51" t="str">
        <f>'Horizontal Teams'!G15</f>
        <v>ON</v>
      </c>
      <c r="J59" s="51" t="str">
        <f>'Horizontal Teams'!H15</f>
        <v>FTC</v>
      </c>
      <c r="K59" s="16">
        <f>'Horizontal Teams'!I15</f>
        <v>1.5</v>
      </c>
      <c r="L59" s="27">
        <v>1</v>
      </c>
      <c r="M59" s="54">
        <f t="shared" si="0"/>
        <v>1.5</v>
      </c>
      <c r="N59" s="54">
        <f>M59*INDEX('Logic Tree'!$J$85:$N$87,MATCH(I59,'Logic Tree'!$I$85:$I$87,0),MATCH(H59,'Logic Tree'!$J$84:$N$84,0))</f>
        <v>2.0250000000000004</v>
      </c>
    </row>
    <row r="60" spans="2:14" ht="15" customHeight="1">
      <c r="B60" s="27">
        <v>1</v>
      </c>
      <c r="C60" s="18" t="s">
        <v>746</v>
      </c>
      <c r="D60" s="51" t="str">
        <f>'Horizontal Teams'!C16</f>
        <v>H3</v>
      </c>
      <c r="E60" s="43" t="s">
        <v>746</v>
      </c>
      <c r="F60" s="57" t="str">
        <f>'Horizontal Teams'!E16</f>
        <v>Domain Solution Architect</v>
      </c>
      <c r="G60" s="51" t="str">
        <f>'Horizontal Teams'!D16</f>
        <v>OTH</v>
      </c>
      <c r="H60" s="51" t="str">
        <f>'Horizontal Teams'!F16</f>
        <v>E5</v>
      </c>
      <c r="I60" s="51" t="str">
        <f>'Horizontal Teams'!G16</f>
        <v>ON</v>
      </c>
      <c r="J60" s="51" t="str">
        <f>'Horizontal Teams'!H16</f>
        <v>FTC</v>
      </c>
      <c r="K60" s="16">
        <f>'Horizontal Teams'!I16</f>
        <v>0.5</v>
      </c>
      <c r="L60" s="27">
        <v>1</v>
      </c>
      <c r="M60" s="54">
        <f t="shared" si="0"/>
        <v>0.5</v>
      </c>
      <c r="N60" s="54">
        <f>M60*INDEX('Logic Tree'!$J$85:$N$87,MATCH(I60,'Logic Tree'!$I$85:$I$87,0),MATCH(H60,'Logic Tree'!$J$84:$N$84,0))</f>
        <v>1.2749999999999999</v>
      </c>
    </row>
    <row r="61" spans="2:14" ht="15" customHeight="1">
      <c r="B61" s="27">
        <v>1</v>
      </c>
      <c r="C61" s="18" t="s">
        <v>746</v>
      </c>
      <c r="D61" s="51" t="str">
        <f>'Horizontal Teams'!C17</f>
        <v>H3</v>
      </c>
      <c r="E61" s="43" t="s">
        <v>746</v>
      </c>
      <c r="F61" s="57" t="str">
        <f>'Horizontal Teams'!E17</f>
        <v>Release Manager</v>
      </c>
      <c r="G61" s="51" t="str">
        <f>'Horizontal Teams'!D17</f>
        <v>OTH</v>
      </c>
      <c r="H61" s="51" t="str">
        <f>'Horizontal Teams'!F17</f>
        <v>E4</v>
      </c>
      <c r="I61" s="51" t="str">
        <f>'Horizontal Teams'!G17</f>
        <v>ON</v>
      </c>
      <c r="J61" s="51" t="str">
        <f>'Horizontal Teams'!H17</f>
        <v>FTC</v>
      </c>
      <c r="K61" s="16">
        <f>'Horizontal Teams'!I17</f>
        <v>0.5</v>
      </c>
      <c r="L61" s="27">
        <v>1</v>
      </c>
      <c r="M61" s="54">
        <f t="shared" si="0"/>
        <v>0.5</v>
      </c>
      <c r="N61" s="54">
        <f>M61*INDEX('Logic Tree'!$J$85:$N$87,MATCH(I61,'Logic Tree'!$I$85:$I$87,0),MATCH(H61,'Logic Tree'!$J$84:$N$84,0))</f>
        <v>0.92500000000000004</v>
      </c>
    </row>
    <row r="62" spans="2:14" ht="15" customHeight="1">
      <c r="B62" s="27">
        <v>1</v>
      </c>
      <c r="C62" s="18" t="s">
        <v>746</v>
      </c>
      <c r="D62" s="51" t="str">
        <f>'Horizontal Teams'!C18</f>
        <v>H3</v>
      </c>
      <c r="E62" s="43" t="s">
        <v>746</v>
      </c>
      <c r="F62" s="57" t="str">
        <f>'Horizontal Teams'!E18</f>
        <v>DevOps / Platform Engineer</v>
      </c>
      <c r="G62" s="51" t="str">
        <f>'Horizontal Teams'!D18</f>
        <v>OTH</v>
      </c>
      <c r="H62" s="51" t="str">
        <f>'Horizontal Teams'!F18</f>
        <v>E3</v>
      </c>
      <c r="I62" s="51" t="str">
        <f>'Horizontal Teams'!G18</f>
        <v>OFF</v>
      </c>
      <c r="J62" s="51" t="str">
        <f>'Horizontal Teams'!H18</f>
        <v>FTC</v>
      </c>
      <c r="K62" s="16">
        <f>'Horizontal Teams'!I18</f>
        <v>0.5</v>
      </c>
      <c r="L62" s="27">
        <v>1</v>
      </c>
      <c r="M62" s="54">
        <f t="shared" si="0"/>
        <v>0.5</v>
      </c>
      <c r="N62" s="54">
        <f>M62*INDEX('Logic Tree'!$J$85:$N$87,MATCH(I62,'Logic Tree'!$I$85:$I$87,0),MATCH(H62,'Logic Tree'!$J$84:$N$84,0))</f>
        <v>0.21</v>
      </c>
    </row>
    <row r="63" spans="2:14" ht="15" customHeight="1">
      <c r="B63" s="27">
        <v>1</v>
      </c>
      <c r="C63" s="18" t="s">
        <v>746</v>
      </c>
      <c r="D63" s="51" t="str">
        <f>'Horizontal Teams'!C19</f>
        <v>H3</v>
      </c>
      <c r="E63" s="43" t="s">
        <v>746</v>
      </c>
      <c r="F63" s="57" t="str">
        <f>'Horizontal Teams'!E19</f>
        <v>Delivery Manager</v>
      </c>
      <c r="G63" s="51" t="str">
        <f>'Horizontal Teams'!D19</f>
        <v>PM</v>
      </c>
      <c r="H63" s="51" t="str">
        <f>'Horizontal Teams'!F19</f>
        <v>E4</v>
      </c>
      <c r="I63" s="51" t="str">
        <f>'Horizontal Teams'!G19</f>
        <v>ON</v>
      </c>
      <c r="J63" s="51" t="str">
        <f>'Horizontal Teams'!H19</f>
        <v>FTC</v>
      </c>
      <c r="K63" s="16">
        <f>'Horizontal Teams'!I19</f>
        <v>3.5</v>
      </c>
      <c r="L63" s="27">
        <v>1</v>
      </c>
      <c r="M63" s="54">
        <f t="shared" si="0"/>
        <v>3.5</v>
      </c>
      <c r="N63" s="54">
        <f>M63*INDEX('Logic Tree'!$J$85:$N$87,MATCH(I63,'Logic Tree'!$I$85:$I$87,0),MATCH(H63,'Logic Tree'!$J$84:$N$84,0))</f>
        <v>6.4750000000000005</v>
      </c>
    </row>
    <row r="64" spans="2:14" ht="15" customHeight="1">
      <c r="B64" s="27">
        <v>1</v>
      </c>
      <c r="C64" s="18" t="s">
        <v>746</v>
      </c>
      <c r="D64" s="51" t="str">
        <f>'Horizontal Teams'!C20</f>
        <v>H3</v>
      </c>
      <c r="E64" s="43" t="s">
        <v>746</v>
      </c>
      <c r="F64" s="57" t="str">
        <f>'Horizontal Teams'!E20</f>
        <v>Knowledge &amp; Enablement Lead</v>
      </c>
      <c r="G64" s="51" t="str">
        <f>'Horizontal Teams'!D20</f>
        <v>BSA</v>
      </c>
      <c r="H64" s="51" t="str">
        <f>'Horizontal Teams'!F20</f>
        <v>E3</v>
      </c>
      <c r="I64" s="51" t="str">
        <f>'Horizontal Teams'!G20</f>
        <v>OFF</v>
      </c>
      <c r="J64" s="51" t="str">
        <f>'Horizontal Teams'!H20</f>
        <v>FTC</v>
      </c>
      <c r="K64" s="16">
        <f>'Horizontal Teams'!I20</f>
        <v>0.5</v>
      </c>
      <c r="L64" s="27">
        <v>1</v>
      </c>
      <c r="M64" s="54">
        <f t="shared" si="0"/>
        <v>0.5</v>
      </c>
      <c r="N64" s="54">
        <f>M64*INDEX('Logic Tree'!$J$85:$N$87,MATCH(I64,'Logic Tree'!$I$85:$I$87,0),MATCH(H64,'Logic Tree'!$J$84:$N$84,0))</f>
        <v>0.21</v>
      </c>
    </row>
    <row r="65" spans="2:14" ht="15" customHeight="1">
      <c r="B65" s="27">
        <v>1</v>
      </c>
      <c r="C65" s="18" t="s">
        <v>746</v>
      </c>
      <c r="D65" s="51" t="str">
        <f>'Horizontal Teams'!C21</f>
        <v>H3</v>
      </c>
      <c r="E65" s="43" t="s">
        <v>746</v>
      </c>
      <c r="F65" s="57" t="str">
        <f>'Horizontal Teams'!E21</f>
        <v>AI Orchestration Engineer</v>
      </c>
      <c r="G65" s="51" t="str">
        <f>'Horizontal Teams'!D21</f>
        <v>DEV</v>
      </c>
      <c r="H65" s="51" t="str">
        <f>'Horizontal Teams'!F21</f>
        <v>E4</v>
      </c>
      <c r="I65" s="51" t="str">
        <f>'Horizontal Teams'!G21</f>
        <v>OFF</v>
      </c>
      <c r="J65" s="51" t="str">
        <f>'Horizontal Teams'!H21</f>
        <v>FTC</v>
      </c>
      <c r="K65" s="16">
        <f>'Horizontal Teams'!I21</f>
        <v>0.5</v>
      </c>
      <c r="L65" s="27">
        <v>1</v>
      </c>
      <c r="M65" s="54">
        <f t="shared" si="0"/>
        <v>0.5</v>
      </c>
      <c r="N65" s="54">
        <f>M65*INDEX('Logic Tree'!$J$85:$N$87,MATCH(I65,'Logic Tree'!$I$85:$I$87,0),MATCH(H65,'Logic Tree'!$J$84:$N$84,0))</f>
        <v>0.3</v>
      </c>
    </row>
    <row r="66" spans="2:14" ht="15" customHeight="1">
      <c r="B66" s="27">
        <v>1</v>
      </c>
      <c r="C66" s="18" t="s">
        <v>746</v>
      </c>
      <c r="D66" s="51" t="str">
        <f>'Horizontal Teams'!C22</f>
        <v>H3</v>
      </c>
      <c r="E66" s="43" t="s">
        <v>746</v>
      </c>
      <c r="F66" s="57" t="str">
        <f>'Horizontal Teams'!E22</f>
        <v>MetLife Portfolio Lead</v>
      </c>
      <c r="G66" s="51" t="str">
        <f>'Horizontal Teams'!D22</f>
        <v>PM</v>
      </c>
      <c r="H66" s="51" t="str">
        <f>'Horizontal Teams'!F22</f>
        <v>E4</v>
      </c>
      <c r="I66" s="51" t="str">
        <f>'Horizontal Teams'!G22</f>
        <v>ON</v>
      </c>
      <c r="J66" s="51" t="str">
        <f>'Horizontal Teams'!H22</f>
        <v>FTE</v>
      </c>
      <c r="K66" s="16">
        <f>'Horizontal Teams'!I22</f>
        <v>1</v>
      </c>
      <c r="L66" s="27">
        <v>1</v>
      </c>
      <c r="M66" s="54">
        <f t="shared" si="0"/>
        <v>1</v>
      </c>
      <c r="N66" s="54">
        <f>M66*INDEX('Logic Tree'!$J$85:$N$87,MATCH(I66,'Logic Tree'!$I$85:$I$87,0),MATCH(H66,'Logic Tree'!$J$84:$N$84,0))</f>
        <v>1.85</v>
      </c>
    </row>
    <row r="67" spans="2:14" ht="15" customHeight="1">
      <c r="B67" s="27">
        <v>1</v>
      </c>
      <c r="C67" s="18" t="s">
        <v>746</v>
      </c>
      <c r="D67" s="51" t="str">
        <f>'Horizontal Teams'!C23</f>
        <v>H3</v>
      </c>
      <c r="E67" s="43" t="s">
        <v>746</v>
      </c>
      <c r="F67" s="57" t="str">
        <f>'Horizontal Teams'!E23</f>
        <v>MGCC Engineering Lead</v>
      </c>
      <c r="G67" s="51" t="str">
        <f>'Horizontal Teams'!D23</f>
        <v>DEV</v>
      </c>
      <c r="H67" s="51" t="str">
        <f>'Horizontal Teams'!F23</f>
        <v>E4</v>
      </c>
      <c r="I67" s="51" t="str">
        <f>'Horizontal Teams'!G23</f>
        <v>OFF</v>
      </c>
      <c r="J67" s="51" t="str">
        <f>'Horizontal Teams'!H23</f>
        <v>MGCC</v>
      </c>
      <c r="K67" s="16">
        <f>'Horizontal Teams'!I23</f>
        <v>1.5</v>
      </c>
      <c r="L67" s="27">
        <v>1</v>
      </c>
      <c r="M67" s="54">
        <f t="shared" si="0"/>
        <v>1.5</v>
      </c>
      <c r="N67" s="54">
        <f>M67*INDEX('Logic Tree'!$J$85:$N$87,MATCH(I67,'Logic Tree'!$I$85:$I$87,0),MATCH(H67,'Logic Tree'!$J$84:$N$84,0))</f>
        <v>0.89999999999999991</v>
      </c>
    </row>
    <row r="68" spans="2:14" ht="15" customHeight="1">
      <c r="B68" s="27">
        <v>2</v>
      </c>
      <c r="C68" s="18" t="s">
        <v>453</v>
      </c>
      <c r="D68" s="43" t="s">
        <v>340</v>
      </c>
      <c r="E68" s="43" t="s">
        <v>453</v>
      </c>
      <c r="F68" s="57" t="str">
        <f>'Pod Library'!E31</f>
        <v>MetLife Claims Product Owner</v>
      </c>
      <c r="G68" s="51" t="str">
        <f>'Pod Library'!F31</f>
        <v>PM</v>
      </c>
      <c r="H68" s="51" t="str">
        <f>'Pod Library'!G31</f>
        <v>E4</v>
      </c>
      <c r="I68" s="51" t="str">
        <f>'Pod Library'!H31</f>
        <v>ON</v>
      </c>
      <c r="J68" s="51" t="str">
        <f>'Pod Library'!I31</f>
        <v>FTE</v>
      </c>
      <c r="K68" s="16">
        <f>'Pod Library'!J31</f>
        <v>0.57142857142857095</v>
      </c>
      <c r="L68" s="21">
        <f>'Pod Plan'!E10</f>
        <v>4</v>
      </c>
      <c r="M68" s="54">
        <f t="shared" si="0"/>
        <v>2.2857142857142838</v>
      </c>
      <c r="N68" s="54">
        <f>M68*INDEX('Logic Tree'!$J$85:$N$87,MATCH(I68,'Logic Tree'!$I$85:$I$87,0),MATCH(H68,'Logic Tree'!$J$84:$N$84,0))</f>
        <v>4.2285714285714251</v>
      </c>
    </row>
    <row r="69" spans="2:14" ht="15" customHeight="1">
      <c r="B69" s="27">
        <v>2</v>
      </c>
      <c r="C69" s="18" t="s">
        <v>453</v>
      </c>
      <c r="D69" s="43" t="s">
        <v>340</v>
      </c>
      <c r="E69" s="43" t="s">
        <v>453</v>
      </c>
      <c r="F69" s="57" t="str">
        <f>'Pod Library'!E32</f>
        <v>MetLife Claims SME</v>
      </c>
      <c r="G69" s="51" t="str">
        <f>'Pod Library'!F32</f>
        <v>BSA</v>
      </c>
      <c r="H69" s="51" t="str">
        <f>'Pod Library'!G32</f>
        <v>E4</v>
      </c>
      <c r="I69" s="51" t="str">
        <f>'Pod Library'!H32</f>
        <v>ON</v>
      </c>
      <c r="J69" s="51" t="str">
        <f>'Pod Library'!I32</f>
        <v>FTE</v>
      </c>
      <c r="K69" s="16">
        <f>'Pod Library'!J32</f>
        <v>0.42857142857142899</v>
      </c>
      <c r="L69" s="21">
        <f>'Pod Plan'!E10</f>
        <v>4</v>
      </c>
      <c r="M69" s="54">
        <f t="shared" ref="M69:M132" si="1">K69*L69</f>
        <v>1.714285714285716</v>
      </c>
      <c r="N69" s="54">
        <f>M69*INDEX('Logic Tree'!$J$85:$N$87,MATCH(I69,'Logic Tree'!$I$85:$I$87,0),MATCH(H69,'Logic Tree'!$J$84:$N$84,0))</f>
        <v>3.1714285714285748</v>
      </c>
    </row>
    <row r="70" spans="2:14" ht="15" customHeight="1">
      <c r="B70" s="27">
        <v>2</v>
      </c>
      <c r="C70" s="18" t="s">
        <v>453</v>
      </c>
      <c r="D70" s="43" t="s">
        <v>340</v>
      </c>
      <c r="E70" s="43" t="s">
        <v>453</v>
      </c>
      <c r="F70" s="57" t="str">
        <f>'Pod Library'!E33</f>
        <v>Business Analyst (bilingual)</v>
      </c>
      <c r="G70" s="51" t="str">
        <f>'Pod Library'!F33</f>
        <v>BSA</v>
      </c>
      <c r="H70" s="51" t="str">
        <f>'Pod Library'!G33</f>
        <v>E3</v>
      </c>
      <c r="I70" s="51" t="str">
        <f>'Pod Library'!H33</f>
        <v>ON</v>
      </c>
      <c r="J70" s="51" t="str">
        <f>'Pod Library'!I33</f>
        <v>FTC</v>
      </c>
      <c r="K70" s="16">
        <f>'Pod Library'!J33</f>
        <v>1</v>
      </c>
      <c r="L70" s="21">
        <f>'Pod Plan'!E10</f>
        <v>4</v>
      </c>
      <c r="M70" s="54">
        <f t="shared" si="1"/>
        <v>4</v>
      </c>
      <c r="N70" s="54">
        <f>M70*INDEX('Logic Tree'!$J$85:$N$87,MATCH(I70,'Logic Tree'!$I$85:$I$87,0),MATCH(H70,'Logic Tree'!$J$84:$N$84,0))</f>
        <v>5.4</v>
      </c>
    </row>
    <row r="71" spans="2:14" ht="15" customHeight="1">
      <c r="B71" s="27">
        <v>2</v>
      </c>
      <c r="C71" s="18" t="s">
        <v>453</v>
      </c>
      <c r="D71" s="43" t="s">
        <v>340</v>
      </c>
      <c r="E71" s="43" t="s">
        <v>453</v>
      </c>
      <c r="F71" s="57" t="str">
        <f>'Pod Library'!E34</f>
        <v>Pod lead / senior engineer</v>
      </c>
      <c r="G71" s="51" t="str">
        <f>'Pod Library'!F34</f>
        <v>DEV</v>
      </c>
      <c r="H71" s="51" t="str">
        <f>'Pod Library'!G34</f>
        <v>E4</v>
      </c>
      <c r="I71" s="51" t="str">
        <f>'Pod Library'!H34</f>
        <v>ON</v>
      </c>
      <c r="J71" s="51" t="str">
        <f>'Pod Library'!I34</f>
        <v>FTC</v>
      </c>
      <c r="K71" s="16">
        <f>'Pod Library'!J34</f>
        <v>1.3571428571428601</v>
      </c>
      <c r="L71" s="21">
        <f>'Pod Plan'!E10</f>
        <v>4</v>
      </c>
      <c r="M71" s="54">
        <f t="shared" si="1"/>
        <v>5.4285714285714404</v>
      </c>
      <c r="N71" s="54">
        <f>M71*INDEX('Logic Tree'!$J$85:$N$87,MATCH(I71,'Logic Tree'!$I$85:$I$87,0),MATCH(H71,'Logic Tree'!$J$84:$N$84,0))</f>
        <v>10.042857142857166</v>
      </c>
    </row>
    <row r="72" spans="2:14" ht="15" customHeight="1">
      <c r="B72" s="27">
        <v>2</v>
      </c>
      <c r="C72" s="18" t="s">
        <v>453</v>
      </c>
      <c r="D72" s="43" t="s">
        <v>340</v>
      </c>
      <c r="E72" s="43" t="s">
        <v>453</v>
      </c>
      <c r="F72" s="57" t="str">
        <f>'Pod Library'!E35</f>
        <v>Claims Engineer</v>
      </c>
      <c r="G72" s="51" t="str">
        <f>'Pod Library'!F35</f>
        <v>DEV</v>
      </c>
      <c r="H72" s="51" t="str">
        <f>'Pod Library'!G35</f>
        <v>E3</v>
      </c>
      <c r="I72" s="51" t="str">
        <f>'Pod Library'!H35</f>
        <v>OFF</v>
      </c>
      <c r="J72" s="51" t="str">
        <f>'Pod Library'!I35</f>
        <v>FTC</v>
      </c>
      <c r="K72" s="16">
        <f>'Pod Library'!J35</f>
        <v>0.64285714285714302</v>
      </c>
      <c r="L72" s="21">
        <f>'Pod Plan'!E10</f>
        <v>4</v>
      </c>
      <c r="M72" s="54">
        <f t="shared" si="1"/>
        <v>2.5714285714285721</v>
      </c>
      <c r="N72" s="54">
        <f>M72*INDEX('Logic Tree'!$J$85:$N$87,MATCH(I72,'Logic Tree'!$I$85:$I$87,0),MATCH(H72,'Logic Tree'!$J$84:$N$84,0))</f>
        <v>1.0800000000000003</v>
      </c>
    </row>
    <row r="73" spans="2:14" ht="15" customHeight="1">
      <c r="B73" s="27">
        <v>2</v>
      </c>
      <c r="C73" s="18" t="s">
        <v>453</v>
      </c>
      <c r="D73" s="43" t="s">
        <v>340</v>
      </c>
      <c r="E73" s="43" t="s">
        <v>453</v>
      </c>
      <c r="F73" s="57" t="str">
        <f>'Pod Library'!E36</f>
        <v>Claims Engineer</v>
      </c>
      <c r="G73" s="51" t="str">
        <f>'Pod Library'!F36</f>
        <v>DEV</v>
      </c>
      <c r="H73" s="51" t="str">
        <f>'Pod Library'!G36</f>
        <v>E2</v>
      </c>
      <c r="I73" s="51" t="str">
        <f>'Pod Library'!H36</f>
        <v>OFF</v>
      </c>
      <c r="J73" s="51" t="str">
        <f>'Pod Library'!I36</f>
        <v>FTC</v>
      </c>
      <c r="K73" s="16">
        <f>'Pod Library'!J36</f>
        <v>0.57142857142857095</v>
      </c>
      <c r="L73" s="21">
        <f>'Pod Plan'!E10</f>
        <v>4</v>
      </c>
      <c r="M73" s="54">
        <f t="shared" si="1"/>
        <v>2.2857142857142838</v>
      </c>
      <c r="N73" s="54">
        <f>M73*INDEX('Logic Tree'!$J$85:$N$87,MATCH(I73,'Logic Tree'!$I$85:$I$87,0),MATCH(H73,'Logic Tree'!$J$84:$N$84,0))</f>
        <v>0.68571428571428517</v>
      </c>
    </row>
    <row r="74" spans="2:14" ht="15" customHeight="1">
      <c r="B74" s="27">
        <v>2</v>
      </c>
      <c r="C74" s="18" t="s">
        <v>453</v>
      </c>
      <c r="D74" s="43" t="s">
        <v>340</v>
      </c>
      <c r="E74" s="43" t="s">
        <v>453</v>
      </c>
      <c r="F74" s="57" t="str">
        <f>'Pod Library'!E37</f>
        <v>MGCC Payments Engineer</v>
      </c>
      <c r="G74" s="51" t="str">
        <f>'Pod Library'!F37</f>
        <v>DEV</v>
      </c>
      <c r="H74" s="51" t="str">
        <f>'Pod Library'!G37</f>
        <v>E3</v>
      </c>
      <c r="I74" s="51" t="str">
        <f>'Pod Library'!H37</f>
        <v>OFF</v>
      </c>
      <c r="J74" s="51" t="str">
        <f>'Pod Library'!I37</f>
        <v>MGCC</v>
      </c>
      <c r="K74" s="16">
        <f>'Pod Library'!J37</f>
        <v>1.1428571428571399</v>
      </c>
      <c r="L74" s="21">
        <f>'Pod Plan'!E10</f>
        <v>4</v>
      </c>
      <c r="M74" s="54">
        <f t="shared" si="1"/>
        <v>4.5714285714285596</v>
      </c>
      <c r="N74" s="54">
        <f>M74*INDEX('Logic Tree'!$J$85:$N$87,MATCH(I74,'Logic Tree'!$I$85:$I$87,0),MATCH(H74,'Logic Tree'!$J$84:$N$84,0))</f>
        <v>1.919999999999995</v>
      </c>
    </row>
    <row r="75" spans="2:14" ht="15" customHeight="1">
      <c r="B75" s="27">
        <v>2</v>
      </c>
      <c r="C75" s="18" t="s">
        <v>453</v>
      </c>
      <c r="D75" s="43" t="s">
        <v>340</v>
      </c>
      <c r="E75" s="43" t="s">
        <v>453</v>
      </c>
      <c r="F75" s="57" t="str">
        <f>'Pod Library'!E38</f>
        <v>SDET / Automation Engineer</v>
      </c>
      <c r="G75" s="51" t="str">
        <f>'Pod Library'!F38</f>
        <v>TEST</v>
      </c>
      <c r="H75" s="51" t="str">
        <f>'Pod Library'!G38</f>
        <v>E3</v>
      </c>
      <c r="I75" s="51" t="str">
        <f>'Pod Library'!H38</f>
        <v>OFF</v>
      </c>
      <c r="J75" s="51" t="str">
        <f>'Pod Library'!I38</f>
        <v>FTC</v>
      </c>
      <c r="K75" s="16">
        <f>'Pod Library'!J38</f>
        <v>0</v>
      </c>
      <c r="L75" s="21">
        <f>'Pod Plan'!E10</f>
        <v>4</v>
      </c>
      <c r="M75" s="54">
        <f t="shared" si="1"/>
        <v>0</v>
      </c>
      <c r="N75" s="54">
        <f>M75*INDEX('Logic Tree'!$J$85:$N$87,MATCH(I75,'Logic Tree'!$I$85:$I$87,0),MATCH(H75,'Logic Tree'!$J$84:$N$84,0))</f>
        <v>0</v>
      </c>
    </row>
    <row r="76" spans="2:14" ht="15" customHeight="1">
      <c r="B76" s="27">
        <v>2</v>
      </c>
      <c r="C76" s="18" t="s">
        <v>453</v>
      </c>
      <c r="D76" s="43" t="s">
        <v>340</v>
      </c>
      <c r="E76" s="43" t="s">
        <v>453</v>
      </c>
      <c r="F76" s="57" t="str">
        <f>'Pod Library'!E39</f>
        <v>MGCC Quality Engineer</v>
      </c>
      <c r="G76" s="51" t="str">
        <f>'Pod Library'!F39</f>
        <v>TEST</v>
      </c>
      <c r="H76" s="51" t="str">
        <f>'Pod Library'!G39</f>
        <v>E2</v>
      </c>
      <c r="I76" s="51" t="str">
        <f>'Pod Library'!H39</f>
        <v>OFF</v>
      </c>
      <c r="J76" s="51" t="str">
        <f>'Pod Library'!I39</f>
        <v>MGCC</v>
      </c>
      <c r="K76" s="16">
        <f>'Pod Library'!J39</f>
        <v>0.71428571428571397</v>
      </c>
      <c r="L76" s="21">
        <f>'Pod Plan'!E10</f>
        <v>4</v>
      </c>
      <c r="M76" s="54">
        <f t="shared" si="1"/>
        <v>2.8571428571428559</v>
      </c>
      <c r="N76" s="54">
        <f>M76*INDEX('Logic Tree'!$J$85:$N$87,MATCH(I76,'Logic Tree'!$I$85:$I$87,0),MATCH(H76,'Logic Tree'!$J$84:$N$84,0))</f>
        <v>0.85714285714285676</v>
      </c>
    </row>
    <row r="77" spans="2:14" ht="15" customHeight="1">
      <c r="B77" s="27">
        <v>2</v>
      </c>
      <c r="C77" s="18" t="s">
        <v>453</v>
      </c>
      <c r="D77" s="43" t="s">
        <v>340</v>
      </c>
      <c r="E77" s="43" t="s">
        <v>453</v>
      </c>
      <c r="F77" s="57" t="str">
        <f>'Pod Library'!E40</f>
        <v>Solution Architect</v>
      </c>
      <c r="G77" s="51" t="str">
        <f>'Pod Library'!F40</f>
        <v>OTH</v>
      </c>
      <c r="H77" s="51" t="str">
        <f>'Pod Library'!G40</f>
        <v>E5</v>
      </c>
      <c r="I77" s="51" t="str">
        <f>'Pod Library'!H40</f>
        <v>ON</v>
      </c>
      <c r="J77" s="51" t="str">
        <f>'Pod Library'!I40</f>
        <v>FTC</v>
      </c>
      <c r="K77" s="16">
        <f>'Pod Library'!J40</f>
        <v>0.71428571428571397</v>
      </c>
      <c r="L77" s="21">
        <f>'Pod Plan'!E10</f>
        <v>4</v>
      </c>
      <c r="M77" s="54">
        <f t="shared" si="1"/>
        <v>2.8571428571428559</v>
      </c>
      <c r="N77" s="54">
        <f>M77*INDEX('Logic Tree'!$J$85:$N$87,MATCH(I77,'Logic Tree'!$I$85:$I$87,0),MATCH(H77,'Logic Tree'!$J$84:$N$84,0))</f>
        <v>7.285714285714282</v>
      </c>
    </row>
    <row r="78" spans="2:14" ht="15" customHeight="1">
      <c r="B78" s="27">
        <v>2</v>
      </c>
      <c r="C78" s="18" t="s">
        <v>469</v>
      </c>
      <c r="D78" s="43" t="s">
        <v>340</v>
      </c>
      <c r="E78" s="43" t="s">
        <v>469</v>
      </c>
      <c r="F78" s="57" t="str">
        <f>'Pod Library'!E43</f>
        <v>MetLife Claims Product Owner</v>
      </c>
      <c r="G78" s="51" t="str">
        <f>'Pod Library'!F43</f>
        <v>PM</v>
      </c>
      <c r="H78" s="51" t="str">
        <f>'Pod Library'!G43</f>
        <v>E4</v>
      </c>
      <c r="I78" s="51" t="str">
        <f>'Pod Library'!H43</f>
        <v>ON</v>
      </c>
      <c r="J78" s="51" t="str">
        <f>'Pod Library'!I43</f>
        <v>FTE</v>
      </c>
      <c r="K78" s="16">
        <f>'Pod Library'!J43</f>
        <v>0</v>
      </c>
      <c r="L78" s="21">
        <f>'Pod Plan'!F10</f>
        <v>1</v>
      </c>
      <c r="M78" s="54">
        <f t="shared" si="1"/>
        <v>0</v>
      </c>
      <c r="N78" s="54">
        <f>M78*INDEX('Logic Tree'!$J$85:$N$87,MATCH(I78,'Logic Tree'!$I$85:$I$87,0),MATCH(H78,'Logic Tree'!$J$84:$N$84,0))</f>
        <v>0</v>
      </c>
    </row>
    <row r="79" spans="2:14" ht="15" customHeight="1">
      <c r="B79" s="27">
        <v>2</v>
      </c>
      <c r="C79" s="18" t="s">
        <v>469</v>
      </c>
      <c r="D79" s="43" t="s">
        <v>340</v>
      </c>
      <c r="E79" s="43" t="s">
        <v>469</v>
      </c>
      <c r="F79" s="57" t="str">
        <f>'Pod Library'!E44</f>
        <v>MetLife Claims SME</v>
      </c>
      <c r="G79" s="51" t="str">
        <f>'Pod Library'!F44</f>
        <v>BSA</v>
      </c>
      <c r="H79" s="51" t="str">
        <f>'Pod Library'!G44</f>
        <v>E4</v>
      </c>
      <c r="I79" s="51" t="str">
        <f>'Pod Library'!H44</f>
        <v>ON</v>
      </c>
      <c r="J79" s="51" t="str">
        <f>'Pod Library'!I44</f>
        <v>FTE</v>
      </c>
      <c r="K79" s="16">
        <f>'Pod Library'!J44</f>
        <v>0</v>
      </c>
      <c r="L79" s="21">
        <f>'Pod Plan'!F10</f>
        <v>1</v>
      </c>
      <c r="M79" s="54">
        <f t="shared" si="1"/>
        <v>0</v>
      </c>
      <c r="N79" s="54">
        <f>M79*INDEX('Logic Tree'!$J$85:$N$87,MATCH(I79,'Logic Tree'!$I$85:$I$87,0),MATCH(H79,'Logic Tree'!$J$84:$N$84,0))</f>
        <v>0</v>
      </c>
    </row>
    <row r="80" spans="2:14" ht="15" customHeight="1">
      <c r="B80" s="27">
        <v>2</v>
      </c>
      <c r="C80" s="18" t="s">
        <v>469</v>
      </c>
      <c r="D80" s="43" t="s">
        <v>340</v>
      </c>
      <c r="E80" s="43" t="s">
        <v>469</v>
      </c>
      <c r="F80" s="57" t="str">
        <f>'Pod Library'!E45</f>
        <v>MetLife Operations Analyst</v>
      </c>
      <c r="G80" s="51" t="str">
        <f>'Pod Library'!F45</f>
        <v>MNT</v>
      </c>
      <c r="H80" s="51" t="str">
        <f>'Pod Library'!G45</f>
        <v>E3</v>
      </c>
      <c r="I80" s="51" t="str">
        <f>'Pod Library'!H45</f>
        <v>ON</v>
      </c>
      <c r="J80" s="51" t="str">
        <f>'Pod Library'!I45</f>
        <v>FTE</v>
      </c>
      <c r="K80" s="16">
        <f>'Pod Library'!J45</f>
        <v>0.5</v>
      </c>
      <c r="L80" s="21">
        <f>'Pod Plan'!F10</f>
        <v>1</v>
      </c>
      <c r="M80" s="54">
        <f t="shared" si="1"/>
        <v>0.5</v>
      </c>
      <c r="N80" s="54">
        <f>M80*INDEX('Logic Tree'!$J$85:$N$87,MATCH(I80,'Logic Tree'!$I$85:$I$87,0),MATCH(H80,'Logic Tree'!$J$84:$N$84,0))</f>
        <v>0.67500000000000004</v>
      </c>
    </row>
    <row r="81" spans="2:14" ht="15" customHeight="1">
      <c r="B81" s="27">
        <v>2</v>
      </c>
      <c r="C81" s="18" t="s">
        <v>469</v>
      </c>
      <c r="D81" s="43" t="s">
        <v>340</v>
      </c>
      <c r="E81" s="43" t="s">
        <v>469</v>
      </c>
      <c r="F81" s="57" t="str">
        <f>'Pod Library'!E46</f>
        <v>Business Analyst (bilingual)</v>
      </c>
      <c r="G81" s="51" t="str">
        <f>'Pod Library'!F46</f>
        <v>BSA</v>
      </c>
      <c r="H81" s="51" t="str">
        <f>'Pod Library'!G46</f>
        <v>E3</v>
      </c>
      <c r="I81" s="51" t="str">
        <f>'Pod Library'!H46</f>
        <v>ON</v>
      </c>
      <c r="J81" s="51" t="str">
        <f>'Pod Library'!I46</f>
        <v>FTC</v>
      </c>
      <c r="K81" s="16">
        <f>'Pod Library'!J46</f>
        <v>0.5</v>
      </c>
      <c r="L81" s="21">
        <f>'Pod Plan'!F10</f>
        <v>1</v>
      </c>
      <c r="M81" s="54">
        <f t="shared" si="1"/>
        <v>0.5</v>
      </c>
      <c r="N81" s="54">
        <f>M81*INDEX('Logic Tree'!$J$85:$N$87,MATCH(I81,'Logic Tree'!$I$85:$I$87,0),MATCH(H81,'Logic Tree'!$J$84:$N$84,0))</f>
        <v>0.67500000000000004</v>
      </c>
    </row>
    <row r="82" spans="2:14" ht="15" customHeight="1">
      <c r="B82" s="27">
        <v>2</v>
      </c>
      <c r="C82" s="18" t="s">
        <v>469</v>
      </c>
      <c r="D82" s="43" t="s">
        <v>340</v>
      </c>
      <c r="E82" s="43" t="s">
        <v>469</v>
      </c>
      <c r="F82" s="57" t="str">
        <f>'Pod Library'!E47</f>
        <v>Team lead / senior engineer</v>
      </c>
      <c r="G82" s="51" t="str">
        <f>'Pod Library'!F47</f>
        <v>DEV</v>
      </c>
      <c r="H82" s="51" t="str">
        <f>'Pod Library'!G47</f>
        <v>E4</v>
      </c>
      <c r="I82" s="51" t="str">
        <f>'Pod Library'!H47</f>
        <v>ON</v>
      </c>
      <c r="J82" s="51" t="str">
        <f>'Pod Library'!I47</f>
        <v>FTC</v>
      </c>
      <c r="K82" s="16">
        <f>'Pod Library'!J47</f>
        <v>0.5</v>
      </c>
      <c r="L82" s="21">
        <f>'Pod Plan'!F10</f>
        <v>1</v>
      </c>
      <c r="M82" s="54">
        <f t="shared" si="1"/>
        <v>0.5</v>
      </c>
      <c r="N82" s="54">
        <f>M82*INDEX('Logic Tree'!$J$85:$N$87,MATCH(I82,'Logic Tree'!$I$85:$I$87,0),MATCH(H82,'Logic Tree'!$J$84:$N$84,0))</f>
        <v>0.92500000000000004</v>
      </c>
    </row>
    <row r="83" spans="2:14" ht="15" customHeight="1">
      <c r="B83" s="27">
        <v>2</v>
      </c>
      <c r="C83" s="18" t="s">
        <v>469</v>
      </c>
      <c r="D83" s="43" t="s">
        <v>340</v>
      </c>
      <c r="E83" s="43" t="s">
        <v>469</v>
      </c>
      <c r="F83" s="57" t="str">
        <f>'Pod Library'!E48</f>
        <v>Application Developer</v>
      </c>
      <c r="G83" s="51" t="str">
        <f>'Pod Library'!F48</f>
        <v>DEV</v>
      </c>
      <c r="H83" s="51" t="str">
        <f>'Pod Library'!G48</f>
        <v>E3</v>
      </c>
      <c r="I83" s="51" t="str">
        <f>'Pod Library'!H48</f>
        <v>ON</v>
      </c>
      <c r="J83" s="51" t="str">
        <f>'Pod Library'!I48</f>
        <v>FTC</v>
      </c>
      <c r="K83" s="16">
        <f>'Pod Library'!J48</f>
        <v>2</v>
      </c>
      <c r="L83" s="21">
        <f>'Pod Plan'!F10</f>
        <v>1</v>
      </c>
      <c r="M83" s="54">
        <f t="shared" si="1"/>
        <v>2</v>
      </c>
      <c r="N83" s="54">
        <f>M83*INDEX('Logic Tree'!$J$85:$N$87,MATCH(I83,'Logic Tree'!$I$85:$I$87,0),MATCH(H83,'Logic Tree'!$J$84:$N$84,0))</f>
        <v>2.7</v>
      </c>
    </row>
    <row r="84" spans="2:14" ht="15" customHeight="1">
      <c r="B84" s="27">
        <v>2</v>
      </c>
      <c r="C84" s="18" t="s">
        <v>469</v>
      </c>
      <c r="D84" s="43" t="s">
        <v>340</v>
      </c>
      <c r="E84" s="43" t="s">
        <v>469</v>
      </c>
      <c r="F84" s="57" t="str">
        <f>'Pod Library'!E49</f>
        <v>Application Developer</v>
      </c>
      <c r="G84" s="51" t="str">
        <f>'Pod Library'!F49</f>
        <v>DEV</v>
      </c>
      <c r="H84" s="51" t="str">
        <f>'Pod Library'!G49</f>
        <v>E2</v>
      </c>
      <c r="I84" s="51" t="str">
        <f>'Pod Library'!H49</f>
        <v>ON</v>
      </c>
      <c r="J84" s="51" t="str">
        <f>'Pod Library'!I49</f>
        <v>FTC</v>
      </c>
      <c r="K84" s="16">
        <f>'Pod Library'!J49</f>
        <v>2.75</v>
      </c>
      <c r="L84" s="21">
        <f>'Pod Plan'!F10</f>
        <v>1</v>
      </c>
      <c r="M84" s="54">
        <f t="shared" si="1"/>
        <v>2.75</v>
      </c>
      <c r="N84" s="54">
        <f>M84*INDEX('Logic Tree'!$J$85:$N$87,MATCH(I84,'Logic Tree'!$I$85:$I$87,0),MATCH(H84,'Logic Tree'!$J$84:$N$84,0))</f>
        <v>2.75</v>
      </c>
    </row>
    <row r="85" spans="2:14" ht="15" customHeight="1">
      <c r="B85" s="27">
        <v>2</v>
      </c>
      <c r="C85" s="18" t="s">
        <v>469</v>
      </c>
      <c r="D85" s="43" t="s">
        <v>340</v>
      </c>
      <c r="E85" s="43" t="s">
        <v>469</v>
      </c>
      <c r="F85" s="57" t="str">
        <f>'Pod Library'!E50</f>
        <v>Application Developer</v>
      </c>
      <c r="G85" s="51" t="str">
        <f>'Pod Library'!F50</f>
        <v>DEV</v>
      </c>
      <c r="H85" s="51" t="str">
        <f>'Pod Library'!G50</f>
        <v>E3</v>
      </c>
      <c r="I85" s="51" t="str">
        <f>'Pod Library'!H50</f>
        <v>NEAR</v>
      </c>
      <c r="J85" s="51" t="str">
        <f>'Pod Library'!I50</f>
        <v>FTC</v>
      </c>
      <c r="K85" s="16">
        <f>'Pod Library'!J50</f>
        <v>0.75</v>
      </c>
      <c r="L85" s="21">
        <f>'Pod Plan'!F10</f>
        <v>1</v>
      </c>
      <c r="M85" s="54">
        <f t="shared" si="1"/>
        <v>0.75</v>
      </c>
      <c r="N85" s="54">
        <f>M85*INDEX('Logic Tree'!$J$85:$N$87,MATCH(I85,'Logic Tree'!$I$85:$I$87,0),MATCH(H85,'Logic Tree'!$J$84:$N$84,0))</f>
        <v>0.63</v>
      </c>
    </row>
    <row r="86" spans="2:14" ht="15" customHeight="1">
      <c r="B86" s="27">
        <v>2</v>
      </c>
      <c r="C86" s="18" t="s">
        <v>469</v>
      </c>
      <c r="D86" s="43" t="s">
        <v>340</v>
      </c>
      <c r="E86" s="43" t="s">
        <v>469</v>
      </c>
      <c r="F86" s="57" t="str">
        <f>'Pod Library'!E51</f>
        <v>Test Analyst</v>
      </c>
      <c r="G86" s="51" t="str">
        <f>'Pod Library'!F51</f>
        <v>TEST</v>
      </c>
      <c r="H86" s="51" t="str">
        <f>'Pod Library'!G51</f>
        <v>E3</v>
      </c>
      <c r="I86" s="51" t="str">
        <f>'Pod Library'!H51</f>
        <v>ON</v>
      </c>
      <c r="J86" s="51" t="str">
        <f>'Pod Library'!I51</f>
        <v>FTC</v>
      </c>
      <c r="K86" s="16">
        <f>'Pod Library'!J51</f>
        <v>1</v>
      </c>
      <c r="L86" s="21">
        <f>'Pod Plan'!F10</f>
        <v>1</v>
      </c>
      <c r="M86" s="54">
        <f t="shared" si="1"/>
        <v>1</v>
      </c>
      <c r="N86" s="54">
        <f>M86*INDEX('Logic Tree'!$J$85:$N$87,MATCH(I86,'Logic Tree'!$I$85:$I$87,0),MATCH(H86,'Logic Tree'!$J$84:$N$84,0))</f>
        <v>1.35</v>
      </c>
    </row>
    <row r="87" spans="2:14" ht="15" customHeight="1">
      <c r="B87" s="27">
        <v>2</v>
      </c>
      <c r="C87" s="18" t="s">
        <v>469</v>
      </c>
      <c r="D87" s="43" t="s">
        <v>340</v>
      </c>
      <c r="E87" s="43" t="s">
        <v>469</v>
      </c>
      <c r="F87" s="57" t="str">
        <f>'Pod Library'!E52</f>
        <v>Test Engineer</v>
      </c>
      <c r="G87" s="51" t="str">
        <f>'Pod Library'!F52</f>
        <v>TEST</v>
      </c>
      <c r="H87" s="51" t="str">
        <f>'Pod Library'!G52</f>
        <v>E2</v>
      </c>
      <c r="I87" s="51" t="str">
        <f>'Pod Library'!H52</f>
        <v>NEAR</v>
      </c>
      <c r="J87" s="51" t="str">
        <f>'Pod Library'!I52</f>
        <v>FTC</v>
      </c>
      <c r="K87" s="16">
        <f>'Pod Library'!J52</f>
        <v>1</v>
      </c>
      <c r="L87" s="21">
        <f>'Pod Plan'!F10</f>
        <v>1</v>
      </c>
      <c r="M87" s="54">
        <f t="shared" si="1"/>
        <v>1</v>
      </c>
      <c r="N87" s="54">
        <f>M87*INDEX('Logic Tree'!$J$85:$N$87,MATCH(I87,'Logic Tree'!$I$85:$I$87,0),MATCH(H87,'Logic Tree'!$J$84:$N$84,0))</f>
        <v>0.62</v>
      </c>
    </row>
    <row r="88" spans="2:14" ht="15" customHeight="1">
      <c r="B88" s="27">
        <v>2</v>
      </c>
      <c r="C88" s="18" t="s">
        <v>469</v>
      </c>
      <c r="D88" s="43" t="s">
        <v>340</v>
      </c>
      <c r="E88" s="43" t="s">
        <v>469</v>
      </c>
      <c r="F88" s="57" t="str">
        <f>'Pod Library'!E53</f>
        <v>MGCC Payments Engineer</v>
      </c>
      <c r="G88" s="51" t="str">
        <f>'Pod Library'!F53</f>
        <v>DEV</v>
      </c>
      <c r="H88" s="51" t="str">
        <f>'Pod Library'!G53</f>
        <v>E3</v>
      </c>
      <c r="I88" s="51" t="str">
        <f>'Pod Library'!H53</f>
        <v>OFF</v>
      </c>
      <c r="J88" s="51" t="str">
        <f>'Pod Library'!I53</f>
        <v>MGCC</v>
      </c>
      <c r="K88" s="16">
        <f>'Pod Library'!J53</f>
        <v>1.25</v>
      </c>
      <c r="L88" s="21">
        <f>'Pod Plan'!F10</f>
        <v>1</v>
      </c>
      <c r="M88" s="54">
        <f t="shared" si="1"/>
        <v>1.25</v>
      </c>
      <c r="N88" s="54">
        <f>M88*INDEX('Logic Tree'!$J$85:$N$87,MATCH(I88,'Logic Tree'!$I$85:$I$87,0),MATCH(H88,'Logic Tree'!$J$84:$N$84,0))</f>
        <v>0.52500000000000002</v>
      </c>
    </row>
    <row r="89" spans="2:14" ht="15" customHeight="1">
      <c r="B89" s="27">
        <v>2</v>
      </c>
      <c r="C89" s="18" t="s">
        <v>469</v>
      </c>
      <c r="D89" s="43" t="s">
        <v>340</v>
      </c>
      <c r="E89" s="43" t="s">
        <v>469</v>
      </c>
      <c r="F89" s="57" t="str">
        <f>'Pod Library'!E54</f>
        <v>Technical Lead</v>
      </c>
      <c r="G89" s="51" t="str">
        <f>'Pod Library'!F54</f>
        <v>OTH</v>
      </c>
      <c r="H89" s="51" t="str">
        <f>'Pod Library'!G54</f>
        <v>E4</v>
      </c>
      <c r="I89" s="51" t="str">
        <f>'Pod Library'!H54</f>
        <v>ON</v>
      </c>
      <c r="J89" s="51" t="str">
        <f>'Pod Library'!I54</f>
        <v>FTC</v>
      </c>
      <c r="K89" s="16">
        <f>'Pod Library'!J54</f>
        <v>0.5</v>
      </c>
      <c r="L89" s="21">
        <f>'Pod Plan'!F10</f>
        <v>1</v>
      </c>
      <c r="M89" s="54">
        <f t="shared" si="1"/>
        <v>0.5</v>
      </c>
      <c r="N89" s="54">
        <f>M89*INDEX('Logic Tree'!$J$85:$N$87,MATCH(I89,'Logic Tree'!$I$85:$I$87,0),MATCH(H89,'Logic Tree'!$J$84:$N$84,0))</f>
        <v>0.92500000000000004</v>
      </c>
    </row>
    <row r="90" spans="2:14" ht="15" customHeight="1">
      <c r="B90" s="27">
        <v>2</v>
      </c>
      <c r="C90" s="18" t="s">
        <v>453</v>
      </c>
      <c r="D90" s="43" t="s">
        <v>341</v>
      </c>
      <c r="E90" s="43" t="s">
        <v>453</v>
      </c>
      <c r="F90" s="57" t="str">
        <f>'Pod Library'!E31</f>
        <v>MetLife Claims Product Owner</v>
      </c>
      <c r="G90" s="51" t="str">
        <f>'Pod Library'!F31</f>
        <v>PM</v>
      </c>
      <c r="H90" s="51" t="str">
        <f>'Pod Library'!G31</f>
        <v>E4</v>
      </c>
      <c r="I90" s="51" t="str">
        <f>'Pod Library'!H31</f>
        <v>ON</v>
      </c>
      <c r="J90" s="51" t="str">
        <f>'Pod Library'!I31</f>
        <v>FTE</v>
      </c>
      <c r="K90" s="16">
        <f>'Pod Library'!J31</f>
        <v>0.57142857142857095</v>
      </c>
      <c r="L90" s="21">
        <f>'Pod Plan'!E11</f>
        <v>1</v>
      </c>
      <c r="M90" s="54">
        <f t="shared" si="1"/>
        <v>0.57142857142857095</v>
      </c>
      <c r="N90" s="54">
        <f>M90*INDEX('Logic Tree'!$J$85:$N$87,MATCH(I90,'Logic Tree'!$I$85:$I$87,0),MATCH(H90,'Logic Tree'!$J$84:$N$84,0))</f>
        <v>1.0571428571428563</v>
      </c>
    </row>
    <row r="91" spans="2:14" ht="15" customHeight="1">
      <c r="B91" s="27">
        <v>2</v>
      </c>
      <c r="C91" s="18" t="s">
        <v>453</v>
      </c>
      <c r="D91" s="43" t="s">
        <v>341</v>
      </c>
      <c r="E91" s="43" t="s">
        <v>453</v>
      </c>
      <c r="F91" s="57" t="str">
        <f>'Pod Library'!E32</f>
        <v>MetLife Claims SME</v>
      </c>
      <c r="G91" s="51" t="str">
        <f>'Pod Library'!F32</f>
        <v>BSA</v>
      </c>
      <c r="H91" s="51" t="str">
        <f>'Pod Library'!G32</f>
        <v>E4</v>
      </c>
      <c r="I91" s="51" t="str">
        <f>'Pod Library'!H32</f>
        <v>ON</v>
      </c>
      <c r="J91" s="51" t="str">
        <f>'Pod Library'!I32</f>
        <v>FTE</v>
      </c>
      <c r="K91" s="16">
        <f>'Pod Library'!J32</f>
        <v>0.42857142857142899</v>
      </c>
      <c r="L91" s="21">
        <f>'Pod Plan'!E11</f>
        <v>1</v>
      </c>
      <c r="M91" s="54">
        <f t="shared" si="1"/>
        <v>0.42857142857142899</v>
      </c>
      <c r="N91" s="54">
        <f>M91*INDEX('Logic Tree'!$J$85:$N$87,MATCH(I91,'Logic Tree'!$I$85:$I$87,0),MATCH(H91,'Logic Tree'!$J$84:$N$84,0))</f>
        <v>0.7928571428571437</v>
      </c>
    </row>
    <row r="92" spans="2:14" ht="15" customHeight="1">
      <c r="B92" s="27">
        <v>2</v>
      </c>
      <c r="C92" s="18" t="s">
        <v>453</v>
      </c>
      <c r="D92" s="43" t="s">
        <v>341</v>
      </c>
      <c r="E92" s="43" t="s">
        <v>453</v>
      </c>
      <c r="F92" s="57" t="str">
        <f>'Pod Library'!E33</f>
        <v>Business Analyst (bilingual)</v>
      </c>
      <c r="G92" s="51" t="str">
        <f>'Pod Library'!F33</f>
        <v>BSA</v>
      </c>
      <c r="H92" s="51" t="str">
        <f>'Pod Library'!G33</f>
        <v>E3</v>
      </c>
      <c r="I92" s="51" t="str">
        <f>'Pod Library'!H33</f>
        <v>ON</v>
      </c>
      <c r="J92" s="51" t="str">
        <f>'Pod Library'!I33</f>
        <v>FTC</v>
      </c>
      <c r="K92" s="16">
        <f>'Pod Library'!J33</f>
        <v>1</v>
      </c>
      <c r="L92" s="21">
        <f>'Pod Plan'!E11</f>
        <v>1</v>
      </c>
      <c r="M92" s="54">
        <f t="shared" si="1"/>
        <v>1</v>
      </c>
      <c r="N92" s="54">
        <f>M92*INDEX('Logic Tree'!$J$85:$N$87,MATCH(I92,'Logic Tree'!$I$85:$I$87,0),MATCH(H92,'Logic Tree'!$J$84:$N$84,0))</f>
        <v>1.35</v>
      </c>
    </row>
    <row r="93" spans="2:14" ht="15" customHeight="1">
      <c r="B93" s="27">
        <v>2</v>
      </c>
      <c r="C93" s="18" t="s">
        <v>453</v>
      </c>
      <c r="D93" s="43" t="s">
        <v>341</v>
      </c>
      <c r="E93" s="43" t="s">
        <v>453</v>
      </c>
      <c r="F93" s="57" t="str">
        <f>'Pod Library'!E34</f>
        <v>Pod lead / senior engineer</v>
      </c>
      <c r="G93" s="51" t="str">
        <f>'Pod Library'!F34</f>
        <v>DEV</v>
      </c>
      <c r="H93" s="51" t="str">
        <f>'Pod Library'!G34</f>
        <v>E4</v>
      </c>
      <c r="I93" s="51" t="str">
        <f>'Pod Library'!H34</f>
        <v>ON</v>
      </c>
      <c r="J93" s="51" t="str">
        <f>'Pod Library'!I34</f>
        <v>FTC</v>
      </c>
      <c r="K93" s="16">
        <f>'Pod Library'!J34</f>
        <v>1.3571428571428601</v>
      </c>
      <c r="L93" s="21">
        <f>'Pod Plan'!E11</f>
        <v>1</v>
      </c>
      <c r="M93" s="54">
        <f t="shared" si="1"/>
        <v>1.3571428571428601</v>
      </c>
      <c r="N93" s="54">
        <f>M93*INDEX('Logic Tree'!$J$85:$N$87,MATCH(I93,'Logic Tree'!$I$85:$I$87,0),MATCH(H93,'Logic Tree'!$J$84:$N$84,0))</f>
        <v>2.5107142857142914</v>
      </c>
    </row>
    <row r="94" spans="2:14" ht="15" customHeight="1">
      <c r="B94" s="27">
        <v>2</v>
      </c>
      <c r="C94" s="18" t="s">
        <v>453</v>
      </c>
      <c r="D94" s="43" t="s">
        <v>341</v>
      </c>
      <c r="E94" s="43" t="s">
        <v>453</v>
      </c>
      <c r="F94" s="57" t="str">
        <f>'Pod Library'!E35</f>
        <v>Claims Engineer</v>
      </c>
      <c r="G94" s="51" t="str">
        <f>'Pod Library'!F35</f>
        <v>DEV</v>
      </c>
      <c r="H94" s="51" t="str">
        <f>'Pod Library'!G35</f>
        <v>E3</v>
      </c>
      <c r="I94" s="51" t="str">
        <f>'Pod Library'!H35</f>
        <v>OFF</v>
      </c>
      <c r="J94" s="51" t="str">
        <f>'Pod Library'!I35</f>
        <v>FTC</v>
      </c>
      <c r="K94" s="16">
        <f>'Pod Library'!J35</f>
        <v>0.64285714285714302</v>
      </c>
      <c r="L94" s="21">
        <f>'Pod Plan'!E11</f>
        <v>1</v>
      </c>
      <c r="M94" s="54">
        <f t="shared" si="1"/>
        <v>0.64285714285714302</v>
      </c>
      <c r="N94" s="54">
        <f>M94*INDEX('Logic Tree'!$J$85:$N$87,MATCH(I94,'Logic Tree'!$I$85:$I$87,0),MATCH(H94,'Logic Tree'!$J$84:$N$84,0))</f>
        <v>0.27000000000000007</v>
      </c>
    </row>
    <row r="95" spans="2:14" ht="15" customHeight="1">
      <c r="B95" s="27">
        <v>2</v>
      </c>
      <c r="C95" s="18" t="s">
        <v>453</v>
      </c>
      <c r="D95" s="43" t="s">
        <v>341</v>
      </c>
      <c r="E95" s="43" t="s">
        <v>453</v>
      </c>
      <c r="F95" s="57" t="str">
        <f>'Pod Library'!E36</f>
        <v>Claims Engineer</v>
      </c>
      <c r="G95" s="51" t="str">
        <f>'Pod Library'!F36</f>
        <v>DEV</v>
      </c>
      <c r="H95" s="51" t="str">
        <f>'Pod Library'!G36</f>
        <v>E2</v>
      </c>
      <c r="I95" s="51" t="str">
        <f>'Pod Library'!H36</f>
        <v>OFF</v>
      </c>
      <c r="J95" s="51" t="str">
        <f>'Pod Library'!I36</f>
        <v>FTC</v>
      </c>
      <c r="K95" s="16">
        <f>'Pod Library'!J36</f>
        <v>0.57142857142857095</v>
      </c>
      <c r="L95" s="21">
        <f>'Pod Plan'!E11</f>
        <v>1</v>
      </c>
      <c r="M95" s="54">
        <f t="shared" si="1"/>
        <v>0.57142857142857095</v>
      </c>
      <c r="N95" s="54">
        <f>M95*INDEX('Logic Tree'!$J$85:$N$87,MATCH(I95,'Logic Tree'!$I$85:$I$87,0),MATCH(H95,'Logic Tree'!$J$84:$N$84,0))</f>
        <v>0.17142857142857129</v>
      </c>
    </row>
    <row r="96" spans="2:14" ht="15" customHeight="1">
      <c r="B96" s="27">
        <v>2</v>
      </c>
      <c r="C96" s="18" t="s">
        <v>453</v>
      </c>
      <c r="D96" s="43" t="s">
        <v>341</v>
      </c>
      <c r="E96" s="43" t="s">
        <v>453</v>
      </c>
      <c r="F96" s="57" t="str">
        <f>'Pod Library'!E37</f>
        <v>MGCC Payments Engineer</v>
      </c>
      <c r="G96" s="51" t="str">
        <f>'Pod Library'!F37</f>
        <v>DEV</v>
      </c>
      <c r="H96" s="51" t="str">
        <f>'Pod Library'!G37</f>
        <v>E3</v>
      </c>
      <c r="I96" s="51" t="str">
        <f>'Pod Library'!H37</f>
        <v>OFF</v>
      </c>
      <c r="J96" s="51" t="str">
        <f>'Pod Library'!I37</f>
        <v>MGCC</v>
      </c>
      <c r="K96" s="16">
        <f>'Pod Library'!J37</f>
        <v>1.1428571428571399</v>
      </c>
      <c r="L96" s="21">
        <f>'Pod Plan'!E11</f>
        <v>1</v>
      </c>
      <c r="M96" s="54">
        <f t="shared" si="1"/>
        <v>1.1428571428571399</v>
      </c>
      <c r="N96" s="54">
        <f>M96*INDEX('Logic Tree'!$J$85:$N$87,MATCH(I96,'Logic Tree'!$I$85:$I$87,0),MATCH(H96,'Logic Tree'!$J$84:$N$84,0))</f>
        <v>0.47999999999999876</v>
      </c>
    </row>
    <row r="97" spans="2:14" ht="15" customHeight="1">
      <c r="B97" s="27">
        <v>2</v>
      </c>
      <c r="C97" s="18" t="s">
        <v>453</v>
      </c>
      <c r="D97" s="43" t="s">
        <v>341</v>
      </c>
      <c r="E97" s="43" t="s">
        <v>453</v>
      </c>
      <c r="F97" s="57" t="str">
        <f>'Pod Library'!E38</f>
        <v>SDET / Automation Engineer</v>
      </c>
      <c r="G97" s="51" t="str">
        <f>'Pod Library'!F38</f>
        <v>TEST</v>
      </c>
      <c r="H97" s="51" t="str">
        <f>'Pod Library'!G38</f>
        <v>E3</v>
      </c>
      <c r="I97" s="51" t="str">
        <f>'Pod Library'!H38</f>
        <v>OFF</v>
      </c>
      <c r="J97" s="51" t="str">
        <f>'Pod Library'!I38</f>
        <v>FTC</v>
      </c>
      <c r="K97" s="16">
        <f>'Pod Library'!J38</f>
        <v>0</v>
      </c>
      <c r="L97" s="21">
        <f>'Pod Plan'!E11</f>
        <v>1</v>
      </c>
      <c r="M97" s="54">
        <f t="shared" si="1"/>
        <v>0</v>
      </c>
      <c r="N97" s="54">
        <f>M97*INDEX('Logic Tree'!$J$85:$N$87,MATCH(I97,'Logic Tree'!$I$85:$I$87,0),MATCH(H97,'Logic Tree'!$J$84:$N$84,0))</f>
        <v>0</v>
      </c>
    </row>
    <row r="98" spans="2:14" ht="15" customHeight="1">
      <c r="B98" s="27">
        <v>2</v>
      </c>
      <c r="C98" s="18" t="s">
        <v>453</v>
      </c>
      <c r="D98" s="43" t="s">
        <v>341</v>
      </c>
      <c r="E98" s="43" t="s">
        <v>453</v>
      </c>
      <c r="F98" s="57" t="str">
        <f>'Pod Library'!E39</f>
        <v>MGCC Quality Engineer</v>
      </c>
      <c r="G98" s="51" t="str">
        <f>'Pod Library'!F39</f>
        <v>TEST</v>
      </c>
      <c r="H98" s="51" t="str">
        <f>'Pod Library'!G39</f>
        <v>E2</v>
      </c>
      <c r="I98" s="51" t="str">
        <f>'Pod Library'!H39</f>
        <v>OFF</v>
      </c>
      <c r="J98" s="51" t="str">
        <f>'Pod Library'!I39</f>
        <v>MGCC</v>
      </c>
      <c r="K98" s="16">
        <f>'Pod Library'!J39</f>
        <v>0.71428571428571397</v>
      </c>
      <c r="L98" s="21">
        <f>'Pod Plan'!E11</f>
        <v>1</v>
      </c>
      <c r="M98" s="54">
        <f t="shared" si="1"/>
        <v>0.71428571428571397</v>
      </c>
      <c r="N98" s="54">
        <f>M98*INDEX('Logic Tree'!$J$85:$N$87,MATCH(I98,'Logic Tree'!$I$85:$I$87,0),MATCH(H98,'Logic Tree'!$J$84:$N$84,0))</f>
        <v>0.21428571428571419</v>
      </c>
    </row>
    <row r="99" spans="2:14" ht="15" customHeight="1">
      <c r="B99" s="27">
        <v>2</v>
      </c>
      <c r="C99" s="18" t="s">
        <v>453</v>
      </c>
      <c r="D99" s="43" t="s">
        <v>341</v>
      </c>
      <c r="E99" s="43" t="s">
        <v>453</v>
      </c>
      <c r="F99" s="57" t="str">
        <f>'Pod Library'!E40</f>
        <v>Solution Architect</v>
      </c>
      <c r="G99" s="51" t="str">
        <f>'Pod Library'!F40</f>
        <v>OTH</v>
      </c>
      <c r="H99" s="51" t="str">
        <f>'Pod Library'!G40</f>
        <v>E5</v>
      </c>
      <c r="I99" s="51" t="str">
        <f>'Pod Library'!H40</f>
        <v>ON</v>
      </c>
      <c r="J99" s="51" t="str">
        <f>'Pod Library'!I40</f>
        <v>FTC</v>
      </c>
      <c r="K99" s="16">
        <f>'Pod Library'!J40</f>
        <v>0.71428571428571397</v>
      </c>
      <c r="L99" s="21">
        <f>'Pod Plan'!E11</f>
        <v>1</v>
      </c>
      <c r="M99" s="54">
        <f t="shared" si="1"/>
        <v>0.71428571428571397</v>
      </c>
      <c r="N99" s="54">
        <f>M99*INDEX('Logic Tree'!$J$85:$N$87,MATCH(I99,'Logic Tree'!$I$85:$I$87,0),MATCH(H99,'Logic Tree'!$J$84:$N$84,0))</f>
        <v>1.8214285714285705</v>
      </c>
    </row>
    <row r="100" spans="2:14" ht="15" customHeight="1">
      <c r="B100" s="27">
        <v>2</v>
      </c>
      <c r="C100" s="18" t="s">
        <v>469</v>
      </c>
      <c r="D100" s="43" t="s">
        <v>341</v>
      </c>
      <c r="E100" s="43" t="s">
        <v>469</v>
      </c>
      <c r="F100" s="57" t="str">
        <f>'Pod Library'!E43</f>
        <v>MetLife Claims Product Owner</v>
      </c>
      <c r="G100" s="51" t="str">
        <f>'Pod Library'!F43</f>
        <v>PM</v>
      </c>
      <c r="H100" s="51" t="str">
        <f>'Pod Library'!G43</f>
        <v>E4</v>
      </c>
      <c r="I100" s="51" t="str">
        <f>'Pod Library'!H43</f>
        <v>ON</v>
      </c>
      <c r="J100" s="51" t="str">
        <f>'Pod Library'!I43</f>
        <v>FTE</v>
      </c>
      <c r="K100" s="16">
        <f>'Pod Library'!J43</f>
        <v>0</v>
      </c>
      <c r="L100" s="21">
        <f>'Pod Plan'!F11</f>
        <v>1</v>
      </c>
      <c r="M100" s="54">
        <f t="shared" si="1"/>
        <v>0</v>
      </c>
      <c r="N100" s="54">
        <f>M100*INDEX('Logic Tree'!$J$85:$N$87,MATCH(I100,'Logic Tree'!$I$85:$I$87,0),MATCH(H100,'Logic Tree'!$J$84:$N$84,0))</f>
        <v>0</v>
      </c>
    </row>
    <row r="101" spans="2:14" ht="15" customHeight="1">
      <c r="B101" s="27">
        <v>2</v>
      </c>
      <c r="C101" s="18" t="s">
        <v>469</v>
      </c>
      <c r="D101" s="43" t="s">
        <v>341</v>
      </c>
      <c r="E101" s="43" t="s">
        <v>469</v>
      </c>
      <c r="F101" s="57" t="str">
        <f>'Pod Library'!E44</f>
        <v>MetLife Claims SME</v>
      </c>
      <c r="G101" s="51" t="str">
        <f>'Pod Library'!F44</f>
        <v>BSA</v>
      </c>
      <c r="H101" s="51" t="str">
        <f>'Pod Library'!G44</f>
        <v>E4</v>
      </c>
      <c r="I101" s="51" t="str">
        <f>'Pod Library'!H44</f>
        <v>ON</v>
      </c>
      <c r="J101" s="51" t="str">
        <f>'Pod Library'!I44</f>
        <v>FTE</v>
      </c>
      <c r="K101" s="16">
        <f>'Pod Library'!J44</f>
        <v>0</v>
      </c>
      <c r="L101" s="21">
        <f>'Pod Plan'!F11</f>
        <v>1</v>
      </c>
      <c r="M101" s="54">
        <f t="shared" si="1"/>
        <v>0</v>
      </c>
      <c r="N101" s="54">
        <f>M101*INDEX('Logic Tree'!$J$85:$N$87,MATCH(I101,'Logic Tree'!$I$85:$I$87,0),MATCH(H101,'Logic Tree'!$J$84:$N$84,0))</f>
        <v>0</v>
      </c>
    </row>
    <row r="102" spans="2:14" ht="15" customHeight="1">
      <c r="B102" s="27">
        <v>2</v>
      </c>
      <c r="C102" s="18" t="s">
        <v>469</v>
      </c>
      <c r="D102" s="43" t="s">
        <v>341</v>
      </c>
      <c r="E102" s="43" t="s">
        <v>469</v>
      </c>
      <c r="F102" s="57" t="str">
        <f>'Pod Library'!E45</f>
        <v>MetLife Operations Analyst</v>
      </c>
      <c r="G102" s="51" t="str">
        <f>'Pod Library'!F45</f>
        <v>MNT</v>
      </c>
      <c r="H102" s="51" t="str">
        <f>'Pod Library'!G45</f>
        <v>E3</v>
      </c>
      <c r="I102" s="51" t="str">
        <f>'Pod Library'!H45</f>
        <v>ON</v>
      </c>
      <c r="J102" s="51" t="str">
        <f>'Pod Library'!I45</f>
        <v>FTE</v>
      </c>
      <c r="K102" s="16">
        <f>'Pod Library'!J45</f>
        <v>0.5</v>
      </c>
      <c r="L102" s="21">
        <f>'Pod Plan'!F11</f>
        <v>1</v>
      </c>
      <c r="M102" s="54">
        <f t="shared" si="1"/>
        <v>0.5</v>
      </c>
      <c r="N102" s="54">
        <f>M102*INDEX('Logic Tree'!$J$85:$N$87,MATCH(I102,'Logic Tree'!$I$85:$I$87,0),MATCH(H102,'Logic Tree'!$J$84:$N$84,0))</f>
        <v>0.67500000000000004</v>
      </c>
    </row>
    <row r="103" spans="2:14" ht="15" customHeight="1">
      <c r="B103" s="27">
        <v>2</v>
      </c>
      <c r="C103" s="18" t="s">
        <v>469</v>
      </c>
      <c r="D103" s="43" t="s">
        <v>341</v>
      </c>
      <c r="E103" s="43" t="s">
        <v>469</v>
      </c>
      <c r="F103" s="57" t="str">
        <f>'Pod Library'!E46</f>
        <v>Business Analyst (bilingual)</v>
      </c>
      <c r="G103" s="51" t="str">
        <f>'Pod Library'!F46</f>
        <v>BSA</v>
      </c>
      <c r="H103" s="51" t="str">
        <f>'Pod Library'!G46</f>
        <v>E3</v>
      </c>
      <c r="I103" s="51" t="str">
        <f>'Pod Library'!H46</f>
        <v>ON</v>
      </c>
      <c r="J103" s="51" t="str">
        <f>'Pod Library'!I46</f>
        <v>FTC</v>
      </c>
      <c r="K103" s="16">
        <f>'Pod Library'!J46</f>
        <v>0.5</v>
      </c>
      <c r="L103" s="21">
        <f>'Pod Plan'!F11</f>
        <v>1</v>
      </c>
      <c r="M103" s="54">
        <f t="shared" si="1"/>
        <v>0.5</v>
      </c>
      <c r="N103" s="54">
        <f>M103*INDEX('Logic Tree'!$J$85:$N$87,MATCH(I103,'Logic Tree'!$I$85:$I$87,0),MATCH(H103,'Logic Tree'!$J$84:$N$84,0))</f>
        <v>0.67500000000000004</v>
      </c>
    </row>
    <row r="104" spans="2:14" ht="15" customHeight="1">
      <c r="B104" s="27">
        <v>2</v>
      </c>
      <c r="C104" s="18" t="s">
        <v>469</v>
      </c>
      <c r="D104" s="43" t="s">
        <v>341</v>
      </c>
      <c r="E104" s="43" t="s">
        <v>469</v>
      </c>
      <c r="F104" s="57" t="str">
        <f>'Pod Library'!E47</f>
        <v>Team lead / senior engineer</v>
      </c>
      <c r="G104" s="51" t="str">
        <f>'Pod Library'!F47</f>
        <v>DEV</v>
      </c>
      <c r="H104" s="51" t="str">
        <f>'Pod Library'!G47</f>
        <v>E4</v>
      </c>
      <c r="I104" s="51" t="str">
        <f>'Pod Library'!H47</f>
        <v>ON</v>
      </c>
      <c r="J104" s="51" t="str">
        <f>'Pod Library'!I47</f>
        <v>FTC</v>
      </c>
      <c r="K104" s="16">
        <f>'Pod Library'!J47</f>
        <v>0.5</v>
      </c>
      <c r="L104" s="21">
        <f>'Pod Plan'!F11</f>
        <v>1</v>
      </c>
      <c r="M104" s="54">
        <f t="shared" si="1"/>
        <v>0.5</v>
      </c>
      <c r="N104" s="54">
        <f>M104*INDEX('Logic Tree'!$J$85:$N$87,MATCH(I104,'Logic Tree'!$I$85:$I$87,0),MATCH(H104,'Logic Tree'!$J$84:$N$84,0))</f>
        <v>0.92500000000000004</v>
      </c>
    </row>
    <row r="105" spans="2:14" ht="15" customHeight="1">
      <c r="B105" s="27">
        <v>2</v>
      </c>
      <c r="C105" s="18" t="s">
        <v>469</v>
      </c>
      <c r="D105" s="43" t="s">
        <v>341</v>
      </c>
      <c r="E105" s="43" t="s">
        <v>469</v>
      </c>
      <c r="F105" s="57" t="str">
        <f>'Pod Library'!E48</f>
        <v>Application Developer</v>
      </c>
      <c r="G105" s="51" t="str">
        <f>'Pod Library'!F48</f>
        <v>DEV</v>
      </c>
      <c r="H105" s="51" t="str">
        <f>'Pod Library'!G48</f>
        <v>E3</v>
      </c>
      <c r="I105" s="51" t="str">
        <f>'Pod Library'!H48</f>
        <v>ON</v>
      </c>
      <c r="J105" s="51" t="str">
        <f>'Pod Library'!I48</f>
        <v>FTC</v>
      </c>
      <c r="K105" s="16">
        <f>'Pod Library'!J48</f>
        <v>2</v>
      </c>
      <c r="L105" s="21">
        <f>'Pod Plan'!F11</f>
        <v>1</v>
      </c>
      <c r="M105" s="54">
        <f t="shared" si="1"/>
        <v>2</v>
      </c>
      <c r="N105" s="54">
        <f>M105*INDEX('Logic Tree'!$J$85:$N$87,MATCH(I105,'Logic Tree'!$I$85:$I$87,0),MATCH(H105,'Logic Tree'!$J$84:$N$84,0))</f>
        <v>2.7</v>
      </c>
    </row>
    <row r="106" spans="2:14" ht="15" customHeight="1">
      <c r="B106" s="27">
        <v>2</v>
      </c>
      <c r="C106" s="18" t="s">
        <v>469</v>
      </c>
      <c r="D106" s="43" t="s">
        <v>341</v>
      </c>
      <c r="E106" s="43" t="s">
        <v>469</v>
      </c>
      <c r="F106" s="57" t="str">
        <f>'Pod Library'!E49</f>
        <v>Application Developer</v>
      </c>
      <c r="G106" s="51" t="str">
        <f>'Pod Library'!F49</f>
        <v>DEV</v>
      </c>
      <c r="H106" s="51" t="str">
        <f>'Pod Library'!G49</f>
        <v>E2</v>
      </c>
      <c r="I106" s="51" t="str">
        <f>'Pod Library'!H49</f>
        <v>ON</v>
      </c>
      <c r="J106" s="51" t="str">
        <f>'Pod Library'!I49</f>
        <v>FTC</v>
      </c>
      <c r="K106" s="16">
        <f>'Pod Library'!J49</f>
        <v>2.75</v>
      </c>
      <c r="L106" s="21">
        <f>'Pod Plan'!F11</f>
        <v>1</v>
      </c>
      <c r="M106" s="54">
        <f t="shared" si="1"/>
        <v>2.75</v>
      </c>
      <c r="N106" s="54">
        <f>M106*INDEX('Logic Tree'!$J$85:$N$87,MATCH(I106,'Logic Tree'!$I$85:$I$87,0),MATCH(H106,'Logic Tree'!$J$84:$N$84,0))</f>
        <v>2.75</v>
      </c>
    </row>
    <row r="107" spans="2:14" ht="15" customHeight="1">
      <c r="B107" s="27">
        <v>2</v>
      </c>
      <c r="C107" s="18" t="s">
        <v>469</v>
      </c>
      <c r="D107" s="43" t="s">
        <v>341</v>
      </c>
      <c r="E107" s="43" t="s">
        <v>469</v>
      </c>
      <c r="F107" s="57" t="str">
        <f>'Pod Library'!E50</f>
        <v>Application Developer</v>
      </c>
      <c r="G107" s="51" t="str">
        <f>'Pod Library'!F50</f>
        <v>DEV</v>
      </c>
      <c r="H107" s="51" t="str">
        <f>'Pod Library'!G50</f>
        <v>E3</v>
      </c>
      <c r="I107" s="51" t="str">
        <f>'Pod Library'!H50</f>
        <v>NEAR</v>
      </c>
      <c r="J107" s="51" t="str">
        <f>'Pod Library'!I50</f>
        <v>FTC</v>
      </c>
      <c r="K107" s="16">
        <f>'Pod Library'!J50</f>
        <v>0.75</v>
      </c>
      <c r="L107" s="21">
        <f>'Pod Plan'!F11</f>
        <v>1</v>
      </c>
      <c r="M107" s="54">
        <f t="shared" si="1"/>
        <v>0.75</v>
      </c>
      <c r="N107" s="54">
        <f>M107*INDEX('Logic Tree'!$J$85:$N$87,MATCH(I107,'Logic Tree'!$I$85:$I$87,0),MATCH(H107,'Logic Tree'!$J$84:$N$84,0))</f>
        <v>0.63</v>
      </c>
    </row>
    <row r="108" spans="2:14" ht="15" customHeight="1">
      <c r="B108" s="27">
        <v>2</v>
      </c>
      <c r="C108" s="18" t="s">
        <v>469</v>
      </c>
      <c r="D108" s="43" t="s">
        <v>341</v>
      </c>
      <c r="E108" s="43" t="s">
        <v>469</v>
      </c>
      <c r="F108" s="57" t="str">
        <f>'Pod Library'!E51</f>
        <v>Test Analyst</v>
      </c>
      <c r="G108" s="51" t="str">
        <f>'Pod Library'!F51</f>
        <v>TEST</v>
      </c>
      <c r="H108" s="51" t="str">
        <f>'Pod Library'!G51</f>
        <v>E3</v>
      </c>
      <c r="I108" s="51" t="str">
        <f>'Pod Library'!H51</f>
        <v>ON</v>
      </c>
      <c r="J108" s="51" t="str">
        <f>'Pod Library'!I51</f>
        <v>FTC</v>
      </c>
      <c r="K108" s="16">
        <f>'Pod Library'!J51</f>
        <v>1</v>
      </c>
      <c r="L108" s="21">
        <f>'Pod Plan'!F11</f>
        <v>1</v>
      </c>
      <c r="M108" s="54">
        <f t="shared" si="1"/>
        <v>1</v>
      </c>
      <c r="N108" s="54">
        <f>M108*INDEX('Logic Tree'!$J$85:$N$87,MATCH(I108,'Logic Tree'!$I$85:$I$87,0),MATCH(H108,'Logic Tree'!$J$84:$N$84,0))</f>
        <v>1.35</v>
      </c>
    </row>
    <row r="109" spans="2:14" ht="15" customHeight="1">
      <c r="B109" s="27">
        <v>2</v>
      </c>
      <c r="C109" s="18" t="s">
        <v>469</v>
      </c>
      <c r="D109" s="43" t="s">
        <v>341</v>
      </c>
      <c r="E109" s="43" t="s">
        <v>469</v>
      </c>
      <c r="F109" s="57" t="str">
        <f>'Pod Library'!E52</f>
        <v>Test Engineer</v>
      </c>
      <c r="G109" s="51" t="str">
        <f>'Pod Library'!F52</f>
        <v>TEST</v>
      </c>
      <c r="H109" s="51" t="str">
        <f>'Pod Library'!G52</f>
        <v>E2</v>
      </c>
      <c r="I109" s="51" t="str">
        <f>'Pod Library'!H52</f>
        <v>NEAR</v>
      </c>
      <c r="J109" s="51" t="str">
        <f>'Pod Library'!I52</f>
        <v>FTC</v>
      </c>
      <c r="K109" s="16">
        <f>'Pod Library'!J52</f>
        <v>1</v>
      </c>
      <c r="L109" s="21">
        <f>'Pod Plan'!F11</f>
        <v>1</v>
      </c>
      <c r="M109" s="54">
        <f t="shared" si="1"/>
        <v>1</v>
      </c>
      <c r="N109" s="54">
        <f>M109*INDEX('Logic Tree'!$J$85:$N$87,MATCH(I109,'Logic Tree'!$I$85:$I$87,0),MATCH(H109,'Logic Tree'!$J$84:$N$84,0))</f>
        <v>0.62</v>
      </c>
    </row>
    <row r="110" spans="2:14" ht="15" customHeight="1">
      <c r="B110" s="27">
        <v>2</v>
      </c>
      <c r="C110" s="18" t="s">
        <v>469</v>
      </c>
      <c r="D110" s="43" t="s">
        <v>341</v>
      </c>
      <c r="E110" s="43" t="s">
        <v>469</v>
      </c>
      <c r="F110" s="57" t="str">
        <f>'Pod Library'!E53</f>
        <v>MGCC Payments Engineer</v>
      </c>
      <c r="G110" s="51" t="str">
        <f>'Pod Library'!F53</f>
        <v>DEV</v>
      </c>
      <c r="H110" s="51" t="str">
        <f>'Pod Library'!G53</f>
        <v>E3</v>
      </c>
      <c r="I110" s="51" t="str">
        <f>'Pod Library'!H53</f>
        <v>OFF</v>
      </c>
      <c r="J110" s="51" t="str">
        <f>'Pod Library'!I53</f>
        <v>MGCC</v>
      </c>
      <c r="K110" s="16">
        <f>'Pod Library'!J53</f>
        <v>1.25</v>
      </c>
      <c r="L110" s="21">
        <f>'Pod Plan'!F11</f>
        <v>1</v>
      </c>
      <c r="M110" s="54">
        <f t="shared" si="1"/>
        <v>1.25</v>
      </c>
      <c r="N110" s="54">
        <f>M110*INDEX('Logic Tree'!$J$85:$N$87,MATCH(I110,'Logic Tree'!$I$85:$I$87,0),MATCH(H110,'Logic Tree'!$J$84:$N$84,0))</f>
        <v>0.52500000000000002</v>
      </c>
    </row>
    <row r="111" spans="2:14" ht="15" customHeight="1">
      <c r="B111" s="27">
        <v>2</v>
      </c>
      <c r="C111" s="18" t="s">
        <v>469</v>
      </c>
      <c r="D111" s="43" t="s">
        <v>341</v>
      </c>
      <c r="E111" s="43" t="s">
        <v>469</v>
      </c>
      <c r="F111" s="57" t="str">
        <f>'Pod Library'!E54</f>
        <v>Technical Lead</v>
      </c>
      <c r="G111" s="51" t="str">
        <f>'Pod Library'!F54</f>
        <v>OTH</v>
      </c>
      <c r="H111" s="51" t="str">
        <f>'Pod Library'!G54</f>
        <v>E4</v>
      </c>
      <c r="I111" s="51" t="str">
        <f>'Pod Library'!H54</f>
        <v>ON</v>
      </c>
      <c r="J111" s="51" t="str">
        <f>'Pod Library'!I54</f>
        <v>FTC</v>
      </c>
      <c r="K111" s="16">
        <f>'Pod Library'!J54</f>
        <v>0.5</v>
      </c>
      <c r="L111" s="21">
        <f>'Pod Plan'!F11</f>
        <v>1</v>
      </c>
      <c r="M111" s="54">
        <f t="shared" si="1"/>
        <v>0.5</v>
      </c>
      <c r="N111" s="54">
        <f>M111*INDEX('Logic Tree'!$J$85:$N$87,MATCH(I111,'Logic Tree'!$I$85:$I$87,0),MATCH(H111,'Logic Tree'!$J$84:$N$84,0))</f>
        <v>0.92500000000000004</v>
      </c>
    </row>
    <row r="112" spans="2:14" ht="15" customHeight="1">
      <c r="B112" s="27">
        <v>2</v>
      </c>
      <c r="C112" s="18" t="s">
        <v>453</v>
      </c>
      <c r="D112" s="43" t="s">
        <v>342</v>
      </c>
      <c r="E112" s="43" t="s">
        <v>453</v>
      </c>
      <c r="F112" s="57" t="str">
        <f>'Pod Library'!E31</f>
        <v>MetLife Claims Product Owner</v>
      </c>
      <c r="G112" s="51" t="str">
        <f>'Pod Library'!F31</f>
        <v>PM</v>
      </c>
      <c r="H112" s="51" t="str">
        <f>'Pod Library'!G31</f>
        <v>E4</v>
      </c>
      <c r="I112" s="51" t="str">
        <f>'Pod Library'!H31</f>
        <v>ON</v>
      </c>
      <c r="J112" s="51" t="str">
        <f>'Pod Library'!I31</f>
        <v>FTE</v>
      </c>
      <c r="K112" s="16">
        <f>'Pod Library'!J31</f>
        <v>0.57142857142857095</v>
      </c>
      <c r="L112" s="21">
        <f>'Pod Plan'!E12</f>
        <v>2</v>
      </c>
      <c r="M112" s="54">
        <f t="shared" si="1"/>
        <v>1.1428571428571419</v>
      </c>
      <c r="N112" s="54">
        <f>M112*INDEX('Logic Tree'!$J$85:$N$87,MATCH(I112,'Logic Tree'!$I$85:$I$87,0),MATCH(H112,'Logic Tree'!$J$84:$N$84,0))</f>
        <v>2.1142857142857125</v>
      </c>
    </row>
    <row r="113" spans="2:14" ht="15" customHeight="1">
      <c r="B113" s="27">
        <v>2</v>
      </c>
      <c r="C113" s="18" t="s">
        <v>453</v>
      </c>
      <c r="D113" s="43" t="s">
        <v>342</v>
      </c>
      <c r="E113" s="43" t="s">
        <v>453</v>
      </c>
      <c r="F113" s="57" t="str">
        <f>'Pod Library'!E32</f>
        <v>MetLife Claims SME</v>
      </c>
      <c r="G113" s="51" t="str">
        <f>'Pod Library'!F32</f>
        <v>BSA</v>
      </c>
      <c r="H113" s="51" t="str">
        <f>'Pod Library'!G32</f>
        <v>E4</v>
      </c>
      <c r="I113" s="51" t="str">
        <f>'Pod Library'!H32</f>
        <v>ON</v>
      </c>
      <c r="J113" s="51" t="str">
        <f>'Pod Library'!I32</f>
        <v>FTE</v>
      </c>
      <c r="K113" s="16">
        <f>'Pod Library'!J32</f>
        <v>0.42857142857142899</v>
      </c>
      <c r="L113" s="21">
        <f>'Pod Plan'!E12</f>
        <v>2</v>
      </c>
      <c r="M113" s="54">
        <f t="shared" si="1"/>
        <v>0.85714285714285798</v>
      </c>
      <c r="N113" s="54">
        <f>M113*INDEX('Logic Tree'!$J$85:$N$87,MATCH(I113,'Logic Tree'!$I$85:$I$87,0),MATCH(H113,'Logic Tree'!$J$84:$N$84,0))</f>
        <v>1.5857142857142874</v>
      </c>
    </row>
    <row r="114" spans="2:14" ht="15" customHeight="1">
      <c r="B114" s="27">
        <v>2</v>
      </c>
      <c r="C114" s="18" t="s">
        <v>453</v>
      </c>
      <c r="D114" s="43" t="s">
        <v>342</v>
      </c>
      <c r="E114" s="43" t="s">
        <v>453</v>
      </c>
      <c r="F114" s="57" t="str">
        <f>'Pod Library'!E33</f>
        <v>Business Analyst (bilingual)</v>
      </c>
      <c r="G114" s="51" t="str">
        <f>'Pod Library'!F33</f>
        <v>BSA</v>
      </c>
      <c r="H114" s="51" t="str">
        <f>'Pod Library'!G33</f>
        <v>E3</v>
      </c>
      <c r="I114" s="51" t="str">
        <f>'Pod Library'!H33</f>
        <v>ON</v>
      </c>
      <c r="J114" s="51" t="str">
        <f>'Pod Library'!I33</f>
        <v>FTC</v>
      </c>
      <c r="K114" s="16">
        <f>'Pod Library'!J33</f>
        <v>1</v>
      </c>
      <c r="L114" s="21">
        <f>'Pod Plan'!E12</f>
        <v>2</v>
      </c>
      <c r="M114" s="54">
        <f t="shared" si="1"/>
        <v>2</v>
      </c>
      <c r="N114" s="54">
        <f>M114*INDEX('Logic Tree'!$J$85:$N$87,MATCH(I114,'Logic Tree'!$I$85:$I$87,0),MATCH(H114,'Logic Tree'!$J$84:$N$84,0))</f>
        <v>2.7</v>
      </c>
    </row>
    <row r="115" spans="2:14" ht="15" customHeight="1">
      <c r="B115" s="27">
        <v>2</v>
      </c>
      <c r="C115" s="18" t="s">
        <v>453</v>
      </c>
      <c r="D115" s="43" t="s">
        <v>342</v>
      </c>
      <c r="E115" s="43" t="s">
        <v>453</v>
      </c>
      <c r="F115" s="57" t="str">
        <f>'Pod Library'!E34</f>
        <v>Pod lead / senior engineer</v>
      </c>
      <c r="G115" s="51" t="str">
        <f>'Pod Library'!F34</f>
        <v>DEV</v>
      </c>
      <c r="H115" s="51" t="str">
        <f>'Pod Library'!G34</f>
        <v>E4</v>
      </c>
      <c r="I115" s="51" t="str">
        <f>'Pod Library'!H34</f>
        <v>ON</v>
      </c>
      <c r="J115" s="51" t="str">
        <f>'Pod Library'!I34</f>
        <v>FTC</v>
      </c>
      <c r="K115" s="16">
        <f>'Pod Library'!J34</f>
        <v>1.3571428571428601</v>
      </c>
      <c r="L115" s="21">
        <f>'Pod Plan'!E12</f>
        <v>2</v>
      </c>
      <c r="M115" s="54">
        <f t="shared" si="1"/>
        <v>2.7142857142857202</v>
      </c>
      <c r="N115" s="54">
        <f>M115*INDEX('Logic Tree'!$J$85:$N$87,MATCH(I115,'Logic Tree'!$I$85:$I$87,0),MATCH(H115,'Logic Tree'!$J$84:$N$84,0))</f>
        <v>5.0214285714285829</v>
      </c>
    </row>
    <row r="116" spans="2:14" ht="15" customHeight="1">
      <c r="B116" s="27">
        <v>2</v>
      </c>
      <c r="C116" s="18" t="s">
        <v>453</v>
      </c>
      <c r="D116" s="43" t="s">
        <v>342</v>
      </c>
      <c r="E116" s="43" t="s">
        <v>453</v>
      </c>
      <c r="F116" s="57" t="str">
        <f>'Pod Library'!E35</f>
        <v>Claims Engineer</v>
      </c>
      <c r="G116" s="51" t="str">
        <f>'Pod Library'!F35</f>
        <v>DEV</v>
      </c>
      <c r="H116" s="51" t="str">
        <f>'Pod Library'!G35</f>
        <v>E3</v>
      </c>
      <c r="I116" s="51" t="str">
        <f>'Pod Library'!H35</f>
        <v>OFF</v>
      </c>
      <c r="J116" s="51" t="str">
        <f>'Pod Library'!I35</f>
        <v>FTC</v>
      </c>
      <c r="K116" s="16">
        <f>'Pod Library'!J35</f>
        <v>0.64285714285714302</v>
      </c>
      <c r="L116" s="21">
        <f>'Pod Plan'!E12</f>
        <v>2</v>
      </c>
      <c r="M116" s="54">
        <f t="shared" si="1"/>
        <v>1.285714285714286</v>
      </c>
      <c r="N116" s="54">
        <f>M116*INDEX('Logic Tree'!$J$85:$N$87,MATCH(I116,'Logic Tree'!$I$85:$I$87,0),MATCH(H116,'Logic Tree'!$J$84:$N$84,0))</f>
        <v>0.54000000000000015</v>
      </c>
    </row>
    <row r="117" spans="2:14" ht="15" customHeight="1">
      <c r="B117" s="27">
        <v>2</v>
      </c>
      <c r="C117" s="18" t="s">
        <v>453</v>
      </c>
      <c r="D117" s="43" t="s">
        <v>342</v>
      </c>
      <c r="E117" s="43" t="s">
        <v>453</v>
      </c>
      <c r="F117" s="57" t="str">
        <f>'Pod Library'!E36</f>
        <v>Claims Engineer</v>
      </c>
      <c r="G117" s="51" t="str">
        <f>'Pod Library'!F36</f>
        <v>DEV</v>
      </c>
      <c r="H117" s="51" t="str">
        <f>'Pod Library'!G36</f>
        <v>E2</v>
      </c>
      <c r="I117" s="51" t="str">
        <f>'Pod Library'!H36</f>
        <v>OFF</v>
      </c>
      <c r="J117" s="51" t="str">
        <f>'Pod Library'!I36</f>
        <v>FTC</v>
      </c>
      <c r="K117" s="16">
        <f>'Pod Library'!J36</f>
        <v>0.57142857142857095</v>
      </c>
      <c r="L117" s="21">
        <f>'Pod Plan'!E12</f>
        <v>2</v>
      </c>
      <c r="M117" s="54">
        <f t="shared" si="1"/>
        <v>1.1428571428571419</v>
      </c>
      <c r="N117" s="54">
        <f>M117*INDEX('Logic Tree'!$J$85:$N$87,MATCH(I117,'Logic Tree'!$I$85:$I$87,0),MATCH(H117,'Logic Tree'!$J$84:$N$84,0))</f>
        <v>0.34285714285714258</v>
      </c>
    </row>
    <row r="118" spans="2:14" ht="15" customHeight="1">
      <c r="B118" s="27">
        <v>2</v>
      </c>
      <c r="C118" s="18" t="s">
        <v>453</v>
      </c>
      <c r="D118" s="43" t="s">
        <v>342</v>
      </c>
      <c r="E118" s="43" t="s">
        <v>453</v>
      </c>
      <c r="F118" s="57" t="str">
        <f>'Pod Library'!E37</f>
        <v>MGCC Payments Engineer</v>
      </c>
      <c r="G118" s="51" t="str">
        <f>'Pod Library'!F37</f>
        <v>DEV</v>
      </c>
      <c r="H118" s="51" t="str">
        <f>'Pod Library'!G37</f>
        <v>E3</v>
      </c>
      <c r="I118" s="51" t="str">
        <f>'Pod Library'!H37</f>
        <v>OFF</v>
      </c>
      <c r="J118" s="51" t="str">
        <f>'Pod Library'!I37</f>
        <v>MGCC</v>
      </c>
      <c r="K118" s="16">
        <f>'Pod Library'!J37</f>
        <v>1.1428571428571399</v>
      </c>
      <c r="L118" s="21">
        <f>'Pod Plan'!E12</f>
        <v>2</v>
      </c>
      <c r="M118" s="54">
        <f t="shared" si="1"/>
        <v>2.2857142857142798</v>
      </c>
      <c r="N118" s="54">
        <f>M118*INDEX('Logic Tree'!$J$85:$N$87,MATCH(I118,'Logic Tree'!$I$85:$I$87,0),MATCH(H118,'Logic Tree'!$J$84:$N$84,0))</f>
        <v>0.95999999999999752</v>
      </c>
    </row>
    <row r="119" spans="2:14" ht="15" customHeight="1">
      <c r="B119" s="27">
        <v>2</v>
      </c>
      <c r="C119" s="18" t="s">
        <v>453</v>
      </c>
      <c r="D119" s="43" t="s">
        <v>342</v>
      </c>
      <c r="E119" s="43" t="s">
        <v>453</v>
      </c>
      <c r="F119" s="57" t="str">
        <f>'Pod Library'!E38</f>
        <v>SDET / Automation Engineer</v>
      </c>
      <c r="G119" s="51" t="str">
        <f>'Pod Library'!F38</f>
        <v>TEST</v>
      </c>
      <c r="H119" s="51" t="str">
        <f>'Pod Library'!G38</f>
        <v>E3</v>
      </c>
      <c r="I119" s="51" t="str">
        <f>'Pod Library'!H38</f>
        <v>OFF</v>
      </c>
      <c r="J119" s="51" t="str">
        <f>'Pod Library'!I38</f>
        <v>FTC</v>
      </c>
      <c r="K119" s="16">
        <f>'Pod Library'!J38</f>
        <v>0</v>
      </c>
      <c r="L119" s="21">
        <f>'Pod Plan'!E12</f>
        <v>2</v>
      </c>
      <c r="M119" s="54">
        <f t="shared" si="1"/>
        <v>0</v>
      </c>
      <c r="N119" s="54">
        <f>M119*INDEX('Logic Tree'!$J$85:$N$87,MATCH(I119,'Logic Tree'!$I$85:$I$87,0),MATCH(H119,'Logic Tree'!$J$84:$N$84,0))</f>
        <v>0</v>
      </c>
    </row>
    <row r="120" spans="2:14" ht="15" customHeight="1">
      <c r="B120" s="27">
        <v>2</v>
      </c>
      <c r="C120" s="18" t="s">
        <v>453</v>
      </c>
      <c r="D120" s="43" t="s">
        <v>342</v>
      </c>
      <c r="E120" s="43" t="s">
        <v>453</v>
      </c>
      <c r="F120" s="57" t="str">
        <f>'Pod Library'!E39</f>
        <v>MGCC Quality Engineer</v>
      </c>
      <c r="G120" s="51" t="str">
        <f>'Pod Library'!F39</f>
        <v>TEST</v>
      </c>
      <c r="H120" s="51" t="str">
        <f>'Pod Library'!G39</f>
        <v>E2</v>
      </c>
      <c r="I120" s="51" t="str">
        <f>'Pod Library'!H39</f>
        <v>OFF</v>
      </c>
      <c r="J120" s="51" t="str">
        <f>'Pod Library'!I39</f>
        <v>MGCC</v>
      </c>
      <c r="K120" s="16">
        <f>'Pod Library'!J39</f>
        <v>0.71428571428571397</v>
      </c>
      <c r="L120" s="21">
        <f>'Pod Plan'!E12</f>
        <v>2</v>
      </c>
      <c r="M120" s="54">
        <f t="shared" si="1"/>
        <v>1.4285714285714279</v>
      </c>
      <c r="N120" s="54">
        <f>M120*INDEX('Logic Tree'!$J$85:$N$87,MATCH(I120,'Logic Tree'!$I$85:$I$87,0),MATCH(H120,'Logic Tree'!$J$84:$N$84,0))</f>
        <v>0.42857142857142838</v>
      </c>
    </row>
    <row r="121" spans="2:14" ht="15" customHeight="1">
      <c r="B121" s="27">
        <v>2</v>
      </c>
      <c r="C121" s="18" t="s">
        <v>453</v>
      </c>
      <c r="D121" s="43" t="s">
        <v>342</v>
      </c>
      <c r="E121" s="43" t="s">
        <v>453</v>
      </c>
      <c r="F121" s="57" t="str">
        <f>'Pod Library'!E40</f>
        <v>Solution Architect</v>
      </c>
      <c r="G121" s="51" t="str">
        <f>'Pod Library'!F40</f>
        <v>OTH</v>
      </c>
      <c r="H121" s="51" t="str">
        <f>'Pod Library'!G40</f>
        <v>E5</v>
      </c>
      <c r="I121" s="51" t="str">
        <f>'Pod Library'!H40</f>
        <v>ON</v>
      </c>
      <c r="J121" s="51" t="str">
        <f>'Pod Library'!I40</f>
        <v>FTC</v>
      </c>
      <c r="K121" s="16">
        <f>'Pod Library'!J40</f>
        <v>0.71428571428571397</v>
      </c>
      <c r="L121" s="21">
        <f>'Pod Plan'!E12</f>
        <v>2</v>
      </c>
      <c r="M121" s="54">
        <f t="shared" si="1"/>
        <v>1.4285714285714279</v>
      </c>
      <c r="N121" s="54">
        <f>M121*INDEX('Logic Tree'!$J$85:$N$87,MATCH(I121,'Logic Tree'!$I$85:$I$87,0),MATCH(H121,'Logic Tree'!$J$84:$N$84,0))</f>
        <v>3.642857142857141</v>
      </c>
    </row>
    <row r="122" spans="2:14" ht="15" customHeight="1">
      <c r="B122" s="27">
        <v>2</v>
      </c>
      <c r="C122" s="18" t="s">
        <v>746</v>
      </c>
      <c r="D122" s="51" t="str">
        <f>'Horizontal Teams'!C26</f>
        <v>H1</v>
      </c>
      <c r="E122" s="43" t="s">
        <v>746</v>
      </c>
      <c r="F122" s="57" t="str">
        <f>'Horizontal Teams'!E26</f>
        <v>Service Delivery Manager</v>
      </c>
      <c r="G122" s="51" t="str">
        <f>'Horizontal Teams'!D26</f>
        <v>PM</v>
      </c>
      <c r="H122" s="51" t="str">
        <f>'Horizontal Teams'!F26</f>
        <v>E5</v>
      </c>
      <c r="I122" s="51" t="str">
        <f>'Horizontal Teams'!G26</f>
        <v>ON</v>
      </c>
      <c r="J122" s="51" t="str">
        <f>'Horizontal Teams'!H26</f>
        <v>FTC</v>
      </c>
      <c r="K122" s="16">
        <f>'Horizontal Teams'!I26</f>
        <v>0.5</v>
      </c>
      <c r="L122" s="27">
        <v>1</v>
      </c>
      <c r="M122" s="54">
        <f t="shared" si="1"/>
        <v>0.5</v>
      </c>
      <c r="N122" s="54">
        <f>M122*INDEX('Logic Tree'!$J$85:$N$87,MATCH(I122,'Logic Tree'!$I$85:$I$87,0),MATCH(H122,'Logic Tree'!$J$84:$N$84,0))</f>
        <v>1.2749999999999999</v>
      </c>
    </row>
    <row r="123" spans="2:14" ht="15" customHeight="1">
      <c r="B123" s="27">
        <v>2</v>
      </c>
      <c r="C123" s="18" t="s">
        <v>746</v>
      </c>
      <c r="D123" s="51" t="str">
        <f>'Horizontal Teams'!C27</f>
        <v>H1</v>
      </c>
      <c r="E123" s="43" t="s">
        <v>746</v>
      </c>
      <c r="F123" s="57" t="str">
        <f>'Horizontal Teams'!E27</f>
        <v>Incident &amp; Problem Analyst</v>
      </c>
      <c r="G123" s="51" t="str">
        <f>'Horizontal Teams'!D27</f>
        <v>MNT</v>
      </c>
      <c r="H123" s="51" t="str">
        <f>'Horizontal Teams'!F27</f>
        <v>E3</v>
      </c>
      <c r="I123" s="51" t="str">
        <f>'Horizontal Teams'!G27</f>
        <v>ON</v>
      </c>
      <c r="J123" s="51" t="str">
        <f>'Horizontal Teams'!H27</f>
        <v>FTC</v>
      </c>
      <c r="K123" s="16">
        <f>'Horizontal Teams'!I27</f>
        <v>1</v>
      </c>
      <c r="L123" s="27">
        <v>1</v>
      </c>
      <c r="M123" s="54">
        <f t="shared" si="1"/>
        <v>1</v>
      </c>
      <c r="N123" s="54">
        <f>M123*INDEX('Logic Tree'!$J$85:$N$87,MATCH(I123,'Logic Tree'!$I$85:$I$87,0),MATCH(H123,'Logic Tree'!$J$84:$N$84,0))</f>
        <v>1.35</v>
      </c>
    </row>
    <row r="124" spans="2:14" ht="15" customHeight="1">
      <c r="B124" s="27">
        <v>2</v>
      </c>
      <c r="C124" s="18" t="s">
        <v>746</v>
      </c>
      <c r="D124" s="51" t="str">
        <f>'Horizontal Teams'!C28</f>
        <v>H1</v>
      </c>
      <c r="E124" s="43" t="s">
        <v>746</v>
      </c>
      <c r="F124" s="57" t="str">
        <f>'Horizontal Teams'!E28</f>
        <v>L2 Application Support</v>
      </c>
      <c r="G124" s="51" t="str">
        <f>'Horizontal Teams'!D28</f>
        <v>MNT</v>
      </c>
      <c r="H124" s="51" t="str">
        <f>'Horizontal Teams'!F28</f>
        <v>E2</v>
      </c>
      <c r="I124" s="51" t="str">
        <f>'Horizontal Teams'!G28</f>
        <v>OFF</v>
      </c>
      <c r="J124" s="51" t="str">
        <f>'Horizontal Teams'!H28</f>
        <v>FTC</v>
      </c>
      <c r="K124" s="16">
        <f>'Horizontal Teams'!I28</f>
        <v>0.5</v>
      </c>
      <c r="L124" s="27">
        <v>1</v>
      </c>
      <c r="M124" s="54">
        <f t="shared" si="1"/>
        <v>0.5</v>
      </c>
      <c r="N124" s="54">
        <f>M124*INDEX('Logic Tree'!$J$85:$N$87,MATCH(I124,'Logic Tree'!$I$85:$I$87,0),MATCH(H124,'Logic Tree'!$J$84:$N$84,0))</f>
        <v>0.15</v>
      </c>
    </row>
    <row r="125" spans="2:14" ht="15" customHeight="1">
      <c r="B125" s="27">
        <v>2</v>
      </c>
      <c r="C125" s="18" t="s">
        <v>746</v>
      </c>
      <c r="D125" s="51" t="str">
        <f>'Horizontal Teams'!C29</f>
        <v>H1</v>
      </c>
      <c r="E125" s="43" t="s">
        <v>746</v>
      </c>
      <c r="F125" s="57" t="str">
        <f>'Horizontal Teams'!E29</f>
        <v>L2 Application Support</v>
      </c>
      <c r="G125" s="51" t="str">
        <f>'Horizontal Teams'!D29</f>
        <v>MNT</v>
      </c>
      <c r="H125" s="51" t="str">
        <f>'Horizontal Teams'!F29</f>
        <v>E2</v>
      </c>
      <c r="I125" s="51" t="str">
        <f>'Horizontal Teams'!G29</f>
        <v>NEAR</v>
      </c>
      <c r="J125" s="51" t="str">
        <f>'Horizontal Teams'!H29</f>
        <v>FTC</v>
      </c>
      <c r="K125" s="16">
        <f>'Horizontal Teams'!I29</f>
        <v>0.5</v>
      </c>
      <c r="L125" s="27">
        <v>1</v>
      </c>
      <c r="M125" s="54">
        <f t="shared" si="1"/>
        <v>0.5</v>
      </c>
      <c r="N125" s="54">
        <f>M125*INDEX('Logic Tree'!$J$85:$N$87,MATCH(I125,'Logic Tree'!$I$85:$I$87,0),MATCH(H125,'Logic Tree'!$J$84:$N$84,0))</f>
        <v>0.31</v>
      </c>
    </row>
    <row r="126" spans="2:14" ht="15" customHeight="1">
      <c r="B126" s="27">
        <v>2</v>
      </c>
      <c r="C126" s="18" t="s">
        <v>746</v>
      </c>
      <c r="D126" s="51" t="str">
        <f>'Horizontal Teams'!C30</f>
        <v>H1</v>
      </c>
      <c r="E126" s="43" t="s">
        <v>746</v>
      </c>
      <c r="F126" s="57" t="str">
        <f>'Horizontal Teams'!E30</f>
        <v>Observability / AIOps Engineer</v>
      </c>
      <c r="G126" s="51" t="str">
        <f>'Horizontal Teams'!D30</f>
        <v>OTH</v>
      </c>
      <c r="H126" s="51" t="str">
        <f>'Horizontal Teams'!F30</f>
        <v>E3</v>
      </c>
      <c r="I126" s="51" t="str">
        <f>'Horizontal Teams'!G30</f>
        <v>OFF</v>
      </c>
      <c r="J126" s="51" t="str">
        <f>'Horizontal Teams'!H30</f>
        <v>FTC</v>
      </c>
      <c r="K126" s="16">
        <f>'Horizontal Teams'!I30</f>
        <v>1.5</v>
      </c>
      <c r="L126" s="27">
        <v>1</v>
      </c>
      <c r="M126" s="54">
        <f t="shared" si="1"/>
        <v>1.5</v>
      </c>
      <c r="N126" s="54">
        <f>M126*INDEX('Logic Tree'!$J$85:$N$87,MATCH(I126,'Logic Tree'!$I$85:$I$87,0),MATCH(H126,'Logic Tree'!$J$84:$N$84,0))</f>
        <v>0.63</v>
      </c>
    </row>
    <row r="127" spans="2:14" ht="15" customHeight="1">
      <c r="B127" s="27">
        <v>2</v>
      </c>
      <c r="C127" s="18" t="s">
        <v>746</v>
      </c>
      <c r="D127" s="51" t="str">
        <f>'Horizontal Teams'!C31</f>
        <v>H1</v>
      </c>
      <c r="E127" s="43" t="s">
        <v>746</v>
      </c>
      <c r="F127" s="57" t="str">
        <f>'Horizontal Teams'!E31</f>
        <v>MetLife Operations Lead</v>
      </c>
      <c r="G127" s="51" t="str">
        <f>'Horizontal Teams'!D31</f>
        <v>MNT</v>
      </c>
      <c r="H127" s="51" t="str">
        <f>'Horizontal Teams'!F31</f>
        <v>E4</v>
      </c>
      <c r="I127" s="51" t="str">
        <f>'Horizontal Teams'!G31</f>
        <v>ON</v>
      </c>
      <c r="J127" s="51" t="str">
        <f>'Horizontal Teams'!H31</f>
        <v>FTE</v>
      </c>
      <c r="K127" s="16">
        <f>'Horizontal Teams'!I31</f>
        <v>2</v>
      </c>
      <c r="L127" s="27">
        <v>1</v>
      </c>
      <c r="M127" s="54">
        <f t="shared" si="1"/>
        <v>2</v>
      </c>
      <c r="N127" s="54">
        <f>M127*INDEX('Logic Tree'!$J$85:$N$87,MATCH(I127,'Logic Tree'!$I$85:$I$87,0),MATCH(H127,'Logic Tree'!$J$84:$N$84,0))</f>
        <v>3.7</v>
      </c>
    </row>
    <row r="128" spans="2:14" ht="15" customHeight="1">
      <c r="B128" s="27">
        <v>2</v>
      </c>
      <c r="C128" s="18" t="s">
        <v>746</v>
      </c>
      <c r="D128" s="51" t="str">
        <f>'Horizontal Teams'!C32</f>
        <v>H2</v>
      </c>
      <c r="E128" s="43" t="s">
        <v>746</v>
      </c>
      <c r="F128" s="57" t="str">
        <f>'Horizontal Teams'!E32</f>
        <v>Quality Lead</v>
      </c>
      <c r="G128" s="51" t="str">
        <f>'Horizontal Teams'!D32</f>
        <v>TEST</v>
      </c>
      <c r="H128" s="51" t="str">
        <f>'Horizontal Teams'!F32</f>
        <v>E4</v>
      </c>
      <c r="I128" s="51" t="str">
        <f>'Horizontal Teams'!G32</f>
        <v>ON</v>
      </c>
      <c r="J128" s="51" t="str">
        <f>'Horizontal Teams'!H32</f>
        <v>FTC</v>
      </c>
      <c r="K128" s="16">
        <f>'Horizontal Teams'!I32</f>
        <v>1.5</v>
      </c>
      <c r="L128" s="27">
        <v>1</v>
      </c>
      <c r="M128" s="54">
        <f t="shared" si="1"/>
        <v>1.5</v>
      </c>
      <c r="N128" s="54">
        <f>M128*INDEX('Logic Tree'!$J$85:$N$87,MATCH(I128,'Logic Tree'!$I$85:$I$87,0),MATCH(H128,'Logic Tree'!$J$84:$N$84,0))</f>
        <v>2.7750000000000004</v>
      </c>
    </row>
    <row r="129" spans="2:14" ht="15" customHeight="1">
      <c r="B129" s="27">
        <v>2</v>
      </c>
      <c r="C129" s="18" t="s">
        <v>746</v>
      </c>
      <c r="D129" s="51" t="str">
        <f>'Horizontal Teams'!C33</f>
        <v>H2</v>
      </c>
      <c r="E129" s="43" t="s">
        <v>746</v>
      </c>
      <c r="F129" s="57" t="str">
        <f>'Horizontal Teams'!E33</f>
        <v>Test Automation Engineer</v>
      </c>
      <c r="G129" s="51" t="str">
        <f>'Horizontal Teams'!D33</f>
        <v>TEST</v>
      </c>
      <c r="H129" s="51" t="str">
        <f>'Horizontal Teams'!F33</f>
        <v>E3</v>
      </c>
      <c r="I129" s="51" t="str">
        <f>'Horizontal Teams'!G33</f>
        <v>OFF</v>
      </c>
      <c r="J129" s="51" t="str">
        <f>'Horizontal Teams'!H33</f>
        <v>FTC</v>
      </c>
      <c r="K129" s="16">
        <f>'Horizontal Teams'!I33</f>
        <v>2</v>
      </c>
      <c r="L129" s="27">
        <v>1</v>
      </c>
      <c r="M129" s="54">
        <f t="shared" si="1"/>
        <v>2</v>
      </c>
      <c r="N129" s="54">
        <f>M129*INDEX('Logic Tree'!$J$85:$N$87,MATCH(I129,'Logic Tree'!$I$85:$I$87,0),MATCH(H129,'Logic Tree'!$J$84:$N$84,0))</f>
        <v>0.84</v>
      </c>
    </row>
    <row r="130" spans="2:14" ht="15" customHeight="1">
      <c r="B130" s="27">
        <v>2</v>
      </c>
      <c r="C130" s="18" t="s">
        <v>746</v>
      </c>
      <c r="D130" s="51" t="str">
        <f>'Horizontal Teams'!C34</f>
        <v>H2</v>
      </c>
      <c r="E130" s="43" t="s">
        <v>746</v>
      </c>
      <c r="F130" s="57" t="str">
        <f>'Horizontal Teams'!E34</f>
        <v>Performance &amp; Batch Test Engineer</v>
      </c>
      <c r="G130" s="51" t="str">
        <f>'Horizontal Teams'!D34</f>
        <v>TEST</v>
      </c>
      <c r="H130" s="51" t="str">
        <f>'Horizontal Teams'!F34</f>
        <v>E3</v>
      </c>
      <c r="I130" s="51" t="str">
        <f>'Horizontal Teams'!G34</f>
        <v>OFF</v>
      </c>
      <c r="J130" s="51" t="str">
        <f>'Horizontal Teams'!H34</f>
        <v>FTC</v>
      </c>
      <c r="K130" s="16">
        <f>'Horizontal Teams'!I34</f>
        <v>0.5</v>
      </c>
      <c r="L130" s="27">
        <v>1</v>
      </c>
      <c r="M130" s="54">
        <f t="shared" si="1"/>
        <v>0.5</v>
      </c>
      <c r="N130" s="54">
        <f>M130*INDEX('Logic Tree'!$J$85:$N$87,MATCH(I130,'Logic Tree'!$I$85:$I$87,0),MATCH(H130,'Logic Tree'!$J$84:$N$84,0))</f>
        <v>0.21</v>
      </c>
    </row>
    <row r="131" spans="2:14" ht="15" customHeight="1">
      <c r="B131" s="27">
        <v>2</v>
      </c>
      <c r="C131" s="18" t="s">
        <v>746</v>
      </c>
      <c r="D131" s="51" t="str">
        <f>'Horizontal Teams'!C35</f>
        <v>H2</v>
      </c>
      <c r="E131" s="43" t="s">
        <v>746</v>
      </c>
      <c r="F131" s="57" t="str">
        <f>'Horizontal Teams'!E35</f>
        <v>MGCC Quality Engineer</v>
      </c>
      <c r="G131" s="51" t="str">
        <f>'Horizontal Teams'!D35</f>
        <v>TEST</v>
      </c>
      <c r="H131" s="51" t="str">
        <f>'Horizontal Teams'!F35</f>
        <v>E2</v>
      </c>
      <c r="I131" s="51" t="str">
        <f>'Horizontal Teams'!G35</f>
        <v>OFF</v>
      </c>
      <c r="J131" s="51" t="str">
        <f>'Horizontal Teams'!H35</f>
        <v>MGCC</v>
      </c>
      <c r="K131" s="16">
        <f>'Horizontal Teams'!I35</f>
        <v>2</v>
      </c>
      <c r="L131" s="27">
        <v>1</v>
      </c>
      <c r="M131" s="54">
        <f t="shared" si="1"/>
        <v>2</v>
      </c>
      <c r="N131" s="54">
        <f>M131*INDEX('Logic Tree'!$J$85:$N$87,MATCH(I131,'Logic Tree'!$I$85:$I$87,0),MATCH(H131,'Logic Tree'!$J$84:$N$84,0))</f>
        <v>0.6</v>
      </c>
    </row>
    <row r="132" spans="2:14" ht="15" customHeight="1">
      <c r="B132" s="27">
        <v>2</v>
      </c>
      <c r="C132" s="18" t="s">
        <v>746</v>
      </c>
      <c r="D132" s="51" t="str">
        <f>'Horizontal Teams'!C36</f>
        <v>H2</v>
      </c>
      <c r="E132" s="43" t="s">
        <v>746</v>
      </c>
      <c r="F132" s="57" t="str">
        <f>'Horizontal Teams'!E36</f>
        <v>Payments Assurance Analyst</v>
      </c>
      <c r="G132" s="51" t="str">
        <f>'Horizontal Teams'!D36</f>
        <v>BSA</v>
      </c>
      <c r="H132" s="51" t="str">
        <f>'Horizontal Teams'!F36</f>
        <v>E3</v>
      </c>
      <c r="I132" s="51" t="str">
        <f>'Horizontal Teams'!G36</f>
        <v>ON</v>
      </c>
      <c r="J132" s="51" t="str">
        <f>'Horizontal Teams'!H36</f>
        <v>FTC</v>
      </c>
      <c r="K132" s="16">
        <f>'Horizontal Teams'!I36</f>
        <v>2</v>
      </c>
      <c r="L132" s="27">
        <v>1</v>
      </c>
      <c r="M132" s="54">
        <f t="shared" si="1"/>
        <v>2</v>
      </c>
      <c r="N132" s="54">
        <f>M132*INDEX('Logic Tree'!$J$85:$N$87,MATCH(I132,'Logic Tree'!$I$85:$I$87,0),MATCH(H132,'Logic Tree'!$J$84:$N$84,0))</f>
        <v>2.7</v>
      </c>
    </row>
    <row r="133" spans="2:14" ht="15" customHeight="1">
      <c r="B133" s="27">
        <v>2</v>
      </c>
      <c r="C133" s="18" t="s">
        <v>746</v>
      </c>
      <c r="D133" s="51" t="str">
        <f>'Horizontal Teams'!C37</f>
        <v>H3</v>
      </c>
      <c r="E133" s="43" t="s">
        <v>746</v>
      </c>
      <c r="F133" s="57" t="str">
        <f>'Horizontal Teams'!E37</f>
        <v>Domain Solution Architect</v>
      </c>
      <c r="G133" s="51" t="str">
        <f>'Horizontal Teams'!D37</f>
        <v>OTH</v>
      </c>
      <c r="H133" s="51" t="str">
        <f>'Horizontal Teams'!F37</f>
        <v>E5</v>
      </c>
      <c r="I133" s="51" t="str">
        <f>'Horizontal Teams'!G37</f>
        <v>ON</v>
      </c>
      <c r="J133" s="51" t="str">
        <f>'Horizontal Teams'!H37</f>
        <v>FTC</v>
      </c>
      <c r="K133" s="16">
        <f>'Horizontal Teams'!I37</f>
        <v>0.5</v>
      </c>
      <c r="L133" s="27">
        <v>1</v>
      </c>
      <c r="M133" s="54">
        <f t="shared" ref="M133:M196" si="2">K133*L133</f>
        <v>0.5</v>
      </c>
      <c r="N133" s="54">
        <f>M133*INDEX('Logic Tree'!$J$85:$N$87,MATCH(I133,'Logic Tree'!$I$85:$I$87,0),MATCH(H133,'Logic Tree'!$J$84:$N$84,0))</f>
        <v>1.2749999999999999</v>
      </c>
    </row>
    <row r="134" spans="2:14" ht="15" customHeight="1">
      <c r="B134" s="27">
        <v>2</v>
      </c>
      <c r="C134" s="18" t="s">
        <v>746</v>
      </c>
      <c r="D134" s="51" t="str">
        <f>'Horizontal Teams'!C38</f>
        <v>H3</v>
      </c>
      <c r="E134" s="43" t="s">
        <v>746</v>
      </c>
      <c r="F134" s="57" t="str">
        <f>'Horizontal Teams'!E38</f>
        <v>Release Manager</v>
      </c>
      <c r="G134" s="51" t="str">
        <f>'Horizontal Teams'!D38</f>
        <v>OTH</v>
      </c>
      <c r="H134" s="51" t="str">
        <f>'Horizontal Teams'!F38</f>
        <v>E4</v>
      </c>
      <c r="I134" s="51" t="str">
        <f>'Horizontal Teams'!G38</f>
        <v>ON</v>
      </c>
      <c r="J134" s="51" t="str">
        <f>'Horizontal Teams'!H38</f>
        <v>FTC</v>
      </c>
      <c r="K134" s="16">
        <f>'Horizontal Teams'!I38</f>
        <v>2</v>
      </c>
      <c r="L134" s="27">
        <v>1</v>
      </c>
      <c r="M134" s="54">
        <f t="shared" si="2"/>
        <v>2</v>
      </c>
      <c r="N134" s="54">
        <f>M134*INDEX('Logic Tree'!$J$85:$N$87,MATCH(I134,'Logic Tree'!$I$85:$I$87,0),MATCH(H134,'Logic Tree'!$J$84:$N$84,0))</f>
        <v>3.7</v>
      </c>
    </row>
    <row r="135" spans="2:14" ht="15" customHeight="1">
      <c r="B135" s="27">
        <v>2</v>
      </c>
      <c r="C135" s="18" t="s">
        <v>746</v>
      </c>
      <c r="D135" s="51" t="str">
        <f>'Horizontal Teams'!C39</f>
        <v>H3</v>
      </c>
      <c r="E135" s="43" t="s">
        <v>746</v>
      </c>
      <c r="F135" s="57" t="str">
        <f>'Horizontal Teams'!E39</f>
        <v>DevOps / Platform Engineer</v>
      </c>
      <c r="G135" s="51" t="str">
        <f>'Horizontal Teams'!D39</f>
        <v>OTH</v>
      </c>
      <c r="H135" s="51" t="str">
        <f>'Horizontal Teams'!F39</f>
        <v>E3</v>
      </c>
      <c r="I135" s="51" t="str">
        <f>'Horizontal Teams'!G39</f>
        <v>OFF</v>
      </c>
      <c r="J135" s="51" t="str">
        <f>'Horizontal Teams'!H39</f>
        <v>FTC</v>
      </c>
      <c r="K135" s="16">
        <f>'Horizontal Teams'!I39</f>
        <v>0.5</v>
      </c>
      <c r="L135" s="27">
        <v>1</v>
      </c>
      <c r="M135" s="54">
        <f t="shared" si="2"/>
        <v>0.5</v>
      </c>
      <c r="N135" s="54">
        <f>M135*INDEX('Logic Tree'!$J$85:$N$87,MATCH(I135,'Logic Tree'!$I$85:$I$87,0),MATCH(H135,'Logic Tree'!$J$84:$N$84,0))</f>
        <v>0.21</v>
      </c>
    </row>
    <row r="136" spans="2:14" ht="15" customHeight="1">
      <c r="B136" s="27">
        <v>2</v>
      </c>
      <c r="C136" s="18" t="s">
        <v>746</v>
      </c>
      <c r="D136" s="51" t="str">
        <f>'Horizontal Teams'!C40</f>
        <v>H3</v>
      </c>
      <c r="E136" s="43" t="s">
        <v>746</v>
      </c>
      <c r="F136" s="57" t="str">
        <f>'Horizontal Teams'!E40</f>
        <v>Delivery Manager</v>
      </c>
      <c r="G136" s="51" t="str">
        <f>'Horizontal Teams'!D40</f>
        <v>PM</v>
      </c>
      <c r="H136" s="51" t="str">
        <f>'Horizontal Teams'!F40</f>
        <v>E4</v>
      </c>
      <c r="I136" s="51" t="str">
        <f>'Horizontal Teams'!G40</f>
        <v>ON</v>
      </c>
      <c r="J136" s="51" t="str">
        <f>'Horizontal Teams'!H40</f>
        <v>FTC</v>
      </c>
      <c r="K136" s="16">
        <f>'Horizontal Teams'!I40</f>
        <v>0.5</v>
      </c>
      <c r="L136" s="27">
        <v>1</v>
      </c>
      <c r="M136" s="54">
        <f t="shared" si="2"/>
        <v>0.5</v>
      </c>
      <c r="N136" s="54">
        <f>M136*INDEX('Logic Tree'!$J$85:$N$87,MATCH(I136,'Logic Tree'!$I$85:$I$87,0),MATCH(H136,'Logic Tree'!$J$84:$N$84,0))</f>
        <v>0.92500000000000004</v>
      </c>
    </row>
    <row r="137" spans="2:14" ht="15" customHeight="1">
      <c r="B137" s="27">
        <v>2</v>
      </c>
      <c r="C137" s="18" t="s">
        <v>746</v>
      </c>
      <c r="D137" s="51" t="str">
        <f>'Horizontal Teams'!C41</f>
        <v>H3</v>
      </c>
      <c r="E137" s="43" t="s">
        <v>746</v>
      </c>
      <c r="F137" s="57" t="str">
        <f>'Horizontal Teams'!E41</f>
        <v>Knowledge &amp; Enablement Lead</v>
      </c>
      <c r="G137" s="51" t="str">
        <f>'Horizontal Teams'!D41</f>
        <v>BSA</v>
      </c>
      <c r="H137" s="51" t="str">
        <f>'Horizontal Teams'!F41</f>
        <v>E3</v>
      </c>
      <c r="I137" s="51" t="str">
        <f>'Horizontal Teams'!G41</f>
        <v>OFF</v>
      </c>
      <c r="J137" s="51" t="str">
        <f>'Horizontal Teams'!H41</f>
        <v>FTC</v>
      </c>
      <c r="K137" s="16">
        <f>'Horizontal Teams'!I41</f>
        <v>0.5</v>
      </c>
      <c r="L137" s="27">
        <v>1</v>
      </c>
      <c r="M137" s="54">
        <f t="shared" si="2"/>
        <v>0.5</v>
      </c>
      <c r="N137" s="54">
        <f>M137*INDEX('Logic Tree'!$J$85:$N$87,MATCH(I137,'Logic Tree'!$I$85:$I$87,0),MATCH(H137,'Logic Tree'!$J$84:$N$84,0))</f>
        <v>0.21</v>
      </c>
    </row>
    <row r="138" spans="2:14" ht="15" customHeight="1">
      <c r="B138" s="27">
        <v>2</v>
      </c>
      <c r="C138" s="18" t="s">
        <v>746</v>
      </c>
      <c r="D138" s="51" t="str">
        <f>'Horizontal Teams'!C42</f>
        <v>H3</v>
      </c>
      <c r="E138" s="43" t="s">
        <v>746</v>
      </c>
      <c r="F138" s="57" t="str">
        <f>'Horizontal Teams'!E42</f>
        <v>AI Orchestration Engineer</v>
      </c>
      <c r="G138" s="51" t="str">
        <f>'Horizontal Teams'!D42</f>
        <v>DEV</v>
      </c>
      <c r="H138" s="51" t="str">
        <f>'Horizontal Teams'!F42</f>
        <v>E4</v>
      </c>
      <c r="I138" s="51" t="str">
        <f>'Horizontal Teams'!G42</f>
        <v>OFF</v>
      </c>
      <c r="J138" s="51" t="str">
        <f>'Horizontal Teams'!H42</f>
        <v>FTC</v>
      </c>
      <c r="K138" s="16">
        <f>'Horizontal Teams'!I42</f>
        <v>2</v>
      </c>
      <c r="L138" s="27">
        <v>1</v>
      </c>
      <c r="M138" s="54">
        <f t="shared" si="2"/>
        <v>2</v>
      </c>
      <c r="N138" s="54">
        <f>M138*INDEX('Logic Tree'!$J$85:$N$87,MATCH(I138,'Logic Tree'!$I$85:$I$87,0),MATCH(H138,'Logic Tree'!$J$84:$N$84,0))</f>
        <v>1.2</v>
      </c>
    </row>
    <row r="139" spans="2:14" ht="15" customHeight="1">
      <c r="B139" s="27">
        <v>2</v>
      </c>
      <c r="C139" s="18" t="s">
        <v>746</v>
      </c>
      <c r="D139" s="51" t="str">
        <f>'Horizontal Teams'!C43</f>
        <v>H3</v>
      </c>
      <c r="E139" s="43" t="s">
        <v>746</v>
      </c>
      <c r="F139" s="57" t="str">
        <f>'Horizontal Teams'!E43</f>
        <v>MetLife Portfolio Lead</v>
      </c>
      <c r="G139" s="51" t="str">
        <f>'Horizontal Teams'!D43</f>
        <v>PM</v>
      </c>
      <c r="H139" s="51" t="str">
        <f>'Horizontal Teams'!F43</f>
        <v>E4</v>
      </c>
      <c r="I139" s="51" t="str">
        <f>'Horizontal Teams'!G43</f>
        <v>ON</v>
      </c>
      <c r="J139" s="51" t="str">
        <f>'Horizontal Teams'!H43</f>
        <v>FTE</v>
      </c>
      <c r="K139" s="16">
        <f>'Horizontal Teams'!I43</f>
        <v>1.5</v>
      </c>
      <c r="L139" s="27">
        <v>1</v>
      </c>
      <c r="M139" s="54">
        <f t="shared" si="2"/>
        <v>1.5</v>
      </c>
      <c r="N139" s="54">
        <f>M139*INDEX('Logic Tree'!$J$85:$N$87,MATCH(I139,'Logic Tree'!$I$85:$I$87,0),MATCH(H139,'Logic Tree'!$J$84:$N$84,0))</f>
        <v>2.7750000000000004</v>
      </c>
    </row>
    <row r="140" spans="2:14" ht="15" customHeight="1">
      <c r="B140" s="27">
        <v>2</v>
      </c>
      <c r="C140" s="18" t="s">
        <v>746</v>
      </c>
      <c r="D140" s="51" t="str">
        <f>'Horizontal Teams'!C44</f>
        <v>H3</v>
      </c>
      <c r="E140" s="43" t="s">
        <v>746</v>
      </c>
      <c r="F140" s="57" t="str">
        <f>'Horizontal Teams'!E44</f>
        <v>MGCC Engineering Lead</v>
      </c>
      <c r="G140" s="51" t="str">
        <f>'Horizontal Teams'!D44</f>
        <v>DEV</v>
      </c>
      <c r="H140" s="51" t="str">
        <f>'Horizontal Teams'!F44</f>
        <v>E4</v>
      </c>
      <c r="I140" s="51" t="str">
        <f>'Horizontal Teams'!G44</f>
        <v>OFF</v>
      </c>
      <c r="J140" s="51" t="str">
        <f>'Horizontal Teams'!H44</f>
        <v>MGCC</v>
      </c>
      <c r="K140" s="16">
        <f>'Horizontal Teams'!I44</f>
        <v>0.5</v>
      </c>
      <c r="L140" s="27">
        <v>1</v>
      </c>
      <c r="M140" s="54">
        <f t="shared" si="2"/>
        <v>0.5</v>
      </c>
      <c r="N140" s="54">
        <f>M140*INDEX('Logic Tree'!$J$85:$N$87,MATCH(I140,'Logic Tree'!$I$85:$I$87,0),MATCH(H140,'Logic Tree'!$J$84:$N$84,0))</f>
        <v>0.3</v>
      </c>
    </row>
    <row r="141" spans="2:14" ht="15" customHeight="1">
      <c r="B141" s="27">
        <v>3</v>
      </c>
      <c r="C141" s="18" t="s">
        <v>453</v>
      </c>
      <c r="D141" s="43" t="s">
        <v>340</v>
      </c>
      <c r="E141" s="43" t="s">
        <v>453</v>
      </c>
      <c r="F141" s="57" t="str">
        <f>'Pod Library'!E57</f>
        <v>MetLife Claims Product Owner</v>
      </c>
      <c r="G141" s="51" t="str">
        <f>'Pod Library'!F57</f>
        <v>PM</v>
      </c>
      <c r="H141" s="51" t="str">
        <f>'Pod Library'!G57</f>
        <v>E4</v>
      </c>
      <c r="I141" s="51" t="str">
        <f>'Pod Library'!H57</f>
        <v>ON</v>
      </c>
      <c r="J141" s="51" t="str">
        <f>'Pod Library'!I57</f>
        <v>FTE</v>
      </c>
      <c r="K141" s="16">
        <f>'Pod Library'!J57</f>
        <v>0.61111111111111105</v>
      </c>
      <c r="L141" s="21">
        <f>'Pod Plan'!E15</f>
        <v>5</v>
      </c>
      <c r="M141" s="54">
        <f t="shared" si="2"/>
        <v>3.0555555555555554</v>
      </c>
      <c r="N141" s="54">
        <f>M141*INDEX('Logic Tree'!$J$85:$N$87,MATCH(I141,'Logic Tree'!$I$85:$I$87,0),MATCH(H141,'Logic Tree'!$J$84:$N$84,0))</f>
        <v>5.6527777777777777</v>
      </c>
    </row>
    <row r="142" spans="2:14" ht="15" customHeight="1">
      <c r="B142" s="27">
        <v>3</v>
      </c>
      <c r="C142" s="18" t="s">
        <v>453</v>
      </c>
      <c r="D142" s="43" t="s">
        <v>340</v>
      </c>
      <c r="E142" s="43" t="s">
        <v>453</v>
      </c>
      <c r="F142" s="57" t="str">
        <f>'Pod Library'!E58</f>
        <v>MetLife Claims SME</v>
      </c>
      <c r="G142" s="51" t="str">
        <f>'Pod Library'!F58</f>
        <v>BSA</v>
      </c>
      <c r="H142" s="51" t="str">
        <f>'Pod Library'!G58</f>
        <v>E4</v>
      </c>
      <c r="I142" s="51" t="str">
        <f>'Pod Library'!H58</f>
        <v>ON</v>
      </c>
      <c r="J142" s="51" t="str">
        <f>'Pod Library'!I58</f>
        <v>FTE</v>
      </c>
      <c r="K142" s="16">
        <f>'Pod Library'!J58</f>
        <v>0.38888888888888901</v>
      </c>
      <c r="L142" s="21">
        <f>'Pod Plan'!E15</f>
        <v>5</v>
      </c>
      <c r="M142" s="54">
        <f t="shared" si="2"/>
        <v>1.9444444444444451</v>
      </c>
      <c r="N142" s="54">
        <f>M142*INDEX('Logic Tree'!$J$85:$N$87,MATCH(I142,'Logic Tree'!$I$85:$I$87,0),MATCH(H142,'Logic Tree'!$J$84:$N$84,0))</f>
        <v>3.5972222222222237</v>
      </c>
    </row>
    <row r="143" spans="2:14" ht="15" customHeight="1">
      <c r="B143" s="27">
        <v>3</v>
      </c>
      <c r="C143" s="18" t="s">
        <v>453</v>
      </c>
      <c r="D143" s="43" t="s">
        <v>340</v>
      </c>
      <c r="E143" s="43" t="s">
        <v>453</v>
      </c>
      <c r="F143" s="57" t="str">
        <f>'Pod Library'!E59</f>
        <v>Business Analyst (bilingual)</v>
      </c>
      <c r="G143" s="51" t="str">
        <f>'Pod Library'!F59</f>
        <v>BSA</v>
      </c>
      <c r="H143" s="51" t="str">
        <f>'Pod Library'!G59</f>
        <v>E3</v>
      </c>
      <c r="I143" s="51" t="str">
        <f>'Pod Library'!H59</f>
        <v>ON</v>
      </c>
      <c r="J143" s="51" t="str">
        <f>'Pod Library'!I59</f>
        <v>FTC</v>
      </c>
      <c r="K143" s="16">
        <f>'Pod Library'!J59</f>
        <v>0.55555555555555602</v>
      </c>
      <c r="L143" s="21">
        <f>'Pod Plan'!E15</f>
        <v>5</v>
      </c>
      <c r="M143" s="54">
        <f t="shared" si="2"/>
        <v>2.7777777777777803</v>
      </c>
      <c r="N143" s="54">
        <f>M143*INDEX('Logic Tree'!$J$85:$N$87,MATCH(I143,'Logic Tree'!$I$85:$I$87,0),MATCH(H143,'Logic Tree'!$J$84:$N$84,0))</f>
        <v>3.7500000000000036</v>
      </c>
    </row>
    <row r="144" spans="2:14" ht="15" customHeight="1">
      <c r="B144" s="27">
        <v>3</v>
      </c>
      <c r="C144" s="18" t="s">
        <v>453</v>
      </c>
      <c r="D144" s="43" t="s">
        <v>340</v>
      </c>
      <c r="E144" s="43" t="s">
        <v>453</v>
      </c>
      <c r="F144" s="57" t="str">
        <f>'Pod Library'!E60</f>
        <v>Pod lead / senior engineer</v>
      </c>
      <c r="G144" s="51" t="str">
        <f>'Pod Library'!F60</f>
        <v>DEV</v>
      </c>
      <c r="H144" s="51" t="str">
        <f>'Pod Library'!G60</f>
        <v>E4</v>
      </c>
      <c r="I144" s="51" t="str">
        <f>'Pod Library'!H60</f>
        <v>ON</v>
      </c>
      <c r="J144" s="51" t="str">
        <f>'Pod Library'!I60</f>
        <v>FTC</v>
      </c>
      <c r="K144" s="16">
        <f>'Pod Library'!J60</f>
        <v>1</v>
      </c>
      <c r="L144" s="21">
        <f>'Pod Plan'!E15</f>
        <v>5</v>
      </c>
      <c r="M144" s="54">
        <f t="shared" si="2"/>
        <v>5</v>
      </c>
      <c r="N144" s="54">
        <f>M144*INDEX('Logic Tree'!$J$85:$N$87,MATCH(I144,'Logic Tree'!$I$85:$I$87,0),MATCH(H144,'Logic Tree'!$J$84:$N$84,0))</f>
        <v>9.25</v>
      </c>
    </row>
    <row r="145" spans="2:14" ht="15" customHeight="1">
      <c r="B145" s="27">
        <v>3</v>
      </c>
      <c r="C145" s="18" t="s">
        <v>453</v>
      </c>
      <c r="D145" s="43" t="s">
        <v>340</v>
      </c>
      <c r="E145" s="43" t="s">
        <v>453</v>
      </c>
      <c r="F145" s="57" t="str">
        <f>'Pod Library'!E61</f>
        <v>Claims Engineer</v>
      </c>
      <c r="G145" s="51" t="str">
        <f>'Pod Library'!F61</f>
        <v>DEV</v>
      </c>
      <c r="H145" s="51" t="str">
        <f>'Pod Library'!G61</f>
        <v>E3</v>
      </c>
      <c r="I145" s="51" t="str">
        <f>'Pod Library'!H61</f>
        <v>OFF</v>
      </c>
      <c r="J145" s="51" t="str">
        <f>'Pod Library'!I61</f>
        <v>FTC</v>
      </c>
      <c r="K145" s="16">
        <f>'Pod Library'!J61</f>
        <v>0.94444444444444398</v>
      </c>
      <c r="L145" s="21">
        <f>'Pod Plan'!E15</f>
        <v>5</v>
      </c>
      <c r="M145" s="54">
        <f t="shared" si="2"/>
        <v>4.7222222222222197</v>
      </c>
      <c r="N145" s="54">
        <f>M145*INDEX('Logic Tree'!$J$85:$N$87,MATCH(I145,'Logic Tree'!$I$85:$I$87,0),MATCH(H145,'Logic Tree'!$J$84:$N$84,0))</f>
        <v>1.9833333333333323</v>
      </c>
    </row>
    <row r="146" spans="2:14" ht="15" customHeight="1">
      <c r="B146" s="27">
        <v>3</v>
      </c>
      <c r="C146" s="18" t="s">
        <v>453</v>
      </c>
      <c r="D146" s="43" t="s">
        <v>340</v>
      </c>
      <c r="E146" s="43" t="s">
        <v>453</v>
      </c>
      <c r="F146" s="57" t="str">
        <f>'Pod Library'!E62</f>
        <v>Claims Engineer</v>
      </c>
      <c r="G146" s="51" t="str">
        <f>'Pod Library'!F62</f>
        <v>DEV</v>
      </c>
      <c r="H146" s="51" t="str">
        <f>'Pod Library'!G62</f>
        <v>E2</v>
      </c>
      <c r="I146" s="51" t="str">
        <f>'Pod Library'!H62</f>
        <v>OFF</v>
      </c>
      <c r="J146" s="51" t="str">
        <f>'Pod Library'!I62</f>
        <v>FTC</v>
      </c>
      <c r="K146" s="16">
        <f>'Pod Library'!J62</f>
        <v>0.61111111111111105</v>
      </c>
      <c r="L146" s="21">
        <f>'Pod Plan'!E15</f>
        <v>5</v>
      </c>
      <c r="M146" s="54">
        <f t="shared" si="2"/>
        <v>3.0555555555555554</v>
      </c>
      <c r="N146" s="54">
        <f>M146*INDEX('Logic Tree'!$J$85:$N$87,MATCH(I146,'Logic Tree'!$I$85:$I$87,0),MATCH(H146,'Logic Tree'!$J$84:$N$84,0))</f>
        <v>0.91666666666666652</v>
      </c>
    </row>
    <row r="147" spans="2:14" ht="15" customHeight="1">
      <c r="B147" s="27">
        <v>3</v>
      </c>
      <c r="C147" s="18" t="s">
        <v>453</v>
      </c>
      <c r="D147" s="43" t="s">
        <v>340</v>
      </c>
      <c r="E147" s="43" t="s">
        <v>453</v>
      </c>
      <c r="F147" s="57" t="str">
        <f>'Pod Library'!E63</f>
        <v>MGCC Payments Engineer</v>
      </c>
      <c r="G147" s="51" t="str">
        <f>'Pod Library'!F63</f>
        <v>DEV</v>
      </c>
      <c r="H147" s="51" t="str">
        <f>'Pod Library'!G63</f>
        <v>E3</v>
      </c>
      <c r="I147" s="51" t="str">
        <f>'Pod Library'!H63</f>
        <v>OFF</v>
      </c>
      <c r="J147" s="51" t="str">
        <f>'Pod Library'!I63</f>
        <v>MGCC</v>
      </c>
      <c r="K147" s="16">
        <f>'Pod Library'!J63</f>
        <v>1</v>
      </c>
      <c r="L147" s="21">
        <f>'Pod Plan'!E15</f>
        <v>5</v>
      </c>
      <c r="M147" s="54">
        <f t="shared" si="2"/>
        <v>5</v>
      </c>
      <c r="N147" s="54">
        <f>M147*INDEX('Logic Tree'!$J$85:$N$87,MATCH(I147,'Logic Tree'!$I$85:$I$87,0),MATCH(H147,'Logic Tree'!$J$84:$N$84,0))</f>
        <v>2.1</v>
      </c>
    </row>
    <row r="148" spans="2:14" ht="15" customHeight="1">
      <c r="B148" s="27">
        <v>3</v>
      </c>
      <c r="C148" s="18" t="s">
        <v>453</v>
      </c>
      <c r="D148" s="43" t="s">
        <v>340</v>
      </c>
      <c r="E148" s="43" t="s">
        <v>453</v>
      </c>
      <c r="F148" s="57" t="str">
        <f>'Pod Library'!E64</f>
        <v>SDET / Automation Engineer</v>
      </c>
      <c r="G148" s="51" t="str">
        <f>'Pod Library'!F64</f>
        <v>TEST</v>
      </c>
      <c r="H148" s="51" t="str">
        <f>'Pod Library'!G64</f>
        <v>E3</v>
      </c>
      <c r="I148" s="51" t="str">
        <f>'Pod Library'!H64</f>
        <v>OFF</v>
      </c>
      <c r="J148" s="51" t="str">
        <f>'Pod Library'!I64</f>
        <v>FTC</v>
      </c>
      <c r="K148" s="16">
        <f>'Pod Library'!J64</f>
        <v>0</v>
      </c>
      <c r="L148" s="21">
        <f>'Pod Plan'!E15</f>
        <v>5</v>
      </c>
      <c r="M148" s="54">
        <f t="shared" si="2"/>
        <v>0</v>
      </c>
      <c r="N148" s="54">
        <f>M148*INDEX('Logic Tree'!$J$85:$N$87,MATCH(I148,'Logic Tree'!$I$85:$I$87,0),MATCH(H148,'Logic Tree'!$J$84:$N$84,0))</f>
        <v>0</v>
      </c>
    </row>
    <row r="149" spans="2:14" ht="15" customHeight="1">
      <c r="B149" s="27">
        <v>3</v>
      </c>
      <c r="C149" s="18" t="s">
        <v>453</v>
      </c>
      <c r="D149" s="43" t="s">
        <v>340</v>
      </c>
      <c r="E149" s="43" t="s">
        <v>453</v>
      </c>
      <c r="F149" s="57" t="str">
        <f>'Pod Library'!E65</f>
        <v>MGCC Quality Engineer</v>
      </c>
      <c r="G149" s="51" t="str">
        <f>'Pod Library'!F65</f>
        <v>TEST</v>
      </c>
      <c r="H149" s="51" t="str">
        <f>'Pod Library'!G65</f>
        <v>E2</v>
      </c>
      <c r="I149" s="51" t="str">
        <f>'Pod Library'!H65</f>
        <v>OFF</v>
      </c>
      <c r="J149" s="51" t="str">
        <f>'Pod Library'!I65</f>
        <v>MGCC</v>
      </c>
      <c r="K149" s="16">
        <f>'Pod Library'!J65</f>
        <v>0.5</v>
      </c>
      <c r="L149" s="21">
        <f>'Pod Plan'!E15</f>
        <v>5</v>
      </c>
      <c r="M149" s="54">
        <f t="shared" si="2"/>
        <v>2.5</v>
      </c>
      <c r="N149" s="54">
        <f>M149*INDEX('Logic Tree'!$J$85:$N$87,MATCH(I149,'Logic Tree'!$I$85:$I$87,0),MATCH(H149,'Logic Tree'!$J$84:$N$84,0))</f>
        <v>0.75</v>
      </c>
    </row>
    <row r="150" spans="2:14" ht="15" customHeight="1">
      <c r="B150" s="27">
        <v>3</v>
      </c>
      <c r="C150" s="18" t="s">
        <v>453</v>
      </c>
      <c r="D150" s="43" t="s">
        <v>340</v>
      </c>
      <c r="E150" s="43" t="s">
        <v>453</v>
      </c>
      <c r="F150" s="57" t="str">
        <f>'Pod Library'!E66</f>
        <v>Solution Architect</v>
      </c>
      <c r="G150" s="51" t="str">
        <f>'Pod Library'!F66</f>
        <v>OTH</v>
      </c>
      <c r="H150" s="51" t="str">
        <f>'Pod Library'!G66</f>
        <v>E5</v>
      </c>
      <c r="I150" s="51" t="str">
        <f>'Pod Library'!H66</f>
        <v>ON</v>
      </c>
      <c r="J150" s="51" t="str">
        <f>'Pod Library'!I66</f>
        <v>FTC</v>
      </c>
      <c r="K150" s="16">
        <f>'Pod Library'!J66</f>
        <v>0.77777777777777801</v>
      </c>
      <c r="L150" s="21">
        <f>'Pod Plan'!E15</f>
        <v>5</v>
      </c>
      <c r="M150" s="54">
        <f t="shared" si="2"/>
        <v>3.8888888888888902</v>
      </c>
      <c r="N150" s="54">
        <f>M150*INDEX('Logic Tree'!$J$85:$N$87,MATCH(I150,'Logic Tree'!$I$85:$I$87,0),MATCH(H150,'Logic Tree'!$J$84:$N$84,0))</f>
        <v>9.9166666666666696</v>
      </c>
    </row>
    <row r="151" spans="2:14" ht="15" customHeight="1">
      <c r="B151" s="27">
        <v>3</v>
      </c>
      <c r="C151" s="18" t="s">
        <v>453</v>
      </c>
      <c r="D151" s="43" t="s">
        <v>341</v>
      </c>
      <c r="E151" s="43" t="s">
        <v>453</v>
      </c>
      <c r="F151" s="57" t="str">
        <f>'Pod Library'!E57</f>
        <v>MetLife Claims Product Owner</v>
      </c>
      <c r="G151" s="51" t="str">
        <f>'Pod Library'!F57</f>
        <v>PM</v>
      </c>
      <c r="H151" s="51" t="str">
        <f>'Pod Library'!G57</f>
        <v>E4</v>
      </c>
      <c r="I151" s="51" t="str">
        <f>'Pod Library'!H57</f>
        <v>ON</v>
      </c>
      <c r="J151" s="51" t="str">
        <f>'Pod Library'!I57</f>
        <v>FTE</v>
      </c>
      <c r="K151" s="16">
        <f>'Pod Library'!J57</f>
        <v>0.61111111111111105</v>
      </c>
      <c r="L151" s="21">
        <f>'Pod Plan'!E16</f>
        <v>2</v>
      </c>
      <c r="M151" s="54">
        <f t="shared" si="2"/>
        <v>1.2222222222222221</v>
      </c>
      <c r="N151" s="54">
        <f>M151*INDEX('Logic Tree'!$J$85:$N$87,MATCH(I151,'Logic Tree'!$I$85:$I$87,0),MATCH(H151,'Logic Tree'!$J$84:$N$84,0))</f>
        <v>2.2611111111111111</v>
      </c>
    </row>
    <row r="152" spans="2:14" ht="15" customHeight="1">
      <c r="B152" s="27">
        <v>3</v>
      </c>
      <c r="C152" s="18" t="s">
        <v>453</v>
      </c>
      <c r="D152" s="43" t="s">
        <v>341</v>
      </c>
      <c r="E152" s="43" t="s">
        <v>453</v>
      </c>
      <c r="F152" s="57" t="str">
        <f>'Pod Library'!E58</f>
        <v>MetLife Claims SME</v>
      </c>
      <c r="G152" s="51" t="str">
        <f>'Pod Library'!F58</f>
        <v>BSA</v>
      </c>
      <c r="H152" s="51" t="str">
        <f>'Pod Library'!G58</f>
        <v>E4</v>
      </c>
      <c r="I152" s="51" t="str">
        <f>'Pod Library'!H58</f>
        <v>ON</v>
      </c>
      <c r="J152" s="51" t="str">
        <f>'Pod Library'!I58</f>
        <v>FTE</v>
      </c>
      <c r="K152" s="16">
        <f>'Pod Library'!J58</f>
        <v>0.38888888888888901</v>
      </c>
      <c r="L152" s="21">
        <f>'Pod Plan'!E16</f>
        <v>2</v>
      </c>
      <c r="M152" s="54">
        <f t="shared" si="2"/>
        <v>0.77777777777777801</v>
      </c>
      <c r="N152" s="54">
        <f>M152*INDEX('Logic Tree'!$J$85:$N$87,MATCH(I152,'Logic Tree'!$I$85:$I$87,0),MATCH(H152,'Logic Tree'!$J$84:$N$84,0))</f>
        <v>1.4388888888888893</v>
      </c>
    </row>
    <row r="153" spans="2:14" ht="15" customHeight="1">
      <c r="B153" s="27">
        <v>3</v>
      </c>
      <c r="C153" s="18" t="s">
        <v>453</v>
      </c>
      <c r="D153" s="43" t="s">
        <v>341</v>
      </c>
      <c r="E153" s="43" t="s">
        <v>453</v>
      </c>
      <c r="F153" s="57" t="str">
        <f>'Pod Library'!E59</f>
        <v>Business Analyst (bilingual)</v>
      </c>
      <c r="G153" s="51" t="str">
        <f>'Pod Library'!F59</f>
        <v>BSA</v>
      </c>
      <c r="H153" s="51" t="str">
        <f>'Pod Library'!G59</f>
        <v>E3</v>
      </c>
      <c r="I153" s="51" t="str">
        <f>'Pod Library'!H59</f>
        <v>ON</v>
      </c>
      <c r="J153" s="51" t="str">
        <f>'Pod Library'!I59</f>
        <v>FTC</v>
      </c>
      <c r="K153" s="16">
        <f>'Pod Library'!J59</f>
        <v>0.55555555555555602</v>
      </c>
      <c r="L153" s="21">
        <f>'Pod Plan'!E16</f>
        <v>2</v>
      </c>
      <c r="M153" s="54">
        <f t="shared" si="2"/>
        <v>1.111111111111112</v>
      </c>
      <c r="N153" s="54">
        <f>M153*INDEX('Logic Tree'!$J$85:$N$87,MATCH(I153,'Logic Tree'!$I$85:$I$87,0),MATCH(H153,'Logic Tree'!$J$84:$N$84,0))</f>
        <v>1.5000000000000013</v>
      </c>
    </row>
    <row r="154" spans="2:14" ht="15" customHeight="1">
      <c r="B154" s="27">
        <v>3</v>
      </c>
      <c r="C154" s="18" t="s">
        <v>453</v>
      </c>
      <c r="D154" s="43" t="s">
        <v>341</v>
      </c>
      <c r="E154" s="43" t="s">
        <v>453</v>
      </c>
      <c r="F154" s="57" t="str">
        <f>'Pod Library'!E60</f>
        <v>Pod lead / senior engineer</v>
      </c>
      <c r="G154" s="51" t="str">
        <f>'Pod Library'!F60</f>
        <v>DEV</v>
      </c>
      <c r="H154" s="51" t="str">
        <f>'Pod Library'!G60</f>
        <v>E4</v>
      </c>
      <c r="I154" s="51" t="str">
        <f>'Pod Library'!H60</f>
        <v>ON</v>
      </c>
      <c r="J154" s="51" t="str">
        <f>'Pod Library'!I60</f>
        <v>FTC</v>
      </c>
      <c r="K154" s="16">
        <f>'Pod Library'!J60</f>
        <v>1</v>
      </c>
      <c r="L154" s="21">
        <f>'Pod Plan'!E16</f>
        <v>2</v>
      </c>
      <c r="M154" s="54">
        <f t="shared" si="2"/>
        <v>2</v>
      </c>
      <c r="N154" s="54">
        <f>M154*INDEX('Logic Tree'!$J$85:$N$87,MATCH(I154,'Logic Tree'!$I$85:$I$87,0),MATCH(H154,'Logic Tree'!$J$84:$N$84,0))</f>
        <v>3.7</v>
      </c>
    </row>
    <row r="155" spans="2:14" ht="15" customHeight="1">
      <c r="B155" s="27">
        <v>3</v>
      </c>
      <c r="C155" s="18" t="s">
        <v>453</v>
      </c>
      <c r="D155" s="43" t="s">
        <v>341</v>
      </c>
      <c r="E155" s="43" t="s">
        <v>453</v>
      </c>
      <c r="F155" s="57" t="str">
        <f>'Pod Library'!E61</f>
        <v>Claims Engineer</v>
      </c>
      <c r="G155" s="51" t="str">
        <f>'Pod Library'!F61</f>
        <v>DEV</v>
      </c>
      <c r="H155" s="51" t="str">
        <f>'Pod Library'!G61</f>
        <v>E3</v>
      </c>
      <c r="I155" s="51" t="str">
        <f>'Pod Library'!H61</f>
        <v>OFF</v>
      </c>
      <c r="J155" s="51" t="str">
        <f>'Pod Library'!I61</f>
        <v>FTC</v>
      </c>
      <c r="K155" s="16">
        <f>'Pod Library'!J61</f>
        <v>0.94444444444444398</v>
      </c>
      <c r="L155" s="21">
        <f>'Pod Plan'!E16</f>
        <v>2</v>
      </c>
      <c r="M155" s="54">
        <f t="shared" si="2"/>
        <v>1.888888888888888</v>
      </c>
      <c r="N155" s="54">
        <f>M155*INDEX('Logic Tree'!$J$85:$N$87,MATCH(I155,'Logic Tree'!$I$85:$I$87,0),MATCH(H155,'Logic Tree'!$J$84:$N$84,0))</f>
        <v>0.79333333333333289</v>
      </c>
    </row>
    <row r="156" spans="2:14" ht="15" customHeight="1">
      <c r="B156" s="27">
        <v>3</v>
      </c>
      <c r="C156" s="18" t="s">
        <v>453</v>
      </c>
      <c r="D156" s="43" t="s">
        <v>341</v>
      </c>
      <c r="E156" s="43" t="s">
        <v>453</v>
      </c>
      <c r="F156" s="57" t="str">
        <f>'Pod Library'!E62</f>
        <v>Claims Engineer</v>
      </c>
      <c r="G156" s="51" t="str">
        <f>'Pod Library'!F62</f>
        <v>DEV</v>
      </c>
      <c r="H156" s="51" t="str">
        <f>'Pod Library'!G62</f>
        <v>E2</v>
      </c>
      <c r="I156" s="51" t="str">
        <f>'Pod Library'!H62</f>
        <v>OFF</v>
      </c>
      <c r="J156" s="51" t="str">
        <f>'Pod Library'!I62</f>
        <v>FTC</v>
      </c>
      <c r="K156" s="16">
        <f>'Pod Library'!J62</f>
        <v>0.61111111111111105</v>
      </c>
      <c r="L156" s="21">
        <f>'Pod Plan'!E16</f>
        <v>2</v>
      </c>
      <c r="M156" s="54">
        <f t="shared" si="2"/>
        <v>1.2222222222222221</v>
      </c>
      <c r="N156" s="54">
        <f>M156*INDEX('Logic Tree'!$J$85:$N$87,MATCH(I156,'Logic Tree'!$I$85:$I$87,0),MATCH(H156,'Logic Tree'!$J$84:$N$84,0))</f>
        <v>0.36666666666666664</v>
      </c>
    </row>
    <row r="157" spans="2:14" ht="15" customHeight="1">
      <c r="B157" s="27">
        <v>3</v>
      </c>
      <c r="C157" s="18" t="s">
        <v>453</v>
      </c>
      <c r="D157" s="43" t="s">
        <v>341</v>
      </c>
      <c r="E157" s="43" t="s">
        <v>453</v>
      </c>
      <c r="F157" s="57" t="str">
        <f>'Pod Library'!E63</f>
        <v>MGCC Payments Engineer</v>
      </c>
      <c r="G157" s="51" t="str">
        <f>'Pod Library'!F63</f>
        <v>DEV</v>
      </c>
      <c r="H157" s="51" t="str">
        <f>'Pod Library'!G63</f>
        <v>E3</v>
      </c>
      <c r="I157" s="51" t="str">
        <f>'Pod Library'!H63</f>
        <v>OFF</v>
      </c>
      <c r="J157" s="51" t="str">
        <f>'Pod Library'!I63</f>
        <v>MGCC</v>
      </c>
      <c r="K157" s="16">
        <f>'Pod Library'!J63</f>
        <v>1</v>
      </c>
      <c r="L157" s="21">
        <f>'Pod Plan'!E16</f>
        <v>2</v>
      </c>
      <c r="M157" s="54">
        <f t="shared" si="2"/>
        <v>2</v>
      </c>
      <c r="N157" s="54">
        <f>M157*INDEX('Logic Tree'!$J$85:$N$87,MATCH(I157,'Logic Tree'!$I$85:$I$87,0),MATCH(H157,'Logic Tree'!$J$84:$N$84,0))</f>
        <v>0.84</v>
      </c>
    </row>
    <row r="158" spans="2:14" ht="15" customHeight="1">
      <c r="B158" s="27">
        <v>3</v>
      </c>
      <c r="C158" s="18" t="s">
        <v>453</v>
      </c>
      <c r="D158" s="43" t="s">
        <v>341</v>
      </c>
      <c r="E158" s="43" t="s">
        <v>453</v>
      </c>
      <c r="F158" s="57" t="str">
        <f>'Pod Library'!E64</f>
        <v>SDET / Automation Engineer</v>
      </c>
      <c r="G158" s="51" t="str">
        <f>'Pod Library'!F64</f>
        <v>TEST</v>
      </c>
      <c r="H158" s="51" t="str">
        <f>'Pod Library'!G64</f>
        <v>E3</v>
      </c>
      <c r="I158" s="51" t="str">
        <f>'Pod Library'!H64</f>
        <v>OFF</v>
      </c>
      <c r="J158" s="51" t="str">
        <f>'Pod Library'!I64</f>
        <v>FTC</v>
      </c>
      <c r="K158" s="16">
        <f>'Pod Library'!J64</f>
        <v>0</v>
      </c>
      <c r="L158" s="21">
        <f>'Pod Plan'!E16</f>
        <v>2</v>
      </c>
      <c r="M158" s="54">
        <f t="shared" si="2"/>
        <v>0</v>
      </c>
      <c r="N158" s="54">
        <f>M158*INDEX('Logic Tree'!$J$85:$N$87,MATCH(I158,'Logic Tree'!$I$85:$I$87,0),MATCH(H158,'Logic Tree'!$J$84:$N$84,0))</f>
        <v>0</v>
      </c>
    </row>
    <row r="159" spans="2:14" ht="15" customHeight="1">
      <c r="B159" s="27">
        <v>3</v>
      </c>
      <c r="C159" s="18" t="s">
        <v>453</v>
      </c>
      <c r="D159" s="43" t="s">
        <v>341</v>
      </c>
      <c r="E159" s="43" t="s">
        <v>453</v>
      </c>
      <c r="F159" s="57" t="str">
        <f>'Pod Library'!E65</f>
        <v>MGCC Quality Engineer</v>
      </c>
      <c r="G159" s="51" t="str">
        <f>'Pod Library'!F65</f>
        <v>TEST</v>
      </c>
      <c r="H159" s="51" t="str">
        <f>'Pod Library'!G65</f>
        <v>E2</v>
      </c>
      <c r="I159" s="51" t="str">
        <f>'Pod Library'!H65</f>
        <v>OFF</v>
      </c>
      <c r="J159" s="51" t="str">
        <f>'Pod Library'!I65</f>
        <v>MGCC</v>
      </c>
      <c r="K159" s="16">
        <f>'Pod Library'!J65</f>
        <v>0.5</v>
      </c>
      <c r="L159" s="21">
        <f>'Pod Plan'!E16</f>
        <v>2</v>
      </c>
      <c r="M159" s="54">
        <f t="shared" si="2"/>
        <v>1</v>
      </c>
      <c r="N159" s="54">
        <f>M159*INDEX('Logic Tree'!$J$85:$N$87,MATCH(I159,'Logic Tree'!$I$85:$I$87,0),MATCH(H159,'Logic Tree'!$J$84:$N$84,0))</f>
        <v>0.3</v>
      </c>
    </row>
    <row r="160" spans="2:14" ht="15" customHeight="1">
      <c r="B160" s="27">
        <v>3</v>
      </c>
      <c r="C160" s="18" t="s">
        <v>453</v>
      </c>
      <c r="D160" s="43" t="s">
        <v>341</v>
      </c>
      <c r="E160" s="43" t="s">
        <v>453</v>
      </c>
      <c r="F160" s="57" t="str">
        <f>'Pod Library'!E66</f>
        <v>Solution Architect</v>
      </c>
      <c r="G160" s="51" t="str">
        <f>'Pod Library'!F66</f>
        <v>OTH</v>
      </c>
      <c r="H160" s="51" t="str">
        <f>'Pod Library'!G66</f>
        <v>E5</v>
      </c>
      <c r="I160" s="51" t="str">
        <f>'Pod Library'!H66</f>
        <v>ON</v>
      </c>
      <c r="J160" s="51" t="str">
        <f>'Pod Library'!I66</f>
        <v>FTC</v>
      </c>
      <c r="K160" s="16">
        <f>'Pod Library'!J66</f>
        <v>0.77777777777777801</v>
      </c>
      <c r="L160" s="21">
        <f>'Pod Plan'!E16</f>
        <v>2</v>
      </c>
      <c r="M160" s="54">
        <f t="shared" si="2"/>
        <v>1.555555555555556</v>
      </c>
      <c r="N160" s="54">
        <f>M160*INDEX('Logic Tree'!$J$85:$N$87,MATCH(I160,'Logic Tree'!$I$85:$I$87,0),MATCH(H160,'Logic Tree'!$J$84:$N$84,0))</f>
        <v>3.9666666666666677</v>
      </c>
    </row>
    <row r="161" spans="2:14" ht="15" customHeight="1">
      <c r="B161" s="27">
        <v>3</v>
      </c>
      <c r="C161" s="18" t="s">
        <v>453</v>
      </c>
      <c r="D161" s="43" t="s">
        <v>342</v>
      </c>
      <c r="E161" s="43" t="s">
        <v>453</v>
      </c>
      <c r="F161" s="57" t="str">
        <f>'Pod Library'!E57</f>
        <v>MetLife Claims Product Owner</v>
      </c>
      <c r="G161" s="51" t="str">
        <f>'Pod Library'!F57</f>
        <v>PM</v>
      </c>
      <c r="H161" s="51" t="str">
        <f>'Pod Library'!G57</f>
        <v>E4</v>
      </c>
      <c r="I161" s="51" t="str">
        <f>'Pod Library'!H57</f>
        <v>ON</v>
      </c>
      <c r="J161" s="51" t="str">
        <f>'Pod Library'!I57</f>
        <v>FTE</v>
      </c>
      <c r="K161" s="16">
        <f>'Pod Library'!J57</f>
        <v>0.61111111111111105</v>
      </c>
      <c r="L161" s="21">
        <f>'Pod Plan'!E17</f>
        <v>2</v>
      </c>
      <c r="M161" s="54">
        <f t="shared" si="2"/>
        <v>1.2222222222222221</v>
      </c>
      <c r="N161" s="54">
        <f>M161*INDEX('Logic Tree'!$J$85:$N$87,MATCH(I161,'Logic Tree'!$I$85:$I$87,0),MATCH(H161,'Logic Tree'!$J$84:$N$84,0))</f>
        <v>2.2611111111111111</v>
      </c>
    </row>
    <row r="162" spans="2:14" ht="15" customHeight="1">
      <c r="B162" s="27">
        <v>3</v>
      </c>
      <c r="C162" s="18" t="s">
        <v>453</v>
      </c>
      <c r="D162" s="43" t="s">
        <v>342</v>
      </c>
      <c r="E162" s="43" t="s">
        <v>453</v>
      </c>
      <c r="F162" s="57" t="str">
        <f>'Pod Library'!E58</f>
        <v>MetLife Claims SME</v>
      </c>
      <c r="G162" s="51" t="str">
        <f>'Pod Library'!F58</f>
        <v>BSA</v>
      </c>
      <c r="H162" s="51" t="str">
        <f>'Pod Library'!G58</f>
        <v>E4</v>
      </c>
      <c r="I162" s="51" t="str">
        <f>'Pod Library'!H58</f>
        <v>ON</v>
      </c>
      <c r="J162" s="51" t="str">
        <f>'Pod Library'!I58</f>
        <v>FTE</v>
      </c>
      <c r="K162" s="16">
        <f>'Pod Library'!J58</f>
        <v>0.38888888888888901</v>
      </c>
      <c r="L162" s="21">
        <f>'Pod Plan'!E17</f>
        <v>2</v>
      </c>
      <c r="M162" s="54">
        <f t="shared" si="2"/>
        <v>0.77777777777777801</v>
      </c>
      <c r="N162" s="54">
        <f>M162*INDEX('Logic Tree'!$J$85:$N$87,MATCH(I162,'Logic Tree'!$I$85:$I$87,0),MATCH(H162,'Logic Tree'!$J$84:$N$84,0))</f>
        <v>1.4388888888888893</v>
      </c>
    </row>
    <row r="163" spans="2:14" ht="15" customHeight="1">
      <c r="B163" s="27">
        <v>3</v>
      </c>
      <c r="C163" s="18" t="s">
        <v>453</v>
      </c>
      <c r="D163" s="43" t="s">
        <v>342</v>
      </c>
      <c r="E163" s="43" t="s">
        <v>453</v>
      </c>
      <c r="F163" s="57" t="str">
        <f>'Pod Library'!E59</f>
        <v>Business Analyst (bilingual)</v>
      </c>
      <c r="G163" s="51" t="str">
        <f>'Pod Library'!F59</f>
        <v>BSA</v>
      </c>
      <c r="H163" s="51" t="str">
        <f>'Pod Library'!G59</f>
        <v>E3</v>
      </c>
      <c r="I163" s="51" t="str">
        <f>'Pod Library'!H59</f>
        <v>ON</v>
      </c>
      <c r="J163" s="51" t="str">
        <f>'Pod Library'!I59</f>
        <v>FTC</v>
      </c>
      <c r="K163" s="16">
        <f>'Pod Library'!J59</f>
        <v>0.55555555555555602</v>
      </c>
      <c r="L163" s="21">
        <f>'Pod Plan'!E17</f>
        <v>2</v>
      </c>
      <c r="M163" s="54">
        <f t="shared" si="2"/>
        <v>1.111111111111112</v>
      </c>
      <c r="N163" s="54">
        <f>M163*INDEX('Logic Tree'!$J$85:$N$87,MATCH(I163,'Logic Tree'!$I$85:$I$87,0),MATCH(H163,'Logic Tree'!$J$84:$N$84,0))</f>
        <v>1.5000000000000013</v>
      </c>
    </row>
    <row r="164" spans="2:14" ht="15" customHeight="1">
      <c r="B164" s="27">
        <v>3</v>
      </c>
      <c r="C164" s="18" t="s">
        <v>453</v>
      </c>
      <c r="D164" s="43" t="s">
        <v>342</v>
      </c>
      <c r="E164" s="43" t="s">
        <v>453</v>
      </c>
      <c r="F164" s="57" t="str">
        <f>'Pod Library'!E60</f>
        <v>Pod lead / senior engineer</v>
      </c>
      <c r="G164" s="51" t="str">
        <f>'Pod Library'!F60</f>
        <v>DEV</v>
      </c>
      <c r="H164" s="51" t="str">
        <f>'Pod Library'!G60</f>
        <v>E4</v>
      </c>
      <c r="I164" s="51" t="str">
        <f>'Pod Library'!H60</f>
        <v>ON</v>
      </c>
      <c r="J164" s="51" t="str">
        <f>'Pod Library'!I60</f>
        <v>FTC</v>
      </c>
      <c r="K164" s="16">
        <f>'Pod Library'!J60</f>
        <v>1</v>
      </c>
      <c r="L164" s="21">
        <f>'Pod Plan'!E17</f>
        <v>2</v>
      </c>
      <c r="M164" s="54">
        <f t="shared" si="2"/>
        <v>2</v>
      </c>
      <c r="N164" s="54">
        <f>M164*INDEX('Logic Tree'!$J$85:$N$87,MATCH(I164,'Logic Tree'!$I$85:$I$87,0),MATCH(H164,'Logic Tree'!$J$84:$N$84,0))</f>
        <v>3.7</v>
      </c>
    </row>
    <row r="165" spans="2:14" ht="15" customHeight="1">
      <c r="B165" s="27">
        <v>3</v>
      </c>
      <c r="C165" s="18" t="s">
        <v>453</v>
      </c>
      <c r="D165" s="43" t="s">
        <v>342</v>
      </c>
      <c r="E165" s="43" t="s">
        <v>453</v>
      </c>
      <c r="F165" s="57" t="str">
        <f>'Pod Library'!E61</f>
        <v>Claims Engineer</v>
      </c>
      <c r="G165" s="51" t="str">
        <f>'Pod Library'!F61</f>
        <v>DEV</v>
      </c>
      <c r="H165" s="51" t="str">
        <f>'Pod Library'!G61</f>
        <v>E3</v>
      </c>
      <c r="I165" s="51" t="str">
        <f>'Pod Library'!H61</f>
        <v>OFF</v>
      </c>
      <c r="J165" s="51" t="str">
        <f>'Pod Library'!I61</f>
        <v>FTC</v>
      </c>
      <c r="K165" s="16">
        <f>'Pod Library'!J61</f>
        <v>0.94444444444444398</v>
      </c>
      <c r="L165" s="21">
        <f>'Pod Plan'!E17</f>
        <v>2</v>
      </c>
      <c r="M165" s="54">
        <f t="shared" si="2"/>
        <v>1.888888888888888</v>
      </c>
      <c r="N165" s="54">
        <f>M165*INDEX('Logic Tree'!$J$85:$N$87,MATCH(I165,'Logic Tree'!$I$85:$I$87,0),MATCH(H165,'Logic Tree'!$J$84:$N$84,0))</f>
        <v>0.79333333333333289</v>
      </c>
    </row>
    <row r="166" spans="2:14" ht="15" customHeight="1">
      <c r="B166" s="27">
        <v>3</v>
      </c>
      <c r="C166" s="18" t="s">
        <v>453</v>
      </c>
      <c r="D166" s="43" t="s">
        <v>342</v>
      </c>
      <c r="E166" s="43" t="s">
        <v>453</v>
      </c>
      <c r="F166" s="57" t="str">
        <f>'Pod Library'!E62</f>
        <v>Claims Engineer</v>
      </c>
      <c r="G166" s="51" t="str">
        <f>'Pod Library'!F62</f>
        <v>DEV</v>
      </c>
      <c r="H166" s="51" t="str">
        <f>'Pod Library'!G62</f>
        <v>E2</v>
      </c>
      <c r="I166" s="51" t="str">
        <f>'Pod Library'!H62</f>
        <v>OFF</v>
      </c>
      <c r="J166" s="51" t="str">
        <f>'Pod Library'!I62</f>
        <v>FTC</v>
      </c>
      <c r="K166" s="16">
        <f>'Pod Library'!J62</f>
        <v>0.61111111111111105</v>
      </c>
      <c r="L166" s="21">
        <f>'Pod Plan'!E17</f>
        <v>2</v>
      </c>
      <c r="M166" s="54">
        <f t="shared" si="2"/>
        <v>1.2222222222222221</v>
      </c>
      <c r="N166" s="54">
        <f>M166*INDEX('Logic Tree'!$J$85:$N$87,MATCH(I166,'Logic Tree'!$I$85:$I$87,0),MATCH(H166,'Logic Tree'!$J$84:$N$84,0))</f>
        <v>0.36666666666666664</v>
      </c>
    </row>
    <row r="167" spans="2:14" ht="15" customHeight="1">
      <c r="B167" s="27">
        <v>3</v>
      </c>
      <c r="C167" s="18" t="s">
        <v>453</v>
      </c>
      <c r="D167" s="43" t="s">
        <v>342</v>
      </c>
      <c r="E167" s="43" t="s">
        <v>453</v>
      </c>
      <c r="F167" s="57" t="str">
        <f>'Pod Library'!E63</f>
        <v>MGCC Payments Engineer</v>
      </c>
      <c r="G167" s="51" t="str">
        <f>'Pod Library'!F63</f>
        <v>DEV</v>
      </c>
      <c r="H167" s="51" t="str">
        <f>'Pod Library'!G63</f>
        <v>E3</v>
      </c>
      <c r="I167" s="51" t="str">
        <f>'Pod Library'!H63</f>
        <v>OFF</v>
      </c>
      <c r="J167" s="51" t="str">
        <f>'Pod Library'!I63</f>
        <v>MGCC</v>
      </c>
      <c r="K167" s="16">
        <f>'Pod Library'!J63</f>
        <v>1</v>
      </c>
      <c r="L167" s="21">
        <f>'Pod Plan'!E17</f>
        <v>2</v>
      </c>
      <c r="M167" s="54">
        <f t="shared" si="2"/>
        <v>2</v>
      </c>
      <c r="N167" s="54">
        <f>M167*INDEX('Logic Tree'!$J$85:$N$87,MATCH(I167,'Logic Tree'!$I$85:$I$87,0),MATCH(H167,'Logic Tree'!$J$84:$N$84,0))</f>
        <v>0.84</v>
      </c>
    </row>
    <row r="168" spans="2:14" ht="15" customHeight="1">
      <c r="B168" s="27">
        <v>3</v>
      </c>
      <c r="C168" s="18" t="s">
        <v>453</v>
      </c>
      <c r="D168" s="43" t="s">
        <v>342</v>
      </c>
      <c r="E168" s="43" t="s">
        <v>453</v>
      </c>
      <c r="F168" s="57" t="str">
        <f>'Pod Library'!E64</f>
        <v>SDET / Automation Engineer</v>
      </c>
      <c r="G168" s="51" t="str">
        <f>'Pod Library'!F64</f>
        <v>TEST</v>
      </c>
      <c r="H168" s="51" t="str">
        <f>'Pod Library'!G64</f>
        <v>E3</v>
      </c>
      <c r="I168" s="51" t="str">
        <f>'Pod Library'!H64</f>
        <v>OFF</v>
      </c>
      <c r="J168" s="51" t="str">
        <f>'Pod Library'!I64</f>
        <v>FTC</v>
      </c>
      <c r="K168" s="16">
        <f>'Pod Library'!J64</f>
        <v>0</v>
      </c>
      <c r="L168" s="21">
        <f>'Pod Plan'!E17</f>
        <v>2</v>
      </c>
      <c r="M168" s="54">
        <f t="shared" si="2"/>
        <v>0</v>
      </c>
      <c r="N168" s="54">
        <f>M168*INDEX('Logic Tree'!$J$85:$N$87,MATCH(I168,'Logic Tree'!$I$85:$I$87,0),MATCH(H168,'Logic Tree'!$J$84:$N$84,0))</f>
        <v>0</v>
      </c>
    </row>
    <row r="169" spans="2:14" ht="15" customHeight="1">
      <c r="B169" s="27">
        <v>3</v>
      </c>
      <c r="C169" s="18" t="s">
        <v>453</v>
      </c>
      <c r="D169" s="43" t="s">
        <v>342</v>
      </c>
      <c r="E169" s="43" t="s">
        <v>453</v>
      </c>
      <c r="F169" s="57" t="str">
        <f>'Pod Library'!E65</f>
        <v>MGCC Quality Engineer</v>
      </c>
      <c r="G169" s="51" t="str">
        <f>'Pod Library'!F65</f>
        <v>TEST</v>
      </c>
      <c r="H169" s="51" t="str">
        <f>'Pod Library'!G65</f>
        <v>E2</v>
      </c>
      <c r="I169" s="51" t="str">
        <f>'Pod Library'!H65</f>
        <v>OFF</v>
      </c>
      <c r="J169" s="51" t="str">
        <f>'Pod Library'!I65</f>
        <v>MGCC</v>
      </c>
      <c r="K169" s="16">
        <f>'Pod Library'!J65</f>
        <v>0.5</v>
      </c>
      <c r="L169" s="21">
        <f>'Pod Plan'!E17</f>
        <v>2</v>
      </c>
      <c r="M169" s="54">
        <f t="shared" si="2"/>
        <v>1</v>
      </c>
      <c r="N169" s="54">
        <f>M169*INDEX('Logic Tree'!$J$85:$N$87,MATCH(I169,'Logic Tree'!$I$85:$I$87,0),MATCH(H169,'Logic Tree'!$J$84:$N$84,0))</f>
        <v>0.3</v>
      </c>
    </row>
    <row r="170" spans="2:14" ht="15" customHeight="1">
      <c r="B170" s="27">
        <v>3</v>
      </c>
      <c r="C170" s="18" t="s">
        <v>453</v>
      </c>
      <c r="D170" s="43" t="s">
        <v>342</v>
      </c>
      <c r="E170" s="43" t="s">
        <v>453</v>
      </c>
      <c r="F170" s="57" t="str">
        <f>'Pod Library'!E66</f>
        <v>Solution Architect</v>
      </c>
      <c r="G170" s="51" t="str">
        <f>'Pod Library'!F66</f>
        <v>OTH</v>
      </c>
      <c r="H170" s="51" t="str">
        <f>'Pod Library'!G66</f>
        <v>E5</v>
      </c>
      <c r="I170" s="51" t="str">
        <f>'Pod Library'!H66</f>
        <v>ON</v>
      </c>
      <c r="J170" s="51" t="str">
        <f>'Pod Library'!I66</f>
        <v>FTC</v>
      </c>
      <c r="K170" s="16">
        <f>'Pod Library'!J66</f>
        <v>0.77777777777777801</v>
      </c>
      <c r="L170" s="21">
        <f>'Pod Plan'!E17</f>
        <v>2</v>
      </c>
      <c r="M170" s="54">
        <f t="shared" si="2"/>
        <v>1.555555555555556</v>
      </c>
      <c r="N170" s="54">
        <f>M170*INDEX('Logic Tree'!$J$85:$N$87,MATCH(I170,'Logic Tree'!$I$85:$I$87,0),MATCH(H170,'Logic Tree'!$J$84:$N$84,0))</f>
        <v>3.9666666666666677</v>
      </c>
    </row>
    <row r="171" spans="2:14" ht="15" customHeight="1">
      <c r="B171" s="27">
        <v>3</v>
      </c>
      <c r="C171" s="18" t="s">
        <v>746</v>
      </c>
      <c r="D171" s="51" t="str">
        <f>'Horizontal Teams'!C47</f>
        <v>H1</v>
      </c>
      <c r="E171" s="43" t="s">
        <v>746</v>
      </c>
      <c r="F171" s="57" t="str">
        <f>'Horizontal Teams'!E47</f>
        <v>Service Delivery Manager</v>
      </c>
      <c r="G171" s="51" t="str">
        <f>'Horizontal Teams'!D47</f>
        <v>PM</v>
      </c>
      <c r="H171" s="51" t="str">
        <f>'Horizontal Teams'!F47</f>
        <v>E5</v>
      </c>
      <c r="I171" s="51" t="str">
        <f>'Horizontal Teams'!G47</f>
        <v>ON</v>
      </c>
      <c r="J171" s="51" t="str">
        <f>'Horizontal Teams'!H47</f>
        <v>FTC</v>
      </c>
      <c r="K171" s="16">
        <f>'Horizontal Teams'!I47</f>
        <v>0.5</v>
      </c>
      <c r="L171" s="27">
        <v>1</v>
      </c>
      <c r="M171" s="54">
        <f t="shared" si="2"/>
        <v>0.5</v>
      </c>
      <c r="N171" s="54">
        <f>M171*INDEX('Logic Tree'!$J$85:$N$87,MATCH(I171,'Logic Tree'!$I$85:$I$87,0),MATCH(H171,'Logic Tree'!$J$84:$N$84,0))</f>
        <v>1.2749999999999999</v>
      </c>
    </row>
    <row r="172" spans="2:14" ht="15" customHeight="1">
      <c r="B172" s="27">
        <v>3</v>
      </c>
      <c r="C172" s="18" t="s">
        <v>746</v>
      </c>
      <c r="D172" s="51" t="str">
        <f>'Horizontal Teams'!C48</f>
        <v>H1</v>
      </c>
      <c r="E172" s="43" t="s">
        <v>746</v>
      </c>
      <c r="F172" s="57" t="str">
        <f>'Horizontal Teams'!E48</f>
        <v>Incident &amp; Problem Analyst</v>
      </c>
      <c r="G172" s="51" t="str">
        <f>'Horizontal Teams'!D48</f>
        <v>MNT</v>
      </c>
      <c r="H172" s="51" t="str">
        <f>'Horizontal Teams'!F48</f>
        <v>E3</v>
      </c>
      <c r="I172" s="51" t="str">
        <f>'Horizontal Teams'!G48</f>
        <v>ON</v>
      </c>
      <c r="J172" s="51" t="str">
        <f>'Horizontal Teams'!H48</f>
        <v>FTC</v>
      </c>
      <c r="K172" s="16">
        <f>'Horizontal Teams'!I48</f>
        <v>0.5</v>
      </c>
      <c r="L172" s="27">
        <v>1</v>
      </c>
      <c r="M172" s="54">
        <f t="shared" si="2"/>
        <v>0.5</v>
      </c>
      <c r="N172" s="54">
        <f>M172*INDEX('Logic Tree'!$J$85:$N$87,MATCH(I172,'Logic Tree'!$I$85:$I$87,0),MATCH(H172,'Logic Tree'!$J$84:$N$84,0))</f>
        <v>0.67500000000000004</v>
      </c>
    </row>
    <row r="173" spans="2:14" ht="15" customHeight="1">
      <c r="B173" s="27">
        <v>3</v>
      </c>
      <c r="C173" s="18" t="s">
        <v>746</v>
      </c>
      <c r="D173" s="51" t="str">
        <f>'Horizontal Teams'!C49</f>
        <v>H1</v>
      </c>
      <c r="E173" s="43" t="s">
        <v>746</v>
      </c>
      <c r="F173" s="57" t="str">
        <f>'Horizontal Teams'!E49</f>
        <v>L2 Application Support</v>
      </c>
      <c r="G173" s="51" t="str">
        <f>'Horizontal Teams'!D49</f>
        <v>MNT</v>
      </c>
      <c r="H173" s="51" t="str">
        <f>'Horizontal Teams'!F49</f>
        <v>E2</v>
      </c>
      <c r="I173" s="51" t="str">
        <f>'Horizontal Teams'!G49</f>
        <v>OFF</v>
      </c>
      <c r="J173" s="51" t="str">
        <f>'Horizontal Teams'!H49</f>
        <v>FTC</v>
      </c>
      <c r="K173" s="16">
        <f>'Horizontal Teams'!I49</f>
        <v>2.5</v>
      </c>
      <c r="L173" s="27">
        <v>1</v>
      </c>
      <c r="M173" s="54">
        <f t="shared" si="2"/>
        <v>2.5</v>
      </c>
      <c r="N173" s="54">
        <f>M173*INDEX('Logic Tree'!$J$85:$N$87,MATCH(I173,'Logic Tree'!$I$85:$I$87,0),MATCH(H173,'Logic Tree'!$J$84:$N$84,0))</f>
        <v>0.75</v>
      </c>
    </row>
    <row r="174" spans="2:14" ht="15" customHeight="1">
      <c r="B174" s="27">
        <v>3</v>
      </c>
      <c r="C174" s="18" t="s">
        <v>746</v>
      </c>
      <c r="D174" s="51" t="str">
        <f>'Horizontal Teams'!C50</f>
        <v>H1</v>
      </c>
      <c r="E174" s="43" t="s">
        <v>746</v>
      </c>
      <c r="F174" s="57" t="str">
        <f>'Horizontal Teams'!E50</f>
        <v>L2 Application Support</v>
      </c>
      <c r="G174" s="51" t="str">
        <f>'Horizontal Teams'!D50</f>
        <v>MNT</v>
      </c>
      <c r="H174" s="51" t="str">
        <f>'Horizontal Teams'!F50</f>
        <v>E2</v>
      </c>
      <c r="I174" s="51" t="str">
        <f>'Horizontal Teams'!G50</f>
        <v>NEAR</v>
      </c>
      <c r="J174" s="51" t="str">
        <f>'Horizontal Teams'!H50</f>
        <v>FTC</v>
      </c>
      <c r="K174" s="16">
        <f>'Horizontal Teams'!I50</f>
        <v>1</v>
      </c>
      <c r="L174" s="27">
        <v>1</v>
      </c>
      <c r="M174" s="54">
        <f t="shared" si="2"/>
        <v>1</v>
      </c>
      <c r="N174" s="54">
        <f>M174*INDEX('Logic Tree'!$J$85:$N$87,MATCH(I174,'Logic Tree'!$I$85:$I$87,0),MATCH(H174,'Logic Tree'!$J$84:$N$84,0))</f>
        <v>0.62</v>
      </c>
    </row>
    <row r="175" spans="2:14" ht="15" customHeight="1">
      <c r="B175" s="27">
        <v>3</v>
      </c>
      <c r="C175" s="18" t="s">
        <v>746</v>
      </c>
      <c r="D175" s="51" t="str">
        <f>'Horizontal Teams'!C51</f>
        <v>H1</v>
      </c>
      <c r="E175" s="43" t="s">
        <v>746</v>
      </c>
      <c r="F175" s="57" t="str">
        <f>'Horizontal Teams'!E51</f>
        <v>Observability / AIOps Engineer</v>
      </c>
      <c r="G175" s="51" t="str">
        <f>'Horizontal Teams'!D51</f>
        <v>OTH</v>
      </c>
      <c r="H175" s="51" t="str">
        <f>'Horizontal Teams'!F51</f>
        <v>E3</v>
      </c>
      <c r="I175" s="51" t="str">
        <f>'Horizontal Teams'!G51</f>
        <v>OFF</v>
      </c>
      <c r="J175" s="51" t="str">
        <f>'Horizontal Teams'!H51</f>
        <v>FTC</v>
      </c>
      <c r="K175" s="16">
        <f>'Horizontal Teams'!I51</f>
        <v>1.5</v>
      </c>
      <c r="L175" s="27">
        <v>1</v>
      </c>
      <c r="M175" s="54">
        <f t="shared" si="2"/>
        <v>1.5</v>
      </c>
      <c r="N175" s="54">
        <f>M175*INDEX('Logic Tree'!$J$85:$N$87,MATCH(I175,'Logic Tree'!$I$85:$I$87,0),MATCH(H175,'Logic Tree'!$J$84:$N$84,0))</f>
        <v>0.63</v>
      </c>
    </row>
    <row r="176" spans="2:14" ht="15" customHeight="1">
      <c r="B176" s="27">
        <v>3</v>
      </c>
      <c r="C176" s="18" t="s">
        <v>746</v>
      </c>
      <c r="D176" s="51" t="str">
        <f>'Horizontal Teams'!C52</f>
        <v>H1</v>
      </c>
      <c r="E176" s="43" t="s">
        <v>746</v>
      </c>
      <c r="F176" s="57" t="str">
        <f>'Horizontal Teams'!E52</f>
        <v>MetLife Operations Lead</v>
      </c>
      <c r="G176" s="51" t="str">
        <f>'Horizontal Teams'!D52</f>
        <v>MNT</v>
      </c>
      <c r="H176" s="51" t="str">
        <f>'Horizontal Teams'!F52</f>
        <v>E4</v>
      </c>
      <c r="I176" s="51" t="str">
        <f>'Horizontal Teams'!G52</f>
        <v>ON</v>
      </c>
      <c r="J176" s="51" t="str">
        <f>'Horizontal Teams'!H52</f>
        <v>FTE</v>
      </c>
      <c r="K176" s="16">
        <f>'Horizontal Teams'!I52</f>
        <v>0.5</v>
      </c>
      <c r="L176" s="27">
        <v>1</v>
      </c>
      <c r="M176" s="54">
        <f t="shared" si="2"/>
        <v>0.5</v>
      </c>
      <c r="N176" s="54">
        <f>M176*INDEX('Logic Tree'!$J$85:$N$87,MATCH(I176,'Logic Tree'!$I$85:$I$87,0),MATCH(H176,'Logic Tree'!$J$84:$N$84,0))</f>
        <v>0.92500000000000004</v>
      </c>
    </row>
    <row r="177" spans="2:14" ht="15" customHeight="1">
      <c r="B177" s="27">
        <v>3</v>
      </c>
      <c r="C177" s="18" t="s">
        <v>746</v>
      </c>
      <c r="D177" s="51" t="str">
        <f>'Horizontal Teams'!C53</f>
        <v>H2</v>
      </c>
      <c r="E177" s="43" t="s">
        <v>746</v>
      </c>
      <c r="F177" s="57" t="str">
        <f>'Horizontal Teams'!E53</f>
        <v>Quality Lead</v>
      </c>
      <c r="G177" s="51" t="str">
        <f>'Horizontal Teams'!D53</f>
        <v>TEST</v>
      </c>
      <c r="H177" s="51" t="str">
        <f>'Horizontal Teams'!F53</f>
        <v>E4</v>
      </c>
      <c r="I177" s="51" t="str">
        <f>'Horizontal Teams'!G53</f>
        <v>ON</v>
      </c>
      <c r="J177" s="51" t="str">
        <f>'Horizontal Teams'!H53</f>
        <v>FTC</v>
      </c>
      <c r="K177" s="16">
        <f>'Horizontal Teams'!I53</f>
        <v>1</v>
      </c>
      <c r="L177" s="27">
        <v>1</v>
      </c>
      <c r="M177" s="54">
        <f t="shared" si="2"/>
        <v>1</v>
      </c>
      <c r="N177" s="54">
        <f>M177*INDEX('Logic Tree'!$J$85:$N$87,MATCH(I177,'Logic Tree'!$I$85:$I$87,0),MATCH(H177,'Logic Tree'!$J$84:$N$84,0))</f>
        <v>1.85</v>
      </c>
    </row>
    <row r="178" spans="2:14" ht="15" customHeight="1">
      <c r="B178" s="27">
        <v>3</v>
      </c>
      <c r="C178" s="18" t="s">
        <v>746</v>
      </c>
      <c r="D178" s="51" t="str">
        <f>'Horizontal Teams'!C54</f>
        <v>H2</v>
      </c>
      <c r="E178" s="43" t="s">
        <v>746</v>
      </c>
      <c r="F178" s="57" t="str">
        <f>'Horizontal Teams'!E54</f>
        <v>Test Automation Engineer</v>
      </c>
      <c r="G178" s="51" t="str">
        <f>'Horizontal Teams'!D54</f>
        <v>TEST</v>
      </c>
      <c r="H178" s="51" t="str">
        <f>'Horizontal Teams'!F54</f>
        <v>E3</v>
      </c>
      <c r="I178" s="51" t="str">
        <f>'Horizontal Teams'!G54</f>
        <v>OFF</v>
      </c>
      <c r="J178" s="51" t="str">
        <f>'Horizontal Teams'!H54</f>
        <v>FTC</v>
      </c>
      <c r="K178" s="16">
        <f>'Horizontal Teams'!I54</f>
        <v>0.5</v>
      </c>
      <c r="L178" s="27">
        <v>1</v>
      </c>
      <c r="M178" s="54">
        <f t="shared" si="2"/>
        <v>0.5</v>
      </c>
      <c r="N178" s="54">
        <f>M178*INDEX('Logic Tree'!$J$85:$N$87,MATCH(I178,'Logic Tree'!$I$85:$I$87,0),MATCH(H178,'Logic Tree'!$J$84:$N$84,0))</f>
        <v>0.21</v>
      </c>
    </row>
    <row r="179" spans="2:14" ht="15" customHeight="1">
      <c r="B179" s="27">
        <v>3</v>
      </c>
      <c r="C179" s="18" t="s">
        <v>746</v>
      </c>
      <c r="D179" s="51" t="str">
        <f>'Horizontal Teams'!C55</f>
        <v>H2</v>
      </c>
      <c r="E179" s="43" t="s">
        <v>746</v>
      </c>
      <c r="F179" s="57" t="str">
        <f>'Horizontal Teams'!E55</f>
        <v>Performance &amp; Batch Test Engineer</v>
      </c>
      <c r="G179" s="51" t="str">
        <f>'Horizontal Teams'!D55</f>
        <v>TEST</v>
      </c>
      <c r="H179" s="51" t="str">
        <f>'Horizontal Teams'!F55</f>
        <v>E3</v>
      </c>
      <c r="I179" s="51" t="str">
        <f>'Horizontal Teams'!G55</f>
        <v>OFF</v>
      </c>
      <c r="J179" s="51" t="str">
        <f>'Horizontal Teams'!H55</f>
        <v>FTC</v>
      </c>
      <c r="K179" s="16">
        <f>'Horizontal Teams'!I55</f>
        <v>0.5</v>
      </c>
      <c r="L179" s="27">
        <v>1</v>
      </c>
      <c r="M179" s="54">
        <f t="shared" si="2"/>
        <v>0.5</v>
      </c>
      <c r="N179" s="54">
        <f>M179*INDEX('Logic Tree'!$J$85:$N$87,MATCH(I179,'Logic Tree'!$I$85:$I$87,0),MATCH(H179,'Logic Tree'!$J$84:$N$84,0))</f>
        <v>0.21</v>
      </c>
    </row>
    <row r="180" spans="2:14" ht="15" customHeight="1">
      <c r="B180" s="27">
        <v>3</v>
      </c>
      <c r="C180" s="18" t="s">
        <v>746</v>
      </c>
      <c r="D180" s="51" t="str">
        <f>'Horizontal Teams'!C56</f>
        <v>H2</v>
      </c>
      <c r="E180" s="43" t="s">
        <v>746</v>
      </c>
      <c r="F180" s="57" t="str">
        <f>'Horizontal Teams'!E56</f>
        <v>MGCC Quality Engineer</v>
      </c>
      <c r="G180" s="51" t="str">
        <f>'Horizontal Teams'!D56</f>
        <v>TEST</v>
      </c>
      <c r="H180" s="51" t="str">
        <f>'Horizontal Teams'!F56</f>
        <v>E2</v>
      </c>
      <c r="I180" s="51" t="str">
        <f>'Horizontal Teams'!G56</f>
        <v>OFF</v>
      </c>
      <c r="J180" s="51" t="str">
        <f>'Horizontal Teams'!H56</f>
        <v>MGCC</v>
      </c>
      <c r="K180" s="16">
        <f>'Horizontal Teams'!I56</f>
        <v>0.5</v>
      </c>
      <c r="L180" s="27">
        <v>1</v>
      </c>
      <c r="M180" s="54">
        <f t="shared" si="2"/>
        <v>0.5</v>
      </c>
      <c r="N180" s="54">
        <f>M180*INDEX('Logic Tree'!$J$85:$N$87,MATCH(I180,'Logic Tree'!$I$85:$I$87,0),MATCH(H180,'Logic Tree'!$J$84:$N$84,0))</f>
        <v>0.15</v>
      </c>
    </row>
    <row r="181" spans="2:14" ht="15" customHeight="1">
      <c r="B181" s="27">
        <v>3</v>
      </c>
      <c r="C181" s="18" t="s">
        <v>746</v>
      </c>
      <c r="D181" s="51" t="str">
        <f>'Horizontal Teams'!C57</f>
        <v>H2</v>
      </c>
      <c r="E181" s="43" t="s">
        <v>746</v>
      </c>
      <c r="F181" s="57" t="str">
        <f>'Horizontal Teams'!E57</f>
        <v>Payments Assurance Analyst</v>
      </c>
      <c r="G181" s="51" t="str">
        <f>'Horizontal Teams'!D57</f>
        <v>BSA</v>
      </c>
      <c r="H181" s="51" t="str">
        <f>'Horizontal Teams'!F57</f>
        <v>E3</v>
      </c>
      <c r="I181" s="51" t="str">
        <f>'Horizontal Teams'!G57</f>
        <v>ON</v>
      </c>
      <c r="J181" s="51" t="str">
        <f>'Horizontal Teams'!H57</f>
        <v>FTC</v>
      </c>
      <c r="K181" s="16">
        <f>'Horizontal Teams'!I57</f>
        <v>4</v>
      </c>
      <c r="L181" s="27">
        <v>1</v>
      </c>
      <c r="M181" s="54">
        <f t="shared" si="2"/>
        <v>4</v>
      </c>
      <c r="N181" s="54">
        <f>M181*INDEX('Logic Tree'!$J$85:$N$87,MATCH(I181,'Logic Tree'!$I$85:$I$87,0),MATCH(H181,'Logic Tree'!$J$84:$N$84,0))</f>
        <v>5.4</v>
      </c>
    </row>
    <row r="182" spans="2:14" ht="15" customHeight="1">
      <c r="B182" s="27">
        <v>3</v>
      </c>
      <c r="C182" s="18" t="s">
        <v>746</v>
      </c>
      <c r="D182" s="51" t="str">
        <f>'Horizontal Teams'!C58</f>
        <v>H3</v>
      </c>
      <c r="E182" s="43" t="s">
        <v>746</v>
      </c>
      <c r="F182" s="57" t="str">
        <f>'Horizontal Teams'!E58</f>
        <v>Domain Solution Architect</v>
      </c>
      <c r="G182" s="51" t="str">
        <f>'Horizontal Teams'!D58</f>
        <v>OTH</v>
      </c>
      <c r="H182" s="51" t="str">
        <f>'Horizontal Teams'!F58</f>
        <v>E5</v>
      </c>
      <c r="I182" s="51" t="str">
        <f>'Horizontal Teams'!G58</f>
        <v>ON</v>
      </c>
      <c r="J182" s="51" t="str">
        <f>'Horizontal Teams'!H58</f>
        <v>FTC</v>
      </c>
      <c r="K182" s="16">
        <f>'Horizontal Teams'!I58</f>
        <v>0.5</v>
      </c>
      <c r="L182" s="27">
        <v>1</v>
      </c>
      <c r="M182" s="54">
        <f t="shared" si="2"/>
        <v>0.5</v>
      </c>
      <c r="N182" s="54">
        <f>M182*INDEX('Logic Tree'!$J$85:$N$87,MATCH(I182,'Logic Tree'!$I$85:$I$87,0),MATCH(H182,'Logic Tree'!$J$84:$N$84,0))</f>
        <v>1.2749999999999999</v>
      </c>
    </row>
    <row r="183" spans="2:14" ht="15" customHeight="1">
      <c r="B183" s="27">
        <v>3</v>
      </c>
      <c r="C183" s="18" t="s">
        <v>746</v>
      </c>
      <c r="D183" s="51" t="str">
        <f>'Horizontal Teams'!C59</f>
        <v>H3</v>
      </c>
      <c r="E183" s="43" t="s">
        <v>746</v>
      </c>
      <c r="F183" s="57" t="str">
        <f>'Horizontal Teams'!E59</f>
        <v>Release Manager</v>
      </c>
      <c r="G183" s="51" t="str">
        <f>'Horizontal Teams'!D59</f>
        <v>OTH</v>
      </c>
      <c r="H183" s="51" t="str">
        <f>'Horizontal Teams'!F59</f>
        <v>E4</v>
      </c>
      <c r="I183" s="51" t="str">
        <f>'Horizontal Teams'!G59</f>
        <v>ON</v>
      </c>
      <c r="J183" s="51" t="str">
        <f>'Horizontal Teams'!H59</f>
        <v>FTC</v>
      </c>
      <c r="K183" s="16">
        <f>'Horizontal Teams'!I59</f>
        <v>0.5</v>
      </c>
      <c r="L183" s="27">
        <v>1</v>
      </c>
      <c r="M183" s="54">
        <f t="shared" si="2"/>
        <v>0.5</v>
      </c>
      <c r="N183" s="54">
        <f>M183*INDEX('Logic Tree'!$J$85:$N$87,MATCH(I183,'Logic Tree'!$I$85:$I$87,0),MATCH(H183,'Logic Tree'!$J$84:$N$84,0))</f>
        <v>0.92500000000000004</v>
      </c>
    </row>
    <row r="184" spans="2:14" ht="15" customHeight="1">
      <c r="B184" s="27">
        <v>3</v>
      </c>
      <c r="C184" s="18" t="s">
        <v>746</v>
      </c>
      <c r="D184" s="51" t="str">
        <f>'Horizontal Teams'!C60</f>
        <v>H3</v>
      </c>
      <c r="E184" s="43" t="s">
        <v>746</v>
      </c>
      <c r="F184" s="57" t="str">
        <f>'Horizontal Teams'!E60</f>
        <v>DevOps / Platform Engineer</v>
      </c>
      <c r="G184" s="51" t="str">
        <f>'Horizontal Teams'!D60</f>
        <v>OTH</v>
      </c>
      <c r="H184" s="51" t="str">
        <f>'Horizontal Teams'!F60</f>
        <v>E3</v>
      </c>
      <c r="I184" s="51" t="str">
        <f>'Horizontal Teams'!G60</f>
        <v>OFF</v>
      </c>
      <c r="J184" s="51" t="str">
        <f>'Horizontal Teams'!H60</f>
        <v>FTC</v>
      </c>
      <c r="K184" s="16">
        <f>'Horizontal Teams'!I60</f>
        <v>1</v>
      </c>
      <c r="L184" s="27">
        <v>1</v>
      </c>
      <c r="M184" s="54">
        <f t="shared" si="2"/>
        <v>1</v>
      </c>
      <c r="N184" s="54">
        <f>M184*INDEX('Logic Tree'!$J$85:$N$87,MATCH(I184,'Logic Tree'!$I$85:$I$87,0),MATCH(H184,'Logic Tree'!$J$84:$N$84,0))</f>
        <v>0.42</v>
      </c>
    </row>
    <row r="185" spans="2:14" ht="15" customHeight="1">
      <c r="B185" s="27">
        <v>3</v>
      </c>
      <c r="C185" s="18" t="s">
        <v>746</v>
      </c>
      <c r="D185" s="51" t="str">
        <f>'Horizontal Teams'!C61</f>
        <v>H3</v>
      </c>
      <c r="E185" s="43" t="s">
        <v>746</v>
      </c>
      <c r="F185" s="57" t="str">
        <f>'Horizontal Teams'!E61</f>
        <v>Delivery Manager</v>
      </c>
      <c r="G185" s="51" t="str">
        <f>'Horizontal Teams'!D61</f>
        <v>PM</v>
      </c>
      <c r="H185" s="51" t="str">
        <f>'Horizontal Teams'!F61</f>
        <v>E4</v>
      </c>
      <c r="I185" s="51" t="str">
        <f>'Horizontal Teams'!G61</f>
        <v>ON</v>
      </c>
      <c r="J185" s="51" t="str">
        <f>'Horizontal Teams'!H61</f>
        <v>FTC</v>
      </c>
      <c r="K185" s="16">
        <f>'Horizontal Teams'!I61</f>
        <v>0.5</v>
      </c>
      <c r="L185" s="27">
        <v>1</v>
      </c>
      <c r="M185" s="54">
        <f t="shared" si="2"/>
        <v>0.5</v>
      </c>
      <c r="N185" s="54">
        <f>M185*INDEX('Logic Tree'!$J$85:$N$87,MATCH(I185,'Logic Tree'!$I$85:$I$87,0),MATCH(H185,'Logic Tree'!$J$84:$N$84,0))</f>
        <v>0.92500000000000004</v>
      </c>
    </row>
    <row r="186" spans="2:14" ht="15" customHeight="1">
      <c r="B186" s="27">
        <v>3</v>
      </c>
      <c r="C186" s="18" t="s">
        <v>746</v>
      </c>
      <c r="D186" s="51" t="str">
        <f>'Horizontal Teams'!C62</f>
        <v>H3</v>
      </c>
      <c r="E186" s="43" t="s">
        <v>746</v>
      </c>
      <c r="F186" s="57" t="str">
        <f>'Horizontal Teams'!E62</f>
        <v>Knowledge &amp; Enablement Lead</v>
      </c>
      <c r="G186" s="51" t="str">
        <f>'Horizontal Teams'!D62</f>
        <v>BSA</v>
      </c>
      <c r="H186" s="51" t="str">
        <f>'Horizontal Teams'!F62</f>
        <v>E3</v>
      </c>
      <c r="I186" s="51" t="str">
        <f>'Horizontal Teams'!G62</f>
        <v>OFF</v>
      </c>
      <c r="J186" s="51" t="str">
        <f>'Horizontal Teams'!H62</f>
        <v>FTC</v>
      </c>
      <c r="K186" s="16">
        <f>'Horizontal Teams'!I62</f>
        <v>1</v>
      </c>
      <c r="L186" s="27">
        <v>1</v>
      </c>
      <c r="M186" s="54">
        <f t="shared" si="2"/>
        <v>1</v>
      </c>
      <c r="N186" s="54">
        <f>M186*INDEX('Logic Tree'!$J$85:$N$87,MATCH(I186,'Logic Tree'!$I$85:$I$87,0),MATCH(H186,'Logic Tree'!$J$84:$N$84,0))</f>
        <v>0.42</v>
      </c>
    </row>
    <row r="187" spans="2:14" ht="15" customHeight="1">
      <c r="B187" s="27">
        <v>3</v>
      </c>
      <c r="C187" s="18" t="s">
        <v>746</v>
      </c>
      <c r="D187" s="51" t="str">
        <f>'Horizontal Teams'!C63</f>
        <v>H3</v>
      </c>
      <c r="E187" s="43" t="s">
        <v>746</v>
      </c>
      <c r="F187" s="57" t="str">
        <f>'Horizontal Teams'!E63</f>
        <v>AI Orchestration Engineer</v>
      </c>
      <c r="G187" s="51" t="str">
        <f>'Horizontal Teams'!D63</f>
        <v>DEV</v>
      </c>
      <c r="H187" s="51" t="str">
        <f>'Horizontal Teams'!F63</f>
        <v>E4</v>
      </c>
      <c r="I187" s="51" t="str">
        <f>'Horizontal Teams'!G63</f>
        <v>OFF</v>
      </c>
      <c r="J187" s="51" t="str">
        <f>'Horizontal Teams'!H63</f>
        <v>FTC</v>
      </c>
      <c r="K187" s="16">
        <f>'Horizontal Teams'!I63</f>
        <v>0.5</v>
      </c>
      <c r="L187" s="27">
        <v>1</v>
      </c>
      <c r="M187" s="54">
        <f t="shared" si="2"/>
        <v>0.5</v>
      </c>
      <c r="N187" s="54">
        <f>M187*INDEX('Logic Tree'!$J$85:$N$87,MATCH(I187,'Logic Tree'!$I$85:$I$87,0),MATCH(H187,'Logic Tree'!$J$84:$N$84,0))</f>
        <v>0.3</v>
      </c>
    </row>
    <row r="188" spans="2:14" ht="15" customHeight="1">
      <c r="B188" s="27">
        <v>3</v>
      </c>
      <c r="C188" s="18" t="s">
        <v>746</v>
      </c>
      <c r="D188" s="51" t="str">
        <f>'Horizontal Teams'!C64</f>
        <v>H3</v>
      </c>
      <c r="E188" s="43" t="s">
        <v>746</v>
      </c>
      <c r="F188" s="57" t="str">
        <f>'Horizontal Teams'!E64</f>
        <v>MetLife Portfolio Lead</v>
      </c>
      <c r="G188" s="51" t="str">
        <f>'Horizontal Teams'!D64</f>
        <v>PM</v>
      </c>
      <c r="H188" s="51" t="str">
        <f>'Horizontal Teams'!F64</f>
        <v>E4</v>
      </c>
      <c r="I188" s="51" t="str">
        <f>'Horizontal Teams'!G64</f>
        <v>ON</v>
      </c>
      <c r="J188" s="51" t="str">
        <f>'Horizontal Teams'!H64</f>
        <v>FTE</v>
      </c>
      <c r="K188" s="16">
        <f>'Horizontal Teams'!I64</f>
        <v>0.5</v>
      </c>
      <c r="L188" s="27">
        <v>1</v>
      </c>
      <c r="M188" s="54">
        <f t="shared" si="2"/>
        <v>0.5</v>
      </c>
      <c r="N188" s="54">
        <f>M188*INDEX('Logic Tree'!$J$85:$N$87,MATCH(I188,'Logic Tree'!$I$85:$I$87,0),MATCH(H188,'Logic Tree'!$J$84:$N$84,0))</f>
        <v>0.92500000000000004</v>
      </c>
    </row>
    <row r="189" spans="2:14" ht="15" customHeight="1">
      <c r="B189" s="27">
        <v>3</v>
      </c>
      <c r="C189" s="18" t="s">
        <v>746</v>
      </c>
      <c r="D189" s="51" t="str">
        <f>'Horizontal Teams'!C65</f>
        <v>H3</v>
      </c>
      <c r="E189" s="43" t="s">
        <v>746</v>
      </c>
      <c r="F189" s="57" t="str">
        <f>'Horizontal Teams'!E65</f>
        <v>MGCC Engineering Lead</v>
      </c>
      <c r="G189" s="51" t="str">
        <f>'Horizontal Teams'!D65</f>
        <v>DEV</v>
      </c>
      <c r="H189" s="51" t="str">
        <f>'Horizontal Teams'!F65</f>
        <v>E4</v>
      </c>
      <c r="I189" s="51" t="str">
        <f>'Horizontal Teams'!G65</f>
        <v>OFF</v>
      </c>
      <c r="J189" s="51" t="str">
        <f>'Horizontal Teams'!H65</f>
        <v>MGCC</v>
      </c>
      <c r="K189" s="16">
        <f>'Horizontal Teams'!I65</f>
        <v>1</v>
      </c>
      <c r="L189" s="27">
        <v>1</v>
      </c>
      <c r="M189" s="54">
        <f t="shared" si="2"/>
        <v>1</v>
      </c>
      <c r="N189" s="54">
        <f>M189*INDEX('Logic Tree'!$J$85:$N$87,MATCH(I189,'Logic Tree'!$I$85:$I$87,0),MATCH(H189,'Logic Tree'!$J$84:$N$84,0))</f>
        <v>0.6</v>
      </c>
    </row>
    <row r="190" spans="2:14" ht="15" customHeight="1">
      <c r="B190" s="27">
        <v>4</v>
      </c>
      <c r="C190" s="18" t="s">
        <v>453</v>
      </c>
      <c r="D190" s="43" t="s">
        <v>340</v>
      </c>
      <c r="E190" s="43" t="s">
        <v>453</v>
      </c>
      <c r="F190" s="57" t="str">
        <f>'Pod Library'!E69</f>
        <v>MetLife Claims Product Owner</v>
      </c>
      <c r="G190" s="51" t="str">
        <f>'Pod Library'!F69</f>
        <v>PM</v>
      </c>
      <c r="H190" s="51" t="str">
        <f>'Pod Library'!G69</f>
        <v>E4</v>
      </c>
      <c r="I190" s="51" t="str">
        <f>'Pod Library'!H69</f>
        <v>ON</v>
      </c>
      <c r="J190" s="51" t="str">
        <f>'Pod Library'!I69</f>
        <v>FTE</v>
      </c>
      <c r="K190" s="16">
        <f>'Pod Library'!J69</f>
        <v>0.5</v>
      </c>
      <c r="L190" s="21">
        <f>'Pod Plan'!E20</f>
        <v>5</v>
      </c>
      <c r="M190" s="54">
        <f t="shared" si="2"/>
        <v>2.5</v>
      </c>
      <c r="N190" s="54">
        <f>M190*INDEX('Logic Tree'!$J$85:$N$87,MATCH(I190,'Logic Tree'!$I$85:$I$87,0),MATCH(H190,'Logic Tree'!$J$84:$N$84,0))</f>
        <v>4.625</v>
      </c>
    </row>
    <row r="191" spans="2:14" ht="15" customHeight="1">
      <c r="B191" s="27">
        <v>4</v>
      </c>
      <c r="C191" s="18" t="s">
        <v>453</v>
      </c>
      <c r="D191" s="43" t="s">
        <v>340</v>
      </c>
      <c r="E191" s="43" t="s">
        <v>453</v>
      </c>
      <c r="F191" s="57" t="str">
        <f>'Pod Library'!E70</f>
        <v>MetLife Claims SME</v>
      </c>
      <c r="G191" s="51" t="str">
        <f>'Pod Library'!F70</f>
        <v>BSA</v>
      </c>
      <c r="H191" s="51" t="str">
        <f>'Pod Library'!G70</f>
        <v>E4</v>
      </c>
      <c r="I191" s="51" t="str">
        <f>'Pod Library'!H70</f>
        <v>ON</v>
      </c>
      <c r="J191" s="51" t="str">
        <f>'Pod Library'!I70</f>
        <v>FTE</v>
      </c>
      <c r="K191" s="16">
        <f>'Pod Library'!J70</f>
        <v>0.61111111111111105</v>
      </c>
      <c r="L191" s="21">
        <f>'Pod Plan'!E20</f>
        <v>5</v>
      </c>
      <c r="M191" s="54">
        <f t="shared" si="2"/>
        <v>3.0555555555555554</v>
      </c>
      <c r="N191" s="54">
        <f>M191*INDEX('Logic Tree'!$J$85:$N$87,MATCH(I191,'Logic Tree'!$I$85:$I$87,0),MATCH(H191,'Logic Tree'!$J$84:$N$84,0))</f>
        <v>5.6527777777777777</v>
      </c>
    </row>
    <row r="192" spans="2:14" ht="15" customHeight="1">
      <c r="B192" s="27">
        <v>4</v>
      </c>
      <c r="C192" s="18" t="s">
        <v>453</v>
      </c>
      <c r="D192" s="43" t="s">
        <v>340</v>
      </c>
      <c r="E192" s="43" t="s">
        <v>453</v>
      </c>
      <c r="F192" s="57" t="str">
        <f>'Pod Library'!E71</f>
        <v>Business Analyst (bilingual)</v>
      </c>
      <c r="G192" s="51" t="str">
        <f>'Pod Library'!F71</f>
        <v>BSA</v>
      </c>
      <c r="H192" s="51" t="str">
        <f>'Pod Library'!G71</f>
        <v>E3</v>
      </c>
      <c r="I192" s="51" t="str">
        <f>'Pod Library'!H71</f>
        <v>ON</v>
      </c>
      <c r="J192" s="51" t="str">
        <f>'Pod Library'!I71</f>
        <v>FTC</v>
      </c>
      <c r="K192" s="16">
        <f>'Pod Library'!J71</f>
        <v>0.44444444444444398</v>
      </c>
      <c r="L192" s="21">
        <f>'Pod Plan'!E20</f>
        <v>5</v>
      </c>
      <c r="M192" s="54">
        <f t="shared" si="2"/>
        <v>2.2222222222222197</v>
      </c>
      <c r="N192" s="54">
        <f>M192*INDEX('Logic Tree'!$J$85:$N$87,MATCH(I192,'Logic Tree'!$I$85:$I$87,0),MATCH(H192,'Logic Tree'!$J$84:$N$84,0))</f>
        <v>2.9999999999999969</v>
      </c>
    </row>
    <row r="193" spans="2:14" ht="15" customHeight="1">
      <c r="B193" s="27">
        <v>4</v>
      </c>
      <c r="C193" s="18" t="s">
        <v>453</v>
      </c>
      <c r="D193" s="43" t="s">
        <v>340</v>
      </c>
      <c r="E193" s="43" t="s">
        <v>453</v>
      </c>
      <c r="F193" s="57" t="str">
        <f>'Pod Library'!E72</f>
        <v>Pod lead / senior engineer</v>
      </c>
      <c r="G193" s="51" t="str">
        <f>'Pod Library'!F72</f>
        <v>DEV</v>
      </c>
      <c r="H193" s="51" t="str">
        <f>'Pod Library'!G72</f>
        <v>E4</v>
      </c>
      <c r="I193" s="51" t="str">
        <f>'Pod Library'!H72</f>
        <v>ON</v>
      </c>
      <c r="J193" s="51" t="str">
        <f>'Pod Library'!I72</f>
        <v>FTC</v>
      </c>
      <c r="K193" s="16">
        <f>'Pod Library'!J72</f>
        <v>0.55555555555555602</v>
      </c>
      <c r="L193" s="21">
        <f>'Pod Plan'!E20</f>
        <v>5</v>
      </c>
      <c r="M193" s="54">
        <f t="shared" si="2"/>
        <v>2.7777777777777803</v>
      </c>
      <c r="N193" s="54">
        <f>M193*INDEX('Logic Tree'!$J$85:$N$87,MATCH(I193,'Logic Tree'!$I$85:$I$87,0),MATCH(H193,'Logic Tree'!$J$84:$N$84,0))</f>
        <v>5.1388888888888937</v>
      </c>
    </row>
    <row r="194" spans="2:14" ht="15" customHeight="1">
      <c r="B194" s="27">
        <v>4</v>
      </c>
      <c r="C194" s="18" t="s">
        <v>453</v>
      </c>
      <c r="D194" s="43" t="s">
        <v>340</v>
      </c>
      <c r="E194" s="43" t="s">
        <v>453</v>
      </c>
      <c r="F194" s="57" t="str">
        <f>'Pod Library'!E73</f>
        <v>Claims Engineer</v>
      </c>
      <c r="G194" s="51" t="str">
        <f>'Pod Library'!F73</f>
        <v>DEV</v>
      </c>
      <c r="H194" s="51" t="str">
        <f>'Pod Library'!G73</f>
        <v>E3</v>
      </c>
      <c r="I194" s="51" t="str">
        <f>'Pod Library'!H73</f>
        <v>OFF</v>
      </c>
      <c r="J194" s="51" t="str">
        <f>'Pod Library'!I73</f>
        <v>FTC</v>
      </c>
      <c r="K194" s="16">
        <f>'Pod Library'!J73</f>
        <v>0.5</v>
      </c>
      <c r="L194" s="21">
        <f>'Pod Plan'!E20</f>
        <v>5</v>
      </c>
      <c r="M194" s="54">
        <f t="shared" si="2"/>
        <v>2.5</v>
      </c>
      <c r="N194" s="54">
        <f>M194*INDEX('Logic Tree'!$J$85:$N$87,MATCH(I194,'Logic Tree'!$I$85:$I$87,0),MATCH(H194,'Logic Tree'!$J$84:$N$84,0))</f>
        <v>1.05</v>
      </c>
    </row>
    <row r="195" spans="2:14" ht="15" customHeight="1">
      <c r="B195" s="27">
        <v>4</v>
      </c>
      <c r="C195" s="18" t="s">
        <v>453</v>
      </c>
      <c r="D195" s="43" t="s">
        <v>340</v>
      </c>
      <c r="E195" s="43" t="s">
        <v>453</v>
      </c>
      <c r="F195" s="57" t="str">
        <f>'Pod Library'!E74</f>
        <v>Claims Engineer</v>
      </c>
      <c r="G195" s="51" t="str">
        <f>'Pod Library'!F74</f>
        <v>DEV</v>
      </c>
      <c r="H195" s="51" t="str">
        <f>'Pod Library'!G74</f>
        <v>E2</v>
      </c>
      <c r="I195" s="51" t="str">
        <f>'Pod Library'!H74</f>
        <v>OFF</v>
      </c>
      <c r="J195" s="51" t="str">
        <f>'Pod Library'!I74</f>
        <v>FTC</v>
      </c>
      <c r="K195" s="16">
        <f>'Pod Library'!J74</f>
        <v>1.1111111111111101</v>
      </c>
      <c r="L195" s="21">
        <f>'Pod Plan'!E20</f>
        <v>5</v>
      </c>
      <c r="M195" s="54">
        <f t="shared" si="2"/>
        <v>5.55555555555555</v>
      </c>
      <c r="N195" s="54">
        <f>M195*INDEX('Logic Tree'!$J$85:$N$87,MATCH(I195,'Logic Tree'!$I$85:$I$87,0),MATCH(H195,'Logic Tree'!$J$84:$N$84,0))</f>
        <v>1.666666666666665</v>
      </c>
    </row>
    <row r="196" spans="2:14" ht="15" customHeight="1">
      <c r="B196" s="27">
        <v>4</v>
      </c>
      <c r="C196" s="18" t="s">
        <v>453</v>
      </c>
      <c r="D196" s="43" t="s">
        <v>340</v>
      </c>
      <c r="E196" s="43" t="s">
        <v>453</v>
      </c>
      <c r="F196" s="57" t="str">
        <f>'Pod Library'!E75</f>
        <v>MGCC Payments Engineer</v>
      </c>
      <c r="G196" s="51" t="str">
        <f>'Pod Library'!F75</f>
        <v>DEV</v>
      </c>
      <c r="H196" s="51" t="str">
        <f>'Pod Library'!G75</f>
        <v>E3</v>
      </c>
      <c r="I196" s="51" t="str">
        <f>'Pod Library'!H75</f>
        <v>OFF</v>
      </c>
      <c r="J196" s="51" t="str">
        <f>'Pod Library'!I75</f>
        <v>MGCC</v>
      </c>
      <c r="K196" s="16">
        <f>'Pod Library'!J75</f>
        <v>0.61111111111111105</v>
      </c>
      <c r="L196" s="21">
        <f>'Pod Plan'!E20</f>
        <v>5</v>
      </c>
      <c r="M196" s="54">
        <f t="shared" si="2"/>
        <v>3.0555555555555554</v>
      </c>
      <c r="N196" s="54">
        <f>M196*INDEX('Logic Tree'!$J$85:$N$87,MATCH(I196,'Logic Tree'!$I$85:$I$87,0),MATCH(H196,'Logic Tree'!$J$84:$N$84,0))</f>
        <v>1.2833333333333332</v>
      </c>
    </row>
    <row r="197" spans="2:14" ht="15" customHeight="1">
      <c r="B197" s="27">
        <v>4</v>
      </c>
      <c r="C197" s="18" t="s">
        <v>453</v>
      </c>
      <c r="D197" s="43" t="s">
        <v>340</v>
      </c>
      <c r="E197" s="43" t="s">
        <v>453</v>
      </c>
      <c r="F197" s="57" t="str">
        <f>'Pod Library'!E76</f>
        <v>SDET / Automation Engineer</v>
      </c>
      <c r="G197" s="51" t="str">
        <f>'Pod Library'!F76</f>
        <v>TEST</v>
      </c>
      <c r="H197" s="51" t="str">
        <f>'Pod Library'!G76</f>
        <v>E3</v>
      </c>
      <c r="I197" s="51" t="str">
        <f>'Pod Library'!H76</f>
        <v>OFF</v>
      </c>
      <c r="J197" s="51" t="str">
        <f>'Pod Library'!I76</f>
        <v>FTC</v>
      </c>
      <c r="K197" s="16">
        <f>'Pod Library'!J76</f>
        <v>0.22222222222222199</v>
      </c>
      <c r="L197" s="21">
        <f>'Pod Plan'!E20</f>
        <v>5</v>
      </c>
      <c r="M197" s="54">
        <f t="shared" ref="M197:M260" si="3">K197*L197</f>
        <v>1.1111111111111098</v>
      </c>
      <c r="N197" s="54">
        <f>M197*INDEX('Logic Tree'!$J$85:$N$87,MATCH(I197,'Logic Tree'!$I$85:$I$87,0),MATCH(H197,'Logic Tree'!$J$84:$N$84,0))</f>
        <v>0.46666666666666612</v>
      </c>
    </row>
    <row r="198" spans="2:14" ht="15" customHeight="1">
      <c r="B198" s="27">
        <v>4</v>
      </c>
      <c r="C198" s="18" t="s">
        <v>453</v>
      </c>
      <c r="D198" s="43" t="s">
        <v>340</v>
      </c>
      <c r="E198" s="43" t="s">
        <v>453</v>
      </c>
      <c r="F198" s="57" t="str">
        <f>'Pod Library'!E77</f>
        <v>MGCC Quality Engineer</v>
      </c>
      <c r="G198" s="51" t="str">
        <f>'Pod Library'!F77</f>
        <v>TEST</v>
      </c>
      <c r="H198" s="51" t="str">
        <f>'Pod Library'!G77</f>
        <v>E2</v>
      </c>
      <c r="I198" s="51" t="str">
        <f>'Pod Library'!H77</f>
        <v>OFF</v>
      </c>
      <c r="J198" s="51" t="str">
        <f>'Pod Library'!I77</f>
        <v>MGCC</v>
      </c>
      <c r="K198" s="16">
        <f>'Pod Library'!J77</f>
        <v>0.61111111111111105</v>
      </c>
      <c r="L198" s="21">
        <f>'Pod Plan'!E20</f>
        <v>5</v>
      </c>
      <c r="M198" s="54">
        <f t="shared" si="3"/>
        <v>3.0555555555555554</v>
      </c>
      <c r="N198" s="54">
        <f>M198*INDEX('Logic Tree'!$J$85:$N$87,MATCH(I198,'Logic Tree'!$I$85:$I$87,0),MATCH(H198,'Logic Tree'!$J$84:$N$84,0))</f>
        <v>0.91666666666666652</v>
      </c>
    </row>
    <row r="199" spans="2:14" ht="15" customHeight="1">
      <c r="B199" s="27">
        <v>4</v>
      </c>
      <c r="C199" s="18" t="s">
        <v>453</v>
      </c>
      <c r="D199" s="43" t="s">
        <v>340</v>
      </c>
      <c r="E199" s="43" t="s">
        <v>453</v>
      </c>
      <c r="F199" s="57" t="str">
        <f>'Pod Library'!E78</f>
        <v>Solution Architect</v>
      </c>
      <c r="G199" s="51" t="str">
        <f>'Pod Library'!F78</f>
        <v>OTH</v>
      </c>
      <c r="H199" s="51" t="str">
        <f>'Pod Library'!G78</f>
        <v>E5</v>
      </c>
      <c r="I199" s="51" t="str">
        <f>'Pod Library'!H78</f>
        <v>ON</v>
      </c>
      <c r="J199" s="51" t="str">
        <f>'Pod Library'!I78</f>
        <v>FTC</v>
      </c>
      <c r="K199" s="16">
        <f>'Pod Library'!J78</f>
        <v>0.16666666666666699</v>
      </c>
      <c r="L199" s="21">
        <f>'Pod Plan'!E20</f>
        <v>5</v>
      </c>
      <c r="M199" s="54">
        <f t="shared" si="3"/>
        <v>0.83333333333333492</v>
      </c>
      <c r="N199" s="54">
        <f>M199*INDEX('Logic Tree'!$J$85:$N$87,MATCH(I199,'Logic Tree'!$I$85:$I$87,0),MATCH(H199,'Logic Tree'!$J$84:$N$84,0))</f>
        <v>2.125000000000004</v>
      </c>
    </row>
    <row r="200" spans="2:14" ht="15" customHeight="1">
      <c r="B200" s="27">
        <v>4</v>
      </c>
      <c r="C200" s="18" t="s">
        <v>453</v>
      </c>
      <c r="D200" s="43" t="s">
        <v>341</v>
      </c>
      <c r="E200" s="43" t="s">
        <v>453</v>
      </c>
      <c r="F200" s="57" t="str">
        <f>'Pod Library'!E69</f>
        <v>MetLife Claims Product Owner</v>
      </c>
      <c r="G200" s="51" t="str">
        <f>'Pod Library'!F69</f>
        <v>PM</v>
      </c>
      <c r="H200" s="51" t="str">
        <f>'Pod Library'!G69</f>
        <v>E4</v>
      </c>
      <c r="I200" s="51" t="str">
        <f>'Pod Library'!H69</f>
        <v>ON</v>
      </c>
      <c r="J200" s="51" t="str">
        <f>'Pod Library'!I69</f>
        <v>FTE</v>
      </c>
      <c r="K200" s="16">
        <f>'Pod Library'!J69</f>
        <v>0.5</v>
      </c>
      <c r="L200" s="21">
        <f>'Pod Plan'!E21</f>
        <v>2</v>
      </c>
      <c r="M200" s="54">
        <f t="shared" si="3"/>
        <v>1</v>
      </c>
      <c r="N200" s="54">
        <f>M200*INDEX('Logic Tree'!$J$85:$N$87,MATCH(I200,'Logic Tree'!$I$85:$I$87,0),MATCH(H200,'Logic Tree'!$J$84:$N$84,0))</f>
        <v>1.85</v>
      </c>
    </row>
    <row r="201" spans="2:14" ht="15" customHeight="1">
      <c r="B201" s="27">
        <v>4</v>
      </c>
      <c r="C201" s="18" t="s">
        <v>453</v>
      </c>
      <c r="D201" s="43" t="s">
        <v>341</v>
      </c>
      <c r="E201" s="43" t="s">
        <v>453</v>
      </c>
      <c r="F201" s="57" t="str">
        <f>'Pod Library'!E70</f>
        <v>MetLife Claims SME</v>
      </c>
      <c r="G201" s="51" t="str">
        <f>'Pod Library'!F70</f>
        <v>BSA</v>
      </c>
      <c r="H201" s="51" t="str">
        <f>'Pod Library'!G70</f>
        <v>E4</v>
      </c>
      <c r="I201" s="51" t="str">
        <f>'Pod Library'!H70</f>
        <v>ON</v>
      </c>
      <c r="J201" s="51" t="str">
        <f>'Pod Library'!I70</f>
        <v>FTE</v>
      </c>
      <c r="K201" s="16">
        <f>'Pod Library'!J70</f>
        <v>0.61111111111111105</v>
      </c>
      <c r="L201" s="21">
        <f>'Pod Plan'!E21</f>
        <v>2</v>
      </c>
      <c r="M201" s="54">
        <f t="shared" si="3"/>
        <v>1.2222222222222221</v>
      </c>
      <c r="N201" s="54">
        <f>M201*INDEX('Logic Tree'!$J$85:$N$87,MATCH(I201,'Logic Tree'!$I$85:$I$87,0),MATCH(H201,'Logic Tree'!$J$84:$N$84,0))</f>
        <v>2.2611111111111111</v>
      </c>
    </row>
    <row r="202" spans="2:14" ht="15" customHeight="1">
      <c r="B202" s="27">
        <v>4</v>
      </c>
      <c r="C202" s="18" t="s">
        <v>453</v>
      </c>
      <c r="D202" s="43" t="s">
        <v>341</v>
      </c>
      <c r="E202" s="43" t="s">
        <v>453</v>
      </c>
      <c r="F202" s="57" t="str">
        <f>'Pod Library'!E71</f>
        <v>Business Analyst (bilingual)</v>
      </c>
      <c r="G202" s="51" t="str">
        <f>'Pod Library'!F71</f>
        <v>BSA</v>
      </c>
      <c r="H202" s="51" t="str">
        <f>'Pod Library'!G71</f>
        <v>E3</v>
      </c>
      <c r="I202" s="51" t="str">
        <f>'Pod Library'!H71</f>
        <v>ON</v>
      </c>
      <c r="J202" s="51" t="str">
        <f>'Pod Library'!I71</f>
        <v>FTC</v>
      </c>
      <c r="K202" s="16">
        <f>'Pod Library'!J71</f>
        <v>0.44444444444444398</v>
      </c>
      <c r="L202" s="21">
        <f>'Pod Plan'!E21</f>
        <v>2</v>
      </c>
      <c r="M202" s="54">
        <f t="shared" si="3"/>
        <v>0.88888888888888795</v>
      </c>
      <c r="N202" s="54">
        <f>M202*INDEX('Logic Tree'!$J$85:$N$87,MATCH(I202,'Logic Tree'!$I$85:$I$87,0),MATCH(H202,'Logic Tree'!$J$84:$N$84,0))</f>
        <v>1.1999999999999988</v>
      </c>
    </row>
    <row r="203" spans="2:14" ht="15" customHeight="1">
      <c r="B203" s="27">
        <v>4</v>
      </c>
      <c r="C203" s="18" t="s">
        <v>453</v>
      </c>
      <c r="D203" s="43" t="s">
        <v>341</v>
      </c>
      <c r="E203" s="43" t="s">
        <v>453</v>
      </c>
      <c r="F203" s="57" t="str">
        <f>'Pod Library'!E72</f>
        <v>Pod lead / senior engineer</v>
      </c>
      <c r="G203" s="51" t="str">
        <f>'Pod Library'!F72</f>
        <v>DEV</v>
      </c>
      <c r="H203" s="51" t="str">
        <f>'Pod Library'!G72</f>
        <v>E4</v>
      </c>
      <c r="I203" s="51" t="str">
        <f>'Pod Library'!H72</f>
        <v>ON</v>
      </c>
      <c r="J203" s="51" t="str">
        <f>'Pod Library'!I72</f>
        <v>FTC</v>
      </c>
      <c r="K203" s="16">
        <f>'Pod Library'!J72</f>
        <v>0.55555555555555602</v>
      </c>
      <c r="L203" s="21">
        <f>'Pod Plan'!E21</f>
        <v>2</v>
      </c>
      <c r="M203" s="54">
        <f t="shared" si="3"/>
        <v>1.111111111111112</v>
      </c>
      <c r="N203" s="54">
        <f>M203*INDEX('Logic Tree'!$J$85:$N$87,MATCH(I203,'Logic Tree'!$I$85:$I$87,0),MATCH(H203,'Logic Tree'!$J$84:$N$84,0))</f>
        <v>2.0555555555555576</v>
      </c>
    </row>
    <row r="204" spans="2:14" ht="15" customHeight="1">
      <c r="B204" s="27">
        <v>4</v>
      </c>
      <c r="C204" s="18" t="s">
        <v>453</v>
      </c>
      <c r="D204" s="43" t="s">
        <v>341</v>
      </c>
      <c r="E204" s="43" t="s">
        <v>453</v>
      </c>
      <c r="F204" s="57" t="str">
        <f>'Pod Library'!E73</f>
        <v>Claims Engineer</v>
      </c>
      <c r="G204" s="51" t="str">
        <f>'Pod Library'!F73</f>
        <v>DEV</v>
      </c>
      <c r="H204" s="51" t="str">
        <f>'Pod Library'!G73</f>
        <v>E3</v>
      </c>
      <c r="I204" s="51" t="str">
        <f>'Pod Library'!H73</f>
        <v>OFF</v>
      </c>
      <c r="J204" s="51" t="str">
        <f>'Pod Library'!I73</f>
        <v>FTC</v>
      </c>
      <c r="K204" s="16">
        <f>'Pod Library'!J73</f>
        <v>0.5</v>
      </c>
      <c r="L204" s="21">
        <f>'Pod Plan'!E21</f>
        <v>2</v>
      </c>
      <c r="M204" s="54">
        <f t="shared" si="3"/>
        <v>1</v>
      </c>
      <c r="N204" s="54">
        <f>M204*INDEX('Logic Tree'!$J$85:$N$87,MATCH(I204,'Logic Tree'!$I$85:$I$87,0),MATCH(H204,'Logic Tree'!$J$84:$N$84,0))</f>
        <v>0.42</v>
      </c>
    </row>
    <row r="205" spans="2:14" ht="15" customHeight="1">
      <c r="B205" s="27">
        <v>4</v>
      </c>
      <c r="C205" s="18" t="s">
        <v>453</v>
      </c>
      <c r="D205" s="43" t="s">
        <v>341</v>
      </c>
      <c r="E205" s="43" t="s">
        <v>453</v>
      </c>
      <c r="F205" s="57" t="str">
        <f>'Pod Library'!E74</f>
        <v>Claims Engineer</v>
      </c>
      <c r="G205" s="51" t="str">
        <f>'Pod Library'!F74</f>
        <v>DEV</v>
      </c>
      <c r="H205" s="51" t="str">
        <f>'Pod Library'!G74</f>
        <v>E2</v>
      </c>
      <c r="I205" s="51" t="str">
        <f>'Pod Library'!H74</f>
        <v>OFF</v>
      </c>
      <c r="J205" s="51" t="str">
        <f>'Pod Library'!I74</f>
        <v>FTC</v>
      </c>
      <c r="K205" s="16">
        <f>'Pod Library'!J74</f>
        <v>1.1111111111111101</v>
      </c>
      <c r="L205" s="21">
        <f>'Pod Plan'!E21</f>
        <v>2</v>
      </c>
      <c r="M205" s="54">
        <f t="shared" si="3"/>
        <v>2.2222222222222201</v>
      </c>
      <c r="N205" s="54">
        <f>M205*INDEX('Logic Tree'!$J$85:$N$87,MATCH(I205,'Logic Tree'!$I$85:$I$87,0),MATCH(H205,'Logic Tree'!$J$84:$N$84,0))</f>
        <v>0.66666666666666596</v>
      </c>
    </row>
    <row r="206" spans="2:14" ht="15" customHeight="1">
      <c r="B206" s="27">
        <v>4</v>
      </c>
      <c r="C206" s="18" t="s">
        <v>453</v>
      </c>
      <c r="D206" s="43" t="s">
        <v>341</v>
      </c>
      <c r="E206" s="43" t="s">
        <v>453</v>
      </c>
      <c r="F206" s="57" t="str">
        <f>'Pod Library'!E75</f>
        <v>MGCC Payments Engineer</v>
      </c>
      <c r="G206" s="51" t="str">
        <f>'Pod Library'!F75</f>
        <v>DEV</v>
      </c>
      <c r="H206" s="51" t="str">
        <f>'Pod Library'!G75</f>
        <v>E3</v>
      </c>
      <c r="I206" s="51" t="str">
        <f>'Pod Library'!H75</f>
        <v>OFF</v>
      </c>
      <c r="J206" s="51" t="str">
        <f>'Pod Library'!I75</f>
        <v>MGCC</v>
      </c>
      <c r="K206" s="16">
        <f>'Pod Library'!J75</f>
        <v>0.61111111111111105</v>
      </c>
      <c r="L206" s="21">
        <f>'Pod Plan'!E21</f>
        <v>2</v>
      </c>
      <c r="M206" s="54">
        <f t="shared" si="3"/>
        <v>1.2222222222222221</v>
      </c>
      <c r="N206" s="54">
        <f>M206*INDEX('Logic Tree'!$J$85:$N$87,MATCH(I206,'Logic Tree'!$I$85:$I$87,0),MATCH(H206,'Logic Tree'!$J$84:$N$84,0))</f>
        <v>0.51333333333333331</v>
      </c>
    </row>
    <row r="207" spans="2:14" ht="15" customHeight="1">
      <c r="B207" s="27">
        <v>4</v>
      </c>
      <c r="C207" s="18" t="s">
        <v>453</v>
      </c>
      <c r="D207" s="43" t="s">
        <v>341</v>
      </c>
      <c r="E207" s="43" t="s">
        <v>453</v>
      </c>
      <c r="F207" s="57" t="str">
        <f>'Pod Library'!E76</f>
        <v>SDET / Automation Engineer</v>
      </c>
      <c r="G207" s="51" t="str">
        <f>'Pod Library'!F76</f>
        <v>TEST</v>
      </c>
      <c r="H207" s="51" t="str">
        <f>'Pod Library'!G76</f>
        <v>E3</v>
      </c>
      <c r="I207" s="51" t="str">
        <f>'Pod Library'!H76</f>
        <v>OFF</v>
      </c>
      <c r="J207" s="51" t="str">
        <f>'Pod Library'!I76</f>
        <v>FTC</v>
      </c>
      <c r="K207" s="16">
        <f>'Pod Library'!J76</f>
        <v>0.22222222222222199</v>
      </c>
      <c r="L207" s="21">
        <f>'Pod Plan'!E21</f>
        <v>2</v>
      </c>
      <c r="M207" s="54">
        <f t="shared" si="3"/>
        <v>0.44444444444444398</v>
      </c>
      <c r="N207" s="54">
        <f>M207*INDEX('Logic Tree'!$J$85:$N$87,MATCH(I207,'Logic Tree'!$I$85:$I$87,0),MATCH(H207,'Logic Tree'!$J$84:$N$84,0))</f>
        <v>0.18666666666666645</v>
      </c>
    </row>
    <row r="208" spans="2:14" ht="15" customHeight="1">
      <c r="B208" s="27">
        <v>4</v>
      </c>
      <c r="C208" s="18" t="s">
        <v>453</v>
      </c>
      <c r="D208" s="43" t="s">
        <v>341</v>
      </c>
      <c r="E208" s="43" t="s">
        <v>453</v>
      </c>
      <c r="F208" s="57" t="str">
        <f>'Pod Library'!E77</f>
        <v>MGCC Quality Engineer</v>
      </c>
      <c r="G208" s="51" t="str">
        <f>'Pod Library'!F77</f>
        <v>TEST</v>
      </c>
      <c r="H208" s="51" t="str">
        <f>'Pod Library'!G77</f>
        <v>E2</v>
      </c>
      <c r="I208" s="51" t="str">
        <f>'Pod Library'!H77</f>
        <v>OFF</v>
      </c>
      <c r="J208" s="51" t="str">
        <f>'Pod Library'!I77</f>
        <v>MGCC</v>
      </c>
      <c r="K208" s="16">
        <f>'Pod Library'!J77</f>
        <v>0.61111111111111105</v>
      </c>
      <c r="L208" s="21">
        <f>'Pod Plan'!E21</f>
        <v>2</v>
      </c>
      <c r="M208" s="54">
        <f t="shared" si="3"/>
        <v>1.2222222222222221</v>
      </c>
      <c r="N208" s="54">
        <f>M208*INDEX('Logic Tree'!$J$85:$N$87,MATCH(I208,'Logic Tree'!$I$85:$I$87,0),MATCH(H208,'Logic Tree'!$J$84:$N$84,0))</f>
        <v>0.36666666666666664</v>
      </c>
    </row>
    <row r="209" spans="2:14" ht="15" customHeight="1">
      <c r="B209" s="27">
        <v>4</v>
      </c>
      <c r="C209" s="18" t="s">
        <v>453</v>
      </c>
      <c r="D209" s="43" t="s">
        <v>341</v>
      </c>
      <c r="E209" s="43" t="s">
        <v>453</v>
      </c>
      <c r="F209" s="57" t="str">
        <f>'Pod Library'!E78</f>
        <v>Solution Architect</v>
      </c>
      <c r="G209" s="51" t="str">
        <f>'Pod Library'!F78</f>
        <v>OTH</v>
      </c>
      <c r="H209" s="51" t="str">
        <f>'Pod Library'!G78</f>
        <v>E5</v>
      </c>
      <c r="I209" s="51" t="str">
        <f>'Pod Library'!H78</f>
        <v>ON</v>
      </c>
      <c r="J209" s="51" t="str">
        <f>'Pod Library'!I78</f>
        <v>FTC</v>
      </c>
      <c r="K209" s="16">
        <f>'Pod Library'!J78</f>
        <v>0.16666666666666699</v>
      </c>
      <c r="L209" s="21">
        <f>'Pod Plan'!E21</f>
        <v>2</v>
      </c>
      <c r="M209" s="54">
        <f t="shared" si="3"/>
        <v>0.33333333333333398</v>
      </c>
      <c r="N209" s="54">
        <f>M209*INDEX('Logic Tree'!$J$85:$N$87,MATCH(I209,'Logic Tree'!$I$85:$I$87,0),MATCH(H209,'Logic Tree'!$J$84:$N$84,0))</f>
        <v>0.85000000000000164</v>
      </c>
    </row>
    <row r="210" spans="2:14" ht="15" customHeight="1">
      <c r="B210" s="27">
        <v>4</v>
      </c>
      <c r="C210" s="18" t="s">
        <v>453</v>
      </c>
      <c r="D210" s="43" t="s">
        <v>342</v>
      </c>
      <c r="E210" s="43" t="s">
        <v>453</v>
      </c>
      <c r="F210" s="57" t="str">
        <f>'Pod Library'!E69</f>
        <v>MetLife Claims Product Owner</v>
      </c>
      <c r="G210" s="51" t="str">
        <f>'Pod Library'!F69</f>
        <v>PM</v>
      </c>
      <c r="H210" s="51" t="str">
        <f>'Pod Library'!G69</f>
        <v>E4</v>
      </c>
      <c r="I210" s="51" t="str">
        <f>'Pod Library'!H69</f>
        <v>ON</v>
      </c>
      <c r="J210" s="51" t="str">
        <f>'Pod Library'!I69</f>
        <v>FTE</v>
      </c>
      <c r="K210" s="16">
        <f>'Pod Library'!J69</f>
        <v>0.5</v>
      </c>
      <c r="L210" s="21">
        <f>'Pod Plan'!E22</f>
        <v>2</v>
      </c>
      <c r="M210" s="54">
        <f t="shared" si="3"/>
        <v>1</v>
      </c>
      <c r="N210" s="54">
        <f>M210*INDEX('Logic Tree'!$J$85:$N$87,MATCH(I210,'Logic Tree'!$I$85:$I$87,0),MATCH(H210,'Logic Tree'!$J$84:$N$84,0))</f>
        <v>1.85</v>
      </c>
    </row>
    <row r="211" spans="2:14" ht="15" customHeight="1">
      <c r="B211" s="27">
        <v>4</v>
      </c>
      <c r="C211" s="18" t="s">
        <v>453</v>
      </c>
      <c r="D211" s="43" t="s">
        <v>342</v>
      </c>
      <c r="E211" s="43" t="s">
        <v>453</v>
      </c>
      <c r="F211" s="57" t="str">
        <f>'Pod Library'!E70</f>
        <v>MetLife Claims SME</v>
      </c>
      <c r="G211" s="51" t="str">
        <f>'Pod Library'!F70</f>
        <v>BSA</v>
      </c>
      <c r="H211" s="51" t="str">
        <f>'Pod Library'!G70</f>
        <v>E4</v>
      </c>
      <c r="I211" s="51" t="str">
        <f>'Pod Library'!H70</f>
        <v>ON</v>
      </c>
      <c r="J211" s="51" t="str">
        <f>'Pod Library'!I70</f>
        <v>FTE</v>
      </c>
      <c r="K211" s="16">
        <f>'Pod Library'!J70</f>
        <v>0.61111111111111105</v>
      </c>
      <c r="L211" s="21">
        <f>'Pod Plan'!E22</f>
        <v>2</v>
      </c>
      <c r="M211" s="54">
        <f t="shared" si="3"/>
        <v>1.2222222222222221</v>
      </c>
      <c r="N211" s="54">
        <f>M211*INDEX('Logic Tree'!$J$85:$N$87,MATCH(I211,'Logic Tree'!$I$85:$I$87,0),MATCH(H211,'Logic Tree'!$J$84:$N$84,0))</f>
        <v>2.2611111111111111</v>
      </c>
    </row>
    <row r="212" spans="2:14" ht="15" customHeight="1">
      <c r="B212" s="27">
        <v>4</v>
      </c>
      <c r="C212" s="18" t="s">
        <v>453</v>
      </c>
      <c r="D212" s="43" t="s">
        <v>342</v>
      </c>
      <c r="E212" s="43" t="s">
        <v>453</v>
      </c>
      <c r="F212" s="57" t="str">
        <f>'Pod Library'!E71</f>
        <v>Business Analyst (bilingual)</v>
      </c>
      <c r="G212" s="51" t="str">
        <f>'Pod Library'!F71</f>
        <v>BSA</v>
      </c>
      <c r="H212" s="51" t="str">
        <f>'Pod Library'!G71</f>
        <v>E3</v>
      </c>
      <c r="I212" s="51" t="str">
        <f>'Pod Library'!H71</f>
        <v>ON</v>
      </c>
      <c r="J212" s="51" t="str">
        <f>'Pod Library'!I71</f>
        <v>FTC</v>
      </c>
      <c r="K212" s="16">
        <f>'Pod Library'!J71</f>
        <v>0.44444444444444398</v>
      </c>
      <c r="L212" s="21">
        <f>'Pod Plan'!E22</f>
        <v>2</v>
      </c>
      <c r="M212" s="54">
        <f t="shared" si="3"/>
        <v>0.88888888888888795</v>
      </c>
      <c r="N212" s="54">
        <f>M212*INDEX('Logic Tree'!$J$85:$N$87,MATCH(I212,'Logic Tree'!$I$85:$I$87,0),MATCH(H212,'Logic Tree'!$J$84:$N$84,0))</f>
        <v>1.1999999999999988</v>
      </c>
    </row>
    <row r="213" spans="2:14" ht="15" customHeight="1">
      <c r="B213" s="27">
        <v>4</v>
      </c>
      <c r="C213" s="18" t="s">
        <v>453</v>
      </c>
      <c r="D213" s="43" t="s">
        <v>342</v>
      </c>
      <c r="E213" s="43" t="s">
        <v>453</v>
      </c>
      <c r="F213" s="57" t="str">
        <f>'Pod Library'!E72</f>
        <v>Pod lead / senior engineer</v>
      </c>
      <c r="G213" s="51" t="str">
        <f>'Pod Library'!F72</f>
        <v>DEV</v>
      </c>
      <c r="H213" s="51" t="str">
        <f>'Pod Library'!G72</f>
        <v>E4</v>
      </c>
      <c r="I213" s="51" t="str">
        <f>'Pod Library'!H72</f>
        <v>ON</v>
      </c>
      <c r="J213" s="51" t="str">
        <f>'Pod Library'!I72</f>
        <v>FTC</v>
      </c>
      <c r="K213" s="16">
        <f>'Pod Library'!J72</f>
        <v>0.55555555555555602</v>
      </c>
      <c r="L213" s="21">
        <f>'Pod Plan'!E22</f>
        <v>2</v>
      </c>
      <c r="M213" s="54">
        <f t="shared" si="3"/>
        <v>1.111111111111112</v>
      </c>
      <c r="N213" s="54">
        <f>M213*INDEX('Logic Tree'!$J$85:$N$87,MATCH(I213,'Logic Tree'!$I$85:$I$87,0),MATCH(H213,'Logic Tree'!$J$84:$N$84,0))</f>
        <v>2.0555555555555576</v>
      </c>
    </row>
    <row r="214" spans="2:14" ht="15" customHeight="1">
      <c r="B214" s="27">
        <v>4</v>
      </c>
      <c r="C214" s="18" t="s">
        <v>453</v>
      </c>
      <c r="D214" s="43" t="s">
        <v>342</v>
      </c>
      <c r="E214" s="43" t="s">
        <v>453</v>
      </c>
      <c r="F214" s="57" t="str">
        <f>'Pod Library'!E73</f>
        <v>Claims Engineer</v>
      </c>
      <c r="G214" s="51" t="str">
        <f>'Pod Library'!F73</f>
        <v>DEV</v>
      </c>
      <c r="H214" s="51" t="str">
        <f>'Pod Library'!G73</f>
        <v>E3</v>
      </c>
      <c r="I214" s="51" t="str">
        <f>'Pod Library'!H73</f>
        <v>OFF</v>
      </c>
      <c r="J214" s="51" t="str">
        <f>'Pod Library'!I73</f>
        <v>FTC</v>
      </c>
      <c r="K214" s="16">
        <f>'Pod Library'!J73</f>
        <v>0.5</v>
      </c>
      <c r="L214" s="21">
        <f>'Pod Plan'!E22</f>
        <v>2</v>
      </c>
      <c r="M214" s="54">
        <f t="shared" si="3"/>
        <v>1</v>
      </c>
      <c r="N214" s="54">
        <f>M214*INDEX('Logic Tree'!$J$85:$N$87,MATCH(I214,'Logic Tree'!$I$85:$I$87,0),MATCH(H214,'Logic Tree'!$J$84:$N$84,0))</f>
        <v>0.42</v>
      </c>
    </row>
    <row r="215" spans="2:14" ht="15" customHeight="1">
      <c r="B215" s="27">
        <v>4</v>
      </c>
      <c r="C215" s="18" t="s">
        <v>453</v>
      </c>
      <c r="D215" s="43" t="s">
        <v>342</v>
      </c>
      <c r="E215" s="43" t="s">
        <v>453</v>
      </c>
      <c r="F215" s="57" t="str">
        <f>'Pod Library'!E74</f>
        <v>Claims Engineer</v>
      </c>
      <c r="G215" s="51" t="str">
        <f>'Pod Library'!F74</f>
        <v>DEV</v>
      </c>
      <c r="H215" s="51" t="str">
        <f>'Pod Library'!G74</f>
        <v>E2</v>
      </c>
      <c r="I215" s="51" t="str">
        <f>'Pod Library'!H74</f>
        <v>OFF</v>
      </c>
      <c r="J215" s="51" t="str">
        <f>'Pod Library'!I74</f>
        <v>FTC</v>
      </c>
      <c r="K215" s="16">
        <f>'Pod Library'!J74</f>
        <v>1.1111111111111101</v>
      </c>
      <c r="L215" s="21">
        <f>'Pod Plan'!E22</f>
        <v>2</v>
      </c>
      <c r="M215" s="54">
        <f t="shared" si="3"/>
        <v>2.2222222222222201</v>
      </c>
      <c r="N215" s="54">
        <f>M215*INDEX('Logic Tree'!$J$85:$N$87,MATCH(I215,'Logic Tree'!$I$85:$I$87,0),MATCH(H215,'Logic Tree'!$J$84:$N$84,0))</f>
        <v>0.66666666666666596</v>
      </c>
    </row>
    <row r="216" spans="2:14" ht="15" customHeight="1">
      <c r="B216" s="27">
        <v>4</v>
      </c>
      <c r="C216" s="18" t="s">
        <v>453</v>
      </c>
      <c r="D216" s="43" t="s">
        <v>342</v>
      </c>
      <c r="E216" s="43" t="s">
        <v>453</v>
      </c>
      <c r="F216" s="57" t="str">
        <f>'Pod Library'!E75</f>
        <v>MGCC Payments Engineer</v>
      </c>
      <c r="G216" s="51" t="str">
        <f>'Pod Library'!F75</f>
        <v>DEV</v>
      </c>
      <c r="H216" s="51" t="str">
        <f>'Pod Library'!G75</f>
        <v>E3</v>
      </c>
      <c r="I216" s="51" t="str">
        <f>'Pod Library'!H75</f>
        <v>OFF</v>
      </c>
      <c r="J216" s="51" t="str">
        <f>'Pod Library'!I75</f>
        <v>MGCC</v>
      </c>
      <c r="K216" s="16">
        <f>'Pod Library'!J75</f>
        <v>0.61111111111111105</v>
      </c>
      <c r="L216" s="21">
        <f>'Pod Plan'!E22</f>
        <v>2</v>
      </c>
      <c r="M216" s="54">
        <f t="shared" si="3"/>
        <v>1.2222222222222221</v>
      </c>
      <c r="N216" s="54">
        <f>M216*INDEX('Logic Tree'!$J$85:$N$87,MATCH(I216,'Logic Tree'!$I$85:$I$87,0),MATCH(H216,'Logic Tree'!$J$84:$N$84,0))</f>
        <v>0.51333333333333331</v>
      </c>
    </row>
    <row r="217" spans="2:14" ht="15" customHeight="1">
      <c r="B217" s="27">
        <v>4</v>
      </c>
      <c r="C217" s="18" t="s">
        <v>453</v>
      </c>
      <c r="D217" s="43" t="s">
        <v>342</v>
      </c>
      <c r="E217" s="43" t="s">
        <v>453</v>
      </c>
      <c r="F217" s="57" t="str">
        <f>'Pod Library'!E76</f>
        <v>SDET / Automation Engineer</v>
      </c>
      <c r="G217" s="51" t="str">
        <f>'Pod Library'!F76</f>
        <v>TEST</v>
      </c>
      <c r="H217" s="51" t="str">
        <f>'Pod Library'!G76</f>
        <v>E3</v>
      </c>
      <c r="I217" s="51" t="str">
        <f>'Pod Library'!H76</f>
        <v>OFF</v>
      </c>
      <c r="J217" s="51" t="str">
        <f>'Pod Library'!I76</f>
        <v>FTC</v>
      </c>
      <c r="K217" s="16">
        <f>'Pod Library'!J76</f>
        <v>0.22222222222222199</v>
      </c>
      <c r="L217" s="21">
        <f>'Pod Plan'!E22</f>
        <v>2</v>
      </c>
      <c r="M217" s="54">
        <f t="shared" si="3"/>
        <v>0.44444444444444398</v>
      </c>
      <c r="N217" s="54">
        <f>M217*INDEX('Logic Tree'!$J$85:$N$87,MATCH(I217,'Logic Tree'!$I$85:$I$87,0),MATCH(H217,'Logic Tree'!$J$84:$N$84,0))</f>
        <v>0.18666666666666645</v>
      </c>
    </row>
    <row r="218" spans="2:14" ht="15" customHeight="1">
      <c r="B218" s="27">
        <v>4</v>
      </c>
      <c r="C218" s="18" t="s">
        <v>453</v>
      </c>
      <c r="D218" s="43" t="s">
        <v>342</v>
      </c>
      <c r="E218" s="43" t="s">
        <v>453</v>
      </c>
      <c r="F218" s="57" t="str">
        <f>'Pod Library'!E77</f>
        <v>MGCC Quality Engineer</v>
      </c>
      <c r="G218" s="51" t="str">
        <f>'Pod Library'!F77</f>
        <v>TEST</v>
      </c>
      <c r="H218" s="51" t="str">
        <f>'Pod Library'!G77</f>
        <v>E2</v>
      </c>
      <c r="I218" s="51" t="str">
        <f>'Pod Library'!H77</f>
        <v>OFF</v>
      </c>
      <c r="J218" s="51" t="str">
        <f>'Pod Library'!I77</f>
        <v>MGCC</v>
      </c>
      <c r="K218" s="16">
        <f>'Pod Library'!J77</f>
        <v>0.61111111111111105</v>
      </c>
      <c r="L218" s="21">
        <f>'Pod Plan'!E22</f>
        <v>2</v>
      </c>
      <c r="M218" s="54">
        <f t="shared" si="3"/>
        <v>1.2222222222222221</v>
      </c>
      <c r="N218" s="54">
        <f>M218*INDEX('Logic Tree'!$J$85:$N$87,MATCH(I218,'Logic Tree'!$I$85:$I$87,0),MATCH(H218,'Logic Tree'!$J$84:$N$84,0))</f>
        <v>0.36666666666666664</v>
      </c>
    </row>
    <row r="219" spans="2:14" ht="15" customHeight="1">
      <c r="B219" s="27">
        <v>4</v>
      </c>
      <c r="C219" s="18" t="s">
        <v>453</v>
      </c>
      <c r="D219" s="43" t="s">
        <v>342</v>
      </c>
      <c r="E219" s="43" t="s">
        <v>453</v>
      </c>
      <c r="F219" s="57" t="str">
        <f>'Pod Library'!E78</f>
        <v>Solution Architect</v>
      </c>
      <c r="G219" s="51" t="str">
        <f>'Pod Library'!F78</f>
        <v>OTH</v>
      </c>
      <c r="H219" s="51" t="str">
        <f>'Pod Library'!G78</f>
        <v>E5</v>
      </c>
      <c r="I219" s="51" t="str">
        <f>'Pod Library'!H78</f>
        <v>ON</v>
      </c>
      <c r="J219" s="51" t="str">
        <f>'Pod Library'!I78</f>
        <v>FTC</v>
      </c>
      <c r="K219" s="16">
        <f>'Pod Library'!J78</f>
        <v>0.16666666666666699</v>
      </c>
      <c r="L219" s="21">
        <f>'Pod Plan'!E22</f>
        <v>2</v>
      </c>
      <c r="M219" s="54">
        <f t="shared" si="3"/>
        <v>0.33333333333333398</v>
      </c>
      <c r="N219" s="54">
        <f>M219*INDEX('Logic Tree'!$J$85:$N$87,MATCH(I219,'Logic Tree'!$I$85:$I$87,0),MATCH(H219,'Logic Tree'!$J$84:$N$84,0))</f>
        <v>0.85000000000000164</v>
      </c>
    </row>
    <row r="220" spans="2:14" ht="15" customHeight="1">
      <c r="B220" s="27">
        <v>4</v>
      </c>
      <c r="C220" s="18" t="s">
        <v>746</v>
      </c>
      <c r="D220" s="51" t="str">
        <f>'Horizontal Teams'!C68</f>
        <v>H1</v>
      </c>
      <c r="E220" s="43" t="s">
        <v>746</v>
      </c>
      <c r="F220" s="57" t="str">
        <f>'Horizontal Teams'!E68</f>
        <v>Service Delivery Manager</v>
      </c>
      <c r="G220" s="51" t="str">
        <f>'Horizontal Teams'!D68</f>
        <v>PM</v>
      </c>
      <c r="H220" s="51" t="str">
        <f>'Horizontal Teams'!F68</f>
        <v>E5</v>
      </c>
      <c r="I220" s="51" t="str">
        <f>'Horizontal Teams'!G68</f>
        <v>ON</v>
      </c>
      <c r="J220" s="51" t="str">
        <f>'Horizontal Teams'!H68</f>
        <v>FTC</v>
      </c>
      <c r="K220" s="16">
        <f>'Horizontal Teams'!I68</f>
        <v>0.5</v>
      </c>
      <c r="L220" s="27">
        <v>1</v>
      </c>
      <c r="M220" s="54">
        <f t="shared" si="3"/>
        <v>0.5</v>
      </c>
      <c r="N220" s="54">
        <f>M220*INDEX('Logic Tree'!$J$85:$N$87,MATCH(I220,'Logic Tree'!$I$85:$I$87,0),MATCH(H220,'Logic Tree'!$J$84:$N$84,0))</f>
        <v>1.2749999999999999</v>
      </c>
    </row>
    <row r="221" spans="2:14" ht="15" customHeight="1">
      <c r="B221" s="27">
        <v>4</v>
      </c>
      <c r="C221" s="18" t="s">
        <v>746</v>
      </c>
      <c r="D221" s="51" t="str">
        <f>'Horizontal Teams'!C69</f>
        <v>H1</v>
      </c>
      <c r="E221" s="43" t="s">
        <v>746</v>
      </c>
      <c r="F221" s="57" t="str">
        <f>'Horizontal Teams'!E69</f>
        <v>Incident &amp; Problem Analyst</v>
      </c>
      <c r="G221" s="51" t="str">
        <f>'Horizontal Teams'!D69</f>
        <v>MNT</v>
      </c>
      <c r="H221" s="51" t="str">
        <f>'Horizontal Teams'!F69</f>
        <v>E3</v>
      </c>
      <c r="I221" s="51" t="str">
        <f>'Horizontal Teams'!G69</f>
        <v>ON</v>
      </c>
      <c r="J221" s="51" t="str">
        <f>'Horizontal Teams'!H69</f>
        <v>FTC</v>
      </c>
      <c r="K221" s="16">
        <f>'Horizontal Teams'!I69</f>
        <v>0.5</v>
      </c>
      <c r="L221" s="27">
        <v>1</v>
      </c>
      <c r="M221" s="54">
        <f t="shared" si="3"/>
        <v>0.5</v>
      </c>
      <c r="N221" s="54">
        <f>M221*INDEX('Logic Tree'!$J$85:$N$87,MATCH(I221,'Logic Tree'!$I$85:$I$87,0),MATCH(H221,'Logic Tree'!$J$84:$N$84,0))</f>
        <v>0.67500000000000004</v>
      </c>
    </row>
    <row r="222" spans="2:14" ht="15" customHeight="1">
      <c r="B222" s="27">
        <v>4</v>
      </c>
      <c r="C222" s="18" t="s">
        <v>746</v>
      </c>
      <c r="D222" s="51" t="str">
        <f>'Horizontal Teams'!C70</f>
        <v>H1</v>
      </c>
      <c r="E222" s="43" t="s">
        <v>746</v>
      </c>
      <c r="F222" s="57" t="str">
        <f>'Horizontal Teams'!E70</f>
        <v>L2 Application Support</v>
      </c>
      <c r="G222" s="51" t="str">
        <f>'Horizontal Teams'!D70</f>
        <v>MNT</v>
      </c>
      <c r="H222" s="51" t="str">
        <f>'Horizontal Teams'!F70</f>
        <v>E2</v>
      </c>
      <c r="I222" s="51" t="str">
        <f>'Horizontal Teams'!G70</f>
        <v>OFF</v>
      </c>
      <c r="J222" s="51" t="str">
        <f>'Horizontal Teams'!H70</f>
        <v>FTC</v>
      </c>
      <c r="K222" s="16">
        <f>'Horizontal Teams'!I70</f>
        <v>0.5</v>
      </c>
      <c r="L222" s="27">
        <v>1</v>
      </c>
      <c r="M222" s="54">
        <f t="shared" si="3"/>
        <v>0.5</v>
      </c>
      <c r="N222" s="54">
        <f>M222*INDEX('Logic Tree'!$J$85:$N$87,MATCH(I222,'Logic Tree'!$I$85:$I$87,0),MATCH(H222,'Logic Tree'!$J$84:$N$84,0))</f>
        <v>0.15</v>
      </c>
    </row>
    <row r="223" spans="2:14" ht="15" customHeight="1">
      <c r="B223" s="27">
        <v>4</v>
      </c>
      <c r="C223" s="18" t="s">
        <v>746</v>
      </c>
      <c r="D223" s="51" t="str">
        <f>'Horizontal Teams'!C71</f>
        <v>H1</v>
      </c>
      <c r="E223" s="43" t="s">
        <v>746</v>
      </c>
      <c r="F223" s="57" t="str">
        <f>'Horizontal Teams'!E71</f>
        <v>L2 Application Support</v>
      </c>
      <c r="G223" s="51" t="str">
        <f>'Horizontal Teams'!D71</f>
        <v>MNT</v>
      </c>
      <c r="H223" s="51" t="str">
        <f>'Horizontal Teams'!F71</f>
        <v>E2</v>
      </c>
      <c r="I223" s="51" t="str">
        <f>'Horizontal Teams'!G71</f>
        <v>NEAR</v>
      </c>
      <c r="J223" s="51" t="str">
        <f>'Horizontal Teams'!H71</f>
        <v>FTC</v>
      </c>
      <c r="K223" s="16">
        <f>'Horizontal Teams'!I71</f>
        <v>0.5</v>
      </c>
      <c r="L223" s="27">
        <v>1</v>
      </c>
      <c r="M223" s="54">
        <f t="shared" si="3"/>
        <v>0.5</v>
      </c>
      <c r="N223" s="54">
        <f>M223*INDEX('Logic Tree'!$J$85:$N$87,MATCH(I223,'Logic Tree'!$I$85:$I$87,0),MATCH(H223,'Logic Tree'!$J$84:$N$84,0))</f>
        <v>0.31</v>
      </c>
    </row>
    <row r="224" spans="2:14" ht="15" customHeight="1">
      <c r="B224" s="27">
        <v>4</v>
      </c>
      <c r="C224" s="18" t="s">
        <v>746</v>
      </c>
      <c r="D224" s="51" t="str">
        <f>'Horizontal Teams'!C72</f>
        <v>H1</v>
      </c>
      <c r="E224" s="43" t="s">
        <v>746</v>
      </c>
      <c r="F224" s="57" t="str">
        <f>'Horizontal Teams'!E72</f>
        <v>Observability / AIOps Engineer</v>
      </c>
      <c r="G224" s="51" t="str">
        <f>'Horizontal Teams'!D72</f>
        <v>OTH</v>
      </c>
      <c r="H224" s="51" t="str">
        <f>'Horizontal Teams'!F72</f>
        <v>E3</v>
      </c>
      <c r="I224" s="51" t="str">
        <f>'Horizontal Teams'!G72</f>
        <v>OFF</v>
      </c>
      <c r="J224" s="51" t="str">
        <f>'Horizontal Teams'!H72</f>
        <v>FTC</v>
      </c>
      <c r="K224" s="16">
        <f>'Horizontal Teams'!I72</f>
        <v>0.5</v>
      </c>
      <c r="L224" s="27">
        <v>1</v>
      </c>
      <c r="M224" s="54">
        <f t="shared" si="3"/>
        <v>0.5</v>
      </c>
      <c r="N224" s="54">
        <f>M224*INDEX('Logic Tree'!$J$85:$N$87,MATCH(I224,'Logic Tree'!$I$85:$I$87,0),MATCH(H224,'Logic Tree'!$J$84:$N$84,0))</f>
        <v>0.21</v>
      </c>
    </row>
    <row r="225" spans="2:14" ht="15" customHeight="1">
      <c r="B225" s="27">
        <v>4</v>
      </c>
      <c r="C225" s="18" t="s">
        <v>746</v>
      </c>
      <c r="D225" s="51" t="str">
        <f>'Horizontal Teams'!C73</f>
        <v>H1</v>
      </c>
      <c r="E225" s="43" t="s">
        <v>746</v>
      </c>
      <c r="F225" s="57" t="str">
        <f>'Horizontal Teams'!E73</f>
        <v>MetLife Operations Lead</v>
      </c>
      <c r="G225" s="51" t="str">
        <f>'Horizontal Teams'!D73</f>
        <v>MNT</v>
      </c>
      <c r="H225" s="51" t="str">
        <f>'Horizontal Teams'!F73</f>
        <v>E4</v>
      </c>
      <c r="I225" s="51" t="str">
        <f>'Horizontal Teams'!G73</f>
        <v>ON</v>
      </c>
      <c r="J225" s="51" t="str">
        <f>'Horizontal Teams'!H73</f>
        <v>FTE</v>
      </c>
      <c r="K225" s="16">
        <f>'Horizontal Teams'!I73</f>
        <v>2.5</v>
      </c>
      <c r="L225" s="27">
        <v>1</v>
      </c>
      <c r="M225" s="54">
        <f t="shared" si="3"/>
        <v>2.5</v>
      </c>
      <c r="N225" s="54">
        <f>M225*INDEX('Logic Tree'!$J$85:$N$87,MATCH(I225,'Logic Tree'!$I$85:$I$87,0),MATCH(H225,'Logic Tree'!$J$84:$N$84,0))</f>
        <v>4.625</v>
      </c>
    </row>
    <row r="226" spans="2:14" ht="15" customHeight="1">
      <c r="B226" s="27">
        <v>4</v>
      </c>
      <c r="C226" s="18" t="s">
        <v>746</v>
      </c>
      <c r="D226" s="51" t="str">
        <f>'Horizontal Teams'!C74</f>
        <v>H2</v>
      </c>
      <c r="E226" s="43" t="s">
        <v>746</v>
      </c>
      <c r="F226" s="57" t="str">
        <f>'Horizontal Teams'!E74</f>
        <v>Quality Lead</v>
      </c>
      <c r="G226" s="51" t="str">
        <f>'Horizontal Teams'!D74</f>
        <v>TEST</v>
      </c>
      <c r="H226" s="51" t="str">
        <f>'Horizontal Teams'!F74</f>
        <v>E4</v>
      </c>
      <c r="I226" s="51" t="str">
        <f>'Horizontal Teams'!G74</f>
        <v>ON</v>
      </c>
      <c r="J226" s="51" t="str">
        <f>'Horizontal Teams'!H74</f>
        <v>FTC</v>
      </c>
      <c r="K226" s="16">
        <f>'Horizontal Teams'!I74</f>
        <v>0.5</v>
      </c>
      <c r="L226" s="27">
        <v>1</v>
      </c>
      <c r="M226" s="54">
        <f t="shared" si="3"/>
        <v>0.5</v>
      </c>
      <c r="N226" s="54">
        <f>M226*INDEX('Logic Tree'!$J$85:$N$87,MATCH(I226,'Logic Tree'!$I$85:$I$87,0),MATCH(H226,'Logic Tree'!$J$84:$N$84,0))</f>
        <v>0.92500000000000004</v>
      </c>
    </row>
    <row r="227" spans="2:14" ht="15" customHeight="1">
      <c r="B227" s="27">
        <v>4</v>
      </c>
      <c r="C227" s="18" t="s">
        <v>746</v>
      </c>
      <c r="D227" s="51" t="str">
        <f>'Horizontal Teams'!C75</f>
        <v>H2</v>
      </c>
      <c r="E227" s="43" t="s">
        <v>746</v>
      </c>
      <c r="F227" s="57" t="str">
        <f>'Horizontal Teams'!E75</f>
        <v>Test Automation Engineer</v>
      </c>
      <c r="G227" s="51" t="str">
        <f>'Horizontal Teams'!D75</f>
        <v>TEST</v>
      </c>
      <c r="H227" s="51" t="str">
        <f>'Horizontal Teams'!F75</f>
        <v>E3</v>
      </c>
      <c r="I227" s="51" t="str">
        <f>'Horizontal Teams'!G75</f>
        <v>OFF</v>
      </c>
      <c r="J227" s="51" t="str">
        <f>'Horizontal Teams'!H75</f>
        <v>FTC</v>
      </c>
      <c r="K227" s="16">
        <f>'Horizontal Teams'!I75</f>
        <v>0.5</v>
      </c>
      <c r="L227" s="27">
        <v>1</v>
      </c>
      <c r="M227" s="54">
        <f t="shared" si="3"/>
        <v>0.5</v>
      </c>
      <c r="N227" s="54">
        <f>M227*INDEX('Logic Tree'!$J$85:$N$87,MATCH(I227,'Logic Tree'!$I$85:$I$87,0),MATCH(H227,'Logic Tree'!$J$84:$N$84,0))</f>
        <v>0.21</v>
      </c>
    </row>
    <row r="228" spans="2:14" ht="15" customHeight="1">
      <c r="B228" s="27">
        <v>4</v>
      </c>
      <c r="C228" s="18" t="s">
        <v>746</v>
      </c>
      <c r="D228" s="51" t="str">
        <f>'Horizontal Teams'!C76</f>
        <v>H2</v>
      </c>
      <c r="E228" s="43" t="s">
        <v>746</v>
      </c>
      <c r="F228" s="57" t="str">
        <f>'Horizontal Teams'!E76</f>
        <v>Performance &amp; Batch Test Engineer</v>
      </c>
      <c r="G228" s="51" t="str">
        <f>'Horizontal Teams'!D76</f>
        <v>TEST</v>
      </c>
      <c r="H228" s="51" t="str">
        <f>'Horizontal Teams'!F76</f>
        <v>E3</v>
      </c>
      <c r="I228" s="51" t="str">
        <f>'Horizontal Teams'!G76</f>
        <v>OFF</v>
      </c>
      <c r="J228" s="51" t="str">
        <f>'Horizontal Teams'!H76</f>
        <v>FTC</v>
      </c>
      <c r="K228" s="16">
        <f>'Horizontal Teams'!I76</f>
        <v>0.5</v>
      </c>
      <c r="L228" s="27">
        <v>1</v>
      </c>
      <c r="M228" s="54">
        <f t="shared" si="3"/>
        <v>0.5</v>
      </c>
      <c r="N228" s="54">
        <f>M228*INDEX('Logic Tree'!$J$85:$N$87,MATCH(I228,'Logic Tree'!$I$85:$I$87,0),MATCH(H228,'Logic Tree'!$J$84:$N$84,0))</f>
        <v>0.21</v>
      </c>
    </row>
    <row r="229" spans="2:14" ht="15" customHeight="1">
      <c r="B229" s="27">
        <v>4</v>
      </c>
      <c r="C229" s="18" t="s">
        <v>746</v>
      </c>
      <c r="D229" s="51" t="str">
        <f>'Horizontal Teams'!C77</f>
        <v>H2</v>
      </c>
      <c r="E229" s="43" t="s">
        <v>746</v>
      </c>
      <c r="F229" s="57" t="str">
        <f>'Horizontal Teams'!E77</f>
        <v>MGCC Quality Engineer</v>
      </c>
      <c r="G229" s="51" t="str">
        <f>'Horizontal Teams'!D77</f>
        <v>TEST</v>
      </c>
      <c r="H229" s="51" t="str">
        <f>'Horizontal Teams'!F77</f>
        <v>E2</v>
      </c>
      <c r="I229" s="51" t="str">
        <f>'Horizontal Teams'!G77</f>
        <v>OFF</v>
      </c>
      <c r="J229" s="51" t="str">
        <f>'Horizontal Teams'!H77</f>
        <v>MGCC</v>
      </c>
      <c r="K229" s="16">
        <f>'Horizontal Teams'!I77</f>
        <v>4</v>
      </c>
      <c r="L229" s="27">
        <v>1</v>
      </c>
      <c r="M229" s="54">
        <f t="shared" si="3"/>
        <v>4</v>
      </c>
      <c r="N229" s="54">
        <f>M229*INDEX('Logic Tree'!$J$85:$N$87,MATCH(I229,'Logic Tree'!$I$85:$I$87,0),MATCH(H229,'Logic Tree'!$J$84:$N$84,0))</f>
        <v>1.2</v>
      </c>
    </row>
    <row r="230" spans="2:14" ht="15" customHeight="1">
      <c r="B230" s="27">
        <v>4</v>
      </c>
      <c r="C230" s="18" t="s">
        <v>746</v>
      </c>
      <c r="D230" s="51" t="str">
        <f>'Horizontal Teams'!C78</f>
        <v>H2</v>
      </c>
      <c r="E230" s="43" t="s">
        <v>746</v>
      </c>
      <c r="F230" s="57" t="str">
        <f>'Horizontal Teams'!E78</f>
        <v>Payments Assurance Analyst</v>
      </c>
      <c r="G230" s="51" t="str">
        <f>'Horizontal Teams'!D78</f>
        <v>BSA</v>
      </c>
      <c r="H230" s="51" t="str">
        <f>'Horizontal Teams'!F78</f>
        <v>E3</v>
      </c>
      <c r="I230" s="51" t="str">
        <f>'Horizontal Teams'!G78</f>
        <v>ON</v>
      </c>
      <c r="J230" s="51" t="str">
        <f>'Horizontal Teams'!H78</f>
        <v>FTC</v>
      </c>
      <c r="K230" s="16">
        <f>'Horizontal Teams'!I78</f>
        <v>0.5</v>
      </c>
      <c r="L230" s="27">
        <v>1</v>
      </c>
      <c r="M230" s="54">
        <f t="shared" si="3"/>
        <v>0.5</v>
      </c>
      <c r="N230" s="54">
        <f>M230*INDEX('Logic Tree'!$J$85:$N$87,MATCH(I230,'Logic Tree'!$I$85:$I$87,0),MATCH(H230,'Logic Tree'!$J$84:$N$84,0))</f>
        <v>0.67500000000000004</v>
      </c>
    </row>
    <row r="231" spans="2:14" ht="15" customHeight="1">
      <c r="B231" s="27">
        <v>4</v>
      </c>
      <c r="C231" s="18" t="s">
        <v>746</v>
      </c>
      <c r="D231" s="51" t="str">
        <f>'Horizontal Teams'!C79</f>
        <v>H3</v>
      </c>
      <c r="E231" s="43" t="s">
        <v>746</v>
      </c>
      <c r="F231" s="57" t="str">
        <f>'Horizontal Teams'!E79</f>
        <v>Domain Solution Architect</v>
      </c>
      <c r="G231" s="51" t="str">
        <f>'Horizontal Teams'!D79</f>
        <v>OTH</v>
      </c>
      <c r="H231" s="51" t="str">
        <f>'Horizontal Teams'!F79</f>
        <v>E5</v>
      </c>
      <c r="I231" s="51" t="str">
        <f>'Horizontal Teams'!G79</f>
        <v>ON</v>
      </c>
      <c r="J231" s="51" t="str">
        <f>'Horizontal Teams'!H79</f>
        <v>FTC</v>
      </c>
      <c r="K231" s="16">
        <f>'Horizontal Teams'!I79</f>
        <v>0.5</v>
      </c>
      <c r="L231" s="27">
        <v>1</v>
      </c>
      <c r="M231" s="54">
        <f t="shared" si="3"/>
        <v>0.5</v>
      </c>
      <c r="N231" s="54">
        <f>M231*INDEX('Logic Tree'!$J$85:$N$87,MATCH(I231,'Logic Tree'!$I$85:$I$87,0),MATCH(H231,'Logic Tree'!$J$84:$N$84,0))</f>
        <v>1.2749999999999999</v>
      </c>
    </row>
    <row r="232" spans="2:14" ht="15" customHeight="1">
      <c r="B232" s="27">
        <v>4</v>
      </c>
      <c r="C232" s="18" t="s">
        <v>746</v>
      </c>
      <c r="D232" s="51" t="str">
        <f>'Horizontal Teams'!C80</f>
        <v>H3</v>
      </c>
      <c r="E232" s="43" t="s">
        <v>746</v>
      </c>
      <c r="F232" s="57" t="str">
        <f>'Horizontal Teams'!E80</f>
        <v>Release Manager</v>
      </c>
      <c r="G232" s="51" t="str">
        <f>'Horizontal Teams'!D80</f>
        <v>OTH</v>
      </c>
      <c r="H232" s="51" t="str">
        <f>'Horizontal Teams'!F80</f>
        <v>E4</v>
      </c>
      <c r="I232" s="51" t="str">
        <f>'Horizontal Teams'!G80</f>
        <v>ON</v>
      </c>
      <c r="J232" s="51" t="str">
        <f>'Horizontal Teams'!H80</f>
        <v>FTC</v>
      </c>
      <c r="K232" s="16">
        <f>'Horizontal Teams'!I80</f>
        <v>0.5</v>
      </c>
      <c r="L232" s="27">
        <v>1</v>
      </c>
      <c r="M232" s="54">
        <f t="shared" si="3"/>
        <v>0.5</v>
      </c>
      <c r="N232" s="54">
        <f>M232*INDEX('Logic Tree'!$J$85:$N$87,MATCH(I232,'Logic Tree'!$I$85:$I$87,0),MATCH(H232,'Logic Tree'!$J$84:$N$84,0))</f>
        <v>0.92500000000000004</v>
      </c>
    </row>
    <row r="233" spans="2:14" ht="15" customHeight="1">
      <c r="B233" s="27">
        <v>4</v>
      </c>
      <c r="C233" s="18" t="s">
        <v>746</v>
      </c>
      <c r="D233" s="51" t="str">
        <f>'Horizontal Teams'!C81</f>
        <v>H3</v>
      </c>
      <c r="E233" s="43" t="s">
        <v>746</v>
      </c>
      <c r="F233" s="57" t="str">
        <f>'Horizontal Teams'!E81</f>
        <v>DevOps / Platform Engineer</v>
      </c>
      <c r="G233" s="51" t="str">
        <f>'Horizontal Teams'!D81</f>
        <v>OTH</v>
      </c>
      <c r="H233" s="51" t="str">
        <f>'Horizontal Teams'!F81</f>
        <v>E3</v>
      </c>
      <c r="I233" s="51" t="str">
        <f>'Horizontal Teams'!G81</f>
        <v>OFF</v>
      </c>
      <c r="J233" s="51" t="str">
        <f>'Horizontal Teams'!H81</f>
        <v>FTC</v>
      </c>
      <c r="K233" s="16">
        <f>'Horizontal Teams'!I81</f>
        <v>0.5</v>
      </c>
      <c r="L233" s="27">
        <v>1</v>
      </c>
      <c r="M233" s="54">
        <f t="shared" si="3"/>
        <v>0.5</v>
      </c>
      <c r="N233" s="54">
        <f>M233*INDEX('Logic Tree'!$J$85:$N$87,MATCH(I233,'Logic Tree'!$I$85:$I$87,0),MATCH(H233,'Logic Tree'!$J$84:$N$84,0))</f>
        <v>0.21</v>
      </c>
    </row>
    <row r="234" spans="2:14" ht="15" customHeight="1">
      <c r="B234" s="27">
        <v>4</v>
      </c>
      <c r="C234" s="18" t="s">
        <v>746</v>
      </c>
      <c r="D234" s="51" t="str">
        <f>'Horizontal Teams'!C82</f>
        <v>H3</v>
      </c>
      <c r="E234" s="43" t="s">
        <v>746</v>
      </c>
      <c r="F234" s="57" t="str">
        <f>'Horizontal Teams'!E82</f>
        <v>Delivery Manager</v>
      </c>
      <c r="G234" s="51" t="str">
        <f>'Horizontal Teams'!D82</f>
        <v>PM</v>
      </c>
      <c r="H234" s="51" t="str">
        <f>'Horizontal Teams'!F82</f>
        <v>E4</v>
      </c>
      <c r="I234" s="51" t="str">
        <f>'Horizontal Teams'!G82</f>
        <v>ON</v>
      </c>
      <c r="J234" s="51" t="str">
        <f>'Horizontal Teams'!H82</f>
        <v>FTC</v>
      </c>
      <c r="K234" s="16">
        <f>'Horizontal Teams'!I82</f>
        <v>0.5</v>
      </c>
      <c r="L234" s="27">
        <v>1</v>
      </c>
      <c r="M234" s="54">
        <f t="shared" si="3"/>
        <v>0.5</v>
      </c>
      <c r="N234" s="54">
        <f>M234*INDEX('Logic Tree'!$J$85:$N$87,MATCH(I234,'Logic Tree'!$I$85:$I$87,0),MATCH(H234,'Logic Tree'!$J$84:$N$84,0))</f>
        <v>0.92500000000000004</v>
      </c>
    </row>
    <row r="235" spans="2:14" ht="15" customHeight="1">
      <c r="B235" s="27">
        <v>4</v>
      </c>
      <c r="C235" s="18" t="s">
        <v>746</v>
      </c>
      <c r="D235" s="51" t="str">
        <f>'Horizontal Teams'!C83</f>
        <v>H3</v>
      </c>
      <c r="E235" s="43" t="s">
        <v>746</v>
      </c>
      <c r="F235" s="57" t="str">
        <f>'Horizontal Teams'!E83</f>
        <v>Knowledge &amp; Enablement Lead</v>
      </c>
      <c r="G235" s="51" t="str">
        <f>'Horizontal Teams'!D83</f>
        <v>BSA</v>
      </c>
      <c r="H235" s="51" t="str">
        <f>'Horizontal Teams'!F83</f>
        <v>E3</v>
      </c>
      <c r="I235" s="51" t="str">
        <f>'Horizontal Teams'!G83</f>
        <v>OFF</v>
      </c>
      <c r="J235" s="51" t="str">
        <f>'Horizontal Teams'!H83</f>
        <v>FTC</v>
      </c>
      <c r="K235" s="16">
        <f>'Horizontal Teams'!I83</f>
        <v>0.5</v>
      </c>
      <c r="L235" s="27">
        <v>1</v>
      </c>
      <c r="M235" s="54">
        <f t="shared" si="3"/>
        <v>0.5</v>
      </c>
      <c r="N235" s="54">
        <f>M235*INDEX('Logic Tree'!$J$85:$N$87,MATCH(I235,'Logic Tree'!$I$85:$I$87,0),MATCH(H235,'Logic Tree'!$J$84:$N$84,0))</f>
        <v>0.21</v>
      </c>
    </row>
    <row r="236" spans="2:14" ht="15" customHeight="1">
      <c r="B236" s="27">
        <v>4</v>
      </c>
      <c r="C236" s="18" t="s">
        <v>746</v>
      </c>
      <c r="D236" s="51" t="str">
        <f>'Horizontal Teams'!C84</f>
        <v>H3</v>
      </c>
      <c r="E236" s="43" t="s">
        <v>746</v>
      </c>
      <c r="F236" s="57" t="str">
        <f>'Horizontal Teams'!E84</f>
        <v>AI Orchestration Engineer</v>
      </c>
      <c r="G236" s="51" t="str">
        <f>'Horizontal Teams'!D84</f>
        <v>DEV</v>
      </c>
      <c r="H236" s="51" t="str">
        <f>'Horizontal Teams'!F84</f>
        <v>E4</v>
      </c>
      <c r="I236" s="51" t="str">
        <f>'Horizontal Teams'!G84</f>
        <v>OFF</v>
      </c>
      <c r="J236" s="51" t="str">
        <f>'Horizontal Teams'!H84</f>
        <v>FTC</v>
      </c>
      <c r="K236" s="16">
        <f>'Horizontal Teams'!I84</f>
        <v>0.5</v>
      </c>
      <c r="L236" s="27">
        <v>1</v>
      </c>
      <c r="M236" s="54">
        <f t="shared" si="3"/>
        <v>0.5</v>
      </c>
      <c r="N236" s="54">
        <f>M236*INDEX('Logic Tree'!$J$85:$N$87,MATCH(I236,'Logic Tree'!$I$85:$I$87,0),MATCH(H236,'Logic Tree'!$J$84:$N$84,0))</f>
        <v>0.3</v>
      </c>
    </row>
    <row r="237" spans="2:14" ht="15" customHeight="1">
      <c r="B237" s="27">
        <v>4</v>
      </c>
      <c r="C237" s="18" t="s">
        <v>746</v>
      </c>
      <c r="D237" s="51" t="str">
        <f>'Horizontal Teams'!C85</f>
        <v>H3</v>
      </c>
      <c r="E237" s="43" t="s">
        <v>746</v>
      </c>
      <c r="F237" s="57" t="str">
        <f>'Horizontal Teams'!E85</f>
        <v>MetLife Portfolio Lead</v>
      </c>
      <c r="G237" s="51" t="str">
        <f>'Horizontal Teams'!D85</f>
        <v>PM</v>
      </c>
      <c r="H237" s="51" t="str">
        <f>'Horizontal Teams'!F85</f>
        <v>E4</v>
      </c>
      <c r="I237" s="51" t="str">
        <f>'Horizontal Teams'!G85</f>
        <v>ON</v>
      </c>
      <c r="J237" s="51" t="str">
        <f>'Horizontal Teams'!H85</f>
        <v>FTE</v>
      </c>
      <c r="K237" s="16">
        <f>'Horizontal Teams'!I85</f>
        <v>2.5</v>
      </c>
      <c r="L237" s="27">
        <v>1</v>
      </c>
      <c r="M237" s="54">
        <f t="shared" si="3"/>
        <v>2.5</v>
      </c>
      <c r="N237" s="54">
        <f>M237*INDEX('Logic Tree'!$J$85:$N$87,MATCH(I237,'Logic Tree'!$I$85:$I$87,0),MATCH(H237,'Logic Tree'!$J$84:$N$84,0))</f>
        <v>4.625</v>
      </c>
    </row>
    <row r="238" spans="2:14" ht="15" customHeight="1">
      <c r="B238" s="27">
        <v>4</v>
      </c>
      <c r="C238" s="18" t="s">
        <v>746</v>
      </c>
      <c r="D238" s="51" t="str">
        <f>'Horizontal Teams'!C86</f>
        <v>H3</v>
      </c>
      <c r="E238" s="43" t="s">
        <v>746</v>
      </c>
      <c r="F238" s="57" t="str">
        <f>'Horizontal Teams'!E86</f>
        <v>MGCC Engineering Lead</v>
      </c>
      <c r="G238" s="51" t="str">
        <f>'Horizontal Teams'!D86</f>
        <v>DEV</v>
      </c>
      <c r="H238" s="51" t="str">
        <f>'Horizontal Teams'!F86</f>
        <v>E4</v>
      </c>
      <c r="I238" s="51" t="str">
        <f>'Horizontal Teams'!G86</f>
        <v>OFF</v>
      </c>
      <c r="J238" s="51" t="str">
        <f>'Horizontal Teams'!H86</f>
        <v>MGCC</v>
      </c>
      <c r="K238" s="16">
        <f>'Horizontal Teams'!I86</f>
        <v>1</v>
      </c>
      <c r="L238" s="27">
        <v>1</v>
      </c>
      <c r="M238" s="54">
        <f t="shared" si="3"/>
        <v>1</v>
      </c>
      <c r="N238" s="54">
        <f>M238*INDEX('Logic Tree'!$J$85:$N$87,MATCH(I238,'Logic Tree'!$I$85:$I$87,0),MATCH(H238,'Logic Tree'!$J$84:$N$84,0))</f>
        <v>0.6</v>
      </c>
    </row>
    <row r="239" spans="2:14" ht="15" customHeight="1">
      <c r="B239" s="27">
        <v>5</v>
      </c>
      <c r="C239" s="18" t="s">
        <v>453</v>
      </c>
      <c r="D239" s="43" t="s">
        <v>340</v>
      </c>
      <c r="E239" s="43" t="s">
        <v>453</v>
      </c>
      <c r="F239" s="57" t="str">
        <f>'Pod Library'!E81</f>
        <v>MetLife Claims Product Owner</v>
      </c>
      <c r="G239" s="51" t="str">
        <f>'Pod Library'!F81</f>
        <v>PM</v>
      </c>
      <c r="H239" s="51" t="str">
        <f>'Pod Library'!G81</f>
        <v>E4</v>
      </c>
      <c r="I239" s="51" t="str">
        <f>'Pod Library'!H81</f>
        <v>ON</v>
      </c>
      <c r="J239" s="51" t="str">
        <f>'Pod Library'!I81</f>
        <v>FTE</v>
      </c>
      <c r="K239" s="16">
        <f>'Pod Library'!J81</f>
        <v>0.5</v>
      </c>
      <c r="L239" s="21">
        <f>'Pod Plan'!E25</f>
        <v>4</v>
      </c>
      <c r="M239" s="54">
        <f t="shared" si="3"/>
        <v>2</v>
      </c>
      <c r="N239" s="54">
        <f>M239*INDEX('Logic Tree'!$J$85:$N$87,MATCH(I239,'Logic Tree'!$I$85:$I$87,0),MATCH(H239,'Logic Tree'!$J$84:$N$84,0))</f>
        <v>3.7</v>
      </c>
    </row>
    <row r="240" spans="2:14" ht="15" customHeight="1">
      <c r="B240" s="27">
        <v>5</v>
      </c>
      <c r="C240" s="18" t="s">
        <v>453</v>
      </c>
      <c r="D240" s="43" t="s">
        <v>340</v>
      </c>
      <c r="E240" s="43" t="s">
        <v>453</v>
      </c>
      <c r="F240" s="57" t="str">
        <f>'Pod Library'!E82</f>
        <v>MetLife Claims SME</v>
      </c>
      <c r="G240" s="51" t="str">
        <f>'Pod Library'!F82</f>
        <v>BSA</v>
      </c>
      <c r="H240" s="51" t="str">
        <f>'Pod Library'!G82</f>
        <v>E4</v>
      </c>
      <c r="I240" s="51" t="str">
        <f>'Pod Library'!H82</f>
        <v>ON</v>
      </c>
      <c r="J240" s="51" t="str">
        <f>'Pod Library'!I82</f>
        <v>FTE</v>
      </c>
      <c r="K240" s="16">
        <f>'Pod Library'!J82</f>
        <v>0.5</v>
      </c>
      <c r="L240" s="21">
        <f>'Pod Plan'!E25</f>
        <v>4</v>
      </c>
      <c r="M240" s="54">
        <f t="shared" si="3"/>
        <v>2</v>
      </c>
      <c r="N240" s="54">
        <f>M240*INDEX('Logic Tree'!$J$85:$N$87,MATCH(I240,'Logic Tree'!$I$85:$I$87,0),MATCH(H240,'Logic Tree'!$J$84:$N$84,0))</f>
        <v>3.7</v>
      </c>
    </row>
    <row r="241" spans="2:14" ht="15" customHeight="1">
      <c r="B241" s="27">
        <v>5</v>
      </c>
      <c r="C241" s="18" t="s">
        <v>453</v>
      </c>
      <c r="D241" s="43" t="s">
        <v>340</v>
      </c>
      <c r="E241" s="43" t="s">
        <v>453</v>
      </c>
      <c r="F241" s="57" t="str">
        <f>'Pod Library'!E83</f>
        <v>Business Analyst (bilingual)</v>
      </c>
      <c r="G241" s="51" t="str">
        <f>'Pod Library'!F83</f>
        <v>BSA</v>
      </c>
      <c r="H241" s="51" t="str">
        <f>'Pod Library'!G83</f>
        <v>E3</v>
      </c>
      <c r="I241" s="51" t="str">
        <f>'Pod Library'!H83</f>
        <v>ON</v>
      </c>
      <c r="J241" s="51" t="str">
        <f>'Pod Library'!I83</f>
        <v>FTC</v>
      </c>
      <c r="K241" s="16">
        <f>'Pod Library'!J83</f>
        <v>0.1875</v>
      </c>
      <c r="L241" s="21">
        <f>'Pod Plan'!E25</f>
        <v>4</v>
      </c>
      <c r="M241" s="54">
        <f t="shared" si="3"/>
        <v>0.75</v>
      </c>
      <c r="N241" s="54">
        <f>M241*INDEX('Logic Tree'!$J$85:$N$87,MATCH(I241,'Logic Tree'!$I$85:$I$87,0),MATCH(H241,'Logic Tree'!$J$84:$N$84,0))</f>
        <v>1.0125000000000002</v>
      </c>
    </row>
    <row r="242" spans="2:14" ht="15" customHeight="1">
      <c r="B242" s="27">
        <v>5</v>
      </c>
      <c r="C242" s="18" t="s">
        <v>453</v>
      </c>
      <c r="D242" s="43" t="s">
        <v>340</v>
      </c>
      <c r="E242" s="43" t="s">
        <v>453</v>
      </c>
      <c r="F242" s="57" t="str">
        <f>'Pod Library'!E84</f>
        <v>Pod lead / senior engineer</v>
      </c>
      <c r="G242" s="51" t="str">
        <f>'Pod Library'!F84</f>
        <v>DEV</v>
      </c>
      <c r="H242" s="51" t="str">
        <f>'Pod Library'!G84</f>
        <v>E4</v>
      </c>
      <c r="I242" s="51" t="str">
        <f>'Pod Library'!H84</f>
        <v>ON</v>
      </c>
      <c r="J242" s="51" t="str">
        <f>'Pod Library'!I84</f>
        <v>FTC</v>
      </c>
      <c r="K242" s="16">
        <f>'Pod Library'!J84</f>
        <v>0.4375</v>
      </c>
      <c r="L242" s="21">
        <f>'Pod Plan'!E25</f>
        <v>4</v>
      </c>
      <c r="M242" s="54">
        <f t="shared" si="3"/>
        <v>1.75</v>
      </c>
      <c r="N242" s="54">
        <f>M242*INDEX('Logic Tree'!$J$85:$N$87,MATCH(I242,'Logic Tree'!$I$85:$I$87,0),MATCH(H242,'Logic Tree'!$J$84:$N$84,0))</f>
        <v>3.2375000000000003</v>
      </c>
    </row>
    <row r="243" spans="2:14" ht="15" customHeight="1">
      <c r="B243" s="27">
        <v>5</v>
      </c>
      <c r="C243" s="18" t="s">
        <v>453</v>
      </c>
      <c r="D243" s="43" t="s">
        <v>340</v>
      </c>
      <c r="E243" s="43" t="s">
        <v>453</v>
      </c>
      <c r="F243" s="57" t="str">
        <f>'Pod Library'!E85</f>
        <v>Claims Engineer</v>
      </c>
      <c r="G243" s="51" t="str">
        <f>'Pod Library'!F85</f>
        <v>DEV</v>
      </c>
      <c r="H243" s="51" t="str">
        <f>'Pod Library'!G85</f>
        <v>E3</v>
      </c>
      <c r="I243" s="51" t="str">
        <f>'Pod Library'!H85</f>
        <v>OFF</v>
      </c>
      <c r="J243" s="51" t="str">
        <f>'Pod Library'!I85</f>
        <v>FTC</v>
      </c>
      <c r="K243" s="16">
        <f>'Pod Library'!J85</f>
        <v>0.5</v>
      </c>
      <c r="L243" s="21">
        <f>'Pod Plan'!E25</f>
        <v>4</v>
      </c>
      <c r="M243" s="54">
        <f t="shared" si="3"/>
        <v>2</v>
      </c>
      <c r="N243" s="54">
        <f>M243*INDEX('Logic Tree'!$J$85:$N$87,MATCH(I243,'Logic Tree'!$I$85:$I$87,0),MATCH(H243,'Logic Tree'!$J$84:$N$84,0))</f>
        <v>0.84</v>
      </c>
    </row>
    <row r="244" spans="2:14" ht="15" customHeight="1">
      <c r="B244" s="27">
        <v>5</v>
      </c>
      <c r="C244" s="18" t="s">
        <v>453</v>
      </c>
      <c r="D244" s="43" t="s">
        <v>340</v>
      </c>
      <c r="E244" s="43" t="s">
        <v>453</v>
      </c>
      <c r="F244" s="57" t="str">
        <f>'Pod Library'!E86</f>
        <v>Claims Engineer</v>
      </c>
      <c r="G244" s="51" t="str">
        <f>'Pod Library'!F86</f>
        <v>DEV</v>
      </c>
      <c r="H244" s="51" t="str">
        <f>'Pod Library'!G86</f>
        <v>E2</v>
      </c>
      <c r="I244" s="51" t="str">
        <f>'Pod Library'!H86</f>
        <v>OFF</v>
      </c>
      <c r="J244" s="51" t="str">
        <f>'Pod Library'!I86</f>
        <v>FTC</v>
      </c>
      <c r="K244" s="16">
        <f>'Pod Library'!J86</f>
        <v>1.1875</v>
      </c>
      <c r="L244" s="21">
        <f>'Pod Plan'!E25</f>
        <v>4</v>
      </c>
      <c r="M244" s="54">
        <f t="shared" si="3"/>
        <v>4.75</v>
      </c>
      <c r="N244" s="54">
        <f>M244*INDEX('Logic Tree'!$J$85:$N$87,MATCH(I244,'Logic Tree'!$I$85:$I$87,0),MATCH(H244,'Logic Tree'!$J$84:$N$84,0))</f>
        <v>1.425</v>
      </c>
    </row>
    <row r="245" spans="2:14" ht="15" customHeight="1">
      <c r="B245" s="27">
        <v>5</v>
      </c>
      <c r="C245" s="18" t="s">
        <v>453</v>
      </c>
      <c r="D245" s="43" t="s">
        <v>340</v>
      </c>
      <c r="E245" s="43" t="s">
        <v>453</v>
      </c>
      <c r="F245" s="57" t="str">
        <f>'Pod Library'!E87</f>
        <v>MGCC Payments Engineer</v>
      </c>
      <c r="G245" s="51" t="str">
        <f>'Pod Library'!F87</f>
        <v>DEV</v>
      </c>
      <c r="H245" s="51" t="str">
        <f>'Pod Library'!G87</f>
        <v>E3</v>
      </c>
      <c r="I245" s="51" t="str">
        <f>'Pod Library'!H87</f>
        <v>OFF</v>
      </c>
      <c r="J245" s="51" t="str">
        <f>'Pod Library'!I87</f>
        <v>MGCC</v>
      </c>
      <c r="K245" s="16">
        <f>'Pod Library'!J87</f>
        <v>0.5625</v>
      </c>
      <c r="L245" s="21">
        <f>'Pod Plan'!E25</f>
        <v>4</v>
      </c>
      <c r="M245" s="54">
        <f t="shared" si="3"/>
        <v>2.25</v>
      </c>
      <c r="N245" s="54">
        <f>M245*INDEX('Logic Tree'!$J$85:$N$87,MATCH(I245,'Logic Tree'!$I$85:$I$87,0),MATCH(H245,'Logic Tree'!$J$84:$N$84,0))</f>
        <v>0.94499999999999995</v>
      </c>
    </row>
    <row r="246" spans="2:14" ht="15" customHeight="1">
      <c r="B246" s="27">
        <v>5</v>
      </c>
      <c r="C246" s="18" t="s">
        <v>453</v>
      </c>
      <c r="D246" s="43" t="s">
        <v>340</v>
      </c>
      <c r="E246" s="43" t="s">
        <v>453</v>
      </c>
      <c r="F246" s="57" t="str">
        <f>'Pod Library'!E88</f>
        <v>SDET / Automation Engineer</v>
      </c>
      <c r="G246" s="51" t="str">
        <f>'Pod Library'!F88</f>
        <v>TEST</v>
      </c>
      <c r="H246" s="51" t="str">
        <f>'Pod Library'!G88</f>
        <v>E3</v>
      </c>
      <c r="I246" s="51" t="str">
        <f>'Pod Library'!H88</f>
        <v>OFF</v>
      </c>
      <c r="J246" s="51" t="str">
        <f>'Pod Library'!I88</f>
        <v>FTC</v>
      </c>
      <c r="K246" s="16">
        <f>'Pod Library'!J88</f>
        <v>0.375</v>
      </c>
      <c r="L246" s="21">
        <f>'Pod Plan'!E25</f>
        <v>4</v>
      </c>
      <c r="M246" s="54">
        <f t="shared" si="3"/>
        <v>1.5</v>
      </c>
      <c r="N246" s="54">
        <f>M246*INDEX('Logic Tree'!$J$85:$N$87,MATCH(I246,'Logic Tree'!$I$85:$I$87,0),MATCH(H246,'Logic Tree'!$J$84:$N$84,0))</f>
        <v>0.63</v>
      </c>
    </row>
    <row r="247" spans="2:14" ht="15" customHeight="1">
      <c r="B247" s="27">
        <v>5</v>
      </c>
      <c r="C247" s="18" t="s">
        <v>453</v>
      </c>
      <c r="D247" s="43" t="s">
        <v>340</v>
      </c>
      <c r="E247" s="43" t="s">
        <v>453</v>
      </c>
      <c r="F247" s="57" t="str">
        <f>'Pod Library'!E89</f>
        <v>MGCC Quality Engineer</v>
      </c>
      <c r="G247" s="51" t="str">
        <f>'Pod Library'!F89</f>
        <v>TEST</v>
      </c>
      <c r="H247" s="51" t="str">
        <f>'Pod Library'!G89</f>
        <v>E2</v>
      </c>
      <c r="I247" s="51" t="str">
        <f>'Pod Library'!H89</f>
        <v>OFF</v>
      </c>
      <c r="J247" s="51" t="str">
        <f>'Pod Library'!I89</f>
        <v>MGCC</v>
      </c>
      <c r="K247" s="16">
        <f>'Pod Library'!J89</f>
        <v>0.5</v>
      </c>
      <c r="L247" s="21">
        <f>'Pod Plan'!E25</f>
        <v>4</v>
      </c>
      <c r="M247" s="54">
        <f t="shared" si="3"/>
        <v>2</v>
      </c>
      <c r="N247" s="54">
        <f>M247*INDEX('Logic Tree'!$J$85:$N$87,MATCH(I247,'Logic Tree'!$I$85:$I$87,0),MATCH(H247,'Logic Tree'!$J$84:$N$84,0))</f>
        <v>0.6</v>
      </c>
    </row>
    <row r="248" spans="2:14" ht="15" customHeight="1">
      <c r="B248" s="27">
        <v>5</v>
      </c>
      <c r="C248" s="18" t="s">
        <v>453</v>
      </c>
      <c r="D248" s="43" t="s">
        <v>340</v>
      </c>
      <c r="E248" s="43" t="s">
        <v>453</v>
      </c>
      <c r="F248" s="57" t="str">
        <f>'Pod Library'!E90</f>
        <v>Solution Architect</v>
      </c>
      <c r="G248" s="51" t="str">
        <f>'Pod Library'!F90</f>
        <v>OTH</v>
      </c>
      <c r="H248" s="51" t="str">
        <f>'Pod Library'!G90</f>
        <v>E5</v>
      </c>
      <c r="I248" s="51" t="str">
        <f>'Pod Library'!H90</f>
        <v>ON</v>
      </c>
      <c r="J248" s="51" t="str">
        <f>'Pod Library'!I90</f>
        <v>FTC</v>
      </c>
      <c r="K248" s="16">
        <f>'Pod Library'!J90</f>
        <v>0</v>
      </c>
      <c r="L248" s="21">
        <f>'Pod Plan'!E25</f>
        <v>4</v>
      </c>
      <c r="M248" s="54">
        <f t="shared" si="3"/>
        <v>0</v>
      </c>
      <c r="N248" s="54">
        <f>M248*INDEX('Logic Tree'!$J$85:$N$87,MATCH(I248,'Logic Tree'!$I$85:$I$87,0),MATCH(H248,'Logic Tree'!$J$84:$N$84,0))</f>
        <v>0</v>
      </c>
    </row>
    <row r="249" spans="2:14" ht="15" customHeight="1">
      <c r="B249" s="27">
        <v>5</v>
      </c>
      <c r="C249" s="18" t="s">
        <v>453</v>
      </c>
      <c r="D249" s="43" t="s">
        <v>341</v>
      </c>
      <c r="E249" s="43" t="s">
        <v>453</v>
      </c>
      <c r="F249" s="57" t="str">
        <f>'Pod Library'!E81</f>
        <v>MetLife Claims Product Owner</v>
      </c>
      <c r="G249" s="51" t="str">
        <f>'Pod Library'!F81</f>
        <v>PM</v>
      </c>
      <c r="H249" s="51" t="str">
        <f>'Pod Library'!G81</f>
        <v>E4</v>
      </c>
      <c r="I249" s="51" t="str">
        <f>'Pod Library'!H81</f>
        <v>ON</v>
      </c>
      <c r="J249" s="51" t="str">
        <f>'Pod Library'!I81</f>
        <v>FTE</v>
      </c>
      <c r="K249" s="16">
        <f>'Pod Library'!J81</f>
        <v>0.5</v>
      </c>
      <c r="L249" s="21">
        <f>'Pod Plan'!E26</f>
        <v>2</v>
      </c>
      <c r="M249" s="54">
        <f t="shared" si="3"/>
        <v>1</v>
      </c>
      <c r="N249" s="54">
        <f>M249*INDEX('Logic Tree'!$J$85:$N$87,MATCH(I249,'Logic Tree'!$I$85:$I$87,0),MATCH(H249,'Logic Tree'!$J$84:$N$84,0))</f>
        <v>1.85</v>
      </c>
    </row>
    <row r="250" spans="2:14" ht="15" customHeight="1">
      <c r="B250" s="27">
        <v>5</v>
      </c>
      <c r="C250" s="18" t="s">
        <v>453</v>
      </c>
      <c r="D250" s="43" t="s">
        <v>341</v>
      </c>
      <c r="E250" s="43" t="s">
        <v>453</v>
      </c>
      <c r="F250" s="57" t="str">
        <f>'Pod Library'!E82</f>
        <v>MetLife Claims SME</v>
      </c>
      <c r="G250" s="51" t="str">
        <f>'Pod Library'!F82</f>
        <v>BSA</v>
      </c>
      <c r="H250" s="51" t="str">
        <f>'Pod Library'!G82</f>
        <v>E4</v>
      </c>
      <c r="I250" s="51" t="str">
        <f>'Pod Library'!H82</f>
        <v>ON</v>
      </c>
      <c r="J250" s="51" t="str">
        <f>'Pod Library'!I82</f>
        <v>FTE</v>
      </c>
      <c r="K250" s="16">
        <f>'Pod Library'!J82</f>
        <v>0.5</v>
      </c>
      <c r="L250" s="21">
        <f>'Pod Plan'!E26</f>
        <v>2</v>
      </c>
      <c r="M250" s="54">
        <f t="shared" si="3"/>
        <v>1</v>
      </c>
      <c r="N250" s="54">
        <f>M250*INDEX('Logic Tree'!$J$85:$N$87,MATCH(I250,'Logic Tree'!$I$85:$I$87,0),MATCH(H250,'Logic Tree'!$J$84:$N$84,0))</f>
        <v>1.85</v>
      </c>
    </row>
    <row r="251" spans="2:14" ht="15" customHeight="1">
      <c r="B251" s="27">
        <v>5</v>
      </c>
      <c r="C251" s="18" t="s">
        <v>453</v>
      </c>
      <c r="D251" s="43" t="s">
        <v>341</v>
      </c>
      <c r="E251" s="43" t="s">
        <v>453</v>
      </c>
      <c r="F251" s="57" t="str">
        <f>'Pod Library'!E83</f>
        <v>Business Analyst (bilingual)</v>
      </c>
      <c r="G251" s="51" t="str">
        <f>'Pod Library'!F83</f>
        <v>BSA</v>
      </c>
      <c r="H251" s="51" t="str">
        <f>'Pod Library'!G83</f>
        <v>E3</v>
      </c>
      <c r="I251" s="51" t="str">
        <f>'Pod Library'!H83</f>
        <v>ON</v>
      </c>
      <c r="J251" s="51" t="str">
        <f>'Pod Library'!I83</f>
        <v>FTC</v>
      </c>
      <c r="K251" s="16">
        <f>'Pod Library'!J83</f>
        <v>0.1875</v>
      </c>
      <c r="L251" s="21">
        <f>'Pod Plan'!E26</f>
        <v>2</v>
      </c>
      <c r="M251" s="54">
        <f t="shared" si="3"/>
        <v>0.375</v>
      </c>
      <c r="N251" s="54">
        <f>M251*INDEX('Logic Tree'!$J$85:$N$87,MATCH(I251,'Logic Tree'!$I$85:$I$87,0),MATCH(H251,'Logic Tree'!$J$84:$N$84,0))</f>
        <v>0.50625000000000009</v>
      </c>
    </row>
    <row r="252" spans="2:14" ht="15" customHeight="1">
      <c r="B252" s="27">
        <v>5</v>
      </c>
      <c r="C252" s="18" t="s">
        <v>453</v>
      </c>
      <c r="D252" s="43" t="s">
        <v>341</v>
      </c>
      <c r="E252" s="43" t="s">
        <v>453</v>
      </c>
      <c r="F252" s="57" t="str">
        <f>'Pod Library'!E84</f>
        <v>Pod lead / senior engineer</v>
      </c>
      <c r="G252" s="51" t="str">
        <f>'Pod Library'!F84</f>
        <v>DEV</v>
      </c>
      <c r="H252" s="51" t="str">
        <f>'Pod Library'!G84</f>
        <v>E4</v>
      </c>
      <c r="I252" s="51" t="str">
        <f>'Pod Library'!H84</f>
        <v>ON</v>
      </c>
      <c r="J252" s="51" t="str">
        <f>'Pod Library'!I84</f>
        <v>FTC</v>
      </c>
      <c r="K252" s="16">
        <f>'Pod Library'!J84</f>
        <v>0.4375</v>
      </c>
      <c r="L252" s="21">
        <f>'Pod Plan'!E26</f>
        <v>2</v>
      </c>
      <c r="M252" s="54">
        <f t="shared" si="3"/>
        <v>0.875</v>
      </c>
      <c r="N252" s="54">
        <f>M252*INDEX('Logic Tree'!$J$85:$N$87,MATCH(I252,'Logic Tree'!$I$85:$I$87,0),MATCH(H252,'Logic Tree'!$J$84:$N$84,0))</f>
        <v>1.6187500000000001</v>
      </c>
    </row>
    <row r="253" spans="2:14" ht="15" customHeight="1">
      <c r="B253" s="27">
        <v>5</v>
      </c>
      <c r="C253" s="18" t="s">
        <v>453</v>
      </c>
      <c r="D253" s="43" t="s">
        <v>341</v>
      </c>
      <c r="E253" s="43" t="s">
        <v>453</v>
      </c>
      <c r="F253" s="57" t="str">
        <f>'Pod Library'!E85</f>
        <v>Claims Engineer</v>
      </c>
      <c r="G253" s="51" t="str">
        <f>'Pod Library'!F85</f>
        <v>DEV</v>
      </c>
      <c r="H253" s="51" t="str">
        <f>'Pod Library'!G85</f>
        <v>E3</v>
      </c>
      <c r="I253" s="51" t="str">
        <f>'Pod Library'!H85</f>
        <v>OFF</v>
      </c>
      <c r="J253" s="51" t="str">
        <f>'Pod Library'!I85</f>
        <v>FTC</v>
      </c>
      <c r="K253" s="16">
        <f>'Pod Library'!J85</f>
        <v>0.5</v>
      </c>
      <c r="L253" s="21">
        <f>'Pod Plan'!E26</f>
        <v>2</v>
      </c>
      <c r="M253" s="54">
        <f t="shared" si="3"/>
        <v>1</v>
      </c>
      <c r="N253" s="54">
        <f>M253*INDEX('Logic Tree'!$J$85:$N$87,MATCH(I253,'Logic Tree'!$I$85:$I$87,0),MATCH(H253,'Logic Tree'!$J$84:$N$84,0))</f>
        <v>0.42</v>
      </c>
    </row>
    <row r="254" spans="2:14" ht="15" customHeight="1">
      <c r="B254" s="27">
        <v>5</v>
      </c>
      <c r="C254" s="18" t="s">
        <v>453</v>
      </c>
      <c r="D254" s="43" t="s">
        <v>341</v>
      </c>
      <c r="E254" s="43" t="s">
        <v>453</v>
      </c>
      <c r="F254" s="57" t="str">
        <f>'Pod Library'!E86</f>
        <v>Claims Engineer</v>
      </c>
      <c r="G254" s="51" t="str">
        <f>'Pod Library'!F86</f>
        <v>DEV</v>
      </c>
      <c r="H254" s="51" t="str">
        <f>'Pod Library'!G86</f>
        <v>E2</v>
      </c>
      <c r="I254" s="51" t="str">
        <f>'Pod Library'!H86</f>
        <v>OFF</v>
      </c>
      <c r="J254" s="51" t="str">
        <f>'Pod Library'!I86</f>
        <v>FTC</v>
      </c>
      <c r="K254" s="16">
        <f>'Pod Library'!J86</f>
        <v>1.1875</v>
      </c>
      <c r="L254" s="21">
        <f>'Pod Plan'!E26</f>
        <v>2</v>
      </c>
      <c r="M254" s="54">
        <f t="shared" si="3"/>
        <v>2.375</v>
      </c>
      <c r="N254" s="54">
        <f>M254*INDEX('Logic Tree'!$J$85:$N$87,MATCH(I254,'Logic Tree'!$I$85:$I$87,0),MATCH(H254,'Logic Tree'!$J$84:$N$84,0))</f>
        <v>0.71250000000000002</v>
      </c>
    </row>
    <row r="255" spans="2:14" ht="15" customHeight="1">
      <c r="B255" s="27">
        <v>5</v>
      </c>
      <c r="C255" s="18" t="s">
        <v>453</v>
      </c>
      <c r="D255" s="43" t="s">
        <v>341</v>
      </c>
      <c r="E255" s="43" t="s">
        <v>453</v>
      </c>
      <c r="F255" s="57" t="str">
        <f>'Pod Library'!E87</f>
        <v>MGCC Payments Engineer</v>
      </c>
      <c r="G255" s="51" t="str">
        <f>'Pod Library'!F87</f>
        <v>DEV</v>
      </c>
      <c r="H255" s="51" t="str">
        <f>'Pod Library'!G87</f>
        <v>E3</v>
      </c>
      <c r="I255" s="51" t="str">
        <f>'Pod Library'!H87</f>
        <v>OFF</v>
      </c>
      <c r="J255" s="51" t="str">
        <f>'Pod Library'!I87</f>
        <v>MGCC</v>
      </c>
      <c r="K255" s="16">
        <f>'Pod Library'!J87</f>
        <v>0.5625</v>
      </c>
      <c r="L255" s="21">
        <f>'Pod Plan'!E26</f>
        <v>2</v>
      </c>
      <c r="M255" s="54">
        <f t="shared" si="3"/>
        <v>1.125</v>
      </c>
      <c r="N255" s="54">
        <f>M255*INDEX('Logic Tree'!$J$85:$N$87,MATCH(I255,'Logic Tree'!$I$85:$I$87,0),MATCH(H255,'Logic Tree'!$J$84:$N$84,0))</f>
        <v>0.47249999999999998</v>
      </c>
    </row>
    <row r="256" spans="2:14" ht="15" customHeight="1">
      <c r="B256" s="27">
        <v>5</v>
      </c>
      <c r="C256" s="18" t="s">
        <v>453</v>
      </c>
      <c r="D256" s="43" t="s">
        <v>341</v>
      </c>
      <c r="E256" s="43" t="s">
        <v>453</v>
      </c>
      <c r="F256" s="57" t="str">
        <f>'Pod Library'!E88</f>
        <v>SDET / Automation Engineer</v>
      </c>
      <c r="G256" s="51" t="str">
        <f>'Pod Library'!F88</f>
        <v>TEST</v>
      </c>
      <c r="H256" s="51" t="str">
        <f>'Pod Library'!G88</f>
        <v>E3</v>
      </c>
      <c r="I256" s="51" t="str">
        <f>'Pod Library'!H88</f>
        <v>OFF</v>
      </c>
      <c r="J256" s="51" t="str">
        <f>'Pod Library'!I88</f>
        <v>FTC</v>
      </c>
      <c r="K256" s="16">
        <f>'Pod Library'!J88</f>
        <v>0.375</v>
      </c>
      <c r="L256" s="21">
        <f>'Pod Plan'!E26</f>
        <v>2</v>
      </c>
      <c r="M256" s="54">
        <f t="shared" si="3"/>
        <v>0.75</v>
      </c>
      <c r="N256" s="54">
        <f>M256*INDEX('Logic Tree'!$J$85:$N$87,MATCH(I256,'Logic Tree'!$I$85:$I$87,0),MATCH(H256,'Logic Tree'!$J$84:$N$84,0))</f>
        <v>0.315</v>
      </c>
    </row>
    <row r="257" spans="2:14" ht="15" customHeight="1">
      <c r="B257" s="27">
        <v>5</v>
      </c>
      <c r="C257" s="18" t="s">
        <v>453</v>
      </c>
      <c r="D257" s="43" t="s">
        <v>341</v>
      </c>
      <c r="E257" s="43" t="s">
        <v>453</v>
      </c>
      <c r="F257" s="57" t="str">
        <f>'Pod Library'!E89</f>
        <v>MGCC Quality Engineer</v>
      </c>
      <c r="G257" s="51" t="str">
        <f>'Pod Library'!F89</f>
        <v>TEST</v>
      </c>
      <c r="H257" s="51" t="str">
        <f>'Pod Library'!G89</f>
        <v>E2</v>
      </c>
      <c r="I257" s="51" t="str">
        <f>'Pod Library'!H89</f>
        <v>OFF</v>
      </c>
      <c r="J257" s="51" t="str">
        <f>'Pod Library'!I89</f>
        <v>MGCC</v>
      </c>
      <c r="K257" s="16">
        <f>'Pod Library'!J89</f>
        <v>0.5</v>
      </c>
      <c r="L257" s="21">
        <f>'Pod Plan'!E26</f>
        <v>2</v>
      </c>
      <c r="M257" s="54">
        <f t="shared" si="3"/>
        <v>1</v>
      </c>
      <c r="N257" s="54">
        <f>M257*INDEX('Logic Tree'!$J$85:$N$87,MATCH(I257,'Logic Tree'!$I$85:$I$87,0),MATCH(H257,'Logic Tree'!$J$84:$N$84,0))</f>
        <v>0.3</v>
      </c>
    </row>
    <row r="258" spans="2:14" ht="15" customHeight="1">
      <c r="B258" s="27">
        <v>5</v>
      </c>
      <c r="C258" s="18" t="s">
        <v>453</v>
      </c>
      <c r="D258" s="43" t="s">
        <v>341</v>
      </c>
      <c r="E258" s="43" t="s">
        <v>453</v>
      </c>
      <c r="F258" s="57" t="str">
        <f>'Pod Library'!E90</f>
        <v>Solution Architect</v>
      </c>
      <c r="G258" s="51" t="str">
        <f>'Pod Library'!F90</f>
        <v>OTH</v>
      </c>
      <c r="H258" s="51" t="str">
        <f>'Pod Library'!G90</f>
        <v>E5</v>
      </c>
      <c r="I258" s="51" t="str">
        <f>'Pod Library'!H90</f>
        <v>ON</v>
      </c>
      <c r="J258" s="51" t="str">
        <f>'Pod Library'!I90</f>
        <v>FTC</v>
      </c>
      <c r="K258" s="16">
        <f>'Pod Library'!J90</f>
        <v>0</v>
      </c>
      <c r="L258" s="21">
        <f>'Pod Plan'!E26</f>
        <v>2</v>
      </c>
      <c r="M258" s="54">
        <f t="shared" si="3"/>
        <v>0</v>
      </c>
      <c r="N258" s="54">
        <f>M258*INDEX('Logic Tree'!$J$85:$N$87,MATCH(I258,'Logic Tree'!$I$85:$I$87,0),MATCH(H258,'Logic Tree'!$J$84:$N$84,0))</f>
        <v>0</v>
      </c>
    </row>
    <row r="259" spans="2:14" ht="15" customHeight="1">
      <c r="B259" s="27">
        <v>5</v>
      </c>
      <c r="C259" s="18" t="s">
        <v>453</v>
      </c>
      <c r="D259" s="43" t="s">
        <v>342</v>
      </c>
      <c r="E259" s="43" t="s">
        <v>453</v>
      </c>
      <c r="F259" s="57" t="str">
        <f>'Pod Library'!E81</f>
        <v>MetLife Claims Product Owner</v>
      </c>
      <c r="G259" s="51" t="str">
        <f>'Pod Library'!F81</f>
        <v>PM</v>
      </c>
      <c r="H259" s="51" t="str">
        <f>'Pod Library'!G81</f>
        <v>E4</v>
      </c>
      <c r="I259" s="51" t="str">
        <f>'Pod Library'!H81</f>
        <v>ON</v>
      </c>
      <c r="J259" s="51" t="str">
        <f>'Pod Library'!I81</f>
        <v>FTE</v>
      </c>
      <c r="K259" s="16">
        <f>'Pod Library'!J81</f>
        <v>0.5</v>
      </c>
      <c r="L259" s="21">
        <f>'Pod Plan'!E27</f>
        <v>2</v>
      </c>
      <c r="M259" s="54">
        <f t="shared" si="3"/>
        <v>1</v>
      </c>
      <c r="N259" s="54">
        <f>M259*INDEX('Logic Tree'!$J$85:$N$87,MATCH(I259,'Logic Tree'!$I$85:$I$87,0),MATCH(H259,'Logic Tree'!$J$84:$N$84,0))</f>
        <v>1.85</v>
      </c>
    </row>
    <row r="260" spans="2:14" ht="15" customHeight="1">
      <c r="B260" s="27">
        <v>5</v>
      </c>
      <c r="C260" s="18" t="s">
        <v>453</v>
      </c>
      <c r="D260" s="43" t="s">
        <v>342</v>
      </c>
      <c r="E260" s="43" t="s">
        <v>453</v>
      </c>
      <c r="F260" s="57" t="str">
        <f>'Pod Library'!E82</f>
        <v>MetLife Claims SME</v>
      </c>
      <c r="G260" s="51" t="str">
        <f>'Pod Library'!F82</f>
        <v>BSA</v>
      </c>
      <c r="H260" s="51" t="str">
        <f>'Pod Library'!G82</f>
        <v>E4</v>
      </c>
      <c r="I260" s="51" t="str">
        <f>'Pod Library'!H82</f>
        <v>ON</v>
      </c>
      <c r="J260" s="51" t="str">
        <f>'Pod Library'!I82</f>
        <v>FTE</v>
      </c>
      <c r="K260" s="16">
        <f>'Pod Library'!J82</f>
        <v>0.5</v>
      </c>
      <c r="L260" s="21">
        <f>'Pod Plan'!E27</f>
        <v>2</v>
      </c>
      <c r="M260" s="54">
        <f t="shared" si="3"/>
        <v>1</v>
      </c>
      <c r="N260" s="54">
        <f>M260*INDEX('Logic Tree'!$J$85:$N$87,MATCH(I260,'Logic Tree'!$I$85:$I$87,0),MATCH(H260,'Logic Tree'!$J$84:$N$84,0))</f>
        <v>1.85</v>
      </c>
    </row>
    <row r="261" spans="2:14" ht="15" customHeight="1">
      <c r="B261" s="27">
        <v>5</v>
      </c>
      <c r="C261" s="18" t="s">
        <v>453</v>
      </c>
      <c r="D261" s="43" t="s">
        <v>342</v>
      </c>
      <c r="E261" s="43" t="s">
        <v>453</v>
      </c>
      <c r="F261" s="57" t="str">
        <f>'Pod Library'!E83</f>
        <v>Business Analyst (bilingual)</v>
      </c>
      <c r="G261" s="51" t="str">
        <f>'Pod Library'!F83</f>
        <v>BSA</v>
      </c>
      <c r="H261" s="51" t="str">
        <f>'Pod Library'!G83</f>
        <v>E3</v>
      </c>
      <c r="I261" s="51" t="str">
        <f>'Pod Library'!H83</f>
        <v>ON</v>
      </c>
      <c r="J261" s="51" t="str">
        <f>'Pod Library'!I83</f>
        <v>FTC</v>
      </c>
      <c r="K261" s="16">
        <f>'Pod Library'!J83</f>
        <v>0.1875</v>
      </c>
      <c r="L261" s="21">
        <f>'Pod Plan'!E27</f>
        <v>2</v>
      </c>
      <c r="M261" s="54">
        <f t="shared" ref="M261:M324" si="4">K261*L261</f>
        <v>0.375</v>
      </c>
      <c r="N261" s="54">
        <f>M261*INDEX('Logic Tree'!$J$85:$N$87,MATCH(I261,'Logic Tree'!$I$85:$I$87,0),MATCH(H261,'Logic Tree'!$J$84:$N$84,0))</f>
        <v>0.50625000000000009</v>
      </c>
    </row>
    <row r="262" spans="2:14" ht="15" customHeight="1">
      <c r="B262" s="27">
        <v>5</v>
      </c>
      <c r="C262" s="18" t="s">
        <v>453</v>
      </c>
      <c r="D262" s="43" t="s">
        <v>342</v>
      </c>
      <c r="E262" s="43" t="s">
        <v>453</v>
      </c>
      <c r="F262" s="57" t="str">
        <f>'Pod Library'!E84</f>
        <v>Pod lead / senior engineer</v>
      </c>
      <c r="G262" s="51" t="str">
        <f>'Pod Library'!F84</f>
        <v>DEV</v>
      </c>
      <c r="H262" s="51" t="str">
        <f>'Pod Library'!G84</f>
        <v>E4</v>
      </c>
      <c r="I262" s="51" t="str">
        <f>'Pod Library'!H84</f>
        <v>ON</v>
      </c>
      <c r="J262" s="51" t="str">
        <f>'Pod Library'!I84</f>
        <v>FTC</v>
      </c>
      <c r="K262" s="16">
        <f>'Pod Library'!J84</f>
        <v>0.4375</v>
      </c>
      <c r="L262" s="21">
        <f>'Pod Plan'!E27</f>
        <v>2</v>
      </c>
      <c r="M262" s="54">
        <f t="shared" si="4"/>
        <v>0.875</v>
      </c>
      <c r="N262" s="54">
        <f>M262*INDEX('Logic Tree'!$J$85:$N$87,MATCH(I262,'Logic Tree'!$I$85:$I$87,0),MATCH(H262,'Logic Tree'!$J$84:$N$84,0))</f>
        <v>1.6187500000000001</v>
      </c>
    </row>
    <row r="263" spans="2:14" ht="15" customHeight="1">
      <c r="B263" s="27">
        <v>5</v>
      </c>
      <c r="C263" s="18" t="s">
        <v>453</v>
      </c>
      <c r="D263" s="43" t="s">
        <v>342</v>
      </c>
      <c r="E263" s="43" t="s">
        <v>453</v>
      </c>
      <c r="F263" s="57" t="str">
        <f>'Pod Library'!E85</f>
        <v>Claims Engineer</v>
      </c>
      <c r="G263" s="51" t="str">
        <f>'Pod Library'!F85</f>
        <v>DEV</v>
      </c>
      <c r="H263" s="51" t="str">
        <f>'Pod Library'!G85</f>
        <v>E3</v>
      </c>
      <c r="I263" s="51" t="str">
        <f>'Pod Library'!H85</f>
        <v>OFF</v>
      </c>
      <c r="J263" s="51" t="str">
        <f>'Pod Library'!I85</f>
        <v>FTC</v>
      </c>
      <c r="K263" s="16">
        <f>'Pod Library'!J85</f>
        <v>0.5</v>
      </c>
      <c r="L263" s="21">
        <f>'Pod Plan'!E27</f>
        <v>2</v>
      </c>
      <c r="M263" s="54">
        <f t="shared" si="4"/>
        <v>1</v>
      </c>
      <c r="N263" s="54">
        <f>M263*INDEX('Logic Tree'!$J$85:$N$87,MATCH(I263,'Logic Tree'!$I$85:$I$87,0),MATCH(H263,'Logic Tree'!$J$84:$N$84,0))</f>
        <v>0.42</v>
      </c>
    </row>
    <row r="264" spans="2:14" ht="15" customHeight="1">
      <c r="B264" s="27">
        <v>5</v>
      </c>
      <c r="C264" s="18" t="s">
        <v>453</v>
      </c>
      <c r="D264" s="43" t="s">
        <v>342</v>
      </c>
      <c r="E264" s="43" t="s">
        <v>453</v>
      </c>
      <c r="F264" s="57" t="str">
        <f>'Pod Library'!E86</f>
        <v>Claims Engineer</v>
      </c>
      <c r="G264" s="51" t="str">
        <f>'Pod Library'!F86</f>
        <v>DEV</v>
      </c>
      <c r="H264" s="51" t="str">
        <f>'Pod Library'!G86</f>
        <v>E2</v>
      </c>
      <c r="I264" s="51" t="str">
        <f>'Pod Library'!H86</f>
        <v>OFF</v>
      </c>
      <c r="J264" s="51" t="str">
        <f>'Pod Library'!I86</f>
        <v>FTC</v>
      </c>
      <c r="K264" s="16">
        <f>'Pod Library'!J86</f>
        <v>1.1875</v>
      </c>
      <c r="L264" s="21">
        <f>'Pod Plan'!E27</f>
        <v>2</v>
      </c>
      <c r="M264" s="54">
        <f t="shared" si="4"/>
        <v>2.375</v>
      </c>
      <c r="N264" s="54">
        <f>M264*INDEX('Logic Tree'!$J$85:$N$87,MATCH(I264,'Logic Tree'!$I$85:$I$87,0),MATCH(H264,'Logic Tree'!$J$84:$N$84,0))</f>
        <v>0.71250000000000002</v>
      </c>
    </row>
    <row r="265" spans="2:14" ht="15" customHeight="1">
      <c r="B265" s="27">
        <v>5</v>
      </c>
      <c r="C265" s="18" t="s">
        <v>453</v>
      </c>
      <c r="D265" s="43" t="s">
        <v>342</v>
      </c>
      <c r="E265" s="43" t="s">
        <v>453</v>
      </c>
      <c r="F265" s="57" t="str">
        <f>'Pod Library'!E87</f>
        <v>MGCC Payments Engineer</v>
      </c>
      <c r="G265" s="51" t="str">
        <f>'Pod Library'!F87</f>
        <v>DEV</v>
      </c>
      <c r="H265" s="51" t="str">
        <f>'Pod Library'!G87</f>
        <v>E3</v>
      </c>
      <c r="I265" s="51" t="str">
        <f>'Pod Library'!H87</f>
        <v>OFF</v>
      </c>
      <c r="J265" s="51" t="str">
        <f>'Pod Library'!I87</f>
        <v>MGCC</v>
      </c>
      <c r="K265" s="16">
        <f>'Pod Library'!J87</f>
        <v>0.5625</v>
      </c>
      <c r="L265" s="21">
        <f>'Pod Plan'!E27</f>
        <v>2</v>
      </c>
      <c r="M265" s="54">
        <f t="shared" si="4"/>
        <v>1.125</v>
      </c>
      <c r="N265" s="54">
        <f>M265*INDEX('Logic Tree'!$J$85:$N$87,MATCH(I265,'Logic Tree'!$I$85:$I$87,0),MATCH(H265,'Logic Tree'!$J$84:$N$84,0))</f>
        <v>0.47249999999999998</v>
      </c>
    </row>
    <row r="266" spans="2:14" ht="15" customHeight="1">
      <c r="B266" s="27">
        <v>5</v>
      </c>
      <c r="C266" s="18" t="s">
        <v>453</v>
      </c>
      <c r="D266" s="43" t="s">
        <v>342</v>
      </c>
      <c r="E266" s="43" t="s">
        <v>453</v>
      </c>
      <c r="F266" s="57" t="str">
        <f>'Pod Library'!E88</f>
        <v>SDET / Automation Engineer</v>
      </c>
      <c r="G266" s="51" t="str">
        <f>'Pod Library'!F88</f>
        <v>TEST</v>
      </c>
      <c r="H266" s="51" t="str">
        <f>'Pod Library'!G88</f>
        <v>E3</v>
      </c>
      <c r="I266" s="51" t="str">
        <f>'Pod Library'!H88</f>
        <v>OFF</v>
      </c>
      <c r="J266" s="51" t="str">
        <f>'Pod Library'!I88</f>
        <v>FTC</v>
      </c>
      <c r="K266" s="16">
        <f>'Pod Library'!J88</f>
        <v>0.375</v>
      </c>
      <c r="L266" s="21">
        <f>'Pod Plan'!E27</f>
        <v>2</v>
      </c>
      <c r="M266" s="54">
        <f t="shared" si="4"/>
        <v>0.75</v>
      </c>
      <c r="N266" s="54">
        <f>M266*INDEX('Logic Tree'!$J$85:$N$87,MATCH(I266,'Logic Tree'!$I$85:$I$87,0),MATCH(H266,'Logic Tree'!$J$84:$N$84,0))</f>
        <v>0.315</v>
      </c>
    </row>
    <row r="267" spans="2:14" ht="15" customHeight="1">
      <c r="B267" s="27">
        <v>5</v>
      </c>
      <c r="C267" s="18" t="s">
        <v>453</v>
      </c>
      <c r="D267" s="43" t="s">
        <v>342</v>
      </c>
      <c r="E267" s="43" t="s">
        <v>453</v>
      </c>
      <c r="F267" s="57" t="str">
        <f>'Pod Library'!E89</f>
        <v>MGCC Quality Engineer</v>
      </c>
      <c r="G267" s="51" t="str">
        <f>'Pod Library'!F89</f>
        <v>TEST</v>
      </c>
      <c r="H267" s="51" t="str">
        <f>'Pod Library'!G89</f>
        <v>E2</v>
      </c>
      <c r="I267" s="51" t="str">
        <f>'Pod Library'!H89</f>
        <v>OFF</v>
      </c>
      <c r="J267" s="51" t="str">
        <f>'Pod Library'!I89</f>
        <v>MGCC</v>
      </c>
      <c r="K267" s="16">
        <f>'Pod Library'!J89</f>
        <v>0.5</v>
      </c>
      <c r="L267" s="21">
        <f>'Pod Plan'!E27</f>
        <v>2</v>
      </c>
      <c r="M267" s="54">
        <f t="shared" si="4"/>
        <v>1</v>
      </c>
      <c r="N267" s="54">
        <f>M267*INDEX('Logic Tree'!$J$85:$N$87,MATCH(I267,'Logic Tree'!$I$85:$I$87,0),MATCH(H267,'Logic Tree'!$J$84:$N$84,0))</f>
        <v>0.3</v>
      </c>
    </row>
    <row r="268" spans="2:14" ht="15" customHeight="1">
      <c r="B268" s="27">
        <v>5</v>
      </c>
      <c r="C268" s="18" t="s">
        <v>453</v>
      </c>
      <c r="D268" s="43" t="s">
        <v>342</v>
      </c>
      <c r="E268" s="43" t="s">
        <v>453</v>
      </c>
      <c r="F268" s="57" t="str">
        <f>'Pod Library'!E90</f>
        <v>Solution Architect</v>
      </c>
      <c r="G268" s="51" t="str">
        <f>'Pod Library'!F90</f>
        <v>OTH</v>
      </c>
      <c r="H268" s="51" t="str">
        <f>'Pod Library'!G90</f>
        <v>E5</v>
      </c>
      <c r="I268" s="51" t="str">
        <f>'Pod Library'!H90</f>
        <v>ON</v>
      </c>
      <c r="J268" s="51" t="str">
        <f>'Pod Library'!I90</f>
        <v>FTC</v>
      </c>
      <c r="K268" s="16">
        <f>'Pod Library'!J90</f>
        <v>0</v>
      </c>
      <c r="L268" s="21">
        <f>'Pod Plan'!E27</f>
        <v>2</v>
      </c>
      <c r="M268" s="54">
        <f t="shared" si="4"/>
        <v>0</v>
      </c>
      <c r="N268" s="54">
        <f>M268*INDEX('Logic Tree'!$J$85:$N$87,MATCH(I268,'Logic Tree'!$I$85:$I$87,0),MATCH(H268,'Logic Tree'!$J$84:$N$84,0))</f>
        <v>0</v>
      </c>
    </row>
    <row r="269" spans="2:14" ht="15" customHeight="1">
      <c r="B269" s="27">
        <v>5</v>
      </c>
      <c r="C269" s="18" t="s">
        <v>746</v>
      </c>
      <c r="D269" s="51" t="str">
        <f>'Horizontal Teams'!C89</f>
        <v>H1</v>
      </c>
      <c r="E269" s="43" t="s">
        <v>746</v>
      </c>
      <c r="F269" s="57" t="str">
        <f>'Horizontal Teams'!E89</f>
        <v>Service Delivery Manager</v>
      </c>
      <c r="G269" s="51" t="str">
        <f>'Horizontal Teams'!D89</f>
        <v>PM</v>
      </c>
      <c r="H269" s="51" t="str">
        <f>'Horizontal Teams'!F89</f>
        <v>E5</v>
      </c>
      <c r="I269" s="51" t="str">
        <f>'Horizontal Teams'!G89</f>
        <v>ON</v>
      </c>
      <c r="J269" s="51" t="str">
        <f>'Horizontal Teams'!H89</f>
        <v>FTC</v>
      </c>
      <c r="K269" s="16">
        <f>'Horizontal Teams'!I89</f>
        <v>0.5</v>
      </c>
      <c r="L269" s="27">
        <v>1</v>
      </c>
      <c r="M269" s="54">
        <f t="shared" si="4"/>
        <v>0.5</v>
      </c>
      <c r="N269" s="54">
        <f>M269*INDEX('Logic Tree'!$J$85:$N$87,MATCH(I269,'Logic Tree'!$I$85:$I$87,0),MATCH(H269,'Logic Tree'!$J$84:$N$84,0))</f>
        <v>1.2749999999999999</v>
      </c>
    </row>
    <row r="270" spans="2:14" ht="15" customHeight="1">
      <c r="B270" s="27">
        <v>5</v>
      </c>
      <c r="C270" s="18" t="s">
        <v>746</v>
      </c>
      <c r="D270" s="51" t="str">
        <f>'Horizontal Teams'!C90</f>
        <v>H1</v>
      </c>
      <c r="E270" s="43" t="s">
        <v>746</v>
      </c>
      <c r="F270" s="57" t="str">
        <f>'Horizontal Teams'!E90</f>
        <v>Incident &amp; Problem Analyst</v>
      </c>
      <c r="G270" s="51" t="str">
        <f>'Horizontal Teams'!D90</f>
        <v>MNT</v>
      </c>
      <c r="H270" s="51" t="str">
        <f>'Horizontal Teams'!F90</f>
        <v>E3</v>
      </c>
      <c r="I270" s="51" t="str">
        <f>'Horizontal Teams'!G90</f>
        <v>ON</v>
      </c>
      <c r="J270" s="51" t="str">
        <f>'Horizontal Teams'!H90</f>
        <v>FTC</v>
      </c>
      <c r="K270" s="16">
        <f>'Horizontal Teams'!I90</f>
        <v>1</v>
      </c>
      <c r="L270" s="27">
        <v>1</v>
      </c>
      <c r="M270" s="54">
        <f t="shared" si="4"/>
        <v>1</v>
      </c>
      <c r="N270" s="54">
        <f>M270*INDEX('Logic Tree'!$J$85:$N$87,MATCH(I270,'Logic Tree'!$I$85:$I$87,0),MATCH(H270,'Logic Tree'!$J$84:$N$84,0))</f>
        <v>1.35</v>
      </c>
    </row>
    <row r="271" spans="2:14" ht="15" customHeight="1">
      <c r="B271" s="27">
        <v>5</v>
      </c>
      <c r="C271" s="18" t="s">
        <v>746</v>
      </c>
      <c r="D271" s="51" t="str">
        <f>'Horizontal Teams'!C91</f>
        <v>H1</v>
      </c>
      <c r="E271" s="43" t="s">
        <v>746</v>
      </c>
      <c r="F271" s="57" t="str">
        <f>'Horizontal Teams'!E91</f>
        <v>L2 Application Support</v>
      </c>
      <c r="G271" s="51" t="str">
        <f>'Horizontal Teams'!D91</f>
        <v>MNT</v>
      </c>
      <c r="H271" s="51" t="str">
        <f>'Horizontal Teams'!F91</f>
        <v>E2</v>
      </c>
      <c r="I271" s="51" t="str">
        <f>'Horizontal Teams'!G91</f>
        <v>OFF</v>
      </c>
      <c r="J271" s="51" t="str">
        <f>'Horizontal Teams'!H91</f>
        <v>FTC</v>
      </c>
      <c r="K271" s="16">
        <f>'Horizontal Teams'!I91</f>
        <v>0.5</v>
      </c>
      <c r="L271" s="27">
        <v>1</v>
      </c>
      <c r="M271" s="54">
        <f t="shared" si="4"/>
        <v>0.5</v>
      </c>
      <c r="N271" s="54">
        <f>M271*INDEX('Logic Tree'!$J$85:$N$87,MATCH(I271,'Logic Tree'!$I$85:$I$87,0),MATCH(H271,'Logic Tree'!$J$84:$N$84,0))</f>
        <v>0.15</v>
      </c>
    </row>
    <row r="272" spans="2:14" ht="15" customHeight="1">
      <c r="B272" s="27">
        <v>5</v>
      </c>
      <c r="C272" s="18" t="s">
        <v>746</v>
      </c>
      <c r="D272" s="51" t="str">
        <f>'Horizontal Teams'!C92</f>
        <v>H1</v>
      </c>
      <c r="E272" s="43" t="s">
        <v>746</v>
      </c>
      <c r="F272" s="57" t="str">
        <f>'Horizontal Teams'!E92</f>
        <v>L2 Application Support</v>
      </c>
      <c r="G272" s="51" t="str">
        <f>'Horizontal Teams'!D92</f>
        <v>MNT</v>
      </c>
      <c r="H272" s="51" t="str">
        <f>'Horizontal Teams'!F92</f>
        <v>E2</v>
      </c>
      <c r="I272" s="51" t="str">
        <f>'Horizontal Teams'!G92</f>
        <v>NEAR</v>
      </c>
      <c r="J272" s="51" t="str">
        <f>'Horizontal Teams'!H92</f>
        <v>FTC</v>
      </c>
      <c r="K272" s="16">
        <f>'Horizontal Teams'!I92</f>
        <v>0.5</v>
      </c>
      <c r="L272" s="27">
        <v>1</v>
      </c>
      <c r="M272" s="54">
        <f t="shared" si="4"/>
        <v>0.5</v>
      </c>
      <c r="N272" s="54">
        <f>M272*INDEX('Logic Tree'!$J$85:$N$87,MATCH(I272,'Logic Tree'!$I$85:$I$87,0),MATCH(H272,'Logic Tree'!$J$84:$N$84,0))</f>
        <v>0.31</v>
      </c>
    </row>
    <row r="273" spans="2:14" ht="15" customHeight="1">
      <c r="B273" s="27">
        <v>5</v>
      </c>
      <c r="C273" s="18" t="s">
        <v>746</v>
      </c>
      <c r="D273" s="51" t="str">
        <f>'Horizontal Teams'!C93</f>
        <v>H1</v>
      </c>
      <c r="E273" s="43" t="s">
        <v>746</v>
      </c>
      <c r="F273" s="57" t="str">
        <f>'Horizontal Teams'!E93</f>
        <v>Observability / AIOps Engineer</v>
      </c>
      <c r="G273" s="51" t="str">
        <f>'Horizontal Teams'!D93</f>
        <v>OTH</v>
      </c>
      <c r="H273" s="51" t="str">
        <f>'Horizontal Teams'!F93</f>
        <v>E3</v>
      </c>
      <c r="I273" s="51" t="str">
        <f>'Horizontal Teams'!G93</f>
        <v>OFF</v>
      </c>
      <c r="J273" s="51" t="str">
        <f>'Horizontal Teams'!H93</f>
        <v>FTC</v>
      </c>
      <c r="K273" s="16">
        <f>'Horizontal Teams'!I93</f>
        <v>0.5</v>
      </c>
      <c r="L273" s="27">
        <v>1</v>
      </c>
      <c r="M273" s="54">
        <f t="shared" si="4"/>
        <v>0.5</v>
      </c>
      <c r="N273" s="54">
        <f>M273*INDEX('Logic Tree'!$J$85:$N$87,MATCH(I273,'Logic Tree'!$I$85:$I$87,0),MATCH(H273,'Logic Tree'!$J$84:$N$84,0))</f>
        <v>0.21</v>
      </c>
    </row>
    <row r="274" spans="2:14" ht="15" customHeight="1">
      <c r="B274" s="27">
        <v>5</v>
      </c>
      <c r="C274" s="18" t="s">
        <v>746</v>
      </c>
      <c r="D274" s="51" t="str">
        <f>'Horizontal Teams'!C94</f>
        <v>H1</v>
      </c>
      <c r="E274" s="43" t="s">
        <v>746</v>
      </c>
      <c r="F274" s="57" t="str">
        <f>'Horizontal Teams'!E94</f>
        <v>MetLife Operations Lead</v>
      </c>
      <c r="G274" s="51" t="str">
        <f>'Horizontal Teams'!D94</f>
        <v>MNT</v>
      </c>
      <c r="H274" s="51" t="str">
        <f>'Horizontal Teams'!F94</f>
        <v>E4</v>
      </c>
      <c r="I274" s="51" t="str">
        <f>'Horizontal Teams'!G94</f>
        <v>ON</v>
      </c>
      <c r="J274" s="51" t="str">
        <f>'Horizontal Teams'!H94</f>
        <v>FTE</v>
      </c>
      <c r="K274" s="16">
        <f>'Horizontal Teams'!I94</f>
        <v>3</v>
      </c>
      <c r="L274" s="27">
        <v>1</v>
      </c>
      <c r="M274" s="54">
        <f t="shared" si="4"/>
        <v>3</v>
      </c>
      <c r="N274" s="54">
        <f>M274*INDEX('Logic Tree'!$J$85:$N$87,MATCH(I274,'Logic Tree'!$I$85:$I$87,0),MATCH(H274,'Logic Tree'!$J$84:$N$84,0))</f>
        <v>5.5500000000000007</v>
      </c>
    </row>
    <row r="275" spans="2:14" ht="15" customHeight="1">
      <c r="B275" s="27">
        <v>5</v>
      </c>
      <c r="C275" s="18" t="s">
        <v>746</v>
      </c>
      <c r="D275" s="51" t="str">
        <f>'Horizontal Teams'!C95</f>
        <v>H2</v>
      </c>
      <c r="E275" s="43" t="s">
        <v>746</v>
      </c>
      <c r="F275" s="57" t="str">
        <f>'Horizontal Teams'!E95</f>
        <v>Quality Lead</v>
      </c>
      <c r="G275" s="51" t="str">
        <f>'Horizontal Teams'!D95</f>
        <v>TEST</v>
      </c>
      <c r="H275" s="51" t="str">
        <f>'Horizontal Teams'!F95</f>
        <v>E4</v>
      </c>
      <c r="I275" s="51" t="str">
        <f>'Horizontal Teams'!G95</f>
        <v>ON</v>
      </c>
      <c r="J275" s="51" t="str">
        <f>'Horizontal Teams'!H95</f>
        <v>FTC</v>
      </c>
      <c r="K275" s="16">
        <f>'Horizontal Teams'!I95</f>
        <v>0.5</v>
      </c>
      <c r="L275" s="27">
        <v>1</v>
      </c>
      <c r="M275" s="54">
        <f t="shared" si="4"/>
        <v>0.5</v>
      </c>
      <c r="N275" s="54">
        <f>M275*INDEX('Logic Tree'!$J$85:$N$87,MATCH(I275,'Logic Tree'!$I$85:$I$87,0),MATCH(H275,'Logic Tree'!$J$84:$N$84,0))</f>
        <v>0.92500000000000004</v>
      </c>
    </row>
    <row r="276" spans="2:14" ht="15" customHeight="1">
      <c r="B276" s="27">
        <v>5</v>
      </c>
      <c r="C276" s="18" t="s">
        <v>746</v>
      </c>
      <c r="D276" s="51" t="str">
        <f>'Horizontal Teams'!C96</f>
        <v>H2</v>
      </c>
      <c r="E276" s="43" t="s">
        <v>746</v>
      </c>
      <c r="F276" s="57" t="str">
        <f>'Horizontal Teams'!E96</f>
        <v>Test Automation Engineer</v>
      </c>
      <c r="G276" s="51" t="str">
        <f>'Horizontal Teams'!D96</f>
        <v>TEST</v>
      </c>
      <c r="H276" s="51" t="str">
        <f>'Horizontal Teams'!F96</f>
        <v>E3</v>
      </c>
      <c r="I276" s="51" t="str">
        <f>'Horizontal Teams'!G96</f>
        <v>OFF</v>
      </c>
      <c r="J276" s="51" t="str">
        <f>'Horizontal Teams'!H96</f>
        <v>FTC</v>
      </c>
      <c r="K276" s="16">
        <f>'Horizontal Teams'!I96</f>
        <v>0.5</v>
      </c>
      <c r="L276" s="27">
        <v>1</v>
      </c>
      <c r="M276" s="54">
        <f t="shared" si="4"/>
        <v>0.5</v>
      </c>
      <c r="N276" s="54">
        <f>M276*INDEX('Logic Tree'!$J$85:$N$87,MATCH(I276,'Logic Tree'!$I$85:$I$87,0),MATCH(H276,'Logic Tree'!$J$84:$N$84,0))</f>
        <v>0.21</v>
      </c>
    </row>
    <row r="277" spans="2:14" ht="15" customHeight="1">
      <c r="B277" s="27">
        <v>5</v>
      </c>
      <c r="C277" s="18" t="s">
        <v>746</v>
      </c>
      <c r="D277" s="51" t="str">
        <f>'Horizontal Teams'!C97</f>
        <v>H2</v>
      </c>
      <c r="E277" s="43" t="s">
        <v>746</v>
      </c>
      <c r="F277" s="57" t="str">
        <f>'Horizontal Teams'!E97</f>
        <v>Performance &amp; Batch Test Engineer</v>
      </c>
      <c r="G277" s="51" t="str">
        <f>'Horizontal Teams'!D97</f>
        <v>TEST</v>
      </c>
      <c r="H277" s="51" t="str">
        <f>'Horizontal Teams'!F97</f>
        <v>E3</v>
      </c>
      <c r="I277" s="51" t="str">
        <f>'Horizontal Teams'!G97</f>
        <v>OFF</v>
      </c>
      <c r="J277" s="51" t="str">
        <f>'Horizontal Teams'!H97</f>
        <v>FTC</v>
      </c>
      <c r="K277" s="16">
        <f>'Horizontal Teams'!I97</f>
        <v>0.5</v>
      </c>
      <c r="L277" s="27">
        <v>1</v>
      </c>
      <c r="M277" s="54">
        <f t="shared" si="4"/>
        <v>0.5</v>
      </c>
      <c r="N277" s="54">
        <f>M277*INDEX('Logic Tree'!$J$85:$N$87,MATCH(I277,'Logic Tree'!$I$85:$I$87,0),MATCH(H277,'Logic Tree'!$J$84:$N$84,0))</f>
        <v>0.21</v>
      </c>
    </row>
    <row r="278" spans="2:14" ht="15" customHeight="1">
      <c r="B278" s="27">
        <v>5</v>
      </c>
      <c r="C278" s="18" t="s">
        <v>746</v>
      </c>
      <c r="D278" s="51" t="str">
        <f>'Horizontal Teams'!C98</f>
        <v>H2</v>
      </c>
      <c r="E278" s="43" t="s">
        <v>746</v>
      </c>
      <c r="F278" s="57" t="str">
        <f>'Horizontal Teams'!E98</f>
        <v>MGCC Quality Engineer</v>
      </c>
      <c r="G278" s="51" t="str">
        <f>'Horizontal Teams'!D98</f>
        <v>TEST</v>
      </c>
      <c r="H278" s="51" t="str">
        <f>'Horizontal Teams'!F98</f>
        <v>E2</v>
      </c>
      <c r="I278" s="51" t="str">
        <f>'Horizontal Teams'!G98</f>
        <v>OFF</v>
      </c>
      <c r="J278" s="51" t="str">
        <f>'Horizontal Teams'!H98</f>
        <v>MGCC</v>
      </c>
      <c r="K278" s="16">
        <f>'Horizontal Teams'!I98</f>
        <v>1</v>
      </c>
      <c r="L278" s="27">
        <v>1</v>
      </c>
      <c r="M278" s="54">
        <f t="shared" si="4"/>
        <v>1</v>
      </c>
      <c r="N278" s="54">
        <f>M278*INDEX('Logic Tree'!$J$85:$N$87,MATCH(I278,'Logic Tree'!$I$85:$I$87,0),MATCH(H278,'Logic Tree'!$J$84:$N$84,0))</f>
        <v>0.3</v>
      </c>
    </row>
    <row r="279" spans="2:14" ht="15" customHeight="1">
      <c r="B279" s="27">
        <v>5</v>
      </c>
      <c r="C279" s="18" t="s">
        <v>746</v>
      </c>
      <c r="D279" s="51" t="str">
        <f>'Horizontal Teams'!C99</f>
        <v>H2</v>
      </c>
      <c r="E279" s="43" t="s">
        <v>746</v>
      </c>
      <c r="F279" s="57" t="str">
        <f>'Horizontal Teams'!E99</f>
        <v>Payments Assurance Analyst</v>
      </c>
      <c r="G279" s="51" t="str">
        <f>'Horizontal Teams'!D99</f>
        <v>BSA</v>
      </c>
      <c r="H279" s="51" t="str">
        <f>'Horizontal Teams'!F99</f>
        <v>E3</v>
      </c>
      <c r="I279" s="51" t="str">
        <f>'Horizontal Teams'!G99</f>
        <v>ON</v>
      </c>
      <c r="J279" s="51" t="str">
        <f>'Horizontal Teams'!H99</f>
        <v>FTC</v>
      </c>
      <c r="K279" s="16">
        <f>'Horizontal Teams'!I99</f>
        <v>0.5</v>
      </c>
      <c r="L279" s="27">
        <v>1</v>
      </c>
      <c r="M279" s="54">
        <f t="shared" si="4"/>
        <v>0.5</v>
      </c>
      <c r="N279" s="54">
        <f>M279*INDEX('Logic Tree'!$J$85:$N$87,MATCH(I279,'Logic Tree'!$I$85:$I$87,0),MATCH(H279,'Logic Tree'!$J$84:$N$84,0))</f>
        <v>0.67500000000000004</v>
      </c>
    </row>
    <row r="280" spans="2:14" ht="15" customHeight="1">
      <c r="B280" s="27">
        <v>5</v>
      </c>
      <c r="C280" s="18" t="s">
        <v>746</v>
      </c>
      <c r="D280" s="51" t="str">
        <f>'Horizontal Teams'!C100</f>
        <v>H3</v>
      </c>
      <c r="E280" s="43" t="s">
        <v>746</v>
      </c>
      <c r="F280" s="57" t="str">
        <f>'Horizontal Teams'!E100</f>
        <v>Domain Solution Architect</v>
      </c>
      <c r="G280" s="51" t="str">
        <f>'Horizontal Teams'!D100</f>
        <v>OTH</v>
      </c>
      <c r="H280" s="51" t="str">
        <f>'Horizontal Teams'!F100</f>
        <v>E5</v>
      </c>
      <c r="I280" s="51" t="str">
        <f>'Horizontal Teams'!G100</f>
        <v>ON</v>
      </c>
      <c r="J280" s="51" t="str">
        <f>'Horizontal Teams'!H100</f>
        <v>FTC</v>
      </c>
      <c r="K280" s="16">
        <f>'Horizontal Teams'!I100</f>
        <v>1</v>
      </c>
      <c r="L280" s="27">
        <v>1</v>
      </c>
      <c r="M280" s="54">
        <f t="shared" si="4"/>
        <v>1</v>
      </c>
      <c r="N280" s="54">
        <f>M280*INDEX('Logic Tree'!$J$85:$N$87,MATCH(I280,'Logic Tree'!$I$85:$I$87,0),MATCH(H280,'Logic Tree'!$J$84:$N$84,0))</f>
        <v>2.5499999999999998</v>
      </c>
    </row>
    <row r="281" spans="2:14" ht="15" customHeight="1">
      <c r="B281" s="27">
        <v>5</v>
      </c>
      <c r="C281" s="18" t="s">
        <v>746</v>
      </c>
      <c r="D281" s="51" t="str">
        <f>'Horizontal Teams'!C101</f>
        <v>H3</v>
      </c>
      <c r="E281" s="43" t="s">
        <v>746</v>
      </c>
      <c r="F281" s="57" t="str">
        <f>'Horizontal Teams'!E101</f>
        <v>Release Manager</v>
      </c>
      <c r="G281" s="51" t="str">
        <f>'Horizontal Teams'!D101</f>
        <v>OTH</v>
      </c>
      <c r="H281" s="51" t="str">
        <f>'Horizontal Teams'!F101</f>
        <v>E4</v>
      </c>
      <c r="I281" s="51" t="str">
        <f>'Horizontal Teams'!G101</f>
        <v>ON</v>
      </c>
      <c r="J281" s="51" t="str">
        <f>'Horizontal Teams'!H101</f>
        <v>FTC</v>
      </c>
      <c r="K281" s="16">
        <f>'Horizontal Teams'!I101</f>
        <v>0.5</v>
      </c>
      <c r="L281" s="27">
        <v>1</v>
      </c>
      <c r="M281" s="54">
        <f t="shared" si="4"/>
        <v>0.5</v>
      </c>
      <c r="N281" s="54">
        <f>M281*INDEX('Logic Tree'!$J$85:$N$87,MATCH(I281,'Logic Tree'!$I$85:$I$87,0),MATCH(H281,'Logic Tree'!$J$84:$N$84,0))</f>
        <v>0.92500000000000004</v>
      </c>
    </row>
    <row r="282" spans="2:14" ht="15" customHeight="1">
      <c r="B282" s="27">
        <v>5</v>
      </c>
      <c r="C282" s="18" t="s">
        <v>746</v>
      </c>
      <c r="D282" s="51" t="str">
        <f>'Horizontal Teams'!C102</f>
        <v>H3</v>
      </c>
      <c r="E282" s="43" t="s">
        <v>746</v>
      </c>
      <c r="F282" s="57" t="str">
        <f>'Horizontal Teams'!E102</f>
        <v>DevOps / Platform Engineer</v>
      </c>
      <c r="G282" s="51" t="str">
        <f>'Horizontal Teams'!D102</f>
        <v>OTH</v>
      </c>
      <c r="H282" s="51" t="str">
        <f>'Horizontal Teams'!F102</f>
        <v>E3</v>
      </c>
      <c r="I282" s="51" t="str">
        <f>'Horizontal Teams'!G102</f>
        <v>OFF</v>
      </c>
      <c r="J282" s="51" t="str">
        <f>'Horizontal Teams'!H102</f>
        <v>FTC</v>
      </c>
      <c r="K282" s="16">
        <f>'Horizontal Teams'!I102</f>
        <v>0.5</v>
      </c>
      <c r="L282" s="27">
        <v>1</v>
      </c>
      <c r="M282" s="54">
        <f t="shared" si="4"/>
        <v>0.5</v>
      </c>
      <c r="N282" s="54">
        <f>M282*INDEX('Logic Tree'!$J$85:$N$87,MATCH(I282,'Logic Tree'!$I$85:$I$87,0),MATCH(H282,'Logic Tree'!$J$84:$N$84,0))</f>
        <v>0.21</v>
      </c>
    </row>
    <row r="283" spans="2:14" ht="15" customHeight="1">
      <c r="B283" s="27">
        <v>5</v>
      </c>
      <c r="C283" s="18" t="s">
        <v>746</v>
      </c>
      <c r="D283" s="51" t="str">
        <f>'Horizontal Teams'!C103</f>
        <v>H3</v>
      </c>
      <c r="E283" s="43" t="s">
        <v>746</v>
      </c>
      <c r="F283" s="57" t="str">
        <f>'Horizontal Teams'!E103</f>
        <v>Delivery Manager</v>
      </c>
      <c r="G283" s="51" t="str">
        <f>'Horizontal Teams'!D103</f>
        <v>PM</v>
      </c>
      <c r="H283" s="51" t="str">
        <f>'Horizontal Teams'!F103</f>
        <v>E4</v>
      </c>
      <c r="I283" s="51" t="str">
        <f>'Horizontal Teams'!G103</f>
        <v>ON</v>
      </c>
      <c r="J283" s="51" t="str">
        <f>'Horizontal Teams'!H103</f>
        <v>FTC</v>
      </c>
      <c r="K283" s="16">
        <f>'Horizontal Teams'!I103</f>
        <v>0.5</v>
      </c>
      <c r="L283" s="27">
        <v>1</v>
      </c>
      <c r="M283" s="54">
        <f t="shared" si="4"/>
        <v>0.5</v>
      </c>
      <c r="N283" s="54">
        <f>M283*INDEX('Logic Tree'!$J$85:$N$87,MATCH(I283,'Logic Tree'!$I$85:$I$87,0),MATCH(H283,'Logic Tree'!$J$84:$N$84,0))</f>
        <v>0.92500000000000004</v>
      </c>
    </row>
    <row r="284" spans="2:14" ht="15" customHeight="1">
      <c r="B284" s="27">
        <v>5</v>
      </c>
      <c r="C284" s="18" t="s">
        <v>746</v>
      </c>
      <c r="D284" s="51" t="str">
        <f>'Horizontal Teams'!C104</f>
        <v>H3</v>
      </c>
      <c r="E284" s="43" t="s">
        <v>746</v>
      </c>
      <c r="F284" s="57" t="str">
        <f>'Horizontal Teams'!E104</f>
        <v>Knowledge &amp; Enablement Lead</v>
      </c>
      <c r="G284" s="51" t="str">
        <f>'Horizontal Teams'!D104</f>
        <v>BSA</v>
      </c>
      <c r="H284" s="51" t="str">
        <f>'Horizontal Teams'!F104</f>
        <v>E3</v>
      </c>
      <c r="I284" s="51" t="str">
        <f>'Horizontal Teams'!G104</f>
        <v>OFF</v>
      </c>
      <c r="J284" s="51" t="str">
        <f>'Horizontal Teams'!H104</f>
        <v>FTC</v>
      </c>
      <c r="K284" s="16">
        <f>'Horizontal Teams'!I104</f>
        <v>0.5</v>
      </c>
      <c r="L284" s="27">
        <v>1</v>
      </c>
      <c r="M284" s="54">
        <f t="shared" si="4"/>
        <v>0.5</v>
      </c>
      <c r="N284" s="54">
        <f>M284*INDEX('Logic Tree'!$J$85:$N$87,MATCH(I284,'Logic Tree'!$I$85:$I$87,0),MATCH(H284,'Logic Tree'!$J$84:$N$84,0))</f>
        <v>0.21</v>
      </c>
    </row>
    <row r="285" spans="2:14" ht="15" customHeight="1">
      <c r="B285" s="27">
        <v>5</v>
      </c>
      <c r="C285" s="18" t="s">
        <v>746</v>
      </c>
      <c r="D285" s="51" t="str">
        <f>'Horizontal Teams'!C105</f>
        <v>H3</v>
      </c>
      <c r="E285" s="43" t="s">
        <v>746</v>
      </c>
      <c r="F285" s="57" t="str">
        <f>'Horizontal Teams'!E105</f>
        <v>AI Orchestration Engineer</v>
      </c>
      <c r="G285" s="51" t="str">
        <f>'Horizontal Teams'!D105</f>
        <v>DEV</v>
      </c>
      <c r="H285" s="51" t="str">
        <f>'Horizontal Teams'!F105</f>
        <v>E4</v>
      </c>
      <c r="I285" s="51" t="str">
        <f>'Horizontal Teams'!G105</f>
        <v>OFF</v>
      </c>
      <c r="J285" s="51" t="str">
        <f>'Horizontal Teams'!H105</f>
        <v>FTC</v>
      </c>
      <c r="K285" s="16">
        <f>'Horizontal Teams'!I105</f>
        <v>0.5</v>
      </c>
      <c r="L285" s="27">
        <v>1</v>
      </c>
      <c r="M285" s="54">
        <f t="shared" si="4"/>
        <v>0.5</v>
      </c>
      <c r="N285" s="54">
        <f>M285*INDEX('Logic Tree'!$J$85:$N$87,MATCH(I285,'Logic Tree'!$I$85:$I$87,0),MATCH(H285,'Logic Tree'!$J$84:$N$84,0))</f>
        <v>0.3</v>
      </c>
    </row>
    <row r="286" spans="2:14" ht="15" customHeight="1">
      <c r="B286" s="27">
        <v>5</v>
      </c>
      <c r="C286" s="18" t="s">
        <v>746</v>
      </c>
      <c r="D286" s="51" t="str">
        <f>'Horizontal Teams'!C106</f>
        <v>H3</v>
      </c>
      <c r="E286" s="43" t="s">
        <v>746</v>
      </c>
      <c r="F286" s="57" t="str">
        <f>'Horizontal Teams'!E106</f>
        <v>MetLife Portfolio Lead</v>
      </c>
      <c r="G286" s="51" t="str">
        <f>'Horizontal Teams'!D106</f>
        <v>PM</v>
      </c>
      <c r="H286" s="51" t="str">
        <f>'Horizontal Teams'!F106</f>
        <v>E4</v>
      </c>
      <c r="I286" s="51" t="str">
        <f>'Horizontal Teams'!G106</f>
        <v>ON</v>
      </c>
      <c r="J286" s="51" t="str">
        <f>'Horizontal Teams'!H106</f>
        <v>FTE</v>
      </c>
      <c r="K286" s="16">
        <f>'Horizontal Teams'!I106</f>
        <v>3</v>
      </c>
      <c r="L286" s="27">
        <v>1</v>
      </c>
      <c r="M286" s="54">
        <f t="shared" si="4"/>
        <v>3</v>
      </c>
      <c r="N286" s="54">
        <f>M286*INDEX('Logic Tree'!$J$85:$N$87,MATCH(I286,'Logic Tree'!$I$85:$I$87,0),MATCH(H286,'Logic Tree'!$J$84:$N$84,0))</f>
        <v>5.5500000000000007</v>
      </c>
    </row>
    <row r="287" spans="2:14" ht="15" customHeight="1">
      <c r="B287" s="27">
        <v>5</v>
      </c>
      <c r="C287" s="18" t="s">
        <v>746</v>
      </c>
      <c r="D287" s="51" t="str">
        <f>'Horizontal Teams'!C107</f>
        <v>H3</v>
      </c>
      <c r="E287" s="43" t="s">
        <v>746</v>
      </c>
      <c r="F287" s="57" t="str">
        <f>'Horizontal Teams'!E107</f>
        <v>MGCC Engineering Lead</v>
      </c>
      <c r="G287" s="51" t="str">
        <f>'Horizontal Teams'!D107</f>
        <v>DEV</v>
      </c>
      <c r="H287" s="51" t="str">
        <f>'Horizontal Teams'!F107</f>
        <v>E4</v>
      </c>
      <c r="I287" s="51" t="str">
        <f>'Horizontal Teams'!G107</f>
        <v>OFF</v>
      </c>
      <c r="J287" s="51" t="str">
        <f>'Horizontal Teams'!H107</f>
        <v>MGCC</v>
      </c>
      <c r="K287" s="16">
        <f>'Horizontal Teams'!I107</f>
        <v>6</v>
      </c>
      <c r="L287" s="27">
        <v>1</v>
      </c>
      <c r="M287" s="54">
        <f t="shared" si="4"/>
        <v>6</v>
      </c>
      <c r="N287" s="54">
        <f>M287*INDEX('Logic Tree'!$J$85:$N$87,MATCH(I287,'Logic Tree'!$I$85:$I$87,0),MATCH(H287,'Logic Tree'!$J$84:$N$84,0))</f>
        <v>3.5999999999999996</v>
      </c>
    </row>
  </sheetData>
  <mergeCells count="2">
    <mergeCell ref="A1:N1"/>
    <mergeCell ref="A2:N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79"/>
  <sheetViews>
    <sheetView zoomScaleNormal="100" workbookViewId="0">
      <pane xSplit="1" ySplit="27" topLeftCell="B28" activePane="bottomRight" state="frozen"/>
      <selection pane="topRight" activeCell="B1" sqref="B1"/>
      <selection pane="bottomLeft" activeCell="A28" sqref="A28"/>
      <selection pane="bottomRight" sqref="A1:L1"/>
    </sheetView>
  </sheetViews>
  <sheetFormatPr defaultColWidth="8.6328125" defaultRowHeight="14.5"/>
  <cols>
    <col min="1" max="1" width="2.453125" customWidth="1"/>
    <col min="2" max="2" width="30" customWidth="1"/>
    <col min="3" max="5" width="9" customWidth="1"/>
    <col min="6" max="6" width="11" customWidth="1"/>
    <col min="7" max="8" width="10" customWidth="1"/>
    <col min="9" max="9" width="11" customWidth="1"/>
    <col min="10" max="11" width="10" customWidth="1"/>
    <col min="12" max="12" width="54" customWidth="1"/>
  </cols>
  <sheetData>
    <row r="1" spans="1:12" ht="25.5" customHeight="1">
      <c r="A1" s="8" t="s">
        <v>747</v>
      </c>
      <c r="B1" s="8"/>
      <c r="C1" s="8"/>
      <c r="D1" s="8"/>
      <c r="E1" s="8"/>
      <c r="F1" s="8"/>
      <c r="G1" s="8"/>
      <c r="H1" s="8"/>
      <c r="I1" s="8"/>
      <c r="J1" s="8"/>
      <c r="K1" s="8"/>
      <c r="L1" s="8"/>
    </row>
    <row r="2" spans="1:12" ht="15" customHeight="1">
      <c r="A2" s="7" t="s">
        <v>748</v>
      </c>
      <c r="B2" s="7"/>
      <c r="C2" s="7"/>
      <c r="D2" s="7"/>
      <c r="E2" s="7"/>
      <c r="F2" s="7"/>
      <c r="G2" s="7"/>
      <c r="H2" s="7"/>
      <c r="I2" s="7"/>
      <c r="J2" s="7"/>
      <c r="K2" s="7"/>
      <c r="L2" s="7"/>
    </row>
    <row r="4" spans="1:12" ht="15" customHeight="1">
      <c r="A4" s="6" t="s">
        <v>749</v>
      </c>
      <c r="B4" s="6"/>
      <c r="C4" s="6"/>
      <c r="D4" s="6"/>
      <c r="E4" s="6"/>
      <c r="F4" s="6"/>
      <c r="G4" s="6"/>
      <c r="H4" s="6"/>
      <c r="I4" s="6"/>
      <c r="J4" s="6"/>
      <c r="K4" s="6"/>
      <c r="L4" s="6"/>
    </row>
    <row r="5" spans="1:12" ht="15" customHeight="1">
      <c r="B5" s="11" t="s">
        <v>750</v>
      </c>
      <c r="C5" s="11" t="s">
        <v>111</v>
      </c>
      <c r="D5" s="11" t="s">
        <v>112</v>
      </c>
      <c r="E5" s="11" t="s">
        <v>113</v>
      </c>
      <c r="F5" s="11" t="s">
        <v>114</v>
      </c>
      <c r="G5" s="11" t="s">
        <v>115</v>
      </c>
      <c r="H5" s="11" t="s">
        <v>751</v>
      </c>
    </row>
    <row r="6" spans="1:12" ht="23.25" customHeight="1">
      <c r="B6" s="22" t="s">
        <v>752</v>
      </c>
      <c r="C6" s="23">
        <v>121.5</v>
      </c>
      <c r="D6" s="23">
        <v>93.5</v>
      </c>
      <c r="E6" s="23">
        <v>76</v>
      </c>
      <c r="F6" s="23">
        <v>65.5</v>
      </c>
      <c r="G6" s="23">
        <v>59.5</v>
      </c>
    </row>
    <row r="7" spans="1:12" ht="30" customHeight="1">
      <c r="B7" s="58" t="s">
        <v>753</v>
      </c>
      <c r="C7" s="59">
        <v>145</v>
      </c>
      <c r="D7" s="59">
        <v>118</v>
      </c>
      <c r="E7" s="59">
        <v>92</v>
      </c>
      <c r="F7" s="59">
        <v>91</v>
      </c>
      <c r="G7" s="59">
        <v>73</v>
      </c>
      <c r="H7" s="13" t="s">
        <v>754</v>
      </c>
    </row>
    <row r="8" spans="1:12" ht="30" customHeight="1">
      <c r="B8" s="60" t="s">
        <v>755</v>
      </c>
      <c r="C8" s="24">
        <v>116</v>
      </c>
      <c r="D8" s="24">
        <v>87</v>
      </c>
      <c r="E8" s="24">
        <v>71</v>
      </c>
      <c r="F8" s="24">
        <v>53</v>
      </c>
      <c r="G8" s="24">
        <v>53</v>
      </c>
      <c r="H8" s="13" t="s">
        <v>756</v>
      </c>
    </row>
    <row r="9" spans="1:12" ht="30" customHeight="1">
      <c r="B9" s="22" t="s">
        <v>757</v>
      </c>
      <c r="C9" s="23">
        <v>121.5</v>
      </c>
      <c r="D9" s="23">
        <v>93.5</v>
      </c>
      <c r="E9" s="23">
        <v>76</v>
      </c>
      <c r="F9" s="23">
        <v>65.5</v>
      </c>
      <c r="G9" s="23">
        <v>59.5</v>
      </c>
      <c r="H9" s="13" t="s">
        <v>758</v>
      </c>
    </row>
    <row r="11" spans="1:12" ht="15" customHeight="1">
      <c r="A11" s="6" t="s">
        <v>759</v>
      </c>
      <c r="B11" s="6"/>
      <c r="C11" s="6"/>
      <c r="D11" s="6"/>
      <c r="E11" s="6"/>
      <c r="F11" s="6"/>
      <c r="G11" s="6"/>
      <c r="H11" s="6"/>
      <c r="I11" s="6"/>
      <c r="J11" s="6"/>
      <c r="K11" s="6"/>
      <c r="L11" s="6"/>
    </row>
    <row r="12" spans="1:12" ht="27.75" customHeight="1">
      <c r="B12" s="5" t="s">
        <v>760</v>
      </c>
      <c r="C12" s="5"/>
      <c r="D12" s="5"/>
      <c r="E12" s="5"/>
      <c r="F12" s="5"/>
      <c r="G12" s="5"/>
      <c r="H12" s="5"/>
      <c r="I12" s="5"/>
      <c r="J12" s="5"/>
      <c r="K12" s="5"/>
      <c r="L12" s="5"/>
    </row>
    <row r="13" spans="1:12" ht="18.75" customHeight="1">
      <c r="B13" s="11" t="s">
        <v>761</v>
      </c>
      <c r="C13" s="11" t="s">
        <v>762</v>
      </c>
      <c r="D13" s="11" t="s">
        <v>763</v>
      </c>
      <c r="E13" s="11" t="s">
        <v>764</v>
      </c>
    </row>
    <row r="14" spans="1:12" ht="42" customHeight="1">
      <c r="B14" s="32" t="s">
        <v>765</v>
      </c>
      <c r="C14" s="3" t="s">
        <v>766</v>
      </c>
      <c r="D14" s="3"/>
      <c r="E14" s="3"/>
      <c r="F14" s="3"/>
      <c r="G14" s="3" t="s">
        <v>767</v>
      </c>
      <c r="H14" s="3"/>
      <c r="I14" s="3"/>
      <c r="J14" s="1" t="s">
        <v>768</v>
      </c>
      <c r="K14" s="1"/>
      <c r="L14" s="1"/>
    </row>
    <row r="15" spans="1:12" ht="42" customHeight="1">
      <c r="B15" s="32" t="s">
        <v>769</v>
      </c>
      <c r="C15" s="3" t="s">
        <v>770</v>
      </c>
      <c r="D15" s="3"/>
      <c r="E15" s="3"/>
      <c r="F15" s="3"/>
      <c r="G15" s="3" t="s">
        <v>771</v>
      </c>
      <c r="H15" s="3"/>
      <c r="I15" s="3"/>
      <c r="J15" s="1" t="s">
        <v>772</v>
      </c>
      <c r="K15" s="1"/>
      <c r="L15" s="1"/>
    </row>
    <row r="16" spans="1:12" ht="15" customHeight="1">
      <c r="B16" s="4" t="s">
        <v>773</v>
      </c>
      <c r="C16" s="4"/>
      <c r="D16" s="4"/>
      <c r="E16" s="4"/>
      <c r="F16" s="4"/>
      <c r="G16" s="4"/>
      <c r="H16" s="4"/>
      <c r="I16" s="4"/>
      <c r="J16" s="4"/>
      <c r="K16" s="4"/>
      <c r="L16" s="4"/>
    </row>
    <row r="18" spans="1:13" ht="15" customHeight="1">
      <c r="A18" s="6" t="s">
        <v>774</v>
      </c>
      <c r="B18" s="6"/>
      <c r="C18" s="6"/>
      <c r="D18" s="6"/>
      <c r="E18" s="6"/>
      <c r="F18" s="6"/>
      <c r="G18" s="6"/>
      <c r="H18" s="6"/>
      <c r="I18" s="6"/>
      <c r="J18" s="6"/>
      <c r="K18" s="6"/>
      <c r="L18" s="6"/>
    </row>
    <row r="19" spans="1:13" ht="15" customHeight="1">
      <c r="B19" s="11" t="s">
        <v>214</v>
      </c>
      <c r="C19" s="11" t="s">
        <v>111</v>
      </c>
      <c r="D19" s="11" t="s">
        <v>112</v>
      </c>
      <c r="E19" s="11" t="s">
        <v>113</v>
      </c>
      <c r="F19" s="11" t="s">
        <v>114</v>
      </c>
      <c r="G19" s="11" t="s">
        <v>115</v>
      </c>
      <c r="H19" s="11" t="s">
        <v>43</v>
      </c>
    </row>
    <row r="20" spans="1:13" ht="25.5" customHeight="1">
      <c r="B20" s="22" t="s">
        <v>775</v>
      </c>
      <c r="C20" s="23">
        <v>121.5</v>
      </c>
      <c r="D20" s="23">
        <v>93.5</v>
      </c>
      <c r="E20" s="23">
        <v>76</v>
      </c>
      <c r="F20" s="23">
        <v>65.5</v>
      </c>
      <c r="G20" s="23">
        <v>59.5</v>
      </c>
      <c r="H20" s="13" t="s">
        <v>776</v>
      </c>
    </row>
    <row r="21" spans="1:13" ht="25.5" customHeight="1">
      <c r="B21" s="22" t="s">
        <v>777</v>
      </c>
      <c r="C21" s="45">
        <v>1458</v>
      </c>
      <c r="D21" s="45">
        <v>1122</v>
      </c>
      <c r="E21" s="45">
        <v>912</v>
      </c>
      <c r="F21" s="45">
        <v>786</v>
      </c>
      <c r="G21" s="45">
        <v>714</v>
      </c>
      <c r="H21" s="13" t="s">
        <v>778</v>
      </c>
    </row>
    <row r="22" spans="1:13" ht="25.5" customHeight="1">
      <c r="B22" s="10" t="s">
        <v>779</v>
      </c>
      <c r="C22" s="21">
        <v>129</v>
      </c>
      <c r="D22" s="21">
        <v>101</v>
      </c>
      <c r="E22" s="21">
        <v>84</v>
      </c>
      <c r="F22" s="21">
        <v>75</v>
      </c>
      <c r="G22" s="21">
        <v>66</v>
      </c>
      <c r="H22" s="13" t="s">
        <v>780</v>
      </c>
    </row>
    <row r="23" spans="1:13" ht="25.5" customHeight="1">
      <c r="B23" s="10" t="s">
        <v>781</v>
      </c>
      <c r="C23" s="21">
        <v>114</v>
      </c>
      <c r="D23" s="21">
        <v>86</v>
      </c>
      <c r="E23" s="21">
        <v>68</v>
      </c>
      <c r="F23" s="21">
        <v>56</v>
      </c>
      <c r="G23" s="21">
        <v>53</v>
      </c>
      <c r="H23" s="13" t="s">
        <v>782</v>
      </c>
    </row>
    <row r="24" spans="1:13" ht="25.5" customHeight="1">
      <c r="B24" s="10" t="s">
        <v>783</v>
      </c>
      <c r="C24" s="38">
        <v>0.94186046511627897</v>
      </c>
      <c r="D24" s="38">
        <v>0.92574257425742601</v>
      </c>
      <c r="E24" s="38">
        <v>0.90476190476190499</v>
      </c>
      <c r="F24" s="38">
        <v>0.87333333333333296</v>
      </c>
      <c r="G24" s="38">
        <v>0.90151515151515205</v>
      </c>
      <c r="H24" s="13" t="s">
        <v>784</v>
      </c>
    </row>
    <row r="26" spans="1:13" ht="15" customHeight="1">
      <c r="A26" s="6" t="s">
        <v>785</v>
      </c>
      <c r="B26" s="6"/>
      <c r="C26" s="6"/>
      <c r="D26" s="6"/>
      <c r="E26" s="6"/>
      <c r="F26" s="6"/>
      <c r="G26" s="6"/>
      <c r="H26" s="6"/>
      <c r="I26" s="6"/>
      <c r="J26" s="6"/>
      <c r="K26" s="6"/>
      <c r="L26" s="6"/>
    </row>
    <row r="27" spans="1:13" ht="27.75" customHeight="1">
      <c r="B27" s="11" t="s">
        <v>443</v>
      </c>
      <c r="C27" s="11" t="s">
        <v>450</v>
      </c>
      <c r="D27" s="11" t="s">
        <v>447</v>
      </c>
      <c r="E27" s="11" t="s">
        <v>607</v>
      </c>
      <c r="F27" s="11" t="s">
        <v>238</v>
      </c>
      <c r="G27" s="11" t="s">
        <v>786</v>
      </c>
      <c r="H27" s="11" t="s">
        <v>775</v>
      </c>
      <c r="I27" s="11" t="s">
        <v>787</v>
      </c>
      <c r="J27" s="11" t="s">
        <v>761</v>
      </c>
      <c r="K27" s="11" t="s">
        <v>788</v>
      </c>
      <c r="L27" s="11" t="s">
        <v>789</v>
      </c>
      <c r="M27" s="11" t="s">
        <v>790</v>
      </c>
    </row>
    <row r="28" spans="1:13" ht="15" customHeight="1">
      <c r="B28" s="27">
        <v>1</v>
      </c>
      <c r="C28" s="18" t="s">
        <v>395</v>
      </c>
      <c r="D28" s="18" t="s">
        <v>258</v>
      </c>
      <c r="E28" s="43" t="s">
        <v>241</v>
      </c>
      <c r="F28" s="43" t="s">
        <v>249</v>
      </c>
      <c r="G28" s="43" t="s">
        <v>791</v>
      </c>
      <c r="H28" s="61">
        <v>3.5</v>
      </c>
      <c r="I28" s="44">
        <v>42</v>
      </c>
      <c r="J28" s="62" t="s">
        <v>765</v>
      </c>
      <c r="K28" s="63">
        <v>3</v>
      </c>
      <c r="L28" s="16">
        <v>6</v>
      </c>
      <c r="M28" s="38"/>
    </row>
    <row r="29" spans="1:13" ht="15" customHeight="1">
      <c r="B29" s="27">
        <v>1</v>
      </c>
      <c r="C29" s="18" t="s">
        <v>395</v>
      </c>
      <c r="D29" s="18" t="s">
        <v>459</v>
      </c>
      <c r="E29" s="43" t="s">
        <v>240</v>
      </c>
      <c r="F29" s="43" t="s">
        <v>250</v>
      </c>
      <c r="G29" s="43" t="s">
        <v>791</v>
      </c>
      <c r="H29" s="61">
        <v>1</v>
      </c>
      <c r="I29" s="44">
        <v>12</v>
      </c>
      <c r="J29" s="62" t="s">
        <v>765</v>
      </c>
      <c r="K29" s="63">
        <v>1</v>
      </c>
      <c r="L29" s="16"/>
      <c r="M29" s="38"/>
    </row>
    <row r="30" spans="1:13" ht="15" customHeight="1">
      <c r="B30" s="27">
        <v>1</v>
      </c>
      <c r="C30" s="18" t="s">
        <v>395</v>
      </c>
      <c r="D30" s="18" t="s">
        <v>459</v>
      </c>
      <c r="E30" s="43" t="s">
        <v>240</v>
      </c>
      <c r="F30" s="43" t="s">
        <v>249</v>
      </c>
      <c r="G30" s="43" t="s">
        <v>791</v>
      </c>
      <c r="H30" s="61">
        <v>17.5</v>
      </c>
      <c r="I30" s="44">
        <v>210</v>
      </c>
      <c r="J30" s="62" t="s">
        <v>765</v>
      </c>
      <c r="K30" s="63">
        <v>17</v>
      </c>
      <c r="L30" s="16">
        <v>6</v>
      </c>
      <c r="M30" s="38"/>
    </row>
    <row r="31" spans="1:13" ht="15" customHeight="1">
      <c r="B31" s="27">
        <v>1</v>
      </c>
      <c r="C31" s="18" t="s">
        <v>395</v>
      </c>
      <c r="D31" s="18" t="s">
        <v>459</v>
      </c>
      <c r="E31" s="43" t="s">
        <v>241</v>
      </c>
      <c r="F31" s="43" t="s">
        <v>251</v>
      </c>
      <c r="G31" s="43" t="s">
        <v>791</v>
      </c>
      <c r="H31" s="61">
        <v>8</v>
      </c>
      <c r="I31" s="44">
        <v>96</v>
      </c>
      <c r="J31" s="62" t="s">
        <v>765</v>
      </c>
      <c r="K31" s="63">
        <v>8</v>
      </c>
      <c r="L31" s="16"/>
      <c r="M31" s="38"/>
    </row>
    <row r="32" spans="1:13" ht="15" customHeight="1">
      <c r="B32" s="27">
        <v>1</v>
      </c>
      <c r="C32" s="18" t="s">
        <v>395</v>
      </c>
      <c r="D32" s="18" t="s">
        <v>459</v>
      </c>
      <c r="E32" s="43" t="s">
        <v>241</v>
      </c>
      <c r="F32" s="43" t="s">
        <v>250</v>
      </c>
      <c r="G32" s="43" t="s">
        <v>791</v>
      </c>
      <c r="H32" s="61">
        <v>0</v>
      </c>
      <c r="I32" s="44">
        <v>0</v>
      </c>
      <c r="J32" s="64" t="s">
        <v>769</v>
      </c>
      <c r="K32" s="63">
        <v>0</v>
      </c>
      <c r="L32" s="16"/>
      <c r="M32" s="38"/>
    </row>
    <row r="33" spans="2:13" ht="15" customHeight="1">
      <c r="B33" s="27">
        <v>1</v>
      </c>
      <c r="C33" s="18" t="s">
        <v>395</v>
      </c>
      <c r="D33" s="18" t="s">
        <v>459</v>
      </c>
      <c r="E33" s="43" t="s">
        <v>241</v>
      </c>
      <c r="F33" s="43" t="s">
        <v>249</v>
      </c>
      <c r="G33" s="43" t="s">
        <v>791</v>
      </c>
      <c r="H33" s="61">
        <v>16</v>
      </c>
      <c r="I33" s="44">
        <v>192</v>
      </c>
      <c r="J33" s="62" t="s">
        <v>765</v>
      </c>
      <c r="K33" s="63">
        <v>16</v>
      </c>
      <c r="L33" s="16"/>
      <c r="M33" s="38"/>
    </row>
    <row r="34" spans="2:13" ht="15" customHeight="1">
      <c r="B34" s="27">
        <v>1</v>
      </c>
      <c r="C34" s="18" t="s">
        <v>395</v>
      </c>
      <c r="D34" s="18" t="s">
        <v>459</v>
      </c>
      <c r="E34" s="43" t="s">
        <v>242</v>
      </c>
      <c r="F34" s="43" t="s">
        <v>249</v>
      </c>
      <c r="G34" s="43" t="s">
        <v>791</v>
      </c>
      <c r="H34" s="61">
        <v>18</v>
      </c>
      <c r="I34" s="44">
        <v>216</v>
      </c>
      <c r="J34" s="62" t="s">
        <v>765</v>
      </c>
      <c r="K34" s="63">
        <v>18</v>
      </c>
      <c r="L34" s="16"/>
      <c r="M34" s="38"/>
    </row>
    <row r="35" spans="2:13" ht="15" customHeight="1">
      <c r="B35" s="27">
        <v>1</v>
      </c>
      <c r="C35" s="18" t="s">
        <v>395</v>
      </c>
      <c r="D35" s="18" t="s">
        <v>467</v>
      </c>
      <c r="E35" s="43" t="s">
        <v>242</v>
      </c>
      <c r="F35" s="43" t="s">
        <v>249</v>
      </c>
      <c r="G35" s="43" t="s">
        <v>791</v>
      </c>
      <c r="H35" s="61">
        <v>0</v>
      </c>
      <c r="I35" s="44">
        <v>0</v>
      </c>
      <c r="J35" s="64" t="s">
        <v>769</v>
      </c>
      <c r="K35" s="63">
        <v>0</v>
      </c>
      <c r="L35" s="16"/>
      <c r="M35" s="38"/>
    </row>
    <row r="36" spans="2:13" ht="15" customHeight="1">
      <c r="B36" s="27">
        <v>1</v>
      </c>
      <c r="C36" s="18" t="s">
        <v>395</v>
      </c>
      <c r="D36" s="18" t="s">
        <v>467</v>
      </c>
      <c r="E36" s="43" t="s">
        <v>243</v>
      </c>
      <c r="F36" s="43" t="s">
        <v>249</v>
      </c>
      <c r="G36" s="43" t="s">
        <v>791</v>
      </c>
      <c r="H36" s="61">
        <v>1.5</v>
      </c>
      <c r="I36" s="44">
        <v>18</v>
      </c>
      <c r="J36" s="64" t="s">
        <v>769</v>
      </c>
      <c r="K36" s="63">
        <v>1</v>
      </c>
      <c r="L36" s="16">
        <v>6</v>
      </c>
      <c r="M36" s="38">
        <v>0.5</v>
      </c>
    </row>
    <row r="37" spans="2:13" ht="15" customHeight="1">
      <c r="B37" s="27">
        <v>1</v>
      </c>
      <c r="C37" s="18" t="s">
        <v>395</v>
      </c>
      <c r="D37" s="18" t="s">
        <v>464</v>
      </c>
      <c r="E37" s="43" t="s">
        <v>240</v>
      </c>
      <c r="F37" s="43" t="s">
        <v>251</v>
      </c>
      <c r="G37" s="43" t="s">
        <v>791</v>
      </c>
      <c r="H37" s="61">
        <v>1</v>
      </c>
      <c r="I37" s="44">
        <v>12</v>
      </c>
      <c r="J37" s="62" t="s">
        <v>765</v>
      </c>
      <c r="K37" s="63">
        <v>1</v>
      </c>
      <c r="L37" s="16"/>
      <c r="M37" s="38"/>
    </row>
    <row r="38" spans="2:13" ht="15" customHeight="1">
      <c r="B38" s="27">
        <v>1</v>
      </c>
      <c r="C38" s="18" t="s">
        <v>395</v>
      </c>
      <c r="D38" s="18" t="s">
        <v>464</v>
      </c>
      <c r="E38" s="43" t="s">
        <v>241</v>
      </c>
      <c r="F38" s="43" t="s">
        <v>250</v>
      </c>
      <c r="G38" s="43" t="s">
        <v>791</v>
      </c>
      <c r="H38" s="61">
        <v>0</v>
      </c>
      <c r="I38" s="44">
        <v>0</v>
      </c>
      <c r="J38" s="64" t="s">
        <v>769</v>
      </c>
      <c r="K38" s="63">
        <v>0</v>
      </c>
      <c r="L38" s="16"/>
      <c r="M38" s="38"/>
    </row>
    <row r="39" spans="2:13" ht="15" customHeight="1">
      <c r="B39" s="27">
        <v>1</v>
      </c>
      <c r="C39" s="18" t="s">
        <v>395</v>
      </c>
      <c r="D39" s="18" t="s">
        <v>464</v>
      </c>
      <c r="E39" s="43" t="s">
        <v>241</v>
      </c>
      <c r="F39" s="43" t="s">
        <v>249</v>
      </c>
      <c r="G39" s="43" t="s">
        <v>791</v>
      </c>
      <c r="H39" s="61">
        <v>5</v>
      </c>
      <c r="I39" s="44">
        <v>60</v>
      </c>
      <c r="J39" s="62" t="s">
        <v>765</v>
      </c>
      <c r="K39" s="63">
        <v>5</v>
      </c>
      <c r="L39" s="16"/>
      <c r="M39" s="38"/>
    </row>
    <row r="40" spans="2:13" ht="15" customHeight="1">
      <c r="B40" s="27">
        <v>1</v>
      </c>
      <c r="C40" s="18" t="s">
        <v>395</v>
      </c>
      <c r="D40" s="18" t="s">
        <v>258</v>
      </c>
      <c r="E40" s="43" t="s">
        <v>241</v>
      </c>
      <c r="F40" s="43" t="s">
        <v>250</v>
      </c>
      <c r="G40" s="43" t="s">
        <v>792</v>
      </c>
      <c r="H40" s="61">
        <v>0.5</v>
      </c>
      <c r="I40" s="44">
        <v>6</v>
      </c>
      <c r="J40" s="64" t="s">
        <v>769</v>
      </c>
      <c r="K40" s="63">
        <v>0</v>
      </c>
      <c r="L40" s="16">
        <v>6</v>
      </c>
      <c r="M40" s="38">
        <v>0.5</v>
      </c>
    </row>
    <row r="41" spans="2:13" ht="15" customHeight="1">
      <c r="B41" s="27">
        <v>1</v>
      </c>
      <c r="C41" s="18" t="s">
        <v>395</v>
      </c>
      <c r="D41" s="18" t="s">
        <v>258</v>
      </c>
      <c r="E41" s="43" t="s">
        <v>241</v>
      </c>
      <c r="F41" s="43" t="s">
        <v>249</v>
      </c>
      <c r="G41" s="43" t="s">
        <v>792</v>
      </c>
      <c r="H41" s="61">
        <v>1.5</v>
      </c>
      <c r="I41" s="44">
        <v>18</v>
      </c>
      <c r="J41" s="64" t="s">
        <v>769</v>
      </c>
      <c r="K41" s="63">
        <v>1</v>
      </c>
      <c r="L41" s="16">
        <v>6</v>
      </c>
      <c r="M41" s="38">
        <v>0.5</v>
      </c>
    </row>
    <row r="42" spans="2:13" ht="15" customHeight="1">
      <c r="B42" s="27">
        <v>1</v>
      </c>
      <c r="C42" s="18" t="s">
        <v>395</v>
      </c>
      <c r="D42" s="18" t="s">
        <v>459</v>
      </c>
      <c r="E42" s="43" t="s">
        <v>242</v>
      </c>
      <c r="F42" s="43" t="s">
        <v>250</v>
      </c>
      <c r="G42" s="43" t="s">
        <v>792</v>
      </c>
      <c r="H42" s="61">
        <v>0.5</v>
      </c>
      <c r="I42" s="44">
        <v>6</v>
      </c>
      <c r="J42" s="64" t="s">
        <v>769</v>
      </c>
      <c r="K42" s="63">
        <v>0</v>
      </c>
      <c r="L42" s="16">
        <v>6</v>
      </c>
      <c r="M42" s="38">
        <v>0.5</v>
      </c>
    </row>
    <row r="43" spans="2:13" ht="15" customHeight="1">
      <c r="B43" s="27">
        <v>1</v>
      </c>
      <c r="C43" s="18" t="s">
        <v>395</v>
      </c>
      <c r="D43" s="18" t="s">
        <v>471</v>
      </c>
      <c r="E43" s="43" t="s">
        <v>240</v>
      </c>
      <c r="F43" s="43" t="s">
        <v>251</v>
      </c>
      <c r="G43" s="43" t="s">
        <v>792</v>
      </c>
      <c r="H43" s="61">
        <v>0.5</v>
      </c>
      <c r="I43" s="44">
        <v>6</v>
      </c>
      <c r="J43" s="64" t="s">
        <v>769</v>
      </c>
      <c r="K43" s="63">
        <v>0</v>
      </c>
      <c r="L43" s="16">
        <v>6</v>
      </c>
      <c r="M43" s="38">
        <v>0.5</v>
      </c>
    </row>
    <row r="44" spans="2:13" ht="15" customHeight="1">
      <c r="B44" s="27">
        <v>1</v>
      </c>
      <c r="C44" s="18" t="s">
        <v>395</v>
      </c>
      <c r="D44" s="18" t="s">
        <v>471</v>
      </c>
      <c r="E44" s="43" t="s">
        <v>240</v>
      </c>
      <c r="F44" s="43" t="s">
        <v>250</v>
      </c>
      <c r="G44" s="43" t="s">
        <v>792</v>
      </c>
      <c r="H44" s="61">
        <v>0.5</v>
      </c>
      <c r="I44" s="44">
        <v>6</v>
      </c>
      <c r="J44" s="64" t="s">
        <v>769</v>
      </c>
      <c r="K44" s="63">
        <v>0</v>
      </c>
      <c r="L44" s="16">
        <v>6</v>
      </c>
      <c r="M44" s="38">
        <v>0.5</v>
      </c>
    </row>
    <row r="45" spans="2:13" ht="15" customHeight="1">
      <c r="B45" s="27">
        <v>1</v>
      </c>
      <c r="C45" s="18" t="s">
        <v>395</v>
      </c>
      <c r="D45" s="18" t="s">
        <v>471</v>
      </c>
      <c r="E45" s="43" t="s">
        <v>241</v>
      </c>
      <c r="F45" s="43" t="s">
        <v>249</v>
      </c>
      <c r="G45" s="43" t="s">
        <v>792</v>
      </c>
      <c r="H45" s="61">
        <v>2</v>
      </c>
      <c r="I45" s="44">
        <v>24</v>
      </c>
      <c r="J45" s="64" t="s">
        <v>769</v>
      </c>
      <c r="K45" s="63">
        <v>2</v>
      </c>
      <c r="L45" s="16"/>
      <c r="M45" s="38"/>
    </row>
    <row r="46" spans="2:13" ht="15" customHeight="1">
      <c r="B46" s="27">
        <v>1</v>
      </c>
      <c r="C46" s="18" t="s">
        <v>395</v>
      </c>
      <c r="D46" s="18" t="s">
        <v>467</v>
      </c>
      <c r="E46" s="43" t="s">
        <v>241</v>
      </c>
      <c r="F46" s="43" t="s">
        <v>250</v>
      </c>
      <c r="G46" s="43" t="s">
        <v>792</v>
      </c>
      <c r="H46" s="61">
        <v>1</v>
      </c>
      <c r="I46" s="44">
        <v>12</v>
      </c>
      <c r="J46" s="64" t="s">
        <v>769</v>
      </c>
      <c r="K46" s="63">
        <v>1</v>
      </c>
      <c r="L46" s="16"/>
      <c r="M46" s="38"/>
    </row>
    <row r="47" spans="2:13" ht="15" customHeight="1">
      <c r="B47" s="27">
        <v>1</v>
      </c>
      <c r="C47" s="18" t="s">
        <v>395</v>
      </c>
      <c r="D47" s="18" t="s">
        <v>467</v>
      </c>
      <c r="E47" s="43" t="s">
        <v>242</v>
      </c>
      <c r="F47" s="43" t="s">
        <v>249</v>
      </c>
      <c r="G47" s="43" t="s">
        <v>792</v>
      </c>
      <c r="H47" s="61">
        <v>0.5</v>
      </c>
      <c r="I47" s="44">
        <v>6</v>
      </c>
      <c r="J47" s="64" t="s">
        <v>769</v>
      </c>
      <c r="K47" s="63">
        <v>0</v>
      </c>
      <c r="L47" s="16">
        <v>6</v>
      </c>
      <c r="M47" s="38">
        <v>0.5</v>
      </c>
    </row>
    <row r="48" spans="2:13" ht="15" customHeight="1">
      <c r="B48" s="27">
        <v>1</v>
      </c>
      <c r="C48" s="18" t="s">
        <v>395</v>
      </c>
      <c r="D48" s="18" t="s">
        <v>467</v>
      </c>
      <c r="E48" s="43" t="s">
        <v>243</v>
      </c>
      <c r="F48" s="43" t="s">
        <v>249</v>
      </c>
      <c r="G48" s="43" t="s">
        <v>792</v>
      </c>
      <c r="H48" s="61">
        <v>0.5</v>
      </c>
      <c r="I48" s="44">
        <v>6</v>
      </c>
      <c r="J48" s="64" t="s">
        <v>769</v>
      </c>
      <c r="K48" s="63">
        <v>0</v>
      </c>
      <c r="L48" s="16">
        <v>6</v>
      </c>
      <c r="M48" s="38">
        <v>0.5</v>
      </c>
    </row>
    <row r="49" spans="2:13" ht="15" customHeight="1">
      <c r="B49" s="27">
        <v>1</v>
      </c>
      <c r="C49" s="18" t="s">
        <v>395</v>
      </c>
      <c r="D49" s="18" t="s">
        <v>455</v>
      </c>
      <c r="E49" s="43" t="s">
        <v>242</v>
      </c>
      <c r="F49" s="43" t="s">
        <v>249</v>
      </c>
      <c r="G49" s="43" t="s">
        <v>792</v>
      </c>
      <c r="H49" s="61">
        <v>3.5</v>
      </c>
      <c r="I49" s="44">
        <v>42</v>
      </c>
      <c r="J49" s="64" t="s">
        <v>769</v>
      </c>
      <c r="K49" s="63">
        <v>3</v>
      </c>
      <c r="L49" s="16">
        <v>6</v>
      </c>
      <c r="M49" s="38">
        <v>0.5</v>
      </c>
    </row>
    <row r="50" spans="2:13" ht="15" customHeight="1">
      <c r="B50" s="27">
        <v>1</v>
      </c>
      <c r="C50" s="18" t="s">
        <v>395</v>
      </c>
      <c r="D50" s="18" t="s">
        <v>455</v>
      </c>
      <c r="E50" s="43" t="s">
        <v>243</v>
      </c>
      <c r="F50" s="43" t="s">
        <v>249</v>
      </c>
      <c r="G50" s="43" t="s">
        <v>792</v>
      </c>
      <c r="H50" s="61">
        <v>1</v>
      </c>
      <c r="I50" s="44">
        <v>12</v>
      </c>
      <c r="J50" s="64" t="s">
        <v>769</v>
      </c>
      <c r="K50" s="63">
        <v>1</v>
      </c>
      <c r="L50" s="16"/>
      <c r="M50" s="38"/>
    </row>
    <row r="51" spans="2:13" ht="15" customHeight="1">
      <c r="B51" s="27">
        <v>1</v>
      </c>
      <c r="C51" s="18" t="s">
        <v>395</v>
      </c>
      <c r="D51" s="18" t="s">
        <v>464</v>
      </c>
      <c r="E51" s="43" t="s">
        <v>241</v>
      </c>
      <c r="F51" s="43" t="s">
        <v>250</v>
      </c>
      <c r="G51" s="43" t="s">
        <v>792</v>
      </c>
      <c r="H51" s="61">
        <v>1</v>
      </c>
      <c r="I51" s="44">
        <v>12</v>
      </c>
      <c r="J51" s="64" t="s">
        <v>769</v>
      </c>
      <c r="K51" s="63">
        <v>1</v>
      </c>
      <c r="L51" s="16"/>
      <c r="M51" s="38"/>
    </row>
    <row r="52" spans="2:13" ht="15" customHeight="1">
      <c r="B52" s="27">
        <v>1</v>
      </c>
      <c r="C52" s="18" t="s">
        <v>395</v>
      </c>
      <c r="D52" s="18" t="s">
        <v>464</v>
      </c>
      <c r="E52" s="43" t="s">
        <v>242</v>
      </c>
      <c r="F52" s="43" t="s">
        <v>249</v>
      </c>
      <c r="G52" s="43" t="s">
        <v>792</v>
      </c>
      <c r="H52" s="61">
        <v>0.5</v>
      </c>
      <c r="I52" s="44">
        <v>6</v>
      </c>
      <c r="J52" s="64" t="s">
        <v>769</v>
      </c>
      <c r="K52" s="63">
        <v>0</v>
      </c>
      <c r="L52" s="16">
        <v>6</v>
      </c>
      <c r="M52" s="38">
        <v>0.5</v>
      </c>
    </row>
    <row r="53" spans="2:13" ht="15" customHeight="1">
      <c r="B53" s="27">
        <v>1</v>
      </c>
      <c r="C53" s="18" t="s">
        <v>396</v>
      </c>
      <c r="D53" s="18" t="s">
        <v>258</v>
      </c>
      <c r="E53" s="43" t="s">
        <v>242</v>
      </c>
      <c r="F53" s="43" t="s">
        <v>249</v>
      </c>
      <c r="G53" s="43" t="s">
        <v>791</v>
      </c>
      <c r="H53" s="61">
        <v>5</v>
      </c>
      <c r="I53" s="44">
        <v>60</v>
      </c>
      <c r="J53" s="62" t="s">
        <v>765</v>
      </c>
      <c r="K53" s="63">
        <v>5</v>
      </c>
      <c r="L53" s="16"/>
      <c r="M53" s="38"/>
    </row>
    <row r="54" spans="2:13" ht="15" customHeight="1">
      <c r="B54" s="27">
        <v>1</v>
      </c>
      <c r="C54" s="18" t="s">
        <v>396</v>
      </c>
      <c r="D54" s="18" t="s">
        <v>471</v>
      </c>
      <c r="E54" s="43" t="s">
        <v>241</v>
      </c>
      <c r="F54" s="43" t="s">
        <v>249</v>
      </c>
      <c r="G54" s="43" t="s">
        <v>791</v>
      </c>
      <c r="H54" s="61">
        <v>1</v>
      </c>
      <c r="I54" s="44">
        <v>12</v>
      </c>
      <c r="J54" s="62" t="s">
        <v>765</v>
      </c>
      <c r="K54" s="63">
        <v>1</v>
      </c>
      <c r="L54" s="16"/>
      <c r="M54" s="38"/>
    </row>
    <row r="55" spans="2:13" ht="15" customHeight="1">
      <c r="B55" s="27">
        <v>1</v>
      </c>
      <c r="C55" s="18" t="s">
        <v>396</v>
      </c>
      <c r="D55" s="18" t="s">
        <v>455</v>
      </c>
      <c r="E55" s="43" t="s">
        <v>242</v>
      </c>
      <c r="F55" s="43" t="s">
        <v>249</v>
      </c>
      <c r="G55" s="43" t="s">
        <v>791</v>
      </c>
      <c r="H55" s="61">
        <v>4.5</v>
      </c>
      <c r="I55" s="44">
        <v>54</v>
      </c>
      <c r="J55" s="64" t="s">
        <v>769</v>
      </c>
      <c r="K55" s="63">
        <v>4</v>
      </c>
      <c r="L55" s="16">
        <v>6</v>
      </c>
      <c r="M55" s="38">
        <v>0.5</v>
      </c>
    </row>
    <row r="56" spans="2:13" ht="15" customHeight="1">
      <c r="B56" s="27">
        <v>1</v>
      </c>
      <c r="C56" s="18" t="s">
        <v>396</v>
      </c>
      <c r="D56" s="18" t="s">
        <v>471</v>
      </c>
      <c r="E56" s="43" t="s">
        <v>242</v>
      </c>
      <c r="F56" s="43" t="s">
        <v>249</v>
      </c>
      <c r="G56" s="43" t="s">
        <v>792</v>
      </c>
      <c r="H56" s="61">
        <v>2.5</v>
      </c>
      <c r="I56" s="44">
        <v>30</v>
      </c>
      <c r="J56" s="64" t="s">
        <v>769</v>
      </c>
      <c r="K56" s="63">
        <v>2</v>
      </c>
      <c r="L56" s="16">
        <v>6</v>
      </c>
      <c r="M56" s="38">
        <v>0.5</v>
      </c>
    </row>
    <row r="57" spans="2:13" ht="15" customHeight="1">
      <c r="B57" s="27">
        <v>1</v>
      </c>
      <c r="C57" s="18" t="s">
        <v>396</v>
      </c>
      <c r="D57" s="18" t="s">
        <v>455</v>
      </c>
      <c r="E57" s="43" t="s">
        <v>242</v>
      </c>
      <c r="F57" s="43" t="s">
        <v>249</v>
      </c>
      <c r="G57" s="43" t="s">
        <v>792</v>
      </c>
      <c r="H57" s="61">
        <v>1</v>
      </c>
      <c r="I57" s="44">
        <v>12</v>
      </c>
      <c r="J57" s="64" t="s">
        <v>769</v>
      </c>
      <c r="K57" s="63">
        <v>1</v>
      </c>
      <c r="L57" s="16"/>
      <c r="M57" s="38"/>
    </row>
    <row r="58" spans="2:13" ht="15" customHeight="1">
      <c r="B58" s="27">
        <v>1</v>
      </c>
      <c r="C58" s="18" t="s">
        <v>462</v>
      </c>
      <c r="D58" s="18" t="s">
        <v>459</v>
      </c>
      <c r="E58" s="43" t="s">
        <v>241</v>
      </c>
      <c r="F58" s="43" t="s">
        <v>250</v>
      </c>
      <c r="G58" s="43" t="s">
        <v>791</v>
      </c>
      <c r="H58" s="61">
        <v>15</v>
      </c>
      <c r="I58" s="44">
        <v>180</v>
      </c>
      <c r="J58" s="62" t="s">
        <v>765</v>
      </c>
      <c r="K58" s="63">
        <v>15</v>
      </c>
      <c r="L58" s="16"/>
      <c r="M58" s="38"/>
    </row>
    <row r="59" spans="2:13" ht="15" customHeight="1">
      <c r="B59" s="27">
        <v>1</v>
      </c>
      <c r="C59" s="18" t="s">
        <v>462</v>
      </c>
      <c r="D59" s="18" t="s">
        <v>464</v>
      </c>
      <c r="E59" s="43" t="s">
        <v>240</v>
      </c>
      <c r="F59" s="43" t="s">
        <v>250</v>
      </c>
      <c r="G59" s="43" t="s">
        <v>791</v>
      </c>
      <c r="H59" s="61">
        <v>3</v>
      </c>
      <c r="I59" s="44">
        <v>36</v>
      </c>
      <c r="J59" s="62" t="s">
        <v>765</v>
      </c>
      <c r="K59" s="63">
        <v>3</v>
      </c>
      <c r="L59" s="16"/>
      <c r="M59" s="38"/>
    </row>
    <row r="60" spans="2:13" ht="15" customHeight="1">
      <c r="B60" s="27">
        <v>1</v>
      </c>
      <c r="C60" s="18" t="s">
        <v>462</v>
      </c>
      <c r="D60" s="18" t="s">
        <v>459</v>
      </c>
      <c r="E60" s="43" t="s">
        <v>242</v>
      </c>
      <c r="F60" s="43" t="s">
        <v>250</v>
      </c>
      <c r="G60" s="43" t="s">
        <v>792</v>
      </c>
      <c r="H60" s="61">
        <v>1.5</v>
      </c>
      <c r="I60" s="44">
        <v>18</v>
      </c>
      <c r="J60" s="64" t="s">
        <v>769</v>
      </c>
      <c r="K60" s="63">
        <v>1</v>
      </c>
      <c r="L60" s="16">
        <v>6</v>
      </c>
      <c r="M60" s="38">
        <v>0.5</v>
      </c>
    </row>
    <row r="61" spans="2:13" ht="15" customHeight="1">
      <c r="B61" s="27">
        <v>1</v>
      </c>
      <c r="C61" s="18" t="s">
        <v>462</v>
      </c>
      <c r="D61" s="18" t="s">
        <v>464</v>
      </c>
      <c r="E61" s="43" t="s">
        <v>240</v>
      </c>
      <c r="F61" s="43" t="s">
        <v>250</v>
      </c>
      <c r="G61" s="43" t="s">
        <v>792</v>
      </c>
      <c r="H61" s="61">
        <v>3</v>
      </c>
      <c r="I61" s="44">
        <v>36</v>
      </c>
      <c r="J61" s="64" t="s">
        <v>769</v>
      </c>
      <c r="K61" s="63">
        <v>3</v>
      </c>
      <c r="L61" s="16"/>
      <c r="M61" s="38"/>
    </row>
    <row r="62" spans="2:13" ht="15" customHeight="1">
      <c r="B62" s="27">
        <v>2</v>
      </c>
      <c r="C62" s="18" t="s">
        <v>395</v>
      </c>
      <c r="D62" s="18" t="s">
        <v>258</v>
      </c>
      <c r="E62" s="43" t="s">
        <v>241</v>
      </c>
      <c r="F62" s="43" t="s">
        <v>249</v>
      </c>
      <c r="G62" s="43" t="s">
        <v>791</v>
      </c>
      <c r="H62" s="61">
        <v>8</v>
      </c>
      <c r="I62" s="44">
        <v>96</v>
      </c>
      <c r="J62" s="62" t="s">
        <v>765</v>
      </c>
      <c r="K62" s="63">
        <v>8</v>
      </c>
      <c r="L62" s="16"/>
      <c r="M62" s="38"/>
    </row>
    <row r="63" spans="2:13" ht="15" customHeight="1">
      <c r="B63" s="27">
        <v>2</v>
      </c>
      <c r="C63" s="18" t="s">
        <v>395</v>
      </c>
      <c r="D63" s="18" t="s">
        <v>459</v>
      </c>
      <c r="E63" s="43" t="s">
        <v>240</v>
      </c>
      <c r="F63" s="43" t="s">
        <v>250</v>
      </c>
      <c r="G63" s="43" t="s">
        <v>791</v>
      </c>
      <c r="H63" s="61">
        <v>4</v>
      </c>
      <c r="I63" s="44">
        <v>48</v>
      </c>
      <c r="J63" s="62" t="s">
        <v>765</v>
      </c>
      <c r="K63" s="63">
        <v>4</v>
      </c>
      <c r="L63" s="16"/>
      <c r="M63" s="38"/>
    </row>
    <row r="64" spans="2:13" ht="15" customHeight="1">
      <c r="B64" s="27">
        <v>2</v>
      </c>
      <c r="C64" s="18" t="s">
        <v>395</v>
      </c>
      <c r="D64" s="18" t="s">
        <v>459</v>
      </c>
      <c r="E64" s="43" t="s">
        <v>240</v>
      </c>
      <c r="F64" s="43" t="s">
        <v>249</v>
      </c>
      <c r="G64" s="43" t="s">
        <v>791</v>
      </c>
      <c r="H64" s="61">
        <v>5.5</v>
      </c>
      <c r="I64" s="44">
        <v>66</v>
      </c>
      <c r="J64" s="62" t="s">
        <v>765</v>
      </c>
      <c r="K64" s="63">
        <v>5</v>
      </c>
      <c r="L64" s="16">
        <v>6</v>
      </c>
      <c r="M64" s="38"/>
    </row>
    <row r="65" spans="2:13" ht="15" customHeight="1">
      <c r="B65" s="27">
        <v>2</v>
      </c>
      <c r="C65" s="18" t="s">
        <v>395</v>
      </c>
      <c r="D65" s="18" t="s">
        <v>459</v>
      </c>
      <c r="E65" s="43" t="s">
        <v>241</v>
      </c>
      <c r="F65" s="43" t="s">
        <v>251</v>
      </c>
      <c r="G65" s="43" t="s">
        <v>791</v>
      </c>
      <c r="H65" s="61">
        <v>1.5</v>
      </c>
      <c r="I65" s="44">
        <v>18</v>
      </c>
      <c r="J65" s="62" t="s">
        <v>765</v>
      </c>
      <c r="K65" s="63">
        <v>1</v>
      </c>
      <c r="L65" s="16">
        <v>6</v>
      </c>
      <c r="M65" s="38"/>
    </row>
    <row r="66" spans="2:13" ht="15" customHeight="1">
      <c r="B66" s="27">
        <v>2</v>
      </c>
      <c r="C66" s="18" t="s">
        <v>395</v>
      </c>
      <c r="D66" s="18" t="s">
        <v>459</v>
      </c>
      <c r="E66" s="43" t="s">
        <v>241</v>
      </c>
      <c r="F66" s="43" t="s">
        <v>250</v>
      </c>
      <c r="G66" s="43" t="s">
        <v>791</v>
      </c>
      <c r="H66" s="61">
        <v>4.5</v>
      </c>
      <c r="I66" s="44">
        <v>54</v>
      </c>
      <c r="J66" s="62" t="s">
        <v>765</v>
      </c>
      <c r="K66" s="63">
        <v>4</v>
      </c>
      <c r="L66" s="16">
        <v>6</v>
      </c>
      <c r="M66" s="38"/>
    </row>
    <row r="67" spans="2:13" ht="15" customHeight="1">
      <c r="B67" s="27">
        <v>2</v>
      </c>
      <c r="C67" s="18" t="s">
        <v>395</v>
      </c>
      <c r="D67" s="18" t="s">
        <v>459</v>
      </c>
      <c r="E67" s="43" t="s">
        <v>241</v>
      </c>
      <c r="F67" s="43" t="s">
        <v>249</v>
      </c>
      <c r="G67" s="43" t="s">
        <v>791</v>
      </c>
      <c r="H67" s="61">
        <v>4</v>
      </c>
      <c r="I67" s="44">
        <v>48</v>
      </c>
      <c r="J67" s="62" t="s">
        <v>765</v>
      </c>
      <c r="K67" s="63">
        <v>4</v>
      </c>
      <c r="L67" s="16"/>
      <c r="M67" s="38"/>
    </row>
    <row r="68" spans="2:13" ht="15" customHeight="1">
      <c r="B68" s="27">
        <v>2</v>
      </c>
      <c r="C68" s="18" t="s">
        <v>395</v>
      </c>
      <c r="D68" s="18" t="s">
        <v>459</v>
      </c>
      <c r="E68" s="43" t="s">
        <v>242</v>
      </c>
      <c r="F68" s="43" t="s">
        <v>249</v>
      </c>
      <c r="G68" s="43" t="s">
        <v>791</v>
      </c>
      <c r="H68" s="61">
        <v>10.5</v>
      </c>
      <c r="I68" s="44">
        <v>126</v>
      </c>
      <c r="J68" s="62" t="s">
        <v>765</v>
      </c>
      <c r="K68" s="63">
        <v>10</v>
      </c>
      <c r="L68" s="16">
        <v>6</v>
      </c>
      <c r="M68" s="38"/>
    </row>
    <row r="69" spans="2:13" ht="15" customHeight="1">
      <c r="B69" s="27">
        <v>2</v>
      </c>
      <c r="C69" s="18" t="s">
        <v>395</v>
      </c>
      <c r="D69" s="18" t="s">
        <v>467</v>
      </c>
      <c r="E69" s="43" t="s">
        <v>242</v>
      </c>
      <c r="F69" s="43" t="s">
        <v>249</v>
      </c>
      <c r="G69" s="43" t="s">
        <v>791</v>
      </c>
      <c r="H69" s="61">
        <v>1</v>
      </c>
      <c r="I69" s="44">
        <v>12</v>
      </c>
      <c r="J69" s="64" t="s">
        <v>769</v>
      </c>
      <c r="K69" s="63">
        <v>1</v>
      </c>
      <c r="L69" s="16"/>
      <c r="M69" s="38"/>
    </row>
    <row r="70" spans="2:13" ht="15" customHeight="1">
      <c r="B70" s="27">
        <v>2</v>
      </c>
      <c r="C70" s="18" t="s">
        <v>395</v>
      </c>
      <c r="D70" s="18" t="s">
        <v>467</v>
      </c>
      <c r="E70" s="43" t="s">
        <v>243</v>
      </c>
      <c r="F70" s="43" t="s">
        <v>249</v>
      </c>
      <c r="G70" s="43" t="s">
        <v>791</v>
      </c>
      <c r="H70" s="61">
        <v>5</v>
      </c>
      <c r="I70" s="44">
        <v>60</v>
      </c>
      <c r="J70" s="64" t="s">
        <v>769</v>
      </c>
      <c r="K70" s="63">
        <v>5</v>
      </c>
      <c r="L70" s="16"/>
      <c r="M70" s="38"/>
    </row>
    <row r="71" spans="2:13" ht="15" customHeight="1">
      <c r="B71" s="27">
        <v>2</v>
      </c>
      <c r="C71" s="18" t="s">
        <v>395</v>
      </c>
      <c r="D71" s="18" t="s">
        <v>464</v>
      </c>
      <c r="E71" s="43" t="s">
        <v>240</v>
      </c>
      <c r="F71" s="43" t="s">
        <v>251</v>
      </c>
      <c r="G71" s="43" t="s">
        <v>791</v>
      </c>
      <c r="H71" s="61">
        <v>2</v>
      </c>
      <c r="I71" s="44">
        <v>24</v>
      </c>
      <c r="J71" s="62" t="s">
        <v>765</v>
      </c>
      <c r="K71" s="63">
        <v>2</v>
      </c>
      <c r="L71" s="16"/>
      <c r="M71" s="38"/>
    </row>
    <row r="72" spans="2:13" ht="15" customHeight="1">
      <c r="B72" s="27">
        <v>2</v>
      </c>
      <c r="C72" s="18" t="s">
        <v>395</v>
      </c>
      <c r="D72" s="18" t="s">
        <v>464</v>
      </c>
      <c r="E72" s="43" t="s">
        <v>241</v>
      </c>
      <c r="F72" s="43" t="s">
        <v>250</v>
      </c>
      <c r="G72" s="43" t="s">
        <v>791</v>
      </c>
      <c r="H72" s="61">
        <v>0</v>
      </c>
      <c r="I72" s="44">
        <v>0</v>
      </c>
      <c r="J72" s="64" t="s">
        <v>769</v>
      </c>
      <c r="K72" s="63">
        <v>0</v>
      </c>
      <c r="L72" s="16"/>
      <c r="M72" s="38"/>
    </row>
    <row r="73" spans="2:13" ht="15" customHeight="1">
      <c r="B73" s="27">
        <v>2</v>
      </c>
      <c r="C73" s="18" t="s">
        <v>395</v>
      </c>
      <c r="D73" s="18" t="s">
        <v>464</v>
      </c>
      <c r="E73" s="43" t="s">
        <v>241</v>
      </c>
      <c r="F73" s="43" t="s">
        <v>249</v>
      </c>
      <c r="G73" s="43" t="s">
        <v>791</v>
      </c>
      <c r="H73" s="61">
        <v>2</v>
      </c>
      <c r="I73" s="44">
        <v>24</v>
      </c>
      <c r="J73" s="62" t="s">
        <v>765</v>
      </c>
      <c r="K73" s="63">
        <v>2</v>
      </c>
      <c r="L73" s="16"/>
      <c r="M73" s="38"/>
    </row>
    <row r="74" spans="2:13" ht="15" customHeight="1">
      <c r="B74" s="27">
        <v>2</v>
      </c>
      <c r="C74" s="18" t="s">
        <v>395</v>
      </c>
      <c r="D74" s="18" t="s">
        <v>258</v>
      </c>
      <c r="E74" s="43" t="s">
        <v>241</v>
      </c>
      <c r="F74" s="43" t="s">
        <v>250</v>
      </c>
      <c r="G74" s="43" t="s">
        <v>792</v>
      </c>
      <c r="H74" s="61">
        <v>0.5</v>
      </c>
      <c r="I74" s="44">
        <v>6</v>
      </c>
      <c r="J74" s="64" t="s">
        <v>769</v>
      </c>
      <c r="K74" s="63">
        <v>0</v>
      </c>
      <c r="L74" s="16">
        <v>6</v>
      </c>
      <c r="M74" s="38">
        <v>0.5</v>
      </c>
    </row>
    <row r="75" spans="2:13" ht="15" customHeight="1">
      <c r="B75" s="27">
        <v>2</v>
      </c>
      <c r="C75" s="18" t="s">
        <v>395</v>
      </c>
      <c r="D75" s="18" t="s">
        <v>258</v>
      </c>
      <c r="E75" s="43" t="s">
        <v>241</v>
      </c>
      <c r="F75" s="43" t="s">
        <v>249</v>
      </c>
      <c r="G75" s="43" t="s">
        <v>792</v>
      </c>
      <c r="H75" s="61">
        <v>2</v>
      </c>
      <c r="I75" s="44">
        <v>24</v>
      </c>
      <c r="J75" s="64" t="s">
        <v>769</v>
      </c>
      <c r="K75" s="63">
        <v>2</v>
      </c>
      <c r="L75" s="16"/>
      <c r="M75" s="38"/>
    </row>
    <row r="76" spans="2:13" ht="15" customHeight="1">
      <c r="B76" s="27">
        <v>2</v>
      </c>
      <c r="C76" s="18" t="s">
        <v>395</v>
      </c>
      <c r="D76" s="18" t="s">
        <v>459</v>
      </c>
      <c r="E76" s="43" t="s">
        <v>242</v>
      </c>
      <c r="F76" s="43" t="s">
        <v>250</v>
      </c>
      <c r="G76" s="43" t="s">
        <v>792</v>
      </c>
      <c r="H76" s="61">
        <v>2</v>
      </c>
      <c r="I76" s="44">
        <v>24</v>
      </c>
      <c r="J76" s="64" t="s">
        <v>769</v>
      </c>
      <c r="K76" s="63">
        <v>2</v>
      </c>
      <c r="L76" s="16"/>
      <c r="M76" s="38"/>
    </row>
    <row r="77" spans="2:13" ht="15" customHeight="1">
      <c r="B77" s="27">
        <v>2</v>
      </c>
      <c r="C77" s="18" t="s">
        <v>395</v>
      </c>
      <c r="D77" s="18" t="s">
        <v>471</v>
      </c>
      <c r="E77" s="43" t="s">
        <v>240</v>
      </c>
      <c r="F77" s="43" t="s">
        <v>251</v>
      </c>
      <c r="G77" s="43" t="s">
        <v>792</v>
      </c>
      <c r="H77" s="61">
        <v>0.5</v>
      </c>
      <c r="I77" s="44">
        <v>6</v>
      </c>
      <c r="J77" s="64" t="s">
        <v>769</v>
      </c>
      <c r="K77" s="63">
        <v>0</v>
      </c>
      <c r="L77" s="16">
        <v>6</v>
      </c>
      <c r="M77" s="38">
        <v>0.5</v>
      </c>
    </row>
    <row r="78" spans="2:13" ht="15" customHeight="1">
      <c r="B78" s="27">
        <v>2</v>
      </c>
      <c r="C78" s="18" t="s">
        <v>395</v>
      </c>
      <c r="D78" s="18" t="s">
        <v>471</v>
      </c>
      <c r="E78" s="43" t="s">
        <v>240</v>
      </c>
      <c r="F78" s="43" t="s">
        <v>250</v>
      </c>
      <c r="G78" s="43" t="s">
        <v>792</v>
      </c>
      <c r="H78" s="61">
        <v>0.5</v>
      </c>
      <c r="I78" s="44">
        <v>6</v>
      </c>
      <c r="J78" s="64" t="s">
        <v>769</v>
      </c>
      <c r="K78" s="63">
        <v>0</v>
      </c>
      <c r="L78" s="16">
        <v>6</v>
      </c>
      <c r="M78" s="38">
        <v>0.5</v>
      </c>
    </row>
    <row r="79" spans="2:13" ht="15" customHeight="1">
      <c r="B79" s="27">
        <v>2</v>
      </c>
      <c r="C79" s="18" t="s">
        <v>395</v>
      </c>
      <c r="D79" s="18" t="s">
        <v>471</v>
      </c>
      <c r="E79" s="43" t="s">
        <v>241</v>
      </c>
      <c r="F79" s="43" t="s">
        <v>249</v>
      </c>
      <c r="G79" s="43" t="s">
        <v>792</v>
      </c>
      <c r="H79" s="61">
        <v>1</v>
      </c>
      <c r="I79" s="44">
        <v>12</v>
      </c>
      <c r="J79" s="64" t="s">
        <v>769</v>
      </c>
      <c r="K79" s="63">
        <v>1</v>
      </c>
      <c r="L79" s="16"/>
      <c r="M79" s="38"/>
    </row>
    <row r="80" spans="2:13" ht="15" customHeight="1">
      <c r="B80" s="27">
        <v>2</v>
      </c>
      <c r="C80" s="18" t="s">
        <v>395</v>
      </c>
      <c r="D80" s="18" t="s">
        <v>467</v>
      </c>
      <c r="E80" s="43" t="s">
        <v>241</v>
      </c>
      <c r="F80" s="43" t="s">
        <v>250</v>
      </c>
      <c r="G80" s="43" t="s">
        <v>792</v>
      </c>
      <c r="H80" s="61">
        <v>2</v>
      </c>
      <c r="I80" s="44">
        <v>24</v>
      </c>
      <c r="J80" s="64" t="s">
        <v>769</v>
      </c>
      <c r="K80" s="63">
        <v>2</v>
      </c>
      <c r="L80" s="16"/>
      <c r="M80" s="38"/>
    </row>
    <row r="81" spans="2:13" ht="15" customHeight="1">
      <c r="B81" s="27">
        <v>2</v>
      </c>
      <c r="C81" s="18" t="s">
        <v>395</v>
      </c>
      <c r="D81" s="18" t="s">
        <v>467</v>
      </c>
      <c r="E81" s="43" t="s">
        <v>242</v>
      </c>
      <c r="F81" s="43" t="s">
        <v>249</v>
      </c>
      <c r="G81" s="43" t="s">
        <v>792</v>
      </c>
      <c r="H81" s="61">
        <v>2</v>
      </c>
      <c r="I81" s="44">
        <v>24</v>
      </c>
      <c r="J81" s="64" t="s">
        <v>769</v>
      </c>
      <c r="K81" s="63">
        <v>2</v>
      </c>
      <c r="L81" s="16"/>
      <c r="M81" s="38"/>
    </row>
    <row r="82" spans="2:13" ht="15" customHeight="1">
      <c r="B82" s="27">
        <v>2</v>
      </c>
      <c r="C82" s="18" t="s">
        <v>395</v>
      </c>
      <c r="D82" s="18" t="s">
        <v>467</v>
      </c>
      <c r="E82" s="43" t="s">
        <v>243</v>
      </c>
      <c r="F82" s="43" t="s">
        <v>249</v>
      </c>
      <c r="G82" s="43" t="s">
        <v>792</v>
      </c>
      <c r="H82" s="61">
        <v>0.5</v>
      </c>
      <c r="I82" s="44">
        <v>6</v>
      </c>
      <c r="J82" s="64" t="s">
        <v>769</v>
      </c>
      <c r="K82" s="63">
        <v>0</v>
      </c>
      <c r="L82" s="16">
        <v>6</v>
      </c>
      <c r="M82" s="38">
        <v>0.5</v>
      </c>
    </row>
    <row r="83" spans="2:13" ht="15" customHeight="1">
      <c r="B83" s="27">
        <v>2</v>
      </c>
      <c r="C83" s="18" t="s">
        <v>395</v>
      </c>
      <c r="D83" s="18" t="s">
        <v>455</v>
      </c>
      <c r="E83" s="43" t="s">
        <v>242</v>
      </c>
      <c r="F83" s="43" t="s">
        <v>249</v>
      </c>
      <c r="G83" s="43" t="s">
        <v>792</v>
      </c>
      <c r="H83" s="61">
        <v>0.5</v>
      </c>
      <c r="I83" s="44">
        <v>6</v>
      </c>
      <c r="J83" s="64" t="s">
        <v>769</v>
      </c>
      <c r="K83" s="63">
        <v>0</v>
      </c>
      <c r="L83" s="16">
        <v>6</v>
      </c>
      <c r="M83" s="38">
        <v>0.5</v>
      </c>
    </row>
    <row r="84" spans="2:13" ht="15" customHeight="1">
      <c r="B84" s="27">
        <v>2</v>
      </c>
      <c r="C84" s="18" t="s">
        <v>395</v>
      </c>
      <c r="D84" s="18" t="s">
        <v>455</v>
      </c>
      <c r="E84" s="43" t="s">
        <v>243</v>
      </c>
      <c r="F84" s="43" t="s">
        <v>249</v>
      </c>
      <c r="G84" s="43" t="s">
        <v>792</v>
      </c>
      <c r="H84" s="61">
        <v>0.5</v>
      </c>
      <c r="I84" s="44">
        <v>6</v>
      </c>
      <c r="J84" s="64" t="s">
        <v>769</v>
      </c>
      <c r="K84" s="63">
        <v>0</v>
      </c>
      <c r="L84" s="16">
        <v>6</v>
      </c>
      <c r="M84" s="38">
        <v>0.5</v>
      </c>
    </row>
    <row r="85" spans="2:13" ht="15" customHeight="1">
      <c r="B85" s="27">
        <v>2</v>
      </c>
      <c r="C85" s="18" t="s">
        <v>395</v>
      </c>
      <c r="D85" s="18" t="s">
        <v>464</v>
      </c>
      <c r="E85" s="43" t="s">
        <v>241</v>
      </c>
      <c r="F85" s="43" t="s">
        <v>250</v>
      </c>
      <c r="G85" s="43" t="s">
        <v>792</v>
      </c>
      <c r="H85" s="61">
        <v>2.5</v>
      </c>
      <c r="I85" s="44">
        <v>30</v>
      </c>
      <c r="J85" s="64" t="s">
        <v>769</v>
      </c>
      <c r="K85" s="63">
        <v>2</v>
      </c>
      <c r="L85" s="16">
        <v>6</v>
      </c>
      <c r="M85" s="38">
        <v>0.5</v>
      </c>
    </row>
    <row r="86" spans="2:13" ht="15" customHeight="1">
      <c r="B86" s="27">
        <v>2</v>
      </c>
      <c r="C86" s="18" t="s">
        <v>395</v>
      </c>
      <c r="D86" s="18" t="s">
        <v>464</v>
      </c>
      <c r="E86" s="43" t="s">
        <v>242</v>
      </c>
      <c r="F86" s="43" t="s">
        <v>249</v>
      </c>
      <c r="G86" s="43" t="s">
        <v>792</v>
      </c>
      <c r="H86" s="61">
        <v>1.5</v>
      </c>
      <c r="I86" s="44">
        <v>18</v>
      </c>
      <c r="J86" s="64" t="s">
        <v>769</v>
      </c>
      <c r="K86" s="63">
        <v>1</v>
      </c>
      <c r="L86" s="16">
        <v>6</v>
      </c>
      <c r="M86" s="38">
        <v>0.5</v>
      </c>
    </row>
    <row r="87" spans="2:13" ht="15" customHeight="1">
      <c r="B87" s="27">
        <v>2</v>
      </c>
      <c r="C87" s="18" t="s">
        <v>396</v>
      </c>
      <c r="D87" s="18" t="s">
        <v>258</v>
      </c>
      <c r="E87" s="43" t="s">
        <v>242</v>
      </c>
      <c r="F87" s="43" t="s">
        <v>249</v>
      </c>
      <c r="G87" s="43" t="s">
        <v>791</v>
      </c>
      <c r="H87" s="61">
        <v>3</v>
      </c>
      <c r="I87" s="44">
        <v>35.999999999999901</v>
      </c>
      <c r="J87" s="62" t="s">
        <v>765</v>
      </c>
      <c r="K87" s="63">
        <v>3</v>
      </c>
      <c r="L87" s="16"/>
      <c r="M87" s="38"/>
    </row>
    <row r="88" spans="2:13" ht="15" customHeight="1">
      <c r="B88" s="27">
        <v>2</v>
      </c>
      <c r="C88" s="18" t="s">
        <v>396</v>
      </c>
      <c r="D88" s="18" t="s">
        <v>471</v>
      </c>
      <c r="E88" s="43" t="s">
        <v>241</v>
      </c>
      <c r="F88" s="43" t="s">
        <v>249</v>
      </c>
      <c r="G88" s="43" t="s">
        <v>791</v>
      </c>
      <c r="H88" s="61">
        <v>1</v>
      </c>
      <c r="I88" s="44">
        <v>12</v>
      </c>
      <c r="J88" s="62" t="s">
        <v>765</v>
      </c>
      <c r="K88" s="63">
        <v>1</v>
      </c>
      <c r="L88" s="16"/>
      <c r="M88" s="38"/>
    </row>
    <row r="89" spans="2:13" ht="15" customHeight="1">
      <c r="B89" s="27">
        <v>2</v>
      </c>
      <c r="C89" s="18" t="s">
        <v>396</v>
      </c>
      <c r="D89" s="18" t="s">
        <v>455</v>
      </c>
      <c r="E89" s="43" t="s">
        <v>242</v>
      </c>
      <c r="F89" s="43" t="s">
        <v>249</v>
      </c>
      <c r="G89" s="43" t="s">
        <v>791</v>
      </c>
      <c r="H89" s="61">
        <v>4</v>
      </c>
      <c r="I89" s="44">
        <v>48</v>
      </c>
      <c r="J89" s="64" t="s">
        <v>769</v>
      </c>
      <c r="K89" s="63">
        <v>4</v>
      </c>
      <c r="L89" s="16"/>
      <c r="M89" s="38"/>
    </row>
    <row r="90" spans="2:13" ht="15" customHeight="1">
      <c r="B90" s="27">
        <v>2</v>
      </c>
      <c r="C90" s="18" t="s">
        <v>396</v>
      </c>
      <c r="D90" s="18" t="s">
        <v>471</v>
      </c>
      <c r="E90" s="43" t="s">
        <v>242</v>
      </c>
      <c r="F90" s="43" t="s">
        <v>249</v>
      </c>
      <c r="G90" s="43" t="s">
        <v>792</v>
      </c>
      <c r="H90" s="61">
        <v>2</v>
      </c>
      <c r="I90" s="44">
        <v>24</v>
      </c>
      <c r="J90" s="64" t="s">
        <v>769</v>
      </c>
      <c r="K90" s="63">
        <v>2</v>
      </c>
      <c r="L90" s="16"/>
      <c r="M90" s="38"/>
    </row>
    <row r="91" spans="2:13" ht="15" customHeight="1">
      <c r="B91" s="27">
        <v>2</v>
      </c>
      <c r="C91" s="18" t="s">
        <v>396</v>
      </c>
      <c r="D91" s="18" t="s">
        <v>455</v>
      </c>
      <c r="E91" s="43" t="s">
        <v>242</v>
      </c>
      <c r="F91" s="43" t="s">
        <v>249</v>
      </c>
      <c r="G91" s="43" t="s">
        <v>792</v>
      </c>
      <c r="H91" s="61">
        <v>1.5</v>
      </c>
      <c r="I91" s="44">
        <v>18</v>
      </c>
      <c r="J91" s="64" t="s">
        <v>769</v>
      </c>
      <c r="K91" s="63">
        <v>1</v>
      </c>
      <c r="L91" s="16">
        <v>6</v>
      </c>
      <c r="M91" s="38">
        <v>0.5</v>
      </c>
    </row>
    <row r="92" spans="2:13" ht="15" customHeight="1">
      <c r="B92" s="27">
        <v>2</v>
      </c>
      <c r="C92" s="18" t="s">
        <v>462</v>
      </c>
      <c r="D92" s="18" t="s">
        <v>459</v>
      </c>
      <c r="E92" s="43" t="s">
        <v>241</v>
      </c>
      <c r="F92" s="43" t="s">
        <v>250</v>
      </c>
      <c r="G92" s="43" t="s">
        <v>791</v>
      </c>
      <c r="H92" s="61">
        <v>10.5</v>
      </c>
      <c r="I92" s="44">
        <v>126</v>
      </c>
      <c r="J92" s="62" t="s">
        <v>765</v>
      </c>
      <c r="K92" s="63">
        <v>10</v>
      </c>
      <c r="L92" s="16">
        <v>6</v>
      </c>
      <c r="M92" s="38"/>
    </row>
    <row r="93" spans="2:13" ht="15" customHeight="1">
      <c r="B93" s="27">
        <v>2</v>
      </c>
      <c r="C93" s="18" t="s">
        <v>462</v>
      </c>
      <c r="D93" s="18" t="s">
        <v>464</v>
      </c>
      <c r="E93" s="43" t="s">
        <v>240</v>
      </c>
      <c r="F93" s="43" t="s">
        <v>250</v>
      </c>
      <c r="G93" s="43" t="s">
        <v>791</v>
      </c>
      <c r="H93" s="61">
        <v>5</v>
      </c>
      <c r="I93" s="44">
        <v>60</v>
      </c>
      <c r="J93" s="62" t="s">
        <v>765</v>
      </c>
      <c r="K93" s="63">
        <v>5</v>
      </c>
      <c r="L93" s="16"/>
      <c r="M93" s="38"/>
    </row>
    <row r="94" spans="2:13" ht="15" customHeight="1">
      <c r="B94" s="27">
        <v>2</v>
      </c>
      <c r="C94" s="18" t="s">
        <v>462</v>
      </c>
      <c r="D94" s="18" t="s">
        <v>459</v>
      </c>
      <c r="E94" s="43" t="s">
        <v>242</v>
      </c>
      <c r="F94" s="43" t="s">
        <v>250</v>
      </c>
      <c r="G94" s="43" t="s">
        <v>792</v>
      </c>
      <c r="H94" s="61">
        <v>0.5</v>
      </c>
      <c r="I94" s="44">
        <v>6</v>
      </c>
      <c r="J94" s="64" t="s">
        <v>769</v>
      </c>
      <c r="K94" s="63">
        <v>0</v>
      </c>
      <c r="L94" s="16">
        <v>6</v>
      </c>
      <c r="M94" s="38">
        <v>0.5</v>
      </c>
    </row>
    <row r="95" spans="2:13" ht="15" customHeight="1">
      <c r="B95" s="27">
        <v>2</v>
      </c>
      <c r="C95" s="18" t="s">
        <v>462</v>
      </c>
      <c r="D95" s="18" t="s">
        <v>464</v>
      </c>
      <c r="E95" s="43" t="s">
        <v>240</v>
      </c>
      <c r="F95" s="43" t="s">
        <v>250</v>
      </c>
      <c r="G95" s="43" t="s">
        <v>792</v>
      </c>
      <c r="H95" s="61">
        <v>2</v>
      </c>
      <c r="I95" s="44">
        <v>24</v>
      </c>
      <c r="J95" s="64" t="s">
        <v>769</v>
      </c>
      <c r="K95" s="63">
        <v>2</v>
      </c>
      <c r="L95" s="16"/>
      <c r="M95" s="38"/>
    </row>
    <row r="96" spans="2:13" ht="15" customHeight="1">
      <c r="B96" s="27">
        <v>3</v>
      </c>
      <c r="C96" s="18" t="s">
        <v>395</v>
      </c>
      <c r="D96" s="18" t="s">
        <v>258</v>
      </c>
      <c r="E96" s="43" t="s">
        <v>241</v>
      </c>
      <c r="F96" s="43" t="s">
        <v>249</v>
      </c>
      <c r="G96" s="43" t="s">
        <v>791</v>
      </c>
      <c r="H96" s="61">
        <v>5</v>
      </c>
      <c r="I96" s="44">
        <v>60</v>
      </c>
      <c r="J96" s="62" t="s">
        <v>765</v>
      </c>
      <c r="K96" s="63">
        <v>5</v>
      </c>
      <c r="L96" s="16"/>
      <c r="M96" s="38"/>
    </row>
    <row r="97" spans="2:13" ht="15" customHeight="1">
      <c r="B97" s="27">
        <v>3</v>
      </c>
      <c r="C97" s="18" t="s">
        <v>395</v>
      </c>
      <c r="D97" s="18" t="s">
        <v>459</v>
      </c>
      <c r="E97" s="43" t="s">
        <v>240</v>
      </c>
      <c r="F97" s="43" t="s">
        <v>250</v>
      </c>
      <c r="G97" s="43" t="s">
        <v>791</v>
      </c>
      <c r="H97" s="61">
        <v>5.5</v>
      </c>
      <c r="I97" s="44">
        <v>66</v>
      </c>
      <c r="J97" s="62" t="s">
        <v>765</v>
      </c>
      <c r="K97" s="63">
        <v>5</v>
      </c>
      <c r="L97" s="16">
        <v>6</v>
      </c>
      <c r="M97" s="38"/>
    </row>
    <row r="98" spans="2:13" ht="15" customHeight="1">
      <c r="B98" s="27">
        <v>3</v>
      </c>
      <c r="C98" s="18" t="s">
        <v>395</v>
      </c>
      <c r="D98" s="18" t="s">
        <v>459</v>
      </c>
      <c r="E98" s="43" t="s">
        <v>241</v>
      </c>
      <c r="F98" s="43" t="s">
        <v>250</v>
      </c>
      <c r="G98" s="43" t="s">
        <v>791</v>
      </c>
      <c r="H98" s="61">
        <v>8.5</v>
      </c>
      <c r="I98" s="44">
        <v>102</v>
      </c>
      <c r="J98" s="62" t="s">
        <v>765</v>
      </c>
      <c r="K98" s="63">
        <v>8</v>
      </c>
      <c r="L98" s="16">
        <v>6</v>
      </c>
      <c r="M98" s="38"/>
    </row>
    <row r="99" spans="2:13" ht="15" customHeight="1">
      <c r="B99" s="27">
        <v>3</v>
      </c>
      <c r="C99" s="18" t="s">
        <v>395</v>
      </c>
      <c r="D99" s="18" t="s">
        <v>459</v>
      </c>
      <c r="E99" s="43" t="s">
        <v>242</v>
      </c>
      <c r="F99" s="43" t="s">
        <v>249</v>
      </c>
      <c r="G99" s="43" t="s">
        <v>791</v>
      </c>
      <c r="H99" s="61">
        <v>9</v>
      </c>
      <c r="I99" s="44">
        <v>108</v>
      </c>
      <c r="J99" s="62" t="s">
        <v>765</v>
      </c>
      <c r="K99" s="63">
        <v>9</v>
      </c>
      <c r="L99" s="16"/>
      <c r="M99" s="38"/>
    </row>
    <row r="100" spans="2:13" ht="15" customHeight="1">
      <c r="B100" s="27">
        <v>3</v>
      </c>
      <c r="C100" s="18" t="s">
        <v>395</v>
      </c>
      <c r="D100" s="18" t="s">
        <v>467</v>
      </c>
      <c r="E100" s="43" t="s">
        <v>243</v>
      </c>
      <c r="F100" s="43" t="s">
        <v>249</v>
      </c>
      <c r="G100" s="43" t="s">
        <v>791</v>
      </c>
      <c r="H100" s="61">
        <v>7.0000000000000098</v>
      </c>
      <c r="I100" s="44">
        <v>84.000000000000099</v>
      </c>
      <c r="J100" s="64" t="s">
        <v>769</v>
      </c>
      <c r="K100" s="63">
        <v>7</v>
      </c>
      <c r="L100" s="16"/>
      <c r="M100" s="38"/>
    </row>
    <row r="101" spans="2:13" ht="15" customHeight="1">
      <c r="B101" s="27">
        <v>3</v>
      </c>
      <c r="C101" s="18" t="s">
        <v>395</v>
      </c>
      <c r="D101" s="18" t="s">
        <v>464</v>
      </c>
      <c r="E101" s="43" t="s">
        <v>241</v>
      </c>
      <c r="F101" s="43" t="s">
        <v>250</v>
      </c>
      <c r="G101" s="43" t="s">
        <v>791</v>
      </c>
      <c r="H101" s="61">
        <v>0</v>
      </c>
      <c r="I101" s="44">
        <v>0</v>
      </c>
      <c r="J101" s="64" t="s">
        <v>769</v>
      </c>
      <c r="K101" s="63">
        <v>0</v>
      </c>
      <c r="L101" s="16"/>
      <c r="M101" s="38"/>
    </row>
    <row r="102" spans="2:13" ht="15" customHeight="1">
      <c r="B102" s="27">
        <v>3</v>
      </c>
      <c r="C102" s="18" t="s">
        <v>395</v>
      </c>
      <c r="D102" s="18" t="s">
        <v>258</v>
      </c>
      <c r="E102" s="43" t="s">
        <v>241</v>
      </c>
      <c r="F102" s="43" t="s">
        <v>250</v>
      </c>
      <c r="G102" s="43" t="s">
        <v>792</v>
      </c>
      <c r="H102" s="61">
        <v>1</v>
      </c>
      <c r="I102" s="44">
        <v>12</v>
      </c>
      <c r="J102" s="64" t="s">
        <v>769</v>
      </c>
      <c r="K102" s="63">
        <v>1</v>
      </c>
      <c r="L102" s="16"/>
      <c r="M102" s="38"/>
    </row>
    <row r="103" spans="2:13" ht="15" customHeight="1">
      <c r="B103" s="27">
        <v>3</v>
      </c>
      <c r="C103" s="18" t="s">
        <v>395</v>
      </c>
      <c r="D103" s="18" t="s">
        <v>258</v>
      </c>
      <c r="E103" s="43" t="s">
        <v>241</v>
      </c>
      <c r="F103" s="43" t="s">
        <v>249</v>
      </c>
      <c r="G103" s="43" t="s">
        <v>792</v>
      </c>
      <c r="H103" s="61">
        <v>4</v>
      </c>
      <c r="I103" s="44">
        <v>48</v>
      </c>
      <c r="J103" s="64" t="s">
        <v>769</v>
      </c>
      <c r="K103" s="63">
        <v>4</v>
      </c>
      <c r="L103" s="16"/>
      <c r="M103" s="38"/>
    </row>
    <row r="104" spans="2:13" ht="15" customHeight="1">
      <c r="B104" s="27">
        <v>3</v>
      </c>
      <c r="C104" s="18" t="s">
        <v>395</v>
      </c>
      <c r="D104" s="18" t="s">
        <v>459</v>
      </c>
      <c r="E104" s="43" t="s">
        <v>242</v>
      </c>
      <c r="F104" s="43" t="s">
        <v>250</v>
      </c>
      <c r="G104" s="43" t="s">
        <v>792</v>
      </c>
      <c r="H104" s="61">
        <v>0.5</v>
      </c>
      <c r="I104" s="44">
        <v>6</v>
      </c>
      <c r="J104" s="64" t="s">
        <v>769</v>
      </c>
      <c r="K104" s="63">
        <v>0</v>
      </c>
      <c r="L104" s="16">
        <v>6</v>
      </c>
      <c r="M104" s="38">
        <v>0.5</v>
      </c>
    </row>
    <row r="105" spans="2:13" ht="15" customHeight="1">
      <c r="B105" s="27">
        <v>3</v>
      </c>
      <c r="C105" s="18" t="s">
        <v>395</v>
      </c>
      <c r="D105" s="18" t="s">
        <v>471</v>
      </c>
      <c r="E105" s="43" t="s">
        <v>240</v>
      </c>
      <c r="F105" s="43" t="s">
        <v>251</v>
      </c>
      <c r="G105" s="43" t="s">
        <v>792</v>
      </c>
      <c r="H105" s="61">
        <v>1</v>
      </c>
      <c r="I105" s="44">
        <v>12</v>
      </c>
      <c r="J105" s="64" t="s">
        <v>769</v>
      </c>
      <c r="K105" s="63">
        <v>1</v>
      </c>
      <c r="L105" s="16"/>
      <c r="M105" s="38"/>
    </row>
    <row r="106" spans="2:13" ht="15" customHeight="1">
      <c r="B106" s="27">
        <v>3</v>
      </c>
      <c r="C106" s="18" t="s">
        <v>395</v>
      </c>
      <c r="D106" s="18" t="s">
        <v>471</v>
      </c>
      <c r="E106" s="43" t="s">
        <v>240</v>
      </c>
      <c r="F106" s="43" t="s">
        <v>250</v>
      </c>
      <c r="G106" s="43" t="s">
        <v>792</v>
      </c>
      <c r="H106" s="61">
        <v>2.5</v>
      </c>
      <c r="I106" s="44">
        <v>30</v>
      </c>
      <c r="J106" s="64" t="s">
        <v>769</v>
      </c>
      <c r="K106" s="63">
        <v>2</v>
      </c>
      <c r="L106" s="16">
        <v>6</v>
      </c>
      <c r="M106" s="38">
        <v>0.5</v>
      </c>
    </row>
    <row r="107" spans="2:13" ht="15" customHeight="1">
      <c r="B107" s="27">
        <v>3</v>
      </c>
      <c r="C107" s="18" t="s">
        <v>395</v>
      </c>
      <c r="D107" s="18" t="s">
        <v>471</v>
      </c>
      <c r="E107" s="43" t="s">
        <v>241</v>
      </c>
      <c r="F107" s="43" t="s">
        <v>249</v>
      </c>
      <c r="G107" s="43" t="s">
        <v>792</v>
      </c>
      <c r="H107" s="61">
        <v>0.5</v>
      </c>
      <c r="I107" s="44">
        <v>6</v>
      </c>
      <c r="J107" s="64" t="s">
        <v>769</v>
      </c>
      <c r="K107" s="63">
        <v>0</v>
      </c>
      <c r="L107" s="16">
        <v>6</v>
      </c>
      <c r="M107" s="38">
        <v>0.5</v>
      </c>
    </row>
    <row r="108" spans="2:13" ht="15" customHeight="1">
      <c r="B108" s="27">
        <v>3</v>
      </c>
      <c r="C108" s="18" t="s">
        <v>395</v>
      </c>
      <c r="D108" s="18" t="s">
        <v>467</v>
      </c>
      <c r="E108" s="43" t="s">
        <v>241</v>
      </c>
      <c r="F108" s="43" t="s">
        <v>250</v>
      </c>
      <c r="G108" s="43" t="s">
        <v>792</v>
      </c>
      <c r="H108" s="61">
        <v>2.5</v>
      </c>
      <c r="I108" s="44">
        <v>30</v>
      </c>
      <c r="J108" s="64" t="s">
        <v>769</v>
      </c>
      <c r="K108" s="63">
        <v>2</v>
      </c>
      <c r="L108" s="16">
        <v>6</v>
      </c>
      <c r="M108" s="38">
        <v>0.5</v>
      </c>
    </row>
    <row r="109" spans="2:13" ht="15" customHeight="1">
      <c r="B109" s="27">
        <v>3</v>
      </c>
      <c r="C109" s="18" t="s">
        <v>395</v>
      </c>
      <c r="D109" s="18" t="s">
        <v>467</v>
      </c>
      <c r="E109" s="43" t="s">
        <v>242</v>
      </c>
      <c r="F109" s="43" t="s">
        <v>249</v>
      </c>
      <c r="G109" s="43" t="s">
        <v>792</v>
      </c>
      <c r="H109" s="61">
        <v>0.5</v>
      </c>
      <c r="I109" s="44">
        <v>6</v>
      </c>
      <c r="J109" s="64" t="s">
        <v>769</v>
      </c>
      <c r="K109" s="63">
        <v>0</v>
      </c>
      <c r="L109" s="16">
        <v>6</v>
      </c>
      <c r="M109" s="38">
        <v>0.5</v>
      </c>
    </row>
    <row r="110" spans="2:13" ht="15" customHeight="1">
      <c r="B110" s="27">
        <v>3</v>
      </c>
      <c r="C110" s="18" t="s">
        <v>395</v>
      </c>
      <c r="D110" s="18" t="s">
        <v>467</v>
      </c>
      <c r="E110" s="43" t="s">
        <v>243</v>
      </c>
      <c r="F110" s="43" t="s">
        <v>249</v>
      </c>
      <c r="G110" s="43" t="s">
        <v>792</v>
      </c>
      <c r="H110" s="61">
        <v>0.5</v>
      </c>
      <c r="I110" s="44">
        <v>6</v>
      </c>
      <c r="J110" s="64" t="s">
        <v>769</v>
      </c>
      <c r="K110" s="63">
        <v>0</v>
      </c>
      <c r="L110" s="16">
        <v>6</v>
      </c>
      <c r="M110" s="38">
        <v>0.5</v>
      </c>
    </row>
    <row r="111" spans="2:13" ht="15" customHeight="1">
      <c r="B111" s="27">
        <v>3</v>
      </c>
      <c r="C111" s="18" t="s">
        <v>395</v>
      </c>
      <c r="D111" s="18" t="s">
        <v>455</v>
      </c>
      <c r="E111" s="43" t="s">
        <v>242</v>
      </c>
      <c r="F111" s="43" t="s">
        <v>249</v>
      </c>
      <c r="G111" s="43" t="s">
        <v>792</v>
      </c>
      <c r="H111" s="61">
        <v>0.5</v>
      </c>
      <c r="I111" s="44">
        <v>6</v>
      </c>
      <c r="J111" s="64" t="s">
        <v>769</v>
      </c>
      <c r="K111" s="63">
        <v>0</v>
      </c>
      <c r="L111" s="16">
        <v>6</v>
      </c>
      <c r="M111" s="38">
        <v>0.5</v>
      </c>
    </row>
    <row r="112" spans="2:13" ht="15" customHeight="1">
      <c r="B112" s="27">
        <v>3</v>
      </c>
      <c r="C112" s="18" t="s">
        <v>395</v>
      </c>
      <c r="D112" s="18" t="s">
        <v>455</v>
      </c>
      <c r="E112" s="43" t="s">
        <v>243</v>
      </c>
      <c r="F112" s="43" t="s">
        <v>249</v>
      </c>
      <c r="G112" s="43" t="s">
        <v>792</v>
      </c>
      <c r="H112" s="61">
        <v>0.5</v>
      </c>
      <c r="I112" s="44">
        <v>6</v>
      </c>
      <c r="J112" s="64" t="s">
        <v>769</v>
      </c>
      <c r="K112" s="63">
        <v>0</v>
      </c>
      <c r="L112" s="16">
        <v>6</v>
      </c>
      <c r="M112" s="38">
        <v>0.5</v>
      </c>
    </row>
    <row r="113" spans="2:13" ht="15" customHeight="1">
      <c r="B113" s="27">
        <v>3</v>
      </c>
      <c r="C113" s="18" t="s">
        <v>395</v>
      </c>
      <c r="D113" s="18" t="s">
        <v>464</v>
      </c>
      <c r="E113" s="43" t="s">
        <v>241</v>
      </c>
      <c r="F113" s="43" t="s">
        <v>250</v>
      </c>
      <c r="G113" s="43" t="s">
        <v>792</v>
      </c>
      <c r="H113" s="61">
        <v>1</v>
      </c>
      <c r="I113" s="44">
        <v>12</v>
      </c>
      <c r="J113" s="64" t="s">
        <v>769</v>
      </c>
      <c r="K113" s="63">
        <v>1</v>
      </c>
      <c r="L113" s="16"/>
      <c r="M113" s="38"/>
    </row>
    <row r="114" spans="2:13" ht="15" customHeight="1">
      <c r="B114" s="27">
        <v>3</v>
      </c>
      <c r="C114" s="18" t="s">
        <v>395</v>
      </c>
      <c r="D114" s="18" t="s">
        <v>464</v>
      </c>
      <c r="E114" s="43" t="s">
        <v>242</v>
      </c>
      <c r="F114" s="43" t="s">
        <v>249</v>
      </c>
      <c r="G114" s="43" t="s">
        <v>792</v>
      </c>
      <c r="H114" s="61">
        <v>1</v>
      </c>
      <c r="I114" s="44">
        <v>12</v>
      </c>
      <c r="J114" s="64" t="s">
        <v>769</v>
      </c>
      <c r="K114" s="63">
        <v>1</v>
      </c>
      <c r="L114" s="16"/>
      <c r="M114" s="38"/>
    </row>
    <row r="115" spans="2:13" ht="15" customHeight="1">
      <c r="B115" s="27">
        <v>3</v>
      </c>
      <c r="C115" s="18" t="s">
        <v>396</v>
      </c>
      <c r="D115" s="18" t="s">
        <v>258</v>
      </c>
      <c r="E115" s="43" t="s">
        <v>242</v>
      </c>
      <c r="F115" s="43" t="s">
        <v>249</v>
      </c>
      <c r="G115" s="43" t="s">
        <v>791</v>
      </c>
      <c r="H115" s="61">
        <v>3.5</v>
      </c>
      <c r="I115" s="44">
        <v>42</v>
      </c>
      <c r="J115" s="62" t="s">
        <v>765</v>
      </c>
      <c r="K115" s="63">
        <v>3</v>
      </c>
      <c r="L115" s="16">
        <v>6</v>
      </c>
      <c r="M115" s="38"/>
    </row>
    <row r="116" spans="2:13" ht="15" customHeight="1">
      <c r="B116" s="27">
        <v>3</v>
      </c>
      <c r="C116" s="18" t="s">
        <v>396</v>
      </c>
      <c r="D116" s="18" t="s">
        <v>455</v>
      </c>
      <c r="E116" s="43" t="s">
        <v>242</v>
      </c>
      <c r="F116" s="43" t="s">
        <v>249</v>
      </c>
      <c r="G116" s="43" t="s">
        <v>791</v>
      </c>
      <c r="H116" s="61">
        <v>5.5</v>
      </c>
      <c r="I116" s="44">
        <v>66</v>
      </c>
      <c r="J116" s="64" t="s">
        <v>769</v>
      </c>
      <c r="K116" s="63">
        <v>5</v>
      </c>
      <c r="L116" s="16">
        <v>6</v>
      </c>
      <c r="M116" s="38">
        <v>0.5</v>
      </c>
    </row>
    <row r="117" spans="2:13" ht="15" customHeight="1">
      <c r="B117" s="27">
        <v>3</v>
      </c>
      <c r="C117" s="18" t="s">
        <v>396</v>
      </c>
      <c r="D117" s="18" t="s">
        <v>471</v>
      </c>
      <c r="E117" s="43" t="s">
        <v>242</v>
      </c>
      <c r="F117" s="43" t="s">
        <v>249</v>
      </c>
      <c r="G117" s="43" t="s">
        <v>792</v>
      </c>
      <c r="H117" s="61">
        <v>0.5</v>
      </c>
      <c r="I117" s="44">
        <v>6</v>
      </c>
      <c r="J117" s="64" t="s">
        <v>769</v>
      </c>
      <c r="K117" s="63">
        <v>0</v>
      </c>
      <c r="L117" s="16">
        <v>6</v>
      </c>
      <c r="M117" s="38">
        <v>0.5</v>
      </c>
    </row>
    <row r="118" spans="2:13" ht="15" customHeight="1">
      <c r="B118" s="27">
        <v>3</v>
      </c>
      <c r="C118" s="18" t="s">
        <v>396</v>
      </c>
      <c r="D118" s="18" t="s">
        <v>455</v>
      </c>
      <c r="E118" s="43" t="s">
        <v>242</v>
      </c>
      <c r="F118" s="43" t="s">
        <v>249</v>
      </c>
      <c r="G118" s="43" t="s">
        <v>792</v>
      </c>
      <c r="H118" s="61">
        <v>0.5</v>
      </c>
      <c r="I118" s="44">
        <v>6</v>
      </c>
      <c r="J118" s="64" t="s">
        <v>769</v>
      </c>
      <c r="K118" s="63">
        <v>0</v>
      </c>
      <c r="L118" s="16">
        <v>6</v>
      </c>
      <c r="M118" s="38">
        <v>0.5</v>
      </c>
    </row>
    <row r="119" spans="2:13" ht="15" customHeight="1">
      <c r="B119" s="27">
        <v>3</v>
      </c>
      <c r="C119" s="18" t="s">
        <v>462</v>
      </c>
      <c r="D119" s="18" t="s">
        <v>459</v>
      </c>
      <c r="E119" s="43" t="s">
        <v>241</v>
      </c>
      <c r="F119" s="43" t="s">
        <v>250</v>
      </c>
      <c r="G119" s="43" t="s">
        <v>791</v>
      </c>
      <c r="H119" s="61">
        <v>9</v>
      </c>
      <c r="I119" s="44">
        <v>108</v>
      </c>
      <c r="J119" s="62" t="s">
        <v>765</v>
      </c>
      <c r="K119" s="63">
        <v>9</v>
      </c>
      <c r="L119" s="16"/>
      <c r="M119" s="38"/>
    </row>
    <row r="120" spans="2:13" ht="15" customHeight="1">
      <c r="B120" s="27">
        <v>3</v>
      </c>
      <c r="C120" s="18" t="s">
        <v>462</v>
      </c>
      <c r="D120" s="18" t="s">
        <v>464</v>
      </c>
      <c r="E120" s="43" t="s">
        <v>240</v>
      </c>
      <c r="F120" s="43" t="s">
        <v>250</v>
      </c>
      <c r="G120" s="43" t="s">
        <v>791</v>
      </c>
      <c r="H120" s="61">
        <v>4.5</v>
      </c>
      <c r="I120" s="44">
        <v>54</v>
      </c>
      <c r="J120" s="62" t="s">
        <v>765</v>
      </c>
      <c r="K120" s="63">
        <v>4</v>
      </c>
      <c r="L120" s="16">
        <v>6</v>
      </c>
      <c r="M120" s="38"/>
    </row>
    <row r="121" spans="2:13" ht="15" customHeight="1">
      <c r="B121" s="27">
        <v>3</v>
      </c>
      <c r="C121" s="18" t="s">
        <v>462</v>
      </c>
      <c r="D121" s="18" t="s">
        <v>459</v>
      </c>
      <c r="E121" s="43" t="s">
        <v>242</v>
      </c>
      <c r="F121" s="43" t="s">
        <v>250</v>
      </c>
      <c r="G121" s="43" t="s">
        <v>792</v>
      </c>
      <c r="H121" s="61">
        <v>1</v>
      </c>
      <c r="I121" s="44">
        <v>12</v>
      </c>
      <c r="J121" s="64" t="s">
        <v>769</v>
      </c>
      <c r="K121" s="63">
        <v>1</v>
      </c>
      <c r="L121" s="16"/>
      <c r="M121" s="38"/>
    </row>
    <row r="122" spans="2:13" ht="15" customHeight="1">
      <c r="B122" s="27">
        <v>3</v>
      </c>
      <c r="C122" s="18" t="s">
        <v>462</v>
      </c>
      <c r="D122" s="18" t="s">
        <v>464</v>
      </c>
      <c r="E122" s="43" t="s">
        <v>240</v>
      </c>
      <c r="F122" s="43" t="s">
        <v>250</v>
      </c>
      <c r="G122" s="43" t="s">
        <v>792</v>
      </c>
      <c r="H122" s="61">
        <v>0.5</v>
      </c>
      <c r="I122" s="44">
        <v>6</v>
      </c>
      <c r="J122" s="64" t="s">
        <v>769</v>
      </c>
      <c r="K122" s="63">
        <v>0</v>
      </c>
      <c r="L122" s="16">
        <v>6</v>
      </c>
      <c r="M122" s="38">
        <v>0.5</v>
      </c>
    </row>
    <row r="123" spans="2:13" ht="15" customHeight="1">
      <c r="B123" s="27">
        <v>4</v>
      </c>
      <c r="C123" s="18" t="s">
        <v>395</v>
      </c>
      <c r="D123" s="18" t="s">
        <v>258</v>
      </c>
      <c r="E123" s="43" t="s">
        <v>241</v>
      </c>
      <c r="F123" s="43" t="s">
        <v>249</v>
      </c>
      <c r="G123" s="43" t="s">
        <v>791</v>
      </c>
      <c r="H123" s="61">
        <v>4</v>
      </c>
      <c r="I123" s="44">
        <v>48</v>
      </c>
      <c r="J123" s="62" t="s">
        <v>765</v>
      </c>
      <c r="K123" s="63">
        <v>4</v>
      </c>
      <c r="L123" s="16"/>
      <c r="M123" s="38"/>
    </row>
    <row r="124" spans="2:13" ht="15" customHeight="1">
      <c r="B124" s="27">
        <v>4</v>
      </c>
      <c r="C124" s="18" t="s">
        <v>395</v>
      </c>
      <c r="D124" s="18" t="s">
        <v>459</v>
      </c>
      <c r="E124" s="43" t="s">
        <v>240</v>
      </c>
      <c r="F124" s="43" t="s">
        <v>250</v>
      </c>
      <c r="G124" s="43" t="s">
        <v>791</v>
      </c>
      <c r="H124" s="61">
        <v>9.9999999999999893</v>
      </c>
      <c r="I124" s="44">
        <v>120</v>
      </c>
      <c r="J124" s="62" t="s">
        <v>765</v>
      </c>
      <c r="K124" s="63">
        <v>10</v>
      </c>
      <c r="L124" s="16"/>
      <c r="M124" s="38"/>
    </row>
    <row r="125" spans="2:13" ht="15" customHeight="1">
      <c r="B125" s="27">
        <v>4</v>
      </c>
      <c r="C125" s="18" t="s">
        <v>395</v>
      </c>
      <c r="D125" s="18" t="s">
        <v>459</v>
      </c>
      <c r="E125" s="43" t="s">
        <v>241</v>
      </c>
      <c r="F125" s="43" t="s">
        <v>250</v>
      </c>
      <c r="G125" s="43" t="s">
        <v>791</v>
      </c>
      <c r="H125" s="61">
        <v>4.5</v>
      </c>
      <c r="I125" s="44">
        <v>54</v>
      </c>
      <c r="J125" s="62" t="s">
        <v>765</v>
      </c>
      <c r="K125" s="63">
        <v>4</v>
      </c>
      <c r="L125" s="16">
        <v>6</v>
      </c>
      <c r="M125" s="38"/>
    </row>
    <row r="126" spans="2:13" ht="15" customHeight="1">
      <c r="B126" s="27">
        <v>4</v>
      </c>
      <c r="C126" s="18" t="s">
        <v>395</v>
      </c>
      <c r="D126" s="18" t="s">
        <v>459</v>
      </c>
      <c r="E126" s="43" t="s">
        <v>242</v>
      </c>
      <c r="F126" s="43" t="s">
        <v>249</v>
      </c>
      <c r="G126" s="43" t="s">
        <v>791</v>
      </c>
      <c r="H126" s="61">
        <v>5</v>
      </c>
      <c r="I126" s="44">
        <v>60</v>
      </c>
      <c r="J126" s="62" t="s">
        <v>765</v>
      </c>
      <c r="K126" s="63">
        <v>5</v>
      </c>
      <c r="L126" s="16"/>
      <c r="M126" s="38"/>
    </row>
    <row r="127" spans="2:13" ht="15" customHeight="1">
      <c r="B127" s="27">
        <v>4</v>
      </c>
      <c r="C127" s="18" t="s">
        <v>395</v>
      </c>
      <c r="D127" s="18" t="s">
        <v>467</v>
      </c>
      <c r="E127" s="43" t="s">
        <v>243</v>
      </c>
      <c r="F127" s="43" t="s">
        <v>249</v>
      </c>
      <c r="G127" s="43" t="s">
        <v>791</v>
      </c>
      <c r="H127" s="61">
        <v>1.5</v>
      </c>
      <c r="I127" s="44">
        <v>18</v>
      </c>
      <c r="J127" s="64" t="s">
        <v>769</v>
      </c>
      <c r="K127" s="63">
        <v>1</v>
      </c>
      <c r="L127" s="16">
        <v>6</v>
      </c>
      <c r="M127" s="38">
        <v>0.5</v>
      </c>
    </row>
    <row r="128" spans="2:13" ht="15" customHeight="1">
      <c r="B128" s="27">
        <v>4</v>
      </c>
      <c r="C128" s="18" t="s">
        <v>395</v>
      </c>
      <c r="D128" s="18" t="s">
        <v>464</v>
      </c>
      <c r="E128" s="43" t="s">
        <v>241</v>
      </c>
      <c r="F128" s="43" t="s">
        <v>250</v>
      </c>
      <c r="G128" s="43" t="s">
        <v>791</v>
      </c>
      <c r="H128" s="61">
        <v>2</v>
      </c>
      <c r="I128" s="44">
        <v>24</v>
      </c>
      <c r="J128" s="62" t="s">
        <v>765</v>
      </c>
      <c r="K128" s="63">
        <v>2</v>
      </c>
      <c r="L128" s="16"/>
      <c r="M128" s="38"/>
    </row>
    <row r="129" spans="2:13" ht="15" customHeight="1">
      <c r="B129" s="27">
        <v>4</v>
      </c>
      <c r="C129" s="18" t="s">
        <v>395</v>
      </c>
      <c r="D129" s="18" t="s">
        <v>258</v>
      </c>
      <c r="E129" s="43" t="s">
        <v>241</v>
      </c>
      <c r="F129" s="43" t="s">
        <v>250</v>
      </c>
      <c r="G129" s="43" t="s">
        <v>792</v>
      </c>
      <c r="H129" s="61">
        <v>0.5</v>
      </c>
      <c r="I129" s="44">
        <v>6</v>
      </c>
      <c r="J129" s="64" t="s">
        <v>769</v>
      </c>
      <c r="K129" s="63">
        <v>0</v>
      </c>
      <c r="L129" s="16">
        <v>6</v>
      </c>
      <c r="M129" s="38">
        <v>0.5</v>
      </c>
    </row>
    <row r="130" spans="2:13" ht="15" customHeight="1">
      <c r="B130" s="27">
        <v>4</v>
      </c>
      <c r="C130" s="18" t="s">
        <v>395</v>
      </c>
      <c r="D130" s="18" t="s">
        <v>258</v>
      </c>
      <c r="E130" s="43" t="s">
        <v>241</v>
      </c>
      <c r="F130" s="43" t="s">
        <v>249</v>
      </c>
      <c r="G130" s="43" t="s">
        <v>792</v>
      </c>
      <c r="H130" s="61">
        <v>0.5</v>
      </c>
      <c r="I130" s="44">
        <v>6</v>
      </c>
      <c r="J130" s="64" t="s">
        <v>769</v>
      </c>
      <c r="K130" s="63">
        <v>0</v>
      </c>
      <c r="L130" s="16">
        <v>6</v>
      </c>
      <c r="M130" s="38">
        <v>0.5</v>
      </c>
    </row>
    <row r="131" spans="2:13" ht="15" customHeight="1">
      <c r="B131" s="27">
        <v>4</v>
      </c>
      <c r="C131" s="18" t="s">
        <v>395</v>
      </c>
      <c r="D131" s="18" t="s">
        <v>459</v>
      </c>
      <c r="E131" s="43" t="s">
        <v>242</v>
      </c>
      <c r="F131" s="43" t="s">
        <v>250</v>
      </c>
      <c r="G131" s="43" t="s">
        <v>792</v>
      </c>
      <c r="H131" s="61">
        <v>0.5</v>
      </c>
      <c r="I131" s="44">
        <v>6</v>
      </c>
      <c r="J131" s="64" t="s">
        <v>769</v>
      </c>
      <c r="K131" s="63">
        <v>0</v>
      </c>
      <c r="L131" s="16">
        <v>6</v>
      </c>
      <c r="M131" s="38">
        <v>0.5</v>
      </c>
    </row>
    <row r="132" spans="2:13" ht="15" customHeight="1">
      <c r="B132" s="27">
        <v>4</v>
      </c>
      <c r="C132" s="18" t="s">
        <v>395</v>
      </c>
      <c r="D132" s="18" t="s">
        <v>471</v>
      </c>
      <c r="E132" s="43" t="s">
        <v>240</v>
      </c>
      <c r="F132" s="43" t="s">
        <v>251</v>
      </c>
      <c r="G132" s="43" t="s">
        <v>792</v>
      </c>
      <c r="H132" s="61">
        <v>0.5</v>
      </c>
      <c r="I132" s="44">
        <v>6</v>
      </c>
      <c r="J132" s="64" t="s">
        <v>769</v>
      </c>
      <c r="K132" s="63">
        <v>0</v>
      </c>
      <c r="L132" s="16">
        <v>6</v>
      </c>
      <c r="M132" s="38">
        <v>0.5</v>
      </c>
    </row>
    <row r="133" spans="2:13" ht="15" customHeight="1">
      <c r="B133" s="27">
        <v>4</v>
      </c>
      <c r="C133" s="18" t="s">
        <v>395</v>
      </c>
      <c r="D133" s="18" t="s">
        <v>471</v>
      </c>
      <c r="E133" s="43" t="s">
        <v>240</v>
      </c>
      <c r="F133" s="43" t="s">
        <v>250</v>
      </c>
      <c r="G133" s="43" t="s">
        <v>792</v>
      </c>
      <c r="H133" s="61">
        <v>0.5</v>
      </c>
      <c r="I133" s="44">
        <v>6</v>
      </c>
      <c r="J133" s="64" t="s">
        <v>769</v>
      </c>
      <c r="K133" s="63">
        <v>0</v>
      </c>
      <c r="L133" s="16">
        <v>6</v>
      </c>
      <c r="M133" s="38">
        <v>0.5</v>
      </c>
    </row>
    <row r="134" spans="2:13" ht="15" customHeight="1">
      <c r="B134" s="27">
        <v>4</v>
      </c>
      <c r="C134" s="18" t="s">
        <v>395</v>
      </c>
      <c r="D134" s="18" t="s">
        <v>471</v>
      </c>
      <c r="E134" s="43" t="s">
        <v>241</v>
      </c>
      <c r="F134" s="43" t="s">
        <v>249</v>
      </c>
      <c r="G134" s="43" t="s">
        <v>792</v>
      </c>
      <c r="H134" s="61">
        <v>0.5</v>
      </c>
      <c r="I134" s="44">
        <v>6</v>
      </c>
      <c r="J134" s="64" t="s">
        <v>769</v>
      </c>
      <c r="K134" s="63">
        <v>0</v>
      </c>
      <c r="L134" s="16">
        <v>6</v>
      </c>
      <c r="M134" s="38">
        <v>0.5</v>
      </c>
    </row>
    <row r="135" spans="2:13" ht="15" customHeight="1">
      <c r="B135" s="27">
        <v>4</v>
      </c>
      <c r="C135" s="18" t="s">
        <v>395</v>
      </c>
      <c r="D135" s="18" t="s">
        <v>467</v>
      </c>
      <c r="E135" s="43" t="s">
        <v>241</v>
      </c>
      <c r="F135" s="43" t="s">
        <v>250</v>
      </c>
      <c r="G135" s="43" t="s">
        <v>792</v>
      </c>
      <c r="H135" s="61">
        <v>1</v>
      </c>
      <c r="I135" s="44">
        <v>12</v>
      </c>
      <c r="J135" s="64" t="s">
        <v>769</v>
      </c>
      <c r="K135" s="63">
        <v>1</v>
      </c>
      <c r="L135" s="16"/>
      <c r="M135" s="38"/>
    </row>
    <row r="136" spans="2:13" ht="15" customHeight="1">
      <c r="B136" s="27">
        <v>4</v>
      </c>
      <c r="C136" s="18" t="s">
        <v>395</v>
      </c>
      <c r="D136" s="18" t="s">
        <v>467</v>
      </c>
      <c r="E136" s="43" t="s">
        <v>242</v>
      </c>
      <c r="F136" s="43" t="s">
        <v>249</v>
      </c>
      <c r="G136" s="43" t="s">
        <v>792</v>
      </c>
      <c r="H136" s="61">
        <v>0.5</v>
      </c>
      <c r="I136" s="44">
        <v>6</v>
      </c>
      <c r="J136" s="64" t="s">
        <v>769</v>
      </c>
      <c r="K136" s="63">
        <v>0</v>
      </c>
      <c r="L136" s="16">
        <v>6</v>
      </c>
      <c r="M136" s="38">
        <v>0.5</v>
      </c>
    </row>
    <row r="137" spans="2:13" ht="15" customHeight="1">
      <c r="B137" s="27">
        <v>4</v>
      </c>
      <c r="C137" s="18" t="s">
        <v>395</v>
      </c>
      <c r="D137" s="18" t="s">
        <v>467</v>
      </c>
      <c r="E137" s="43" t="s">
        <v>243</v>
      </c>
      <c r="F137" s="43" t="s">
        <v>249</v>
      </c>
      <c r="G137" s="43" t="s">
        <v>792</v>
      </c>
      <c r="H137" s="61">
        <v>0.5</v>
      </c>
      <c r="I137" s="44">
        <v>6</v>
      </c>
      <c r="J137" s="64" t="s">
        <v>769</v>
      </c>
      <c r="K137" s="63">
        <v>0</v>
      </c>
      <c r="L137" s="16">
        <v>6</v>
      </c>
      <c r="M137" s="38">
        <v>0.5</v>
      </c>
    </row>
    <row r="138" spans="2:13" ht="15" customHeight="1">
      <c r="B138" s="27">
        <v>4</v>
      </c>
      <c r="C138" s="18" t="s">
        <v>395</v>
      </c>
      <c r="D138" s="18" t="s">
        <v>455</v>
      </c>
      <c r="E138" s="43" t="s">
        <v>242</v>
      </c>
      <c r="F138" s="43" t="s">
        <v>249</v>
      </c>
      <c r="G138" s="43" t="s">
        <v>792</v>
      </c>
      <c r="H138" s="61">
        <v>0.5</v>
      </c>
      <c r="I138" s="44">
        <v>6</v>
      </c>
      <c r="J138" s="64" t="s">
        <v>769</v>
      </c>
      <c r="K138" s="63">
        <v>0</v>
      </c>
      <c r="L138" s="16">
        <v>6</v>
      </c>
      <c r="M138" s="38">
        <v>0.5</v>
      </c>
    </row>
    <row r="139" spans="2:13" ht="15" customHeight="1">
      <c r="B139" s="27">
        <v>4</v>
      </c>
      <c r="C139" s="18" t="s">
        <v>395</v>
      </c>
      <c r="D139" s="18" t="s">
        <v>455</v>
      </c>
      <c r="E139" s="43" t="s">
        <v>243</v>
      </c>
      <c r="F139" s="43" t="s">
        <v>249</v>
      </c>
      <c r="G139" s="43" t="s">
        <v>792</v>
      </c>
      <c r="H139" s="61">
        <v>0.5</v>
      </c>
      <c r="I139" s="44">
        <v>6</v>
      </c>
      <c r="J139" s="64" t="s">
        <v>769</v>
      </c>
      <c r="K139" s="63">
        <v>0</v>
      </c>
      <c r="L139" s="16">
        <v>6</v>
      </c>
      <c r="M139" s="38">
        <v>0.5</v>
      </c>
    </row>
    <row r="140" spans="2:13" ht="15" customHeight="1">
      <c r="B140" s="27">
        <v>4</v>
      </c>
      <c r="C140" s="18" t="s">
        <v>395</v>
      </c>
      <c r="D140" s="18" t="s">
        <v>464</v>
      </c>
      <c r="E140" s="43" t="s">
        <v>241</v>
      </c>
      <c r="F140" s="43" t="s">
        <v>250</v>
      </c>
      <c r="G140" s="43" t="s">
        <v>792</v>
      </c>
      <c r="H140" s="61">
        <v>1</v>
      </c>
      <c r="I140" s="44">
        <v>12</v>
      </c>
      <c r="J140" s="64" t="s">
        <v>769</v>
      </c>
      <c r="K140" s="63">
        <v>1</v>
      </c>
      <c r="L140" s="16"/>
      <c r="M140" s="38"/>
    </row>
    <row r="141" spans="2:13" ht="15" customHeight="1">
      <c r="B141" s="27">
        <v>4</v>
      </c>
      <c r="C141" s="18" t="s">
        <v>395</v>
      </c>
      <c r="D141" s="18" t="s">
        <v>464</v>
      </c>
      <c r="E141" s="43" t="s">
        <v>242</v>
      </c>
      <c r="F141" s="43" t="s">
        <v>249</v>
      </c>
      <c r="G141" s="43" t="s">
        <v>792</v>
      </c>
      <c r="H141" s="61">
        <v>0.5</v>
      </c>
      <c r="I141" s="44">
        <v>6</v>
      </c>
      <c r="J141" s="64" t="s">
        <v>769</v>
      </c>
      <c r="K141" s="63">
        <v>0</v>
      </c>
      <c r="L141" s="16">
        <v>6</v>
      </c>
      <c r="M141" s="38">
        <v>0.5</v>
      </c>
    </row>
    <row r="142" spans="2:13" ht="15" customHeight="1">
      <c r="B142" s="27">
        <v>4</v>
      </c>
      <c r="C142" s="18" t="s">
        <v>396</v>
      </c>
      <c r="D142" s="18" t="s">
        <v>258</v>
      </c>
      <c r="E142" s="43" t="s">
        <v>242</v>
      </c>
      <c r="F142" s="43" t="s">
        <v>249</v>
      </c>
      <c r="G142" s="43" t="s">
        <v>791</v>
      </c>
      <c r="H142" s="61">
        <v>5.5</v>
      </c>
      <c r="I142" s="44">
        <v>66</v>
      </c>
      <c r="J142" s="62" t="s">
        <v>765</v>
      </c>
      <c r="K142" s="63">
        <v>5</v>
      </c>
      <c r="L142" s="16">
        <v>6</v>
      </c>
      <c r="M142" s="38"/>
    </row>
    <row r="143" spans="2:13" ht="15" customHeight="1">
      <c r="B143" s="27">
        <v>4</v>
      </c>
      <c r="C143" s="18" t="s">
        <v>396</v>
      </c>
      <c r="D143" s="18" t="s">
        <v>455</v>
      </c>
      <c r="E143" s="43" t="s">
        <v>242</v>
      </c>
      <c r="F143" s="43" t="s">
        <v>249</v>
      </c>
      <c r="G143" s="43" t="s">
        <v>791</v>
      </c>
      <c r="H143" s="61">
        <v>4.5</v>
      </c>
      <c r="I143" s="44">
        <v>54</v>
      </c>
      <c r="J143" s="64" t="s">
        <v>769</v>
      </c>
      <c r="K143" s="63">
        <v>4</v>
      </c>
      <c r="L143" s="16">
        <v>6</v>
      </c>
      <c r="M143" s="38">
        <v>0.5</v>
      </c>
    </row>
    <row r="144" spans="2:13" ht="15" customHeight="1">
      <c r="B144" s="27">
        <v>4</v>
      </c>
      <c r="C144" s="18" t="s">
        <v>396</v>
      </c>
      <c r="D144" s="18" t="s">
        <v>471</v>
      </c>
      <c r="E144" s="43" t="s">
        <v>242</v>
      </c>
      <c r="F144" s="43" t="s">
        <v>249</v>
      </c>
      <c r="G144" s="43" t="s">
        <v>792</v>
      </c>
      <c r="H144" s="61">
        <v>2.5</v>
      </c>
      <c r="I144" s="44">
        <v>30</v>
      </c>
      <c r="J144" s="64" t="s">
        <v>769</v>
      </c>
      <c r="K144" s="63">
        <v>2</v>
      </c>
      <c r="L144" s="16">
        <v>6</v>
      </c>
      <c r="M144" s="38">
        <v>0.5</v>
      </c>
    </row>
    <row r="145" spans="2:13" ht="15" customHeight="1">
      <c r="B145" s="27">
        <v>4</v>
      </c>
      <c r="C145" s="18" t="s">
        <v>396</v>
      </c>
      <c r="D145" s="18" t="s">
        <v>455</v>
      </c>
      <c r="E145" s="43" t="s">
        <v>242</v>
      </c>
      <c r="F145" s="43" t="s">
        <v>249</v>
      </c>
      <c r="G145" s="43" t="s">
        <v>792</v>
      </c>
      <c r="H145" s="61">
        <v>2.5</v>
      </c>
      <c r="I145" s="44">
        <v>30</v>
      </c>
      <c r="J145" s="64" t="s">
        <v>769</v>
      </c>
      <c r="K145" s="63">
        <v>2</v>
      </c>
      <c r="L145" s="16">
        <v>6</v>
      </c>
      <c r="M145" s="38">
        <v>0.5</v>
      </c>
    </row>
    <row r="146" spans="2:13" ht="15" customHeight="1">
      <c r="B146" s="27">
        <v>4</v>
      </c>
      <c r="C146" s="18" t="s">
        <v>462</v>
      </c>
      <c r="D146" s="18" t="s">
        <v>459</v>
      </c>
      <c r="E146" s="43" t="s">
        <v>241</v>
      </c>
      <c r="F146" s="43" t="s">
        <v>250</v>
      </c>
      <c r="G146" s="43" t="s">
        <v>791</v>
      </c>
      <c r="H146" s="61">
        <v>5.5</v>
      </c>
      <c r="I146" s="44">
        <v>66</v>
      </c>
      <c r="J146" s="62" t="s">
        <v>765</v>
      </c>
      <c r="K146" s="63">
        <v>5</v>
      </c>
      <c r="L146" s="16">
        <v>6</v>
      </c>
      <c r="M146" s="38"/>
    </row>
    <row r="147" spans="2:13" ht="15" customHeight="1">
      <c r="B147" s="27">
        <v>4</v>
      </c>
      <c r="C147" s="18" t="s">
        <v>462</v>
      </c>
      <c r="D147" s="18" t="s">
        <v>464</v>
      </c>
      <c r="E147" s="43" t="s">
        <v>240</v>
      </c>
      <c r="F147" s="43" t="s">
        <v>250</v>
      </c>
      <c r="G147" s="43" t="s">
        <v>791</v>
      </c>
      <c r="H147" s="61">
        <v>5.5</v>
      </c>
      <c r="I147" s="44">
        <v>66</v>
      </c>
      <c r="J147" s="62" t="s">
        <v>765</v>
      </c>
      <c r="K147" s="63">
        <v>5</v>
      </c>
      <c r="L147" s="16">
        <v>6</v>
      </c>
      <c r="M147" s="38"/>
    </row>
    <row r="148" spans="2:13" ht="15" customHeight="1">
      <c r="B148" s="27">
        <v>4</v>
      </c>
      <c r="C148" s="18" t="s">
        <v>462</v>
      </c>
      <c r="D148" s="18" t="s">
        <v>459</v>
      </c>
      <c r="E148" s="43" t="s">
        <v>242</v>
      </c>
      <c r="F148" s="43" t="s">
        <v>250</v>
      </c>
      <c r="G148" s="43" t="s">
        <v>792</v>
      </c>
      <c r="H148" s="61">
        <v>1</v>
      </c>
      <c r="I148" s="44">
        <v>12</v>
      </c>
      <c r="J148" s="64" t="s">
        <v>769</v>
      </c>
      <c r="K148" s="63">
        <v>1</v>
      </c>
      <c r="L148" s="16"/>
      <c r="M148" s="38"/>
    </row>
    <row r="149" spans="2:13" ht="15" customHeight="1">
      <c r="B149" s="27">
        <v>4</v>
      </c>
      <c r="C149" s="18" t="s">
        <v>462</v>
      </c>
      <c r="D149" s="18" t="s">
        <v>464</v>
      </c>
      <c r="E149" s="43" t="s">
        <v>240</v>
      </c>
      <c r="F149" s="43" t="s">
        <v>250</v>
      </c>
      <c r="G149" s="43" t="s">
        <v>792</v>
      </c>
      <c r="H149" s="61">
        <v>4</v>
      </c>
      <c r="I149" s="44">
        <v>48</v>
      </c>
      <c r="J149" s="64" t="s">
        <v>769</v>
      </c>
      <c r="K149" s="63">
        <v>4</v>
      </c>
      <c r="L149" s="16"/>
      <c r="M149" s="38"/>
    </row>
    <row r="150" spans="2:13" ht="15" customHeight="1">
      <c r="B150" s="27">
        <v>5</v>
      </c>
      <c r="C150" s="18" t="s">
        <v>395</v>
      </c>
      <c r="D150" s="18" t="s">
        <v>258</v>
      </c>
      <c r="E150" s="43" t="s">
        <v>241</v>
      </c>
      <c r="F150" s="43" t="s">
        <v>249</v>
      </c>
      <c r="G150" s="43" t="s">
        <v>791</v>
      </c>
      <c r="H150" s="61">
        <v>1.5</v>
      </c>
      <c r="I150" s="44">
        <v>18</v>
      </c>
      <c r="J150" s="62" t="s">
        <v>765</v>
      </c>
      <c r="K150" s="63">
        <v>1</v>
      </c>
      <c r="L150" s="16">
        <v>6</v>
      </c>
      <c r="M150" s="38"/>
    </row>
    <row r="151" spans="2:13" ht="15" customHeight="1">
      <c r="B151" s="27">
        <v>5</v>
      </c>
      <c r="C151" s="18" t="s">
        <v>395</v>
      </c>
      <c r="D151" s="18" t="s">
        <v>459</v>
      </c>
      <c r="E151" s="43" t="s">
        <v>240</v>
      </c>
      <c r="F151" s="43" t="s">
        <v>250</v>
      </c>
      <c r="G151" s="43" t="s">
        <v>791</v>
      </c>
      <c r="H151" s="61">
        <v>9.5</v>
      </c>
      <c r="I151" s="44">
        <v>114</v>
      </c>
      <c r="J151" s="62" t="s">
        <v>765</v>
      </c>
      <c r="K151" s="63">
        <v>9</v>
      </c>
      <c r="L151" s="16">
        <v>6</v>
      </c>
      <c r="M151" s="38"/>
    </row>
    <row r="152" spans="2:13" ht="15" customHeight="1">
      <c r="B152" s="27">
        <v>5</v>
      </c>
      <c r="C152" s="18" t="s">
        <v>395</v>
      </c>
      <c r="D152" s="18" t="s">
        <v>459</v>
      </c>
      <c r="E152" s="43" t="s">
        <v>241</v>
      </c>
      <c r="F152" s="43" t="s">
        <v>250</v>
      </c>
      <c r="G152" s="43" t="s">
        <v>791</v>
      </c>
      <c r="H152" s="61">
        <v>4</v>
      </c>
      <c r="I152" s="44">
        <v>48</v>
      </c>
      <c r="J152" s="62" t="s">
        <v>765</v>
      </c>
      <c r="K152" s="63">
        <v>4</v>
      </c>
      <c r="L152" s="16"/>
      <c r="M152" s="38"/>
    </row>
    <row r="153" spans="2:13" ht="15" customHeight="1">
      <c r="B153" s="27">
        <v>5</v>
      </c>
      <c r="C153" s="18" t="s">
        <v>395</v>
      </c>
      <c r="D153" s="18" t="s">
        <v>459</v>
      </c>
      <c r="E153" s="43" t="s">
        <v>242</v>
      </c>
      <c r="F153" s="43" t="s">
        <v>249</v>
      </c>
      <c r="G153" s="43" t="s">
        <v>791</v>
      </c>
      <c r="H153" s="61">
        <v>3.5</v>
      </c>
      <c r="I153" s="44">
        <v>42</v>
      </c>
      <c r="J153" s="62" t="s">
        <v>765</v>
      </c>
      <c r="K153" s="63">
        <v>3</v>
      </c>
      <c r="L153" s="16">
        <v>6</v>
      </c>
      <c r="M153" s="38"/>
    </row>
    <row r="154" spans="2:13" ht="15" customHeight="1">
      <c r="B154" s="27">
        <v>5</v>
      </c>
      <c r="C154" s="18" t="s">
        <v>395</v>
      </c>
      <c r="D154" s="18" t="s">
        <v>467</v>
      </c>
      <c r="E154" s="43" t="s">
        <v>243</v>
      </c>
      <c r="F154" s="43" t="s">
        <v>249</v>
      </c>
      <c r="G154" s="43" t="s">
        <v>791</v>
      </c>
      <c r="H154" s="61">
        <v>0</v>
      </c>
      <c r="I154" s="44">
        <v>0</v>
      </c>
      <c r="J154" s="64" t="s">
        <v>769</v>
      </c>
      <c r="K154" s="63">
        <v>0</v>
      </c>
      <c r="L154" s="16"/>
      <c r="M154" s="38"/>
    </row>
    <row r="155" spans="2:13" ht="15" customHeight="1">
      <c r="B155" s="27">
        <v>5</v>
      </c>
      <c r="C155" s="18" t="s">
        <v>395</v>
      </c>
      <c r="D155" s="18" t="s">
        <v>464</v>
      </c>
      <c r="E155" s="43" t="s">
        <v>241</v>
      </c>
      <c r="F155" s="43" t="s">
        <v>250</v>
      </c>
      <c r="G155" s="43" t="s">
        <v>791</v>
      </c>
      <c r="H155" s="61">
        <v>3</v>
      </c>
      <c r="I155" s="44">
        <v>36</v>
      </c>
      <c r="J155" s="62" t="s">
        <v>765</v>
      </c>
      <c r="K155" s="63">
        <v>3</v>
      </c>
      <c r="L155" s="16"/>
      <c r="M155" s="38"/>
    </row>
    <row r="156" spans="2:13" ht="15" customHeight="1">
      <c r="B156" s="27">
        <v>5</v>
      </c>
      <c r="C156" s="18" t="s">
        <v>395</v>
      </c>
      <c r="D156" s="18" t="s">
        <v>258</v>
      </c>
      <c r="E156" s="43" t="s">
        <v>241</v>
      </c>
      <c r="F156" s="43" t="s">
        <v>250</v>
      </c>
      <c r="G156" s="43" t="s">
        <v>792</v>
      </c>
      <c r="H156" s="61">
        <v>0.5</v>
      </c>
      <c r="I156" s="44">
        <v>6</v>
      </c>
      <c r="J156" s="64" t="s">
        <v>769</v>
      </c>
      <c r="K156" s="63">
        <v>0</v>
      </c>
      <c r="L156" s="16">
        <v>6</v>
      </c>
      <c r="M156" s="38">
        <v>0.5</v>
      </c>
    </row>
    <row r="157" spans="2:13" ht="15" customHeight="1">
      <c r="B157" s="27">
        <v>5</v>
      </c>
      <c r="C157" s="18" t="s">
        <v>395</v>
      </c>
      <c r="D157" s="18" t="s">
        <v>258</v>
      </c>
      <c r="E157" s="43" t="s">
        <v>241</v>
      </c>
      <c r="F157" s="43" t="s">
        <v>249</v>
      </c>
      <c r="G157" s="43" t="s">
        <v>792</v>
      </c>
      <c r="H157" s="61">
        <v>0.5</v>
      </c>
      <c r="I157" s="44">
        <v>6</v>
      </c>
      <c r="J157" s="64" t="s">
        <v>769</v>
      </c>
      <c r="K157" s="63">
        <v>0</v>
      </c>
      <c r="L157" s="16">
        <v>6</v>
      </c>
      <c r="M157" s="38">
        <v>0.5</v>
      </c>
    </row>
    <row r="158" spans="2:13" ht="15" customHeight="1">
      <c r="B158" s="27">
        <v>5</v>
      </c>
      <c r="C158" s="18" t="s">
        <v>395</v>
      </c>
      <c r="D158" s="18" t="s">
        <v>459</v>
      </c>
      <c r="E158" s="43" t="s">
        <v>242</v>
      </c>
      <c r="F158" s="43" t="s">
        <v>250</v>
      </c>
      <c r="G158" s="43" t="s">
        <v>792</v>
      </c>
      <c r="H158" s="61">
        <v>0.5</v>
      </c>
      <c r="I158" s="44">
        <v>6</v>
      </c>
      <c r="J158" s="64" t="s">
        <v>769</v>
      </c>
      <c r="K158" s="63">
        <v>0</v>
      </c>
      <c r="L158" s="16">
        <v>6</v>
      </c>
      <c r="M158" s="38">
        <v>0.5</v>
      </c>
    </row>
    <row r="159" spans="2:13" ht="15" customHeight="1">
      <c r="B159" s="27">
        <v>5</v>
      </c>
      <c r="C159" s="18" t="s">
        <v>395</v>
      </c>
      <c r="D159" s="18" t="s">
        <v>471</v>
      </c>
      <c r="E159" s="43" t="s">
        <v>240</v>
      </c>
      <c r="F159" s="43" t="s">
        <v>251</v>
      </c>
      <c r="G159" s="43" t="s">
        <v>792</v>
      </c>
      <c r="H159" s="61">
        <v>0.5</v>
      </c>
      <c r="I159" s="44">
        <v>6</v>
      </c>
      <c r="J159" s="64" t="s">
        <v>769</v>
      </c>
      <c r="K159" s="63">
        <v>0</v>
      </c>
      <c r="L159" s="16">
        <v>6</v>
      </c>
      <c r="M159" s="38">
        <v>0.5</v>
      </c>
    </row>
    <row r="160" spans="2:13" ht="15" customHeight="1">
      <c r="B160" s="27">
        <v>5</v>
      </c>
      <c r="C160" s="18" t="s">
        <v>395</v>
      </c>
      <c r="D160" s="18" t="s">
        <v>471</v>
      </c>
      <c r="E160" s="43" t="s">
        <v>240</v>
      </c>
      <c r="F160" s="43" t="s">
        <v>250</v>
      </c>
      <c r="G160" s="43" t="s">
        <v>792</v>
      </c>
      <c r="H160" s="61">
        <v>0.5</v>
      </c>
      <c r="I160" s="44">
        <v>6</v>
      </c>
      <c r="J160" s="64" t="s">
        <v>769</v>
      </c>
      <c r="K160" s="63">
        <v>0</v>
      </c>
      <c r="L160" s="16">
        <v>6</v>
      </c>
      <c r="M160" s="38">
        <v>0.5</v>
      </c>
    </row>
    <row r="161" spans="2:13" ht="15" customHeight="1">
      <c r="B161" s="27">
        <v>5</v>
      </c>
      <c r="C161" s="18" t="s">
        <v>395</v>
      </c>
      <c r="D161" s="18" t="s">
        <v>471</v>
      </c>
      <c r="E161" s="43" t="s">
        <v>241</v>
      </c>
      <c r="F161" s="43" t="s">
        <v>249</v>
      </c>
      <c r="G161" s="43" t="s">
        <v>792</v>
      </c>
      <c r="H161" s="61">
        <v>1</v>
      </c>
      <c r="I161" s="44">
        <v>12</v>
      </c>
      <c r="J161" s="64" t="s">
        <v>769</v>
      </c>
      <c r="K161" s="63">
        <v>1</v>
      </c>
      <c r="L161" s="16"/>
      <c r="M161" s="38"/>
    </row>
    <row r="162" spans="2:13" ht="15" customHeight="1">
      <c r="B162" s="27">
        <v>5</v>
      </c>
      <c r="C162" s="18" t="s">
        <v>395</v>
      </c>
      <c r="D162" s="18" t="s">
        <v>467</v>
      </c>
      <c r="E162" s="43" t="s">
        <v>241</v>
      </c>
      <c r="F162" s="43" t="s">
        <v>250</v>
      </c>
      <c r="G162" s="43" t="s">
        <v>792</v>
      </c>
      <c r="H162" s="61">
        <v>1</v>
      </c>
      <c r="I162" s="44">
        <v>12</v>
      </c>
      <c r="J162" s="64" t="s">
        <v>769</v>
      </c>
      <c r="K162" s="63">
        <v>1</v>
      </c>
      <c r="L162" s="16"/>
      <c r="M162" s="38"/>
    </row>
    <row r="163" spans="2:13" ht="15" customHeight="1">
      <c r="B163" s="27">
        <v>5</v>
      </c>
      <c r="C163" s="18" t="s">
        <v>395</v>
      </c>
      <c r="D163" s="18" t="s">
        <v>467</v>
      </c>
      <c r="E163" s="43" t="s">
        <v>242</v>
      </c>
      <c r="F163" s="43" t="s">
        <v>249</v>
      </c>
      <c r="G163" s="43" t="s">
        <v>792</v>
      </c>
      <c r="H163" s="61">
        <v>0.5</v>
      </c>
      <c r="I163" s="44">
        <v>6</v>
      </c>
      <c r="J163" s="64" t="s">
        <v>769</v>
      </c>
      <c r="K163" s="63">
        <v>0</v>
      </c>
      <c r="L163" s="16">
        <v>6</v>
      </c>
      <c r="M163" s="38">
        <v>0.5</v>
      </c>
    </row>
    <row r="164" spans="2:13" ht="15" customHeight="1">
      <c r="B164" s="27">
        <v>5</v>
      </c>
      <c r="C164" s="18" t="s">
        <v>395</v>
      </c>
      <c r="D164" s="18" t="s">
        <v>467</v>
      </c>
      <c r="E164" s="43" t="s">
        <v>243</v>
      </c>
      <c r="F164" s="43" t="s">
        <v>249</v>
      </c>
      <c r="G164" s="43" t="s">
        <v>792</v>
      </c>
      <c r="H164" s="61">
        <v>1</v>
      </c>
      <c r="I164" s="44">
        <v>12</v>
      </c>
      <c r="J164" s="64" t="s">
        <v>769</v>
      </c>
      <c r="K164" s="63">
        <v>1</v>
      </c>
      <c r="L164" s="16"/>
      <c r="M164" s="38"/>
    </row>
    <row r="165" spans="2:13" ht="15" customHeight="1">
      <c r="B165" s="27">
        <v>5</v>
      </c>
      <c r="C165" s="18" t="s">
        <v>395</v>
      </c>
      <c r="D165" s="18" t="s">
        <v>455</v>
      </c>
      <c r="E165" s="43" t="s">
        <v>242</v>
      </c>
      <c r="F165" s="43" t="s">
        <v>249</v>
      </c>
      <c r="G165" s="43" t="s">
        <v>792</v>
      </c>
      <c r="H165" s="61">
        <v>0.5</v>
      </c>
      <c r="I165" s="44">
        <v>6</v>
      </c>
      <c r="J165" s="64" t="s">
        <v>769</v>
      </c>
      <c r="K165" s="63">
        <v>0</v>
      </c>
      <c r="L165" s="16">
        <v>6</v>
      </c>
      <c r="M165" s="38">
        <v>0.5</v>
      </c>
    </row>
    <row r="166" spans="2:13" ht="15" customHeight="1">
      <c r="B166" s="27">
        <v>5</v>
      </c>
      <c r="C166" s="18" t="s">
        <v>395</v>
      </c>
      <c r="D166" s="18" t="s">
        <v>455</v>
      </c>
      <c r="E166" s="43" t="s">
        <v>243</v>
      </c>
      <c r="F166" s="43" t="s">
        <v>249</v>
      </c>
      <c r="G166" s="43" t="s">
        <v>792</v>
      </c>
      <c r="H166" s="61">
        <v>0.5</v>
      </c>
      <c r="I166" s="44">
        <v>6</v>
      </c>
      <c r="J166" s="64" t="s">
        <v>769</v>
      </c>
      <c r="K166" s="63">
        <v>0</v>
      </c>
      <c r="L166" s="16">
        <v>6</v>
      </c>
      <c r="M166" s="38">
        <v>0.5</v>
      </c>
    </row>
    <row r="167" spans="2:13" ht="15" customHeight="1">
      <c r="B167" s="27">
        <v>5</v>
      </c>
      <c r="C167" s="18" t="s">
        <v>395</v>
      </c>
      <c r="D167" s="18" t="s">
        <v>464</v>
      </c>
      <c r="E167" s="43" t="s">
        <v>241</v>
      </c>
      <c r="F167" s="43" t="s">
        <v>250</v>
      </c>
      <c r="G167" s="43" t="s">
        <v>792</v>
      </c>
      <c r="H167" s="61">
        <v>1</v>
      </c>
      <c r="I167" s="44">
        <v>12</v>
      </c>
      <c r="J167" s="64" t="s">
        <v>769</v>
      </c>
      <c r="K167" s="63">
        <v>1</v>
      </c>
      <c r="L167" s="16"/>
      <c r="M167" s="38"/>
    </row>
    <row r="168" spans="2:13" ht="15" customHeight="1">
      <c r="B168" s="27">
        <v>5</v>
      </c>
      <c r="C168" s="18" t="s">
        <v>395</v>
      </c>
      <c r="D168" s="18" t="s">
        <v>464</v>
      </c>
      <c r="E168" s="43" t="s">
        <v>242</v>
      </c>
      <c r="F168" s="43" t="s">
        <v>249</v>
      </c>
      <c r="G168" s="43" t="s">
        <v>792</v>
      </c>
      <c r="H168" s="61">
        <v>0.5</v>
      </c>
      <c r="I168" s="44">
        <v>6</v>
      </c>
      <c r="J168" s="64" t="s">
        <v>769</v>
      </c>
      <c r="K168" s="63">
        <v>0</v>
      </c>
      <c r="L168" s="16">
        <v>6</v>
      </c>
      <c r="M168" s="38">
        <v>0.5</v>
      </c>
    </row>
    <row r="169" spans="2:13" ht="15" customHeight="1">
      <c r="B169" s="27">
        <v>5</v>
      </c>
      <c r="C169" s="18" t="s">
        <v>396</v>
      </c>
      <c r="D169" s="18" t="s">
        <v>258</v>
      </c>
      <c r="E169" s="43" t="s">
        <v>242</v>
      </c>
      <c r="F169" s="43" t="s">
        <v>249</v>
      </c>
      <c r="G169" s="43" t="s">
        <v>791</v>
      </c>
      <c r="H169" s="61">
        <v>4</v>
      </c>
      <c r="I169" s="44">
        <v>48</v>
      </c>
      <c r="J169" s="62" t="s">
        <v>765</v>
      </c>
      <c r="K169" s="63">
        <v>4</v>
      </c>
      <c r="L169" s="16"/>
      <c r="M169" s="38"/>
    </row>
    <row r="170" spans="2:13" ht="15" customHeight="1">
      <c r="B170" s="27">
        <v>5</v>
      </c>
      <c r="C170" s="18" t="s">
        <v>396</v>
      </c>
      <c r="D170" s="18" t="s">
        <v>455</v>
      </c>
      <c r="E170" s="43" t="s">
        <v>242</v>
      </c>
      <c r="F170" s="43" t="s">
        <v>249</v>
      </c>
      <c r="G170" s="43" t="s">
        <v>791</v>
      </c>
      <c r="H170" s="61">
        <v>4</v>
      </c>
      <c r="I170" s="44">
        <v>48</v>
      </c>
      <c r="J170" s="64" t="s">
        <v>769</v>
      </c>
      <c r="K170" s="63">
        <v>4</v>
      </c>
      <c r="L170" s="16"/>
      <c r="M170" s="38"/>
    </row>
    <row r="171" spans="2:13" ht="15" customHeight="1">
      <c r="B171" s="27">
        <v>5</v>
      </c>
      <c r="C171" s="18" t="s">
        <v>396</v>
      </c>
      <c r="D171" s="18" t="s">
        <v>471</v>
      </c>
      <c r="E171" s="43" t="s">
        <v>242</v>
      </c>
      <c r="F171" s="43" t="s">
        <v>249</v>
      </c>
      <c r="G171" s="43" t="s">
        <v>792</v>
      </c>
      <c r="H171" s="61">
        <v>3</v>
      </c>
      <c r="I171" s="44">
        <v>36</v>
      </c>
      <c r="J171" s="64" t="s">
        <v>769</v>
      </c>
      <c r="K171" s="63">
        <v>3</v>
      </c>
      <c r="L171" s="16"/>
      <c r="M171" s="38"/>
    </row>
    <row r="172" spans="2:13" ht="15" customHeight="1">
      <c r="B172" s="27">
        <v>5</v>
      </c>
      <c r="C172" s="18" t="s">
        <v>396</v>
      </c>
      <c r="D172" s="18" t="s">
        <v>455</v>
      </c>
      <c r="E172" s="43" t="s">
        <v>242</v>
      </c>
      <c r="F172" s="43" t="s">
        <v>249</v>
      </c>
      <c r="G172" s="43" t="s">
        <v>792</v>
      </c>
      <c r="H172" s="61">
        <v>3</v>
      </c>
      <c r="I172" s="44">
        <v>36</v>
      </c>
      <c r="J172" s="64" t="s">
        <v>769</v>
      </c>
      <c r="K172" s="63">
        <v>3</v>
      </c>
      <c r="L172" s="16"/>
      <c r="M172" s="38"/>
    </row>
    <row r="173" spans="2:13" ht="15" customHeight="1">
      <c r="B173" s="27">
        <v>5</v>
      </c>
      <c r="C173" s="18" t="s">
        <v>462</v>
      </c>
      <c r="D173" s="18" t="s">
        <v>459</v>
      </c>
      <c r="E173" s="43" t="s">
        <v>241</v>
      </c>
      <c r="F173" s="43" t="s">
        <v>250</v>
      </c>
      <c r="G173" s="43" t="s">
        <v>791</v>
      </c>
      <c r="H173" s="61">
        <v>4.5</v>
      </c>
      <c r="I173" s="44">
        <v>54</v>
      </c>
      <c r="J173" s="62" t="s">
        <v>765</v>
      </c>
      <c r="K173" s="63">
        <v>4</v>
      </c>
      <c r="L173" s="16">
        <v>6</v>
      </c>
      <c r="M173" s="38"/>
    </row>
    <row r="174" spans="2:13" ht="15" customHeight="1">
      <c r="B174" s="27">
        <v>5</v>
      </c>
      <c r="C174" s="18" t="s">
        <v>462</v>
      </c>
      <c r="D174" s="18" t="s">
        <v>464</v>
      </c>
      <c r="E174" s="43" t="s">
        <v>240</v>
      </c>
      <c r="F174" s="43" t="s">
        <v>250</v>
      </c>
      <c r="G174" s="43" t="s">
        <v>791</v>
      </c>
      <c r="H174" s="61">
        <v>4</v>
      </c>
      <c r="I174" s="44">
        <v>48</v>
      </c>
      <c r="J174" s="62" t="s">
        <v>765</v>
      </c>
      <c r="K174" s="63">
        <v>4</v>
      </c>
      <c r="L174" s="16"/>
      <c r="M174" s="38"/>
    </row>
    <row r="175" spans="2:13" ht="15" customHeight="1">
      <c r="B175" s="27">
        <v>5</v>
      </c>
      <c r="C175" s="18" t="s">
        <v>462</v>
      </c>
      <c r="D175" s="18" t="s">
        <v>459</v>
      </c>
      <c r="E175" s="43" t="s">
        <v>242</v>
      </c>
      <c r="F175" s="43" t="s">
        <v>250</v>
      </c>
      <c r="G175" s="43" t="s">
        <v>792</v>
      </c>
      <c r="H175" s="61">
        <v>6</v>
      </c>
      <c r="I175" s="44">
        <v>72</v>
      </c>
      <c r="J175" s="64" t="s">
        <v>769</v>
      </c>
      <c r="K175" s="63">
        <v>6</v>
      </c>
      <c r="L175" s="16"/>
      <c r="M175" s="38"/>
    </row>
    <row r="176" spans="2:13" ht="15" customHeight="1">
      <c r="B176" s="27">
        <v>5</v>
      </c>
      <c r="C176" s="18" t="s">
        <v>462</v>
      </c>
      <c r="D176" s="18" t="s">
        <v>464</v>
      </c>
      <c r="E176" s="43" t="s">
        <v>240</v>
      </c>
      <c r="F176" s="43" t="s">
        <v>250</v>
      </c>
      <c r="G176" s="43" t="s">
        <v>792</v>
      </c>
      <c r="H176" s="61">
        <v>1</v>
      </c>
      <c r="I176" s="44">
        <v>12</v>
      </c>
      <c r="J176" s="64" t="s">
        <v>769</v>
      </c>
      <c r="K176" s="63">
        <v>1</v>
      </c>
      <c r="L176" s="16"/>
      <c r="M176" s="38"/>
    </row>
    <row r="177" spans="2:12" ht="15" customHeight="1">
      <c r="B177" s="22" t="s">
        <v>423</v>
      </c>
      <c r="H177" s="23">
        <f>SUM(H28:H176)</f>
        <v>416</v>
      </c>
      <c r="I177" s="45">
        <f>SUM(I28:I176)</f>
        <v>4992</v>
      </c>
      <c r="K177" s="29">
        <f>SUM(K28:K176)</f>
        <v>377</v>
      </c>
      <c r="L177" s="23">
        <f>SUM(L28:L176)</f>
        <v>468</v>
      </c>
    </row>
    <row r="179" spans="2:12" ht="30" customHeight="1">
      <c r="B179" s="4" t="s">
        <v>793</v>
      </c>
      <c r="C179" s="4"/>
      <c r="D179" s="4"/>
      <c r="E179" s="4"/>
      <c r="F179" s="4"/>
      <c r="G179" s="4"/>
      <c r="H179" s="4"/>
      <c r="I179" s="4"/>
      <c r="J179" s="4"/>
      <c r="K179" s="4"/>
      <c r="L179" s="4"/>
    </row>
  </sheetData>
  <mergeCells count="15">
    <mergeCell ref="B16:L16"/>
    <mergeCell ref="A18:L18"/>
    <mergeCell ref="A26:L26"/>
    <mergeCell ref="B179:L179"/>
    <mergeCell ref="C14:F14"/>
    <mergeCell ref="G14:I14"/>
    <mergeCell ref="J14:L14"/>
    <mergeCell ref="C15:F15"/>
    <mergeCell ref="G15:I15"/>
    <mergeCell ref="J15:L15"/>
    <mergeCell ref="A1:L1"/>
    <mergeCell ref="A2:L2"/>
    <mergeCell ref="A4:L4"/>
    <mergeCell ref="A11:L11"/>
    <mergeCell ref="B12:L1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7"/>
  <sheetViews>
    <sheetView zoomScaleNormal="100" workbookViewId="0">
      <selection sqref="A1:L1"/>
    </sheetView>
  </sheetViews>
  <sheetFormatPr defaultColWidth="8.6328125" defaultRowHeight="14.5"/>
  <cols>
    <col min="1" max="1" width="2.453125" customWidth="1"/>
    <col min="2" max="2" width="40" customWidth="1"/>
    <col min="3" max="8" width="12" customWidth="1"/>
    <col min="9" max="9" width="4" customWidth="1"/>
    <col min="10" max="10" width="50" customWidth="1"/>
  </cols>
  <sheetData>
    <row r="1" spans="1:12" ht="25.5" customHeight="1">
      <c r="A1" s="8" t="s">
        <v>794</v>
      </c>
      <c r="B1" s="8"/>
      <c r="C1" s="8"/>
      <c r="D1" s="8"/>
      <c r="E1" s="8"/>
      <c r="F1" s="8"/>
      <c r="G1" s="8"/>
      <c r="H1" s="8"/>
      <c r="I1" s="8"/>
      <c r="J1" s="8"/>
      <c r="K1" s="8"/>
      <c r="L1" s="8"/>
    </row>
    <row r="2" spans="1:12" ht="15" customHeight="1">
      <c r="A2" s="7" t="s">
        <v>795</v>
      </c>
      <c r="B2" s="7"/>
      <c r="C2" s="7"/>
      <c r="D2" s="7"/>
      <c r="E2" s="7"/>
      <c r="F2" s="7"/>
      <c r="G2" s="7"/>
      <c r="H2" s="7"/>
      <c r="I2" s="7"/>
      <c r="J2" s="7"/>
      <c r="K2" s="7"/>
      <c r="L2" s="7"/>
    </row>
    <row r="4" spans="1:12" ht="15" customHeight="1">
      <c r="A4" s="6" t="s">
        <v>796</v>
      </c>
      <c r="B4" s="6"/>
      <c r="C4" s="6"/>
      <c r="D4" s="6"/>
      <c r="E4" s="6"/>
      <c r="F4" s="6"/>
      <c r="G4" s="6"/>
      <c r="H4" s="6"/>
      <c r="I4" s="6"/>
      <c r="J4" s="6"/>
      <c r="K4" s="6"/>
    </row>
    <row r="5" spans="1:12" ht="27.75" customHeight="1">
      <c r="B5" s="19" t="s">
        <v>797</v>
      </c>
    </row>
    <row r="7" spans="1:12" ht="15" customHeight="1">
      <c r="A7" s="6" t="s">
        <v>798</v>
      </c>
      <c r="B7" s="6"/>
      <c r="C7" s="6"/>
      <c r="D7" s="6"/>
      <c r="E7" s="6"/>
      <c r="F7" s="6"/>
      <c r="G7" s="6"/>
      <c r="H7" s="6"/>
      <c r="I7" s="6"/>
      <c r="J7" s="6"/>
      <c r="K7" s="6"/>
    </row>
    <row r="8" spans="1:12" ht="15" customHeight="1">
      <c r="B8" s="11" t="s">
        <v>799</v>
      </c>
      <c r="C8" s="11" t="s">
        <v>244</v>
      </c>
      <c r="D8" s="11" t="s">
        <v>594</v>
      </c>
    </row>
    <row r="9" spans="1:12" ht="15" customHeight="1">
      <c r="B9" s="10" t="s">
        <v>800</v>
      </c>
      <c r="C9" s="56">
        <f>IFERROR((SUMIFS('Seat Ledger'!$N$5:$N$287,'Seat Ledger'!$B$5:$B$287,5,'Seat Ledger'!$I$5:$I$287,"ON",'Seat Ledger'!$H$5:$H$287,"E1") + SUMIFS('Seat Ledger'!$N$5:$N$287,'Seat Ledger'!$B$5:$B$287,5,'Seat Ledger'!$I$5:$I$287,"ON",'Seat Ledger'!$H$5:$H$287,"E2") + SUMIFS('Seat Ledger'!$N$5:$N$287,'Seat Ledger'!$B$5:$B$287,5,'Seat Ledger'!$I$5:$I$287,"ON",'Seat Ledger'!$H$5:$H$287,"E3"))/(SUMIFS('Seat Ledger'!$M$5:$M$287,'Seat Ledger'!$B$5:$B$287,5,'Seat Ledger'!$I$5:$I$287,"ON",'Seat Ledger'!$H$5:$H$287,"E1") + SUMIFS('Seat Ledger'!$M$5:$M$287,'Seat Ledger'!$B$5:$B$287,5,'Seat Ledger'!$I$5:$I$287,"ON",'Seat Ledger'!$H$5:$H$287,"E2") + SUMIFS('Seat Ledger'!$M$5:$M$287,'Seat Ledger'!$B$5:$B$287,5,'Seat Ledger'!$I$5:$I$287,"ON",'Seat Ledger'!$H$5:$H$287,"E3")),0)</f>
        <v>1.3500000000000003</v>
      </c>
      <c r="D9" s="56">
        <f>IFERROR((SUMIFS('Seat Ledger'!$N$5:$N$287,'Seat Ledger'!$B$5:$B$287,5,'Seat Ledger'!$I$5:$I$287,"OFF",'Seat Ledger'!$H$5:$H$287,"E1") + SUMIFS('Seat Ledger'!$N$5:$N$287,'Seat Ledger'!$B$5:$B$287,5,'Seat Ledger'!$I$5:$I$287,"OFF",'Seat Ledger'!$H$5:$H$287,"E2") + SUMIFS('Seat Ledger'!$N$5:$N$287,'Seat Ledger'!$B$5:$B$287,5,'Seat Ledger'!$I$5:$I$287,"OFF",'Seat Ledger'!$H$5:$H$287,"E3"))/(SUMIFS('Seat Ledger'!$M$5:$M$287,'Seat Ledger'!$B$5:$B$287,5,'Seat Ledger'!$I$5:$I$287,"OFF",'Seat Ledger'!$H$5:$H$287,"E1") + SUMIFS('Seat Ledger'!$M$5:$M$287,'Seat Ledger'!$B$5:$B$287,5,'Seat Ledger'!$I$5:$I$287,"OFF",'Seat Ledger'!$H$5:$H$287,"E2") + SUMIFS('Seat Ledger'!$M$5:$M$287,'Seat Ledger'!$B$5:$B$287,5,'Seat Ledger'!$I$5:$I$287,"OFF",'Seat Ledger'!$H$5:$H$287,"E3")),0)</f>
        <v>0.35793103448275865</v>
      </c>
    </row>
    <row r="10" spans="1:12" ht="15" customHeight="1">
      <c r="B10" s="10" t="s">
        <v>801</v>
      </c>
      <c r="C10" s="56">
        <f>IFERROR((SUMIFS('Seat Ledger'!$N$5:$N$287,'Seat Ledger'!$B$5:$B$287,5,'Seat Ledger'!$I$5:$I$287,"ON",'Seat Ledger'!$H$5:$H$287,"E4") + SUMIFS('Seat Ledger'!$N$5:$N$287,'Seat Ledger'!$B$5:$B$287,5,'Seat Ledger'!$I$5:$I$287,"ON",'Seat Ledger'!$H$5:$H$287,"E5"))/(SUMIFS('Seat Ledger'!$M$5:$M$287,'Seat Ledger'!$B$5:$B$287,5,'Seat Ledger'!$I$5:$I$287,"ON",'Seat Ledger'!$H$5:$H$287,"E4") + SUMIFS('Seat Ledger'!$M$5:$M$287,'Seat Ledger'!$B$5:$B$287,5,'Seat Ledger'!$I$5:$I$287,"ON",'Seat Ledger'!$H$5:$H$287,"E5")),0)</f>
        <v>1.9012195121951223</v>
      </c>
      <c r="D10" s="56">
        <f>IFERROR((SUMIFS('Seat Ledger'!$N$5:$N$287,'Seat Ledger'!$B$5:$B$287,5,'Seat Ledger'!$I$5:$I$287,"OFF",'Seat Ledger'!$H$5:$H$287,"E4") + SUMIFS('Seat Ledger'!$N$5:$N$287,'Seat Ledger'!$B$5:$B$287,5,'Seat Ledger'!$I$5:$I$287,"OFF",'Seat Ledger'!$H$5:$H$287,"E5"))/(SUMIFS('Seat Ledger'!$M$5:$M$287,'Seat Ledger'!$B$5:$B$287,5,'Seat Ledger'!$I$5:$I$287,"OFF",'Seat Ledger'!$H$5:$H$287,"E4") + SUMIFS('Seat Ledger'!$M$5:$M$287,'Seat Ledger'!$B$5:$B$287,5,'Seat Ledger'!$I$5:$I$287,"OFF",'Seat Ledger'!$H$5:$H$287,"E5")),0)</f>
        <v>0.59999999999999987</v>
      </c>
    </row>
    <row r="12" spans="1:12" ht="15" customHeight="1">
      <c r="A12" s="6" t="s">
        <v>802</v>
      </c>
      <c r="B12" s="6"/>
      <c r="C12" s="6"/>
      <c r="D12" s="6"/>
      <c r="E12" s="6"/>
      <c r="F12" s="6"/>
      <c r="G12" s="6"/>
      <c r="H12" s="6"/>
      <c r="I12" s="6"/>
      <c r="J12" s="6"/>
      <c r="K12" s="6"/>
    </row>
    <row r="13" spans="1:12" ht="15" customHeight="1">
      <c r="B13" s="11" t="s">
        <v>214</v>
      </c>
      <c r="C13" s="11" t="s">
        <v>188</v>
      </c>
      <c r="D13" s="11" t="s">
        <v>189</v>
      </c>
      <c r="E13" s="11" t="s">
        <v>190</v>
      </c>
      <c r="F13" s="11" t="s">
        <v>191</v>
      </c>
      <c r="G13" s="11" t="s">
        <v>192</v>
      </c>
    </row>
    <row r="14" spans="1:12" ht="15" customHeight="1">
      <c r="B14" s="10" t="s">
        <v>803</v>
      </c>
      <c r="C14" s="20">
        <f>'Glidepath &amp; 50-50'!C25</f>
        <v>6.0457254253598602E-4</v>
      </c>
      <c r="D14" s="20">
        <f>'Glidepath &amp; 50-50'!D25</f>
        <v>0.23091792208005857</v>
      </c>
      <c r="E14" s="20">
        <f>'Glidepath &amp; 50-50'!E25</f>
        <v>0.3748637655410102</v>
      </c>
      <c r="F14" s="20">
        <f>'Glidepath &amp; 50-50'!F25</f>
        <v>0.46123127161758115</v>
      </c>
      <c r="G14" s="20">
        <f>'Glidepath &amp; 50-50'!G25</f>
        <v>0.51058413223276444</v>
      </c>
    </row>
    <row r="15" spans="1:12" ht="15" customHeight="1">
      <c r="B15" s="10" t="s">
        <v>804</v>
      </c>
      <c r="C15" s="20">
        <f>'Team Build-Up'!C54</f>
        <v>0.30041152263374488</v>
      </c>
      <c r="D15" s="20">
        <f>'Team Build-Up'!D54</f>
        <v>0.40641711229946492</v>
      </c>
      <c r="E15" s="20">
        <f>'Team Build-Up'!E54</f>
        <v>0.49342105263157893</v>
      </c>
      <c r="F15" s="20">
        <f>'Team Build-Up'!F54</f>
        <v>0.55725190839694638</v>
      </c>
      <c r="G15" s="20">
        <f>'Team Build-Up'!G54</f>
        <v>0.60504201680672265</v>
      </c>
    </row>
    <row r="16" spans="1:12" ht="15" customHeight="1">
      <c r="B16" s="10" t="s">
        <v>805</v>
      </c>
      <c r="C16" s="20">
        <f>'Team Build-Up'!C76</f>
        <v>0.33333333333333331</v>
      </c>
      <c r="D16" s="20">
        <f>'Team Build-Up'!D76</f>
        <v>0.36898395721925159</v>
      </c>
      <c r="E16" s="20">
        <f>'Team Build-Up'!E76</f>
        <v>0.40131578947368424</v>
      </c>
      <c r="F16" s="20">
        <f>'Team Build-Up'!F76</f>
        <v>0.38931297709923673</v>
      </c>
      <c r="G16" s="20">
        <f>'Team Build-Up'!G76</f>
        <v>0.45378151260504201</v>
      </c>
    </row>
    <row r="17" spans="1:11" ht="15" customHeight="1">
      <c r="B17" s="10" t="s">
        <v>806</v>
      </c>
      <c r="C17" s="20">
        <f>'Delivery Mode'!C20</f>
        <v>0.39477447369243601</v>
      </c>
      <c r="D17" s="20">
        <f>'Delivery Mode'!D20</f>
        <v>0.85606843273281819</v>
      </c>
      <c r="E17" s="20">
        <f>'Delivery Mode'!E20</f>
        <v>1</v>
      </c>
      <c r="F17" s="20">
        <f>'Delivery Mode'!F20</f>
        <v>1</v>
      </c>
      <c r="G17" s="20">
        <f>'Delivery Mode'!G20</f>
        <v>1</v>
      </c>
    </row>
    <row r="18" spans="1:11" ht="15" customHeight="1">
      <c r="B18" s="22" t="s">
        <v>807</v>
      </c>
      <c r="C18" s="65">
        <f>'Cost &amp; Commercial'!C9</f>
        <v>1.2208663894681004</v>
      </c>
      <c r="D18" s="65">
        <f>'Cost &amp; Commercial'!D9</f>
        <v>0.89953813947940997</v>
      </c>
      <c r="E18" s="65">
        <f>'Cost &amp; Commercial'!E9</f>
        <v>0.71343672757632226</v>
      </c>
      <c r="F18" s="65">
        <f>'Cost &amp; Commercial'!F9</f>
        <v>0.54452656212085682</v>
      </c>
      <c r="G18" s="65">
        <f>'Cost &amp; Commercial'!G9</f>
        <v>0.47391084405729872</v>
      </c>
    </row>
    <row r="19" spans="1:11" ht="15" customHeight="1">
      <c r="B19" s="10" t="s">
        <v>808</v>
      </c>
      <c r="C19" s="56">
        <f>(1-C14)*(C15*(C16*$D$10+(1-C16)*$D$9)+(1-C15)*(C16*$C$10+(1-C16)*$C$9))</f>
        <v>1.2040250659171252</v>
      </c>
      <c r="D19" s="56">
        <f>(1-D14)*(D15*(D16*$D$10+(1-D16)*$D$9)+(1-D15)*(D16*$C$10+(1-D16)*$C$9))</f>
        <v>0.84894102729351395</v>
      </c>
      <c r="E19" s="56">
        <f>(1-E14)*(E15*(E16*$D$10+(1-E16)*$D$9)+(1-E15)*(E16*$C$10+(1-E16)*$C$9))</f>
        <v>0.63794409617285108</v>
      </c>
      <c r="F19" s="56">
        <f>(1-F14)*(F15*(F16*$D$10+(1-F16)*$D$9)+(1-F15)*(F16*$C$10+(1-F16)*$C$9))</f>
        <v>0.50897255282262999</v>
      </c>
      <c r="G19" s="56">
        <f>(1-G14)*(G15*(G16*$D$10+(1-G16)*$D$9)+(1-G15)*(G16*$C$10+(1-G16)*$C$9))</f>
        <v>0.44782061200555806</v>
      </c>
    </row>
    <row r="20" spans="1:11" ht="15" customHeight="1">
      <c r="B20" s="32" t="s">
        <v>809</v>
      </c>
      <c r="G20" s="66">
        <f>IF(G19=0,1,G18/G19)</f>
        <v>1.058260453744851</v>
      </c>
    </row>
    <row r="22" spans="1:11" ht="15" customHeight="1">
      <c r="A22" s="6" t="s">
        <v>810</v>
      </c>
      <c r="B22" s="6"/>
      <c r="C22" s="6"/>
      <c r="D22" s="6"/>
      <c r="E22" s="6"/>
      <c r="F22" s="6"/>
      <c r="G22" s="6"/>
      <c r="H22" s="6"/>
      <c r="I22" s="6"/>
      <c r="J22" s="6"/>
      <c r="K22" s="6"/>
    </row>
    <row r="23" spans="1:11" ht="15" customHeight="1">
      <c r="B23" s="11" t="s">
        <v>811</v>
      </c>
      <c r="C23" s="67">
        <v>0.35</v>
      </c>
      <c r="D23" s="67">
        <v>0.4</v>
      </c>
      <c r="E23" s="67">
        <v>0.45</v>
      </c>
      <c r="F23" s="67">
        <v>0.5</v>
      </c>
      <c r="G23" s="67">
        <v>0.55000000000000004</v>
      </c>
      <c r="H23" s="67">
        <v>0.6</v>
      </c>
    </row>
    <row r="24" spans="1:11" ht="15" customHeight="1">
      <c r="B24" s="31">
        <v>0.45</v>
      </c>
      <c r="C24" s="56">
        <f t="shared" ref="C24:H28" si="0">$G$20*(1-C$23)*($B24*($G$16*$D$10+(1-$G$16)*$D$9)+(1-$B24)*($G$16*$C$10+(1-$G$16)*$C$9))</f>
        <v>0.75017176885586556</v>
      </c>
      <c r="D24" s="56">
        <f t="shared" si="0"/>
        <v>0.69246624817464508</v>
      </c>
      <c r="E24" s="56">
        <f t="shared" si="0"/>
        <v>0.63476072749342483</v>
      </c>
      <c r="F24" s="56">
        <f t="shared" si="0"/>
        <v>0.57705520681220424</v>
      </c>
      <c r="G24" s="56">
        <f t="shared" si="0"/>
        <v>0.51934968613098387</v>
      </c>
      <c r="H24" s="56">
        <f t="shared" si="0"/>
        <v>0.46164416544976344</v>
      </c>
    </row>
    <row r="25" spans="1:11" ht="15" customHeight="1">
      <c r="B25" s="31">
        <v>0.55000000000000004</v>
      </c>
      <c r="C25" s="56">
        <f t="shared" si="0"/>
        <v>0.67228049246644539</v>
      </c>
      <c r="D25" s="56">
        <f t="shared" si="0"/>
        <v>0.62056660843056488</v>
      </c>
      <c r="E25" s="56">
        <f t="shared" si="0"/>
        <v>0.56885272439468459</v>
      </c>
      <c r="F25" s="56">
        <f t="shared" si="0"/>
        <v>0.51713884035880409</v>
      </c>
      <c r="G25" s="56">
        <f t="shared" si="0"/>
        <v>0.46542495632292369</v>
      </c>
      <c r="H25" s="56">
        <f t="shared" si="0"/>
        <v>0.41371107228704329</v>
      </c>
    </row>
    <row r="26" spans="1:11" ht="15" customHeight="1">
      <c r="B26" s="31">
        <v>0.65</v>
      </c>
      <c r="C26" s="56">
        <f t="shared" si="0"/>
        <v>0.59438921607702533</v>
      </c>
      <c r="D26" s="56">
        <f t="shared" si="0"/>
        <v>0.54866696868648479</v>
      </c>
      <c r="E26" s="56">
        <f t="shared" si="0"/>
        <v>0.50294472129594459</v>
      </c>
      <c r="F26" s="56">
        <f t="shared" si="0"/>
        <v>0.4572224739054041</v>
      </c>
      <c r="G26" s="56">
        <f t="shared" si="0"/>
        <v>0.41150022651486368</v>
      </c>
      <c r="H26" s="56">
        <f t="shared" si="0"/>
        <v>0.36577797912432325</v>
      </c>
    </row>
    <row r="27" spans="1:11" ht="15" customHeight="1">
      <c r="B27" s="31">
        <v>0.75</v>
      </c>
      <c r="C27" s="56">
        <f t="shared" si="0"/>
        <v>0.51649793968760516</v>
      </c>
      <c r="D27" s="56">
        <f t="shared" si="0"/>
        <v>0.47676732894240476</v>
      </c>
      <c r="E27" s="56">
        <f t="shared" si="0"/>
        <v>0.43703671819720447</v>
      </c>
      <c r="F27" s="56">
        <f t="shared" si="0"/>
        <v>0.39730610745200401</v>
      </c>
      <c r="G27" s="56">
        <f t="shared" si="0"/>
        <v>0.35757549670680355</v>
      </c>
      <c r="H27" s="56">
        <f t="shared" si="0"/>
        <v>0.31784488596160321</v>
      </c>
    </row>
    <row r="28" spans="1:11" ht="15" customHeight="1">
      <c r="B28" s="31">
        <v>0.85</v>
      </c>
      <c r="C28" s="56">
        <f t="shared" si="0"/>
        <v>0.4386066632981851</v>
      </c>
      <c r="D28" s="56">
        <f t="shared" si="0"/>
        <v>0.40486768919832461</v>
      </c>
      <c r="E28" s="56">
        <f t="shared" si="0"/>
        <v>0.37112871509846435</v>
      </c>
      <c r="F28" s="56">
        <f t="shared" si="0"/>
        <v>0.33738974099860392</v>
      </c>
      <c r="G28" s="56">
        <f t="shared" si="0"/>
        <v>0.30365076689874348</v>
      </c>
      <c r="H28" s="56">
        <f t="shared" si="0"/>
        <v>0.26991179279888311</v>
      </c>
    </row>
    <row r="30" spans="1:11" ht="15" customHeight="1">
      <c r="A30" s="6" t="s">
        <v>812</v>
      </c>
      <c r="B30" s="6"/>
      <c r="C30" s="6"/>
      <c r="D30" s="6"/>
      <c r="E30" s="6"/>
      <c r="F30" s="6"/>
      <c r="G30" s="6"/>
      <c r="H30" s="6"/>
      <c r="I30" s="6"/>
      <c r="J30" s="6"/>
      <c r="K30" s="6"/>
    </row>
    <row r="31" spans="1:11" ht="15" customHeight="1">
      <c r="B31" s="11" t="s">
        <v>813</v>
      </c>
      <c r="C31" s="11" t="s">
        <v>814</v>
      </c>
      <c r="D31" s="11" t="s">
        <v>815</v>
      </c>
      <c r="E31" s="11" t="s">
        <v>816</v>
      </c>
      <c r="F31" s="11" t="s">
        <v>817</v>
      </c>
      <c r="G31" s="11" t="s">
        <v>373</v>
      </c>
    </row>
    <row r="32" spans="1:11" ht="27.75" customHeight="1">
      <c r="B32" s="9" t="s">
        <v>818</v>
      </c>
      <c r="C32" s="56">
        <f>$G$20*(1-($G$14-0.1))*(($G$15)*(($G$16)*$D$10+(1-($G$16))*$D$9)+(1-($G$15))*(($G$16)*$C$10+(1-($G$16))*$C$9))</f>
        <v>0.57074277683040797</v>
      </c>
      <c r="D32" s="56">
        <f>$G$20*(1-($G$14))*(($G$15)*(($G$16)*$D$10+(1-($G$16))*$D$9)+(1-($G$15))*(($G$16)*$C$10+(1-($G$16))*$C$9))</f>
        <v>0.47391084405729877</v>
      </c>
      <c r="E32" s="56">
        <f>$G$20*(1-($G$14+0.1))*(($G$15)*(($G$16)*$D$10+(1-($G$16))*$D$9)+(1-($G$15))*(($G$16)*$C$10+(1-($G$16))*$C$9))</f>
        <v>0.37707891128418952</v>
      </c>
      <c r="F32" s="65">
        <f>ABS(E32-C32)</f>
        <v>0.19366386554621845</v>
      </c>
      <c r="G32" s="13" t="s">
        <v>819</v>
      </c>
    </row>
    <row r="33" spans="2:7" ht="54.75" customHeight="1">
      <c r="B33" s="9" t="s">
        <v>820</v>
      </c>
      <c r="C33" s="56">
        <f>$G$20*(1-($G$14))*(($G$15-0.1)*(($G$16)*$D$10+(1-($G$16))*$D$9)+(1-($G$15-0.1))*(($G$16)*$C$10+(1-($G$16))*$C$9))</f>
        <v>0.53255888501979975</v>
      </c>
      <c r="D33" s="56">
        <f>$G$20*(1-($G$14))*(($G$15)*(($G$16)*$D$10+(1-($G$16))*$D$9)+(1-($G$15))*(($G$16)*$C$10+(1-($G$16))*$C$9))</f>
        <v>0.47391084405729877</v>
      </c>
      <c r="E33" s="56">
        <f>$G$20*(1-($G$14))*(($G$15+0.1)*(($G$16)*$D$10+(1-($G$16))*$D$9)+(1-($G$15+0.1))*(($G$16)*$C$10+(1-($G$16))*$C$9))</f>
        <v>0.41526280309479779</v>
      </c>
      <c r="F33" s="65">
        <f>ABS(E33-C33)</f>
        <v>0.11729608192500196</v>
      </c>
      <c r="G33" s="13" t="s">
        <v>821</v>
      </c>
    </row>
    <row r="34" spans="2:7" ht="54.75" customHeight="1">
      <c r="B34" s="9" t="s">
        <v>822</v>
      </c>
      <c r="C34" s="56">
        <f>$G$20*(1-($G$14))*(($G$15)*(($G$16-0.1)*$D$10+(1-($G$16-0.1))*$D$9)+(1-($G$15))*(($G$16-0.1)*$C$10+(1-($G$16-0.1))*$C$9))</f>
        <v>0.45504938408545259</v>
      </c>
      <c r="D34" s="56">
        <f>$G$20*(1-($G$14))*(($G$15)*(($G$16)*$D$10+(1-($G$16))*$D$9)+(1-($G$15))*(($G$16)*$C$10+(1-($G$16))*$C$9))</f>
        <v>0.47391084405729877</v>
      </c>
      <c r="E34" s="56">
        <f>$G$20*(1-($G$14))*(($G$15)*(($G$16+0.1)*$D$10+(1-($G$16+0.1))*$D$9)+(1-($G$15))*(($G$16+0.1)*$C$10+(1-($G$16+0.1))*$C$9))</f>
        <v>0.49277230402914485</v>
      </c>
      <c r="F34" s="65">
        <f>ABS(E34-C34)</f>
        <v>3.7722919943692257E-2</v>
      </c>
      <c r="G34" s="13" t="s">
        <v>823</v>
      </c>
    </row>
    <row r="35" spans="2:7" ht="48" customHeight="1">
      <c r="B35" s="32" t="s">
        <v>824</v>
      </c>
      <c r="G35" s="13" t="s">
        <v>825</v>
      </c>
    </row>
    <row r="37" spans="2:7" ht="18.75" customHeight="1">
      <c r="B37" s="19" t="s">
        <v>826</v>
      </c>
    </row>
  </sheetData>
  <mergeCells count="7">
    <mergeCell ref="A22:K22"/>
    <mergeCell ref="A30:K30"/>
    <mergeCell ref="A1:L1"/>
    <mergeCell ref="A2:L2"/>
    <mergeCell ref="A4:K4"/>
    <mergeCell ref="A7:K7"/>
    <mergeCell ref="A12:K12"/>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Basis &amp; Assumptions</vt:lpstr>
      <vt:lpstr>Change Control</vt:lpstr>
      <vt:lpstr>Logic Tree</vt:lpstr>
      <vt:lpstr>Sourcing &amp; Productivity</vt:lpstr>
      <vt:lpstr>Delivery Mode</vt:lpstr>
      <vt:lpstr>AMS &amp; Ticket Load</vt:lpstr>
      <vt:lpstr>Inventory</vt:lpstr>
      <vt:lpstr>Value Streams</vt:lpstr>
      <vt:lpstr>Pod Library</vt:lpstr>
      <vt:lpstr>Pod Plan</vt:lpstr>
      <vt:lpstr>Horizontal Teams</vt:lpstr>
      <vt:lpstr>Team Build-Up</vt:lpstr>
      <vt:lpstr>Inherited Workforce</vt:lpstr>
      <vt:lpstr>Glidepath &amp; 50-50</vt:lpstr>
      <vt:lpstr>Cost &amp; Commercial</vt:lpstr>
      <vt:lpstr>Seat Ledger</vt:lpstr>
      <vt:lpstr>SIT Loading</vt:lpstr>
      <vt:lpstr>Unit Cost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Prasad, Mukesh Kumar</cp:lastModifiedBy>
  <cp:revision>0</cp:revision>
  <dcterms:created xsi:type="dcterms:W3CDTF">2026-09-17T13:20:31Z</dcterms:created>
  <dcterms:modified xsi:type="dcterms:W3CDTF">2026-09-18T01:02:07Z</dcterms:modified>
  <dc:language>en-US</dc:language>
</cp:coreProperties>
</file>