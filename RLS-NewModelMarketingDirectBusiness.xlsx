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mprasad3\Downloads\RLS-NewModel\"/>
    </mc:Choice>
  </mc:AlternateContent>
  <xr:revisionPtr revIDLastSave="0" documentId="13_ncr:1_{EF6C68B5-401F-4CAD-9874-C2626A2C2998}" xr6:coauthVersionLast="47" xr6:coauthVersionMax="47" xr10:uidLastSave="{00000000-0000-0000-0000-000000000000}"/>
  <bookViews>
    <workbookView xWindow="28680" yWindow="-120" windowWidth="38640" windowHeight="21840" activeTab="6" xr2:uid="{00000000-000D-0000-FFFF-FFFF00000000}"/>
  </bookViews>
  <sheets>
    <sheet name="FTE" sheetId="1" r:id="rId1"/>
    <sheet name="India Role Distribution" sheetId="2" r:id="rId2"/>
    <sheet name="Onsite Role Distribution" sheetId="3" r:id="rId3"/>
    <sheet name="Productivity" sheetId="4" r:id="rId4"/>
    <sheet name="Unit Distribution" sheetId="8" r:id="rId5"/>
    <sheet name="Transfer" sheetId="5" r:id="rId6"/>
    <sheet name="RLS" sheetId="6" r:id="rId7"/>
    <sheet name="RLS Detail" sheetId="7" r:id="rId8"/>
  </sheets>
  <calcPr calcId="191028" iterateDelta="1E-4" forceFullCalc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K41" i="6" l="1"/>
  <c r="BJ41" i="6"/>
  <c r="BI41" i="6"/>
  <c r="BH41" i="6"/>
  <c r="BG41" i="6"/>
  <c r="BF41" i="6"/>
  <c r="BE41" i="6"/>
  <c r="BD41" i="6"/>
  <c r="BC41" i="6"/>
  <c r="BB41" i="6"/>
  <c r="BA41" i="6"/>
  <c r="BK40" i="6"/>
  <c r="BJ40" i="6"/>
  <c r="BI40" i="6"/>
  <c r="BH40" i="6"/>
  <c r="BG40" i="6"/>
  <c r="BF40" i="6"/>
  <c r="BE40" i="6"/>
  <c r="BD40" i="6"/>
  <c r="BC40" i="6"/>
  <c r="BB40" i="6"/>
  <c r="BA40" i="6"/>
  <c r="BK39" i="6"/>
  <c r="BJ39" i="6"/>
  <c r="BI39" i="6"/>
  <c r="BH39" i="6"/>
  <c r="BG39" i="6"/>
  <c r="BF39" i="6"/>
  <c r="BE39" i="6"/>
  <c r="BD39" i="6"/>
  <c r="BC39" i="6"/>
  <c r="BB39" i="6"/>
  <c r="BA39" i="6"/>
  <c r="BK38" i="6"/>
  <c r="BJ38" i="6"/>
  <c r="BI38" i="6"/>
  <c r="BH38" i="6"/>
  <c r="BG38" i="6"/>
  <c r="BF38" i="6"/>
  <c r="BE38" i="6"/>
  <c r="BD38" i="6"/>
  <c r="BC38" i="6"/>
  <c r="BB38" i="6"/>
  <c r="BA38" i="6"/>
  <c r="BK37" i="6"/>
  <c r="BJ37" i="6"/>
  <c r="BI37" i="6"/>
  <c r="BH37" i="6"/>
  <c r="BG37" i="6"/>
  <c r="BF37" i="6"/>
  <c r="BE37" i="6"/>
  <c r="BD37" i="6"/>
  <c r="BC37" i="6"/>
  <c r="BB37" i="6"/>
  <c r="BA37" i="6"/>
  <c r="BK36" i="6"/>
  <c r="BJ36" i="6"/>
  <c r="BI36" i="6"/>
  <c r="BH36" i="6"/>
  <c r="BG36" i="6"/>
  <c r="BF36" i="6"/>
  <c r="BE36" i="6"/>
  <c r="BD36" i="6"/>
  <c r="BC36" i="6"/>
  <c r="BB36" i="6"/>
  <c r="BA36" i="6"/>
  <c r="BK35" i="6"/>
  <c r="BJ35" i="6"/>
  <c r="BI35" i="6"/>
  <c r="BH35" i="6"/>
  <c r="BG35" i="6"/>
  <c r="BF35" i="6"/>
  <c r="BE35" i="6"/>
  <c r="BD35" i="6"/>
  <c r="BC35" i="6"/>
  <c r="BB35" i="6"/>
  <c r="BA35" i="6"/>
  <c r="BK34" i="6"/>
  <c r="BJ34" i="6"/>
  <c r="BI34" i="6"/>
  <c r="BH34" i="6"/>
  <c r="BG34" i="6"/>
  <c r="BF34" i="6"/>
  <c r="BE34" i="6"/>
  <c r="BD34" i="6"/>
  <c r="BC34" i="6"/>
  <c r="BB34" i="6"/>
  <c r="BA34" i="6"/>
  <c r="BK32" i="6"/>
  <c r="BJ32" i="6"/>
  <c r="BI32" i="6"/>
  <c r="BH32" i="6"/>
  <c r="BG32" i="6"/>
  <c r="BF32" i="6"/>
  <c r="BE32" i="6"/>
  <c r="BD32" i="6"/>
  <c r="BC32" i="6"/>
  <c r="BB32" i="6"/>
  <c r="BA32" i="6"/>
  <c r="BK31" i="6"/>
  <c r="BJ31" i="6"/>
  <c r="BI31" i="6"/>
  <c r="BH31" i="6"/>
  <c r="BG31" i="6"/>
  <c r="BF31" i="6"/>
  <c r="BE31" i="6"/>
  <c r="BD31" i="6"/>
  <c r="BC31" i="6"/>
  <c r="BB31" i="6"/>
  <c r="BA31" i="6"/>
  <c r="BK30" i="6"/>
  <c r="BJ30" i="6"/>
  <c r="BI30" i="6"/>
  <c r="BH30" i="6"/>
  <c r="BG30" i="6"/>
  <c r="BF30" i="6"/>
  <c r="BE30" i="6"/>
  <c r="BD30" i="6"/>
  <c r="BC30" i="6"/>
  <c r="BB30" i="6"/>
  <c r="BA30" i="6"/>
  <c r="BK29" i="6"/>
  <c r="BJ29" i="6"/>
  <c r="BI29" i="6"/>
  <c r="BH29" i="6"/>
  <c r="BG29" i="6"/>
  <c r="BF29" i="6"/>
  <c r="BE29" i="6"/>
  <c r="BD29" i="6"/>
  <c r="BC29" i="6"/>
  <c r="BB29" i="6"/>
  <c r="BA29" i="6"/>
  <c r="BK28" i="6"/>
  <c r="BJ28" i="6"/>
  <c r="BI28" i="6"/>
  <c r="BH28" i="6"/>
  <c r="BG28" i="6"/>
  <c r="BF28" i="6"/>
  <c r="BE28" i="6"/>
  <c r="BD28" i="6"/>
  <c r="BC28" i="6"/>
  <c r="BB28" i="6"/>
  <c r="BA28" i="6"/>
  <c r="BK27" i="6"/>
  <c r="BJ27" i="6"/>
  <c r="BI27" i="6"/>
  <c r="BH27" i="6"/>
  <c r="BG27" i="6"/>
  <c r="BF27" i="6"/>
  <c r="BE27" i="6"/>
  <c r="BD27" i="6"/>
  <c r="BC27" i="6"/>
  <c r="BB27" i="6"/>
  <c r="BA27" i="6"/>
  <c r="BK26" i="6"/>
  <c r="BJ26" i="6"/>
  <c r="BI26" i="6"/>
  <c r="BH26" i="6"/>
  <c r="BG26" i="6"/>
  <c r="BF26" i="6"/>
  <c r="BE26" i="6"/>
  <c r="BD26" i="6"/>
  <c r="BC26" i="6"/>
  <c r="BB26" i="6"/>
  <c r="BA26" i="6"/>
  <c r="AO28" i="6"/>
  <c r="AP28" i="6"/>
  <c r="AQ28" i="6"/>
  <c r="AR28" i="6"/>
  <c r="AS28" i="6"/>
  <c r="AT28" i="6"/>
  <c r="AU28" i="6"/>
  <c r="AV28" i="6"/>
  <c r="AW28" i="6"/>
  <c r="AX28" i="6"/>
  <c r="AY28" i="6"/>
  <c r="AO29" i="6"/>
  <c r="AP29" i="6"/>
  <c r="AQ29" i="6"/>
  <c r="AR29" i="6"/>
  <c r="AS29" i="6"/>
  <c r="AT29" i="6"/>
  <c r="AU29" i="6"/>
  <c r="AV29" i="6"/>
  <c r="AW29" i="6"/>
  <c r="AX29" i="6"/>
  <c r="AY29" i="6"/>
  <c r="AO30" i="6"/>
  <c r="AP30" i="6"/>
  <c r="AQ30" i="6"/>
  <c r="AR30" i="6"/>
  <c r="AS30" i="6"/>
  <c r="AT30" i="6"/>
  <c r="AU30" i="6"/>
  <c r="AV30" i="6"/>
  <c r="AW30" i="6"/>
  <c r="AX30" i="6"/>
  <c r="AY30" i="6"/>
  <c r="AO31" i="6"/>
  <c r="AP31" i="6"/>
  <c r="AQ31" i="6"/>
  <c r="AR31" i="6"/>
  <c r="AS31" i="6"/>
  <c r="AT31" i="6"/>
  <c r="AU31" i="6"/>
  <c r="AV31" i="6"/>
  <c r="AW31" i="6"/>
  <c r="AX31" i="6"/>
  <c r="AY31" i="6"/>
  <c r="AO32" i="6"/>
  <c r="AP32" i="6"/>
  <c r="AQ32" i="6"/>
  <c r="AR32" i="6"/>
  <c r="AS32" i="6"/>
  <c r="AT32" i="6"/>
  <c r="AU32" i="6"/>
  <c r="AV32" i="6"/>
  <c r="AW32" i="6"/>
  <c r="AX32" i="6"/>
  <c r="AY32" i="6"/>
  <c r="AO33" i="6"/>
  <c r="AP33" i="6"/>
  <c r="AQ33" i="6"/>
  <c r="AR33" i="6"/>
  <c r="AS33" i="6"/>
  <c r="AT33" i="6"/>
  <c r="AU33" i="6"/>
  <c r="AV33" i="6"/>
  <c r="AW33" i="6"/>
  <c r="AX33" i="6"/>
  <c r="AY33" i="6"/>
  <c r="AO34" i="6"/>
  <c r="AP34" i="6"/>
  <c r="AQ34" i="6"/>
  <c r="AR34" i="6"/>
  <c r="AS34" i="6"/>
  <c r="AT34" i="6"/>
  <c r="AU34" i="6"/>
  <c r="AV34" i="6"/>
  <c r="AW34" i="6"/>
  <c r="AX34" i="6"/>
  <c r="AY34" i="6"/>
  <c r="AO35" i="6"/>
  <c r="AP35" i="6"/>
  <c r="AQ35" i="6"/>
  <c r="AR35" i="6"/>
  <c r="AS35" i="6"/>
  <c r="AT35" i="6"/>
  <c r="AU35" i="6"/>
  <c r="AV35" i="6"/>
  <c r="AW35" i="6"/>
  <c r="AX35" i="6"/>
  <c r="AY35" i="6"/>
  <c r="AO36" i="6"/>
  <c r="AP36" i="6"/>
  <c r="AQ36" i="6"/>
  <c r="AR36" i="6"/>
  <c r="AS36" i="6"/>
  <c r="AT36" i="6"/>
  <c r="AU36" i="6"/>
  <c r="AV36" i="6"/>
  <c r="AW36" i="6"/>
  <c r="AX36" i="6"/>
  <c r="AY36" i="6"/>
  <c r="AO37" i="6"/>
  <c r="AP37" i="6"/>
  <c r="AQ37" i="6"/>
  <c r="AR37" i="6"/>
  <c r="AS37" i="6"/>
  <c r="AT37" i="6"/>
  <c r="AU37" i="6"/>
  <c r="AV37" i="6"/>
  <c r="AW37" i="6"/>
  <c r="AX37" i="6"/>
  <c r="AY37" i="6"/>
  <c r="AO38" i="6"/>
  <c r="AP38" i="6"/>
  <c r="AQ38" i="6"/>
  <c r="AR38" i="6"/>
  <c r="AS38" i="6"/>
  <c r="AT38" i="6"/>
  <c r="AU38" i="6"/>
  <c r="AV38" i="6"/>
  <c r="AW38" i="6"/>
  <c r="AX38" i="6"/>
  <c r="AY38" i="6"/>
  <c r="AO39" i="6"/>
  <c r="AP39" i="6"/>
  <c r="AQ39" i="6"/>
  <c r="AR39" i="6"/>
  <c r="AS39" i="6"/>
  <c r="AT39" i="6"/>
  <c r="AU39" i="6"/>
  <c r="AV39" i="6"/>
  <c r="AW39" i="6"/>
  <c r="AX39" i="6"/>
  <c r="AY39" i="6"/>
  <c r="AO40" i="6"/>
  <c r="AP40" i="6"/>
  <c r="AQ40" i="6"/>
  <c r="AR40" i="6"/>
  <c r="AS40" i="6"/>
  <c r="AT40" i="6"/>
  <c r="AU40" i="6"/>
  <c r="AV40" i="6"/>
  <c r="AW40" i="6"/>
  <c r="AX40" i="6"/>
  <c r="AY40" i="6"/>
  <c r="AO41" i="6"/>
  <c r="AP41" i="6"/>
  <c r="AQ41" i="6"/>
  <c r="AR41" i="6"/>
  <c r="AS41" i="6"/>
  <c r="AT41" i="6"/>
  <c r="AU41" i="6"/>
  <c r="AV41" i="6"/>
  <c r="AW41" i="6"/>
  <c r="AX41" i="6"/>
  <c r="AY41" i="6"/>
  <c r="AN38" i="6"/>
  <c r="AN39" i="6"/>
  <c r="AN40" i="6"/>
  <c r="AN41" i="6"/>
  <c r="AN37" i="6"/>
  <c r="AN36" i="6"/>
  <c r="AN35" i="6"/>
  <c r="AN34" i="6"/>
  <c r="AN33" i="6"/>
  <c r="AN32" i="6"/>
  <c r="AN31" i="6"/>
  <c r="AN30" i="6"/>
  <c r="AN29" i="6"/>
  <c r="AN28" i="6"/>
  <c r="AM41" i="6"/>
  <c r="AL41" i="6"/>
  <c r="AK41" i="6"/>
  <c r="AJ41" i="6"/>
  <c r="AI41" i="6"/>
  <c r="AH41" i="6"/>
  <c r="AG41" i="6"/>
  <c r="AF41" i="6"/>
  <c r="AE41" i="6"/>
  <c r="AD41" i="6"/>
  <c r="AC41" i="6"/>
  <c r="AM40" i="6"/>
  <c r="AL40" i="6"/>
  <c r="AK40" i="6"/>
  <c r="AJ40" i="6"/>
  <c r="AI40" i="6"/>
  <c r="AH40" i="6"/>
  <c r="AG40" i="6"/>
  <c r="AF40" i="6"/>
  <c r="AE40" i="6"/>
  <c r="AD40" i="6"/>
  <c r="AC40" i="6"/>
  <c r="AM39" i="6"/>
  <c r="AL39" i="6"/>
  <c r="AK39" i="6"/>
  <c r="AJ39" i="6"/>
  <c r="AI39" i="6"/>
  <c r="AH39" i="6"/>
  <c r="AG39" i="6"/>
  <c r="AF39" i="6"/>
  <c r="AE39" i="6"/>
  <c r="AD39" i="6"/>
  <c r="AC39" i="6"/>
  <c r="AM38" i="6"/>
  <c r="AL38" i="6"/>
  <c r="AK38" i="6"/>
  <c r="AJ38" i="6"/>
  <c r="AI38" i="6"/>
  <c r="AH38" i="6"/>
  <c r="AG38" i="6"/>
  <c r="AF38" i="6"/>
  <c r="AE38" i="6"/>
  <c r="AD38" i="6"/>
  <c r="AC38" i="6"/>
  <c r="AM37" i="6"/>
  <c r="AL37" i="6"/>
  <c r="AK37" i="6"/>
  <c r="AJ37" i="6"/>
  <c r="AI37" i="6"/>
  <c r="AH37" i="6"/>
  <c r="AG37" i="6"/>
  <c r="AF37" i="6"/>
  <c r="AE37" i="6"/>
  <c r="AD37" i="6"/>
  <c r="AC37" i="6"/>
  <c r="AM36" i="6"/>
  <c r="AL36" i="6"/>
  <c r="AK36" i="6"/>
  <c r="AJ36" i="6"/>
  <c r="AI36" i="6"/>
  <c r="AH36" i="6"/>
  <c r="AG36" i="6"/>
  <c r="AF36" i="6"/>
  <c r="AE36" i="6"/>
  <c r="AD36" i="6"/>
  <c r="AC36" i="6"/>
  <c r="AM35" i="6"/>
  <c r="AL35" i="6"/>
  <c r="AK35" i="6"/>
  <c r="AJ35" i="6"/>
  <c r="AI35" i="6"/>
  <c r="AH35" i="6"/>
  <c r="AG35" i="6"/>
  <c r="AF35" i="6"/>
  <c r="AE35" i="6"/>
  <c r="AD35" i="6"/>
  <c r="AC35" i="6"/>
  <c r="AM34" i="6"/>
  <c r="AL34" i="6"/>
  <c r="AK34" i="6"/>
  <c r="AJ34" i="6"/>
  <c r="AI34" i="6"/>
  <c r="AH34" i="6"/>
  <c r="AG34" i="6"/>
  <c r="AF34" i="6"/>
  <c r="AE34" i="6"/>
  <c r="AD34" i="6"/>
  <c r="AC34" i="6"/>
  <c r="AM33" i="6"/>
  <c r="AL33" i="6"/>
  <c r="AK33" i="6"/>
  <c r="AJ33" i="6"/>
  <c r="AI33" i="6"/>
  <c r="AH33" i="6"/>
  <c r="AG33" i="6"/>
  <c r="AF33" i="6"/>
  <c r="AE33" i="6"/>
  <c r="AD33" i="6"/>
  <c r="AC33" i="6"/>
  <c r="AM32" i="6"/>
  <c r="AL32" i="6"/>
  <c r="AK32" i="6"/>
  <c r="AJ32" i="6"/>
  <c r="AI32" i="6"/>
  <c r="AH32" i="6"/>
  <c r="AG32" i="6"/>
  <c r="AF32" i="6"/>
  <c r="AE32" i="6"/>
  <c r="AD32" i="6"/>
  <c r="AC32" i="6"/>
  <c r="AM31" i="6"/>
  <c r="AL31" i="6"/>
  <c r="AK31" i="6"/>
  <c r="AJ31" i="6"/>
  <c r="AI31" i="6"/>
  <c r="AH31" i="6"/>
  <c r="AG31" i="6"/>
  <c r="AF31" i="6"/>
  <c r="AE31" i="6"/>
  <c r="AD31" i="6"/>
  <c r="AC31" i="6"/>
  <c r="AM29" i="6"/>
  <c r="AL29" i="6"/>
  <c r="AK29" i="6"/>
  <c r="AJ29" i="6"/>
  <c r="AI29" i="6"/>
  <c r="AH29" i="6"/>
  <c r="AG29" i="6"/>
  <c r="AF29" i="6"/>
  <c r="AE29" i="6"/>
  <c r="AD29" i="6"/>
  <c r="AC29" i="6"/>
  <c r="AM28" i="6"/>
  <c r="AL28" i="6"/>
  <c r="AK28" i="6"/>
  <c r="AJ28" i="6"/>
  <c r="AI28" i="6"/>
  <c r="AH28" i="6"/>
  <c r="AG28" i="6"/>
  <c r="AF28" i="6"/>
  <c r="AE28" i="6"/>
  <c r="AD28" i="6"/>
  <c r="AC28" i="6"/>
  <c r="AM27" i="6"/>
  <c r="AL27" i="6"/>
  <c r="AK27" i="6"/>
  <c r="AJ27" i="6"/>
  <c r="AI27" i="6"/>
  <c r="AH27" i="6"/>
  <c r="AG27" i="6"/>
  <c r="AF27" i="6"/>
  <c r="AE27" i="6"/>
  <c r="AD27" i="6"/>
  <c r="AC27" i="6"/>
  <c r="AM26" i="6"/>
  <c r="AL26" i="6"/>
  <c r="AK26" i="6"/>
  <c r="AJ26" i="6"/>
  <c r="AI26" i="6"/>
  <c r="AH26" i="6"/>
  <c r="AG26" i="6"/>
  <c r="AF26" i="6"/>
  <c r="AE26" i="6"/>
  <c r="AD26" i="6"/>
  <c r="AC26" i="6"/>
  <c r="AB38" i="6"/>
  <c r="AB39" i="6"/>
  <c r="AB40" i="6"/>
  <c r="AB41" i="6"/>
  <c r="AB37" i="6"/>
  <c r="AB36" i="6"/>
  <c r="AB35" i="6"/>
  <c r="AB34" i="6"/>
  <c r="AB33" i="6"/>
  <c r="AB32" i="6"/>
  <c r="AB31" i="6"/>
  <c r="AB29" i="6"/>
  <c r="AB28" i="6"/>
  <c r="AB27" i="6"/>
  <c r="AB26" i="6"/>
  <c r="Q26" i="6"/>
  <c r="R26" i="6"/>
  <c r="S26" i="6"/>
  <c r="T26" i="6"/>
  <c r="U26" i="6"/>
  <c r="V26" i="6"/>
  <c r="W26" i="6"/>
  <c r="X26" i="6"/>
  <c r="Y26" i="6"/>
  <c r="Z26" i="6"/>
  <c r="AA26" i="6"/>
  <c r="Q27" i="6"/>
  <c r="R27" i="6"/>
  <c r="S27" i="6"/>
  <c r="T27" i="6"/>
  <c r="U27" i="6"/>
  <c r="V27" i="6"/>
  <c r="W27" i="6"/>
  <c r="X27" i="6"/>
  <c r="Y27" i="6"/>
  <c r="Z27" i="6"/>
  <c r="AA27" i="6"/>
  <c r="Q28" i="6"/>
  <c r="R28" i="6"/>
  <c r="S28" i="6"/>
  <c r="T28" i="6"/>
  <c r="U28" i="6"/>
  <c r="V28" i="6"/>
  <c r="W28" i="6"/>
  <c r="X28" i="6"/>
  <c r="Y28" i="6"/>
  <c r="Z28" i="6"/>
  <c r="AA28" i="6"/>
  <c r="Q29" i="6"/>
  <c r="R29" i="6"/>
  <c r="S29" i="6"/>
  <c r="T29" i="6"/>
  <c r="U29" i="6"/>
  <c r="V29" i="6"/>
  <c r="W29" i="6"/>
  <c r="X29" i="6"/>
  <c r="Y29" i="6"/>
  <c r="Z29" i="6"/>
  <c r="AA29" i="6"/>
  <c r="Q30" i="6"/>
  <c r="R30" i="6"/>
  <c r="S30" i="6"/>
  <c r="T30" i="6"/>
  <c r="U30" i="6"/>
  <c r="V30" i="6"/>
  <c r="W30" i="6"/>
  <c r="X30" i="6"/>
  <c r="Y30" i="6"/>
  <c r="Z30" i="6"/>
  <c r="AA30" i="6"/>
  <c r="Q31" i="6"/>
  <c r="R31" i="6"/>
  <c r="S31" i="6"/>
  <c r="T31" i="6"/>
  <c r="U31" i="6"/>
  <c r="V31" i="6"/>
  <c r="W31" i="6"/>
  <c r="X31" i="6"/>
  <c r="Y31" i="6"/>
  <c r="Z31" i="6"/>
  <c r="AA31" i="6"/>
  <c r="Q32" i="6"/>
  <c r="R32" i="6"/>
  <c r="S32" i="6"/>
  <c r="T32" i="6"/>
  <c r="U32" i="6"/>
  <c r="V32" i="6"/>
  <c r="W32" i="6"/>
  <c r="X32" i="6"/>
  <c r="Y32" i="6"/>
  <c r="Z32" i="6"/>
  <c r="AA32" i="6"/>
  <c r="Q33" i="6"/>
  <c r="R33" i="6"/>
  <c r="S33" i="6"/>
  <c r="T33" i="6"/>
  <c r="U33" i="6"/>
  <c r="V33" i="6"/>
  <c r="W33" i="6"/>
  <c r="X33" i="6"/>
  <c r="Y33" i="6"/>
  <c r="Z33" i="6"/>
  <c r="AA33" i="6"/>
  <c r="Q34" i="6"/>
  <c r="R34" i="6"/>
  <c r="S34" i="6"/>
  <c r="T34" i="6"/>
  <c r="U34" i="6"/>
  <c r="V34" i="6"/>
  <c r="W34" i="6"/>
  <c r="X34" i="6"/>
  <c r="Y34" i="6"/>
  <c r="Z34" i="6"/>
  <c r="AA34" i="6"/>
  <c r="Q35" i="6"/>
  <c r="R35" i="6"/>
  <c r="S35" i="6"/>
  <c r="T35" i="6"/>
  <c r="U35" i="6"/>
  <c r="V35" i="6"/>
  <c r="W35" i="6"/>
  <c r="X35" i="6"/>
  <c r="Y35" i="6"/>
  <c r="Z35" i="6"/>
  <c r="AA35" i="6"/>
  <c r="Q36" i="6"/>
  <c r="R36" i="6"/>
  <c r="S36" i="6"/>
  <c r="T36" i="6"/>
  <c r="U36" i="6"/>
  <c r="V36" i="6"/>
  <c r="W36" i="6"/>
  <c r="X36" i="6"/>
  <c r="Y36" i="6"/>
  <c r="Z36" i="6"/>
  <c r="AA36" i="6"/>
  <c r="Q37" i="6"/>
  <c r="R37" i="6"/>
  <c r="S37" i="6"/>
  <c r="T37" i="6"/>
  <c r="U37" i="6"/>
  <c r="V37" i="6"/>
  <c r="W37" i="6"/>
  <c r="X37" i="6"/>
  <c r="Y37" i="6"/>
  <c r="Z37" i="6"/>
  <c r="AA37" i="6"/>
  <c r="Q38" i="6"/>
  <c r="R38" i="6"/>
  <c r="S38" i="6"/>
  <c r="T38" i="6"/>
  <c r="U38" i="6"/>
  <c r="V38" i="6"/>
  <c r="W38" i="6"/>
  <c r="X38" i="6"/>
  <c r="Y38" i="6"/>
  <c r="Z38" i="6"/>
  <c r="AA38" i="6"/>
  <c r="Q39" i="6"/>
  <c r="R39" i="6"/>
  <c r="S39" i="6"/>
  <c r="T39" i="6"/>
  <c r="U39" i="6"/>
  <c r="V39" i="6"/>
  <c r="W39" i="6"/>
  <c r="X39" i="6"/>
  <c r="Y39" i="6"/>
  <c r="Z39" i="6"/>
  <c r="AA39" i="6"/>
  <c r="Q40" i="6"/>
  <c r="R40" i="6"/>
  <c r="S40" i="6"/>
  <c r="T40" i="6"/>
  <c r="U40" i="6"/>
  <c r="V40" i="6"/>
  <c r="W40" i="6"/>
  <c r="X40" i="6"/>
  <c r="Y40" i="6"/>
  <c r="Z40" i="6"/>
  <c r="AA40" i="6"/>
  <c r="Q41" i="6"/>
  <c r="R41" i="6"/>
  <c r="S41" i="6"/>
  <c r="T41" i="6"/>
  <c r="U41" i="6"/>
  <c r="V41" i="6"/>
  <c r="W41" i="6"/>
  <c r="X41" i="6"/>
  <c r="Y41" i="6"/>
  <c r="Z41" i="6"/>
  <c r="AA41" i="6"/>
  <c r="P38" i="6"/>
  <c r="P39" i="6"/>
  <c r="P40" i="6"/>
  <c r="P41" i="6"/>
  <c r="P37" i="6"/>
  <c r="O37" i="6"/>
  <c r="P36" i="6"/>
  <c r="P35" i="6"/>
  <c r="P34" i="6"/>
  <c r="P33" i="6"/>
  <c r="P32" i="6"/>
  <c r="P31" i="6"/>
  <c r="P30" i="6"/>
  <c r="P29" i="6"/>
  <c r="P28" i="6"/>
  <c r="P27" i="6"/>
  <c r="P26" i="6"/>
  <c r="D27" i="6"/>
  <c r="D28" i="6"/>
  <c r="D29" i="6"/>
  <c r="D30" i="6"/>
  <c r="O41" i="6" l="1"/>
  <c r="N41" i="6"/>
  <c r="M41" i="6"/>
  <c r="L41" i="6"/>
  <c r="K41" i="6"/>
  <c r="J41" i="6"/>
  <c r="I41" i="6"/>
  <c r="H41" i="6"/>
  <c r="G41" i="6"/>
  <c r="F41" i="6"/>
  <c r="E41" i="6"/>
  <c r="D41" i="6"/>
  <c r="C41" i="6"/>
  <c r="O40" i="6"/>
  <c r="N40" i="6"/>
  <c r="M40" i="6"/>
  <c r="L40" i="6"/>
  <c r="K40" i="6"/>
  <c r="J40" i="6"/>
  <c r="I40" i="6"/>
  <c r="H40" i="6"/>
  <c r="G40" i="6"/>
  <c r="F40" i="6"/>
  <c r="E40" i="6"/>
  <c r="D40" i="6"/>
  <c r="C40" i="6"/>
  <c r="O39" i="6"/>
  <c r="N39" i="6"/>
  <c r="M39" i="6"/>
  <c r="L39" i="6"/>
  <c r="K39" i="6"/>
  <c r="J39" i="6"/>
  <c r="I39" i="6"/>
  <c r="H39" i="6"/>
  <c r="G39" i="6"/>
  <c r="F39" i="6"/>
  <c r="E39" i="6"/>
  <c r="D39" i="6"/>
  <c r="C39" i="6"/>
  <c r="O38" i="6"/>
  <c r="N38" i="6"/>
  <c r="M38" i="6"/>
  <c r="L38" i="6"/>
  <c r="K38" i="6"/>
  <c r="J38" i="6"/>
  <c r="I38" i="6"/>
  <c r="H38" i="6"/>
  <c r="G38" i="6"/>
  <c r="F38" i="6"/>
  <c r="E38" i="6"/>
  <c r="D38" i="6"/>
  <c r="C38" i="6"/>
  <c r="N37" i="6"/>
  <c r="M37" i="6"/>
  <c r="L37" i="6"/>
  <c r="K37" i="6"/>
  <c r="J37" i="6"/>
  <c r="I37" i="6"/>
  <c r="H37" i="6"/>
  <c r="G37" i="6"/>
  <c r="F37" i="6"/>
  <c r="E37" i="6"/>
  <c r="D37" i="6"/>
  <c r="C37" i="6"/>
  <c r="O36" i="6"/>
  <c r="N36" i="6"/>
  <c r="M36" i="6"/>
  <c r="L36" i="6"/>
  <c r="K36" i="6"/>
  <c r="J36" i="6"/>
  <c r="I36" i="6"/>
  <c r="H36" i="6"/>
  <c r="G36" i="6"/>
  <c r="F36" i="6"/>
  <c r="E36" i="6"/>
  <c r="D36" i="6"/>
  <c r="C36" i="6"/>
  <c r="O35" i="6"/>
  <c r="N35" i="6"/>
  <c r="M35" i="6"/>
  <c r="L35" i="6"/>
  <c r="K35" i="6"/>
  <c r="J35" i="6"/>
  <c r="I35" i="6"/>
  <c r="H35" i="6"/>
  <c r="G35" i="6"/>
  <c r="F35" i="6"/>
  <c r="E35" i="6"/>
  <c r="D35" i="6"/>
  <c r="C35" i="6"/>
  <c r="O34" i="6"/>
  <c r="N34" i="6"/>
  <c r="M34" i="6"/>
  <c r="L34" i="6"/>
  <c r="K34" i="6"/>
  <c r="J34" i="6"/>
  <c r="I34" i="6"/>
  <c r="H34" i="6"/>
  <c r="G34" i="6"/>
  <c r="F34" i="6"/>
  <c r="E34" i="6"/>
  <c r="D34" i="6"/>
  <c r="C34" i="6"/>
  <c r="O33" i="6"/>
  <c r="N33" i="6"/>
  <c r="M33" i="6"/>
  <c r="L33" i="6"/>
  <c r="K33" i="6"/>
  <c r="J33" i="6"/>
  <c r="I33" i="6"/>
  <c r="H33" i="6"/>
  <c r="G33" i="6"/>
  <c r="F33" i="6"/>
  <c r="E33" i="6"/>
  <c r="D33" i="6"/>
  <c r="C33" i="6"/>
  <c r="O32" i="6"/>
  <c r="N32" i="6"/>
  <c r="M32" i="6"/>
  <c r="L32" i="6"/>
  <c r="K32" i="6"/>
  <c r="J32" i="6"/>
  <c r="I32" i="6"/>
  <c r="H32" i="6"/>
  <c r="G32" i="6"/>
  <c r="F32" i="6"/>
  <c r="E32" i="6"/>
  <c r="D32" i="6"/>
  <c r="C32" i="6"/>
  <c r="O31" i="6"/>
  <c r="N31" i="6"/>
  <c r="M31" i="6"/>
  <c r="L31" i="6"/>
  <c r="K31" i="6"/>
  <c r="J31" i="6"/>
  <c r="I31" i="6"/>
  <c r="H31" i="6"/>
  <c r="G31" i="6"/>
  <c r="F31" i="6"/>
  <c r="E31" i="6"/>
  <c r="D31" i="6"/>
  <c r="C31" i="6"/>
  <c r="O30" i="6"/>
  <c r="N30" i="6"/>
  <c r="M30" i="6"/>
  <c r="L30" i="6"/>
  <c r="K30" i="6"/>
  <c r="J30" i="6"/>
  <c r="I30" i="6"/>
  <c r="H30" i="6"/>
  <c r="G30" i="6"/>
  <c r="F30" i="6"/>
  <c r="E30" i="6"/>
  <c r="C30" i="6"/>
  <c r="O29" i="6"/>
  <c r="N29" i="6"/>
  <c r="M29" i="6"/>
  <c r="L29" i="6"/>
  <c r="K29" i="6"/>
  <c r="J29" i="6"/>
  <c r="I29" i="6"/>
  <c r="H29" i="6"/>
  <c r="G29" i="6"/>
  <c r="F29" i="6"/>
  <c r="E29" i="6"/>
  <c r="C29" i="6"/>
  <c r="O28" i="6"/>
  <c r="N28" i="6"/>
  <c r="M28" i="6"/>
  <c r="L28" i="6"/>
  <c r="K28" i="6"/>
  <c r="J28" i="6"/>
  <c r="I28" i="6"/>
  <c r="H28" i="6"/>
  <c r="G28" i="6"/>
  <c r="F28" i="6"/>
  <c r="E28" i="6"/>
  <c r="C28" i="6"/>
  <c r="O27" i="6"/>
  <c r="N27" i="6"/>
  <c r="M27" i="6"/>
  <c r="L27" i="6"/>
  <c r="K27" i="6"/>
  <c r="J27" i="6"/>
  <c r="I27" i="6"/>
  <c r="H27" i="6"/>
  <c r="G27" i="6"/>
  <c r="F27" i="6"/>
  <c r="E27" i="6"/>
  <c r="C27" i="6"/>
  <c r="O26" i="6"/>
  <c r="N26" i="6"/>
  <c r="M26" i="6"/>
  <c r="L26" i="6"/>
  <c r="K26" i="6"/>
  <c r="J26" i="6"/>
  <c r="I26" i="6"/>
  <c r="H26" i="6"/>
  <c r="G26" i="6"/>
  <c r="F26" i="6"/>
  <c r="E26" i="6"/>
  <c r="D26" i="6"/>
  <c r="C26" i="6"/>
  <c r="F6" i="1"/>
  <c r="F8" i="1" s="1"/>
  <c r="E6" i="1"/>
  <c r="E8" i="1" s="1"/>
  <c r="D6" i="1"/>
  <c r="D8" i="1" s="1"/>
  <c r="C6" i="1"/>
  <c r="C8" i="1" s="1"/>
  <c r="B6" i="1"/>
  <c r="B8" i="1" s="1"/>
  <c r="C27" i="7"/>
  <c r="C26" i="7"/>
  <c r="C25" i="7"/>
  <c r="C24" i="7"/>
  <c r="C23" i="7"/>
  <c r="C22" i="7"/>
  <c r="C21" i="7"/>
  <c r="C20" i="7"/>
  <c r="C19" i="7"/>
  <c r="C18" i="7"/>
  <c r="C17" i="7"/>
  <c r="C16" i="7"/>
  <c r="C15" i="7"/>
  <c r="C14" i="7"/>
  <c r="C13" i="7"/>
  <c r="C12" i="7"/>
  <c r="C11" i="7"/>
  <c r="C10" i="7"/>
  <c r="C9" i="7"/>
  <c r="C8" i="7"/>
  <c r="C7" i="7"/>
  <c r="C6" i="7"/>
  <c r="C5" i="7"/>
  <c r="C4" i="7"/>
  <c r="C3" i="7"/>
  <c r="E20" i="7" l="1"/>
  <c r="E21" i="7" s="1"/>
  <c r="F20" i="7"/>
  <c r="F21" i="7" s="1"/>
  <c r="K24" i="7"/>
  <c r="K25" i="7" s="1"/>
  <c r="I22" i="7"/>
  <c r="I23" i="7" s="1"/>
  <c r="G24" i="7"/>
  <c r="G25" i="7" s="1"/>
  <c r="I24" i="7"/>
  <c r="I25" i="7" s="1"/>
  <c r="H24" i="7"/>
  <c r="H25" i="7" s="1"/>
  <c r="F22" i="7"/>
  <c r="F23" i="7" s="1"/>
  <c r="H22" i="7"/>
  <c r="H23" i="7" s="1"/>
  <c r="G22" i="7"/>
  <c r="G23" i="7" s="1"/>
  <c r="P26" i="7"/>
  <c r="P27" i="7"/>
  <c r="M24" i="7"/>
  <c r="M25" i="7" s="1"/>
  <c r="P20" i="7"/>
  <c r="P21" i="7" s="1"/>
  <c r="K22" i="7"/>
  <c r="K23" i="7" s="1"/>
  <c r="H27" i="7"/>
  <c r="L24" i="7"/>
  <c r="L25" i="7" s="1"/>
  <c r="I20" i="7"/>
  <c r="I21" i="7" s="1"/>
  <c r="J22" i="7"/>
  <c r="J23" i="7" s="1"/>
  <c r="H20" i="7"/>
  <c r="H21" i="7" s="1"/>
  <c r="L22" i="7"/>
  <c r="L23" i="7" s="1"/>
  <c r="P24" i="7"/>
  <c r="P25" i="7" s="1"/>
  <c r="J24" i="7"/>
  <c r="J25" i="7" s="1"/>
  <c r="G20" i="7"/>
  <c r="G21" i="7" s="1"/>
  <c r="O27" i="7"/>
  <c r="M27" i="7"/>
  <c r="L27" i="7"/>
  <c r="K27" i="7"/>
  <c r="J26" i="7"/>
  <c r="J27" i="7"/>
  <c r="H26" i="7"/>
  <c r="P22" i="7"/>
  <c r="P23" i="7" s="1"/>
  <c r="N20" i="7"/>
  <c r="N21" i="7" s="1"/>
  <c r="G26" i="7"/>
  <c r="O22" i="7"/>
  <c r="O23" i="7" s="1"/>
  <c r="M20" i="7"/>
  <c r="M21" i="7" s="1"/>
  <c r="O26" i="7"/>
  <c r="E27" i="7"/>
  <c r="N26" i="7"/>
  <c r="M26" i="7"/>
  <c r="L26" i="7"/>
  <c r="I27" i="7"/>
  <c r="F24" i="7"/>
  <c r="F25" i="7" s="1"/>
  <c r="G27" i="7"/>
  <c r="F26" i="7"/>
  <c r="N22" i="7"/>
  <c r="N23" i="7" s="1"/>
  <c r="L20" i="7"/>
  <c r="L21" i="7" s="1"/>
  <c r="N27" i="7"/>
  <c r="K26" i="7"/>
  <c r="I26" i="7"/>
  <c r="O20" i="7"/>
  <c r="O21" i="7" s="1"/>
  <c r="E24" i="7"/>
  <c r="E25" i="7" s="1"/>
  <c r="F27" i="7"/>
  <c r="O24" i="7"/>
  <c r="O25" i="7" s="1"/>
  <c r="M22" i="7"/>
  <c r="M23" i="7" s="1"/>
  <c r="K20" i="7"/>
  <c r="K21" i="7" s="1"/>
  <c r="N24" i="7"/>
  <c r="N25" i="7" s="1"/>
  <c r="J20" i="7"/>
  <c r="J21" i="7" s="1"/>
  <c r="E26" i="7"/>
  <c r="E22" i="7"/>
  <c r="E23" i="7" s="1"/>
  <c r="P3" i="7"/>
  <c r="P4" i="7" s="1"/>
  <c r="O3" i="7"/>
  <c r="O4" i="7" s="1"/>
  <c r="N3" i="7"/>
  <c r="N4" i="7" s="1"/>
  <c r="M3" i="7"/>
  <c r="M4" i="7" s="1"/>
  <c r="L3" i="7"/>
  <c r="L4" i="7" s="1"/>
  <c r="K3" i="7"/>
  <c r="K4" i="7" s="1"/>
  <c r="J3" i="7"/>
  <c r="J4" i="7" s="1"/>
  <c r="I3" i="7"/>
  <c r="I4" i="7" s="1"/>
  <c r="H3" i="7"/>
  <c r="H4" i="7" s="1"/>
  <c r="G3" i="7"/>
  <c r="G4" i="7" s="1"/>
  <c r="F3" i="7"/>
  <c r="F4" i="7" s="1"/>
  <c r="E3" i="7"/>
  <c r="E4" i="7" s="1"/>
  <c r="P5" i="7"/>
  <c r="P6" i="7" s="1"/>
  <c r="O5" i="7"/>
  <c r="O6" i="7" s="1"/>
  <c r="N5" i="7"/>
  <c r="N6" i="7" s="1"/>
  <c r="M5" i="7"/>
  <c r="M6" i="7" s="1"/>
  <c r="L5" i="7"/>
  <c r="L6" i="7" s="1"/>
  <c r="K5" i="7"/>
  <c r="K6" i="7" s="1"/>
  <c r="J5" i="7"/>
  <c r="J6" i="7" s="1"/>
  <c r="I5" i="7"/>
  <c r="I6" i="7" s="1"/>
  <c r="H5" i="7"/>
  <c r="H6" i="7" s="1"/>
  <c r="G5" i="7"/>
  <c r="G6" i="7" s="1"/>
  <c r="F5" i="7"/>
  <c r="F6" i="7" s="1"/>
  <c r="E5" i="7"/>
  <c r="E6" i="7" s="1"/>
  <c r="P7" i="7"/>
  <c r="P8" i="7" s="1"/>
  <c r="O7" i="7"/>
  <c r="O8" i="7" s="1"/>
  <c r="N7" i="7"/>
  <c r="N8" i="7" s="1"/>
  <c r="M7" i="7"/>
  <c r="M8" i="7" s="1"/>
  <c r="L7" i="7"/>
  <c r="L8" i="7" s="1"/>
  <c r="K7" i="7"/>
  <c r="K8" i="7" s="1"/>
  <c r="J7" i="7"/>
  <c r="J8" i="7" s="1"/>
  <c r="I7" i="7"/>
  <c r="I8" i="7" s="1"/>
  <c r="H7" i="7"/>
  <c r="H8" i="7" s="1"/>
  <c r="G7" i="7"/>
  <c r="G8" i="7" s="1"/>
  <c r="F7" i="7"/>
  <c r="F8" i="7" s="1"/>
  <c r="E7" i="7"/>
  <c r="E8" i="7" s="1"/>
  <c r="P9" i="7"/>
  <c r="O9" i="7"/>
  <c r="N9" i="7"/>
  <c r="M9" i="7"/>
  <c r="L9" i="7"/>
  <c r="K9" i="7"/>
  <c r="J9" i="7"/>
  <c r="I9" i="7"/>
  <c r="H9" i="7"/>
  <c r="G9" i="7"/>
  <c r="F9" i="7"/>
  <c r="E9" i="7"/>
  <c r="P10" i="7"/>
  <c r="O10" i="7"/>
  <c r="N10" i="7"/>
  <c r="M10" i="7"/>
  <c r="L10" i="7"/>
  <c r="K10" i="7"/>
  <c r="J10" i="7"/>
  <c r="I10" i="7"/>
  <c r="H10" i="7"/>
  <c r="G10" i="7"/>
  <c r="F10" i="7"/>
  <c r="E10" i="7"/>
  <c r="P11" i="7"/>
  <c r="O11" i="7"/>
  <c r="N11" i="7"/>
  <c r="M11" i="7"/>
  <c r="L11" i="7"/>
  <c r="K11" i="7"/>
  <c r="J11" i="7"/>
  <c r="I11" i="7"/>
  <c r="H11" i="7"/>
  <c r="G11" i="7"/>
  <c r="F11" i="7"/>
  <c r="E11" i="7"/>
  <c r="P12" i="7"/>
  <c r="P13" i="7" s="1"/>
  <c r="O12" i="7"/>
  <c r="O13" i="7" s="1"/>
  <c r="N12" i="7"/>
  <c r="N13" i="7" s="1"/>
  <c r="M12" i="7"/>
  <c r="M13" i="7" s="1"/>
  <c r="L12" i="7"/>
  <c r="L13" i="7" s="1"/>
  <c r="K12" i="7"/>
  <c r="K13" i="7" s="1"/>
  <c r="J12" i="7"/>
  <c r="J13" i="7" s="1"/>
  <c r="I12" i="7"/>
  <c r="I13" i="7" s="1"/>
  <c r="H12" i="7"/>
  <c r="H13" i="7" s="1"/>
  <c r="G12" i="7"/>
  <c r="G13" i="7" s="1"/>
  <c r="F12" i="7"/>
  <c r="F13" i="7" s="1"/>
  <c r="E12" i="7"/>
  <c r="E13" i="7" s="1"/>
  <c r="P14" i="7"/>
  <c r="P15" i="7" s="1"/>
  <c r="O14" i="7"/>
  <c r="O15" i="7" s="1"/>
  <c r="N14" i="7"/>
  <c r="N15" i="7" s="1"/>
  <c r="M14" i="7"/>
  <c r="M15" i="7" s="1"/>
  <c r="L14" i="7"/>
  <c r="L15" i="7" s="1"/>
  <c r="K14" i="7"/>
  <c r="K15" i="7" s="1"/>
  <c r="J14" i="7"/>
  <c r="J15" i="7" s="1"/>
  <c r="I14" i="7"/>
  <c r="I15" i="7" s="1"/>
  <c r="H14" i="7"/>
  <c r="H15" i="7" s="1"/>
  <c r="G14" i="7"/>
  <c r="G15" i="7" s="1"/>
  <c r="F14" i="7"/>
  <c r="F15" i="7" s="1"/>
  <c r="E14" i="7"/>
  <c r="E15" i="7" s="1"/>
  <c r="P16" i="7"/>
  <c r="P17" i="7" s="1"/>
  <c r="O16" i="7"/>
  <c r="O17" i="7" s="1"/>
  <c r="N16" i="7"/>
  <c r="N17" i="7" s="1"/>
  <c r="M16" i="7"/>
  <c r="M17" i="7" s="1"/>
  <c r="L16" i="7"/>
  <c r="L17" i="7" s="1"/>
  <c r="K16" i="7"/>
  <c r="K17" i="7" s="1"/>
  <c r="J16" i="7"/>
  <c r="J17" i="7" s="1"/>
  <c r="I16" i="7"/>
  <c r="I17" i="7" s="1"/>
  <c r="H16" i="7"/>
  <c r="H17" i="7" s="1"/>
  <c r="G16" i="7"/>
  <c r="G17" i="7" s="1"/>
  <c r="F16" i="7"/>
  <c r="F17" i="7" s="1"/>
  <c r="E16" i="7"/>
  <c r="E17" i="7" s="1"/>
  <c r="P18" i="7"/>
  <c r="O18" i="7"/>
  <c r="N18" i="7"/>
  <c r="M18" i="7"/>
  <c r="L18" i="7"/>
  <c r="K18" i="7"/>
  <c r="J18" i="7"/>
  <c r="I18" i="7"/>
  <c r="H18" i="7"/>
  <c r="G18" i="7"/>
  <c r="F18" i="7"/>
  <c r="E18" i="7"/>
  <c r="P19" i="7"/>
  <c r="O19" i="7"/>
  <c r="N19" i="7"/>
  <c r="M19" i="7"/>
  <c r="L19" i="7"/>
  <c r="K19" i="7"/>
  <c r="J19" i="7"/>
  <c r="I19" i="7"/>
  <c r="H19" i="7"/>
  <c r="G19" i="7"/>
  <c r="F19" i="7"/>
  <c r="E19" i="7"/>
</calcChain>
</file>

<file path=xl/sharedStrings.xml><?xml version="1.0" encoding="utf-8"?>
<sst xmlns="http://schemas.openxmlformats.org/spreadsheetml/2006/main" count="243" uniqueCount="93">
  <si>
    <t>TOTAL FTE Year 1</t>
  </si>
  <si>
    <t>Year1</t>
  </si>
  <si>
    <t>Year2</t>
  </si>
  <si>
    <t>Year3</t>
  </si>
  <si>
    <t>Year4</t>
  </si>
  <si>
    <t>Year5</t>
  </si>
  <si>
    <t>Onsite FTE (non-FSI)</t>
  </si>
  <si>
    <t>Onsite FTE (FSI)</t>
  </si>
  <si>
    <t>Onsite FTE (Landed)</t>
  </si>
  <si>
    <t>Onsite</t>
  </si>
  <si>
    <t>Offshore</t>
  </si>
  <si>
    <t>Total</t>
  </si>
  <si>
    <t>India</t>
  </si>
  <si>
    <t>BSA</t>
  </si>
  <si>
    <t>Developer</t>
  </si>
  <si>
    <t>Tester</t>
  </si>
  <si>
    <t>Maintenance</t>
  </si>
  <si>
    <t>PM</t>
  </si>
  <si>
    <t>Other</t>
  </si>
  <si>
    <t>Lead</t>
  </si>
  <si>
    <t>Dev</t>
  </si>
  <si>
    <t>Onsite-FSI</t>
  </si>
  <si>
    <t>Onsite-Landed</t>
  </si>
  <si>
    <t>Productivity</t>
  </si>
  <si>
    <t>Transfer</t>
  </si>
  <si>
    <t>Role</t>
  </si>
  <si>
    <t>Location</t>
  </si>
  <si>
    <t>RoleLocation</t>
  </si>
  <si>
    <t>M1</t>
  </si>
  <si>
    <t>M2</t>
  </si>
  <si>
    <t>M3</t>
  </si>
  <si>
    <t>M4</t>
  </si>
  <si>
    <t>M5</t>
  </si>
  <si>
    <t>M6</t>
  </si>
  <si>
    <t>M7</t>
  </si>
  <si>
    <t>M8</t>
  </si>
  <si>
    <t>M9</t>
  </si>
  <si>
    <t>M10</t>
  </si>
  <si>
    <t>M11</t>
  </si>
  <si>
    <t>M12</t>
  </si>
  <si>
    <t>M13</t>
  </si>
  <si>
    <t>M14</t>
  </si>
  <si>
    <t>M15</t>
  </si>
  <si>
    <t>M16</t>
  </si>
  <si>
    <t>M17</t>
  </si>
  <si>
    <t>M18</t>
  </si>
  <si>
    <t>M19</t>
  </si>
  <si>
    <t>M20</t>
  </si>
  <si>
    <t>M21</t>
  </si>
  <si>
    <t>M22</t>
  </si>
  <si>
    <t>M23</t>
  </si>
  <si>
    <t>M24</t>
  </si>
  <si>
    <t>M25</t>
  </si>
  <si>
    <t>M26</t>
  </si>
  <si>
    <t>M27</t>
  </si>
  <si>
    <t>M28</t>
  </si>
  <si>
    <t>M29</t>
  </si>
  <si>
    <t>M30</t>
  </si>
  <si>
    <t>M31</t>
  </si>
  <si>
    <t>M32</t>
  </si>
  <si>
    <t>M33</t>
  </si>
  <si>
    <t>M34</t>
  </si>
  <si>
    <t>M35</t>
  </si>
  <si>
    <t>M36</t>
  </si>
  <si>
    <t>M37</t>
  </si>
  <si>
    <t>M38</t>
  </si>
  <si>
    <t>M39</t>
  </si>
  <si>
    <t>M40</t>
  </si>
  <si>
    <t>M41</t>
  </si>
  <si>
    <t>M42</t>
  </si>
  <si>
    <t>M43</t>
  </si>
  <si>
    <t>M44</t>
  </si>
  <si>
    <t>M45</t>
  </si>
  <si>
    <t>M46</t>
  </si>
  <si>
    <t>M47</t>
  </si>
  <si>
    <t>M48</t>
  </si>
  <si>
    <t>M49</t>
  </si>
  <si>
    <t>M50</t>
  </si>
  <si>
    <t>M51</t>
  </si>
  <si>
    <t>M52</t>
  </si>
  <si>
    <t>M53</t>
  </si>
  <si>
    <t>M54</t>
  </si>
  <si>
    <t>M55</t>
  </si>
  <si>
    <t>M56</t>
  </si>
  <si>
    <t>M57</t>
  </si>
  <si>
    <t>M58</t>
  </si>
  <si>
    <t>M59</t>
  </si>
  <si>
    <t>M60</t>
  </si>
  <si>
    <t>Pool</t>
  </si>
  <si>
    <t>POD</t>
  </si>
  <si>
    <t>Team</t>
  </si>
  <si>
    <t>Unit</t>
  </si>
  <si>
    <t>Percentage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</si>
</sst>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4" x14ac:knownFonts="1">
    <font>
      <sz val="11"/>
      <color theme="1"/>
      <name val="Calibri"/>
      <family val="2"/>
      <scheme val="minor"/>
    </font>
    <font>
      <sz val="9.5"/>
      <name val="Arial"/>
      <charset val="1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FF2CC"/>
        <bgColor rgb="FFF2F2F2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8" tint="0.59999389629810485"/>
        <bgColor indexed="64"/>
      </patternFill>
    </fill>
  </fills>
  <borders count="3">
    <border>
      <left/>
      <right/>
      <top/>
      <bottom/>
      <diagonal/>
    </border>
    <border>
      <left style="thin">
        <color rgb="FFD2DCE3"/>
      </left>
      <right style="thin">
        <color rgb="FFD2DCE3"/>
      </right>
      <top style="thin">
        <color rgb="FFD2DCE3"/>
      </top>
      <bottom style="thin">
        <color rgb="FFD2DCE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9" fontId="0" fillId="0" borderId="0" xfId="0" applyNumberFormat="1"/>
    <xf numFmtId="10" fontId="0" fillId="0" borderId="0" xfId="0" applyNumberFormat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0" fillId="9" borderId="0" xfId="0" applyFill="1"/>
    <xf numFmtId="0" fontId="0" fillId="9" borderId="2" xfId="0" applyFill="1" applyBorder="1"/>
    <xf numFmtId="0" fontId="0" fillId="7" borderId="2" xfId="0" applyFill="1" applyBorder="1"/>
    <xf numFmtId="0" fontId="0" fillId="8" borderId="2" xfId="0" applyFill="1" applyBorder="1"/>
    <xf numFmtId="164" fontId="1" fillId="2" borderId="1" xfId="0" applyNumberFormat="1" applyFont="1" applyFill="1" applyBorder="1" applyAlignment="1">
      <alignment horizontal="center" vertical="center" wrapText="1"/>
    </xf>
    <xf numFmtId="0" fontId="0" fillId="10" borderId="0" xfId="0" applyFill="1"/>
    <xf numFmtId="0" fontId="2" fillId="10" borderId="0" xfId="0" applyFont="1" applyFill="1"/>
    <xf numFmtId="0" fontId="0" fillId="0" borderId="0" xfId="0" applyAlignment="1">
      <alignment horizontal="center" vertical="center"/>
    </xf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8"/>
  <sheetViews>
    <sheetView zoomScale="108" zoomScaleNormal="108" workbookViewId="0">
      <selection activeCell="F7" sqref="F7"/>
    </sheetView>
  </sheetViews>
  <sheetFormatPr defaultRowHeight="14.5" x14ac:dyDescent="0.35"/>
  <cols>
    <col min="1" max="1" width="23.7265625" customWidth="1"/>
  </cols>
  <sheetData>
    <row r="1" spans="1:6" x14ac:dyDescent="0.35">
      <c r="A1" t="s">
        <v>0</v>
      </c>
      <c r="B1">
        <v>39</v>
      </c>
    </row>
    <row r="2" spans="1:6" x14ac:dyDescent="0.35">
      <c r="B2" s="16" t="s">
        <v>1</v>
      </c>
      <c r="C2" s="16" t="s">
        <v>2</v>
      </c>
      <c r="D2" s="16" t="s">
        <v>3</v>
      </c>
      <c r="E2" s="16" t="s">
        <v>4</v>
      </c>
      <c r="F2" s="16" t="s">
        <v>5</v>
      </c>
    </row>
    <row r="3" spans="1:6" x14ac:dyDescent="0.35">
      <c r="A3" t="s">
        <v>6</v>
      </c>
      <c r="B3" s="3">
        <v>3</v>
      </c>
      <c r="C3" s="3">
        <v>3</v>
      </c>
      <c r="D3" s="3">
        <v>1</v>
      </c>
      <c r="E3" s="3">
        <v>1</v>
      </c>
      <c r="F3" s="3">
        <v>1</v>
      </c>
    </row>
    <row r="4" spans="1:6" x14ac:dyDescent="0.35">
      <c r="A4" t="s">
        <v>7</v>
      </c>
      <c r="B4" s="4">
        <v>6</v>
      </c>
      <c r="C4" s="4">
        <v>4</v>
      </c>
      <c r="D4" s="4">
        <v>2</v>
      </c>
      <c r="E4" s="4">
        <v>1</v>
      </c>
      <c r="F4" s="4">
        <v>0</v>
      </c>
    </row>
    <row r="5" spans="1:6" x14ac:dyDescent="0.35">
      <c r="A5" t="s">
        <v>8</v>
      </c>
      <c r="B5" s="5">
        <v>7</v>
      </c>
      <c r="C5" s="5">
        <v>2</v>
      </c>
      <c r="D5" s="5">
        <v>1</v>
      </c>
      <c r="E5" s="5">
        <v>1</v>
      </c>
      <c r="F5" s="5">
        <v>1</v>
      </c>
    </row>
    <row r="6" spans="1:6" x14ac:dyDescent="0.35">
      <c r="A6" t="s">
        <v>9</v>
      </c>
      <c r="B6">
        <f>B3+B4+B5</f>
        <v>16</v>
      </c>
      <c r="C6">
        <f>C3+C4+C5</f>
        <v>9</v>
      </c>
      <c r="D6">
        <f>D3+D4+D5</f>
        <v>4</v>
      </c>
      <c r="E6">
        <f>E3+E4+E5</f>
        <v>3</v>
      </c>
      <c r="F6">
        <f>F3+F4+F5</f>
        <v>2</v>
      </c>
    </row>
    <row r="7" spans="1:6" x14ac:dyDescent="0.35">
      <c r="A7" t="s">
        <v>10</v>
      </c>
      <c r="B7" s="6">
        <v>10</v>
      </c>
      <c r="C7" s="6">
        <v>13</v>
      </c>
      <c r="D7" s="6">
        <v>14</v>
      </c>
      <c r="E7" s="6">
        <v>12</v>
      </c>
      <c r="F7" s="6">
        <v>12</v>
      </c>
    </row>
    <row r="8" spans="1:6" x14ac:dyDescent="0.35">
      <c r="A8" s="14" t="s">
        <v>11</v>
      </c>
      <c r="B8" s="15">
        <f>SUM(B6:B7)</f>
        <v>26</v>
      </c>
      <c r="C8" s="15">
        <f>SUM(C6:C7)</f>
        <v>22</v>
      </c>
      <c r="D8" s="15">
        <f>SUM(D6:D7)</f>
        <v>18</v>
      </c>
      <c r="E8" s="15">
        <f>SUM(E6:E7)</f>
        <v>15</v>
      </c>
      <c r="F8" s="15">
        <f>SUM(F6:F7)</f>
        <v>14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C7"/>
  <sheetViews>
    <sheetView zoomScale="184" zoomScaleNormal="184" workbookViewId="0">
      <selection activeCell="C2" sqref="C2"/>
    </sheetView>
  </sheetViews>
  <sheetFormatPr defaultRowHeight="14.5" x14ac:dyDescent="0.35"/>
  <cols>
    <col min="2" max="2" width="27.81640625" customWidth="1"/>
    <col min="6" max="6" width="12.1796875" customWidth="1"/>
  </cols>
  <sheetData>
    <row r="2" spans="1:3" x14ac:dyDescent="0.35">
      <c r="A2" t="s">
        <v>12</v>
      </c>
      <c r="B2" t="s">
        <v>13</v>
      </c>
      <c r="C2" s="13">
        <v>0.122</v>
      </c>
    </row>
    <row r="3" spans="1:3" x14ac:dyDescent="0.35">
      <c r="A3" t="s">
        <v>12</v>
      </c>
      <c r="B3" t="s">
        <v>14</v>
      </c>
      <c r="C3" s="13">
        <v>0.45800000000000002</v>
      </c>
    </row>
    <row r="4" spans="1:3" x14ac:dyDescent="0.35">
      <c r="A4" t="s">
        <v>12</v>
      </c>
      <c r="B4" t="s">
        <v>15</v>
      </c>
      <c r="C4" s="13">
        <v>0.28699999999999998</v>
      </c>
    </row>
    <row r="5" spans="1:3" x14ac:dyDescent="0.35">
      <c r="A5" t="s">
        <v>12</v>
      </c>
      <c r="B5" t="s">
        <v>16</v>
      </c>
      <c r="C5" s="13">
        <v>7.8E-2</v>
      </c>
    </row>
    <row r="6" spans="1:3" x14ac:dyDescent="0.35">
      <c r="A6" t="s">
        <v>12</v>
      </c>
      <c r="B6" t="s">
        <v>17</v>
      </c>
      <c r="C6" s="13">
        <v>3.4000000000000002E-2</v>
      </c>
    </row>
    <row r="7" spans="1:3" x14ac:dyDescent="0.35">
      <c r="A7" t="s">
        <v>12</v>
      </c>
      <c r="B7" t="s">
        <v>18</v>
      </c>
      <c r="C7" s="13">
        <v>2.3E-2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G17"/>
  <sheetViews>
    <sheetView zoomScale="120" zoomScaleNormal="120" workbookViewId="0">
      <selection activeCell="C3" sqref="C3:G7"/>
    </sheetView>
  </sheetViews>
  <sheetFormatPr defaultRowHeight="14.5" x14ac:dyDescent="0.35"/>
  <cols>
    <col min="1" max="1" width="13.453125" bestFit="1" customWidth="1"/>
    <col min="2" max="2" width="10.81640625" bestFit="1" customWidth="1"/>
  </cols>
  <sheetData>
    <row r="2" spans="1:7" x14ac:dyDescent="0.35">
      <c r="C2" t="s">
        <v>1</v>
      </c>
      <c r="D2" t="s">
        <v>2</v>
      </c>
      <c r="E2" t="s">
        <v>3</v>
      </c>
      <c r="F2" t="s">
        <v>4</v>
      </c>
      <c r="G2" t="s">
        <v>5</v>
      </c>
    </row>
    <row r="3" spans="1:7" x14ac:dyDescent="0.35">
      <c r="A3" s="9" t="s">
        <v>9</v>
      </c>
      <c r="B3" t="s">
        <v>17</v>
      </c>
      <c r="C3" s="10">
        <v>0</v>
      </c>
      <c r="D3" s="10">
        <v>0</v>
      </c>
      <c r="E3" s="10">
        <v>0</v>
      </c>
      <c r="F3" s="10">
        <v>0</v>
      </c>
      <c r="G3" s="10">
        <v>0</v>
      </c>
    </row>
    <row r="4" spans="1:7" x14ac:dyDescent="0.35">
      <c r="B4" t="s">
        <v>19</v>
      </c>
      <c r="C4" s="10">
        <v>1</v>
      </c>
      <c r="D4" s="10">
        <v>1</v>
      </c>
      <c r="E4" s="10">
        <v>0</v>
      </c>
      <c r="F4" s="10">
        <v>0</v>
      </c>
      <c r="G4" s="10">
        <v>0</v>
      </c>
    </row>
    <row r="5" spans="1:7" x14ac:dyDescent="0.35">
      <c r="B5" t="s">
        <v>13</v>
      </c>
      <c r="C5" s="10">
        <v>0</v>
      </c>
      <c r="D5" s="10">
        <v>0</v>
      </c>
      <c r="E5" s="10">
        <v>0</v>
      </c>
      <c r="F5" s="10">
        <v>0</v>
      </c>
      <c r="G5" s="10">
        <v>0</v>
      </c>
    </row>
    <row r="6" spans="1:7" x14ac:dyDescent="0.35">
      <c r="B6" t="s">
        <v>20</v>
      </c>
      <c r="C6" s="10">
        <v>1</v>
      </c>
      <c r="D6" s="10">
        <v>1</v>
      </c>
      <c r="E6" s="10">
        <v>1</v>
      </c>
      <c r="F6" s="10">
        <v>1</v>
      </c>
      <c r="G6" s="10">
        <v>0</v>
      </c>
    </row>
    <row r="7" spans="1:7" x14ac:dyDescent="0.35">
      <c r="B7" t="s">
        <v>15</v>
      </c>
      <c r="C7" s="10">
        <v>1</v>
      </c>
      <c r="D7" s="10">
        <v>1</v>
      </c>
      <c r="E7" s="10">
        <v>0</v>
      </c>
      <c r="F7" s="10">
        <v>0</v>
      </c>
      <c r="G7" s="10">
        <v>0</v>
      </c>
    </row>
    <row r="8" spans="1:7" x14ac:dyDescent="0.35">
      <c r="A8" s="7" t="s">
        <v>21</v>
      </c>
      <c r="B8" t="s">
        <v>17</v>
      </c>
      <c r="C8" s="11"/>
      <c r="D8" s="11"/>
      <c r="E8" s="11"/>
      <c r="F8" s="11"/>
      <c r="G8" s="11"/>
    </row>
    <row r="9" spans="1:7" x14ac:dyDescent="0.35">
      <c r="B9" t="s">
        <v>19</v>
      </c>
      <c r="C9" s="11"/>
      <c r="D9" s="11"/>
      <c r="E9" s="11"/>
      <c r="F9" s="11"/>
      <c r="G9" s="11"/>
    </row>
    <row r="10" spans="1:7" x14ac:dyDescent="0.35">
      <c r="B10" t="s">
        <v>13</v>
      </c>
      <c r="C10" s="11">
        <v>2</v>
      </c>
      <c r="D10" s="11">
        <v>1</v>
      </c>
      <c r="E10" s="11">
        <v>1</v>
      </c>
      <c r="F10" s="11">
        <v>0</v>
      </c>
      <c r="G10" s="11">
        <v>0</v>
      </c>
    </row>
    <row r="11" spans="1:7" x14ac:dyDescent="0.35">
      <c r="B11" t="s">
        <v>20</v>
      </c>
      <c r="C11" s="11">
        <v>4</v>
      </c>
      <c r="D11" s="11">
        <v>3</v>
      </c>
      <c r="E11" s="11">
        <v>1</v>
      </c>
      <c r="F11" s="11">
        <v>1</v>
      </c>
      <c r="G11" s="11">
        <v>0</v>
      </c>
    </row>
    <row r="12" spans="1:7" x14ac:dyDescent="0.35">
      <c r="B12" t="s">
        <v>15</v>
      </c>
      <c r="C12" s="11"/>
      <c r="D12" s="11"/>
      <c r="E12" s="11"/>
      <c r="F12" s="11"/>
      <c r="G12" s="11"/>
    </row>
    <row r="13" spans="1:7" x14ac:dyDescent="0.35">
      <c r="A13" s="8" t="s">
        <v>22</v>
      </c>
      <c r="B13" t="s">
        <v>17</v>
      </c>
      <c r="C13" s="12"/>
      <c r="D13" s="12"/>
      <c r="E13" s="12"/>
      <c r="F13" s="12"/>
      <c r="G13" s="12"/>
    </row>
    <row r="14" spans="1:7" x14ac:dyDescent="0.35">
      <c r="B14" t="s">
        <v>19</v>
      </c>
      <c r="C14" s="12">
        <v>0</v>
      </c>
      <c r="D14" s="12">
        <v>0</v>
      </c>
      <c r="E14" s="12">
        <v>0</v>
      </c>
      <c r="F14" s="12">
        <v>0</v>
      </c>
      <c r="G14" s="12">
        <v>0</v>
      </c>
    </row>
    <row r="15" spans="1:7" x14ac:dyDescent="0.35">
      <c r="B15" t="s">
        <v>13</v>
      </c>
      <c r="C15" s="12">
        <v>2</v>
      </c>
      <c r="D15" s="12">
        <v>0</v>
      </c>
      <c r="E15" s="12">
        <v>0</v>
      </c>
      <c r="F15" s="12">
        <v>0</v>
      </c>
      <c r="G15" s="12">
        <v>0</v>
      </c>
    </row>
    <row r="16" spans="1:7" x14ac:dyDescent="0.35">
      <c r="B16" t="s">
        <v>20</v>
      </c>
      <c r="C16" s="12">
        <v>3</v>
      </c>
      <c r="D16" s="12">
        <v>1</v>
      </c>
      <c r="E16" s="12">
        <v>1</v>
      </c>
      <c r="F16" s="12">
        <v>1</v>
      </c>
      <c r="G16" s="12">
        <v>1</v>
      </c>
    </row>
    <row r="17" spans="2:7" x14ac:dyDescent="0.35">
      <c r="B17" t="s">
        <v>15</v>
      </c>
      <c r="C17" s="12">
        <v>2</v>
      </c>
      <c r="D17" s="12">
        <v>1</v>
      </c>
      <c r="E17" s="12">
        <v>0</v>
      </c>
      <c r="F17" s="12">
        <v>0</v>
      </c>
      <c r="G17" s="12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F3"/>
  <sheetViews>
    <sheetView workbookViewId="0">
      <selection activeCell="D14" sqref="D14"/>
    </sheetView>
  </sheetViews>
  <sheetFormatPr defaultRowHeight="14.5" x14ac:dyDescent="0.35"/>
  <cols>
    <col min="1" max="1" width="10.54296875" bestFit="1" customWidth="1"/>
  </cols>
  <sheetData>
    <row r="2" spans="1:6" x14ac:dyDescent="0.35">
      <c r="B2" t="s">
        <v>1</v>
      </c>
      <c r="C2" t="s">
        <v>2</v>
      </c>
      <c r="D2" t="s">
        <v>3</v>
      </c>
      <c r="E2" t="s">
        <v>4</v>
      </c>
      <c r="F2" t="s">
        <v>5</v>
      </c>
    </row>
    <row r="3" spans="1:6" x14ac:dyDescent="0.35">
      <c r="A3" t="s">
        <v>23</v>
      </c>
      <c r="C3" s="1">
        <v>0.15</v>
      </c>
      <c r="D3" s="1">
        <v>0.34</v>
      </c>
      <c r="E3" s="1">
        <v>0.39</v>
      </c>
      <c r="F3" s="1">
        <v>0.44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2:B4"/>
  <sheetViews>
    <sheetView zoomScale="136" zoomScaleNormal="136" workbookViewId="0">
      <selection activeCell="B4" sqref="B4"/>
    </sheetView>
  </sheetViews>
  <sheetFormatPr defaultRowHeight="14.5" x14ac:dyDescent="0.35"/>
  <cols>
    <col min="1" max="1" width="5.54296875" bestFit="1" customWidth="1"/>
    <col min="2" max="2" width="10.1796875" bestFit="1" customWidth="1"/>
  </cols>
  <sheetData>
    <row r="2" spans="1:2" x14ac:dyDescent="0.35">
      <c r="A2" s="4" t="s">
        <v>91</v>
      </c>
      <c r="B2" s="4" t="s">
        <v>92</v>
      </c>
    </row>
    <row r="3" spans="1:2" x14ac:dyDescent="0.35">
      <c r="A3" t="s">
        <v>89</v>
      </c>
      <c r="B3" s="2">
        <v>0.66669999999999996</v>
      </c>
    </row>
    <row r="4" spans="1:2" x14ac:dyDescent="0.35">
      <c r="A4" t="s">
        <v>90</v>
      </c>
      <c r="B4" s="2">
        <v>0.33329999999999999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F3"/>
  <sheetViews>
    <sheetView workbookViewId="0">
      <selection activeCell="C9" sqref="C9"/>
    </sheetView>
  </sheetViews>
  <sheetFormatPr defaultRowHeight="14.5" x14ac:dyDescent="0.35"/>
  <sheetData>
    <row r="2" spans="1:6" x14ac:dyDescent="0.35">
      <c r="B2" t="s">
        <v>1</v>
      </c>
      <c r="C2" t="s">
        <v>2</v>
      </c>
      <c r="D2" t="s">
        <v>3</v>
      </c>
      <c r="E2" t="s">
        <v>4</v>
      </c>
      <c r="F2" t="s">
        <v>5</v>
      </c>
    </row>
    <row r="3" spans="1:6" x14ac:dyDescent="0.35">
      <c r="A3" t="s">
        <v>24</v>
      </c>
      <c r="E3" s="1">
        <v>0.15</v>
      </c>
      <c r="F3" s="1">
        <v>0.15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5:BK41"/>
  <sheetViews>
    <sheetView tabSelected="1" topLeftCell="AF22" zoomScale="120" zoomScaleNormal="120" workbookViewId="0">
      <selection activeCell="AZ26" sqref="AZ26:AZ41"/>
    </sheetView>
  </sheetViews>
  <sheetFormatPr defaultRowHeight="14.5" x14ac:dyDescent="0.35"/>
  <cols>
    <col min="1" max="1" width="18.453125" customWidth="1"/>
    <col min="2" max="2" width="13.1796875" customWidth="1"/>
    <col min="3" max="3" width="18.26953125" bestFit="1" customWidth="1"/>
  </cols>
  <sheetData>
    <row r="25" spans="1:63" x14ac:dyDescent="0.35">
      <c r="A25" t="s">
        <v>25</v>
      </c>
      <c r="B25" t="s">
        <v>26</v>
      </c>
      <c r="C25" t="s">
        <v>27</v>
      </c>
      <c r="D25" t="s">
        <v>28</v>
      </c>
      <c r="E25" t="s">
        <v>29</v>
      </c>
      <c r="F25" t="s">
        <v>30</v>
      </c>
      <c r="G25" t="s">
        <v>31</v>
      </c>
      <c r="H25" t="s">
        <v>32</v>
      </c>
      <c r="I25" t="s">
        <v>33</v>
      </c>
      <c r="J25" t="s">
        <v>34</v>
      </c>
      <c r="K25" t="s">
        <v>35</v>
      </c>
      <c r="L25" t="s">
        <v>36</v>
      </c>
      <c r="M25" t="s">
        <v>37</v>
      </c>
      <c r="N25" t="s">
        <v>38</v>
      </c>
      <c r="O25" t="s">
        <v>39</v>
      </c>
      <c r="P25" t="s">
        <v>40</v>
      </c>
      <c r="Q25" t="s">
        <v>41</v>
      </c>
      <c r="R25" t="s">
        <v>42</v>
      </c>
      <c r="S25" t="s">
        <v>43</v>
      </c>
      <c r="T25" t="s">
        <v>44</v>
      </c>
      <c r="U25" t="s">
        <v>45</v>
      </c>
      <c r="V25" t="s">
        <v>46</v>
      </c>
      <c r="W25" t="s">
        <v>47</v>
      </c>
      <c r="X25" t="s">
        <v>48</v>
      </c>
      <c r="Y25" t="s">
        <v>49</v>
      </c>
      <c r="Z25" t="s">
        <v>50</v>
      </c>
      <c r="AA25" t="s">
        <v>51</v>
      </c>
      <c r="AB25" t="s">
        <v>52</v>
      </c>
      <c r="AC25" t="s">
        <v>53</v>
      </c>
      <c r="AD25" t="s">
        <v>54</v>
      </c>
      <c r="AE25" t="s">
        <v>55</v>
      </c>
      <c r="AF25" t="s">
        <v>56</v>
      </c>
      <c r="AG25" t="s">
        <v>57</v>
      </c>
      <c r="AH25" t="s">
        <v>58</v>
      </c>
      <c r="AI25" t="s">
        <v>59</v>
      </c>
      <c r="AJ25" t="s">
        <v>60</v>
      </c>
      <c r="AK25" t="s">
        <v>61</v>
      </c>
      <c r="AL25" t="s">
        <v>62</v>
      </c>
      <c r="AM25" t="s">
        <v>63</v>
      </c>
      <c r="AN25" t="s">
        <v>64</v>
      </c>
      <c r="AO25" t="s">
        <v>65</v>
      </c>
      <c r="AP25" t="s">
        <v>66</v>
      </c>
      <c r="AQ25" t="s">
        <v>67</v>
      </c>
      <c r="AR25" t="s">
        <v>68</v>
      </c>
      <c r="AS25" t="s">
        <v>69</v>
      </c>
      <c r="AT25" t="s">
        <v>70</v>
      </c>
      <c r="AU25" t="s">
        <v>71</v>
      </c>
      <c r="AV25" t="s">
        <v>72</v>
      </c>
      <c r="AW25" t="s">
        <v>73</v>
      </c>
      <c r="AX25" t="s">
        <v>74</v>
      </c>
      <c r="AY25" t="s">
        <v>75</v>
      </c>
      <c r="AZ25" t="s">
        <v>76</v>
      </c>
      <c r="BA25" t="s">
        <v>77</v>
      </c>
      <c r="BB25" t="s">
        <v>78</v>
      </c>
      <c r="BC25" t="s">
        <v>79</v>
      </c>
      <c r="BD25" t="s">
        <v>80</v>
      </c>
      <c r="BE25" t="s">
        <v>81</v>
      </c>
      <c r="BF25" t="s">
        <v>82</v>
      </c>
      <c r="BG25" t="s">
        <v>83</v>
      </c>
      <c r="BH25" t="s">
        <v>84</v>
      </c>
      <c r="BI25" t="s">
        <v>85</v>
      </c>
      <c r="BJ25" t="s">
        <v>86</v>
      </c>
      <c r="BK25" t="s">
        <v>87</v>
      </c>
    </row>
    <row r="26" spans="1:63" x14ac:dyDescent="0.35">
      <c r="A26" t="s">
        <v>13</v>
      </c>
      <c r="B26" t="s">
        <v>12</v>
      </c>
      <c r="C26" t="str">
        <f t="shared" ref="C26:C41" si="0">A26&amp;B26</f>
        <v>BSAIndia</v>
      </c>
      <c r="D26">
        <f>ROUND(FTE!$B$7*'India Role Distribution'!$C2,0)</f>
        <v>1</v>
      </c>
      <c r="E26">
        <f>ROUND(FTE!$B$7*'India Role Distribution'!$C2,0)</f>
        <v>1</v>
      </c>
      <c r="F26">
        <f>ROUND(FTE!$B$7*'India Role Distribution'!$C2,0)</f>
        <v>1</v>
      </c>
      <c r="G26">
        <f>ROUND(FTE!$B$7*'India Role Distribution'!$C2,0)</f>
        <v>1</v>
      </c>
      <c r="H26">
        <f>ROUND(FTE!$B$7*'India Role Distribution'!$C2,0)</f>
        <v>1</v>
      </c>
      <c r="I26">
        <f>ROUND(FTE!$B$7*'India Role Distribution'!$C2,0)</f>
        <v>1</v>
      </c>
      <c r="J26">
        <f>ROUND(FTE!$B$7*'India Role Distribution'!$C2,0)</f>
        <v>1</v>
      </c>
      <c r="K26">
        <f>ROUND(FTE!$B$7*'India Role Distribution'!$C2,0)</f>
        <v>1</v>
      </c>
      <c r="L26">
        <f>ROUND(FTE!$B$7*'India Role Distribution'!$C2,0)</f>
        <v>1</v>
      </c>
      <c r="M26">
        <f>ROUND(FTE!$B$7*'India Role Distribution'!$C2,0)</f>
        <v>1</v>
      </c>
      <c r="N26">
        <f>ROUND(FTE!$B$7*'India Role Distribution'!$C2,0)</f>
        <v>1</v>
      </c>
      <c r="O26">
        <f>ROUND(FTE!$B$7*'India Role Distribution'!$C2,0)</f>
        <v>1</v>
      </c>
      <c r="P26">
        <f>ROUND(FTE!$C$7*'India Role Distribution'!$C2,0)</f>
        <v>2</v>
      </c>
      <c r="Q26">
        <f>ROUND(FTE!$C$7*'India Role Distribution'!$C2,0)</f>
        <v>2</v>
      </c>
      <c r="R26">
        <f>ROUND(FTE!$C$7*'India Role Distribution'!$C2,0)</f>
        <v>2</v>
      </c>
      <c r="S26">
        <f>ROUND(FTE!$C$7*'India Role Distribution'!$C2,0)</f>
        <v>2</v>
      </c>
      <c r="T26">
        <f>ROUND(FTE!$C$7*'India Role Distribution'!$C2,0)</f>
        <v>2</v>
      </c>
      <c r="U26">
        <f>ROUND(FTE!$C$7*'India Role Distribution'!$C2,0)</f>
        <v>2</v>
      </c>
      <c r="V26">
        <f>ROUND(FTE!$C$7*'India Role Distribution'!$C2,0)</f>
        <v>2</v>
      </c>
      <c r="W26">
        <f>ROUND(FTE!$C$7*'India Role Distribution'!$C2,0)</f>
        <v>2</v>
      </c>
      <c r="X26">
        <f>ROUND(FTE!$C$7*'India Role Distribution'!$C2,0)</f>
        <v>2</v>
      </c>
      <c r="Y26">
        <f>ROUND(FTE!$C$7*'India Role Distribution'!$C2,0)</f>
        <v>2</v>
      </c>
      <c r="Z26">
        <f>ROUND(FTE!$C$7*'India Role Distribution'!$C2,0)</f>
        <v>2</v>
      </c>
      <c r="AA26">
        <f>ROUND(FTE!$C$7*'India Role Distribution'!$C2,0)</f>
        <v>2</v>
      </c>
      <c r="AB26">
        <f>ROUND(FTE!$D$7*'India Role Distribution'!$C2,0)</f>
        <v>2</v>
      </c>
      <c r="AC26">
        <f>ROUND(FTE!$D$7*'India Role Distribution'!$C2,0)</f>
        <v>2</v>
      </c>
      <c r="AD26">
        <f>ROUND(FTE!$D$7*'India Role Distribution'!$C2,0)</f>
        <v>2</v>
      </c>
      <c r="AE26">
        <f>ROUND(FTE!$D$7*'India Role Distribution'!$C2,0)</f>
        <v>2</v>
      </c>
      <c r="AF26">
        <f>ROUND(FTE!$D$7*'India Role Distribution'!$C2,0)</f>
        <v>2</v>
      </c>
      <c r="AG26">
        <f>ROUND(FTE!$D$7*'India Role Distribution'!$C2,0)</f>
        <v>2</v>
      </c>
      <c r="AH26">
        <f>ROUND(FTE!$D$7*'India Role Distribution'!$C2,0)</f>
        <v>2</v>
      </c>
      <c r="AI26">
        <f>ROUND(FTE!$D$7*'India Role Distribution'!$C2,0)</f>
        <v>2</v>
      </c>
      <c r="AJ26">
        <f>ROUND(FTE!$D$7*'India Role Distribution'!$C2,0)</f>
        <v>2</v>
      </c>
      <c r="AK26">
        <f>ROUND(FTE!$D$7*'India Role Distribution'!$C2,0)</f>
        <v>2</v>
      </c>
      <c r="AL26">
        <f>ROUND(FTE!$D$7*'India Role Distribution'!$C2,0)</f>
        <v>2</v>
      </c>
      <c r="AM26">
        <f>ROUND(FTE!$D$7*'India Role Distribution'!$C2,0)</f>
        <v>2</v>
      </c>
      <c r="AN26">
        <v>2</v>
      </c>
      <c r="AO26">
        <v>2</v>
      </c>
      <c r="AP26">
        <v>2</v>
      </c>
      <c r="AQ26">
        <v>2</v>
      </c>
      <c r="AR26">
        <v>2</v>
      </c>
      <c r="AS26">
        <v>2</v>
      </c>
      <c r="AT26">
        <v>2</v>
      </c>
      <c r="AU26">
        <v>2</v>
      </c>
      <c r="AV26">
        <v>2</v>
      </c>
      <c r="AW26">
        <v>2</v>
      </c>
      <c r="AX26">
        <v>2</v>
      </c>
      <c r="AY26">
        <v>2</v>
      </c>
      <c r="AZ26" s="17">
        <v>2</v>
      </c>
      <c r="BA26">
        <f>ROUND(FTE!$F$7*'India Role Distribution'!$C2,0)</f>
        <v>1</v>
      </c>
      <c r="BB26">
        <f>ROUND(FTE!$F$7*'India Role Distribution'!$C2,0)</f>
        <v>1</v>
      </c>
      <c r="BC26">
        <f>ROUND(FTE!$F$7*'India Role Distribution'!$C2,0)</f>
        <v>1</v>
      </c>
      <c r="BD26">
        <f>ROUND(FTE!$F$7*'India Role Distribution'!$C2,0)</f>
        <v>1</v>
      </c>
      <c r="BE26">
        <f>ROUND(FTE!$F$7*'India Role Distribution'!$C2,0)</f>
        <v>1</v>
      </c>
      <c r="BF26">
        <f>ROUND(FTE!$F$7*'India Role Distribution'!$C2,0)</f>
        <v>1</v>
      </c>
      <c r="BG26">
        <f>ROUND(FTE!$F$7*'India Role Distribution'!$C2,0)</f>
        <v>1</v>
      </c>
      <c r="BH26">
        <f>ROUND(FTE!$F$7*'India Role Distribution'!$C2,0)</f>
        <v>1</v>
      </c>
      <c r="BI26">
        <f>ROUND(FTE!$F$7*'India Role Distribution'!$C2,0)</f>
        <v>1</v>
      </c>
      <c r="BJ26">
        <f>ROUND(FTE!$F$7*'India Role Distribution'!$C2,0)</f>
        <v>1</v>
      </c>
      <c r="BK26">
        <f>ROUND(FTE!$F$7*'India Role Distribution'!$C2,0)</f>
        <v>1</v>
      </c>
    </row>
    <row r="27" spans="1:63" x14ac:dyDescent="0.35">
      <c r="A27" t="s">
        <v>20</v>
      </c>
      <c r="B27" t="s">
        <v>12</v>
      </c>
      <c r="C27" t="str">
        <f t="shared" si="0"/>
        <v>DevIndia</v>
      </c>
      <c r="D27">
        <f>ROUND(FTE!$B$7*'India Role Distribution'!$C3,0)</f>
        <v>5</v>
      </c>
      <c r="E27">
        <f>ROUND(FTE!$B$7*'India Role Distribution'!$C3,0)</f>
        <v>5</v>
      </c>
      <c r="F27">
        <f>ROUND(FTE!$B$7*'India Role Distribution'!$C3,0)</f>
        <v>5</v>
      </c>
      <c r="G27">
        <f>ROUND(FTE!$B$7*'India Role Distribution'!$C3,0)</f>
        <v>5</v>
      </c>
      <c r="H27">
        <f>ROUND(FTE!$B$7*'India Role Distribution'!$C3,0)</f>
        <v>5</v>
      </c>
      <c r="I27">
        <f>ROUND(FTE!$B$7*'India Role Distribution'!$C3,0)</f>
        <v>5</v>
      </c>
      <c r="J27">
        <f>ROUND(FTE!$B$7*'India Role Distribution'!$C3,0)</f>
        <v>5</v>
      </c>
      <c r="K27">
        <f>ROUND(FTE!$B$7*'India Role Distribution'!$C3,0)</f>
        <v>5</v>
      </c>
      <c r="L27">
        <f>ROUND(FTE!$B$7*'India Role Distribution'!$C3,0)</f>
        <v>5</v>
      </c>
      <c r="M27">
        <f>ROUND(FTE!$B$7*'India Role Distribution'!$C3,0)</f>
        <v>5</v>
      </c>
      <c r="N27">
        <f>ROUND(FTE!$B$7*'India Role Distribution'!$C3,0)</f>
        <v>5</v>
      </c>
      <c r="O27">
        <f>ROUND(FTE!$B$7*'India Role Distribution'!$C3,0)</f>
        <v>5</v>
      </c>
      <c r="P27">
        <f>ROUND(FTE!$C$7*'India Role Distribution'!$C3,0)</f>
        <v>6</v>
      </c>
      <c r="Q27">
        <f>ROUND(FTE!$C$7*'India Role Distribution'!$C3,0)</f>
        <v>6</v>
      </c>
      <c r="R27">
        <f>ROUND(FTE!$C$7*'India Role Distribution'!$C3,0)</f>
        <v>6</v>
      </c>
      <c r="S27">
        <f>ROUND(FTE!$C$7*'India Role Distribution'!$C3,0)</f>
        <v>6</v>
      </c>
      <c r="T27">
        <f>ROUND(FTE!$C$7*'India Role Distribution'!$C3,0)</f>
        <v>6</v>
      </c>
      <c r="U27">
        <f>ROUND(FTE!$C$7*'India Role Distribution'!$C3,0)</f>
        <v>6</v>
      </c>
      <c r="V27">
        <f>ROUND(FTE!$C$7*'India Role Distribution'!$C3,0)</f>
        <v>6</v>
      </c>
      <c r="W27">
        <f>ROUND(FTE!$C$7*'India Role Distribution'!$C3,0)</f>
        <v>6</v>
      </c>
      <c r="X27">
        <f>ROUND(FTE!$C$7*'India Role Distribution'!$C3,0)</f>
        <v>6</v>
      </c>
      <c r="Y27">
        <f>ROUND(FTE!$C$7*'India Role Distribution'!$C3,0)</f>
        <v>6</v>
      </c>
      <c r="Z27">
        <f>ROUND(FTE!$C$7*'India Role Distribution'!$C3,0)</f>
        <v>6</v>
      </c>
      <c r="AA27">
        <f>ROUND(FTE!$C$7*'India Role Distribution'!$C3,0)</f>
        <v>6</v>
      </c>
      <c r="AB27">
        <f>ROUND(FTE!$D$7*'India Role Distribution'!$C3,0)</f>
        <v>6</v>
      </c>
      <c r="AC27">
        <f>ROUND(FTE!$D$7*'India Role Distribution'!$C3,0)</f>
        <v>6</v>
      </c>
      <c r="AD27">
        <f>ROUND(FTE!$D$7*'India Role Distribution'!$C3,0)</f>
        <v>6</v>
      </c>
      <c r="AE27">
        <f>ROUND(FTE!$D$7*'India Role Distribution'!$C3,0)</f>
        <v>6</v>
      </c>
      <c r="AF27">
        <f>ROUND(FTE!$D$7*'India Role Distribution'!$C3,0)</f>
        <v>6</v>
      </c>
      <c r="AG27">
        <f>ROUND(FTE!$D$7*'India Role Distribution'!$C3,0)</f>
        <v>6</v>
      </c>
      <c r="AH27">
        <f>ROUND(FTE!$D$7*'India Role Distribution'!$C3,0)</f>
        <v>6</v>
      </c>
      <c r="AI27">
        <f>ROUND(FTE!$D$7*'India Role Distribution'!$C3,0)</f>
        <v>6</v>
      </c>
      <c r="AJ27">
        <f>ROUND(FTE!$D$7*'India Role Distribution'!$C3,0)</f>
        <v>6</v>
      </c>
      <c r="AK27">
        <f>ROUND(FTE!$D$7*'India Role Distribution'!$C3,0)</f>
        <v>6</v>
      </c>
      <c r="AL27">
        <f>ROUND(FTE!$D$7*'India Role Distribution'!$C3,0)</f>
        <v>6</v>
      </c>
      <c r="AM27">
        <f>ROUND(FTE!$D$7*'India Role Distribution'!$C3,0)</f>
        <v>6</v>
      </c>
      <c r="AN27">
        <v>6</v>
      </c>
      <c r="AO27">
        <v>6</v>
      </c>
      <c r="AP27">
        <v>6</v>
      </c>
      <c r="AQ27">
        <v>6</v>
      </c>
      <c r="AR27">
        <v>6</v>
      </c>
      <c r="AS27">
        <v>6</v>
      </c>
      <c r="AT27">
        <v>6</v>
      </c>
      <c r="AU27">
        <v>6</v>
      </c>
      <c r="AV27">
        <v>6</v>
      </c>
      <c r="AW27">
        <v>6</v>
      </c>
      <c r="AX27">
        <v>6</v>
      </c>
      <c r="AY27">
        <v>6</v>
      </c>
      <c r="AZ27" s="17">
        <v>6</v>
      </c>
      <c r="BA27">
        <f>ROUND(FTE!$F$7*'India Role Distribution'!$C3,0)</f>
        <v>5</v>
      </c>
      <c r="BB27">
        <f>ROUND(FTE!$F$7*'India Role Distribution'!$C3,0)</f>
        <v>5</v>
      </c>
      <c r="BC27">
        <f>ROUND(FTE!$F$7*'India Role Distribution'!$C3,0)</f>
        <v>5</v>
      </c>
      <c r="BD27">
        <f>ROUND(FTE!$F$7*'India Role Distribution'!$C3,0)</f>
        <v>5</v>
      </c>
      <c r="BE27">
        <f>ROUND(FTE!$F$7*'India Role Distribution'!$C3,0)</f>
        <v>5</v>
      </c>
      <c r="BF27">
        <f>ROUND(FTE!$F$7*'India Role Distribution'!$C3,0)</f>
        <v>5</v>
      </c>
      <c r="BG27">
        <f>ROUND(FTE!$F$7*'India Role Distribution'!$C3,0)</f>
        <v>5</v>
      </c>
      <c r="BH27">
        <f>ROUND(FTE!$F$7*'India Role Distribution'!$C3,0)</f>
        <v>5</v>
      </c>
      <c r="BI27">
        <f>ROUND(FTE!$F$7*'India Role Distribution'!$C3,0)</f>
        <v>5</v>
      </c>
      <c r="BJ27">
        <f>ROUND(FTE!$F$7*'India Role Distribution'!$C3,0)</f>
        <v>5</v>
      </c>
      <c r="BK27">
        <f>ROUND(FTE!$F$7*'India Role Distribution'!$C3,0)</f>
        <v>5</v>
      </c>
    </row>
    <row r="28" spans="1:63" x14ac:dyDescent="0.35">
      <c r="A28" t="s">
        <v>15</v>
      </c>
      <c r="B28" t="s">
        <v>12</v>
      </c>
      <c r="C28" t="str">
        <f t="shared" si="0"/>
        <v>TesterIndia</v>
      </c>
      <c r="D28">
        <f>ROUND(FTE!$B$7*'India Role Distribution'!$C4,0)</f>
        <v>3</v>
      </c>
      <c r="E28">
        <f>ROUND(FTE!$B$7*'India Role Distribution'!$C4,0)</f>
        <v>3</v>
      </c>
      <c r="F28">
        <f>ROUND(FTE!$B$7*'India Role Distribution'!$C4,0)</f>
        <v>3</v>
      </c>
      <c r="G28">
        <f>ROUND(FTE!$B$7*'India Role Distribution'!$C4,0)</f>
        <v>3</v>
      </c>
      <c r="H28">
        <f>ROUND(FTE!$B$7*'India Role Distribution'!$C4,0)</f>
        <v>3</v>
      </c>
      <c r="I28">
        <f>ROUND(FTE!$B$7*'India Role Distribution'!$C4,0)</f>
        <v>3</v>
      </c>
      <c r="J28">
        <f>ROUND(FTE!$B$7*'India Role Distribution'!$C4,0)</f>
        <v>3</v>
      </c>
      <c r="K28">
        <f>ROUND(FTE!$B$7*'India Role Distribution'!$C4,0)</f>
        <v>3</v>
      </c>
      <c r="L28">
        <f>ROUND(FTE!$B$7*'India Role Distribution'!$C4,0)</f>
        <v>3</v>
      </c>
      <c r="M28">
        <f>ROUND(FTE!$B$7*'India Role Distribution'!$C4,0)</f>
        <v>3</v>
      </c>
      <c r="N28">
        <f>ROUND(FTE!$B$7*'India Role Distribution'!$C4,0)</f>
        <v>3</v>
      </c>
      <c r="O28">
        <f>ROUND(FTE!$B$7*'India Role Distribution'!$C4,0)</f>
        <v>3</v>
      </c>
      <c r="P28">
        <f>ROUND(FTE!$C$7*'India Role Distribution'!$C4,0)</f>
        <v>4</v>
      </c>
      <c r="Q28">
        <f>ROUND(FTE!$C$7*'India Role Distribution'!$C4,0)</f>
        <v>4</v>
      </c>
      <c r="R28">
        <f>ROUND(FTE!$C$7*'India Role Distribution'!$C4,0)</f>
        <v>4</v>
      </c>
      <c r="S28">
        <f>ROUND(FTE!$C$7*'India Role Distribution'!$C4,0)</f>
        <v>4</v>
      </c>
      <c r="T28">
        <f>ROUND(FTE!$C$7*'India Role Distribution'!$C4,0)</f>
        <v>4</v>
      </c>
      <c r="U28">
        <f>ROUND(FTE!$C$7*'India Role Distribution'!$C4,0)</f>
        <v>4</v>
      </c>
      <c r="V28">
        <f>ROUND(FTE!$C$7*'India Role Distribution'!$C4,0)</f>
        <v>4</v>
      </c>
      <c r="W28">
        <f>ROUND(FTE!$C$7*'India Role Distribution'!$C4,0)</f>
        <v>4</v>
      </c>
      <c r="X28">
        <f>ROUND(FTE!$C$7*'India Role Distribution'!$C4,0)</f>
        <v>4</v>
      </c>
      <c r="Y28">
        <f>ROUND(FTE!$C$7*'India Role Distribution'!$C4,0)</f>
        <v>4</v>
      </c>
      <c r="Z28">
        <f>ROUND(FTE!$C$7*'India Role Distribution'!$C4,0)</f>
        <v>4</v>
      </c>
      <c r="AA28">
        <f>ROUND(FTE!$C$7*'India Role Distribution'!$C4,0)</f>
        <v>4</v>
      </c>
      <c r="AB28">
        <f>ROUND(FTE!$D$7*'India Role Distribution'!$C4,0)</f>
        <v>4</v>
      </c>
      <c r="AC28">
        <f>ROUND(FTE!$D$7*'India Role Distribution'!$C4,0)</f>
        <v>4</v>
      </c>
      <c r="AD28">
        <f>ROUND(FTE!$D$7*'India Role Distribution'!$C4,0)</f>
        <v>4</v>
      </c>
      <c r="AE28">
        <f>ROUND(FTE!$D$7*'India Role Distribution'!$C4,0)</f>
        <v>4</v>
      </c>
      <c r="AF28">
        <f>ROUND(FTE!$D$7*'India Role Distribution'!$C4,0)</f>
        <v>4</v>
      </c>
      <c r="AG28">
        <f>ROUND(FTE!$D$7*'India Role Distribution'!$C4,0)</f>
        <v>4</v>
      </c>
      <c r="AH28">
        <f>ROUND(FTE!$D$7*'India Role Distribution'!$C4,0)</f>
        <v>4</v>
      </c>
      <c r="AI28">
        <f>ROUND(FTE!$D$7*'India Role Distribution'!$C4,0)</f>
        <v>4</v>
      </c>
      <c r="AJ28">
        <f>ROUND(FTE!$D$7*'India Role Distribution'!$C4,0)</f>
        <v>4</v>
      </c>
      <c r="AK28">
        <f>ROUND(FTE!$D$7*'India Role Distribution'!$C4,0)</f>
        <v>4</v>
      </c>
      <c r="AL28">
        <f>ROUND(FTE!$D$7*'India Role Distribution'!$C4,0)</f>
        <v>4</v>
      </c>
      <c r="AM28">
        <f>ROUND(FTE!$D$7*'India Role Distribution'!$C4,0)</f>
        <v>4</v>
      </c>
      <c r="AN28">
        <f>ROUND(FTE!$E$7*'India Role Distribution'!$C4,0)</f>
        <v>3</v>
      </c>
      <c r="AO28">
        <f>ROUND(FTE!$E$7*'India Role Distribution'!$C4,0)</f>
        <v>3</v>
      </c>
      <c r="AP28">
        <f>ROUND(FTE!$E$7*'India Role Distribution'!$C4,0)</f>
        <v>3</v>
      </c>
      <c r="AQ28">
        <f>ROUND(FTE!$E$7*'India Role Distribution'!$C4,0)</f>
        <v>3</v>
      </c>
      <c r="AR28">
        <f>ROUND(FTE!$E$7*'India Role Distribution'!$C4,0)</f>
        <v>3</v>
      </c>
      <c r="AS28">
        <f>ROUND(FTE!$E$7*'India Role Distribution'!$C4,0)</f>
        <v>3</v>
      </c>
      <c r="AT28">
        <f>ROUND(FTE!$E$7*'India Role Distribution'!$C4,0)</f>
        <v>3</v>
      </c>
      <c r="AU28">
        <f>ROUND(FTE!$E$7*'India Role Distribution'!$C4,0)</f>
        <v>3</v>
      </c>
      <c r="AV28">
        <f>ROUND(FTE!$E$7*'India Role Distribution'!$C4,0)</f>
        <v>3</v>
      </c>
      <c r="AW28">
        <f>ROUND(FTE!$E$7*'India Role Distribution'!$C4,0)</f>
        <v>3</v>
      </c>
      <c r="AX28">
        <f>ROUND(FTE!$E$7*'India Role Distribution'!$C4,0)</f>
        <v>3</v>
      </c>
      <c r="AY28">
        <f>ROUND(FTE!$E$7*'India Role Distribution'!$C4,0)</f>
        <v>3</v>
      </c>
      <c r="AZ28" s="17">
        <v>3</v>
      </c>
      <c r="BA28">
        <f>ROUND(FTE!$F$7*'India Role Distribution'!$C4,0)</f>
        <v>3</v>
      </c>
      <c r="BB28">
        <f>ROUND(FTE!$F$7*'India Role Distribution'!$C4,0)</f>
        <v>3</v>
      </c>
      <c r="BC28">
        <f>ROUND(FTE!$F$7*'India Role Distribution'!$C4,0)</f>
        <v>3</v>
      </c>
      <c r="BD28">
        <f>ROUND(FTE!$F$7*'India Role Distribution'!$C4,0)</f>
        <v>3</v>
      </c>
      <c r="BE28">
        <f>ROUND(FTE!$F$7*'India Role Distribution'!$C4,0)</f>
        <v>3</v>
      </c>
      <c r="BF28">
        <f>ROUND(FTE!$F$7*'India Role Distribution'!$C4,0)</f>
        <v>3</v>
      </c>
      <c r="BG28">
        <f>ROUND(FTE!$F$7*'India Role Distribution'!$C4,0)</f>
        <v>3</v>
      </c>
      <c r="BH28">
        <f>ROUND(FTE!$F$7*'India Role Distribution'!$C4,0)</f>
        <v>3</v>
      </c>
      <c r="BI28">
        <f>ROUND(FTE!$F$7*'India Role Distribution'!$C4,0)</f>
        <v>3</v>
      </c>
      <c r="BJ28">
        <f>ROUND(FTE!$F$7*'India Role Distribution'!$C4,0)</f>
        <v>3</v>
      </c>
      <c r="BK28">
        <f>ROUND(FTE!$F$7*'India Role Distribution'!$C4,0)</f>
        <v>3</v>
      </c>
    </row>
    <row r="29" spans="1:63" x14ac:dyDescent="0.35">
      <c r="A29" t="s">
        <v>16</v>
      </c>
      <c r="B29" t="s">
        <v>12</v>
      </c>
      <c r="C29" t="str">
        <f t="shared" si="0"/>
        <v>MaintenanceIndia</v>
      </c>
      <c r="D29">
        <f>ROUND(FTE!$B$7*'India Role Distribution'!$C5,0)</f>
        <v>1</v>
      </c>
      <c r="E29">
        <f>ROUND(FTE!$B$7*'India Role Distribution'!$C5,0)</f>
        <v>1</v>
      </c>
      <c r="F29">
        <f>ROUND(FTE!$B$7*'India Role Distribution'!$C5,0)</f>
        <v>1</v>
      </c>
      <c r="G29">
        <f>ROUND(FTE!$B$7*'India Role Distribution'!$C5,0)</f>
        <v>1</v>
      </c>
      <c r="H29">
        <f>ROUND(FTE!$B$7*'India Role Distribution'!$C5,0)</f>
        <v>1</v>
      </c>
      <c r="I29">
        <f>ROUND(FTE!$B$7*'India Role Distribution'!$C5,0)</f>
        <v>1</v>
      </c>
      <c r="J29">
        <f>ROUND(FTE!$B$7*'India Role Distribution'!$C5,0)</f>
        <v>1</v>
      </c>
      <c r="K29">
        <f>ROUND(FTE!$B$7*'India Role Distribution'!$C5,0)</f>
        <v>1</v>
      </c>
      <c r="L29">
        <f>ROUND(FTE!$B$7*'India Role Distribution'!$C5,0)</f>
        <v>1</v>
      </c>
      <c r="M29">
        <f>ROUND(FTE!$B$7*'India Role Distribution'!$C5,0)</f>
        <v>1</v>
      </c>
      <c r="N29">
        <f>ROUND(FTE!$B$7*'India Role Distribution'!$C5,0)</f>
        <v>1</v>
      </c>
      <c r="O29">
        <f>ROUND(FTE!$B$7*'India Role Distribution'!$C5,0)</f>
        <v>1</v>
      </c>
      <c r="P29">
        <f>ROUND(FTE!$C$7*'India Role Distribution'!$C5,0)</f>
        <v>1</v>
      </c>
      <c r="Q29">
        <f>ROUND(FTE!$C$7*'India Role Distribution'!$C5,0)</f>
        <v>1</v>
      </c>
      <c r="R29">
        <f>ROUND(FTE!$C$7*'India Role Distribution'!$C5,0)</f>
        <v>1</v>
      </c>
      <c r="S29">
        <f>ROUND(FTE!$C$7*'India Role Distribution'!$C5,0)</f>
        <v>1</v>
      </c>
      <c r="T29">
        <f>ROUND(FTE!$C$7*'India Role Distribution'!$C5,0)</f>
        <v>1</v>
      </c>
      <c r="U29">
        <f>ROUND(FTE!$C$7*'India Role Distribution'!$C5,0)</f>
        <v>1</v>
      </c>
      <c r="V29">
        <f>ROUND(FTE!$C$7*'India Role Distribution'!$C5,0)</f>
        <v>1</v>
      </c>
      <c r="W29">
        <f>ROUND(FTE!$C$7*'India Role Distribution'!$C5,0)</f>
        <v>1</v>
      </c>
      <c r="X29">
        <f>ROUND(FTE!$C$7*'India Role Distribution'!$C5,0)</f>
        <v>1</v>
      </c>
      <c r="Y29">
        <f>ROUND(FTE!$C$7*'India Role Distribution'!$C5,0)</f>
        <v>1</v>
      </c>
      <c r="Z29">
        <f>ROUND(FTE!$C$7*'India Role Distribution'!$C5,0)</f>
        <v>1</v>
      </c>
      <c r="AA29">
        <f>ROUND(FTE!$C$7*'India Role Distribution'!$C5,0)</f>
        <v>1</v>
      </c>
      <c r="AB29">
        <f>ROUND(FTE!$D$7*'India Role Distribution'!$C5,0)</f>
        <v>1</v>
      </c>
      <c r="AC29">
        <f>ROUND(FTE!$D$7*'India Role Distribution'!$C5,0)</f>
        <v>1</v>
      </c>
      <c r="AD29">
        <f>ROUND(FTE!$D$7*'India Role Distribution'!$C5,0)</f>
        <v>1</v>
      </c>
      <c r="AE29">
        <f>ROUND(FTE!$D$7*'India Role Distribution'!$C5,0)</f>
        <v>1</v>
      </c>
      <c r="AF29">
        <f>ROUND(FTE!$D$7*'India Role Distribution'!$C5,0)</f>
        <v>1</v>
      </c>
      <c r="AG29">
        <f>ROUND(FTE!$D$7*'India Role Distribution'!$C5,0)</f>
        <v>1</v>
      </c>
      <c r="AH29">
        <f>ROUND(FTE!$D$7*'India Role Distribution'!$C5,0)</f>
        <v>1</v>
      </c>
      <c r="AI29">
        <f>ROUND(FTE!$D$7*'India Role Distribution'!$C5,0)</f>
        <v>1</v>
      </c>
      <c r="AJ29">
        <f>ROUND(FTE!$D$7*'India Role Distribution'!$C5,0)</f>
        <v>1</v>
      </c>
      <c r="AK29">
        <f>ROUND(FTE!$D$7*'India Role Distribution'!$C5,0)</f>
        <v>1</v>
      </c>
      <c r="AL29">
        <f>ROUND(FTE!$D$7*'India Role Distribution'!$C5,0)</f>
        <v>1</v>
      </c>
      <c r="AM29">
        <f>ROUND(FTE!$D$7*'India Role Distribution'!$C5,0)</f>
        <v>1</v>
      </c>
      <c r="AN29">
        <f>ROUND(FTE!$E$7*'India Role Distribution'!$C5,0)</f>
        <v>1</v>
      </c>
      <c r="AO29">
        <f>ROUND(FTE!$E$7*'India Role Distribution'!$C5,0)</f>
        <v>1</v>
      </c>
      <c r="AP29">
        <f>ROUND(FTE!$E$7*'India Role Distribution'!$C5,0)</f>
        <v>1</v>
      </c>
      <c r="AQ29">
        <f>ROUND(FTE!$E$7*'India Role Distribution'!$C5,0)</f>
        <v>1</v>
      </c>
      <c r="AR29">
        <f>ROUND(FTE!$E$7*'India Role Distribution'!$C5,0)</f>
        <v>1</v>
      </c>
      <c r="AS29">
        <f>ROUND(FTE!$E$7*'India Role Distribution'!$C5,0)</f>
        <v>1</v>
      </c>
      <c r="AT29">
        <f>ROUND(FTE!$E$7*'India Role Distribution'!$C5,0)</f>
        <v>1</v>
      </c>
      <c r="AU29">
        <f>ROUND(FTE!$E$7*'India Role Distribution'!$C5,0)</f>
        <v>1</v>
      </c>
      <c r="AV29">
        <f>ROUND(FTE!$E$7*'India Role Distribution'!$C5,0)</f>
        <v>1</v>
      </c>
      <c r="AW29">
        <f>ROUND(FTE!$E$7*'India Role Distribution'!$C5,0)</f>
        <v>1</v>
      </c>
      <c r="AX29">
        <f>ROUND(FTE!$E$7*'India Role Distribution'!$C5,0)</f>
        <v>1</v>
      </c>
      <c r="AY29">
        <f>ROUND(FTE!$E$7*'India Role Distribution'!$C5,0)</f>
        <v>1</v>
      </c>
      <c r="AZ29" s="17">
        <v>1</v>
      </c>
      <c r="BA29">
        <f>ROUND(FTE!$F$7*'India Role Distribution'!$C5,0)</f>
        <v>1</v>
      </c>
      <c r="BB29">
        <f>ROUND(FTE!$F$7*'India Role Distribution'!$C5,0)</f>
        <v>1</v>
      </c>
      <c r="BC29">
        <f>ROUND(FTE!$F$7*'India Role Distribution'!$C5,0)</f>
        <v>1</v>
      </c>
      <c r="BD29">
        <f>ROUND(FTE!$F$7*'India Role Distribution'!$C5,0)</f>
        <v>1</v>
      </c>
      <c r="BE29">
        <f>ROUND(FTE!$F$7*'India Role Distribution'!$C5,0)</f>
        <v>1</v>
      </c>
      <c r="BF29">
        <f>ROUND(FTE!$F$7*'India Role Distribution'!$C5,0)</f>
        <v>1</v>
      </c>
      <c r="BG29">
        <f>ROUND(FTE!$F$7*'India Role Distribution'!$C5,0)</f>
        <v>1</v>
      </c>
      <c r="BH29">
        <f>ROUND(FTE!$F$7*'India Role Distribution'!$C5,0)</f>
        <v>1</v>
      </c>
      <c r="BI29">
        <f>ROUND(FTE!$F$7*'India Role Distribution'!$C5,0)</f>
        <v>1</v>
      </c>
      <c r="BJ29">
        <f>ROUND(FTE!$F$7*'India Role Distribution'!$C5,0)</f>
        <v>1</v>
      </c>
      <c r="BK29">
        <f>ROUND(FTE!$F$7*'India Role Distribution'!$C5,0)</f>
        <v>1</v>
      </c>
    </row>
    <row r="30" spans="1:63" x14ac:dyDescent="0.35">
      <c r="A30" t="s">
        <v>17</v>
      </c>
      <c r="B30" t="s">
        <v>12</v>
      </c>
      <c r="C30" t="str">
        <f t="shared" si="0"/>
        <v>PMIndia</v>
      </c>
      <c r="D30">
        <f>ROUND(FTE!$B$7*'India Role Distribution'!$C6,0)</f>
        <v>0</v>
      </c>
      <c r="E30">
        <f>ROUND(FTE!$B$7*'India Role Distribution'!$C6,0)</f>
        <v>0</v>
      </c>
      <c r="F30">
        <f>ROUND(FTE!$B$7*'India Role Distribution'!$C6,0)</f>
        <v>0</v>
      </c>
      <c r="G30">
        <f>ROUND(FTE!$B$7*'India Role Distribution'!$C6,0)</f>
        <v>0</v>
      </c>
      <c r="H30">
        <f>ROUND(FTE!$B$7*'India Role Distribution'!$C6,0)</f>
        <v>0</v>
      </c>
      <c r="I30">
        <f>ROUND(FTE!$B$7*'India Role Distribution'!$C6,0)</f>
        <v>0</v>
      </c>
      <c r="J30">
        <f>ROUND(FTE!$B$7*'India Role Distribution'!$C6,0)</f>
        <v>0</v>
      </c>
      <c r="K30">
        <f>ROUND(FTE!$B$7*'India Role Distribution'!$C6,0)</f>
        <v>0</v>
      </c>
      <c r="L30">
        <f>ROUND(FTE!$B$7*'India Role Distribution'!$C6,0)</f>
        <v>0</v>
      </c>
      <c r="M30">
        <f>ROUND(FTE!$B$7*'India Role Distribution'!$C6,0)</f>
        <v>0</v>
      </c>
      <c r="N30">
        <f>ROUND(FTE!$B$7*'India Role Distribution'!$C6,0)</f>
        <v>0</v>
      </c>
      <c r="O30">
        <f>ROUND(FTE!$B$7*'India Role Distribution'!$C6,0)</f>
        <v>0</v>
      </c>
      <c r="P30">
        <f>ROUND(FTE!$C$7*'India Role Distribution'!$C6,0)</f>
        <v>0</v>
      </c>
      <c r="Q30">
        <f>ROUND(FTE!$C$7*'India Role Distribution'!$C6,0)</f>
        <v>0</v>
      </c>
      <c r="R30">
        <f>ROUND(FTE!$C$7*'India Role Distribution'!$C6,0)</f>
        <v>0</v>
      </c>
      <c r="S30">
        <f>ROUND(FTE!$C$7*'India Role Distribution'!$C6,0)</f>
        <v>0</v>
      </c>
      <c r="T30">
        <f>ROUND(FTE!$C$7*'India Role Distribution'!$C6,0)</f>
        <v>0</v>
      </c>
      <c r="U30">
        <f>ROUND(FTE!$C$7*'India Role Distribution'!$C6,0)</f>
        <v>0</v>
      </c>
      <c r="V30">
        <f>ROUND(FTE!$C$7*'India Role Distribution'!$C6,0)</f>
        <v>0</v>
      </c>
      <c r="W30">
        <f>ROUND(FTE!$C$7*'India Role Distribution'!$C6,0)</f>
        <v>0</v>
      </c>
      <c r="X30">
        <f>ROUND(FTE!$C$7*'India Role Distribution'!$C6,0)</f>
        <v>0</v>
      </c>
      <c r="Y30">
        <f>ROUND(FTE!$C$7*'India Role Distribution'!$C6,0)</f>
        <v>0</v>
      </c>
      <c r="Z30">
        <f>ROUND(FTE!$C$7*'India Role Distribution'!$C6,0)</f>
        <v>0</v>
      </c>
      <c r="AA30">
        <f>ROUND(FTE!$C$7*'India Role Distribution'!$C6,0)</f>
        <v>0</v>
      </c>
      <c r="AB30">
        <v>1</v>
      </c>
      <c r="AC30">
        <v>1</v>
      </c>
      <c r="AD30">
        <v>1</v>
      </c>
      <c r="AE30">
        <v>1</v>
      </c>
      <c r="AF30">
        <v>1</v>
      </c>
      <c r="AG30">
        <v>1</v>
      </c>
      <c r="AH30">
        <v>1</v>
      </c>
      <c r="AI30">
        <v>1</v>
      </c>
      <c r="AJ30">
        <v>1</v>
      </c>
      <c r="AK30">
        <v>1</v>
      </c>
      <c r="AL30">
        <v>1</v>
      </c>
      <c r="AM30">
        <v>1</v>
      </c>
      <c r="AN30">
        <f>ROUND(FTE!$E$7*'India Role Distribution'!$C6,0)</f>
        <v>0</v>
      </c>
      <c r="AO30">
        <f>ROUND(FTE!$E$7*'India Role Distribution'!$C6,0)</f>
        <v>0</v>
      </c>
      <c r="AP30">
        <f>ROUND(FTE!$E$7*'India Role Distribution'!$C6,0)</f>
        <v>0</v>
      </c>
      <c r="AQ30">
        <f>ROUND(FTE!$E$7*'India Role Distribution'!$C6,0)</f>
        <v>0</v>
      </c>
      <c r="AR30">
        <f>ROUND(FTE!$E$7*'India Role Distribution'!$C6,0)</f>
        <v>0</v>
      </c>
      <c r="AS30">
        <f>ROUND(FTE!$E$7*'India Role Distribution'!$C6,0)</f>
        <v>0</v>
      </c>
      <c r="AT30">
        <f>ROUND(FTE!$E$7*'India Role Distribution'!$C6,0)</f>
        <v>0</v>
      </c>
      <c r="AU30">
        <f>ROUND(FTE!$E$7*'India Role Distribution'!$C6,0)</f>
        <v>0</v>
      </c>
      <c r="AV30">
        <f>ROUND(FTE!$E$7*'India Role Distribution'!$C6,0)</f>
        <v>0</v>
      </c>
      <c r="AW30">
        <f>ROUND(FTE!$E$7*'India Role Distribution'!$C6,0)</f>
        <v>0</v>
      </c>
      <c r="AX30">
        <f>ROUND(FTE!$E$7*'India Role Distribution'!$C6,0)</f>
        <v>0</v>
      </c>
      <c r="AY30">
        <f>ROUND(FTE!$E$7*'India Role Distribution'!$C6,0)</f>
        <v>0</v>
      </c>
      <c r="AZ30" s="17">
        <v>0</v>
      </c>
      <c r="BA30">
        <f>ROUND(FTE!$F$7*'India Role Distribution'!$C6,0)</f>
        <v>0</v>
      </c>
      <c r="BB30">
        <f>ROUND(FTE!$F$7*'India Role Distribution'!$C6,0)</f>
        <v>0</v>
      </c>
      <c r="BC30">
        <f>ROUND(FTE!$F$7*'India Role Distribution'!$C6,0)</f>
        <v>0</v>
      </c>
      <c r="BD30">
        <f>ROUND(FTE!$F$7*'India Role Distribution'!$C6,0)</f>
        <v>0</v>
      </c>
      <c r="BE30">
        <f>ROUND(FTE!$F$7*'India Role Distribution'!$C6,0)</f>
        <v>0</v>
      </c>
      <c r="BF30">
        <f>ROUND(FTE!$F$7*'India Role Distribution'!$C6,0)</f>
        <v>0</v>
      </c>
      <c r="BG30">
        <f>ROUND(FTE!$F$7*'India Role Distribution'!$C6,0)</f>
        <v>0</v>
      </c>
      <c r="BH30">
        <f>ROUND(FTE!$F$7*'India Role Distribution'!$C6,0)</f>
        <v>0</v>
      </c>
      <c r="BI30">
        <f>ROUND(FTE!$F$7*'India Role Distribution'!$C6,0)</f>
        <v>0</v>
      </c>
      <c r="BJ30">
        <f>ROUND(FTE!$F$7*'India Role Distribution'!$C6,0)</f>
        <v>0</v>
      </c>
      <c r="BK30">
        <f>ROUND(FTE!$F$7*'India Role Distribution'!$C6,0)</f>
        <v>0</v>
      </c>
    </row>
    <row r="31" spans="1:63" x14ac:dyDescent="0.35">
      <c r="A31" t="s">
        <v>19</v>
      </c>
      <c r="B31" t="s">
        <v>12</v>
      </c>
      <c r="C31" t="str">
        <f t="shared" si="0"/>
        <v>LeadIndia</v>
      </c>
      <c r="D31">
        <f>ROUND(FTE!$B$7*'India Role Distribution'!$C7,0)</f>
        <v>0</v>
      </c>
      <c r="E31">
        <f>ROUND(FTE!$B$7*'India Role Distribution'!$C7,0)</f>
        <v>0</v>
      </c>
      <c r="F31">
        <f>ROUND(FTE!$B$7*'India Role Distribution'!$C7,0)</f>
        <v>0</v>
      </c>
      <c r="G31">
        <f>ROUND(FTE!$B$7*'India Role Distribution'!$C7,0)</f>
        <v>0</v>
      </c>
      <c r="H31">
        <f>ROUND(FTE!$B$7*'India Role Distribution'!$C7,0)</f>
        <v>0</v>
      </c>
      <c r="I31">
        <f>ROUND(FTE!$B$7*'India Role Distribution'!$C7,0)</f>
        <v>0</v>
      </c>
      <c r="J31">
        <f>ROUND(FTE!$B$7*'India Role Distribution'!$C7,0)</f>
        <v>0</v>
      </c>
      <c r="K31">
        <f>ROUND(FTE!$B$7*'India Role Distribution'!$C7,0)</f>
        <v>0</v>
      </c>
      <c r="L31">
        <f>ROUND(FTE!$B$7*'India Role Distribution'!$C7,0)</f>
        <v>0</v>
      </c>
      <c r="M31">
        <f>ROUND(FTE!$B$7*'India Role Distribution'!$C7,0)</f>
        <v>0</v>
      </c>
      <c r="N31">
        <f>ROUND(FTE!$B$7*'India Role Distribution'!$C7,0)</f>
        <v>0</v>
      </c>
      <c r="O31">
        <f>ROUND(FTE!$B$7*'India Role Distribution'!$C7,0)</f>
        <v>0</v>
      </c>
      <c r="P31">
        <f>ROUND(FTE!$C$7*'India Role Distribution'!$C7,0)</f>
        <v>0</v>
      </c>
      <c r="Q31">
        <f>ROUND(FTE!$C$7*'India Role Distribution'!$C7,0)</f>
        <v>0</v>
      </c>
      <c r="R31">
        <f>ROUND(FTE!$C$7*'India Role Distribution'!$C7,0)</f>
        <v>0</v>
      </c>
      <c r="S31">
        <f>ROUND(FTE!$C$7*'India Role Distribution'!$C7,0)</f>
        <v>0</v>
      </c>
      <c r="T31">
        <f>ROUND(FTE!$C$7*'India Role Distribution'!$C7,0)</f>
        <v>0</v>
      </c>
      <c r="U31">
        <f>ROUND(FTE!$C$7*'India Role Distribution'!$C7,0)</f>
        <v>0</v>
      </c>
      <c r="V31">
        <f>ROUND(FTE!$C$7*'India Role Distribution'!$C7,0)</f>
        <v>0</v>
      </c>
      <c r="W31">
        <f>ROUND(FTE!$C$7*'India Role Distribution'!$C7,0)</f>
        <v>0</v>
      </c>
      <c r="X31">
        <f>ROUND(FTE!$C$7*'India Role Distribution'!$C7,0)</f>
        <v>0</v>
      </c>
      <c r="Y31">
        <f>ROUND(FTE!$C$7*'India Role Distribution'!$C7,0)</f>
        <v>0</v>
      </c>
      <c r="Z31">
        <f>ROUND(FTE!$C$7*'India Role Distribution'!$C7,0)</f>
        <v>0</v>
      </c>
      <c r="AA31">
        <f>ROUND(FTE!$C$7*'India Role Distribution'!$C7,0)</f>
        <v>0</v>
      </c>
      <c r="AB31">
        <f>ROUND(FTE!$D$7*'India Role Distribution'!$C7,0)</f>
        <v>0</v>
      </c>
      <c r="AC31">
        <f>ROUND(FTE!$D$7*'India Role Distribution'!$C7,0)</f>
        <v>0</v>
      </c>
      <c r="AD31">
        <f>ROUND(FTE!$D$7*'India Role Distribution'!$C7,0)</f>
        <v>0</v>
      </c>
      <c r="AE31">
        <f>ROUND(FTE!$D$7*'India Role Distribution'!$C7,0)</f>
        <v>0</v>
      </c>
      <c r="AF31">
        <f>ROUND(FTE!$D$7*'India Role Distribution'!$C7,0)</f>
        <v>0</v>
      </c>
      <c r="AG31">
        <f>ROUND(FTE!$D$7*'India Role Distribution'!$C7,0)</f>
        <v>0</v>
      </c>
      <c r="AH31">
        <f>ROUND(FTE!$D$7*'India Role Distribution'!$C7,0)</f>
        <v>0</v>
      </c>
      <c r="AI31">
        <f>ROUND(FTE!$D$7*'India Role Distribution'!$C7,0)</f>
        <v>0</v>
      </c>
      <c r="AJ31">
        <f>ROUND(FTE!$D$7*'India Role Distribution'!$C7,0)</f>
        <v>0</v>
      </c>
      <c r="AK31">
        <f>ROUND(FTE!$D$7*'India Role Distribution'!$C7,0)</f>
        <v>0</v>
      </c>
      <c r="AL31">
        <f>ROUND(FTE!$D$7*'India Role Distribution'!$C7,0)</f>
        <v>0</v>
      </c>
      <c r="AM31">
        <f>ROUND(FTE!$D$7*'India Role Distribution'!$C7,0)</f>
        <v>0</v>
      </c>
      <c r="AN31">
        <f>ROUND(FTE!$E$7*'India Role Distribution'!$C7,0)</f>
        <v>0</v>
      </c>
      <c r="AO31">
        <f>ROUND(FTE!$E$7*'India Role Distribution'!$C7,0)</f>
        <v>0</v>
      </c>
      <c r="AP31">
        <f>ROUND(FTE!$E$7*'India Role Distribution'!$C7,0)</f>
        <v>0</v>
      </c>
      <c r="AQ31">
        <f>ROUND(FTE!$E$7*'India Role Distribution'!$C7,0)</f>
        <v>0</v>
      </c>
      <c r="AR31">
        <f>ROUND(FTE!$E$7*'India Role Distribution'!$C7,0)</f>
        <v>0</v>
      </c>
      <c r="AS31">
        <f>ROUND(FTE!$E$7*'India Role Distribution'!$C7,0)</f>
        <v>0</v>
      </c>
      <c r="AT31">
        <f>ROUND(FTE!$E$7*'India Role Distribution'!$C7,0)</f>
        <v>0</v>
      </c>
      <c r="AU31">
        <f>ROUND(FTE!$E$7*'India Role Distribution'!$C7,0)</f>
        <v>0</v>
      </c>
      <c r="AV31">
        <f>ROUND(FTE!$E$7*'India Role Distribution'!$C7,0)</f>
        <v>0</v>
      </c>
      <c r="AW31">
        <f>ROUND(FTE!$E$7*'India Role Distribution'!$C7,0)</f>
        <v>0</v>
      </c>
      <c r="AX31">
        <f>ROUND(FTE!$E$7*'India Role Distribution'!$C7,0)</f>
        <v>0</v>
      </c>
      <c r="AY31">
        <f>ROUND(FTE!$E$7*'India Role Distribution'!$C7,0)</f>
        <v>0</v>
      </c>
      <c r="AZ31" s="17">
        <v>0</v>
      </c>
      <c r="BA31">
        <f>ROUND(FTE!$F$7*'India Role Distribution'!$C7,0)</f>
        <v>0</v>
      </c>
      <c r="BB31">
        <f>ROUND(FTE!$F$7*'India Role Distribution'!$C7,0)</f>
        <v>0</v>
      </c>
      <c r="BC31">
        <f>ROUND(FTE!$F$7*'India Role Distribution'!$C7,0)</f>
        <v>0</v>
      </c>
      <c r="BD31">
        <f>ROUND(FTE!$F$7*'India Role Distribution'!$C7,0)</f>
        <v>0</v>
      </c>
      <c r="BE31">
        <f>ROUND(FTE!$F$7*'India Role Distribution'!$C7,0)</f>
        <v>0</v>
      </c>
      <c r="BF31">
        <f>ROUND(FTE!$F$7*'India Role Distribution'!$C7,0)</f>
        <v>0</v>
      </c>
      <c r="BG31">
        <f>ROUND(FTE!$F$7*'India Role Distribution'!$C7,0)</f>
        <v>0</v>
      </c>
      <c r="BH31">
        <f>ROUND(FTE!$F$7*'India Role Distribution'!$C7,0)</f>
        <v>0</v>
      </c>
      <c r="BI31">
        <f>ROUND(FTE!$F$7*'India Role Distribution'!$C7,0)</f>
        <v>0</v>
      </c>
      <c r="BJ31">
        <f>ROUND(FTE!$F$7*'India Role Distribution'!$C7,0)</f>
        <v>0</v>
      </c>
      <c r="BK31">
        <f>ROUND(FTE!$F$7*'India Role Distribution'!$C7,0)</f>
        <v>0</v>
      </c>
    </row>
    <row r="32" spans="1:63" x14ac:dyDescent="0.35">
      <c r="A32" t="s">
        <v>13</v>
      </c>
      <c r="B32" t="s">
        <v>9</v>
      </c>
      <c r="C32" t="str">
        <f t="shared" si="0"/>
        <v>BSAOnsite</v>
      </c>
      <c r="D32">
        <f>VLOOKUP($A32,'Onsite Role Distribution'!$B$3:$G$7,2,FALSE)+VLOOKUP($A32,'Onsite Role Distribution'!$B$8:$G$12,2,FALSE)</f>
        <v>2</v>
      </c>
      <c r="E32">
        <f>VLOOKUP($A32,'Onsite Role Distribution'!$B$3:$G$7,2,FALSE)+VLOOKUP($A32,'Onsite Role Distribution'!$B$8:$G$12,2,FALSE)</f>
        <v>2</v>
      </c>
      <c r="F32">
        <f>VLOOKUP($A32,'Onsite Role Distribution'!$B$3:$G$7,2,FALSE)+VLOOKUP($A32,'Onsite Role Distribution'!$B$8:$G$12,2,FALSE)</f>
        <v>2</v>
      </c>
      <c r="G32">
        <f>VLOOKUP($A32,'Onsite Role Distribution'!$B$3:$G$7,2,FALSE)+VLOOKUP($A32,'Onsite Role Distribution'!$B$8:$G$12,2,FALSE)</f>
        <v>2</v>
      </c>
      <c r="H32">
        <f>VLOOKUP($A32,'Onsite Role Distribution'!$B$3:$G$7,2,FALSE)+VLOOKUP($A32,'Onsite Role Distribution'!$B$8:$G$12,2,FALSE)</f>
        <v>2</v>
      </c>
      <c r="I32">
        <f>VLOOKUP($A32,'Onsite Role Distribution'!$B$3:$G$7,2,FALSE)+VLOOKUP($A32,'Onsite Role Distribution'!$B$8:$G$12,2,FALSE)</f>
        <v>2</v>
      </c>
      <c r="J32">
        <f>VLOOKUP($A32,'Onsite Role Distribution'!$B$3:$G$7,2,FALSE)+VLOOKUP($A32,'Onsite Role Distribution'!$B$8:$G$12,2,FALSE)</f>
        <v>2</v>
      </c>
      <c r="K32">
        <f>VLOOKUP($A32,'Onsite Role Distribution'!$B$3:$G$7,2,FALSE)+VLOOKUP($A32,'Onsite Role Distribution'!$B$8:$G$12,2,FALSE)</f>
        <v>2</v>
      </c>
      <c r="L32">
        <f>VLOOKUP($A32,'Onsite Role Distribution'!$B$3:$G$7,2,FALSE)+VLOOKUP($A32,'Onsite Role Distribution'!$B$8:$G$12,2,FALSE)</f>
        <v>2</v>
      </c>
      <c r="M32">
        <f>VLOOKUP($A32,'Onsite Role Distribution'!$B$3:$G$7,2,FALSE)+VLOOKUP($A32,'Onsite Role Distribution'!$B$8:$G$12,2,FALSE)</f>
        <v>2</v>
      </c>
      <c r="N32">
        <f>VLOOKUP($A32,'Onsite Role Distribution'!$B$3:$G$7,2,FALSE)+VLOOKUP($A32,'Onsite Role Distribution'!$B$8:$G$12,2,FALSE)</f>
        <v>2</v>
      </c>
      <c r="O32">
        <f>VLOOKUP($A32,'Onsite Role Distribution'!$B$3:$G$7,2,FALSE)+VLOOKUP($A32,'Onsite Role Distribution'!$B$8:$G$12,2,FALSE)</f>
        <v>2</v>
      </c>
      <c r="P32">
        <f>VLOOKUP($A32,'Onsite Role Distribution'!$B$3:$G$7,3,FALSE)+VLOOKUP($A32,'Onsite Role Distribution'!$B$8:$G$12,3,FALSE)</f>
        <v>1</v>
      </c>
      <c r="Q32">
        <f>VLOOKUP($A32,'Onsite Role Distribution'!$B$3:$G$7,3,FALSE)+VLOOKUP($A32,'Onsite Role Distribution'!$B$8:$G$12,3,FALSE)</f>
        <v>1</v>
      </c>
      <c r="R32">
        <f>VLOOKUP($A32,'Onsite Role Distribution'!$B$3:$G$7,3,FALSE)+VLOOKUP($A32,'Onsite Role Distribution'!$B$8:$G$12,3,FALSE)</f>
        <v>1</v>
      </c>
      <c r="S32">
        <f>VLOOKUP($A32,'Onsite Role Distribution'!$B$3:$G$7,3,FALSE)+VLOOKUP($A32,'Onsite Role Distribution'!$B$8:$G$12,3,FALSE)</f>
        <v>1</v>
      </c>
      <c r="T32">
        <f>VLOOKUP($A32,'Onsite Role Distribution'!$B$3:$G$7,3,FALSE)+VLOOKUP($A32,'Onsite Role Distribution'!$B$8:$G$12,3,FALSE)</f>
        <v>1</v>
      </c>
      <c r="U32">
        <f>VLOOKUP($A32,'Onsite Role Distribution'!$B$3:$G$7,3,FALSE)+VLOOKUP($A32,'Onsite Role Distribution'!$B$8:$G$12,3,FALSE)</f>
        <v>1</v>
      </c>
      <c r="V32">
        <f>VLOOKUP($A32,'Onsite Role Distribution'!$B$3:$G$7,3,FALSE)+VLOOKUP($A32,'Onsite Role Distribution'!$B$8:$G$12,3,FALSE)</f>
        <v>1</v>
      </c>
      <c r="W32">
        <f>VLOOKUP($A32,'Onsite Role Distribution'!$B$3:$G$7,3,FALSE)+VLOOKUP($A32,'Onsite Role Distribution'!$B$8:$G$12,3,FALSE)</f>
        <v>1</v>
      </c>
      <c r="X32">
        <f>VLOOKUP($A32,'Onsite Role Distribution'!$B$3:$G$7,3,FALSE)+VLOOKUP($A32,'Onsite Role Distribution'!$B$8:$G$12,3,FALSE)</f>
        <v>1</v>
      </c>
      <c r="Y32">
        <f>VLOOKUP($A32,'Onsite Role Distribution'!$B$3:$G$7,3,FALSE)+VLOOKUP($A32,'Onsite Role Distribution'!$B$8:$G$12,3,FALSE)</f>
        <v>1</v>
      </c>
      <c r="Z32">
        <f>VLOOKUP($A32,'Onsite Role Distribution'!$B$3:$G$7,3,FALSE)+VLOOKUP($A32,'Onsite Role Distribution'!$B$8:$G$12,3,FALSE)</f>
        <v>1</v>
      </c>
      <c r="AA32">
        <f>VLOOKUP($A32,'Onsite Role Distribution'!$B$3:$G$7,3,FALSE)+VLOOKUP($A32,'Onsite Role Distribution'!$B$8:$G$12,3,FALSE)</f>
        <v>1</v>
      </c>
      <c r="AB32">
        <f>VLOOKUP($A32,'Onsite Role Distribution'!$B$3:$G$7,4,FALSE)+VLOOKUP($A32,'Onsite Role Distribution'!$B$8:$G$12,4,FALSE)</f>
        <v>1</v>
      </c>
      <c r="AC32">
        <f>VLOOKUP($A32,'Onsite Role Distribution'!$B$3:$G$7,4,FALSE)+VLOOKUP($A32,'Onsite Role Distribution'!$B$8:$G$12,4,FALSE)</f>
        <v>1</v>
      </c>
      <c r="AD32">
        <f>VLOOKUP($A32,'Onsite Role Distribution'!$B$3:$G$7,4,FALSE)+VLOOKUP($A32,'Onsite Role Distribution'!$B$8:$G$12,4,FALSE)</f>
        <v>1</v>
      </c>
      <c r="AE32">
        <f>VLOOKUP($A32,'Onsite Role Distribution'!$B$3:$G$7,4,FALSE)+VLOOKUP($A32,'Onsite Role Distribution'!$B$8:$G$12,4,FALSE)</f>
        <v>1</v>
      </c>
      <c r="AF32">
        <f>VLOOKUP($A32,'Onsite Role Distribution'!$B$3:$G$7,4,FALSE)+VLOOKUP($A32,'Onsite Role Distribution'!$B$8:$G$12,4,FALSE)</f>
        <v>1</v>
      </c>
      <c r="AG32">
        <f>VLOOKUP($A32,'Onsite Role Distribution'!$B$3:$G$7,4,FALSE)+VLOOKUP($A32,'Onsite Role Distribution'!$B$8:$G$12,4,FALSE)</f>
        <v>1</v>
      </c>
      <c r="AH32">
        <f>VLOOKUP($A32,'Onsite Role Distribution'!$B$3:$G$7,4,FALSE)+VLOOKUP($A32,'Onsite Role Distribution'!$B$8:$G$12,4,FALSE)</f>
        <v>1</v>
      </c>
      <c r="AI32">
        <f>VLOOKUP($A32,'Onsite Role Distribution'!$B$3:$G$7,4,FALSE)+VLOOKUP($A32,'Onsite Role Distribution'!$B$8:$G$12,4,FALSE)</f>
        <v>1</v>
      </c>
      <c r="AJ32">
        <f>VLOOKUP($A32,'Onsite Role Distribution'!$B$3:$G$7,4,FALSE)+VLOOKUP($A32,'Onsite Role Distribution'!$B$8:$G$12,4,FALSE)</f>
        <v>1</v>
      </c>
      <c r="AK32">
        <f>VLOOKUP($A32,'Onsite Role Distribution'!$B$3:$G$7,4,FALSE)+VLOOKUP($A32,'Onsite Role Distribution'!$B$8:$G$12,4,FALSE)</f>
        <v>1</v>
      </c>
      <c r="AL32">
        <f>VLOOKUP($A32,'Onsite Role Distribution'!$B$3:$G$7,4,FALSE)+VLOOKUP($A32,'Onsite Role Distribution'!$B$8:$G$12,4,FALSE)</f>
        <v>1</v>
      </c>
      <c r="AM32">
        <f>VLOOKUP($A32,'Onsite Role Distribution'!$B$3:$G$7,4,FALSE)+VLOOKUP($A32,'Onsite Role Distribution'!$B$8:$G$12,4,FALSE)</f>
        <v>1</v>
      </c>
      <c r="AN32">
        <f>VLOOKUP($A32,'Onsite Role Distribution'!$B$3:$G$7,5,FALSE)+VLOOKUP($A32,'Onsite Role Distribution'!$B$8:$G$12,5,FALSE)</f>
        <v>0</v>
      </c>
      <c r="AO32">
        <f>VLOOKUP($A32,'Onsite Role Distribution'!$B$3:$G$7,5,FALSE)+VLOOKUP($A32,'Onsite Role Distribution'!$B$8:$G$12,5,FALSE)</f>
        <v>0</v>
      </c>
      <c r="AP32">
        <f>VLOOKUP($A32,'Onsite Role Distribution'!$B$3:$G$7,5,FALSE)+VLOOKUP($A32,'Onsite Role Distribution'!$B$8:$G$12,5,FALSE)</f>
        <v>0</v>
      </c>
      <c r="AQ32">
        <f>VLOOKUP($A32,'Onsite Role Distribution'!$B$3:$G$7,5,FALSE)+VLOOKUP($A32,'Onsite Role Distribution'!$B$8:$G$12,5,FALSE)</f>
        <v>0</v>
      </c>
      <c r="AR32">
        <f>VLOOKUP($A32,'Onsite Role Distribution'!$B$3:$G$7,5,FALSE)+VLOOKUP($A32,'Onsite Role Distribution'!$B$8:$G$12,5,FALSE)</f>
        <v>0</v>
      </c>
      <c r="AS32">
        <f>VLOOKUP($A32,'Onsite Role Distribution'!$B$3:$G$7,5,FALSE)+VLOOKUP($A32,'Onsite Role Distribution'!$B$8:$G$12,5,FALSE)</f>
        <v>0</v>
      </c>
      <c r="AT32">
        <f>VLOOKUP($A32,'Onsite Role Distribution'!$B$3:$G$7,5,FALSE)+VLOOKUP($A32,'Onsite Role Distribution'!$B$8:$G$12,5,FALSE)</f>
        <v>0</v>
      </c>
      <c r="AU32">
        <f>VLOOKUP($A32,'Onsite Role Distribution'!$B$3:$G$7,5,FALSE)+VLOOKUP($A32,'Onsite Role Distribution'!$B$8:$G$12,5,FALSE)</f>
        <v>0</v>
      </c>
      <c r="AV32">
        <f>VLOOKUP($A32,'Onsite Role Distribution'!$B$3:$G$7,5,FALSE)+VLOOKUP($A32,'Onsite Role Distribution'!$B$8:$G$12,5,FALSE)</f>
        <v>0</v>
      </c>
      <c r="AW32">
        <f>VLOOKUP($A32,'Onsite Role Distribution'!$B$3:$G$7,5,FALSE)+VLOOKUP($A32,'Onsite Role Distribution'!$B$8:$G$12,5,FALSE)</f>
        <v>0</v>
      </c>
      <c r="AX32">
        <f>VLOOKUP($A32,'Onsite Role Distribution'!$B$3:$G$7,5,FALSE)+VLOOKUP($A32,'Onsite Role Distribution'!$B$8:$G$12,5,FALSE)</f>
        <v>0</v>
      </c>
      <c r="AY32">
        <f>VLOOKUP($A32,'Onsite Role Distribution'!$B$3:$G$7,5,FALSE)+VLOOKUP($A32,'Onsite Role Distribution'!$B$8:$G$12,5,FALSE)</f>
        <v>0</v>
      </c>
      <c r="AZ32" s="17">
        <v>0</v>
      </c>
      <c r="BA32">
        <f>VLOOKUP($A32,'Onsite Role Distribution'!$B$3:$G$7,6,FALSE)+VLOOKUP($A32,'Onsite Role Distribution'!$B$8:$G$12,6,FALSE)</f>
        <v>0</v>
      </c>
      <c r="BB32">
        <f>VLOOKUP($A32,'Onsite Role Distribution'!$B$3:$G$7,6,FALSE)+VLOOKUP($A32,'Onsite Role Distribution'!$B$8:$G$12,6,FALSE)</f>
        <v>0</v>
      </c>
      <c r="BC32">
        <f>VLOOKUP($A32,'Onsite Role Distribution'!$B$3:$G$7,6,FALSE)+VLOOKUP($A32,'Onsite Role Distribution'!$B$8:$G$12,6,FALSE)</f>
        <v>0</v>
      </c>
      <c r="BD32">
        <f>VLOOKUP($A32,'Onsite Role Distribution'!$B$3:$G$7,6,FALSE)+VLOOKUP($A32,'Onsite Role Distribution'!$B$8:$G$12,6,FALSE)</f>
        <v>0</v>
      </c>
      <c r="BE32">
        <f>VLOOKUP($A32,'Onsite Role Distribution'!$B$3:$G$7,6,FALSE)+VLOOKUP($A32,'Onsite Role Distribution'!$B$8:$G$12,6,FALSE)</f>
        <v>0</v>
      </c>
      <c r="BF32">
        <f>VLOOKUP($A32,'Onsite Role Distribution'!$B$3:$G$7,6,FALSE)+VLOOKUP($A32,'Onsite Role Distribution'!$B$8:$G$12,6,FALSE)</f>
        <v>0</v>
      </c>
      <c r="BG32">
        <f>VLOOKUP($A32,'Onsite Role Distribution'!$B$3:$G$7,6,FALSE)+VLOOKUP($A32,'Onsite Role Distribution'!$B$8:$G$12,6,FALSE)</f>
        <v>0</v>
      </c>
      <c r="BH32">
        <f>VLOOKUP($A32,'Onsite Role Distribution'!$B$3:$G$7,6,FALSE)+VLOOKUP($A32,'Onsite Role Distribution'!$B$8:$G$12,6,FALSE)</f>
        <v>0</v>
      </c>
      <c r="BI32">
        <f>VLOOKUP($A32,'Onsite Role Distribution'!$B$3:$G$7,6,FALSE)+VLOOKUP($A32,'Onsite Role Distribution'!$B$8:$G$12,6,FALSE)</f>
        <v>0</v>
      </c>
      <c r="BJ32">
        <f>VLOOKUP($A32,'Onsite Role Distribution'!$B$3:$G$7,6,FALSE)+VLOOKUP($A32,'Onsite Role Distribution'!$B$8:$G$12,6,FALSE)</f>
        <v>0</v>
      </c>
      <c r="BK32">
        <f>VLOOKUP($A32,'Onsite Role Distribution'!$B$3:$G$7,6,FALSE)+VLOOKUP($A32,'Onsite Role Distribution'!$B$8:$G$12,6,FALSE)</f>
        <v>0</v>
      </c>
    </row>
    <row r="33" spans="1:63" x14ac:dyDescent="0.35">
      <c r="A33" t="s">
        <v>20</v>
      </c>
      <c r="B33" t="s">
        <v>9</v>
      </c>
      <c r="C33" t="str">
        <f t="shared" si="0"/>
        <v>DevOnsite</v>
      </c>
      <c r="D33">
        <f>VLOOKUP($A33,'Onsite Role Distribution'!$B$3:$G$7,2,FALSE)+VLOOKUP($A33,'Onsite Role Distribution'!$B$8:$G$12,2,FALSE)</f>
        <v>5</v>
      </c>
      <c r="E33">
        <f>VLOOKUP($A33,'Onsite Role Distribution'!$B$3:$G$7,2,FALSE)+VLOOKUP($A33,'Onsite Role Distribution'!$B$8:$G$12,2,FALSE)</f>
        <v>5</v>
      </c>
      <c r="F33">
        <f>VLOOKUP($A33,'Onsite Role Distribution'!$B$3:$G$7,2,FALSE)+VLOOKUP($A33,'Onsite Role Distribution'!$B$8:$G$12,2,FALSE)</f>
        <v>5</v>
      </c>
      <c r="G33">
        <f>VLOOKUP($A33,'Onsite Role Distribution'!$B$3:$G$7,2,FALSE)+VLOOKUP($A33,'Onsite Role Distribution'!$B$8:$G$12,2,FALSE)</f>
        <v>5</v>
      </c>
      <c r="H33">
        <f>VLOOKUP($A33,'Onsite Role Distribution'!$B$3:$G$7,2,FALSE)+VLOOKUP($A33,'Onsite Role Distribution'!$B$8:$G$12,2,FALSE)</f>
        <v>5</v>
      </c>
      <c r="I33">
        <f>VLOOKUP($A33,'Onsite Role Distribution'!$B$3:$G$7,2,FALSE)+VLOOKUP($A33,'Onsite Role Distribution'!$B$8:$G$12,2,FALSE)</f>
        <v>5</v>
      </c>
      <c r="J33">
        <f>VLOOKUP($A33,'Onsite Role Distribution'!$B$3:$G$7,2,FALSE)+VLOOKUP($A33,'Onsite Role Distribution'!$B$8:$G$12,2,FALSE)</f>
        <v>5</v>
      </c>
      <c r="K33">
        <f>VLOOKUP($A33,'Onsite Role Distribution'!$B$3:$G$7,2,FALSE)+VLOOKUP($A33,'Onsite Role Distribution'!$B$8:$G$12,2,FALSE)</f>
        <v>5</v>
      </c>
      <c r="L33">
        <f>VLOOKUP($A33,'Onsite Role Distribution'!$B$3:$G$7,2,FALSE)+VLOOKUP($A33,'Onsite Role Distribution'!$B$8:$G$12,2,FALSE)</f>
        <v>5</v>
      </c>
      <c r="M33">
        <f>VLOOKUP($A33,'Onsite Role Distribution'!$B$3:$G$7,2,FALSE)+VLOOKUP($A33,'Onsite Role Distribution'!$B$8:$G$12,2,FALSE)</f>
        <v>5</v>
      </c>
      <c r="N33">
        <f>VLOOKUP($A33,'Onsite Role Distribution'!$B$3:$G$7,2,FALSE)+VLOOKUP($A33,'Onsite Role Distribution'!$B$8:$G$12,2,FALSE)</f>
        <v>5</v>
      </c>
      <c r="O33">
        <f>VLOOKUP($A33,'Onsite Role Distribution'!$B$3:$G$7,2,FALSE)+VLOOKUP($A33,'Onsite Role Distribution'!$B$8:$G$12,2,FALSE)</f>
        <v>5</v>
      </c>
      <c r="P33">
        <f>VLOOKUP($A33,'Onsite Role Distribution'!$B$3:$G$7,3,FALSE)+VLOOKUP($A33,'Onsite Role Distribution'!$B$8:$G$12,3,FALSE)</f>
        <v>4</v>
      </c>
      <c r="Q33">
        <f>VLOOKUP($A33,'Onsite Role Distribution'!$B$3:$G$7,3,FALSE)+VLOOKUP($A33,'Onsite Role Distribution'!$B$8:$G$12,3,FALSE)</f>
        <v>4</v>
      </c>
      <c r="R33">
        <f>VLOOKUP($A33,'Onsite Role Distribution'!$B$3:$G$7,3,FALSE)+VLOOKUP($A33,'Onsite Role Distribution'!$B$8:$G$12,3,FALSE)</f>
        <v>4</v>
      </c>
      <c r="S33">
        <f>VLOOKUP($A33,'Onsite Role Distribution'!$B$3:$G$7,3,FALSE)+VLOOKUP($A33,'Onsite Role Distribution'!$B$8:$G$12,3,FALSE)</f>
        <v>4</v>
      </c>
      <c r="T33">
        <f>VLOOKUP($A33,'Onsite Role Distribution'!$B$3:$G$7,3,FALSE)+VLOOKUP($A33,'Onsite Role Distribution'!$B$8:$G$12,3,FALSE)</f>
        <v>4</v>
      </c>
      <c r="U33">
        <f>VLOOKUP($A33,'Onsite Role Distribution'!$B$3:$G$7,3,FALSE)+VLOOKUP($A33,'Onsite Role Distribution'!$B$8:$G$12,3,FALSE)</f>
        <v>4</v>
      </c>
      <c r="V33">
        <f>VLOOKUP($A33,'Onsite Role Distribution'!$B$3:$G$7,3,FALSE)+VLOOKUP($A33,'Onsite Role Distribution'!$B$8:$G$12,3,FALSE)</f>
        <v>4</v>
      </c>
      <c r="W33">
        <f>VLOOKUP($A33,'Onsite Role Distribution'!$B$3:$G$7,3,FALSE)+VLOOKUP($A33,'Onsite Role Distribution'!$B$8:$G$12,3,FALSE)</f>
        <v>4</v>
      </c>
      <c r="X33">
        <f>VLOOKUP($A33,'Onsite Role Distribution'!$B$3:$G$7,3,FALSE)+VLOOKUP($A33,'Onsite Role Distribution'!$B$8:$G$12,3,FALSE)</f>
        <v>4</v>
      </c>
      <c r="Y33">
        <f>VLOOKUP($A33,'Onsite Role Distribution'!$B$3:$G$7,3,FALSE)+VLOOKUP($A33,'Onsite Role Distribution'!$B$8:$G$12,3,FALSE)</f>
        <v>4</v>
      </c>
      <c r="Z33">
        <f>VLOOKUP($A33,'Onsite Role Distribution'!$B$3:$G$7,3,FALSE)+VLOOKUP($A33,'Onsite Role Distribution'!$B$8:$G$12,3,FALSE)</f>
        <v>4</v>
      </c>
      <c r="AA33">
        <f>VLOOKUP($A33,'Onsite Role Distribution'!$B$3:$G$7,3,FALSE)+VLOOKUP($A33,'Onsite Role Distribution'!$B$8:$G$12,3,FALSE)</f>
        <v>4</v>
      </c>
      <c r="AB33">
        <f>VLOOKUP($A33,'Onsite Role Distribution'!$B$3:$G$7,4,FALSE)+VLOOKUP($A33,'Onsite Role Distribution'!$B$8:$G$12,4,FALSE)</f>
        <v>2</v>
      </c>
      <c r="AC33">
        <f>VLOOKUP($A33,'Onsite Role Distribution'!$B$3:$G$7,4,FALSE)+VLOOKUP($A33,'Onsite Role Distribution'!$B$8:$G$12,4,FALSE)</f>
        <v>2</v>
      </c>
      <c r="AD33">
        <f>VLOOKUP($A33,'Onsite Role Distribution'!$B$3:$G$7,4,FALSE)+VLOOKUP($A33,'Onsite Role Distribution'!$B$8:$G$12,4,FALSE)</f>
        <v>2</v>
      </c>
      <c r="AE33">
        <f>VLOOKUP($A33,'Onsite Role Distribution'!$B$3:$G$7,4,FALSE)+VLOOKUP($A33,'Onsite Role Distribution'!$B$8:$G$12,4,FALSE)</f>
        <v>2</v>
      </c>
      <c r="AF33">
        <f>VLOOKUP($A33,'Onsite Role Distribution'!$B$3:$G$7,4,FALSE)+VLOOKUP($A33,'Onsite Role Distribution'!$B$8:$G$12,4,FALSE)</f>
        <v>2</v>
      </c>
      <c r="AG33">
        <f>VLOOKUP($A33,'Onsite Role Distribution'!$B$3:$G$7,4,FALSE)+VLOOKUP($A33,'Onsite Role Distribution'!$B$8:$G$12,4,FALSE)</f>
        <v>2</v>
      </c>
      <c r="AH33">
        <f>VLOOKUP($A33,'Onsite Role Distribution'!$B$3:$G$7,4,FALSE)+VLOOKUP($A33,'Onsite Role Distribution'!$B$8:$G$12,4,FALSE)</f>
        <v>2</v>
      </c>
      <c r="AI33">
        <f>VLOOKUP($A33,'Onsite Role Distribution'!$B$3:$G$7,4,FALSE)+VLOOKUP($A33,'Onsite Role Distribution'!$B$8:$G$12,4,FALSE)</f>
        <v>2</v>
      </c>
      <c r="AJ33">
        <f>VLOOKUP($A33,'Onsite Role Distribution'!$B$3:$G$7,4,FALSE)+VLOOKUP($A33,'Onsite Role Distribution'!$B$8:$G$12,4,FALSE)</f>
        <v>2</v>
      </c>
      <c r="AK33">
        <f>VLOOKUP($A33,'Onsite Role Distribution'!$B$3:$G$7,4,FALSE)+VLOOKUP($A33,'Onsite Role Distribution'!$B$8:$G$12,4,FALSE)</f>
        <v>2</v>
      </c>
      <c r="AL33">
        <f>VLOOKUP($A33,'Onsite Role Distribution'!$B$3:$G$7,4,FALSE)+VLOOKUP($A33,'Onsite Role Distribution'!$B$8:$G$12,4,FALSE)</f>
        <v>2</v>
      </c>
      <c r="AM33">
        <f>VLOOKUP($A33,'Onsite Role Distribution'!$B$3:$G$7,4,FALSE)+VLOOKUP($A33,'Onsite Role Distribution'!$B$8:$G$12,4,FALSE)</f>
        <v>2</v>
      </c>
      <c r="AN33">
        <f>VLOOKUP($A33,'Onsite Role Distribution'!$B$3:$G$7,5,FALSE)+VLOOKUP($A33,'Onsite Role Distribution'!$B$8:$G$12,5,FALSE)</f>
        <v>2</v>
      </c>
      <c r="AO33">
        <f>VLOOKUP($A33,'Onsite Role Distribution'!$B$3:$G$7,5,FALSE)+VLOOKUP($A33,'Onsite Role Distribution'!$B$8:$G$12,5,FALSE)</f>
        <v>2</v>
      </c>
      <c r="AP33">
        <f>VLOOKUP($A33,'Onsite Role Distribution'!$B$3:$G$7,5,FALSE)+VLOOKUP($A33,'Onsite Role Distribution'!$B$8:$G$12,5,FALSE)</f>
        <v>2</v>
      </c>
      <c r="AQ33">
        <f>VLOOKUP($A33,'Onsite Role Distribution'!$B$3:$G$7,5,FALSE)+VLOOKUP($A33,'Onsite Role Distribution'!$B$8:$G$12,5,FALSE)</f>
        <v>2</v>
      </c>
      <c r="AR33">
        <f>VLOOKUP($A33,'Onsite Role Distribution'!$B$3:$G$7,5,FALSE)+VLOOKUP($A33,'Onsite Role Distribution'!$B$8:$G$12,5,FALSE)</f>
        <v>2</v>
      </c>
      <c r="AS33">
        <f>VLOOKUP($A33,'Onsite Role Distribution'!$B$3:$G$7,5,FALSE)+VLOOKUP($A33,'Onsite Role Distribution'!$B$8:$G$12,5,FALSE)</f>
        <v>2</v>
      </c>
      <c r="AT33">
        <f>VLOOKUP($A33,'Onsite Role Distribution'!$B$3:$G$7,5,FALSE)+VLOOKUP($A33,'Onsite Role Distribution'!$B$8:$G$12,5,FALSE)</f>
        <v>2</v>
      </c>
      <c r="AU33">
        <f>VLOOKUP($A33,'Onsite Role Distribution'!$B$3:$G$7,5,FALSE)+VLOOKUP($A33,'Onsite Role Distribution'!$B$8:$G$12,5,FALSE)</f>
        <v>2</v>
      </c>
      <c r="AV33">
        <f>VLOOKUP($A33,'Onsite Role Distribution'!$B$3:$G$7,5,FALSE)+VLOOKUP($A33,'Onsite Role Distribution'!$B$8:$G$12,5,FALSE)</f>
        <v>2</v>
      </c>
      <c r="AW33">
        <f>VLOOKUP($A33,'Onsite Role Distribution'!$B$3:$G$7,5,FALSE)+VLOOKUP($A33,'Onsite Role Distribution'!$B$8:$G$12,5,FALSE)</f>
        <v>2</v>
      </c>
      <c r="AX33">
        <f>VLOOKUP($A33,'Onsite Role Distribution'!$B$3:$G$7,5,FALSE)+VLOOKUP($A33,'Onsite Role Distribution'!$B$8:$G$12,5,FALSE)</f>
        <v>2</v>
      </c>
      <c r="AY33">
        <f>VLOOKUP($A33,'Onsite Role Distribution'!$B$3:$G$7,5,FALSE)+VLOOKUP($A33,'Onsite Role Distribution'!$B$8:$G$12,5,FALSE)</f>
        <v>2</v>
      </c>
      <c r="AZ33" s="17">
        <v>1</v>
      </c>
      <c r="BA33" s="17">
        <v>1</v>
      </c>
      <c r="BB33" s="17">
        <v>1</v>
      </c>
      <c r="BC33" s="17">
        <v>1</v>
      </c>
      <c r="BD33" s="17">
        <v>1</v>
      </c>
      <c r="BE33" s="17">
        <v>1</v>
      </c>
      <c r="BF33" s="17">
        <v>1</v>
      </c>
      <c r="BG33" s="17">
        <v>1</v>
      </c>
      <c r="BH33" s="17">
        <v>1</v>
      </c>
      <c r="BI33" s="17">
        <v>1</v>
      </c>
      <c r="BJ33" s="17">
        <v>1</v>
      </c>
      <c r="BK33" s="17">
        <v>1</v>
      </c>
    </row>
    <row r="34" spans="1:63" x14ac:dyDescent="0.35">
      <c r="A34" t="s">
        <v>15</v>
      </c>
      <c r="B34" t="s">
        <v>9</v>
      </c>
      <c r="C34" t="str">
        <f t="shared" si="0"/>
        <v>TesterOnsite</v>
      </c>
      <c r="D34">
        <f>VLOOKUP($A34,'Onsite Role Distribution'!$B$3:$G$7,2,FALSE)+VLOOKUP($A34,'Onsite Role Distribution'!$B$8:$G$12,2,FALSE)</f>
        <v>1</v>
      </c>
      <c r="E34">
        <f>VLOOKUP($A34,'Onsite Role Distribution'!$B$3:$G$7,2,FALSE)+VLOOKUP($A34,'Onsite Role Distribution'!$B$8:$G$12,2,FALSE)</f>
        <v>1</v>
      </c>
      <c r="F34">
        <f>VLOOKUP($A34,'Onsite Role Distribution'!$B$3:$G$7,2,FALSE)+VLOOKUP($A34,'Onsite Role Distribution'!$B$8:$G$12,2,FALSE)</f>
        <v>1</v>
      </c>
      <c r="G34">
        <f>VLOOKUP($A34,'Onsite Role Distribution'!$B$3:$G$7,2,FALSE)+VLOOKUP($A34,'Onsite Role Distribution'!$B$8:$G$12,2,FALSE)</f>
        <v>1</v>
      </c>
      <c r="H34">
        <f>VLOOKUP($A34,'Onsite Role Distribution'!$B$3:$G$7,2,FALSE)+VLOOKUP($A34,'Onsite Role Distribution'!$B$8:$G$12,2,FALSE)</f>
        <v>1</v>
      </c>
      <c r="I34">
        <f>VLOOKUP($A34,'Onsite Role Distribution'!$B$3:$G$7,2,FALSE)+VLOOKUP($A34,'Onsite Role Distribution'!$B$8:$G$12,2,FALSE)</f>
        <v>1</v>
      </c>
      <c r="J34">
        <f>VLOOKUP($A34,'Onsite Role Distribution'!$B$3:$G$7,2,FALSE)+VLOOKUP($A34,'Onsite Role Distribution'!$B$8:$G$12,2,FALSE)</f>
        <v>1</v>
      </c>
      <c r="K34">
        <f>VLOOKUP($A34,'Onsite Role Distribution'!$B$3:$G$7,2,FALSE)+VLOOKUP($A34,'Onsite Role Distribution'!$B$8:$G$12,2,FALSE)</f>
        <v>1</v>
      </c>
      <c r="L34">
        <f>VLOOKUP($A34,'Onsite Role Distribution'!$B$3:$G$7,2,FALSE)+VLOOKUP($A34,'Onsite Role Distribution'!$B$8:$G$12,2,FALSE)</f>
        <v>1</v>
      </c>
      <c r="M34">
        <f>VLOOKUP($A34,'Onsite Role Distribution'!$B$3:$G$7,2,FALSE)+VLOOKUP($A34,'Onsite Role Distribution'!$B$8:$G$12,2,FALSE)</f>
        <v>1</v>
      </c>
      <c r="N34">
        <f>VLOOKUP($A34,'Onsite Role Distribution'!$B$3:$G$7,2,FALSE)+VLOOKUP($A34,'Onsite Role Distribution'!$B$8:$G$12,2,FALSE)</f>
        <v>1</v>
      </c>
      <c r="O34">
        <f>VLOOKUP($A34,'Onsite Role Distribution'!$B$3:$G$7,2,FALSE)+VLOOKUP($A34,'Onsite Role Distribution'!$B$8:$G$12,2,FALSE)</f>
        <v>1</v>
      </c>
      <c r="P34">
        <f>VLOOKUP($A34,'Onsite Role Distribution'!$B$3:$G$7,3,FALSE)+VLOOKUP($A34,'Onsite Role Distribution'!$B$8:$G$12,3,FALSE)</f>
        <v>1</v>
      </c>
      <c r="Q34">
        <f>VLOOKUP($A34,'Onsite Role Distribution'!$B$3:$G$7,3,FALSE)+VLOOKUP($A34,'Onsite Role Distribution'!$B$8:$G$12,3,FALSE)</f>
        <v>1</v>
      </c>
      <c r="R34">
        <f>VLOOKUP($A34,'Onsite Role Distribution'!$B$3:$G$7,3,FALSE)+VLOOKUP($A34,'Onsite Role Distribution'!$B$8:$G$12,3,FALSE)</f>
        <v>1</v>
      </c>
      <c r="S34">
        <f>VLOOKUP($A34,'Onsite Role Distribution'!$B$3:$G$7,3,FALSE)+VLOOKUP($A34,'Onsite Role Distribution'!$B$8:$G$12,3,FALSE)</f>
        <v>1</v>
      </c>
      <c r="T34">
        <f>VLOOKUP($A34,'Onsite Role Distribution'!$B$3:$G$7,3,FALSE)+VLOOKUP($A34,'Onsite Role Distribution'!$B$8:$G$12,3,FALSE)</f>
        <v>1</v>
      </c>
      <c r="U34">
        <f>VLOOKUP($A34,'Onsite Role Distribution'!$B$3:$G$7,3,FALSE)+VLOOKUP($A34,'Onsite Role Distribution'!$B$8:$G$12,3,FALSE)</f>
        <v>1</v>
      </c>
      <c r="V34">
        <f>VLOOKUP($A34,'Onsite Role Distribution'!$B$3:$G$7,3,FALSE)+VLOOKUP($A34,'Onsite Role Distribution'!$B$8:$G$12,3,FALSE)</f>
        <v>1</v>
      </c>
      <c r="W34">
        <f>VLOOKUP($A34,'Onsite Role Distribution'!$B$3:$G$7,3,FALSE)+VLOOKUP($A34,'Onsite Role Distribution'!$B$8:$G$12,3,FALSE)</f>
        <v>1</v>
      </c>
      <c r="X34">
        <f>VLOOKUP($A34,'Onsite Role Distribution'!$B$3:$G$7,3,FALSE)+VLOOKUP($A34,'Onsite Role Distribution'!$B$8:$G$12,3,FALSE)</f>
        <v>1</v>
      </c>
      <c r="Y34">
        <f>VLOOKUP($A34,'Onsite Role Distribution'!$B$3:$G$7,3,FALSE)+VLOOKUP($A34,'Onsite Role Distribution'!$B$8:$G$12,3,FALSE)</f>
        <v>1</v>
      </c>
      <c r="Z34">
        <f>VLOOKUP($A34,'Onsite Role Distribution'!$B$3:$G$7,3,FALSE)+VLOOKUP($A34,'Onsite Role Distribution'!$B$8:$G$12,3,FALSE)</f>
        <v>1</v>
      </c>
      <c r="AA34">
        <f>VLOOKUP($A34,'Onsite Role Distribution'!$B$3:$G$7,3,FALSE)+VLOOKUP($A34,'Onsite Role Distribution'!$B$8:$G$12,3,FALSE)</f>
        <v>1</v>
      </c>
      <c r="AB34">
        <f>VLOOKUP($A34,'Onsite Role Distribution'!$B$3:$G$7,4,FALSE)+VLOOKUP($A34,'Onsite Role Distribution'!$B$8:$G$12,4,FALSE)</f>
        <v>0</v>
      </c>
      <c r="AC34">
        <f>VLOOKUP($A34,'Onsite Role Distribution'!$B$3:$G$7,4,FALSE)+VLOOKUP($A34,'Onsite Role Distribution'!$B$8:$G$12,4,FALSE)</f>
        <v>0</v>
      </c>
      <c r="AD34">
        <f>VLOOKUP($A34,'Onsite Role Distribution'!$B$3:$G$7,4,FALSE)+VLOOKUP($A34,'Onsite Role Distribution'!$B$8:$G$12,4,FALSE)</f>
        <v>0</v>
      </c>
      <c r="AE34">
        <f>VLOOKUP($A34,'Onsite Role Distribution'!$B$3:$G$7,4,FALSE)+VLOOKUP($A34,'Onsite Role Distribution'!$B$8:$G$12,4,FALSE)</f>
        <v>0</v>
      </c>
      <c r="AF34">
        <f>VLOOKUP($A34,'Onsite Role Distribution'!$B$3:$G$7,4,FALSE)+VLOOKUP($A34,'Onsite Role Distribution'!$B$8:$G$12,4,FALSE)</f>
        <v>0</v>
      </c>
      <c r="AG34">
        <f>VLOOKUP($A34,'Onsite Role Distribution'!$B$3:$G$7,4,FALSE)+VLOOKUP($A34,'Onsite Role Distribution'!$B$8:$G$12,4,FALSE)</f>
        <v>0</v>
      </c>
      <c r="AH34">
        <f>VLOOKUP($A34,'Onsite Role Distribution'!$B$3:$G$7,4,FALSE)+VLOOKUP($A34,'Onsite Role Distribution'!$B$8:$G$12,4,FALSE)</f>
        <v>0</v>
      </c>
      <c r="AI34">
        <f>VLOOKUP($A34,'Onsite Role Distribution'!$B$3:$G$7,4,FALSE)+VLOOKUP($A34,'Onsite Role Distribution'!$B$8:$G$12,4,FALSE)</f>
        <v>0</v>
      </c>
      <c r="AJ34">
        <f>VLOOKUP($A34,'Onsite Role Distribution'!$B$3:$G$7,4,FALSE)+VLOOKUP($A34,'Onsite Role Distribution'!$B$8:$G$12,4,FALSE)</f>
        <v>0</v>
      </c>
      <c r="AK34">
        <f>VLOOKUP($A34,'Onsite Role Distribution'!$B$3:$G$7,4,FALSE)+VLOOKUP($A34,'Onsite Role Distribution'!$B$8:$G$12,4,FALSE)</f>
        <v>0</v>
      </c>
      <c r="AL34">
        <f>VLOOKUP($A34,'Onsite Role Distribution'!$B$3:$G$7,4,FALSE)+VLOOKUP($A34,'Onsite Role Distribution'!$B$8:$G$12,4,FALSE)</f>
        <v>0</v>
      </c>
      <c r="AM34">
        <f>VLOOKUP($A34,'Onsite Role Distribution'!$B$3:$G$7,4,FALSE)+VLOOKUP($A34,'Onsite Role Distribution'!$B$8:$G$12,4,FALSE)</f>
        <v>0</v>
      </c>
      <c r="AN34">
        <f>VLOOKUP($A34,'Onsite Role Distribution'!$B$3:$G$7,5,FALSE)+VLOOKUP($A34,'Onsite Role Distribution'!$B$8:$G$12,5,FALSE)</f>
        <v>0</v>
      </c>
      <c r="AO34">
        <f>VLOOKUP($A34,'Onsite Role Distribution'!$B$3:$G$7,5,FALSE)+VLOOKUP($A34,'Onsite Role Distribution'!$B$8:$G$12,5,FALSE)</f>
        <v>0</v>
      </c>
      <c r="AP34">
        <f>VLOOKUP($A34,'Onsite Role Distribution'!$B$3:$G$7,5,FALSE)+VLOOKUP($A34,'Onsite Role Distribution'!$B$8:$G$12,5,FALSE)</f>
        <v>0</v>
      </c>
      <c r="AQ34">
        <f>VLOOKUP($A34,'Onsite Role Distribution'!$B$3:$G$7,5,FALSE)+VLOOKUP($A34,'Onsite Role Distribution'!$B$8:$G$12,5,FALSE)</f>
        <v>0</v>
      </c>
      <c r="AR34">
        <f>VLOOKUP($A34,'Onsite Role Distribution'!$B$3:$G$7,5,FALSE)+VLOOKUP($A34,'Onsite Role Distribution'!$B$8:$G$12,5,FALSE)</f>
        <v>0</v>
      </c>
      <c r="AS34">
        <f>VLOOKUP($A34,'Onsite Role Distribution'!$B$3:$G$7,5,FALSE)+VLOOKUP($A34,'Onsite Role Distribution'!$B$8:$G$12,5,FALSE)</f>
        <v>0</v>
      </c>
      <c r="AT34">
        <f>VLOOKUP($A34,'Onsite Role Distribution'!$B$3:$G$7,5,FALSE)+VLOOKUP($A34,'Onsite Role Distribution'!$B$8:$G$12,5,FALSE)</f>
        <v>0</v>
      </c>
      <c r="AU34">
        <f>VLOOKUP($A34,'Onsite Role Distribution'!$B$3:$G$7,5,FALSE)+VLOOKUP($A34,'Onsite Role Distribution'!$B$8:$G$12,5,FALSE)</f>
        <v>0</v>
      </c>
      <c r="AV34">
        <f>VLOOKUP($A34,'Onsite Role Distribution'!$B$3:$G$7,5,FALSE)+VLOOKUP($A34,'Onsite Role Distribution'!$B$8:$G$12,5,FALSE)</f>
        <v>0</v>
      </c>
      <c r="AW34">
        <f>VLOOKUP($A34,'Onsite Role Distribution'!$B$3:$G$7,5,FALSE)+VLOOKUP($A34,'Onsite Role Distribution'!$B$8:$G$12,5,FALSE)</f>
        <v>0</v>
      </c>
      <c r="AX34">
        <f>VLOOKUP($A34,'Onsite Role Distribution'!$B$3:$G$7,5,FALSE)+VLOOKUP($A34,'Onsite Role Distribution'!$B$8:$G$12,5,FALSE)</f>
        <v>0</v>
      </c>
      <c r="AY34">
        <f>VLOOKUP($A34,'Onsite Role Distribution'!$B$3:$G$7,5,FALSE)+VLOOKUP($A34,'Onsite Role Distribution'!$B$8:$G$12,5,FALSE)</f>
        <v>0</v>
      </c>
      <c r="AZ34" s="17">
        <v>0</v>
      </c>
      <c r="BA34">
        <f>VLOOKUP($A34,'Onsite Role Distribution'!$B$3:$G$7,6,FALSE)+VLOOKUP($A34,'Onsite Role Distribution'!$B$8:$G$12,6,FALSE)</f>
        <v>0</v>
      </c>
      <c r="BB34">
        <f>VLOOKUP($A34,'Onsite Role Distribution'!$B$3:$G$7,6,FALSE)+VLOOKUP($A34,'Onsite Role Distribution'!$B$8:$G$12,6,FALSE)</f>
        <v>0</v>
      </c>
      <c r="BC34">
        <f>VLOOKUP($A34,'Onsite Role Distribution'!$B$3:$G$7,6,FALSE)+VLOOKUP($A34,'Onsite Role Distribution'!$B$8:$G$12,6,FALSE)</f>
        <v>0</v>
      </c>
      <c r="BD34">
        <f>VLOOKUP($A34,'Onsite Role Distribution'!$B$3:$G$7,6,FALSE)+VLOOKUP($A34,'Onsite Role Distribution'!$B$8:$G$12,6,FALSE)</f>
        <v>0</v>
      </c>
      <c r="BE34">
        <f>VLOOKUP($A34,'Onsite Role Distribution'!$B$3:$G$7,6,FALSE)+VLOOKUP($A34,'Onsite Role Distribution'!$B$8:$G$12,6,FALSE)</f>
        <v>0</v>
      </c>
      <c r="BF34">
        <f>VLOOKUP($A34,'Onsite Role Distribution'!$B$3:$G$7,6,FALSE)+VLOOKUP($A34,'Onsite Role Distribution'!$B$8:$G$12,6,FALSE)</f>
        <v>0</v>
      </c>
      <c r="BG34">
        <f>VLOOKUP($A34,'Onsite Role Distribution'!$B$3:$G$7,6,FALSE)+VLOOKUP($A34,'Onsite Role Distribution'!$B$8:$G$12,6,FALSE)</f>
        <v>0</v>
      </c>
      <c r="BH34">
        <f>VLOOKUP($A34,'Onsite Role Distribution'!$B$3:$G$7,6,FALSE)+VLOOKUP($A34,'Onsite Role Distribution'!$B$8:$G$12,6,FALSE)</f>
        <v>0</v>
      </c>
      <c r="BI34">
        <f>VLOOKUP($A34,'Onsite Role Distribution'!$B$3:$G$7,6,FALSE)+VLOOKUP($A34,'Onsite Role Distribution'!$B$8:$G$12,6,FALSE)</f>
        <v>0</v>
      </c>
      <c r="BJ34">
        <f>VLOOKUP($A34,'Onsite Role Distribution'!$B$3:$G$7,6,FALSE)+VLOOKUP($A34,'Onsite Role Distribution'!$B$8:$G$12,6,FALSE)</f>
        <v>0</v>
      </c>
      <c r="BK34">
        <f>VLOOKUP($A34,'Onsite Role Distribution'!$B$3:$G$7,6,FALSE)+VLOOKUP($A34,'Onsite Role Distribution'!$B$8:$G$12,6,FALSE)</f>
        <v>0</v>
      </c>
    </row>
    <row r="35" spans="1:63" x14ac:dyDescent="0.35">
      <c r="A35" t="s">
        <v>17</v>
      </c>
      <c r="B35" t="s">
        <v>9</v>
      </c>
      <c r="C35" t="str">
        <f t="shared" si="0"/>
        <v>PMOnsite</v>
      </c>
      <c r="D35">
        <f>VLOOKUP($A35,'Onsite Role Distribution'!$B$3:$G$7,2,FALSE)+VLOOKUP($A35,'Onsite Role Distribution'!$B$8:$G$12,2,FALSE)</f>
        <v>0</v>
      </c>
      <c r="E35">
        <f>VLOOKUP($A35,'Onsite Role Distribution'!$B$3:$G$7,2,FALSE)+VLOOKUP($A35,'Onsite Role Distribution'!$B$8:$G$12,2,FALSE)</f>
        <v>0</v>
      </c>
      <c r="F35">
        <f>VLOOKUP($A35,'Onsite Role Distribution'!$B$3:$G$7,2,FALSE)+VLOOKUP($A35,'Onsite Role Distribution'!$B$8:$G$12,2,FALSE)</f>
        <v>0</v>
      </c>
      <c r="G35">
        <f>VLOOKUP($A35,'Onsite Role Distribution'!$B$3:$G$7,2,FALSE)+VLOOKUP($A35,'Onsite Role Distribution'!$B$8:$G$12,2,FALSE)</f>
        <v>0</v>
      </c>
      <c r="H35">
        <f>VLOOKUP($A35,'Onsite Role Distribution'!$B$3:$G$7,2,FALSE)+VLOOKUP($A35,'Onsite Role Distribution'!$B$8:$G$12,2,FALSE)</f>
        <v>0</v>
      </c>
      <c r="I35">
        <f>VLOOKUP($A35,'Onsite Role Distribution'!$B$3:$G$7,2,FALSE)+VLOOKUP($A35,'Onsite Role Distribution'!$B$8:$G$12,2,FALSE)</f>
        <v>0</v>
      </c>
      <c r="J35">
        <f>VLOOKUP($A35,'Onsite Role Distribution'!$B$3:$G$7,2,FALSE)+VLOOKUP($A35,'Onsite Role Distribution'!$B$8:$G$12,2,FALSE)</f>
        <v>0</v>
      </c>
      <c r="K35">
        <f>VLOOKUP($A35,'Onsite Role Distribution'!$B$3:$G$7,2,FALSE)+VLOOKUP($A35,'Onsite Role Distribution'!$B$8:$G$12,2,FALSE)</f>
        <v>0</v>
      </c>
      <c r="L35">
        <f>VLOOKUP($A35,'Onsite Role Distribution'!$B$3:$G$7,2,FALSE)+VLOOKUP($A35,'Onsite Role Distribution'!$B$8:$G$12,2,FALSE)</f>
        <v>0</v>
      </c>
      <c r="M35">
        <f>VLOOKUP($A35,'Onsite Role Distribution'!$B$3:$G$7,2,FALSE)+VLOOKUP($A35,'Onsite Role Distribution'!$B$8:$G$12,2,FALSE)</f>
        <v>0</v>
      </c>
      <c r="N35">
        <f>VLOOKUP($A35,'Onsite Role Distribution'!$B$3:$G$7,2,FALSE)+VLOOKUP($A35,'Onsite Role Distribution'!$B$8:$G$12,2,FALSE)</f>
        <v>0</v>
      </c>
      <c r="O35">
        <f>VLOOKUP($A35,'Onsite Role Distribution'!$B$3:$G$7,2,FALSE)+VLOOKUP($A35,'Onsite Role Distribution'!$B$8:$G$12,2,FALSE)</f>
        <v>0</v>
      </c>
      <c r="P35">
        <f>VLOOKUP($A35,'Onsite Role Distribution'!$B$3:$G$7,3,FALSE)+VLOOKUP($A35,'Onsite Role Distribution'!$B$8:$G$12,3,FALSE)</f>
        <v>0</v>
      </c>
      <c r="Q35">
        <f>VLOOKUP($A35,'Onsite Role Distribution'!$B$3:$G$7,3,FALSE)+VLOOKUP($A35,'Onsite Role Distribution'!$B$8:$G$12,3,FALSE)</f>
        <v>0</v>
      </c>
      <c r="R35">
        <f>VLOOKUP($A35,'Onsite Role Distribution'!$B$3:$G$7,3,FALSE)+VLOOKUP($A35,'Onsite Role Distribution'!$B$8:$G$12,3,FALSE)</f>
        <v>0</v>
      </c>
      <c r="S35">
        <f>VLOOKUP($A35,'Onsite Role Distribution'!$B$3:$G$7,3,FALSE)+VLOOKUP($A35,'Onsite Role Distribution'!$B$8:$G$12,3,FALSE)</f>
        <v>0</v>
      </c>
      <c r="T35">
        <f>VLOOKUP($A35,'Onsite Role Distribution'!$B$3:$G$7,3,FALSE)+VLOOKUP($A35,'Onsite Role Distribution'!$B$8:$G$12,3,FALSE)</f>
        <v>0</v>
      </c>
      <c r="U35">
        <f>VLOOKUP($A35,'Onsite Role Distribution'!$B$3:$G$7,3,FALSE)+VLOOKUP($A35,'Onsite Role Distribution'!$B$8:$G$12,3,FALSE)</f>
        <v>0</v>
      </c>
      <c r="V35">
        <f>VLOOKUP($A35,'Onsite Role Distribution'!$B$3:$G$7,3,FALSE)+VLOOKUP($A35,'Onsite Role Distribution'!$B$8:$G$12,3,FALSE)</f>
        <v>0</v>
      </c>
      <c r="W35">
        <f>VLOOKUP($A35,'Onsite Role Distribution'!$B$3:$G$7,3,FALSE)+VLOOKUP($A35,'Onsite Role Distribution'!$B$8:$G$12,3,FALSE)</f>
        <v>0</v>
      </c>
      <c r="X35">
        <f>VLOOKUP($A35,'Onsite Role Distribution'!$B$3:$G$7,3,FALSE)+VLOOKUP($A35,'Onsite Role Distribution'!$B$8:$G$12,3,FALSE)</f>
        <v>0</v>
      </c>
      <c r="Y35">
        <f>VLOOKUP($A35,'Onsite Role Distribution'!$B$3:$G$7,3,FALSE)+VLOOKUP($A35,'Onsite Role Distribution'!$B$8:$G$12,3,FALSE)</f>
        <v>0</v>
      </c>
      <c r="Z35">
        <f>VLOOKUP($A35,'Onsite Role Distribution'!$B$3:$G$7,3,FALSE)+VLOOKUP($A35,'Onsite Role Distribution'!$B$8:$G$12,3,FALSE)</f>
        <v>0</v>
      </c>
      <c r="AA35">
        <f>VLOOKUP($A35,'Onsite Role Distribution'!$B$3:$G$7,3,FALSE)+VLOOKUP($A35,'Onsite Role Distribution'!$B$8:$G$12,3,FALSE)</f>
        <v>0</v>
      </c>
      <c r="AB35">
        <f>VLOOKUP($A35,'Onsite Role Distribution'!$B$3:$G$7,4,FALSE)+VLOOKUP($A35,'Onsite Role Distribution'!$B$8:$G$12,4,FALSE)</f>
        <v>0</v>
      </c>
      <c r="AC35">
        <f>VLOOKUP($A35,'Onsite Role Distribution'!$B$3:$G$7,4,FALSE)+VLOOKUP($A35,'Onsite Role Distribution'!$B$8:$G$12,4,FALSE)</f>
        <v>0</v>
      </c>
      <c r="AD35">
        <f>VLOOKUP($A35,'Onsite Role Distribution'!$B$3:$G$7,4,FALSE)+VLOOKUP($A35,'Onsite Role Distribution'!$B$8:$G$12,4,FALSE)</f>
        <v>0</v>
      </c>
      <c r="AE35">
        <f>VLOOKUP($A35,'Onsite Role Distribution'!$B$3:$G$7,4,FALSE)+VLOOKUP($A35,'Onsite Role Distribution'!$B$8:$G$12,4,FALSE)</f>
        <v>0</v>
      </c>
      <c r="AF35">
        <f>VLOOKUP($A35,'Onsite Role Distribution'!$B$3:$G$7,4,FALSE)+VLOOKUP($A35,'Onsite Role Distribution'!$B$8:$G$12,4,FALSE)</f>
        <v>0</v>
      </c>
      <c r="AG35">
        <f>VLOOKUP($A35,'Onsite Role Distribution'!$B$3:$G$7,4,FALSE)+VLOOKUP($A35,'Onsite Role Distribution'!$B$8:$G$12,4,FALSE)</f>
        <v>0</v>
      </c>
      <c r="AH35">
        <f>VLOOKUP($A35,'Onsite Role Distribution'!$B$3:$G$7,4,FALSE)+VLOOKUP($A35,'Onsite Role Distribution'!$B$8:$G$12,4,FALSE)</f>
        <v>0</v>
      </c>
      <c r="AI35">
        <f>VLOOKUP($A35,'Onsite Role Distribution'!$B$3:$G$7,4,FALSE)+VLOOKUP($A35,'Onsite Role Distribution'!$B$8:$G$12,4,FALSE)</f>
        <v>0</v>
      </c>
      <c r="AJ35">
        <f>VLOOKUP($A35,'Onsite Role Distribution'!$B$3:$G$7,4,FALSE)+VLOOKUP($A35,'Onsite Role Distribution'!$B$8:$G$12,4,FALSE)</f>
        <v>0</v>
      </c>
      <c r="AK35">
        <f>VLOOKUP($A35,'Onsite Role Distribution'!$B$3:$G$7,4,FALSE)+VLOOKUP($A35,'Onsite Role Distribution'!$B$8:$G$12,4,FALSE)</f>
        <v>0</v>
      </c>
      <c r="AL35">
        <f>VLOOKUP($A35,'Onsite Role Distribution'!$B$3:$G$7,4,FALSE)+VLOOKUP($A35,'Onsite Role Distribution'!$B$8:$G$12,4,FALSE)</f>
        <v>0</v>
      </c>
      <c r="AM35">
        <f>VLOOKUP($A35,'Onsite Role Distribution'!$B$3:$G$7,4,FALSE)+VLOOKUP($A35,'Onsite Role Distribution'!$B$8:$G$12,4,FALSE)</f>
        <v>0</v>
      </c>
      <c r="AN35">
        <f>VLOOKUP($A35,'Onsite Role Distribution'!$B$3:$G$7,5,FALSE)+VLOOKUP($A35,'Onsite Role Distribution'!$B$8:$G$12,5,FALSE)</f>
        <v>0</v>
      </c>
      <c r="AO35">
        <f>VLOOKUP($A35,'Onsite Role Distribution'!$B$3:$G$7,5,FALSE)+VLOOKUP($A35,'Onsite Role Distribution'!$B$8:$G$12,5,FALSE)</f>
        <v>0</v>
      </c>
      <c r="AP35">
        <f>VLOOKUP($A35,'Onsite Role Distribution'!$B$3:$G$7,5,FALSE)+VLOOKUP($A35,'Onsite Role Distribution'!$B$8:$G$12,5,FALSE)</f>
        <v>0</v>
      </c>
      <c r="AQ35">
        <f>VLOOKUP($A35,'Onsite Role Distribution'!$B$3:$G$7,5,FALSE)+VLOOKUP($A35,'Onsite Role Distribution'!$B$8:$G$12,5,FALSE)</f>
        <v>0</v>
      </c>
      <c r="AR35">
        <f>VLOOKUP($A35,'Onsite Role Distribution'!$B$3:$G$7,5,FALSE)+VLOOKUP($A35,'Onsite Role Distribution'!$B$8:$G$12,5,FALSE)</f>
        <v>0</v>
      </c>
      <c r="AS35">
        <f>VLOOKUP($A35,'Onsite Role Distribution'!$B$3:$G$7,5,FALSE)+VLOOKUP($A35,'Onsite Role Distribution'!$B$8:$G$12,5,FALSE)</f>
        <v>0</v>
      </c>
      <c r="AT35">
        <f>VLOOKUP($A35,'Onsite Role Distribution'!$B$3:$G$7,5,FALSE)+VLOOKUP($A35,'Onsite Role Distribution'!$B$8:$G$12,5,FALSE)</f>
        <v>0</v>
      </c>
      <c r="AU35">
        <f>VLOOKUP($A35,'Onsite Role Distribution'!$B$3:$G$7,5,FALSE)+VLOOKUP($A35,'Onsite Role Distribution'!$B$8:$G$12,5,FALSE)</f>
        <v>0</v>
      </c>
      <c r="AV35">
        <f>VLOOKUP($A35,'Onsite Role Distribution'!$B$3:$G$7,5,FALSE)+VLOOKUP($A35,'Onsite Role Distribution'!$B$8:$G$12,5,FALSE)</f>
        <v>0</v>
      </c>
      <c r="AW35">
        <f>VLOOKUP($A35,'Onsite Role Distribution'!$B$3:$G$7,5,FALSE)+VLOOKUP($A35,'Onsite Role Distribution'!$B$8:$G$12,5,FALSE)</f>
        <v>0</v>
      </c>
      <c r="AX35">
        <f>VLOOKUP($A35,'Onsite Role Distribution'!$B$3:$G$7,5,FALSE)+VLOOKUP($A35,'Onsite Role Distribution'!$B$8:$G$12,5,FALSE)</f>
        <v>0</v>
      </c>
      <c r="AY35">
        <f>VLOOKUP($A35,'Onsite Role Distribution'!$B$3:$G$7,5,FALSE)+VLOOKUP($A35,'Onsite Role Distribution'!$B$8:$G$12,5,FALSE)</f>
        <v>0</v>
      </c>
      <c r="AZ35" s="17">
        <v>0</v>
      </c>
      <c r="BA35">
        <f>VLOOKUP($A35,'Onsite Role Distribution'!$B$3:$G$7,6,FALSE)+VLOOKUP($A35,'Onsite Role Distribution'!$B$8:$G$12,6,FALSE)</f>
        <v>0</v>
      </c>
      <c r="BB35">
        <f>VLOOKUP($A35,'Onsite Role Distribution'!$B$3:$G$7,6,FALSE)+VLOOKUP($A35,'Onsite Role Distribution'!$B$8:$G$12,6,FALSE)</f>
        <v>0</v>
      </c>
      <c r="BC35">
        <f>VLOOKUP($A35,'Onsite Role Distribution'!$B$3:$G$7,6,FALSE)+VLOOKUP($A35,'Onsite Role Distribution'!$B$8:$G$12,6,FALSE)</f>
        <v>0</v>
      </c>
      <c r="BD35">
        <f>VLOOKUP($A35,'Onsite Role Distribution'!$B$3:$G$7,6,FALSE)+VLOOKUP($A35,'Onsite Role Distribution'!$B$8:$G$12,6,FALSE)</f>
        <v>0</v>
      </c>
      <c r="BE35">
        <f>VLOOKUP($A35,'Onsite Role Distribution'!$B$3:$G$7,6,FALSE)+VLOOKUP($A35,'Onsite Role Distribution'!$B$8:$G$12,6,FALSE)</f>
        <v>0</v>
      </c>
      <c r="BF35">
        <f>VLOOKUP($A35,'Onsite Role Distribution'!$B$3:$G$7,6,FALSE)+VLOOKUP($A35,'Onsite Role Distribution'!$B$8:$G$12,6,FALSE)</f>
        <v>0</v>
      </c>
      <c r="BG35">
        <f>VLOOKUP($A35,'Onsite Role Distribution'!$B$3:$G$7,6,FALSE)+VLOOKUP($A35,'Onsite Role Distribution'!$B$8:$G$12,6,FALSE)</f>
        <v>0</v>
      </c>
      <c r="BH35">
        <f>VLOOKUP($A35,'Onsite Role Distribution'!$B$3:$G$7,6,FALSE)+VLOOKUP($A35,'Onsite Role Distribution'!$B$8:$G$12,6,FALSE)</f>
        <v>0</v>
      </c>
      <c r="BI35">
        <f>VLOOKUP($A35,'Onsite Role Distribution'!$B$3:$G$7,6,FALSE)+VLOOKUP($A35,'Onsite Role Distribution'!$B$8:$G$12,6,FALSE)</f>
        <v>0</v>
      </c>
      <c r="BJ35">
        <f>VLOOKUP($A35,'Onsite Role Distribution'!$B$3:$G$7,6,FALSE)+VLOOKUP($A35,'Onsite Role Distribution'!$B$8:$G$12,6,FALSE)</f>
        <v>0</v>
      </c>
      <c r="BK35">
        <f>VLOOKUP($A35,'Onsite Role Distribution'!$B$3:$G$7,6,FALSE)+VLOOKUP($A35,'Onsite Role Distribution'!$B$8:$G$12,6,FALSE)</f>
        <v>0</v>
      </c>
    </row>
    <row r="36" spans="1:63" x14ac:dyDescent="0.35">
      <c r="A36" t="s">
        <v>19</v>
      </c>
      <c r="B36" t="s">
        <v>9</v>
      </c>
      <c r="C36" t="str">
        <f t="shared" si="0"/>
        <v>LeadOnsite</v>
      </c>
      <c r="D36">
        <f>VLOOKUP($A36,'Onsite Role Distribution'!$B$3:$G$7,2,FALSE)+VLOOKUP($A36,'Onsite Role Distribution'!$B$8:$G$12,2,FALSE)</f>
        <v>1</v>
      </c>
      <c r="E36">
        <f>VLOOKUP($A36,'Onsite Role Distribution'!$B$3:$G$7,2,FALSE)+VLOOKUP($A36,'Onsite Role Distribution'!$B$8:$G$12,2,FALSE)</f>
        <v>1</v>
      </c>
      <c r="F36">
        <f>VLOOKUP($A36,'Onsite Role Distribution'!$B$3:$G$7,2,FALSE)+VLOOKUP($A36,'Onsite Role Distribution'!$B$8:$G$12,2,FALSE)</f>
        <v>1</v>
      </c>
      <c r="G36">
        <f>VLOOKUP($A36,'Onsite Role Distribution'!$B$3:$G$7,2,FALSE)+VLOOKUP($A36,'Onsite Role Distribution'!$B$8:$G$12,2,FALSE)</f>
        <v>1</v>
      </c>
      <c r="H36">
        <f>VLOOKUP($A36,'Onsite Role Distribution'!$B$3:$G$7,2,FALSE)+VLOOKUP($A36,'Onsite Role Distribution'!$B$8:$G$12,2,FALSE)</f>
        <v>1</v>
      </c>
      <c r="I36">
        <f>VLOOKUP($A36,'Onsite Role Distribution'!$B$3:$G$7,2,FALSE)+VLOOKUP($A36,'Onsite Role Distribution'!$B$8:$G$12,2,FALSE)</f>
        <v>1</v>
      </c>
      <c r="J36">
        <f>VLOOKUP($A36,'Onsite Role Distribution'!$B$3:$G$7,2,FALSE)+VLOOKUP($A36,'Onsite Role Distribution'!$B$8:$G$12,2,FALSE)</f>
        <v>1</v>
      </c>
      <c r="K36">
        <f>VLOOKUP($A36,'Onsite Role Distribution'!$B$3:$G$7,2,FALSE)+VLOOKUP($A36,'Onsite Role Distribution'!$B$8:$G$12,2,FALSE)</f>
        <v>1</v>
      </c>
      <c r="L36">
        <f>VLOOKUP($A36,'Onsite Role Distribution'!$B$3:$G$7,2,FALSE)+VLOOKUP($A36,'Onsite Role Distribution'!$B$8:$G$12,2,FALSE)</f>
        <v>1</v>
      </c>
      <c r="M36">
        <f>VLOOKUP($A36,'Onsite Role Distribution'!$B$3:$G$7,2,FALSE)+VLOOKUP($A36,'Onsite Role Distribution'!$B$8:$G$12,2,FALSE)</f>
        <v>1</v>
      </c>
      <c r="N36">
        <f>VLOOKUP($A36,'Onsite Role Distribution'!$B$3:$G$7,2,FALSE)+VLOOKUP($A36,'Onsite Role Distribution'!$B$8:$G$12,2,FALSE)</f>
        <v>1</v>
      </c>
      <c r="O36">
        <f>VLOOKUP($A36,'Onsite Role Distribution'!$B$3:$G$7,2,FALSE)+VLOOKUP($A36,'Onsite Role Distribution'!$B$8:$G$12,2,FALSE)</f>
        <v>1</v>
      </c>
      <c r="P36">
        <f>VLOOKUP($A36,'Onsite Role Distribution'!$B$3:$G$7,3,FALSE)+VLOOKUP($A36,'Onsite Role Distribution'!$B$8:$G$12,3,FALSE)</f>
        <v>1</v>
      </c>
      <c r="Q36">
        <f>VLOOKUP($A36,'Onsite Role Distribution'!$B$3:$G$7,3,FALSE)+VLOOKUP($A36,'Onsite Role Distribution'!$B$8:$G$12,3,FALSE)</f>
        <v>1</v>
      </c>
      <c r="R36">
        <f>VLOOKUP($A36,'Onsite Role Distribution'!$B$3:$G$7,3,FALSE)+VLOOKUP($A36,'Onsite Role Distribution'!$B$8:$G$12,3,FALSE)</f>
        <v>1</v>
      </c>
      <c r="S36">
        <f>VLOOKUP($A36,'Onsite Role Distribution'!$B$3:$G$7,3,FALSE)+VLOOKUP($A36,'Onsite Role Distribution'!$B$8:$G$12,3,FALSE)</f>
        <v>1</v>
      </c>
      <c r="T36">
        <f>VLOOKUP($A36,'Onsite Role Distribution'!$B$3:$G$7,3,FALSE)+VLOOKUP($A36,'Onsite Role Distribution'!$B$8:$G$12,3,FALSE)</f>
        <v>1</v>
      </c>
      <c r="U36">
        <f>VLOOKUP($A36,'Onsite Role Distribution'!$B$3:$G$7,3,FALSE)+VLOOKUP($A36,'Onsite Role Distribution'!$B$8:$G$12,3,FALSE)</f>
        <v>1</v>
      </c>
      <c r="V36">
        <f>VLOOKUP($A36,'Onsite Role Distribution'!$B$3:$G$7,3,FALSE)+VLOOKUP($A36,'Onsite Role Distribution'!$B$8:$G$12,3,FALSE)</f>
        <v>1</v>
      </c>
      <c r="W36">
        <f>VLOOKUP($A36,'Onsite Role Distribution'!$B$3:$G$7,3,FALSE)+VLOOKUP($A36,'Onsite Role Distribution'!$B$8:$G$12,3,FALSE)</f>
        <v>1</v>
      </c>
      <c r="X36">
        <f>VLOOKUP($A36,'Onsite Role Distribution'!$B$3:$G$7,3,FALSE)+VLOOKUP($A36,'Onsite Role Distribution'!$B$8:$G$12,3,FALSE)</f>
        <v>1</v>
      </c>
      <c r="Y36">
        <f>VLOOKUP($A36,'Onsite Role Distribution'!$B$3:$G$7,3,FALSE)+VLOOKUP($A36,'Onsite Role Distribution'!$B$8:$G$12,3,FALSE)</f>
        <v>1</v>
      </c>
      <c r="Z36">
        <f>VLOOKUP($A36,'Onsite Role Distribution'!$B$3:$G$7,3,FALSE)+VLOOKUP($A36,'Onsite Role Distribution'!$B$8:$G$12,3,FALSE)</f>
        <v>1</v>
      </c>
      <c r="AA36">
        <f>VLOOKUP($A36,'Onsite Role Distribution'!$B$3:$G$7,3,FALSE)+VLOOKUP($A36,'Onsite Role Distribution'!$B$8:$G$12,3,FALSE)</f>
        <v>1</v>
      </c>
      <c r="AB36">
        <f>VLOOKUP($A36,'Onsite Role Distribution'!$B$3:$G$7,4,FALSE)+VLOOKUP($A36,'Onsite Role Distribution'!$B$8:$G$12,4,FALSE)</f>
        <v>0</v>
      </c>
      <c r="AC36">
        <f>VLOOKUP($A36,'Onsite Role Distribution'!$B$3:$G$7,4,FALSE)+VLOOKUP($A36,'Onsite Role Distribution'!$B$8:$G$12,4,FALSE)</f>
        <v>0</v>
      </c>
      <c r="AD36">
        <f>VLOOKUP($A36,'Onsite Role Distribution'!$B$3:$G$7,4,FALSE)+VLOOKUP($A36,'Onsite Role Distribution'!$B$8:$G$12,4,FALSE)</f>
        <v>0</v>
      </c>
      <c r="AE36">
        <f>VLOOKUP($A36,'Onsite Role Distribution'!$B$3:$G$7,4,FALSE)+VLOOKUP($A36,'Onsite Role Distribution'!$B$8:$G$12,4,FALSE)</f>
        <v>0</v>
      </c>
      <c r="AF36">
        <f>VLOOKUP($A36,'Onsite Role Distribution'!$B$3:$G$7,4,FALSE)+VLOOKUP($A36,'Onsite Role Distribution'!$B$8:$G$12,4,FALSE)</f>
        <v>0</v>
      </c>
      <c r="AG36">
        <f>VLOOKUP($A36,'Onsite Role Distribution'!$B$3:$G$7,4,FALSE)+VLOOKUP($A36,'Onsite Role Distribution'!$B$8:$G$12,4,FALSE)</f>
        <v>0</v>
      </c>
      <c r="AH36">
        <f>VLOOKUP($A36,'Onsite Role Distribution'!$B$3:$G$7,4,FALSE)+VLOOKUP($A36,'Onsite Role Distribution'!$B$8:$G$12,4,FALSE)</f>
        <v>0</v>
      </c>
      <c r="AI36">
        <f>VLOOKUP($A36,'Onsite Role Distribution'!$B$3:$G$7,4,FALSE)+VLOOKUP($A36,'Onsite Role Distribution'!$B$8:$G$12,4,FALSE)</f>
        <v>0</v>
      </c>
      <c r="AJ36">
        <f>VLOOKUP($A36,'Onsite Role Distribution'!$B$3:$G$7,4,FALSE)+VLOOKUP($A36,'Onsite Role Distribution'!$B$8:$G$12,4,FALSE)</f>
        <v>0</v>
      </c>
      <c r="AK36">
        <f>VLOOKUP($A36,'Onsite Role Distribution'!$B$3:$G$7,4,FALSE)+VLOOKUP($A36,'Onsite Role Distribution'!$B$8:$G$12,4,FALSE)</f>
        <v>0</v>
      </c>
      <c r="AL36">
        <f>VLOOKUP($A36,'Onsite Role Distribution'!$B$3:$G$7,4,FALSE)+VLOOKUP($A36,'Onsite Role Distribution'!$B$8:$G$12,4,FALSE)</f>
        <v>0</v>
      </c>
      <c r="AM36">
        <f>VLOOKUP($A36,'Onsite Role Distribution'!$B$3:$G$7,4,FALSE)+VLOOKUP($A36,'Onsite Role Distribution'!$B$8:$G$12,4,FALSE)</f>
        <v>0</v>
      </c>
      <c r="AN36">
        <f>VLOOKUP($A36,'Onsite Role Distribution'!$B$3:$G$7,5,FALSE)+VLOOKUP($A36,'Onsite Role Distribution'!$B$8:$G$12,5,FALSE)</f>
        <v>0</v>
      </c>
      <c r="AO36">
        <f>VLOOKUP($A36,'Onsite Role Distribution'!$B$3:$G$7,5,FALSE)+VLOOKUP($A36,'Onsite Role Distribution'!$B$8:$G$12,5,FALSE)</f>
        <v>0</v>
      </c>
      <c r="AP36">
        <f>VLOOKUP($A36,'Onsite Role Distribution'!$B$3:$G$7,5,FALSE)+VLOOKUP($A36,'Onsite Role Distribution'!$B$8:$G$12,5,FALSE)</f>
        <v>0</v>
      </c>
      <c r="AQ36">
        <f>VLOOKUP($A36,'Onsite Role Distribution'!$B$3:$G$7,5,FALSE)+VLOOKUP($A36,'Onsite Role Distribution'!$B$8:$G$12,5,FALSE)</f>
        <v>0</v>
      </c>
      <c r="AR36">
        <f>VLOOKUP($A36,'Onsite Role Distribution'!$B$3:$G$7,5,FALSE)+VLOOKUP($A36,'Onsite Role Distribution'!$B$8:$G$12,5,FALSE)</f>
        <v>0</v>
      </c>
      <c r="AS36">
        <f>VLOOKUP($A36,'Onsite Role Distribution'!$B$3:$G$7,5,FALSE)+VLOOKUP($A36,'Onsite Role Distribution'!$B$8:$G$12,5,FALSE)</f>
        <v>0</v>
      </c>
      <c r="AT36">
        <f>VLOOKUP($A36,'Onsite Role Distribution'!$B$3:$G$7,5,FALSE)+VLOOKUP($A36,'Onsite Role Distribution'!$B$8:$G$12,5,FALSE)</f>
        <v>0</v>
      </c>
      <c r="AU36">
        <f>VLOOKUP($A36,'Onsite Role Distribution'!$B$3:$G$7,5,FALSE)+VLOOKUP($A36,'Onsite Role Distribution'!$B$8:$G$12,5,FALSE)</f>
        <v>0</v>
      </c>
      <c r="AV36">
        <f>VLOOKUP($A36,'Onsite Role Distribution'!$B$3:$G$7,5,FALSE)+VLOOKUP($A36,'Onsite Role Distribution'!$B$8:$G$12,5,FALSE)</f>
        <v>0</v>
      </c>
      <c r="AW36">
        <f>VLOOKUP($A36,'Onsite Role Distribution'!$B$3:$G$7,5,FALSE)+VLOOKUP($A36,'Onsite Role Distribution'!$B$8:$G$12,5,FALSE)</f>
        <v>0</v>
      </c>
      <c r="AX36">
        <f>VLOOKUP($A36,'Onsite Role Distribution'!$B$3:$G$7,5,FALSE)+VLOOKUP($A36,'Onsite Role Distribution'!$B$8:$G$12,5,FALSE)</f>
        <v>0</v>
      </c>
      <c r="AY36">
        <f>VLOOKUP($A36,'Onsite Role Distribution'!$B$3:$G$7,5,FALSE)+VLOOKUP($A36,'Onsite Role Distribution'!$B$8:$G$12,5,FALSE)</f>
        <v>0</v>
      </c>
      <c r="AZ36" s="17">
        <v>0</v>
      </c>
      <c r="BA36">
        <f>VLOOKUP($A36,'Onsite Role Distribution'!$B$3:$G$7,6,FALSE)+VLOOKUP($A36,'Onsite Role Distribution'!$B$8:$G$12,6,FALSE)</f>
        <v>0</v>
      </c>
      <c r="BB36">
        <f>VLOOKUP($A36,'Onsite Role Distribution'!$B$3:$G$7,6,FALSE)+VLOOKUP($A36,'Onsite Role Distribution'!$B$8:$G$12,6,FALSE)</f>
        <v>0</v>
      </c>
      <c r="BC36">
        <f>VLOOKUP($A36,'Onsite Role Distribution'!$B$3:$G$7,6,FALSE)+VLOOKUP($A36,'Onsite Role Distribution'!$B$8:$G$12,6,FALSE)</f>
        <v>0</v>
      </c>
      <c r="BD36">
        <f>VLOOKUP($A36,'Onsite Role Distribution'!$B$3:$G$7,6,FALSE)+VLOOKUP($A36,'Onsite Role Distribution'!$B$8:$G$12,6,FALSE)</f>
        <v>0</v>
      </c>
      <c r="BE36">
        <f>VLOOKUP($A36,'Onsite Role Distribution'!$B$3:$G$7,6,FALSE)+VLOOKUP($A36,'Onsite Role Distribution'!$B$8:$G$12,6,FALSE)</f>
        <v>0</v>
      </c>
      <c r="BF36">
        <f>VLOOKUP($A36,'Onsite Role Distribution'!$B$3:$G$7,6,FALSE)+VLOOKUP($A36,'Onsite Role Distribution'!$B$8:$G$12,6,FALSE)</f>
        <v>0</v>
      </c>
      <c r="BG36">
        <f>VLOOKUP($A36,'Onsite Role Distribution'!$B$3:$G$7,6,FALSE)+VLOOKUP($A36,'Onsite Role Distribution'!$B$8:$G$12,6,FALSE)</f>
        <v>0</v>
      </c>
      <c r="BH36">
        <f>VLOOKUP($A36,'Onsite Role Distribution'!$B$3:$G$7,6,FALSE)+VLOOKUP($A36,'Onsite Role Distribution'!$B$8:$G$12,6,FALSE)</f>
        <v>0</v>
      </c>
      <c r="BI36">
        <f>VLOOKUP($A36,'Onsite Role Distribution'!$B$3:$G$7,6,FALSE)+VLOOKUP($A36,'Onsite Role Distribution'!$B$8:$G$12,6,FALSE)</f>
        <v>0</v>
      </c>
      <c r="BJ36">
        <f>VLOOKUP($A36,'Onsite Role Distribution'!$B$3:$G$7,6,FALSE)+VLOOKUP($A36,'Onsite Role Distribution'!$B$8:$G$12,6,FALSE)</f>
        <v>0</v>
      </c>
      <c r="BK36">
        <f>VLOOKUP($A36,'Onsite Role Distribution'!$B$3:$G$7,6,FALSE)+VLOOKUP($A36,'Onsite Role Distribution'!$B$8:$G$12,6,FALSE)</f>
        <v>0</v>
      </c>
    </row>
    <row r="37" spans="1:63" x14ac:dyDescent="0.35">
      <c r="A37" t="s">
        <v>13</v>
      </c>
      <c r="B37" t="s">
        <v>22</v>
      </c>
      <c r="C37" t="str">
        <f t="shared" si="0"/>
        <v>BSAOnsite-Landed</v>
      </c>
      <c r="D37">
        <f>VLOOKUP($A37,'Onsite Role Distribution'!$B$13:$G$17,2,FALSE)</f>
        <v>2</v>
      </c>
      <c r="E37">
        <f>VLOOKUP($A37,'Onsite Role Distribution'!$B$13:$G$17,2,FALSE)</f>
        <v>2</v>
      </c>
      <c r="F37">
        <f>VLOOKUP($A37,'Onsite Role Distribution'!$B$13:$G$17,2,FALSE)</f>
        <v>2</v>
      </c>
      <c r="G37">
        <f>VLOOKUP($A37,'Onsite Role Distribution'!$B$13:$G$17,2,FALSE)</f>
        <v>2</v>
      </c>
      <c r="H37">
        <f>VLOOKUP($A37,'Onsite Role Distribution'!$B$13:$G$17,2,FALSE)</f>
        <v>2</v>
      </c>
      <c r="I37">
        <f>VLOOKUP($A37,'Onsite Role Distribution'!$B$13:$G$17,2,FALSE)</f>
        <v>2</v>
      </c>
      <c r="J37">
        <f>VLOOKUP($A37,'Onsite Role Distribution'!$B$13:$G$17,2,FALSE)</f>
        <v>2</v>
      </c>
      <c r="K37">
        <f>VLOOKUP($A37,'Onsite Role Distribution'!$B$13:$G$17,2,FALSE)</f>
        <v>2</v>
      </c>
      <c r="L37">
        <f>VLOOKUP($A37,'Onsite Role Distribution'!$B$13:$G$17,2,FALSE)</f>
        <v>2</v>
      </c>
      <c r="M37">
        <f>VLOOKUP($A37,'Onsite Role Distribution'!$B$13:$G$17,2,FALSE)</f>
        <v>2</v>
      </c>
      <c r="N37">
        <f>VLOOKUP($A37,'Onsite Role Distribution'!$B$13:$G$17,2,FALSE)</f>
        <v>2</v>
      </c>
      <c r="O37">
        <f>VLOOKUP($A37,'Onsite Role Distribution'!$B$13:$G$17,2,FALSE)</f>
        <v>2</v>
      </c>
      <c r="P37">
        <f>VLOOKUP($A37,'Onsite Role Distribution'!$B$13:$G$17,3,FALSE)</f>
        <v>0</v>
      </c>
      <c r="Q37">
        <f>VLOOKUP($A37,'Onsite Role Distribution'!$B$13:$G$17,3,FALSE)</f>
        <v>0</v>
      </c>
      <c r="R37">
        <f>VLOOKUP($A37,'Onsite Role Distribution'!$B$13:$G$17,3,FALSE)</f>
        <v>0</v>
      </c>
      <c r="S37">
        <f>VLOOKUP($A37,'Onsite Role Distribution'!$B$13:$G$17,3,FALSE)</f>
        <v>0</v>
      </c>
      <c r="T37">
        <f>VLOOKUP($A37,'Onsite Role Distribution'!$B$13:$G$17,3,FALSE)</f>
        <v>0</v>
      </c>
      <c r="U37">
        <f>VLOOKUP($A37,'Onsite Role Distribution'!$B$13:$G$17,3,FALSE)</f>
        <v>0</v>
      </c>
      <c r="V37">
        <f>VLOOKUP($A37,'Onsite Role Distribution'!$B$13:$G$17,3,FALSE)</f>
        <v>0</v>
      </c>
      <c r="W37">
        <f>VLOOKUP($A37,'Onsite Role Distribution'!$B$13:$G$17,3,FALSE)</f>
        <v>0</v>
      </c>
      <c r="X37">
        <f>VLOOKUP($A37,'Onsite Role Distribution'!$B$13:$G$17,3,FALSE)</f>
        <v>0</v>
      </c>
      <c r="Y37">
        <f>VLOOKUP($A37,'Onsite Role Distribution'!$B$13:$G$17,3,FALSE)</f>
        <v>0</v>
      </c>
      <c r="Z37">
        <f>VLOOKUP($A37,'Onsite Role Distribution'!$B$13:$G$17,3,FALSE)</f>
        <v>0</v>
      </c>
      <c r="AA37">
        <f>VLOOKUP($A37,'Onsite Role Distribution'!$B$13:$G$17,3,FALSE)</f>
        <v>0</v>
      </c>
      <c r="AB37">
        <f>VLOOKUP($A37,'Onsite Role Distribution'!$B$13:$G$17,4,FALSE)</f>
        <v>0</v>
      </c>
      <c r="AC37">
        <f>VLOOKUP($A37,'Onsite Role Distribution'!$B$13:$G$17,4,FALSE)</f>
        <v>0</v>
      </c>
      <c r="AD37">
        <f>VLOOKUP($A37,'Onsite Role Distribution'!$B$13:$G$17,4,FALSE)</f>
        <v>0</v>
      </c>
      <c r="AE37">
        <f>VLOOKUP($A37,'Onsite Role Distribution'!$B$13:$G$17,4,FALSE)</f>
        <v>0</v>
      </c>
      <c r="AF37">
        <f>VLOOKUP($A37,'Onsite Role Distribution'!$B$13:$G$17,4,FALSE)</f>
        <v>0</v>
      </c>
      <c r="AG37">
        <f>VLOOKUP($A37,'Onsite Role Distribution'!$B$13:$G$17,4,FALSE)</f>
        <v>0</v>
      </c>
      <c r="AH37">
        <f>VLOOKUP($A37,'Onsite Role Distribution'!$B$13:$G$17,4,FALSE)</f>
        <v>0</v>
      </c>
      <c r="AI37">
        <f>VLOOKUP($A37,'Onsite Role Distribution'!$B$13:$G$17,4,FALSE)</f>
        <v>0</v>
      </c>
      <c r="AJ37">
        <f>VLOOKUP($A37,'Onsite Role Distribution'!$B$13:$G$17,4,FALSE)</f>
        <v>0</v>
      </c>
      <c r="AK37">
        <f>VLOOKUP($A37,'Onsite Role Distribution'!$B$13:$G$17,4,FALSE)</f>
        <v>0</v>
      </c>
      <c r="AL37">
        <f>VLOOKUP($A37,'Onsite Role Distribution'!$B$13:$G$17,4,FALSE)</f>
        <v>0</v>
      </c>
      <c r="AM37">
        <f>VLOOKUP($A37,'Onsite Role Distribution'!$B$13:$G$17,4,FALSE)</f>
        <v>0</v>
      </c>
      <c r="AN37">
        <f>VLOOKUP($A37,'Onsite Role Distribution'!$B$13:$G$17,5,FALSE)</f>
        <v>0</v>
      </c>
      <c r="AO37">
        <f>VLOOKUP($A37,'Onsite Role Distribution'!$B$13:$G$17,5,FALSE)</f>
        <v>0</v>
      </c>
      <c r="AP37">
        <f>VLOOKUP($A37,'Onsite Role Distribution'!$B$13:$G$17,5,FALSE)</f>
        <v>0</v>
      </c>
      <c r="AQ37">
        <f>VLOOKUP($A37,'Onsite Role Distribution'!$B$13:$G$17,5,FALSE)</f>
        <v>0</v>
      </c>
      <c r="AR37">
        <f>VLOOKUP($A37,'Onsite Role Distribution'!$B$13:$G$17,5,FALSE)</f>
        <v>0</v>
      </c>
      <c r="AS37">
        <f>VLOOKUP($A37,'Onsite Role Distribution'!$B$13:$G$17,5,FALSE)</f>
        <v>0</v>
      </c>
      <c r="AT37">
        <f>VLOOKUP($A37,'Onsite Role Distribution'!$B$13:$G$17,5,FALSE)</f>
        <v>0</v>
      </c>
      <c r="AU37">
        <f>VLOOKUP($A37,'Onsite Role Distribution'!$B$13:$G$17,5,FALSE)</f>
        <v>0</v>
      </c>
      <c r="AV37">
        <f>VLOOKUP($A37,'Onsite Role Distribution'!$B$13:$G$17,5,FALSE)</f>
        <v>0</v>
      </c>
      <c r="AW37">
        <f>VLOOKUP($A37,'Onsite Role Distribution'!$B$13:$G$17,5,FALSE)</f>
        <v>0</v>
      </c>
      <c r="AX37">
        <f>VLOOKUP($A37,'Onsite Role Distribution'!$B$13:$G$17,5,FALSE)</f>
        <v>0</v>
      </c>
      <c r="AY37">
        <f>VLOOKUP($A37,'Onsite Role Distribution'!$B$13:$G$17,5,FALSE)</f>
        <v>0</v>
      </c>
      <c r="AZ37" s="17">
        <v>0</v>
      </c>
      <c r="BA37">
        <f>VLOOKUP($A37,'Onsite Role Distribution'!$B$13:$G$17,6,FALSE)</f>
        <v>0</v>
      </c>
      <c r="BB37">
        <f>VLOOKUP($A37,'Onsite Role Distribution'!$B$13:$G$17,6,FALSE)</f>
        <v>0</v>
      </c>
      <c r="BC37">
        <f>VLOOKUP($A37,'Onsite Role Distribution'!$B$13:$G$17,6,FALSE)</f>
        <v>0</v>
      </c>
      <c r="BD37">
        <f>VLOOKUP($A37,'Onsite Role Distribution'!$B$13:$G$17,6,FALSE)</f>
        <v>0</v>
      </c>
      <c r="BE37">
        <f>VLOOKUP($A37,'Onsite Role Distribution'!$B$13:$G$17,6,FALSE)</f>
        <v>0</v>
      </c>
      <c r="BF37">
        <f>VLOOKUP($A37,'Onsite Role Distribution'!$B$13:$G$17,6,FALSE)</f>
        <v>0</v>
      </c>
      <c r="BG37">
        <f>VLOOKUP($A37,'Onsite Role Distribution'!$B$13:$G$17,6,FALSE)</f>
        <v>0</v>
      </c>
      <c r="BH37">
        <f>VLOOKUP($A37,'Onsite Role Distribution'!$B$13:$G$17,6,FALSE)</f>
        <v>0</v>
      </c>
      <c r="BI37">
        <f>VLOOKUP($A37,'Onsite Role Distribution'!$B$13:$G$17,6,FALSE)</f>
        <v>0</v>
      </c>
      <c r="BJ37">
        <f>VLOOKUP($A37,'Onsite Role Distribution'!$B$13:$G$17,6,FALSE)</f>
        <v>0</v>
      </c>
      <c r="BK37">
        <f>VLOOKUP($A37,'Onsite Role Distribution'!$B$13:$G$17,6,FALSE)</f>
        <v>0</v>
      </c>
    </row>
    <row r="38" spans="1:63" x14ac:dyDescent="0.35">
      <c r="A38" t="s">
        <v>20</v>
      </c>
      <c r="B38" t="s">
        <v>22</v>
      </c>
      <c r="C38" t="str">
        <f t="shared" si="0"/>
        <v>DevOnsite-Landed</v>
      </c>
      <c r="D38">
        <f>VLOOKUP($A38,'Onsite Role Distribution'!$B$13:$G$17,2,FALSE)</f>
        <v>3</v>
      </c>
      <c r="E38">
        <f>VLOOKUP($A38,'Onsite Role Distribution'!$B$13:$G$17,2,FALSE)</f>
        <v>3</v>
      </c>
      <c r="F38">
        <f>VLOOKUP($A38,'Onsite Role Distribution'!$B$13:$G$17,2,FALSE)</f>
        <v>3</v>
      </c>
      <c r="G38">
        <f>VLOOKUP($A38,'Onsite Role Distribution'!$B$13:$G$17,2,FALSE)</f>
        <v>3</v>
      </c>
      <c r="H38">
        <f>VLOOKUP($A38,'Onsite Role Distribution'!$B$13:$G$17,2,FALSE)</f>
        <v>3</v>
      </c>
      <c r="I38">
        <f>VLOOKUP($A38,'Onsite Role Distribution'!$B$13:$G$17,2,FALSE)</f>
        <v>3</v>
      </c>
      <c r="J38">
        <f>VLOOKUP($A38,'Onsite Role Distribution'!$B$13:$G$17,2,FALSE)</f>
        <v>3</v>
      </c>
      <c r="K38">
        <f>VLOOKUP($A38,'Onsite Role Distribution'!$B$13:$G$17,2,FALSE)</f>
        <v>3</v>
      </c>
      <c r="L38">
        <f>VLOOKUP($A38,'Onsite Role Distribution'!$B$13:$G$17,2,FALSE)</f>
        <v>3</v>
      </c>
      <c r="M38">
        <f>VLOOKUP($A38,'Onsite Role Distribution'!$B$13:$G$17,2,FALSE)</f>
        <v>3</v>
      </c>
      <c r="N38">
        <f>VLOOKUP($A38,'Onsite Role Distribution'!$B$13:$G$17,2,FALSE)</f>
        <v>3</v>
      </c>
      <c r="O38">
        <f>VLOOKUP($A38,'Onsite Role Distribution'!$B$13:$G$17,2,FALSE)</f>
        <v>3</v>
      </c>
      <c r="P38">
        <f>VLOOKUP($A38,'Onsite Role Distribution'!$B$13:$G$17,3,FALSE)</f>
        <v>1</v>
      </c>
      <c r="Q38">
        <f>VLOOKUP($A38,'Onsite Role Distribution'!$B$13:$G$17,3,FALSE)</f>
        <v>1</v>
      </c>
      <c r="R38">
        <f>VLOOKUP($A38,'Onsite Role Distribution'!$B$13:$G$17,3,FALSE)</f>
        <v>1</v>
      </c>
      <c r="S38">
        <f>VLOOKUP($A38,'Onsite Role Distribution'!$B$13:$G$17,3,FALSE)</f>
        <v>1</v>
      </c>
      <c r="T38">
        <f>VLOOKUP($A38,'Onsite Role Distribution'!$B$13:$G$17,3,FALSE)</f>
        <v>1</v>
      </c>
      <c r="U38">
        <f>VLOOKUP($A38,'Onsite Role Distribution'!$B$13:$G$17,3,FALSE)</f>
        <v>1</v>
      </c>
      <c r="V38">
        <f>VLOOKUP($A38,'Onsite Role Distribution'!$B$13:$G$17,3,FALSE)</f>
        <v>1</v>
      </c>
      <c r="W38">
        <f>VLOOKUP($A38,'Onsite Role Distribution'!$B$13:$G$17,3,FALSE)</f>
        <v>1</v>
      </c>
      <c r="X38">
        <f>VLOOKUP($A38,'Onsite Role Distribution'!$B$13:$G$17,3,FALSE)</f>
        <v>1</v>
      </c>
      <c r="Y38">
        <f>VLOOKUP($A38,'Onsite Role Distribution'!$B$13:$G$17,3,FALSE)</f>
        <v>1</v>
      </c>
      <c r="Z38">
        <f>VLOOKUP($A38,'Onsite Role Distribution'!$B$13:$G$17,3,FALSE)</f>
        <v>1</v>
      </c>
      <c r="AA38">
        <f>VLOOKUP($A38,'Onsite Role Distribution'!$B$13:$G$17,3,FALSE)</f>
        <v>1</v>
      </c>
      <c r="AB38">
        <f>VLOOKUP($A38,'Onsite Role Distribution'!$B$13:$G$17,4,FALSE)</f>
        <v>1</v>
      </c>
      <c r="AC38">
        <f>VLOOKUP($A38,'Onsite Role Distribution'!$B$13:$G$17,4,FALSE)</f>
        <v>1</v>
      </c>
      <c r="AD38">
        <f>VLOOKUP($A38,'Onsite Role Distribution'!$B$13:$G$17,4,FALSE)</f>
        <v>1</v>
      </c>
      <c r="AE38">
        <f>VLOOKUP($A38,'Onsite Role Distribution'!$B$13:$G$17,4,FALSE)</f>
        <v>1</v>
      </c>
      <c r="AF38">
        <f>VLOOKUP($A38,'Onsite Role Distribution'!$B$13:$G$17,4,FALSE)</f>
        <v>1</v>
      </c>
      <c r="AG38">
        <f>VLOOKUP($A38,'Onsite Role Distribution'!$B$13:$G$17,4,FALSE)</f>
        <v>1</v>
      </c>
      <c r="AH38">
        <f>VLOOKUP($A38,'Onsite Role Distribution'!$B$13:$G$17,4,FALSE)</f>
        <v>1</v>
      </c>
      <c r="AI38">
        <f>VLOOKUP($A38,'Onsite Role Distribution'!$B$13:$G$17,4,FALSE)</f>
        <v>1</v>
      </c>
      <c r="AJ38">
        <f>VLOOKUP($A38,'Onsite Role Distribution'!$B$13:$G$17,4,FALSE)</f>
        <v>1</v>
      </c>
      <c r="AK38">
        <f>VLOOKUP($A38,'Onsite Role Distribution'!$B$13:$G$17,4,FALSE)</f>
        <v>1</v>
      </c>
      <c r="AL38">
        <f>VLOOKUP($A38,'Onsite Role Distribution'!$B$13:$G$17,4,FALSE)</f>
        <v>1</v>
      </c>
      <c r="AM38">
        <f>VLOOKUP($A38,'Onsite Role Distribution'!$B$13:$G$17,4,FALSE)</f>
        <v>1</v>
      </c>
      <c r="AN38">
        <f>VLOOKUP($A38,'Onsite Role Distribution'!$B$13:$G$17,5,FALSE)</f>
        <v>1</v>
      </c>
      <c r="AO38">
        <f>VLOOKUP($A38,'Onsite Role Distribution'!$B$13:$G$17,5,FALSE)</f>
        <v>1</v>
      </c>
      <c r="AP38">
        <f>VLOOKUP($A38,'Onsite Role Distribution'!$B$13:$G$17,5,FALSE)</f>
        <v>1</v>
      </c>
      <c r="AQ38">
        <f>VLOOKUP($A38,'Onsite Role Distribution'!$B$13:$G$17,5,FALSE)</f>
        <v>1</v>
      </c>
      <c r="AR38">
        <f>VLOOKUP($A38,'Onsite Role Distribution'!$B$13:$G$17,5,FALSE)</f>
        <v>1</v>
      </c>
      <c r="AS38">
        <f>VLOOKUP($A38,'Onsite Role Distribution'!$B$13:$G$17,5,FALSE)</f>
        <v>1</v>
      </c>
      <c r="AT38">
        <f>VLOOKUP($A38,'Onsite Role Distribution'!$B$13:$G$17,5,FALSE)</f>
        <v>1</v>
      </c>
      <c r="AU38">
        <f>VLOOKUP($A38,'Onsite Role Distribution'!$B$13:$G$17,5,FALSE)</f>
        <v>1</v>
      </c>
      <c r="AV38">
        <f>VLOOKUP($A38,'Onsite Role Distribution'!$B$13:$G$17,5,FALSE)</f>
        <v>1</v>
      </c>
      <c r="AW38">
        <f>VLOOKUP($A38,'Onsite Role Distribution'!$B$13:$G$17,5,FALSE)</f>
        <v>1</v>
      </c>
      <c r="AX38">
        <f>VLOOKUP($A38,'Onsite Role Distribution'!$B$13:$G$17,5,FALSE)</f>
        <v>1</v>
      </c>
      <c r="AY38">
        <f>VLOOKUP($A38,'Onsite Role Distribution'!$B$13:$G$17,5,FALSE)</f>
        <v>1</v>
      </c>
      <c r="AZ38" s="17">
        <v>1</v>
      </c>
      <c r="BA38">
        <f>VLOOKUP($A38,'Onsite Role Distribution'!$B$13:$G$17,6,FALSE)</f>
        <v>1</v>
      </c>
      <c r="BB38">
        <f>VLOOKUP($A38,'Onsite Role Distribution'!$B$13:$G$17,6,FALSE)</f>
        <v>1</v>
      </c>
      <c r="BC38">
        <f>VLOOKUP($A38,'Onsite Role Distribution'!$B$13:$G$17,6,FALSE)</f>
        <v>1</v>
      </c>
      <c r="BD38">
        <f>VLOOKUP($A38,'Onsite Role Distribution'!$B$13:$G$17,6,FALSE)</f>
        <v>1</v>
      </c>
      <c r="BE38">
        <f>VLOOKUP($A38,'Onsite Role Distribution'!$B$13:$G$17,6,FALSE)</f>
        <v>1</v>
      </c>
      <c r="BF38">
        <f>VLOOKUP($A38,'Onsite Role Distribution'!$B$13:$G$17,6,FALSE)</f>
        <v>1</v>
      </c>
      <c r="BG38">
        <f>VLOOKUP($A38,'Onsite Role Distribution'!$B$13:$G$17,6,FALSE)</f>
        <v>1</v>
      </c>
      <c r="BH38">
        <f>VLOOKUP($A38,'Onsite Role Distribution'!$B$13:$G$17,6,FALSE)</f>
        <v>1</v>
      </c>
      <c r="BI38">
        <f>VLOOKUP($A38,'Onsite Role Distribution'!$B$13:$G$17,6,FALSE)</f>
        <v>1</v>
      </c>
      <c r="BJ38">
        <f>VLOOKUP($A38,'Onsite Role Distribution'!$B$13:$G$17,6,FALSE)</f>
        <v>1</v>
      </c>
      <c r="BK38">
        <f>VLOOKUP($A38,'Onsite Role Distribution'!$B$13:$G$17,6,FALSE)</f>
        <v>1</v>
      </c>
    </row>
    <row r="39" spans="1:63" x14ac:dyDescent="0.35">
      <c r="A39" t="s">
        <v>15</v>
      </c>
      <c r="B39" t="s">
        <v>22</v>
      </c>
      <c r="C39" t="str">
        <f t="shared" si="0"/>
        <v>TesterOnsite-Landed</v>
      </c>
      <c r="D39">
        <f>VLOOKUP($A39,'Onsite Role Distribution'!$B$13:$G$17,2,FALSE)</f>
        <v>2</v>
      </c>
      <c r="E39">
        <f>VLOOKUP($A39,'Onsite Role Distribution'!$B$13:$G$17,2,FALSE)</f>
        <v>2</v>
      </c>
      <c r="F39">
        <f>VLOOKUP($A39,'Onsite Role Distribution'!$B$13:$G$17,2,FALSE)</f>
        <v>2</v>
      </c>
      <c r="G39">
        <f>VLOOKUP($A39,'Onsite Role Distribution'!$B$13:$G$17,2,FALSE)</f>
        <v>2</v>
      </c>
      <c r="H39">
        <f>VLOOKUP($A39,'Onsite Role Distribution'!$B$13:$G$17,2,FALSE)</f>
        <v>2</v>
      </c>
      <c r="I39">
        <f>VLOOKUP($A39,'Onsite Role Distribution'!$B$13:$G$17,2,FALSE)</f>
        <v>2</v>
      </c>
      <c r="J39">
        <f>VLOOKUP($A39,'Onsite Role Distribution'!$B$13:$G$17,2,FALSE)</f>
        <v>2</v>
      </c>
      <c r="K39">
        <f>VLOOKUP($A39,'Onsite Role Distribution'!$B$13:$G$17,2,FALSE)</f>
        <v>2</v>
      </c>
      <c r="L39">
        <f>VLOOKUP($A39,'Onsite Role Distribution'!$B$13:$G$17,2,FALSE)</f>
        <v>2</v>
      </c>
      <c r="M39">
        <f>VLOOKUP($A39,'Onsite Role Distribution'!$B$13:$G$17,2,FALSE)</f>
        <v>2</v>
      </c>
      <c r="N39">
        <f>VLOOKUP($A39,'Onsite Role Distribution'!$B$13:$G$17,2,FALSE)</f>
        <v>2</v>
      </c>
      <c r="O39">
        <f>VLOOKUP($A39,'Onsite Role Distribution'!$B$13:$G$17,2,FALSE)</f>
        <v>2</v>
      </c>
      <c r="P39">
        <f>VLOOKUP($A39,'Onsite Role Distribution'!$B$13:$G$17,3,FALSE)</f>
        <v>1</v>
      </c>
      <c r="Q39">
        <f>VLOOKUP($A39,'Onsite Role Distribution'!$B$13:$G$17,3,FALSE)</f>
        <v>1</v>
      </c>
      <c r="R39">
        <f>VLOOKUP($A39,'Onsite Role Distribution'!$B$13:$G$17,3,FALSE)</f>
        <v>1</v>
      </c>
      <c r="S39">
        <f>VLOOKUP($A39,'Onsite Role Distribution'!$B$13:$G$17,3,FALSE)</f>
        <v>1</v>
      </c>
      <c r="T39">
        <f>VLOOKUP($A39,'Onsite Role Distribution'!$B$13:$G$17,3,FALSE)</f>
        <v>1</v>
      </c>
      <c r="U39">
        <f>VLOOKUP($A39,'Onsite Role Distribution'!$B$13:$G$17,3,FALSE)</f>
        <v>1</v>
      </c>
      <c r="V39">
        <f>VLOOKUP($A39,'Onsite Role Distribution'!$B$13:$G$17,3,FALSE)</f>
        <v>1</v>
      </c>
      <c r="W39">
        <f>VLOOKUP($A39,'Onsite Role Distribution'!$B$13:$G$17,3,FALSE)</f>
        <v>1</v>
      </c>
      <c r="X39">
        <f>VLOOKUP($A39,'Onsite Role Distribution'!$B$13:$G$17,3,FALSE)</f>
        <v>1</v>
      </c>
      <c r="Y39">
        <f>VLOOKUP($A39,'Onsite Role Distribution'!$B$13:$G$17,3,FALSE)</f>
        <v>1</v>
      </c>
      <c r="Z39">
        <f>VLOOKUP($A39,'Onsite Role Distribution'!$B$13:$G$17,3,FALSE)</f>
        <v>1</v>
      </c>
      <c r="AA39">
        <f>VLOOKUP($A39,'Onsite Role Distribution'!$B$13:$G$17,3,FALSE)</f>
        <v>1</v>
      </c>
      <c r="AB39">
        <f>VLOOKUP($A39,'Onsite Role Distribution'!$B$13:$G$17,4,FALSE)</f>
        <v>0</v>
      </c>
      <c r="AC39">
        <f>VLOOKUP($A39,'Onsite Role Distribution'!$B$13:$G$17,4,FALSE)</f>
        <v>0</v>
      </c>
      <c r="AD39">
        <f>VLOOKUP($A39,'Onsite Role Distribution'!$B$13:$G$17,4,FALSE)</f>
        <v>0</v>
      </c>
      <c r="AE39">
        <f>VLOOKUP($A39,'Onsite Role Distribution'!$B$13:$G$17,4,FALSE)</f>
        <v>0</v>
      </c>
      <c r="AF39">
        <f>VLOOKUP($A39,'Onsite Role Distribution'!$B$13:$G$17,4,FALSE)</f>
        <v>0</v>
      </c>
      <c r="AG39">
        <f>VLOOKUP($A39,'Onsite Role Distribution'!$B$13:$G$17,4,FALSE)</f>
        <v>0</v>
      </c>
      <c r="AH39">
        <f>VLOOKUP($A39,'Onsite Role Distribution'!$B$13:$G$17,4,FALSE)</f>
        <v>0</v>
      </c>
      <c r="AI39">
        <f>VLOOKUP($A39,'Onsite Role Distribution'!$B$13:$G$17,4,FALSE)</f>
        <v>0</v>
      </c>
      <c r="AJ39">
        <f>VLOOKUP($A39,'Onsite Role Distribution'!$B$13:$G$17,4,FALSE)</f>
        <v>0</v>
      </c>
      <c r="AK39">
        <f>VLOOKUP($A39,'Onsite Role Distribution'!$B$13:$G$17,4,FALSE)</f>
        <v>0</v>
      </c>
      <c r="AL39">
        <f>VLOOKUP($A39,'Onsite Role Distribution'!$B$13:$G$17,4,FALSE)</f>
        <v>0</v>
      </c>
      <c r="AM39">
        <f>VLOOKUP($A39,'Onsite Role Distribution'!$B$13:$G$17,4,FALSE)</f>
        <v>0</v>
      </c>
      <c r="AN39">
        <f>VLOOKUP($A39,'Onsite Role Distribution'!$B$13:$G$17,5,FALSE)</f>
        <v>0</v>
      </c>
      <c r="AO39">
        <f>VLOOKUP($A39,'Onsite Role Distribution'!$B$13:$G$17,5,FALSE)</f>
        <v>0</v>
      </c>
      <c r="AP39">
        <f>VLOOKUP($A39,'Onsite Role Distribution'!$B$13:$G$17,5,FALSE)</f>
        <v>0</v>
      </c>
      <c r="AQ39">
        <f>VLOOKUP($A39,'Onsite Role Distribution'!$B$13:$G$17,5,FALSE)</f>
        <v>0</v>
      </c>
      <c r="AR39">
        <f>VLOOKUP($A39,'Onsite Role Distribution'!$B$13:$G$17,5,FALSE)</f>
        <v>0</v>
      </c>
      <c r="AS39">
        <f>VLOOKUP($A39,'Onsite Role Distribution'!$B$13:$G$17,5,FALSE)</f>
        <v>0</v>
      </c>
      <c r="AT39">
        <f>VLOOKUP($A39,'Onsite Role Distribution'!$B$13:$G$17,5,FALSE)</f>
        <v>0</v>
      </c>
      <c r="AU39">
        <f>VLOOKUP($A39,'Onsite Role Distribution'!$B$13:$G$17,5,FALSE)</f>
        <v>0</v>
      </c>
      <c r="AV39">
        <f>VLOOKUP($A39,'Onsite Role Distribution'!$B$13:$G$17,5,FALSE)</f>
        <v>0</v>
      </c>
      <c r="AW39">
        <f>VLOOKUP($A39,'Onsite Role Distribution'!$B$13:$G$17,5,FALSE)</f>
        <v>0</v>
      </c>
      <c r="AX39">
        <f>VLOOKUP($A39,'Onsite Role Distribution'!$B$13:$G$17,5,FALSE)</f>
        <v>0</v>
      </c>
      <c r="AY39">
        <f>VLOOKUP($A39,'Onsite Role Distribution'!$B$13:$G$17,5,FALSE)</f>
        <v>0</v>
      </c>
      <c r="AZ39" s="17">
        <v>0</v>
      </c>
      <c r="BA39">
        <f>VLOOKUP($A39,'Onsite Role Distribution'!$B$13:$G$17,6,FALSE)</f>
        <v>0</v>
      </c>
      <c r="BB39">
        <f>VLOOKUP($A39,'Onsite Role Distribution'!$B$13:$G$17,6,FALSE)</f>
        <v>0</v>
      </c>
      <c r="BC39">
        <f>VLOOKUP($A39,'Onsite Role Distribution'!$B$13:$G$17,6,FALSE)</f>
        <v>0</v>
      </c>
      <c r="BD39">
        <f>VLOOKUP($A39,'Onsite Role Distribution'!$B$13:$G$17,6,FALSE)</f>
        <v>0</v>
      </c>
      <c r="BE39">
        <f>VLOOKUP($A39,'Onsite Role Distribution'!$B$13:$G$17,6,FALSE)</f>
        <v>0</v>
      </c>
      <c r="BF39">
        <f>VLOOKUP($A39,'Onsite Role Distribution'!$B$13:$G$17,6,FALSE)</f>
        <v>0</v>
      </c>
      <c r="BG39">
        <f>VLOOKUP($A39,'Onsite Role Distribution'!$B$13:$G$17,6,FALSE)</f>
        <v>0</v>
      </c>
      <c r="BH39">
        <f>VLOOKUP($A39,'Onsite Role Distribution'!$B$13:$G$17,6,FALSE)</f>
        <v>0</v>
      </c>
      <c r="BI39">
        <f>VLOOKUP($A39,'Onsite Role Distribution'!$B$13:$G$17,6,FALSE)</f>
        <v>0</v>
      </c>
      <c r="BJ39">
        <f>VLOOKUP($A39,'Onsite Role Distribution'!$B$13:$G$17,6,FALSE)</f>
        <v>0</v>
      </c>
      <c r="BK39">
        <f>VLOOKUP($A39,'Onsite Role Distribution'!$B$13:$G$17,6,FALSE)</f>
        <v>0</v>
      </c>
    </row>
    <row r="40" spans="1:63" x14ac:dyDescent="0.35">
      <c r="A40" t="s">
        <v>17</v>
      </c>
      <c r="B40" t="s">
        <v>22</v>
      </c>
      <c r="C40" t="str">
        <f t="shared" si="0"/>
        <v>PMOnsite-Landed</v>
      </c>
      <c r="D40">
        <f>VLOOKUP($A40,'Onsite Role Distribution'!$B$13:$G$17,2,FALSE)</f>
        <v>0</v>
      </c>
      <c r="E40">
        <f>VLOOKUP($A40,'Onsite Role Distribution'!$B$13:$G$17,2,FALSE)</f>
        <v>0</v>
      </c>
      <c r="F40">
        <f>VLOOKUP($A40,'Onsite Role Distribution'!$B$13:$G$17,2,FALSE)</f>
        <v>0</v>
      </c>
      <c r="G40">
        <f>VLOOKUP($A40,'Onsite Role Distribution'!$B$13:$G$17,2,FALSE)</f>
        <v>0</v>
      </c>
      <c r="H40">
        <f>VLOOKUP($A40,'Onsite Role Distribution'!$B$13:$G$17,2,FALSE)</f>
        <v>0</v>
      </c>
      <c r="I40">
        <f>VLOOKUP($A40,'Onsite Role Distribution'!$B$13:$G$17,2,FALSE)</f>
        <v>0</v>
      </c>
      <c r="J40">
        <f>VLOOKUP($A40,'Onsite Role Distribution'!$B$13:$G$17,2,FALSE)</f>
        <v>0</v>
      </c>
      <c r="K40">
        <f>VLOOKUP($A40,'Onsite Role Distribution'!$B$13:$G$17,2,FALSE)</f>
        <v>0</v>
      </c>
      <c r="L40">
        <f>VLOOKUP($A40,'Onsite Role Distribution'!$B$13:$G$17,2,FALSE)</f>
        <v>0</v>
      </c>
      <c r="M40">
        <f>VLOOKUP($A40,'Onsite Role Distribution'!$B$13:$G$17,2,FALSE)</f>
        <v>0</v>
      </c>
      <c r="N40">
        <f>VLOOKUP($A40,'Onsite Role Distribution'!$B$13:$G$17,2,FALSE)</f>
        <v>0</v>
      </c>
      <c r="O40">
        <f>VLOOKUP($A40,'Onsite Role Distribution'!$B$13:$G$17,2,FALSE)</f>
        <v>0</v>
      </c>
      <c r="P40">
        <f>VLOOKUP($A40,'Onsite Role Distribution'!$B$13:$G$17,3,FALSE)</f>
        <v>0</v>
      </c>
      <c r="Q40">
        <f>VLOOKUP($A40,'Onsite Role Distribution'!$B$13:$G$17,3,FALSE)</f>
        <v>0</v>
      </c>
      <c r="R40">
        <f>VLOOKUP($A40,'Onsite Role Distribution'!$B$13:$G$17,3,FALSE)</f>
        <v>0</v>
      </c>
      <c r="S40">
        <f>VLOOKUP($A40,'Onsite Role Distribution'!$B$13:$G$17,3,FALSE)</f>
        <v>0</v>
      </c>
      <c r="T40">
        <f>VLOOKUP($A40,'Onsite Role Distribution'!$B$13:$G$17,3,FALSE)</f>
        <v>0</v>
      </c>
      <c r="U40">
        <f>VLOOKUP($A40,'Onsite Role Distribution'!$B$13:$G$17,3,FALSE)</f>
        <v>0</v>
      </c>
      <c r="V40">
        <f>VLOOKUP($A40,'Onsite Role Distribution'!$B$13:$G$17,3,FALSE)</f>
        <v>0</v>
      </c>
      <c r="W40">
        <f>VLOOKUP($A40,'Onsite Role Distribution'!$B$13:$G$17,3,FALSE)</f>
        <v>0</v>
      </c>
      <c r="X40">
        <f>VLOOKUP($A40,'Onsite Role Distribution'!$B$13:$G$17,3,FALSE)</f>
        <v>0</v>
      </c>
      <c r="Y40">
        <f>VLOOKUP($A40,'Onsite Role Distribution'!$B$13:$G$17,3,FALSE)</f>
        <v>0</v>
      </c>
      <c r="Z40">
        <f>VLOOKUP($A40,'Onsite Role Distribution'!$B$13:$G$17,3,FALSE)</f>
        <v>0</v>
      </c>
      <c r="AA40">
        <f>VLOOKUP($A40,'Onsite Role Distribution'!$B$13:$G$17,3,FALSE)</f>
        <v>0</v>
      </c>
      <c r="AB40">
        <f>VLOOKUP($A40,'Onsite Role Distribution'!$B$13:$G$17,4,FALSE)</f>
        <v>0</v>
      </c>
      <c r="AC40">
        <f>VLOOKUP($A40,'Onsite Role Distribution'!$B$13:$G$17,4,FALSE)</f>
        <v>0</v>
      </c>
      <c r="AD40">
        <f>VLOOKUP($A40,'Onsite Role Distribution'!$B$13:$G$17,4,FALSE)</f>
        <v>0</v>
      </c>
      <c r="AE40">
        <f>VLOOKUP($A40,'Onsite Role Distribution'!$B$13:$G$17,4,FALSE)</f>
        <v>0</v>
      </c>
      <c r="AF40">
        <f>VLOOKUP($A40,'Onsite Role Distribution'!$B$13:$G$17,4,FALSE)</f>
        <v>0</v>
      </c>
      <c r="AG40">
        <f>VLOOKUP($A40,'Onsite Role Distribution'!$B$13:$G$17,4,FALSE)</f>
        <v>0</v>
      </c>
      <c r="AH40">
        <f>VLOOKUP($A40,'Onsite Role Distribution'!$B$13:$G$17,4,FALSE)</f>
        <v>0</v>
      </c>
      <c r="AI40">
        <f>VLOOKUP($A40,'Onsite Role Distribution'!$B$13:$G$17,4,FALSE)</f>
        <v>0</v>
      </c>
      <c r="AJ40">
        <f>VLOOKUP($A40,'Onsite Role Distribution'!$B$13:$G$17,4,FALSE)</f>
        <v>0</v>
      </c>
      <c r="AK40">
        <f>VLOOKUP($A40,'Onsite Role Distribution'!$B$13:$G$17,4,FALSE)</f>
        <v>0</v>
      </c>
      <c r="AL40">
        <f>VLOOKUP($A40,'Onsite Role Distribution'!$B$13:$G$17,4,FALSE)</f>
        <v>0</v>
      </c>
      <c r="AM40">
        <f>VLOOKUP($A40,'Onsite Role Distribution'!$B$13:$G$17,4,FALSE)</f>
        <v>0</v>
      </c>
      <c r="AN40">
        <f>VLOOKUP($A40,'Onsite Role Distribution'!$B$13:$G$17,5,FALSE)</f>
        <v>0</v>
      </c>
      <c r="AO40">
        <f>VLOOKUP($A40,'Onsite Role Distribution'!$B$13:$G$17,5,FALSE)</f>
        <v>0</v>
      </c>
      <c r="AP40">
        <f>VLOOKUP($A40,'Onsite Role Distribution'!$B$13:$G$17,5,FALSE)</f>
        <v>0</v>
      </c>
      <c r="AQ40">
        <f>VLOOKUP($A40,'Onsite Role Distribution'!$B$13:$G$17,5,FALSE)</f>
        <v>0</v>
      </c>
      <c r="AR40">
        <f>VLOOKUP($A40,'Onsite Role Distribution'!$B$13:$G$17,5,FALSE)</f>
        <v>0</v>
      </c>
      <c r="AS40">
        <f>VLOOKUP($A40,'Onsite Role Distribution'!$B$13:$G$17,5,FALSE)</f>
        <v>0</v>
      </c>
      <c r="AT40">
        <f>VLOOKUP($A40,'Onsite Role Distribution'!$B$13:$G$17,5,FALSE)</f>
        <v>0</v>
      </c>
      <c r="AU40">
        <f>VLOOKUP($A40,'Onsite Role Distribution'!$B$13:$G$17,5,FALSE)</f>
        <v>0</v>
      </c>
      <c r="AV40">
        <f>VLOOKUP($A40,'Onsite Role Distribution'!$B$13:$G$17,5,FALSE)</f>
        <v>0</v>
      </c>
      <c r="AW40">
        <f>VLOOKUP($A40,'Onsite Role Distribution'!$B$13:$G$17,5,FALSE)</f>
        <v>0</v>
      </c>
      <c r="AX40">
        <f>VLOOKUP($A40,'Onsite Role Distribution'!$B$13:$G$17,5,FALSE)</f>
        <v>0</v>
      </c>
      <c r="AY40">
        <f>VLOOKUP($A40,'Onsite Role Distribution'!$B$13:$G$17,5,FALSE)</f>
        <v>0</v>
      </c>
      <c r="AZ40" s="17">
        <v>0</v>
      </c>
      <c r="BA40">
        <f>VLOOKUP($A40,'Onsite Role Distribution'!$B$13:$G$17,6,FALSE)</f>
        <v>0</v>
      </c>
      <c r="BB40">
        <f>VLOOKUP($A40,'Onsite Role Distribution'!$B$13:$G$17,6,FALSE)</f>
        <v>0</v>
      </c>
      <c r="BC40">
        <f>VLOOKUP($A40,'Onsite Role Distribution'!$B$13:$G$17,6,FALSE)</f>
        <v>0</v>
      </c>
      <c r="BD40">
        <f>VLOOKUP($A40,'Onsite Role Distribution'!$B$13:$G$17,6,FALSE)</f>
        <v>0</v>
      </c>
      <c r="BE40">
        <f>VLOOKUP($A40,'Onsite Role Distribution'!$B$13:$G$17,6,FALSE)</f>
        <v>0</v>
      </c>
      <c r="BF40">
        <f>VLOOKUP($A40,'Onsite Role Distribution'!$B$13:$G$17,6,FALSE)</f>
        <v>0</v>
      </c>
      <c r="BG40">
        <f>VLOOKUP($A40,'Onsite Role Distribution'!$B$13:$G$17,6,FALSE)</f>
        <v>0</v>
      </c>
      <c r="BH40">
        <f>VLOOKUP($A40,'Onsite Role Distribution'!$B$13:$G$17,6,FALSE)</f>
        <v>0</v>
      </c>
      <c r="BI40">
        <f>VLOOKUP($A40,'Onsite Role Distribution'!$B$13:$G$17,6,FALSE)</f>
        <v>0</v>
      </c>
      <c r="BJ40">
        <f>VLOOKUP($A40,'Onsite Role Distribution'!$B$13:$G$17,6,FALSE)</f>
        <v>0</v>
      </c>
      <c r="BK40">
        <f>VLOOKUP($A40,'Onsite Role Distribution'!$B$13:$G$17,6,FALSE)</f>
        <v>0</v>
      </c>
    </row>
    <row r="41" spans="1:63" x14ac:dyDescent="0.35">
      <c r="A41" t="s">
        <v>19</v>
      </c>
      <c r="B41" t="s">
        <v>22</v>
      </c>
      <c r="C41" t="str">
        <f t="shared" si="0"/>
        <v>LeadOnsite-Landed</v>
      </c>
      <c r="D41">
        <f>VLOOKUP($A41,'Onsite Role Distribution'!$B$13:$G$17,2,FALSE)</f>
        <v>0</v>
      </c>
      <c r="E41">
        <f>VLOOKUP($A41,'Onsite Role Distribution'!$B$13:$G$17,2,FALSE)</f>
        <v>0</v>
      </c>
      <c r="F41">
        <f>VLOOKUP($A41,'Onsite Role Distribution'!$B$13:$G$17,2,FALSE)</f>
        <v>0</v>
      </c>
      <c r="G41">
        <f>VLOOKUP($A41,'Onsite Role Distribution'!$B$13:$G$17,2,FALSE)</f>
        <v>0</v>
      </c>
      <c r="H41">
        <f>VLOOKUP($A41,'Onsite Role Distribution'!$B$13:$G$17,2,FALSE)</f>
        <v>0</v>
      </c>
      <c r="I41">
        <f>VLOOKUP($A41,'Onsite Role Distribution'!$B$13:$G$17,2,FALSE)</f>
        <v>0</v>
      </c>
      <c r="J41">
        <f>VLOOKUP($A41,'Onsite Role Distribution'!$B$13:$G$17,2,FALSE)</f>
        <v>0</v>
      </c>
      <c r="K41">
        <f>VLOOKUP($A41,'Onsite Role Distribution'!$B$13:$G$17,2,FALSE)</f>
        <v>0</v>
      </c>
      <c r="L41">
        <f>VLOOKUP($A41,'Onsite Role Distribution'!$B$13:$G$17,2,FALSE)</f>
        <v>0</v>
      </c>
      <c r="M41">
        <f>VLOOKUP($A41,'Onsite Role Distribution'!$B$13:$G$17,2,FALSE)</f>
        <v>0</v>
      </c>
      <c r="N41">
        <f>VLOOKUP($A41,'Onsite Role Distribution'!$B$13:$G$17,2,FALSE)</f>
        <v>0</v>
      </c>
      <c r="O41">
        <f>VLOOKUP($A41,'Onsite Role Distribution'!$B$13:$G$17,2,FALSE)</f>
        <v>0</v>
      </c>
      <c r="P41">
        <f>VLOOKUP($A41,'Onsite Role Distribution'!$B$13:$G$17,3,FALSE)</f>
        <v>0</v>
      </c>
      <c r="Q41">
        <f>VLOOKUP($A41,'Onsite Role Distribution'!$B$13:$G$17,3,FALSE)</f>
        <v>0</v>
      </c>
      <c r="R41">
        <f>VLOOKUP($A41,'Onsite Role Distribution'!$B$13:$G$17,3,FALSE)</f>
        <v>0</v>
      </c>
      <c r="S41">
        <f>VLOOKUP($A41,'Onsite Role Distribution'!$B$13:$G$17,3,FALSE)</f>
        <v>0</v>
      </c>
      <c r="T41">
        <f>VLOOKUP($A41,'Onsite Role Distribution'!$B$13:$G$17,3,FALSE)</f>
        <v>0</v>
      </c>
      <c r="U41">
        <f>VLOOKUP($A41,'Onsite Role Distribution'!$B$13:$G$17,3,FALSE)</f>
        <v>0</v>
      </c>
      <c r="V41">
        <f>VLOOKUP($A41,'Onsite Role Distribution'!$B$13:$G$17,3,FALSE)</f>
        <v>0</v>
      </c>
      <c r="W41">
        <f>VLOOKUP($A41,'Onsite Role Distribution'!$B$13:$G$17,3,FALSE)</f>
        <v>0</v>
      </c>
      <c r="X41">
        <f>VLOOKUP($A41,'Onsite Role Distribution'!$B$13:$G$17,3,FALSE)</f>
        <v>0</v>
      </c>
      <c r="Y41">
        <f>VLOOKUP($A41,'Onsite Role Distribution'!$B$13:$G$17,3,FALSE)</f>
        <v>0</v>
      </c>
      <c r="Z41">
        <f>VLOOKUP($A41,'Onsite Role Distribution'!$B$13:$G$17,3,FALSE)</f>
        <v>0</v>
      </c>
      <c r="AA41">
        <f>VLOOKUP($A41,'Onsite Role Distribution'!$B$13:$G$17,3,FALSE)</f>
        <v>0</v>
      </c>
      <c r="AB41">
        <f>VLOOKUP($A41,'Onsite Role Distribution'!$B$13:$G$17,4,FALSE)</f>
        <v>0</v>
      </c>
      <c r="AC41">
        <f>VLOOKUP($A41,'Onsite Role Distribution'!$B$13:$G$17,4,FALSE)</f>
        <v>0</v>
      </c>
      <c r="AD41">
        <f>VLOOKUP($A41,'Onsite Role Distribution'!$B$13:$G$17,4,FALSE)</f>
        <v>0</v>
      </c>
      <c r="AE41">
        <f>VLOOKUP($A41,'Onsite Role Distribution'!$B$13:$G$17,4,FALSE)</f>
        <v>0</v>
      </c>
      <c r="AF41">
        <f>VLOOKUP($A41,'Onsite Role Distribution'!$B$13:$G$17,4,FALSE)</f>
        <v>0</v>
      </c>
      <c r="AG41">
        <f>VLOOKUP($A41,'Onsite Role Distribution'!$B$13:$G$17,4,FALSE)</f>
        <v>0</v>
      </c>
      <c r="AH41">
        <f>VLOOKUP($A41,'Onsite Role Distribution'!$B$13:$G$17,4,FALSE)</f>
        <v>0</v>
      </c>
      <c r="AI41">
        <f>VLOOKUP($A41,'Onsite Role Distribution'!$B$13:$G$17,4,FALSE)</f>
        <v>0</v>
      </c>
      <c r="AJ41">
        <f>VLOOKUP($A41,'Onsite Role Distribution'!$B$13:$G$17,4,FALSE)</f>
        <v>0</v>
      </c>
      <c r="AK41">
        <f>VLOOKUP($A41,'Onsite Role Distribution'!$B$13:$G$17,4,FALSE)</f>
        <v>0</v>
      </c>
      <c r="AL41">
        <f>VLOOKUP($A41,'Onsite Role Distribution'!$B$13:$G$17,4,FALSE)</f>
        <v>0</v>
      </c>
      <c r="AM41">
        <f>VLOOKUP($A41,'Onsite Role Distribution'!$B$13:$G$17,4,FALSE)</f>
        <v>0</v>
      </c>
      <c r="AN41">
        <f>VLOOKUP($A41,'Onsite Role Distribution'!$B$13:$G$17,5,FALSE)</f>
        <v>0</v>
      </c>
      <c r="AO41">
        <f>VLOOKUP($A41,'Onsite Role Distribution'!$B$13:$G$17,5,FALSE)</f>
        <v>0</v>
      </c>
      <c r="AP41">
        <f>VLOOKUP($A41,'Onsite Role Distribution'!$B$13:$G$17,5,FALSE)</f>
        <v>0</v>
      </c>
      <c r="AQ41">
        <f>VLOOKUP($A41,'Onsite Role Distribution'!$B$13:$G$17,5,FALSE)</f>
        <v>0</v>
      </c>
      <c r="AR41">
        <f>VLOOKUP($A41,'Onsite Role Distribution'!$B$13:$G$17,5,FALSE)</f>
        <v>0</v>
      </c>
      <c r="AS41">
        <f>VLOOKUP($A41,'Onsite Role Distribution'!$B$13:$G$17,5,FALSE)</f>
        <v>0</v>
      </c>
      <c r="AT41">
        <f>VLOOKUP($A41,'Onsite Role Distribution'!$B$13:$G$17,5,FALSE)</f>
        <v>0</v>
      </c>
      <c r="AU41">
        <f>VLOOKUP($A41,'Onsite Role Distribution'!$B$13:$G$17,5,FALSE)</f>
        <v>0</v>
      </c>
      <c r="AV41">
        <f>VLOOKUP($A41,'Onsite Role Distribution'!$B$13:$G$17,5,FALSE)</f>
        <v>0</v>
      </c>
      <c r="AW41">
        <f>VLOOKUP($A41,'Onsite Role Distribution'!$B$13:$G$17,5,FALSE)</f>
        <v>0</v>
      </c>
      <c r="AX41">
        <f>VLOOKUP($A41,'Onsite Role Distribution'!$B$13:$G$17,5,FALSE)</f>
        <v>0</v>
      </c>
      <c r="AY41">
        <f>VLOOKUP($A41,'Onsite Role Distribution'!$B$13:$G$17,5,FALSE)</f>
        <v>0</v>
      </c>
      <c r="AZ41" s="17">
        <v>0</v>
      </c>
      <c r="BA41">
        <f>VLOOKUP($A41,'Onsite Role Distribution'!$B$13:$G$17,6,FALSE)</f>
        <v>0</v>
      </c>
      <c r="BB41">
        <f>VLOOKUP($A41,'Onsite Role Distribution'!$B$13:$G$17,6,FALSE)</f>
        <v>0</v>
      </c>
      <c r="BC41">
        <f>VLOOKUP($A41,'Onsite Role Distribution'!$B$13:$G$17,6,FALSE)</f>
        <v>0</v>
      </c>
      <c r="BD41">
        <f>VLOOKUP($A41,'Onsite Role Distribution'!$B$13:$G$17,6,FALSE)</f>
        <v>0</v>
      </c>
      <c r="BE41">
        <f>VLOOKUP($A41,'Onsite Role Distribution'!$B$13:$G$17,6,FALSE)</f>
        <v>0</v>
      </c>
      <c r="BF41">
        <f>VLOOKUP($A41,'Onsite Role Distribution'!$B$13:$G$17,6,FALSE)</f>
        <v>0</v>
      </c>
      <c r="BG41">
        <f>VLOOKUP($A41,'Onsite Role Distribution'!$B$13:$G$17,6,FALSE)</f>
        <v>0</v>
      </c>
      <c r="BH41">
        <f>VLOOKUP($A41,'Onsite Role Distribution'!$B$13:$G$17,6,FALSE)</f>
        <v>0</v>
      </c>
      <c r="BI41">
        <f>VLOOKUP($A41,'Onsite Role Distribution'!$B$13:$G$17,6,FALSE)</f>
        <v>0</v>
      </c>
      <c r="BJ41">
        <f>VLOOKUP($A41,'Onsite Role Distribution'!$B$13:$G$17,6,FALSE)</f>
        <v>0</v>
      </c>
      <c r="BK41">
        <f>VLOOKUP($A41,'Onsite Role Distribution'!$B$13:$G$17,6,FALSE)</f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P27"/>
  <sheetViews>
    <sheetView zoomScale="104" zoomScaleNormal="104" workbookViewId="0">
      <selection activeCell="E3" sqref="E3"/>
    </sheetView>
  </sheetViews>
  <sheetFormatPr defaultRowHeight="14.5" x14ac:dyDescent="0.35"/>
  <cols>
    <col min="1" max="1" width="19.1796875" customWidth="1"/>
    <col min="2" max="2" width="13" bestFit="1" customWidth="1"/>
    <col min="3" max="3" width="17.26953125" customWidth="1"/>
    <col min="4" max="4" width="19.1796875" customWidth="1"/>
  </cols>
  <sheetData>
    <row r="2" spans="1:16" x14ac:dyDescent="0.35">
      <c r="A2" t="s">
        <v>25</v>
      </c>
      <c r="B2" t="s">
        <v>26</v>
      </c>
      <c r="C2" t="s">
        <v>27</v>
      </c>
      <c r="D2" t="s">
        <v>88</v>
      </c>
      <c r="E2" t="s">
        <v>28</v>
      </c>
      <c r="F2" t="s">
        <v>29</v>
      </c>
      <c r="G2" t="s">
        <v>30</v>
      </c>
      <c r="H2" t="s">
        <v>31</v>
      </c>
      <c r="I2" t="s">
        <v>32</v>
      </c>
      <c r="J2" t="s">
        <v>33</v>
      </c>
      <c r="K2" t="s">
        <v>34</v>
      </c>
      <c r="L2" t="s">
        <v>35</v>
      </c>
      <c r="M2" t="s">
        <v>36</v>
      </c>
      <c r="N2" t="s">
        <v>37</v>
      </c>
      <c r="O2" t="s">
        <v>38</v>
      </c>
      <c r="P2" t="s">
        <v>39</v>
      </c>
    </row>
    <row r="3" spans="1:16" x14ac:dyDescent="0.35">
      <c r="A3" t="s">
        <v>13</v>
      </c>
      <c r="B3" t="s">
        <v>12</v>
      </c>
      <c r="C3" t="str">
        <f t="shared" ref="C3:C27" si="0">A3&amp;B3</f>
        <v>BSAIndia</v>
      </c>
      <c r="D3" t="s">
        <v>89</v>
      </c>
      <c r="E3">
        <f>ROUND(VLOOKUP($C3,RLS!$C$26:$O$31,3, FALSE)*'Unit Distribution'!$B3,2)</f>
        <v>0.67</v>
      </c>
      <c r="F3">
        <f>ROUND(VLOOKUP($C3,RLS!$C$26:$O$31,3, FALSE)*'Unit Distribution'!$B3,2)</f>
        <v>0.67</v>
      </c>
      <c r="G3">
        <f>ROUND(VLOOKUP($C3,RLS!$C$26:$O$31,3, FALSE)*'Unit Distribution'!$B3,2)</f>
        <v>0.67</v>
      </c>
      <c r="H3">
        <f>ROUND(VLOOKUP($C3,RLS!$C$26:$O$31,3, FALSE)*'Unit Distribution'!$B3,2)</f>
        <v>0.67</v>
      </c>
      <c r="I3">
        <f>ROUND(VLOOKUP($C3,RLS!$C$26:$O$31,3, FALSE)*'Unit Distribution'!$B3,2)</f>
        <v>0.67</v>
      </c>
      <c r="J3">
        <f>ROUND(VLOOKUP($C3,RLS!$C$26:$O$31,3, FALSE)*'Unit Distribution'!$B3,2)</f>
        <v>0.67</v>
      </c>
      <c r="K3">
        <f>ROUND(VLOOKUP($C3,RLS!$C$26:$O$31,3, FALSE)*'Unit Distribution'!$B3,2)</f>
        <v>0.67</v>
      </c>
      <c r="L3">
        <f>ROUND(VLOOKUP($C3,RLS!$C$26:$O$31,3, FALSE)*'Unit Distribution'!$B3,2)</f>
        <v>0.67</v>
      </c>
      <c r="M3">
        <f>ROUND(VLOOKUP($C3,RLS!$C$26:$O$31,3, FALSE)*'Unit Distribution'!$B3,2)</f>
        <v>0.67</v>
      </c>
      <c r="N3">
        <f>ROUND(VLOOKUP($C3,RLS!$C$26:$O$31,3, FALSE)*'Unit Distribution'!$B3,2)</f>
        <v>0.67</v>
      </c>
      <c r="O3">
        <f>ROUND(VLOOKUP($C3,RLS!$C$26:$O$31,3, FALSE)*'Unit Distribution'!$B3,2)</f>
        <v>0.67</v>
      </c>
      <c r="P3">
        <f>ROUND(VLOOKUP($C3,RLS!$C$26:$O$31,3, FALSE)*'Unit Distribution'!$B3,2)</f>
        <v>0.67</v>
      </c>
    </row>
    <row r="4" spans="1:16" x14ac:dyDescent="0.35">
      <c r="A4" t="s">
        <v>13</v>
      </c>
      <c r="B4" t="s">
        <v>12</v>
      </c>
      <c r="C4" t="str">
        <f t="shared" si="0"/>
        <v>BSAIndia</v>
      </c>
      <c r="D4" t="s">
        <v>90</v>
      </c>
      <c r="E4">
        <f>ROUND(VLOOKUP($C4,RLS!$C$26:$O$31,3,FALSE)-E3,2)</f>
        <v>0.33</v>
      </c>
      <c r="F4">
        <f>ROUND(VLOOKUP($C4,RLS!$C$26:$O$31,3,FALSE)-F3,2)</f>
        <v>0.33</v>
      </c>
      <c r="G4">
        <f>ROUND(VLOOKUP($C4,RLS!$C$26:$O$31,3,FALSE)-G3,2)</f>
        <v>0.33</v>
      </c>
      <c r="H4">
        <f>ROUND(VLOOKUP($C4,RLS!$C$26:$O$31,3,FALSE)-H3,2)</f>
        <v>0.33</v>
      </c>
      <c r="I4">
        <f>ROUND(VLOOKUP($C4,RLS!$C$26:$O$31,3,FALSE)-I3,2)</f>
        <v>0.33</v>
      </c>
      <c r="J4">
        <f>ROUND(VLOOKUP($C4,RLS!$C$26:$O$31,3,FALSE)-J3,2)</f>
        <v>0.33</v>
      </c>
      <c r="K4">
        <f>ROUND(VLOOKUP($C4,RLS!$C$26:$O$31,3,FALSE)-K3,2)</f>
        <v>0.33</v>
      </c>
      <c r="L4">
        <f>ROUND(VLOOKUP($C4,RLS!$C$26:$O$31,3,FALSE)-L3,2)</f>
        <v>0.33</v>
      </c>
      <c r="M4">
        <f>ROUND(VLOOKUP($C4,RLS!$C$26:$O$31,3,FALSE)-M3,2)</f>
        <v>0.33</v>
      </c>
      <c r="N4">
        <f>ROUND(VLOOKUP($C4,RLS!$C$26:$O$31,3,FALSE)-N3,2)</f>
        <v>0.33</v>
      </c>
      <c r="O4">
        <f>ROUND(VLOOKUP($C4,RLS!$C$26:$O$31,3,FALSE)-O3,2)</f>
        <v>0.33</v>
      </c>
      <c r="P4">
        <f>ROUND(VLOOKUP($C4,RLS!$C$26:$O$31,3,FALSE)-P3,2)</f>
        <v>0.33</v>
      </c>
    </row>
    <row r="5" spans="1:16" x14ac:dyDescent="0.35">
      <c r="A5" t="s">
        <v>20</v>
      </c>
      <c r="B5" t="s">
        <v>12</v>
      </c>
      <c r="C5" t="str">
        <f t="shared" si="0"/>
        <v>DevIndia</v>
      </c>
      <c r="D5" t="s">
        <v>89</v>
      </c>
      <c r="E5">
        <f>ROUND(VLOOKUP($C5,RLS!$C$26:$O$31,3, FALSE)*'Unit Distribution'!$B3,2)</f>
        <v>3.33</v>
      </c>
      <c r="F5">
        <f>ROUND(VLOOKUP($C5,RLS!$C$26:$O$31,3, FALSE)*'Unit Distribution'!$B3,2)</f>
        <v>3.33</v>
      </c>
      <c r="G5">
        <f>ROUND(VLOOKUP($C5,RLS!$C$26:$O$31,3, FALSE)*'Unit Distribution'!$B3,2)</f>
        <v>3.33</v>
      </c>
      <c r="H5">
        <f>ROUND(VLOOKUP($C5,RLS!$C$26:$O$31,3, FALSE)*'Unit Distribution'!$B3,2)</f>
        <v>3.33</v>
      </c>
      <c r="I5">
        <f>ROUND(VLOOKUP($C5,RLS!$C$26:$O$31,3, FALSE)*'Unit Distribution'!$B3,2)</f>
        <v>3.33</v>
      </c>
      <c r="J5">
        <f>ROUND(VLOOKUP($C5,RLS!$C$26:$O$31,3, FALSE)*'Unit Distribution'!$B3,2)</f>
        <v>3.33</v>
      </c>
      <c r="K5">
        <f>ROUND(VLOOKUP($C5,RLS!$C$26:$O$31,3, FALSE)*'Unit Distribution'!$B3,2)</f>
        <v>3.33</v>
      </c>
      <c r="L5">
        <f>ROUND(VLOOKUP($C5,RLS!$C$26:$O$31,3, FALSE)*'Unit Distribution'!$B3,2)</f>
        <v>3.33</v>
      </c>
      <c r="M5">
        <f>ROUND(VLOOKUP($C5,RLS!$C$26:$O$31,3, FALSE)*'Unit Distribution'!$B3,2)</f>
        <v>3.33</v>
      </c>
      <c r="N5">
        <f>ROUND(VLOOKUP($C5,RLS!$C$26:$O$31,3, FALSE)*'Unit Distribution'!$B3,2)</f>
        <v>3.33</v>
      </c>
      <c r="O5">
        <f>ROUND(VLOOKUP($C5,RLS!$C$26:$O$31,3, FALSE)*'Unit Distribution'!$B3,2)</f>
        <v>3.33</v>
      </c>
      <c r="P5">
        <f>ROUND(VLOOKUP($C5,RLS!$C$26:$O$31,3, FALSE)*'Unit Distribution'!$B3,2)</f>
        <v>3.33</v>
      </c>
    </row>
    <row r="6" spans="1:16" x14ac:dyDescent="0.35">
      <c r="A6" t="s">
        <v>20</v>
      </c>
      <c r="B6" t="s">
        <v>12</v>
      </c>
      <c r="C6" t="str">
        <f t="shared" si="0"/>
        <v>DevIndia</v>
      </c>
      <c r="D6" t="s">
        <v>90</v>
      </c>
      <c r="E6">
        <f>ROUND(VLOOKUP($C6,RLS!$C$26:$O$31,3,FALSE)-E5,2)</f>
        <v>1.67</v>
      </c>
      <c r="F6">
        <f>ROUND(VLOOKUP($C6,RLS!$C$26:$O$31,3,FALSE)-F5,2)</f>
        <v>1.67</v>
      </c>
      <c r="G6">
        <f>ROUND(VLOOKUP($C6,RLS!$C$26:$O$31,3,FALSE)-G5,2)</f>
        <v>1.67</v>
      </c>
      <c r="H6">
        <f>ROUND(VLOOKUP($C6,RLS!$C$26:$O$31,3,FALSE)-H5,2)</f>
        <v>1.67</v>
      </c>
      <c r="I6">
        <f>ROUND(VLOOKUP($C6,RLS!$C$26:$O$31,3,FALSE)-I5,2)</f>
        <v>1.67</v>
      </c>
      <c r="J6">
        <f>ROUND(VLOOKUP($C6,RLS!$C$26:$O$31,3,FALSE)-J5,2)</f>
        <v>1.67</v>
      </c>
      <c r="K6">
        <f>ROUND(VLOOKUP($C6,RLS!$C$26:$O$31,3,FALSE)-K5,2)</f>
        <v>1.67</v>
      </c>
      <c r="L6">
        <f>ROUND(VLOOKUP($C6,RLS!$C$26:$O$31,3,FALSE)-L5,2)</f>
        <v>1.67</v>
      </c>
      <c r="M6">
        <f>ROUND(VLOOKUP($C6,RLS!$C$26:$O$31,3,FALSE)-M5,2)</f>
        <v>1.67</v>
      </c>
      <c r="N6">
        <f>ROUND(VLOOKUP($C6,RLS!$C$26:$O$31,3,FALSE)-N5,2)</f>
        <v>1.67</v>
      </c>
      <c r="O6">
        <f>ROUND(VLOOKUP($C6,RLS!$C$26:$O$31,3,FALSE)-O5,2)</f>
        <v>1.67</v>
      </c>
      <c r="P6">
        <f>ROUND(VLOOKUP($C6,RLS!$C$26:$O$31,3,FALSE)-P5,2)</f>
        <v>1.67</v>
      </c>
    </row>
    <row r="7" spans="1:16" x14ac:dyDescent="0.35">
      <c r="A7" t="s">
        <v>15</v>
      </c>
      <c r="B7" t="s">
        <v>12</v>
      </c>
      <c r="C7" t="str">
        <f t="shared" si="0"/>
        <v>TesterIndia</v>
      </c>
      <c r="D7" t="s">
        <v>89</v>
      </c>
      <c r="E7">
        <f>ROUND(VLOOKUP($C7,RLS!$C$26:$O$31,3, FALSE)*'Unit Distribution'!$B3,2)</f>
        <v>2</v>
      </c>
      <c r="F7">
        <f>ROUND(VLOOKUP($C7,RLS!$C$26:$O$31,3, FALSE)*'Unit Distribution'!$B3,2)</f>
        <v>2</v>
      </c>
      <c r="G7">
        <f>ROUND(VLOOKUP($C7,RLS!$C$26:$O$31,3, FALSE)*'Unit Distribution'!$B3,2)</f>
        <v>2</v>
      </c>
      <c r="H7">
        <f>ROUND(VLOOKUP($C7,RLS!$C$26:$O$31,3, FALSE)*'Unit Distribution'!$B3,2)</f>
        <v>2</v>
      </c>
      <c r="I7">
        <f>ROUND(VLOOKUP($C7,RLS!$C$26:$O$31,3, FALSE)*'Unit Distribution'!$B3,2)</f>
        <v>2</v>
      </c>
      <c r="J7">
        <f>ROUND(VLOOKUP($C7,RLS!$C$26:$O$31,3, FALSE)*'Unit Distribution'!$B3,2)</f>
        <v>2</v>
      </c>
      <c r="K7">
        <f>ROUND(VLOOKUP($C7,RLS!$C$26:$O$31,3, FALSE)*'Unit Distribution'!$B3,2)</f>
        <v>2</v>
      </c>
      <c r="L7">
        <f>ROUND(VLOOKUP($C7,RLS!$C$26:$O$31,3, FALSE)*'Unit Distribution'!$B3,2)</f>
        <v>2</v>
      </c>
      <c r="M7">
        <f>ROUND(VLOOKUP($C7,RLS!$C$26:$O$31,3, FALSE)*'Unit Distribution'!$B3,2)</f>
        <v>2</v>
      </c>
      <c r="N7">
        <f>ROUND(VLOOKUP($C7,RLS!$C$26:$O$31,3, FALSE)*'Unit Distribution'!$B3,2)</f>
        <v>2</v>
      </c>
      <c r="O7">
        <f>ROUND(VLOOKUP($C7,RLS!$C$26:$O$31,3, FALSE)*'Unit Distribution'!$B3,2)</f>
        <v>2</v>
      </c>
      <c r="P7">
        <f>ROUND(VLOOKUP($C7,RLS!$C$26:$O$31,3, FALSE)*'Unit Distribution'!$B3,2)</f>
        <v>2</v>
      </c>
    </row>
    <row r="8" spans="1:16" x14ac:dyDescent="0.35">
      <c r="A8" t="s">
        <v>15</v>
      </c>
      <c r="B8" t="s">
        <v>12</v>
      </c>
      <c r="C8" t="str">
        <f t="shared" si="0"/>
        <v>TesterIndia</v>
      </c>
      <c r="D8" t="s">
        <v>90</v>
      </c>
      <c r="E8">
        <f>ROUND(VLOOKUP($C8,RLS!$C$26:$O$31,3,FALSE)-E7,2)</f>
        <v>1</v>
      </c>
      <c r="F8">
        <f>ROUND(VLOOKUP($C8,RLS!$C$26:$O$31,3,FALSE)-F7,2)</f>
        <v>1</v>
      </c>
      <c r="G8">
        <f>ROUND(VLOOKUP($C8,RLS!$C$26:$O$31,3,FALSE)-G7,2)</f>
        <v>1</v>
      </c>
      <c r="H8">
        <f>ROUND(VLOOKUP($C8,RLS!$C$26:$O$31,3,FALSE)-H7,2)</f>
        <v>1</v>
      </c>
      <c r="I8">
        <f>ROUND(VLOOKUP($C8,RLS!$C$26:$O$31,3,FALSE)-I7,2)</f>
        <v>1</v>
      </c>
      <c r="J8">
        <f>ROUND(VLOOKUP($C8,RLS!$C$26:$O$31,3,FALSE)-J7,2)</f>
        <v>1</v>
      </c>
      <c r="K8">
        <f>ROUND(VLOOKUP($C8,RLS!$C$26:$O$31,3,FALSE)-K7,2)</f>
        <v>1</v>
      </c>
      <c r="L8">
        <f>ROUND(VLOOKUP($C8,RLS!$C$26:$O$31,3,FALSE)-L7,2)</f>
        <v>1</v>
      </c>
      <c r="M8">
        <f>ROUND(VLOOKUP($C8,RLS!$C$26:$O$31,3,FALSE)-M7,2)</f>
        <v>1</v>
      </c>
      <c r="N8">
        <f>ROUND(VLOOKUP($C8,RLS!$C$26:$O$31,3,FALSE)-N7,2)</f>
        <v>1</v>
      </c>
      <c r="O8">
        <f>ROUND(VLOOKUP($C8,RLS!$C$26:$O$31,3,FALSE)-O7,2)</f>
        <v>1</v>
      </c>
      <c r="P8">
        <f>ROUND(VLOOKUP($C8,RLS!$C$26:$O$31,3,FALSE)-P7,2)</f>
        <v>1</v>
      </c>
    </row>
    <row r="9" spans="1:16" x14ac:dyDescent="0.35">
      <c r="A9" t="s">
        <v>16</v>
      </c>
      <c r="B9" t="s">
        <v>12</v>
      </c>
      <c r="C9" t="str">
        <f t="shared" si="0"/>
        <v>MaintenanceIndia</v>
      </c>
      <c r="D9" t="s">
        <v>90</v>
      </c>
      <c r="E9">
        <f>ROUND(VLOOKUP($C9,RLS!$C$26:$O$31,3, FALSE),2)</f>
        <v>1</v>
      </c>
      <c r="F9">
        <f>ROUND(VLOOKUP($C9,RLS!$C$26:$O$31,3, FALSE),2)</f>
        <v>1</v>
      </c>
      <c r="G9">
        <f>ROUND(VLOOKUP($C9,RLS!$C$26:$O$31,3, FALSE),2)</f>
        <v>1</v>
      </c>
      <c r="H9">
        <f>ROUND(VLOOKUP($C9,RLS!$C$26:$O$31,3, FALSE),2)</f>
        <v>1</v>
      </c>
      <c r="I9">
        <f>ROUND(VLOOKUP($C9,RLS!$C$26:$O$31,3, FALSE),2)</f>
        <v>1</v>
      </c>
      <c r="J9">
        <f>ROUND(VLOOKUP($C9,RLS!$C$26:$O$31,3, FALSE),2)</f>
        <v>1</v>
      </c>
      <c r="K9">
        <f>ROUND(VLOOKUP($C9,RLS!$C$26:$O$31,3, FALSE),2)</f>
        <v>1</v>
      </c>
      <c r="L9">
        <f>ROUND(VLOOKUP($C9,RLS!$C$26:$O$31,3, FALSE),2)</f>
        <v>1</v>
      </c>
      <c r="M9">
        <f>ROUND(VLOOKUP($C9,RLS!$C$26:$O$31,3, FALSE),2)</f>
        <v>1</v>
      </c>
      <c r="N9">
        <f>ROUND(VLOOKUP($C9,RLS!$C$26:$O$31,3, FALSE),2)</f>
        <v>1</v>
      </c>
      <c r="O9">
        <f>ROUND(VLOOKUP($C9,RLS!$C$26:$O$31,3, FALSE),2)</f>
        <v>1</v>
      </c>
      <c r="P9">
        <f>ROUND(VLOOKUP($C9,RLS!$C$26:$O$31,3, FALSE),2)</f>
        <v>1</v>
      </c>
    </row>
    <row r="10" spans="1:16" x14ac:dyDescent="0.35">
      <c r="A10" t="s">
        <v>17</v>
      </c>
      <c r="B10" t="s">
        <v>12</v>
      </c>
      <c r="C10" t="str">
        <f t="shared" si="0"/>
        <v>PMIndia</v>
      </c>
      <c r="E10">
        <f>ROUND(VLOOKUP($C10,RLS!$C$26:$O$31,3, FALSE),2)</f>
        <v>0</v>
      </c>
      <c r="F10">
        <f>ROUND(VLOOKUP($C10,RLS!$C$26:$O$31,3, FALSE),2)</f>
        <v>0</v>
      </c>
      <c r="G10">
        <f>ROUND(VLOOKUP($C10,RLS!$C$26:$O$31,3, FALSE),2)</f>
        <v>0</v>
      </c>
      <c r="H10">
        <f>ROUND(VLOOKUP($C10,RLS!$C$26:$O$31,3, FALSE),2)</f>
        <v>0</v>
      </c>
      <c r="I10">
        <f>ROUND(VLOOKUP($C10,RLS!$C$26:$O$31,3, FALSE),2)</f>
        <v>0</v>
      </c>
      <c r="J10">
        <f>ROUND(VLOOKUP($C10,RLS!$C$26:$O$31,3, FALSE),2)</f>
        <v>0</v>
      </c>
      <c r="K10">
        <f>ROUND(VLOOKUP($C10,RLS!$C$26:$O$31,3, FALSE),2)</f>
        <v>0</v>
      </c>
      <c r="L10">
        <f>ROUND(VLOOKUP($C10,RLS!$C$26:$O$31,3, FALSE),2)</f>
        <v>0</v>
      </c>
      <c r="M10">
        <f>ROUND(VLOOKUP($C10,RLS!$C$26:$O$31,3, FALSE),2)</f>
        <v>0</v>
      </c>
      <c r="N10">
        <f>ROUND(VLOOKUP($C10,RLS!$C$26:$O$31,3, FALSE),2)</f>
        <v>0</v>
      </c>
      <c r="O10">
        <f>ROUND(VLOOKUP($C10,RLS!$C$26:$O$31,3, FALSE),2)</f>
        <v>0</v>
      </c>
      <c r="P10">
        <f>ROUND(VLOOKUP($C10,RLS!$C$26:$O$31,3, FALSE),2)</f>
        <v>0</v>
      </c>
    </row>
    <row r="11" spans="1:16" x14ac:dyDescent="0.35">
      <c r="A11" t="s">
        <v>19</v>
      </c>
      <c r="B11" t="s">
        <v>12</v>
      </c>
      <c r="C11" t="str">
        <f t="shared" si="0"/>
        <v>LeadIndia</v>
      </c>
      <c r="E11">
        <f>ROUND(VLOOKUP($C11,RLS!$C$26:$O$31,3, FALSE),2)</f>
        <v>0</v>
      </c>
      <c r="F11">
        <f>ROUND(VLOOKUP($C11,RLS!$C$26:$O$31,3, FALSE),2)</f>
        <v>0</v>
      </c>
      <c r="G11">
        <f>ROUND(VLOOKUP($C11,RLS!$C$26:$O$31,3, FALSE),2)</f>
        <v>0</v>
      </c>
      <c r="H11">
        <f>ROUND(VLOOKUP($C11,RLS!$C$26:$O$31,3, FALSE),2)</f>
        <v>0</v>
      </c>
      <c r="I11">
        <f>ROUND(VLOOKUP($C11,RLS!$C$26:$O$31,3, FALSE),2)</f>
        <v>0</v>
      </c>
      <c r="J11">
        <f>ROUND(VLOOKUP($C11,RLS!$C$26:$O$31,3, FALSE),2)</f>
        <v>0</v>
      </c>
      <c r="K11">
        <f>ROUND(VLOOKUP($C11,RLS!$C$26:$O$31,3, FALSE),2)</f>
        <v>0</v>
      </c>
      <c r="L11">
        <f>ROUND(VLOOKUP($C11,RLS!$C$26:$O$31,3, FALSE),2)</f>
        <v>0</v>
      </c>
      <c r="M11">
        <f>ROUND(VLOOKUP($C11,RLS!$C$26:$O$31,3, FALSE),2)</f>
        <v>0</v>
      </c>
      <c r="N11">
        <f>ROUND(VLOOKUP($C11,RLS!$C$26:$O$31,3, FALSE),2)</f>
        <v>0</v>
      </c>
      <c r="O11">
        <f>ROUND(VLOOKUP($C11,RLS!$C$26:$O$31,3, FALSE),2)</f>
        <v>0</v>
      </c>
      <c r="P11">
        <f>ROUND(VLOOKUP($C11,RLS!$C$26:$O$31,3, FALSE),2)</f>
        <v>0</v>
      </c>
    </row>
    <row r="12" spans="1:16" x14ac:dyDescent="0.35">
      <c r="A12" t="s">
        <v>13</v>
      </c>
      <c r="B12" t="s">
        <v>9</v>
      </c>
      <c r="C12" t="str">
        <f t="shared" si="0"/>
        <v>BSAOnsite</v>
      </c>
      <c r="D12" t="s">
        <v>89</v>
      </c>
      <c r="E12">
        <f>ROUND(VLOOKUP($C12,RLS!$C$32:$O$36,3, FALSE)*'Unit Distribution'!$B$3,2)</f>
        <v>1.33</v>
      </c>
      <c r="F12">
        <f>ROUND(VLOOKUP($C12,RLS!$C$32:$O$36,3, FALSE)*'Unit Distribution'!$B$3,2)</f>
        <v>1.33</v>
      </c>
      <c r="G12">
        <f>ROUND(VLOOKUP($C12,RLS!$C$32:$O$36,3, FALSE)*'Unit Distribution'!$B$3,2)</f>
        <v>1.33</v>
      </c>
      <c r="H12">
        <f>ROUND(VLOOKUP($C12,RLS!$C$32:$O$36,3, FALSE)*'Unit Distribution'!$B$3,2)</f>
        <v>1.33</v>
      </c>
      <c r="I12">
        <f>ROUND(VLOOKUP($C12,RLS!$C$32:$O$36,3, FALSE)*'Unit Distribution'!$B$3,2)</f>
        <v>1.33</v>
      </c>
      <c r="J12">
        <f>ROUND(VLOOKUP($C12,RLS!$C$32:$O$36,3, FALSE)*'Unit Distribution'!$B$3,2)</f>
        <v>1.33</v>
      </c>
      <c r="K12">
        <f>ROUND(VLOOKUP($C12,RLS!$C$32:$O$36,3, FALSE)*'Unit Distribution'!$B$3,2)</f>
        <v>1.33</v>
      </c>
      <c r="L12">
        <f>ROUND(VLOOKUP($C12,RLS!$C$32:$O$36,3, FALSE)*'Unit Distribution'!$B$3,2)</f>
        <v>1.33</v>
      </c>
      <c r="M12">
        <f>ROUND(VLOOKUP($C12,RLS!$C$32:$O$36,3, FALSE)*'Unit Distribution'!$B$3,2)</f>
        <v>1.33</v>
      </c>
      <c r="N12">
        <f>ROUND(VLOOKUP($C12,RLS!$C$32:$O$36,3, FALSE)*'Unit Distribution'!$B$3,2)</f>
        <v>1.33</v>
      </c>
      <c r="O12">
        <f>ROUND(VLOOKUP($C12,RLS!$C$32:$O$36,3, FALSE)*'Unit Distribution'!$B$3,2)</f>
        <v>1.33</v>
      </c>
      <c r="P12">
        <f>ROUND(VLOOKUP($C12,RLS!$C$32:$O$36,3, FALSE)*'Unit Distribution'!$B$3,2)</f>
        <v>1.33</v>
      </c>
    </row>
    <row r="13" spans="1:16" x14ac:dyDescent="0.35">
      <c r="A13" t="s">
        <v>13</v>
      </c>
      <c r="B13" t="s">
        <v>9</v>
      </c>
      <c r="C13" t="str">
        <f t="shared" si="0"/>
        <v>BSAOnsite</v>
      </c>
      <c r="D13" t="s">
        <v>90</v>
      </c>
      <c r="E13">
        <f>ROUND(VLOOKUP($C13,RLS!$C$32:$O$36,3,FALSE)-E12,2)</f>
        <v>0.67</v>
      </c>
      <c r="F13">
        <f>ROUND(VLOOKUP($C13,RLS!$C$32:$O$36,3,FALSE)-F12,2)</f>
        <v>0.67</v>
      </c>
      <c r="G13">
        <f>ROUND(VLOOKUP($C13,RLS!$C$32:$O$36,3,FALSE)-G12,2)</f>
        <v>0.67</v>
      </c>
      <c r="H13">
        <f>ROUND(VLOOKUP($C13,RLS!$C$32:$O$36,3,FALSE)-H12,2)</f>
        <v>0.67</v>
      </c>
      <c r="I13">
        <f>ROUND(VLOOKUP($C13,RLS!$C$32:$O$36,3,FALSE)-I12,2)</f>
        <v>0.67</v>
      </c>
      <c r="J13">
        <f>ROUND(VLOOKUP($C13,RLS!$C$32:$O$36,3,FALSE)-J12,2)</f>
        <v>0.67</v>
      </c>
      <c r="K13">
        <f>ROUND(VLOOKUP($C13,RLS!$C$32:$O$36,3,FALSE)-K12,2)</f>
        <v>0.67</v>
      </c>
      <c r="L13">
        <f>ROUND(VLOOKUP($C13,RLS!$C$32:$O$36,3,FALSE)-L12,2)</f>
        <v>0.67</v>
      </c>
      <c r="M13">
        <f>ROUND(VLOOKUP($C13,RLS!$C$32:$O$36,3,FALSE)-M12,2)</f>
        <v>0.67</v>
      </c>
      <c r="N13">
        <f>ROUND(VLOOKUP($C13,RLS!$C$32:$O$36,3,FALSE)-N12,2)</f>
        <v>0.67</v>
      </c>
      <c r="O13">
        <f>ROUND(VLOOKUP($C13,RLS!$C$32:$O$36,3,FALSE)-O12,2)</f>
        <v>0.67</v>
      </c>
      <c r="P13">
        <f>ROUND(VLOOKUP($C13,RLS!$C$32:$O$36,3,FALSE)-P12,2)</f>
        <v>0.67</v>
      </c>
    </row>
    <row r="14" spans="1:16" x14ac:dyDescent="0.35">
      <c r="A14" t="s">
        <v>20</v>
      </c>
      <c r="B14" t="s">
        <v>9</v>
      </c>
      <c r="C14" t="str">
        <f t="shared" si="0"/>
        <v>DevOnsite</v>
      </c>
      <c r="D14" t="s">
        <v>89</v>
      </c>
      <c r="E14">
        <f>ROUND(VLOOKUP($C14,RLS!$C$32:$O$36,3, FALSE)*'Unit Distribution'!$B$3,2)</f>
        <v>3.33</v>
      </c>
      <c r="F14">
        <f>ROUND(VLOOKUP($C14,RLS!$C$32:$O$36,3, FALSE)*'Unit Distribution'!$B$3,2)</f>
        <v>3.33</v>
      </c>
      <c r="G14">
        <f>ROUND(VLOOKUP($C14,RLS!$C$32:$O$36,3, FALSE)*'Unit Distribution'!$B$3,2)</f>
        <v>3.33</v>
      </c>
      <c r="H14">
        <f>ROUND(VLOOKUP($C14,RLS!$C$32:$O$36,3, FALSE)*'Unit Distribution'!$B$3,2)</f>
        <v>3.33</v>
      </c>
      <c r="I14">
        <f>ROUND(VLOOKUP($C14,RLS!$C$32:$O$36,3, FALSE)*'Unit Distribution'!$B$3,2)</f>
        <v>3.33</v>
      </c>
      <c r="J14">
        <f>ROUND(VLOOKUP($C14,RLS!$C$32:$O$36,3, FALSE)*'Unit Distribution'!$B$3,2)</f>
        <v>3.33</v>
      </c>
      <c r="K14">
        <f>ROUND(VLOOKUP($C14,RLS!$C$32:$O$36,3, FALSE)*'Unit Distribution'!$B$3,2)</f>
        <v>3.33</v>
      </c>
      <c r="L14">
        <f>ROUND(VLOOKUP($C14,RLS!$C$32:$O$36,3, FALSE)*'Unit Distribution'!$B$3,2)</f>
        <v>3.33</v>
      </c>
      <c r="M14">
        <f>ROUND(VLOOKUP($C14,RLS!$C$32:$O$36,3, FALSE)*'Unit Distribution'!$B$3,2)</f>
        <v>3.33</v>
      </c>
      <c r="N14">
        <f>ROUND(VLOOKUP($C14,RLS!$C$32:$O$36,3, FALSE)*'Unit Distribution'!$B$3,2)</f>
        <v>3.33</v>
      </c>
      <c r="O14">
        <f>ROUND(VLOOKUP($C14,RLS!$C$32:$O$36,3, FALSE)*'Unit Distribution'!$B$3,2)</f>
        <v>3.33</v>
      </c>
      <c r="P14">
        <f>ROUND(VLOOKUP($C14,RLS!$C$32:$O$36,3, FALSE)*'Unit Distribution'!$B$3,2)</f>
        <v>3.33</v>
      </c>
    </row>
    <row r="15" spans="1:16" x14ac:dyDescent="0.35">
      <c r="A15" t="s">
        <v>20</v>
      </c>
      <c r="B15" t="s">
        <v>9</v>
      </c>
      <c r="C15" t="str">
        <f t="shared" si="0"/>
        <v>DevOnsite</v>
      </c>
      <c r="D15" t="s">
        <v>90</v>
      </c>
      <c r="E15">
        <f>ROUND(VLOOKUP($C15,RLS!$C$32:$O$36,3,FALSE)-E14,2)</f>
        <v>1.67</v>
      </c>
      <c r="F15">
        <f>ROUND(VLOOKUP($C15,RLS!$C$32:$O$36,3,FALSE)-F14,2)</f>
        <v>1.67</v>
      </c>
      <c r="G15">
        <f>ROUND(VLOOKUP($C15,RLS!$C$32:$O$36,3,FALSE)-G14,2)</f>
        <v>1.67</v>
      </c>
      <c r="H15">
        <f>ROUND(VLOOKUP($C15,RLS!$C$32:$O$36,3,FALSE)-H14,2)</f>
        <v>1.67</v>
      </c>
      <c r="I15">
        <f>ROUND(VLOOKUP($C15,RLS!$C$32:$O$36,3,FALSE)-I14,2)</f>
        <v>1.67</v>
      </c>
      <c r="J15">
        <f>ROUND(VLOOKUP($C15,RLS!$C$32:$O$36,3,FALSE)-J14,2)</f>
        <v>1.67</v>
      </c>
      <c r="K15">
        <f>ROUND(VLOOKUP($C15,RLS!$C$32:$O$36,3,FALSE)-K14,2)</f>
        <v>1.67</v>
      </c>
      <c r="L15">
        <f>ROUND(VLOOKUP($C15,RLS!$C$32:$O$36,3,FALSE)-L14,2)</f>
        <v>1.67</v>
      </c>
      <c r="M15">
        <f>ROUND(VLOOKUP($C15,RLS!$C$32:$O$36,3,FALSE)-M14,2)</f>
        <v>1.67</v>
      </c>
      <c r="N15">
        <f>ROUND(VLOOKUP($C15,RLS!$C$32:$O$36,3,FALSE)-N14,2)</f>
        <v>1.67</v>
      </c>
      <c r="O15">
        <f>ROUND(VLOOKUP($C15,RLS!$C$32:$O$36,3,FALSE)-O14,2)</f>
        <v>1.67</v>
      </c>
      <c r="P15">
        <f>ROUND(VLOOKUP($C15,RLS!$C$32:$O$36,3,FALSE)-P14,2)</f>
        <v>1.67</v>
      </c>
    </row>
    <row r="16" spans="1:16" x14ac:dyDescent="0.35">
      <c r="A16" t="s">
        <v>15</v>
      </c>
      <c r="B16" t="s">
        <v>9</v>
      </c>
      <c r="C16" t="str">
        <f t="shared" si="0"/>
        <v>TesterOnsite</v>
      </c>
      <c r="D16" t="s">
        <v>89</v>
      </c>
      <c r="E16">
        <f>ROUND(VLOOKUP($C16,RLS!$C$32:$O$36,3, FALSE)*'Unit Distribution'!$B$3,2)</f>
        <v>0.67</v>
      </c>
      <c r="F16">
        <f>ROUND(VLOOKUP($C16,RLS!$C$32:$O$36,3, FALSE)*'Unit Distribution'!$B$3,2)</f>
        <v>0.67</v>
      </c>
      <c r="G16">
        <f>ROUND(VLOOKUP($C16,RLS!$C$32:$O$36,3, FALSE)*'Unit Distribution'!$B$3,2)</f>
        <v>0.67</v>
      </c>
      <c r="H16">
        <f>ROUND(VLOOKUP($C16,RLS!$C$32:$O$36,3, FALSE)*'Unit Distribution'!$B$3,2)</f>
        <v>0.67</v>
      </c>
      <c r="I16">
        <f>ROUND(VLOOKUP($C16,RLS!$C$32:$O$36,3, FALSE)*'Unit Distribution'!$B$3,2)</f>
        <v>0.67</v>
      </c>
      <c r="J16">
        <f>ROUND(VLOOKUP($C16,RLS!$C$32:$O$36,3, FALSE)*'Unit Distribution'!$B$3,2)</f>
        <v>0.67</v>
      </c>
      <c r="K16">
        <f>ROUND(VLOOKUP($C16,RLS!$C$32:$O$36,3, FALSE)*'Unit Distribution'!$B$3,2)</f>
        <v>0.67</v>
      </c>
      <c r="L16">
        <f>ROUND(VLOOKUP($C16,RLS!$C$32:$O$36,3, FALSE)*'Unit Distribution'!$B$3,2)</f>
        <v>0.67</v>
      </c>
      <c r="M16">
        <f>ROUND(VLOOKUP($C16,RLS!$C$32:$O$36,3, FALSE)*'Unit Distribution'!$B$3,2)</f>
        <v>0.67</v>
      </c>
      <c r="N16">
        <f>ROUND(VLOOKUP($C16,RLS!$C$32:$O$36,3, FALSE)*'Unit Distribution'!$B$3,2)</f>
        <v>0.67</v>
      </c>
      <c r="O16">
        <f>ROUND(VLOOKUP($C16,RLS!$C$32:$O$36,3, FALSE)*'Unit Distribution'!$B$3,2)</f>
        <v>0.67</v>
      </c>
      <c r="P16">
        <f>ROUND(VLOOKUP($C16,RLS!$C$32:$O$36,3, FALSE)*'Unit Distribution'!$B$3,2)</f>
        <v>0.67</v>
      </c>
    </row>
    <row r="17" spans="1:16" x14ac:dyDescent="0.35">
      <c r="A17" t="s">
        <v>15</v>
      </c>
      <c r="B17" t="s">
        <v>9</v>
      </c>
      <c r="C17" t="str">
        <f t="shared" si="0"/>
        <v>TesterOnsite</v>
      </c>
      <c r="D17" t="s">
        <v>90</v>
      </c>
      <c r="E17">
        <f>ROUND(VLOOKUP($C17,RLS!$C$32:$O$36,3,FALSE)-E16,2)</f>
        <v>0.33</v>
      </c>
      <c r="F17">
        <f>ROUND(VLOOKUP($C17,RLS!$C$32:$O$36,3,FALSE)-F16,2)</f>
        <v>0.33</v>
      </c>
      <c r="G17">
        <f>ROUND(VLOOKUP($C17,RLS!$C$32:$O$36,3,FALSE)-G16,2)</f>
        <v>0.33</v>
      </c>
      <c r="H17">
        <f>ROUND(VLOOKUP($C17,RLS!$C$32:$O$36,3,FALSE)-H16,2)</f>
        <v>0.33</v>
      </c>
      <c r="I17">
        <f>ROUND(VLOOKUP($C17,RLS!$C$32:$O$36,3,FALSE)-I16,2)</f>
        <v>0.33</v>
      </c>
      <c r="J17">
        <f>ROUND(VLOOKUP($C17,RLS!$C$32:$O$36,3,FALSE)-J16,2)</f>
        <v>0.33</v>
      </c>
      <c r="K17">
        <f>ROUND(VLOOKUP($C17,RLS!$C$32:$O$36,3,FALSE)-K16,2)</f>
        <v>0.33</v>
      </c>
      <c r="L17">
        <f>ROUND(VLOOKUP($C17,RLS!$C$32:$O$36,3,FALSE)-L16,2)</f>
        <v>0.33</v>
      </c>
      <c r="M17">
        <f>ROUND(VLOOKUP($C17,RLS!$C$32:$O$36,3,FALSE)-M16,2)</f>
        <v>0.33</v>
      </c>
      <c r="N17">
        <f>ROUND(VLOOKUP($C17,RLS!$C$32:$O$36,3,FALSE)-N16,2)</f>
        <v>0.33</v>
      </c>
      <c r="O17">
        <f>ROUND(VLOOKUP($C17,RLS!$C$32:$O$36,3,FALSE)-O16,2)</f>
        <v>0.33</v>
      </c>
      <c r="P17">
        <f>ROUND(VLOOKUP($C17,RLS!$C$32:$O$36,3,FALSE)-P16,2)</f>
        <v>0.33</v>
      </c>
    </row>
    <row r="18" spans="1:16" x14ac:dyDescent="0.35">
      <c r="A18" t="s">
        <v>17</v>
      </c>
      <c r="B18" t="s">
        <v>9</v>
      </c>
      <c r="C18" t="str">
        <f t="shared" si="0"/>
        <v>PMOnsite</v>
      </c>
      <c r="E18">
        <f>ROUND(VLOOKUP($C18,RLS!$C$32:$O$36,3, FALSE),2)</f>
        <v>0</v>
      </c>
      <c r="F18">
        <f>ROUND(VLOOKUP($C18,RLS!$C$32:$O$36,3, FALSE),2)</f>
        <v>0</v>
      </c>
      <c r="G18">
        <f>ROUND(VLOOKUP($C18,RLS!$C$32:$O$36,3, FALSE),2)</f>
        <v>0</v>
      </c>
      <c r="H18">
        <f>ROUND(VLOOKUP($C18,RLS!$C$32:$O$36,3, FALSE),2)</f>
        <v>0</v>
      </c>
      <c r="I18">
        <f>ROUND(VLOOKUP($C18,RLS!$C$32:$O$36,3, FALSE),2)</f>
        <v>0</v>
      </c>
      <c r="J18">
        <f>ROUND(VLOOKUP($C18,RLS!$C$32:$O$36,3, FALSE),2)</f>
        <v>0</v>
      </c>
      <c r="K18">
        <f>ROUND(VLOOKUP($C18,RLS!$C$32:$O$36,3, FALSE),2)</f>
        <v>0</v>
      </c>
      <c r="L18">
        <f>ROUND(VLOOKUP($C18,RLS!$C$32:$O$36,3, FALSE),2)</f>
        <v>0</v>
      </c>
      <c r="M18">
        <f>ROUND(VLOOKUP($C18,RLS!$C$32:$O$36,3, FALSE),2)</f>
        <v>0</v>
      </c>
      <c r="N18">
        <f>ROUND(VLOOKUP($C18,RLS!$C$32:$O$36,3, FALSE),2)</f>
        <v>0</v>
      </c>
      <c r="O18">
        <f>ROUND(VLOOKUP($C18,RLS!$C$32:$O$36,3, FALSE),2)</f>
        <v>0</v>
      </c>
      <c r="P18">
        <f>ROUND(VLOOKUP($C18,RLS!$C$32:$O$36,3, FALSE),2)</f>
        <v>0</v>
      </c>
    </row>
    <row r="19" spans="1:16" x14ac:dyDescent="0.35">
      <c r="A19" t="s">
        <v>19</v>
      </c>
      <c r="B19" t="s">
        <v>9</v>
      </c>
      <c r="C19" t="str">
        <f t="shared" si="0"/>
        <v>LeadOnsite</v>
      </c>
      <c r="E19">
        <f>ROUND(VLOOKUP($C19,RLS!$C$32:$O$36,3, FALSE),2)</f>
        <v>1</v>
      </c>
      <c r="F19">
        <f>ROUND(VLOOKUP($C19,RLS!$C$32:$O$36,3, FALSE),2)</f>
        <v>1</v>
      </c>
      <c r="G19">
        <f>ROUND(VLOOKUP($C19,RLS!$C$32:$O$36,3, FALSE),2)</f>
        <v>1</v>
      </c>
      <c r="H19">
        <f>ROUND(VLOOKUP($C19,RLS!$C$32:$O$36,3, FALSE),2)</f>
        <v>1</v>
      </c>
      <c r="I19">
        <f>ROUND(VLOOKUP($C19,RLS!$C$32:$O$36,3, FALSE),2)</f>
        <v>1</v>
      </c>
      <c r="J19">
        <f>ROUND(VLOOKUP($C19,RLS!$C$32:$O$36,3, FALSE),2)</f>
        <v>1</v>
      </c>
      <c r="K19">
        <f>ROUND(VLOOKUP($C19,RLS!$C$32:$O$36,3, FALSE),2)</f>
        <v>1</v>
      </c>
      <c r="L19">
        <f>ROUND(VLOOKUP($C19,RLS!$C$32:$O$36,3, FALSE),2)</f>
        <v>1</v>
      </c>
      <c r="M19">
        <f>ROUND(VLOOKUP($C19,RLS!$C$32:$O$36,3, FALSE),2)</f>
        <v>1</v>
      </c>
      <c r="N19">
        <f>ROUND(VLOOKUP($C19,RLS!$C$32:$O$36,3, FALSE),2)</f>
        <v>1</v>
      </c>
      <c r="O19">
        <f>ROUND(VLOOKUP($C19,RLS!$C$32:$O$36,3, FALSE),2)</f>
        <v>1</v>
      </c>
      <c r="P19">
        <f>ROUND(VLOOKUP($C19,RLS!$C$32:$O$36,3, FALSE),2)</f>
        <v>1</v>
      </c>
    </row>
    <row r="20" spans="1:16" x14ac:dyDescent="0.35">
      <c r="A20" t="s">
        <v>13</v>
      </c>
      <c r="B20" t="s">
        <v>22</v>
      </c>
      <c r="C20" t="str">
        <f t="shared" si="0"/>
        <v>BSAOnsite-Landed</v>
      </c>
      <c r="D20" t="s">
        <v>89</v>
      </c>
      <c r="E20">
        <f>ROUND(VLOOKUP($C20,RLS!$C$37:$O$41,3, FALSE)*'Unit Distribution'!$B$3,2)</f>
        <v>1.33</v>
      </c>
      <c r="F20">
        <f>ROUND(VLOOKUP($C20,RLS!$C$37:$O$41,3, FALSE)*'Unit Distribution'!$B$3,2)</f>
        <v>1.33</v>
      </c>
      <c r="G20">
        <f>ROUND(VLOOKUP($C20,RLS!$C$37:$O$41,3, FALSE)*'Unit Distribution'!$B$3,2)</f>
        <v>1.33</v>
      </c>
      <c r="H20">
        <f>ROUND(VLOOKUP($C20,RLS!$C$37:$O$41,3, FALSE)*'Unit Distribution'!$B$3,2)</f>
        <v>1.33</v>
      </c>
      <c r="I20">
        <f>ROUND(VLOOKUP($C20,RLS!$C$37:$O$41,3, FALSE)*'Unit Distribution'!$B$3,2)</f>
        <v>1.33</v>
      </c>
      <c r="J20">
        <f>ROUND(VLOOKUP($C20,RLS!$C$37:$O$41,3, FALSE)*'Unit Distribution'!$B$3,2)</f>
        <v>1.33</v>
      </c>
      <c r="K20">
        <f>ROUND(VLOOKUP($C20,RLS!$C$37:$O$41,3, FALSE)*'Unit Distribution'!$B$3,2)</f>
        <v>1.33</v>
      </c>
      <c r="L20">
        <f>ROUND(VLOOKUP($C20,RLS!$C$37:$O$41,3, FALSE)*'Unit Distribution'!$B$3,2)</f>
        <v>1.33</v>
      </c>
      <c r="M20">
        <f>ROUND(VLOOKUP($C20,RLS!$C$37:$O$41,3, FALSE)*'Unit Distribution'!$B$3,2)</f>
        <v>1.33</v>
      </c>
      <c r="N20">
        <f>ROUND(VLOOKUP($C20,RLS!$C$37:$O$41,3, FALSE)*'Unit Distribution'!$B$3,2)</f>
        <v>1.33</v>
      </c>
      <c r="O20">
        <f>ROUND(VLOOKUP($C20,RLS!$C$37:$O$41,3, FALSE)*'Unit Distribution'!$B$3,2)</f>
        <v>1.33</v>
      </c>
      <c r="P20">
        <f>ROUND(VLOOKUP($C20,RLS!$C$37:$O$41,3, FALSE)*'Unit Distribution'!$B$3,2)</f>
        <v>1.33</v>
      </c>
    </row>
    <row r="21" spans="1:16" x14ac:dyDescent="0.35">
      <c r="A21" t="s">
        <v>13</v>
      </c>
      <c r="B21" t="s">
        <v>22</v>
      </c>
      <c r="C21" t="str">
        <f t="shared" si="0"/>
        <v>BSAOnsite-Landed</v>
      </c>
      <c r="D21" t="s">
        <v>90</v>
      </c>
      <c r="E21">
        <f>ROUND(VLOOKUP($C21,RLS!$C$37:$O$41,3,FALSE)-E20,2)</f>
        <v>0.67</v>
      </c>
      <c r="F21">
        <f>ROUND(VLOOKUP($C21,RLS!$C$37:$O$41,3,FALSE)-F20,2)</f>
        <v>0.67</v>
      </c>
      <c r="G21">
        <f>ROUND(VLOOKUP($C21,RLS!$C$37:$O$41,3,FALSE)-G20,2)</f>
        <v>0.67</v>
      </c>
      <c r="H21">
        <f>ROUND(VLOOKUP($C21,RLS!$C$37:$O$41,3,FALSE)-H20,2)</f>
        <v>0.67</v>
      </c>
      <c r="I21">
        <f>ROUND(VLOOKUP($C21,RLS!$C$37:$O$41,3,FALSE)-I20,2)</f>
        <v>0.67</v>
      </c>
      <c r="J21">
        <f>ROUND(VLOOKUP($C21,RLS!$C$37:$O$41,3,FALSE)-J20,2)</f>
        <v>0.67</v>
      </c>
      <c r="K21">
        <f>ROUND(VLOOKUP($C21,RLS!$C$37:$O$41,3,FALSE)-K20,2)</f>
        <v>0.67</v>
      </c>
      <c r="L21">
        <f>ROUND(VLOOKUP($C21,RLS!$C$37:$O$41,3,FALSE)-L20,2)</f>
        <v>0.67</v>
      </c>
      <c r="M21">
        <f>ROUND(VLOOKUP($C21,RLS!$C$37:$O$41,3,FALSE)-M20,2)</f>
        <v>0.67</v>
      </c>
      <c r="N21">
        <f>ROUND(VLOOKUP($C21,RLS!$C$37:$O$41,3,FALSE)-N20,2)</f>
        <v>0.67</v>
      </c>
      <c r="O21">
        <f>ROUND(VLOOKUP($C21,RLS!$C$37:$O$41,3,FALSE)-O20,2)</f>
        <v>0.67</v>
      </c>
      <c r="P21">
        <f>ROUND(VLOOKUP($C21,RLS!$C$37:$O$41,3,FALSE)-P20,2)</f>
        <v>0.67</v>
      </c>
    </row>
    <row r="22" spans="1:16" x14ac:dyDescent="0.35">
      <c r="A22" t="s">
        <v>20</v>
      </c>
      <c r="B22" t="s">
        <v>22</v>
      </c>
      <c r="C22" t="str">
        <f t="shared" si="0"/>
        <v>DevOnsite-Landed</v>
      </c>
      <c r="D22" t="s">
        <v>89</v>
      </c>
      <c r="E22">
        <f>ROUND(VLOOKUP($C22,RLS!$C$37:$O$41,3, FALSE)*'Unit Distribution'!$B$3,2)</f>
        <v>2</v>
      </c>
      <c r="F22">
        <f>ROUND(VLOOKUP($C22,RLS!$C$37:$O$41,3, FALSE)*'Unit Distribution'!$B$3,2)</f>
        <v>2</v>
      </c>
      <c r="G22">
        <f>ROUND(VLOOKUP($C22,RLS!$C$37:$O$41,3, FALSE)*'Unit Distribution'!$B$3,2)</f>
        <v>2</v>
      </c>
      <c r="H22">
        <f>ROUND(VLOOKUP($C22,RLS!$C$37:$O$41,3, FALSE)*'Unit Distribution'!$B$3,2)</f>
        <v>2</v>
      </c>
      <c r="I22">
        <f>ROUND(VLOOKUP($C22,RLS!$C$37:$O$41,3, FALSE)*'Unit Distribution'!$B$3,2)</f>
        <v>2</v>
      </c>
      <c r="J22">
        <f>ROUND(VLOOKUP($C22,RLS!$C$37:$O$41,3, FALSE)*'Unit Distribution'!$B$3,2)</f>
        <v>2</v>
      </c>
      <c r="K22">
        <f>ROUND(VLOOKUP($C22,RLS!$C$37:$O$41,3, FALSE)*'Unit Distribution'!$B$3,2)</f>
        <v>2</v>
      </c>
      <c r="L22">
        <f>ROUND(VLOOKUP($C22,RLS!$C$37:$O$41,3, FALSE)*'Unit Distribution'!$B$3,2)</f>
        <v>2</v>
      </c>
      <c r="M22">
        <f>ROUND(VLOOKUP($C22,RLS!$C$37:$O$41,3, FALSE)*'Unit Distribution'!$B$3,2)</f>
        <v>2</v>
      </c>
      <c r="N22">
        <f>ROUND(VLOOKUP($C22,RLS!$C$37:$O$41,3, FALSE)*'Unit Distribution'!$B$3,2)</f>
        <v>2</v>
      </c>
      <c r="O22">
        <f>ROUND(VLOOKUP($C22,RLS!$C$37:$O$41,3, FALSE)*'Unit Distribution'!$B$3,2)</f>
        <v>2</v>
      </c>
      <c r="P22">
        <f>ROUND(VLOOKUP($C22,RLS!$C$37:$O$41,3, FALSE)*'Unit Distribution'!$B$3,2)</f>
        <v>2</v>
      </c>
    </row>
    <row r="23" spans="1:16" x14ac:dyDescent="0.35">
      <c r="A23" t="s">
        <v>20</v>
      </c>
      <c r="B23" t="s">
        <v>22</v>
      </c>
      <c r="C23" t="str">
        <f t="shared" si="0"/>
        <v>DevOnsite-Landed</v>
      </c>
      <c r="D23" t="s">
        <v>90</v>
      </c>
      <c r="E23">
        <f>ROUND(VLOOKUP($C23,RLS!$C$37:$O$41,3,FALSE)-E22,2)</f>
        <v>1</v>
      </c>
      <c r="F23">
        <f>ROUND(VLOOKUP($C23,RLS!$C$37:$O$41,3,FALSE)-F22,2)</f>
        <v>1</v>
      </c>
      <c r="G23">
        <f>ROUND(VLOOKUP($C23,RLS!$C$37:$O$41,3,FALSE)-G22,2)</f>
        <v>1</v>
      </c>
      <c r="H23">
        <f>ROUND(VLOOKUP($C23,RLS!$C$37:$O$41,3,FALSE)-H22,2)</f>
        <v>1</v>
      </c>
      <c r="I23">
        <f>ROUND(VLOOKUP($C23,RLS!$C$37:$O$41,3,FALSE)-I22,2)</f>
        <v>1</v>
      </c>
      <c r="J23">
        <f>ROUND(VLOOKUP($C23,RLS!$C$37:$O$41,3,FALSE)-J22,2)</f>
        <v>1</v>
      </c>
      <c r="K23">
        <f>ROUND(VLOOKUP($C23,RLS!$C$37:$O$41,3,FALSE)-K22,2)</f>
        <v>1</v>
      </c>
      <c r="L23">
        <f>ROUND(VLOOKUP($C23,RLS!$C$37:$O$41,3,FALSE)-L22,2)</f>
        <v>1</v>
      </c>
      <c r="M23">
        <f>ROUND(VLOOKUP($C23,RLS!$C$37:$O$41,3,FALSE)-M22,2)</f>
        <v>1</v>
      </c>
      <c r="N23">
        <f>ROUND(VLOOKUP($C23,RLS!$C$37:$O$41,3,FALSE)-N22,2)</f>
        <v>1</v>
      </c>
      <c r="O23">
        <f>ROUND(VLOOKUP($C23,RLS!$C$37:$O$41,3,FALSE)-O22,2)</f>
        <v>1</v>
      </c>
      <c r="P23">
        <f>ROUND(VLOOKUP($C23,RLS!$C$37:$O$41,3,FALSE)-P22,2)</f>
        <v>1</v>
      </c>
    </row>
    <row r="24" spans="1:16" x14ac:dyDescent="0.35">
      <c r="A24" t="s">
        <v>15</v>
      </c>
      <c r="B24" t="s">
        <v>22</v>
      </c>
      <c r="C24" t="str">
        <f t="shared" si="0"/>
        <v>TesterOnsite-Landed</v>
      </c>
      <c r="D24" t="s">
        <v>89</v>
      </c>
      <c r="E24">
        <f>ROUND(VLOOKUP($C24,RLS!$C$37:$O$41,3, FALSE)*'Unit Distribution'!$B$3,2)</f>
        <v>1.33</v>
      </c>
      <c r="F24">
        <f>ROUND(VLOOKUP($C24,RLS!$C$37:$O$41,3, FALSE)*'Unit Distribution'!$B$3,2)</f>
        <v>1.33</v>
      </c>
      <c r="G24">
        <f>ROUND(VLOOKUP($C24,RLS!$C$37:$O$41,3, FALSE)*'Unit Distribution'!$B$3,2)</f>
        <v>1.33</v>
      </c>
      <c r="H24">
        <f>ROUND(VLOOKUP($C24,RLS!$C$37:$O$41,3, FALSE)*'Unit Distribution'!$B$3,2)</f>
        <v>1.33</v>
      </c>
      <c r="I24">
        <f>ROUND(VLOOKUP($C24,RLS!$C$37:$O$41,3, FALSE)*'Unit Distribution'!$B$3,2)</f>
        <v>1.33</v>
      </c>
      <c r="J24">
        <f>ROUND(VLOOKUP($C24,RLS!$C$37:$O$41,3, FALSE)*'Unit Distribution'!$B$3,2)</f>
        <v>1.33</v>
      </c>
      <c r="K24">
        <f>ROUND(VLOOKUP($C24,RLS!$C$37:$O$41,3, FALSE)*'Unit Distribution'!$B$3,2)</f>
        <v>1.33</v>
      </c>
      <c r="L24">
        <f>ROUND(VLOOKUP($C24,RLS!$C$37:$O$41,3, FALSE)*'Unit Distribution'!$B$3,2)</f>
        <v>1.33</v>
      </c>
      <c r="M24">
        <f>ROUND(VLOOKUP($C24,RLS!$C$37:$O$41,3, FALSE)*'Unit Distribution'!$B$3,2)</f>
        <v>1.33</v>
      </c>
      <c r="N24">
        <f>ROUND(VLOOKUP($C24,RLS!$C$37:$O$41,3, FALSE)*'Unit Distribution'!$B$3,2)</f>
        <v>1.33</v>
      </c>
      <c r="O24">
        <f>ROUND(VLOOKUP($C24,RLS!$C$37:$O$41,3, FALSE)*'Unit Distribution'!$B$3,2)</f>
        <v>1.33</v>
      </c>
      <c r="P24">
        <f>ROUND(VLOOKUP($C24,RLS!$C$37:$O$41,3, FALSE)*'Unit Distribution'!$B$3,2)</f>
        <v>1.33</v>
      </c>
    </row>
    <row r="25" spans="1:16" x14ac:dyDescent="0.35">
      <c r="A25" t="s">
        <v>15</v>
      </c>
      <c r="B25" t="s">
        <v>22</v>
      </c>
      <c r="C25" t="str">
        <f t="shared" si="0"/>
        <v>TesterOnsite-Landed</v>
      </c>
      <c r="D25" t="s">
        <v>90</v>
      </c>
      <c r="E25">
        <f>ROUND(VLOOKUP($C25,RLS!$C$37:$O$41,3,FALSE)-E24,2)</f>
        <v>0.67</v>
      </c>
      <c r="F25">
        <f>ROUND(VLOOKUP($C25,RLS!$C$37:$O$41,3,FALSE)-F24,2)</f>
        <v>0.67</v>
      </c>
      <c r="G25">
        <f>ROUND(VLOOKUP($C25,RLS!$C$37:$O$41,3,FALSE)-G24,2)</f>
        <v>0.67</v>
      </c>
      <c r="H25">
        <f>ROUND(VLOOKUP($C25,RLS!$C$37:$O$41,3,FALSE)-H24,2)</f>
        <v>0.67</v>
      </c>
      <c r="I25">
        <f>ROUND(VLOOKUP($C25,RLS!$C$37:$O$41,3,FALSE)-I24,2)</f>
        <v>0.67</v>
      </c>
      <c r="J25">
        <f>ROUND(VLOOKUP($C25,RLS!$C$37:$O$41,3,FALSE)-J24,2)</f>
        <v>0.67</v>
      </c>
      <c r="K25">
        <f>ROUND(VLOOKUP($C25,RLS!$C$37:$O$41,3,FALSE)-K24,2)</f>
        <v>0.67</v>
      </c>
      <c r="L25">
        <f>ROUND(VLOOKUP($C25,RLS!$C$37:$O$41,3,FALSE)-L24,2)</f>
        <v>0.67</v>
      </c>
      <c r="M25">
        <f>ROUND(VLOOKUP($C25,RLS!$C$37:$O$41,3,FALSE)-M24,2)</f>
        <v>0.67</v>
      </c>
      <c r="N25">
        <f>ROUND(VLOOKUP($C25,RLS!$C$37:$O$41,3,FALSE)-N24,2)</f>
        <v>0.67</v>
      </c>
      <c r="O25">
        <f>ROUND(VLOOKUP($C25,RLS!$C$37:$O$41,3,FALSE)-O24,2)</f>
        <v>0.67</v>
      </c>
      <c r="P25">
        <f>ROUND(VLOOKUP($C25,RLS!$C$37:$O$41,3,FALSE)-P24,2)</f>
        <v>0.67</v>
      </c>
    </row>
    <row r="26" spans="1:16" x14ac:dyDescent="0.35">
      <c r="A26" t="s">
        <v>17</v>
      </c>
      <c r="B26" t="s">
        <v>22</v>
      </c>
      <c r="C26" t="str">
        <f t="shared" si="0"/>
        <v>PMOnsite-Landed</v>
      </c>
      <c r="E26">
        <f>ROUND(VLOOKUP($C26,RLS!$C$37:$O$41,3, FALSE),2)</f>
        <v>0</v>
      </c>
      <c r="F26">
        <f>ROUND(VLOOKUP($C26,RLS!$C$37:$O$41,3, FALSE),2)</f>
        <v>0</v>
      </c>
      <c r="G26">
        <f>ROUND(VLOOKUP($C26,RLS!$C$37:$O$41,3, FALSE),2)</f>
        <v>0</v>
      </c>
      <c r="H26">
        <f>ROUND(VLOOKUP($C26,RLS!$C$37:$O$41,3, FALSE),2)</f>
        <v>0</v>
      </c>
      <c r="I26">
        <f>ROUND(VLOOKUP($C26,RLS!$C$37:$O$41,3, FALSE),2)</f>
        <v>0</v>
      </c>
      <c r="J26">
        <f>ROUND(VLOOKUP($C26,RLS!$C$37:$O$41,3, FALSE),2)</f>
        <v>0</v>
      </c>
      <c r="K26">
        <f>ROUND(VLOOKUP($C26,RLS!$C$37:$O$41,3, FALSE),2)</f>
        <v>0</v>
      </c>
      <c r="L26">
        <f>ROUND(VLOOKUP($C26,RLS!$C$37:$O$41,3, FALSE),2)</f>
        <v>0</v>
      </c>
      <c r="M26">
        <f>ROUND(VLOOKUP($C26,RLS!$C$37:$O$41,3, FALSE),2)</f>
        <v>0</v>
      </c>
      <c r="N26">
        <f>ROUND(VLOOKUP($C26,RLS!$C$37:$O$41,3, FALSE),2)</f>
        <v>0</v>
      </c>
      <c r="O26">
        <f>ROUND(VLOOKUP($C26,RLS!$C$37:$O$41,3, FALSE),2)</f>
        <v>0</v>
      </c>
      <c r="P26">
        <f>ROUND(VLOOKUP($C26,RLS!$C$37:$O$41,3, FALSE),2)</f>
        <v>0</v>
      </c>
    </row>
    <row r="27" spans="1:16" x14ac:dyDescent="0.35">
      <c r="A27" t="s">
        <v>19</v>
      </c>
      <c r="B27" t="s">
        <v>22</v>
      </c>
      <c r="C27" t="str">
        <f t="shared" si="0"/>
        <v>LeadOnsite-Landed</v>
      </c>
      <c r="E27">
        <f>ROUND(VLOOKUP($C27,RLS!$C$37:$O$41,3, FALSE),2)</f>
        <v>0</v>
      </c>
      <c r="F27">
        <f>ROUND(VLOOKUP($C27,RLS!$C$37:$O$41,3, FALSE),2)</f>
        <v>0</v>
      </c>
      <c r="G27">
        <f>ROUND(VLOOKUP($C27,RLS!$C$37:$O$41,3, FALSE),2)</f>
        <v>0</v>
      </c>
      <c r="H27">
        <f>ROUND(VLOOKUP($C27,RLS!$C$37:$O$41,3, FALSE),2)</f>
        <v>0</v>
      </c>
      <c r="I27">
        <f>ROUND(VLOOKUP($C27,RLS!$C$37:$O$41,3, FALSE),2)</f>
        <v>0</v>
      </c>
      <c r="J27">
        <f>ROUND(VLOOKUP($C27,RLS!$C$37:$O$41,3, FALSE),2)</f>
        <v>0</v>
      </c>
      <c r="K27">
        <f>ROUND(VLOOKUP($C27,RLS!$C$37:$O$41,3, FALSE),2)</f>
        <v>0</v>
      </c>
      <c r="L27">
        <f>ROUND(VLOOKUP($C27,RLS!$C$37:$O$41,3, FALSE),2)</f>
        <v>0</v>
      </c>
      <c r="M27">
        <f>ROUND(VLOOKUP($C27,RLS!$C$37:$O$41,3, FALSE),2)</f>
        <v>0</v>
      </c>
      <c r="N27">
        <f>ROUND(VLOOKUP($C27,RLS!$C$37:$O$41,3, FALSE),2)</f>
        <v>0</v>
      </c>
      <c r="O27">
        <f>ROUND(VLOOKUP($C27,RLS!$C$37:$O$41,3, FALSE),2)</f>
        <v>0</v>
      </c>
      <c r="P27">
        <f>ROUND(VLOOKUP($C27,RLS!$C$37:$O$41,3, FALSE),2)</f>
        <v>0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bb5d96ea-ab39-44a0-a6d6-b6f0aac5958b}" enabled="1" method="Standard" siteId="{76a2ae5a-9f00-4f6b-95ed-5d33d77c4d61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FTE</vt:lpstr>
      <vt:lpstr>India Role Distribution</vt:lpstr>
      <vt:lpstr>Onsite Role Distribution</vt:lpstr>
      <vt:lpstr>Productivity</vt:lpstr>
      <vt:lpstr>Unit Distribution</vt:lpstr>
      <vt:lpstr>Transfer</vt:lpstr>
      <vt:lpstr>RLS</vt:lpstr>
      <vt:lpstr>RLS Detail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Prasad, Mukesh Kumar</dc:creator>
  <cp:keywords/>
  <dc:description/>
  <cp:lastModifiedBy>Prasad, Mukesh Kumar</cp:lastModifiedBy>
  <cp:revision/>
  <dcterms:created xsi:type="dcterms:W3CDTF">2026-09-26T16:21:00Z</dcterms:created>
  <dcterms:modified xsi:type="dcterms:W3CDTF">2026-09-26T21:19:33Z</dcterms:modified>
  <cp:category/>
  <cp:contentStatus/>
</cp:coreProperties>
</file>