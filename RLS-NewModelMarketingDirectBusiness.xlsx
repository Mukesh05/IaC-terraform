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256186c38449ae/Documents/mlj/"/>
    </mc:Choice>
  </mc:AlternateContent>
  <xr:revisionPtr revIDLastSave="64" documentId="11_727033C4A6E99776E449116921266F6C7BB1E6C6" xr6:coauthVersionLast="47" xr6:coauthVersionMax="47" xr10:uidLastSave="{7EF255A4-F3FD-4185-A27B-321AD8816CEB}"/>
  <bookViews>
    <workbookView xWindow="28690" yWindow="-80" windowWidth="38620" windowHeight="21100" activeTab="8" xr2:uid="{00000000-000D-0000-FFFF-FFFF00000000}"/>
  </bookViews>
  <sheets>
    <sheet name="FTE" sheetId="1" r:id="rId1"/>
    <sheet name="India Role Distribution" sheetId="2" r:id="rId2"/>
    <sheet name="Onsite Role Distribution" sheetId="3" r:id="rId3"/>
    <sheet name="Productivity" sheetId="4" r:id="rId4"/>
    <sheet name="Unit Distribution" sheetId="5" r:id="rId5"/>
    <sheet name="Transfer" sheetId="6" r:id="rId6"/>
    <sheet name="RLS" sheetId="7" r:id="rId7"/>
    <sheet name="RLS Detail" sheetId="8" r:id="rId8"/>
    <sheet name="RLS Detail Copy" sheetId="9" r:id="rId9"/>
  </sheets>
  <definedNames>
    <definedName name="_xlnm._FilterDatabase" localSheetId="8" hidden="1">'RLS Detail Copy'!$A$1:$BM$36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1" i="7" l="1"/>
  <c r="BJ41" i="7"/>
  <c r="BI41" i="7"/>
  <c r="BH41" i="7"/>
  <c r="BG41" i="7"/>
  <c r="BF41" i="7"/>
  <c r="BE41" i="7"/>
  <c r="BD41" i="7"/>
  <c r="BC41" i="7"/>
  <c r="BB41" i="7"/>
  <c r="BA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K40" i="7"/>
  <c r="BJ40" i="7"/>
  <c r="BI40" i="7"/>
  <c r="BH40" i="7"/>
  <c r="BG40" i="7"/>
  <c r="BF40" i="7"/>
  <c r="BE40" i="7"/>
  <c r="BD40" i="7"/>
  <c r="BC40" i="7"/>
  <c r="BB40" i="7"/>
  <c r="BA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K39" i="7"/>
  <c r="BJ39" i="7"/>
  <c r="BI39" i="7"/>
  <c r="BH39" i="7"/>
  <c r="BG39" i="7"/>
  <c r="BF39" i="7"/>
  <c r="BE39" i="7"/>
  <c r="BD39" i="7"/>
  <c r="BC39" i="7"/>
  <c r="BB39" i="7"/>
  <c r="BA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K38" i="7"/>
  <c r="BJ38" i="7"/>
  <c r="BI38" i="7"/>
  <c r="BH38" i="7"/>
  <c r="BG38" i="7"/>
  <c r="BF38" i="7"/>
  <c r="BE38" i="7"/>
  <c r="BD38" i="7"/>
  <c r="BC38" i="7"/>
  <c r="BB38" i="7"/>
  <c r="BA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K37" i="7"/>
  <c r="BJ37" i="7"/>
  <c r="BI37" i="7"/>
  <c r="BH37" i="7"/>
  <c r="BG37" i="7"/>
  <c r="BF37" i="7"/>
  <c r="BE37" i="7"/>
  <c r="BD37" i="7"/>
  <c r="BC37" i="7"/>
  <c r="BB37" i="7"/>
  <c r="BA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K36" i="7"/>
  <c r="BJ36" i="7"/>
  <c r="BI36" i="7"/>
  <c r="BH36" i="7"/>
  <c r="BG36" i="7"/>
  <c r="BF36" i="7"/>
  <c r="BE36" i="7"/>
  <c r="BD36" i="7"/>
  <c r="BC36" i="7"/>
  <c r="BB36" i="7"/>
  <c r="BA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K35" i="7"/>
  <c r="BJ35" i="7"/>
  <c r="BI35" i="7"/>
  <c r="BH35" i="7"/>
  <c r="BG35" i="7"/>
  <c r="BF35" i="7"/>
  <c r="BE35" i="7"/>
  <c r="BD35" i="7"/>
  <c r="BC35" i="7"/>
  <c r="BB35" i="7"/>
  <c r="BA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K34" i="7"/>
  <c r="BJ34" i="7"/>
  <c r="BI34" i="7"/>
  <c r="BH34" i="7"/>
  <c r="BG34" i="7"/>
  <c r="BF34" i="7"/>
  <c r="BE34" i="7"/>
  <c r="BD34" i="7"/>
  <c r="BC34" i="7"/>
  <c r="BB34" i="7"/>
  <c r="BA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K32" i="7"/>
  <c r="BJ32" i="7"/>
  <c r="BI32" i="7"/>
  <c r="BH32" i="7"/>
  <c r="BG32" i="7"/>
  <c r="BF32" i="7"/>
  <c r="BE32" i="7"/>
  <c r="BD32" i="7"/>
  <c r="BC32" i="7"/>
  <c r="BB32" i="7"/>
  <c r="BA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K31" i="7"/>
  <c r="BJ31" i="7"/>
  <c r="BI31" i="7"/>
  <c r="BH31" i="7"/>
  <c r="BG31" i="7"/>
  <c r="BF31" i="7"/>
  <c r="BE31" i="7"/>
  <c r="BD31" i="7"/>
  <c r="BC31" i="7"/>
  <c r="BB31" i="7"/>
  <c r="BA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C31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C30" i="7"/>
  <c r="BK29" i="7"/>
  <c r="BJ29" i="7"/>
  <c r="BI29" i="7"/>
  <c r="BH29" i="7"/>
  <c r="BG29" i="7"/>
  <c r="BF29" i="7"/>
  <c r="BE29" i="7"/>
  <c r="BD29" i="7"/>
  <c r="BC29" i="7"/>
  <c r="BB29" i="7"/>
  <c r="BA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K28" i="7"/>
  <c r="BJ28" i="7"/>
  <c r="BI28" i="7"/>
  <c r="BH28" i="7"/>
  <c r="BG28" i="7"/>
  <c r="BF28" i="7"/>
  <c r="BE28" i="7"/>
  <c r="BD28" i="7"/>
  <c r="BC28" i="7"/>
  <c r="BB28" i="7"/>
  <c r="BA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C5" i="5"/>
  <c r="B5" i="5"/>
  <c r="F4" i="5"/>
  <c r="E4" i="5"/>
  <c r="D4" i="5"/>
  <c r="C4" i="5"/>
  <c r="B4" i="5"/>
  <c r="F3" i="5"/>
  <c r="E3" i="5"/>
  <c r="D3" i="5"/>
  <c r="C3" i="5"/>
  <c r="B3" i="5"/>
  <c r="C13" i="2"/>
  <c r="F6" i="1"/>
  <c r="F8" i="1" s="1"/>
  <c r="E6" i="1"/>
  <c r="E8" i="1" s="1"/>
  <c r="D6" i="1"/>
  <c r="D8" i="1" s="1"/>
  <c r="C6" i="1"/>
  <c r="C8" i="1" s="1"/>
  <c r="B6" i="1"/>
  <c r="B8" i="1" s="1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BI14" i="8" l="1"/>
  <c r="AI3" i="8"/>
  <c r="X26" i="7"/>
  <c r="BC20" i="8"/>
  <c r="BJ15" i="8"/>
  <c r="Z26" i="7"/>
  <c r="BK36" i="8"/>
  <c r="BC28" i="8"/>
  <c r="AW5" i="8"/>
  <c r="AU29" i="8"/>
  <c r="W26" i="7"/>
  <c r="AS18" i="8"/>
  <c r="AZ32" i="8"/>
  <c r="AL9" i="8"/>
  <c r="BI34" i="8"/>
  <c r="BJ35" i="8"/>
  <c r="AX28" i="8"/>
  <c r="K35" i="8"/>
  <c r="Y30" i="8"/>
  <c r="AA35" i="8"/>
  <c r="BG24" i="8"/>
  <c r="AX31" i="8"/>
  <c r="AB35" i="8"/>
  <c r="AO28" i="8"/>
  <c r="AW28" i="8"/>
  <c r="AB10" i="8"/>
  <c r="L35" i="8"/>
  <c r="N35" i="8"/>
  <c r="BH25" i="8"/>
  <c r="AD35" i="8"/>
  <c r="AC5" i="8"/>
  <c r="AR26" i="8"/>
  <c r="T32" i="8"/>
  <c r="AP35" i="8"/>
  <c r="AD32" i="8"/>
  <c r="AN5" i="8"/>
  <c r="AQ5" i="8"/>
  <c r="AI5" i="8"/>
  <c r="AI4" i="8" s="1"/>
  <c r="Y16" i="8"/>
  <c r="X26" i="8"/>
  <c r="AB32" i="8"/>
  <c r="AQ35" i="8"/>
  <c r="AC27" i="7"/>
  <c r="AZ6" i="8"/>
  <c r="N27" i="8"/>
  <c r="AR35" i="8"/>
  <c r="AY6" i="8"/>
  <c r="E26" i="8"/>
  <c r="N36" i="8"/>
  <c r="AK5" i="8"/>
  <c r="W6" i="8"/>
  <c r="AX11" i="8"/>
  <c r="L26" i="8"/>
  <c r="AJ36" i="8"/>
  <c r="Z6" i="8"/>
  <c r="AX12" i="8"/>
  <c r="M26" i="8"/>
  <c r="AT32" i="8"/>
  <c r="AE35" i="8"/>
  <c r="AR36" i="8"/>
  <c r="AA10" i="8"/>
  <c r="X12" i="8"/>
  <c r="AL12" i="8"/>
  <c r="AR12" i="8"/>
  <c r="S13" i="8"/>
  <c r="AO13" i="8"/>
  <c r="AG14" i="8"/>
  <c r="AA26" i="7"/>
  <c r="AL18" i="8"/>
  <c r="O35" i="8"/>
  <c r="AV6" i="8"/>
  <c r="AY12" i="8"/>
  <c r="R22" i="8"/>
  <c r="Q26" i="8"/>
  <c r="E32" i="8"/>
  <c r="E35" i="8"/>
  <c r="AJ35" i="8"/>
  <c r="R7" i="8"/>
  <c r="BJ26" i="8"/>
  <c r="AX6" i="8"/>
  <c r="P22" i="8"/>
  <c r="T26" i="8"/>
  <c r="AF28" i="8"/>
  <c r="N32" i="8"/>
  <c r="G35" i="8"/>
  <c r="AM35" i="8"/>
  <c r="G6" i="8"/>
  <c r="AI14" i="8"/>
  <c r="Z26" i="8"/>
  <c r="H6" i="8"/>
  <c r="BG8" i="8"/>
  <c r="X24" i="8"/>
  <c r="AF26" i="8"/>
  <c r="I6" i="8"/>
  <c r="AU8" i="8"/>
  <c r="AH26" i="8"/>
  <c r="AX29" i="8"/>
  <c r="AH32" i="8"/>
  <c r="P35" i="8"/>
  <c r="AT35" i="8"/>
  <c r="AJ27" i="7"/>
  <c r="V26" i="7"/>
  <c r="K6" i="8"/>
  <c r="AY8" i="8"/>
  <c r="BD17" i="8"/>
  <c r="T25" i="8"/>
  <c r="AI26" i="8"/>
  <c r="S29" i="8"/>
  <c r="AN32" i="8"/>
  <c r="T35" i="8"/>
  <c r="AV35" i="8"/>
  <c r="AK27" i="7"/>
  <c r="BD5" i="8"/>
  <c r="O6" i="8"/>
  <c r="O9" i="8"/>
  <c r="AW25" i="8"/>
  <c r="AL26" i="8"/>
  <c r="AP29" i="8"/>
  <c r="AP32" i="8"/>
  <c r="W35" i="8"/>
  <c r="AZ35" i="8"/>
  <c r="AL27" i="7"/>
  <c r="U6" i="8"/>
  <c r="AP26" i="8"/>
  <c r="V6" i="8"/>
  <c r="AV26" i="8"/>
  <c r="BK15" i="8"/>
  <c r="AP3" i="8"/>
  <c r="AP6" i="8"/>
  <c r="AX8" i="8"/>
  <c r="AR9" i="8"/>
  <c r="AL11" i="8"/>
  <c r="AP13" i="8"/>
  <c r="AS14" i="8"/>
  <c r="AH17" i="8"/>
  <c r="BA18" i="8"/>
  <c r="AL24" i="8"/>
  <c r="X25" i="8"/>
  <c r="AK26" i="8"/>
  <c r="AP28" i="8"/>
  <c r="AQ29" i="8"/>
  <c r="K32" i="8"/>
  <c r="AH34" i="8"/>
  <c r="BH36" i="8"/>
  <c r="BI25" i="8"/>
  <c r="AS9" i="8"/>
  <c r="AN11" i="8"/>
  <c r="AT15" i="8"/>
  <c r="AJ17" i="8"/>
  <c r="S22" i="8"/>
  <c r="AM24" i="8"/>
  <c r="Z25" i="8"/>
  <c r="AL34" i="8"/>
  <c r="S26" i="7"/>
  <c r="BG36" i="8"/>
  <c r="BJ14" i="8"/>
  <c r="AR34" i="8"/>
  <c r="BG35" i="8"/>
  <c r="BH24" i="8"/>
  <c r="AO11" i="8"/>
  <c r="AR11" i="8"/>
  <c r="AQ17" i="8"/>
  <c r="BJ23" i="8"/>
  <c r="BL25" i="8"/>
  <c r="AF25" i="8"/>
  <c r="R30" i="8"/>
  <c r="AS34" i="8"/>
  <c r="BF35" i="8"/>
  <c r="BI13" i="8"/>
  <c r="AW3" i="8"/>
  <c r="AX3" i="8"/>
  <c r="AV9" i="8"/>
  <c r="T15" i="8"/>
  <c r="V22" i="8"/>
  <c r="G3" i="8"/>
  <c r="E9" i="8"/>
  <c r="AY9" i="8"/>
  <c r="AS13" i="8"/>
  <c r="AI15" i="8"/>
  <c r="AJ20" i="8"/>
  <c r="M3" i="8"/>
  <c r="J6" i="8"/>
  <c r="L9" i="8"/>
  <c r="R14" i="8"/>
  <c r="AK15" i="8"/>
  <c r="BB18" i="8"/>
  <c r="AZ20" i="8"/>
  <c r="AD23" i="8"/>
  <c r="F25" i="8"/>
  <c r="AH25" i="8"/>
  <c r="P26" i="8"/>
  <c r="N29" i="8"/>
  <c r="U30" i="8"/>
  <c r="AC32" i="8"/>
  <c r="AC35" i="8"/>
  <c r="M36" i="8"/>
  <c r="J10" i="8"/>
  <c r="I16" i="8"/>
  <c r="H22" i="8"/>
  <c r="H32" i="8"/>
  <c r="BF34" i="8"/>
  <c r="BG23" i="8"/>
  <c r="BH13" i="8"/>
  <c r="AM17" i="8"/>
  <c r="AS24" i="8"/>
  <c r="AE25" i="8"/>
  <c r="O3" i="8"/>
  <c r="Q7" i="8"/>
  <c r="R10" i="8"/>
  <c r="R12" i="8"/>
  <c r="F14" i="8"/>
  <c r="L18" i="8"/>
  <c r="BA20" i="8"/>
  <c r="AR23" i="8"/>
  <c r="J25" i="8"/>
  <c r="AI25" i="8"/>
  <c r="Q29" i="8"/>
  <c r="V30" i="8"/>
  <c r="K10" i="8"/>
  <c r="K12" i="8"/>
  <c r="I22" i="8"/>
  <c r="I26" i="8"/>
  <c r="I32" i="8"/>
  <c r="BE34" i="8"/>
  <c r="BF23" i="8"/>
  <c r="BG11" i="8"/>
  <c r="S10" i="8"/>
  <c r="P14" i="8"/>
  <c r="M16" i="8"/>
  <c r="T18" i="8"/>
  <c r="AQ21" i="8"/>
  <c r="AT23" i="8"/>
  <c r="L25" i="8"/>
  <c r="AN25" i="8"/>
  <c r="R29" i="8"/>
  <c r="X36" i="8"/>
  <c r="K30" i="7"/>
  <c r="L13" i="8" s="1"/>
  <c r="AI27" i="7"/>
  <c r="BD32" i="8"/>
  <c r="BE21" i="8"/>
  <c r="BF11" i="8"/>
  <c r="AX9" i="8"/>
  <c r="U9" i="8"/>
  <c r="U14" i="8"/>
  <c r="T16" i="8"/>
  <c r="U18" i="8"/>
  <c r="P21" i="8"/>
  <c r="AZ23" i="8"/>
  <c r="M25" i="8"/>
  <c r="AP25" i="8"/>
  <c r="AF36" i="8"/>
  <c r="BC31" i="8"/>
  <c r="BD21" i="8"/>
  <c r="BE9" i="8"/>
  <c r="R9" i="8"/>
  <c r="Y9" i="8"/>
  <c r="V14" i="8"/>
  <c r="U16" i="8"/>
  <c r="AB18" i="8"/>
  <c r="AJ21" i="8"/>
  <c r="AO24" i="8"/>
  <c r="P25" i="8"/>
  <c r="AR25" i="8"/>
  <c r="AJ28" i="8"/>
  <c r="T29" i="8"/>
  <c r="AN31" i="8"/>
  <c r="AM27" i="7"/>
  <c r="BB31" i="8"/>
  <c r="BD20" i="8"/>
  <c r="BD8" i="8"/>
  <c r="AK12" i="8"/>
  <c r="Y10" i="8"/>
  <c r="AA9" i="8"/>
  <c r="AD14" i="8"/>
  <c r="V16" i="8"/>
  <c r="AK18" i="8"/>
  <c r="AR21" i="8"/>
  <c r="P24" i="8"/>
  <c r="R25" i="8"/>
  <c r="AT25" i="8"/>
  <c r="AL28" i="8"/>
  <c r="Z29" i="8"/>
  <c r="AR31" i="8"/>
  <c r="BB6" i="8"/>
  <c r="BL28" i="8"/>
  <c r="BC8" i="8"/>
  <c r="W10" i="8"/>
  <c r="AP8" i="8"/>
  <c r="AR8" i="8"/>
  <c r="AR5" i="8"/>
  <c r="X6" i="8"/>
  <c r="AT8" i="8"/>
  <c r="AD9" i="8"/>
  <c r="R24" i="8"/>
  <c r="S25" i="8"/>
  <c r="AU25" i="8"/>
  <c r="AN28" i="8"/>
  <c r="AI29" i="8"/>
  <c r="H30" i="7"/>
  <c r="I13" i="8" s="1"/>
  <c r="P26" i="7"/>
  <c r="AB3" i="8" s="1"/>
  <c r="BK28" i="8"/>
  <c r="BL17" i="8"/>
  <c r="BL5" i="8"/>
  <c r="AG27" i="7"/>
  <c r="AB27" i="8"/>
  <c r="AA27" i="8"/>
  <c r="X27" i="8"/>
  <c r="T27" i="8"/>
  <c r="S27" i="8"/>
  <c r="R27" i="8"/>
  <c r="P27" i="8"/>
  <c r="BD9" i="8"/>
  <c r="K4" i="8"/>
  <c r="L4" i="8"/>
  <c r="AZ12" i="8"/>
  <c r="BK12" i="8"/>
  <c r="AU12" i="8"/>
  <c r="AH12" i="8"/>
  <c r="U12" i="8"/>
  <c r="H12" i="8"/>
  <c r="BL12" i="8"/>
  <c r="AS12" i="8"/>
  <c r="AF12" i="8"/>
  <c r="S12" i="8"/>
  <c r="E12" i="8"/>
  <c r="BB12" i="8"/>
  <c r="BC12" i="8"/>
  <c r="AQ12" i="8"/>
  <c r="AD12" i="8"/>
  <c r="Q12" i="8"/>
  <c r="AO12" i="8"/>
  <c r="N12" i="8"/>
  <c r="BD12" i="8"/>
  <c r="AP12" i="8"/>
  <c r="AC12" i="8"/>
  <c r="O12" i="8"/>
  <c r="BE12" i="8"/>
  <c r="AA12" i="8"/>
  <c r="BF12" i="8"/>
  <c r="BA12" i="8"/>
  <c r="AM12" i="8"/>
  <c r="Z12" i="8"/>
  <c r="M12" i="8"/>
  <c r="BI12" i="8"/>
  <c r="AW12" i="8"/>
  <c r="AJ12" i="8"/>
  <c r="W12" i="8"/>
  <c r="J12" i="8"/>
  <c r="BJ12" i="8"/>
  <c r="AV12" i="8"/>
  <c r="AI12" i="8"/>
  <c r="V12" i="8"/>
  <c r="I12" i="8"/>
  <c r="AT12" i="8"/>
  <c r="AG12" i="8"/>
  <c r="T12" i="8"/>
  <c r="F12" i="8"/>
  <c r="BI26" i="8"/>
  <c r="BH12" i="8"/>
  <c r="G4" i="8"/>
  <c r="M4" i="8"/>
  <c r="N4" i="8"/>
  <c r="L12" i="8"/>
  <c r="BA9" i="8"/>
  <c r="BA26" i="8"/>
  <c r="BC32" i="8"/>
  <c r="BG12" i="8"/>
  <c r="L10" i="8"/>
  <c r="F10" i="8"/>
  <c r="P7" i="8"/>
  <c r="L16" i="8"/>
  <c r="P10" i="8"/>
  <c r="N10" i="8"/>
  <c r="O4" i="8"/>
  <c r="I4" i="8"/>
  <c r="F4" i="8"/>
  <c r="P4" i="8"/>
  <c r="J4" i="8"/>
  <c r="Y19" i="8"/>
  <c r="V19" i="8"/>
  <c r="R19" i="8"/>
  <c r="K19" i="8"/>
  <c r="G19" i="8"/>
  <c r="F19" i="8"/>
  <c r="AB19" i="8"/>
  <c r="AA19" i="8"/>
  <c r="X19" i="8"/>
  <c r="T19" i="8"/>
  <c r="AU3" i="8"/>
  <c r="BB3" i="8"/>
  <c r="AM3" i="8"/>
  <c r="P3" i="8"/>
  <c r="BC3" i="8"/>
  <c r="BD3" i="8"/>
  <c r="AJ3" i="8"/>
  <c r="N3" i="8"/>
  <c r="BE3" i="8"/>
  <c r="BF3" i="8"/>
  <c r="BA3" i="8"/>
  <c r="AD3" i="8"/>
  <c r="K3" i="8"/>
  <c r="BG3" i="8"/>
  <c r="AY3" i="8"/>
  <c r="AC3" i="8"/>
  <c r="H3" i="8"/>
  <c r="BH3" i="8"/>
  <c r="BI3" i="8"/>
  <c r="BL3" i="8"/>
  <c r="AO3" i="8"/>
  <c r="AK3" i="8"/>
  <c r="BE18" i="8"/>
  <c r="AX18" i="8"/>
  <c r="AF18" i="8"/>
  <c r="O18" i="8"/>
  <c r="AW18" i="8"/>
  <c r="BF18" i="8"/>
  <c r="N18" i="8"/>
  <c r="BG18" i="8"/>
  <c r="AT18" i="8"/>
  <c r="AC18" i="8"/>
  <c r="M18" i="8"/>
  <c r="BH18" i="8"/>
  <c r="BI18" i="8"/>
  <c r="AP18" i="8"/>
  <c r="AA18" i="8"/>
  <c r="J18" i="8"/>
  <c r="BJ18" i="8"/>
  <c r="AO18" i="8"/>
  <c r="Y18" i="8"/>
  <c r="I18" i="8"/>
  <c r="X18" i="8"/>
  <c r="BK18" i="8"/>
  <c r="BK19" i="8" s="1"/>
  <c r="AN18" i="8"/>
  <c r="H18" i="8"/>
  <c r="BL18" i="8"/>
  <c r="AM18" i="8"/>
  <c r="V18" i="8"/>
  <c r="F18" i="8"/>
  <c r="BC18" i="8"/>
  <c r="AZ18" i="8"/>
  <c r="AJ18" i="8"/>
  <c r="Q18" i="8"/>
  <c r="BD18" i="8"/>
  <c r="AY18" i="8"/>
  <c r="AH18" i="8"/>
  <c r="P18" i="8"/>
  <c r="AD18" i="8"/>
  <c r="BK3" i="8"/>
  <c r="AR3" i="8"/>
  <c r="Y12" i="8"/>
  <c r="F3" i="8"/>
  <c r="AS3" i="8"/>
  <c r="AE12" i="8"/>
  <c r="G16" i="8"/>
  <c r="E18" i="8"/>
  <c r="AL20" i="8"/>
  <c r="BG20" i="8"/>
  <c r="AU20" i="8"/>
  <c r="AN20" i="8"/>
  <c r="BH20" i="8"/>
  <c r="BI20" i="8"/>
  <c r="AK20" i="8"/>
  <c r="BJ20" i="8"/>
  <c r="BK20" i="8"/>
  <c r="AI20" i="8"/>
  <c r="BL20" i="8"/>
  <c r="AG20" i="8"/>
  <c r="AF20" i="8"/>
  <c r="BB20" i="8"/>
  <c r="AC20" i="8"/>
  <c r="BE20" i="8"/>
  <c r="AX20" i="8"/>
  <c r="AX19" i="8" s="1"/>
  <c r="BF20" i="8"/>
  <c r="AW20" i="8"/>
  <c r="BL29" i="8"/>
  <c r="BJ3" i="8"/>
  <c r="R6" i="8"/>
  <c r="AR6" i="8"/>
  <c r="AC13" i="8"/>
  <c r="AT17" i="8"/>
  <c r="AF5" i="8"/>
  <c r="F6" i="8"/>
  <c r="T6" i="8"/>
  <c r="AT6" i="8"/>
  <c r="AT7" i="8" s="1"/>
  <c r="N9" i="8"/>
  <c r="AP9" i="8"/>
  <c r="AH11" i="8"/>
  <c r="AE13" i="8"/>
  <c r="T14" i="8"/>
  <c r="R15" i="8"/>
  <c r="K16" i="8"/>
  <c r="AD17" i="8"/>
  <c r="AX17" i="8"/>
  <c r="K26" i="8"/>
  <c r="AD26" i="8"/>
  <c r="AZ26" i="8"/>
  <c r="AV31" i="8"/>
  <c r="W32" i="8"/>
  <c r="AV32" i="8"/>
  <c r="AP34" i="8"/>
  <c r="J35" i="8"/>
  <c r="Z35" i="8"/>
  <c r="AO35" i="8"/>
  <c r="I36" i="8"/>
  <c r="AC36" i="8"/>
  <c r="AZ36" i="8"/>
  <c r="BJ36" i="8"/>
  <c r="BI35" i="8"/>
  <c r="BH34" i="8"/>
  <c r="BF32" i="8"/>
  <c r="BE31" i="8"/>
  <c r="BC29" i="8"/>
  <c r="BB28" i="8"/>
  <c r="BL26" i="8"/>
  <c r="BK25" i="8"/>
  <c r="BJ24" i="8"/>
  <c r="BI23" i="8"/>
  <c r="BG21" i="8"/>
  <c r="BC17" i="8"/>
  <c r="BL14" i="8"/>
  <c r="BK13" i="8"/>
  <c r="BI11" i="8"/>
  <c r="BG9" i="8"/>
  <c r="BF8" i="8"/>
  <c r="BD6" i="8"/>
  <c r="BC5" i="8"/>
  <c r="AU6" i="8"/>
  <c r="AJ11" i="8"/>
  <c r="AH13" i="8"/>
  <c r="S15" i="8"/>
  <c r="AF17" i="8"/>
  <c r="BA17" i="8"/>
  <c r="Y32" i="8"/>
  <c r="AX32" i="8"/>
  <c r="AQ34" i="8"/>
  <c r="J36" i="8"/>
  <c r="AD36" i="8"/>
  <c r="BA36" i="8"/>
  <c r="T26" i="7"/>
  <c r="BI36" i="8"/>
  <c r="BH35" i="8"/>
  <c r="BG34" i="8"/>
  <c r="BE32" i="8"/>
  <c r="BD31" i="8"/>
  <c r="BB29" i="8"/>
  <c r="BK26" i="8"/>
  <c r="BJ25" i="8"/>
  <c r="BI24" i="8"/>
  <c r="BH23" i="8"/>
  <c r="BF21" i="8"/>
  <c r="BB17" i="8"/>
  <c r="BL15" i="8"/>
  <c r="BK14" i="8"/>
  <c r="BJ13" i="8"/>
  <c r="BH11" i="8"/>
  <c r="BF9" i="8"/>
  <c r="BE8" i="8"/>
  <c r="BC6" i="8"/>
  <c r="BB5" i="8"/>
  <c r="AT13" i="8"/>
  <c r="AJ15" i="8"/>
  <c r="AL17" i="8"/>
  <c r="AW34" i="8"/>
  <c r="O36" i="8"/>
  <c r="AL36" i="8"/>
  <c r="BF36" i="8"/>
  <c r="BE35" i="8"/>
  <c r="BD34" i="8"/>
  <c r="BB32" i="8"/>
  <c r="BK29" i="8"/>
  <c r="BJ28" i="8"/>
  <c r="BJ27" i="8" s="1"/>
  <c r="BH26" i="8"/>
  <c r="BG25" i="8"/>
  <c r="BF24" i="8"/>
  <c r="BE23" i="8"/>
  <c r="BC21" i="8"/>
  <c r="BK17" i="8"/>
  <c r="BI15" i="8"/>
  <c r="BH14" i="8"/>
  <c r="BG13" i="8"/>
  <c r="BE11" i="8"/>
  <c r="BC9" i="8"/>
  <c r="BB8" i="8"/>
  <c r="BL6" i="8"/>
  <c r="BK5" i="8"/>
  <c r="AC34" i="8"/>
  <c r="AZ34" i="8"/>
  <c r="P36" i="8"/>
  <c r="AM36" i="8"/>
  <c r="BE36" i="8"/>
  <c r="BD35" i="8"/>
  <c r="BC34" i="8"/>
  <c r="BL31" i="8"/>
  <c r="BJ29" i="8"/>
  <c r="BI28" i="8"/>
  <c r="BG26" i="8"/>
  <c r="BF25" i="8"/>
  <c r="BE24" i="8"/>
  <c r="BD23" i="8"/>
  <c r="BB21" i="8"/>
  <c r="BJ17" i="8"/>
  <c r="BH15" i="8"/>
  <c r="BG14" i="8"/>
  <c r="BF13" i="8"/>
  <c r="BD11" i="8"/>
  <c r="BB9" i="8"/>
  <c r="BK6" i="8"/>
  <c r="BJ5" i="8"/>
  <c r="AS5" i="8"/>
  <c r="L6" i="8"/>
  <c r="AA6" i="8"/>
  <c r="BA8" i="8"/>
  <c r="AB9" i="8"/>
  <c r="Z10" i="8"/>
  <c r="AU11" i="8"/>
  <c r="BA13" i="8"/>
  <c r="AP14" i="8"/>
  <c r="AR15" i="8"/>
  <c r="W16" i="8"/>
  <c r="AO17" i="8"/>
  <c r="R21" i="8"/>
  <c r="AD25" i="8"/>
  <c r="AZ25" i="8"/>
  <c r="U26" i="8"/>
  <c r="AN26" i="8"/>
  <c r="AT28" i="8"/>
  <c r="AN29" i="8"/>
  <c r="AI31" i="8"/>
  <c r="L32" i="8"/>
  <c r="AJ32" i="8"/>
  <c r="AD34" i="8"/>
  <c r="BA34" i="8"/>
  <c r="Q35" i="8"/>
  <c r="AH35" i="8"/>
  <c r="AX35" i="8"/>
  <c r="Q36" i="8"/>
  <c r="AO36" i="8"/>
  <c r="Q26" i="7"/>
  <c r="Y26" i="7"/>
  <c r="BD36" i="8"/>
  <c r="BC35" i="8"/>
  <c r="BB34" i="8"/>
  <c r="BL32" i="8"/>
  <c r="BK31" i="8"/>
  <c r="BI29" i="8"/>
  <c r="BH28" i="8"/>
  <c r="BF26" i="8"/>
  <c r="BE25" i="8"/>
  <c r="BD24" i="8"/>
  <c r="BC23" i="8"/>
  <c r="BI17" i="8"/>
  <c r="BG15" i="8"/>
  <c r="BF14" i="8"/>
  <c r="BE13" i="8"/>
  <c r="BC11" i="8"/>
  <c r="BL8" i="8"/>
  <c r="BJ6" i="8"/>
  <c r="BI5" i="8"/>
  <c r="BA6" i="8"/>
  <c r="AZ13" i="8"/>
  <c r="AT5" i="8"/>
  <c r="N6" i="8"/>
  <c r="AO6" i="8"/>
  <c r="AC9" i="8"/>
  <c r="AW11" i="8"/>
  <c r="Q13" i="8"/>
  <c r="AR14" i="8"/>
  <c r="X16" i="8"/>
  <c r="AP17" i="8"/>
  <c r="V21" i="8"/>
  <c r="W26" i="8"/>
  <c r="AO26" i="8"/>
  <c r="AJ31" i="8"/>
  <c r="M32" i="8"/>
  <c r="AK32" i="8"/>
  <c r="AE34" i="8"/>
  <c r="S35" i="8"/>
  <c r="AI35" i="8"/>
  <c r="AY35" i="8"/>
  <c r="U36" i="8"/>
  <c r="AP36" i="8"/>
  <c r="L30" i="7"/>
  <c r="M13" i="8" s="1"/>
  <c r="AE27" i="7"/>
  <c r="BC36" i="8"/>
  <c r="BB35" i="8"/>
  <c r="BK32" i="8"/>
  <c r="BJ31" i="8"/>
  <c r="BH29" i="8"/>
  <c r="BG28" i="8"/>
  <c r="BE26" i="8"/>
  <c r="BD25" i="8"/>
  <c r="BC24" i="8"/>
  <c r="BB23" i="8"/>
  <c r="BL21" i="8"/>
  <c r="BH17" i="8"/>
  <c r="BF15" i="8"/>
  <c r="BE14" i="8"/>
  <c r="BD13" i="8"/>
  <c r="BB11" i="8"/>
  <c r="BL9" i="8"/>
  <c r="BK8" i="8"/>
  <c r="BI6" i="8"/>
  <c r="BH5" i="8"/>
  <c r="M30" i="7"/>
  <c r="N13" i="8" s="1"/>
  <c r="BB36" i="8"/>
  <c r="BL34" i="8"/>
  <c r="BJ32" i="8"/>
  <c r="BI31" i="8"/>
  <c r="BG29" i="8"/>
  <c r="BF28" i="8"/>
  <c r="BD26" i="8"/>
  <c r="BC25" i="8"/>
  <c r="BB24" i="8"/>
  <c r="BK21" i="8"/>
  <c r="BG17" i="8"/>
  <c r="BE15" i="8"/>
  <c r="BD14" i="8"/>
  <c r="BC13" i="8"/>
  <c r="BK9" i="8"/>
  <c r="BJ8" i="8"/>
  <c r="BH6" i="8"/>
  <c r="BG5" i="8"/>
  <c r="AZ5" i="8"/>
  <c r="Q6" i="8"/>
  <c r="AQ6" i="8"/>
  <c r="H9" i="8"/>
  <c r="AJ9" i="8"/>
  <c r="AB13" i="8"/>
  <c r="I14" i="8"/>
  <c r="AT14" i="8"/>
  <c r="H16" i="8"/>
  <c r="Z16" i="8"/>
  <c r="AR17" i="8"/>
  <c r="AM21" i="8"/>
  <c r="F26" i="8"/>
  <c r="Y26" i="8"/>
  <c r="AT26" i="8"/>
  <c r="AT29" i="8"/>
  <c r="AQ31" i="8"/>
  <c r="P32" i="8"/>
  <c r="AO32" i="8"/>
  <c r="AK34" i="8"/>
  <c r="F35" i="8"/>
  <c r="V35" i="8"/>
  <c r="AL35" i="8"/>
  <c r="BA35" i="8"/>
  <c r="Y36" i="8"/>
  <c r="AS36" i="8"/>
  <c r="N30" i="7"/>
  <c r="O13" i="8" s="1"/>
  <c r="BL35" i="8"/>
  <c r="BK34" i="8"/>
  <c r="BI32" i="8"/>
  <c r="BH31" i="8"/>
  <c r="BF29" i="8"/>
  <c r="BE28" i="8"/>
  <c r="BC26" i="8"/>
  <c r="BC27" i="8" s="1"/>
  <c r="BB25" i="8"/>
  <c r="BL23" i="8"/>
  <c r="BJ21" i="8"/>
  <c r="BF17" i="8"/>
  <c r="BD15" i="8"/>
  <c r="BC14" i="8"/>
  <c r="BB13" i="8"/>
  <c r="BL11" i="8"/>
  <c r="BJ9" i="8"/>
  <c r="BI8" i="8"/>
  <c r="BG6" i="8"/>
  <c r="BF5" i="8"/>
  <c r="AA36" i="8"/>
  <c r="AT36" i="8"/>
  <c r="O30" i="7"/>
  <c r="P13" i="8" s="1"/>
  <c r="AH27" i="7"/>
  <c r="I30" i="7"/>
  <c r="J13" i="8" s="1"/>
  <c r="U26" i="7"/>
  <c r="BL36" i="8"/>
  <c r="BK35" i="8"/>
  <c r="BJ34" i="8"/>
  <c r="BH32" i="8"/>
  <c r="BG31" i="8"/>
  <c r="BE29" i="8"/>
  <c r="BD28" i="8"/>
  <c r="BB26" i="8"/>
  <c r="BL24" i="8"/>
  <c r="BK23" i="8"/>
  <c r="BI21" i="8"/>
  <c r="BE17" i="8"/>
  <c r="BC15" i="8"/>
  <c r="BB14" i="8"/>
  <c r="BK11" i="8"/>
  <c r="BI9" i="8"/>
  <c r="BH8" i="8"/>
  <c r="BF6" i="8"/>
  <c r="BE5" i="8"/>
  <c r="AE5" i="8"/>
  <c r="E6" i="8"/>
  <c r="S6" i="8"/>
  <c r="AS6" i="8"/>
  <c r="M9" i="8"/>
  <c r="AN9" i="8"/>
  <c r="M10" i="8"/>
  <c r="AF11" i="8"/>
  <c r="AD13" i="8"/>
  <c r="K15" i="8"/>
  <c r="J16" i="8"/>
  <c r="AC17" i="8"/>
  <c r="AV17" i="8"/>
  <c r="O25" i="8"/>
  <c r="AL25" i="8"/>
  <c r="J26" i="8"/>
  <c r="AB26" i="8"/>
  <c r="AW26" i="8"/>
  <c r="O29" i="8"/>
  <c r="AV29" i="8"/>
  <c r="AU31" i="8"/>
  <c r="AU30" i="8" s="1"/>
  <c r="V32" i="8"/>
  <c r="AR32" i="8"/>
  <c r="AR33" i="8" s="1"/>
  <c r="AO34" i="8"/>
  <c r="H35" i="8"/>
  <c r="X35" i="8"/>
  <c r="AN35" i="8"/>
  <c r="F36" i="8"/>
  <c r="AB36" i="8"/>
  <c r="AX36" i="8"/>
  <c r="Z18" i="8"/>
  <c r="D30" i="7"/>
  <c r="E13" i="8" s="1"/>
  <c r="G12" i="8"/>
  <c r="BG32" i="8"/>
  <c r="BF31" i="8"/>
  <c r="BD29" i="8"/>
  <c r="BK24" i="8"/>
  <c r="BH21" i="8"/>
  <c r="BB15" i="8"/>
  <c r="BL13" i="8"/>
  <c r="BJ11" i="8"/>
  <c r="BH9" i="8"/>
  <c r="BE6" i="8"/>
  <c r="AP5" i="8"/>
  <c r="AD5" i="8"/>
  <c r="AY5" i="8"/>
  <c r="AM5" i="8"/>
  <c r="AG5" i="8"/>
  <c r="AU5" i="8"/>
  <c r="E7" i="8"/>
  <c r="T7" i="8"/>
  <c r="P9" i="8"/>
  <c r="AF9" i="8"/>
  <c r="AW9" i="8"/>
  <c r="AS11" i="8"/>
  <c r="AF13" i="8"/>
  <c r="AQ14" i="8"/>
  <c r="AE14" i="8"/>
  <c r="S14" i="8"/>
  <c r="G14" i="8"/>
  <c r="BA14" i="8"/>
  <c r="AN14" i="8"/>
  <c r="AA14" i="8"/>
  <c r="N14" i="8"/>
  <c r="AZ14" i="8"/>
  <c r="AM14" i="8"/>
  <c r="Z14" i="8"/>
  <c r="M14" i="8"/>
  <c r="AY14" i="8"/>
  <c r="AL14" i="8"/>
  <c r="Y14" i="8"/>
  <c r="L14" i="8"/>
  <c r="AX14" i="8"/>
  <c r="AK14" i="8"/>
  <c r="X14" i="8"/>
  <c r="K14" i="8"/>
  <c r="AW14" i="8"/>
  <c r="AJ14" i="8"/>
  <c r="W14" i="8"/>
  <c r="J14" i="8"/>
  <c r="AB14" i="8"/>
  <c r="AU14" i="8"/>
  <c r="U15" i="8"/>
  <c r="AS15" i="8"/>
  <c r="R26" i="7"/>
  <c r="AA7" i="8"/>
  <c r="O7" i="8"/>
  <c r="Z7" i="8"/>
  <c r="N7" i="8"/>
  <c r="W7" i="8"/>
  <c r="K7" i="8"/>
  <c r="AT3" i="8"/>
  <c r="AH3" i="8"/>
  <c r="J3" i="8"/>
  <c r="AQ3" i="8"/>
  <c r="AE3" i="8"/>
  <c r="AF3" i="8"/>
  <c r="E3" i="8"/>
  <c r="AG3" i="8"/>
  <c r="AV3" i="8"/>
  <c r="AH5" i="8"/>
  <c r="AV5" i="8"/>
  <c r="F7" i="8"/>
  <c r="U7" i="8"/>
  <c r="AW8" i="8"/>
  <c r="AV8" i="8"/>
  <c r="AS8" i="8"/>
  <c r="AZ8" i="8"/>
  <c r="Q9" i="8"/>
  <c r="AG9" i="8"/>
  <c r="O10" i="8"/>
  <c r="AC11" i="8"/>
  <c r="AT11" i="8"/>
  <c r="AG13" i="8"/>
  <c r="E14" i="8"/>
  <c r="AC14" i="8"/>
  <c r="AV14" i="8"/>
  <c r="V15" i="8"/>
  <c r="P19" i="8"/>
  <c r="O19" i="8"/>
  <c r="N19" i="8"/>
  <c r="P16" i="8"/>
  <c r="M19" i="8"/>
  <c r="L22" i="8"/>
  <c r="N30" i="8"/>
  <c r="J22" i="8"/>
  <c r="BA15" i="8"/>
  <c r="AO15" i="8"/>
  <c r="AC15" i="8"/>
  <c r="Q15" i="8"/>
  <c r="E15" i="8"/>
  <c r="AQ15" i="8"/>
  <c r="AD15" i="8"/>
  <c r="P15" i="8"/>
  <c r="AP15" i="8"/>
  <c r="AB15" i="8"/>
  <c r="O15" i="8"/>
  <c r="AN15" i="8"/>
  <c r="AA15" i="8"/>
  <c r="N15" i="8"/>
  <c r="AZ15" i="8"/>
  <c r="AM15" i="8"/>
  <c r="Z15" i="8"/>
  <c r="M15" i="8"/>
  <c r="AY15" i="8"/>
  <c r="AL15" i="8"/>
  <c r="Y15" i="8"/>
  <c r="L15" i="8"/>
  <c r="W15" i="8"/>
  <c r="AU15" i="8"/>
  <c r="AJ5" i="8"/>
  <c r="AX5" i="8"/>
  <c r="H7" i="8"/>
  <c r="X7" i="8"/>
  <c r="AU9" i="8"/>
  <c r="AI9" i="8"/>
  <c r="W9" i="8"/>
  <c r="K9" i="8"/>
  <c r="AT9" i="8"/>
  <c r="AH9" i="8"/>
  <c r="V9" i="8"/>
  <c r="J9" i="8"/>
  <c r="AQ9" i="8"/>
  <c r="AE9" i="8"/>
  <c r="S9" i="8"/>
  <c r="G9" i="8"/>
  <c r="T9" i="8"/>
  <c r="AK9" i="8"/>
  <c r="AZ9" i="8"/>
  <c r="AG11" i="8"/>
  <c r="AV11" i="8"/>
  <c r="R13" i="8"/>
  <c r="AN13" i="8"/>
  <c r="H14" i="8"/>
  <c r="AF14" i="8"/>
  <c r="F15" i="8"/>
  <c r="X15" i="8"/>
  <c r="AV15" i="8"/>
  <c r="G15" i="8"/>
  <c r="AE15" i="8"/>
  <c r="AW15" i="8"/>
  <c r="Y33" i="8"/>
  <c r="M33" i="8"/>
  <c r="Q33" i="8"/>
  <c r="E33" i="8"/>
  <c r="R33" i="8"/>
  <c r="AB33" i="8"/>
  <c r="N33" i="8"/>
  <c r="Z33" i="8"/>
  <c r="K33" i="8"/>
  <c r="X33" i="8"/>
  <c r="J33" i="8"/>
  <c r="W33" i="8"/>
  <c r="I33" i="8"/>
  <c r="AA33" i="8"/>
  <c r="V33" i="8"/>
  <c r="U33" i="8"/>
  <c r="T33" i="8"/>
  <c r="S33" i="8"/>
  <c r="P33" i="8"/>
  <c r="O33" i="8"/>
  <c r="H33" i="8"/>
  <c r="G33" i="8"/>
  <c r="AD27" i="7"/>
  <c r="S7" i="8"/>
  <c r="G7" i="8"/>
  <c r="V7" i="8"/>
  <c r="I7" i="8"/>
  <c r="Y7" i="8"/>
  <c r="I3" i="8"/>
  <c r="AL3" i="8"/>
  <c r="AZ3" i="8"/>
  <c r="AL5" i="8"/>
  <c r="BA5" i="8"/>
  <c r="J7" i="8"/>
  <c r="AB7" i="8"/>
  <c r="AO8" i="8"/>
  <c r="F9" i="8"/>
  <c r="X9" i="8"/>
  <c r="AM9" i="8"/>
  <c r="U10" i="8"/>
  <c r="I10" i="8"/>
  <c r="T10" i="8"/>
  <c r="H10" i="8"/>
  <c r="Q10" i="8"/>
  <c r="E10" i="8"/>
  <c r="V10" i="8"/>
  <c r="AI11" i="8"/>
  <c r="T13" i="8"/>
  <c r="O14" i="8"/>
  <c r="AH14" i="8"/>
  <c r="H15" i="8"/>
  <c r="AF15" i="8"/>
  <c r="AX15" i="8"/>
  <c r="F33" i="8"/>
  <c r="AQ11" i="8"/>
  <c r="AE11" i="8"/>
  <c r="AP11" i="8"/>
  <c r="AD11" i="8"/>
  <c r="AY11" i="8"/>
  <c r="AM11" i="8"/>
  <c r="AZ11" i="8"/>
  <c r="AY13" i="8"/>
  <c r="AM13" i="8"/>
  <c r="AA13" i="8"/>
  <c r="AX13" i="8"/>
  <c r="AL13" i="8"/>
  <c r="Z13" i="8"/>
  <c r="AW13" i="8"/>
  <c r="AK13" i="8"/>
  <c r="Y13" i="8"/>
  <c r="AV13" i="8"/>
  <c r="AJ13" i="8"/>
  <c r="X13" i="8"/>
  <c r="AU13" i="8"/>
  <c r="AI13" i="8"/>
  <c r="W13" i="8"/>
  <c r="U13" i="8"/>
  <c r="AQ13" i="8"/>
  <c r="I15" i="8"/>
  <c r="AG15" i="8"/>
  <c r="L30" i="8"/>
  <c r="L33" i="8"/>
  <c r="L7" i="8"/>
  <c r="L3" i="8"/>
  <c r="AN3" i="8"/>
  <c r="H4" i="8"/>
  <c r="E4" i="8"/>
  <c r="AO5" i="8"/>
  <c r="M7" i="8"/>
  <c r="AQ8" i="8"/>
  <c r="I9" i="8"/>
  <c r="Z9" i="8"/>
  <c r="AO9" i="8"/>
  <c r="G10" i="8"/>
  <c r="X10" i="8"/>
  <c r="AK11" i="8"/>
  <c r="BA11" i="8"/>
  <c r="V13" i="8"/>
  <c r="AR13" i="8"/>
  <c r="Q14" i="8"/>
  <c r="AO14" i="8"/>
  <c r="J15" i="8"/>
  <c r="AH15" i="8"/>
  <c r="J19" i="8"/>
  <c r="M30" i="8"/>
  <c r="S21" i="8"/>
  <c r="AN21" i="8"/>
  <c r="AS23" i="8"/>
  <c r="AG23" i="8"/>
  <c r="AW23" i="8"/>
  <c r="AK23" i="8"/>
  <c r="AP23" i="8"/>
  <c r="BA23" i="8"/>
  <c r="AM23" i="8"/>
  <c r="AY23" i="8"/>
  <c r="AJ23" i="8"/>
  <c r="AX23" i="8"/>
  <c r="AI23" i="8"/>
  <c r="AU23" i="8"/>
  <c r="T24" i="8"/>
  <c r="AN24" i="8"/>
  <c r="U21" i="8"/>
  <c r="AC23" i="8"/>
  <c r="AV23" i="8"/>
  <c r="V24" i="8"/>
  <c r="AW21" i="8"/>
  <c r="AK21" i="8"/>
  <c r="Y21" i="8"/>
  <c r="M21" i="8"/>
  <c r="BA21" i="8"/>
  <c r="AO21" i="8"/>
  <c r="AC21" i="8"/>
  <c r="Q21" i="8"/>
  <c r="E21" i="8"/>
  <c r="AP21" i="8"/>
  <c r="AA21" i="8"/>
  <c r="L21" i="8"/>
  <c r="AZ21" i="8"/>
  <c r="AL21" i="8"/>
  <c r="W21" i="8"/>
  <c r="I21" i="8"/>
  <c r="AX21" i="8"/>
  <c r="AI21" i="8"/>
  <c r="AV21" i="8"/>
  <c r="AH21" i="8"/>
  <c r="T21" i="8"/>
  <c r="F21" i="8"/>
  <c r="X21" i="8"/>
  <c r="AS21" i="8"/>
  <c r="AE23" i="8"/>
  <c r="AQ24" i="8"/>
  <c r="AE24" i="8"/>
  <c r="S24" i="8"/>
  <c r="G24" i="8"/>
  <c r="AU24" i="8"/>
  <c r="AI24" i="8"/>
  <c r="W24" i="8"/>
  <c r="K24" i="8"/>
  <c r="AX24" i="8"/>
  <c r="AJ24" i="8"/>
  <c r="U24" i="8"/>
  <c r="F24" i="8"/>
  <c r="AT24" i="8"/>
  <c r="AF24" i="8"/>
  <c r="Q24" i="8"/>
  <c r="AR24" i="8"/>
  <c r="AC24" i="8"/>
  <c r="O24" i="8"/>
  <c r="AP24" i="8"/>
  <c r="AB24" i="8"/>
  <c r="N24" i="8"/>
  <c r="Y24" i="8"/>
  <c r="AV24" i="8"/>
  <c r="G21" i="8"/>
  <c r="Z21" i="8"/>
  <c r="AT21" i="8"/>
  <c r="AF23" i="8"/>
  <c r="E24" i="8"/>
  <c r="Z24" i="8"/>
  <c r="AW24" i="8"/>
  <c r="M6" i="8"/>
  <c r="Y6" i="8"/>
  <c r="AW6" i="8"/>
  <c r="N16" i="8"/>
  <c r="AB16" i="8"/>
  <c r="AS17" i="8"/>
  <c r="AG17" i="8"/>
  <c r="AW17" i="8"/>
  <c r="AK17" i="8"/>
  <c r="AN17" i="8"/>
  <c r="AE17" i="8"/>
  <c r="AU17" i="8"/>
  <c r="H21" i="8"/>
  <c r="AB21" i="8"/>
  <c r="AU21" i="8"/>
  <c r="U22" i="8"/>
  <c r="AH23" i="8"/>
  <c r="H24" i="8"/>
  <c r="AA24" i="8"/>
  <c r="AY24" i="8"/>
  <c r="AU28" i="8"/>
  <c r="AI28" i="8"/>
  <c r="AY28" i="8"/>
  <c r="AM28" i="8"/>
  <c r="AZ28" i="8"/>
  <c r="AK28" i="8"/>
  <c r="AV28" i="8"/>
  <c r="AG28" i="8"/>
  <c r="AS28" i="8"/>
  <c r="AE28" i="8"/>
  <c r="AR28" i="8"/>
  <c r="AD28" i="8"/>
  <c r="AQ28" i="8"/>
  <c r="AC28" i="8"/>
  <c r="BA28" i="8"/>
  <c r="AB29" i="8"/>
  <c r="Z30" i="8"/>
  <c r="AW31" i="8"/>
  <c r="AF27" i="7"/>
  <c r="J21" i="8"/>
  <c r="AD21" i="8"/>
  <c r="AY21" i="8"/>
  <c r="AL23" i="8"/>
  <c r="I24" i="8"/>
  <c r="AD24" i="8"/>
  <c r="AZ24" i="8"/>
  <c r="Y27" i="8"/>
  <c r="M27" i="8"/>
  <c r="Q27" i="8"/>
  <c r="E27" i="8"/>
  <c r="O27" i="8"/>
  <c r="Z27" i="8"/>
  <c r="K27" i="8"/>
  <c r="W27" i="8"/>
  <c r="I27" i="8"/>
  <c r="V27" i="8"/>
  <c r="H27" i="8"/>
  <c r="U27" i="8"/>
  <c r="G27" i="8"/>
  <c r="AS29" i="8"/>
  <c r="AG29" i="8"/>
  <c r="U29" i="8"/>
  <c r="I29" i="8"/>
  <c r="AW29" i="8"/>
  <c r="AK29" i="8"/>
  <c r="Y29" i="8"/>
  <c r="M29" i="8"/>
  <c r="AR29" i="8"/>
  <c r="AD29" i="8"/>
  <c r="P29" i="8"/>
  <c r="AO29" i="8"/>
  <c r="AA29" i="8"/>
  <c r="L29" i="8"/>
  <c r="BA29" i="8"/>
  <c r="AM29" i="8"/>
  <c r="X29" i="8"/>
  <c r="J29" i="8"/>
  <c r="AZ29" i="8"/>
  <c r="AL29" i="8"/>
  <c r="W29" i="8"/>
  <c r="H29" i="8"/>
  <c r="AY29" i="8"/>
  <c r="AJ29" i="8"/>
  <c r="V29" i="8"/>
  <c r="G29" i="8"/>
  <c r="AC29" i="8"/>
  <c r="S30" i="8"/>
  <c r="G30" i="8"/>
  <c r="W30" i="8"/>
  <c r="K30" i="8"/>
  <c r="X30" i="8"/>
  <c r="I30" i="8"/>
  <c r="T30" i="8"/>
  <c r="E30" i="8"/>
  <c r="Q30" i="8"/>
  <c r="P30" i="8"/>
  <c r="O30" i="8"/>
  <c r="AA30" i="8"/>
  <c r="AA16" i="8"/>
  <c r="O16" i="8"/>
  <c r="Q16" i="8"/>
  <c r="AY20" i="8"/>
  <c r="AM20" i="8"/>
  <c r="AQ20" i="8"/>
  <c r="AE20" i="8"/>
  <c r="AV20" i="8"/>
  <c r="AH20" i="8"/>
  <c r="AS20" i="8"/>
  <c r="AD20" i="8"/>
  <c r="AO20" i="8"/>
  <c r="AP20" i="8"/>
  <c r="K21" i="8"/>
  <c r="AE21" i="8"/>
  <c r="W22" i="8"/>
  <c r="K22" i="8"/>
  <c r="AA22" i="8"/>
  <c r="O22" i="8"/>
  <c r="T22" i="8"/>
  <c r="F22" i="8"/>
  <c r="Q22" i="8"/>
  <c r="N22" i="8"/>
  <c r="AB22" i="8"/>
  <c r="M22" i="8"/>
  <c r="X22" i="8"/>
  <c r="AN23" i="8"/>
  <c r="J24" i="8"/>
  <c r="AG24" i="8"/>
  <c r="BA24" i="8"/>
  <c r="F27" i="8"/>
  <c r="E29" i="8"/>
  <c r="E31" i="8" s="1"/>
  <c r="AE29" i="8"/>
  <c r="F30" i="8"/>
  <c r="AB30" i="8"/>
  <c r="BA31" i="8"/>
  <c r="AO31" i="8"/>
  <c r="AC31" i="8"/>
  <c r="AS31" i="8"/>
  <c r="AG31" i="8"/>
  <c r="AT31" i="8"/>
  <c r="AE31" i="8"/>
  <c r="AP31" i="8"/>
  <c r="AM31" i="8"/>
  <c r="AZ31" i="8"/>
  <c r="AL31" i="8"/>
  <c r="AY31" i="8"/>
  <c r="AK31" i="8"/>
  <c r="AD31" i="8"/>
  <c r="P6" i="8"/>
  <c r="AB6" i="8"/>
  <c r="P12" i="8"/>
  <c r="AB12" i="8"/>
  <c r="AN12" i="8"/>
  <c r="E16" i="8"/>
  <c r="R16" i="8"/>
  <c r="AI17" i="8"/>
  <c r="AY17" i="8"/>
  <c r="AR20" i="8"/>
  <c r="N21" i="8"/>
  <c r="AF21" i="8"/>
  <c r="E22" i="8"/>
  <c r="Y22" i="8"/>
  <c r="AO23" i="8"/>
  <c r="L24" i="8"/>
  <c r="AH24" i="8"/>
  <c r="BA25" i="8"/>
  <c r="AO25" i="8"/>
  <c r="AC25" i="8"/>
  <c r="Q25" i="8"/>
  <c r="E25" i="8"/>
  <c r="AS25" i="8"/>
  <c r="AG25" i="8"/>
  <c r="U25" i="8"/>
  <c r="I25" i="8"/>
  <c r="AQ25" i="8"/>
  <c r="AB25" i="8"/>
  <c r="N25" i="8"/>
  <c r="AM25" i="8"/>
  <c r="Y25" i="8"/>
  <c r="K25" i="8"/>
  <c r="AY25" i="8"/>
  <c r="AK25" i="8"/>
  <c r="W25" i="8"/>
  <c r="H25" i="8"/>
  <c r="AX25" i="8"/>
  <c r="AJ25" i="8"/>
  <c r="V25" i="8"/>
  <c r="G25" i="8"/>
  <c r="AA25" i="8"/>
  <c r="AV25" i="8"/>
  <c r="J27" i="8"/>
  <c r="AH28" i="8"/>
  <c r="F29" i="8"/>
  <c r="AF29" i="8"/>
  <c r="H30" i="8"/>
  <c r="AF31" i="8"/>
  <c r="Z32" i="8"/>
  <c r="AR18" i="8"/>
  <c r="AS26" i="8"/>
  <c r="AS32" i="8"/>
  <c r="F30" i="7"/>
  <c r="G13" i="8" s="1"/>
  <c r="F16" i="8"/>
  <c r="S16" i="8"/>
  <c r="AZ17" i="8"/>
  <c r="AT20" i="8"/>
  <c r="O21" i="8"/>
  <c r="AG21" i="8"/>
  <c r="G22" i="8"/>
  <c r="Z22" i="8"/>
  <c r="AQ23" i="8"/>
  <c r="M24" i="8"/>
  <c r="AK24" i="8"/>
  <c r="L27" i="8"/>
  <c r="K29" i="8"/>
  <c r="AH29" i="8"/>
  <c r="J30" i="8"/>
  <c r="AH31" i="8"/>
  <c r="G30" i="7"/>
  <c r="H13" i="8" s="1"/>
  <c r="J30" i="7"/>
  <c r="K13" i="8" s="1"/>
  <c r="Q19" i="8"/>
  <c r="E19" i="8"/>
  <c r="U19" i="8"/>
  <c r="I19" i="8"/>
  <c r="S19" i="8"/>
  <c r="N26" i="8"/>
  <c r="AC26" i="8"/>
  <c r="Q32" i="8"/>
  <c r="AF32" i="8"/>
  <c r="AU34" i="8"/>
  <c r="AI34" i="8"/>
  <c r="AY34" i="8"/>
  <c r="AM34" i="8"/>
  <c r="AF34" i="8"/>
  <c r="AT34" i="8"/>
  <c r="AQ36" i="8"/>
  <c r="AE36" i="8"/>
  <c r="S36" i="8"/>
  <c r="G36" i="8"/>
  <c r="AU36" i="8"/>
  <c r="AI36" i="8"/>
  <c r="W36" i="8"/>
  <c r="K36" i="8"/>
  <c r="R36" i="8"/>
  <c r="AG36" i="8"/>
  <c r="AV36" i="8"/>
  <c r="AY32" i="8"/>
  <c r="AM32" i="8"/>
  <c r="AA32" i="8"/>
  <c r="O32" i="8"/>
  <c r="AQ32" i="8"/>
  <c r="AE32" i="8"/>
  <c r="S32" i="8"/>
  <c r="G32" i="8"/>
  <c r="R32" i="8"/>
  <c r="AG32" i="8"/>
  <c r="AU32" i="8"/>
  <c r="AG34" i="8"/>
  <c r="AV34" i="8"/>
  <c r="E36" i="8"/>
  <c r="T36" i="8"/>
  <c r="AH36" i="8"/>
  <c r="AW36" i="8"/>
  <c r="H19" i="8"/>
  <c r="W19" i="8"/>
  <c r="AY26" i="8"/>
  <c r="AM26" i="8"/>
  <c r="AA26" i="8"/>
  <c r="O26" i="8"/>
  <c r="AQ26" i="8"/>
  <c r="AE26" i="8"/>
  <c r="S26" i="8"/>
  <c r="G26" i="8"/>
  <c r="R26" i="8"/>
  <c r="AG26" i="8"/>
  <c r="AU26" i="8"/>
  <c r="F32" i="8"/>
  <c r="U32" i="8"/>
  <c r="AI32" i="8"/>
  <c r="AW32" i="8"/>
  <c r="AJ34" i="8"/>
  <c r="AX34" i="8"/>
  <c r="H36" i="8"/>
  <c r="V36" i="8"/>
  <c r="AK36" i="8"/>
  <c r="AY36" i="8"/>
  <c r="AB27" i="7"/>
  <c r="AQ18" i="8"/>
  <c r="AE18" i="8"/>
  <c r="S18" i="8"/>
  <c r="G18" i="8"/>
  <c r="AU18" i="8"/>
  <c r="AI18" i="8"/>
  <c r="W18" i="8"/>
  <c r="K18" i="8"/>
  <c r="R18" i="8"/>
  <c r="AG18" i="8"/>
  <c r="AV18" i="8"/>
  <c r="L19" i="8"/>
  <c r="Z19" i="8"/>
  <c r="H26" i="8"/>
  <c r="V26" i="8"/>
  <c r="AJ26" i="8"/>
  <c r="AX26" i="8"/>
  <c r="J32" i="8"/>
  <c r="X32" i="8"/>
  <c r="AL32" i="8"/>
  <c r="BA32" i="8"/>
  <c r="AN34" i="8"/>
  <c r="AS35" i="8"/>
  <c r="AG35" i="8"/>
  <c r="U35" i="8"/>
  <c r="I35" i="8"/>
  <c r="AW35" i="8"/>
  <c r="AK35" i="8"/>
  <c r="Y35" i="8"/>
  <c r="M35" i="8"/>
  <c r="R35" i="8"/>
  <c r="AF35" i="8"/>
  <c r="AU35" i="8"/>
  <c r="L36" i="8"/>
  <c r="Z36" i="8"/>
  <c r="AN36" i="8"/>
  <c r="E30" i="7"/>
  <c r="F13" i="8" s="1"/>
  <c r="AL10" i="8" l="1"/>
  <c r="Z8" i="8"/>
  <c r="AI27" i="8"/>
  <c r="AJ33" i="8"/>
  <c r="AV19" i="8"/>
  <c r="M31" i="8"/>
  <c r="BC19" i="8"/>
  <c r="V3" i="8"/>
  <c r="O23" i="8"/>
  <c r="AQ19" i="8"/>
  <c r="AU27" i="8"/>
  <c r="S8" i="8"/>
  <c r="BK22" i="8"/>
  <c r="Z20" i="8"/>
  <c r="J28" i="8"/>
  <c r="AD10" i="8"/>
  <c r="E11" i="8"/>
  <c r="T11" i="8"/>
  <c r="AS7" i="8"/>
  <c r="AO33" i="8"/>
  <c r="AC16" i="8"/>
  <c r="BC22" i="8"/>
  <c r="AC33" i="8"/>
  <c r="AW4" i="8"/>
  <c r="AS10" i="8"/>
  <c r="AH33" i="8"/>
  <c r="AI19" i="8"/>
  <c r="O31" i="8"/>
  <c r="AJ30" i="8"/>
  <c r="BJ16" i="8"/>
  <c r="AX30" i="8"/>
  <c r="AZ33" i="8"/>
  <c r="AW7" i="8"/>
  <c r="S4" i="8"/>
  <c r="U31" i="8"/>
  <c r="AP16" i="8"/>
  <c r="Q4" i="8"/>
  <c r="AT19" i="8"/>
  <c r="AY10" i="8"/>
  <c r="P20" i="8"/>
  <c r="N28" i="8"/>
  <c r="AK33" i="8"/>
  <c r="BD33" i="8"/>
  <c r="Y11" i="8"/>
  <c r="AT22" i="8"/>
  <c r="J31" i="8"/>
  <c r="AS19" i="8"/>
  <c r="N31" i="8"/>
  <c r="AW27" i="8"/>
  <c r="BG33" i="8"/>
  <c r="AX16" i="8"/>
  <c r="H17" i="8"/>
  <c r="AJ10" i="8"/>
  <c r="S28" i="8"/>
  <c r="I20" i="8"/>
  <c r="AJ22" i="8"/>
  <c r="F5" i="8"/>
  <c r="Y20" i="8"/>
  <c r="X28" i="8"/>
  <c r="BD30" i="8"/>
  <c r="X8" i="8"/>
  <c r="H20" i="8"/>
  <c r="R28" i="8"/>
  <c r="K11" i="8"/>
  <c r="BB10" i="8"/>
  <c r="Z31" i="8"/>
  <c r="V23" i="8"/>
  <c r="AS16" i="8"/>
  <c r="AZ22" i="8"/>
  <c r="AD16" i="8"/>
  <c r="N20" i="8"/>
  <c r="AF4" i="8"/>
  <c r="AA8" i="8"/>
  <c r="Q8" i="8"/>
  <c r="BH30" i="8"/>
  <c r="AC10" i="8"/>
  <c r="BD10" i="8"/>
  <c r="BB30" i="8"/>
  <c r="AR4" i="8"/>
  <c r="W34" i="8"/>
  <c r="BJ22" i="8"/>
  <c r="Y34" i="8"/>
  <c r="AM4" i="8"/>
  <c r="O5" i="8"/>
  <c r="AX10" i="8"/>
  <c r="AB11" i="8"/>
  <c r="U20" i="8"/>
  <c r="AX4" i="8"/>
  <c r="U8" i="8"/>
  <c r="AD4" i="8"/>
  <c r="BH7" i="8"/>
  <c r="AO4" i="8"/>
  <c r="AB20" i="8"/>
  <c r="R23" i="8"/>
  <c r="T31" i="8"/>
  <c r="H31" i="8"/>
  <c r="AI22" i="8"/>
  <c r="U11" i="8"/>
  <c r="AT4" i="8"/>
  <c r="BL4" i="8"/>
  <c r="AK19" i="8"/>
  <c r="AY4" i="8"/>
  <c r="AQ22" i="8"/>
  <c r="K8" i="8"/>
  <c r="X20" i="8"/>
  <c r="P28" i="8"/>
  <c r="AA28" i="8"/>
  <c r="AL30" i="8"/>
  <c r="V34" i="8"/>
  <c r="W8" i="8"/>
  <c r="BI33" i="8"/>
  <c r="G20" i="8"/>
  <c r="AF22" i="8"/>
  <c r="Y31" i="8"/>
  <c r="I28" i="8"/>
  <c r="V8" i="8"/>
  <c r="M11" i="8"/>
  <c r="BL33" i="8"/>
  <c r="BA19" i="8"/>
  <c r="AQ30" i="8"/>
  <c r="AP7" i="8"/>
  <c r="AL27" i="8"/>
  <c r="AK27" i="8"/>
  <c r="T20" i="8"/>
  <c r="AR30" i="8"/>
  <c r="BD19" i="8"/>
  <c r="AX27" i="8"/>
  <c r="AW33" i="8"/>
  <c r="L5" i="8"/>
  <c r="E34" i="8"/>
  <c r="AN10" i="8"/>
  <c r="K34" i="8"/>
  <c r="AG22" i="8"/>
  <c r="AP19" i="8"/>
  <c r="W28" i="8"/>
  <c r="AH16" i="8"/>
  <c r="AO7" i="8"/>
  <c r="G8" i="8"/>
  <c r="Y17" i="8"/>
  <c r="O11" i="8"/>
  <c r="AG4" i="8"/>
  <c r="AO19" i="8"/>
  <c r="AC4" i="8"/>
  <c r="L11" i="8"/>
  <c r="AP27" i="8"/>
  <c r="BF10" i="8"/>
  <c r="R20" i="8"/>
  <c r="AI30" i="8"/>
  <c r="AI16" i="8"/>
  <c r="Q3" i="8"/>
  <c r="AO27" i="8"/>
  <c r="T28" i="8"/>
  <c r="AF27" i="8"/>
  <c r="AQ27" i="8"/>
  <c r="AV33" i="8"/>
  <c r="Q23" i="8"/>
  <c r="X31" i="8"/>
  <c r="AD27" i="8"/>
  <c r="J20" i="8"/>
  <c r="Z11" i="8"/>
  <c r="W11" i="8"/>
  <c r="AF10" i="8"/>
  <c r="BH33" i="8"/>
  <c r="BB22" i="8"/>
  <c r="AK4" i="8"/>
  <c r="U4" i="8"/>
  <c r="AY7" i="8"/>
  <c r="AX7" i="8"/>
  <c r="J34" i="8"/>
  <c r="O28" i="8"/>
  <c r="L28" i="8"/>
  <c r="S31" i="8"/>
  <c r="I31" i="8"/>
  <c r="Z28" i="8"/>
  <c r="AR27" i="8"/>
  <c r="AY22" i="8"/>
  <c r="AN4" i="8"/>
  <c r="P34" i="8"/>
  <c r="G17" i="8"/>
  <c r="M17" i="8"/>
  <c r="AQ16" i="8"/>
  <c r="O20" i="8"/>
  <c r="AZ7" i="8"/>
  <c r="O8" i="8"/>
  <c r="BH10" i="8"/>
  <c r="AT16" i="8"/>
  <c r="AL19" i="8"/>
  <c r="T3" i="8"/>
  <c r="BF4" i="8"/>
  <c r="R4" i="8"/>
  <c r="P23" i="8"/>
  <c r="R31" i="8"/>
  <c r="AP10" i="8"/>
  <c r="AN30" i="8"/>
  <c r="BE10" i="8"/>
  <c r="L17" i="8"/>
  <c r="K5" i="8"/>
  <c r="AG10" i="8"/>
  <c r="BG30" i="8"/>
  <c r="AA11" i="8"/>
  <c r="J17" i="8"/>
  <c r="Z3" i="8"/>
  <c r="X3" i="8"/>
  <c r="AU10" i="8"/>
  <c r="S3" i="8"/>
  <c r="BE22" i="8"/>
  <c r="AU7" i="8"/>
  <c r="S23" i="8"/>
  <c r="E28" i="8"/>
  <c r="AH22" i="8"/>
  <c r="L23" i="8"/>
  <c r="N34" i="8"/>
  <c r="AM16" i="8"/>
  <c r="AV7" i="8"/>
  <c r="BF22" i="8"/>
  <c r="AR10" i="8"/>
  <c r="AY27" i="8"/>
  <c r="Q28" i="8"/>
  <c r="AV22" i="8"/>
  <c r="L8" i="8"/>
  <c r="T34" i="8"/>
  <c r="AB34" i="8"/>
  <c r="S11" i="8"/>
  <c r="H8" i="8"/>
  <c r="AQ4" i="8"/>
  <c r="AU4" i="8"/>
  <c r="BB16" i="8"/>
  <c r="BI22" i="8"/>
  <c r="AD33" i="8"/>
  <c r="BD7" i="8"/>
  <c r="R8" i="8"/>
  <c r="F20" i="8"/>
  <c r="X4" i="8"/>
  <c r="J8" i="8"/>
  <c r="AZ27" i="8"/>
  <c r="T4" i="8"/>
  <c r="T5" i="8" s="1"/>
  <c r="AR22" i="8"/>
  <c r="AH27" i="8"/>
  <c r="M23" i="8"/>
  <c r="R3" i="8"/>
  <c r="AV30" i="8"/>
  <c r="BI19" i="8"/>
  <c r="AN27" i="8"/>
  <c r="J23" i="8"/>
  <c r="AW22" i="8"/>
  <c r="AQ7" i="8"/>
  <c r="Z17" i="8"/>
  <c r="AY19" i="8"/>
  <c r="AJ27" i="8"/>
  <c r="AS33" i="8"/>
  <c r="L31" i="8"/>
  <c r="AS22" i="8"/>
  <c r="V17" i="8"/>
  <c r="F34" i="8"/>
  <c r="M28" i="8"/>
  <c r="AV27" i="8"/>
  <c r="AP22" i="8"/>
  <c r="F11" i="8"/>
  <c r="I8" i="8"/>
  <c r="BH22" i="8"/>
  <c r="BD16" i="8"/>
  <c r="AR16" i="8"/>
  <c r="BH27" i="8"/>
  <c r="BC30" i="8"/>
  <c r="AP33" i="8"/>
  <c r="AA4" i="8"/>
  <c r="AJ19" i="8"/>
  <c r="BD4" i="8"/>
  <c r="BL7" i="8"/>
  <c r="V28" i="8"/>
  <c r="U34" i="8"/>
  <c r="AT30" i="8"/>
  <c r="H28" i="8"/>
  <c r="H23" i="8"/>
  <c r="AP4" i="8"/>
  <c r="BB27" i="8"/>
  <c r="BC7" i="8"/>
  <c r="BA27" i="8"/>
  <c r="BA4" i="8"/>
  <c r="BF7" i="8"/>
  <c r="BB33" i="8"/>
  <c r="BG10" i="8"/>
  <c r="BL30" i="8"/>
  <c r="AZ19" i="8"/>
  <c r="T17" i="8"/>
  <c r="L20" i="8"/>
  <c r="AG27" i="8"/>
  <c r="G34" i="8"/>
  <c r="Q20" i="8"/>
  <c r="AH19" i="8"/>
  <c r="H34" i="8"/>
  <c r="AJ4" i="8"/>
  <c r="BA16" i="8"/>
  <c r="BE30" i="8"/>
  <c r="BF33" i="8"/>
  <c r="AN33" i="8"/>
  <c r="AY16" i="8"/>
  <c r="AA23" i="8"/>
  <c r="Q31" i="8"/>
  <c r="AC30" i="8"/>
  <c r="AF16" i="8"/>
  <c r="T8" i="8"/>
  <c r="BE7" i="8"/>
  <c r="BI10" i="8"/>
  <c r="BG7" i="8"/>
  <c r="M5" i="8"/>
  <c r="R11" i="8"/>
  <c r="AB8" i="8"/>
  <c r="K17" i="8"/>
  <c r="BC10" i="8"/>
  <c r="R34" i="8"/>
  <c r="I34" i="8"/>
  <c r="AO16" i="8"/>
  <c r="G31" i="8"/>
  <c r="E5" i="8"/>
  <c r="V11" i="8"/>
  <c r="BE33" i="8"/>
  <c r="V20" i="8"/>
  <c r="BA33" i="8"/>
  <c r="AQ33" i="8"/>
  <c r="AS27" i="8"/>
  <c r="V31" i="8"/>
  <c r="BJ33" i="8"/>
  <c r="BK16" i="8"/>
  <c r="AL33" i="8"/>
  <c r="Q34" i="8"/>
  <c r="AD22" i="8"/>
  <c r="I23" i="8"/>
  <c r="AX22" i="8"/>
  <c r="I5" i="8"/>
  <c r="AV10" i="8"/>
  <c r="AT10" i="8"/>
  <c r="M20" i="8"/>
  <c r="BC16" i="8"/>
  <c r="BD22" i="8"/>
  <c r="BL16" i="8"/>
  <c r="BG22" i="8"/>
  <c r="AC19" i="8"/>
  <c r="BL19" i="8"/>
  <c r="BE19" i="8"/>
  <c r="AT33" i="8"/>
  <c r="AP30" i="8"/>
  <c r="BL27" i="8"/>
  <c r="S20" i="8"/>
  <c r="BG27" i="8"/>
  <c r="BB7" i="8"/>
  <c r="X17" i="8"/>
  <c r="BE4" i="8"/>
  <c r="BG16" i="8"/>
  <c r="BK30" i="8"/>
  <c r="E20" i="8"/>
  <c r="H11" i="8"/>
  <c r="AE4" i="8"/>
  <c r="AG19" i="8"/>
  <c r="AE33" i="8"/>
  <c r="AG30" i="8"/>
  <c r="AK10" i="8"/>
  <c r="G5" i="8"/>
  <c r="AA31" i="8"/>
  <c r="AH10" i="8"/>
  <c r="U17" i="8"/>
  <c r="AR7" i="8"/>
  <c r="K20" i="8"/>
  <c r="O34" i="8"/>
  <c r="AR19" i="8"/>
  <c r="X23" i="8"/>
  <c r="AM19" i="8"/>
  <c r="AX33" i="8"/>
  <c r="AA34" i="8"/>
  <c r="AC27" i="8"/>
  <c r="R17" i="8"/>
  <c r="U28" i="8"/>
  <c r="AO10" i="8"/>
  <c r="H5" i="8"/>
  <c r="I17" i="8"/>
  <c r="AL16" i="8"/>
  <c r="AV4" i="8"/>
  <c r="BJ7" i="8"/>
  <c r="BB19" i="8"/>
  <c r="BH19" i="8"/>
  <c r="Z4" i="8"/>
  <c r="Y4" i="8"/>
  <c r="AE27" i="8"/>
  <c r="AZ10" i="8"/>
  <c r="AM22" i="8"/>
  <c r="BL10" i="8"/>
  <c r="BK7" i="8"/>
  <c r="AA3" i="8"/>
  <c r="U3" i="8"/>
  <c r="F28" i="8"/>
  <c r="AD19" i="8"/>
  <c r="BD27" i="8"/>
  <c r="L34" i="8"/>
  <c r="J5" i="8"/>
  <c r="W3" i="8"/>
  <c r="G23" i="8"/>
  <c r="BK33" i="8"/>
  <c r="M34" i="8"/>
  <c r="BJ30" i="8"/>
  <c r="AJ16" i="8"/>
  <c r="P11" i="8"/>
  <c r="AU19" i="8"/>
  <c r="Z34" i="8"/>
  <c r="AS30" i="8"/>
  <c r="AV16" i="8"/>
  <c r="Q17" i="8"/>
  <c r="BF30" i="8"/>
  <c r="AF33" i="8"/>
  <c r="AW30" i="8"/>
  <c r="AB23" i="8"/>
  <c r="BJ10" i="8"/>
  <c r="BF16" i="8"/>
  <c r="BG19" i="8"/>
  <c r="AM30" i="8"/>
  <c r="F23" i="8"/>
  <c r="AC22" i="8"/>
  <c r="BK10" i="8"/>
  <c r="BA7" i="8"/>
  <c r="BH16" i="8"/>
  <c r="BK27" i="8"/>
  <c r="BJ4" i="8"/>
  <c r="BI4" i="8"/>
  <c r="BI27" i="8"/>
  <c r="AQ10" i="8"/>
  <c r="AW10" i="8"/>
  <c r="BL22" i="8"/>
  <c r="BH4" i="8"/>
  <c r="Y3" i="8"/>
  <c r="BA30" i="8"/>
  <c r="AE16" i="8"/>
  <c r="AZ4" i="8"/>
  <c r="J11" i="8"/>
  <c r="BF27" i="8"/>
  <c r="BI16" i="8"/>
  <c r="BJ19" i="8"/>
  <c r="AW19" i="8"/>
  <c r="BC4" i="8"/>
  <c r="K31" i="8"/>
  <c r="BE16" i="8"/>
  <c r="N11" i="8"/>
  <c r="BF19" i="8"/>
  <c r="P5" i="8"/>
  <c r="V4" i="8"/>
  <c r="AB4" i="8"/>
  <c r="AB5" i="8" s="1"/>
  <c r="S34" i="8"/>
  <c r="S17" i="8"/>
  <c r="N23" i="8"/>
  <c r="AO22" i="8"/>
  <c r="BI30" i="8"/>
  <c r="AA20" i="8"/>
  <c r="W4" i="8"/>
  <c r="BC33" i="8"/>
  <c r="AE30" i="8"/>
  <c r="P31" i="8"/>
  <c r="AK16" i="8"/>
  <c r="BA10" i="8"/>
  <c r="AE10" i="8"/>
  <c r="E8" i="8"/>
  <c r="BI7" i="8"/>
  <c r="BE27" i="8"/>
  <c r="AN19" i="8"/>
  <c r="BK4" i="8"/>
  <c r="BG4" i="8"/>
  <c r="BB4" i="8"/>
  <c r="AH30" i="8"/>
  <c r="K28" i="8"/>
  <c r="BA22" i="8"/>
  <c r="Y23" i="8"/>
  <c r="X34" i="8"/>
  <c r="AF30" i="8"/>
  <c r="AU22" i="8"/>
  <c r="N8" i="8"/>
  <c r="AY30" i="8"/>
  <c r="AW16" i="8"/>
  <c r="W17" i="8"/>
  <c r="AT27" i="8"/>
  <c r="AF19" i="8"/>
  <c r="W20" i="8"/>
  <c r="F31" i="8"/>
  <c r="AM33" i="8"/>
  <c r="AD30" i="8"/>
  <c r="W31" i="8"/>
  <c r="F8" i="8"/>
  <c r="AZ30" i="8"/>
  <c r="M8" i="8"/>
  <c r="T23" i="8"/>
  <c r="E23" i="8"/>
  <c r="U23" i="8"/>
  <c r="AB28" i="8"/>
  <c r="Y8" i="8"/>
  <c r="AU33" i="8"/>
  <c r="AG33" i="8"/>
  <c r="P8" i="8"/>
  <c r="AE22" i="8"/>
  <c r="Y28" i="8"/>
  <c r="AM10" i="8"/>
  <c r="AH4" i="8"/>
  <c r="AS4" i="8"/>
  <c r="N5" i="8"/>
  <c r="K23" i="8"/>
  <c r="G11" i="8"/>
  <c r="AC6" i="8"/>
  <c r="AH6" i="8"/>
  <c r="AG6" i="8"/>
  <c r="AM6" i="8"/>
  <c r="AL6" i="8"/>
  <c r="AF8" i="8"/>
  <c r="AF6" i="8"/>
  <c r="AN8" i="8"/>
  <c r="AE6" i="8"/>
  <c r="AJ6" i="8"/>
  <c r="AE8" i="8"/>
  <c r="AM8" i="8"/>
  <c r="AD6" i="8"/>
  <c r="AL8" i="8"/>
  <c r="AD8" i="8"/>
  <c r="AC8" i="8"/>
  <c r="AH8" i="8"/>
  <c r="AI6" i="8"/>
  <c r="AG16" i="8"/>
  <c r="E17" i="8"/>
  <c r="AJ8" i="8"/>
  <c r="AZ16" i="8"/>
  <c r="AB31" i="8"/>
  <c r="I11" i="8"/>
  <c r="N17" i="8"/>
  <c r="Q11" i="8"/>
  <c r="G28" i="8"/>
  <c r="AK30" i="8"/>
  <c r="AA17" i="8"/>
  <c r="AN22" i="8"/>
  <c r="AU16" i="8"/>
  <c r="AN16" i="8"/>
  <c r="AI8" i="8"/>
  <c r="AK8" i="8"/>
  <c r="Z23" i="8"/>
  <c r="W23" i="8"/>
  <c r="X11" i="8"/>
  <c r="AI10" i="8"/>
  <c r="O17" i="8"/>
  <c r="AN6" i="8"/>
  <c r="AL22" i="8"/>
  <c r="AK22" i="8"/>
  <c r="AL4" i="8"/>
  <c r="AB17" i="8"/>
  <c r="AK6" i="8"/>
  <c r="F17" i="8"/>
  <c r="P17" i="8"/>
  <c r="AG8" i="8"/>
  <c r="AE19" i="8"/>
  <c r="AI33" i="8"/>
  <c r="AM27" i="8"/>
  <c r="AY33" i="8"/>
  <c r="AO30" i="8"/>
  <c r="V5" i="8" l="1"/>
  <c r="AA5" i="8"/>
  <c r="S5" i="8"/>
  <c r="Q5" i="8"/>
  <c r="AJ7" i="8"/>
  <c r="Y5" i="8"/>
  <c r="AK7" i="8"/>
  <c r="Z5" i="8"/>
  <c r="R5" i="8"/>
  <c r="X5" i="8"/>
  <c r="U5" i="8"/>
  <c r="AF7" i="8"/>
  <c r="AL7" i="8"/>
  <c r="W5" i="8"/>
  <c r="AE7" i="8"/>
  <c r="AI7" i="8"/>
  <c r="AG7" i="8"/>
  <c r="AH7" i="8"/>
  <c r="AN7" i="8"/>
  <c r="AM7" i="8"/>
  <c r="AD7" i="8"/>
  <c r="AC7" i="8"/>
</calcChain>
</file>

<file path=xl/sharedStrings.xml><?xml version="1.0" encoding="utf-8"?>
<sst xmlns="http://schemas.openxmlformats.org/spreadsheetml/2006/main" count="569" uniqueCount="119">
  <si>
    <t>Role</t>
  </si>
  <si>
    <t>Location</t>
  </si>
  <si>
    <t>RoleLocation</t>
  </si>
  <si>
    <t>Pool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</si>
  <si>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</si>
  <si>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</si>
  <si>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</si>
  <si>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</si>
  <si>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</si>
  <si>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</si>
  <si>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</si>
  <si>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</si>
  <si>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</si>
  <si>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</si>
  <si>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</si>
  <si>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</si>
  <si>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</si>
  <si>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</si>
  <si>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</si>
  <si>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</si>
  <si>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</si>
  <si>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</si>
  <si>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</si>
  <si>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</si>
  <si>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</si>
  <si>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</si>
  <si>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</si>
  <si>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</si>
  <si>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</si>
  <si>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</si>
  <si>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</si>
  <si>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</si>
  <si>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</si>
  <si>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</si>
  <si>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</si>
  <si>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</si>
  <si>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</si>
  <si>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</si>
  <si>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</si>
  <si>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</si>
  <si>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</si>
  <si>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</si>
  <si>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</si>
  <si>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</si>
  <si>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</si>
  <si>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</si>
  <si>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</si>
  <si>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</si>
  <si>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</si>
  <si>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</si>
  <si>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</si>
  <si>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</si>
  <si>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</si>
  <si>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</si>
  <si>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</si>
  <si>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</si>
  <si>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</si>
  <si>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</si>
  <si>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</si>
  <si>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</si>
  <si>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</si>
  <si>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</si>
  <si>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</si>
  <si>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</si>
  <si>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BSA</t>
  </si>
  <si>
    <t>India</t>
  </si>
  <si>
    <t>POD1</t>
  </si>
  <si>
    <t>POD2</t>
  </si>
  <si>
    <t>Team</t>
  </si>
  <si>
    <t>Dev</t>
  </si>
  <si>
    <t>Tester</t>
  </si>
  <si>
    <t>Maintenance</t>
  </si>
  <si>
    <t>HZ</t>
  </si>
  <si>
    <t>PM</t>
  </si>
  <si>
    <t>Lead</t>
  </si>
  <si>
    <t>Onsite</t>
  </si>
  <si>
    <t>Onsite-Landed</t>
  </si>
  <si>
    <t>TOTAL FTE Year 1</t>
  </si>
  <si>
    <t>Year1</t>
  </si>
  <si>
    <t>Year2</t>
  </si>
  <si>
    <t>Year3</t>
  </si>
  <si>
    <t>Year4</t>
  </si>
  <si>
    <t>Year5</t>
  </si>
  <si>
    <t>Onsite FTE (non-FSI)</t>
  </si>
  <si>
    <t>Onsite FTE (FSI)</t>
  </si>
  <si>
    <t>Onsite FTE (Landed)</t>
  </si>
  <si>
    <t>Offshore</t>
  </si>
  <si>
    <t>Total</t>
  </si>
  <si>
    <t>Developer</t>
  </si>
  <si>
    <t>Other</t>
  </si>
  <si>
    <t>Onsite-FSI</t>
  </si>
  <si>
    <t>Productivity</t>
  </si>
  <si>
    <t>Unit</t>
  </si>
  <si>
    <t>Percentage</t>
  </si>
  <si>
    <t>Transfer</t>
  </si>
  <si>
    <t>BSAIndia</t>
  </si>
  <si>
    <t>DevIndia</t>
  </si>
  <si>
    <t>TesterIndia</t>
  </si>
  <si>
    <t>MaintenanceIndia</t>
  </si>
  <si>
    <t>PMIndia</t>
  </si>
  <si>
    <t>LeadIndia</t>
  </si>
  <si>
    <t>BSAOnsite</t>
  </si>
  <si>
    <t>DevOnsite</t>
  </si>
  <si>
    <t>TesterOnsite</t>
  </si>
  <si>
    <t>PMOnsite</t>
  </si>
  <si>
    <t>LeadOnsite</t>
  </si>
  <si>
    <t>BSAOnsite-Landed</t>
  </si>
  <si>
    <t>DevOnsite-Landed</t>
  </si>
  <si>
    <t>TesterOnsite-Landed</t>
  </si>
  <si>
    <t>PMOnsite-Landed</t>
  </si>
  <si>
    <t>LeadOnsite-Landed</t>
  </si>
  <si>
    <t>LocslGrade</t>
  </si>
  <si>
    <t>B2-Consultant</t>
  </si>
  <si>
    <t>C1-Senior Consultant</t>
  </si>
  <si>
    <t>D2-Portfolio Manager</t>
  </si>
  <si>
    <t>D1-Senior Manager</t>
  </si>
  <si>
    <t>C2-Manager</t>
  </si>
  <si>
    <t>B1-Associate Consultant</t>
  </si>
  <si>
    <t>A5-Senior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</si>
</sst>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9.5"/>
      <name val="Arial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D2DCE3"/>
      </left>
      <right style="thin">
        <color rgb="FFD2DCE3"/>
      </right>
      <top style="thin">
        <color rgb="FFD2DCE3"/>
      </top>
      <bottom style="thin">
        <color rgb="FFD2DC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11" borderId="0"/>
    <xf numFmtId="0" fontId="5" fillId="12" borderId="0"/>
  </cellStyleXfs>
  <cellXfs count="22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2" xfId="0" applyFill="1" applyBorder="1"/>
    <xf numFmtId="0" fontId="0" fillId="7" borderId="2" xfId="0" applyFill="1" applyBorder="1"/>
    <xf numFmtId="0" fontId="0" fillId="8" borderId="2" xfId="0" applyFill="1" applyBorder="1"/>
    <xf numFmtId="164" fontId="1" fillId="2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2" fillId="10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11" borderId="0" xfId="1"/>
    <xf numFmtId="0" fontId="5" fillId="12" borderId="0" xfId="2"/>
    <xf numFmtId="0" fontId="0" fillId="0" borderId="0" xfId="0" applyAlignment="1">
      <alignment horizontal="center"/>
    </xf>
    <xf numFmtId="0" fontId="2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08" zoomScaleNormal="108" workbookViewId="0">
      <selection activeCell="D52" sqref="D52"/>
    </sheetView>
  </sheetViews>
  <sheetFormatPr defaultRowHeight="14.5" x14ac:dyDescent="0.35"/>
  <cols>
    <col min="1" max="1" width="23.7265625" customWidth="1"/>
  </cols>
  <sheetData>
    <row r="1" spans="1:6" x14ac:dyDescent="0.35">
      <c r="A1" t="s">
        <v>77</v>
      </c>
      <c r="B1">
        <v>39</v>
      </c>
    </row>
    <row r="2" spans="1:6" x14ac:dyDescent="0.35">
      <c r="B2" s="16" t="s">
        <v>78</v>
      </c>
      <c r="C2" s="16" t="s">
        <v>79</v>
      </c>
      <c r="D2" s="16" t="s">
        <v>80</v>
      </c>
      <c r="E2" s="16" t="s">
        <v>81</v>
      </c>
      <c r="F2" s="16" t="s">
        <v>82</v>
      </c>
    </row>
    <row r="3" spans="1:6" x14ac:dyDescent="0.35">
      <c r="A3" t="s">
        <v>83</v>
      </c>
      <c r="B3" s="3">
        <v>3</v>
      </c>
      <c r="C3" s="3">
        <v>3</v>
      </c>
      <c r="D3" s="3">
        <v>1</v>
      </c>
      <c r="E3" s="3">
        <v>1</v>
      </c>
      <c r="F3" s="3">
        <v>1</v>
      </c>
    </row>
    <row r="4" spans="1:6" x14ac:dyDescent="0.35">
      <c r="A4" t="s">
        <v>84</v>
      </c>
      <c r="B4" s="4">
        <v>6</v>
      </c>
      <c r="C4" s="4">
        <v>4</v>
      </c>
      <c r="D4" s="4">
        <v>2</v>
      </c>
      <c r="E4" s="4">
        <v>1</v>
      </c>
      <c r="F4" s="4">
        <v>0</v>
      </c>
    </row>
    <row r="5" spans="1:6" x14ac:dyDescent="0.35">
      <c r="A5" t="s">
        <v>85</v>
      </c>
      <c r="B5" s="5">
        <v>7</v>
      </c>
      <c r="C5" s="5">
        <v>2</v>
      </c>
      <c r="D5" s="5">
        <v>1</v>
      </c>
      <c r="E5" s="5">
        <v>1</v>
      </c>
      <c r="F5" s="5">
        <v>1</v>
      </c>
    </row>
    <row r="6" spans="1:6" x14ac:dyDescent="0.35">
      <c r="A6" t="s">
        <v>75</v>
      </c>
      <c r="B6">
        <f>B3+B4+B5</f>
        <v>16</v>
      </c>
      <c r="C6">
        <f>C3+C4+C5</f>
        <v>9</v>
      </c>
      <c r="D6">
        <f>D3+D4+D5</f>
        <v>4</v>
      </c>
      <c r="E6">
        <f>E3+E4+E5</f>
        <v>3</v>
      </c>
      <c r="F6">
        <f>F3+F4+F5</f>
        <v>2</v>
      </c>
    </row>
    <row r="7" spans="1:6" x14ac:dyDescent="0.35">
      <c r="A7" t="s">
        <v>86</v>
      </c>
      <c r="B7" s="6">
        <v>10</v>
      </c>
      <c r="C7" s="6">
        <v>13</v>
      </c>
      <c r="D7" s="6">
        <v>14</v>
      </c>
      <c r="E7" s="6">
        <v>12</v>
      </c>
      <c r="F7" s="6">
        <v>12</v>
      </c>
    </row>
    <row r="8" spans="1:6" x14ac:dyDescent="0.35">
      <c r="A8" s="14" t="s">
        <v>87</v>
      </c>
      <c r="B8" s="15">
        <f>SUM(B6:B7)</f>
        <v>26</v>
      </c>
      <c r="C8" s="15">
        <f>SUM(C6:C7)</f>
        <v>22</v>
      </c>
      <c r="D8" s="15">
        <f>SUM(D6:D7)</f>
        <v>18</v>
      </c>
      <c r="E8" s="15">
        <f>SUM(E6:E7)</f>
        <v>15</v>
      </c>
      <c r="F8" s="15">
        <f>SUM(F6:F7)</f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zoomScale="184" zoomScaleNormal="184" workbookViewId="0">
      <selection activeCell="E9" sqref="E9"/>
    </sheetView>
  </sheetViews>
  <sheetFormatPr defaultRowHeight="14.5" x14ac:dyDescent="0.35"/>
  <cols>
    <col min="2" max="2" width="27.81640625" customWidth="1"/>
    <col min="6" max="6" width="12.1796875" customWidth="1"/>
  </cols>
  <sheetData>
    <row r="2" spans="1:4" x14ac:dyDescent="0.35">
      <c r="A2" t="s">
        <v>65</v>
      </c>
      <c r="B2" t="s">
        <v>64</v>
      </c>
      <c r="C2" s="13">
        <v>0.112</v>
      </c>
      <c r="D2">
        <v>1</v>
      </c>
    </row>
    <row r="3" spans="1:4" x14ac:dyDescent="0.35">
      <c r="A3" t="s">
        <v>65</v>
      </c>
      <c r="B3" t="s">
        <v>88</v>
      </c>
      <c r="C3" s="13">
        <v>0.39800000000000002</v>
      </c>
      <c r="D3">
        <v>4</v>
      </c>
    </row>
    <row r="4" spans="1:4" x14ac:dyDescent="0.35">
      <c r="A4" t="s">
        <v>65</v>
      </c>
      <c r="B4" t="s">
        <v>70</v>
      </c>
      <c r="C4" s="13">
        <v>0.26500000000000001</v>
      </c>
      <c r="D4">
        <v>3</v>
      </c>
    </row>
    <row r="5" spans="1:4" x14ac:dyDescent="0.35">
      <c r="A5" t="s">
        <v>65</v>
      </c>
      <c r="B5" t="s">
        <v>71</v>
      </c>
      <c r="C5" s="13">
        <v>0.108</v>
      </c>
      <c r="D5">
        <v>1</v>
      </c>
    </row>
    <row r="6" spans="1:4" x14ac:dyDescent="0.35">
      <c r="A6" t="s">
        <v>65</v>
      </c>
      <c r="B6" t="s">
        <v>73</v>
      </c>
      <c r="C6" s="13">
        <v>7.3999999999999996E-2</v>
      </c>
      <c r="D6">
        <v>1</v>
      </c>
    </row>
    <row r="7" spans="1:4" x14ac:dyDescent="0.35">
      <c r="A7" t="s">
        <v>65</v>
      </c>
      <c r="B7" t="s">
        <v>89</v>
      </c>
      <c r="C7" s="13">
        <v>4.2999999999999997E-2</v>
      </c>
      <c r="D7">
        <v>0</v>
      </c>
    </row>
    <row r="13" spans="1:4" x14ac:dyDescent="0.35">
      <c r="C13">
        <f>10*C3</f>
        <v>3.9800000000000004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7"/>
  <sheetViews>
    <sheetView zoomScale="120" zoomScaleNormal="120" workbookViewId="0">
      <selection activeCell="C6" sqref="C6"/>
    </sheetView>
  </sheetViews>
  <sheetFormatPr defaultRowHeight="14.5" x14ac:dyDescent="0.35"/>
  <cols>
    <col min="1" max="1" width="13.453125" bestFit="1" customWidth="1"/>
    <col min="2" max="2" width="10.81640625" bestFit="1" customWidth="1"/>
  </cols>
  <sheetData>
    <row r="2" spans="1:7" x14ac:dyDescent="0.35">
      <c r="C2" t="s">
        <v>78</v>
      </c>
      <c r="D2" t="s">
        <v>79</v>
      </c>
      <c r="E2" t="s">
        <v>80</v>
      </c>
      <c r="F2" t="s">
        <v>81</v>
      </c>
      <c r="G2" t="s">
        <v>82</v>
      </c>
    </row>
    <row r="3" spans="1:7" x14ac:dyDescent="0.35">
      <c r="A3" s="9" t="s">
        <v>75</v>
      </c>
      <c r="B3" t="s">
        <v>73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</row>
    <row r="4" spans="1:7" x14ac:dyDescent="0.35">
      <c r="B4" t="s">
        <v>74</v>
      </c>
      <c r="C4" s="10">
        <v>1</v>
      </c>
      <c r="D4" s="10">
        <v>1</v>
      </c>
      <c r="E4" s="10">
        <v>0</v>
      </c>
      <c r="F4" s="10">
        <v>0</v>
      </c>
      <c r="G4" s="10">
        <v>0</v>
      </c>
    </row>
    <row r="5" spans="1:7" x14ac:dyDescent="0.35">
      <c r="B5" t="s">
        <v>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x14ac:dyDescent="0.35">
      <c r="B6" t="s">
        <v>69</v>
      </c>
      <c r="C6" s="10">
        <v>1</v>
      </c>
      <c r="D6" s="10">
        <v>1</v>
      </c>
      <c r="E6" s="10">
        <v>1</v>
      </c>
      <c r="F6" s="10">
        <v>1</v>
      </c>
      <c r="G6" s="10">
        <v>0</v>
      </c>
    </row>
    <row r="7" spans="1:7" x14ac:dyDescent="0.35">
      <c r="B7" t="s">
        <v>70</v>
      </c>
      <c r="C7" s="10">
        <v>1</v>
      </c>
      <c r="D7" s="10">
        <v>1</v>
      </c>
      <c r="E7" s="10">
        <v>0</v>
      </c>
      <c r="F7" s="10">
        <v>0</v>
      </c>
      <c r="G7" s="10">
        <v>0</v>
      </c>
    </row>
    <row r="8" spans="1:7" x14ac:dyDescent="0.35">
      <c r="A8" s="7" t="s">
        <v>90</v>
      </c>
      <c r="B8" t="s">
        <v>73</v>
      </c>
      <c r="C8" s="11"/>
      <c r="D8" s="11"/>
      <c r="E8" s="11"/>
      <c r="F8" s="11"/>
      <c r="G8" s="11"/>
    </row>
    <row r="9" spans="1:7" x14ac:dyDescent="0.35">
      <c r="B9" t="s">
        <v>74</v>
      </c>
      <c r="C9" s="11"/>
      <c r="D9" s="11"/>
      <c r="E9" s="11"/>
      <c r="F9" s="11"/>
      <c r="G9" s="11"/>
    </row>
    <row r="10" spans="1:7" x14ac:dyDescent="0.35">
      <c r="B10" t="s">
        <v>64</v>
      </c>
      <c r="C10" s="11">
        <v>2</v>
      </c>
      <c r="D10" s="11">
        <v>1</v>
      </c>
      <c r="E10" s="11">
        <v>1</v>
      </c>
      <c r="F10" s="11">
        <v>0</v>
      </c>
      <c r="G10" s="11">
        <v>0</v>
      </c>
    </row>
    <row r="11" spans="1:7" x14ac:dyDescent="0.35">
      <c r="B11" t="s">
        <v>69</v>
      </c>
      <c r="C11" s="11">
        <v>4</v>
      </c>
      <c r="D11" s="11">
        <v>3</v>
      </c>
      <c r="E11" s="11">
        <v>1</v>
      </c>
      <c r="F11" s="11">
        <v>1</v>
      </c>
      <c r="G11" s="11">
        <v>0</v>
      </c>
    </row>
    <row r="12" spans="1:7" x14ac:dyDescent="0.35">
      <c r="B12" t="s">
        <v>70</v>
      </c>
      <c r="C12" s="11"/>
      <c r="D12" s="11"/>
      <c r="E12" s="11"/>
      <c r="F12" s="11"/>
      <c r="G12" s="11"/>
    </row>
    <row r="13" spans="1:7" x14ac:dyDescent="0.35">
      <c r="A13" s="8" t="s">
        <v>76</v>
      </c>
      <c r="B13" t="s">
        <v>73</v>
      </c>
      <c r="C13" s="12"/>
      <c r="D13" s="12"/>
      <c r="E13" s="12"/>
      <c r="F13" s="12"/>
      <c r="G13" s="12"/>
    </row>
    <row r="14" spans="1:7" x14ac:dyDescent="0.35">
      <c r="B14" t="s">
        <v>74</v>
      </c>
      <c r="C14" s="12">
        <v>1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35">
      <c r="B15" t="s">
        <v>64</v>
      </c>
      <c r="C15" s="12">
        <v>2</v>
      </c>
      <c r="D15" s="12">
        <v>1</v>
      </c>
      <c r="E15" s="12">
        <v>0</v>
      </c>
      <c r="F15" s="12">
        <v>0</v>
      </c>
      <c r="G15" s="12">
        <v>0</v>
      </c>
    </row>
    <row r="16" spans="1:7" x14ac:dyDescent="0.35">
      <c r="B16" t="s">
        <v>69</v>
      </c>
      <c r="C16" s="12">
        <v>2</v>
      </c>
      <c r="D16" s="12">
        <v>1</v>
      </c>
      <c r="E16" s="12">
        <v>1</v>
      </c>
      <c r="F16" s="12">
        <v>1</v>
      </c>
      <c r="G16" s="12">
        <v>1</v>
      </c>
    </row>
    <row r="17" spans="2:7" x14ac:dyDescent="0.35">
      <c r="B17" t="s">
        <v>70</v>
      </c>
      <c r="C17" s="12">
        <v>2</v>
      </c>
      <c r="D17" s="12">
        <v>0</v>
      </c>
      <c r="E17" s="12">
        <v>0</v>
      </c>
      <c r="F17" s="12">
        <v>0</v>
      </c>
      <c r="G17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"/>
  <sheetViews>
    <sheetView workbookViewId="0">
      <selection activeCell="D14" sqref="D14"/>
    </sheetView>
  </sheetViews>
  <sheetFormatPr defaultRowHeight="14.5" x14ac:dyDescent="0.35"/>
  <cols>
    <col min="1" max="1" width="10.54296875" bestFit="1" customWidth="1"/>
  </cols>
  <sheetData>
    <row r="2" spans="1:6" x14ac:dyDescent="0.35">
      <c r="B2" t="s">
        <v>78</v>
      </c>
      <c r="C2" t="s">
        <v>79</v>
      </c>
      <c r="D2" t="s">
        <v>80</v>
      </c>
      <c r="E2" t="s">
        <v>81</v>
      </c>
      <c r="F2" t="s">
        <v>82</v>
      </c>
    </row>
    <row r="3" spans="1:6" x14ac:dyDescent="0.35">
      <c r="A3" t="s">
        <v>91</v>
      </c>
      <c r="C3" s="1">
        <v>0.15</v>
      </c>
      <c r="D3" s="1">
        <v>0.34</v>
      </c>
      <c r="E3" s="1">
        <v>0.39</v>
      </c>
      <c r="F3" s="1">
        <v>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5"/>
  <sheetViews>
    <sheetView zoomScale="136" zoomScaleNormal="136" workbookViewId="0">
      <selection activeCell="B5" sqref="B5"/>
    </sheetView>
  </sheetViews>
  <sheetFormatPr defaultRowHeight="14.5" x14ac:dyDescent="0.35"/>
  <cols>
    <col min="1" max="1" width="5.54296875" bestFit="1" customWidth="1"/>
    <col min="2" max="2" width="10.1796875" bestFit="1" customWidth="1"/>
  </cols>
  <sheetData>
    <row r="2" spans="1:6" x14ac:dyDescent="0.35">
      <c r="A2" s="4" t="s">
        <v>92</v>
      </c>
      <c r="B2" s="4" t="s">
        <v>93</v>
      </c>
      <c r="C2" s="4" t="s">
        <v>79</v>
      </c>
      <c r="D2" s="4" t="s">
        <v>80</v>
      </c>
      <c r="E2" s="4" t="s">
        <v>81</v>
      </c>
      <c r="F2" s="4" t="s">
        <v>82</v>
      </c>
    </row>
    <row r="3" spans="1:6" x14ac:dyDescent="0.35">
      <c r="A3" t="s">
        <v>66</v>
      </c>
      <c r="B3" s="2">
        <f>7/23</f>
        <v>0.30434782608695654</v>
      </c>
      <c r="C3" s="2">
        <f>6/18</f>
        <v>0.33333333333333331</v>
      </c>
      <c r="D3" s="2">
        <f>7/14</f>
        <v>0.5</v>
      </c>
      <c r="E3" s="2">
        <f>6/12</f>
        <v>0.5</v>
      </c>
      <c r="F3" s="2">
        <f>6/12</f>
        <v>0.5</v>
      </c>
    </row>
    <row r="4" spans="1:6" x14ac:dyDescent="0.35">
      <c r="A4" t="s">
        <v>67</v>
      </c>
      <c r="B4" s="2">
        <f>7/23</f>
        <v>0.30434782608695654</v>
      </c>
      <c r="C4" s="2">
        <f>7/18</f>
        <v>0.3888888888888889</v>
      </c>
      <c r="D4" s="2">
        <f>7/14</f>
        <v>0.5</v>
      </c>
      <c r="E4" s="2">
        <f>6/12</f>
        <v>0.5</v>
      </c>
      <c r="F4" s="2">
        <f>6/12</f>
        <v>0.5</v>
      </c>
    </row>
    <row r="5" spans="1:6" x14ac:dyDescent="0.35">
      <c r="A5" t="s">
        <v>68</v>
      </c>
      <c r="B5" s="2">
        <f>9/23</f>
        <v>0.39130434782608697</v>
      </c>
      <c r="C5" s="2">
        <f>5/18</f>
        <v>0.27777777777777779</v>
      </c>
      <c r="D5" s="2">
        <v>0</v>
      </c>
      <c r="E5" s="2">
        <v>0</v>
      </c>
      <c r="F5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"/>
  <sheetViews>
    <sheetView workbookViewId="0">
      <selection activeCell="C9" sqref="C9"/>
    </sheetView>
  </sheetViews>
  <sheetFormatPr defaultRowHeight="14.5" x14ac:dyDescent="0.35"/>
  <sheetData>
    <row r="2" spans="1:6" x14ac:dyDescent="0.35">
      <c r="B2" t="s">
        <v>78</v>
      </c>
      <c r="C2" t="s">
        <v>79</v>
      </c>
      <c r="D2" t="s">
        <v>80</v>
      </c>
      <c r="E2" t="s">
        <v>81</v>
      </c>
      <c r="F2" t="s">
        <v>82</v>
      </c>
    </row>
    <row r="3" spans="1:6" x14ac:dyDescent="0.35">
      <c r="A3" t="s">
        <v>94</v>
      </c>
      <c r="E3" s="1">
        <v>0.15</v>
      </c>
      <c r="F3" s="1">
        <v>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5:BK41"/>
  <sheetViews>
    <sheetView topLeftCell="A22" zoomScale="120" zoomScaleNormal="120" workbookViewId="0">
      <selection activeCell="A31" sqref="A31:XFD31"/>
    </sheetView>
  </sheetViews>
  <sheetFormatPr defaultRowHeight="14.5" x14ac:dyDescent="0.35"/>
  <cols>
    <col min="1" max="1" width="18.453125" customWidth="1"/>
    <col min="2" max="2" width="13.1796875" customWidth="1"/>
    <col min="3" max="3" width="18.26953125" bestFit="1" customWidth="1"/>
    <col min="4" max="27" width="13" customWidth="1"/>
  </cols>
  <sheetData>
    <row r="25" spans="1:63" x14ac:dyDescent="0.35">
      <c r="A25" t="s">
        <v>0</v>
      </c>
      <c r="B25" t="s">
        <v>1</v>
      </c>
      <c r="C25" t="s">
        <v>2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  <c r="Q25" t="s">
        <v>17</v>
      </c>
      <c r="R25" t="s">
        <v>18</v>
      </c>
      <c r="S25" t="s">
        <v>19</v>
      </c>
      <c r="T25" t="s">
        <v>20</v>
      </c>
      <c r="U25" t="s">
        <v>21</v>
      </c>
      <c r="V25" t="s">
        <v>22</v>
      </c>
      <c r="W25" t="s">
        <v>23</v>
      </c>
      <c r="X25" t="s">
        <v>24</v>
      </c>
      <c r="Y25" t="s">
        <v>25</v>
      </c>
      <c r="Z25" t="s">
        <v>26</v>
      </c>
      <c r="AA25" t="s">
        <v>27</v>
      </c>
      <c r="AB25" t="s">
        <v>28</v>
      </c>
      <c r="AC25" t="s">
        <v>29</v>
      </c>
      <c r="AD25" t="s">
        <v>30</v>
      </c>
      <c r="AE25" t="s">
        <v>31</v>
      </c>
      <c r="AF25" t="s">
        <v>32</v>
      </c>
      <c r="AG25" t="s">
        <v>33</v>
      </c>
      <c r="AH25" t="s">
        <v>34</v>
      </c>
      <c r="AI25" t="s">
        <v>35</v>
      </c>
      <c r="AJ25" t="s">
        <v>36</v>
      </c>
      <c r="AK25" t="s">
        <v>37</v>
      </c>
      <c r="AL25" t="s">
        <v>38</v>
      </c>
      <c r="AM25" t="s">
        <v>39</v>
      </c>
      <c r="AN25" t="s">
        <v>40</v>
      </c>
      <c r="AO25" t="s">
        <v>41</v>
      </c>
      <c r="AP25" t="s">
        <v>42</v>
      </c>
      <c r="AQ25" t="s">
        <v>43</v>
      </c>
      <c r="AR25" t="s">
        <v>44</v>
      </c>
      <c r="AS25" t="s">
        <v>45</v>
      </c>
      <c r="AT25" t="s">
        <v>46</v>
      </c>
      <c r="AU25" t="s">
        <v>47</v>
      </c>
      <c r="AV25" t="s">
        <v>48</v>
      </c>
      <c r="AW25" t="s">
        <v>49</v>
      </c>
      <c r="AX25" t="s">
        <v>50</v>
      </c>
      <c r="AY25" t="s">
        <v>51</v>
      </c>
      <c r="AZ25" t="s">
        <v>52</v>
      </c>
      <c r="BA25" t="s">
        <v>53</v>
      </c>
      <c r="BB25" t="s">
        <v>54</v>
      </c>
      <c r="BC25" t="s">
        <v>55</v>
      </c>
      <c r="BD25" t="s">
        <v>56</v>
      </c>
      <c r="BE25" t="s">
        <v>57</v>
      </c>
      <c r="BF25" t="s">
        <v>58</v>
      </c>
      <c r="BG25" t="s">
        <v>59</v>
      </c>
      <c r="BH25" t="s">
        <v>60</v>
      </c>
      <c r="BI25" t="s">
        <v>61</v>
      </c>
      <c r="BJ25" t="s">
        <v>62</v>
      </c>
      <c r="BK25" t="s">
        <v>63</v>
      </c>
    </row>
    <row r="26" spans="1:63" x14ac:dyDescent="0.35">
      <c r="A26" t="s">
        <v>64</v>
      </c>
      <c r="B26" t="s">
        <v>65</v>
      </c>
      <c r="C26" t="str">
        <f t="shared" ref="C26:C41" si="0">A26&amp;B26</f>
        <v>BSAIndia</v>
      </c>
      <c r="D26" s="18">
        <f>ROUND(FTE!$B$7*'India Role Distribution'!$C2,0)</f>
        <v>1</v>
      </c>
      <c r="E26" s="18">
        <f>ROUND(FTE!$B$7*'India Role Distribution'!$C2,0)</f>
        <v>1</v>
      </c>
      <c r="F26" s="18">
        <f>ROUND(FTE!$B$7*'India Role Distribution'!$C2,0)</f>
        <v>1</v>
      </c>
      <c r="G26" s="18">
        <f>ROUND(FTE!$B$7*'India Role Distribution'!$C2,0)</f>
        <v>1</v>
      </c>
      <c r="H26" s="18">
        <f>ROUND(FTE!$B$7*'India Role Distribution'!$C2,0)</f>
        <v>1</v>
      </c>
      <c r="I26" s="18">
        <f>ROUND(FTE!$B$7*'India Role Distribution'!$C2,0)</f>
        <v>1</v>
      </c>
      <c r="J26" s="18">
        <f>ROUND(FTE!$B$7*'India Role Distribution'!$C2,0)</f>
        <v>1</v>
      </c>
      <c r="K26" s="18">
        <f>ROUND(FTE!$B$7*'India Role Distribution'!$C2,0)</f>
        <v>1</v>
      </c>
      <c r="L26" s="18">
        <f>ROUND(FTE!$B$7*'India Role Distribution'!$C2,0)</f>
        <v>1</v>
      </c>
      <c r="M26" s="18">
        <f>ROUND(FTE!$B$7*'India Role Distribution'!$C2,0)</f>
        <v>1</v>
      </c>
      <c r="N26" s="18">
        <f>ROUND(FTE!$B$7*'India Role Distribution'!$C2,0)</f>
        <v>1</v>
      </c>
      <c r="O26" s="18">
        <f>ROUND(FTE!$B$7*'India Role Distribution'!$C2,0)</f>
        <v>1</v>
      </c>
      <c r="P26" s="19">
        <f>FTE!$C$7-SUM(P27:P31)</f>
        <v>2</v>
      </c>
      <c r="Q26" s="19">
        <f>FTE!$C$7-SUM(Q27:Q31)</f>
        <v>2</v>
      </c>
      <c r="R26" s="19">
        <f>FTE!$C$7-SUM(R27:R31)</f>
        <v>2</v>
      </c>
      <c r="S26" s="19">
        <f>FTE!$C$7-SUM(S27:S31)</f>
        <v>2</v>
      </c>
      <c r="T26" s="19">
        <f>FTE!$C$7-SUM(T27:T31)</f>
        <v>2</v>
      </c>
      <c r="U26" s="19">
        <f>FTE!$C$7-SUM(U27:U31)</f>
        <v>2</v>
      </c>
      <c r="V26" s="19">
        <f>FTE!$C$7-SUM(V27:V31)</f>
        <v>2</v>
      </c>
      <c r="W26" s="19">
        <f>FTE!$C$7-SUM(W27:W31)</f>
        <v>2</v>
      </c>
      <c r="X26" s="19">
        <f>FTE!$C$7-SUM(X27:X31)</f>
        <v>2</v>
      </c>
      <c r="Y26" s="19">
        <f>FTE!$C$7-SUM(Y27:Y31)</f>
        <v>2</v>
      </c>
      <c r="Z26" s="19">
        <f>FTE!$C$7-SUM(Z27:Z31)</f>
        <v>2</v>
      </c>
      <c r="AA26" s="19">
        <f>FTE!$C$7-SUM(AA27:AA31)</f>
        <v>2</v>
      </c>
      <c r="AB26">
        <f>ROUND(FTE!$D$7*'India Role Distribution'!$C2,0)</f>
        <v>2</v>
      </c>
      <c r="AC26">
        <f>ROUND(FTE!$D$7*'India Role Distribution'!$C2,0)</f>
        <v>2</v>
      </c>
      <c r="AD26">
        <f>ROUND(FTE!$D$7*'India Role Distribution'!$C2,0)</f>
        <v>2</v>
      </c>
      <c r="AE26">
        <f>ROUND(FTE!$D$7*'India Role Distribution'!$C2,0)</f>
        <v>2</v>
      </c>
      <c r="AF26">
        <f>ROUND(FTE!$D$7*'India Role Distribution'!$C2,0)</f>
        <v>2</v>
      </c>
      <c r="AG26">
        <f>ROUND(FTE!$D$7*'India Role Distribution'!$C2,0)</f>
        <v>2</v>
      </c>
      <c r="AH26">
        <f>ROUND(FTE!$D$7*'India Role Distribution'!$C2,0)</f>
        <v>2</v>
      </c>
      <c r="AI26">
        <f>ROUND(FTE!$D$7*'India Role Distribution'!$C2,0)</f>
        <v>2</v>
      </c>
      <c r="AJ26">
        <f>ROUND(FTE!$D$7*'India Role Distribution'!$C2,0)</f>
        <v>2</v>
      </c>
      <c r="AK26">
        <f>ROUND(FTE!$D$7*'India Role Distribution'!$C2,0)</f>
        <v>2</v>
      </c>
      <c r="AL26">
        <f>ROUND(FTE!$D$7*'India Role Distribution'!$C2,0)</f>
        <v>2</v>
      </c>
      <c r="AM26">
        <f>ROUND(FTE!$D$7*'India Role Distribution'!$C2,0)</f>
        <v>2</v>
      </c>
      <c r="AN26">
        <f>ROUND(FTE!$E$7*'India Role Distribution'!$C2,0)</f>
        <v>1</v>
      </c>
      <c r="AO26">
        <f>ROUND(FTE!$E$7*'India Role Distribution'!$C2,0)</f>
        <v>1</v>
      </c>
      <c r="AP26">
        <f>ROUND(FTE!$E$7*'India Role Distribution'!$C2,0)</f>
        <v>1</v>
      </c>
      <c r="AQ26">
        <f>ROUND(FTE!$E$7*'India Role Distribution'!$C2,0)</f>
        <v>1</v>
      </c>
      <c r="AR26">
        <f>ROUND(FTE!$E$7*'India Role Distribution'!$C2,0)</f>
        <v>1</v>
      </c>
      <c r="AS26">
        <f>ROUND(FTE!$E$7*'India Role Distribution'!$C2,0)</f>
        <v>1</v>
      </c>
      <c r="AT26">
        <f>ROUND(FTE!$E$7*'India Role Distribution'!$C2,0)</f>
        <v>1</v>
      </c>
      <c r="AU26">
        <f>ROUND(FTE!$E$7*'India Role Distribution'!$C2,0)</f>
        <v>1</v>
      </c>
      <c r="AV26">
        <f>ROUND(FTE!$E$7*'India Role Distribution'!$C2,0)</f>
        <v>1</v>
      </c>
      <c r="AW26">
        <f>ROUND(FTE!$E$7*'India Role Distribution'!$C2,0)</f>
        <v>1</v>
      </c>
      <c r="AX26">
        <f>ROUND(FTE!$E$7*'India Role Distribution'!$C2,0)</f>
        <v>1</v>
      </c>
      <c r="AY26">
        <f>ROUND(FTE!$E$7*'India Role Distribution'!$C2,0)</f>
        <v>1</v>
      </c>
      <c r="AZ26" s="17">
        <v>2</v>
      </c>
      <c r="BA26" s="17">
        <v>2</v>
      </c>
      <c r="BB26" s="17">
        <v>2</v>
      </c>
      <c r="BC26" s="17">
        <v>2</v>
      </c>
      <c r="BD26" s="17">
        <v>2</v>
      </c>
      <c r="BE26" s="17">
        <v>2</v>
      </c>
      <c r="BF26" s="17">
        <v>2</v>
      </c>
      <c r="BG26" s="17">
        <v>2</v>
      </c>
      <c r="BH26" s="17">
        <v>2</v>
      </c>
      <c r="BI26" s="17">
        <v>2</v>
      </c>
      <c r="BJ26" s="17">
        <v>2</v>
      </c>
      <c r="BK26" s="17">
        <v>2</v>
      </c>
    </row>
    <row r="27" spans="1:63" x14ac:dyDescent="0.35">
      <c r="A27" t="s">
        <v>69</v>
      </c>
      <c r="B27" t="s">
        <v>65</v>
      </c>
      <c r="C27" t="str">
        <f t="shared" si="0"/>
        <v>DevIndia</v>
      </c>
      <c r="D27" s="18">
        <f>ROUND(FTE!$B$7*'India Role Distribution'!$C3,0)</f>
        <v>4</v>
      </c>
      <c r="E27" s="18">
        <f>ROUND(FTE!$B$7*'India Role Distribution'!$C3,0)</f>
        <v>4</v>
      </c>
      <c r="F27" s="18">
        <f>ROUND(FTE!$B$7*'India Role Distribution'!$C3,0)</f>
        <v>4</v>
      </c>
      <c r="G27" s="18">
        <f>ROUND(FTE!$B$7*'India Role Distribution'!$C3,0)</f>
        <v>4</v>
      </c>
      <c r="H27" s="18">
        <f>ROUND(FTE!$B$7*'India Role Distribution'!$C3,0)</f>
        <v>4</v>
      </c>
      <c r="I27" s="18">
        <f>ROUND(FTE!$B$7*'India Role Distribution'!$C3,0)</f>
        <v>4</v>
      </c>
      <c r="J27" s="18">
        <f>ROUND(FTE!$B$7*'India Role Distribution'!$C3,0)</f>
        <v>4</v>
      </c>
      <c r="K27" s="18">
        <f>ROUND(FTE!$B$7*'India Role Distribution'!$C3,0)</f>
        <v>4</v>
      </c>
      <c r="L27" s="18">
        <f>ROUND(FTE!$B$7*'India Role Distribution'!$C3,0)</f>
        <v>4</v>
      </c>
      <c r="M27" s="18">
        <f>ROUND(FTE!$B$7*'India Role Distribution'!$C3,0)</f>
        <v>4</v>
      </c>
      <c r="N27" s="18">
        <f>ROUND(FTE!$B$7*'India Role Distribution'!$C3,0)</f>
        <v>4</v>
      </c>
      <c r="O27" s="18">
        <f>ROUND(FTE!$B$7*'India Role Distribution'!$C3,0)</f>
        <v>4</v>
      </c>
      <c r="P27" s="19">
        <f>ROUND(FTE!$C$7*'India Role Distribution'!$C3,0)</f>
        <v>5</v>
      </c>
      <c r="Q27" s="19">
        <f>ROUND(FTE!$C$7*'India Role Distribution'!$C3,0)</f>
        <v>5</v>
      </c>
      <c r="R27" s="19">
        <f>ROUND(FTE!$C$7*'India Role Distribution'!$C3,0)</f>
        <v>5</v>
      </c>
      <c r="S27" s="19">
        <f>ROUND(FTE!$C$7*'India Role Distribution'!$C3,0)</f>
        <v>5</v>
      </c>
      <c r="T27" s="19">
        <f>ROUND(FTE!$C$7*'India Role Distribution'!$C3,0)</f>
        <v>5</v>
      </c>
      <c r="U27" s="19">
        <f>ROUND(FTE!$C$7*'India Role Distribution'!$C3,0)</f>
        <v>5</v>
      </c>
      <c r="V27" s="19">
        <f>ROUND(FTE!$C$7*'India Role Distribution'!$C3,0)</f>
        <v>5</v>
      </c>
      <c r="W27" s="19">
        <f>ROUND(FTE!$C$7*'India Role Distribution'!$C3,0)</f>
        <v>5</v>
      </c>
      <c r="X27" s="19">
        <f>ROUND(FTE!$C$7*'India Role Distribution'!$C3,0)</f>
        <v>5</v>
      </c>
      <c r="Y27" s="19">
        <f>ROUND(FTE!$C$7*'India Role Distribution'!$C3,0)</f>
        <v>5</v>
      </c>
      <c r="Z27" s="19">
        <f>ROUND(FTE!$C$7*'India Role Distribution'!$C3,0)</f>
        <v>5</v>
      </c>
      <c r="AA27" s="19">
        <f>ROUND(FTE!$C$7*'India Role Distribution'!$C3,0)</f>
        <v>5</v>
      </c>
      <c r="AB27">
        <f>FTE!$D$7-(AB26+AB28+AB29+AB30+AB31)</f>
        <v>4</v>
      </c>
      <c r="AC27">
        <f>FTE!$D$7-(AC26+AC28+AC29+AC30+AC31)</f>
        <v>4</v>
      </c>
      <c r="AD27">
        <f>FTE!$D$7-(AD26+AD28+AD29+AD30+AD31)</f>
        <v>4</v>
      </c>
      <c r="AE27">
        <f>FTE!$D$7-(AE26+AE28+AE29+AE30+AE31)</f>
        <v>4</v>
      </c>
      <c r="AF27">
        <f>FTE!$D$7-(AF26+AF28+AF29+AF30+AF31)</f>
        <v>4</v>
      </c>
      <c r="AG27">
        <f>FTE!$D$7-(AG26+AG28+AG29+AG30+AG31)</f>
        <v>4</v>
      </c>
      <c r="AH27">
        <f>FTE!$D$7-(AH26+AH28+AH29+AH30+AH31)</f>
        <v>4</v>
      </c>
      <c r="AI27">
        <f>FTE!$D$7-(AI26+AI28+AI29+AI30+AI31)</f>
        <v>4</v>
      </c>
      <c r="AJ27">
        <f>FTE!$D$7-(AJ26+AJ28+AJ29+AJ30+AJ31)</f>
        <v>4</v>
      </c>
      <c r="AK27">
        <f>FTE!$D$7-(AK26+AK28+AK29+AK30+AK31)</f>
        <v>4</v>
      </c>
      <c r="AL27">
        <f>FTE!$D$7-(AL26+AL28+AL29+AL30+AL31)</f>
        <v>4</v>
      </c>
      <c r="AM27">
        <f>FTE!$D$7-(AM26+AM28+AM29+AM30+AM31)</f>
        <v>4</v>
      </c>
      <c r="AN27">
        <f>ROUND(FTE!$E$7*'India Role Distribution'!$C3,0)</f>
        <v>5</v>
      </c>
      <c r="AO27">
        <f>ROUND(FTE!$E$7*'India Role Distribution'!$C3,0)</f>
        <v>5</v>
      </c>
      <c r="AP27">
        <f>ROUND(FTE!$E$7*'India Role Distribution'!$C3,0)</f>
        <v>5</v>
      </c>
      <c r="AQ27">
        <f>ROUND(FTE!$E$7*'India Role Distribution'!$C3,0)</f>
        <v>5</v>
      </c>
      <c r="AR27">
        <f>ROUND(FTE!$E$7*'India Role Distribution'!$C3,0)</f>
        <v>5</v>
      </c>
      <c r="AS27">
        <f>ROUND(FTE!$E$7*'India Role Distribution'!$C3,0)</f>
        <v>5</v>
      </c>
      <c r="AT27">
        <f>ROUND(FTE!$E$7*'India Role Distribution'!$C3,0)</f>
        <v>5</v>
      </c>
      <c r="AU27">
        <f>ROUND(FTE!$E$7*'India Role Distribution'!$C3,0)</f>
        <v>5</v>
      </c>
      <c r="AV27">
        <f>ROUND(FTE!$E$7*'India Role Distribution'!$C3,0)</f>
        <v>5</v>
      </c>
      <c r="AW27">
        <f>ROUND(FTE!$E$7*'India Role Distribution'!$C3,0)</f>
        <v>5</v>
      </c>
      <c r="AX27">
        <f>ROUND(FTE!$E$7*'India Role Distribution'!$C3,0)</f>
        <v>5</v>
      </c>
      <c r="AY27">
        <f>ROUND(FTE!$E$7*'India Role Distribution'!$C3,0)</f>
        <v>5</v>
      </c>
      <c r="AZ27" s="17">
        <v>5</v>
      </c>
      <c r="BA27" s="17">
        <v>5</v>
      </c>
      <c r="BB27" s="17">
        <v>5</v>
      </c>
      <c r="BC27" s="17">
        <v>5</v>
      </c>
      <c r="BD27" s="17">
        <v>5</v>
      </c>
      <c r="BE27" s="17">
        <v>5</v>
      </c>
      <c r="BF27" s="17">
        <v>5</v>
      </c>
      <c r="BG27" s="17">
        <v>5</v>
      </c>
      <c r="BH27" s="17">
        <v>5</v>
      </c>
      <c r="BI27" s="17">
        <v>5</v>
      </c>
      <c r="BJ27" s="17">
        <v>5</v>
      </c>
      <c r="BK27" s="17">
        <v>5</v>
      </c>
    </row>
    <row r="28" spans="1:63" x14ac:dyDescent="0.35">
      <c r="A28" t="s">
        <v>70</v>
      </c>
      <c r="B28" t="s">
        <v>65</v>
      </c>
      <c r="C28" t="str">
        <f t="shared" si="0"/>
        <v>TesterIndia</v>
      </c>
      <c r="D28" s="18">
        <f>ROUND(FTE!$B$7*'India Role Distribution'!$C4,0)</f>
        <v>3</v>
      </c>
      <c r="E28" s="18">
        <f>ROUND(FTE!$B$7*'India Role Distribution'!$C4,0)</f>
        <v>3</v>
      </c>
      <c r="F28" s="18">
        <f>ROUND(FTE!$B$7*'India Role Distribution'!$C4,0)</f>
        <v>3</v>
      </c>
      <c r="G28" s="18">
        <f>ROUND(FTE!$B$7*'India Role Distribution'!$C4,0)</f>
        <v>3</v>
      </c>
      <c r="H28" s="18">
        <f>ROUND(FTE!$B$7*'India Role Distribution'!$C4,0)</f>
        <v>3</v>
      </c>
      <c r="I28" s="18">
        <f>ROUND(FTE!$B$7*'India Role Distribution'!$C4,0)</f>
        <v>3</v>
      </c>
      <c r="J28" s="18">
        <f>ROUND(FTE!$B$7*'India Role Distribution'!$C4,0)</f>
        <v>3</v>
      </c>
      <c r="K28" s="18">
        <f>ROUND(FTE!$B$7*'India Role Distribution'!$C4,0)</f>
        <v>3</v>
      </c>
      <c r="L28" s="18">
        <f>ROUND(FTE!$B$7*'India Role Distribution'!$C4,0)</f>
        <v>3</v>
      </c>
      <c r="M28" s="18">
        <f>ROUND(FTE!$B$7*'India Role Distribution'!$C4,0)</f>
        <v>3</v>
      </c>
      <c r="N28" s="18">
        <f>ROUND(FTE!$B$7*'India Role Distribution'!$C4,0)</f>
        <v>3</v>
      </c>
      <c r="O28" s="18">
        <f>ROUND(FTE!$B$7*'India Role Distribution'!$C4,0)</f>
        <v>3</v>
      </c>
      <c r="P28" s="19">
        <f>ROUND(FTE!$C$7*'India Role Distribution'!$C4,0)</f>
        <v>3</v>
      </c>
      <c r="Q28" s="19">
        <f>ROUND(FTE!$C$7*'India Role Distribution'!$C4,0)</f>
        <v>3</v>
      </c>
      <c r="R28" s="19">
        <f>ROUND(FTE!$C$7*'India Role Distribution'!$C4,0)</f>
        <v>3</v>
      </c>
      <c r="S28" s="19">
        <f>ROUND(FTE!$C$7*'India Role Distribution'!$C4,0)</f>
        <v>3</v>
      </c>
      <c r="T28" s="19">
        <f>ROUND(FTE!$C$7*'India Role Distribution'!$C4,0)</f>
        <v>3</v>
      </c>
      <c r="U28" s="19">
        <f>ROUND(FTE!$C$7*'India Role Distribution'!$C4,0)</f>
        <v>3</v>
      </c>
      <c r="V28" s="19">
        <f>ROUND(FTE!$C$7*'India Role Distribution'!$C4,0)</f>
        <v>3</v>
      </c>
      <c r="W28" s="19">
        <f>ROUND(FTE!$C$7*'India Role Distribution'!$C4,0)</f>
        <v>3</v>
      </c>
      <c r="X28" s="19">
        <f>ROUND(FTE!$C$7*'India Role Distribution'!$C4,0)</f>
        <v>3</v>
      </c>
      <c r="Y28" s="19">
        <f>ROUND(FTE!$C$7*'India Role Distribution'!$C4,0)</f>
        <v>3</v>
      </c>
      <c r="Z28" s="19">
        <f>ROUND(FTE!$C$7*'India Role Distribution'!$C4,0)</f>
        <v>3</v>
      </c>
      <c r="AA28" s="19">
        <f>ROUND(FTE!$C$7*'India Role Distribution'!$C4,0)</f>
        <v>3</v>
      </c>
      <c r="AB28">
        <f>ROUND(FTE!$D$7*'India Role Distribution'!$C4,0)</f>
        <v>4</v>
      </c>
      <c r="AC28">
        <f>ROUND(FTE!$D$7*'India Role Distribution'!$C4,0)</f>
        <v>4</v>
      </c>
      <c r="AD28">
        <f>ROUND(FTE!$D$7*'India Role Distribution'!$C4,0)</f>
        <v>4</v>
      </c>
      <c r="AE28">
        <f>ROUND(FTE!$D$7*'India Role Distribution'!$C4,0)</f>
        <v>4</v>
      </c>
      <c r="AF28">
        <f>ROUND(FTE!$D$7*'India Role Distribution'!$C4,0)</f>
        <v>4</v>
      </c>
      <c r="AG28">
        <f>ROUND(FTE!$D$7*'India Role Distribution'!$C4,0)</f>
        <v>4</v>
      </c>
      <c r="AH28">
        <f>ROUND(FTE!$D$7*'India Role Distribution'!$C4,0)</f>
        <v>4</v>
      </c>
      <c r="AI28">
        <f>ROUND(FTE!$D$7*'India Role Distribution'!$C4,0)</f>
        <v>4</v>
      </c>
      <c r="AJ28">
        <f>ROUND(FTE!$D$7*'India Role Distribution'!$C4,0)</f>
        <v>4</v>
      </c>
      <c r="AK28">
        <f>ROUND(FTE!$D$7*'India Role Distribution'!$C4,0)</f>
        <v>4</v>
      </c>
      <c r="AL28">
        <f>ROUND(FTE!$D$7*'India Role Distribution'!$C4,0)</f>
        <v>4</v>
      </c>
      <c r="AM28">
        <f>ROUND(FTE!$D$7*'India Role Distribution'!$C4,0)</f>
        <v>4</v>
      </c>
      <c r="AN28">
        <f>ROUND(FTE!$E$7*'India Role Distribution'!$C4,0)</f>
        <v>3</v>
      </c>
      <c r="AO28">
        <f>ROUND(FTE!$E$7*'India Role Distribution'!$C4,0)</f>
        <v>3</v>
      </c>
      <c r="AP28">
        <f>ROUND(FTE!$E$7*'India Role Distribution'!$C4,0)</f>
        <v>3</v>
      </c>
      <c r="AQ28">
        <f>ROUND(FTE!$E$7*'India Role Distribution'!$C4,0)</f>
        <v>3</v>
      </c>
      <c r="AR28">
        <f>ROUND(FTE!$E$7*'India Role Distribution'!$C4,0)</f>
        <v>3</v>
      </c>
      <c r="AS28">
        <f>ROUND(FTE!$E$7*'India Role Distribution'!$C4,0)</f>
        <v>3</v>
      </c>
      <c r="AT28">
        <f>ROUND(FTE!$E$7*'India Role Distribution'!$C4,0)</f>
        <v>3</v>
      </c>
      <c r="AU28">
        <f>ROUND(FTE!$E$7*'India Role Distribution'!$C4,0)</f>
        <v>3</v>
      </c>
      <c r="AV28">
        <f>ROUND(FTE!$E$7*'India Role Distribution'!$C4,0)</f>
        <v>3</v>
      </c>
      <c r="AW28">
        <f>ROUND(FTE!$E$7*'India Role Distribution'!$C4,0)</f>
        <v>3</v>
      </c>
      <c r="AX28">
        <f>ROUND(FTE!$E$7*'India Role Distribution'!$C4,0)</f>
        <v>3</v>
      </c>
      <c r="AY28">
        <f>ROUND(FTE!$E$7*'India Role Distribution'!$C4,0)</f>
        <v>3</v>
      </c>
      <c r="AZ28" s="17">
        <v>3</v>
      </c>
      <c r="BA28">
        <f>ROUND(FTE!$F$7*'India Role Distribution'!$C4,0)</f>
        <v>3</v>
      </c>
      <c r="BB28">
        <f>ROUND(FTE!$F$7*'India Role Distribution'!$C4,0)</f>
        <v>3</v>
      </c>
      <c r="BC28">
        <f>ROUND(FTE!$F$7*'India Role Distribution'!$C4,0)</f>
        <v>3</v>
      </c>
      <c r="BD28">
        <f>ROUND(FTE!$F$7*'India Role Distribution'!$C4,0)</f>
        <v>3</v>
      </c>
      <c r="BE28">
        <f>ROUND(FTE!$F$7*'India Role Distribution'!$C4,0)</f>
        <v>3</v>
      </c>
      <c r="BF28">
        <f>ROUND(FTE!$F$7*'India Role Distribution'!$C4,0)</f>
        <v>3</v>
      </c>
      <c r="BG28">
        <f>ROUND(FTE!$F$7*'India Role Distribution'!$C4,0)</f>
        <v>3</v>
      </c>
      <c r="BH28">
        <f>ROUND(FTE!$F$7*'India Role Distribution'!$C4,0)</f>
        <v>3</v>
      </c>
      <c r="BI28">
        <f>ROUND(FTE!$F$7*'India Role Distribution'!$C4,0)</f>
        <v>3</v>
      </c>
      <c r="BJ28">
        <f>ROUND(FTE!$F$7*'India Role Distribution'!$C4,0)</f>
        <v>3</v>
      </c>
      <c r="BK28">
        <f>ROUND(FTE!$F$7*'India Role Distribution'!$C4,0)</f>
        <v>3</v>
      </c>
    </row>
    <row r="29" spans="1:63" x14ac:dyDescent="0.35">
      <c r="A29" t="s">
        <v>71</v>
      </c>
      <c r="B29" t="s">
        <v>65</v>
      </c>
      <c r="C29" t="str">
        <f t="shared" si="0"/>
        <v>MaintenanceIndia</v>
      </c>
      <c r="D29" s="18">
        <f>ROUND(FTE!$B$7*'India Role Distribution'!$C5,0)</f>
        <v>1</v>
      </c>
      <c r="E29" s="18">
        <f>ROUND(FTE!$B$7*'India Role Distribution'!$C5,0)</f>
        <v>1</v>
      </c>
      <c r="F29" s="18">
        <f>ROUND(FTE!$B$7*'India Role Distribution'!$C5,0)</f>
        <v>1</v>
      </c>
      <c r="G29" s="18">
        <f>ROUND(FTE!$B$7*'India Role Distribution'!$C5,0)</f>
        <v>1</v>
      </c>
      <c r="H29" s="18">
        <f>ROUND(FTE!$B$7*'India Role Distribution'!$C5,0)</f>
        <v>1</v>
      </c>
      <c r="I29" s="18">
        <f>ROUND(FTE!$B$7*'India Role Distribution'!$C5,0)</f>
        <v>1</v>
      </c>
      <c r="J29" s="18">
        <f>ROUND(FTE!$B$7*'India Role Distribution'!$C5,0)</f>
        <v>1</v>
      </c>
      <c r="K29" s="18">
        <f>ROUND(FTE!$B$7*'India Role Distribution'!$C5,0)</f>
        <v>1</v>
      </c>
      <c r="L29" s="18">
        <f>ROUND(FTE!$B$7*'India Role Distribution'!$C5,0)</f>
        <v>1</v>
      </c>
      <c r="M29" s="18">
        <f>ROUND(FTE!$B$7*'India Role Distribution'!$C5,0)</f>
        <v>1</v>
      </c>
      <c r="N29" s="18">
        <f>ROUND(FTE!$B$7*'India Role Distribution'!$C5,0)</f>
        <v>1</v>
      </c>
      <c r="O29" s="18">
        <f>ROUND(FTE!$B$7*'India Role Distribution'!$C5,0)</f>
        <v>1</v>
      </c>
      <c r="P29" s="19">
        <f>ROUND(FTE!$C$7*'India Role Distribution'!$C5,0)</f>
        <v>1</v>
      </c>
      <c r="Q29" s="19">
        <f>ROUND(FTE!$C$7*'India Role Distribution'!$C5,0)</f>
        <v>1</v>
      </c>
      <c r="R29" s="19">
        <f>ROUND(FTE!$C$7*'India Role Distribution'!$C5,0)</f>
        <v>1</v>
      </c>
      <c r="S29" s="19">
        <f>ROUND(FTE!$C$7*'India Role Distribution'!$C5,0)</f>
        <v>1</v>
      </c>
      <c r="T29" s="19">
        <f>ROUND(FTE!$C$7*'India Role Distribution'!$C5,0)</f>
        <v>1</v>
      </c>
      <c r="U29" s="19">
        <f>ROUND(FTE!$C$7*'India Role Distribution'!$C5,0)</f>
        <v>1</v>
      </c>
      <c r="V29" s="19">
        <f>ROUND(FTE!$C$7*'India Role Distribution'!$C5,0)</f>
        <v>1</v>
      </c>
      <c r="W29" s="19">
        <f>ROUND(FTE!$C$7*'India Role Distribution'!$C5,0)</f>
        <v>1</v>
      </c>
      <c r="X29" s="19">
        <f>ROUND(FTE!$C$7*'India Role Distribution'!$C5,0)</f>
        <v>1</v>
      </c>
      <c r="Y29" s="19">
        <f>ROUND(FTE!$C$7*'India Role Distribution'!$C5,0)</f>
        <v>1</v>
      </c>
      <c r="Z29" s="19">
        <f>ROUND(FTE!$C$7*'India Role Distribution'!$C5,0)</f>
        <v>1</v>
      </c>
      <c r="AA29" s="19">
        <f>ROUND(FTE!$C$7*'India Role Distribution'!$C5,0)</f>
        <v>1</v>
      </c>
      <c r="AB29">
        <f>ROUND(FTE!$D$7*'India Role Distribution'!$C5,0)</f>
        <v>2</v>
      </c>
      <c r="AC29">
        <f>ROUND(FTE!$D$7*'India Role Distribution'!$C5,0)</f>
        <v>2</v>
      </c>
      <c r="AD29">
        <f>ROUND(FTE!$D$7*'India Role Distribution'!$C5,0)</f>
        <v>2</v>
      </c>
      <c r="AE29">
        <f>ROUND(FTE!$D$7*'India Role Distribution'!$C5,0)</f>
        <v>2</v>
      </c>
      <c r="AF29">
        <f>ROUND(FTE!$D$7*'India Role Distribution'!$C5,0)</f>
        <v>2</v>
      </c>
      <c r="AG29">
        <f>ROUND(FTE!$D$7*'India Role Distribution'!$C5,0)</f>
        <v>2</v>
      </c>
      <c r="AH29">
        <f>ROUND(FTE!$D$7*'India Role Distribution'!$C5,0)</f>
        <v>2</v>
      </c>
      <c r="AI29">
        <f>ROUND(FTE!$D$7*'India Role Distribution'!$C5,0)</f>
        <v>2</v>
      </c>
      <c r="AJ29">
        <f>ROUND(FTE!$D$7*'India Role Distribution'!$C5,0)</f>
        <v>2</v>
      </c>
      <c r="AK29">
        <f>ROUND(FTE!$D$7*'India Role Distribution'!$C5,0)</f>
        <v>2</v>
      </c>
      <c r="AL29">
        <f>ROUND(FTE!$D$7*'India Role Distribution'!$C5,0)</f>
        <v>2</v>
      </c>
      <c r="AM29">
        <f>ROUND(FTE!$D$7*'India Role Distribution'!$C5,0)</f>
        <v>2</v>
      </c>
      <c r="AN29">
        <f>ROUND(FTE!$E$7*'India Role Distribution'!$C5,0)</f>
        <v>1</v>
      </c>
      <c r="AO29">
        <f>ROUND(FTE!$E$7*'India Role Distribution'!$C5,0)</f>
        <v>1</v>
      </c>
      <c r="AP29">
        <f>ROUND(FTE!$E$7*'India Role Distribution'!$C5,0)</f>
        <v>1</v>
      </c>
      <c r="AQ29">
        <f>ROUND(FTE!$E$7*'India Role Distribution'!$C5,0)</f>
        <v>1</v>
      </c>
      <c r="AR29">
        <f>ROUND(FTE!$E$7*'India Role Distribution'!$C5,0)</f>
        <v>1</v>
      </c>
      <c r="AS29">
        <f>ROUND(FTE!$E$7*'India Role Distribution'!$C5,0)</f>
        <v>1</v>
      </c>
      <c r="AT29">
        <f>ROUND(FTE!$E$7*'India Role Distribution'!$C5,0)</f>
        <v>1</v>
      </c>
      <c r="AU29">
        <f>ROUND(FTE!$E$7*'India Role Distribution'!$C5,0)</f>
        <v>1</v>
      </c>
      <c r="AV29">
        <f>ROUND(FTE!$E$7*'India Role Distribution'!$C5,0)</f>
        <v>1</v>
      </c>
      <c r="AW29">
        <f>ROUND(FTE!$E$7*'India Role Distribution'!$C5,0)</f>
        <v>1</v>
      </c>
      <c r="AX29">
        <f>ROUND(FTE!$E$7*'India Role Distribution'!$C5,0)</f>
        <v>1</v>
      </c>
      <c r="AY29">
        <f>ROUND(FTE!$E$7*'India Role Distribution'!$C5,0)</f>
        <v>1</v>
      </c>
      <c r="AZ29" s="17">
        <v>1</v>
      </c>
      <c r="BA29">
        <f>ROUND(FTE!$F$7*'India Role Distribution'!$C5,0)</f>
        <v>1</v>
      </c>
      <c r="BB29">
        <f>ROUND(FTE!$F$7*'India Role Distribution'!$C5,0)</f>
        <v>1</v>
      </c>
      <c r="BC29">
        <f>ROUND(FTE!$F$7*'India Role Distribution'!$C5,0)</f>
        <v>1</v>
      </c>
      <c r="BD29">
        <f>ROUND(FTE!$F$7*'India Role Distribution'!$C5,0)</f>
        <v>1</v>
      </c>
      <c r="BE29">
        <f>ROUND(FTE!$F$7*'India Role Distribution'!$C5,0)</f>
        <v>1</v>
      </c>
      <c r="BF29">
        <f>ROUND(FTE!$F$7*'India Role Distribution'!$C5,0)</f>
        <v>1</v>
      </c>
      <c r="BG29">
        <f>ROUND(FTE!$F$7*'India Role Distribution'!$C5,0)</f>
        <v>1</v>
      </c>
      <c r="BH29">
        <f>ROUND(FTE!$F$7*'India Role Distribution'!$C5,0)</f>
        <v>1</v>
      </c>
      <c r="BI29">
        <f>ROUND(FTE!$F$7*'India Role Distribution'!$C5,0)</f>
        <v>1</v>
      </c>
      <c r="BJ29">
        <f>ROUND(FTE!$F$7*'India Role Distribution'!$C5,0)</f>
        <v>1</v>
      </c>
      <c r="BK29">
        <f>ROUND(FTE!$F$7*'India Role Distribution'!$C5,0)</f>
        <v>1</v>
      </c>
    </row>
    <row r="30" spans="1:63" x14ac:dyDescent="0.35">
      <c r="A30" t="s">
        <v>73</v>
      </c>
      <c r="B30" t="s">
        <v>65</v>
      </c>
      <c r="C30" t="str">
        <f t="shared" si="0"/>
        <v>PMIndia</v>
      </c>
      <c r="D30" s="18">
        <f>FTE!$B$7-SUM(D26:D29,D31)</f>
        <v>0</v>
      </c>
      <c r="E30" s="18">
        <f>FTE!$B$7-SUM(E26:E29,E31)</f>
        <v>0</v>
      </c>
      <c r="F30" s="18">
        <f>FTE!$B$7-SUM(F26:F29,F31)</f>
        <v>0</v>
      </c>
      <c r="G30" s="18">
        <f>FTE!$B$7-SUM(G26:G29,G31)</f>
        <v>0</v>
      </c>
      <c r="H30" s="18">
        <f>FTE!$B$7-SUM(H26:H29,H31)</f>
        <v>0</v>
      </c>
      <c r="I30" s="18">
        <f>FTE!$B$7-SUM(I26:I29,I31)</f>
        <v>0</v>
      </c>
      <c r="J30" s="18">
        <f>FTE!$B$7-SUM(J26:J29,J31)</f>
        <v>0</v>
      </c>
      <c r="K30" s="18">
        <f>FTE!$B$7-SUM(K26:K29,K31)</f>
        <v>0</v>
      </c>
      <c r="L30" s="18">
        <f>FTE!$B$7-SUM(L26:L29,L31)</f>
        <v>0</v>
      </c>
      <c r="M30" s="18">
        <f>FTE!$B$7-SUM(M26:M29,M31)</f>
        <v>0</v>
      </c>
      <c r="N30" s="18">
        <f>FTE!$B$7-SUM(N26:N29,N31)</f>
        <v>0</v>
      </c>
      <c r="O30" s="18">
        <f>FTE!$B$7-SUM(O26:O29,O31)</f>
        <v>0</v>
      </c>
      <c r="P30" s="19">
        <f>ROUND(FTE!$C$7*'India Role Distribution'!$C6,0)</f>
        <v>1</v>
      </c>
      <c r="Q30" s="19">
        <f>ROUND(FTE!$C$7*'India Role Distribution'!$C6,0)</f>
        <v>1</v>
      </c>
      <c r="R30" s="19">
        <f>ROUND(FTE!$C$7*'India Role Distribution'!$C6,0)</f>
        <v>1</v>
      </c>
      <c r="S30" s="19">
        <f>ROUND(FTE!$C$7*'India Role Distribution'!$C6,0)</f>
        <v>1</v>
      </c>
      <c r="T30" s="19">
        <f>ROUND(FTE!$C$7*'India Role Distribution'!$C6,0)</f>
        <v>1</v>
      </c>
      <c r="U30" s="19">
        <f>ROUND(FTE!$C$7*'India Role Distribution'!$C6,0)</f>
        <v>1</v>
      </c>
      <c r="V30" s="19">
        <f>ROUND(FTE!$C$7*'India Role Distribution'!$C6,0)</f>
        <v>1</v>
      </c>
      <c r="W30" s="19">
        <f>ROUND(FTE!$C$7*'India Role Distribution'!$C6,0)</f>
        <v>1</v>
      </c>
      <c r="X30" s="19">
        <f>ROUND(FTE!$C$7*'India Role Distribution'!$C6,0)</f>
        <v>1</v>
      </c>
      <c r="Y30" s="19">
        <f>ROUND(FTE!$C$7*'India Role Distribution'!$C6,0)</f>
        <v>1</v>
      </c>
      <c r="Z30" s="19">
        <f>ROUND(FTE!$C$7*'India Role Distribution'!$C6,0)</f>
        <v>1</v>
      </c>
      <c r="AA30" s="19">
        <f>ROUND(FTE!$C$7*'India Role Distribution'!$C6,0)</f>
        <v>1</v>
      </c>
      <c r="AB30">
        <f>ROUND(FTE!$D$7*'India Role Distribution'!$C6,0)</f>
        <v>1</v>
      </c>
      <c r="AC30">
        <f>ROUND(FTE!$D$7*'India Role Distribution'!$C6,0)</f>
        <v>1</v>
      </c>
      <c r="AD30">
        <f>ROUND(FTE!$D$7*'India Role Distribution'!$C6,0)</f>
        <v>1</v>
      </c>
      <c r="AE30">
        <f>ROUND(FTE!$D$7*'India Role Distribution'!$C6,0)</f>
        <v>1</v>
      </c>
      <c r="AF30">
        <f>ROUND(FTE!$D$7*'India Role Distribution'!$C6,0)</f>
        <v>1</v>
      </c>
      <c r="AG30">
        <f>ROUND(FTE!$D$7*'India Role Distribution'!$C6,0)</f>
        <v>1</v>
      </c>
      <c r="AH30">
        <f>ROUND(FTE!$D$7*'India Role Distribution'!$C6,0)</f>
        <v>1</v>
      </c>
      <c r="AI30">
        <f>ROUND(FTE!$D$7*'India Role Distribution'!$C6,0)</f>
        <v>1</v>
      </c>
      <c r="AJ30">
        <f>ROUND(FTE!$D$7*'India Role Distribution'!$C6,0)</f>
        <v>1</v>
      </c>
      <c r="AK30">
        <f>ROUND(FTE!$D$7*'India Role Distribution'!$C6,0)</f>
        <v>1</v>
      </c>
      <c r="AL30">
        <f>ROUND(FTE!$D$7*'India Role Distribution'!$C6,0)</f>
        <v>1</v>
      </c>
      <c r="AM30">
        <f>ROUND(FTE!$D$7*'India Role Distribution'!$C6,0)</f>
        <v>1</v>
      </c>
      <c r="AN30">
        <f>ROUND(FTE!$E$7*'India Role Distribution'!$C6,0)</f>
        <v>1</v>
      </c>
      <c r="AO30">
        <f>ROUND(FTE!$E$7*'India Role Distribution'!$C6,0)</f>
        <v>1</v>
      </c>
      <c r="AP30">
        <f>ROUND(FTE!$E$7*'India Role Distribution'!$C6,0)</f>
        <v>1</v>
      </c>
      <c r="AQ30">
        <f>ROUND(FTE!$E$7*'India Role Distribution'!$C6,0)</f>
        <v>1</v>
      </c>
      <c r="AR30">
        <f>ROUND(FTE!$E$7*'India Role Distribution'!$C6,0)</f>
        <v>1</v>
      </c>
      <c r="AS30">
        <f>ROUND(FTE!$E$7*'India Role Distribution'!$C6,0)</f>
        <v>1</v>
      </c>
      <c r="AT30">
        <f>ROUND(FTE!$E$7*'India Role Distribution'!$C6,0)</f>
        <v>1</v>
      </c>
      <c r="AU30">
        <f>ROUND(FTE!$E$7*'India Role Distribution'!$C6,0)</f>
        <v>1</v>
      </c>
      <c r="AV30">
        <f>ROUND(FTE!$E$7*'India Role Distribution'!$C6,0)</f>
        <v>1</v>
      </c>
      <c r="AW30">
        <f>ROUND(FTE!$E$7*'India Role Distribution'!$C6,0)</f>
        <v>1</v>
      </c>
      <c r="AX30">
        <f>ROUND(FTE!$E$7*'India Role Distribution'!$C6,0)</f>
        <v>1</v>
      </c>
      <c r="AY30">
        <f>ROUND(FTE!$E$7*'India Role Distribution'!$C6,0)</f>
        <v>1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</row>
    <row r="31" spans="1:63" x14ac:dyDescent="0.35">
      <c r="A31" t="s">
        <v>74</v>
      </c>
      <c r="B31" t="s">
        <v>65</v>
      </c>
      <c r="C31" t="str">
        <f t="shared" si="0"/>
        <v>LeadIndia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9">
        <f>ROUND(FTE!$C$7*'India Role Distribution'!$C7,0)</f>
        <v>1</v>
      </c>
      <c r="Q31" s="19">
        <f>ROUND(FTE!$C$7*'India Role Distribution'!$C7,0)</f>
        <v>1</v>
      </c>
      <c r="R31" s="19">
        <f>ROUND(FTE!$C$7*'India Role Distribution'!$C7,0)</f>
        <v>1</v>
      </c>
      <c r="S31" s="19">
        <f>ROUND(FTE!$C$7*'India Role Distribution'!$C7,0)</f>
        <v>1</v>
      </c>
      <c r="T31" s="19">
        <f>ROUND(FTE!$C$7*'India Role Distribution'!$C7,0)</f>
        <v>1</v>
      </c>
      <c r="U31" s="19">
        <f>ROUND(FTE!$C$7*'India Role Distribution'!$C7,0)</f>
        <v>1</v>
      </c>
      <c r="V31" s="19">
        <f>ROUND(FTE!$C$7*'India Role Distribution'!$C7,0)</f>
        <v>1</v>
      </c>
      <c r="W31" s="19">
        <f>ROUND(FTE!$C$7*'India Role Distribution'!$C7,0)</f>
        <v>1</v>
      </c>
      <c r="X31" s="19">
        <f>ROUND(FTE!$C$7*'India Role Distribution'!$C7,0)</f>
        <v>1</v>
      </c>
      <c r="Y31" s="19">
        <f>ROUND(FTE!$C$7*'India Role Distribution'!$C7,0)</f>
        <v>1</v>
      </c>
      <c r="Z31" s="19">
        <f>ROUND(FTE!$C$7*'India Role Distribution'!$C7,0)</f>
        <v>1</v>
      </c>
      <c r="AA31" s="19">
        <f>ROUND(FTE!$C$7*'India Role Distribution'!$C7,0)</f>
        <v>1</v>
      </c>
      <c r="AB31">
        <f>ROUND(FTE!$D$7*'India Role Distribution'!$C7,0)</f>
        <v>1</v>
      </c>
      <c r="AC31">
        <f>ROUND(FTE!$D$7*'India Role Distribution'!$C7,0)</f>
        <v>1</v>
      </c>
      <c r="AD31">
        <f>ROUND(FTE!$D$7*'India Role Distribution'!$C7,0)</f>
        <v>1</v>
      </c>
      <c r="AE31">
        <f>ROUND(FTE!$D$7*'India Role Distribution'!$C7,0)</f>
        <v>1</v>
      </c>
      <c r="AF31">
        <f>ROUND(FTE!$D$7*'India Role Distribution'!$C7,0)</f>
        <v>1</v>
      </c>
      <c r="AG31">
        <f>ROUND(FTE!$D$7*'India Role Distribution'!$C7,0)</f>
        <v>1</v>
      </c>
      <c r="AH31">
        <f>ROUND(FTE!$D$7*'India Role Distribution'!$C7,0)</f>
        <v>1</v>
      </c>
      <c r="AI31">
        <f>ROUND(FTE!$D$7*'India Role Distribution'!$C7,0)</f>
        <v>1</v>
      </c>
      <c r="AJ31">
        <f>ROUND(FTE!$D$7*'India Role Distribution'!$C7,0)</f>
        <v>1</v>
      </c>
      <c r="AK31">
        <f>ROUND(FTE!$D$7*'India Role Distribution'!$C7,0)</f>
        <v>1</v>
      </c>
      <c r="AL31">
        <f>ROUND(FTE!$D$7*'India Role Distribution'!$C7,0)</f>
        <v>1</v>
      </c>
      <c r="AM31">
        <f>ROUND(FTE!$D$7*'India Role Distribution'!$C7,0)</f>
        <v>1</v>
      </c>
      <c r="AN31">
        <f>ROUND(FTE!$E$7*'India Role Distribution'!$C7,0)</f>
        <v>1</v>
      </c>
      <c r="AO31">
        <f>ROUND(FTE!$E$7*'India Role Distribution'!$C7,0)</f>
        <v>1</v>
      </c>
      <c r="AP31">
        <f>ROUND(FTE!$E$7*'India Role Distribution'!$C7,0)</f>
        <v>1</v>
      </c>
      <c r="AQ31">
        <f>ROUND(FTE!$E$7*'India Role Distribution'!$C7,0)</f>
        <v>1</v>
      </c>
      <c r="AR31">
        <f>ROUND(FTE!$E$7*'India Role Distribution'!$C7,0)</f>
        <v>1</v>
      </c>
      <c r="AS31">
        <f>ROUND(FTE!$E$7*'India Role Distribution'!$C7,0)</f>
        <v>1</v>
      </c>
      <c r="AT31">
        <f>ROUND(FTE!$E$7*'India Role Distribution'!$C7,0)</f>
        <v>1</v>
      </c>
      <c r="AU31">
        <f>ROUND(FTE!$E$7*'India Role Distribution'!$C7,0)</f>
        <v>1</v>
      </c>
      <c r="AV31">
        <f>ROUND(FTE!$E$7*'India Role Distribution'!$C7,0)</f>
        <v>1</v>
      </c>
      <c r="AW31">
        <f>ROUND(FTE!$E$7*'India Role Distribution'!$C7,0)</f>
        <v>1</v>
      </c>
      <c r="AX31">
        <f>ROUND(FTE!$E$7*'India Role Distribution'!$C7,0)</f>
        <v>1</v>
      </c>
      <c r="AY31">
        <f>ROUND(FTE!$E$7*'India Role Distribution'!$C7,0)</f>
        <v>1</v>
      </c>
      <c r="AZ31" s="17">
        <v>1</v>
      </c>
      <c r="BA31">
        <f>ROUND(FTE!$F$7*'India Role Distribution'!$C7,0)</f>
        <v>1</v>
      </c>
      <c r="BB31">
        <f>ROUND(FTE!$F$7*'India Role Distribution'!$C7,0)</f>
        <v>1</v>
      </c>
      <c r="BC31">
        <f>ROUND(FTE!$F$7*'India Role Distribution'!$C7,0)</f>
        <v>1</v>
      </c>
      <c r="BD31">
        <f>ROUND(FTE!$F$7*'India Role Distribution'!$C7,0)</f>
        <v>1</v>
      </c>
      <c r="BE31">
        <f>ROUND(FTE!$F$7*'India Role Distribution'!$C7,0)</f>
        <v>1</v>
      </c>
      <c r="BF31">
        <f>ROUND(FTE!$F$7*'India Role Distribution'!$C7,0)</f>
        <v>1</v>
      </c>
      <c r="BG31">
        <f>ROUND(FTE!$F$7*'India Role Distribution'!$C7,0)</f>
        <v>1</v>
      </c>
      <c r="BH31">
        <f>ROUND(FTE!$F$7*'India Role Distribution'!$C7,0)</f>
        <v>1</v>
      </c>
      <c r="BI31">
        <f>ROUND(FTE!$F$7*'India Role Distribution'!$C7,0)</f>
        <v>1</v>
      </c>
      <c r="BJ31">
        <f>ROUND(FTE!$F$7*'India Role Distribution'!$C7,0)</f>
        <v>1</v>
      </c>
      <c r="BK31">
        <f>ROUND(FTE!$F$7*'India Role Distribution'!$C7,0)</f>
        <v>1</v>
      </c>
    </row>
    <row r="32" spans="1:63" x14ac:dyDescent="0.35">
      <c r="A32" t="s">
        <v>64</v>
      </c>
      <c r="B32" t="s">
        <v>75</v>
      </c>
      <c r="C32" t="str">
        <f t="shared" si="0"/>
        <v>BSAOnsite</v>
      </c>
      <c r="D32" s="18">
        <f>VLOOKUP($A32,'Onsite Role Distribution'!$B$3:$G$7,2,FALSE)+VLOOKUP($A32,'Onsite Role Distribution'!$B$8:$G$12,2,FALSE)</f>
        <v>2</v>
      </c>
      <c r="E32" s="18">
        <f>VLOOKUP($A32,'Onsite Role Distribution'!$B$3:$G$7,2,FALSE)+VLOOKUP($A32,'Onsite Role Distribution'!$B$8:$G$12,2,FALSE)</f>
        <v>2</v>
      </c>
      <c r="F32" s="18">
        <f>VLOOKUP($A32,'Onsite Role Distribution'!$B$3:$G$7,2,FALSE)+VLOOKUP($A32,'Onsite Role Distribution'!$B$8:$G$12,2,FALSE)</f>
        <v>2</v>
      </c>
      <c r="G32" s="18">
        <f>VLOOKUP($A32,'Onsite Role Distribution'!$B$3:$G$7,2,FALSE)+VLOOKUP($A32,'Onsite Role Distribution'!$B$8:$G$12,2,FALSE)</f>
        <v>2</v>
      </c>
      <c r="H32" s="18">
        <f>VLOOKUP($A32,'Onsite Role Distribution'!$B$3:$G$7,2,FALSE)+VLOOKUP($A32,'Onsite Role Distribution'!$B$8:$G$12,2,FALSE)</f>
        <v>2</v>
      </c>
      <c r="I32" s="18">
        <f>VLOOKUP($A32,'Onsite Role Distribution'!$B$3:$G$7,2,FALSE)+VLOOKUP($A32,'Onsite Role Distribution'!$B$8:$G$12,2,FALSE)</f>
        <v>2</v>
      </c>
      <c r="J32" s="18">
        <f>VLOOKUP($A32,'Onsite Role Distribution'!$B$3:$G$7,2,FALSE)+VLOOKUP($A32,'Onsite Role Distribution'!$B$8:$G$12,2,FALSE)</f>
        <v>2</v>
      </c>
      <c r="K32" s="18">
        <f>VLOOKUP($A32,'Onsite Role Distribution'!$B$3:$G$7,2,FALSE)+VLOOKUP($A32,'Onsite Role Distribution'!$B$8:$G$12,2,FALSE)</f>
        <v>2</v>
      </c>
      <c r="L32" s="18">
        <f>VLOOKUP($A32,'Onsite Role Distribution'!$B$3:$G$7,2,FALSE)+VLOOKUP($A32,'Onsite Role Distribution'!$B$8:$G$12,2,FALSE)</f>
        <v>2</v>
      </c>
      <c r="M32" s="18">
        <f>VLOOKUP($A32,'Onsite Role Distribution'!$B$3:$G$7,2,FALSE)+VLOOKUP($A32,'Onsite Role Distribution'!$B$8:$G$12,2,FALSE)</f>
        <v>2</v>
      </c>
      <c r="N32" s="18">
        <f>VLOOKUP($A32,'Onsite Role Distribution'!$B$3:$G$7,2,FALSE)+VLOOKUP($A32,'Onsite Role Distribution'!$B$8:$G$12,2,FALSE)</f>
        <v>2</v>
      </c>
      <c r="O32" s="18">
        <f>VLOOKUP($A32,'Onsite Role Distribution'!$B$3:$G$7,2,FALSE)+VLOOKUP($A32,'Onsite Role Distribution'!$B$8:$G$12,2,FALSE)</f>
        <v>2</v>
      </c>
      <c r="P32" s="19">
        <f>VLOOKUP($A32,'Onsite Role Distribution'!$B$3:$G$7,3,FALSE)+VLOOKUP($A32,'Onsite Role Distribution'!$B$8:$G$12,3,FALSE)</f>
        <v>1</v>
      </c>
      <c r="Q32" s="19">
        <f>VLOOKUP($A32,'Onsite Role Distribution'!$B$3:$G$7,3,FALSE)+VLOOKUP($A32,'Onsite Role Distribution'!$B$8:$G$12,3,FALSE)</f>
        <v>1</v>
      </c>
      <c r="R32" s="19">
        <f>VLOOKUP($A32,'Onsite Role Distribution'!$B$3:$G$7,3,FALSE)+VLOOKUP($A32,'Onsite Role Distribution'!$B$8:$G$12,3,FALSE)</f>
        <v>1</v>
      </c>
      <c r="S32" s="19">
        <f>VLOOKUP($A32,'Onsite Role Distribution'!$B$3:$G$7,3,FALSE)+VLOOKUP($A32,'Onsite Role Distribution'!$B$8:$G$12,3,FALSE)</f>
        <v>1</v>
      </c>
      <c r="T32" s="19">
        <f>VLOOKUP($A32,'Onsite Role Distribution'!$B$3:$G$7,3,FALSE)+VLOOKUP($A32,'Onsite Role Distribution'!$B$8:$G$12,3,FALSE)</f>
        <v>1</v>
      </c>
      <c r="U32" s="19">
        <f>VLOOKUP($A32,'Onsite Role Distribution'!$B$3:$G$7,3,FALSE)+VLOOKUP($A32,'Onsite Role Distribution'!$B$8:$G$12,3,FALSE)</f>
        <v>1</v>
      </c>
      <c r="V32" s="19">
        <f>VLOOKUP($A32,'Onsite Role Distribution'!$B$3:$G$7,3,FALSE)+VLOOKUP($A32,'Onsite Role Distribution'!$B$8:$G$12,3,FALSE)</f>
        <v>1</v>
      </c>
      <c r="W32" s="19">
        <f>VLOOKUP($A32,'Onsite Role Distribution'!$B$3:$G$7,3,FALSE)+VLOOKUP($A32,'Onsite Role Distribution'!$B$8:$G$12,3,FALSE)</f>
        <v>1</v>
      </c>
      <c r="X32" s="19">
        <f>VLOOKUP($A32,'Onsite Role Distribution'!$B$3:$G$7,3,FALSE)+VLOOKUP($A32,'Onsite Role Distribution'!$B$8:$G$12,3,FALSE)</f>
        <v>1</v>
      </c>
      <c r="Y32" s="19">
        <f>VLOOKUP($A32,'Onsite Role Distribution'!$B$3:$G$7,3,FALSE)+VLOOKUP($A32,'Onsite Role Distribution'!$B$8:$G$12,3,FALSE)</f>
        <v>1</v>
      </c>
      <c r="Z32" s="19">
        <f>VLOOKUP($A32,'Onsite Role Distribution'!$B$3:$G$7,3,FALSE)+VLOOKUP($A32,'Onsite Role Distribution'!$B$8:$G$12,3,FALSE)</f>
        <v>1</v>
      </c>
      <c r="AA32" s="19">
        <f>VLOOKUP($A32,'Onsite Role Distribution'!$B$3:$G$7,3,FALSE)+VLOOKUP($A32,'Onsite Role Distribution'!$B$8:$G$12,3,FALSE)</f>
        <v>1</v>
      </c>
      <c r="AB32">
        <f>VLOOKUP($A32,'Onsite Role Distribution'!$B$3:$G$7,4,FALSE)+VLOOKUP($A32,'Onsite Role Distribution'!$B$8:$G$12,4,FALSE)</f>
        <v>1</v>
      </c>
      <c r="AC32">
        <f>VLOOKUP($A32,'Onsite Role Distribution'!$B$3:$G$7,4,FALSE)+VLOOKUP($A32,'Onsite Role Distribution'!$B$8:$G$12,4,FALSE)</f>
        <v>1</v>
      </c>
      <c r="AD32">
        <f>VLOOKUP($A32,'Onsite Role Distribution'!$B$3:$G$7,4,FALSE)+VLOOKUP($A32,'Onsite Role Distribution'!$B$8:$G$12,4,FALSE)</f>
        <v>1</v>
      </c>
      <c r="AE32">
        <f>VLOOKUP($A32,'Onsite Role Distribution'!$B$3:$G$7,4,FALSE)+VLOOKUP($A32,'Onsite Role Distribution'!$B$8:$G$12,4,FALSE)</f>
        <v>1</v>
      </c>
      <c r="AF32">
        <f>VLOOKUP($A32,'Onsite Role Distribution'!$B$3:$G$7,4,FALSE)+VLOOKUP($A32,'Onsite Role Distribution'!$B$8:$G$12,4,FALSE)</f>
        <v>1</v>
      </c>
      <c r="AG32">
        <f>VLOOKUP($A32,'Onsite Role Distribution'!$B$3:$G$7,4,FALSE)+VLOOKUP($A32,'Onsite Role Distribution'!$B$8:$G$12,4,FALSE)</f>
        <v>1</v>
      </c>
      <c r="AH32">
        <f>VLOOKUP($A32,'Onsite Role Distribution'!$B$3:$G$7,4,FALSE)+VLOOKUP($A32,'Onsite Role Distribution'!$B$8:$G$12,4,FALSE)</f>
        <v>1</v>
      </c>
      <c r="AI32">
        <f>VLOOKUP($A32,'Onsite Role Distribution'!$B$3:$G$7,4,FALSE)+VLOOKUP($A32,'Onsite Role Distribution'!$B$8:$G$12,4,FALSE)</f>
        <v>1</v>
      </c>
      <c r="AJ32">
        <f>VLOOKUP($A32,'Onsite Role Distribution'!$B$3:$G$7,4,FALSE)+VLOOKUP($A32,'Onsite Role Distribution'!$B$8:$G$12,4,FALSE)</f>
        <v>1</v>
      </c>
      <c r="AK32">
        <f>VLOOKUP($A32,'Onsite Role Distribution'!$B$3:$G$7,4,FALSE)+VLOOKUP($A32,'Onsite Role Distribution'!$B$8:$G$12,4,FALSE)</f>
        <v>1</v>
      </c>
      <c r="AL32">
        <f>VLOOKUP($A32,'Onsite Role Distribution'!$B$3:$G$7,4,FALSE)+VLOOKUP($A32,'Onsite Role Distribution'!$B$8:$G$12,4,FALSE)</f>
        <v>1</v>
      </c>
      <c r="AM32">
        <f>VLOOKUP($A32,'Onsite Role Distribution'!$B$3:$G$7,4,FALSE)+VLOOKUP($A32,'Onsite Role Distribution'!$B$8:$G$12,4,FALSE)</f>
        <v>1</v>
      </c>
      <c r="AN32">
        <f>VLOOKUP($A32,'Onsite Role Distribution'!$B$3:$G$7,5,FALSE)+VLOOKUP($A32,'Onsite Role Distribution'!$B$8:$G$12,5,FALSE)</f>
        <v>0</v>
      </c>
      <c r="AO32">
        <f>VLOOKUP($A32,'Onsite Role Distribution'!$B$3:$G$7,5,FALSE)+VLOOKUP($A32,'Onsite Role Distribution'!$B$8:$G$12,5,FALSE)</f>
        <v>0</v>
      </c>
      <c r="AP32">
        <f>VLOOKUP($A32,'Onsite Role Distribution'!$B$3:$G$7,5,FALSE)+VLOOKUP($A32,'Onsite Role Distribution'!$B$8:$G$12,5,FALSE)</f>
        <v>0</v>
      </c>
      <c r="AQ32">
        <f>VLOOKUP($A32,'Onsite Role Distribution'!$B$3:$G$7,5,FALSE)+VLOOKUP($A32,'Onsite Role Distribution'!$B$8:$G$12,5,FALSE)</f>
        <v>0</v>
      </c>
      <c r="AR32">
        <f>VLOOKUP($A32,'Onsite Role Distribution'!$B$3:$G$7,5,FALSE)+VLOOKUP($A32,'Onsite Role Distribution'!$B$8:$G$12,5,FALSE)</f>
        <v>0</v>
      </c>
      <c r="AS32">
        <f>VLOOKUP($A32,'Onsite Role Distribution'!$B$3:$G$7,5,FALSE)+VLOOKUP($A32,'Onsite Role Distribution'!$B$8:$G$12,5,FALSE)</f>
        <v>0</v>
      </c>
      <c r="AT32">
        <f>VLOOKUP($A32,'Onsite Role Distribution'!$B$3:$G$7,5,FALSE)+VLOOKUP($A32,'Onsite Role Distribution'!$B$8:$G$12,5,FALSE)</f>
        <v>0</v>
      </c>
      <c r="AU32">
        <f>VLOOKUP($A32,'Onsite Role Distribution'!$B$3:$G$7,5,FALSE)+VLOOKUP($A32,'Onsite Role Distribution'!$B$8:$G$12,5,FALSE)</f>
        <v>0</v>
      </c>
      <c r="AV32">
        <f>VLOOKUP($A32,'Onsite Role Distribution'!$B$3:$G$7,5,FALSE)+VLOOKUP($A32,'Onsite Role Distribution'!$B$8:$G$12,5,FALSE)</f>
        <v>0</v>
      </c>
      <c r="AW32">
        <f>VLOOKUP($A32,'Onsite Role Distribution'!$B$3:$G$7,5,FALSE)+VLOOKUP($A32,'Onsite Role Distribution'!$B$8:$G$12,5,FALSE)</f>
        <v>0</v>
      </c>
      <c r="AX32">
        <f>VLOOKUP($A32,'Onsite Role Distribution'!$B$3:$G$7,5,FALSE)+VLOOKUP($A32,'Onsite Role Distribution'!$B$8:$G$12,5,FALSE)</f>
        <v>0</v>
      </c>
      <c r="AY32">
        <f>VLOOKUP($A32,'Onsite Role Distribution'!$B$3:$G$7,5,FALSE)+VLOOKUP($A32,'Onsite Role Distribution'!$B$8:$G$12,5,FALSE)</f>
        <v>0</v>
      </c>
      <c r="AZ32" s="17">
        <v>0</v>
      </c>
      <c r="BA32">
        <f>VLOOKUP($A32,'Onsite Role Distribution'!$B$3:$G$7,6,FALSE)+VLOOKUP($A32,'Onsite Role Distribution'!$B$8:$G$12,6,FALSE)</f>
        <v>0</v>
      </c>
      <c r="BB32">
        <f>VLOOKUP($A32,'Onsite Role Distribution'!$B$3:$G$7,6,FALSE)+VLOOKUP($A32,'Onsite Role Distribution'!$B$8:$G$12,6,FALSE)</f>
        <v>0</v>
      </c>
      <c r="BC32">
        <f>VLOOKUP($A32,'Onsite Role Distribution'!$B$3:$G$7,6,FALSE)+VLOOKUP($A32,'Onsite Role Distribution'!$B$8:$G$12,6,FALSE)</f>
        <v>0</v>
      </c>
      <c r="BD32">
        <f>VLOOKUP($A32,'Onsite Role Distribution'!$B$3:$G$7,6,FALSE)+VLOOKUP($A32,'Onsite Role Distribution'!$B$8:$G$12,6,FALSE)</f>
        <v>0</v>
      </c>
      <c r="BE32">
        <f>VLOOKUP($A32,'Onsite Role Distribution'!$B$3:$G$7,6,FALSE)+VLOOKUP($A32,'Onsite Role Distribution'!$B$8:$G$12,6,FALSE)</f>
        <v>0</v>
      </c>
      <c r="BF32">
        <f>VLOOKUP($A32,'Onsite Role Distribution'!$B$3:$G$7,6,FALSE)+VLOOKUP($A32,'Onsite Role Distribution'!$B$8:$G$12,6,FALSE)</f>
        <v>0</v>
      </c>
      <c r="BG32">
        <f>VLOOKUP($A32,'Onsite Role Distribution'!$B$3:$G$7,6,FALSE)+VLOOKUP($A32,'Onsite Role Distribution'!$B$8:$G$12,6,FALSE)</f>
        <v>0</v>
      </c>
      <c r="BH32">
        <f>VLOOKUP($A32,'Onsite Role Distribution'!$B$3:$G$7,6,FALSE)+VLOOKUP($A32,'Onsite Role Distribution'!$B$8:$G$12,6,FALSE)</f>
        <v>0</v>
      </c>
      <c r="BI32">
        <f>VLOOKUP($A32,'Onsite Role Distribution'!$B$3:$G$7,6,FALSE)+VLOOKUP($A32,'Onsite Role Distribution'!$B$8:$G$12,6,FALSE)</f>
        <v>0</v>
      </c>
      <c r="BJ32">
        <f>VLOOKUP($A32,'Onsite Role Distribution'!$B$3:$G$7,6,FALSE)+VLOOKUP($A32,'Onsite Role Distribution'!$B$8:$G$12,6,FALSE)</f>
        <v>0</v>
      </c>
      <c r="BK32">
        <f>VLOOKUP($A32,'Onsite Role Distribution'!$B$3:$G$7,6,FALSE)+VLOOKUP($A32,'Onsite Role Distribution'!$B$8:$G$12,6,FALSE)</f>
        <v>0</v>
      </c>
    </row>
    <row r="33" spans="1:63" x14ac:dyDescent="0.35">
      <c r="A33" t="s">
        <v>69</v>
      </c>
      <c r="B33" t="s">
        <v>75</v>
      </c>
      <c r="C33" t="str">
        <f t="shared" si="0"/>
        <v>DevOnsite</v>
      </c>
      <c r="D33" s="18">
        <f>VLOOKUP($A33,'Onsite Role Distribution'!$B$3:$G$7,2,FALSE)+VLOOKUP($A33,'Onsite Role Distribution'!$B$8:$G$12,2,FALSE)</f>
        <v>5</v>
      </c>
      <c r="E33" s="18">
        <f>VLOOKUP($A33,'Onsite Role Distribution'!$B$3:$G$7,2,FALSE)+VLOOKUP($A33,'Onsite Role Distribution'!$B$8:$G$12,2,FALSE)</f>
        <v>5</v>
      </c>
      <c r="F33" s="18">
        <f>VLOOKUP($A33,'Onsite Role Distribution'!$B$3:$G$7,2,FALSE)+VLOOKUP($A33,'Onsite Role Distribution'!$B$8:$G$12,2,FALSE)</f>
        <v>5</v>
      </c>
      <c r="G33" s="18">
        <f>VLOOKUP($A33,'Onsite Role Distribution'!$B$3:$G$7,2,FALSE)+VLOOKUP($A33,'Onsite Role Distribution'!$B$8:$G$12,2,FALSE)</f>
        <v>5</v>
      </c>
      <c r="H33" s="18">
        <f>VLOOKUP($A33,'Onsite Role Distribution'!$B$3:$G$7,2,FALSE)+VLOOKUP($A33,'Onsite Role Distribution'!$B$8:$G$12,2,FALSE)</f>
        <v>5</v>
      </c>
      <c r="I33" s="18">
        <f>VLOOKUP($A33,'Onsite Role Distribution'!$B$3:$G$7,2,FALSE)+VLOOKUP($A33,'Onsite Role Distribution'!$B$8:$G$12,2,FALSE)</f>
        <v>5</v>
      </c>
      <c r="J33" s="18">
        <f>VLOOKUP($A33,'Onsite Role Distribution'!$B$3:$G$7,2,FALSE)+VLOOKUP($A33,'Onsite Role Distribution'!$B$8:$G$12,2,FALSE)</f>
        <v>5</v>
      </c>
      <c r="K33" s="18">
        <f>VLOOKUP($A33,'Onsite Role Distribution'!$B$3:$G$7,2,FALSE)+VLOOKUP($A33,'Onsite Role Distribution'!$B$8:$G$12,2,FALSE)</f>
        <v>5</v>
      </c>
      <c r="L33" s="18">
        <f>VLOOKUP($A33,'Onsite Role Distribution'!$B$3:$G$7,2,FALSE)+VLOOKUP($A33,'Onsite Role Distribution'!$B$8:$G$12,2,FALSE)</f>
        <v>5</v>
      </c>
      <c r="M33" s="18">
        <f>VLOOKUP($A33,'Onsite Role Distribution'!$B$3:$G$7,2,FALSE)+VLOOKUP($A33,'Onsite Role Distribution'!$B$8:$G$12,2,FALSE)</f>
        <v>5</v>
      </c>
      <c r="N33" s="18">
        <f>VLOOKUP($A33,'Onsite Role Distribution'!$B$3:$G$7,2,FALSE)+VLOOKUP($A33,'Onsite Role Distribution'!$B$8:$G$12,2,FALSE)</f>
        <v>5</v>
      </c>
      <c r="O33" s="18">
        <f>VLOOKUP($A33,'Onsite Role Distribution'!$B$3:$G$7,2,FALSE)+VLOOKUP($A33,'Onsite Role Distribution'!$B$8:$G$12,2,FALSE)</f>
        <v>5</v>
      </c>
      <c r="P33" s="19">
        <f>VLOOKUP($A33,'Onsite Role Distribution'!$B$3:$G$7,3,FALSE)+VLOOKUP($A33,'Onsite Role Distribution'!$B$8:$G$12,3,FALSE)</f>
        <v>4</v>
      </c>
      <c r="Q33" s="19">
        <f>VLOOKUP($A33,'Onsite Role Distribution'!$B$3:$G$7,3,FALSE)+VLOOKUP($A33,'Onsite Role Distribution'!$B$8:$G$12,3,FALSE)</f>
        <v>4</v>
      </c>
      <c r="R33" s="19">
        <f>VLOOKUP($A33,'Onsite Role Distribution'!$B$3:$G$7,3,FALSE)+VLOOKUP($A33,'Onsite Role Distribution'!$B$8:$G$12,3,FALSE)</f>
        <v>4</v>
      </c>
      <c r="S33" s="19">
        <f>VLOOKUP($A33,'Onsite Role Distribution'!$B$3:$G$7,3,FALSE)+VLOOKUP($A33,'Onsite Role Distribution'!$B$8:$G$12,3,FALSE)</f>
        <v>4</v>
      </c>
      <c r="T33" s="19">
        <f>VLOOKUP($A33,'Onsite Role Distribution'!$B$3:$G$7,3,FALSE)+VLOOKUP($A33,'Onsite Role Distribution'!$B$8:$G$12,3,FALSE)</f>
        <v>4</v>
      </c>
      <c r="U33" s="19">
        <f>VLOOKUP($A33,'Onsite Role Distribution'!$B$3:$G$7,3,FALSE)+VLOOKUP($A33,'Onsite Role Distribution'!$B$8:$G$12,3,FALSE)</f>
        <v>4</v>
      </c>
      <c r="V33" s="19">
        <f>VLOOKUP($A33,'Onsite Role Distribution'!$B$3:$G$7,3,FALSE)+VLOOKUP($A33,'Onsite Role Distribution'!$B$8:$G$12,3,FALSE)</f>
        <v>4</v>
      </c>
      <c r="W33" s="19">
        <f>VLOOKUP($A33,'Onsite Role Distribution'!$B$3:$G$7,3,FALSE)+VLOOKUP($A33,'Onsite Role Distribution'!$B$8:$G$12,3,FALSE)</f>
        <v>4</v>
      </c>
      <c r="X33" s="19">
        <f>VLOOKUP($A33,'Onsite Role Distribution'!$B$3:$G$7,3,FALSE)+VLOOKUP($A33,'Onsite Role Distribution'!$B$8:$G$12,3,FALSE)</f>
        <v>4</v>
      </c>
      <c r="Y33" s="19">
        <f>VLOOKUP($A33,'Onsite Role Distribution'!$B$3:$G$7,3,FALSE)+VLOOKUP($A33,'Onsite Role Distribution'!$B$8:$G$12,3,FALSE)</f>
        <v>4</v>
      </c>
      <c r="Z33" s="19">
        <f>VLOOKUP($A33,'Onsite Role Distribution'!$B$3:$G$7,3,FALSE)+VLOOKUP($A33,'Onsite Role Distribution'!$B$8:$G$12,3,FALSE)</f>
        <v>4</v>
      </c>
      <c r="AA33" s="19">
        <f>VLOOKUP($A33,'Onsite Role Distribution'!$B$3:$G$7,3,FALSE)+VLOOKUP($A33,'Onsite Role Distribution'!$B$8:$G$12,3,FALSE)</f>
        <v>4</v>
      </c>
      <c r="AB33">
        <f>VLOOKUP($A33,'Onsite Role Distribution'!$B$3:$G$7,4,FALSE)+VLOOKUP($A33,'Onsite Role Distribution'!$B$8:$G$12,4,FALSE)</f>
        <v>2</v>
      </c>
      <c r="AC33">
        <f>VLOOKUP($A33,'Onsite Role Distribution'!$B$3:$G$7,4,FALSE)+VLOOKUP($A33,'Onsite Role Distribution'!$B$8:$G$12,4,FALSE)</f>
        <v>2</v>
      </c>
      <c r="AD33">
        <f>VLOOKUP($A33,'Onsite Role Distribution'!$B$3:$G$7,4,FALSE)+VLOOKUP($A33,'Onsite Role Distribution'!$B$8:$G$12,4,FALSE)</f>
        <v>2</v>
      </c>
      <c r="AE33">
        <f>VLOOKUP($A33,'Onsite Role Distribution'!$B$3:$G$7,4,FALSE)+VLOOKUP($A33,'Onsite Role Distribution'!$B$8:$G$12,4,FALSE)</f>
        <v>2</v>
      </c>
      <c r="AF33">
        <f>VLOOKUP($A33,'Onsite Role Distribution'!$B$3:$G$7,4,FALSE)+VLOOKUP($A33,'Onsite Role Distribution'!$B$8:$G$12,4,FALSE)</f>
        <v>2</v>
      </c>
      <c r="AG33">
        <f>VLOOKUP($A33,'Onsite Role Distribution'!$B$3:$G$7,4,FALSE)+VLOOKUP($A33,'Onsite Role Distribution'!$B$8:$G$12,4,FALSE)</f>
        <v>2</v>
      </c>
      <c r="AH33">
        <f>VLOOKUP($A33,'Onsite Role Distribution'!$B$3:$G$7,4,FALSE)+VLOOKUP($A33,'Onsite Role Distribution'!$B$8:$G$12,4,FALSE)</f>
        <v>2</v>
      </c>
      <c r="AI33">
        <f>VLOOKUP($A33,'Onsite Role Distribution'!$B$3:$G$7,4,FALSE)+VLOOKUP($A33,'Onsite Role Distribution'!$B$8:$G$12,4,FALSE)</f>
        <v>2</v>
      </c>
      <c r="AJ33">
        <f>VLOOKUP($A33,'Onsite Role Distribution'!$B$3:$G$7,4,FALSE)+VLOOKUP($A33,'Onsite Role Distribution'!$B$8:$G$12,4,FALSE)</f>
        <v>2</v>
      </c>
      <c r="AK33">
        <f>VLOOKUP($A33,'Onsite Role Distribution'!$B$3:$G$7,4,FALSE)+VLOOKUP($A33,'Onsite Role Distribution'!$B$8:$G$12,4,FALSE)</f>
        <v>2</v>
      </c>
      <c r="AL33">
        <f>VLOOKUP($A33,'Onsite Role Distribution'!$B$3:$G$7,4,FALSE)+VLOOKUP($A33,'Onsite Role Distribution'!$B$8:$G$12,4,FALSE)</f>
        <v>2</v>
      </c>
      <c r="AM33">
        <f>VLOOKUP($A33,'Onsite Role Distribution'!$B$3:$G$7,4,FALSE)+VLOOKUP($A33,'Onsite Role Distribution'!$B$8:$G$12,4,FALSE)</f>
        <v>2</v>
      </c>
      <c r="AN33">
        <f>VLOOKUP($A33,'Onsite Role Distribution'!$B$3:$G$7,5,FALSE)+VLOOKUP($A33,'Onsite Role Distribution'!$B$8:$G$12,5,FALSE)</f>
        <v>2</v>
      </c>
      <c r="AO33">
        <f>VLOOKUP($A33,'Onsite Role Distribution'!$B$3:$G$7,5,FALSE)+VLOOKUP($A33,'Onsite Role Distribution'!$B$8:$G$12,5,FALSE)</f>
        <v>2</v>
      </c>
      <c r="AP33">
        <f>VLOOKUP($A33,'Onsite Role Distribution'!$B$3:$G$7,5,FALSE)+VLOOKUP($A33,'Onsite Role Distribution'!$B$8:$G$12,5,FALSE)</f>
        <v>2</v>
      </c>
      <c r="AQ33">
        <f>VLOOKUP($A33,'Onsite Role Distribution'!$B$3:$G$7,5,FALSE)+VLOOKUP($A33,'Onsite Role Distribution'!$B$8:$G$12,5,FALSE)</f>
        <v>2</v>
      </c>
      <c r="AR33">
        <f>VLOOKUP($A33,'Onsite Role Distribution'!$B$3:$G$7,5,FALSE)+VLOOKUP($A33,'Onsite Role Distribution'!$B$8:$G$12,5,FALSE)</f>
        <v>2</v>
      </c>
      <c r="AS33">
        <f>VLOOKUP($A33,'Onsite Role Distribution'!$B$3:$G$7,5,FALSE)+VLOOKUP($A33,'Onsite Role Distribution'!$B$8:$G$12,5,FALSE)</f>
        <v>2</v>
      </c>
      <c r="AT33">
        <f>VLOOKUP($A33,'Onsite Role Distribution'!$B$3:$G$7,5,FALSE)+VLOOKUP($A33,'Onsite Role Distribution'!$B$8:$G$12,5,FALSE)</f>
        <v>2</v>
      </c>
      <c r="AU33">
        <f>VLOOKUP($A33,'Onsite Role Distribution'!$B$3:$G$7,5,FALSE)+VLOOKUP($A33,'Onsite Role Distribution'!$B$8:$G$12,5,FALSE)</f>
        <v>2</v>
      </c>
      <c r="AV33">
        <f>VLOOKUP($A33,'Onsite Role Distribution'!$B$3:$G$7,5,FALSE)+VLOOKUP($A33,'Onsite Role Distribution'!$B$8:$G$12,5,FALSE)</f>
        <v>2</v>
      </c>
      <c r="AW33">
        <f>VLOOKUP($A33,'Onsite Role Distribution'!$B$3:$G$7,5,FALSE)+VLOOKUP($A33,'Onsite Role Distribution'!$B$8:$G$12,5,FALSE)</f>
        <v>2</v>
      </c>
      <c r="AX33">
        <f>VLOOKUP($A33,'Onsite Role Distribution'!$B$3:$G$7,5,FALSE)+VLOOKUP($A33,'Onsite Role Distribution'!$B$8:$G$12,5,FALSE)</f>
        <v>2</v>
      </c>
      <c r="AY33">
        <f>VLOOKUP($A33,'Onsite Role Distribution'!$B$3:$G$7,5,FALSE)+VLOOKUP($A33,'Onsite Role Distribution'!$B$8:$G$12,5,FALSE)</f>
        <v>2</v>
      </c>
      <c r="AZ33" s="17">
        <v>1</v>
      </c>
      <c r="BA33" s="17">
        <v>1</v>
      </c>
      <c r="BB33" s="17">
        <v>1</v>
      </c>
      <c r="BC33" s="17">
        <v>1</v>
      </c>
      <c r="BD33" s="17">
        <v>1</v>
      </c>
      <c r="BE33" s="17">
        <v>1</v>
      </c>
      <c r="BF33" s="17">
        <v>1</v>
      </c>
      <c r="BG33" s="17">
        <v>1</v>
      </c>
      <c r="BH33" s="17">
        <v>1</v>
      </c>
      <c r="BI33" s="17">
        <v>1</v>
      </c>
      <c r="BJ33" s="17">
        <v>1</v>
      </c>
      <c r="BK33" s="17">
        <v>1</v>
      </c>
    </row>
    <row r="34" spans="1:63" x14ac:dyDescent="0.35">
      <c r="A34" t="s">
        <v>70</v>
      </c>
      <c r="B34" t="s">
        <v>75</v>
      </c>
      <c r="C34" t="str">
        <f t="shared" si="0"/>
        <v>TesterOnsite</v>
      </c>
      <c r="D34" s="18">
        <f>VLOOKUP($A34,'Onsite Role Distribution'!$B$3:$G$7,2,FALSE)+VLOOKUP($A34,'Onsite Role Distribution'!$B$8:$G$12,2,FALSE)</f>
        <v>1</v>
      </c>
      <c r="E34" s="18">
        <f>VLOOKUP($A34,'Onsite Role Distribution'!$B$3:$G$7,2,FALSE)+VLOOKUP($A34,'Onsite Role Distribution'!$B$8:$G$12,2,FALSE)</f>
        <v>1</v>
      </c>
      <c r="F34" s="18">
        <f>VLOOKUP($A34,'Onsite Role Distribution'!$B$3:$G$7,2,FALSE)+VLOOKUP($A34,'Onsite Role Distribution'!$B$8:$G$12,2,FALSE)</f>
        <v>1</v>
      </c>
      <c r="G34" s="18">
        <f>VLOOKUP($A34,'Onsite Role Distribution'!$B$3:$G$7,2,FALSE)+VLOOKUP($A34,'Onsite Role Distribution'!$B$8:$G$12,2,FALSE)</f>
        <v>1</v>
      </c>
      <c r="H34" s="18">
        <f>VLOOKUP($A34,'Onsite Role Distribution'!$B$3:$G$7,2,FALSE)+VLOOKUP($A34,'Onsite Role Distribution'!$B$8:$G$12,2,FALSE)</f>
        <v>1</v>
      </c>
      <c r="I34" s="18">
        <f>VLOOKUP($A34,'Onsite Role Distribution'!$B$3:$G$7,2,FALSE)+VLOOKUP($A34,'Onsite Role Distribution'!$B$8:$G$12,2,FALSE)</f>
        <v>1</v>
      </c>
      <c r="J34" s="18">
        <f>VLOOKUP($A34,'Onsite Role Distribution'!$B$3:$G$7,2,FALSE)+VLOOKUP($A34,'Onsite Role Distribution'!$B$8:$G$12,2,FALSE)</f>
        <v>1</v>
      </c>
      <c r="K34" s="18">
        <f>VLOOKUP($A34,'Onsite Role Distribution'!$B$3:$G$7,2,FALSE)+VLOOKUP($A34,'Onsite Role Distribution'!$B$8:$G$12,2,FALSE)</f>
        <v>1</v>
      </c>
      <c r="L34" s="18">
        <f>VLOOKUP($A34,'Onsite Role Distribution'!$B$3:$G$7,2,FALSE)+VLOOKUP($A34,'Onsite Role Distribution'!$B$8:$G$12,2,FALSE)</f>
        <v>1</v>
      </c>
      <c r="M34" s="18">
        <f>VLOOKUP($A34,'Onsite Role Distribution'!$B$3:$G$7,2,FALSE)+VLOOKUP($A34,'Onsite Role Distribution'!$B$8:$G$12,2,FALSE)</f>
        <v>1</v>
      </c>
      <c r="N34" s="18">
        <f>VLOOKUP($A34,'Onsite Role Distribution'!$B$3:$G$7,2,FALSE)+VLOOKUP($A34,'Onsite Role Distribution'!$B$8:$G$12,2,FALSE)</f>
        <v>1</v>
      </c>
      <c r="O34" s="18">
        <f>VLOOKUP($A34,'Onsite Role Distribution'!$B$3:$G$7,2,FALSE)+VLOOKUP($A34,'Onsite Role Distribution'!$B$8:$G$12,2,FALSE)</f>
        <v>1</v>
      </c>
      <c r="P34" s="19">
        <f>VLOOKUP($A34,'Onsite Role Distribution'!$B$3:$G$7,3,FALSE)+VLOOKUP($A34,'Onsite Role Distribution'!$B$8:$G$12,3,FALSE)</f>
        <v>1</v>
      </c>
      <c r="Q34" s="19">
        <f>VLOOKUP($A34,'Onsite Role Distribution'!$B$3:$G$7,3,FALSE)+VLOOKUP($A34,'Onsite Role Distribution'!$B$8:$G$12,3,FALSE)</f>
        <v>1</v>
      </c>
      <c r="R34" s="19">
        <f>VLOOKUP($A34,'Onsite Role Distribution'!$B$3:$G$7,3,FALSE)+VLOOKUP($A34,'Onsite Role Distribution'!$B$8:$G$12,3,FALSE)</f>
        <v>1</v>
      </c>
      <c r="S34" s="19">
        <f>VLOOKUP($A34,'Onsite Role Distribution'!$B$3:$G$7,3,FALSE)+VLOOKUP($A34,'Onsite Role Distribution'!$B$8:$G$12,3,FALSE)</f>
        <v>1</v>
      </c>
      <c r="T34" s="19">
        <f>VLOOKUP($A34,'Onsite Role Distribution'!$B$3:$G$7,3,FALSE)+VLOOKUP($A34,'Onsite Role Distribution'!$B$8:$G$12,3,FALSE)</f>
        <v>1</v>
      </c>
      <c r="U34" s="19">
        <f>VLOOKUP($A34,'Onsite Role Distribution'!$B$3:$G$7,3,FALSE)+VLOOKUP($A34,'Onsite Role Distribution'!$B$8:$G$12,3,FALSE)</f>
        <v>1</v>
      </c>
      <c r="V34" s="19">
        <f>VLOOKUP($A34,'Onsite Role Distribution'!$B$3:$G$7,3,FALSE)+VLOOKUP($A34,'Onsite Role Distribution'!$B$8:$G$12,3,FALSE)</f>
        <v>1</v>
      </c>
      <c r="W34" s="19">
        <f>VLOOKUP($A34,'Onsite Role Distribution'!$B$3:$G$7,3,FALSE)+VLOOKUP($A34,'Onsite Role Distribution'!$B$8:$G$12,3,FALSE)</f>
        <v>1</v>
      </c>
      <c r="X34" s="19">
        <f>VLOOKUP($A34,'Onsite Role Distribution'!$B$3:$G$7,3,FALSE)+VLOOKUP($A34,'Onsite Role Distribution'!$B$8:$G$12,3,FALSE)</f>
        <v>1</v>
      </c>
      <c r="Y34" s="19">
        <f>VLOOKUP($A34,'Onsite Role Distribution'!$B$3:$G$7,3,FALSE)+VLOOKUP($A34,'Onsite Role Distribution'!$B$8:$G$12,3,FALSE)</f>
        <v>1</v>
      </c>
      <c r="Z34" s="19">
        <f>VLOOKUP($A34,'Onsite Role Distribution'!$B$3:$G$7,3,FALSE)+VLOOKUP($A34,'Onsite Role Distribution'!$B$8:$G$12,3,FALSE)</f>
        <v>1</v>
      </c>
      <c r="AA34" s="19">
        <f>VLOOKUP($A34,'Onsite Role Distribution'!$B$3:$G$7,3,FALSE)+VLOOKUP($A34,'Onsite Role Distribution'!$B$8:$G$12,3,FALSE)</f>
        <v>1</v>
      </c>
      <c r="AB34">
        <f>VLOOKUP($A34,'Onsite Role Distribution'!$B$3:$G$7,4,FALSE)+VLOOKUP($A34,'Onsite Role Distribution'!$B$8:$G$12,4,FALSE)</f>
        <v>0</v>
      </c>
      <c r="AC34">
        <f>VLOOKUP($A34,'Onsite Role Distribution'!$B$3:$G$7,4,FALSE)+VLOOKUP($A34,'Onsite Role Distribution'!$B$8:$G$12,4,FALSE)</f>
        <v>0</v>
      </c>
      <c r="AD34">
        <f>VLOOKUP($A34,'Onsite Role Distribution'!$B$3:$G$7,4,FALSE)+VLOOKUP($A34,'Onsite Role Distribution'!$B$8:$G$12,4,FALSE)</f>
        <v>0</v>
      </c>
      <c r="AE34">
        <f>VLOOKUP($A34,'Onsite Role Distribution'!$B$3:$G$7,4,FALSE)+VLOOKUP($A34,'Onsite Role Distribution'!$B$8:$G$12,4,FALSE)</f>
        <v>0</v>
      </c>
      <c r="AF34">
        <f>VLOOKUP($A34,'Onsite Role Distribution'!$B$3:$G$7,4,FALSE)+VLOOKUP($A34,'Onsite Role Distribution'!$B$8:$G$12,4,FALSE)</f>
        <v>0</v>
      </c>
      <c r="AG34">
        <f>VLOOKUP($A34,'Onsite Role Distribution'!$B$3:$G$7,4,FALSE)+VLOOKUP($A34,'Onsite Role Distribution'!$B$8:$G$12,4,FALSE)</f>
        <v>0</v>
      </c>
      <c r="AH34">
        <f>VLOOKUP($A34,'Onsite Role Distribution'!$B$3:$G$7,4,FALSE)+VLOOKUP($A34,'Onsite Role Distribution'!$B$8:$G$12,4,FALSE)</f>
        <v>0</v>
      </c>
      <c r="AI34">
        <f>VLOOKUP($A34,'Onsite Role Distribution'!$B$3:$G$7,4,FALSE)+VLOOKUP($A34,'Onsite Role Distribution'!$B$8:$G$12,4,FALSE)</f>
        <v>0</v>
      </c>
      <c r="AJ34">
        <f>VLOOKUP($A34,'Onsite Role Distribution'!$B$3:$G$7,4,FALSE)+VLOOKUP($A34,'Onsite Role Distribution'!$B$8:$G$12,4,FALSE)</f>
        <v>0</v>
      </c>
      <c r="AK34">
        <f>VLOOKUP($A34,'Onsite Role Distribution'!$B$3:$G$7,4,FALSE)+VLOOKUP($A34,'Onsite Role Distribution'!$B$8:$G$12,4,FALSE)</f>
        <v>0</v>
      </c>
      <c r="AL34">
        <f>VLOOKUP($A34,'Onsite Role Distribution'!$B$3:$G$7,4,FALSE)+VLOOKUP($A34,'Onsite Role Distribution'!$B$8:$G$12,4,FALSE)</f>
        <v>0</v>
      </c>
      <c r="AM34">
        <f>VLOOKUP($A34,'Onsite Role Distribution'!$B$3:$G$7,4,FALSE)+VLOOKUP($A34,'Onsite Role Distribution'!$B$8:$G$12,4,FALSE)</f>
        <v>0</v>
      </c>
      <c r="AN34">
        <f>VLOOKUP($A34,'Onsite Role Distribution'!$B$3:$G$7,5,FALSE)+VLOOKUP($A34,'Onsite Role Distribution'!$B$8:$G$12,5,FALSE)</f>
        <v>0</v>
      </c>
      <c r="AO34">
        <f>VLOOKUP($A34,'Onsite Role Distribution'!$B$3:$G$7,5,FALSE)+VLOOKUP($A34,'Onsite Role Distribution'!$B$8:$G$12,5,FALSE)</f>
        <v>0</v>
      </c>
      <c r="AP34">
        <f>VLOOKUP($A34,'Onsite Role Distribution'!$B$3:$G$7,5,FALSE)+VLOOKUP($A34,'Onsite Role Distribution'!$B$8:$G$12,5,FALSE)</f>
        <v>0</v>
      </c>
      <c r="AQ34">
        <f>VLOOKUP($A34,'Onsite Role Distribution'!$B$3:$G$7,5,FALSE)+VLOOKUP($A34,'Onsite Role Distribution'!$B$8:$G$12,5,FALSE)</f>
        <v>0</v>
      </c>
      <c r="AR34">
        <f>VLOOKUP($A34,'Onsite Role Distribution'!$B$3:$G$7,5,FALSE)+VLOOKUP($A34,'Onsite Role Distribution'!$B$8:$G$12,5,FALSE)</f>
        <v>0</v>
      </c>
      <c r="AS34">
        <f>VLOOKUP($A34,'Onsite Role Distribution'!$B$3:$G$7,5,FALSE)+VLOOKUP($A34,'Onsite Role Distribution'!$B$8:$G$12,5,FALSE)</f>
        <v>0</v>
      </c>
      <c r="AT34">
        <f>VLOOKUP($A34,'Onsite Role Distribution'!$B$3:$G$7,5,FALSE)+VLOOKUP($A34,'Onsite Role Distribution'!$B$8:$G$12,5,FALSE)</f>
        <v>0</v>
      </c>
      <c r="AU34">
        <f>VLOOKUP($A34,'Onsite Role Distribution'!$B$3:$G$7,5,FALSE)+VLOOKUP($A34,'Onsite Role Distribution'!$B$8:$G$12,5,FALSE)</f>
        <v>0</v>
      </c>
      <c r="AV34">
        <f>VLOOKUP($A34,'Onsite Role Distribution'!$B$3:$G$7,5,FALSE)+VLOOKUP($A34,'Onsite Role Distribution'!$B$8:$G$12,5,FALSE)</f>
        <v>0</v>
      </c>
      <c r="AW34">
        <f>VLOOKUP($A34,'Onsite Role Distribution'!$B$3:$G$7,5,FALSE)+VLOOKUP($A34,'Onsite Role Distribution'!$B$8:$G$12,5,FALSE)</f>
        <v>0</v>
      </c>
      <c r="AX34">
        <f>VLOOKUP($A34,'Onsite Role Distribution'!$B$3:$G$7,5,FALSE)+VLOOKUP($A34,'Onsite Role Distribution'!$B$8:$G$12,5,FALSE)</f>
        <v>0</v>
      </c>
      <c r="AY34">
        <f>VLOOKUP($A34,'Onsite Role Distribution'!$B$3:$G$7,5,FALSE)+VLOOKUP($A34,'Onsite Role Distribution'!$B$8:$G$12,5,FALSE)</f>
        <v>0</v>
      </c>
      <c r="AZ34" s="17">
        <v>0</v>
      </c>
      <c r="BA34">
        <f>VLOOKUP($A34,'Onsite Role Distribution'!$B$3:$G$7,6,FALSE)+VLOOKUP($A34,'Onsite Role Distribution'!$B$8:$G$12,6,FALSE)</f>
        <v>0</v>
      </c>
      <c r="BB34">
        <f>VLOOKUP($A34,'Onsite Role Distribution'!$B$3:$G$7,6,FALSE)+VLOOKUP($A34,'Onsite Role Distribution'!$B$8:$G$12,6,FALSE)</f>
        <v>0</v>
      </c>
      <c r="BC34">
        <f>VLOOKUP($A34,'Onsite Role Distribution'!$B$3:$G$7,6,FALSE)+VLOOKUP($A34,'Onsite Role Distribution'!$B$8:$G$12,6,FALSE)</f>
        <v>0</v>
      </c>
      <c r="BD34">
        <f>VLOOKUP($A34,'Onsite Role Distribution'!$B$3:$G$7,6,FALSE)+VLOOKUP($A34,'Onsite Role Distribution'!$B$8:$G$12,6,FALSE)</f>
        <v>0</v>
      </c>
      <c r="BE34">
        <f>VLOOKUP($A34,'Onsite Role Distribution'!$B$3:$G$7,6,FALSE)+VLOOKUP($A34,'Onsite Role Distribution'!$B$8:$G$12,6,FALSE)</f>
        <v>0</v>
      </c>
      <c r="BF34">
        <f>VLOOKUP($A34,'Onsite Role Distribution'!$B$3:$G$7,6,FALSE)+VLOOKUP($A34,'Onsite Role Distribution'!$B$8:$G$12,6,FALSE)</f>
        <v>0</v>
      </c>
      <c r="BG34">
        <f>VLOOKUP($A34,'Onsite Role Distribution'!$B$3:$G$7,6,FALSE)+VLOOKUP($A34,'Onsite Role Distribution'!$B$8:$G$12,6,FALSE)</f>
        <v>0</v>
      </c>
      <c r="BH34">
        <f>VLOOKUP($A34,'Onsite Role Distribution'!$B$3:$G$7,6,FALSE)+VLOOKUP($A34,'Onsite Role Distribution'!$B$8:$G$12,6,FALSE)</f>
        <v>0</v>
      </c>
      <c r="BI34">
        <f>VLOOKUP($A34,'Onsite Role Distribution'!$B$3:$G$7,6,FALSE)+VLOOKUP($A34,'Onsite Role Distribution'!$B$8:$G$12,6,FALSE)</f>
        <v>0</v>
      </c>
      <c r="BJ34">
        <f>VLOOKUP($A34,'Onsite Role Distribution'!$B$3:$G$7,6,FALSE)+VLOOKUP($A34,'Onsite Role Distribution'!$B$8:$G$12,6,FALSE)</f>
        <v>0</v>
      </c>
      <c r="BK34">
        <f>VLOOKUP($A34,'Onsite Role Distribution'!$B$3:$G$7,6,FALSE)+VLOOKUP($A34,'Onsite Role Distribution'!$B$8:$G$12,6,FALSE)</f>
        <v>0</v>
      </c>
    </row>
    <row r="35" spans="1:63" x14ac:dyDescent="0.35">
      <c r="A35" t="s">
        <v>73</v>
      </c>
      <c r="B35" t="s">
        <v>75</v>
      </c>
      <c r="C35" t="str">
        <f t="shared" si="0"/>
        <v>PMOnsite</v>
      </c>
      <c r="D35" s="18">
        <f>VLOOKUP($A35,'Onsite Role Distribution'!$B$3:$G$7,2,FALSE)+VLOOKUP($A35,'Onsite Role Distribution'!$B$8:$G$12,2,FALSE)</f>
        <v>0</v>
      </c>
      <c r="E35" s="18">
        <f>VLOOKUP($A35,'Onsite Role Distribution'!$B$3:$G$7,2,FALSE)+VLOOKUP($A35,'Onsite Role Distribution'!$B$8:$G$12,2,FALSE)</f>
        <v>0</v>
      </c>
      <c r="F35" s="18">
        <f>VLOOKUP($A35,'Onsite Role Distribution'!$B$3:$G$7,2,FALSE)+VLOOKUP($A35,'Onsite Role Distribution'!$B$8:$G$12,2,FALSE)</f>
        <v>0</v>
      </c>
      <c r="G35" s="18">
        <f>VLOOKUP($A35,'Onsite Role Distribution'!$B$3:$G$7,2,FALSE)+VLOOKUP($A35,'Onsite Role Distribution'!$B$8:$G$12,2,FALSE)</f>
        <v>0</v>
      </c>
      <c r="H35" s="18">
        <f>VLOOKUP($A35,'Onsite Role Distribution'!$B$3:$G$7,2,FALSE)+VLOOKUP($A35,'Onsite Role Distribution'!$B$8:$G$12,2,FALSE)</f>
        <v>0</v>
      </c>
      <c r="I35" s="18">
        <f>VLOOKUP($A35,'Onsite Role Distribution'!$B$3:$G$7,2,FALSE)+VLOOKUP($A35,'Onsite Role Distribution'!$B$8:$G$12,2,FALSE)</f>
        <v>0</v>
      </c>
      <c r="J35" s="18">
        <f>VLOOKUP($A35,'Onsite Role Distribution'!$B$3:$G$7,2,FALSE)+VLOOKUP($A35,'Onsite Role Distribution'!$B$8:$G$12,2,FALSE)</f>
        <v>0</v>
      </c>
      <c r="K35" s="18">
        <f>VLOOKUP($A35,'Onsite Role Distribution'!$B$3:$G$7,2,FALSE)+VLOOKUP($A35,'Onsite Role Distribution'!$B$8:$G$12,2,FALSE)</f>
        <v>0</v>
      </c>
      <c r="L35" s="18">
        <f>VLOOKUP($A35,'Onsite Role Distribution'!$B$3:$G$7,2,FALSE)+VLOOKUP($A35,'Onsite Role Distribution'!$B$8:$G$12,2,FALSE)</f>
        <v>0</v>
      </c>
      <c r="M35" s="18">
        <f>VLOOKUP($A35,'Onsite Role Distribution'!$B$3:$G$7,2,FALSE)+VLOOKUP($A35,'Onsite Role Distribution'!$B$8:$G$12,2,FALSE)</f>
        <v>0</v>
      </c>
      <c r="N35" s="18">
        <f>VLOOKUP($A35,'Onsite Role Distribution'!$B$3:$G$7,2,FALSE)+VLOOKUP($A35,'Onsite Role Distribution'!$B$8:$G$12,2,FALSE)</f>
        <v>0</v>
      </c>
      <c r="O35" s="18">
        <f>VLOOKUP($A35,'Onsite Role Distribution'!$B$3:$G$7,2,FALSE)+VLOOKUP($A35,'Onsite Role Distribution'!$B$8:$G$12,2,FALSE)</f>
        <v>0</v>
      </c>
      <c r="P35" s="19">
        <f>VLOOKUP($A35,'Onsite Role Distribution'!$B$3:$G$7,3,FALSE)+VLOOKUP($A35,'Onsite Role Distribution'!$B$8:$G$12,3,FALSE)</f>
        <v>0</v>
      </c>
      <c r="Q35" s="19">
        <f>VLOOKUP($A35,'Onsite Role Distribution'!$B$3:$G$7,3,FALSE)+VLOOKUP($A35,'Onsite Role Distribution'!$B$8:$G$12,3,FALSE)</f>
        <v>0</v>
      </c>
      <c r="R35" s="19">
        <f>VLOOKUP($A35,'Onsite Role Distribution'!$B$3:$G$7,3,FALSE)+VLOOKUP($A35,'Onsite Role Distribution'!$B$8:$G$12,3,FALSE)</f>
        <v>0</v>
      </c>
      <c r="S35" s="19">
        <f>VLOOKUP($A35,'Onsite Role Distribution'!$B$3:$G$7,3,FALSE)+VLOOKUP($A35,'Onsite Role Distribution'!$B$8:$G$12,3,FALSE)</f>
        <v>0</v>
      </c>
      <c r="T35" s="19">
        <f>VLOOKUP($A35,'Onsite Role Distribution'!$B$3:$G$7,3,FALSE)+VLOOKUP($A35,'Onsite Role Distribution'!$B$8:$G$12,3,FALSE)</f>
        <v>0</v>
      </c>
      <c r="U35" s="19">
        <f>VLOOKUP($A35,'Onsite Role Distribution'!$B$3:$G$7,3,FALSE)+VLOOKUP($A35,'Onsite Role Distribution'!$B$8:$G$12,3,FALSE)</f>
        <v>0</v>
      </c>
      <c r="V35" s="19">
        <f>VLOOKUP($A35,'Onsite Role Distribution'!$B$3:$G$7,3,FALSE)+VLOOKUP($A35,'Onsite Role Distribution'!$B$8:$G$12,3,FALSE)</f>
        <v>0</v>
      </c>
      <c r="W35" s="19">
        <f>VLOOKUP($A35,'Onsite Role Distribution'!$B$3:$G$7,3,FALSE)+VLOOKUP($A35,'Onsite Role Distribution'!$B$8:$G$12,3,FALSE)</f>
        <v>0</v>
      </c>
      <c r="X35" s="19">
        <f>VLOOKUP($A35,'Onsite Role Distribution'!$B$3:$G$7,3,FALSE)+VLOOKUP($A35,'Onsite Role Distribution'!$B$8:$G$12,3,FALSE)</f>
        <v>0</v>
      </c>
      <c r="Y35" s="19">
        <f>VLOOKUP($A35,'Onsite Role Distribution'!$B$3:$G$7,3,FALSE)+VLOOKUP($A35,'Onsite Role Distribution'!$B$8:$G$12,3,FALSE)</f>
        <v>0</v>
      </c>
      <c r="Z35" s="19">
        <f>VLOOKUP($A35,'Onsite Role Distribution'!$B$3:$G$7,3,FALSE)+VLOOKUP($A35,'Onsite Role Distribution'!$B$8:$G$12,3,FALSE)</f>
        <v>0</v>
      </c>
      <c r="AA35" s="19">
        <f>VLOOKUP($A35,'Onsite Role Distribution'!$B$3:$G$7,3,FALSE)+VLOOKUP($A35,'Onsite Role Distribution'!$B$8:$G$12,3,FALSE)</f>
        <v>0</v>
      </c>
      <c r="AB35">
        <f>VLOOKUP($A35,'Onsite Role Distribution'!$B$3:$G$7,4,FALSE)+VLOOKUP($A35,'Onsite Role Distribution'!$B$8:$G$12,4,FALSE)</f>
        <v>0</v>
      </c>
      <c r="AC35">
        <f>VLOOKUP($A35,'Onsite Role Distribution'!$B$3:$G$7,4,FALSE)+VLOOKUP($A35,'Onsite Role Distribution'!$B$8:$G$12,4,FALSE)</f>
        <v>0</v>
      </c>
      <c r="AD35">
        <f>VLOOKUP($A35,'Onsite Role Distribution'!$B$3:$G$7,4,FALSE)+VLOOKUP($A35,'Onsite Role Distribution'!$B$8:$G$12,4,FALSE)</f>
        <v>0</v>
      </c>
      <c r="AE35">
        <f>VLOOKUP($A35,'Onsite Role Distribution'!$B$3:$G$7,4,FALSE)+VLOOKUP($A35,'Onsite Role Distribution'!$B$8:$G$12,4,FALSE)</f>
        <v>0</v>
      </c>
      <c r="AF35">
        <f>VLOOKUP($A35,'Onsite Role Distribution'!$B$3:$G$7,4,FALSE)+VLOOKUP($A35,'Onsite Role Distribution'!$B$8:$G$12,4,FALSE)</f>
        <v>0</v>
      </c>
      <c r="AG35">
        <f>VLOOKUP($A35,'Onsite Role Distribution'!$B$3:$G$7,4,FALSE)+VLOOKUP($A35,'Onsite Role Distribution'!$B$8:$G$12,4,FALSE)</f>
        <v>0</v>
      </c>
      <c r="AH35">
        <f>VLOOKUP($A35,'Onsite Role Distribution'!$B$3:$G$7,4,FALSE)+VLOOKUP($A35,'Onsite Role Distribution'!$B$8:$G$12,4,FALSE)</f>
        <v>0</v>
      </c>
      <c r="AI35">
        <f>VLOOKUP($A35,'Onsite Role Distribution'!$B$3:$G$7,4,FALSE)+VLOOKUP($A35,'Onsite Role Distribution'!$B$8:$G$12,4,FALSE)</f>
        <v>0</v>
      </c>
      <c r="AJ35">
        <f>VLOOKUP($A35,'Onsite Role Distribution'!$B$3:$G$7,4,FALSE)+VLOOKUP($A35,'Onsite Role Distribution'!$B$8:$G$12,4,FALSE)</f>
        <v>0</v>
      </c>
      <c r="AK35">
        <f>VLOOKUP($A35,'Onsite Role Distribution'!$B$3:$G$7,4,FALSE)+VLOOKUP($A35,'Onsite Role Distribution'!$B$8:$G$12,4,FALSE)</f>
        <v>0</v>
      </c>
      <c r="AL35">
        <f>VLOOKUP($A35,'Onsite Role Distribution'!$B$3:$G$7,4,FALSE)+VLOOKUP($A35,'Onsite Role Distribution'!$B$8:$G$12,4,FALSE)</f>
        <v>0</v>
      </c>
      <c r="AM35">
        <f>VLOOKUP($A35,'Onsite Role Distribution'!$B$3:$G$7,4,FALSE)+VLOOKUP($A35,'Onsite Role Distribution'!$B$8:$G$12,4,FALSE)</f>
        <v>0</v>
      </c>
      <c r="AN35">
        <f>VLOOKUP($A35,'Onsite Role Distribution'!$B$3:$G$7,5,FALSE)+VLOOKUP($A35,'Onsite Role Distribution'!$B$8:$G$12,5,FALSE)</f>
        <v>0</v>
      </c>
      <c r="AO35">
        <f>VLOOKUP($A35,'Onsite Role Distribution'!$B$3:$G$7,5,FALSE)+VLOOKUP($A35,'Onsite Role Distribution'!$B$8:$G$12,5,FALSE)</f>
        <v>0</v>
      </c>
      <c r="AP35">
        <f>VLOOKUP($A35,'Onsite Role Distribution'!$B$3:$G$7,5,FALSE)+VLOOKUP($A35,'Onsite Role Distribution'!$B$8:$G$12,5,FALSE)</f>
        <v>0</v>
      </c>
      <c r="AQ35">
        <f>VLOOKUP($A35,'Onsite Role Distribution'!$B$3:$G$7,5,FALSE)+VLOOKUP($A35,'Onsite Role Distribution'!$B$8:$G$12,5,FALSE)</f>
        <v>0</v>
      </c>
      <c r="AR35">
        <f>VLOOKUP($A35,'Onsite Role Distribution'!$B$3:$G$7,5,FALSE)+VLOOKUP($A35,'Onsite Role Distribution'!$B$8:$G$12,5,FALSE)</f>
        <v>0</v>
      </c>
      <c r="AS35">
        <f>VLOOKUP($A35,'Onsite Role Distribution'!$B$3:$G$7,5,FALSE)+VLOOKUP($A35,'Onsite Role Distribution'!$B$8:$G$12,5,FALSE)</f>
        <v>0</v>
      </c>
      <c r="AT35">
        <f>VLOOKUP($A35,'Onsite Role Distribution'!$B$3:$G$7,5,FALSE)+VLOOKUP($A35,'Onsite Role Distribution'!$B$8:$G$12,5,FALSE)</f>
        <v>0</v>
      </c>
      <c r="AU35">
        <f>VLOOKUP($A35,'Onsite Role Distribution'!$B$3:$G$7,5,FALSE)+VLOOKUP($A35,'Onsite Role Distribution'!$B$8:$G$12,5,FALSE)</f>
        <v>0</v>
      </c>
      <c r="AV35">
        <f>VLOOKUP($A35,'Onsite Role Distribution'!$B$3:$G$7,5,FALSE)+VLOOKUP($A35,'Onsite Role Distribution'!$B$8:$G$12,5,FALSE)</f>
        <v>0</v>
      </c>
      <c r="AW35">
        <f>VLOOKUP($A35,'Onsite Role Distribution'!$B$3:$G$7,5,FALSE)+VLOOKUP($A35,'Onsite Role Distribution'!$B$8:$G$12,5,FALSE)</f>
        <v>0</v>
      </c>
      <c r="AX35">
        <f>VLOOKUP($A35,'Onsite Role Distribution'!$B$3:$G$7,5,FALSE)+VLOOKUP($A35,'Onsite Role Distribution'!$B$8:$G$12,5,FALSE)</f>
        <v>0</v>
      </c>
      <c r="AY35">
        <f>VLOOKUP($A35,'Onsite Role Distribution'!$B$3:$G$7,5,FALSE)+VLOOKUP($A35,'Onsite Role Distribution'!$B$8:$G$12,5,FALSE)</f>
        <v>0</v>
      </c>
      <c r="AZ35" s="17">
        <v>0</v>
      </c>
      <c r="BA35">
        <f>VLOOKUP($A35,'Onsite Role Distribution'!$B$3:$G$7,6,FALSE)+VLOOKUP($A35,'Onsite Role Distribution'!$B$8:$G$12,6,FALSE)</f>
        <v>0</v>
      </c>
      <c r="BB35">
        <f>VLOOKUP($A35,'Onsite Role Distribution'!$B$3:$G$7,6,FALSE)+VLOOKUP($A35,'Onsite Role Distribution'!$B$8:$G$12,6,FALSE)</f>
        <v>0</v>
      </c>
      <c r="BC35">
        <f>VLOOKUP($A35,'Onsite Role Distribution'!$B$3:$G$7,6,FALSE)+VLOOKUP($A35,'Onsite Role Distribution'!$B$8:$G$12,6,FALSE)</f>
        <v>0</v>
      </c>
      <c r="BD35">
        <f>VLOOKUP($A35,'Onsite Role Distribution'!$B$3:$G$7,6,FALSE)+VLOOKUP($A35,'Onsite Role Distribution'!$B$8:$G$12,6,FALSE)</f>
        <v>0</v>
      </c>
      <c r="BE35">
        <f>VLOOKUP($A35,'Onsite Role Distribution'!$B$3:$G$7,6,FALSE)+VLOOKUP($A35,'Onsite Role Distribution'!$B$8:$G$12,6,FALSE)</f>
        <v>0</v>
      </c>
      <c r="BF35">
        <f>VLOOKUP($A35,'Onsite Role Distribution'!$B$3:$G$7,6,FALSE)+VLOOKUP($A35,'Onsite Role Distribution'!$B$8:$G$12,6,FALSE)</f>
        <v>0</v>
      </c>
      <c r="BG35">
        <f>VLOOKUP($A35,'Onsite Role Distribution'!$B$3:$G$7,6,FALSE)+VLOOKUP($A35,'Onsite Role Distribution'!$B$8:$G$12,6,FALSE)</f>
        <v>0</v>
      </c>
      <c r="BH35">
        <f>VLOOKUP($A35,'Onsite Role Distribution'!$B$3:$G$7,6,FALSE)+VLOOKUP($A35,'Onsite Role Distribution'!$B$8:$G$12,6,FALSE)</f>
        <v>0</v>
      </c>
      <c r="BI35">
        <f>VLOOKUP($A35,'Onsite Role Distribution'!$B$3:$G$7,6,FALSE)+VLOOKUP($A35,'Onsite Role Distribution'!$B$8:$G$12,6,FALSE)</f>
        <v>0</v>
      </c>
      <c r="BJ35">
        <f>VLOOKUP($A35,'Onsite Role Distribution'!$B$3:$G$7,6,FALSE)+VLOOKUP($A35,'Onsite Role Distribution'!$B$8:$G$12,6,FALSE)</f>
        <v>0</v>
      </c>
      <c r="BK35">
        <f>VLOOKUP($A35,'Onsite Role Distribution'!$B$3:$G$7,6,FALSE)+VLOOKUP($A35,'Onsite Role Distribution'!$B$8:$G$12,6,FALSE)</f>
        <v>0</v>
      </c>
    </row>
    <row r="36" spans="1:63" x14ac:dyDescent="0.35">
      <c r="A36" t="s">
        <v>74</v>
      </c>
      <c r="B36" t="s">
        <v>75</v>
      </c>
      <c r="C36" t="str">
        <f t="shared" si="0"/>
        <v>LeadOnsite</v>
      </c>
      <c r="D36" s="18">
        <f>VLOOKUP($A36,'Onsite Role Distribution'!$B$3:$G$7,2,FALSE)+VLOOKUP($A36,'Onsite Role Distribution'!$B$8:$G$12,2,FALSE)</f>
        <v>1</v>
      </c>
      <c r="E36" s="18">
        <f>VLOOKUP($A36,'Onsite Role Distribution'!$B$3:$G$7,2,FALSE)+VLOOKUP($A36,'Onsite Role Distribution'!$B$8:$G$12,2,FALSE)</f>
        <v>1</v>
      </c>
      <c r="F36" s="18">
        <f>VLOOKUP($A36,'Onsite Role Distribution'!$B$3:$G$7,2,FALSE)+VLOOKUP($A36,'Onsite Role Distribution'!$B$8:$G$12,2,FALSE)</f>
        <v>1</v>
      </c>
      <c r="G36" s="18">
        <f>VLOOKUP($A36,'Onsite Role Distribution'!$B$3:$G$7,2,FALSE)+VLOOKUP($A36,'Onsite Role Distribution'!$B$8:$G$12,2,FALSE)</f>
        <v>1</v>
      </c>
      <c r="H36" s="18">
        <f>VLOOKUP($A36,'Onsite Role Distribution'!$B$3:$G$7,2,FALSE)+VLOOKUP($A36,'Onsite Role Distribution'!$B$8:$G$12,2,FALSE)</f>
        <v>1</v>
      </c>
      <c r="I36" s="18">
        <f>VLOOKUP($A36,'Onsite Role Distribution'!$B$3:$G$7,2,FALSE)+VLOOKUP($A36,'Onsite Role Distribution'!$B$8:$G$12,2,FALSE)</f>
        <v>1</v>
      </c>
      <c r="J36" s="18">
        <f>VLOOKUP($A36,'Onsite Role Distribution'!$B$3:$G$7,2,FALSE)+VLOOKUP($A36,'Onsite Role Distribution'!$B$8:$G$12,2,FALSE)</f>
        <v>1</v>
      </c>
      <c r="K36" s="18">
        <f>VLOOKUP($A36,'Onsite Role Distribution'!$B$3:$G$7,2,FALSE)+VLOOKUP($A36,'Onsite Role Distribution'!$B$8:$G$12,2,FALSE)</f>
        <v>1</v>
      </c>
      <c r="L36" s="18">
        <f>VLOOKUP($A36,'Onsite Role Distribution'!$B$3:$G$7,2,FALSE)+VLOOKUP($A36,'Onsite Role Distribution'!$B$8:$G$12,2,FALSE)</f>
        <v>1</v>
      </c>
      <c r="M36" s="18">
        <f>VLOOKUP($A36,'Onsite Role Distribution'!$B$3:$G$7,2,FALSE)+VLOOKUP($A36,'Onsite Role Distribution'!$B$8:$G$12,2,FALSE)</f>
        <v>1</v>
      </c>
      <c r="N36" s="18">
        <f>VLOOKUP($A36,'Onsite Role Distribution'!$B$3:$G$7,2,FALSE)+VLOOKUP($A36,'Onsite Role Distribution'!$B$8:$G$12,2,FALSE)</f>
        <v>1</v>
      </c>
      <c r="O36" s="18">
        <f>VLOOKUP($A36,'Onsite Role Distribution'!$B$3:$G$7,2,FALSE)+VLOOKUP($A36,'Onsite Role Distribution'!$B$8:$G$12,2,FALSE)</f>
        <v>1</v>
      </c>
      <c r="P36" s="19">
        <f>VLOOKUP($A36,'Onsite Role Distribution'!$B$3:$G$7,3,FALSE)+VLOOKUP($A36,'Onsite Role Distribution'!$B$8:$G$12,3,FALSE)</f>
        <v>1</v>
      </c>
      <c r="Q36" s="19">
        <f>VLOOKUP($A36,'Onsite Role Distribution'!$B$3:$G$7,3,FALSE)+VLOOKUP($A36,'Onsite Role Distribution'!$B$8:$G$12,3,FALSE)</f>
        <v>1</v>
      </c>
      <c r="R36" s="19">
        <f>VLOOKUP($A36,'Onsite Role Distribution'!$B$3:$G$7,3,FALSE)+VLOOKUP($A36,'Onsite Role Distribution'!$B$8:$G$12,3,FALSE)</f>
        <v>1</v>
      </c>
      <c r="S36" s="19">
        <f>VLOOKUP($A36,'Onsite Role Distribution'!$B$3:$G$7,3,FALSE)+VLOOKUP($A36,'Onsite Role Distribution'!$B$8:$G$12,3,FALSE)</f>
        <v>1</v>
      </c>
      <c r="T36" s="19">
        <f>VLOOKUP($A36,'Onsite Role Distribution'!$B$3:$G$7,3,FALSE)+VLOOKUP($A36,'Onsite Role Distribution'!$B$8:$G$12,3,FALSE)</f>
        <v>1</v>
      </c>
      <c r="U36" s="19">
        <f>VLOOKUP($A36,'Onsite Role Distribution'!$B$3:$G$7,3,FALSE)+VLOOKUP($A36,'Onsite Role Distribution'!$B$8:$G$12,3,FALSE)</f>
        <v>1</v>
      </c>
      <c r="V36" s="19">
        <f>VLOOKUP($A36,'Onsite Role Distribution'!$B$3:$G$7,3,FALSE)+VLOOKUP($A36,'Onsite Role Distribution'!$B$8:$G$12,3,FALSE)</f>
        <v>1</v>
      </c>
      <c r="W36" s="19">
        <f>VLOOKUP($A36,'Onsite Role Distribution'!$B$3:$G$7,3,FALSE)+VLOOKUP($A36,'Onsite Role Distribution'!$B$8:$G$12,3,FALSE)</f>
        <v>1</v>
      </c>
      <c r="X36" s="19">
        <f>VLOOKUP($A36,'Onsite Role Distribution'!$B$3:$G$7,3,FALSE)+VLOOKUP($A36,'Onsite Role Distribution'!$B$8:$G$12,3,FALSE)</f>
        <v>1</v>
      </c>
      <c r="Y36" s="19">
        <f>VLOOKUP($A36,'Onsite Role Distribution'!$B$3:$G$7,3,FALSE)+VLOOKUP($A36,'Onsite Role Distribution'!$B$8:$G$12,3,FALSE)</f>
        <v>1</v>
      </c>
      <c r="Z36" s="19">
        <f>VLOOKUP($A36,'Onsite Role Distribution'!$B$3:$G$7,3,FALSE)+VLOOKUP($A36,'Onsite Role Distribution'!$B$8:$G$12,3,FALSE)</f>
        <v>1</v>
      </c>
      <c r="AA36" s="19">
        <f>VLOOKUP($A36,'Onsite Role Distribution'!$B$3:$G$7,3,FALSE)+VLOOKUP($A36,'Onsite Role Distribution'!$B$8:$G$12,3,FALSE)</f>
        <v>1</v>
      </c>
      <c r="AB36">
        <f>VLOOKUP($A36,'Onsite Role Distribution'!$B$3:$G$7,4,FALSE)+VLOOKUP($A36,'Onsite Role Distribution'!$B$8:$G$12,4,FALSE)</f>
        <v>0</v>
      </c>
      <c r="AC36">
        <f>VLOOKUP($A36,'Onsite Role Distribution'!$B$3:$G$7,4,FALSE)+VLOOKUP($A36,'Onsite Role Distribution'!$B$8:$G$12,4,FALSE)</f>
        <v>0</v>
      </c>
      <c r="AD36">
        <f>VLOOKUP($A36,'Onsite Role Distribution'!$B$3:$G$7,4,FALSE)+VLOOKUP($A36,'Onsite Role Distribution'!$B$8:$G$12,4,FALSE)</f>
        <v>0</v>
      </c>
      <c r="AE36">
        <f>VLOOKUP($A36,'Onsite Role Distribution'!$B$3:$G$7,4,FALSE)+VLOOKUP($A36,'Onsite Role Distribution'!$B$8:$G$12,4,FALSE)</f>
        <v>0</v>
      </c>
      <c r="AF36">
        <f>VLOOKUP($A36,'Onsite Role Distribution'!$B$3:$G$7,4,FALSE)+VLOOKUP($A36,'Onsite Role Distribution'!$B$8:$G$12,4,FALSE)</f>
        <v>0</v>
      </c>
      <c r="AG36">
        <f>VLOOKUP($A36,'Onsite Role Distribution'!$B$3:$G$7,4,FALSE)+VLOOKUP($A36,'Onsite Role Distribution'!$B$8:$G$12,4,FALSE)</f>
        <v>0</v>
      </c>
      <c r="AH36">
        <f>VLOOKUP($A36,'Onsite Role Distribution'!$B$3:$G$7,4,FALSE)+VLOOKUP($A36,'Onsite Role Distribution'!$B$8:$G$12,4,FALSE)</f>
        <v>0</v>
      </c>
      <c r="AI36">
        <f>VLOOKUP($A36,'Onsite Role Distribution'!$B$3:$G$7,4,FALSE)+VLOOKUP($A36,'Onsite Role Distribution'!$B$8:$G$12,4,FALSE)</f>
        <v>0</v>
      </c>
      <c r="AJ36">
        <f>VLOOKUP($A36,'Onsite Role Distribution'!$B$3:$G$7,4,FALSE)+VLOOKUP($A36,'Onsite Role Distribution'!$B$8:$G$12,4,FALSE)</f>
        <v>0</v>
      </c>
      <c r="AK36">
        <f>VLOOKUP($A36,'Onsite Role Distribution'!$B$3:$G$7,4,FALSE)+VLOOKUP($A36,'Onsite Role Distribution'!$B$8:$G$12,4,FALSE)</f>
        <v>0</v>
      </c>
      <c r="AL36">
        <f>VLOOKUP($A36,'Onsite Role Distribution'!$B$3:$G$7,4,FALSE)+VLOOKUP($A36,'Onsite Role Distribution'!$B$8:$G$12,4,FALSE)</f>
        <v>0</v>
      </c>
      <c r="AM36">
        <f>VLOOKUP($A36,'Onsite Role Distribution'!$B$3:$G$7,4,FALSE)+VLOOKUP($A36,'Onsite Role Distribution'!$B$8:$G$12,4,FALSE)</f>
        <v>0</v>
      </c>
      <c r="AN36">
        <f>VLOOKUP($A36,'Onsite Role Distribution'!$B$3:$G$7,5,FALSE)+VLOOKUP($A36,'Onsite Role Distribution'!$B$8:$G$12,5,FALSE)</f>
        <v>0</v>
      </c>
      <c r="AO36">
        <f>VLOOKUP($A36,'Onsite Role Distribution'!$B$3:$G$7,5,FALSE)+VLOOKUP($A36,'Onsite Role Distribution'!$B$8:$G$12,5,FALSE)</f>
        <v>0</v>
      </c>
      <c r="AP36">
        <f>VLOOKUP($A36,'Onsite Role Distribution'!$B$3:$G$7,5,FALSE)+VLOOKUP($A36,'Onsite Role Distribution'!$B$8:$G$12,5,FALSE)</f>
        <v>0</v>
      </c>
      <c r="AQ36">
        <f>VLOOKUP($A36,'Onsite Role Distribution'!$B$3:$G$7,5,FALSE)+VLOOKUP($A36,'Onsite Role Distribution'!$B$8:$G$12,5,FALSE)</f>
        <v>0</v>
      </c>
      <c r="AR36">
        <f>VLOOKUP($A36,'Onsite Role Distribution'!$B$3:$G$7,5,FALSE)+VLOOKUP($A36,'Onsite Role Distribution'!$B$8:$G$12,5,FALSE)</f>
        <v>0</v>
      </c>
      <c r="AS36">
        <f>VLOOKUP($A36,'Onsite Role Distribution'!$B$3:$G$7,5,FALSE)+VLOOKUP($A36,'Onsite Role Distribution'!$B$8:$G$12,5,FALSE)</f>
        <v>0</v>
      </c>
      <c r="AT36">
        <f>VLOOKUP($A36,'Onsite Role Distribution'!$B$3:$G$7,5,FALSE)+VLOOKUP($A36,'Onsite Role Distribution'!$B$8:$G$12,5,FALSE)</f>
        <v>0</v>
      </c>
      <c r="AU36">
        <f>VLOOKUP($A36,'Onsite Role Distribution'!$B$3:$G$7,5,FALSE)+VLOOKUP($A36,'Onsite Role Distribution'!$B$8:$G$12,5,FALSE)</f>
        <v>0</v>
      </c>
      <c r="AV36">
        <f>VLOOKUP($A36,'Onsite Role Distribution'!$B$3:$G$7,5,FALSE)+VLOOKUP($A36,'Onsite Role Distribution'!$B$8:$G$12,5,FALSE)</f>
        <v>0</v>
      </c>
      <c r="AW36">
        <f>VLOOKUP($A36,'Onsite Role Distribution'!$B$3:$G$7,5,FALSE)+VLOOKUP($A36,'Onsite Role Distribution'!$B$8:$G$12,5,FALSE)</f>
        <v>0</v>
      </c>
      <c r="AX36">
        <f>VLOOKUP($A36,'Onsite Role Distribution'!$B$3:$G$7,5,FALSE)+VLOOKUP($A36,'Onsite Role Distribution'!$B$8:$G$12,5,FALSE)</f>
        <v>0</v>
      </c>
      <c r="AY36">
        <f>VLOOKUP($A36,'Onsite Role Distribution'!$B$3:$G$7,5,FALSE)+VLOOKUP($A36,'Onsite Role Distribution'!$B$8:$G$12,5,FALSE)</f>
        <v>0</v>
      </c>
      <c r="AZ36" s="17">
        <v>0</v>
      </c>
      <c r="BA36">
        <f>VLOOKUP($A36,'Onsite Role Distribution'!$B$3:$G$7,6,FALSE)+VLOOKUP($A36,'Onsite Role Distribution'!$B$8:$G$12,6,FALSE)</f>
        <v>0</v>
      </c>
      <c r="BB36">
        <f>VLOOKUP($A36,'Onsite Role Distribution'!$B$3:$G$7,6,FALSE)+VLOOKUP($A36,'Onsite Role Distribution'!$B$8:$G$12,6,FALSE)</f>
        <v>0</v>
      </c>
      <c r="BC36">
        <f>VLOOKUP($A36,'Onsite Role Distribution'!$B$3:$G$7,6,FALSE)+VLOOKUP($A36,'Onsite Role Distribution'!$B$8:$G$12,6,FALSE)</f>
        <v>0</v>
      </c>
      <c r="BD36">
        <f>VLOOKUP($A36,'Onsite Role Distribution'!$B$3:$G$7,6,FALSE)+VLOOKUP($A36,'Onsite Role Distribution'!$B$8:$G$12,6,FALSE)</f>
        <v>0</v>
      </c>
      <c r="BE36">
        <f>VLOOKUP($A36,'Onsite Role Distribution'!$B$3:$G$7,6,FALSE)+VLOOKUP($A36,'Onsite Role Distribution'!$B$8:$G$12,6,FALSE)</f>
        <v>0</v>
      </c>
      <c r="BF36">
        <f>VLOOKUP($A36,'Onsite Role Distribution'!$B$3:$G$7,6,FALSE)+VLOOKUP($A36,'Onsite Role Distribution'!$B$8:$G$12,6,FALSE)</f>
        <v>0</v>
      </c>
      <c r="BG36">
        <f>VLOOKUP($A36,'Onsite Role Distribution'!$B$3:$G$7,6,FALSE)+VLOOKUP($A36,'Onsite Role Distribution'!$B$8:$G$12,6,FALSE)</f>
        <v>0</v>
      </c>
      <c r="BH36">
        <f>VLOOKUP($A36,'Onsite Role Distribution'!$B$3:$G$7,6,FALSE)+VLOOKUP($A36,'Onsite Role Distribution'!$B$8:$G$12,6,FALSE)</f>
        <v>0</v>
      </c>
      <c r="BI36">
        <f>VLOOKUP($A36,'Onsite Role Distribution'!$B$3:$G$7,6,FALSE)+VLOOKUP($A36,'Onsite Role Distribution'!$B$8:$G$12,6,FALSE)</f>
        <v>0</v>
      </c>
      <c r="BJ36">
        <f>VLOOKUP($A36,'Onsite Role Distribution'!$B$3:$G$7,6,FALSE)+VLOOKUP($A36,'Onsite Role Distribution'!$B$8:$G$12,6,FALSE)</f>
        <v>0</v>
      </c>
      <c r="BK36">
        <f>VLOOKUP($A36,'Onsite Role Distribution'!$B$3:$G$7,6,FALSE)+VLOOKUP($A36,'Onsite Role Distribution'!$B$8:$G$12,6,FALSE)</f>
        <v>0</v>
      </c>
    </row>
    <row r="37" spans="1:63" x14ac:dyDescent="0.35">
      <c r="A37" t="s">
        <v>64</v>
      </c>
      <c r="B37" t="s">
        <v>76</v>
      </c>
      <c r="C37" t="str">
        <f t="shared" si="0"/>
        <v>BSAOnsite-Landed</v>
      </c>
      <c r="D37" s="18">
        <f>VLOOKUP($A37,'Onsite Role Distribution'!$B$13:$G$17,2,FALSE)</f>
        <v>2</v>
      </c>
      <c r="E37" s="18">
        <f>VLOOKUP($A37,'Onsite Role Distribution'!$B$13:$G$17,2,FALSE)</f>
        <v>2</v>
      </c>
      <c r="F37" s="18">
        <f>VLOOKUP($A37,'Onsite Role Distribution'!$B$13:$G$17,2,FALSE)</f>
        <v>2</v>
      </c>
      <c r="G37" s="18">
        <f>VLOOKUP($A37,'Onsite Role Distribution'!$B$13:$G$17,2,FALSE)</f>
        <v>2</v>
      </c>
      <c r="H37" s="18">
        <f>VLOOKUP($A37,'Onsite Role Distribution'!$B$13:$G$17,2,FALSE)</f>
        <v>2</v>
      </c>
      <c r="I37" s="18">
        <f>VLOOKUP($A37,'Onsite Role Distribution'!$B$13:$G$17,2,FALSE)</f>
        <v>2</v>
      </c>
      <c r="J37" s="18">
        <f>VLOOKUP($A37,'Onsite Role Distribution'!$B$13:$G$17,2,FALSE)</f>
        <v>2</v>
      </c>
      <c r="K37" s="18">
        <f>VLOOKUP($A37,'Onsite Role Distribution'!$B$13:$G$17,2,FALSE)</f>
        <v>2</v>
      </c>
      <c r="L37" s="18">
        <f>VLOOKUP($A37,'Onsite Role Distribution'!$B$13:$G$17,2,FALSE)</f>
        <v>2</v>
      </c>
      <c r="M37" s="18">
        <f>VLOOKUP($A37,'Onsite Role Distribution'!$B$13:$G$17,2,FALSE)</f>
        <v>2</v>
      </c>
      <c r="N37" s="18">
        <f>VLOOKUP($A37,'Onsite Role Distribution'!$B$13:$G$17,2,FALSE)</f>
        <v>2</v>
      </c>
      <c r="O37" s="18">
        <f>VLOOKUP($A37,'Onsite Role Distribution'!$B$13:$G$17,2,FALSE)</f>
        <v>2</v>
      </c>
      <c r="P37" s="19">
        <f>VLOOKUP($A37,'Onsite Role Distribution'!$B$13:$G$17,3,FALSE)</f>
        <v>1</v>
      </c>
      <c r="Q37" s="19">
        <f>VLOOKUP($A37,'Onsite Role Distribution'!$B$13:$G$17,3,FALSE)</f>
        <v>1</v>
      </c>
      <c r="R37" s="19">
        <f>VLOOKUP($A37,'Onsite Role Distribution'!$B$13:$G$17,3,FALSE)</f>
        <v>1</v>
      </c>
      <c r="S37" s="19">
        <f>VLOOKUP($A37,'Onsite Role Distribution'!$B$13:$G$17,3,FALSE)</f>
        <v>1</v>
      </c>
      <c r="T37" s="19">
        <f>VLOOKUP($A37,'Onsite Role Distribution'!$B$13:$G$17,3,FALSE)</f>
        <v>1</v>
      </c>
      <c r="U37" s="19">
        <f>VLOOKUP($A37,'Onsite Role Distribution'!$B$13:$G$17,3,FALSE)</f>
        <v>1</v>
      </c>
      <c r="V37" s="19">
        <f>VLOOKUP($A37,'Onsite Role Distribution'!$B$13:$G$17,3,FALSE)</f>
        <v>1</v>
      </c>
      <c r="W37" s="19">
        <f>VLOOKUP($A37,'Onsite Role Distribution'!$B$13:$G$17,3,FALSE)</f>
        <v>1</v>
      </c>
      <c r="X37" s="19">
        <f>VLOOKUP($A37,'Onsite Role Distribution'!$B$13:$G$17,3,FALSE)</f>
        <v>1</v>
      </c>
      <c r="Y37" s="19">
        <f>VLOOKUP($A37,'Onsite Role Distribution'!$B$13:$G$17,3,FALSE)</f>
        <v>1</v>
      </c>
      <c r="Z37" s="19">
        <f>VLOOKUP($A37,'Onsite Role Distribution'!$B$13:$G$17,3,FALSE)</f>
        <v>1</v>
      </c>
      <c r="AA37" s="19">
        <f>VLOOKUP($A37,'Onsite Role Distribution'!$B$13:$G$17,3,FALSE)</f>
        <v>1</v>
      </c>
      <c r="AB37">
        <f>VLOOKUP($A37,'Onsite Role Distribution'!$B$13:$G$17,4,FALSE)</f>
        <v>0</v>
      </c>
      <c r="AC37">
        <f>VLOOKUP($A37,'Onsite Role Distribution'!$B$13:$G$17,4,FALSE)</f>
        <v>0</v>
      </c>
      <c r="AD37">
        <f>VLOOKUP($A37,'Onsite Role Distribution'!$B$13:$G$17,4,FALSE)</f>
        <v>0</v>
      </c>
      <c r="AE37">
        <f>VLOOKUP($A37,'Onsite Role Distribution'!$B$13:$G$17,4,FALSE)</f>
        <v>0</v>
      </c>
      <c r="AF37">
        <f>VLOOKUP($A37,'Onsite Role Distribution'!$B$13:$G$17,4,FALSE)</f>
        <v>0</v>
      </c>
      <c r="AG37">
        <f>VLOOKUP($A37,'Onsite Role Distribution'!$B$13:$G$17,4,FALSE)</f>
        <v>0</v>
      </c>
      <c r="AH37">
        <f>VLOOKUP($A37,'Onsite Role Distribution'!$B$13:$G$17,4,FALSE)</f>
        <v>0</v>
      </c>
      <c r="AI37">
        <f>VLOOKUP($A37,'Onsite Role Distribution'!$B$13:$G$17,4,FALSE)</f>
        <v>0</v>
      </c>
      <c r="AJ37">
        <f>VLOOKUP($A37,'Onsite Role Distribution'!$B$13:$G$17,4,FALSE)</f>
        <v>0</v>
      </c>
      <c r="AK37">
        <f>VLOOKUP($A37,'Onsite Role Distribution'!$B$13:$G$17,4,FALSE)</f>
        <v>0</v>
      </c>
      <c r="AL37">
        <f>VLOOKUP($A37,'Onsite Role Distribution'!$B$13:$G$17,4,FALSE)</f>
        <v>0</v>
      </c>
      <c r="AM37">
        <f>VLOOKUP($A37,'Onsite Role Distribution'!$B$13:$G$17,4,FALSE)</f>
        <v>0</v>
      </c>
      <c r="AN37">
        <f>VLOOKUP($A37,'Onsite Role Distribution'!$B$13:$G$17,5,FALSE)</f>
        <v>0</v>
      </c>
      <c r="AO37">
        <f>VLOOKUP($A37,'Onsite Role Distribution'!$B$13:$G$17,5,FALSE)</f>
        <v>0</v>
      </c>
      <c r="AP37">
        <f>VLOOKUP($A37,'Onsite Role Distribution'!$B$13:$G$17,5,FALSE)</f>
        <v>0</v>
      </c>
      <c r="AQ37">
        <f>VLOOKUP($A37,'Onsite Role Distribution'!$B$13:$G$17,5,FALSE)</f>
        <v>0</v>
      </c>
      <c r="AR37">
        <f>VLOOKUP($A37,'Onsite Role Distribution'!$B$13:$G$17,5,FALSE)</f>
        <v>0</v>
      </c>
      <c r="AS37">
        <f>VLOOKUP($A37,'Onsite Role Distribution'!$B$13:$G$17,5,FALSE)</f>
        <v>0</v>
      </c>
      <c r="AT37">
        <f>VLOOKUP($A37,'Onsite Role Distribution'!$B$13:$G$17,5,FALSE)</f>
        <v>0</v>
      </c>
      <c r="AU37">
        <f>VLOOKUP($A37,'Onsite Role Distribution'!$B$13:$G$17,5,FALSE)</f>
        <v>0</v>
      </c>
      <c r="AV37">
        <f>VLOOKUP($A37,'Onsite Role Distribution'!$B$13:$G$17,5,FALSE)</f>
        <v>0</v>
      </c>
      <c r="AW37">
        <f>VLOOKUP($A37,'Onsite Role Distribution'!$B$13:$G$17,5,FALSE)</f>
        <v>0</v>
      </c>
      <c r="AX37">
        <f>VLOOKUP($A37,'Onsite Role Distribution'!$B$13:$G$17,5,FALSE)</f>
        <v>0</v>
      </c>
      <c r="AY37">
        <f>VLOOKUP($A37,'Onsite Role Distribution'!$B$13:$G$17,5,FALSE)</f>
        <v>0</v>
      </c>
      <c r="AZ37" s="17">
        <v>0</v>
      </c>
      <c r="BA37">
        <f>VLOOKUP($A37,'Onsite Role Distribution'!$B$13:$G$17,6,FALSE)</f>
        <v>0</v>
      </c>
      <c r="BB37">
        <f>VLOOKUP($A37,'Onsite Role Distribution'!$B$13:$G$17,6,FALSE)</f>
        <v>0</v>
      </c>
      <c r="BC37">
        <f>VLOOKUP($A37,'Onsite Role Distribution'!$B$13:$G$17,6,FALSE)</f>
        <v>0</v>
      </c>
      <c r="BD37">
        <f>VLOOKUP($A37,'Onsite Role Distribution'!$B$13:$G$17,6,FALSE)</f>
        <v>0</v>
      </c>
      <c r="BE37">
        <f>VLOOKUP($A37,'Onsite Role Distribution'!$B$13:$G$17,6,FALSE)</f>
        <v>0</v>
      </c>
      <c r="BF37">
        <f>VLOOKUP($A37,'Onsite Role Distribution'!$B$13:$G$17,6,FALSE)</f>
        <v>0</v>
      </c>
      <c r="BG37">
        <f>VLOOKUP($A37,'Onsite Role Distribution'!$B$13:$G$17,6,FALSE)</f>
        <v>0</v>
      </c>
      <c r="BH37">
        <f>VLOOKUP($A37,'Onsite Role Distribution'!$B$13:$G$17,6,FALSE)</f>
        <v>0</v>
      </c>
      <c r="BI37">
        <f>VLOOKUP($A37,'Onsite Role Distribution'!$B$13:$G$17,6,FALSE)</f>
        <v>0</v>
      </c>
      <c r="BJ37">
        <f>VLOOKUP($A37,'Onsite Role Distribution'!$B$13:$G$17,6,FALSE)</f>
        <v>0</v>
      </c>
      <c r="BK37">
        <f>VLOOKUP($A37,'Onsite Role Distribution'!$B$13:$G$17,6,FALSE)</f>
        <v>0</v>
      </c>
    </row>
    <row r="38" spans="1:63" x14ac:dyDescent="0.35">
      <c r="A38" t="s">
        <v>69</v>
      </c>
      <c r="B38" t="s">
        <v>76</v>
      </c>
      <c r="C38" t="str">
        <f t="shared" si="0"/>
        <v>DevOnsite-Landed</v>
      </c>
      <c r="D38" s="18">
        <f>VLOOKUP($A38,'Onsite Role Distribution'!$B$13:$G$17,2,FALSE)</f>
        <v>2</v>
      </c>
      <c r="E38" s="18">
        <f>VLOOKUP($A38,'Onsite Role Distribution'!$B$13:$G$17,2,FALSE)</f>
        <v>2</v>
      </c>
      <c r="F38" s="18">
        <f>VLOOKUP($A38,'Onsite Role Distribution'!$B$13:$G$17,2,FALSE)</f>
        <v>2</v>
      </c>
      <c r="G38" s="18">
        <f>VLOOKUP($A38,'Onsite Role Distribution'!$B$13:$G$17,2,FALSE)</f>
        <v>2</v>
      </c>
      <c r="H38" s="18">
        <f>VLOOKUP($A38,'Onsite Role Distribution'!$B$13:$G$17,2,FALSE)</f>
        <v>2</v>
      </c>
      <c r="I38" s="18">
        <f>VLOOKUP($A38,'Onsite Role Distribution'!$B$13:$G$17,2,FALSE)</f>
        <v>2</v>
      </c>
      <c r="J38" s="18">
        <f>VLOOKUP($A38,'Onsite Role Distribution'!$B$13:$G$17,2,FALSE)</f>
        <v>2</v>
      </c>
      <c r="K38" s="18">
        <f>VLOOKUP($A38,'Onsite Role Distribution'!$B$13:$G$17,2,FALSE)</f>
        <v>2</v>
      </c>
      <c r="L38" s="18">
        <f>VLOOKUP($A38,'Onsite Role Distribution'!$B$13:$G$17,2,FALSE)</f>
        <v>2</v>
      </c>
      <c r="M38" s="18">
        <f>VLOOKUP($A38,'Onsite Role Distribution'!$B$13:$G$17,2,FALSE)</f>
        <v>2</v>
      </c>
      <c r="N38" s="18">
        <f>VLOOKUP($A38,'Onsite Role Distribution'!$B$13:$G$17,2,FALSE)</f>
        <v>2</v>
      </c>
      <c r="O38" s="18">
        <f>VLOOKUP($A38,'Onsite Role Distribution'!$B$13:$G$17,2,FALSE)</f>
        <v>2</v>
      </c>
      <c r="P38" s="19">
        <f>VLOOKUP($A38,'Onsite Role Distribution'!$B$13:$G$17,3,FALSE)</f>
        <v>1</v>
      </c>
      <c r="Q38" s="19">
        <f>VLOOKUP($A38,'Onsite Role Distribution'!$B$13:$G$17,3,FALSE)</f>
        <v>1</v>
      </c>
      <c r="R38" s="19">
        <f>VLOOKUP($A38,'Onsite Role Distribution'!$B$13:$G$17,3,FALSE)</f>
        <v>1</v>
      </c>
      <c r="S38" s="19">
        <f>VLOOKUP($A38,'Onsite Role Distribution'!$B$13:$G$17,3,FALSE)</f>
        <v>1</v>
      </c>
      <c r="T38" s="19">
        <f>VLOOKUP($A38,'Onsite Role Distribution'!$B$13:$G$17,3,FALSE)</f>
        <v>1</v>
      </c>
      <c r="U38" s="19">
        <f>VLOOKUP($A38,'Onsite Role Distribution'!$B$13:$G$17,3,FALSE)</f>
        <v>1</v>
      </c>
      <c r="V38" s="19">
        <f>VLOOKUP($A38,'Onsite Role Distribution'!$B$13:$G$17,3,FALSE)</f>
        <v>1</v>
      </c>
      <c r="W38" s="19">
        <f>VLOOKUP($A38,'Onsite Role Distribution'!$B$13:$G$17,3,FALSE)</f>
        <v>1</v>
      </c>
      <c r="X38" s="19">
        <f>VLOOKUP($A38,'Onsite Role Distribution'!$B$13:$G$17,3,FALSE)</f>
        <v>1</v>
      </c>
      <c r="Y38" s="19">
        <f>VLOOKUP($A38,'Onsite Role Distribution'!$B$13:$G$17,3,FALSE)</f>
        <v>1</v>
      </c>
      <c r="Z38" s="19">
        <f>VLOOKUP($A38,'Onsite Role Distribution'!$B$13:$G$17,3,FALSE)</f>
        <v>1</v>
      </c>
      <c r="AA38" s="19">
        <f>VLOOKUP($A38,'Onsite Role Distribution'!$B$13:$G$17,3,FALSE)</f>
        <v>1</v>
      </c>
      <c r="AB38">
        <f>VLOOKUP($A38,'Onsite Role Distribution'!$B$13:$G$17,4,FALSE)</f>
        <v>1</v>
      </c>
      <c r="AC38">
        <f>VLOOKUP($A38,'Onsite Role Distribution'!$B$13:$G$17,4,FALSE)</f>
        <v>1</v>
      </c>
      <c r="AD38">
        <f>VLOOKUP($A38,'Onsite Role Distribution'!$B$13:$G$17,4,FALSE)</f>
        <v>1</v>
      </c>
      <c r="AE38">
        <f>VLOOKUP($A38,'Onsite Role Distribution'!$B$13:$G$17,4,FALSE)</f>
        <v>1</v>
      </c>
      <c r="AF38">
        <f>VLOOKUP($A38,'Onsite Role Distribution'!$B$13:$G$17,4,FALSE)</f>
        <v>1</v>
      </c>
      <c r="AG38">
        <f>VLOOKUP($A38,'Onsite Role Distribution'!$B$13:$G$17,4,FALSE)</f>
        <v>1</v>
      </c>
      <c r="AH38">
        <f>VLOOKUP($A38,'Onsite Role Distribution'!$B$13:$G$17,4,FALSE)</f>
        <v>1</v>
      </c>
      <c r="AI38">
        <f>VLOOKUP($A38,'Onsite Role Distribution'!$B$13:$G$17,4,FALSE)</f>
        <v>1</v>
      </c>
      <c r="AJ38">
        <f>VLOOKUP($A38,'Onsite Role Distribution'!$B$13:$G$17,4,FALSE)</f>
        <v>1</v>
      </c>
      <c r="AK38">
        <f>VLOOKUP($A38,'Onsite Role Distribution'!$B$13:$G$17,4,FALSE)</f>
        <v>1</v>
      </c>
      <c r="AL38">
        <f>VLOOKUP($A38,'Onsite Role Distribution'!$B$13:$G$17,4,FALSE)</f>
        <v>1</v>
      </c>
      <c r="AM38">
        <f>VLOOKUP($A38,'Onsite Role Distribution'!$B$13:$G$17,4,FALSE)</f>
        <v>1</v>
      </c>
      <c r="AN38">
        <f>VLOOKUP($A38,'Onsite Role Distribution'!$B$13:$G$17,5,FALSE)</f>
        <v>1</v>
      </c>
      <c r="AO38">
        <f>VLOOKUP($A38,'Onsite Role Distribution'!$B$13:$G$17,5,FALSE)</f>
        <v>1</v>
      </c>
      <c r="AP38">
        <f>VLOOKUP($A38,'Onsite Role Distribution'!$B$13:$G$17,5,FALSE)</f>
        <v>1</v>
      </c>
      <c r="AQ38">
        <f>VLOOKUP($A38,'Onsite Role Distribution'!$B$13:$G$17,5,FALSE)</f>
        <v>1</v>
      </c>
      <c r="AR38">
        <f>VLOOKUP($A38,'Onsite Role Distribution'!$B$13:$G$17,5,FALSE)</f>
        <v>1</v>
      </c>
      <c r="AS38">
        <f>VLOOKUP($A38,'Onsite Role Distribution'!$B$13:$G$17,5,FALSE)</f>
        <v>1</v>
      </c>
      <c r="AT38">
        <f>VLOOKUP($A38,'Onsite Role Distribution'!$B$13:$G$17,5,FALSE)</f>
        <v>1</v>
      </c>
      <c r="AU38">
        <f>VLOOKUP($A38,'Onsite Role Distribution'!$B$13:$G$17,5,FALSE)</f>
        <v>1</v>
      </c>
      <c r="AV38">
        <f>VLOOKUP($A38,'Onsite Role Distribution'!$B$13:$G$17,5,FALSE)</f>
        <v>1</v>
      </c>
      <c r="AW38">
        <f>VLOOKUP($A38,'Onsite Role Distribution'!$B$13:$G$17,5,FALSE)</f>
        <v>1</v>
      </c>
      <c r="AX38">
        <f>VLOOKUP($A38,'Onsite Role Distribution'!$B$13:$G$17,5,FALSE)</f>
        <v>1</v>
      </c>
      <c r="AY38">
        <f>VLOOKUP($A38,'Onsite Role Distribution'!$B$13:$G$17,5,FALSE)</f>
        <v>1</v>
      </c>
      <c r="AZ38" s="17">
        <v>1</v>
      </c>
      <c r="BA38">
        <f>VLOOKUP($A38,'Onsite Role Distribution'!$B$13:$G$17,6,FALSE)</f>
        <v>1</v>
      </c>
      <c r="BB38">
        <f>VLOOKUP($A38,'Onsite Role Distribution'!$B$13:$G$17,6,FALSE)</f>
        <v>1</v>
      </c>
      <c r="BC38">
        <f>VLOOKUP($A38,'Onsite Role Distribution'!$B$13:$G$17,6,FALSE)</f>
        <v>1</v>
      </c>
      <c r="BD38">
        <f>VLOOKUP($A38,'Onsite Role Distribution'!$B$13:$G$17,6,FALSE)</f>
        <v>1</v>
      </c>
      <c r="BE38">
        <f>VLOOKUP($A38,'Onsite Role Distribution'!$B$13:$G$17,6,FALSE)</f>
        <v>1</v>
      </c>
      <c r="BF38">
        <f>VLOOKUP($A38,'Onsite Role Distribution'!$B$13:$G$17,6,FALSE)</f>
        <v>1</v>
      </c>
      <c r="BG38">
        <f>VLOOKUP($A38,'Onsite Role Distribution'!$B$13:$G$17,6,FALSE)</f>
        <v>1</v>
      </c>
      <c r="BH38">
        <f>VLOOKUP($A38,'Onsite Role Distribution'!$B$13:$G$17,6,FALSE)</f>
        <v>1</v>
      </c>
      <c r="BI38">
        <f>VLOOKUP($A38,'Onsite Role Distribution'!$B$13:$G$17,6,FALSE)</f>
        <v>1</v>
      </c>
      <c r="BJ38">
        <f>VLOOKUP($A38,'Onsite Role Distribution'!$B$13:$G$17,6,FALSE)</f>
        <v>1</v>
      </c>
      <c r="BK38">
        <f>VLOOKUP($A38,'Onsite Role Distribution'!$B$13:$G$17,6,FALSE)</f>
        <v>1</v>
      </c>
    </row>
    <row r="39" spans="1:63" x14ac:dyDescent="0.35">
      <c r="A39" t="s">
        <v>70</v>
      </c>
      <c r="B39" t="s">
        <v>76</v>
      </c>
      <c r="C39" t="str">
        <f t="shared" si="0"/>
        <v>TesterOnsite-Landed</v>
      </c>
      <c r="D39" s="18">
        <f>VLOOKUP($A39,'Onsite Role Distribution'!$B$13:$G$17,2,FALSE)</f>
        <v>2</v>
      </c>
      <c r="E39" s="18">
        <f>VLOOKUP($A39,'Onsite Role Distribution'!$B$13:$G$17,2,FALSE)</f>
        <v>2</v>
      </c>
      <c r="F39" s="18">
        <f>VLOOKUP($A39,'Onsite Role Distribution'!$B$13:$G$17,2,FALSE)</f>
        <v>2</v>
      </c>
      <c r="G39" s="18">
        <f>VLOOKUP($A39,'Onsite Role Distribution'!$B$13:$G$17,2,FALSE)</f>
        <v>2</v>
      </c>
      <c r="H39" s="18">
        <f>VLOOKUP($A39,'Onsite Role Distribution'!$B$13:$G$17,2,FALSE)</f>
        <v>2</v>
      </c>
      <c r="I39" s="18">
        <f>VLOOKUP($A39,'Onsite Role Distribution'!$B$13:$G$17,2,FALSE)</f>
        <v>2</v>
      </c>
      <c r="J39" s="18">
        <f>VLOOKUP($A39,'Onsite Role Distribution'!$B$13:$G$17,2,FALSE)</f>
        <v>2</v>
      </c>
      <c r="K39" s="18">
        <f>VLOOKUP($A39,'Onsite Role Distribution'!$B$13:$G$17,2,FALSE)</f>
        <v>2</v>
      </c>
      <c r="L39" s="18">
        <f>VLOOKUP($A39,'Onsite Role Distribution'!$B$13:$G$17,2,FALSE)</f>
        <v>2</v>
      </c>
      <c r="M39" s="18">
        <f>VLOOKUP($A39,'Onsite Role Distribution'!$B$13:$G$17,2,FALSE)</f>
        <v>2</v>
      </c>
      <c r="N39" s="18">
        <f>VLOOKUP($A39,'Onsite Role Distribution'!$B$13:$G$17,2,FALSE)</f>
        <v>2</v>
      </c>
      <c r="O39" s="18">
        <f>VLOOKUP($A39,'Onsite Role Distribution'!$B$13:$G$17,2,FALSE)</f>
        <v>2</v>
      </c>
      <c r="P39" s="19">
        <f>VLOOKUP($A39,'Onsite Role Distribution'!$B$13:$G$17,3,FALSE)</f>
        <v>0</v>
      </c>
      <c r="Q39" s="19">
        <f>VLOOKUP($A39,'Onsite Role Distribution'!$B$13:$G$17,3,FALSE)</f>
        <v>0</v>
      </c>
      <c r="R39" s="19">
        <f>VLOOKUP($A39,'Onsite Role Distribution'!$B$13:$G$17,3,FALSE)</f>
        <v>0</v>
      </c>
      <c r="S39" s="19">
        <f>VLOOKUP($A39,'Onsite Role Distribution'!$B$13:$G$17,3,FALSE)</f>
        <v>0</v>
      </c>
      <c r="T39" s="19">
        <f>VLOOKUP($A39,'Onsite Role Distribution'!$B$13:$G$17,3,FALSE)</f>
        <v>0</v>
      </c>
      <c r="U39" s="19">
        <f>VLOOKUP($A39,'Onsite Role Distribution'!$B$13:$G$17,3,FALSE)</f>
        <v>0</v>
      </c>
      <c r="V39" s="19">
        <f>VLOOKUP($A39,'Onsite Role Distribution'!$B$13:$G$17,3,FALSE)</f>
        <v>0</v>
      </c>
      <c r="W39" s="19">
        <f>VLOOKUP($A39,'Onsite Role Distribution'!$B$13:$G$17,3,FALSE)</f>
        <v>0</v>
      </c>
      <c r="X39" s="19">
        <f>VLOOKUP($A39,'Onsite Role Distribution'!$B$13:$G$17,3,FALSE)</f>
        <v>0</v>
      </c>
      <c r="Y39" s="19">
        <f>VLOOKUP($A39,'Onsite Role Distribution'!$B$13:$G$17,3,FALSE)</f>
        <v>0</v>
      </c>
      <c r="Z39" s="19">
        <f>VLOOKUP($A39,'Onsite Role Distribution'!$B$13:$G$17,3,FALSE)</f>
        <v>0</v>
      </c>
      <c r="AA39" s="19">
        <f>VLOOKUP($A39,'Onsite Role Distribution'!$B$13:$G$17,3,FALSE)</f>
        <v>0</v>
      </c>
      <c r="AB39">
        <f>VLOOKUP($A39,'Onsite Role Distribution'!$B$13:$G$17,4,FALSE)</f>
        <v>0</v>
      </c>
      <c r="AC39">
        <f>VLOOKUP($A39,'Onsite Role Distribution'!$B$13:$G$17,4,FALSE)</f>
        <v>0</v>
      </c>
      <c r="AD39">
        <f>VLOOKUP($A39,'Onsite Role Distribution'!$B$13:$G$17,4,FALSE)</f>
        <v>0</v>
      </c>
      <c r="AE39">
        <f>VLOOKUP($A39,'Onsite Role Distribution'!$B$13:$G$17,4,FALSE)</f>
        <v>0</v>
      </c>
      <c r="AF39">
        <f>VLOOKUP($A39,'Onsite Role Distribution'!$B$13:$G$17,4,FALSE)</f>
        <v>0</v>
      </c>
      <c r="AG39">
        <f>VLOOKUP($A39,'Onsite Role Distribution'!$B$13:$G$17,4,FALSE)</f>
        <v>0</v>
      </c>
      <c r="AH39">
        <f>VLOOKUP($A39,'Onsite Role Distribution'!$B$13:$G$17,4,FALSE)</f>
        <v>0</v>
      </c>
      <c r="AI39">
        <f>VLOOKUP($A39,'Onsite Role Distribution'!$B$13:$G$17,4,FALSE)</f>
        <v>0</v>
      </c>
      <c r="AJ39">
        <f>VLOOKUP($A39,'Onsite Role Distribution'!$B$13:$G$17,4,FALSE)</f>
        <v>0</v>
      </c>
      <c r="AK39">
        <f>VLOOKUP($A39,'Onsite Role Distribution'!$B$13:$G$17,4,FALSE)</f>
        <v>0</v>
      </c>
      <c r="AL39">
        <f>VLOOKUP($A39,'Onsite Role Distribution'!$B$13:$G$17,4,FALSE)</f>
        <v>0</v>
      </c>
      <c r="AM39">
        <f>VLOOKUP($A39,'Onsite Role Distribution'!$B$13:$G$17,4,FALSE)</f>
        <v>0</v>
      </c>
      <c r="AN39">
        <f>VLOOKUP($A39,'Onsite Role Distribution'!$B$13:$G$17,5,FALSE)</f>
        <v>0</v>
      </c>
      <c r="AO39">
        <f>VLOOKUP($A39,'Onsite Role Distribution'!$B$13:$G$17,5,FALSE)</f>
        <v>0</v>
      </c>
      <c r="AP39">
        <f>VLOOKUP($A39,'Onsite Role Distribution'!$B$13:$G$17,5,FALSE)</f>
        <v>0</v>
      </c>
      <c r="AQ39">
        <f>VLOOKUP($A39,'Onsite Role Distribution'!$B$13:$G$17,5,FALSE)</f>
        <v>0</v>
      </c>
      <c r="AR39">
        <f>VLOOKUP($A39,'Onsite Role Distribution'!$B$13:$G$17,5,FALSE)</f>
        <v>0</v>
      </c>
      <c r="AS39">
        <f>VLOOKUP($A39,'Onsite Role Distribution'!$B$13:$G$17,5,FALSE)</f>
        <v>0</v>
      </c>
      <c r="AT39">
        <f>VLOOKUP($A39,'Onsite Role Distribution'!$B$13:$G$17,5,FALSE)</f>
        <v>0</v>
      </c>
      <c r="AU39">
        <f>VLOOKUP($A39,'Onsite Role Distribution'!$B$13:$G$17,5,FALSE)</f>
        <v>0</v>
      </c>
      <c r="AV39">
        <f>VLOOKUP($A39,'Onsite Role Distribution'!$B$13:$G$17,5,FALSE)</f>
        <v>0</v>
      </c>
      <c r="AW39">
        <f>VLOOKUP($A39,'Onsite Role Distribution'!$B$13:$G$17,5,FALSE)</f>
        <v>0</v>
      </c>
      <c r="AX39">
        <f>VLOOKUP($A39,'Onsite Role Distribution'!$B$13:$G$17,5,FALSE)</f>
        <v>0</v>
      </c>
      <c r="AY39">
        <f>VLOOKUP($A39,'Onsite Role Distribution'!$B$13:$G$17,5,FALSE)</f>
        <v>0</v>
      </c>
      <c r="AZ39" s="17">
        <v>0</v>
      </c>
      <c r="BA39">
        <f>VLOOKUP($A39,'Onsite Role Distribution'!$B$13:$G$17,6,FALSE)</f>
        <v>0</v>
      </c>
      <c r="BB39">
        <f>VLOOKUP($A39,'Onsite Role Distribution'!$B$13:$G$17,6,FALSE)</f>
        <v>0</v>
      </c>
      <c r="BC39">
        <f>VLOOKUP($A39,'Onsite Role Distribution'!$B$13:$G$17,6,FALSE)</f>
        <v>0</v>
      </c>
      <c r="BD39">
        <f>VLOOKUP($A39,'Onsite Role Distribution'!$B$13:$G$17,6,FALSE)</f>
        <v>0</v>
      </c>
      <c r="BE39">
        <f>VLOOKUP($A39,'Onsite Role Distribution'!$B$13:$G$17,6,FALSE)</f>
        <v>0</v>
      </c>
      <c r="BF39">
        <f>VLOOKUP($A39,'Onsite Role Distribution'!$B$13:$G$17,6,FALSE)</f>
        <v>0</v>
      </c>
      <c r="BG39">
        <f>VLOOKUP($A39,'Onsite Role Distribution'!$B$13:$G$17,6,FALSE)</f>
        <v>0</v>
      </c>
      <c r="BH39">
        <f>VLOOKUP($A39,'Onsite Role Distribution'!$B$13:$G$17,6,FALSE)</f>
        <v>0</v>
      </c>
      <c r="BI39">
        <f>VLOOKUP($A39,'Onsite Role Distribution'!$B$13:$G$17,6,FALSE)</f>
        <v>0</v>
      </c>
      <c r="BJ39">
        <f>VLOOKUP($A39,'Onsite Role Distribution'!$B$13:$G$17,6,FALSE)</f>
        <v>0</v>
      </c>
      <c r="BK39">
        <f>VLOOKUP($A39,'Onsite Role Distribution'!$B$13:$G$17,6,FALSE)</f>
        <v>0</v>
      </c>
    </row>
    <row r="40" spans="1:63" x14ac:dyDescent="0.35">
      <c r="A40" t="s">
        <v>73</v>
      </c>
      <c r="B40" t="s">
        <v>76</v>
      </c>
      <c r="C40" t="str">
        <f t="shared" si="0"/>
        <v>PMOnsite-Landed</v>
      </c>
      <c r="D40" s="18">
        <f>VLOOKUP($A40,'Onsite Role Distribution'!$B$13:$G$17,2,FALSE)</f>
        <v>0</v>
      </c>
      <c r="E40" s="18">
        <f>VLOOKUP($A40,'Onsite Role Distribution'!$B$13:$G$17,2,FALSE)</f>
        <v>0</v>
      </c>
      <c r="F40" s="18">
        <f>VLOOKUP($A40,'Onsite Role Distribution'!$B$13:$G$17,2,FALSE)</f>
        <v>0</v>
      </c>
      <c r="G40" s="18">
        <f>VLOOKUP($A40,'Onsite Role Distribution'!$B$13:$G$17,2,FALSE)</f>
        <v>0</v>
      </c>
      <c r="H40" s="18">
        <f>VLOOKUP($A40,'Onsite Role Distribution'!$B$13:$G$17,2,FALSE)</f>
        <v>0</v>
      </c>
      <c r="I40" s="18">
        <f>VLOOKUP($A40,'Onsite Role Distribution'!$B$13:$G$17,2,FALSE)</f>
        <v>0</v>
      </c>
      <c r="J40" s="18">
        <f>VLOOKUP($A40,'Onsite Role Distribution'!$B$13:$G$17,2,FALSE)</f>
        <v>0</v>
      </c>
      <c r="K40" s="18">
        <f>VLOOKUP($A40,'Onsite Role Distribution'!$B$13:$G$17,2,FALSE)</f>
        <v>0</v>
      </c>
      <c r="L40" s="18">
        <f>VLOOKUP($A40,'Onsite Role Distribution'!$B$13:$G$17,2,FALSE)</f>
        <v>0</v>
      </c>
      <c r="M40" s="18">
        <f>VLOOKUP($A40,'Onsite Role Distribution'!$B$13:$G$17,2,FALSE)</f>
        <v>0</v>
      </c>
      <c r="N40" s="18">
        <f>VLOOKUP($A40,'Onsite Role Distribution'!$B$13:$G$17,2,FALSE)</f>
        <v>0</v>
      </c>
      <c r="O40" s="18">
        <f>VLOOKUP($A40,'Onsite Role Distribution'!$B$13:$G$17,2,FALSE)</f>
        <v>0</v>
      </c>
      <c r="P40" s="19">
        <f>VLOOKUP($A40,'Onsite Role Distribution'!$B$13:$G$17,3,FALSE)</f>
        <v>0</v>
      </c>
      <c r="Q40" s="19">
        <f>VLOOKUP($A40,'Onsite Role Distribution'!$B$13:$G$17,3,FALSE)</f>
        <v>0</v>
      </c>
      <c r="R40" s="19">
        <f>VLOOKUP($A40,'Onsite Role Distribution'!$B$13:$G$17,3,FALSE)</f>
        <v>0</v>
      </c>
      <c r="S40" s="19">
        <f>VLOOKUP($A40,'Onsite Role Distribution'!$B$13:$G$17,3,FALSE)</f>
        <v>0</v>
      </c>
      <c r="T40" s="19">
        <f>VLOOKUP($A40,'Onsite Role Distribution'!$B$13:$G$17,3,FALSE)</f>
        <v>0</v>
      </c>
      <c r="U40" s="19">
        <f>VLOOKUP($A40,'Onsite Role Distribution'!$B$13:$G$17,3,FALSE)</f>
        <v>0</v>
      </c>
      <c r="V40" s="19">
        <f>VLOOKUP($A40,'Onsite Role Distribution'!$B$13:$G$17,3,FALSE)</f>
        <v>0</v>
      </c>
      <c r="W40" s="19">
        <f>VLOOKUP($A40,'Onsite Role Distribution'!$B$13:$G$17,3,FALSE)</f>
        <v>0</v>
      </c>
      <c r="X40" s="19">
        <f>VLOOKUP($A40,'Onsite Role Distribution'!$B$13:$G$17,3,FALSE)</f>
        <v>0</v>
      </c>
      <c r="Y40" s="19">
        <f>VLOOKUP($A40,'Onsite Role Distribution'!$B$13:$G$17,3,FALSE)</f>
        <v>0</v>
      </c>
      <c r="Z40" s="19">
        <f>VLOOKUP($A40,'Onsite Role Distribution'!$B$13:$G$17,3,FALSE)</f>
        <v>0</v>
      </c>
      <c r="AA40" s="19">
        <f>VLOOKUP($A40,'Onsite Role Distribution'!$B$13:$G$17,3,FALSE)</f>
        <v>0</v>
      </c>
      <c r="AB40">
        <f>VLOOKUP($A40,'Onsite Role Distribution'!$B$13:$G$17,4,FALSE)</f>
        <v>0</v>
      </c>
      <c r="AC40">
        <f>VLOOKUP($A40,'Onsite Role Distribution'!$B$13:$G$17,4,FALSE)</f>
        <v>0</v>
      </c>
      <c r="AD40">
        <f>VLOOKUP($A40,'Onsite Role Distribution'!$B$13:$G$17,4,FALSE)</f>
        <v>0</v>
      </c>
      <c r="AE40">
        <f>VLOOKUP($A40,'Onsite Role Distribution'!$B$13:$G$17,4,FALSE)</f>
        <v>0</v>
      </c>
      <c r="AF40">
        <f>VLOOKUP($A40,'Onsite Role Distribution'!$B$13:$G$17,4,FALSE)</f>
        <v>0</v>
      </c>
      <c r="AG40">
        <f>VLOOKUP($A40,'Onsite Role Distribution'!$B$13:$G$17,4,FALSE)</f>
        <v>0</v>
      </c>
      <c r="AH40">
        <f>VLOOKUP($A40,'Onsite Role Distribution'!$B$13:$G$17,4,FALSE)</f>
        <v>0</v>
      </c>
      <c r="AI40">
        <f>VLOOKUP($A40,'Onsite Role Distribution'!$B$13:$G$17,4,FALSE)</f>
        <v>0</v>
      </c>
      <c r="AJ40">
        <f>VLOOKUP($A40,'Onsite Role Distribution'!$B$13:$G$17,4,FALSE)</f>
        <v>0</v>
      </c>
      <c r="AK40">
        <f>VLOOKUP($A40,'Onsite Role Distribution'!$B$13:$G$17,4,FALSE)</f>
        <v>0</v>
      </c>
      <c r="AL40">
        <f>VLOOKUP($A40,'Onsite Role Distribution'!$B$13:$G$17,4,FALSE)</f>
        <v>0</v>
      </c>
      <c r="AM40">
        <f>VLOOKUP($A40,'Onsite Role Distribution'!$B$13:$G$17,4,FALSE)</f>
        <v>0</v>
      </c>
      <c r="AN40">
        <f>VLOOKUP($A40,'Onsite Role Distribution'!$B$13:$G$17,5,FALSE)</f>
        <v>0</v>
      </c>
      <c r="AO40">
        <f>VLOOKUP($A40,'Onsite Role Distribution'!$B$13:$G$17,5,FALSE)</f>
        <v>0</v>
      </c>
      <c r="AP40">
        <f>VLOOKUP($A40,'Onsite Role Distribution'!$B$13:$G$17,5,FALSE)</f>
        <v>0</v>
      </c>
      <c r="AQ40">
        <f>VLOOKUP($A40,'Onsite Role Distribution'!$B$13:$G$17,5,FALSE)</f>
        <v>0</v>
      </c>
      <c r="AR40">
        <f>VLOOKUP($A40,'Onsite Role Distribution'!$B$13:$G$17,5,FALSE)</f>
        <v>0</v>
      </c>
      <c r="AS40">
        <f>VLOOKUP($A40,'Onsite Role Distribution'!$B$13:$G$17,5,FALSE)</f>
        <v>0</v>
      </c>
      <c r="AT40">
        <f>VLOOKUP($A40,'Onsite Role Distribution'!$B$13:$G$17,5,FALSE)</f>
        <v>0</v>
      </c>
      <c r="AU40">
        <f>VLOOKUP($A40,'Onsite Role Distribution'!$B$13:$G$17,5,FALSE)</f>
        <v>0</v>
      </c>
      <c r="AV40">
        <f>VLOOKUP($A40,'Onsite Role Distribution'!$B$13:$G$17,5,FALSE)</f>
        <v>0</v>
      </c>
      <c r="AW40">
        <f>VLOOKUP($A40,'Onsite Role Distribution'!$B$13:$G$17,5,FALSE)</f>
        <v>0</v>
      </c>
      <c r="AX40">
        <f>VLOOKUP($A40,'Onsite Role Distribution'!$B$13:$G$17,5,FALSE)</f>
        <v>0</v>
      </c>
      <c r="AY40">
        <f>VLOOKUP($A40,'Onsite Role Distribution'!$B$13:$G$17,5,FALSE)</f>
        <v>0</v>
      </c>
      <c r="AZ40" s="17">
        <v>0</v>
      </c>
      <c r="BA40">
        <f>VLOOKUP($A40,'Onsite Role Distribution'!$B$13:$G$17,6,FALSE)</f>
        <v>0</v>
      </c>
      <c r="BB40">
        <f>VLOOKUP($A40,'Onsite Role Distribution'!$B$13:$G$17,6,FALSE)</f>
        <v>0</v>
      </c>
      <c r="BC40">
        <f>VLOOKUP($A40,'Onsite Role Distribution'!$B$13:$G$17,6,FALSE)</f>
        <v>0</v>
      </c>
      <c r="BD40">
        <f>VLOOKUP($A40,'Onsite Role Distribution'!$B$13:$G$17,6,FALSE)</f>
        <v>0</v>
      </c>
      <c r="BE40">
        <f>VLOOKUP($A40,'Onsite Role Distribution'!$B$13:$G$17,6,FALSE)</f>
        <v>0</v>
      </c>
      <c r="BF40">
        <f>VLOOKUP($A40,'Onsite Role Distribution'!$B$13:$G$17,6,FALSE)</f>
        <v>0</v>
      </c>
      <c r="BG40">
        <f>VLOOKUP($A40,'Onsite Role Distribution'!$B$13:$G$17,6,FALSE)</f>
        <v>0</v>
      </c>
      <c r="BH40">
        <f>VLOOKUP($A40,'Onsite Role Distribution'!$B$13:$G$17,6,FALSE)</f>
        <v>0</v>
      </c>
      <c r="BI40">
        <f>VLOOKUP($A40,'Onsite Role Distribution'!$B$13:$G$17,6,FALSE)</f>
        <v>0</v>
      </c>
      <c r="BJ40">
        <f>VLOOKUP($A40,'Onsite Role Distribution'!$B$13:$G$17,6,FALSE)</f>
        <v>0</v>
      </c>
      <c r="BK40">
        <f>VLOOKUP($A40,'Onsite Role Distribution'!$B$13:$G$17,6,FALSE)</f>
        <v>0</v>
      </c>
    </row>
    <row r="41" spans="1:63" x14ac:dyDescent="0.35">
      <c r="A41" t="s">
        <v>74</v>
      </c>
      <c r="B41" t="s">
        <v>76</v>
      </c>
      <c r="C41" t="str">
        <f t="shared" si="0"/>
        <v>LeadOnsite-Landed</v>
      </c>
      <c r="D41" s="18">
        <f>VLOOKUP($A41,'Onsite Role Distribution'!$B$13:$G$17,2,FALSE)</f>
        <v>1</v>
      </c>
      <c r="E41" s="18">
        <f>VLOOKUP($A41,'Onsite Role Distribution'!$B$13:$G$17,2,FALSE)</f>
        <v>1</v>
      </c>
      <c r="F41" s="18">
        <f>VLOOKUP($A41,'Onsite Role Distribution'!$B$13:$G$17,2,FALSE)</f>
        <v>1</v>
      </c>
      <c r="G41" s="18">
        <f>VLOOKUP($A41,'Onsite Role Distribution'!$B$13:$G$17,2,FALSE)</f>
        <v>1</v>
      </c>
      <c r="H41" s="18">
        <f>VLOOKUP($A41,'Onsite Role Distribution'!$B$13:$G$17,2,FALSE)</f>
        <v>1</v>
      </c>
      <c r="I41" s="18">
        <f>VLOOKUP($A41,'Onsite Role Distribution'!$B$13:$G$17,2,FALSE)</f>
        <v>1</v>
      </c>
      <c r="J41" s="18">
        <f>VLOOKUP($A41,'Onsite Role Distribution'!$B$13:$G$17,2,FALSE)</f>
        <v>1</v>
      </c>
      <c r="K41" s="18">
        <f>VLOOKUP($A41,'Onsite Role Distribution'!$B$13:$G$17,2,FALSE)</f>
        <v>1</v>
      </c>
      <c r="L41" s="18">
        <f>VLOOKUP($A41,'Onsite Role Distribution'!$B$13:$G$17,2,FALSE)</f>
        <v>1</v>
      </c>
      <c r="M41" s="18">
        <f>VLOOKUP($A41,'Onsite Role Distribution'!$B$13:$G$17,2,FALSE)</f>
        <v>1</v>
      </c>
      <c r="N41" s="18">
        <f>VLOOKUP($A41,'Onsite Role Distribution'!$B$13:$G$17,2,FALSE)</f>
        <v>1</v>
      </c>
      <c r="O41" s="18">
        <f>VLOOKUP($A41,'Onsite Role Distribution'!$B$13:$G$17,2,FALSE)</f>
        <v>1</v>
      </c>
      <c r="P41" s="19">
        <f>VLOOKUP($A41,'Onsite Role Distribution'!$B$13:$G$17,3,FALSE)</f>
        <v>0</v>
      </c>
      <c r="Q41" s="19">
        <f>VLOOKUP($A41,'Onsite Role Distribution'!$B$13:$G$17,3,FALSE)</f>
        <v>0</v>
      </c>
      <c r="R41" s="19">
        <f>VLOOKUP($A41,'Onsite Role Distribution'!$B$13:$G$17,3,FALSE)</f>
        <v>0</v>
      </c>
      <c r="S41" s="19">
        <f>VLOOKUP($A41,'Onsite Role Distribution'!$B$13:$G$17,3,FALSE)</f>
        <v>0</v>
      </c>
      <c r="T41" s="19">
        <f>VLOOKUP($A41,'Onsite Role Distribution'!$B$13:$G$17,3,FALSE)</f>
        <v>0</v>
      </c>
      <c r="U41" s="19">
        <f>VLOOKUP($A41,'Onsite Role Distribution'!$B$13:$G$17,3,FALSE)</f>
        <v>0</v>
      </c>
      <c r="V41" s="19">
        <f>VLOOKUP($A41,'Onsite Role Distribution'!$B$13:$G$17,3,FALSE)</f>
        <v>0</v>
      </c>
      <c r="W41" s="19">
        <f>VLOOKUP($A41,'Onsite Role Distribution'!$B$13:$G$17,3,FALSE)</f>
        <v>0</v>
      </c>
      <c r="X41" s="19">
        <f>VLOOKUP($A41,'Onsite Role Distribution'!$B$13:$G$17,3,FALSE)</f>
        <v>0</v>
      </c>
      <c r="Y41" s="19">
        <f>VLOOKUP($A41,'Onsite Role Distribution'!$B$13:$G$17,3,FALSE)</f>
        <v>0</v>
      </c>
      <c r="Z41" s="19">
        <f>VLOOKUP($A41,'Onsite Role Distribution'!$B$13:$G$17,3,FALSE)</f>
        <v>0</v>
      </c>
      <c r="AA41" s="19">
        <f>VLOOKUP($A41,'Onsite Role Distribution'!$B$13:$G$17,3,FALSE)</f>
        <v>0</v>
      </c>
      <c r="AB41">
        <f>VLOOKUP($A41,'Onsite Role Distribution'!$B$13:$G$17,4,FALSE)</f>
        <v>0</v>
      </c>
      <c r="AC41">
        <f>VLOOKUP($A41,'Onsite Role Distribution'!$B$13:$G$17,4,FALSE)</f>
        <v>0</v>
      </c>
      <c r="AD41">
        <f>VLOOKUP($A41,'Onsite Role Distribution'!$B$13:$G$17,4,FALSE)</f>
        <v>0</v>
      </c>
      <c r="AE41">
        <f>VLOOKUP($A41,'Onsite Role Distribution'!$B$13:$G$17,4,FALSE)</f>
        <v>0</v>
      </c>
      <c r="AF41">
        <f>VLOOKUP($A41,'Onsite Role Distribution'!$B$13:$G$17,4,FALSE)</f>
        <v>0</v>
      </c>
      <c r="AG41">
        <f>VLOOKUP($A41,'Onsite Role Distribution'!$B$13:$G$17,4,FALSE)</f>
        <v>0</v>
      </c>
      <c r="AH41">
        <f>VLOOKUP($A41,'Onsite Role Distribution'!$B$13:$G$17,4,FALSE)</f>
        <v>0</v>
      </c>
      <c r="AI41">
        <f>VLOOKUP($A41,'Onsite Role Distribution'!$B$13:$G$17,4,FALSE)</f>
        <v>0</v>
      </c>
      <c r="AJ41">
        <f>VLOOKUP($A41,'Onsite Role Distribution'!$B$13:$G$17,4,FALSE)</f>
        <v>0</v>
      </c>
      <c r="AK41">
        <f>VLOOKUP($A41,'Onsite Role Distribution'!$B$13:$G$17,4,FALSE)</f>
        <v>0</v>
      </c>
      <c r="AL41">
        <f>VLOOKUP($A41,'Onsite Role Distribution'!$B$13:$G$17,4,FALSE)</f>
        <v>0</v>
      </c>
      <c r="AM41">
        <f>VLOOKUP($A41,'Onsite Role Distribution'!$B$13:$G$17,4,FALSE)</f>
        <v>0</v>
      </c>
      <c r="AN41">
        <f>VLOOKUP($A41,'Onsite Role Distribution'!$B$13:$G$17,5,FALSE)</f>
        <v>0</v>
      </c>
      <c r="AO41">
        <f>VLOOKUP($A41,'Onsite Role Distribution'!$B$13:$G$17,5,FALSE)</f>
        <v>0</v>
      </c>
      <c r="AP41">
        <f>VLOOKUP($A41,'Onsite Role Distribution'!$B$13:$G$17,5,FALSE)</f>
        <v>0</v>
      </c>
      <c r="AQ41">
        <f>VLOOKUP($A41,'Onsite Role Distribution'!$B$13:$G$17,5,FALSE)</f>
        <v>0</v>
      </c>
      <c r="AR41">
        <f>VLOOKUP($A41,'Onsite Role Distribution'!$B$13:$G$17,5,FALSE)</f>
        <v>0</v>
      </c>
      <c r="AS41">
        <f>VLOOKUP($A41,'Onsite Role Distribution'!$B$13:$G$17,5,FALSE)</f>
        <v>0</v>
      </c>
      <c r="AT41">
        <f>VLOOKUP($A41,'Onsite Role Distribution'!$B$13:$G$17,5,FALSE)</f>
        <v>0</v>
      </c>
      <c r="AU41">
        <f>VLOOKUP($A41,'Onsite Role Distribution'!$B$13:$G$17,5,FALSE)</f>
        <v>0</v>
      </c>
      <c r="AV41">
        <f>VLOOKUP($A41,'Onsite Role Distribution'!$B$13:$G$17,5,FALSE)</f>
        <v>0</v>
      </c>
      <c r="AW41">
        <f>VLOOKUP($A41,'Onsite Role Distribution'!$B$13:$G$17,5,FALSE)</f>
        <v>0</v>
      </c>
      <c r="AX41">
        <f>VLOOKUP($A41,'Onsite Role Distribution'!$B$13:$G$17,5,FALSE)</f>
        <v>0</v>
      </c>
      <c r="AY41">
        <f>VLOOKUP($A41,'Onsite Role Distribution'!$B$13:$G$17,5,FALSE)</f>
        <v>0</v>
      </c>
      <c r="AZ41" s="17">
        <v>0</v>
      </c>
      <c r="BA41">
        <f>VLOOKUP($A41,'Onsite Role Distribution'!$B$13:$G$17,6,FALSE)</f>
        <v>0</v>
      </c>
      <c r="BB41">
        <f>VLOOKUP($A41,'Onsite Role Distribution'!$B$13:$G$17,6,FALSE)</f>
        <v>0</v>
      </c>
      <c r="BC41">
        <f>VLOOKUP($A41,'Onsite Role Distribution'!$B$13:$G$17,6,FALSE)</f>
        <v>0</v>
      </c>
      <c r="BD41">
        <f>VLOOKUP($A41,'Onsite Role Distribution'!$B$13:$G$17,6,FALSE)</f>
        <v>0</v>
      </c>
      <c r="BE41">
        <f>VLOOKUP($A41,'Onsite Role Distribution'!$B$13:$G$17,6,FALSE)</f>
        <v>0</v>
      </c>
      <c r="BF41">
        <f>VLOOKUP($A41,'Onsite Role Distribution'!$B$13:$G$17,6,FALSE)</f>
        <v>0</v>
      </c>
      <c r="BG41">
        <f>VLOOKUP($A41,'Onsite Role Distribution'!$B$13:$G$17,6,FALSE)</f>
        <v>0</v>
      </c>
      <c r="BH41">
        <f>VLOOKUP($A41,'Onsite Role Distribution'!$B$13:$G$17,6,FALSE)</f>
        <v>0</v>
      </c>
      <c r="BI41">
        <f>VLOOKUP($A41,'Onsite Role Distribution'!$B$13:$G$17,6,FALSE)</f>
        <v>0</v>
      </c>
      <c r="BJ41">
        <f>VLOOKUP($A41,'Onsite Role Distribution'!$B$13:$G$17,6,FALSE)</f>
        <v>0</v>
      </c>
      <c r="BK41">
        <f>VLOOKUP($A41,'Onsite Role Distribution'!$B$13:$G$17,6,FALSE)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L36"/>
  <sheetViews>
    <sheetView zoomScale="104" zoomScaleNormal="104" workbookViewId="0">
      <selection activeCell="A2" sqref="A2:BL36"/>
    </sheetView>
  </sheetViews>
  <sheetFormatPr defaultColWidth="10.6328125" defaultRowHeight="14.5" x14ac:dyDescent="0.35"/>
  <cols>
    <col min="1" max="1" width="13.453125" customWidth="1"/>
    <col min="2" max="2" width="17.36328125" customWidth="1"/>
    <col min="3" max="3" width="21.6328125" customWidth="1"/>
  </cols>
  <sheetData>
    <row r="2" spans="1:64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20" t="s">
        <v>16</v>
      </c>
      <c r="R2" s="20" t="s">
        <v>17</v>
      </c>
      <c r="S2" s="20" t="s">
        <v>18</v>
      </c>
      <c r="T2" s="20" t="s">
        <v>19</v>
      </c>
      <c r="U2" s="20" t="s">
        <v>20</v>
      </c>
      <c r="V2" s="20" t="s">
        <v>21</v>
      </c>
      <c r="W2" s="20" t="s">
        <v>22</v>
      </c>
      <c r="X2" s="20" t="s">
        <v>23</v>
      </c>
      <c r="Y2" s="20" t="s">
        <v>24</v>
      </c>
      <c r="Z2" s="20" t="s">
        <v>25</v>
      </c>
      <c r="AA2" s="20" t="s">
        <v>26</v>
      </c>
      <c r="AB2" s="20" t="s">
        <v>27</v>
      </c>
      <c r="AC2" s="20" t="s">
        <v>28</v>
      </c>
      <c r="AD2" s="20" t="s">
        <v>29</v>
      </c>
      <c r="AE2" s="20" t="s">
        <v>30</v>
      </c>
      <c r="AF2" s="20" t="s">
        <v>31</v>
      </c>
      <c r="AG2" s="20" t="s">
        <v>32</v>
      </c>
      <c r="AH2" s="20" t="s">
        <v>33</v>
      </c>
      <c r="AI2" s="20" t="s">
        <v>34</v>
      </c>
      <c r="AJ2" s="20" t="s">
        <v>35</v>
      </c>
      <c r="AK2" s="20" t="s">
        <v>36</v>
      </c>
      <c r="AL2" s="20" t="s">
        <v>37</v>
      </c>
      <c r="AM2" s="20" t="s">
        <v>38</v>
      </c>
      <c r="AN2" s="20" t="s">
        <v>39</v>
      </c>
      <c r="AO2" s="20" t="s">
        <v>40</v>
      </c>
      <c r="AP2" s="20" t="s">
        <v>41</v>
      </c>
      <c r="AQ2" s="20" t="s">
        <v>42</v>
      </c>
      <c r="AR2" s="20" t="s">
        <v>43</v>
      </c>
      <c r="AS2" s="20" t="s">
        <v>44</v>
      </c>
      <c r="AT2" s="20" t="s">
        <v>45</v>
      </c>
      <c r="AU2" s="20" t="s">
        <v>46</v>
      </c>
      <c r="AV2" s="20" t="s">
        <v>47</v>
      </c>
      <c r="AW2" s="20" t="s">
        <v>48</v>
      </c>
      <c r="AX2" s="20" t="s">
        <v>49</v>
      </c>
      <c r="AY2" s="20" t="s">
        <v>50</v>
      </c>
      <c r="AZ2" s="20" t="s">
        <v>51</v>
      </c>
      <c r="BA2" s="20" t="s">
        <v>52</v>
      </c>
      <c r="BB2" s="20" t="s">
        <v>53</v>
      </c>
      <c r="BC2" s="20" t="s">
        <v>54</v>
      </c>
      <c r="BD2" s="20" t="s">
        <v>55</v>
      </c>
      <c r="BE2" s="20" t="s">
        <v>56</v>
      </c>
      <c r="BF2" s="20" t="s">
        <v>57</v>
      </c>
      <c r="BG2" s="20" t="s">
        <v>58</v>
      </c>
      <c r="BH2" s="20" t="s">
        <v>59</v>
      </c>
      <c r="BI2" s="20" t="s">
        <v>60</v>
      </c>
      <c r="BJ2" s="20" t="s">
        <v>61</v>
      </c>
      <c r="BK2" s="20" t="s">
        <v>62</v>
      </c>
      <c r="BL2" s="20" t="s">
        <v>63</v>
      </c>
    </row>
    <row r="3" spans="1:64" x14ac:dyDescent="0.35">
      <c r="A3" t="s">
        <v>64</v>
      </c>
      <c r="B3" t="s">
        <v>65</v>
      </c>
      <c r="C3" t="str">
        <f t="shared" ref="C3:C36" si="0">A3&amp;B3</f>
        <v>BSAIndia</v>
      </c>
      <c r="D3" t="s">
        <v>66</v>
      </c>
      <c r="E3">
        <f>ROUND(VLOOKUP($C3,RLS!$C$26:$O$31,2,FALSE)*'Unit Distribution'!$B$3,0)</f>
        <v>0</v>
      </c>
      <c r="F3">
        <f>ROUND(VLOOKUP($C3,RLS!$C$26:$O$31,3,FALSE)*'Unit Distribution'!$B$3,0)</f>
        <v>0</v>
      </c>
      <c r="G3">
        <f>ROUND(VLOOKUP($C3,RLS!$C$26:$O$31,4,FALSE)*'Unit Distribution'!$B$3,0)</f>
        <v>0</v>
      </c>
      <c r="H3">
        <f>ROUND(VLOOKUP($C3,RLS!$C$26:$O$31,5,FALSE)*'Unit Distribution'!$B$3,0)</f>
        <v>0</v>
      </c>
      <c r="I3">
        <f>ROUND(VLOOKUP($C3,RLS!$C$26:$O$31,6,FALSE)*'Unit Distribution'!$B$3,0)</f>
        <v>0</v>
      </c>
      <c r="J3">
        <f>ROUND(VLOOKUP($C3,RLS!$C$26:$O$31,7,FALSE)*'Unit Distribution'!$B$3,0)</f>
        <v>0</v>
      </c>
      <c r="K3">
        <f>ROUND(VLOOKUP($C3,RLS!$C$26:$O$31,8,FALSE)*'Unit Distribution'!$B$3,0)</f>
        <v>0</v>
      </c>
      <c r="L3">
        <f>ROUND(VLOOKUP($C3,RLS!$C$26:$O$31,9,FALSE)*'Unit Distribution'!$B$3,0)</f>
        <v>0</v>
      </c>
      <c r="M3">
        <f>ROUND(VLOOKUP($C3,RLS!$C$26:$O$31,10,FALSE)*'Unit Distribution'!$B$3,0)</f>
        <v>0</v>
      </c>
      <c r="N3">
        <f>ROUND(VLOOKUP($C3,RLS!$C$26:$O$31,11,FALSE)*'Unit Distribution'!$B$3,0)</f>
        <v>0</v>
      </c>
      <c r="O3">
        <f>ROUND(VLOOKUP($C3,RLS!$C$26:$O$31,12,FALSE)*'Unit Distribution'!$B$3,0)</f>
        <v>0</v>
      </c>
      <c r="P3">
        <f>ROUND(VLOOKUP($C3,RLS!$C$26:$O$31,13,FALSE)*'Unit Distribution'!$B$3,0)</f>
        <v>0</v>
      </c>
      <c r="Q3">
        <f>ROUND(VLOOKUP($C3,RLS!$C$26:$P$31,14,FALSE)*'Unit Distribution'!$C$3,0)</f>
        <v>1</v>
      </c>
      <c r="R3">
        <f>ROUND(VLOOKUP($C3,RLS!$C$26:$P$31,14,FALSE)*'Unit Distribution'!$C$3,0)</f>
        <v>1</v>
      </c>
      <c r="S3">
        <f>ROUND(VLOOKUP($C3,RLS!$C$26:$P$31,14,FALSE)*'Unit Distribution'!$C$3,0)</f>
        <v>1</v>
      </c>
      <c r="T3">
        <f>ROUND(VLOOKUP($C3,RLS!$C$26:$P$31,14,FALSE)*'Unit Distribution'!$C$3,0)</f>
        <v>1</v>
      </c>
      <c r="U3">
        <f>ROUND(VLOOKUP($C3,RLS!$C$26:$P$31,14,FALSE)*'Unit Distribution'!$C$3,0)</f>
        <v>1</v>
      </c>
      <c r="V3">
        <f>ROUND(VLOOKUP($C3,RLS!$C$26:$P$31,14,FALSE)*'Unit Distribution'!$C$3,0)</f>
        <v>1</v>
      </c>
      <c r="W3">
        <f>ROUND(VLOOKUP($C3,RLS!$C$26:$P$31,14,FALSE)*'Unit Distribution'!$C$3,0)</f>
        <v>1</v>
      </c>
      <c r="X3">
        <f>ROUND(VLOOKUP($C3,RLS!$C$26:$P$31,14,FALSE)*'Unit Distribution'!$C$3,0)</f>
        <v>1</v>
      </c>
      <c r="Y3">
        <f>ROUND(VLOOKUP($C3,RLS!$C$26:$P$31,14,FALSE)*'Unit Distribution'!$C$3,0)</f>
        <v>1</v>
      </c>
      <c r="Z3">
        <f>ROUND(VLOOKUP($C3,RLS!$C$26:$P$31,14,FALSE)*'Unit Distribution'!$C$3,0)</f>
        <v>1</v>
      </c>
      <c r="AA3">
        <f>ROUND(VLOOKUP($C3,RLS!$C$26:$P$31,14,FALSE)*'Unit Distribution'!$C$3,0)</f>
        <v>1</v>
      </c>
      <c r="AB3">
        <f>ROUND(VLOOKUP($C3,RLS!$C$26:$P$31,14,FALSE)*'Unit Distribution'!$C$3,0)</f>
        <v>1</v>
      </c>
      <c r="AC3">
        <f>ROUND(VLOOKUP($C3,RLS!$C$26:$AB$31,26,FALSE)*'Unit Distribution'!$D$3,0)</f>
        <v>1</v>
      </c>
      <c r="AD3">
        <f>ROUND(VLOOKUP($C3,RLS!$C$26:$AB$31,26,FALSE)*'Unit Distribution'!$D$3,0)</f>
        <v>1</v>
      </c>
      <c r="AE3">
        <f>ROUND(VLOOKUP($C3,RLS!$C$26:$AB$31,26,FALSE)*'Unit Distribution'!$D$3,0)</f>
        <v>1</v>
      </c>
      <c r="AF3">
        <f>ROUND(VLOOKUP($C3,RLS!$C$26:$AB$31,26,FALSE)*'Unit Distribution'!$D$3,0)</f>
        <v>1</v>
      </c>
      <c r="AG3">
        <f>ROUND(VLOOKUP($C3,RLS!$C$26:$AB$31,26,FALSE)*'Unit Distribution'!$D$3,0)</f>
        <v>1</v>
      </c>
      <c r="AH3">
        <f>ROUND(VLOOKUP($C3,RLS!$C$26:$AB$31,26,FALSE)*'Unit Distribution'!$D$3,0)</f>
        <v>1</v>
      </c>
      <c r="AI3">
        <f>ROUND(VLOOKUP($C3,RLS!$C$26:$AB$31,26,FALSE)*'Unit Distribution'!$D$3,0)</f>
        <v>1</v>
      </c>
      <c r="AJ3">
        <f>ROUND(VLOOKUP($C3,RLS!$C$26:$AB$31,26,FALSE)*'Unit Distribution'!$D$3,0)</f>
        <v>1</v>
      </c>
      <c r="AK3">
        <f>ROUND(VLOOKUP($C3,RLS!$C$26:$AB$31,26,FALSE)*'Unit Distribution'!$D$3,0)</f>
        <v>1</v>
      </c>
      <c r="AL3">
        <f>ROUND(VLOOKUP($C3,RLS!$C$26:$AB$31,26,FALSE)*'Unit Distribution'!$D$3,0)</f>
        <v>1</v>
      </c>
      <c r="AM3">
        <f>ROUND(VLOOKUP($C3,RLS!$C$26:$AB$31,26,FALSE)*'Unit Distribution'!$D$3,0)</f>
        <v>1</v>
      </c>
      <c r="AN3">
        <f>ROUND(VLOOKUP($C3,RLS!$C$26:$AB$31,26,FALSE)*'Unit Distribution'!$D$3,0)</f>
        <v>1</v>
      </c>
      <c r="AO3">
        <f>ROUNDDOWN(VLOOKUP($C3,RLS!$C$26:$AN$31,38,FALSE)*'Unit Distribution'!$E$3,0)</f>
        <v>0</v>
      </c>
      <c r="AP3">
        <f>ROUNDDOWN(VLOOKUP($C3,RLS!$C$26:$AN$31,38,FALSE)*'Unit Distribution'!$E$3,0)</f>
        <v>0</v>
      </c>
      <c r="AQ3">
        <f>ROUNDDOWN(VLOOKUP($C3,RLS!$C$26:$AN$31,38,FALSE)*'Unit Distribution'!$E$3,0)</f>
        <v>0</v>
      </c>
      <c r="AR3">
        <f>ROUNDDOWN(VLOOKUP($C3,RLS!$C$26:$AN$31,38,FALSE)*'Unit Distribution'!$E$3,0)</f>
        <v>0</v>
      </c>
      <c r="AS3">
        <f>ROUNDDOWN(VLOOKUP($C3,RLS!$C$26:$AN$31,38,FALSE)*'Unit Distribution'!$E$3,0)</f>
        <v>0</v>
      </c>
      <c r="AT3">
        <f>ROUNDDOWN(VLOOKUP($C3,RLS!$C$26:$AN$31,38,FALSE)*'Unit Distribution'!$E$3,0)</f>
        <v>0</v>
      </c>
      <c r="AU3">
        <f>ROUNDDOWN(VLOOKUP($C3,RLS!$C$26:$AN$31,38,FALSE)*'Unit Distribution'!$E$3,0)</f>
        <v>0</v>
      </c>
      <c r="AV3">
        <f>ROUNDDOWN(VLOOKUP($C3,RLS!$C$26:$AN$31,38,FALSE)*'Unit Distribution'!$E$3,0)</f>
        <v>0</v>
      </c>
      <c r="AW3">
        <f>ROUNDDOWN(VLOOKUP($C3,RLS!$C$26:$AN$31,38,FALSE)*'Unit Distribution'!$E$3,0)</f>
        <v>0</v>
      </c>
      <c r="AX3">
        <f>ROUNDDOWN(VLOOKUP($C3,RLS!$C$26:$AN$31,38,FALSE)*'Unit Distribution'!$E$3,0)</f>
        <v>0</v>
      </c>
      <c r="AY3">
        <f>ROUNDDOWN(VLOOKUP($C3,RLS!$C$26:$AN$31,38,FALSE)*'Unit Distribution'!$E$3,0)</f>
        <v>0</v>
      </c>
      <c r="AZ3">
        <f>ROUNDDOWN(VLOOKUP($C3,RLS!$C$26:$AN$31,38,FALSE)*'Unit Distribution'!$E$3,0)</f>
        <v>0</v>
      </c>
      <c r="BA3">
        <f>ROUND(VLOOKUP($C3,RLS!$C$26:$AZ$31,50,FALSE)*'Unit Distribution'!$F$3,0)</f>
        <v>1</v>
      </c>
      <c r="BB3">
        <f>ROUND(VLOOKUP($C3,RLS!$C$26:$AZ$31,50,FALSE)*'Unit Distribution'!$F$3,0)</f>
        <v>1</v>
      </c>
      <c r="BC3">
        <f>ROUND(VLOOKUP($C3,RLS!$C$26:$AZ$31,50,FALSE)*'Unit Distribution'!$F$3,0)</f>
        <v>1</v>
      </c>
      <c r="BD3">
        <f>ROUND(VLOOKUP($C3,RLS!$C$26:$AZ$31,50,FALSE)*'Unit Distribution'!$F$3,0)</f>
        <v>1</v>
      </c>
      <c r="BE3">
        <f>ROUND(VLOOKUP($C3,RLS!$C$26:$AZ$31,50,FALSE)*'Unit Distribution'!$F$3,0)</f>
        <v>1</v>
      </c>
      <c r="BF3">
        <f>ROUND(VLOOKUP($C3,RLS!$C$26:$AZ$31,50,FALSE)*'Unit Distribution'!$F$3,0)</f>
        <v>1</v>
      </c>
      <c r="BG3">
        <f>ROUND(VLOOKUP($C3,RLS!$C$26:$AZ$31,50,FALSE)*'Unit Distribution'!$F$3,0)</f>
        <v>1</v>
      </c>
      <c r="BH3">
        <f>ROUND(VLOOKUP($C3,RLS!$C$26:$AZ$31,50,FALSE)*'Unit Distribution'!$F$3,0)</f>
        <v>1</v>
      </c>
      <c r="BI3">
        <f>ROUND(VLOOKUP($C3,RLS!$C$26:$AZ$31,50,FALSE)*'Unit Distribution'!$F$3,0)</f>
        <v>1</v>
      </c>
      <c r="BJ3">
        <f>ROUND(VLOOKUP($C3,RLS!$C$26:$AZ$31,50,FALSE)*'Unit Distribution'!$F$3,0)</f>
        <v>1</v>
      </c>
      <c r="BK3">
        <f>ROUND(VLOOKUP($C3,RLS!$C$26:$AZ$31,50,FALSE)*'Unit Distribution'!$F$3,0)</f>
        <v>1</v>
      </c>
      <c r="BL3">
        <f>ROUND(VLOOKUP($C3,RLS!$C$26:$AZ$31,50,FALSE)*'Unit Distribution'!$F$3,0)</f>
        <v>1</v>
      </c>
    </row>
    <row r="4" spans="1:64" x14ac:dyDescent="0.35">
      <c r="A4" t="s">
        <v>64</v>
      </c>
      <c r="B4" t="s">
        <v>65</v>
      </c>
      <c r="C4" t="str">
        <f t="shared" si="0"/>
        <v>BSAIndia</v>
      </c>
      <c r="D4" t="s">
        <v>67</v>
      </c>
      <c r="E4">
        <f>ROUND(VLOOKUP($C4,RLS!$C$26:$O$31,2,FALSE)*'Unit Distribution'!$B$4,0)</f>
        <v>0</v>
      </c>
      <c r="F4">
        <f>ROUND(VLOOKUP($C4,RLS!$C$26:$O$31,3,FALSE)*'Unit Distribution'!$B$4,0)</f>
        <v>0</v>
      </c>
      <c r="G4">
        <f>ROUND(VLOOKUP($C4,RLS!$C$26:$O$31,4,FALSE)*'Unit Distribution'!$B$4,0)</f>
        <v>0</v>
      </c>
      <c r="H4">
        <f>ROUND(VLOOKUP($C4,RLS!$C$26:$O$31,5,FALSE)*'Unit Distribution'!$B$4,0)</f>
        <v>0</v>
      </c>
      <c r="I4">
        <f>ROUND(VLOOKUP($C4,RLS!$C$26:$O$31,6,FALSE)*'Unit Distribution'!$B$4,0)</f>
        <v>0</v>
      </c>
      <c r="J4">
        <f>ROUND(VLOOKUP($C4,RLS!$C$26:$O$31,7,FALSE)*'Unit Distribution'!$B$4,0)</f>
        <v>0</v>
      </c>
      <c r="K4">
        <f>ROUND(VLOOKUP($C4,RLS!$C$26:$O$31,8,FALSE)*'Unit Distribution'!$B$4,0)</f>
        <v>0</v>
      </c>
      <c r="L4">
        <f>ROUND(VLOOKUP($C4,RLS!$C$26:$O$31,9,FALSE)*'Unit Distribution'!$B$4,0)</f>
        <v>0</v>
      </c>
      <c r="M4">
        <f>ROUND(VLOOKUP($C4,RLS!$C$26:$O$31,10,FALSE)*'Unit Distribution'!$B$4,0)</f>
        <v>0</v>
      </c>
      <c r="N4">
        <f>ROUND(VLOOKUP($C4,RLS!$C$26:$O$31,11,FALSE)*'Unit Distribution'!$B$4,0)</f>
        <v>0</v>
      </c>
      <c r="O4">
        <f>ROUND(VLOOKUP($C4,RLS!$C$26:$O$31,12,FALSE)*'Unit Distribution'!$B$4,0)</f>
        <v>0</v>
      </c>
      <c r="P4">
        <f>ROUND(VLOOKUP($C4,RLS!$C$26:$O$31,13,FALSE)*'Unit Distribution'!$B$4,0)</f>
        <v>0</v>
      </c>
      <c r="Q4">
        <f>ROUND(VLOOKUP($C4,RLS!$C$26:$P$31,14,FALSE)*'Unit Distribution'!$C$4,0)</f>
        <v>1</v>
      </c>
      <c r="R4">
        <f>ROUND(VLOOKUP($C4,RLS!$C$26:$P$31,14,FALSE)*'Unit Distribution'!$C$4,0)</f>
        <v>1</v>
      </c>
      <c r="S4">
        <f>ROUND(VLOOKUP($C4,RLS!$C$26:$P$31,14,FALSE)*'Unit Distribution'!$C$4,0)</f>
        <v>1</v>
      </c>
      <c r="T4">
        <f>ROUND(VLOOKUP($C4,RLS!$C$26:$P$31,14,FALSE)*'Unit Distribution'!$C$4,0)</f>
        <v>1</v>
      </c>
      <c r="U4">
        <f>ROUND(VLOOKUP($C4,RLS!$C$26:$P$31,14,FALSE)*'Unit Distribution'!$C$4,0)</f>
        <v>1</v>
      </c>
      <c r="V4">
        <f>ROUND(VLOOKUP($C4,RLS!$C$26:$P$31,14,FALSE)*'Unit Distribution'!$C$4,0)</f>
        <v>1</v>
      </c>
      <c r="W4">
        <f>ROUND(VLOOKUP($C4,RLS!$C$26:$P$31,14,FALSE)*'Unit Distribution'!$C$4,0)</f>
        <v>1</v>
      </c>
      <c r="X4">
        <f>ROUND(VLOOKUP($C4,RLS!$C$26:$P$31,14,FALSE)*'Unit Distribution'!$C$4,0)</f>
        <v>1</v>
      </c>
      <c r="Y4">
        <f>ROUND(VLOOKUP($C4,RLS!$C$26:$P$31,14,FALSE)*'Unit Distribution'!$C$4,0)</f>
        <v>1</v>
      </c>
      <c r="Z4">
        <f>ROUND(VLOOKUP($C4,RLS!$C$26:$P$31,14,FALSE)*'Unit Distribution'!$C$4,0)</f>
        <v>1</v>
      </c>
      <c r="AA4">
        <f>ROUND(VLOOKUP($C4,RLS!$C$26:$P$31,14,FALSE)*'Unit Distribution'!$C$4,0)</f>
        <v>1</v>
      </c>
      <c r="AB4">
        <f>ROUND(VLOOKUP($C4,RLS!$C$26:$P$31,14,FALSE)*'Unit Distribution'!$C$4,0)</f>
        <v>1</v>
      </c>
      <c r="AC4">
        <f>VLOOKUP($C4,RLS!$C$26:$AB$31,26,FALSE)-AC3-AC5</f>
        <v>1</v>
      </c>
      <c r="AD4">
        <f>VLOOKUP($C4,RLS!$C$26:$AB$31,26,FALSE)-AD3-AD5</f>
        <v>1</v>
      </c>
      <c r="AE4">
        <f>VLOOKUP($C4,RLS!$C$26:$AB$31,26,FALSE)-AE3-AE5</f>
        <v>1</v>
      </c>
      <c r="AF4">
        <f>VLOOKUP($C4,RLS!$C$26:$AB$31,26,FALSE)-AF3-AF5</f>
        <v>1</v>
      </c>
      <c r="AG4">
        <f>VLOOKUP($C4,RLS!$C$26:$AB$31,26,FALSE)-AG3-AG5</f>
        <v>1</v>
      </c>
      <c r="AH4">
        <f>VLOOKUP($C4,RLS!$C$26:$AB$31,26,FALSE)-AH3-AH5</f>
        <v>1</v>
      </c>
      <c r="AI4">
        <f>VLOOKUP($C4,RLS!$C$26:$AB$31,26,FALSE)-AI3-AI5</f>
        <v>1</v>
      </c>
      <c r="AJ4">
        <f>VLOOKUP($C4,RLS!$C$26:$AB$31,26,FALSE)-AJ3-AJ5</f>
        <v>1</v>
      </c>
      <c r="AK4">
        <f>VLOOKUP($C4,RLS!$C$26:$AB$31,26,FALSE)-AK3-AK5</f>
        <v>1</v>
      </c>
      <c r="AL4">
        <f>VLOOKUP($C4,RLS!$C$26:$AB$31,26,FALSE)-AL3-AL5</f>
        <v>1</v>
      </c>
      <c r="AM4">
        <f>VLOOKUP($C4,RLS!$C$26:$AB$31,26,FALSE)-AM3-AM5</f>
        <v>1</v>
      </c>
      <c r="AN4">
        <f>VLOOKUP($C4,RLS!$C$26:$AB$31,26,FALSE)-AN3-AN5</f>
        <v>1</v>
      </c>
      <c r="AO4">
        <f>VLOOKUP($C4,RLS!$C$26:$AN$31,38,FALSE)-AO3-AO5</f>
        <v>1</v>
      </c>
      <c r="AP4">
        <f>VLOOKUP($C4,RLS!$C$26:$AN$31,38,FALSE)-AP3-AP5</f>
        <v>1</v>
      </c>
      <c r="AQ4">
        <f>VLOOKUP($C4,RLS!$C$26:$AN$31,38,FALSE)-AQ3-AQ5</f>
        <v>1</v>
      </c>
      <c r="AR4">
        <f>VLOOKUP($C4,RLS!$C$26:$AN$31,38,FALSE)-AR3-AR5</f>
        <v>1</v>
      </c>
      <c r="AS4">
        <f>VLOOKUP($C4,RLS!$C$26:$AN$31,38,FALSE)-AS3-AS5</f>
        <v>1</v>
      </c>
      <c r="AT4">
        <f>VLOOKUP($C4,RLS!$C$26:$AN$31,38,FALSE)-AT3-AT5</f>
        <v>1</v>
      </c>
      <c r="AU4">
        <f>VLOOKUP($C4,RLS!$C$26:$AN$31,38,FALSE)-AU3-AU5</f>
        <v>1</v>
      </c>
      <c r="AV4">
        <f>VLOOKUP($C4,RLS!$C$26:$AN$31,38,FALSE)-AV3-AV5</f>
        <v>1</v>
      </c>
      <c r="AW4">
        <f>VLOOKUP($C4,RLS!$C$26:$AN$31,38,FALSE)-AW3-AW5</f>
        <v>1</v>
      </c>
      <c r="AX4">
        <f>VLOOKUP($C4,RLS!$C$26:$AN$31,38,FALSE)-AX3-AX5</f>
        <v>1</v>
      </c>
      <c r="AY4">
        <f>VLOOKUP($C4,RLS!$C$26:$AN$31,38,FALSE)-AY3-AY5</f>
        <v>1</v>
      </c>
      <c r="AZ4">
        <f>VLOOKUP($C4,RLS!$C$26:$AN$31,38,FALSE)-AZ3-AZ5</f>
        <v>1</v>
      </c>
      <c r="BA4">
        <f>VLOOKUP($C4,RLS!$C$26:$AZ$31,50,FALSE)-BA3-BA5</f>
        <v>1</v>
      </c>
      <c r="BB4">
        <f>VLOOKUP($C4,RLS!$C$26:$AZ$31,50,FALSE)-BB3-BB5</f>
        <v>1</v>
      </c>
      <c r="BC4">
        <f>VLOOKUP($C4,RLS!$C$26:$AZ$31,50,FALSE)-BC3-BC5</f>
        <v>1</v>
      </c>
      <c r="BD4">
        <f>VLOOKUP($C4,RLS!$C$26:$AZ$31,50,FALSE)-BD3-BD5</f>
        <v>1</v>
      </c>
      <c r="BE4">
        <f>VLOOKUP($C4,RLS!$C$26:$AZ$31,50,FALSE)-BE3-BE5</f>
        <v>1</v>
      </c>
      <c r="BF4">
        <f>VLOOKUP($C4,RLS!$C$26:$AZ$31,50,FALSE)-BF3-BF5</f>
        <v>1</v>
      </c>
      <c r="BG4">
        <f>VLOOKUP($C4,RLS!$C$26:$AZ$31,50,FALSE)-BG3-BG5</f>
        <v>1</v>
      </c>
      <c r="BH4">
        <f>VLOOKUP($C4,RLS!$C$26:$AZ$31,50,FALSE)-BH3-BH5</f>
        <v>1</v>
      </c>
      <c r="BI4">
        <f>VLOOKUP($C4,RLS!$C$26:$AZ$31,50,FALSE)-BI3-BI5</f>
        <v>1</v>
      </c>
      <c r="BJ4">
        <f>VLOOKUP($C4,RLS!$C$26:$AZ$31,50,FALSE)-BJ3-BJ5</f>
        <v>1</v>
      </c>
      <c r="BK4">
        <f>VLOOKUP($C4,RLS!$C$26:$AZ$31,50,FALSE)-BK3-BK5</f>
        <v>1</v>
      </c>
      <c r="BL4">
        <f>VLOOKUP($C4,RLS!$C$26:$AZ$31,50,FALSE)-BL3-BL5</f>
        <v>1</v>
      </c>
    </row>
    <row r="5" spans="1:64" x14ac:dyDescent="0.35">
      <c r="A5" t="s">
        <v>64</v>
      </c>
      <c r="B5" t="s">
        <v>65</v>
      </c>
      <c r="C5" t="str">
        <f t="shared" si="0"/>
        <v>BSAIndia</v>
      </c>
      <c r="D5" t="s">
        <v>68</v>
      </c>
      <c r="E5">
        <f>VLOOKUP($C5,RLS!$C$26:$O$31,2,FALSE)-E3-E4</f>
        <v>1</v>
      </c>
      <c r="F5">
        <f>VLOOKUP($C5,RLS!$C$26:$O$31,3,FALSE)-F3-F4</f>
        <v>1</v>
      </c>
      <c r="G5">
        <f>VLOOKUP($C5,RLS!$C$26:$O$31,4,FALSE)-G3-G4</f>
        <v>1</v>
      </c>
      <c r="H5">
        <f>VLOOKUP($C5,RLS!$C$26:$O$31,5,FALSE)-H3-H4</f>
        <v>1</v>
      </c>
      <c r="I5">
        <f>VLOOKUP($C5,RLS!$C$26:$O$31,6,FALSE)-I3-I4</f>
        <v>1</v>
      </c>
      <c r="J5">
        <f>VLOOKUP($C5,RLS!$C$26:$O$31,7,FALSE)-J3-J4</f>
        <v>1</v>
      </c>
      <c r="K5">
        <f>VLOOKUP($C5,RLS!$C$26:$O$31,8,FALSE)-K3-K4</f>
        <v>1</v>
      </c>
      <c r="L5">
        <f>VLOOKUP($C5,RLS!$C$26:$O$31,9,FALSE)-L3-L4</f>
        <v>1</v>
      </c>
      <c r="M5">
        <f>VLOOKUP($C5,RLS!$C$26:$O$31,10,FALSE)-M3-M4</f>
        <v>1</v>
      </c>
      <c r="N5">
        <f>VLOOKUP($C5,RLS!$C$26:$O$31,11,FALSE)-N3-N4</f>
        <v>1</v>
      </c>
      <c r="O5">
        <f>VLOOKUP($C5,RLS!$C$26:$O$31,12,FALSE)-O3-O4</f>
        <v>1</v>
      </c>
      <c r="P5">
        <f>VLOOKUP($C5,RLS!$C$26:$O$31,13,FALSE)-P3-P4</f>
        <v>1</v>
      </c>
      <c r="Q5">
        <f>VLOOKUP($C5,RLS!$C$26:$P$31,14,FALSE)-Q3-Q4</f>
        <v>0</v>
      </c>
      <c r="R5">
        <f>VLOOKUP($C5,RLS!$C$26:$P$31,14,FALSE)-R3-R4</f>
        <v>0</v>
      </c>
      <c r="S5">
        <f>VLOOKUP($C5,RLS!$C$26:$P$31,14,FALSE)-S3-S4</f>
        <v>0</v>
      </c>
      <c r="T5">
        <f>VLOOKUP($C5,RLS!$C$26:$P$31,14,FALSE)-T3-T4</f>
        <v>0</v>
      </c>
      <c r="U5">
        <f>VLOOKUP($C5,RLS!$C$26:$P$31,14,FALSE)-U3-U4</f>
        <v>0</v>
      </c>
      <c r="V5">
        <f>VLOOKUP($C5,RLS!$C$26:$P$31,14,FALSE)-V3-V4</f>
        <v>0</v>
      </c>
      <c r="W5">
        <f>VLOOKUP($C5,RLS!$C$26:$P$31,14,FALSE)-W3-W4</f>
        <v>0</v>
      </c>
      <c r="X5">
        <f>VLOOKUP($C5,RLS!$C$26:$P$31,14,FALSE)-X3-X4</f>
        <v>0</v>
      </c>
      <c r="Y5">
        <f>VLOOKUP($C5,RLS!$C$26:$P$31,14,FALSE)-Y3-Y4</f>
        <v>0</v>
      </c>
      <c r="Z5">
        <f>VLOOKUP($C5,RLS!$C$26:$P$31,14,FALSE)-Z3-Z4</f>
        <v>0</v>
      </c>
      <c r="AA5">
        <f>VLOOKUP($C5,RLS!$C$26:$P$31,14,FALSE)-AA3-AA4</f>
        <v>0</v>
      </c>
      <c r="AB5">
        <f>VLOOKUP($C5,RLS!$C$26:$P$31,14,FALSE)-AB3-AB4</f>
        <v>0</v>
      </c>
      <c r="AC5">
        <f>ROUND(VLOOKUP($C5,RLS!$C$26:$AB$31,26,FALSE)*'Unit Distribution'!$D$5,0)</f>
        <v>0</v>
      </c>
      <c r="AD5">
        <f>ROUND(VLOOKUP($C5,RLS!$C$26:$AB$31,26,FALSE)*'Unit Distribution'!$D$5,0)</f>
        <v>0</v>
      </c>
      <c r="AE5">
        <f>ROUND(VLOOKUP($C5,RLS!$C$26:$AB$31,26,FALSE)*'Unit Distribution'!$D$5,0)</f>
        <v>0</v>
      </c>
      <c r="AF5">
        <f>ROUND(VLOOKUP($C5,RLS!$C$26:$AB$31,26,FALSE)*'Unit Distribution'!$D$5,0)</f>
        <v>0</v>
      </c>
      <c r="AG5">
        <f>ROUND(VLOOKUP($C5,RLS!$C$26:$AB$31,26,FALSE)*'Unit Distribution'!$D$5,0)</f>
        <v>0</v>
      </c>
      <c r="AH5">
        <f>ROUND(VLOOKUP($C5,RLS!$C$26:$AB$31,26,FALSE)*'Unit Distribution'!$D$5,0)</f>
        <v>0</v>
      </c>
      <c r="AI5">
        <f>ROUND(VLOOKUP($C5,RLS!$C$26:$AB$31,26,FALSE)*'Unit Distribution'!$D$5,0)</f>
        <v>0</v>
      </c>
      <c r="AJ5">
        <f>ROUND(VLOOKUP($C5,RLS!$C$26:$AB$31,26,FALSE)*'Unit Distribution'!$D$5,0)</f>
        <v>0</v>
      </c>
      <c r="AK5">
        <f>ROUND(VLOOKUP($C5,RLS!$C$26:$AB$31,26,FALSE)*'Unit Distribution'!$D$5,0)</f>
        <v>0</v>
      </c>
      <c r="AL5">
        <f>ROUND(VLOOKUP($C5,RLS!$C$26:$AB$31,26,FALSE)*'Unit Distribution'!$D$5,0)</f>
        <v>0</v>
      </c>
      <c r="AM5">
        <f>ROUND(VLOOKUP($C5,RLS!$C$26:$AB$31,26,FALSE)*'Unit Distribution'!$D$5,0)</f>
        <v>0</v>
      </c>
      <c r="AN5">
        <f>ROUND(VLOOKUP($C5,RLS!$C$26:$AB$31,26,FALSE)*'Unit Distribution'!$D$5,0)</f>
        <v>0</v>
      </c>
      <c r="AO5">
        <f>ROUND(VLOOKUP($C5,RLS!$C$26:$AN$31,38,FALSE)*'Unit Distribution'!$E$5,0)</f>
        <v>0</v>
      </c>
      <c r="AP5">
        <f>ROUND(VLOOKUP($C5,RLS!$C$26:$AN$31,38,FALSE)*'Unit Distribution'!$E$5,0)</f>
        <v>0</v>
      </c>
      <c r="AQ5">
        <f>ROUND(VLOOKUP($C5,RLS!$C$26:$AN$31,38,FALSE)*'Unit Distribution'!$E$5,0)</f>
        <v>0</v>
      </c>
      <c r="AR5">
        <f>ROUND(VLOOKUP($C5,RLS!$C$26:$AN$31,38,FALSE)*'Unit Distribution'!$E$5,0)</f>
        <v>0</v>
      </c>
      <c r="AS5">
        <f>ROUND(VLOOKUP($C5,RLS!$C$26:$AN$31,38,FALSE)*'Unit Distribution'!$E$5,0)</f>
        <v>0</v>
      </c>
      <c r="AT5">
        <f>ROUND(VLOOKUP($C5,RLS!$C$26:$AN$31,38,FALSE)*'Unit Distribution'!$E$5,0)</f>
        <v>0</v>
      </c>
      <c r="AU5">
        <f>ROUND(VLOOKUP($C5,RLS!$C$26:$AN$31,38,FALSE)*'Unit Distribution'!$E$5,0)</f>
        <v>0</v>
      </c>
      <c r="AV5">
        <f>ROUND(VLOOKUP($C5,RLS!$C$26:$AN$31,38,FALSE)*'Unit Distribution'!$E$5,0)</f>
        <v>0</v>
      </c>
      <c r="AW5">
        <f>ROUND(VLOOKUP($C5,RLS!$C$26:$AN$31,38,FALSE)*'Unit Distribution'!$E$5,0)</f>
        <v>0</v>
      </c>
      <c r="AX5">
        <f>ROUND(VLOOKUP($C5,RLS!$C$26:$AN$31,38,FALSE)*'Unit Distribution'!$E$5,0)</f>
        <v>0</v>
      </c>
      <c r="AY5">
        <f>ROUND(VLOOKUP($C5,RLS!$C$26:$AN$31,38,FALSE)*'Unit Distribution'!$E$5,0)</f>
        <v>0</v>
      </c>
      <c r="AZ5">
        <f>ROUND(VLOOKUP($C5,RLS!$C$26:$AN$31,38,FALSE)*'Unit Distribution'!$E$5,0)</f>
        <v>0</v>
      </c>
      <c r="BA5">
        <f>ROUND(VLOOKUP($C5,RLS!$C$26:$AZ$31,50,FALSE)*'Unit Distribution'!$F$5,0)</f>
        <v>0</v>
      </c>
      <c r="BB5">
        <f>ROUND(VLOOKUP($C5,RLS!$C$26:$AZ$31,50,FALSE)*'Unit Distribution'!$F$5,0)</f>
        <v>0</v>
      </c>
      <c r="BC5">
        <f>ROUND(VLOOKUP($C5,RLS!$C$26:$AZ$31,50,FALSE)*'Unit Distribution'!$F$5,0)</f>
        <v>0</v>
      </c>
      <c r="BD5">
        <f>ROUND(VLOOKUP($C5,RLS!$C$26:$AZ$31,50,FALSE)*'Unit Distribution'!$F$5,0)</f>
        <v>0</v>
      </c>
      <c r="BE5">
        <f>ROUND(VLOOKUP($C5,RLS!$C$26:$AZ$31,50,FALSE)*'Unit Distribution'!$F$5,0)</f>
        <v>0</v>
      </c>
      <c r="BF5">
        <f>ROUND(VLOOKUP($C5,RLS!$C$26:$AZ$31,50,FALSE)*'Unit Distribution'!$F$5,0)</f>
        <v>0</v>
      </c>
      <c r="BG5">
        <f>ROUND(VLOOKUP($C5,RLS!$C$26:$AZ$31,50,FALSE)*'Unit Distribution'!$F$5,0)</f>
        <v>0</v>
      </c>
      <c r="BH5">
        <f>ROUND(VLOOKUP($C5,RLS!$C$26:$AZ$31,50,FALSE)*'Unit Distribution'!$F$5,0)</f>
        <v>0</v>
      </c>
      <c r="BI5">
        <f>ROUND(VLOOKUP($C5,RLS!$C$26:$AZ$31,50,FALSE)*'Unit Distribution'!$F$5,0)</f>
        <v>0</v>
      </c>
      <c r="BJ5">
        <f>ROUND(VLOOKUP($C5,RLS!$C$26:$AZ$31,50,FALSE)*'Unit Distribution'!$F$5,0)</f>
        <v>0</v>
      </c>
      <c r="BK5">
        <f>ROUND(VLOOKUP($C5,RLS!$C$26:$AZ$31,50,FALSE)*'Unit Distribution'!$F$5,0)</f>
        <v>0</v>
      </c>
      <c r="BL5">
        <f>ROUND(VLOOKUP($C5,RLS!$C$26:$AZ$31,50,FALSE)*'Unit Distribution'!$F$5,0)</f>
        <v>0</v>
      </c>
    </row>
    <row r="6" spans="1:64" x14ac:dyDescent="0.35">
      <c r="A6" t="s">
        <v>69</v>
      </c>
      <c r="B6" t="s">
        <v>65</v>
      </c>
      <c r="C6" t="str">
        <f t="shared" si="0"/>
        <v>DevIndia</v>
      </c>
      <c r="D6" t="s">
        <v>66</v>
      </c>
      <c r="E6">
        <f>ROUND(VLOOKUP($C6,RLS!$C$26:$O$31,2,FALSE)*'Unit Distribution'!$B$3,0)</f>
        <v>1</v>
      </c>
      <c r="F6">
        <f>ROUND(VLOOKUP($C6,RLS!$C$26:$O$31,3,FALSE)*'Unit Distribution'!$B$3,0)</f>
        <v>1</v>
      </c>
      <c r="G6">
        <f>ROUND(VLOOKUP($C6,RLS!$C$26:$O$31,4,FALSE)*'Unit Distribution'!$B$3,0)</f>
        <v>1</v>
      </c>
      <c r="H6">
        <f>ROUND(VLOOKUP($C6,RLS!$C$26:$O$31,5,FALSE)*'Unit Distribution'!$B$3,0)</f>
        <v>1</v>
      </c>
      <c r="I6">
        <f>ROUND(VLOOKUP($C6,RLS!$C$26:$O$31,6,FALSE)*'Unit Distribution'!$B$3,0)</f>
        <v>1</v>
      </c>
      <c r="J6">
        <f>ROUND(VLOOKUP($C6,RLS!$C$26:$O$31,7,FALSE)*'Unit Distribution'!$B$3,0)</f>
        <v>1</v>
      </c>
      <c r="K6">
        <f>ROUND(VLOOKUP($C6,RLS!$C$26:$O$31,8,FALSE)*'Unit Distribution'!$B$3,0)</f>
        <v>1</v>
      </c>
      <c r="L6">
        <f>ROUND(VLOOKUP($C6,RLS!$C$26:$O$31,9,FALSE)*'Unit Distribution'!$B$3,0)</f>
        <v>1</v>
      </c>
      <c r="M6">
        <f>ROUND(VLOOKUP($C6,RLS!$C$26:$O$31,10,FALSE)*'Unit Distribution'!$B$3,0)</f>
        <v>1</v>
      </c>
      <c r="N6">
        <f>ROUND(VLOOKUP($C6,RLS!$C$26:$O$31,11,FALSE)*'Unit Distribution'!$B$3,0)</f>
        <v>1</v>
      </c>
      <c r="O6">
        <f>ROUND(VLOOKUP($C6,RLS!$C$26:$O$31,12,FALSE)*'Unit Distribution'!$B$3,0)</f>
        <v>1</v>
      </c>
      <c r="P6">
        <f>ROUND(VLOOKUP($C6,RLS!$C$26:$O$31,13,FALSE)*'Unit Distribution'!$B$3,0)</f>
        <v>1</v>
      </c>
      <c r="Q6">
        <f>ROUND(VLOOKUP($C6,RLS!$C$26:$P$31,14,FALSE)*'Unit Distribution'!$C$3,0)</f>
        <v>2</v>
      </c>
      <c r="R6">
        <f>ROUND(VLOOKUP($C6,RLS!$C$26:$P$31,14,FALSE)*'Unit Distribution'!$C$3,0)</f>
        <v>2</v>
      </c>
      <c r="S6">
        <f>ROUND(VLOOKUP($C6,RLS!$C$26:$P$31,14,FALSE)*'Unit Distribution'!$C$3,0)</f>
        <v>2</v>
      </c>
      <c r="T6">
        <f>ROUND(VLOOKUP($C6,RLS!$C$26:$P$31,14,FALSE)*'Unit Distribution'!$C$3,0)</f>
        <v>2</v>
      </c>
      <c r="U6">
        <f>ROUND(VLOOKUP($C6,RLS!$C$26:$P$31,14,FALSE)*'Unit Distribution'!$C$3,0)</f>
        <v>2</v>
      </c>
      <c r="V6">
        <f>ROUND(VLOOKUP($C6,RLS!$C$26:$P$31,14,FALSE)*'Unit Distribution'!$C$3,0)</f>
        <v>2</v>
      </c>
      <c r="W6">
        <f>ROUND(VLOOKUP($C6,RLS!$C$26:$P$31,14,FALSE)*'Unit Distribution'!$C$3,0)</f>
        <v>2</v>
      </c>
      <c r="X6">
        <f>ROUND(VLOOKUP($C6,RLS!$C$26:$P$31,14,FALSE)*'Unit Distribution'!$C$3,0)</f>
        <v>2</v>
      </c>
      <c r="Y6">
        <f>ROUND(VLOOKUP($C6,RLS!$C$26:$P$31,14,FALSE)*'Unit Distribution'!$C$3,0)</f>
        <v>2</v>
      </c>
      <c r="Z6">
        <f>ROUND(VLOOKUP($C6,RLS!$C$26:$P$31,14,FALSE)*'Unit Distribution'!$C$3,0)</f>
        <v>2</v>
      </c>
      <c r="AA6">
        <f>ROUND(VLOOKUP($C6,RLS!$C$26:$P$31,14,FALSE)*'Unit Distribution'!$C$3,0)</f>
        <v>2</v>
      </c>
      <c r="AB6">
        <f>ROUND(VLOOKUP($C6,RLS!$C$26:$P$31,14,FALSE)*'Unit Distribution'!$C$3,0)</f>
        <v>2</v>
      </c>
      <c r="AC6">
        <f>ROUND(VLOOKUP($C6,RLS!$C$26:$AB$31,26,FALSE)*'Unit Distribution'!$D$3,0)</f>
        <v>2</v>
      </c>
      <c r="AD6">
        <f>ROUND(VLOOKUP($C6,RLS!$C$26:$AB$31,26,FALSE)*'Unit Distribution'!$D$3,0)</f>
        <v>2</v>
      </c>
      <c r="AE6">
        <f>ROUND(VLOOKUP($C6,RLS!$C$26:$AB$31,26,FALSE)*'Unit Distribution'!$D$3,0)</f>
        <v>2</v>
      </c>
      <c r="AF6">
        <f>ROUND(VLOOKUP($C6,RLS!$C$26:$AB$31,26,FALSE)*'Unit Distribution'!$D$3,0)</f>
        <v>2</v>
      </c>
      <c r="AG6">
        <f>ROUND(VLOOKUP($C6,RLS!$C$26:$AB$31,26,FALSE)*'Unit Distribution'!$D$3,0)</f>
        <v>2</v>
      </c>
      <c r="AH6">
        <f>ROUND(VLOOKUP($C6,RLS!$C$26:$AB$31,26,FALSE)*'Unit Distribution'!$D$3,0)</f>
        <v>2</v>
      </c>
      <c r="AI6">
        <f>ROUND(VLOOKUP($C6,RLS!$C$26:$AB$31,26,FALSE)*'Unit Distribution'!$D$3,0)</f>
        <v>2</v>
      </c>
      <c r="AJ6">
        <f>ROUND(VLOOKUP($C6,RLS!$C$26:$AB$31,26,FALSE)*'Unit Distribution'!$D$3,0)</f>
        <v>2</v>
      </c>
      <c r="AK6">
        <f>ROUND(VLOOKUP($C6,RLS!$C$26:$AB$31,26,FALSE)*'Unit Distribution'!$D$3,0)</f>
        <v>2</v>
      </c>
      <c r="AL6">
        <f>ROUND(VLOOKUP($C6,RLS!$C$26:$AB$31,26,FALSE)*'Unit Distribution'!$D$3,0)</f>
        <v>2</v>
      </c>
      <c r="AM6">
        <f>ROUND(VLOOKUP($C6,RLS!$C$26:$AB$31,26,FALSE)*'Unit Distribution'!$D$3,0)</f>
        <v>2</v>
      </c>
      <c r="AN6">
        <f>ROUND(VLOOKUP($C6,RLS!$C$26:$AB$31,26,FALSE)*'Unit Distribution'!$D$3,0)</f>
        <v>2</v>
      </c>
      <c r="AO6">
        <f>ROUND(VLOOKUP($C6,RLS!$C$26:$AN$31,38,FALSE)*'Unit Distribution'!$E$3,0)</f>
        <v>3</v>
      </c>
      <c r="AP6">
        <f>ROUND(VLOOKUP($C6,RLS!$C$26:$AN$31,38,FALSE)*'Unit Distribution'!$E$3,0)</f>
        <v>3</v>
      </c>
      <c r="AQ6">
        <f>ROUND(VLOOKUP($C6,RLS!$C$26:$AN$31,38,FALSE)*'Unit Distribution'!$E$3,0)</f>
        <v>3</v>
      </c>
      <c r="AR6">
        <f>ROUND(VLOOKUP($C6,RLS!$C$26:$AN$31,38,FALSE)*'Unit Distribution'!$E$3,0)</f>
        <v>3</v>
      </c>
      <c r="AS6">
        <f>ROUND(VLOOKUP($C6,RLS!$C$26:$AN$31,38,FALSE)*'Unit Distribution'!$E$3,0)</f>
        <v>3</v>
      </c>
      <c r="AT6">
        <f>ROUND(VLOOKUP($C6,RLS!$C$26:$AN$31,38,FALSE)*'Unit Distribution'!$E$3,0)</f>
        <v>3</v>
      </c>
      <c r="AU6">
        <f>ROUND(VLOOKUP($C6,RLS!$C$26:$AN$31,38,FALSE)*'Unit Distribution'!$E$3,0)</f>
        <v>3</v>
      </c>
      <c r="AV6">
        <f>ROUND(VLOOKUP($C6,RLS!$C$26:$AN$31,38,FALSE)*'Unit Distribution'!$E$3,0)</f>
        <v>3</v>
      </c>
      <c r="AW6">
        <f>ROUND(VLOOKUP($C6,RLS!$C$26:$AN$31,38,FALSE)*'Unit Distribution'!$E$3,0)</f>
        <v>3</v>
      </c>
      <c r="AX6">
        <f>ROUND(VLOOKUP($C6,RLS!$C$26:$AN$31,38,FALSE)*'Unit Distribution'!$E$3,0)</f>
        <v>3</v>
      </c>
      <c r="AY6">
        <f>ROUND(VLOOKUP($C6,RLS!$C$26:$AN$31,38,FALSE)*'Unit Distribution'!$E$3,0)</f>
        <v>3</v>
      </c>
      <c r="AZ6">
        <f>ROUND(VLOOKUP($C6,RLS!$C$26:$AN$31,38,FALSE)*'Unit Distribution'!$E$3,0)</f>
        <v>3</v>
      </c>
      <c r="BA6">
        <f>ROUND(VLOOKUP($C6,RLS!$C$26:$AZ$31,50,FALSE)*'Unit Distribution'!$F$3,0)</f>
        <v>3</v>
      </c>
      <c r="BB6">
        <f>ROUND(VLOOKUP($C6,RLS!$C$26:$AZ$31,50,FALSE)*'Unit Distribution'!$F$3,0)</f>
        <v>3</v>
      </c>
      <c r="BC6">
        <f>ROUND(VLOOKUP($C6,RLS!$C$26:$AZ$31,50,FALSE)*'Unit Distribution'!$F$3,0)</f>
        <v>3</v>
      </c>
      <c r="BD6">
        <f>ROUND(VLOOKUP($C6,RLS!$C$26:$AZ$31,50,FALSE)*'Unit Distribution'!$F$3,0)</f>
        <v>3</v>
      </c>
      <c r="BE6">
        <f>ROUND(VLOOKUP($C6,RLS!$C$26:$AZ$31,50,FALSE)*'Unit Distribution'!$F$3,0)</f>
        <v>3</v>
      </c>
      <c r="BF6">
        <f>ROUND(VLOOKUP($C6,RLS!$C$26:$AZ$31,50,FALSE)*'Unit Distribution'!$F$3,0)</f>
        <v>3</v>
      </c>
      <c r="BG6">
        <f>ROUND(VLOOKUP($C6,RLS!$C$26:$AZ$31,50,FALSE)*'Unit Distribution'!$F$3,0)</f>
        <v>3</v>
      </c>
      <c r="BH6">
        <f>ROUND(VLOOKUP($C6,RLS!$C$26:$AZ$31,50,FALSE)*'Unit Distribution'!$F$3,0)</f>
        <v>3</v>
      </c>
      <c r="BI6">
        <f>ROUND(VLOOKUP($C6,RLS!$C$26:$AZ$31,50,FALSE)*'Unit Distribution'!$F$3,0)</f>
        <v>3</v>
      </c>
      <c r="BJ6">
        <f>ROUND(VLOOKUP($C6,RLS!$C$26:$AZ$31,50,FALSE)*'Unit Distribution'!$F$3,0)</f>
        <v>3</v>
      </c>
      <c r="BK6">
        <f>ROUND(VLOOKUP($C6,RLS!$C$26:$AZ$31,50,FALSE)*'Unit Distribution'!$F$3,0)</f>
        <v>3</v>
      </c>
      <c r="BL6">
        <f>ROUND(VLOOKUP($C6,RLS!$C$26:$AZ$31,50,FALSE)*'Unit Distribution'!$F$3,0)</f>
        <v>3</v>
      </c>
    </row>
    <row r="7" spans="1:64" x14ac:dyDescent="0.35">
      <c r="A7" t="s">
        <v>69</v>
      </c>
      <c r="B7" t="s">
        <v>65</v>
      </c>
      <c r="C7" t="str">
        <f t="shared" si="0"/>
        <v>DevIndia</v>
      </c>
      <c r="D7" t="s">
        <v>67</v>
      </c>
      <c r="E7">
        <f>ROUND(VLOOKUP($C7,RLS!$C$26:$O$31,2,FALSE)*'Unit Distribution'!$B$4,0)</f>
        <v>1</v>
      </c>
      <c r="F7">
        <f>ROUND(VLOOKUP($C7,RLS!$C$26:$O$31,3,FALSE)*'Unit Distribution'!$B$4,0)</f>
        <v>1</v>
      </c>
      <c r="G7">
        <f>ROUND(VLOOKUP($C7,RLS!$C$26:$O$31,4,FALSE)*'Unit Distribution'!$B$4,0)</f>
        <v>1</v>
      </c>
      <c r="H7">
        <f>ROUND(VLOOKUP($C7,RLS!$C$26:$O$31,5,FALSE)*'Unit Distribution'!$B$4,0)</f>
        <v>1</v>
      </c>
      <c r="I7">
        <f>ROUND(VLOOKUP($C7,RLS!$C$26:$O$31,6,FALSE)*'Unit Distribution'!$B$4,0)</f>
        <v>1</v>
      </c>
      <c r="J7">
        <f>ROUND(VLOOKUP($C7,RLS!$C$26:$O$31,7,FALSE)*'Unit Distribution'!$B$4,0)</f>
        <v>1</v>
      </c>
      <c r="K7">
        <f>ROUND(VLOOKUP($C7,RLS!$C$26:$O$31,8,FALSE)*'Unit Distribution'!$B$4,0)</f>
        <v>1</v>
      </c>
      <c r="L7">
        <f>ROUND(VLOOKUP($C7,RLS!$C$26:$O$31,9,FALSE)*'Unit Distribution'!$B$4,0)</f>
        <v>1</v>
      </c>
      <c r="M7">
        <f>ROUND(VLOOKUP($C7,RLS!$C$26:$O$31,10,FALSE)*'Unit Distribution'!$B$4,0)</f>
        <v>1</v>
      </c>
      <c r="N7">
        <f>ROUND(VLOOKUP($C7,RLS!$C$26:$O$31,11,FALSE)*'Unit Distribution'!$B$4,0)</f>
        <v>1</v>
      </c>
      <c r="O7">
        <f>ROUND(VLOOKUP($C7,RLS!$C$26:$O$31,12,FALSE)*'Unit Distribution'!$B$4,0)</f>
        <v>1</v>
      </c>
      <c r="P7">
        <f>ROUND(VLOOKUP($C7,RLS!$C$26:$O$31,13,FALSE)*'Unit Distribution'!$B$4,0)</f>
        <v>1</v>
      </c>
      <c r="Q7">
        <f>ROUND(VLOOKUP($C7,RLS!$C$26:$P$31,14,FALSE)*'Unit Distribution'!$C$4,0)</f>
        <v>2</v>
      </c>
      <c r="R7">
        <f>ROUND(VLOOKUP($C7,RLS!$C$26:$P$31,14,FALSE)*'Unit Distribution'!$C$4,0)</f>
        <v>2</v>
      </c>
      <c r="S7">
        <f>ROUND(VLOOKUP($C7,RLS!$C$26:$P$31,14,FALSE)*'Unit Distribution'!$C$4,0)</f>
        <v>2</v>
      </c>
      <c r="T7">
        <f>ROUND(VLOOKUP($C7,RLS!$C$26:$P$31,14,FALSE)*'Unit Distribution'!$C$4,0)</f>
        <v>2</v>
      </c>
      <c r="U7">
        <f>ROUND(VLOOKUP($C7,RLS!$C$26:$P$31,14,FALSE)*'Unit Distribution'!$C$4,0)</f>
        <v>2</v>
      </c>
      <c r="V7">
        <f>ROUND(VLOOKUP($C7,RLS!$C$26:$P$31,14,FALSE)*'Unit Distribution'!$C$4,0)</f>
        <v>2</v>
      </c>
      <c r="W7">
        <f>ROUND(VLOOKUP($C7,RLS!$C$26:$P$31,14,FALSE)*'Unit Distribution'!$C$4,0)</f>
        <v>2</v>
      </c>
      <c r="X7">
        <f>ROUND(VLOOKUP($C7,RLS!$C$26:$P$31,14,FALSE)*'Unit Distribution'!$C$4,0)</f>
        <v>2</v>
      </c>
      <c r="Y7">
        <f>ROUND(VLOOKUP($C7,RLS!$C$26:$P$31,14,FALSE)*'Unit Distribution'!$C$4,0)</f>
        <v>2</v>
      </c>
      <c r="Z7">
        <f>ROUND(VLOOKUP($C7,RLS!$C$26:$P$31,14,FALSE)*'Unit Distribution'!$C$4,0)</f>
        <v>2</v>
      </c>
      <c r="AA7">
        <f>ROUND(VLOOKUP($C7,RLS!$C$26:$P$31,14,FALSE)*'Unit Distribution'!$C$4,0)</f>
        <v>2</v>
      </c>
      <c r="AB7">
        <f>ROUND(VLOOKUP($C7,RLS!$C$26:$P$31,14,FALSE)*'Unit Distribution'!$C$4,0)</f>
        <v>2</v>
      </c>
      <c r="AC7">
        <f>VLOOKUP($C7,RLS!$C$26:$AB$31,26,FALSE)-AC6-AC8</f>
        <v>2</v>
      </c>
      <c r="AD7">
        <f>VLOOKUP($C7,RLS!$C$26:$AB$31,26,FALSE)-AD6-AD8</f>
        <v>2</v>
      </c>
      <c r="AE7">
        <f>VLOOKUP($C7,RLS!$C$26:$AB$31,26,FALSE)-AE6-AE8</f>
        <v>2</v>
      </c>
      <c r="AF7">
        <f>VLOOKUP($C7,RLS!$C$26:$AB$31,26,FALSE)-AF6-AF8</f>
        <v>2</v>
      </c>
      <c r="AG7">
        <f>VLOOKUP($C7,RLS!$C$26:$AB$31,26,FALSE)-AG6-AG8</f>
        <v>2</v>
      </c>
      <c r="AH7">
        <f>VLOOKUP($C7,RLS!$C$26:$AB$31,26,FALSE)-AH6-AH8</f>
        <v>2</v>
      </c>
      <c r="AI7">
        <f>VLOOKUP($C7,RLS!$C$26:$AB$31,26,FALSE)-AI6-AI8</f>
        <v>2</v>
      </c>
      <c r="AJ7">
        <f>VLOOKUP($C7,RLS!$C$26:$AB$31,26,FALSE)-AJ6-AJ8</f>
        <v>2</v>
      </c>
      <c r="AK7">
        <f>VLOOKUP($C7,RLS!$C$26:$AB$31,26,FALSE)-AK6-AK8</f>
        <v>2</v>
      </c>
      <c r="AL7">
        <f>VLOOKUP($C7,RLS!$C$26:$AB$31,26,FALSE)-AL6-AL8</f>
        <v>2</v>
      </c>
      <c r="AM7">
        <f>VLOOKUP($C7,RLS!$C$26:$AB$31,26,FALSE)-AM6-AM8</f>
        <v>2</v>
      </c>
      <c r="AN7">
        <f>VLOOKUP($C7,RLS!$C$26:$AB$31,26,FALSE)-AN6-AN8</f>
        <v>2</v>
      </c>
      <c r="AO7">
        <f>VLOOKUP($C7,RLS!$C$26:$AN$31,38,FALSE)-AO6-AO8</f>
        <v>2</v>
      </c>
      <c r="AP7">
        <f>VLOOKUP($C7,RLS!$C$26:$AN$31,38,FALSE)-AP6-AP8</f>
        <v>2</v>
      </c>
      <c r="AQ7">
        <f>VLOOKUP($C7,RLS!$C$26:$AN$31,38,FALSE)-AQ6-AQ8</f>
        <v>2</v>
      </c>
      <c r="AR7">
        <f>VLOOKUP($C7,RLS!$C$26:$AN$31,38,FALSE)-AR6-AR8</f>
        <v>2</v>
      </c>
      <c r="AS7">
        <f>VLOOKUP($C7,RLS!$C$26:$AN$31,38,FALSE)-AS6-AS8</f>
        <v>2</v>
      </c>
      <c r="AT7">
        <f>VLOOKUP($C7,RLS!$C$26:$AN$31,38,FALSE)-AT6-AT8</f>
        <v>2</v>
      </c>
      <c r="AU7">
        <f>VLOOKUP($C7,RLS!$C$26:$AN$31,38,FALSE)-AU6-AU8</f>
        <v>2</v>
      </c>
      <c r="AV7">
        <f>VLOOKUP($C7,RLS!$C$26:$AN$31,38,FALSE)-AV6-AV8</f>
        <v>2</v>
      </c>
      <c r="AW7">
        <f>VLOOKUP($C7,RLS!$C$26:$AN$31,38,FALSE)-AW6-AW8</f>
        <v>2</v>
      </c>
      <c r="AX7">
        <f>VLOOKUP($C7,RLS!$C$26:$AN$31,38,FALSE)-AX6-AX8</f>
        <v>2</v>
      </c>
      <c r="AY7">
        <f>VLOOKUP($C7,RLS!$C$26:$AN$31,38,FALSE)-AY6-AY8</f>
        <v>2</v>
      </c>
      <c r="AZ7">
        <f>VLOOKUP($C7,RLS!$C$26:$AN$31,38,FALSE)-AZ6-AZ8</f>
        <v>2</v>
      </c>
      <c r="BA7">
        <f>VLOOKUP($C7,RLS!$C$26:$AZ$31,50,FALSE)-BA6-BA8</f>
        <v>2</v>
      </c>
      <c r="BB7">
        <f>VLOOKUP($C7,RLS!$C$26:$AZ$31,50,FALSE)-BB6-BB8</f>
        <v>2</v>
      </c>
      <c r="BC7">
        <f>VLOOKUP($C7,RLS!$C$26:$AZ$31,50,FALSE)-BC6-BC8</f>
        <v>2</v>
      </c>
      <c r="BD7">
        <f>VLOOKUP($C7,RLS!$C$26:$AZ$31,50,FALSE)-BD6-BD8</f>
        <v>2</v>
      </c>
      <c r="BE7">
        <f>VLOOKUP($C7,RLS!$C$26:$AZ$31,50,FALSE)-BE6-BE8</f>
        <v>2</v>
      </c>
      <c r="BF7">
        <f>VLOOKUP($C7,RLS!$C$26:$AZ$31,50,FALSE)-BF6-BF8</f>
        <v>2</v>
      </c>
      <c r="BG7">
        <f>VLOOKUP($C7,RLS!$C$26:$AZ$31,50,FALSE)-BG6-BG8</f>
        <v>2</v>
      </c>
      <c r="BH7">
        <f>VLOOKUP($C7,RLS!$C$26:$AZ$31,50,FALSE)-BH6-BH8</f>
        <v>2</v>
      </c>
      <c r="BI7">
        <f>VLOOKUP($C7,RLS!$C$26:$AZ$31,50,FALSE)-BI6-BI8</f>
        <v>2</v>
      </c>
      <c r="BJ7">
        <f>VLOOKUP($C7,RLS!$C$26:$AZ$31,50,FALSE)-BJ6-BJ8</f>
        <v>2</v>
      </c>
      <c r="BK7">
        <f>VLOOKUP($C7,RLS!$C$26:$AZ$31,50,FALSE)-BK6-BK8</f>
        <v>2</v>
      </c>
      <c r="BL7">
        <f>VLOOKUP($C7,RLS!$C$26:$AZ$31,50,FALSE)-BL6-BL8</f>
        <v>2</v>
      </c>
    </row>
    <row r="8" spans="1:64" x14ac:dyDescent="0.35">
      <c r="A8" t="s">
        <v>69</v>
      </c>
      <c r="B8" t="s">
        <v>65</v>
      </c>
      <c r="C8" t="str">
        <f t="shared" si="0"/>
        <v>DevIndia</v>
      </c>
      <c r="D8" t="s">
        <v>68</v>
      </c>
      <c r="E8">
        <f>VLOOKUP($C8,RLS!$C$26:$O$31,2,FALSE)-E6-E7</f>
        <v>2</v>
      </c>
      <c r="F8">
        <f>VLOOKUP($C8,RLS!$C$26:$O$31,3,FALSE)-F6-F7</f>
        <v>2</v>
      </c>
      <c r="G8">
        <f>VLOOKUP($C8,RLS!$C$26:$O$31,4,FALSE)-G6-G7</f>
        <v>2</v>
      </c>
      <c r="H8">
        <f>VLOOKUP($C8,RLS!$C$26:$O$31,5,FALSE)-H6-H7</f>
        <v>2</v>
      </c>
      <c r="I8">
        <f>VLOOKUP($C8,RLS!$C$26:$O$31,6,FALSE)-I6-I7</f>
        <v>2</v>
      </c>
      <c r="J8">
        <f>VLOOKUP($C8,RLS!$C$26:$O$31,7,FALSE)-J6-J7</f>
        <v>2</v>
      </c>
      <c r="K8">
        <f>VLOOKUP($C8,RLS!$C$26:$O$31,8,FALSE)-K6-K7</f>
        <v>2</v>
      </c>
      <c r="L8">
        <f>VLOOKUP($C8,RLS!$C$26:$O$31,9,FALSE)-L6-L7</f>
        <v>2</v>
      </c>
      <c r="M8">
        <f>VLOOKUP($C8,RLS!$C$26:$O$31,10,FALSE)-M6-M7</f>
        <v>2</v>
      </c>
      <c r="N8">
        <f>VLOOKUP($C8,RLS!$C$26:$O$31,11,FALSE)-N6-N7</f>
        <v>2</v>
      </c>
      <c r="O8">
        <f>VLOOKUP($C8,RLS!$C$26:$O$31,12,FALSE)-O6-O7</f>
        <v>2</v>
      </c>
      <c r="P8">
        <f>VLOOKUP($C8,RLS!$C$26:$O$31,13,FALSE)-P6-P7</f>
        <v>2</v>
      </c>
      <c r="Q8">
        <f>VLOOKUP($C8,RLS!$C$26:$P$31,14,FALSE)-Q6-Q7</f>
        <v>1</v>
      </c>
      <c r="R8">
        <f>VLOOKUP($C8,RLS!$C$26:$P$31,14,FALSE)-R6-R7</f>
        <v>1</v>
      </c>
      <c r="S8">
        <f>VLOOKUP($C8,RLS!$C$26:$P$31,14,FALSE)-S6-S7</f>
        <v>1</v>
      </c>
      <c r="T8">
        <f>VLOOKUP($C8,RLS!$C$26:$P$31,14,FALSE)-T6-T7</f>
        <v>1</v>
      </c>
      <c r="U8">
        <f>VLOOKUP($C8,RLS!$C$26:$P$31,14,FALSE)-U6-U7</f>
        <v>1</v>
      </c>
      <c r="V8">
        <f>VLOOKUP($C8,RLS!$C$26:$P$31,14,FALSE)-V6-V7</f>
        <v>1</v>
      </c>
      <c r="W8">
        <f>VLOOKUP($C8,RLS!$C$26:$P$31,14,FALSE)-W6-W7</f>
        <v>1</v>
      </c>
      <c r="X8">
        <f>VLOOKUP($C8,RLS!$C$26:$P$31,14,FALSE)-X6-X7</f>
        <v>1</v>
      </c>
      <c r="Y8">
        <f>VLOOKUP($C8,RLS!$C$26:$P$31,14,FALSE)-Y6-Y7</f>
        <v>1</v>
      </c>
      <c r="Z8">
        <f>VLOOKUP($C8,RLS!$C$26:$P$31,14,FALSE)-Z6-Z7</f>
        <v>1</v>
      </c>
      <c r="AA8">
        <f>VLOOKUP($C8,RLS!$C$26:$P$31,14,FALSE)-AA6-AA7</f>
        <v>1</v>
      </c>
      <c r="AB8">
        <f>VLOOKUP($C8,RLS!$C$26:$P$31,14,FALSE)-AB6-AB7</f>
        <v>1</v>
      </c>
      <c r="AC8">
        <f>ROUND(VLOOKUP($C8,RLS!$C$26:$AB$31,26,FALSE)*'Unit Distribution'!$D$5,0)</f>
        <v>0</v>
      </c>
      <c r="AD8">
        <f>ROUND(VLOOKUP($C8,RLS!$C$26:$AB$31,26,FALSE)*'Unit Distribution'!$D$5,0)</f>
        <v>0</v>
      </c>
      <c r="AE8">
        <f>ROUND(VLOOKUP($C8,RLS!$C$26:$AB$31,26,FALSE)*'Unit Distribution'!$D$5,0)</f>
        <v>0</v>
      </c>
      <c r="AF8">
        <f>ROUND(VLOOKUP($C8,RLS!$C$26:$AB$31,26,FALSE)*'Unit Distribution'!$D$5,0)</f>
        <v>0</v>
      </c>
      <c r="AG8">
        <f>ROUND(VLOOKUP($C8,RLS!$C$26:$AB$31,26,FALSE)*'Unit Distribution'!$D$5,0)</f>
        <v>0</v>
      </c>
      <c r="AH8">
        <f>ROUND(VLOOKUP($C8,RLS!$C$26:$AB$31,26,FALSE)*'Unit Distribution'!$D$5,0)</f>
        <v>0</v>
      </c>
      <c r="AI8">
        <f>ROUND(VLOOKUP($C8,RLS!$C$26:$AB$31,26,FALSE)*'Unit Distribution'!$D$5,0)</f>
        <v>0</v>
      </c>
      <c r="AJ8">
        <f>ROUND(VLOOKUP($C8,RLS!$C$26:$AB$31,26,FALSE)*'Unit Distribution'!$D$5,0)</f>
        <v>0</v>
      </c>
      <c r="AK8">
        <f>ROUND(VLOOKUP($C8,RLS!$C$26:$AB$31,26,FALSE)*'Unit Distribution'!$D$5,0)</f>
        <v>0</v>
      </c>
      <c r="AL8">
        <f>ROUND(VLOOKUP($C8,RLS!$C$26:$AB$31,26,FALSE)*'Unit Distribution'!$D$5,0)</f>
        <v>0</v>
      </c>
      <c r="AM8">
        <f>ROUND(VLOOKUP($C8,RLS!$C$26:$AB$31,26,FALSE)*'Unit Distribution'!$D$5,0)</f>
        <v>0</v>
      </c>
      <c r="AN8">
        <f>ROUND(VLOOKUP($C8,RLS!$C$26:$AB$31,26,FALSE)*'Unit Distribution'!$D$5,0)</f>
        <v>0</v>
      </c>
      <c r="AO8">
        <f>ROUND(VLOOKUP($C8,RLS!$C$26:$AN$31,38,FALSE)*'Unit Distribution'!$E$5,0)</f>
        <v>0</v>
      </c>
      <c r="AP8">
        <f>ROUND(VLOOKUP($C8,RLS!$C$26:$AN$31,38,FALSE)*'Unit Distribution'!$E$5,0)</f>
        <v>0</v>
      </c>
      <c r="AQ8">
        <f>ROUND(VLOOKUP($C8,RLS!$C$26:$AN$31,38,FALSE)*'Unit Distribution'!$E$5,0)</f>
        <v>0</v>
      </c>
      <c r="AR8">
        <f>ROUND(VLOOKUP($C8,RLS!$C$26:$AN$31,38,FALSE)*'Unit Distribution'!$E$5,0)</f>
        <v>0</v>
      </c>
      <c r="AS8">
        <f>ROUND(VLOOKUP($C8,RLS!$C$26:$AN$31,38,FALSE)*'Unit Distribution'!$E$5,0)</f>
        <v>0</v>
      </c>
      <c r="AT8">
        <f>ROUND(VLOOKUP($C8,RLS!$C$26:$AN$31,38,FALSE)*'Unit Distribution'!$E$5,0)</f>
        <v>0</v>
      </c>
      <c r="AU8">
        <f>ROUND(VLOOKUP($C8,RLS!$C$26:$AN$31,38,FALSE)*'Unit Distribution'!$E$5,0)</f>
        <v>0</v>
      </c>
      <c r="AV8">
        <f>ROUND(VLOOKUP($C8,RLS!$C$26:$AN$31,38,FALSE)*'Unit Distribution'!$E$5,0)</f>
        <v>0</v>
      </c>
      <c r="AW8">
        <f>ROUND(VLOOKUP($C8,RLS!$C$26:$AN$31,38,FALSE)*'Unit Distribution'!$E$5,0)</f>
        <v>0</v>
      </c>
      <c r="AX8">
        <f>ROUND(VLOOKUP($C8,RLS!$C$26:$AN$31,38,FALSE)*'Unit Distribution'!$E$5,0)</f>
        <v>0</v>
      </c>
      <c r="AY8">
        <f>ROUND(VLOOKUP($C8,RLS!$C$26:$AN$31,38,FALSE)*'Unit Distribution'!$E$5,0)</f>
        <v>0</v>
      </c>
      <c r="AZ8">
        <f>ROUND(VLOOKUP($C8,RLS!$C$26:$AN$31,38,FALSE)*'Unit Distribution'!$E$5,0)</f>
        <v>0</v>
      </c>
      <c r="BA8">
        <f>ROUND(VLOOKUP($C8,RLS!$C$26:$AZ$31,50,FALSE)*'Unit Distribution'!$F$5,0)</f>
        <v>0</v>
      </c>
      <c r="BB8">
        <f>ROUND(VLOOKUP($C8,RLS!$C$26:$AZ$31,50,FALSE)*'Unit Distribution'!$F$5,0)</f>
        <v>0</v>
      </c>
      <c r="BC8">
        <f>ROUND(VLOOKUP($C8,RLS!$C$26:$AZ$31,50,FALSE)*'Unit Distribution'!$F$5,0)</f>
        <v>0</v>
      </c>
      <c r="BD8">
        <f>ROUND(VLOOKUP($C8,RLS!$C$26:$AZ$31,50,FALSE)*'Unit Distribution'!$F$5,0)</f>
        <v>0</v>
      </c>
      <c r="BE8">
        <f>ROUND(VLOOKUP($C8,RLS!$C$26:$AZ$31,50,FALSE)*'Unit Distribution'!$F$5,0)</f>
        <v>0</v>
      </c>
      <c r="BF8">
        <f>ROUND(VLOOKUP($C8,RLS!$C$26:$AZ$31,50,FALSE)*'Unit Distribution'!$F$5,0)</f>
        <v>0</v>
      </c>
      <c r="BG8">
        <f>ROUND(VLOOKUP($C8,RLS!$C$26:$AZ$31,50,FALSE)*'Unit Distribution'!$F$5,0)</f>
        <v>0</v>
      </c>
      <c r="BH8">
        <f>ROUND(VLOOKUP($C8,RLS!$C$26:$AZ$31,50,FALSE)*'Unit Distribution'!$F$5,0)</f>
        <v>0</v>
      </c>
      <c r="BI8">
        <f>ROUND(VLOOKUP($C8,RLS!$C$26:$AZ$31,50,FALSE)*'Unit Distribution'!$F$5,0)</f>
        <v>0</v>
      </c>
      <c r="BJ8">
        <f>ROUND(VLOOKUP($C8,RLS!$C$26:$AZ$31,50,FALSE)*'Unit Distribution'!$F$5,0)</f>
        <v>0</v>
      </c>
      <c r="BK8">
        <f>ROUND(VLOOKUP($C8,RLS!$C$26:$AZ$31,50,FALSE)*'Unit Distribution'!$F$5,0)</f>
        <v>0</v>
      </c>
      <c r="BL8">
        <f>ROUND(VLOOKUP($C8,RLS!$C$26:$AZ$31,50,FALSE)*'Unit Distribution'!$F$5,0)</f>
        <v>0</v>
      </c>
    </row>
    <row r="9" spans="1:64" x14ac:dyDescent="0.35">
      <c r="A9" t="s">
        <v>70</v>
      </c>
      <c r="B9" t="s">
        <v>65</v>
      </c>
      <c r="C9" t="str">
        <f t="shared" si="0"/>
        <v>TesterIndia</v>
      </c>
      <c r="D9" t="s">
        <v>66</v>
      </c>
      <c r="E9">
        <f>ROUND(VLOOKUP($C9,RLS!$C$26:$O$31,2,FALSE)*'Unit Distribution'!$B$3,0)</f>
        <v>1</v>
      </c>
      <c r="F9">
        <f>ROUND(VLOOKUP($C9,RLS!$C$26:$O$31,3,FALSE)*'Unit Distribution'!$B$3,0)</f>
        <v>1</v>
      </c>
      <c r="G9">
        <f>ROUND(VLOOKUP($C9,RLS!$C$26:$O$31,4,FALSE)*'Unit Distribution'!$B$3,0)</f>
        <v>1</v>
      </c>
      <c r="H9">
        <f>ROUND(VLOOKUP($C9,RLS!$C$26:$O$31,5,FALSE)*'Unit Distribution'!$B$3,0)</f>
        <v>1</v>
      </c>
      <c r="I9">
        <f>ROUND(VLOOKUP($C9,RLS!$C$26:$O$31,6,FALSE)*'Unit Distribution'!$B$3,0)</f>
        <v>1</v>
      </c>
      <c r="J9">
        <f>ROUND(VLOOKUP($C9,RLS!$C$26:$O$31,7,FALSE)*'Unit Distribution'!$B$3,0)</f>
        <v>1</v>
      </c>
      <c r="K9">
        <f>ROUND(VLOOKUP($C9,RLS!$C$26:$O$31,8,FALSE)*'Unit Distribution'!$B$3,0)</f>
        <v>1</v>
      </c>
      <c r="L9">
        <f>ROUND(VLOOKUP($C9,RLS!$C$26:$O$31,9,FALSE)*'Unit Distribution'!$B$3,0)</f>
        <v>1</v>
      </c>
      <c r="M9">
        <f>ROUND(VLOOKUP($C9,RLS!$C$26:$O$31,10,FALSE)*'Unit Distribution'!$B$3,0)</f>
        <v>1</v>
      </c>
      <c r="N9">
        <f>ROUND(VLOOKUP($C9,RLS!$C$26:$O$31,11,FALSE)*'Unit Distribution'!$B$3,0)</f>
        <v>1</v>
      </c>
      <c r="O9">
        <f>ROUND(VLOOKUP($C9,RLS!$C$26:$O$31,12,FALSE)*'Unit Distribution'!$B$3,0)</f>
        <v>1</v>
      </c>
      <c r="P9">
        <f>ROUND(VLOOKUP($C9,RLS!$C$26:$O$31,13,FALSE)*'Unit Distribution'!$B$3,0)</f>
        <v>1</v>
      </c>
      <c r="Q9">
        <f>ROUND(VLOOKUP($C9,RLS!$C$26:$P$31,14,FALSE)*'Unit Distribution'!$C$3,0)</f>
        <v>1</v>
      </c>
      <c r="R9">
        <f>ROUND(VLOOKUP($C9,RLS!$C$26:$P$31,14,FALSE)*'Unit Distribution'!$C$3,0)</f>
        <v>1</v>
      </c>
      <c r="S9">
        <f>ROUND(VLOOKUP($C9,RLS!$C$26:$P$31,14,FALSE)*'Unit Distribution'!$C$3,0)</f>
        <v>1</v>
      </c>
      <c r="T9">
        <f>ROUND(VLOOKUP($C9,RLS!$C$26:$P$31,14,FALSE)*'Unit Distribution'!$C$3,0)</f>
        <v>1</v>
      </c>
      <c r="U9">
        <f>ROUND(VLOOKUP($C9,RLS!$C$26:$P$31,14,FALSE)*'Unit Distribution'!$C$3,0)</f>
        <v>1</v>
      </c>
      <c r="V9">
        <f>ROUND(VLOOKUP($C9,RLS!$C$26:$P$31,14,FALSE)*'Unit Distribution'!$C$3,0)</f>
        <v>1</v>
      </c>
      <c r="W9">
        <f>ROUND(VLOOKUP($C9,RLS!$C$26:$P$31,14,FALSE)*'Unit Distribution'!$C$3,0)</f>
        <v>1</v>
      </c>
      <c r="X9">
        <f>ROUND(VLOOKUP($C9,RLS!$C$26:$P$31,14,FALSE)*'Unit Distribution'!$C$3,0)</f>
        <v>1</v>
      </c>
      <c r="Y9">
        <f>ROUND(VLOOKUP($C9,RLS!$C$26:$P$31,14,FALSE)*'Unit Distribution'!$C$3,0)</f>
        <v>1</v>
      </c>
      <c r="Z9">
        <f>ROUND(VLOOKUP($C9,RLS!$C$26:$P$31,14,FALSE)*'Unit Distribution'!$C$3,0)</f>
        <v>1</v>
      </c>
      <c r="AA9">
        <f>ROUND(VLOOKUP($C9,RLS!$C$26:$P$31,14,FALSE)*'Unit Distribution'!$C$3,0)</f>
        <v>1</v>
      </c>
      <c r="AB9">
        <f>ROUND(VLOOKUP($C9,RLS!$C$26:$P$31,14,FALSE)*'Unit Distribution'!$C$3,0)</f>
        <v>1</v>
      </c>
      <c r="AC9">
        <f>ROUND(VLOOKUP($C9,RLS!$C$26:$AB$31,26,FALSE)*'Unit Distribution'!$D$3,0)</f>
        <v>2</v>
      </c>
      <c r="AD9">
        <f>ROUND(VLOOKUP($C9,RLS!$C$26:$AB$31,26,FALSE)*'Unit Distribution'!$D$3,0)</f>
        <v>2</v>
      </c>
      <c r="AE9">
        <f>ROUND(VLOOKUP($C9,RLS!$C$26:$AB$31,26,FALSE)*'Unit Distribution'!$D$3,0)</f>
        <v>2</v>
      </c>
      <c r="AF9">
        <f>ROUND(VLOOKUP($C9,RLS!$C$26:$AB$31,26,FALSE)*'Unit Distribution'!$D$3,0)</f>
        <v>2</v>
      </c>
      <c r="AG9">
        <f>ROUND(VLOOKUP($C9,RLS!$C$26:$AB$31,26,FALSE)*'Unit Distribution'!$D$3,0)</f>
        <v>2</v>
      </c>
      <c r="AH9">
        <f>ROUND(VLOOKUP($C9,RLS!$C$26:$AB$31,26,FALSE)*'Unit Distribution'!$D$3,0)</f>
        <v>2</v>
      </c>
      <c r="AI9">
        <f>ROUND(VLOOKUP($C9,RLS!$C$26:$AB$31,26,FALSE)*'Unit Distribution'!$D$3,0)</f>
        <v>2</v>
      </c>
      <c r="AJ9">
        <f>ROUND(VLOOKUP($C9,RLS!$C$26:$AB$31,26,FALSE)*'Unit Distribution'!$D$3,0)</f>
        <v>2</v>
      </c>
      <c r="AK9">
        <f>ROUND(VLOOKUP($C9,RLS!$C$26:$AB$31,26,FALSE)*'Unit Distribution'!$D$3,0)</f>
        <v>2</v>
      </c>
      <c r="AL9">
        <f>ROUND(VLOOKUP($C9,RLS!$C$26:$AB$31,26,FALSE)*'Unit Distribution'!$D$3,0)</f>
        <v>2</v>
      </c>
      <c r="AM9">
        <f>ROUND(VLOOKUP($C9,RLS!$C$26:$AB$31,26,FALSE)*'Unit Distribution'!$D$3,0)</f>
        <v>2</v>
      </c>
      <c r="AN9">
        <f>ROUND(VLOOKUP($C9,RLS!$C$26:$AB$31,26,FALSE)*'Unit Distribution'!$D$3,0)</f>
        <v>2</v>
      </c>
      <c r="AO9">
        <f>ROUND(VLOOKUP($C9,RLS!$C$26:$AN$31,38,FALSE)*'Unit Distribution'!$E$3,0)</f>
        <v>2</v>
      </c>
      <c r="AP9">
        <f>ROUND(VLOOKUP($C9,RLS!$C$26:$AN$31,38,FALSE)*'Unit Distribution'!$E$3,0)</f>
        <v>2</v>
      </c>
      <c r="AQ9">
        <f>ROUND(VLOOKUP($C9,RLS!$C$26:$AN$31,38,FALSE)*'Unit Distribution'!$E$3,0)</f>
        <v>2</v>
      </c>
      <c r="AR9">
        <f>ROUND(VLOOKUP($C9,RLS!$C$26:$AN$31,38,FALSE)*'Unit Distribution'!$E$3,0)</f>
        <v>2</v>
      </c>
      <c r="AS9">
        <f>ROUND(VLOOKUP($C9,RLS!$C$26:$AN$31,38,FALSE)*'Unit Distribution'!$E$3,0)</f>
        <v>2</v>
      </c>
      <c r="AT9">
        <f>ROUND(VLOOKUP($C9,RLS!$C$26:$AN$31,38,FALSE)*'Unit Distribution'!$E$3,0)</f>
        <v>2</v>
      </c>
      <c r="AU9">
        <f>ROUND(VLOOKUP($C9,RLS!$C$26:$AN$31,38,FALSE)*'Unit Distribution'!$E$3,0)</f>
        <v>2</v>
      </c>
      <c r="AV9">
        <f>ROUND(VLOOKUP($C9,RLS!$C$26:$AN$31,38,FALSE)*'Unit Distribution'!$E$3,0)</f>
        <v>2</v>
      </c>
      <c r="AW9">
        <f>ROUND(VLOOKUP($C9,RLS!$C$26:$AN$31,38,FALSE)*'Unit Distribution'!$E$3,0)</f>
        <v>2</v>
      </c>
      <c r="AX9">
        <f>ROUND(VLOOKUP($C9,RLS!$C$26:$AN$31,38,FALSE)*'Unit Distribution'!$E$3,0)</f>
        <v>2</v>
      </c>
      <c r="AY9">
        <f>ROUND(VLOOKUP($C9,RLS!$C$26:$AN$31,38,FALSE)*'Unit Distribution'!$E$3,0)</f>
        <v>2</v>
      </c>
      <c r="AZ9">
        <f>ROUND(VLOOKUP($C9,RLS!$C$26:$AN$31,38,FALSE)*'Unit Distribution'!$E$3,0)</f>
        <v>2</v>
      </c>
      <c r="BA9">
        <f>ROUNDDOWN(VLOOKUP($C9,RLS!$C$26:$AZ$31,50,FALSE)*'Unit Distribution'!$F$3,0)</f>
        <v>1</v>
      </c>
      <c r="BB9">
        <f>ROUNDDOWN(VLOOKUP($C9,RLS!$C$26:$AZ$31,50,FALSE)*'Unit Distribution'!$F$3,0)</f>
        <v>1</v>
      </c>
      <c r="BC9">
        <f>ROUNDDOWN(VLOOKUP($C9,RLS!$C$26:$AZ$31,50,FALSE)*'Unit Distribution'!$F$3,0)</f>
        <v>1</v>
      </c>
      <c r="BD9">
        <f>ROUNDDOWN(VLOOKUP($C9,RLS!$C$26:$AZ$31,50,FALSE)*'Unit Distribution'!$F$3,0)</f>
        <v>1</v>
      </c>
      <c r="BE9">
        <f>ROUNDDOWN(VLOOKUP($C9,RLS!$C$26:$AZ$31,50,FALSE)*'Unit Distribution'!$F$3,0)</f>
        <v>1</v>
      </c>
      <c r="BF9">
        <f>ROUNDDOWN(VLOOKUP($C9,RLS!$C$26:$AZ$31,50,FALSE)*'Unit Distribution'!$F$3,0)</f>
        <v>1</v>
      </c>
      <c r="BG9">
        <f>ROUNDDOWN(VLOOKUP($C9,RLS!$C$26:$AZ$31,50,FALSE)*'Unit Distribution'!$F$3,0)</f>
        <v>1</v>
      </c>
      <c r="BH9">
        <f>ROUNDDOWN(VLOOKUP($C9,RLS!$C$26:$AZ$31,50,FALSE)*'Unit Distribution'!$F$3,0)</f>
        <v>1</v>
      </c>
      <c r="BI9">
        <f>ROUNDDOWN(VLOOKUP($C9,RLS!$C$26:$AZ$31,50,FALSE)*'Unit Distribution'!$F$3,0)</f>
        <v>1</v>
      </c>
      <c r="BJ9">
        <f>ROUNDDOWN(VLOOKUP($C9,RLS!$C$26:$AZ$31,50,FALSE)*'Unit Distribution'!$F$3,0)</f>
        <v>1</v>
      </c>
      <c r="BK9">
        <f>ROUNDDOWN(VLOOKUP($C9,RLS!$C$26:$AZ$31,50,FALSE)*'Unit Distribution'!$F$3,0)</f>
        <v>1</v>
      </c>
      <c r="BL9">
        <f>ROUNDDOWN(VLOOKUP($C9,RLS!$C$26:$AZ$31,50,FALSE)*'Unit Distribution'!$F$3,0)</f>
        <v>1</v>
      </c>
    </row>
    <row r="10" spans="1:64" x14ac:dyDescent="0.35">
      <c r="A10" t="s">
        <v>70</v>
      </c>
      <c r="B10" t="s">
        <v>65</v>
      </c>
      <c r="C10" t="str">
        <f t="shared" si="0"/>
        <v>TesterIndia</v>
      </c>
      <c r="D10" t="s">
        <v>67</v>
      </c>
      <c r="E10">
        <f>ROUND(VLOOKUP($C10,RLS!$C$26:$O$31,2,FALSE)*'Unit Distribution'!$B$4,0)</f>
        <v>1</v>
      </c>
      <c r="F10">
        <f>ROUND(VLOOKUP($C10,RLS!$C$26:$O$31,3,FALSE)*'Unit Distribution'!$B$4,0)</f>
        <v>1</v>
      </c>
      <c r="G10">
        <f>ROUND(VLOOKUP($C10,RLS!$C$26:$O$31,4,FALSE)*'Unit Distribution'!$B$4,0)</f>
        <v>1</v>
      </c>
      <c r="H10">
        <f>ROUND(VLOOKUP($C10,RLS!$C$26:$O$31,5,FALSE)*'Unit Distribution'!$B$4,0)</f>
        <v>1</v>
      </c>
      <c r="I10">
        <f>ROUND(VLOOKUP($C10,RLS!$C$26:$O$31,6,FALSE)*'Unit Distribution'!$B$4,0)</f>
        <v>1</v>
      </c>
      <c r="J10">
        <f>ROUND(VLOOKUP($C10,RLS!$C$26:$O$31,7,FALSE)*'Unit Distribution'!$B$4,0)</f>
        <v>1</v>
      </c>
      <c r="K10">
        <f>ROUND(VLOOKUP($C10,RLS!$C$26:$O$31,8,FALSE)*'Unit Distribution'!$B$4,0)</f>
        <v>1</v>
      </c>
      <c r="L10">
        <f>ROUND(VLOOKUP($C10,RLS!$C$26:$O$31,9,FALSE)*'Unit Distribution'!$B$4,0)</f>
        <v>1</v>
      </c>
      <c r="M10">
        <f>ROUND(VLOOKUP($C10,RLS!$C$26:$O$31,10,FALSE)*'Unit Distribution'!$B$4,0)</f>
        <v>1</v>
      </c>
      <c r="N10">
        <f>ROUND(VLOOKUP($C10,RLS!$C$26:$O$31,11,FALSE)*'Unit Distribution'!$B$4,0)</f>
        <v>1</v>
      </c>
      <c r="O10">
        <f>ROUND(VLOOKUP($C10,RLS!$C$26:$O$31,12,FALSE)*'Unit Distribution'!$B$4,0)</f>
        <v>1</v>
      </c>
      <c r="P10">
        <f>ROUND(VLOOKUP($C10,RLS!$C$26:$O$31,13,FALSE)*'Unit Distribution'!$B$4,0)</f>
        <v>1</v>
      </c>
      <c r="Q10">
        <f>ROUND(VLOOKUP($C10,RLS!$C$26:$P$31,14,FALSE)*'Unit Distribution'!$C$4,0)</f>
        <v>1</v>
      </c>
      <c r="R10">
        <f>ROUND(VLOOKUP($C10,RLS!$C$26:$P$31,14,FALSE)*'Unit Distribution'!$C$4,0)</f>
        <v>1</v>
      </c>
      <c r="S10">
        <f>ROUND(VLOOKUP($C10,RLS!$C$26:$P$31,14,FALSE)*'Unit Distribution'!$C$4,0)</f>
        <v>1</v>
      </c>
      <c r="T10">
        <f>ROUND(VLOOKUP($C10,RLS!$C$26:$P$31,14,FALSE)*'Unit Distribution'!$C$4,0)</f>
        <v>1</v>
      </c>
      <c r="U10">
        <f>ROUND(VLOOKUP($C10,RLS!$C$26:$P$31,14,FALSE)*'Unit Distribution'!$C$4,0)</f>
        <v>1</v>
      </c>
      <c r="V10">
        <f>ROUND(VLOOKUP($C10,RLS!$C$26:$P$31,14,FALSE)*'Unit Distribution'!$C$4,0)</f>
        <v>1</v>
      </c>
      <c r="W10">
        <f>ROUND(VLOOKUP($C10,RLS!$C$26:$P$31,14,FALSE)*'Unit Distribution'!$C$4,0)</f>
        <v>1</v>
      </c>
      <c r="X10">
        <f>ROUND(VLOOKUP($C10,RLS!$C$26:$P$31,14,FALSE)*'Unit Distribution'!$C$4,0)</f>
        <v>1</v>
      </c>
      <c r="Y10">
        <f>ROUND(VLOOKUP($C10,RLS!$C$26:$P$31,14,FALSE)*'Unit Distribution'!$C$4,0)</f>
        <v>1</v>
      </c>
      <c r="Z10">
        <f>ROUND(VLOOKUP($C10,RLS!$C$26:$P$31,14,FALSE)*'Unit Distribution'!$C$4,0)</f>
        <v>1</v>
      </c>
      <c r="AA10">
        <f>ROUND(VLOOKUP($C10,RLS!$C$26:$P$31,14,FALSE)*'Unit Distribution'!$C$4,0)</f>
        <v>1</v>
      </c>
      <c r="AB10">
        <f>ROUND(VLOOKUP($C10,RLS!$C$26:$P$31,14,FALSE)*'Unit Distribution'!$C$4,0)</f>
        <v>1</v>
      </c>
      <c r="AC10">
        <f>VLOOKUP($C10,RLS!$C$26:$AB$31,26,FALSE)-AC9-AC11</f>
        <v>2</v>
      </c>
      <c r="AD10">
        <f>VLOOKUP($C10,RLS!$C$26:$AB$31,26,FALSE)-AD9-AD11</f>
        <v>2</v>
      </c>
      <c r="AE10">
        <f>VLOOKUP($C10,RLS!$C$26:$AB$31,26,FALSE)-AE9-AE11</f>
        <v>2</v>
      </c>
      <c r="AF10">
        <f>VLOOKUP($C10,RLS!$C$26:$AB$31,26,FALSE)-AF9-AF11</f>
        <v>2</v>
      </c>
      <c r="AG10">
        <f>VLOOKUP($C10,RLS!$C$26:$AB$31,26,FALSE)-AG9-AG11</f>
        <v>2</v>
      </c>
      <c r="AH10">
        <f>VLOOKUP($C10,RLS!$C$26:$AB$31,26,FALSE)-AH9-AH11</f>
        <v>2</v>
      </c>
      <c r="AI10">
        <f>VLOOKUP($C10,RLS!$C$26:$AB$31,26,FALSE)-AI9-AI11</f>
        <v>2</v>
      </c>
      <c r="AJ10">
        <f>VLOOKUP($C10,RLS!$C$26:$AB$31,26,FALSE)-AJ9-AJ11</f>
        <v>2</v>
      </c>
      <c r="AK10">
        <f>VLOOKUP($C10,RLS!$C$26:$AB$31,26,FALSE)-AK9-AK11</f>
        <v>2</v>
      </c>
      <c r="AL10">
        <f>VLOOKUP($C10,RLS!$C$26:$AB$31,26,FALSE)-AL9-AL11</f>
        <v>2</v>
      </c>
      <c r="AM10">
        <f>VLOOKUP($C10,RLS!$C$26:$AB$31,26,FALSE)-AM9-AM11</f>
        <v>2</v>
      </c>
      <c r="AN10">
        <f>VLOOKUP($C10,RLS!$C$26:$AB$31,26,FALSE)-AN9-AN11</f>
        <v>2</v>
      </c>
      <c r="AO10">
        <f>VLOOKUP($C10,RLS!$C$26:$AN$31,38,FALSE)-AO9-AO11</f>
        <v>1</v>
      </c>
      <c r="AP10">
        <f>VLOOKUP($C10,RLS!$C$26:$AN$31,38,FALSE)-AP9-AP11</f>
        <v>1</v>
      </c>
      <c r="AQ10">
        <f>VLOOKUP($C10,RLS!$C$26:$AN$31,38,FALSE)-AQ9-AQ11</f>
        <v>1</v>
      </c>
      <c r="AR10">
        <f>VLOOKUP($C10,RLS!$C$26:$AN$31,38,FALSE)-AR9-AR11</f>
        <v>1</v>
      </c>
      <c r="AS10">
        <f>VLOOKUP($C10,RLS!$C$26:$AN$31,38,FALSE)-AS9-AS11</f>
        <v>1</v>
      </c>
      <c r="AT10">
        <f>VLOOKUP($C10,RLS!$C$26:$AN$31,38,FALSE)-AT9-AT11</f>
        <v>1</v>
      </c>
      <c r="AU10">
        <f>VLOOKUP($C10,RLS!$C$26:$AN$31,38,FALSE)-AU9-AU11</f>
        <v>1</v>
      </c>
      <c r="AV10">
        <f>VLOOKUP($C10,RLS!$C$26:$AN$31,38,FALSE)-AV9-AV11</f>
        <v>1</v>
      </c>
      <c r="AW10">
        <f>VLOOKUP($C10,RLS!$C$26:$AN$31,38,FALSE)-AW9-AW11</f>
        <v>1</v>
      </c>
      <c r="AX10">
        <f>VLOOKUP($C10,RLS!$C$26:$AN$31,38,FALSE)-AX9-AX11</f>
        <v>1</v>
      </c>
      <c r="AY10">
        <f>VLOOKUP($C10,RLS!$C$26:$AN$31,38,FALSE)-AY9-AY11</f>
        <v>1</v>
      </c>
      <c r="AZ10">
        <f>VLOOKUP($C10,RLS!$C$26:$AN$31,38,FALSE)-AZ9-AZ11</f>
        <v>1</v>
      </c>
      <c r="BA10">
        <f>VLOOKUP($C10,RLS!$C$26:$AZ$31,50,FALSE)-BA9-BA11</f>
        <v>2</v>
      </c>
      <c r="BB10">
        <f>VLOOKUP($C10,RLS!$C$26:$AZ$31,50,FALSE)-BB9-BB11</f>
        <v>2</v>
      </c>
      <c r="BC10">
        <f>VLOOKUP($C10,RLS!$C$26:$AZ$31,50,FALSE)-BC9-BC11</f>
        <v>2</v>
      </c>
      <c r="BD10">
        <f>VLOOKUP($C10,RLS!$C$26:$AZ$31,50,FALSE)-BD9-BD11</f>
        <v>2</v>
      </c>
      <c r="BE10">
        <f>VLOOKUP($C10,RLS!$C$26:$AZ$31,50,FALSE)-BE9-BE11</f>
        <v>2</v>
      </c>
      <c r="BF10">
        <f>VLOOKUP($C10,RLS!$C$26:$AZ$31,50,FALSE)-BF9-BF11</f>
        <v>2</v>
      </c>
      <c r="BG10">
        <f>VLOOKUP($C10,RLS!$C$26:$AZ$31,50,FALSE)-BG9-BG11</f>
        <v>2</v>
      </c>
      <c r="BH10">
        <f>VLOOKUP($C10,RLS!$C$26:$AZ$31,50,FALSE)-BH9-BH11</f>
        <v>2</v>
      </c>
      <c r="BI10">
        <f>VLOOKUP($C10,RLS!$C$26:$AZ$31,50,FALSE)-BI9-BI11</f>
        <v>2</v>
      </c>
      <c r="BJ10">
        <f>VLOOKUP($C10,RLS!$C$26:$AZ$31,50,FALSE)-BJ9-BJ11</f>
        <v>2</v>
      </c>
      <c r="BK10">
        <f>VLOOKUP($C10,RLS!$C$26:$AZ$31,50,FALSE)-BK9-BK11</f>
        <v>2</v>
      </c>
      <c r="BL10">
        <f>VLOOKUP($C10,RLS!$C$26:$AZ$31,50,FALSE)-BL9-BL11</f>
        <v>2</v>
      </c>
    </row>
    <row r="11" spans="1:64" x14ac:dyDescent="0.35">
      <c r="A11" t="s">
        <v>70</v>
      </c>
      <c r="B11" t="s">
        <v>65</v>
      </c>
      <c r="C11" t="str">
        <f t="shared" si="0"/>
        <v>TesterIndia</v>
      </c>
      <c r="D11" t="s">
        <v>68</v>
      </c>
      <c r="E11">
        <f>VLOOKUP($C11,RLS!$C$26:$O$31,2,FALSE)-E9-E10</f>
        <v>1</v>
      </c>
      <c r="F11">
        <f>VLOOKUP($C11,RLS!$C$26:$O$31,3,FALSE)-F9-F10</f>
        <v>1</v>
      </c>
      <c r="G11">
        <f>VLOOKUP($C11,RLS!$C$26:$O$31,4,FALSE)-G9-G10</f>
        <v>1</v>
      </c>
      <c r="H11">
        <f>VLOOKUP($C11,RLS!$C$26:$O$31,5,FALSE)-H9-H10</f>
        <v>1</v>
      </c>
      <c r="I11">
        <f>VLOOKUP($C11,RLS!$C$26:$O$31,6,FALSE)-I9-I10</f>
        <v>1</v>
      </c>
      <c r="J11">
        <f>VLOOKUP($C11,RLS!$C$26:$O$31,7,FALSE)-J9-J10</f>
        <v>1</v>
      </c>
      <c r="K11">
        <f>VLOOKUP($C11,RLS!$C$26:$O$31,8,FALSE)-K9-K10</f>
        <v>1</v>
      </c>
      <c r="L11">
        <f>VLOOKUP($C11,RLS!$C$26:$O$31,9,FALSE)-L9-L10</f>
        <v>1</v>
      </c>
      <c r="M11">
        <f>VLOOKUP($C11,RLS!$C$26:$O$31,10,FALSE)-M9-M10</f>
        <v>1</v>
      </c>
      <c r="N11">
        <f>VLOOKUP($C11,RLS!$C$26:$O$31,11,FALSE)-N9-N10</f>
        <v>1</v>
      </c>
      <c r="O11">
        <f>VLOOKUP($C11,RLS!$C$26:$O$31,12,FALSE)-O9-O10</f>
        <v>1</v>
      </c>
      <c r="P11">
        <f>VLOOKUP($C11,RLS!$C$26:$O$31,13,FALSE)-P9-P10</f>
        <v>1</v>
      </c>
      <c r="Q11">
        <f>VLOOKUP($C11,RLS!$C$26:$P$31,14,FALSE)-Q9-Q10</f>
        <v>1</v>
      </c>
      <c r="R11">
        <f>VLOOKUP($C11,RLS!$C$26:$P$31,14,FALSE)-R9-R10</f>
        <v>1</v>
      </c>
      <c r="S11">
        <f>VLOOKUP($C11,RLS!$C$26:$P$31,14,FALSE)-S9-S10</f>
        <v>1</v>
      </c>
      <c r="T11">
        <f>VLOOKUP($C11,RLS!$C$26:$P$31,14,FALSE)-T9-T10</f>
        <v>1</v>
      </c>
      <c r="U11">
        <f>VLOOKUP($C11,RLS!$C$26:$P$31,14,FALSE)-U9-U10</f>
        <v>1</v>
      </c>
      <c r="V11">
        <f>VLOOKUP($C11,RLS!$C$26:$P$31,14,FALSE)-V9-V10</f>
        <v>1</v>
      </c>
      <c r="W11">
        <f>VLOOKUP($C11,RLS!$C$26:$P$31,14,FALSE)-W9-W10</f>
        <v>1</v>
      </c>
      <c r="X11">
        <f>VLOOKUP($C11,RLS!$C$26:$P$31,14,FALSE)-X9-X10</f>
        <v>1</v>
      </c>
      <c r="Y11">
        <f>VLOOKUP($C11,RLS!$C$26:$P$31,14,FALSE)-Y9-Y10</f>
        <v>1</v>
      </c>
      <c r="Z11">
        <f>VLOOKUP($C11,RLS!$C$26:$P$31,14,FALSE)-Z9-Z10</f>
        <v>1</v>
      </c>
      <c r="AA11">
        <f>VLOOKUP($C11,RLS!$C$26:$P$31,14,FALSE)-AA9-AA10</f>
        <v>1</v>
      </c>
      <c r="AB11">
        <f>VLOOKUP($C11,RLS!$C$26:$P$31,14,FALSE)-AB9-AB10</f>
        <v>1</v>
      </c>
      <c r="AC11">
        <f>ROUND(VLOOKUP($C11,RLS!$C$26:$AB$31,26,FALSE)*'Unit Distribution'!$D$5,0)</f>
        <v>0</v>
      </c>
      <c r="AD11">
        <f>ROUND(VLOOKUP($C11,RLS!$C$26:$AB$31,26,FALSE)*'Unit Distribution'!$D$5,0)</f>
        <v>0</v>
      </c>
      <c r="AE11">
        <f>ROUND(VLOOKUP($C11,RLS!$C$26:$AB$31,26,FALSE)*'Unit Distribution'!$D$5,0)</f>
        <v>0</v>
      </c>
      <c r="AF11">
        <f>ROUND(VLOOKUP($C11,RLS!$C$26:$AB$31,26,FALSE)*'Unit Distribution'!$D$5,0)</f>
        <v>0</v>
      </c>
      <c r="AG11">
        <f>ROUND(VLOOKUP($C11,RLS!$C$26:$AB$31,26,FALSE)*'Unit Distribution'!$D$5,0)</f>
        <v>0</v>
      </c>
      <c r="AH11">
        <f>ROUND(VLOOKUP($C11,RLS!$C$26:$AB$31,26,FALSE)*'Unit Distribution'!$D$5,0)</f>
        <v>0</v>
      </c>
      <c r="AI11">
        <f>ROUND(VLOOKUP($C11,RLS!$C$26:$AB$31,26,FALSE)*'Unit Distribution'!$D$5,0)</f>
        <v>0</v>
      </c>
      <c r="AJ11">
        <f>ROUND(VLOOKUP($C11,RLS!$C$26:$AB$31,26,FALSE)*'Unit Distribution'!$D$5,0)</f>
        <v>0</v>
      </c>
      <c r="AK11">
        <f>ROUND(VLOOKUP($C11,RLS!$C$26:$AB$31,26,FALSE)*'Unit Distribution'!$D$5,0)</f>
        <v>0</v>
      </c>
      <c r="AL11">
        <f>ROUND(VLOOKUP($C11,RLS!$C$26:$AB$31,26,FALSE)*'Unit Distribution'!$D$5,0)</f>
        <v>0</v>
      </c>
      <c r="AM11">
        <f>ROUND(VLOOKUP($C11,RLS!$C$26:$AB$31,26,FALSE)*'Unit Distribution'!$D$5,0)</f>
        <v>0</v>
      </c>
      <c r="AN11">
        <f>ROUND(VLOOKUP($C11,RLS!$C$26:$AB$31,26,FALSE)*'Unit Distribution'!$D$5,0)</f>
        <v>0</v>
      </c>
      <c r="AO11">
        <f>ROUND(VLOOKUP($C11,RLS!$C$26:$AN$31,38,FALSE)*'Unit Distribution'!$E$5,0)</f>
        <v>0</v>
      </c>
      <c r="AP11">
        <f>ROUND(VLOOKUP($C11,RLS!$C$26:$AN$31,38,FALSE)*'Unit Distribution'!$E$5,0)</f>
        <v>0</v>
      </c>
      <c r="AQ11">
        <f>ROUND(VLOOKUP($C11,RLS!$C$26:$AN$31,38,FALSE)*'Unit Distribution'!$E$5,0)</f>
        <v>0</v>
      </c>
      <c r="AR11">
        <f>ROUND(VLOOKUP($C11,RLS!$C$26:$AN$31,38,FALSE)*'Unit Distribution'!$E$5,0)</f>
        <v>0</v>
      </c>
      <c r="AS11">
        <f>ROUND(VLOOKUP($C11,RLS!$C$26:$AN$31,38,FALSE)*'Unit Distribution'!$E$5,0)</f>
        <v>0</v>
      </c>
      <c r="AT11">
        <f>ROUND(VLOOKUP($C11,RLS!$C$26:$AN$31,38,FALSE)*'Unit Distribution'!$E$5,0)</f>
        <v>0</v>
      </c>
      <c r="AU11">
        <f>ROUND(VLOOKUP($C11,RLS!$C$26:$AN$31,38,FALSE)*'Unit Distribution'!$E$5,0)</f>
        <v>0</v>
      </c>
      <c r="AV11">
        <f>ROUND(VLOOKUP($C11,RLS!$C$26:$AN$31,38,FALSE)*'Unit Distribution'!$E$5,0)</f>
        <v>0</v>
      </c>
      <c r="AW11">
        <f>ROUND(VLOOKUP($C11,RLS!$C$26:$AN$31,38,FALSE)*'Unit Distribution'!$E$5,0)</f>
        <v>0</v>
      </c>
      <c r="AX11">
        <f>ROUND(VLOOKUP($C11,RLS!$C$26:$AN$31,38,FALSE)*'Unit Distribution'!$E$5,0)</f>
        <v>0</v>
      </c>
      <c r="AY11">
        <f>ROUND(VLOOKUP($C11,RLS!$C$26:$AN$31,38,FALSE)*'Unit Distribution'!$E$5,0)</f>
        <v>0</v>
      </c>
      <c r="AZ11">
        <f>ROUND(VLOOKUP($C11,RLS!$C$26:$AN$31,38,FALSE)*'Unit Distribution'!$E$5,0)</f>
        <v>0</v>
      </c>
      <c r="BA11">
        <f>ROUND(VLOOKUP($C11,RLS!$C$26:$AZ$31,50,FALSE)*'Unit Distribution'!$F$5,0)</f>
        <v>0</v>
      </c>
      <c r="BB11">
        <f>ROUND(VLOOKUP($C11,RLS!$C$26:$AZ$31,50,FALSE)*'Unit Distribution'!$F$5,0)</f>
        <v>0</v>
      </c>
      <c r="BC11">
        <f>ROUND(VLOOKUP($C11,RLS!$C$26:$AZ$31,50,FALSE)*'Unit Distribution'!$F$5,0)</f>
        <v>0</v>
      </c>
      <c r="BD11">
        <f>ROUND(VLOOKUP($C11,RLS!$C$26:$AZ$31,50,FALSE)*'Unit Distribution'!$F$5,0)</f>
        <v>0</v>
      </c>
      <c r="BE11">
        <f>ROUND(VLOOKUP($C11,RLS!$C$26:$AZ$31,50,FALSE)*'Unit Distribution'!$F$5,0)</f>
        <v>0</v>
      </c>
      <c r="BF11">
        <f>ROUND(VLOOKUP($C11,RLS!$C$26:$AZ$31,50,FALSE)*'Unit Distribution'!$F$5,0)</f>
        <v>0</v>
      </c>
      <c r="BG11">
        <f>ROUND(VLOOKUP($C11,RLS!$C$26:$AZ$31,50,FALSE)*'Unit Distribution'!$F$5,0)</f>
        <v>0</v>
      </c>
      <c r="BH11">
        <f>ROUND(VLOOKUP($C11,RLS!$C$26:$AZ$31,50,FALSE)*'Unit Distribution'!$F$5,0)</f>
        <v>0</v>
      </c>
      <c r="BI11">
        <f>ROUND(VLOOKUP($C11,RLS!$C$26:$AZ$31,50,FALSE)*'Unit Distribution'!$F$5,0)</f>
        <v>0</v>
      </c>
      <c r="BJ11">
        <f>ROUND(VLOOKUP($C11,RLS!$C$26:$AZ$31,50,FALSE)*'Unit Distribution'!$F$5,0)</f>
        <v>0</v>
      </c>
      <c r="BK11">
        <f>ROUND(VLOOKUP($C11,RLS!$C$26:$AZ$31,50,FALSE)*'Unit Distribution'!$F$5,0)</f>
        <v>0</v>
      </c>
      <c r="BL11">
        <f>ROUND(VLOOKUP($C11,RLS!$C$26:$AZ$31,50,FALSE)*'Unit Distribution'!$F$5,0)</f>
        <v>0</v>
      </c>
    </row>
    <row r="12" spans="1:64" x14ac:dyDescent="0.35">
      <c r="A12" t="s">
        <v>71</v>
      </c>
      <c r="B12" t="s">
        <v>65</v>
      </c>
      <c r="C12" t="str">
        <f t="shared" si="0"/>
        <v>MaintenanceIndia</v>
      </c>
      <c r="D12" t="s">
        <v>72</v>
      </c>
      <c r="E12">
        <f>VLOOKUP($C12,RLS!$C$26:$O$31,2,FALSE)</f>
        <v>1</v>
      </c>
      <c r="F12">
        <f>VLOOKUP($C12,RLS!$C$26:$O$31,3,FALSE)</f>
        <v>1</v>
      </c>
      <c r="G12">
        <f>VLOOKUP($C12,RLS!$C$26:$O$31,4,FALSE)</f>
        <v>1</v>
      </c>
      <c r="H12">
        <f>VLOOKUP($C12,RLS!$C$26:$O$31,5,FALSE)</f>
        <v>1</v>
      </c>
      <c r="I12">
        <f>VLOOKUP($C12,RLS!$C$26:$O$31,6,FALSE)</f>
        <v>1</v>
      </c>
      <c r="J12">
        <f>VLOOKUP($C12,RLS!$C$26:$O$31,7,FALSE)</f>
        <v>1</v>
      </c>
      <c r="K12">
        <f>VLOOKUP($C12,RLS!$C$26:$O$31,8,FALSE)</f>
        <v>1</v>
      </c>
      <c r="L12">
        <f>VLOOKUP($C12,RLS!$C$26:$O$31,9,FALSE)</f>
        <v>1</v>
      </c>
      <c r="M12">
        <f>VLOOKUP($C12,RLS!$C$26:$O$31,10,FALSE)</f>
        <v>1</v>
      </c>
      <c r="N12">
        <f>VLOOKUP($C12,RLS!$C$26:$O$31,11,FALSE)</f>
        <v>1</v>
      </c>
      <c r="O12">
        <f>VLOOKUP($C12,RLS!$C$26:$O$31,12,FALSE)</f>
        <v>1</v>
      </c>
      <c r="P12">
        <f>VLOOKUP($C12,RLS!$C$26:$O$31,13,FALSE)</f>
        <v>1</v>
      </c>
      <c r="Q12">
        <f>VLOOKUP($C12,RLS!$C$26:$P$31,14,FALSE)</f>
        <v>1</v>
      </c>
      <c r="R12">
        <f>VLOOKUP($C12,RLS!$C$26:$P$31,14,FALSE)</f>
        <v>1</v>
      </c>
      <c r="S12">
        <f>VLOOKUP($C12,RLS!$C$26:$P$31,14,FALSE)</f>
        <v>1</v>
      </c>
      <c r="T12">
        <f>VLOOKUP($C12,RLS!$C$26:$P$31,14,FALSE)</f>
        <v>1</v>
      </c>
      <c r="U12">
        <f>VLOOKUP($C12,RLS!$C$26:$P$31,14,FALSE)</f>
        <v>1</v>
      </c>
      <c r="V12">
        <f>VLOOKUP($C12,RLS!$C$26:$P$31,14,FALSE)</f>
        <v>1</v>
      </c>
      <c r="W12">
        <f>VLOOKUP($C12,RLS!$C$26:$P$31,14,FALSE)</f>
        <v>1</v>
      </c>
      <c r="X12">
        <f>VLOOKUP($C12,RLS!$C$26:$P$31,14,FALSE)</f>
        <v>1</v>
      </c>
      <c r="Y12">
        <f>VLOOKUP($C12,RLS!$C$26:$P$31,14,FALSE)</f>
        <v>1</v>
      </c>
      <c r="Z12">
        <f>VLOOKUP($C12,RLS!$C$26:$P$31,14,FALSE)</f>
        <v>1</v>
      </c>
      <c r="AA12">
        <f>VLOOKUP($C12,RLS!$C$26:$P$31,14,FALSE)</f>
        <v>1</v>
      </c>
      <c r="AB12">
        <f>VLOOKUP($C12,RLS!$C$26:$P$31,14,FALSE)</f>
        <v>1</v>
      </c>
      <c r="AC12">
        <f>VLOOKUP($C12,RLS!$C$26:$AB$31,26,FALSE)</f>
        <v>2</v>
      </c>
      <c r="AD12">
        <f>VLOOKUP($C12,RLS!$C$26:$AB$31,26,FALSE)</f>
        <v>2</v>
      </c>
      <c r="AE12">
        <f>VLOOKUP($C12,RLS!$C$26:$AB$31,26,FALSE)</f>
        <v>2</v>
      </c>
      <c r="AF12">
        <f>VLOOKUP($C12,RLS!$C$26:$AB$31,26,FALSE)</f>
        <v>2</v>
      </c>
      <c r="AG12">
        <f>VLOOKUP($C12,RLS!$C$26:$AB$31,26,FALSE)</f>
        <v>2</v>
      </c>
      <c r="AH12">
        <f>VLOOKUP($C12,RLS!$C$26:$AB$31,26,FALSE)</f>
        <v>2</v>
      </c>
      <c r="AI12">
        <f>VLOOKUP($C12,RLS!$C$26:$AB$31,26,FALSE)</f>
        <v>2</v>
      </c>
      <c r="AJ12">
        <f>VLOOKUP($C12,RLS!$C$26:$AB$31,26,FALSE)</f>
        <v>2</v>
      </c>
      <c r="AK12">
        <f>VLOOKUP($C12,RLS!$C$26:$AB$31,26,FALSE)</f>
        <v>2</v>
      </c>
      <c r="AL12">
        <f>VLOOKUP($C12,RLS!$C$26:$AB$31,26,FALSE)</f>
        <v>2</v>
      </c>
      <c r="AM12">
        <f>VLOOKUP($C12,RLS!$C$26:$AB$31,26,FALSE)</f>
        <v>2</v>
      </c>
      <c r="AN12">
        <f>VLOOKUP($C12,RLS!$C$26:$AB$31,26,FALSE)</f>
        <v>2</v>
      </c>
      <c r="AO12">
        <f>VLOOKUP($C12,RLS!$C$26:$AN$31,38,FALSE)</f>
        <v>1</v>
      </c>
      <c r="AP12">
        <f>VLOOKUP($C12,RLS!$C$26:$AN$31,38,FALSE)</f>
        <v>1</v>
      </c>
      <c r="AQ12">
        <f>VLOOKUP($C12,RLS!$C$26:$AN$31,38,FALSE)</f>
        <v>1</v>
      </c>
      <c r="AR12">
        <f>VLOOKUP($C12,RLS!$C$26:$AN$31,38,FALSE)</f>
        <v>1</v>
      </c>
      <c r="AS12">
        <f>VLOOKUP($C12,RLS!$C$26:$AN$31,38,FALSE)</f>
        <v>1</v>
      </c>
      <c r="AT12">
        <f>VLOOKUP($C12,RLS!$C$26:$AN$31,38,FALSE)</f>
        <v>1</v>
      </c>
      <c r="AU12">
        <f>VLOOKUP($C12,RLS!$C$26:$AN$31,38,FALSE)</f>
        <v>1</v>
      </c>
      <c r="AV12">
        <f>VLOOKUP($C12,RLS!$C$26:$AN$31,38,FALSE)</f>
        <v>1</v>
      </c>
      <c r="AW12">
        <f>VLOOKUP($C12,RLS!$C$26:$AN$31,38,FALSE)</f>
        <v>1</v>
      </c>
      <c r="AX12">
        <f>VLOOKUP($C12,RLS!$C$26:$AN$31,38,FALSE)</f>
        <v>1</v>
      </c>
      <c r="AY12">
        <f>VLOOKUP($C12,RLS!$C$26:$AN$31,38,FALSE)</f>
        <v>1</v>
      </c>
      <c r="AZ12">
        <f>VLOOKUP($C12,RLS!$C$26:$AN$31,38,FALSE)</f>
        <v>1</v>
      </c>
      <c r="BA12">
        <f>VLOOKUP($C12,RLS!$C$26:$AZ$31,50,FALSE)</f>
        <v>1</v>
      </c>
      <c r="BB12">
        <f>VLOOKUP($C12,RLS!$C$26:$AZ$31,50,FALSE)</f>
        <v>1</v>
      </c>
      <c r="BC12">
        <f>VLOOKUP($C12,RLS!$C$26:$AZ$31,50,FALSE)</f>
        <v>1</v>
      </c>
      <c r="BD12">
        <f>VLOOKUP($C12,RLS!$C$26:$AZ$31,50,FALSE)</f>
        <v>1</v>
      </c>
      <c r="BE12">
        <f>VLOOKUP($C12,RLS!$C$26:$AZ$31,50,FALSE)</f>
        <v>1</v>
      </c>
      <c r="BF12">
        <f>VLOOKUP($C12,RLS!$C$26:$AZ$31,50,FALSE)</f>
        <v>1</v>
      </c>
      <c r="BG12">
        <f>VLOOKUP($C12,RLS!$C$26:$AZ$31,50,FALSE)</f>
        <v>1</v>
      </c>
      <c r="BH12">
        <f>VLOOKUP($C12,RLS!$C$26:$AZ$31,50,FALSE)</f>
        <v>1</v>
      </c>
      <c r="BI12">
        <f>VLOOKUP($C12,RLS!$C$26:$AZ$31,50,FALSE)</f>
        <v>1</v>
      </c>
      <c r="BJ12">
        <f>VLOOKUP($C12,RLS!$C$26:$AZ$31,50,FALSE)</f>
        <v>1</v>
      </c>
      <c r="BK12">
        <f>VLOOKUP($C12,RLS!$C$26:$AZ$31,50,FALSE)</f>
        <v>1</v>
      </c>
      <c r="BL12">
        <f>VLOOKUP($C12,RLS!$C$26:$AZ$31,50,FALSE)</f>
        <v>1</v>
      </c>
    </row>
    <row r="13" spans="1:64" x14ac:dyDescent="0.35">
      <c r="A13" t="s">
        <v>73</v>
      </c>
      <c r="B13" t="s">
        <v>65</v>
      </c>
      <c r="C13" t="str">
        <f t="shared" si="0"/>
        <v>PMIndia</v>
      </c>
      <c r="D13" t="s">
        <v>72</v>
      </c>
      <c r="E13">
        <f>VLOOKUP($C13,RLS!$C$26:$O$31,2,FALSE)</f>
        <v>0</v>
      </c>
      <c r="F13">
        <f>VLOOKUP($C13,RLS!$C$26:$O$31,3,FALSE)</f>
        <v>0</v>
      </c>
      <c r="G13">
        <f>VLOOKUP($C13,RLS!$C$26:$O$31,4,FALSE)</f>
        <v>0</v>
      </c>
      <c r="H13">
        <f>VLOOKUP($C13,RLS!$C$26:$O$31,5,FALSE)</f>
        <v>0</v>
      </c>
      <c r="I13">
        <f>VLOOKUP($C13,RLS!$C$26:$O$31,6,FALSE)</f>
        <v>0</v>
      </c>
      <c r="J13">
        <f>VLOOKUP($C13,RLS!$C$26:$O$31,7,FALSE)</f>
        <v>0</v>
      </c>
      <c r="K13">
        <f>VLOOKUP($C13,RLS!$C$26:$O$31,8,FALSE)</f>
        <v>0</v>
      </c>
      <c r="L13">
        <f>VLOOKUP($C13,RLS!$C$26:$O$31,9,FALSE)</f>
        <v>0</v>
      </c>
      <c r="M13">
        <f>VLOOKUP($C13,RLS!$C$26:$O$31,10,FALSE)</f>
        <v>0</v>
      </c>
      <c r="N13">
        <f>VLOOKUP($C13,RLS!$C$26:$O$31,11,FALSE)</f>
        <v>0</v>
      </c>
      <c r="O13">
        <f>VLOOKUP($C13,RLS!$C$26:$O$31,12,FALSE)</f>
        <v>0</v>
      </c>
      <c r="P13">
        <f>VLOOKUP($C13,RLS!$C$26:$O$31,13,FALSE)</f>
        <v>0</v>
      </c>
      <c r="Q13">
        <f>VLOOKUP($C13,RLS!$C$26:$P$31,14,FALSE)</f>
        <v>1</v>
      </c>
      <c r="R13">
        <f>VLOOKUP($C13,RLS!$C$26:$P$31,14,FALSE)</f>
        <v>1</v>
      </c>
      <c r="S13">
        <f>VLOOKUP($C13,RLS!$C$26:$P$31,14,FALSE)</f>
        <v>1</v>
      </c>
      <c r="T13">
        <f>VLOOKUP($C13,RLS!$C$26:$P$31,14,FALSE)</f>
        <v>1</v>
      </c>
      <c r="U13">
        <f>VLOOKUP($C13,RLS!$C$26:$P$31,14,FALSE)</f>
        <v>1</v>
      </c>
      <c r="V13">
        <f>VLOOKUP($C13,RLS!$C$26:$P$31,14,FALSE)</f>
        <v>1</v>
      </c>
      <c r="W13">
        <f>VLOOKUP($C13,RLS!$C$26:$P$31,14,FALSE)</f>
        <v>1</v>
      </c>
      <c r="X13">
        <f>VLOOKUP($C13,RLS!$C$26:$P$31,14,FALSE)</f>
        <v>1</v>
      </c>
      <c r="Y13">
        <f>VLOOKUP($C13,RLS!$C$26:$P$31,14,FALSE)</f>
        <v>1</v>
      </c>
      <c r="Z13">
        <f>VLOOKUP($C13,RLS!$C$26:$P$31,14,FALSE)</f>
        <v>1</v>
      </c>
      <c r="AA13">
        <f>VLOOKUP($C13,RLS!$C$26:$P$31,14,FALSE)</f>
        <v>1</v>
      </c>
      <c r="AB13">
        <f>VLOOKUP($C13,RLS!$C$26:$P$31,14,FALSE)</f>
        <v>1</v>
      </c>
      <c r="AC13">
        <f>VLOOKUP($C13,RLS!$C$26:$AB$31,26,FALSE)</f>
        <v>1</v>
      </c>
      <c r="AD13">
        <f>VLOOKUP($C13,RLS!$C$26:$AB$31,26,FALSE)</f>
        <v>1</v>
      </c>
      <c r="AE13">
        <f>VLOOKUP($C13,RLS!$C$26:$AB$31,26,FALSE)</f>
        <v>1</v>
      </c>
      <c r="AF13">
        <f>VLOOKUP($C13,RLS!$C$26:$AB$31,26,FALSE)</f>
        <v>1</v>
      </c>
      <c r="AG13">
        <f>VLOOKUP($C13,RLS!$C$26:$AB$31,26,FALSE)</f>
        <v>1</v>
      </c>
      <c r="AH13">
        <f>VLOOKUP($C13,RLS!$C$26:$AB$31,26,FALSE)</f>
        <v>1</v>
      </c>
      <c r="AI13">
        <f>VLOOKUP($C13,RLS!$C$26:$AB$31,26,FALSE)</f>
        <v>1</v>
      </c>
      <c r="AJ13">
        <f>VLOOKUP($C13,RLS!$C$26:$AB$31,26,FALSE)</f>
        <v>1</v>
      </c>
      <c r="AK13">
        <f>VLOOKUP($C13,RLS!$C$26:$AB$31,26,FALSE)</f>
        <v>1</v>
      </c>
      <c r="AL13">
        <f>VLOOKUP($C13,RLS!$C$26:$AB$31,26,FALSE)</f>
        <v>1</v>
      </c>
      <c r="AM13">
        <f>VLOOKUP($C13,RLS!$C$26:$AB$31,26,FALSE)</f>
        <v>1</v>
      </c>
      <c r="AN13">
        <f>VLOOKUP($C13,RLS!$C$26:$AB$31,26,FALSE)</f>
        <v>1</v>
      </c>
      <c r="AO13">
        <f>VLOOKUP($C13,RLS!$C$26:$AN$31,38,FALSE)</f>
        <v>1</v>
      </c>
      <c r="AP13">
        <f>VLOOKUP($C13,RLS!$C$26:$AN$31,38,FALSE)</f>
        <v>1</v>
      </c>
      <c r="AQ13">
        <f>VLOOKUP($C13,RLS!$C$26:$AN$31,38,FALSE)</f>
        <v>1</v>
      </c>
      <c r="AR13">
        <f>VLOOKUP($C13,RLS!$C$26:$AN$31,38,FALSE)</f>
        <v>1</v>
      </c>
      <c r="AS13">
        <f>VLOOKUP($C13,RLS!$C$26:$AN$31,38,FALSE)</f>
        <v>1</v>
      </c>
      <c r="AT13">
        <f>VLOOKUP($C13,RLS!$C$26:$AN$31,38,FALSE)</f>
        <v>1</v>
      </c>
      <c r="AU13">
        <f>VLOOKUP($C13,RLS!$C$26:$AN$31,38,FALSE)</f>
        <v>1</v>
      </c>
      <c r="AV13">
        <f>VLOOKUP($C13,RLS!$C$26:$AN$31,38,FALSE)</f>
        <v>1</v>
      </c>
      <c r="AW13">
        <f>VLOOKUP($C13,RLS!$C$26:$AN$31,38,FALSE)</f>
        <v>1</v>
      </c>
      <c r="AX13">
        <f>VLOOKUP($C13,RLS!$C$26:$AN$31,38,FALSE)</f>
        <v>1</v>
      </c>
      <c r="AY13">
        <f>VLOOKUP($C13,RLS!$C$26:$AN$31,38,FALSE)</f>
        <v>1</v>
      </c>
      <c r="AZ13">
        <f>VLOOKUP($C13,RLS!$C$26:$AN$31,38,FALSE)</f>
        <v>1</v>
      </c>
      <c r="BA13">
        <f>VLOOKUP($C13,RLS!$C$26:$AZ$31,50,FALSE)</f>
        <v>0</v>
      </c>
      <c r="BB13">
        <f>VLOOKUP($C13,RLS!$C$26:$AZ$31,50,FALSE)</f>
        <v>0</v>
      </c>
      <c r="BC13">
        <f>VLOOKUP($C13,RLS!$C$26:$AZ$31,50,FALSE)</f>
        <v>0</v>
      </c>
      <c r="BD13">
        <f>VLOOKUP($C13,RLS!$C$26:$AZ$31,50,FALSE)</f>
        <v>0</v>
      </c>
      <c r="BE13">
        <f>VLOOKUP($C13,RLS!$C$26:$AZ$31,50,FALSE)</f>
        <v>0</v>
      </c>
      <c r="BF13">
        <f>VLOOKUP($C13,RLS!$C$26:$AZ$31,50,FALSE)</f>
        <v>0</v>
      </c>
      <c r="BG13">
        <f>VLOOKUP($C13,RLS!$C$26:$AZ$31,50,FALSE)</f>
        <v>0</v>
      </c>
      <c r="BH13">
        <f>VLOOKUP($C13,RLS!$C$26:$AZ$31,50,FALSE)</f>
        <v>0</v>
      </c>
      <c r="BI13">
        <f>VLOOKUP($C13,RLS!$C$26:$AZ$31,50,FALSE)</f>
        <v>0</v>
      </c>
      <c r="BJ13">
        <f>VLOOKUP($C13,RLS!$C$26:$AZ$31,50,FALSE)</f>
        <v>0</v>
      </c>
      <c r="BK13">
        <f>VLOOKUP($C13,RLS!$C$26:$AZ$31,50,FALSE)</f>
        <v>0</v>
      </c>
      <c r="BL13">
        <f>VLOOKUP($C13,RLS!$C$26:$AZ$31,50,FALSE)</f>
        <v>0</v>
      </c>
    </row>
    <row r="14" spans="1:64" x14ac:dyDescent="0.35">
      <c r="A14" t="s">
        <v>74</v>
      </c>
      <c r="B14" t="s">
        <v>65</v>
      </c>
      <c r="C14" t="str">
        <f t="shared" si="0"/>
        <v>LeadIndia</v>
      </c>
      <c r="D14" t="s">
        <v>66</v>
      </c>
      <c r="E14">
        <f>VLOOKUP($C14,RLS!$C$26:$O$31,2,FALSE)</f>
        <v>1</v>
      </c>
      <c r="F14">
        <f>VLOOKUP($C14,RLS!$C$26:$O$31,3,FALSE)</f>
        <v>1</v>
      </c>
      <c r="G14">
        <f>VLOOKUP($C14,RLS!$C$26:$O$31,4,FALSE)</f>
        <v>1</v>
      </c>
      <c r="H14">
        <f>VLOOKUP($C14,RLS!$C$26:$O$31,5,FALSE)</f>
        <v>1</v>
      </c>
      <c r="I14">
        <f>VLOOKUP($C14,RLS!$C$26:$O$31,6,FALSE)</f>
        <v>1</v>
      </c>
      <c r="J14">
        <f>VLOOKUP($C14,RLS!$C$26:$O$31,7,FALSE)</f>
        <v>1</v>
      </c>
      <c r="K14">
        <f>VLOOKUP($C14,RLS!$C$26:$O$31,8,FALSE)</f>
        <v>1</v>
      </c>
      <c r="L14">
        <f>VLOOKUP($C14,RLS!$C$26:$O$31,9,FALSE)</f>
        <v>1</v>
      </c>
      <c r="M14">
        <f>VLOOKUP($C14,RLS!$C$26:$O$31,10,FALSE)</f>
        <v>1</v>
      </c>
      <c r="N14">
        <f>VLOOKUP($C14,RLS!$C$26:$O$31,11,FALSE)</f>
        <v>1</v>
      </c>
      <c r="O14">
        <f>VLOOKUP($C14,RLS!$C$26:$O$31,12,FALSE)</f>
        <v>1</v>
      </c>
      <c r="P14">
        <f>VLOOKUP($C14,RLS!$C$26:$O$31,13,FALSE)</f>
        <v>1</v>
      </c>
      <c r="Q14">
        <f>VLOOKUP($C14,RLS!$C$26:$P$31,14,FALSE)</f>
        <v>1</v>
      </c>
      <c r="R14">
        <f>VLOOKUP($C14,RLS!$C$26:$P$31,14,FALSE)</f>
        <v>1</v>
      </c>
      <c r="S14">
        <f>VLOOKUP($C14,RLS!$C$26:$P$31,14,FALSE)</f>
        <v>1</v>
      </c>
      <c r="T14">
        <f>VLOOKUP($C14,RLS!$C$26:$P$31,14,FALSE)</f>
        <v>1</v>
      </c>
      <c r="U14">
        <f>VLOOKUP($C14,RLS!$C$26:$P$31,14,FALSE)</f>
        <v>1</v>
      </c>
      <c r="V14">
        <f>VLOOKUP($C14,RLS!$C$26:$P$31,14,FALSE)</f>
        <v>1</v>
      </c>
      <c r="W14">
        <f>VLOOKUP($C14,RLS!$C$26:$P$31,14,FALSE)</f>
        <v>1</v>
      </c>
      <c r="X14">
        <f>VLOOKUP($C14,RLS!$C$26:$P$31,14,FALSE)</f>
        <v>1</v>
      </c>
      <c r="Y14">
        <f>VLOOKUP($C14,RLS!$C$26:$P$31,14,FALSE)</f>
        <v>1</v>
      </c>
      <c r="Z14">
        <f>VLOOKUP($C14,RLS!$C$26:$P$31,14,FALSE)</f>
        <v>1</v>
      </c>
      <c r="AA14">
        <f>VLOOKUP($C14,RLS!$C$26:$P$31,14,FALSE)</f>
        <v>1</v>
      </c>
      <c r="AB14">
        <f>VLOOKUP($C14,RLS!$C$26:$P$31,14,FALSE)</f>
        <v>1</v>
      </c>
      <c r="AC14">
        <f>VLOOKUP($C14,RLS!$C$26:$AB$31,26,FALSE)</f>
        <v>1</v>
      </c>
      <c r="AD14">
        <f>VLOOKUP($C14,RLS!$C$26:$AB$31,26,FALSE)</f>
        <v>1</v>
      </c>
      <c r="AE14">
        <f>VLOOKUP($C14,RLS!$C$26:$AB$31,26,FALSE)</f>
        <v>1</v>
      </c>
      <c r="AF14">
        <f>VLOOKUP($C14,RLS!$C$26:$AB$31,26,FALSE)</f>
        <v>1</v>
      </c>
      <c r="AG14">
        <f>VLOOKUP($C14,RLS!$C$26:$AB$31,26,FALSE)</f>
        <v>1</v>
      </c>
      <c r="AH14">
        <f>VLOOKUP($C14,RLS!$C$26:$AB$31,26,FALSE)</f>
        <v>1</v>
      </c>
      <c r="AI14">
        <f>VLOOKUP($C14,RLS!$C$26:$AB$31,26,FALSE)</f>
        <v>1</v>
      </c>
      <c r="AJ14">
        <f>VLOOKUP($C14,RLS!$C$26:$AB$31,26,FALSE)</f>
        <v>1</v>
      </c>
      <c r="AK14">
        <f>VLOOKUP($C14,RLS!$C$26:$AB$31,26,FALSE)</f>
        <v>1</v>
      </c>
      <c r="AL14">
        <f>VLOOKUP($C14,RLS!$C$26:$AB$31,26,FALSE)</f>
        <v>1</v>
      </c>
      <c r="AM14">
        <f>VLOOKUP($C14,RLS!$C$26:$AB$31,26,FALSE)</f>
        <v>1</v>
      </c>
      <c r="AN14">
        <f>VLOOKUP($C14,RLS!$C$26:$AB$31,26,FALSE)</f>
        <v>1</v>
      </c>
      <c r="AO14">
        <f>VLOOKUP($C14,RLS!$C$26:$AN$31,38,FALSE)</f>
        <v>1</v>
      </c>
      <c r="AP14">
        <f>VLOOKUP($C14,RLS!$C$26:$AN$31,38,FALSE)</f>
        <v>1</v>
      </c>
      <c r="AQ14">
        <f>VLOOKUP($C14,RLS!$C$26:$AN$31,38,FALSE)</f>
        <v>1</v>
      </c>
      <c r="AR14">
        <f>VLOOKUP($C14,RLS!$C$26:$AN$31,38,FALSE)</f>
        <v>1</v>
      </c>
      <c r="AS14">
        <f>VLOOKUP($C14,RLS!$C$26:$AN$31,38,FALSE)</f>
        <v>1</v>
      </c>
      <c r="AT14">
        <f>VLOOKUP($C14,RLS!$C$26:$AN$31,38,FALSE)</f>
        <v>1</v>
      </c>
      <c r="AU14">
        <f>VLOOKUP($C14,RLS!$C$26:$AN$31,38,FALSE)</f>
        <v>1</v>
      </c>
      <c r="AV14">
        <f>VLOOKUP($C14,RLS!$C$26:$AN$31,38,FALSE)</f>
        <v>1</v>
      </c>
      <c r="AW14">
        <f>VLOOKUP($C14,RLS!$C$26:$AN$31,38,FALSE)</f>
        <v>1</v>
      </c>
      <c r="AX14">
        <f>VLOOKUP($C14,RLS!$C$26:$AN$31,38,FALSE)</f>
        <v>1</v>
      </c>
      <c r="AY14">
        <f>VLOOKUP($C14,RLS!$C$26:$AN$31,38,FALSE)</f>
        <v>1</v>
      </c>
      <c r="AZ14">
        <f>VLOOKUP($C14,RLS!$C$26:$AN$31,38,FALSE)</f>
        <v>1</v>
      </c>
      <c r="BA14">
        <f>VLOOKUP($C14,RLS!$C$26:$AZ$31,50,FALSE)</f>
        <v>1</v>
      </c>
      <c r="BB14">
        <f>VLOOKUP($C14,RLS!$C$26:$AZ$31,50,FALSE)</f>
        <v>1</v>
      </c>
      <c r="BC14">
        <f>VLOOKUP($C14,RLS!$C$26:$AZ$31,50,FALSE)</f>
        <v>1</v>
      </c>
      <c r="BD14">
        <f>VLOOKUP($C14,RLS!$C$26:$AZ$31,50,FALSE)</f>
        <v>1</v>
      </c>
      <c r="BE14">
        <f>VLOOKUP($C14,RLS!$C$26:$AZ$31,50,FALSE)</f>
        <v>1</v>
      </c>
      <c r="BF14">
        <f>VLOOKUP($C14,RLS!$C$26:$AZ$31,50,FALSE)</f>
        <v>1</v>
      </c>
      <c r="BG14">
        <f>VLOOKUP($C14,RLS!$C$26:$AZ$31,50,FALSE)</f>
        <v>1</v>
      </c>
      <c r="BH14">
        <f>VLOOKUP($C14,RLS!$C$26:$AZ$31,50,FALSE)</f>
        <v>1</v>
      </c>
      <c r="BI14">
        <f>VLOOKUP($C14,RLS!$C$26:$AZ$31,50,FALSE)</f>
        <v>1</v>
      </c>
      <c r="BJ14">
        <f>VLOOKUP($C14,RLS!$C$26:$AZ$31,50,FALSE)</f>
        <v>1</v>
      </c>
      <c r="BK14">
        <f>VLOOKUP($C14,RLS!$C$26:$AZ$31,50,FALSE)</f>
        <v>1</v>
      </c>
      <c r="BL14">
        <f>VLOOKUP($C14,RLS!$C$26:$AZ$31,50,FALSE)</f>
        <v>1</v>
      </c>
    </row>
    <row r="15" spans="1:64" x14ac:dyDescent="0.35">
      <c r="A15" t="s">
        <v>64</v>
      </c>
      <c r="B15" t="s">
        <v>75</v>
      </c>
      <c r="C15" t="str">
        <f t="shared" si="0"/>
        <v>BSAOnsite</v>
      </c>
      <c r="D15" t="s">
        <v>66</v>
      </c>
      <c r="E15">
        <f>ROUND(VLOOKUP($C15,RLS!$C$32:$O$36,2,FALSE)*'Unit Distribution'!$B$3,0)</f>
        <v>1</v>
      </c>
      <c r="F15">
        <f>ROUND(VLOOKUP($C15,RLS!$C$32:$O$36,3,FALSE)*'Unit Distribution'!$B$3,0)</f>
        <v>1</v>
      </c>
      <c r="G15">
        <f>ROUND(VLOOKUP($C15,RLS!$C$32:$O$36,4,FALSE)*'Unit Distribution'!$B$3,0)</f>
        <v>1</v>
      </c>
      <c r="H15">
        <f>ROUND(VLOOKUP($C15,RLS!$C$32:$O$36,5,FALSE)*'Unit Distribution'!$B$3,0)</f>
        <v>1</v>
      </c>
      <c r="I15">
        <f>ROUND(VLOOKUP($C15,RLS!$C$32:$O$36,6,FALSE)*'Unit Distribution'!$B$3,0)</f>
        <v>1</v>
      </c>
      <c r="J15">
        <f>ROUND(VLOOKUP($C15,RLS!$C$32:$O$36,7,FALSE)*'Unit Distribution'!$B$3,0)</f>
        <v>1</v>
      </c>
      <c r="K15">
        <f>ROUND(VLOOKUP($C15,RLS!$C$32:$O$36,8,FALSE)*'Unit Distribution'!$B$3,0)</f>
        <v>1</v>
      </c>
      <c r="L15">
        <f>ROUND(VLOOKUP($C15,RLS!$C$32:$O$36,9,FALSE)*'Unit Distribution'!$B$3,0)</f>
        <v>1</v>
      </c>
      <c r="M15">
        <f>ROUND(VLOOKUP($C15,RLS!$C$32:$O$36,10,FALSE)*'Unit Distribution'!$B$3,0)</f>
        <v>1</v>
      </c>
      <c r="N15">
        <f>ROUND(VLOOKUP($C15,RLS!$C$32:$O$36,11,FALSE)*'Unit Distribution'!$B$3,0)</f>
        <v>1</v>
      </c>
      <c r="O15">
        <f>ROUND(VLOOKUP($C15,RLS!$C$32:$O$36,12,FALSE)*'Unit Distribution'!$B$3,0)</f>
        <v>1</v>
      </c>
      <c r="P15">
        <f>ROUND(VLOOKUP($C15,RLS!$C$32:$O$36,13,FALSE)*'Unit Distribution'!$B$3,0)</f>
        <v>1</v>
      </c>
      <c r="Q15">
        <f>ROUND(VLOOKUP($C15,RLS!$C$32:$P$36,14,FALSE)*'Unit Distribution'!$C$3,0)</f>
        <v>0</v>
      </c>
      <c r="R15">
        <f>ROUND(VLOOKUP($C15,RLS!$C$32:$P$36,14,FALSE)*'Unit Distribution'!$C$3,0)</f>
        <v>0</v>
      </c>
      <c r="S15">
        <f>ROUND(VLOOKUP($C15,RLS!$C$32:$P$36,14,FALSE)*'Unit Distribution'!$C$3,0)</f>
        <v>0</v>
      </c>
      <c r="T15">
        <f>ROUND(VLOOKUP($C15,RLS!$C$32:$P$36,14,FALSE)*'Unit Distribution'!$C$3,0)</f>
        <v>0</v>
      </c>
      <c r="U15">
        <f>ROUND(VLOOKUP($C15,RLS!$C$32:$P$36,14,FALSE)*'Unit Distribution'!$C$3,0)</f>
        <v>0</v>
      </c>
      <c r="V15">
        <f>ROUND(VLOOKUP($C15,RLS!$C$32:$P$36,14,FALSE)*'Unit Distribution'!$C$3,0)</f>
        <v>0</v>
      </c>
      <c r="W15">
        <f>ROUND(VLOOKUP($C15,RLS!$C$32:$P$36,14,FALSE)*'Unit Distribution'!$C$3,0)</f>
        <v>0</v>
      </c>
      <c r="X15">
        <f>ROUND(VLOOKUP($C15,RLS!$C$32:$P$36,14,FALSE)*'Unit Distribution'!$C$3,0)</f>
        <v>0</v>
      </c>
      <c r="Y15">
        <f>ROUND(VLOOKUP($C15,RLS!$C$32:$P$36,14,FALSE)*'Unit Distribution'!$C$3,0)</f>
        <v>0</v>
      </c>
      <c r="Z15">
        <f>ROUND(VLOOKUP($C15,RLS!$C$32:$P$36,14,FALSE)*'Unit Distribution'!$C$3,0)</f>
        <v>0</v>
      </c>
      <c r="AA15">
        <f>ROUND(VLOOKUP($C15,RLS!$C$32:$P$36,14,FALSE)*'Unit Distribution'!$C$3,0)</f>
        <v>0</v>
      </c>
      <c r="AB15">
        <f>ROUND(VLOOKUP($C15,RLS!$C$32:$P$36,14,FALSE)*'Unit Distribution'!$C$3,0)</f>
        <v>0</v>
      </c>
      <c r="AC15">
        <f>ROUND(VLOOKUP($C15,RLS!$C$32:$AB$36,26,FALSE)*'Unit Distribution'!$D$3,0)</f>
        <v>1</v>
      </c>
      <c r="AD15">
        <f>ROUND(VLOOKUP($C15,RLS!$C$32:$AB$36,26,FALSE)*'Unit Distribution'!$D$3,0)</f>
        <v>1</v>
      </c>
      <c r="AE15">
        <f>ROUND(VLOOKUP($C15,RLS!$C$32:$AB$36,26,FALSE)*'Unit Distribution'!$D$3,0)</f>
        <v>1</v>
      </c>
      <c r="AF15">
        <f>ROUND(VLOOKUP($C15,RLS!$C$32:$AB$36,26,FALSE)*'Unit Distribution'!$D$3,0)</f>
        <v>1</v>
      </c>
      <c r="AG15">
        <f>ROUND(VLOOKUP($C15,RLS!$C$32:$AB$36,26,FALSE)*'Unit Distribution'!$D$3,0)</f>
        <v>1</v>
      </c>
      <c r="AH15">
        <f>ROUND(VLOOKUP($C15,RLS!$C$32:$AB$36,26,FALSE)*'Unit Distribution'!$D$3,0)</f>
        <v>1</v>
      </c>
      <c r="AI15">
        <f>ROUND(VLOOKUP($C15,RLS!$C$32:$AB$36,26,FALSE)*'Unit Distribution'!$D$3,0)</f>
        <v>1</v>
      </c>
      <c r="AJ15">
        <f>ROUND(VLOOKUP($C15,RLS!$C$32:$AB$36,26,FALSE)*'Unit Distribution'!$D$3,0)</f>
        <v>1</v>
      </c>
      <c r="AK15">
        <f>ROUND(VLOOKUP($C15,RLS!$C$32:$AB$36,26,FALSE)*'Unit Distribution'!$D$3,0)</f>
        <v>1</v>
      </c>
      <c r="AL15">
        <f>ROUND(VLOOKUP($C15,RLS!$C$32:$AB$36,26,FALSE)*'Unit Distribution'!$D$3,0)</f>
        <v>1</v>
      </c>
      <c r="AM15">
        <f>ROUND(VLOOKUP($C15,RLS!$C$32:$AB$36,26,FALSE)*'Unit Distribution'!$D$3,0)</f>
        <v>1</v>
      </c>
      <c r="AN15">
        <f>ROUND(VLOOKUP($C15,RLS!$C$32:$AB$36,26,FALSE)*'Unit Distribution'!$D$3,0)</f>
        <v>1</v>
      </c>
      <c r="AO15">
        <f>ROUND(VLOOKUP($C15,RLS!$C$32:$AN$36,38,FALSE)*'Unit Distribution'!$E$3,0)</f>
        <v>0</v>
      </c>
      <c r="AP15">
        <f>ROUND(VLOOKUP($C15,RLS!$C$32:$AN$36,38,FALSE)*'Unit Distribution'!$E$3,0)</f>
        <v>0</v>
      </c>
      <c r="AQ15">
        <f>ROUND(VLOOKUP($C15,RLS!$C$32:$AN$36,38,FALSE)*'Unit Distribution'!$E$3,0)</f>
        <v>0</v>
      </c>
      <c r="AR15">
        <f>ROUND(VLOOKUP($C15,RLS!$C$32:$AN$36,38,FALSE)*'Unit Distribution'!$E$3,0)</f>
        <v>0</v>
      </c>
      <c r="AS15">
        <f>ROUND(VLOOKUP($C15,RLS!$C$32:$AN$36,38,FALSE)*'Unit Distribution'!$E$3,0)</f>
        <v>0</v>
      </c>
      <c r="AT15">
        <f>ROUND(VLOOKUP($C15,RLS!$C$32:$AN$36,38,FALSE)*'Unit Distribution'!$E$3,0)</f>
        <v>0</v>
      </c>
      <c r="AU15">
        <f>ROUND(VLOOKUP($C15,RLS!$C$32:$AN$36,38,FALSE)*'Unit Distribution'!$E$3,0)</f>
        <v>0</v>
      </c>
      <c r="AV15">
        <f>ROUND(VLOOKUP($C15,RLS!$C$32:$AN$36,38,FALSE)*'Unit Distribution'!$E$3,0)</f>
        <v>0</v>
      </c>
      <c r="AW15">
        <f>ROUND(VLOOKUP($C15,RLS!$C$32:$AN$36,38,FALSE)*'Unit Distribution'!$E$3,0)</f>
        <v>0</v>
      </c>
      <c r="AX15">
        <f>ROUND(VLOOKUP($C15,RLS!$C$32:$AN$36,38,FALSE)*'Unit Distribution'!$E$3,0)</f>
        <v>0</v>
      </c>
      <c r="AY15">
        <f>ROUND(VLOOKUP($C15,RLS!$C$32:$AN$36,38,FALSE)*'Unit Distribution'!$E$3,0)</f>
        <v>0</v>
      </c>
      <c r="AZ15">
        <f>ROUND(VLOOKUP($C15,RLS!$C$32:$AN$36,38,FALSE)*'Unit Distribution'!$E$3,0)</f>
        <v>0</v>
      </c>
      <c r="BA15">
        <f>ROUND(VLOOKUP($C15,RLS!$C$32:$AZ$36,50,FALSE)*'Unit Distribution'!$F$3,0)</f>
        <v>0</v>
      </c>
      <c r="BB15">
        <f>ROUND(VLOOKUP($C15,RLS!$C$32:$AZ$36,50,FALSE)*'Unit Distribution'!$F$3,0)</f>
        <v>0</v>
      </c>
      <c r="BC15">
        <f>ROUND(VLOOKUP($C15,RLS!$C$32:$AZ$36,50,FALSE)*'Unit Distribution'!$F$3,0)</f>
        <v>0</v>
      </c>
      <c r="BD15">
        <f>ROUND(VLOOKUP($C15,RLS!$C$32:$AZ$36,50,FALSE)*'Unit Distribution'!$F$3,0)</f>
        <v>0</v>
      </c>
      <c r="BE15">
        <f>ROUND(VLOOKUP($C15,RLS!$C$32:$AZ$36,50,FALSE)*'Unit Distribution'!$F$3,0)</f>
        <v>0</v>
      </c>
      <c r="BF15">
        <f>ROUND(VLOOKUP($C15,RLS!$C$32:$AZ$36,50,FALSE)*'Unit Distribution'!$F$3,0)</f>
        <v>0</v>
      </c>
      <c r="BG15">
        <f>ROUND(VLOOKUP($C15,RLS!$C$32:$AZ$36,50,FALSE)*'Unit Distribution'!$F$3,0)</f>
        <v>0</v>
      </c>
      <c r="BH15">
        <f>ROUND(VLOOKUP($C15,RLS!$C$32:$AZ$36,50,FALSE)*'Unit Distribution'!$F$3,0)</f>
        <v>0</v>
      </c>
      <c r="BI15">
        <f>ROUND(VLOOKUP($C15,RLS!$C$32:$AZ$36,50,FALSE)*'Unit Distribution'!$F$3,0)</f>
        <v>0</v>
      </c>
      <c r="BJ15">
        <f>ROUND(VLOOKUP($C15,RLS!$C$32:$AZ$36,50,FALSE)*'Unit Distribution'!$F$3,0)</f>
        <v>0</v>
      </c>
      <c r="BK15">
        <f>ROUND(VLOOKUP($C15,RLS!$C$32:$AZ$36,50,FALSE)*'Unit Distribution'!$F$3,0)</f>
        <v>0</v>
      </c>
      <c r="BL15">
        <f>ROUND(VLOOKUP($C15,RLS!$C$32:$AZ$36,50,FALSE)*'Unit Distribution'!$F$3,0)</f>
        <v>0</v>
      </c>
    </row>
    <row r="16" spans="1:64" x14ac:dyDescent="0.35">
      <c r="A16" t="s">
        <v>64</v>
      </c>
      <c r="B16" t="s">
        <v>75</v>
      </c>
      <c r="C16" t="str">
        <f t="shared" si="0"/>
        <v>BSAOnsite</v>
      </c>
      <c r="D16" t="s">
        <v>67</v>
      </c>
      <c r="E16">
        <f>ROUND(VLOOKUP($C16,RLS!$C$32:$O$36,2,FALSE)*'Unit Distribution'!$B$4,0)</f>
        <v>1</v>
      </c>
      <c r="F16">
        <f>ROUND(VLOOKUP($C16,RLS!$C$32:$O$36,3,FALSE)*'Unit Distribution'!$B$4,0)</f>
        <v>1</v>
      </c>
      <c r="G16">
        <f>ROUND(VLOOKUP($C16,RLS!$C$32:$O$36,4,FALSE)*'Unit Distribution'!$B$4,0)</f>
        <v>1</v>
      </c>
      <c r="H16">
        <f>ROUND(VLOOKUP($C16,RLS!$C$32:$O$36,5,FALSE)*'Unit Distribution'!$B$4,0)</f>
        <v>1</v>
      </c>
      <c r="I16">
        <f>ROUND(VLOOKUP($C16,RLS!$C$32:$O$36,6,FALSE)*'Unit Distribution'!$B$4,0)</f>
        <v>1</v>
      </c>
      <c r="J16">
        <f>ROUND(VLOOKUP($C16,RLS!$C$32:$O$36,7,FALSE)*'Unit Distribution'!$B$4,0)</f>
        <v>1</v>
      </c>
      <c r="K16">
        <f>ROUND(VLOOKUP($C16,RLS!$C$32:$O$36,8,FALSE)*'Unit Distribution'!$B$4,0)</f>
        <v>1</v>
      </c>
      <c r="L16">
        <f>ROUND(VLOOKUP($C16,RLS!$C$32:$O$36,9,FALSE)*'Unit Distribution'!$B$4,0)</f>
        <v>1</v>
      </c>
      <c r="M16">
        <f>ROUND(VLOOKUP($C16,RLS!$C$32:$O$36,10,FALSE)*'Unit Distribution'!$B$4,0)</f>
        <v>1</v>
      </c>
      <c r="N16">
        <f>ROUND(VLOOKUP($C16,RLS!$C$32:$O$36,11,FALSE)*'Unit Distribution'!$B$4,0)</f>
        <v>1</v>
      </c>
      <c r="O16">
        <f>ROUND(VLOOKUP($C16,RLS!$C$32:$O$36,12,FALSE)*'Unit Distribution'!$B$4,0)</f>
        <v>1</v>
      </c>
      <c r="P16">
        <f>ROUND(VLOOKUP($C16,RLS!$C$32:$O$36,13,FALSE)*'Unit Distribution'!$B$4,0)</f>
        <v>1</v>
      </c>
      <c r="Q16">
        <f>ROUND(VLOOKUP($C16,RLS!$C$32:$P$36,14,FALSE)*'Unit Distribution'!$C$4,0)</f>
        <v>0</v>
      </c>
      <c r="R16">
        <f>ROUND(VLOOKUP($C16,RLS!$C$32:$P$36,14,FALSE)*'Unit Distribution'!$C$4,0)</f>
        <v>0</v>
      </c>
      <c r="S16">
        <f>ROUND(VLOOKUP($C16,RLS!$C$32:$P$36,14,FALSE)*'Unit Distribution'!$C$4,0)</f>
        <v>0</v>
      </c>
      <c r="T16">
        <f>ROUND(VLOOKUP($C16,RLS!$C$32:$P$36,14,FALSE)*'Unit Distribution'!$C$4,0)</f>
        <v>0</v>
      </c>
      <c r="U16">
        <f>ROUND(VLOOKUP($C16,RLS!$C$32:$P$36,14,FALSE)*'Unit Distribution'!$C$4,0)</f>
        <v>0</v>
      </c>
      <c r="V16">
        <f>ROUND(VLOOKUP($C16,RLS!$C$32:$P$36,14,FALSE)*'Unit Distribution'!$C$4,0)</f>
        <v>0</v>
      </c>
      <c r="W16">
        <f>ROUND(VLOOKUP($C16,RLS!$C$32:$P$36,14,FALSE)*'Unit Distribution'!$C$4,0)</f>
        <v>0</v>
      </c>
      <c r="X16">
        <f>ROUND(VLOOKUP($C16,RLS!$C$32:$P$36,14,FALSE)*'Unit Distribution'!$C$4,0)</f>
        <v>0</v>
      </c>
      <c r="Y16">
        <f>ROUND(VLOOKUP($C16,RLS!$C$32:$P$36,14,FALSE)*'Unit Distribution'!$C$4,0)</f>
        <v>0</v>
      </c>
      <c r="Z16">
        <f>ROUND(VLOOKUP($C16,RLS!$C$32:$P$36,14,FALSE)*'Unit Distribution'!$C$4,0)</f>
        <v>0</v>
      </c>
      <c r="AA16">
        <f>ROUND(VLOOKUP($C16,RLS!$C$32:$P$36,14,FALSE)*'Unit Distribution'!$C$4,0)</f>
        <v>0</v>
      </c>
      <c r="AB16">
        <f>ROUND(VLOOKUP($C16,RLS!$C$32:$P$36,14,FALSE)*'Unit Distribution'!$C$4,0)</f>
        <v>0</v>
      </c>
      <c r="AC16">
        <f>VLOOKUP($C16,RLS!$C$32:$AB$36,26,FALSE)-AC15-AC17</f>
        <v>0</v>
      </c>
      <c r="AD16">
        <f>VLOOKUP($C16,RLS!$C$32:$AB$36,26,FALSE)-AD15-AD17</f>
        <v>0</v>
      </c>
      <c r="AE16">
        <f>VLOOKUP($C16,RLS!$C$32:$AB$36,26,FALSE)-AE15-AE17</f>
        <v>0</v>
      </c>
      <c r="AF16">
        <f>VLOOKUP($C16,RLS!$C$32:$AB$36,26,FALSE)-AF15-AF17</f>
        <v>0</v>
      </c>
      <c r="AG16">
        <f>VLOOKUP($C16,RLS!$C$32:$AB$36,26,FALSE)-AG15-AG17</f>
        <v>0</v>
      </c>
      <c r="AH16">
        <f>VLOOKUP($C16,RLS!$C$32:$AB$36,26,FALSE)-AH15-AH17</f>
        <v>0</v>
      </c>
      <c r="AI16">
        <f>VLOOKUP($C16,RLS!$C$32:$AB$36,26,FALSE)-AI15-AI17</f>
        <v>0</v>
      </c>
      <c r="AJ16">
        <f>VLOOKUP($C16,RLS!$C$32:$AB$36,26,FALSE)-AJ15-AJ17</f>
        <v>0</v>
      </c>
      <c r="AK16">
        <f>VLOOKUP($C16,RLS!$C$32:$AB$36,26,FALSE)-AK15-AK17</f>
        <v>0</v>
      </c>
      <c r="AL16">
        <f>VLOOKUP($C16,RLS!$C$32:$AB$36,26,FALSE)-AL15-AL17</f>
        <v>0</v>
      </c>
      <c r="AM16">
        <f>VLOOKUP($C16,RLS!$C$32:$AB$36,26,FALSE)-AM15-AM17</f>
        <v>0</v>
      </c>
      <c r="AN16">
        <f>VLOOKUP($C16,RLS!$C$32:$AB$36,26,FALSE)-AN15-AN17</f>
        <v>0</v>
      </c>
      <c r="AO16">
        <f>VLOOKUP($C16,RLS!$C$32:$AN$36,38,FALSE)-AO15-AO17</f>
        <v>0</v>
      </c>
      <c r="AP16">
        <f>VLOOKUP($C16,RLS!$C$32:$AN$36,38,FALSE)-AP15-AP17</f>
        <v>0</v>
      </c>
      <c r="AQ16">
        <f>VLOOKUP($C16,RLS!$C$32:$AN$36,38,FALSE)-AQ15-AQ17</f>
        <v>0</v>
      </c>
      <c r="AR16">
        <f>VLOOKUP($C16,RLS!$C$32:$AN$36,38,FALSE)-AR15-AR17</f>
        <v>0</v>
      </c>
      <c r="AS16">
        <f>VLOOKUP($C16,RLS!$C$32:$AN$36,38,FALSE)-AS15-AS17</f>
        <v>0</v>
      </c>
      <c r="AT16">
        <f>VLOOKUP($C16,RLS!$C$32:$AN$36,38,FALSE)-AT15-AT17</f>
        <v>0</v>
      </c>
      <c r="AU16">
        <f>VLOOKUP($C16,RLS!$C$32:$AN$36,38,FALSE)-AU15-AU17</f>
        <v>0</v>
      </c>
      <c r="AV16">
        <f>VLOOKUP($C16,RLS!$C$32:$AN$36,38,FALSE)-AV15-AV17</f>
        <v>0</v>
      </c>
      <c r="AW16">
        <f>VLOOKUP($C16,RLS!$C$32:$AN$36,38,FALSE)-AW15-AW17</f>
        <v>0</v>
      </c>
      <c r="AX16">
        <f>VLOOKUP($C16,RLS!$C$32:$AN$36,38,FALSE)-AX15-AX17</f>
        <v>0</v>
      </c>
      <c r="AY16">
        <f>VLOOKUP($C16,RLS!$C$32:$AN$36,38,FALSE)-AY15-AY17</f>
        <v>0</v>
      </c>
      <c r="AZ16">
        <f>VLOOKUP($C16,RLS!$C$32:$AN$36,38,FALSE)-AZ15-AZ17</f>
        <v>0</v>
      </c>
      <c r="BA16">
        <f>VLOOKUP($C16,RLS!$C$32:$AZ$36,50,FALSE)-BA15-BA17</f>
        <v>0</v>
      </c>
      <c r="BB16">
        <f>VLOOKUP($C16,RLS!$C$32:$AZ$36,50,FALSE)-BB15-BB17</f>
        <v>0</v>
      </c>
      <c r="BC16">
        <f>VLOOKUP($C16,RLS!$C$32:$AZ$36,50,FALSE)-BC15-BC17</f>
        <v>0</v>
      </c>
      <c r="BD16">
        <f>VLOOKUP($C16,RLS!$C$32:$AZ$36,50,FALSE)-BD15-BD17</f>
        <v>0</v>
      </c>
      <c r="BE16">
        <f>VLOOKUP($C16,RLS!$C$32:$AZ$36,50,FALSE)-BE15-BE17</f>
        <v>0</v>
      </c>
      <c r="BF16">
        <f>VLOOKUP($C16,RLS!$C$32:$AZ$36,50,FALSE)-BF15-BF17</f>
        <v>0</v>
      </c>
      <c r="BG16">
        <f>VLOOKUP($C16,RLS!$C$32:$AZ$36,50,FALSE)-BG15-BG17</f>
        <v>0</v>
      </c>
      <c r="BH16">
        <f>VLOOKUP($C16,RLS!$C$32:$AZ$36,50,FALSE)-BH15-BH17</f>
        <v>0</v>
      </c>
      <c r="BI16">
        <f>VLOOKUP($C16,RLS!$C$32:$AZ$36,50,FALSE)-BI15-BI17</f>
        <v>0</v>
      </c>
      <c r="BJ16">
        <f>VLOOKUP($C16,RLS!$C$32:$AZ$36,50,FALSE)-BJ15-BJ17</f>
        <v>0</v>
      </c>
      <c r="BK16">
        <f>VLOOKUP($C16,RLS!$C$32:$AZ$36,50,FALSE)-BK15-BK17</f>
        <v>0</v>
      </c>
      <c r="BL16">
        <f>VLOOKUP($C16,RLS!$C$32:$AZ$36,50,FALSE)-BL15-BL17</f>
        <v>0</v>
      </c>
    </row>
    <row r="17" spans="1:64" x14ac:dyDescent="0.35">
      <c r="A17" t="s">
        <v>64</v>
      </c>
      <c r="B17" t="s">
        <v>75</v>
      </c>
      <c r="C17" t="str">
        <f t="shared" si="0"/>
        <v>BSAOnsite</v>
      </c>
      <c r="D17" t="s">
        <v>68</v>
      </c>
      <c r="E17">
        <f>VLOOKUP($C17,RLS!$C$32:$O$36,2,FALSE)-E15-E16</f>
        <v>0</v>
      </c>
      <c r="F17">
        <f>VLOOKUP($C17,RLS!$C$32:$O$36,3,FALSE)-F15-F16</f>
        <v>0</v>
      </c>
      <c r="G17">
        <f>VLOOKUP($C17,RLS!$C$32:$O$36,4,FALSE)-G15-G16</f>
        <v>0</v>
      </c>
      <c r="H17">
        <f>VLOOKUP($C17,RLS!$C$32:$O$36,5,FALSE)-H15-H16</f>
        <v>0</v>
      </c>
      <c r="I17">
        <f>VLOOKUP($C17,RLS!$C$32:$O$36,6,FALSE)-I15-I16</f>
        <v>0</v>
      </c>
      <c r="J17">
        <f>VLOOKUP($C17,RLS!$C$32:$O$36,7,FALSE)-J15-J16</f>
        <v>0</v>
      </c>
      <c r="K17">
        <f>VLOOKUP($C17,RLS!$C$32:$O$36,8,FALSE)-K15-K16</f>
        <v>0</v>
      </c>
      <c r="L17">
        <f>VLOOKUP($C17,RLS!$C$32:$O$36,9,FALSE)-L15-L16</f>
        <v>0</v>
      </c>
      <c r="M17">
        <f>VLOOKUP($C17,RLS!$C$32:$O$36,10,FALSE)-M15-M16</f>
        <v>0</v>
      </c>
      <c r="N17">
        <f>VLOOKUP($C17,RLS!$C$32:$O$36,11,FALSE)-N15-N16</f>
        <v>0</v>
      </c>
      <c r="O17">
        <f>VLOOKUP($C17,RLS!$C$32:$O$36,12,FALSE)-O15-O16</f>
        <v>0</v>
      </c>
      <c r="P17">
        <f>VLOOKUP($C17,RLS!$C$32:$O$36,13,FALSE)-P15-P16</f>
        <v>0</v>
      </c>
      <c r="Q17">
        <f>VLOOKUP($C17,RLS!$C$32:$P$36,14,FALSE)-Q15-Q16</f>
        <v>1</v>
      </c>
      <c r="R17">
        <f>VLOOKUP($C17,RLS!$C$32:$P$36,14,FALSE)-R15-R16</f>
        <v>1</v>
      </c>
      <c r="S17">
        <f>VLOOKUP($C17,RLS!$C$32:$P$36,14,FALSE)-S15-S16</f>
        <v>1</v>
      </c>
      <c r="T17">
        <f>VLOOKUP($C17,RLS!$C$32:$P$36,14,FALSE)-T15-T16</f>
        <v>1</v>
      </c>
      <c r="U17">
        <f>VLOOKUP($C17,RLS!$C$32:$P$36,14,FALSE)-U15-U16</f>
        <v>1</v>
      </c>
      <c r="V17">
        <f>VLOOKUP($C17,RLS!$C$32:$P$36,14,FALSE)-V15-V16</f>
        <v>1</v>
      </c>
      <c r="W17">
        <f>VLOOKUP($C17,RLS!$C$32:$P$36,14,FALSE)-W15-W16</f>
        <v>1</v>
      </c>
      <c r="X17">
        <f>VLOOKUP($C17,RLS!$C$32:$P$36,14,FALSE)-X15-X16</f>
        <v>1</v>
      </c>
      <c r="Y17">
        <f>VLOOKUP($C17,RLS!$C$32:$P$36,14,FALSE)-Y15-Y16</f>
        <v>1</v>
      </c>
      <c r="Z17">
        <f>VLOOKUP($C17,RLS!$C$32:$P$36,14,FALSE)-Z15-Z16</f>
        <v>1</v>
      </c>
      <c r="AA17">
        <f>VLOOKUP($C17,RLS!$C$32:$P$36,14,FALSE)-AA15-AA16</f>
        <v>1</v>
      </c>
      <c r="AB17">
        <f>VLOOKUP($C17,RLS!$C$32:$P$36,14,FALSE)-AB15-AB16</f>
        <v>1</v>
      </c>
      <c r="AC17">
        <f>ROUND(VLOOKUP($C17,RLS!$C$32:$AB$36,26,FALSE)*'Unit Distribution'!$D$5,0)</f>
        <v>0</v>
      </c>
      <c r="AD17">
        <f>ROUND(VLOOKUP($C17,RLS!$C$32:$AB$36,26,FALSE)*'Unit Distribution'!$D$5,0)</f>
        <v>0</v>
      </c>
      <c r="AE17">
        <f>ROUND(VLOOKUP($C17,RLS!$C$32:$AB$36,26,FALSE)*'Unit Distribution'!$D$5,0)</f>
        <v>0</v>
      </c>
      <c r="AF17">
        <f>ROUND(VLOOKUP($C17,RLS!$C$32:$AB$36,26,FALSE)*'Unit Distribution'!$D$5,0)</f>
        <v>0</v>
      </c>
      <c r="AG17">
        <f>ROUND(VLOOKUP($C17,RLS!$C$32:$AB$36,26,FALSE)*'Unit Distribution'!$D$5,0)</f>
        <v>0</v>
      </c>
      <c r="AH17">
        <f>ROUND(VLOOKUP($C17,RLS!$C$32:$AB$36,26,FALSE)*'Unit Distribution'!$D$5,0)</f>
        <v>0</v>
      </c>
      <c r="AI17">
        <f>ROUND(VLOOKUP($C17,RLS!$C$32:$AB$36,26,FALSE)*'Unit Distribution'!$D$5,0)</f>
        <v>0</v>
      </c>
      <c r="AJ17">
        <f>ROUND(VLOOKUP($C17,RLS!$C$32:$AB$36,26,FALSE)*'Unit Distribution'!$D$5,0)</f>
        <v>0</v>
      </c>
      <c r="AK17">
        <f>ROUND(VLOOKUP($C17,RLS!$C$32:$AB$36,26,FALSE)*'Unit Distribution'!$D$5,0)</f>
        <v>0</v>
      </c>
      <c r="AL17">
        <f>ROUND(VLOOKUP($C17,RLS!$C$32:$AB$36,26,FALSE)*'Unit Distribution'!$D$5,0)</f>
        <v>0</v>
      </c>
      <c r="AM17">
        <f>ROUND(VLOOKUP($C17,RLS!$C$32:$AB$36,26,FALSE)*'Unit Distribution'!$D$5,0)</f>
        <v>0</v>
      </c>
      <c r="AN17">
        <f>ROUND(VLOOKUP($C17,RLS!$C$32:$AB$36,26,FALSE)*'Unit Distribution'!$D$5,0)</f>
        <v>0</v>
      </c>
      <c r="AO17">
        <f>ROUND(VLOOKUP($C17,RLS!$C$32:$AN$36,38,FALSE)*'Unit Distribution'!$E$5,0)</f>
        <v>0</v>
      </c>
      <c r="AP17">
        <f>ROUND(VLOOKUP($C17,RLS!$C$32:$AN$36,38,FALSE)*'Unit Distribution'!$E$5,0)</f>
        <v>0</v>
      </c>
      <c r="AQ17">
        <f>ROUND(VLOOKUP($C17,RLS!$C$32:$AN$36,38,FALSE)*'Unit Distribution'!$E$5,0)</f>
        <v>0</v>
      </c>
      <c r="AR17">
        <f>ROUND(VLOOKUP($C17,RLS!$C$32:$AN$36,38,FALSE)*'Unit Distribution'!$E$5,0)</f>
        <v>0</v>
      </c>
      <c r="AS17">
        <f>ROUND(VLOOKUP($C17,RLS!$C$32:$AN$36,38,FALSE)*'Unit Distribution'!$E$5,0)</f>
        <v>0</v>
      </c>
      <c r="AT17">
        <f>ROUND(VLOOKUP($C17,RLS!$C$32:$AN$36,38,FALSE)*'Unit Distribution'!$E$5,0)</f>
        <v>0</v>
      </c>
      <c r="AU17">
        <f>ROUND(VLOOKUP($C17,RLS!$C$32:$AN$36,38,FALSE)*'Unit Distribution'!$E$5,0)</f>
        <v>0</v>
      </c>
      <c r="AV17">
        <f>ROUND(VLOOKUP($C17,RLS!$C$32:$AN$36,38,FALSE)*'Unit Distribution'!$E$5,0)</f>
        <v>0</v>
      </c>
      <c r="AW17">
        <f>ROUND(VLOOKUP($C17,RLS!$C$32:$AN$36,38,FALSE)*'Unit Distribution'!$E$5,0)</f>
        <v>0</v>
      </c>
      <c r="AX17">
        <f>ROUND(VLOOKUP($C17,RLS!$C$32:$AN$36,38,FALSE)*'Unit Distribution'!$E$5,0)</f>
        <v>0</v>
      </c>
      <c r="AY17">
        <f>ROUND(VLOOKUP($C17,RLS!$C$32:$AN$36,38,FALSE)*'Unit Distribution'!$E$5,0)</f>
        <v>0</v>
      </c>
      <c r="AZ17">
        <f>ROUND(VLOOKUP($C17,RLS!$C$32:$AN$36,38,FALSE)*'Unit Distribution'!$E$5,0)</f>
        <v>0</v>
      </c>
      <c r="BA17">
        <f>ROUND(VLOOKUP($C17,RLS!$C$32:$AZ$36,50,FALSE)*'Unit Distribution'!$F$5,0)</f>
        <v>0</v>
      </c>
      <c r="BB17">
        <f>ROUND(VLOOKUP($C17,RLS!$C$32:$AZ$36,50,FALSE)*'Unit Distribution'!$F$5,0)</f>
        <v>0</v>
      </c>
      <c r="BC17">
        <f>ROUND(VLOOKUP($C17,RLS!$C$32:$AZ$36,50,FALSE)*'Unit Distribution'!$F$5,0)</f>
        <v>0</v>
      </c>
      <c r="BD17">
        <f>ROUND(VLOOKUP($C17,RLS!$C$32:$AZ$36,50,FALSE)*'Unit Distribution'!$F$5,0)</f>
        <v>0</v>
      </c>
      <c r="BE17">
        <f>ROUND(VLOOKUP($C17,RLS!$C$32:$AZ$36,50,FALSE)*'Unit Distribution'!$F$5,0)</f>
        <v>0</v>
      </c>
      <c r="BF17">
        <f>ROUND(VLOOKUP($C17,RLS!$C$32:$AZ$36,50,FALSE)*'Unit Distribution'!$F$5,0)</f>
        <v>0</v>
      </c>
      <c r="BG17">
        <f>ROUND(VLOOKUP($C17,RLS!$C$32:$AZ$36,50,FALSE)*'Unit Distribution'!$F$5,0)</f>
        <v>0</v>
      </c>
      <c r="BH17">
        <f>ROUND(VLOOKUP($C17,RLS!$C$32:$AZ$36,50,FALSE)*'Unit Distribution'!$F$5,0)</f>
        <v>0</v>
      </c>
      <c r="BI17">
        <f>ROUND(VLOOKUP($C17,RLS!$C$32:$AZ$36,50,FALSE)*'Unit Distribution'!$F$5,0)</f>
        <v>0</v>
      </c>
      <c r="BJ17">
        <f>ROUND(VLOOKUP($C17,RLS!$C$32:$AZ$36,50,FALSE)*'Unit Distribution'!$F$5,0)</f>
        <v>0</v>
      </c>
      <c r="BK17">
        <f>ROUND(VLOOKUP($C17,RLS!$C$32:$AZ$36,50,FALSE)*'Unit Distribution'!$F$5,0)</f>
        <v>0</v>
      </c>
      <c r="BL17">
        <f>ROUND(VLOOKUP($C17,RLS!$C$32:$AZ$36,50,FALSE)*'Unit Distribution'!$F$5,0)</f>
        <v>0</v>
      </c>
    </row>
    <row r="18" spans="1:64" x14ac:dyDescent="0.35">
      <c r="A18" t="s">
        <v>69</v>
      </c>
      <c r="B18" t="s">
        <v>75</v>
      </c>
      <c r="C18" t="str">
        <f t="shared" si="0"/>
        <v>DevOnsite</v>
      </c>
      <c r="D18" t="s">
        <v>66</v>
      </c>
      <c r="E18">
        <f>ROUND(VLOOKUP($C18,RLS!$C$32:$O$36,2,FALSE)*'Unit Distribution'!$B$3,0)</f>
        <v>2</v>
      </c>
      <c r="F18">
        <f>ROUND(VLOOKUP($C18,RLS!$C$32:$O$36,3,FALSE)*'Unit Distribution'!$B$3,0)</f>
        <v>2</v>
      </c>
      <c r="G18">
        <f>ROUND(VLOOKUP($C18,RLS!$C$32:$O$36,4,FALSE)*'Unit Distribution'!$B$3,0)</f>
        <v>2</v>
      </c>
      <c r="H18">
        <f>ROUND(VLOOKUP($C18,RLS!$C$32:$O$36,5,FALSE)*'Unit Distribution'!$B$3,0)</f>
        <v>2</v>
      </c>
      <c r="I18">
        <f>ROUND(VLOOKUP($C18,RLS!$C$32:$O$36,6,FALSE)*'Unit Distribution'!$B$3,0)</f>
        <v>2</v>
      </c>
      <c r="J18">
        <f>ROUND(VLOOKUP($C18,RLS!$C$32:$O$36,7,FALSE)*'Unit Distribution'!$B$3,0)</f>
        <v>2</v>
      </c>
      <c r="K18">
        <f>ROUND(VLOOKUP($C18,RLS!$C$32:$O$36,8,FALSE)*'Unit Distribution'!$B$3,0)</f>
        <v>2</v>
      </c>
      <c r="L18">
        <f>ROUND(VLOOKUP($C18,RLS!$C$32:$O$36,9,FALSE)*'Unit Distribution'!$B$3,0)</f>
        <v>2</v>
      </c>
      <c r="M18">
        <f>ROUND(VLOOKUP($C18,RLS!$C$32:$O$36,10,FALSE)*'Unit Distribution'!$B$3,0)</f>
        <v>2</v>
      </c>
      <c r="N18">
        <f>ROUND(VLOOKUP($C18,RLS!$C$32:$O$36,11,FALSE)*'Unit Distribution'!$B$3,0)</f>
        <v>2</v>
      </c>
      <c r="O18">
        <f>ROUND(VLOOKUP($C18,RLS!$C$32:$O$36,12,FALSE)*'Unit Distribution'!$B$3,0)</f>
        <v>2</v>
      </c>
      <c r="P18">
        <f>ROUND(VLOOKUP($C18,RLS!$C$32:$O$36,13,FALSE)*'Unit Distribution'!$B$3,0)</f>
        <v>2</v>
      </c>
      <c r="Q18">
        <f>ROUND(VLOOKUP($C18,RLS!$C$32:$P$36,14,FALSE)*'Unit Distribution'!$C$3,0)</f>
        <v>1</v>
      </c>
      <c r="R18">
        <f>ROUND(VLOOKUP($C18,RLS!$C$32:$P$36,14,FALSE)*'Unit Distribution'!$C$3,0)</f>
        <v>1</v>
      </c>
      <c r="S18">
        <f>ROUND(VLOOKUP($C18,RLS!$C$32:$P$36,14,FALSE)*'Unit Distribution'!$C$3,0)</f>
        <v>1</v>
      </c>
      <c r="T18">
        <f>ROUND(VLOOKUP($C18,RLS!$C$32:$P$36,14,FALSE)*'Unit Distribution'!$C$3,0)</f>
        <v>1</v>
      </c>
      <c r="U18">
        <f>ROUND(VLOOKUP($C18,RLS!$C$32:$P$36,14,FALSE)*'Unit Distribution'!$C$3,0)</f>
        <v>1</v>
      </c>
      <c r="V18">
        <f>ROUND(VLOOKUP($C18,RLS!$C$32:$P$36,14,FALSE)*'Unit Distribution'!$C$3,0)</f>
        <v>1</v>
      </c>
      <c r="W18">
        <f>ROUND(VLOOKUP($C18,RLS!$C$32:$P$36,14,FALSE)*'Unit Distribution'!$C$3,0)</f>
        <v>1</v>
      </c>
      <c r="X18">
        <f>ROUND(VLOOKUP($C18,RLS!$C$32:$P$36,14,FALSE)*'Unit Distribution'!$C$3,0)</f>
        <v>1</v>
      </c>
      <c r="Y18">
        <f>ROUND(VLOOKUP($C18,RLS!$C$32:$P$36,14,FALSE)*'Unit Distribution'!$C$3,0)</f>
        <v>1</v>
      </c>
      <c r="Z18">
        <f>ROUND(VLOOKUP($C18,RLS!$C$32:$P$36,14,FALSE)*'Unit Distribution'!$C$3,0)</f>
        <v>1</v>
      </c>
      <c r="AA18">
        <f>ROUND(VLOOKUP($C18,RLS!$C$32:$P$36,14,FALSE)*'Unit Distribution'!$C$3,0)</f>
        <v>1</v>
      </c>
      <c r="AB18">
        <f>ROUND(VLOOKUP($C18,RLS!$C$32:$P$36,14,FALSE)*'Unit Distribution'!$C$3,0)</f>
        <v>1</v>
      </c>
      <c r="AC18">
        <f>ROUND(VLOOKUP($C18,RLS!$C$32:$AB$36,26,FALSE)*'Unit Distribution'!$D$3,0)</f>
        <v>1</v>
      </c>
      <c r="AD18">
        <f>ROUND(VLOOKUP($C18,RLS!$C$32:$AB$36,26,FALSE)*'Unit Distribution'!$D$3,0)</f>
        <v>1</v>
      </c>
      <c r="AE18">
        <f>ROUND(VLOOKUP($C18,RLS!$C$32:$AB$36,26,FALSE)*'Unit Distribution'!$D$3,0)</f>
        <v>1</v>
      </c>
      <c r="AF18">
        <f>ROUND(VLOOKUP($C18,RLS!$C$32:$AB$36,26,FALSE)*'Unit Distribution'!$D$3,0)</f>
        <v>1</v>
      </c>
      <c r="AG18">
        <f>ROUND(VLOOKUP($C18,RLS!$C$32:$AB$36,26,FALSE)*'Unit Distribution'!$D$3,0)</f>
        <v>1</v>
      </c>
      <c r="AH18">
        <f>ROUND(VLOOKUP($C18,RLS!$C$32:$AB$36,26,FALSE)*'Unit Distribution'!$D$3,0)</f>
        <v>1</v>
      </c>
      <c r="AI18">
        <f>ROUND(VLOOKUP($C18,RLS!$C$32:$AB$36,26,FALSE)*'Unit Distribution'!$D$3,0)</f>
        <v>1</v>
      </c>
      <c r="AJ18">
        <f>ROUND(VLOOKUP($C18,RLS!$C$32:$AB$36,26,FALSE)*'Unit Distribution'!$D$3,0)</f>
        <v>1</v>
      </c>
      <c r="AK18">
        <f>ROUND(VLOOKUP($C18,RLS!$C$32:$AB$36,26,FALSE)*'Unit Distribution'!$D$3,0)</f>
        <v>1</v>
      </c>
      <c r="AL18">
        <f>ROUND(VLOOKUP($C18,RLS!$C$32:$AB$36,26,FALSE)*'Unit Distribution'!$D$3,0)</f>
        <v>1</v>
      </c>
      <c r="AM18">
        <f>ROUND(VLOOKUP($C18,RLS!$C$32:$AB$36,26,FALSE)*'Unit Distribution'!$D$3,0)</f>
        <v>1</v>
      </c>
      <c r="AN18">
        <f>ROUND(VLOOKUP($C18,RLS!$C$32:$AB$36,26,FALSE)*'Unit Distribution'!$D$3,0)</f>
        <v>1</v>
      </c>
      <c r="AO18">
        <f>ROUND(VLOOKUP($C18,RLS!$C$32:$AN$36,38,FALSE)*'Unit Distribution'!$E$3,0)</f>
        <v>1</v>
      </c>
      <c r="AP18">
        <f>ROUND(VLOOKUP($C18,RLS!$C$32:$AN$36,38,FALSE)*'Unit Distribution'!$E$3,0)</f>
        <v>1</v>
      </c>
      <c r="AQ18">
        <f>ROUND(VLOOKUP($C18,RLS!$C$32:$AN$36,38,FALSE)*'Unit Distribution'!$E$3,0)</f>
        <v>1</v>
      </c>
      <c r="AR18">
        <f>ROUND(VLOOKUP($C18,RLS!$C$32:$AN$36,38,FALSE)*'Unit Distribution'!$E$3,0)</f>
        <v>1</v>
      </c>
      <c r="AS18">
        <f>ROUND(VLOOKUP($C18,RLS!$C$32:$AN$36,38,FALSE)*'Unit Distribution'!$E$3,0)</f>
        <v>1</v>
      </c>
      <c r="AT18">
        <f>ROUND(VLOOKUP($C18,RLS!$C$32:$AN$36,38,FALSE)*'Unit Distribution'!$E$3,0)</f>
        <v>1</v>
      </c>
      <c r="AU18">
        <f>ROUND(VLOOKUP($C18,RLS!$C$32:$AN$36,38,FALSE)*'Unit Distribution'!$E$3,0)</f>
        <v>1</v>
      </c>
      <c r="AV18">
        <f>ROUND(VLOOKUP($C18,RLS!$C$32:$AN$36,38,FALSE)*'Unit Distribution'!$E$3,0)</f>
        <v>1</v>
      </c>
      <c r="AW18">
        <f>ROUND(VLOOKUP($C18,RLS!$C$32:$AN$36,38,FALSE)*'Unit Distribution'!$E$3,0)</f>
        <v>1</v>
      </c>
      <c r="AX18">
        <f>ROUND(VLOOKUP($C18,RLS!$C$32:$AN$36,38,FALSE)*'Unit Distribution'!$E$3,0)</f>
        <v>1</v>
      </c>
      <c r="AY18">
        <f>ROUND(VLOOKUP($C18,RLS!$C$32:$AN$36,38,FALSE)*'Unit Distribution'!$E$3,0)</f>
        <v>1</v>
      </c>
      <c r="AZ18">
        <f>ROUND(VLOOKUP($C18,RLS!$C$32:$AN$36,38,FALSE)*'Unit Distribution'!$E$3,0)</f>
        <v>1</v>
      </c>
      <c r="BA18">
        <f>ROUND(VLOOKUP($C18,RLS!$C$32:$AZ$36,50,FALSE)*'Unit Distribution'!$F$3,0)</f>
        <v>1</v>
      </c>
      <c r="BB18">
        <f>ROUND(VLOOKUP($C18,RLS!$C$32:$AZ$36,50,FALSE)*'Unit Distribution'!$F$3,0)</f>
        <v>1</v>
      </c>
      <c r="BC18">
        <f>ROUND(VLOOKUP($C18,RLS!$C$32:$AZ$36,50,FALSE)*'Unit Distribution'!$F$3,0)</f>
        <v>1</v>
      </c>
      <c r="BD18">
        <f>ROUND(VLOOKUP($C18,RLS!$C$32:$AZ$36,50,FALSE)*'Unit Distribution'!$F$3,0)</f>
        <v>1</v>
      </c>
      <c r="BE18">
        <f>ROUND(VLOOKUP($C18,RLS!$C$32:$AZ$36,50,FALSE)*'Unit Distribution'!$F$3,0)</f>
        <v>1</v>
      </c>
      <c r="BF18">
        <f>ROUND(VLOOKUP($C18,RLS!$C$32:$AZ$36,50,FALSE)*'Unit Distribution'!$F$3,0)</f>
        <v>1</v>
      </c>
      <c r="BG18">
        <f>ROUND(VLOOKUP($C18,RLS!$C$32:$AZ$36,50,FALSE)*'Unit Distribution'!$F$3,0)</f>
        <v>1</v>
      </c>
      <c r="BH18">
        <f>ROUND(VLOOKUP($C18,RLS!$C$32:$AZ$36,50,FALSE)*'Unit Distribution'!$F$3,0)</f>
        <v>1</v>
      </c>
      <c r="BI18">
        <f>ROUND(VLOOKUP($C18,RLS!$C$32:$AZ$36,50,FALSE)*'Unit Distribution'!$F$3,0)</f>
        <v>1</v>
      </c>
      <c r="BJ18">
        <f>ROUND(VLOOKUP($C18,RLS!$C$32:$AZ$36,50,FALSE)*'Unit Distribution'!$F$3,0)</f>
        <v>1</v>
      </c>
      <c r="BK18">
        <f>ROUND(VLOOKUP($C18,RLS!$C$32:$AZ$36,50,FALSE)*'Unit Distribution'!$F$3,0)</f>
        <v>1</v>
      </c>
      <c r="BL18">
        <f>ROUND(VLOOKUP($C18,RLS!$C$32:$AZ$36,50,FALSE)*'Unit Distribution'!$F$3,0)</f>
        <v>1</v>
      </c>
    </row>
    <row r="19" spans="1:64" x14ac:dyDescent="0.35">
      <c r="A19" t="s">
        <v>69</v>
      </c>
      <c r="B19" t="s">
        <v>75</v>
      </c>
      <c r="C19" t="str">
        <f t="shared" si="0"/>
        <v>DevOnsite</v>
      </c>
      <c r="D19" t="s">
        <v>67</v>
      </c>
      <c r="E19">
        <f>ROUND(VLOOKUP($C19,RLS!$C$32:$O$36,2,FALSE)*'Unit Distribution'!$B$4,0)</f>
        <v>2</v>
      </c>
      <c r="F19">
        <f>ROUND(VLOOKUP($C19,RLS!$C$32:$O$36,3,FALSE)*'Unit Distribution'!$B$4,0)</f>
        <v>2</v>
      </c>
      <c r="G19">
        <f>ROUND(VLOOKUP($C19,RLS!$C$32:$O$36,4,FALSE)*'Unit Distribution'!$B$4,0)</f>
        <v>2</v>
      </c>
      <c r="H19">
        <f>ROUND(VLOOKUP($C19,RLS!$C$32:$O$36,5,FALSE)*'Unit Distribution'!$B$4,0)</f>
        <v>2</v>
      </c>
      <c r="I19">
        <f>ROUND(VLOOKUP($C19,RLS!$C$32:$O$36,6,FALSE)*'Unit Distribution'!$B$4,0)</f>
        <v>2</v>
      </c>
      <c r="J19">
        <f>ROUND(VLOOKUP($C19,RLS!$C$32:$O$36,7,FALSE)*'Unit Distribution'!$B$4,0)</f>
        <v>2</v>
      </c>
      <c r="K19">
        <f>ROUND(VLOOKUP($C19,RLS!$C$32:$O$36,8,FALSE)*'Unit Distribution'!$B$4,0)</f>
        <v>2</v>
      </c>
      <c r="L19">
        <f>ROUND(VLOOKUP($C19,RLS!$C$32:$O$36,9,FALSE)*'Unit Distribution'!$B$4,0)</f>
        <v>2</v>
      </c>
      <c r="M19">
        <f>ROUND(VLOOKUP($C19,RLS!$C$32:$O$36,10,FALSE)*'Unit Distribution'!$B$4,0)</f>
        <v>2</v>
      </c>
      <c r="N19">
        <f>ROUND(VLOOKUP($C19,RLS!$C$32:$O$36,11,FALSE)*'Unit Distribution'!$B$4,0)</f>
        <v>2</v>
      </c>
      <c r="O19">
        <f>ROUND(VLOOKUP($C19,RLS!$C$32:$O$36,12,FALSE)*'Unit Distribution'!$B$4,0)</f>
        <v>2</v>
      </c>
      <c r="P19">
        <f>ROUND(VLOOKUP($C19,RLS!$C$32:$O$36,13,FALSE)*'Unit Distribution'!$B$4,0)</f>
        <v>2</v>
      </c>
      <c r="Q19">
        <f>ROUND(VLOOKUP($C19,RLS!$C$32:$P$36,14,FALSE)*'Unit Distribution'!$C$4,0)</f>
        <v>2</v>
      </c>
      <c r="R19">
        <f>ROUND(VLOOKUP($C19,RLS!$C$32:$P$36,14,FALSE)*'Unit Distribution'!$C$4,0)</f>
        <v>2</v>
      </c>
      <c r="S19">
        <f>ROUND(VLOOKUP($C19,RLS!$C$32:$P$36,14,FALSE)*'Unit Distribution'!$C$4,0)</f>
        <v>2</v>
      </c>
      <c r="T19">
        <f>ROUND(VLOOKUP($C19,RLS!$C$32:$P$36,14,FALSE)*'Unit Distribution'!$C$4,0)</f>
        <v>2</v>
      </c>
      <c r="U19">
        <f>ROUND(VLOOKUP($C19,RLS!$C$32:$P$36,14,FALSE)*'Unit Distribution'!$C$4,0)</f>
        <v>2</v>
      </c>
      <c r="V19">
        <f>ROUND(VLOOKUP($C19,RLS!$C$32:$P$36,14,FALSE)*'Unit Distribution'!$C$4,0)</f>
        <v>2</v>
      </c>
      <c r="W19">
        <f>ROUND(VLOOKUP($C19,RLS!$C$32:$P$36,14,FALSE)*'Unit Distribution'!$C$4,0)</f>
        <v>2</v>
      </c>
      <c r="X19">
        <f>ROUND(VLOOKUP($C19,RLS!$C$32:$P$36,14,FALSE)*'Unit Distribution'!$C$4,0)</f>
        <v>2</v>
      </c>
      <c r="Y19">
        <f>ROUND(VLOOKUP($C19,RLS!$C$32:$P$36,14,FALSE)*'Unit Distribution'!$C$4,0)</f>
        <v>2</v>
      </c>
      <c r="Z19">
        <f>ROUND(VLOOKUP($C19,RLS!$C$32:$P$36,14,FALSE)*'Unit Distribution'!$C$4,0)</f>
        <v>2</v>
      </c>
      <c r="AA19">
        <f>ROUND(VLOOKUP($C19,RLS!$C$32:$P$36,14,FALSE)*'Unit Distribution'!$C$4,0)</f>
        <v>2</v>
      </c>
      <c r="AB19">
        <f>ROUND(VLOOKUP($C19,RLS!$C$32:$P$36,14,FALSE)*'Unit Distribution'!$C$4,0)</f>
        <v>2</v>
      </c>
      <c r="AC19">
        <f>VLOOKUP($C19,RLS!$C$32:$AB$36,26,FALSE)-AC18-AC20</f>
        <v>1</v>
      </c>
      <c r="AD19">
        <f>VLOOKUP($C19,RLS!$C$32:$AB$36,26,FALSE)-AD18-AD20</f>
        <v>1</v>
      </c>
      <c r="AE19">
        <f>VLOOKUP($C19,RLS!$C$32:$AB$36,26,FALSE)-AE18-AE20</f>
        <v>1</v>
      </c>
      <c r="AF19">
        <f>VLOOKUP($C19,RLS!$C$32:$AB$36,26,FALSE)-AF18-AF20</f>
        <v>1</v>
      </c>
      <c r="AG19">
        <f>VLOOKUP($C19,RLS!$C$32:$AB$36,26,FALSE)-AG18-AG20</f>
        <v>1</v>
      </c>
      <c r="AH19">
        <f>VLOOKUP($C19,RLS!$C$32:$AB$36,26,FALSE)-AH18-AH20</f>
        <v>1</v>
      </c>
      <c r="AI19">
        <f>VLOOKUP($C19,RLS!$C$32:$AB$36,26,FALSE)-AI18-AI20</f>
        <v>1</v>
      </c>
      <c r="AJ19">
        <f>VLOOKUP($C19,RLS!$C$32:$AB$36,26,FALSE)-AJ18-AJ20</f>
        <v>1</v>
      </c>
      <c r="AK19">
        <f>VLOOKUP($C19,RLS!$C$32:$AB$36,26,FALSE)-AK18-AK20</f>
        <v>1</v>
      </c>
      <c r="AL19">
        <f>VLOOKUP($C19,RLS!$C$32:$AB$36,26,FALSE)-AL18-AL20</f>
        <v>1</v>
      </c>
      <c r="AM19">
        <f>VLOOKUP($C19,RLS!$C$32:$AB$36,26,FALSE)-AM18-AM20</f>
        <v>1</v>
      </c>
      <c r="AN19">
        <f>VLOOKUP($C19,RLS!$C$32:$AB$36,26,FALSE)-AN18-AN20</f>
        <v>1</v>
      </c>
      <c r="AO19">
        <f>VLOOKUP($C19,RLS!$C$32:$AN$36,38,FALSE)-AO18-AO20</f>
        <v>1</v>
      </c>
      <c r="AP19">
        <f>VLOOKUP($C19,RLS!$C$32:$AN$36,38,FALSE)-AP18-AP20</f>
        <v>1</v>
      </c>
      <c r="AQ19">
        <f>VLOOKUP($C19,RLS!$C$32:$AN$36,38,FALSE)-AQ18-AQ20</f>
        <v>1</v>
      </c>
      <c r="AR19">
        <f>VLOOKUP($C19,RLS!$C$32:$AN$36,38,FALSE)-AR18-AR20</f>
        <v>1</v>
      </c>
      <c r="AS19">
        <f>VLOOKUP($C19,RLS!$C$32:$AN$36,38,FALSE)-AS18-AS20</f>
        <v>1</v>
      </c>
      <c r="AT19">
        <f>VLOOKUP($C19,RLS!$C$32:$AN$36,38,FALSE)-AT18-AT20</f>
        <v>1</v>
      </c>
      <c r="AU19">
        <f>VLOOKUP($C19,RLS!$C$32:$AN$36,38,FALSE)-AU18-AU20</f>
        <v>1</v>
      </c>
      <c r="AV19">
        <f>VLOOKUP($C19,RLS!$C$32:$AN$36,38,FALSE)-AV18-AV20</f>
        <v>1</v>
      </c>
      <c r="AW19">
        <f>VLOOKUP($C19,RLS!$C$32:$AN$36,38,FALSE)-AW18-AW20</f>
        <v>1</v>
      </c>
      <c r="AX19">
        <f>VLOOKUP($C19,RLS!$C$32:$AN$36,38,FALSE)-AX18-AX20</f>
        <v>1</v>
      </c>
      <c r="AY19">
        <f>VLOOKUP($C19,RLS!$C$32:$AN$36,38,FALSE)-AY18-AY20</f>
        <v>1</v>
      </c>
      <c r="AZ19">
        <f>VLOOKUP($C19,RLS!$C$32:$AN$36,38,FALSE)-AZ18-AZ20</f>
        <v>1</v>
      </c>
      <c r="BA19">
        <f>VLOOKUP($C19,RLS!$C$32:$AZ$36,50,FALSE)-BA18-BA20</f>
        <v>0</v>
      </c>
      <c r="BB19">
        <f>VLOOKUP($C19,RLS!$C$32:$AZ$36,50,FALSE)-BB18-BB20</f>
        <v>0</v>
      </c>
      <c r="BC19">
        <f>VLOOKUP($C19,RLS!$C$32:$AZ$36,50,FALSE)-BC18-BC20</f>
        <v>0</v>
      </c>
      <c r="BD19">
        <f>VLOOKUP($C19,RLS!$C$32:$AZ$36,50,FALSE)-BD18-BD20</f>
        <v>0</v>
      </c>
      <c r="BE19">
        <f>VLOOKUP($C19,RLS!$C$32:$AZ$36,50,FALSE)-BE18-BE20</f>
        <v>0</v>
      </c>
      <c r="BF19">
        <f>VLOOKUP($C19,RLS!$C$32:$AZ$36,50,FALSE)-BF18-BF20</f>
        <v>0</v>
      </c>
      <c r="BG19">
        <f>VLOOKUP($C19,RLS!$C$32:$AZ$36,50,FALSE)-BG18-BG20</f>
        <v>0</v>
      </c>
      <c r="BH19">
        <f>VLOOKUP($C19,RLS!$C$32:$AZ$36,50,FALSE)-BH18-BH20</f>
        <v>0</v>
      </c>
      <c r="BI19">
        <f>VLOOKUP($C19,RLS!$C$32:$AZ$36,50,FALSE)-BI18-BI20</f>
        <v>0</v>
      </c>
      <c r="BJ19">
        <f>VLOOKUP($C19,RLS!$C$32:$AZ$36,50,FALSE)-BJ18-BJ20</f>
        <v>0</v>
      </c>
      <c r="BK19">
        <f>VLOOKUP($C19,RLS!$C$32:$AZ$36,50,FALSE)-BK18-BK20</f>
        <v>0</v>
      </c>
      <c r="BL19">
        <f>VLOOKUP($C19,RLS!$C$32:$AZ$36,50,FALSE)-BL18-BL20</f>
        <v>0</v>
      </c>
    </row>
    <row r="20" spans="1:64" x14ac:dyDescent="0.35">
      <c r="A20" t="s">
        <v>69</v>
      </c>
      <c r="B20" t="s">
        <v>75</v>
      </c>
      <c r="C20" t="str">
        <f t="shared" si="0"/>
        <v>DevOnsite</v>
      </c>
      <c r="D20" t="s">
        <v>68</v>
      </c>
      <c r="E20">
        <f>VLOOKUP($C20,RLS!$C$32:$O$36,2,FALSE)-E18-E19</f>
        <v>1</v>
      </c>
      <c r="F20">
        <f>VLOOKUP($C20,RLS!$C$32:$O$36,3,FALSE)-F18-F19</f>
        <v>1</v>
      </c>
      <c r="G20">
        <f>VLOOKUP($C20,RLS!$C$32:$O$36,4,FALSE)-G18-G19</f>
        <v>1</v>
      </c>
      <c r="H20">
        <f>VLOOKUP($C20,RLS!$C$32:$O$36,5,FALSE)-H18-H19</f>
        <v>1</v>
      </c>
      <c r="I20">
        <f>VLOOKUP($C20,RLS!$C$32:$O$36,6,FALSE)-I18-I19</f>
        <v>1</v>
      </c>
      <c r="J20">
        <f>VLOOKUP($C20,RLS!$C$32:$O$36,7,FALSE)-J18-J19</f>
        <v>1</v>
      </c>
      <c r="K20">
        <f>VLOOKUP($C20,RLS!$C$32:$O$36,8,FALSE)-K18-K19</f>
        <v>1</v>
      </c>
      <c r="L20">
        <f>VLOOKUP($C20,RLS!$C$32:$O$36,9,FALSE)-L18-L19</f>
        <v>1</v>
      </c>
      <c r="M20">
        <f>VLOOKUP($C20,RLS!$C$32:$O$36,10,FALSE)-M18-M19</f>
        <v>1</v>
      </c>
      <c r="N20">
        <f>VLOOKUP($C20,RLS!$C$32:$O$36,11,FALSE)-N18-N19</f>
        <v>1</v>
      </c>
      <c r="O20">
        <f>VLOOKUP($C20,RLS!$C$32:$O$36,12,FALSE)-O18-O19</f>
        <v>1</v>
      </c>
      <c r="P20">
        <f>VLOOKUP($C20,RLS!$C$32:$O$36,13,FALSE)-P18-P19</f>
        <v>1</v>
      </c>
      <c r="Q20">
        <f>VLOOKUP($C20,RLS!$C$32:$P$36,14,FALSE)-Q18-Q19</f>
        <v>1</v>
      </c>
      <c r="R20">
        <f>VLOOKUP($C20,RLS!$C$32:$P$36,14,FALSE)-R18-R19</f>
        <v>1</v>
      </c>
      <c r="S20">
        <f>VLOOKUP($C20,RLS!$C$32:$P$36,14,FALSE)-S18-S19</f>
        <v>1</v>
      </c>
      <c r="T20">
        <f>VLOOKUP($C20,RLS!$C$32:$P$36,14,FALSE)-T18-T19</f>
        <v>1</v>
      </c>
      <c r="U20">
        <f>VLOOKUP($C20,RLS!$C$32:$P$36,14,FALSE)-U18-U19</f>
        <v>1</v>
      </c>
      <c r="V20">
        <f>VLOOKUP($C20,RLS!$C$32:$P$36,14,FALSE)-V18-V19</f>
        <v>1</v>
      </c>
      <c r="W20">
        <f>VLOOKUP($C20,RLS!$C$32:$P$36,14,FALSE)-W18-W19</f>
        <v>1</v>
      </c>
      <c r="X20">
        <f>VLOOKUP($C20,RLS!$C$32:$P$36,14,FALSE)-X18-X19</f>
        <v>1</v>
      </c>
      <c r="Y20">
        <f>VLOOKUP($C20,RLS!$C$32:$P$36,14,FALSE)-Y18-Y19</f>
        <v>1</v>
      </c>
      <c r="Z20">
        <f>VLOOKUP($C20,RLS!$C$32:$P$36,14,FALSE)-Z18-Z19</f>
        <v>1</v>
      </c>
      <c r="AA20">
        <f>VLOOKUP($C20,RLS!$C$32:$P$36,14,FALSE)-AA18-AA19</f>
        <v>1</v>
      </c>
      <c r="AB20">
        <f>VLOOKUP($C20,RLS!$C$32:$P$36,14,FALSE)-AB18-AB19</f>
        <v>1</v>
      </c>
      <c r="AC20">
        <f>ROUND(VLOOKUP($C20,RLS!$C$32:$AB$36,26,FALSE)*'Unit Distribution'!$D$5,0)</f>
        <v>0</v>
      </c>
      <c r="AD20">
        <f>ROUND(VLOOKUP($C20,RLS!$C$32:$AB$36,26,FALSE)*'Unit Distribution'!$D$5,0)</f>
        <v>0</v>
      </c>
      <c r="AE20">
        <f>ROUND(VLOOKUP($C20,RLS!$C$32:$AB$36,26,FALSE)*'Unit Distribution'!$D$5,0)</f>
        <v>0</v>
      </c>
      <c r="AF20">
        <f>ROUND(VLOOKUP($C20,RLS!$C$32:$AB$36,26,FALSE)*'Unit Distribution'!$D$5,0)</f>
        <v>0</v>
      </c>
      <c r="AG20">
        <f>ROUND(VLOOKUP($C20,RLS!$C$32:$AB$36,26,FALSE)*'Unit Distribution'!$D$5,0)</f>
        <v>0</v>
      </c>
      <c r="AH20">
        <f>ROUND(VLOOKUP($C20,RLS!$C$32:$AB$36,26,FALSE)*'Unit Distribution'!$D$5,0)</f>
        <v>0</v>
      </c>
      <c r="AI20">
        <f>ROUND(VLOOKUP($C20,RLS!$C$32:$AB$36,26,FALSE)*'Unit Distribution'!$D$5,0)</f>
        <v>0</v>
      </c>
      <c r="AJ20">
        <f>ROUND(VLOOKUP($C20,RLS!$C$32:$AB$36,26,FALSE)*'Unit Distribution'!$D$5,0)</f>
        <v>0</v>
      </c>
      <c r="AK20">
        <f>ROUND(VLOOKUP($C20,RLS!$C$32:$AB$36,26,FALSE)*'Unit Distribution'!$D$5,0)</f>
        <v>0</v>
      </c>
      <c r="AL20">
        <f>ROUND(VLOOKUP($C20,RLS!$C$32:$AB$36,26,FALSE)*'Unit Distribution'!$D$5,0)</f>
        <v>0</v>
      </c>
      <c r="AM20">
        <f>ROUND(VLOOKUP($C20,RLS!$C$32:$AB$36,26,FALSE)*'Unit Distribution'!$D$5,0)</f>
        <v>0</v>
      </c>
      <c r="AN20">
        <f>ROUND(VLOOKUP($C20,RLS!$C$32:$AB$36,26,FALSE)*'Unit Distribution'!$D$5,0)</f>
        <v>0</v>
      </c>
      <c r="AO20">
        <f>ROUND(VLOOKUP($C20,RLS!$C$32:$AN$36,38,FALSE)*'Unit Distribution'!$E$5,0)</f>
        <v>0</v>
      </c>
      <c r="AP20">
        <f>ROUND(VLOOKUP($C20,RLS!$C$32:$AN$36,38,FALSE)*'Unit Distribution'!$E$5,0)</f>
        <v>0</v>
      </c>
      <c r="AQ20">
        <f>ROUND(VLOOKUP($C20,RLS!$C$32:$AN$36,38,FALSE)*'Unit Distribution'!$E$5,0)</f>
        <v>0</v>
      </c>
      <c r="AR20">
        <f>ROUND(VLOOKUP($C20,RLS!$C$32:$AN$36,38,FALSE)*'Unit Distribution'!$E$5,0)</f>
        <v>0</v>
      </c>
      <c r="AS20">
        <f>ROUND(VLOOKUP($C20,RLS!$C$32:$AN$36,38,FALSE)*'Unit Distribution'!$E$5,0)</f>
        <v>0</v>
      </c>
      <c r="AT20">
        <f>ROUND(VLOOKUP($C20,RLS!$C$32:$AN$36,38,FALSE)*'Unit Distribution'!$E$5,0)</f>
        <v>0</v>
      </c>
      <c r="AU20">
        <f>ROUND(VLOOKUP($C20,RLS!$C$32:$AN$36,38,FALSE)*'Unit Distribution'!$E$5,0)</f>
        <v>0</v>
      </c>
      <c r="AV20">
        <f>ROUND(VLOOKUP($C20,RLS!$C$32:$AN$36,38,FALSE)*'Unit Distribution'!$E$5,0)</f>
        <v>0</v>
      </c>
      <c r="AW20">
        <f>ROUND(VLOOKUP($C20,RLS!$C$32:$AN$36,38,FALSE)*'Unit Distribution'!$E$5,0)</f>
        <v>0</v>
      </c>
      <c r="AX20">
        <f>ROUND(VLOOKUP($C20,RLS!$C$32:$AN$36,38,FALSE)*'Unit Distribution'!$E$5,0)</f>
        <v>0</v>
      </c>
      <c r="AY20">
        <f>ROUND(VLOOKUP($C20,RLS!$C$32:$AN$36,38,FALSE)*'Unit Distribution'!$E$5,0)</f>
        <v>0</v>
      </c>
      <c r="AZ20">
        <f>ROUND(VLOOKUP($C20,RLS!$C$32:$AN$36,38,FALSE)*'Unit Distribution'!$E$5,0)</f>
        <v>0</v>
      </c>
      <c r="BA20">
        <f>ROUND(VLOOKUP($C20,RLS!$C$32:$AZ$36,50,FALSE)*'Unit Distribution'!$F$5,0)</f>
        <v>0</v>
      </c>
      <c r="BB20">
        <f>ROUND(VLOOKUP($C20,RLS!$C$32:$AZ$36,50,FALSE)*'Unit Distribution'!$F$5,0)</f>
        <v>0</v>
      </c>
      <c r="BC20">
        <f>ROUND(VLOOKUP($C20,RLS!$C$32:$AZ$36,50,FALSE)*'Unit Distribution'!$F$5,0)</f>
        <v>0</v>
      </c>
      <c r="BD20">
        <f>ROUND(VLOOKUP($C20,RLS!$C$32:$AZ$36,50,FALSE)*'Unit Distribution'!$F$5,0)</f>
        <v>0</v>
      </c>
      <c r="BE20">
        <f>ROUND(VLOOKUP($C20,RLS!$C$32:$AZ$36,50,FALSE)*'Unit Distribution'!$F$5,0)</f>
        <v>0</v>
      </c>
      <c r="BF20">
        <f>ROUND(VLOOKUP($C20,RLS!$C$32:$AZ$36,50,FALSE)*'Unit Distribution'!$F$5,0)</f>
        <v>0</v>
      </c>
      <c r="BG20">
        <f>ROUND(VLOOKUP($C20,RLS!$C$32:$AZ$36,50,FALSE)*'Unit Distribution'!$F$5,0)</f>
        <v>0</v>
      </c>
      <c r="BH20">
        <f>ROUND(VLOOKUP($C20,RLS!$C$32:$AZ$36,50,FALSE)*'Unit Distribution'!$F$5,0)</f>
        <v>0</v>
      </c>
      <c r="BI20">
        <f>ROUND(VLOOKUP($C20,RLS!$C$32:$AZ$36,50,FALSE)*'Unit Distribution'!$F$5,0)</f>
        <v>0</v>
      </c>
      <c r="BJ20">
        <f>ROUND(VLOOKUP($C20,RLS!$C$32:$AZ$36,50,FALSE)*'Unit Distribution'!$F$5,0)</f>
        <v>0</v>
      </c>
      <c r="BK20">
        <f>ROUND(VLOOKUP($C20,RLS!$C$32:$AZ$36,50,FALSE)*'Unit Distribution'!$F$5,0)</f>
        <v>0</v>
      </c>
      <c r="BL20">
        <f>ROUND(VLOOKUP($C20,RLS!$C$32:$AZ$36,50,FALSE)*'Unit Distribution'!$F$5,0)</f>
        <v>0</v>
      </c>
    </row>
    <row r="21" spans="1:64" x14ac:dyDescent="0.35">
      <c r="A21" t="s">
        <v>70</v>
      </c>
      <c r="B21" t="s">
        <v>75</v>
      </c>
      <c r="C21" t="str">
        <f t="shared" si="0"/>
        <v>TesterOnsite</v>
      </c>
      <c r="D21" t="s">
        <v>66</v>
      </c>
      <c r="E21">
        <f>ROUND(VLOOKUP($C21,RLS!$C$32:$O$36,2,FALSE)*'Unit Distribution'!$B$3,0)</f>
        <v>0</v>
      </c>
      <c r="F21">
        <f>ROUND(VLOOKUP($C21,RLS!$C$32:$O$36,3,FALSE)*'Unit Distribution'!$B$3,0)</f>
        <v>0</v>
      </c>
      <c r="G21">
        <f>ROUND(VLOOKUP($C21,RLS!$C$32:$O$36,4,FALSE)*'Unit Distribution'!$B$3,0)</f>
        <v>0</v>
      </c>
      <c r="H21">
        <f>ROUND(VLOOKUP($C21,RLS!$C$32:$O$36,5,FALSE)*'Unit Distribution'!$B$3,0)</f>
        <v>0</v>
      </c>
      <c r="I21">
        <f>ROUND(VLOOKUP($C21,RLS!$C$32:$O$36,6,FALSE)*'Unit Distribution'!$B$3,0)</f>
        <v>0</v>
      </c>
      <c r="J21">
        <f>ROUND(VLOOKUP($C21,RLS!$C$32:$O$36,7,FALSE)*'Unit Distribution'!$B$3,0)</f>
        <v>0</v>
      </c>
      <c r="K21">
        <f>ROUND(VLOOKUP($C21,RLS!$C$32:$O$36,8,FALSE)*'Unit Distribution'!$B$3,0)</f>
        <v>0</v>
      </c>
      <c r="L21">
        <f>ROUND(VLOOKUP($C21,RLS!$C$32:$O$36,9,FALSE)*'Unit Distribution'!$B$3,0)</f>
        <v>0</v>
      </c>
      <c r="M21">
        <f>ROUND(VLOOKUP($C21,RLS!$C$32:$O$36,10,FALSE)*'Unit Distribution'!$B$3,0)</f>
        <v>0</v>
      </c>
      <c r="N21">
        <f>ROUND(VLOOKUP($C21,RLS!$C$32:$O$36,11,FALSE)*'Unit Distribution'!$B$3,0)</f>
        <v>0</v>
      </c>
      <c r="O21">
        <f>ROUND(VLOOKUP($C21,RLS!$C$32:$O$36,12,FALSE)*'Unit Distribution'!$B$3,0)</f>
        <v>0</v>
      </c>
      <c r="P21">
        <f>ROUND(VLOOKUP($C21,RLS!$C$32:$O$36,13,FALSE)*'Unit Distribution'!$B$3,0)</f>
        <v>0</v>
      </c>
      <c r="Q21">
        <f>ROUND(VLOOKUP($C21,RLS!$C$32:$P$36,14,FALSE)*'Unit Distribution'!$C$3,0)</f>
        <v>0</v>
      </c>
      <c r="R21">
        <f>ROUND(VLOOKUP($C21,RLS!$C$32:$P$36,14,FALSE)*'Unit Distribution'!$C$3,0)</f>
        <v>0</v>
      </c>
      <c r="S21">
        <f>ROUND(VLOOKUP($C21,RLS!$C$32:$P$36,14,FALSE)*'Unit Distribution'!$C$3,0)</f>
        <v>0</v>
      </c>
      <c r="T21">
        <f>ROUND(VLOOKUP($C21,RLS!$C$32:$P$36,14,FALSE)*'Unit Distribution'!$C$3,0)</f>
        <v>0</v>
      </c>
      <c r="U21">
        <f>ROUND(VLOOKUP($C21,RLS!$C$32:$P$36,14,FALSE)*'Unit Distribution'!$C$3,0)</f>
        <v>0</v>
      </c>
      <c r="V21">
        <f>ROUND(VLOOKUP($C21,RLS!$C$32:$P$36,14,FALSE)*'Unit Distribution'!$C$3,0)</f>
        <v>0</v>
      </c>
      <c r="W21">
        <f>ROUND(VLOOKUP($C21,RLS!$C$32:$P$36,14,FALSE)*'Unit Distribution'!$C$3,0)</f>
        <v>0</v>
      </c>
      <c r="X21">
        <f>ROUND(VLOOKUP($C21,RLS!$C$32:$P$36,14,FALSE)*'Unit Distribution'!$C$3,0)</f>
        <v>0</v>
      </c>
      <c r="Y21">
        <f>ROUND(VLOOKUP($C21,RLS!$C$32:$P$36,14,FALSE)*'Unit Distribution'!$C$3,0)</f>
        <v>0</v>
      </c>
      <c r="Z21">
        <f>ROUND(VLOOKUP($C21,RLS!$C$32:$P$36,14,FALSE)*'Unit Distribution'!$C$3,0)</f>
        <v>0</v>
      </c>
      <c r="AA21">
        <f>ROUND(VLOOKUP($C21,RLS!$C$32:$P$36,14,FALSE)*'Unit Distribution'!$C$3,0)</f>
        <v>0</v>
      </c>
      <c r="AB21">
        <f>ROUND(VLOOKUP($C21,RLS!$C$32:$P$36,14,FALSE)*'Unit Distribution'!$C$3,0)</f>
        <v>0</v>
      </c>
      <c r="AC21">
        <f>ROUND(VLOOKUP($C21,RLS!$C$32:$AB$36,26,FALSE)*'Unit Distribution'!$D$3,0)</f>
        <v>0</v>
      </c>
      <c r="AD21">
        <f>ROUND(VLOOKUP($C21,RLS!$C$32:$AB$36,26,FALSE)*'Unit Distribution'!$D$3,0)</f>
        <v>0</v>
      </c>
      <c r="AE21">
        <f>ROUND(VLOOKUP($C21,RLS!$C$32:$AB$36,26,FALSE)*'Unit Distribution'!$D$3,0)</f>
        <v>0</v>
      </c>
      <c r="AF21">
        <f>ROUND(VLOOKUP($C21,RLS!$C$32:$AB$36,26,FALSE)*'Unit Distribution'!$D$3,0)</f>
        <v>0</v>
      </c>
      <c r="AG21">
        <f>ROUND(VLOOKUP($C21,RLS!$C$32:$AB$36,26,FALSE)*'Unit Distribution'!$D$3,0)</f>
        <v>0</v>
      </c>
      <c r="AH21">
        <f>ROUND(VLOOKUP($C21,RLS!$C$32:$AB$36,26,FALSE)*'Unit Distribution'!$D$3,0)</f>
        <v>0</v>
      </c>
      <c r="AI21">
        <f>ROUND(VLOOKUP($C21,RLS!$C$32:$AB$36,26,FALSE)*'Unit Distribution'!$D$3,0)</f>
        <v>0</v>
      </c>
      <c r="AJ21">
        <f>ROUND(VLOOKUP($C21,RLS!$C$32:$AB$36,26,FALSE)*'Unit Distribution'!$D$3,0)</f>
        <v>0</v>
      </c>
      <c r="AK21">
        <f>ROUND(VLOOKUP($C21,RLS!$C$32:$AB$36,26,FALSE)*'Unit Distribution'!$D$3,0)</f>
        <v>0</v>
      </c>
      <c r="AL21">
        <f>ROUND(VLOOKUP($C21,RLS!$C$32:$AB$36,26,FALSE)*'Unit Distribution'!$D$3,0)</f>
        <v>0</v>
      </c>
      <c r="AM21">
        <f>ROUND(VLOOKUP($C21,RLS!$C$32:$AB$36,26,FALSE)*'Unit Distribution'!$D$3,0)</f>
        <v>0</v>
      </c>
      <c r="AN21">
        <f>ROUND(VLOOKUP($C21,RLS!$C$32:$AB$36,26,FALSE)*'Unit Distribution'!$D$3,0)</f>
        <v>0</v>
      </c>
      <c r="AO21">
        <f>ROUND(VLOOKUP($C21,RLS!$C$32:$AN$36,38,FALSE)*'Unit Distribution'!$E$3,0)</f>
        <v>0</v>
      </c>
      <c r="AP21">
        <f>ROUND(VLOOKUP($C21,RLS!$C$32:$AN$36,38,FALSE)*'Unit Distribution'!$E$3,0)</f>
        <v>0</v>
      </c>
      <c r="AQ21">
        <f>ROUND(VLOOKUP($C21,RLS!$C$32:$AN$36,38,FALSE)*'Unit Distribution'!$E$3,0)</f>
        <v>0</v>
      </c>
      <c r="AR21">
        <f>ROUND(VLOOKUP($C21,RLS!$C$32:$AN$36,38,FALSE)*'Unit Distribution'!$E$3,0)</f>
        <v>0</v>
      </c>
      <c r="AS21">
        <f>ROUND(VLOOKUP($C21,RLS!$C$32:$AN$36,38,FALSE)*'Unit Distribution'!$E$3,0)</f>
        <v>0</v>
      </c>
      <c r="AT21">
        <f>ROUND(VLOOKUP($C21,RLS!$C$32:$AN$36,38,FALSE)*'Unit Distribution'!$E$3,0)</f>
        <v>0</v>
      </c>
      <c r="AU21">
        <f>ROUND(VLOOKUP($C21,RLS!$C$32:$AN$36,38,FALSE)*'Unit Distribution'!$E$3,0)</f>
        <v>0</v>
      </c>
      <c r="AV21">
        <f>ROUND(VLOOKUP($C21,RLS!$C$32:$AN$36,38,FALSE)*'Unit Distribution'!$E$3,0)</f>
        <v>0</v>
      </c>
      <c r="AW21">
        <f>ROUND(VLOOKUP($C21,RLS!$C$32:$AN$36,38,FALSE)*'Unit Distribution'!$E$3,0)</f>
        <v>0</v>
      </c>
      <c r="AX21">
        <f>ROUND(VLOOKUP($C21,RLS!$C$32:$AN$36,38,FALSE)*'Unit Distribution'!$E$3,0)</f>
        <v>0</v>
      </c>
      <c r="AY21">
        <f>ROUND(VLOOKUP($C21,RLS!$C$32:$AN$36,38,FALSE)*'Unit Distribution'!$E$3,0)</f>
        <v>0</v>
      </c>
      <c r="AZ21">
        <f>ROUND(VLOOKUP($C21,RLS!$C$32:$AN$36,38,FALSE)*'Unit Distribution'!$E$3,0)</f>
        <v>0</v>
      </c>
      <c r="BA21">
        <f>ROUND(VLOOKUP($C21,RLS!$C$32:$AZ$36,50,FALSE)*'Unit Distribution'!$F$3,0)</f>
        <v>0</v>
      </c>
      <c r="BB21">
        <f>ROUND(VLOOKUP($C21,RLS!$C$32:$AZ$36,50,FALSE)*'Unit Distribution'!$F$3,0)</f>
        <v>0</v>
      </c>
      <c r="BC21">
        <f>ROUND(VLOOKUP($C21,RLS!$C$32:$AZ$36,50,FALSE)*'Unit Distribution'!$F$3,0)</f>
        <v>0</v>
      </c>
      <c r="BD21">
        <f>ROUND(VLOOKUP($C21,RLS!$C$32:$AZ$36,50,FALSE)*'Unit Distribution'!$F$3,0)</f>
        <v>0</v>
      </c>
      <c r="BE21">
        <f>ROUND(VLOOKUP($C21,RLS!$C$32:$AZ$36,50,FALSE)*'Unit Distribution'!$F$3,0)</f>
        <v>0</v>
      </c>
      <c r="BF21">
        <f>ROUND(VLOOKUP($C21,RLS!$C$32:$AZ$36,50,FALSE)*'Unit Distribution'!$F$3,0)</f>
        <v>0</v>
      </c>
      <c r="BG21">
        <f>ROUND(VLOOKUP($C21,RLS!$C$32:$AZ$36,50,FALSE)*'Unit Distribution'!$F$3,0)</f>
        <v>0</v>
      </c>
      <c r="BH21">
        <f>ROUND(VLOOKUP($C21,RLS!$C$32:$AZ$36,50,FALSE)*'Unit Distribution'!$F$3,0)</f>
        <v>0</v>
      </c>
      <c r="BI21">
        <f>ROUND(VLOOKUP($C21,RLS!$C$32:$AZ$36,50,FALSE)*'Unit Distribution'!$F$3,0)</f>
        <v>0</v>
      </c>
      <c r="BJ21">
        <f>ROUND(VLOOKUP($C21,RLS!$C$32:$AZ$36,50,FALSE)*'Unit Distribution'!$F$3,0)</f>
        <v>0</v>
      </c>
      <c r="BK21">
        <f>ROUND(VLOOKUP($C21,RLS!$C$32:$AZ$36,50,FALSE)*'Unit Distribution'!$F$3,0)</f>
        <v>0</v>
      </c>
      <c r="BL21">
        <f>ROUND(VLOOKUP($C21,RLS!$C$32:$AZ$36,50,FALSE)*'Unit Distribution'!$F$3,0)</f>
        <v>0</v>
      </c>
    </row>
    <row r="22" spans="1:64" x14ac:dyDescent="0.35">
      <c r="A22" t="s">
        <v>70</v>
      </c>
      <c r="B22" t="s">
        <v>75</v>
      </c>
      <c r="C22" t="str">
        <f t="shared" si="0"/>
        <v>TesterOnsite</v>
      </c>
      <c r="D22" t="s">
        <v>67</v>
      </c>
      <c r="E22">
        <f>ROUND(VLOOKUP($C22,RLS!$C$32:$O$36,2,FALSE)*'Unit Distribution'!$B$4,0)</f>
        <v>0</v>
      </c>
      <c r="F22">
        <f>ROUND(VLOOKUP($C22,RLS!$C$32:$O$36,3,FALSE)*'Unit Distribution'!$B$4,0)</f>
        <v>0</v>
      </c>
      <c r="G22">
        <f>ROUND(VLOOKUP($C22,RLS!$C$32:$O$36,4,FALSE)*'Unit Distribution'!$B$4,0)</f>
        <v>0</v>
      </c>
      <c r="H22">
        <f>ROUND(VLOOKUP($C22,RLS!$C$32:$O$36,5,FALSE)*'Unit Distribution'!$B$4,0)</f>
        <v>0</v>
      </c>
      <c r="I22">
        <f>ROUND(VLOOKUP($C22,RLS!$C$32:$O$36,6,FALSE)*'Unit Distribution'!$B$4,0)</f>
        <v>0</v>
      </c>
      <c r="J22">
        <f>ROUND(VLOOKUP($C22,RLS!$C$32:$O$36,7,FALSE)*'Unit Distribution'!$B$4,0)</f>
        <v>0</v>
      </c>
      <c r="K22">
        <f>ROUND(VLOOKUP($C22,RLS!$C$32:$O$36,8,FALSE)*'Unit Distribution'!$B$4,0)</f>
        <v>0</v>
      </c>
      <c r="L22">
        <f>ROUND(VLOOKUP($C22,RLS!$C$32:$O$36,9,FALSE)*'Unit Distribution'!$B$4,0)</f>
        <v>0</v>
      </c>
      <c r="M22">
        <f>ROUND(VLOOKUP($C22,RLS!$C$32:$O$36,10,FALSE)*'Unit Distribution'!$B$4,0)</f>
        <v>0</v>
      </c>
      <c r="N22">
        <f>ROUND(VLOOKUP($C22,RLS!$C$32:$O$36,11,FALSE)*'Unit Distribution'!$B$4,0)</f>
        <v>0</v>
      </c>
      <c r="O22">
        <f>ROUND(VLOOKUP($C22,RLS!$C$32:$O$36,12,FALSE)*'Unit Distribution'!$B$4,0)</f>
        <v>0</v>
      </c>
      <c r="P22">
        <f>ROUND(VLOOKUP($C22,RLS!$C$32:$O$36,13,FALSE)*'Unit Distribution'!$B$4,0)</f>
        <v>0</v>
      </c>
      <c r="Q22">
        <f>ROUND(VLOOKUP($C22,RLS!$C$32:$P$36,14,FALSE)*'Unit Distribution'!$C$4,0)</f>
        <v>0</v>
      </c>
      <c r="R22">
        <f>ROUND(VLOOKUP($C22,RLS!$C$32:$P$36,14,FALSE)*'Unit Distribution'!$C$4,0)</f>
        <v>0</v>
      </c>
      <c r="S22">
        <f>ROUND(VLOOKUP($C22,RLS!$C$32:$P$36,14,FALSE)*'Unit Distribution'!$C$4,0)</f>
        <v>0</v>
      </c>
      <c r="T22">
        <f>ROUND(VLOOKUP($C22,RLS!$C$32:$P$36,14,FALSE)*'Unit Distribution'!$C$4,0)</f>
        <v>0</v>
      </c>
      <c r="U22">
        <f>ROUND(VLOOKUP($C22,RLS!$C$32:$P$36,14,FALSE)*'Unit Distribution'!$C$4,0)</f>
        <v>0</v>
      </c>
      <c r="V22">
        <f>ROUND(VLOOKUP($C22,RLS!$C$32:$P$36,14,FALSE)*'Unit Distribution'!$C$4,0)</f>
        <v>0</v>
      </c>
      <c r="W22">
        <f>ROUND(VLOOKUP($C22,RLS!$C$32:$P$36,14,FALSE)*'Unit Distribution'!$C$4,0)</f>
        <v>0</v>
      </c>
      <c r="X22">
        <f>ROUND(VLOOKUP($C22,RLS!$C$32:$P$36,14,FALSE)*'Unit Distribution'!$C$4,0)</f>
        <v>0</v>
      </c>
      <c r="Y22">
        <f>ROUND(VLOOKUP($C22,RLS!$C$32:$P$36,14,FALSE)*'Unit Distribution'!$C$4,0)</f>
        <v>0</v>
      </c>
      <c r="Z22">
        <f>ROUND(VLOOKUP($C22,RLS!$C$32:$P$36,14,FALSE)*'Unit Distribution'!$C$4,0)</f>
        <v>0</v>
      </c>
      <c r="AA22">
        <f>ROUND(VLOOKUP($C22,RLS!$C$32:$P$36,14,FALSE)*'Unit Distribution'!$C$4,0)</f>
        <v>0</v>
      </c>
      <c r="AB22">
        <f>ROUND(VLOOKUP($C22,RLS!$C$32:$P$36,14,FALSE)*'Unit Distribution'!$C$4,0)</f>
        <v>0</v>
      </c>
      <c r="AC22">
        <f>VLOOKUP($C22,RLS!$C$32:$AB$36,26,FALSE)-AC21-AC23</f>
        <v>0</v>
      </c>
      <c r="AD22">
        <f>VLOOKUP($C22,RLS!$C$32:$AB$36,26,FALSE)-AD21-AD23</f>
        <v>0</v>
      </c>
      <c r="AE22">
        <f>VLOOKUP($C22,RLS!$C$32:$AB$36,26,FALSE)-AE21-AE23</f>
        <v>0</v>
      </c>
      <c r="AF22">
        <f>VLOOKUP($C22,RLS!$C$32:$AB$36,26,FALSE)-AF21-AF23</f>
        <v>0</v>
      </c>
      <c r="AG22">
        <f>VLOOKUP($C22,RLS!$C$32:$AB$36,26,FALSE)-AG21-AG23</f>
        <v>0</v>
      </c>
      <c r="AH22">
        <f>VLOOKUP($C22,RLS!$C$32:$AB$36,26,FALSE)-AH21-AH23</f>
        <v>0</v>
      </c>
      <c r="AI22">
        <f>VLOOKUP($C22,RLS!$C$32:$AB$36,26,FALSE)-AI21-AI23</f>
        <v>0</v>
      </c>
      <c r="AJ22">
        <f>VLOOKUP($C22,RLS!$C$32:$AB$36,26,FALSE)-AJ21-AJ23</f>
        <v>0</v>
      </c>
      <c r="AK22">
        <f>VLOOKUP($C22,RLS!$C$32:$AB$36,26,FALSE)-AK21-AK23</f>
        <v>0</v>
      </c>
      <c r="AL22">
        <f>VLOOKUP($C22,RLS!$C$32:$AB$36,26,FALSE)-AL21-AL23</f>
        <v>0</v>
      </c>
      <c r="AM22">
        <f>VLOOKUP($C22,RLS!$C$32:$AB$36,26,FALSE)-AM21-AM23</f>
        <v>0</v>
      </c>
      <c r="AN22">
        <f>VLOOKUP($C22,RLS!$C$32:$AB$36,26,FALSE)-AN21-AN23</f>
        <v>0</v>
      </c>
      <c r="AO22">
        <f>VLOOKUP($C22,RLS!$C$32:$AN$36,38,FALSE)-AO21-AO23</f>
        <v>0</v>
      </c>
      <c r="AP22">
        <f>VLOOKUP($C22,RLS!$C$32:$AN$36,38,FALSE)-AP21-AP23</f>
        <v>0</v>
      </c>
      <c r="AQ22">
        <f>VLOOKUP($C22,RLS!$C$32:$AN$36,38,FALSE)-AQ21-AQ23</f>
        <v>0</v>
      </c>
      <c r="AR22">
        <f>VLOOKUP($C22,RLS!$C$32:$AN$36,38,FALSE)-AR21-AR23</f>
        <v>0</v>
      </c>
      <c r="AS22">
        <f>VLOOKUP($C22,RLS!$C$32:$AN$36,38,FALSE)-AS21-AS23</f>
        <v>0</v>
      </c>
      <c r="AT22">
        <f>VLOOKUP($C22,RLS!$C$32:$AN$36,38,FALSE)-AT21-AT23</f>
        <v>0</v>
      </c>
      <c r="AU22">
        <f>VLOOKUP($C22,RLS!$C$32:$AN$36,38,FALSE)-AU21-AU23</f>
        <v>0</v>
      </c>
      <c r="AV22">
        <f>VLOOKUP($C22,RLS!$C$32:$AN$36,38,FALSE)-AV21-AV23</f>
        <v>0</v>
      </c>
      <c r="AW22">
        <f>VLOOKUP($C22,RLS!$C$32:$AN$36,38,FALSE)-AW21-AW23</f>
        <v>0</v>
      </c>
      <c r="AX22">
        <f>VLOOKUP($C22,RLS!$C$32:$AN$36,38,FALSE)-AX21-AX23</f>
        <v>0</v>
      </c>
      <c r="AY22">
        <f>VLOOKUP($C22,RLS!$C$32:$AN$36,38,FALSE)-AY21-AY23</f>
        <v>0</v>
      </c>
      <c r="AZ22">
        <f>VLOOKUP($C22,RLS!$C$32:$AN$36,38,FALSE)-AZ21-AZ23</f>
        <v>0</v>
      </c>
      <c r="BA22">
        <f>VLOOKUP($C22,RLS!$C$32:$AZ$36,50,FALSE)-BA21-BA23</f>
        <v>0</v>
      </c>
      <c r="BB22">
        <f>VLOOKUP($C22,RLS!$C$32:$AZ$36,50,FALSE)-BB21-BB23</f>
        <v>0</v>
      </c>
      <c r="BC22">
        <f>VLOOKUP($C22,RLS!$C$32:$AZ$36,50,FALSE)-BC21-BC23</f>
        <v>0</v>
      </c>
      <c r="BD22">
        <f>VLOOKUP($C22,RLS!$C$32:$AZ$36,50,FALSE)-BD21-BD23</f>
        <v>0</v>
      </c>
      <c r="BE22">
        <f>VLOOKUP($C22,RLS!$C$32:$AZ$36,50,FALSE)-BE21-BE23</f>
        <v>0</v>
      </c>
      <c r="BF22">
        <f>VLOOKUP($C22,RLS!$C$32:$AZ$36,50,FALSE)-BF21-BF23</f>
        <v>0</v>
      </c>
      <c r="BG22">
        <f>VLOOKUP($C22,RLS!$C$32:$AZ$36,50,FALSE)-BG21-BG23</f>
        <v>0</v>
      </c>
      <c r="BH22">
        <f>VLOOKUP($C22,RLS!$C$32:$AZ$36,50,FALSE)-BH21-BH23</f>
        <v>0</v>
      </c>
      <c r="BI22">
        <f>VLOOKUP($C22,RLS!$C$32:$AZ$36,50,FALSE)-BI21-BI23</f>
        <v>0</v>
      </c>
      <c r="BJ22">
        <f>VLOOKUP($C22,RLS!$C$32:$AZ$36,50,FALSE)-BJ21-BJ23</f>
        <v>0</v>
      </c>
      <c r="BK22">
        <f>VLOOKUP($C22,RLS!$C$32:$AZ$36,50,FALSE)-BK21-BK23</f>
        <v>0</v>
      </c>
      <c r="BL22">
        <f>VLOOKUP($C22,RLS!$C$32:$AZ$36,50,FALSE)-BL21-BL23</f>
        <v>0</v>
      </c>
    </row>
    <row r="23" spans="1:64" x14ac:dyDescent="0.35">
      <c r="A23" t="s">
        <v>70</v>
      </c>
      <c r="B23" t="s">
        <v>75</v>
      </c>
      <c r="C23" t="str">
        <f t="shared" si="0"/>
        <v>TesterOnsite</v>
      </c>
      <c r="D23" t="s">
        <v>68</v>
      </c>
      <c r="E23">
        <f>VLOOKUP($C23,RLS!$C$32:$O$36,2,FALSE)-E21-E22</f>
        <v>1</v>
      </c>
      <c r="F23">
        <f>VLOOKUP($C23,RLS!$C$32:$O$36,3,FALSE)-F21-F22</f>
        <v>1</v>
      </c>
      <c r="G23">
        <f>VLOOKUP($C23,RLS!$C$32:$O$36,4,FALSE)-G21-G22</f>
        <v>1</v>
      </c>
      <c r="H23">
        <f>VLOOKUP($C23,RLS!$C$32:$O$36,5,FALSE)-H21-H22</f>
        <v>1</v>
      </c>
      <c r="I23">
        <f>VLOOKUP($C23,RLS!$C$32:$O$36,6,FALSE)-I21-I22</f>
        <v>1</v>
      </c>
      <c r="J23">
        <f>VLOOKUP($C23,RLS!$C$32:$O$36,7,FALSE)-J21-J22</f>
        <v>1</v>
      </c>
      <c r="K23">
        <f>VLOOKUP($C23,RLS!$C$32:$O$36,8,FALSE)-K21-K22</f>
        <v>1</v>
      </c>
      <c r="L23">
        <f>VLOOKUP($C23,RLS!$C$32:$O$36,9,FALSE)-L21-L22</f>
        <v>1</v>
      </c>
      <c r="M23">
        <f>VLOOKUP($C23,RLS!$C$32:$O$36,10,FALSE)-M21-M22</f>
        <v>1</v>
      </c>
      <c r="N23">
        <f>VLOOKUP($C23,RLS!$C$32:$O$36,11,FALSE)-N21-N22</f>
        <v>1</v>
      </c>
      <c r="O23">
        <f>VLOOKUP($C23,RLS!$C$32:$O$36,12,FALSE)-O21-O22</f>
        <v>1</v>
      </c>
      <c r="P23">
        <f>VLOOKUP($C23,RLS!$C$32:$O$36,13,FALSE)-P21-P22</f>
        <v>1</v>
      </c>
      <c r="Q23">
        <f>VLOOKUP($C23,RLS!$C$32:$P$36,14,FALSE)-Q21-Q22</f>
        <v>1</v>
      </c>
      <c r="R23">
        <f>VLOOKUP($C23,RLS!$C$32:$P$36,14,FALSE)-R21-R22</f>
        <v>1</v>
      </c>
      <c r="S23">
        <f>VLOOKUP($C23,RLS!$C$32:$P$36,14,FALSE)-S21-S22</f>
        <v>1</v>
      </c>
      <c r="T23">
        <f>VLOOKUP($C23,RLS!$C$32:$P$36,14,FALSE)-T21-T22</f>
        <v>1</v>
      </c>
      <c r="U23">
        <f>VLOOKUP($C23,RLS!$C$32:$P$36,14,FALSE)-U21-U22</f>
        <v>1</v>
      </c>
      <c r="V23">
        <f>VLOOKUP($C23,RLS!$C$32:$P$36,14,FALSE)-V21-V22</f>
        <v>1</v>
      </c>
      <c r="W23">
        <f>VLOOKUP($C23,RLS!$C$32:$P$36,14,FALSE)-W21-W22</f>
        <v>1</v>
      </c>
      <c r="X23">
        <f>VLOOKUP($C23,RLS!$C$32:$P$36,14,FALSE)-X21-X22</f>
        <v>1</v>
      </c>
      <c r="Y23">
        <f>VLOOKUP($C23,RLS!$C$32:$P$36,14,FALSE)-Y21-Y22</f>
        <v>1</v>
      </c>
      <c r="Z23">
        <f>VLOOKUP($C23,RLS!$C$32:$P$36,14,FALSE)-Z21-Z22</f>
        <v>1</v>
      </c>
      <c r="AA23">
        <f>VLOOKUP($C23,RLS!$C$32:$P$36,14,FALSE)-AA21-AA22</f>
        <v>1</v>
      </c>
      <c r="AB23">
        <f>VLOOKUP($C23,RLS!$C$32:$P$36,14,FALSE)-AB21-AB22</f>
        <v>1</v>
      </c>
      <c r="AC23">
        <f>ROUND(VLOOKUP($C23,RLS!$C$32:$AB$36,26,FALSE)*'Unit Distribution'!$D$5,0)</f>
        <v>0</v>
      </c>
      <c r="AD23">
        <f>ROUND(VLOOKUP($C23,RLS!$C$32:$AB$36,26,FALSE)*'Unit Distribution'!$D$5,0)</f>
        <v>0</v>
      </c>
      <c r="AE23">
        <f>ROUND(VLOOKUP($C23,RLS!$C$32:$AB$36,26,FALSE)*'Unit Distribution'!$D$5,0)</f>
        <v>0</v>
      </c>
      <c r="AF23">
        <f>ROUND(VLOOKUP($C23,RLS!$C$32:$AB$36,26,FALSE)*'Unit Distribution'!$D$5,0)</f>
        <v>0</v>
      </c>
      <c r="AG23">
        <f>ROUND(VLOOKUP($C23,RLS!$C$32:$AB$36,26,FALSE)*'Unit Distribution'!$D$5,0)</f>
        <v>0</v>
      </c>
      <c r="AH23">
        <f>ROUND(VLOOKUP($C23,RLS!$C$32:$AB$36,26,FALSE)*'Unit Distribution'!$D$5,0)</f>
        <v>0</v>
      </c>
      <c r="AI23">
        <f>ROUND(VLOOKUP($C23,RLS!$C$32:$AB$36,26,FALSE)*'Unit Distribution'!$D$5,0)</f>
        <v>0</v>
      </c>
      <c r="AJ23">
        <f>ROUND(VLOOKUP($C23,RLS!$C$32:$AB$36,26,FALSE)*'Unit Distribution'!$D$5,0)</f>
        <v>0</v>
      </c>
      <c r="AK23">
        <f>ROUND(VLOOKUP($C23,RLS!$C$32:$AB$36,26,FALSE)*'Unit Distribution'!$D$5,0)</f>
        <v>0</v>
      </c>
      <c r="AL23">
        <f>ROUND(VLOOKUP($C23,RLS!$C$32:$AB$36,26,FALSE)*'Unit Distribution'!$D$5,0)</f>
        <v>0</v>
      </c>
      <c r="AM23">
        <f>ROUND(VLOOKUP($C23,RLS!$C$32:$AB$36,26,FALSE)*'Unit Distribution'!$D$5,0)</f>
        <v>0</v>
      </c>
      <c r="AN23">
        <f>ROUND(VLOOKUP($C23,RLS!$C$32:$AB$36,26,FALSE)*'Unit Distribution'!$D$5,0)</f>
        <v>0</v>
      </c>
      <c r="AO23">
        <f>ROUND(VLOOKUP($C23,RLS!$C$32:$AN$36,38,FALSE)*'Unit Distribution'!$E$5,0)</f>
        <v>0</v>
      </c>
      <c r="AP23">
        <f>ROUND(VLOOKUP($C23,RLS!$C$32:$AN$36,38,FALSE)*'Unit Distribution'!$E$5,0)</f>
        <v>0</v>
      </c>
      <c r="AQ23">
        <f>ROUND(VLOOKUP($C23,RLS!$C$32:$AN$36,38,FALSE)*'Unit Distribution'!$E$5,0)</f>
        <v>0</v>
      </c>
      <c r="AR23">
        <f>ROUND(VLOOKUP($C23,RLS!$C$32:$AN$36,38,FALSE)*'Unit Distribution'!$E$5,0)</f>
        <v>0</v>
      </c>
      <c r="AS23">
        <f>ROUND(VLOOKUP($C23,RLS!$C$32:$AN$36,38,FALSE)*'Unit Distribution'!$E$5,0)</f>
        <v>0</v>
      </c>
      <c r="AT23">
        <f>ROUND(VLOOKUP($C23,RLS!$C$32:$AN$36,38,FALSE)*'Unit Distribution'!$E$5,0)</f>
        <v>0</v>
      </c>
      <c r="AU23">
        <f>ROUND(VLOOKUP($C23,RLS!$C$32:$AN$36,38,FALSE)*'Unit Distribution'!$E$5,0)</f>
        <v>0</v>
      </c>
      <c r="AV23">
        <f>ROUND(VLOOKUP($C23,RLS!$C$32:$AN$36,38,FALSE)*'Unit Distribution'!$E$5,0)</f>
        <v>0</v>
      </c>
      <c r="AW23">
        <f>ROUND(VLOOKUP($C23,RLS!$C$32:$AN$36,38,FALSE)*'Unit Distribution'!$E$5,0)</f>
        <v>0</v>
      </c>
      <c r="AX23">
        <f>ROUND(VLOOKUP($C23,RLS!$C$32:$AN$36,38,FALSE)*'Unit Distribution'!$E$5,0)</f>
        <v>0</v>
      </c>
      <c r="AY23">
        <f>ROUND(VLOOKUP($C23,RLS!$C$32:$AN$36,38,FALSE)*'Unit Distribution'!$E$5,0)</f>
        <v>0</v>
      </c>
      <c r="AZ23">
        <f>ROUND(VLOOKUP($C23,RLS!$C$32:$AN$36,38,FALSE)*'Unit Distribution'!$E$5,0)</f>
        <v>0</v>
      </c>
      <c r="BA23">
        <f>ROUND(VLOOKUP($C23,RLS!$C$32:$AZ$36,50,FALSE)*'Unit Distribution'!$F$5,0)</f>
        <v>0</v>
      </c>
      <c r="BB23">
        <f>ROUND(VLOOKUP($C23,RLS!$C$32:$AZ$36,50,FALSE)*'Unit Distribution'!$F$5,0)</f>
        <v>0</v>
      </c>
      <c r="BC23">
        <f>ROUND(VLOOKUP($C23,RLS!$C$32:$AZ$36,50,FALSE)*'Unit Distribution'!$F$5,0)</f>
        <v>0</v>
      </c>
      <c r="BD23">
        <f>ROUND(VLOOKUP($C23,RLS!$C$32:$AZ$36,50,FALSE)*'Unit Distribution'!$F$5,0)</f>
        <v>0</v>
      </c>
      <c r="BE23">
        <f>ROUND(VLOOKUP($C23,RLS!$C$32:$AZ$36,50,FALSE)*'Unit Distribution'!$F$5,0)</f>
        <v>0</v>
      </c>
      <c r="BF23">
        <f>ROUND(VLOOKUP($C23,RLS!$C$32:$AZ$36,50,FALSE)*'Unit Distribution'!$F$5,0)</f>
        <v>0</v>
      </c>
      <c r="BG23">
        <f>ROUND(VLOOKUP($C23,RLS!$C$32:$AZ$36,50,FALSE)*'Unit Distribution'!$F$5,0)</f>
        <v>0</v>
      </c>
      <c r="BH23">
        <f>ROUND(VLOOKUP($C23,RLS!$C$32:$AZ$36,50,FALSE)*'Unit Distribution'!$F$5,0)</f>
        <v>0</v>
      </c>
      <c r="BI23">
        <f>ROUND(VLOOKUP($C23,RLS!$C$32:$AZ$36,50,FALSE)*'Unit Distribution'!$F$5,0)</f>
        <v>0</v>
      </c>
      <c r="BJ23">
        <f>ROUND(VLOOKUP($C23,RLS!$C$32:$AZ$36,50,FALSE)*'Unit Distribution'!$F$5,0)</f>
        <v>0</v>
      </c>
      <c r="BK23">
        <f>ROUND(VLOOKUP($C23,RLS!$C$32:$AZ$36,50,FALSE)*'Unit Distribution'!$F$5,0)</f>
        <v>0</v>
      </c>
      <c r="BL23">
        <f>ROUND(VLOOKUP($C23,RLS!$C$32:$AZ$36,50,FALSE)*'Unit Distribution'!$F$5,0)</f>
        <v>0</v>
      </c>
    </row>
    <row r="24" spans="1:64" x14ac:dyDescent="0.35">
      <c r="A24" t="s">
        <v>73</v>
      </c>
      <c r="B24" t="s">
        <v>75</v>
      </c>
      <c r="C24" t="str">
        <f t="shared" si="0"/>
        <v>PMOnsite</v>
      </c>
      <c r="D24" t="s">
        <v>72</v>
      </c>
      <c r="E24">
        <f>VLOOKUP($C24,RLS!$C$32:$O$36,2,FALSE)</f>
        <v>0</v>
      </c>
      <c r="F24">
        <f>VLOOKUP($C24,RLS!$C$32:$O$36,3,FALSE)</f>
        <v>0</v>
      </c>
      <c r="G24">
        <f>VLOOKUP($C24,RLS!$C$32:$O$36,4,FALSE)</f>
        <v>0</v>
      </c>
      <c r="H24">
        <f>VLOOKUP($C24,RLS!$C$32:$O$36,5,FALSE)</f>
        <v>0</v>
      </c>
      <c r="I24">
        <f>VLOOKUP($C24,RLS!$C$32:$O$36,6,FALSE)</f>
        <v>0</v>
      </c>
      <c r="J24">
        <f>VLOOKUP($C24,RLS!$C$32:$O$36,7,FALSE)</f>
        <v>0</v>
      </c>
      <c r="K24">
        <f>VLOOKUP($C24,RLS!$C$32:$O$36,8,FALSE)</f>
        <v>0</v>
      </c>
      <c r="L24">
        <f>VLOOKUP($C24,RLS!$C$32:$O$36,9,FALSE)</f>
        <v>0</v>
      </c>
      <c r="M24">
        <f>VLOOKUP($C24,RLS!$C$32:$O$36,10,FALSE)</f>
        <v>0</v>
      </c>
      <c r="N24">
        <f>VLOOKUP($C24,RLS!$C$32:$O$36,11,FALSE)</f>
        <v>0</v>
      </c>
      <c r="O24">
        <f>VLOOKUP($C24,RLS!$C$32:$O$36,12,FALSE)</f>
        <v>0</v>
      </c>
      <c r="P24">
        <f>VLOOKUP($C24,RLS!$C$32:$O$36,13,FALSE)</f>
        <v>0</v>
      </c>
      <c r="Q24">
        <f>VLOOKUP($C24,RLS!$C$32:$P$36,14,FALSE)</f>
        <v>0</v>
      </c>
      <c r="R24">
        <f>VLOOKUP($C24,RLS!$C$32:$P$36,14,FALSE)</f>
        <v>0</v>
      </c>
      <c r="S24">
        <f>VLOOKUP($C24,RLS!$C$32:$P$36,14,FALSE)</f>
        <v>0</v>
      </c>
      <c r="T24">
        <f>VLOOKUP($C24,RLS!$C$32:$P$36,14,FALSE)</f>
        <v>0</v>
      </c>
      <c r="U24">
        <f>VLOOKUP($C24,RLS!$C$32:$P$36,14,FALSE)</f>
        <v>0</v>
      </c>
      <c r="V24">
        <f>VLOOKUP($C24,RLS!$C$32:$P$36,14,FALSE)</f>
        <v>0</v>
      </c>
      <c r="W24">
        <f>VLOOKUP($C24,RLS!$C$32:$P$36,14,FALSE)</f>
        <v>0</v>
      </c>
      <c r="X24">
        <f>VLOOKUP($C24,RLS!$C$32:$P$36,14,FALSE)</f>
        <v>0</v>
      </c>
      <c r="Y24">
        <f>VLOOKUP($C24,RLS!$C$32:$P$36,14,FALSE)</f>
        <v>0</v>
      </c>
      <c r="Z24">
        <f>VLOOKUP($C24,RLS!$C$32:$P$36,14,FALSE)</f>
        <v>0</v>
      </c>
      <c r="AA24">
        <f>VLOOKUP($C24,RLS!$C$32:$P$36,14,FALSE)</f>
        <v>0</v>
      </c>
      <c r="AB24">
        <f>VLOOKUP($C24,RLS!$C$32:$P$36,14,FALSE)</f>
        <v>0</v>
      </c>
      <c r="AC24">
        <f>VLOOKUP($C24,RLS!$C$32:$AB$36,26,FALSE)</f>
        <v>0</v>
      </c>
      <c r="AD24">
        <f>VLOOKUP($C24,RLS!$C$32:$AB$36,26,FALSE)</f>
        <v>0</v>
      </c>
      <c r="AE24">
        <f>VLOOKUP($C24,RLS!$C$32:$AB$36,26,FALSE)</f>
        <v>0</v>
      </c>
      <c r="AF24">
        <f>VLOOKUP($C24,RLS!$C$32:$AB$36,26,FALSE)</f>
        <v>0</v>
      </c>
      <c r="AG24">
        <f>VLOOKUP($C24,RLS!$C$32:$AB$36,26,FALSE)</f>
        <v>0</v>
      </c>
      <c r="AH24">
        <f>VLOOKUP($C24,RLS!$C$32:$AB$36,26,FALSE)</f>
        <v>0</v>
      </c>
      <c r="AI24">
        <f>VLOOKUP($C24,RLS!$C$32:$AB$36,26,FALSE)</f>
        <v>0</v>
      </c>
      <c r="AJ24">
        <f>VLOOKUP($C24,RLS!$C$32:$AB$36,26,FALSE)</f>
        <v>0</v>
      </c>
      <c r="AK24">
        <f>VLOOKUP($C24,RLS!$C$32:$AB$36,26,FALSE)</f>
        <v>0</v>
      </c>
      <c r="AL24">
        <f>VLOOKUP($C24,RLS!$C$32:$AB$36,26,FALSE)</f>
        <v>0</v>
      </c>
      <c r="AM24">
        <f>VLOOKUP($C24,RLS!$C$32:$AB$36,26,FALSE)</f>
        <v>0</v>
      </c>
      <c r="AN24">
        <f>VLOOKUP($C24,RLS!$C$32:$AB$36,26,FALSE)</f>
        <v>0</v>
      </c>
      <c r="AO24">
        <f>VLOOKUP($C24,RLS!$C$32:$AN$36,38,FALSE)</f>
        <v>0</v>
      </c>
      <c r="AP24">
        <f>VLOOKUP($C24,RLS!$C$32:$AN$36,38,FALSE)</f>
        <v>0</v>
      </c>
      <c r="AQ24">
        <f>VLOOKUP($C24,RLS!$C$32:$AN$36,38,FALSE)</f>
        <v>0</v>
      </c>
      <c r="AR24">
        <f>VLOOKUP($C24,RLS!$C$32:$AN$36,38,FALSE)</f>
        <v>0</v>
      </c>
      <c r="AS24">
        <f>VLOOKUP($C24,RLS!$C$32:$AN$36,38,FALSE)</f>
        <v>0</v>
      </c>
      <c r="AT24">
        <f>VLOOKUP($C24,RLS!$C$32:$AN$36,38,FALSE)</f>
        <v>0</v>
      </c>
      <c r="AU24">
        <f>VLOOKUP($C24,RLS!$C$32:$AN$36,38,FALSE)</f>
        <v>0</v>
      </c>
      <c r="AV24">
        <f>VLOOKUP($C24,RLS!$C$32:$AN$36,38,FALSE)</f>
        <v>0</v>
      </c>
      <c r="AW24">
        <f>VLOOKUP($C24,RLS!$C$32:$AN$36,38,FALSE)</f>
        <v>0</v>
      </c>
      <c r="AX24">
        <f>VLOOKUP($C24,RLS!$C$32:$AN$36,38,FALSE)</f>
        <v>0</v>
      </c>
      <c r="AY24">
        <f>VLOOKUP($C24,RLS!$C$32:$AN$36,38,FALSE)</f>
        <v>0</v>
      </c>
      <c r="AZ24">
        <f>VLOOKUP($C24,RLS!$C$32:$AN$36,38,FALSE)</f>
        <v>0</v>
      </c>
      <c r="BA24">
        <f>VLOOKUP($C24,RLS!$C$32:$AZ$36,50,FALSE)</f>
        <v>0</v>
      </c>
      <c r="BB24">
        <f>VLOOKUP($C24,RLS!$C$32:$AZ$36,50,FALSE)</f>
        <v>0</v>
      </c>
      <c r="BC24">
        <f>VLOOKUP($C24,RLS!$C$32:$AZ$36,50,FALSE)</f>
        <v>0</v>
      </c>
      <c r="BD24">
        <f>VLOOKUP($C24,RLS!$C$32:$AZ$36,50,FALSE)</f>
        <v>0</v>
      </c>
      <c r="BE24">
        <f>VLOOKUP($C24,RLS!$C$32:$AZ$36,50,FALSE)</f>
        <v>0</v>
      </c>
      <c r="BF24">
        <f>VLOOKUP($C24,RLS!$C$32:$AZ$36,50,FALSE)</f>
        <v>0</v>
      </c>
      <c r="BG24">
        <f>VLOOKUP($C24,RLS!$C$32:$AZ$36,50,FALSE)</f>
        <v>0</v>
      </c>
      <c r="BH24">
        <f>VLOOKUP($C24,RLS!$C$32:$AZ$36,50,FALSE)</f>
        <v>0</v>
      </c>
      <c r="BI24">
        <f>VLOOKUP($C24,RLS!$C$32:$AZ$36,50,FALSE)</f>
        <v>0</v>
      </c>
      <c r="BJ24">
        <f>VLOOKUP($C24,RLS!$C$32:$AZ$36,50,FALSE)</f>
        <v>0</v>
      </c>
      <c r="BK24">
        <f>VLOOKUP($C24,RLS!$C$32:$AZ$36,50,FALSE)</f>
        <v>0</v>
      </c>
      <c r="BL24">
        <f>VLOOKUP($C24,RLS!$C$32:$AZ$36,50,FALSE)</f>
        <v>0</v>
      </c>
    </row>
    <row r="25" spans="1:64" x14ac:dyDescent="0.35">
      <c r="A25" t="s">
        <v>74</v>
      </c>
      <c r="B25" t="s">
        <v>75</v>
      </c>
      <c r="C25" t="str">
        <f t="shared" si="0"/>
        <v>LeadOnsite</v>
      </c>
      <c r="D25" t="s">
        <v>68</v>
      </c>
      <c r="E25">
        <f>VLOOKUP($C25,RLS!$C$32:$O$36,2,FALSE)</f>
        <v>1</v>
      </c>
      <c r="F25">
        <f>VLOOKUP($C25,RLS!$C$32:$O$36,3,FALSE)</f>
        <v>1</v>
      </c>
      <c r="G25">
        <f>VLOOKUP($C25,RLS!$C$32:$O$36,4,FALSE)</f>
        <v>1</v>
      </c>
      <c r="H25">
        <f>VLOOKUP($C25,RLS!$C$32:$O$36,5,FALSE)</f>
        <v>1</v>
      </c>
      <c r="I25">
        <f>VLOOKUP($C25,RLS!$C$32:$O$36,6,FALSE)</f>
        <v>1</v>
      </c>
      <c r="J25">
        <f>VLOOKUP($C25,RLS!$C$32:$O$36,7,FALSE)</f>
        <v>1</v>
      </c>
      <c r="K25">
        <f>VLOOKUP($C25,RLS!$C$32:$O$36,8,FALSE)</f>
        <v>1</v>
      </c>
      <c r="L25">
        <f>VLOOKUP($C25,RLS!$C$32:$O$36,9,FALSE)</f>
        <v>1</v>
      </c>
      <c r="M25">
        <f>VLOOKUP($C25,RLS!$C$32:$O$36,10,FALSE)</f>
        <v>1</v>
      </c>
      <c r="N25">
        <f>VLOOKUP($C25,RLS!$C$32:$O$36,11,FALSE)</f>
        <v>1</v>
      </c>
      <c r="O25">
        <f>VLOOKUP($C25,RLS!$C$32:$O$36,12,FALSE)</f>
        <v>1</v>
      </c>
      <c r="P25">
        <f>VLOOKUP($C25,RLS!$C$32:$O$36,13,FALSE)</f>
        <v>1</v>
      </c>
      <c r="Q25">
        <f>VLOOKUP($C25,RLS!$C$32:$P$36,14,FALSE)</f>
        <v>1</v>
      </c>
      <c r="R25">
        <f>VLOOKUP($C25,RLS!$C$32:$P$36,14,FALSE)</f>
        <v>1</v>
      </c>
      <c r="S25">
        <f>VLOOKUP($C25,RLS!$C$32:$P$36,14,FALSE)</f>
        <v>1</v>
      </c>
      <c r="T25">
        <f>VLOOKUP($C25,RLS!$C$32:$P$36,14,FALSE)</f>
        <v>1</v>
      </c>
      <c r="U25">
        <f>VLOOKUP($C25,RLS!$C$32:$P$36,14,FALSE)</f>
        <v>1</v>
      </c>
      <c r="V25">
        <f>VLOOKUP($C25,RLS!$C$32:$P$36,14,FALSE)</f>
        <v>1</v>
      </c>
      <c r="W25">
        <f>VLOOKUP($C25,RLS!$C$32:$P$36,14,FALSE)</f>
        <v>1</v>
      </c>
      <c r="X25">
        <f>VLOOKUP($C25,RLS!$C$32:$P$36,14,FALSE)</f>
        <v>1</v>
      </c>
      <c r="Y25">
        <f>VLOOKUP($C25,RLS!$C$32:$P$36,14,FALSE)</f>
        <v>1</v>
      </c>
      <c r="Z25">
        <f>VLOOKUP($C25,RLS!$C$32:$P$36,14,FALSE)</f>
        <v>1</v>
      </c>
      <c r="AA25">
        <f>VLOOKUP($C25,RLS!$C$32:$P$36,14,FALSE)</f>
        <v>1</v>
      </c>
      <c r="AB25">
        <f>VLOOKUP($C25,RLS!$C$32:$P$36,14,FALSE)</f>
        <v>1</v>
      </c>
      <c r="AC25">
        <f>VLOOKUP($C25,RLS!$C$32:$AB$36,26,FALSE)</f>
        <v>0</v>
      </c>
      <c r="AD25">
        <f>VLOOKUP($C25,RLS!$C$32:$AB$36,26,FALSE)</f>
        <v>0</v>
      </c>
      <c r="AE25">
        <f>VLOOKUP($C25,RLS!$C$32:$AB$36,26,FALSE)</f>
        <v>0</v>
      </c>
      <c r="AF25">
        <f>VLOOKUP($C25,RLS!$C$32:$AB$36,26,FALSE)</f>
        <v>0</v>
      </c>
      <c r="AG25">
        <f>VLOOKUP($C25,RLS!$C$32:$AB$36,26,FALSE)</f>
        <v>0</v>
      </c>
      <c r="AH25">
        <f>VLOOKUP($C25,RLS!$C$32:$AB$36,26,FALSE)</f>
        <v>0</v>
      </c>
      <c r="AI25">
        <f>VLOOKUP($C25,RLS!$C$32:$AB$36,26,FALSE)</f>
        <v>0</v>
      </c>
      <c r="AJ25">
        <f>VLOOKUP($C25,RLS!$C$32:$AB$36,26,FALSE)</f>
        <v>0</v>
      </c>
      <c r="AK25">
        <f>VLOOKUP($C25,RLS!$C$32:$AB$36,26,FALSE)</f>
        <v>0</v>
      </c>
      <c r="AL25">
        <f>VLOOKUP($C25,RLS!$C$32:$AB$36,26,FALSE)</f>
        <v>0</v>
      </c>
      <c r="AM25">
        <f>VLOOKUP($C25,RLS!$C$32:$AB$36,26,FALSE)</f>
        <v>0</v>
      </c>
      <c r="AN25">
        <f>VLOOKUP($C25,RLS!$C$32:$AB$36,26,FALSE)</f>
        <v>0</v>
      </c>
      <c r="AO25">
        <f>VLOOKUP($C25,RLS!$C$32:$AN$36,38,FALSE)</f>
        <v>0</v>
      </c>
      <c r="AP25">
        <f>VLOOKUP($C25,RLS!$C$32:$AN$36,38,FALSE)</f>
        <v>0</v>
      </c>
      <c r="AQ25">
        <f>VLOOKUP($C25,RLS!$C$32:$AN$36,38,FALSE)</f>
        <v>0</v>
      </c>
      <c r="AR25">
        <f>VLOOKUP($C25,RLS!$C$32:$AN$36,38,FALSE)</f>
        <v>0</v>
      </c>
      <c r="AS25">
        <f>VLOOKUP($C25,RLS!$C$32:$AN$36,38,FALSE)</f>
        <v>0</v>
      </c>
      <c r="AT25">
        <f>VLOOKUP($C25,RLS!$C$32:$AN$36,38,FALSE)</f>
        <v>0</v>
      </c>
      <c r="AU25">
        <f>VLOOKUP($C25,RLS!$C$32:$AN$36,38,FALSE)</f>
        <v>0</v>
      </c>
      <c r="AV25">
        <f>VLOOKUP($C25,RLS!$C$32:$AN$36,38,FALSE)</f>
        <v>0</v>
      </c>
      <c r="AW25">
        <f>VLOOKUP($C25,RLS!$C$32:$AN$36,38,FALSE)</f>
        <v>0</v>
      </c>
      <c r="AX25">
        <f>VLOOKUP($C25,RLS!$C$32:$AN$36,38,FALSE)</f>
        <v>0</v>
      </c>
      <c r="AY25">
        <f>VLOOKUP($C25,RLS!$C$32:$AN$36,38,FALSE)</f>
        <v>0</v>
      </c>
      <c r="AZ25">
        <f>VLOOKUP($C25,RLS!$C$32:$AN$36,38,FALSE)</f>
        <v>0</v>
      </c>
      <c r="BA25">
        <f>VLOOKUP($C25,RLS!$C$32:$AZ$36,50,FALSE)</f>
        <v>0</v>
      </c>
      <c r="BB25">
        <f>VLOOKUP($C25,RLS!$C$32:$AZ$36,50,FALSE)</f>
        <v>0</v>
      </c>
      <c r="BC25">
        <f>VLOOKUP($C25,RLS!$C$32:$AZ$36,50,FALSE)</f>
        <v>0</v>
      </c>
      <c r="BD25">
        <f>VLOOKUP($C25,RLS!$C$32:$AZ$36,50,FALSE)</f>
        <v>0</v>
      </c>
      <c r="BE25">
        <f>VLOOKUP($C25,RLS!$C$32:$AZ$36,50,FALSE)</f>
        <v>0</v>
      </c>
      <c r="BF25">
        <f>VLOOKUP($C25,RLS!$C$32:$AZ$36,50,FALSE)</f>
        <v>0</v>
      </c>
      <c r="BG25">
        <f>VLOOKUP($C25,RLS!$C$32:$AZ$36,50,FALSE)</f>
        <v>0</v>
      </c>
      <c r="BH25">
        <f>VLOOKUP($C25,RLS!$C$32:$AZ$36,50,FALSE)</f>
        <v>0</v>
      </c>
      <c r="BI25">
        <f>VLOOKUP($C25,RLS!$C$32:$AZ$36,50,FALSE)</f>
        <v>0</v>
      </c>
      <c r="BJ25">
        <f>VLOOKUP($C25,RLS!$C$32:$AZ$36,50,FALSE)</f>
        <v>0</v>
      </c>
      <c r="BK25">
        <f>VLOOKUP($C25,RLS!$C$32:$AZ$36,50,FALSE)</f>
        <v>0</v>
      </c>
      <c r="BL25">
        <f>VLOOKUP($C25,RLS!$C$32:$AZ$36,50,FALSE)</f>
        <v>0</v>
      </c>
    </row>
    <row r="26" spans="1:64" x14ac:dyDescent="0.35">
      <c r="A26" t="s">
        <v>64</v>
      </c>
      <c r="B26" t="s">
        <v>76</v>
      </c>
      <c r="C26" t="str">
        <f t="shared" si="0"/>
        <v>BSAOnsite-Landed</v>
      </c>
      <c r="D26" t="s">
        <v>66</v>
      </c>
      <c r="E26">
        <f>ROUND(VLOOKUP($C26,RLS!$C$37:$O$41,2,FALSE)*'Unit Distribution'!$B$3,0)</f>
        <v>1</v>
      </c>
      <c r="F26">
        <f>ROUND(VLOOKUP($C26,RLS!$C$37:$O$41,3,FALSE)*'Unit Distribution'!$B$3,0)</f>
        <v>1</v>
      </c>
      <c r="G26">
        <f>ROUND(VLOOKUP($C26,RLS!$C$37:$O$41,4,FALSE)*'Unit Distribution'!$B$3,0)</f>
        <v>1</v>
      </c>
      <c r="H26">
        <f>ROUND(VLOOKUP($C26,RLS!$C$37:$O$41,5,FALSE)*'Unit Distribution'!$B$3,0)</f>
        <v>1</v>
      </c>
      <c r="I26">
        <f>ROUND(VLOOKUP($C26,RLS!$C$37:$O$41,6,FALSE)*'Unit Distribution'!$B$3,0)</f>
        <v>1</v>
      </c>
      <c r="J26">
        <f>ROUND(VLOOKUP($C26,RLS!$C$37:$O$41,7,FALSE)*'Unit Distribution'!$B$3,0)</f>
        <v>1</v>
      </c>
      <c r="K26">
        <f>ROUND(VLOOKUP($C26,RLS!$C$37:$O$41,8,FALSE)*'Unit Distribution'!$B$3,0)</f>
        <v>1</v>
      </c>
      <c r="L26">
        <f>ROUND(VLOOKUP($C26,RLS!$C$37:$O$41,9,FALSE)*'Unit Distribution'!$B$3,0)</f>
        <v>1</v>
      </c>
      <c r="M26">
        <f>ROUND(VLOOKUP($C26,RLS!$C$37:$O$41,10,FALSE)*'Unit Distribution'!$B$3,0)</f>
        <v>1</v>
      </c>
      <c r="N26">
        <f>ROUND(VLOOKUP($C26,RLS!$C$37:$O$41,11,FALSE)*'Unit Distribution'!$B$3,0)</f>
        <v>1</v>
      </c>
      <c r="O26">
        <f>ROUND(VLOOKUP($C26,RLS!$C$37:$O$41,12,FALSE)*'Unit Distribution'!$B$3,0)</f>
        <v>1</v>
      </c>
      <c r="P26">
        <f>ROUND(VLOOKUP($C26,RLS!$C$37:$O$41,13,FALSE)*'Unit Distribution'!$B$3,0)</f>
        <v>1</v>
      </c>
      <c r="Q26">
        <f>ROUND(VLOOKUP($C26,RLS!$C$37:$P$41,14,FALSE)*'Unit Distribution'!$C$3,0)</f>
        <v>0</v>
      </c>
      <c r="R26">
        <f>ROUND(VLOOKUP($C26,RLS!$C$37:$P$41,14,FALSE)*'Unit Distribution'!$C$3,0)</f>
        <v>0</v>
      </c>
      <c r="S26">
        <f>ROUND(VLOOKUP($C26,RLS!$C$37:$P$41,14,FALSE)*'Unit Distribution'!$C$3,0)</f>
        <v>0</v>
      </c>
      <c r="T26">
        <f>ROUND(VLOOKUP($C26,RLS!$C$37:$P$41,14,FALSE)*'Unit Distribution'!$C$3,0)</f>
        <v>0</v>
      </c>
      <c r="U26">
        <f>ROUND(VLOOKUP($C26,RLS!$C$37:$P$41,14,FALSE)*'Unit Distribution'!$C$3,0)</f>
        <v>0</v>
      </c>
      <c r="V26">
        <f>ROUND(VLOOKUP($C26,RLS!$C$37:$P$41,14,FALSE)*'Unit Distribution'!$C$3,0)</f>
        <v>0</v>
      </c>
      <c r="W26">
        <f>ROUND(VLOOKUP($C26,RLS!$C$37:$P$41,14,FALSE)*'Unit Distribution'!$C$3,0)</f>
        <v>0</v>
      </c>
      <c r="X26">
        <f>ROUND(VLOOKUP($C26,RLS!$C$37:$P$41,14,FALSE)*'Unit Distribution'!$C$3,0)</f>
        <v>0</v>
      </c>
      <c r="Y26">
        <f>ROUND(VLOOKUP($C26,RLS!$C$37:$P$41,14,FALSE)*'Unit Distribution'!$C$3,0)</f>
        <v>0</v>
      </c>
      <c r="Z26">
        <f>ROUND(VLOOKUP($C26,RLS!$C$37:$P$41,14,FALSE)*'Unit Distribution'!$C$3,0)</f>
        <v>0</v>
      </c>
      <c r="AA26">
        <f>ROUND(VLOOKUP($C26,RLS!$C$37:$P$41,14,FALSE)*'Unit Distribution'!$C$3,0)</f>
        <v>0</v>
      </c>
      <c r="AB26">
        <f>ROUND(VLOOKUP($C26,RLS!$C$37:$P$41,14,FALSE)*'Unit Distribution'!$C$3,0)</f>
        <v>0</v>
      </c>
      <c r="AC26">
        <f>ROUND(VLOOKUP($C26,RLS!$C$37:$AB$41,26,FALSE)*'Unit Distribution'!$D$3,0)</f>
        <v>0</v>
      </c>
      <c r="AD26">
        <f>ROUND(VLOOKUP($C26,RLS!$C$37:$AB$41,26,FALSE)*'Unit Distribution'!$D$3,0)</f>
        <v>0</v>
      </c>
      <c r="AE26">
        <f>ROUND(VLOOKUP($C26,RLS!$C$37:$AB$41,26,FALSE)*'Unit Distribution'!$D$3,0)</f>
        <v>0</v>
      </c>
      <c r="AF26">
        <f>ROUND(VLOOKUP($C26,RLS!$C$37:$AB$41,26,FALSE)*'Unit Distribution'!$D$3,0)</f>
        <v>0</v>
      </c>
      <c r="AG26">
        <f>ROUND(VLOOKUP($C26,RLS!$C$37:$AB$41,26,FALSE)*'Unit Distribution'!$D$3,0)</f>
        <v>0</v>
      </c>
      <c r="AH26">
        <f>ROUND(VLOOKUP($C26,RLS!$C$37:$AB$41,26,FALSE)*'Unit Distribution'!$D$3,0)</f>
        <v>0</v>
      </c>
      <c r="AI26">
        <f>ROUND(VLOOKUP($C26,RLS!$C$37:$AB$41,26,FALSE)*'Unit Distribution'!$D$3,0)</f>
        <v>0</v>
      </c>
      <c r="AJ26">
        <f>ROUND(VLOOKUP($C26,RLS!$C$37:$AB$41,26,FALSE)*'Unit Distribution'!$D$3,0)</f>
        <v>0</v>
      </c>
      <c r="AK26">
        <f>ROUND(VLOOKUP($C26,RLS!$C$37:$AB$41,26,FALSE)*'Unit Distribution'!$D$3,0)</f>
        <v>0</v>
      </c>
      <c r="AL26">
        <f>ROUND(VLOOKUP($C26,RLS!$C$37:$AB$41,26,FALSE)*'Unit Distribution'!$D$3,0)</f>
        <v>0</v>
      </c>
      <c r="AM26">
        <f>ROUND(VLOOKUP($C26,RLS!$C$37:$AB$41,26,FALSE)*'Unit Distribution'!$D$3,0)</f>
        <v>0</v>
      </c>
      <c r="AN26">
        <f>ROUND(VLOOKUP($C26,RLS!$C$37:$AB$41,26,FALSE)*'Unit Distribution'!$D$3,0)</f>
        <v>0</v>
      </c>
      <c r="AO26">
        <f>ROUND(VLOOKUP($C26,RLS!$C$37:$AN$41,38,FALSE)*'Unit Distribution'!$E$3,0)</f>
        <v>0</v>
      </c>
      <c r="AP26">
        <f>ROUND(VLOOKUP($C26,RLS!$C$37:$AN$41,38,FALSE)*'Unit Distribution'!$E$3,0)</f>
        <v>0</v>
      </c>
      <c r="AQ26">
        <f>ROUND(VLOOKUP($C26,RLS!$C$37:$AN$41,38,FALSE)*'Unit Distribution'!$E$3,0)</f>
        <v>0</v>
      </c>
      <c r="AR26">
        <f>ROUND(VLOOKUP($C26,RLS!$C$37:$AN$41,38,FALSE)*'Unit Distribution'!$E$3,0)</f>
        <v>0</v>
      </c>
      <c r="AS26">
        <f>ROUND(VLOOKUP($C26,RLS!$C$37:$AN$41,38,FALSE)*'Unit Distribution'!$E$3,0)</f>
        <v>0</v>
      </c>
      <c r="AT26">
        <f>ROUND(VLOOKUP($C26,RLS!$C$37:$AN$41,38,FALSE)*'Unit Distribution'!$E$3,0)</f>
        <v>0</v>
      </c>
      <c r="AU26">
        <f>ROUND(VLOOKUP($C26,RLS!$C$37:$AN$41,38,FALSE)*'Unit Distribution'!$E$3,0)</f>
        <v>0</v>
      </c>
      <c r="AV26">
        <f>ROUND(VLOOKUP($C26,RLS!$C$37:$AN$41,38,FALSE)*'Unit Distribution'!$E$3,0)</f>
        <v>0</v>
      </c>
      <c r="AW26">
        <f>ROUND(VLOOKUP($C26,RLS!$C$37:$AN$41,38,FALSE)*'Unit Distribution'!$E$3,0)</f>
        <v>0</v>
      </c>
      <c r="AX26">
        <f>ROUND(VLOOKUP($C26,RLS!$C$37:$AN$41,38,FALSE)*'Unit Distribution'!$E$3,0)</f>
        <v>0</v>
      </c>
      <c r="AY26">
        <f>ROUND(VLOOKUP($C26,RLS!$C$37:$AN$41,38,FALSE)*'Unit Distribution'!$E$3,0)</f>
        <v>0</v>
      </c>
      <c r="AZ26">
        <f>ROUND(VLOOKUP($C26,RLS!$C$37:$AN$41,38,FALSE)*'Unit Distribution'!$E$3,0)</f>
        <v>0</v>
      </c>
      <c r="BA26">
        <f>ROUND(VLOOKUP($C26,RLS!$C$37:$AZ$41,50,FALSE)*'Unit Distribution'!$F$3,0)</f>
        <v>0</v>
      </c>
      <c r="BB26">
        <f>ROUND(VLOOKUP($C26,RLS!$C$37:$AZ$41,50,FALSE)*'Unit Distribution'!$F$3,0)</f>
        <v>0</v>
      </c>
      <c r="BC26">
        <f>ROUND(VLOOKUP($C26,RLS!$C$37:$AZ$41,50,FALSE)*'Unit Distribution'!$F$3,0)</f>
        <v>0</v>
      </c>
      <c r="BD26">
        <f>ROUND(VLOOKUP($C26,RLS!$C$37:$AZ$41,50,FALSE)*'Unit Distribution'!$F$3,0)</f>
        <v>0</v>
      </c>
      <c r="BE26">
        <f>ROUND(VLOOKUP($C26,RLS!$C$37:$AZ$41,50,FALSE)*'Unit Distribution'!$F$3,0)</f>
        <v>0</v>
      </c>
      <c r="BF26">
        <f>ROUND(VLOOKUP($C26,RLS!$C$37:$AZ$41,50,FALSE)*'Unit Distribution'!$F$3,0)</f>
        <v>0</v>
      </c>
      <c r="BG26">
        <f>ROUND(VLOOKUP($C26,RLS!$C$37:$AZ$41,50,FALSE)*'Unit Distribution'!$F$3,0)</f>
        <v>0</v>
      </c>
      <c r="BH26">
        <f>ROUND(VLOOKUP($C26,RLS!$C$37:$AZ$41,50,FALSE)*'Unit Distribution'!$F$3,0)</f>
        <v>0</v>
      </c>
      <c r="BI26">
        <f>ROUND(VLOOKUP($C26,RLS!$C$37:$AZ$41,50,FALSE)*'Unit Distribution'!$F$3,0)</f>
        <v>0</v>
      </c>
      <c r="BJ26">
        <f>ROUND(VLOOKUP($C26,RLS!$C$37:$AZ$41,50,FALSE)*'Unit Distribution'!$F$3,0)</f>
        <v>0</v>
      </c>
      <c r="BK26">
        <f>ROUND(VLOOKUP($C26,RLS!$C$37:$AZ$41,50,FALSE)*'Unit Distribution'!$F$3,0)</f>
        <v>0</v>
      </c>
      <c r="BL26">
        <f>ROUND(VLOOKUP($C26,RLS!$C$37:$AZ$41,50,FALSE)*'Unit Distribution'!$F$3,0)</f>
        <v>0</v>
      </c>
    </row>
    <row r="27" spans="1:64" x14ac:dyDescent="0.35">
      <c r="A27" t="s">
        <v>64</v>
      </c>
      <c r="B27" t="s">
        <v>76</v>
      </c>
      <c r="C27" t="str">
        <f t="shared" si="0"/>
        <v>BSAOnsite-Landed</v>
      </c>
      <c r="D27" t="s">
        <v>67</v>
      </c>
      <c r="E27">
        <f>ROUND(VLOOKUP($C27,RLS!$C$37:$O$41,2,FALSE)*'Unit Distribution'!$B$4,0)</f>
        <v>1</v>
      </c>
      <c r="F27">
        <f>ROUND(VLOOKUP($C27,RLS!$C$37:$O$41,3,FALSE)*'Unit Distribution'!$B$4,0)</f>
        <v>1</v>
      </c>
      <c r="G27">
        <f>ROUND(VLOOKUP($C27,RLS!$C$37:$O$41,4,FALSE)*'Unit Distribution'!$B$4,0)</f>
        <v>1</v>
      </c>
      <c r="H27">
        <f>ROUND(VLOOKUP($C27,RLS!$C$37:$O$41,5,FALSE)*'Unit Distribution'!$B$4,0)</f>
        <v>1</v>
      </c>
      <c r="I27">
        <f>ROUND(VLOOKUP($C27,RLS!$C$37:$O$41,6,FALSE)*'Unit Distribution'!$B$4,0)</f>
        <v>1</v>
      </c>
      <c r="J27">
        <f>ROUND(VLOOKUP($C27,RLS!$C$37:$O$41,7,FALSE)*'Unit Distribution'!$B$4,0)</f>
        <v>1</v>
      </c>
      <c r="K27">
        <f>ROUND(VLOOKUP($C27,RLS!$C$37:$O$41,8,FALSE)*'Unit Distribution'!$B$4,0)</f>
        <v>1</v>
      </c>
      <c r="L27">
        <f>ROUND(VLOOKUP($C27,RLS!$C$37:$O$41,9,FALSE)*'Unit Distribution'!$B$4,0)</f>
        <v>1</v>
      </c>
      <c r="M27">
        <f>ROUND(VLOOKUP($C27,RLS!$C$37:$O$41,10,FALSE)*'Unit Distribution'!$B$4,0)</f>
        <v>1</v>
      </c>
      <c r="N27">
        <f>ROUND(VLOOKUP($C27,RLS!$C$37:$O$41,11,FALSE)*'Unit Distribution'!$B$4,0)</f>
        <v>1</v>
      </c>
      <c r="O27">
        <f>ROUND(VLOOKUP($C27,RLS!$C$37:$O$41,12,FALSE)*'Unit Distribution'!$B$4,0)</f>
        <v>1</v>
      </c>
      <c r="P27">
        <f>ROUND(VLOOKUP($C27,RLS!$C$37:$O$41,13,FALSE)*'Unit Distribution'!$B$4,0)</f>
        <v>1</v>
      </c>
      <c r="Q27">
        <f>ROUND(VLOOKUP($C27,RLS!$C$37:$P$41,14,FALSE)*'Unit Distribution'!$C$4,0)</f>
        <v>0</v>
      </c>
      <c r="R27">
        <f>ROUND(VLOOKUP($C27,RLS!$C$37:$P$41,14,FALSE)*'Unit Distribution'!$C$4,0)</f>
        <v>0</v>
      </c>
      <c r="S27">
        <f>ROUND(VLOOKUP($C27,RLS!$C$37:$P$41,14,FALSE)*'Unit Distribution'!$C$4,0)</f>
        <v>0</v>
      </c>
      <c r="T27">
        <f>ROUND(VLOOKUP($C27,RLS!$C$37:$P$41,14,FALSE)*'Unit Distribution'!$C$4,0)</f>
        <v>0</v>
      </c>
      <c r="U27">
        <f>ROUND(VLOOKUP($C27,RLS!$C$37:$P$41,14,FALSE)*'Unit Distribution'!$C$4,0)</f>
        <v>0</v>
      </c>
      <c r="V27">
        <f>ROUND(VLOOKUP($C27,RLS!$C$37:$P$41,14,FALSE)*'Unit Distribution'!$C$4,0)</f>
        <v>0</v>
      </c>
      <c r="W27">
        <f>ROUND(VLOOKUP($C27,RLS!$C$37:$P$41,14,FALSE)*'Unit Distribution'!$C$4,0)</f>
        <v>0</v>
      </c>
      <c r="X27">
        <f>ROUND(VLOOKUP($C27,RLS!$C$37:$P$41,14,FALSE)*'Unit Distribution'!$C$4,0)</f>
        <v>0</v>
      </c>
      <c r="Y27">
        <f>ROUND(VLOOKUP($C27,RLS!$C$37:$P$41,14,FALSE)*'Unit Distribution'!$C$4,0)</f>
        <v>0</v>
      </c>
      <c r="Z27">
        <f>ROUND(VLOOKUP($C27,RLS!$C$37:$P$41,14,FALSE)*'Unit Distribution'!$C$4,0)</f>
        <v>0</v>
      </c>
      <c r="AA27">
        <f>ROUND(VLOOKUP($C27,RLS!$C$37:$P$41,14,FALSE)*'Unit Distribution'!$C$4,0)</f>
        <v>0</v>
      </c>
      <c r="AB27">
        <f>ROUND(VLOOKUP($C27,RLS!$C$37:$P$41,14,FALSE)*'Unit Distribution'!$C$4,0)</f>
        <v>0</v>
      </c>
      <c r="AC27">
        <f>VLOOKUP($C27,RLS!$C$37:$AB$41,26,FALSE)-AC26-AC28</f>
        <v>0</v>
      </c>
      <c r="AD27">
        <f>VLOOKUP($C27,RLS!$C$37:$AB$41,26,FALSE)-AD26-AD28</f>
        <v>0</v>
      </c>
      <c r="AE27">
        <f>VLOOKUP($C27,RLS!$C$37:$AB$41,26,FALSE)-AE26-AE28</f>
        <v>0</v>
      </c>
      <c r="AF27">
        <f>VLOOKUP($C27,RLS!$C$37:$AB$41,26,FALSE)-AF26-AF28</f>
        <v>0</v>
      </c>
      <c r="AG27">
        <f>VLOOKUP($C27,RLS!$C$37:$AB$41,26,FALSE)-AG26-AG28</f>
        <v>0</v>
      </c>
      <c r="AH27">
        <f>VLOOKUP($C27,RLS!$C$37:$AB$41,26,FALSE)-AH26-AH28</f>
        <v>0</v>
      </c>
      <c r="AI27">
        <f>VLOOKUP($C27,RLS!$C$37:$AB$41,26,FALSE)-AI26-AI28</f>
        <v>0</v>
      </c>
      <c r="AJ27">
        <f>VLOOKUP($C27,RLS!$C$37:$AB$41,26,FALSE)-AJ26-AJ28</f>
        <v>0</v>
      </c>
      <c r="AK27">
        <f>VLOOKUP($C27,RLS!$C$37:$AB$41,26,FALSE)-AK26-AK28</f>
        <v>0</v>
      </c>
      <c r="AL27">
        <f>VLOOKUP($C27,RLS!$C$37:$AB$41,26,FALSE)-AL26-AL28</f>
        <v>0</v>
      </c>
      <c r="AM27">
        <f>VLOOKUP($C27,RLS!$C$37:$AB$41,26,FALSE)-AM26-AM28</f>
        <v>0</v>
      </c>
      <c r="AN27">
        <f>VLOOKUP($C27,RLS!$C$37:$AB$41,26,FALSE)-AN26-AN28</f>
        <v>0</v>
      </c>
      <c r="AO27">
        <f>VLOOKUP($C27,RLS!$C$37:$AN$41,38,FALSE)-AO26-AO28</f>
        <v>0</v>
      </c>
      <c r="AP27">
        <f>VLOOKUP($C27,RLS!$C$37:$AN$41,38,FALSE)-AP26-AP28</f>
        <v>0</v>
      </c>
      <c r="AQ27">
        <f>VLOOKUP($C27,RLS!$C$37:$AN$41,38,FALSE)-AQ26-AQ28</f>
        <v>0</v>
      </c>
      <c r="AR27">
        <f>VLOOKUP($C27,RLS!$C$37:$AN$41,38,FALSE)-AR26-AR28</f>
        <v>0</v>
      </c>
      <c r="AS27">
        <f>VLOOKUP($C27,RLS!$C$37:$AN$41,38,FALSE)-AS26-AS28</f>
        <v>0</v>
      </c>
      <c r="AT27">
        <f>VLOOKUP($C27,RLS!$C$37:$AN$41,38,FALSE)-AT26-AT28</f>
        <v>0</v>
      </c>
      <c r="AU27">
        <f>VLOOKUP($C27,RLS!$C$37:$AN$41,38,FALSE)-AU26-AU28</f>
        <v>0</v>
      </c>
      <c r="AV27">
        <f>VLOOKUP($C27,RLS!$C$37:$AN$41,38,FALSE)-AV26-AV28</f>
        <v>0</v>
      </c>
      <c r="AW27">
        <f>VLOOKUP($C27,RLS!$C$37:$AN$41,38,FALSE)-AW26-AW28</f>
        <v>0</v>
      </c>
      <c r="AX27">
        <f>VLOOKUP($C27,RLS!$C$37:$AN$41,38,FALSE)-AX26-AX28</f>
        <v>0</v>
      </c>
      <c r="AY27">
        <f>VLOOKUP($C27,RLS!$C$37:$AN$41,38,FALSE)-AY26-AY28</f>
        <v>0</v>
      </c>
      <c r="AZ27">
        <f>VLOOKUP($C27,RLS!$C$37:$AN$41,38,FALSE)-AZ26-AZ28</f>
        <v>0</v>
      </c>
      <c r="BA27">
        <f>VLOOKUP($C27,RLS!$C$37:$AZ$41,50,FALSE)-BA26-BA28</f>
        <v>0</v>
      </c>
      <c r="BB27">
        <f>VLOOKUP($C27,RLS!$C$37:$AZ$41,50,FALSE)-BB26-BB28</f>
        <v>0</v>
      </c>
      <c r="BC27">
        <f>VLOOKUP($C27,RLS!$C$37:$AZ$41,50,FALSE)-BC26-BC28</f>
        <v>0</v>
      </c>
      <c r="BD27">
        <f>VLOOKUP($C27,RLS!$C$37:$AZ$41,50,FALSE)-BD26-BD28</f>
        <v>0</v>
      </c>
      <c r="BE27">
        <f>VLOOKUP($C27,RLS!$C$37:$AZ$41,50,FALSE)-BE26-BE28</f>
        <v>0</v>
      </c>
      <c r="BF27">
        <f>VLOOKUP($C27,RLS!$C$37:$AZ$41,50,FALSE)-BF26-BF28</f>
        <v>0</v>
      </c>
      <c r="BG27">
        <f>VLOOKUP($C27,RLS!$C$37:$AZ$41,50,FALSE)-BG26-BG28</f>
        <v>0</v>
      </c>
      <c r="BH27">
        <f>VLOOKUP($C27,RLS!$C$37:$AZ$41,50,FALSE)-BH26-BH28</f>
        <v>0</v>
      </c>
      <c r="BI27">
        <f>VLOOKUP($C27,RLS!$C$37:$AZ$41,50,FALSE)-BI26-BI28</f>
        <v>0</v>
      </c>
      <c r="BJ27">
        <f>VLOOKUP($C27,RLS!$C$37:$AZ$41,50,FALSE)-BJ26-BJ28</f>
        <v>0</v>
      </c>
      <c r="BK27">
        <f>VLOOKUP($C27,RLS!$C$37:$AZ$41,50,FALSE)-BK26-BK28</f>
        <v>0</v>
      </c>
      <c r="BL27">
        <f>VLOOKUP($C27,RLS!$C$37:$AZ$41,50,FALSE)-BL26-BL28</f>
        <v>0</v>
      </c>
    </row>
    <row r="28" spans="1:64" x14ac:dyDescent="0.35">
      <c r="A28" t="s">
        <v>64</v>
      </c>
      <c r="B28" t="s">
        <v>76</v>
      </c>
      <c r="C28" t="str">
        <f t="shared" si="0"/>
        <v>BSAOnsite-Landed</v>
      </c>
      <c r="D28" t="s">
        <v>68</v>
      </c>
      <c r="E28">
        <f>VLOOKUP($C28,RLS!$C$37:$O$41,2,FALSE)-E26-E27</f>
        <v>0</v>
      </c>
      <c r="F28">
        <f>VLOOKUP($C28,RLS!$C$37:$O$41,3,FALSE)-F26-F27</f>
        <v>0</v>
      </c>
      <c r="G28">
        <f>VLOOKUP($C28,RLS!$C$37:$O$41,4,FALSE)-G26-G27</f>
        <v>0</v>
      </c>
      <c r="H28">
        <f>VLOOKUP($C28,RLS!$C$37:$O$41,5,FALSE)-H26-H27</f>
        <v>0</v>
      </c>
      <c r="I28">
        <f>VLOOKUP($C28,RLS!$C$37:$O$41,6,FALSE)-I26-I27</f>
        <v>0</v>
      </c>
      <c r="J28">
        <f>VLOOKUP($C28,RLS!$C$37:$O$41,7,FALSE)-J26-J27</f>
        <v>0</v>
      </c>
      <c r="K28">
        <f>VLOOKUP($C28,RLS!$C$37:$O$41,8,FALSE)-K26-K27</f>
        <v>0</v>
      </c>
      <c r="L28">
        <f>VLOOKUP($C28,RLS!$C$37:$O$41,9,FALSE)-L26-L27</f>
        <v>0</v>
      </c>
      <c r="M28">
        <f>VLOOKUP($C28,RLS!$C$37:$O$41,10,FALSE)-M26-M27</f>
        <v>0</v>
      </c>
      <c r="N28">
        <f>VLOOKUP($C28,RLS!$C$37:$O$41,11,FALSE)-N26-N27</f>
        <v>0</v>
      </c>
      <c r="O28">
        <f>VLOOKUP($C28,RLS!$C$37:$O$41,12,FALSE)-O26-O27</f>
        <v>0</v>
      </c>
      <c r="P28">
        <f>VLOOKUP($C28,RLS!$C$37:$O$41,13,FALSE)-P26-P27</f>
        <v>0</v>
      </c>
      <c r="Q28">
        <f>VLOOKUP($C28,RLS!$C$37:$P$41,14,FALSE)-Q26-Q27</f>
        <v>1</v>
      </c>
      <c r="R28">
        <f>VLOOKUP($C28,RLS!$C$37:$P$41,14,FALSE)-R26-R27</f>
        <v>1</v>
      </c>
      <c r="S28">
        <f>VLOOKUP($C28,RLS!$C$37:$P$41,14,FALSE)-S26-S27</f>
        <v>1</v>
      </c>
      <c r="T28">
        <f>VLOOKUP($C28,RLS!$C$37:$P$41,14,FALSE)-T26-T27</f>
        <v>1</v>
      </c>
      <c r="U28">
        <f>VLOOKUP($C28,RLS!$C$37:$P$41,14,FALSE)-U26-U27</f>
        <v>1</v>
      </c>
      <c r="V28">
        <f>VLOOKUP($C28,RLS!$C$37:$P$41,14,FALSE)-V26-V27</f>
        <v>1</v>
      </c>
      <c r="W28">
        <f>VLOOKUP($C28,RLS!$C$37:$P$41,14,FALSE)-W26-W27</f>
        <v>1</v>
      </c>
      <c r="X28">
        <f>VLOOKUP($C28,RLS!$C$37:$P$41,14,FALSE)-X26-X27</f>
        <v>1</v>
      </c>
      <c r="Y28">
        <f>VLOOKUP($C28,RLS!$C$37:$P$41,14,FALSE)-Y26-Y27</f>
        <v>1</v>
      </c>
      <c r="Z28">
        <f>VLOOKUP($C28,RLS!$C$37:$P$41,14,FALSE)-Z26-Z27</f>
        <v>1</v>
      </c>
      <c r="AA28">
        <f>VLOOKUP($C28,RLS!$C$37:$P$41,14,FALSE)-AA26-AA27</f>
        <v>1</v>
      </c>
      <c r="AB28">
        <f>VLOOKUP($C28,RLS!$C$37:$P$41,14,FALSE)-AB26-AB27</f>
        <v>1</v>
      </c>
      <c r="AC28">
        <f>ROUND(VLOOKUP($C28,RLS!$C$37:$AB$41,26,FALSE)*'Unit Distribution'!$D$5,0)</f>
        <v>0</v>
      </c>
      <c r="AD28">
        <f>ROUND(VLOOKUP($C28,RLS!$C$37:$AB$41,26,FALSE)*'Unit Distribution'!$D$5,0)</f>
        <v>0</v>
      </c>
      <c r="AE28">
        <f>ROUND(VLOOKUP($C28,RLS!$C$37:$AB$41,26,FALSE)*'Unit Distribution'!$D$5,0)</f>
        <v>0</v>
      </c>
      <c r="AF28">
        <f>ROUND(VLOOKUP($C28,RLS!$C$37:$AB$41,26,FALSE)*'Unit Distribution'!$D$5,0)</f>
        <v>0</v>
      </c>
      <c r="AG28">
        <f>ROUND(VLOOKUP($C28,RLS!$C$37:$AB$41,26,FALSE)*'Unit Distribution'!$D$5,0)</f>
        <v>0</v>
      </c>
      <c r="AH28">
        <f>ROUND(VLOOKUP($C28,RLS!$C$37:$AB$41,26,FALSE)*'Unit Distribution'!$D$5,0)</f>
        <v>0</v>
      </c>
      <c r="AI28">
        <f>ROUND(VLOOKUP($C28,RLS!$C$37:$AB$41,26,FALSE)*'Unit Distribution'!$D$5,0)</f>
        <v>0</v>
      </c>
      <c r="AJ28">
        <f>ROUND(VLOOKUP($C28,RLS!$C$37:$AB$41,26,FALSE)*'Unit Distribution'!$D$5,0)</f>
        <v>0</v>
      </c>
      <c r="AK28">
        <f>ROUND(VLOOKUP($C28,RLS!$C$37:$AB$41,26,FALSE)*'Unit Distribution'!$D$5,0)</f>
        <v>0</v>
      </c>
      <c r="AL28">
        <f>ROUND(VLOOKUP($C28,RLS!$C$37:$AB$41,26,FALSE)*'Unit Distribution'!$D$5,0)</f>
        <v>0</v>
      </c>
      <c r="AM28">
        <f>ROUND(VLOOKUP($C28,RLS!$C$37:$AB$41,26,FALSE)*'Unit Distribution'!$D$5,0)</f>
        <v>0</v>
      </c>
      <c r="AN28">
        <f>ROUND(VLOOKUP($C28,RLS!$C$37:$AB$41,26,FALSE)*'Unit Distribution'!$D$5,0)</f>
        <v>0</v>
      </c>
      <c r="AO28">
        <f>ROUND(VLOOKUP($C28,RLS!$C$37:$AN$41,38,FALSE)*'Unit Distribution'!$E$5,0)</f>
        <v>0</v>
      </c>
      <c r="AP28">
        <f>ROUND(VLOOKUP($C28,RLS!$C$37:$AN$41,38,FALSE)*'Unit Distribution'!$E$5,0)</f>
        <v>0</v>
      </c>
      <c r="AQ28">
        <f>ROUND(VLOOKUP($C28,RLS!$C$37:$AN$41,38,FALSE)*'Unit Distribution'!$E$5,0)</f>
        <v>0</v>
      </c>
      <c r="AR28">
        <f>ROUND(VLOOKUP($C28,RLS!$C$37:$AN$41,38,FALSE)*'Unit Distribution'!$E$5,0)</f>
        <v>0</v>
      </c>
      <c r="AS28">
        <f>ROUND(VLOOKUP($C28,RLS!$C$37:$AN$41,38,FALSE)*'Unit Distribution'!$E$5,0)</f>
        <v>0</v>
      </c>
      <c r="AT28">
        <f>ROUND(VLOOKUP($C28,RLS!$C$37:$AN$41,38,FALSE)*'Unit Distribution'!$E$5,0)</f>
        <v>0</v>
      </c>
      <c r="AU28">
        <f>ROUND(VLOOKUP($C28,RLS!$C$37:$AN$41,38,FALSE)*'Unit Distribution'!$E$5,0)</f>
        <v>0</v>
      </c>
      <c r="AV28">
        <f>ROUND(VLOOKUP($C28,RLS!$C$37:$AN$41,38,FALSE)*'Unit Distribution'!$E$5,0)</f>
        <v>0</v>
      </c>
      <c r="AW28">
        <f>ROUND(VLOOKUP($C28,RLS!$C$37:$AN$41,38,FALSE)*'Unit Distribution'!$E$5,0)</f>
        <v>0</v>
      </c>
      <c r="AX28">
        <f>ROUND(VLOOKUP($C28,RLS!$C$37:$AN$41,38,FALSE)*'Unit Distribution'!$E$5,0)</f>
        <v>0</v>
      </c>
      <c r="AY28">
        <f>ROUND(VLOOKUP($C28,RLS!$C$37:$AN$41,38,FALSE)*'Unit Distribution'!$E$5,0)</f>
        <v>0</v>
      </c>
      <c r="AZ28">
        <f>ROUND(VLOOKUP($C28,RLS!$C$37:$AN$41,38,FALSE)*'Unit Distribution'!$E$5,0)</f>
        <v>0</v>
      </c>
      <c r="BA28">
        <f>ROUND(VLOOKUP($C28,RLS!$C$37:$AZ$41,50,FALSE)*'Unit Distribution'!$F$5,0)</f>
        <v>0</v>
      </c>
      <c r="BB28">
        <f>ROUND(VLOOKUP($C28,RLS!$C$37:$AZ$41,50,FALSE)*'Unit Distribution'!$F$5,0)</f>
        <v>0</v>
      </c>
      <c r="BC28">
        <f>ROUND(VLOOKUP($C28,RLS!$C$37:$AZ$41,50,FALSE)*'Unit Distribution'!$F$5,0)</f>
        <v>0</v>
      </c>
      <c r="BD28">
        <f>ROUND(VLOOKUP($C28,RLS!$C$37:$AZ$41,50,FALSE)*'Unit Distribution'!$F$5,0)</f>
        <v>0</v>
      </c>
      <c r="BE28">
        <f>ROUND(VLOOKUP($C28,RLS!$C$37:$AZ$41,50,FALSE)*'Unit Distribution'!$F$5,0)</f>
        <v>0</v>
      </c>
      <c r="BF28">
        <f>ROUND(VLOOKUP($C28,RLS!$C$37:$AZ$41,50,FALSE)*'Unit Distribution'!$F$5,0)</f>
        <v>0</v>
      </c>
      <c r="BG28">
        <f>ROUND(VLOOKUP($C28,RLS!$C$37:$AZ$41,50,FALSE)*'Unit Distribution'!$F$5,0)</f>
        <v>0</v>
      </c>
      <c r="BH28">
        <f>ROUND(VLOOKUP($C28,RLS!$C$37:$AZ$41,50,FALSE)*'Unit Distribution'!$F$5,0)</f>
        <v>0</v>
      </c>
      <c r="BI28">
        <f>ROUND(VLOOKUP($C28,RLS!$C$37:$AZ$41,50,FALSE)*'Unit Distribution'!$F$5,0)</f>
        <v>0</v>
      </c>
      <c r="BJ28">
        <f>ROUND(VLOOKUP($C28,RLS!$C$37:$AZ$41,50,FALSE)*'Unit Distribution'!$F$5,0)</f>
        <v>0</v>
      </c>
      <c r="BK28">
        <f>ROUND(VLOOKUP($C28,RLS!$C$37:$AZ$41,50,FALSE)*'Unit Distribution'!$F$5,0)</f>
        <v>0</v>
      </c>
      <c r="BL28">
        <f>ROUND(VLOOKUP($C28,RLS!$C$37:$AZ$41,50,FALSE)*'Unit Distribution'!$F$5,0)</f>
        <v>0</v>
      </c>
    </row>
    <row r="29" spans="1:64" x14ac:dyDescent="0.35">
      <c r="A29" t="s">
        <v>69</v>
      </c>
      <c r="B29" t="s">
        <v>76</v>
      </c>
      <c r="C29" t="str">
        <f t="shared" si="0"/>
        <v>DevOnsite-Landed</v>
      </c>
      <c r="D29" t="s">
        <v>66</v>
      </c>
      <c r="E29">
        <f>ROUND(VLOOKUP($C29,RLS!$C$37:$O$41,2,FALSE)*'Unit Distribution'!$B$3,0)</f>
        <v>1</v>
      </c>
      <c r="F29">
        <f>ROUND(VLOOKUP($C29,RLS!$C$37:$O$41,3,FALSE)*'Unit Distribution'!$B$3,0)</f>
        <v>1</v>
      </c>
      <c r="G29">
        <f>ROUND(VLOOKUP($C29,RLS!$C$37:$O$41,4,FALSE)*'Unit Distribution'!$B$3,0)</f>
        <v>1</v>
      </c>
      <c r="H29">
        <f>ROUND(VLOOKUP($C29,RLS!$C$37:$O$41,5,FALSE)*'Unit Distribution'!$B$3,0)</f>
        <v>1</v>
      </c>
      <c r="I29">
        <f>ROUND(VLOOKUP($C29,RLS!$C$37:$O$41,6,FALSE)*'Unit Distribution'!$B$3,0)</f>
        <v>1</v>
      </c>
      <c r="J29">
        <f>ROUND(VLOOKUP($C29,RLS!$C$37:$O$41,7,FALSE)*'Unit Distribution'!$B$3,0)</f>
        <v>1</v>
      </c>
      <c r="K29">
        <f>ROUND(VLOOKUP($C29,RLS!$C$37:$O$41,8,FALSE)*'Unit Distribution'!$B$3,0)</f>
        <v>1</v>
      </c>
      <c r="L29">
        <f>ROUND(VLOOKUP($C29,RLS!$C$37:$O$41,9,FALSE)*'Unit Distribution'!$B$3,0)</f>
        <v>1</v>
      </c>
      <c r="M29">
        <f>ROUND(VLOOKUP($C29,RLS!$C$37:$O$41,10,FALSE)*'Unit Distribution'!$B$3,0)</f>
        <v>1</v>
      </c>
      <c r="N29">
        <f>ROUND(VLOOKUP($C29,RLS!$C$37:$O$41,11,FALSE)*'Unit Distribution'!$B$3,0)</f>
        <v>1</v>
      </c>
      <c r="O29">
        <f>ROUND(VLOOKUP($C29,RLS!$C$37:$O$41,12,FALSE)*'Unit Distribution'!$B$3,0)</f>
        <v>1</v>
      </c>
      <c r="P29">
        <f>ROUND(VLOOKUP($C29,RLS!$C$37:$O$41,13,FALSE)*'Unit Distribution'!$B$3,0)</f>
        <v>1</v>
      </c>
      <c r="Q29">
        <f>ROUND(VLOOKUP($C29,RLS!$C$37:$P$41,14,FALSE)*'Unit Distribution'!$C$3,0)</f>
        <v>0</v>
      </c>
      <c r="R29">
        <f>ROUND(VLOOKUP($C29,RLS!$C$37:$P$41,14,FALSE)*'Unit Distribution'!$C$3,0)</f>
        <v>0</v>
      </c>
      <c r="S29">
        <f>ROUND(VLOOKUP($C29,RLS!$C$37:$P$41,14,FALSE)*'Unit Distribution'!$C$3,0)</f>
        <v>0</v>
      </c>
      <c r="T29">
        <f>ROUND(VLOOKUP($C29,RLS!$C$37:$P$41,14,FALSE)*'Unit Distribution'!$C$3,0)</f>
        <v>0</v>
      </c>
      <c r="U29">
        <f>ROUND(VLOOKUP($C29,RLS!$C$37:$P$41,14,FALSE)*'Unit Distribution'!$C$3,0)</f>
        <v>0</v>
      </c>
      <c r="V29">
        <f>ROUND(VLOOKUP($C29,RLS!$C$37:$P$41,14,FALSE)*'Unit Distribution'!$C$3,0)</f>
        <v>0</v>
      </c>
      <c r="W29">
        <f>ROUND(VLOOKUP($C29,RLS!$C$37:$P$41,14,FALSE)*'Unit Distribution'!$C$3,0)</f>
        <v>0</v>
      </c>
      <c r="X29">
        <f>ROUND(VLOOKUP($C29,RLS!$C$37:$P$41,14,FALSE)*'Unit Distribution'!$C$3,0)</f>
        <v>0</v>
      </c>
      <c r="Y29">
        <f>ROUND(VLOOKUP($C29,RLS!$C$37:$P$41,14,FALSE)*'Unit Distribution'!$C$3,0)</f>
        <v>0</v>
      </c>
      <c r="Z29">
        <f>ROUND(VLOOKUP($C29,RLS!$C$37:$P$41,14,FALSE)*'Unit Distribution'!$C$3,0)</f>
        <v>0</v>
      </c>
      <c r="AA29">
        <f>ROUND(VLOOKUP($C29,RLS!$C$37:$P$41,14,FALSE)*'Unit Distribution'!$C$3,0)</f>
        <v>0</v>
      </c>
      <c r="AB29">
        <f>ROUND(VLOOKUP($C29,RLS!$C$37:$P$41,14,FALSE)*'Unit Distribution'!$C$3,0)</f>
        <v>0</v>
      </c>
      <c r="AC29">
        <f>ROUNDDOWN(VLOOKUP($C29,RLS!$C$37:$AB$41,26,FALSE)*'Unit Distribution'!$D$3,0)</f>
        <v>0</v>
      </c>
      <c r="AD29">
        <f>ROUNDDOWN(VLOOKUP($C29,RLS!$C$37:$AB$41,26,FALSE)*'Unit Distribution'!$D$3,0)</f>
        <v>0</v>
      </c>
      <c r="AE29">
        <f>ROUNDDOWN(VLOOKUP($C29,RLS!$C$37:$AB$41,26,FALSE)*'Unit Distribution'!$D$3,0)</f>
        <v>0</v>
      </c>
      <c r="AF29">
        <f>ROUNDDOWN(VLOOKUP($C29,RLS!$C$37:$AB$41,26,FALSE)*'Unit Distribution'!$D$3,0)</f>
        <v>0</v>
      </c>
      <c r="AG29">
        <f>ROUNDDOWN(VLOOKUP($C29,RLS!$C$37:$AB$41,26,FALSE)*'Unit Distribution'!$D$3,0)</f>
        <v>0</v>
      </c>
      <c r="AH29">
        <f>ROUNDDOWN(VLOOKUP($C29,RLS!$C$37:$AB$41,26,FALSE)*'Unit Distribution'!$D$3,0)</f>
        <v>0</v>
      </c>
      <c r="AI29">
        <f>ROUNDDOWN(VLOOKUP($C29,RLS!$C$37:$AB$41,26,FALSE)*'Unit Distribution'!$D$3,0)</f>
        <v>0</v>
      </c>
      <c r="AJ29">
        <f>ROUNDDOWN(VLOOKUP($C29,RLS!$C$37:$AB$41,26,FALSE)*'Unit Distribution'!$D$3,0)</f>
        <v>0</v>
      </c>
      <c r="AK29">
        <f>ROUNDDOWN(VLOOKUP($C29,RLS!$C$37:$AB$41,26,FALSE)*'Unit Distribution'!$D$3,0)</f>
        <v>0</v>
      </c>
      <c r="AL29">
        <f>ROUNDDOWN(VLOOKUP($C29,RLS!$C$37:$AB$41,26,FALSE)*'Unit Distribution'!$D$3,0)</f>
        <v>0</v>
      </c>
      <c r="AM29">
        <f>ROUNDDOWN(VLOOKUP($C29,RLS!$C$37:$AB$41,26,FALSE)*'Unit Distribution'!$D$3,0)</f>
        <v>0</v>
      </c>
      <c r="AN29">
        <f>ROUNDDOWN(VLOOKUP($C29,RLS!$C$37:$AB$41,26,FALSE)*'Unit Distribution'!$D$3,0)</f>
        <v>0</v>
      </c>
      <c r="AO29">
        <f>ROUNDDOWN(VLOOKUP($C29,RLS!$C$37:$AN$41,38,FALSE)*'Unit Distribution'!$E$3,0)</f>
        <v>0</v>
      </c>
      <c r="AP29">
        <f>ROUNDDOWN(VLOOKUP($C29,RLS!$C$37:$AN$41,38,FALSE)*'Unit Distribution'!$E$3,0)</f>
        <v>0</v>
      </c>
      <c r="AQ29">
        <f>ROUNDDOWN(VLOOKUP($C29,RLS!$C$37:$AN$41,38,FALSE)*'Unit Distribution'!$E$3,0)</f>
        <v>0</v>
      </c>
      <c r="AR29">
        <f>ROUNDDOWN(VLOOKUP($C29,RLS!$C$37:$AN$41,38,FALSE)*'Unit Distribution'!$E$3,0)</f>
        <v>0</v>
      </c>
      <c r="AS29">
        <f>ROUNDDOWN(VLOOKUP($C29,RLS!$C$37:$AN$41,38,FALSE)*'Unit Distribution'!$E$3,0)</f>
        <v>0</v>
      </c>
      <c r="AT29">
        <f>ROUNDDOWN(VLOOKUP($C29,RLS!$C$37:$AN$41,38,FALSE)*'Unit Distribution'!$E$3,0)</f>
        <v>0</v>
      </c>
      <c r="AU29">
        <f>ROUNDDOWN(VLOOKUP($C29,RLS!$C$37:$AN$41,38,FALSE)*'Unit Distribution'!$E$3,0)</f>
        <v>0</v>
      </c>
      <c r="AV29">
        <f>ROUNDDOWN(VLOOKUP($C29,RLS!$C$37:$AN$41,38,FALSE)*'Unit Distribution'!$E$3,0)</f>
        <v>0</v>
      </c>
      <c r="AW29">
        <f>ROUNDDOWN(VLOOKUP($C29,RLS!$C$37:$AN$41,38,FALSE)*'Unit Distribution'!$E$3,0)</f>
        <v>0</v>
      </c>
      <c r="AX29">
        <f>ROUNDDOWN(VLOOKUP($C29,RLS!$C$37:$AN$41,38,FALSE)*'Unit Distribution'!$E$3,0)</f>
        <v>0</v>
      </c>
      <c r="AY29">
        <f>ROUNDDOWN(VLOOKUP($C29,RLS!$C$37:$AN$41,38,FALSE)*'Unit Distribution'!$E$3,0)</f>
        <v>0</v>
      </c>
      <c r="AZ29">
        <f>ROUNDDOWN(VLOOKUP($C29,RLS!$C$37:$AN$41,38,FALSE)*'Unit Distribution'!$E$3,0)</f>
        <v>0</v>
      </c>
      <c r="BA29">
        <f>ROUNDDOWN(VLOOKUP($C29,RLS!$C$37:$AZ$41,50,FALSE)*'Unit Distribution'!$F$3,0)</f>
        <v>0</v>
      </c>
      <c r="BB29">
        <f>ROUNDDOWN(VLOOKUP($C29,RLS!$C$37:$AZ$41,50,FALSE)*'Unit Distribution'!$F$3,0)</f>
        <v>0</v>
      </c>
      <c r="BC29">
        <f>ROUNDDOWN(VLOOKUP($C29,RLS!$C$37:$AZ$41,50,FALSE)*'Unit Distribution'!$F$3,0)</f>
        <v>0</v>
      </c>
      <c r="BD29">
        <f>ROUNDDOWN(VLOOKUP($C29,RLS!$C$37:$AZ$41,50,FALSE)*'Unit Distribution'!$F$3,0)</f>
        <v>0</v>
      </c>
      <c r="BE29">
        <f>ROUNDDOWN(VLOOKUP($C29,RLS!$C$37:$AZ$41,50,FALSE)*'Unit Distribution'!$F$3,0)</f>
        <v>0</v>
      </c>
      <c r="BF29">
        <f>ROUNDDOWN(VLOOKUP($C29,RLS!$C$37:$AZ$41,50,FALSE)*'Unit Distribution'!$F$3,0)</f>
        <v>0</v>
      </c>
      <c r="BG29">
        <f>ROUNDDOWN(VLOOKUP($C29,RLS!$C$37:$AZ$41,50,FALSE)*'Unit Distribution'!$F$3,0)</f>
        <v>0</v>
      </c>
      <c r="BH29">
        <f>ROUNDDOWN(VLOOKUP($C29,RLS!$C$37:$AZ$41,50,FALSE)*'Unit Distribution'!$F$3,0)</f>
        <v>0</v>
      </c>
      <c r="BI29">
        <f>ROUNDDOWN(VLOOKUP($C29,RLS!$C$37:$AZ$41,50,FALSE)*'Unit Distribution'!$F$3,0)</f>
        <v>0</v>
      </c>
      <c r="BJ29">
        <f>ROUNDDOWN(VLOOKUP($C29,RLS!$C$37:$AZ$41,50,FALSE)*'Unit Distribution'!$F$3,0)</f>
        <v>0</v>
      </c>
      <c r="BK29">
        <f>ROUNDDOWN(VLOOKUP($C29,RLS!$C$37:$AZ$41,50,FALSE)*'Unit Distribution'!$F$3,0)</f>
        <v>0</v>
      </c>
      <c r="BL29">
        <f>ROUNDDOWN(VLOOKUP($C29,RLS!$C$37:$AZ$41,50,FALSE)*'Unit Distribution'!$F$3,0)</f>
        <v>0</v>
      </c>
    </row>
    <row r="30" spans="1:64" x14ac:dyDescent="0.35">
      <c r="A30" t="s">
        <v>69</v>
      </c>
      <c r="B30" t="s">
        <v>76</v>
      </c>
      <c r="C30" t="str">
        <f t="shared" si="0"/>
        <v>DevOnsite-Landed</v>
      </c>
      <c r="D30" t="s">
        <v>67</v>
      </c>
      <c r="E30">
        <f>ROUND(VLOOKUP($C30,RLS!$C$37:$O$41,2,FALSE)*'Unit Distribution'!$B$4,0)</f>
        <v>1</v>
      </c>
      <c r="F30">
        <f>ROUND(VLOOKUP($C30,RLS!$C$37:$O$41,3,FALSE)*'Unit Distribution'!$B$4,0)</f>
        <v>1</v>
      </c>
      <c r="G30">
        <f>ROUND(VLOOKUP($C30,RLS!$C$37:$O$41,4,FALSE)*'Unit Distribution'!$B$4,0)</f>
        <v>1</v>
      </c>
      <c r="H30">
        <f>ROUND(VLOOKUP($C30,RLS!$C$37:$O$41,5,FALSE)*'Unit Distribution'!$B$4,0)</f>
        <v>1</v>
      </c>
      <c r="I30">
        <f>ROUND(VLOOKUP($C30,RLS!$C$37:$O$41,6,FALSE)*'Unit Distribution'!$B$4,0)</f>
        <v>1</v>
      </c>
      <c r="J30">
        <f>ROUND(VLOOKUP($C30,RLS!$C$37:$O$41,7,FALSE)*'Unit Distribution'!$B$4,0)</f>
        <v>1</v>
      </c>
      <c r="K30">
        <f>ROUND(VLOOKUP($C30,RLS!$C$37:$O$41,8,FALSE)*'Unit Distribution'!$B$4,0)</f>
        <v>1</v>
      </c>
      <c r="L30">
        <f>ROUND(VLOOKUP($C30,RLS!$C$37:$O$41,9,FALSE)*'Unit Distribution'!$B$4,0)</f>
        <v>1</v>
      </c>
      <c r="M30">
        <f>ROUND(VLOOKUP($C30,RLS!$C$37:$O$41,10,FALSE)*'Unit Distribution'!$B$4,0)</f>
        <v>1</v>
      </c>
      <c r="N30">
        <f>ROUND(VLOOKUP($C30,RLS!$C$37:$O$41,11,FALSE)*'Unit Distribution'!$B$4,0)</f>
        <v>1</v>
      </c>
      <c r="O30">
        <f>ROUND(VLOOKUP($C30,RLS!$C$37:$O$41,12,FALSE)*'Unit Distribution'!$B$4,0)</f>
        <v>1</v>
      </c>
      <c r="P30">
        <f>ROUND(VLOOKUP($C30,RLS!$C$37:$O$41,13,FALSE)*'Unit Distribution'!$B$4,0)</f>
        <v>1</v>
      </c>
      <c r="Q30">
        <f>ROUND(VLOOKUP($C30,RLS!$C$37:$P$41,14,FALSE)*'Unit Distribution'!$C$4,0)</f>
        <v>0</v>
      </c>
      <c r="R30">
        <f>ROUND(VLOOKUP($C30,RLS!$C$37:$P$41,14,FALSE)*'Unit Distribution'!$C$4,0)</f>
        <v>0</v>
      </c>
      <c r="S30">
        <f>ROUND(VLOOKUP($C30,RLS!$C$37:$P$41,14,FALSE)*'Unit Distribution'!$C$4,0)</f>
        <v>0</v>
      </c>
      <c r="T30">
        <f>ROUND(VLOOKUP($C30,RLS!$C$37:$P$41,14,FALSE)*'Unit Distribution'!$C$4,0)</f>
        <v>0</v>
      </c>
      <c r="U30">
        <f>ROUND(VLOOKUP($C30,RLS!$C$37:$P$41,14,FALSE)*'Unit Distribution'!$C$4,0)</f>
        <v>0</v>
      </c>
      <c r="V30">
        <f>ROUND(VLOOKUP($C30,RLS!$C$37:$P$41,14,FALSE)*'Unit Distribution'!$C$4,0)</f>
        <v>0</v>
      </c>
      <c r="W30">
        <f>ROUND(VLOOKUP($C30,RLS!$C$37:$P$41,14,FALSE)*'Unit Distribution'!$C$4,0)</f>
        <v>0</v>
      </c>
      <c r="X30">
        <f>ROUND(VLOOKUP($C30,RLS!$C$37:$P$41,14,FALSE)*'Unit Distribution'!$C$4,0)</f>
        <v>0</v>
      </c>
      <c r="Y30">
        <f>ROUND(VLOOKUP($C30,RLS!$C$37:$P$41,14,FALSE)*'Unit Distribution'!$C$4,0)</f>
        <v>0</v>
      </c>
      <c r="Z30">
        <f>ROUND(VLOOKUP($C30,RLS!$C$37:$P$41,14,FALSE)*'Unit Distribution'!$C$4,0)</f>
        <v>0</v>
      </c>
      <c r="AA30">
        <f>ROUND(VLOOKUP($C30,RLS!$C$37:$P$41,14,FALSE)*'Unit Distribution'!$C$4,0)</f>
        <v>0</v>
      </c>
      <c r="AB30">
        <f>ROUND(VLOOKUP($C30,RLS!$C$37:$P$41,14,FALSE)*'Unit Distribution'!$C$4,0)</f>
        <v>0</v>
      </c>
      <c r="AC30">
        <f>VLOOKUP($C30,RLS!$C$37:$AB$41,26,FALSE)-AC29-AC31</f>
        <v>1</v>
      </c>
      <c r="AD30">
        <f>VLOOKUP($C30,RLS!$C$37:$AB$41,26,FALSE)-AD29-AD31</f>
        <v>1</v>
      </c>
      <c r="AE30">
        <f>VLOOKUP($C30,RLS!$C$37:$AB$41,26,FALSE)-AE29-AE31</f>
        <v>1</v>
      </c>
      <c r="AF30">
        <f>VLOOKUP($C30,RLS!$C$37:$AB$41,26,FALSE)-AF29-AF31</f>
        <v>1</v>
      </c>
      <c r="AG30">
        <f>VLOOKUP($C30,RLS!$C$37:$AB$41,26,FALSE)-AG29-AG31</f>
        <v>1</v>
      </c>
      <c r="AH30">
        <f>VLOOKUP($C30,RLS!$C$37:$AB$41,26,FALSE)-AH29-AH31</f>
        <v>1</v>
      </c>
      <c r="AI30">
        <f>VLOOKUP($C30,RLS!$C$37:$AB$41,26,FALSE)-AI29-AI31</f>
        <v>1</v>
      </c>
      <c r="AJ30">
        <f>VLOOKUP($C30,RLS!$C$37:$AB$41,26,FALSE)-AJ29-AJ31</f>
        <v>1</v>
      </c>
      <c r="AK30">
        <f>VLOOKUP($C30,RLS!$C$37:$AB$41,26,FALSE)-AK29-AK31</f>
        <v>1</v>
      </c>
      <c r="AL30">
        <f>VLOOKUP($C30,RLS!$C$37:$AB$41,26,FALSE)-AL29-AL31</f>
        <v>1</v>
      </c>
      <c r="AM30">
        <f>VLOOKUP($C30,RLS!$C$37:$AB$41,26,FALSE)-AM29-AM31</f>
        <v>1</v>
      </c>
      <c r="AN30">
        <f>VLOOKUP($C30,RLS!$C$37:$AB$41,26,FALSE)-AN29-AN31</f>
        <v>1</v>
      </c>
      <c r="AO30">
        <f>VLOOKUP($C30,RLS!$C$37:$AN$41,38,FALSE)-AO29-AO31</f>
        <v>1</v>
      </c>
      <c r="AP30">
        <f>VLOOKUP($C30,RLS!$C$37:$AN$41,38,FALSE)-AP29-AP31</f>
        <v>1</v>
      </c>
      <c r="AQ30">
        <f>VLOOKUP($C30,RLS!$C$37:$AN$41,38,FALSE)-AQ29-AQ31</f>
        <v>1</v>
      </c>
      <c r="AR30">
        <f>VLOOKUP($C30,RLS!$C$37:$AN$41,38,FALSE)-AR29-AR31</f>
        <v>1</v>
      </c>
      <c r="AS30">
        <f>VLOOKUP($C30,RLS!$C$37:$AN$41,38,FALSE)-AS29-AS31</f>
        <v>1</v>
      </c>
      <c r="AT30">
        <f>VLOOKUP($C30,RLS!$C$37:$AN$41,38,FALSE)-AT29-AT31</f>
        <v>1</v>
      </c>
      <c r="AU30">
        <f>VLOOKUP($C30,RLS!$C$37:$AN$41,38,FALSE)-AU29-AU31</f>
        <v>1</v>
      </c>
      <c r="AV30">
        <f>VLOOKUP($C30,RLS!$C$37:$AN$41,38,FALSE)-AV29-AV31</f>
        <v>1</v>
      </c>
      <c r="AW30">
        <f>VLOOKUP($C30,RLS!$C$37:$AN$41,38,FALSE)-AW29-AW31</f>
        <v>1</v>
      </c>
      <c r="AX30">
        <f>VLOOKUP($C30,RLS!$C$37:$AN$41,38,FALSE)-AX29-AX31</f>
        <v>1</v>
      </c>
      <c r="AY30">
        <f>VLOOKUP($C30,RLS!$C$37:$AN$41,38,FALSE)-AY29-AY31</f>
        <v>1</v>
      </c>
      <c r="AZ30">
        <f>VLOOKUP($C30,RLS!$C$37:$AN$41,38,FALSE)-AZ29-AZ31</f>
        <v>1</v>
      </c>
      <c r="BA30">
        <f>VLOOKUP($C30,RLS!$C$37:$AZ$41,50,FALSE)-BA29-BA31</f>
        <v>1</v>
      </c>
      <c r="BB30">
        <f>VLOOKUP($C30,RLS!$C$37:$AZ$41,50,FALSE)-BB29-BB31</f>
        <v>1</v>
      </c>
      <c r="BC30">
        <f>VLOOKUP($C30,RLS!$C$37:$AZ$41,50,FALSE)-BC29-BC31</f>
        <v>1</v>
      </c>
      <c r="BD30">
        <f>VLOOKUP($C30,RLS!$C$37:$AZ$41,50,FALSE)-BD29-BD31</f>
        <v>1</v>
      </c>
      <c r="BE30">
        <f>VLOOKUP($C30,RLS!$C$37:$AZ$41,50,FALSE)-BE29-BE31</f>
        <v>1</v>
      </c>
      <c r="BF30">
        <f>VLOOKUP($C30,RLS!$C$37:$AZ$41,50,FALSE)-BF29-BF31</f>
        <v>1</v>
      </c>
      <c r="BG30">
        <f>VLOOKUP($C30,RLS!$C$37:$AZ$41,50,FALSE)-BG29-BG31</f>
        <v>1</v>
      </c>
      <c r="BH30">
        <f>VLOOKUP($C30,RLS!$C$37:$AZ$41,50,FALSE)-BH29-BH31</f>
        <v>1</v>
      </c>
      <c r="BI30">
        <f>VLOOKUP($C30,RLS!$C$37:$AZ$41,50,FALSE)-BI29-BI31</f>
        <v>1</v>
      </c>
      <c r="BJ30">
        <f>VLOOKUP($C30,RLS!$C$37:$AZ$41,50,FALSE)-BJ29-BJ31</f>
        <v>1</v>
      </c>
      <c r="BK30">
        <f>VLOOKUP($C30,RLS!$C$37:$AZ$41,50,FALSE)-BK29-BK31</f>
        <v>1</v>
      </c>
      <c r="BL30">
        <f>VLOOKUP($C30,RLS!$C$37:$AZ$41,50,FALSE)-BL29-BL31</f>
        <v>1</v>
      </c>
    </row>
    <row r="31" spans="1:64" x14ac:dyDescent="0.35">
      <c r="A31" t="s">
        <v>69</v>
      </c>
      <c r="B31" t="s">
        <v>76</v>
      </c>
      <c r="C31" t="str">
        <f t="shared" si="0"/>
        <v>DevOnsite-Landed</v>
      </c>
      <c r="D31" t="s">
        <v>68</v>
      </c>
      <c r="E31">
        <f>VLOOKUP($C31,RLS!$C$37:$O$41,2,FALSE)-E29-E30</f>
        <v>0</v>
      </c>
      <c r="F31">
        <f>VLOOKUP($C31,RLS!$C$37:$O$41,3,FALSE)-F29-F30</f>
        <v>0</v>
      </c>
      <c r="G31">
        <f>VLOOKUP($C31,RLS!$C$37:$O$41,4,FALSE)-G29-G30</f>
        <v>0</v>
      </c>
      <c r="H31">
        <f>VLOOKUP($C31,RLS!$C$37:$O$41,5,FALSE)-H29-H30</f>
        <v>0</v>
      </c>
      <c r="I31">
        <f>VLOOKUP($C31,RLS!$C$37:$O$41,6,FALSE)-I29-I30</f>
        <v>0</v>
      </c>
      <c r="J31">
        <f>VLOOKUP($C31,RLS!$C$37:$O$41,7,FALSE)-J29-J30</f>
        <v>0</v>
      </c>
      <c r="K31">
        <f>VLOOKUP($C31,RLS!$C$37:$O$41,8,FALSE)-K29-K30</f>
        <v>0</v>
      </c>
      <c r="L31">
        <f>VLOOKUP($C31,RLS!$C$37:$O$41,9,FALSE)-L29-L30</f>
        <v>0</v>
      </c>
      <c r="M31">
        <f>VLOOKUP($C31,RLS!$C$37:$O$41,10,FALSE)-M29-M30</f>
        <v>0</v>
      </c>
      <c r="N31">
        <f>VLOOKUP($C31,RLS!$C$37:$O$41,11,FALSE)-N29-N30</f>
        <v>0</v>
      </c>
      <c r="O31">
        <f>VLOOKUP($C31,RLS!$C$37:$O$41,12,FALSE)-O29-O30</f>
        <v>0</v>
      </c>
      <c r="P31">
        <f>VLOOKUP($C31,RLS!$C$37:$O$41,13,FALSE)-P29-P30</f>
        <v>0</v>
      </c>
      <c r="Q31">
        <f>VLOOKUP($C31,RLS!$C$37:$P$41,14,FALSE)-Q29-Q30</f>
        <v>1</v>
      </c>
      <c r="R31">
        <f>VLOOKUP($C31,RLS!$C$37:$P$41,14,FALSE)-R29-R30</f>
        <v>1</v>
      </c>
      <c r="S31">
        <f>VLOOKUP($C31,RLS!$C$37:$P$41,14,FALSE)-S29-S30</f>
        <v>1</v>
      </c>
      <c r="T31">
        <f>VLOOKUP($C31,RLS!$C$37:$P$41,14,FALSE)-T29-T30</f>
        <v>1</v>
      </c>
      <c r="U31">
        <f>VLOOKUP($C31,RLS!$C$37:$P$41,14,FALSE)-U29-U30</f>
        <v>1</v>
      </c>
      <c r="V31">
        <f>VLOOKUP($C31,RLS!$C$37:$P$41,14,FALSE)-V29-V30</f>
        <v>1</v>
      </c>
      <c r="W31">
        <f>VLOOKUP($C31,RLS!$C$37:$P$41,14,FALSE)-W29-W30</f>
        <v>1</v>
      </c>
      <c r="X31">
        <f>VLOOKUP($C31,RLS!$C$37:$P$41,14,FALSE)-X29-X30</f>
        <v>1</v>
      </c>
      <c r="Y31">
        <f>VLOOKUP($C31,RLS!$C$37:$P$41,14,FALSE)-Y29-Y30</f>
        <v>1</v>
      </c>
      <c r="Z31">
        <f>VLOOKUP($C31,RLS!$C$37:$P$41,14,FALSE)-Z29-Z30</f>
        <v>1</v>
      </c>
      <c r="AA31">
        <f>VLOOKUP($C31,RLS!$C$37:$P$41,14,FALSE)-AA29-AA30</f>
        <v>1</v>
      </c>
      <c r="AB31">
        <f>VLOOKUP($C31,RLS!$C$37:$P$41,14,FALSE)-AB29-AB30</f>
        <v>1</v>
      </c>
      <c r="AC31">
        <f>ROUND(VLOOKUP($C31,RLS!$C$37:$AB$41,26,FALSE)*'Unit Distribution'!$D$5,0)</f>
        <v>0</v>
      </c>
      <c r="AD31">
        <f>ROUND(VLOOKUP($C31,RLS!$C$37:$AB$41,26,FALSE)*'Unit Distribution'!$D$5,0)</f>
        <v>0</v>
      </c>
      <c r="AE31">
        <f>ROUND(VLOOKUP($C31,RLS!$C$37:$AB$41,26,FALSE)*'Unit Distribution'!$D$5,0)</f>
        <v>0</v>
      </c>
      <c r="AF31">
        <f>ROUND(VLOOKUP($C31,RLS!$C$37:$AB$41,26,FALSE)*'Unit Distribution'!$D$5,0)</f>
        <v>0</v>
      </c>
      <c r="AG31">
        <f>ROUND(VLOOKUP($C31,RLS!$C$37:$AB$41,26,FALSE)*'Unit Distribution'!$D$5,0)</f>
        <v>0</v>
      </c>
      <c r="AH31">
        <f>ROUND(VLOOKUP($C31,RLS!$C$37:$AB$41,26,FALSE)*'Unit Distribution'!$D$5,0)</f>
        <v>0</v>
      </c>
      <c r="AI31">
        <f>ROUND(VLOOKUP($C31,RLS!$C$37:$AB$41,26,FALSE)*'Unit Distribution'!$D$5,0)</f>
        <v>0</v>
      </c>
      <c r="AJ31">
        <f>ROUND(VLOOKUP($C31,RLS!$C$37:$AB$41,26,FALSE)*'Unit Distribution'!$D$5,0)</f>
        <v>0</v>
      </c>
      <c r="AK31">
        <f>ROUND(VLOOKUP($C31,RLS!$C$37:$AB$41,26,FALSE)*'Unit Distribution'!$D$5,0)</f>
        <v>0</v>
      </c>
      <c r="AL31">
        <f>ROUND(VLOOKUP($C31,RLS!$C$37:$AB$41,26,FALSE)*'Unit Distribution'!$D$5,0)</f>
        <v>0</v>
      </c>
      <c r="AM31">
        <f>ROUND(VLOOKUP($C31,RLS!$C$37:$AB$41,26,FALSE)*'Unit Distribution'!$D$5,0)</f>
        <v>0</v>
      </c>
      <c r="AN31">
        <f>ROUND(VLOOKUP($C31,RLS!$C$37:$AB$41,26,FALSE)*'Unit Distribution'!$D$5,0)</f>
        <v>0</v>
      </c>
      <c r="AO31">
        <f>ROUND(VLOOKUP($C31,RLS!$C$37:$AN$41,38,FALSE)*'Unit Distribution'!$E$5,0)</f>
        <v>0</v>
      </c>
      <c r="AP31">
        <f>ROUND(VLOOKUP($C31,RLS!$C$37:$AN$41,38,FALSE)*'Unit Distribution'!$E$5,0)</f>
        <v>0</v>
      </c>
      <c r="AQ31">
        <f>ROUND(VLOOKUP($C31,RLS!$C$37:$AN$41,38,FALSE)*'Unit Distribution'!$E$5,0)</f>
        <v>0</v>
      </c>
      <c r="AR31">
        <f>ROUND(VLOOKUP($C31,RLS!$C$37:$AN$41,38,FALSE)*'Unit Distribution'!$E$5,0)</f>
        <v>0</v>
      </c>
      <c r="AS31">
        <f>ROUND(VLOOKUP($C31,RLS!$C$37:$AN$41,38,FALSE)*'Unit Distribution'!$E$5,0)</f>
        <v>0</v>
      </c>
      <c r="AT31">
        <f>ROUND(VLOOKUP($C31,RLS!$C$37:$AN$41,38,FALSE)*'Unit Distribution'!$E$5,0)</f>
        <v>0</v>
      </c>
      <c r="AU31">
        <f>ROUND(VLOOKUP($C31,RLS!$C$37:$AN$41,38,FALSE)*'Unit Distribution'!$E$5,0)</f>
        <v>0</v>
      </c>
      <c r="AV31">
        <f>ROUND(VLOOKUP($C31,RLS!$C$37:$AN$41,38,FALSE)*'Unit Distribution'!$E$5,0)</f>
        <v>0</v>
      </c>
      <c r="AW31">
        <f>ROUND(VLOOKUP($C31,RLS!$C$37:$AN$41,38,FALSE)*'Unit Distribution'!$E$5,0)</f>
        <v>0</v>
      </c>
      <c r="AX31">
        <f>ROUND(VLOOKUP($C31,RLS!$C$37:$AN$41,38,FALSE)*'Unit Distribution'!$E$5,0)</f>
        <v>0</v>
      </c>
      <c r="AY31">
        <f>ROUND(VLOOKUP($C31,RLS!$C$37:$AN$41,38,FALSE)*'Unit Distribution'!$E$5,0)</f>
        <v>0</v>
      </c>
      <c r="AZ31">
        <f>ROUND(VLOOKUP($C31,RLS!$C$37:$AN$41,38,FALSE)*'Unit Distribution'!$E$5,0)</f>
        <v>0</v>
      </c>
      <c r="BA31">
        <f>ROUND(VLOOKUP($C31,RLS!$C$37:$AZ$41,50,FALSE)*'Unit Distribution'!$F$5,0)</f>
        <v>0</v>
      </c>
      <c r="BB31">
        <f>ROUND(VLOOKUP($C31,RLS!$C$37:$AZ$41,50,FALSE)*'Unit Distribution'!$F$5,0)</f>
        <v>0</v>
      </c>
      <c r="BC31">
        <f>ROUND(VLOOKUP($C31,RLS!$C$37:$AZ$41,50,FALSE)*'Unit Distribution'!$F$5,0)</f>
        <v>0</v>
      </c>
      <c r="BD31">
        <f>ROUND(VLOOKUP($C31,RLS!$C$37:$AZ$41,50,FALSE)*'Unit Distribution'!$F$5,0)</f>
        <v>0</v>
      </c>
      <c r="BE31">
        <f>ROUND(VLOOKUP($C31,RLS!$C$37:$AZ$41,50,FALSE)*'Unit Distribution'!$F$5,0)</f>
        <v>0</v>
      </c>
      <c r="BF31">
        <f>ROUND(VLOOKUP($C31,RLS!$C$37:$AZ$41,50,FALSE)*'Unit Distribution'!$F$5,0)</f>
        <v>0</v>
      </c>
      <c r="BG31">
        <f>ROUND(VLOOKUP($C31,RLS!$C$37:$AZ$41,50,FALSE)*'Unit Distribution'!$F$5,0)</f>
        <v>0</v>
      </c>
      <c r="BH31">
        <f>ROUND(VLOOKUP($C31,RLS!$C$37:$AZ$41,50,FALSE)*'Unit Distribution'!$F$5,0)</f>
        <v>0</v>
      </c>
      <c r="BI31">
        <f>ROUND(VLOOKUP($C31,RLS!$C$37:$AZ$41,50,FALSE)*'Unit Distribution'!$F$5,0)</f>
        <v>0</v>
      </c>
      <c r="BJ31">
        <f>ROUND(VLOOKUP($C31,RLS!$C$37:$AZ$41,50,FALSE)*'Unit Distribution'!$F$5,0)</f>
        <v>0</v>
      </c>
      <c r="BK31">
        <f>ROUND(VLOOKUP($C31,RLS!$C$37:$AZ$41,50,FALSE)*'Unit Distribution'!$F$5,0)</f>
        <v>0</v>
      </c>
      <c r="BL31">
        <f>ROUND(VLOOKUP($C31,RLS!$C$37:$AZ$41,50,FALSE)*'Unit Distribution'!$F$5,0)</f>
        <v>0</v>
      </c>
    </row>
    <row r="32" spans="1:64" x14ac:dyDescent="0.35">
      <c r="A32" t="s">
        <v>70</v>
      </c>
      <c r="B32" t="s">
        <v>76</v>
      </c>
      <c r="C32" t="str">
        <f t="shared" si="0"/>
        <v>TesterOnsite-Landed</v>
      </c>
      <c r="D32" t="s">
        <v>66</v>
      </c>
      <c r="E32">
        <f>ROUND(VLOOKUP($C32,RLS!$C$37:$O$41,2,FALSE)*'Unit Distribution'!$B$3,0)</f>
        <v>1</v>
      </c>
      <c r="F32">
        <f>ROUND(VLOOKUP($C32,RLS!$C$37:$O$41,3,FALSE)*'Unit Distribution'!$B$3,0)</f>
        <v>1</v>
      </c>
      <c r="G32">
        <f>ROUND(VLOOKUP($C32,RLS!$C$37:$O$41,4,FALSE)*'Unit Distribution'!$B$3,0)</f>
        <v>1</v>
      </c>
      <c r="H32">
        <f>ROUND(VLOOKUP($C32,RLS!$C$37:$O$41,5,FALSE)*'Unit Distribution'!$B$3,0)</f>
        <v>1</v>
      </c>
      <c r="I32">
        <f>ROUND(VLOOKUP($C32,RLS!$C$37:$O$41,6,FALSE)*'Unit Distribution'!$B$3,0)</f>
        <v>1</v>
      </c>
      <c r="J32">
        <f>ROUND(VLOOKUP($C32,RLS!$C$37:$O$41,7,FALSE)*'Unit Distribution'!$B$3,0)</f>
        <v>1</v>
      </c>
      <c r="K32">
        <f>ROUND(VLOOKUP($C32,RLS!$C$37:$O$41,8,FALSE)*'Unit Distribution'!$B$3,0)</f>
        <v>1</v>
      </c>
      <c r="L32">
        <f>ROUND(VLOOKUP($C32,RLS!$C$37:$O$41,9,FALSE)*'Unit Distribution'!$B$3,0)</f>
        <v>1</v>
      </c>
      <c r="M32">
        <f>ROUND(VLOOKUP($C32,RLS!$C$37:$O$41,10,FALSE)*'Unit Distribution'!$B$3,0)</f>
        <v>1</v>
      </c>
      <c r="N32">
        <f>ROUND(VLOOKUP($C32,RLS!$C$37:$O$41,11,FALSE)*'Unit Distribution'!$B$3,0)</f>
        <v>1</v>
      </c>
      <c r="O32">
        <f>ROUND(VLOOKUP($C32,RLS!$C$37:$O$41,12,FALSE)*'Unit Distribution'!$B$3,0)</f>
        <v>1</v>
      </c>
      <c r="P32">
        <f>ROUND(VLOOKUP($C32,RLS!$C$37:$O$41,13,FALSE)*'Unit Distribution'!$B$3,0)</f>
        <v>1</v>
      </c>
      <c r="Q32">
        <f>ROUND(VLOOKUP($C32,RLS!$C$37:$P$41,14,FALSE)*'Unit Distribution'!$C$3,0)</f>
        <v>0</v>
      </c>
      <c r="R32">
        <f>ROUND(VLOOKUP($C32,RLS!$C$37:$P$41,14,FALSE)*'Unit Distribution'!$C$3,0)</f>
        <v>0</v>
      </c>
      <c r="S32">
        <f>ROUND(VLOOKUP($C32,RLS!$C$37:$P$41,14,FALSE)*'Unit Distribution'!$C$3,0)</f>
        <v>0</v>
      </c>
      <c r="T32">
        <f>ROUND(VLOOKUP($C32,RLS!$C$37:$P$41,14,FALSE)*'Unit Distribution'!$C$3,0)</f>
        <v>0</v>
      </c>
      <c r="U32">
        <f>ROUND(VLOOKUP($C32,RLS!$C$37:$P$41,14,FALSE)*'Unit Distribution'!$C$3,0)</f>
        <v>0</v>
      </c>
      <c r="V32">
        <f>ROUND(VLOOKUP($C32,RLS!$C$37:$P$41,14,FALSE)*'Unit Distribution'!$C$3,0)</f>
        <v>0</v>
      </c>
      <c r="W32">
        <f>ROUND(VLOOKUP($C32,RLS!$C$37:$P$41,14,FALSE)*'Unit Distribution'!$C$3,0)</f>
        <v>0</v>
      </c>
      <c r="X32">
        <f>ROUND(VLOOKUP($C32,RLS!$C$37:$P$41,14,FALSE)*'Unit Distribution'!$C$3,0)</f>
        <v>0</v>
      </c>
      <c r="Y32">
        <f>ROUND(VLOOKUP($C32,RLS!$C$37:$P$41,14,FALSE)*'Unit Distribution'!$C$3,0)</f>
        <v>0</v>
      </c>
      <c r="Z32">
        <f>ROUND(VLOOKUP($C32,RLS!$C$37:$P$41,14,FALSE)*'Unit Distribution'!$C$3,0)</f>
        <v>0</v>
      </c>
      <c r="AA32">
        <f>ROUND(VLOOKUP($C32,RLS!$C$37:$P$41,14,FALSE)*'Unit Distribution'!$C$3,0)</f>
        <v>0</v>
      </c>
      <c r="AB32">
        <f>ROUND(VLOOKUP($C32,RLS!$C$37:$P$41,14,FALSE)*'Unit Distribution'!$C$3,0)</f>
        <v>0</v>
      </c>
      <c r="AC32">
        <f>ROUND(VLOOKUP($C32,RLS!$C$37:$AB$41,26,FALSE)*'Unit Distribution'!$D$3,0)</f>
        <v>0</v>
      </c>
      <c r="AD32">
        <f>ROUND(VLOOKUP($C32,RLS!$C$37:$AB$41,26,FALSE)*'Unit Distribution'!$D$3,0)</f>
        <v>0</v>
      </c>
      <c r="AE32">
        <f>ROUND(VLOOKUP($C32,RLS!$C$37:$AB$41,26,FALSE)*'Unit Distribution'!$D$3,0)</f>
        <v>0</v>
      </c>
      <c r="AF32">
        <f>ROUND(VLOOKUP($C32,RLS!$C$37:$AB$41,26,FALSE)*'Unit Distribution'!$D$3,0)</f>
        <v>0</v>
      </c>
      <c r="AG32">
        <f>ROUND(VLOOKUP($C32,RLS!$C$37:$AB$41,26,FALSE)*'Unit Distribution'!$D$3,0)</f>
        <v>0</v>
      </c>
      <c r="AH32">
        <f>ROUND(VLOOKUP($C32,RLS!$C$37:$AB$41,26,FALSE)*'Unit Distribution'!$D$3,0)</f>
        <v>0</v>
      </c>
      <c r="AI32">
        <f>ROUND(VLOOKUP($C32,RLS!$C$37:$AB$41,26,FALSE)*'Unit Distribution'!$D$3,0)</f>
        <v>0</v>
      </c>
      <c r="AJ32">
        <f>ROUND(VLOOKUP($C32,RLS!$C$37:$AB$41,26,FALSE)*'Unit Distribution'!$D$3,0)</f>
        <v>0</v>
      </c>
      <c r="AK32">
        <f>ROUND(VLOOKUP($C32,RLS!$C$37:$AB$41,26,FALSE)*'Unit Distribution'!$D$3,0)</f>
        <v>0</v>
      </c>
      <c r="AL32">
        <f>ROUND(VLOOKUP($C32,RLS!$C$37:$AB$41,26,FALSE)*'Unit Distribution'!$D$3,0)</f>
        <v>0</v>
      </c>
      <c r="AM32">
        <f>ROUND(VLOOKUP($C32,RLS!$C$37:$AB$41,26,FALSE)*'Unit Distribution'!$D$3,0)</f>
        <v>0</v>
      </c>
      <c r="AN32">
        <f>ROUND(VLOOKUP($C32,RLS!$C$37:$AB$41,26,FALSE)*'Unit Distribution'!$D$3,0)</f>
        <v>0</v>
      </c>
      <c r="AO32">
        <f>ROUND(VLOOKUP($C32,RLS!$C$37:$AN$41,38,FALSE)*'Unit Distribution'!$E$3,0)</f>
        <v>0</v>
      </c>
      <c r="AP32">
        <f>ROUND(VLOOKUP($C32,RLS!$C$37:$AN$41,38,FALSE)*'Unit Distribution'!$E$3,0)</f>
        <v>0</v>
      </c>
      <c r="AQ32">
        <f>ROUND(VLOOKUP($C32,RLS!$C$37:$AN$41,38,FALSE)*'Unit Distribution'!$E$3,0)</f>
        <v>0</v>
      </c>
      <c r="AR32">
        <f>ROUND(VLOOKUP($C32,RLS!$C$37:$AN$41,38,FALSE)*'Unit Distribution'!$E$3,0)</f>
        <v>0</v>
      </c>
      <c r="AS32">
        <f>ROUND(VLOOKUP($C32,RLS!$C$37:$AN$41,38,FALSE)*'Unit Distribution'!$E$3,0)</f>
        <v>0</v>
      </c>
      <c r="AT32">
        <f>ROUND(VLOOKUP($C32,RLS!$C$37:$AN$41,38,FALSE)*'Unit Distribution'!$E$3,0)</f>
        <v>0</v>
      </c>
      <c r="AU32">
        <f>ROUND(VLOOKUP($C32,RLS!$C$37:$AN$41,38,FALSE)*'Unit Distribution'!$E$3,0)</f>
        <v>0</v>
      </c>
      <c r="AV32">
        <f>ROUND(VLOOKUP($C32,RLS!$C$37:$AN$41,38,FALSE)*'Unit Distribution'!$E$3,0)</f>
        <v>0</v>
      </c>
      <c r="AW32">
        <f>ROUND(VLOOKUP($C32,RLS!$C$37:$AN$41,38,FALSE)*'Unit Distribution'!$E$3,0)</f>
        <v>0</v>
      </c>
      <c r="AX32">
        <f>ROUND(VLOOKUP($C32,RLS!$C$37:$AN$41,38,FALSE)*'Unit Distribution'!$E$3,0)</f>
        <v>0</v>
      </c>
      <c r="AY32">
        <f>ROUND(VLOOKUP($C32,RLS!$C$37:$AN$41,38,FALSE)*'Unit Distribution'!$E$3,0)</f>
        <v>0</v>
      </c>
      <c r="AZ32">
        <f>ROUND(VLOOKUP($C32,RLS!$C$37:$AN$41,38,FALSE)*'Unit Distribution'!$E$3,0)</f>
        <v>0</v>
      </c>
      <c r="BA32">
        <f>ROUND(VLOOKUP($C32,RLS!$C$37:$AZ$41,50,FALSE)*'Unit Distribution'!$F$3,0)</f>
        <v>0</v>
      </c>
      <c r="BB32">
        <f>ROUND(VLOOKUP($C32,RLS!$C$37:$AZ$41,50,FALSE)*'Unit Distribution'!$F$3,0)</f>
        <v>0</v>
      </c>
      <c r="BC32">
        <f>ROUND(VLOOKUP($C32,RLS!$C$37:$AZ$41,50,FALSE)*'Unit Distribution'!$F$3,0)</f>
        <v>0</v>
      </c>
      <c r="BD32">
        <f>ROUND(VLOOKUP($C32,RLS!$C$37:$AZ$41,50,FALSE)*'Unit Distribution'!$F$3,0)</f>
        <v>0</v>
      </c>
      <c r="BE32">
        <f>ROUND(VLOOKUP($C32,RLS!$C$37:$AZ$41,50,FALSE)*'Unit Distribution'!$F$3,0)</f>
        <v>0</v>
      </c>
      <c r="BF32">
        <f>ROUND(VLOOKUP($C32,RLS!$C$37:$AZ$41,50,FALSE)*'Unit Distribution'!$F$3,0)</f>
        <v>0</v>
      </c>
      <c r="BG32">
        <f>ROUND(VLOOKUP($C32,RLS!$C$37:$AZ$41,50,FALSE)*'Unit Distribution'!$F$3,0)</f>
        <v>0</v>
      </c>
      <c r="BH32">
        <f>ROUND(VLOOKUP($C32,RLS!$C$37:$AZ$41,50,FALSE)*'Unit Distribution'!$F$3,0)</f>
        <v>0</v>
      </c>
      <c r="BI32">
        <f>ROUND(VLOOKUP($C32,RLS!$C$37:$AZ$41,50,FALSE)*'Unit Distribution'!$F$3,0)</f>
        <v>0</v>
      </c>
      <c r="BJ32">
        <f>ROUND(VLOOKUP($C32,RLS!$C$37:$AZ$41,50,FALSE)*'Unit Distribution'!$F$3,0)</f>
        <v>0</v>
      </c>
      <c r="BK32">
        <f>ROUND(VLOOKUP($C32,RLS!$C$37:$AZ$41,50,FALSE)*'Unit Distribution'!$F$3,0)</f>
        <v>0</v>
      </c>
      <c r="BL32">
        <f>ROUND(VLOOKUP($C32,RLS!$C$37:$AZ$41,50,FALSE)*'Unit Distribution'!$F$3,0)</f>
        <v>0</v>
      </c>
    </row>
    <row r="33" spans="1:64" x14ac:dyDescent="0.35">
      <c r="A33" t="s">
        <v>70</v>
      </c>
      <c r="B33" t="s">
        <v>76</v>
      </c>
      <c r="C33" t="str">
        <f t="shared" si="0"/>
        <v>TesterOnsite-Landed</v>
      </c>
      <c r="D33" t="s">
        <v>67</v>
      </c>
      <c r="E33">
        <f>ROUND(VLOOKUP($C33,RLS!$C$37:$O$41,2,FALSE)*'Unit Distribution'!$B$4,0)</f>
        <v>1</v>
      </c>
      <c r="F33">
        <f>ROUND(VLOOKUP($C33,RLS!$C$37:$O$41,3,FALSE)*'Unit Distribution'!$B$4,0)</f>
        <v>1</v>
      </c>
      <c r="G33">
        <f>ROUND(VLOOKUP($C33,RLS!$C$37:$O$41,4,FALSE)*'Unit Distribution'!$B$4,0)</f>
        <v>1</v>
      </c>
      <c r="H33">
        <f>ROUND(VLOOKUP($C33,RLS!$C$37:$O$41,5,FALSE)*'Unit Distribution'!$B$4,0)</f>
        <v>1</v>
      </c>
      <c r="I33">
        <f>ROUND(VLOOKUP($C33,RLS!$C$37:$O$41,6,FALSE)*'Unit Distribution'!$B$4,0)</f>
        <v>1</v>
      </c>
      <c r="J33">
        <f>ROUND(VLOOKUP($C33,RLS!$C$37:$O$41,7,FALSE)*'Unit Distribution'!$B$4,0)</f>
        <v>1</v>
      </c>
      <c r="K33">
        <f>ROUND(VLOOKUP($C33,RLS!$C$37:$O$41,8,FALSE)*'Unit Distribution'!$B$4,0)</f>
        <v>1</v>
      </c>
      <c r="L33">
        <f>ROUND(VLOOKUP($C33,RLS!$C$37:$O$41,9,FALSE)*'Unit Distribution'!$B$4,0)</f>
        <v>1</v>
      </c>
      <c r="M33">
        <f>ROUND(VLOOKUP($C33,RLS!$C$37:$O$41,10,FALSE)*'Unit Distribution'!$B$4,0)</f>
        <v>1</v>
      </c>
      <c r="N33">
        <f>ROUND(VLOOKUP($C33,RLS!$C$37:$O$41,11,FALSE)*'Unit Distribution'!$B$4,0)</f>
        <v>1</v>
      </c>
      <c r="O33">
        <f>ROUND(VLOOKUP($C33,RLS!$C$37:$O$41,12,FALSE)*'Unit Distribution'!$B$4,0)</f>
        <v>1</v>
      </c>
      <c r="P33">
        <f>ROUND(VLOOKUP($C33,RLS!$C$37:$O$41,13,FALSE)*'Unit Distribution'!$B$4,0)</f>
        <v>1</v>
      </c>
      <c r="Q33">
        <f>ROUND(VLOOKUP($C33,RLS!$C$37:$P$41,14,FALSE)*'Unit Distribution'!$C$4,0)</f>
        <v>0</v>
      </c>
      <c r="R33">
        <f>ROUND(VLOOKUP($C33,RLS!$C$37:$P$41,14,FALSE)*'Unit Distribution'!$C$4,0)</f>
        <v>0</v>
      </c>
      <c r="S33">
        <f>ROUND(VLOOKUP($C33,RLS!$C$37:$P$41,14,FALSE)*'Unit Distribution'!$C$4,0)</f>
        <v>0</v>
      </c>
      <c r="T33">
        <f>ROUND(VLOOKUP($C33,RLS!$C$37:$P$41,14,FALSE)*'Unit Distribution'!$C$4,0)</f>
        <v>0</v>
      </c>
      <c r="U33">
        <f>ROUND(VLOOKUP($C33,RLS!$C$37:$P$41,14,FALSE)*'Unit Distribution'!$C$4,0)</f>
        <v>0</v>
      </c>
      <c r="V33">
        <f>ROUND(VLOOKUP($C33,RLS!$C$37:$P$41,14,FALSE)*'Unit Distribution'!$C$4,0)</f>
        <v>0</v>
      </c>
      <c r="W33">
        <f>ROUND(VLOOKUP($C33,RLS!$C$37:$P$41,14,FALSE)*'Unit Distribution'!$C$4,0)</f>
        <v>0</v>
      </c>
      <c r="X33">
        <f>ROUND(VLOOKUP($C33,RLS!$C$37:$P$41,14,FALSE)*'Unit Distribution'!$C$4,0)</f>
        <v>0</v>
      </c>
      <c r="Y33">
        <f>ROUND(VLOOKUP($C33,RLS!$C$37:$P$41,14,FALSE)*'Unit Distribution'!$C$4,0)</f>
        <v>0</v>
      </c>
      <c r="Z33">
        <f>ROUND(VLOOKUP($C33,RLS!$C$37:$P$41,14,FALSE)*'Unit Distribution'!$C$4,0)</f>
        <v>0</v>
      </c>
      <c r="AA33">
        <f>ROUND(VLOOKUP($C33,RLS!$C$37:$P$41,14,FALSE)*'Unit Distribution'!$C$4,0)</f>
        <v>0</v>
      </c>
      <c r="AB33">
        <f>ROUND(VLOOKUP($C33,RLS!$C$37:$P$41,14,FALSE)*'Unit Distribution'!$C$4,0)</f>
        <v>0</v>
      </c>
      <c r="AC33">
        <f>VLOOKUP($C33,RLS!$C$37:$AB$41,26,FALSE)-AC32-AC34</f>
        <v>0</v>
      </c>
      <c r="AD33">
        <f>VLOOKUP($C33,RLS!$C$37:$AB$41,26,FALSE)-AD32-AD34</f>
        <v>0</v>
      </c>
      <c r="AE33">
        <f>VLOOKUP($C33,RLS!$C$37:$AB$41,26,FALSE)-AE32-AE34</f>
        <v>0</v>
      </c>
      <c r="AF33">
        <f>VLOOKUP($C33,RLS!$C$37:$AB$41,26,FALSE)-AF32-AF34</f>
        <v>0</v>
      </c>
      <c r="AG33">
        <f>VLOOKUP($C33,RLS!$C$37:$AB$41,26,FALSE)-AG32-AG34</f>
        <v>0</v>
      </c>
      <c r="AH33">
        <f>VLOOKUP($C33,RLS!$C$37:$AB$41,26,FALSE)-AH32-AH34</f>
        <v>0</v>
      </c>
      <c r="AI33">
        <f>VLOOKUP($C33,RLS!$C$37:$AB$41,26,FALSE)-AI32-AI34</f>
        <v>0</v>
      </c>
      <c r="AJ33">
        <f>VLOOKUP($C33,RLS!$C$37:$AB$41,26,FALSE)-AJ32-AJ34</f>
        <v>0</v>
      </c>
      <c r="AK33">
        <f>VLOOKUP($C33,RLS!$C$37:$AB$41,26,FALSE)-AK32-AK34</f>
        <v>0</v>
      </c>
      <c r="AL33">
        <f>VLOOKUP($C33,RLS!$C$37:$AB$41,26,FALSE)-AL32-AL34</f>
        <v>0</v>
      </c>
      <c r="AM33">
        <f>VLOOKUP($C33,RLS!$C$37:$AB$41,26,FALSE)-AM32-AM34</f>
        <v>0</v>
      </c>
      <c r="AN33">
        <f>VLOOKUP($C33,RLS!$C$37:$AB$41,26,FALSE)-AN32-AN34</f>
        <v>0</v>
      </c>
      <c r="AO33">
        <f>VLOOKUP($C33,RLS!$C$37:$AN$41,38,FALSE)-AO32-AO34</f>
        <v>0</v>
      </c>
      <c r="AP33">
        <f>VLOOKUP($C33,RLS!$C$37:$AN$41,38,FALSE)-AP32-AP34</f>
        <v>0</v>
      </c>
      <c r="AQ33">
        <f>VLOOKUP($C33,RLS!$C$37:$AN$41,38,FALSE)-AQ32-AQ34</f>
        <v>0</v>
      </c>
      <c r="AR33">
        <f>VLOOKUP($C33,RLS!$C$37:$AN$41,38,FALSE)-AR32-AR34</f>
        <v>0</v>
      </c>
      <c r="AS33">
        <f>VLOOKUP($C33,RLS!$C$37:$AN$41,38,FALSE)-AS32-AS34</f>
        <v>0</v>
      </c>
      <c r="AT33">
        <f>VLOOKUP($C33,RLS!$C$37:$AN$41,38,FALSE)-AT32-AT34</f>
        <v>0</v>
      </c>
      <c r="AU33">
        <f>VLOOKUP($C33,RLS!$C$37:$AN$41,38,FALSE)-AU32-AU34</f>
        <v>0</v>
      </c>
      <c r="AV33">
        <f>VLOOKUP($C33,RLS!$C$37:$AN$41,38,FALSE)-AV32-AV34</f>
        <v>0</v>
      </c>
      <c r="AW33">
        <f>VLOOKUP($C33,RLS!$C$37:$AN$41,38,FALSE)-AW32-AW34</f>
        <v>0</v>
      </c>
      <c r="AX33">
        <f>VLOOKUP($C33,RLS!$C$37:$AN$41,38,FALSE)-AX32-AX34</f>
        <v>0</v>
      </c>
      <c r="AY33">
        <f>VLOOKUP($C33,RLS!$C$37:$AN$41,38,FALSE)-AY32-AY34</f>
        <v>0</v>
      </c>
      <c r="AZ33">
        <f>VLOOKUP($C33,RLS!$C$37:$AN$41,38,FALSE)-AZ32-AZ34</f>
        <v>0</v>
      </c>
      <c r="BA33">
        <f>VLOOKUP($C33,RLS!$C$37:$AZ$41,50,FALSE)-BA32-BA34</f>
        <v>0</v>
      </c>
      <c r="BB33">
        <f>VLOOKUP($C33,RLS!$C$37:$AZ$41,50,FALSE)-BB32-BB34</f>
        <v>0</v>
      </c>
      <c r="BC33">
        <f>VLOOKUP($C33,RLS!$C$37:$AZ$41,50,FALSE)-BC32-BC34</f>
        <v>0</v>
      </c>
      <c r="BD33">
        <f>VLOOKUP($C33,RLS!$C$37:$AZ$41,50,FALSE)-BD32-BD34</f>
        <v>0</v>
      </c>
      <c r="BE33">
        <f>VLOOKUP($C33,RLS!$C$37:$AZ$41,50,FALSE)-BE32-BE34</f>
        <v>0</v>
      </c>
      <c r="BF33">
        <f>VLOOKUP($C33,RLS!$C$37:$AZ$41,50,FALSE)-BF32-BF34</f>
        <v>0</v>
      </c>
      <c r="BG33">
        <f>VLOOKUP($C33,RLS!$C$37:$AZ$41,50,FALSE)-BG32-BG34</f>
        <v>0</v>
      </c>
      <c r="BH33">
        <f>VLOOKUP($C33,RLS!$C$37:$AZ$41,50,FALSE)-BH32-BH34</f>
        <v>0</v>
      </c>
      <c r="BI33">
        <f>VLOOKUP($C33,RLS!$C$37:$AZ$41,50,FALSE)-BI32-BI34</f>
        <v>0</v>
      </c>
      <c r="BJ33">
        <f>VLOOKUP($C33,RLS!$C$37:$AZ$41,50,FALSE)-BJ32-BJ34</f>
        <v>0</v>
      </c>
      <c r="BK33">
        <f>VLOOKUP($C33,RLS!$C$37:$AZ$41,50,FALSE)-BK32-BK34</f>
        <v>0</v>
      </c>
      <c r="BL33">
        <f>VLOOKUP($C33,RLS!$C$37:$AZ$41,50,FALSE)-BL32-BL34</f>
        <v>0</v>
      </c>
    </row>
    <row r="34" spans="1:64" x14ac:dyDescent="0.35">
      <c r="A34" t="s">
        <v>70</v>
      </c>
      <c r="B34" t="s">
        <v>76</v>
      </c>
      <c r="C34" t="str">
        <f t="shared" si="0"/>
        <v>TesterOnsite-Landed</v>
      </c>
      <c r="D34" t="s">
        <v>68</v>
      </c>
      <c r="E34">
        <f>VLOOKUP($C34,RLS!$C$37:$O$41,2,FALSE)-E32-E33</f>
        <v>0</v>
      </c>
      <c r="F34">
        <f>VLOOKUP($C34,RLS!$C$37:$O$41,3,FALSE)-F32-F33</f>
        <v>0</v>
      </c>
      <c r="G34">
        <f>VLOOKUP($C34,RLS!$C$37:$O$41,4,FALSE)-G32-G33</f>
        <v>0</v>
      </c>
      <c r="H34">
        <f>VLOOKUP($C34,RLS!$C$37:$O$41,5,FALSE)-H32-H33</f>
        <v>0</v>
      </c>
      <c r="I34">
        <f>VLOOKUP($C34,RLS!$C$37:$O$41,6,FALSE)-I32-I33</f>
        <v>0</v>
      </c>
      <c r="J34">
        <f>VLOOKUP($C34,RLS!$C$37:$O$41,7,FALSE)-J32-J33</f>
        <v>0</v>
      </c>
      <c r="K34">
        <f>VLOOKUP($C34,RLS!$C$37:$O$41,8,FALSE)-K32-K33</f>
        <v>0</v>
      </c>
      <c r="L34">
        <f>VLOOKUP($C34,RLS!$C$37:$O$41,9,FALSE)-L32-L33</f>
        <v>0</v>
      </c>
      <c r="M34">
        <f>VLOOKUP($C34,RLS!$C$37:$O$41,10,FALSE)-M32-M33</f>
        <v>0</v>
      </c>
      <c r="N34">
        <f>VLOOKUP($C34,RLS!$C$37:$O$41,11,FALSE)-N32-N33</f>
        <v>0</v>
      </c>
      <c r="O34">
        <f>VLOOKUP($C34,RLS!$C$37:$O$41,12,FALSE)-O32-O33</f>
        <v>0</v>
      </c>
      <c r="P34">
        <f>VLOOKUP($C34,RLS!$C$37:$O$41,13,FALSE)-P32-P33</f>
        <v>0</v>
      </c>
      <c r="Q34">
        <f>VLOOKUP($C34,RLS!$C$37:$P$41,14,FALSE)-Q32-Q33</f>
        <v>0</v>
      </c>
      <c r="R34">
        <f>VLOOKUP($C34,RLS!$C$37:$P$41,14,FALSE)-R32-R33</f>
        <v>0</v>
      </c>
      <c r="S34">
        <f>VLOOKUP($C34,RLS!$C$37:$P$41,14,FALSE)-S32-S33</f>
        <v>0</v>
      </c>
      <c r="T34">
        <f>VLOOKUP($C34,RLS!$C$37:$P$41,14,FALSE)-T32-T33</f>
        <v>0</v>
      </c>
      <c r="U34">
        <f>VLOOKUP($C34,RLS!$C$37:$P$41,14,FALSE)-U32-U33</f>
        <v>0</v>
      </c>
      <c r="V34">
        <f>VLOOKUP($C34,RLS!$C$37:$P$41,14,FALSE)-V32-V33</f>
        <v>0</v>
      </c>
      <c r="W34">
        <f>VLOOKUP($C34,RLS!$C$37:$P$41,14,FALSE)-W32-W33</f>
        <v>0</v>
      </c>
      <c r="X34">
        <f>VLOOKUP($C34,RLS!$C$37:$P$41,14,FALSE)-X32-X33</f>
        <v>0</v>
      </c>
      <c r="Y34">
        <f>VLOOKUP($C34,RLS!$C$37:$P$41,14,FALSE)-Y32-Y33</f>
        <v>0</v>
      </c>
      <c r="Z34">
        <f>VLOOKUP($C34,RLS!$C$37:$P$41,14,FALSE)-Z32-Z33</f>
        <v>0</v>
      </c>
      <c r="AA34">
        <f>VLOOKUP($C34,RLS!$C$37:$P$41,14,FALSE)-AA32-AA33</f>
        <v>0</v>
      </c>
      <c r="AB34">
        <f>VLOOKUP($C34,RLS!$C$37:$P$41,14,FALSE)-AB32-AB33</f>
        <v>0</v>
      </c>
      <c r="AC34">
        <f>ROUND(VLOOKUP($C34,RLS!$C$37:$AB$41,26,FALSE)*'Unit Distribution'!$D$5,0)</f>
        <v>0</v>
      </c>
      <c r="AD34">
        <f>ROUND(VLOOKUP($C34,RLS!$C$37:$AB$41,26,FALSE)*'Unit Distribution'!$D$5,0)</f>
        <v>0</v>
      </c>
      <c r="AE34">
        <f>ROUND(VLOOKUP($C34,RLS!$C$37:$AB$41,26,FALSE)*'Unit Distribution'!$D$5,0)</f>
        <v>0</v>
      </c>
      <c r="AF34">
        <f>ROUND(VLOOKUP($C34,RLS!$C$37:$AB$41,26,FALSE)*'Unit Distribution'!$D$5,0)</f>
        <v>0</v>
      </c>
      <c r="AG34">
        <f>ROUND(VLOOKUP($C34,RLS!$C$37:$AB$41,26,FALSE)*'Unit Distribution'!$D$5,0)</f>
        <v>0</v>
      </c>
      <c r="AH34">
        <f>ROUND(VLOOKUP($C34,RLS!$C$37:$AB$41,26,FALSE)*'Unit Distribution'!$D$5,0)</f>
        <v>0</v>
      </c>
      <c r="AI34">
        <f>ROUND(VLOOKUP($C34,RLS!$C$37:$AB$41,26,FALSE)*'Unit Distribution'!$D$5,0)</f>
        <v>0</v>
      </c>
      <c r="AJ34">
        <f>ROUND(VLOOKUP($C34,RLS!$C$37:$AB$41,26,FALSE)*'Unit Distribution'!$D$5,0)</f>
        <v>0</v>
      </c>
      <c r="AK34">
        <f>ROUND(VLOOKUP($C34,RLS!$C$37:$AB$41,26,FALSE)*'Unit Distribution'!$D$5,0)</f>
        <v>0</v>
      </c>
      <c r="AL34">
        <f>ROUND(VLOOKUP($C34,RLS!$C$37:$AB$41,26,FALSE)*'Unit Distribution'!$D$5,0)</f>
        <v>0</v>
      </c>
      <c r="AM34">
        <f>ROUND(VLOOKUP($C34,RLS!$C$37:$AB$41,26,FALSE)*'Unit Distribution'!$D$5,0)</f>
        <v>0</v>
      </c>
      <c r="AN34">
        <f>ROUND(VLOOKUP($C34,RLS!$C$37:$AB$41,26,FALSE)*'Unit Distribution'!$D$5,0)</f>
        <v>0</v>
      </c>
      <c r="AO34">
        <f>ROUND(VLOOKUP($C34,RLS!$C$37:$AN$41,38,FALSE)*'Unit Distribution'!$E$5,0)</f>
        <v>0</v>
      </c>
      <c r="AP34">
        <f>ROUND(VLOOKUP($C34,RLS!$C$37:$AN$41,38,FALSE)*'Unit Distribution'!$E$5,0)</f>
        <v>0</v>
      </c>
      <c r="AQ34">
        <f>ROUND(VLOOKUP($C34,RLS!$C$37:$AN$41,38,FALSE)*'Unit Distribution'!$E$5,0)</f>
        <v>0</v>
      </c>
      <c r="AR34">
        <f>ROUND(VLOOKUP($C34,RLS!$C$37:$AN$41,38,FALSE)*'Unit Distribution'!$E$5,0)</f>
        <v>0</v>
      </c>
      <c r="AS34">
        <f>ROUND(VLOOKUP($C34,RLS!$C$37:$AN$41,38,FALSE)*'Unit Distribution'!$E$5,0)</f>
        <v>0</v>
      </c>
      <c r="AT34">
        <f>ROUND(VLOOKUP($C34,RLS!$C$37:$AN$41,38,FALSE)*'Unit Distribution'!$E$5,0)</f>
        <v>0</v>
      </c>
      <c r="AU34">
        <f>ROUND(VLOOKUP($C34,RLS!$C$37:$AN$41,38,FALSE)*'Unit Distribution'!$E$5,0)</f>
        <v>0</v>
      </c>
      <c r="AV34">
        <f>ROUND(VLOOKUP($C34,RLS!$C$37:$AN$41,38,FALSE)*'Unit Distribution'!$E$5,0)</f>
        <v>0</v>
      </c>
      <c r="AW34">
        <f>ROUND(VLOOKUP($C34,RLS!$C$37:$AN$41,38,FALSE)*'Unit Distribution'!$E$5,0)</f>
        <v>0</v>
      </c>
      <c r="AX34">
        <f>ROUND(VLOOKUP($C34,RLS!$C$37:$AN$41,38,FALSE)*'Unit Distribution'!$E$5,0)</f>
        <v>0</v>
      </c>
      <c r="AY34">
        <f>ROUND(VLOOKUP($C34,RLS!$C$37:$AN$41,38,FALSE)*'Unit Distribution'!$E$5,0)</f>
        <v>0</v>
      </c>
      <c r="AZ34">
        <f>ROUND(VLOOKUP($C34,RLS!$C$37:$AN$41,38,FALSE)*'Unit Distribution'!$E$5,0)</f>
        <v>0</v>
      </c>
      <c r="BA34">
        <f>ROUND(VLOOKUP($C34,RLS!$C$37:$AZ$41,50,FALSE)*'Unit Distribution'!$F$5,0)</f>
        <v>0</v>
      </c>
      <c r="BB34">
        <f>ROUND(VLOOKUP($C34,RLS!$C$37:$AZ$41,50,FALSE)*'Unit Distribution'!$F$5,0)</f>
        <v>0</v>
      </c>
      <c r="BC34">
        <f>ROUND(VLOOKUP($C34,RLS!$C$37:$AZ$41,50,FALSE)*'Unit Distribution'!$F$5,0)</f>
        <v>0</v>
      </c>
      <c r="BD34">
        <f>ROUND(VLOOKUP($C34,RLS!$C$37:$AZ$41,50,FALSE)*'Unit Distribution'!$F$5,0)</f>
        <v>0</v>
      </c>
      <c r="BE34">
        <f>ROUND(VLOOKUP($C34,RLS!$C$37:$AZ$41,50,FALSE)*'Unit Distribution'!$F$5,0)</f>
        <v>0</v>
      </c>
      <c r="BF34">
        <f>ROUND(VLOOKUP($C34,RLS!$C$37:$AZ$41,50,FALSE)*'Unit Distribution'!$F$5,0)</f>
        <v>0</v>
      </c>
      <c r="BG34">
        <f>ROUND(VLOOKUP($C34,RLS!$C$37:$AZ$41,50,FALSE)*'Unit Distribution'!$F$5,0)</f>
        <v>0</v>
      </c>
      <c r="BH34">
        <f>ROUND(VLOOKUP($C34,RLS!$C$37:$AZ$41,50,FALSE)*'Unit Distribution'!$F$5,0)</f>
        <v>0</v>
      </c>
      <c r="BI34">
        <f>ROUND(VLOOKUP($C34,RLS!$C$37:$AZ$41,50,FALSE)*'Unit Distribution'!$F$5,0)</f>
        <v>0</v>
      </c>
      <c r="BJ34">
        <f>ROUND(VLOOKUP($C34,RLS!$C$37:$AZ$41,50,FALSE)*'Unit Distribution'!$F$5,0)</f>
        <v>0</v>
      </c>
      <c r="BK34">
        <f>ROUND(VLOOKUP($C34,RLS!$C$37:$AZ$41,50,FALSE)*'Unit Distribution'!$F$5,0)</f>
        <v>0</v>
      </c>
      <c r="BL34">
        <f>ROUND(VLOOKUP($C34,RLS!$C$37:$AZ$41,50,FALSE)*'Unit Distribution'!$F$5,0)</f>
        <v>0</v>
      </c>
    </row>
    <row r="35" spans="1:64" x14ac:dyDescent="0.35">
      <c r="A35" t="s">
        <v>73</v>
      </c>
      <c r="B35" t="s">
        <v>76</v>
      </c>
      <c r="C35" t="str">
        <f t="shared" si="0"/>
        <v>PMOnsite-Landed</v>
      </c>
      <c r="D35" t="s">
        <v>72</v>
      </c>
      <c r="E35">
        <f>VLOOKUP($C35,RLS!$C$37:$O$41,2,FALSE)</f>
        <v>0</v>
      </c>
      <c r="F35">
        <f>VLOOKUP($C35,RLS!$C$37:$O$41,3,FALSE)</f>
        <v>0</v>
      </c>
      <c r="G35">
        <f>VLOOKUP($C35,RLS!$C$37:$O$41,4,FALSE)</f>
        <v>0</v>
      </c>
      <c r="H35">
        <f>VLOOKUP($C35,RLS!$C$37:$O$41,5,FALSE)</f>
        <v>0</v>
      </c>
      <c r="I35">
        <f>VLOOKUP($C35,RLS!$C$37:$O$41,6,FALSE)</f>
        <v>0</v>
      </c>
      <c r="J35">
        <f>VLOOKUP($C35,RLS!$C$37:$O$41,7,FALSE)</f>
        <v>0</v>
      </c>
      <c r="K35">
        <f>VLOOKUP($C35,RLS!$C$37:$O$41,8,FALSE)</f>
        <v>0</v>
      </c>
      <c r="L35">
        <f>VLOOKUP($C35,RLS!$C$37:$O$41,9,FALSE)</f>
        <v>0</v>
      </c>
      <c r="M35">
        <f>VLOOKUP($C35,RLS!$C$37:$O$41,10,FALSE)</f>
        <v>0</v>
      </c>
      <c r="N35">
        <f>VLOOKUP($C35,RLS!$C$37:$O$41,11,FALSE)</f>
        <v>0</v>
      </c>
      <c r="O35">
        <f>VLOOKUP($C35,RLS!$C$37:$O$41,12,FALSE)</f>
        <v>0</v>
      </c>
      <c r="P35">
        <f>VLOOKUP($C35,RLS!$C$37:$O$41,13,FALSE)</f>
        <v>0</v>
      </c>
      <c r="Q35">
        <f>VLOOKUP($C35,RLS!$C$37:$P$41,14,FALSE)</f>
        <v>0</v>
      </c>
      <c r="R35">
        <f>VLOOKUP($C35,RLS!$C$37:$P$41,14,FALSE)</f>
        <v>0</v>
      </c>
      <c r="S35">
        <f>VLOOKUP($C35,RLS!$C$37:$P$41,14,FALSE)</f>
        <v>0</v>
      </c>
      <c r="T35">
        <f>VLOOKUP($C35,RLS!$C$37:$P$41,14,FALSE)</f>
        <v>0</v>
      </c>
      <c r="U35">
        <f>VLOOKUP($C35,RLS!$C$37:$P$41,14,FALSE)</f>
        <v>0</v>
      </c>
      <c r="V35">
        <f>VLOOKUP($C35,RLS!$C$37:$P$41,14,FALSE)</f>
        <v>0</v>
      </c>
      <c r="W35">
        <f>VLOOKUP($C35,RLS!$C$37:$P$41,14,FALSE)</f>
        <v>0</v>
      </c>
      <c r="X35">
        <f>VLOOKUP($C35,RLS!$C$37:$P$41,14,FALSE)</f>
        <v>0</v>
      </c>
      <c r="Y35">
        <f>VLOOKUP($C35,RLS!$C$37:$P$41,14,FALSE)</f>
        <v>0</v>
      </c>
      <c r="Z35">
        <f>VLOOKUP($C35,RLS!$C$37:$P$41,14,FALSE)</f>
        <v>0</v>
      </c>
      <c r="AA35">
        <f>VLOOKUP($C35,RLS!$C$37:$P$41,14,FALSE)</f>
        <v>0</v>
      </c>
      <c r="AB35">
        <f>VLOOKUP($C35,RLS!$C$37:$P$41,14,FALSE)</f>
        <v>0</v>
      </c>
      <c r="AC35">
        <f>VLOOKUP($C35,RLS!$C$37:$AB$41,26,FALSE)</f>
        <v>0</v>
      </c>
      <c r="AD35">
        <f>VLOOKUP($C35,RLS!$C$37:$AB$41,26,FALSE)</f>
        <v>0</v>
      </c>
      <c r="AE35">
        <f>VLOOKUP($C35,RLS!$C$37:$AB$41,26,FALSE)</f>
        <v>0</v>
      </c>
      <c r="AF35">
        <f>VLOOKUP($C35,RLS!$C$37:$AB$41,26,FALSE)</f>
        <v>0</v>
      </c>
      <c r="AG35">
        <f>VLOOKUP($C35,RLS!$C$37:$AB$41,26,FALSE)</f>
        <v>0</v>
      </c>
      <c r="AH35">
        <f>VLOOKUP($C35,RLS!$C$37:$AB$41,26,FALSE)</f>
        <v>0</v>
      </c>
      <c r="AI35">
        <f>VLOOKUP($C35,RLS!$C$37:$AB$41,26,FALSE)</f>
        <v>0</v>
      </c>
      <c r="AJ35">
        <f>VLOOKUP($C35,RLS!$C$37:$AB$41,26,FALSE)</f>
        <v>0</v>
      </c>
      <c r="AK35">
        <f>VLOOKUP($C35,RLS!$C$37:$AB$41,26,FALSE)</f>
        <v>0</v>
      </c>
      <c r="AL35">
        <f>VLOOKUP($C35,RLS!$C$37:$AB$41,26,FALSE)</f>
        <v>0</v>
      </c>
      <c r="AM35">
        <f>VLOOKUP($C35,RLS!$C$37:$AB$41,26,FALSE)</f>
        <v>0</v>
      </c>
      <c r="AN35">
        <f>VLOOKUP($C35,RLS!$C$37:$AB$41,26,FALSE)</f>
        <v>0</v>
      </c>
      <c r="AO35">
        <f>VLOOKUP($C35,RLS!$C$37:$AN$41,38,FALSE)</f>
        <v>0</v>
      </c>
      <c r="AP35">
        <f>VLOOKUP($C35,RLS!$C$37:$AN$41,38,FALSE)</f>
        <v>0</v>
      </c>
      <c r="AQ35">
        <f>VLOOKUP($C35,RLS!$C$37:$AN$41,38,FALSE)</f>
        <v>0</v>
      </c>
      <c r="AR35">
        <f>VLOOKUP($C35,RLS!$C$37:$AN$41,38,FALSE)</f>
        <v>0</v>
      </c>
      <c r="AS35">
        <f>VLOOKUP($C35,RLS!$C$37:$AN$41,38,FALSE)</f>
        <v>0</v>
      </c>
      <c r="AT35">
        <f>VLOOKUP($C35,RLS!$C$37:$AN$41,38,FALSE)</f>
        <v>0</v>
      </c>
      <c r="AU35">
        <f>VLOOKUP($C35,RLS!$C$37:$AN$41,38,FALSE)</f>
        <v>0</v>
      </c>
      <c r="AV35">
        <f>VLOOKUP($C35,RLS!$C$37:$AN$41,38,FALSE)</f>
        <v>0</v>
      </c>
      <c r="AW35">
        <f>VLOOKUP($C35,RLS!$C$37:$AN$41,38,FALSE)</f>
        <v>0</v>
      </c>
      <c r="AX35">
        <f>VLOOKUP($C35,RLS!$C$37:$AN$41,38,FALSE)</f>
        <v>0</v>
      </c>
      <c r="AY35">
        <f>VLOOKUP($C35,RLS!$C$37:$AN$41,38,FALSE)</f>
        <v>0</v>
      </c>
      <c r="AZ35">
        <f>VLOOKUP($C35,RLS!$C$37:$AN$41,38,FALSE)</f>
        <v>0</v>
      </c>
      <c r="BA35">
        <f>VLOOKUP($C35,RLS!$C$37:$AZ$41,50,FALSE)</f>
        <v>0</v>
      </c>
      <c r="BB35">
        <f>VLOOKUP($C35,RLS!$C$37:$AZ$41,50,FALSE)</f>
        <v>0</v>
      </c>
      <c r="BC35">
        <f>VLOOKUP($C35,RLS!$C$37:$AZ$41,50,FALSE)</f>
        <v>0</v>
      </c>
      <c r="BD35">
        <f>VLOOKUP($C35,RLS!$C$37:$AZ$41,50,FALSE)</f>
        <v>0</v>
      </c>
      <c r="BE35">
        <f>VLOOKUP($C35,RLS!$C$37:$AZ$41,50,FALSE)</f>
        <v>0</v>
      </c>
      <c r="BF35">
        <f>VLOOKUP($C35,RLS!$C$37:$AZ$41,50,FALSE)</f>
        <v>0</v>
      </c>
      <c r="BG35">
        <f>VLOOKUP($C35,RLS!$C$37:$AZ$41,50,FALSE)</f>
        <v>0</v>
      </c>
      <c r="BH35">
        <f>VLOOKUP($C35,RLS!$C$37:$AZ$41,50,FALSE)</f>
        <v>0</v>
      </c>
      <c r="BI35">
        <f>VLOOKUP($C35,RLS!$C$37:$AZ$41,50,FALSE)</f>
        <v>0</v>
      </c>
      <c r="BJ35">
        <f>VLOOKUP($C35,RLS!$C$37:$AZ$41,50,FALSE)</f>
        <v>0</v>
      </c>
      <c r="BK35">
        <f>VLOOKUP($C35,RLS!$C$37:$AZ$41,50,FALSE)</f>
        <v>0</v>
      </c>
      <c r="BL35">
        <f>VLOOKUP($C35,RLS!$C$37:$AZ$41,50,FALSE)</f>
        <v>0</v>
      </c>
    </row>
    <row r="36" spans="1:64" x14ac:dyDescent="0.35">
      <c r="A36" t="s">
        <v>74</v>
      </c>
      <c r="B36" t="s">
        <v>76</v>
      </c>
      <c r="C36" t="str">
        <f t="shared" si="0"/>
        <v>LeadOnsite-Landed</v>
      </c>
      <c r="D36" t="s">
        <v>67</v>
      </c>
      <c r="E36">
        <f>VLOOKUP($C36,RLS!$C$37:$O$41,2,FALSE)</f>
        <v>1</v>
      </c>
      <c r="F36">
        <f>VLOOKUP($C36,RLS!$C$37:$O$41,3,FALSE)</f>
        <v>1</v>
      </c>
      <c r="G36">
        <f>VLOOKUP($C36,RLS!$C$37:$O$41,4,FALSE)</f>
        <v>1</v>
      </c>
      <c r="H36">
        <f>VLOOKUP($C36,RLS!$C$37:$O$41,5,FALSE)</f>
        <v>1</v>
      </c>
      <c r="I36">
        <f>VLOOKUP($C36,RLS!$C$37:$O$41,6,FALSE)</f>
        <v>1</v>
      </c>
      <c r="J36">
        <f>VLOOKUP($C36,RLS!$C$37:$O$41,7,FALSE)</f>
        <v>1</v>
      </c>
      <c r="K36">
        <f>VLOOKUP($C36,RLS!$C$37:$O$41,8,FALSE)</f>
        <v>1</v>
      </c>
      <c r="L36">
        <f>VLOOKUP($C36,RLS!$C$37:$O$41,9,FALSE)</f>
        <v>1</v>
      </c>
      <c r="M36">
        <f>VLOOKUP($C36,RLS!$C$37:$O$41,10,FALSE)</f>
        <v>1</v>
      </c>
      <c r="N36">
        <f>VLOOKUP($C36,RLS!$C$37:$O$41,11,FALSE)</f>
        <v>1</v>
      </c>
      <c r="O36">
        <f>VLOOKUP($C36,RLS!$C$37:$O$41,12,FALSE)</f>
        <v>1</v>
      </c>
      <c r="P36">
        <f>VLOOKUP($C36,RLS!$C$37:$O$41,13,FALSE)</f>
        <v>1</v>
      </c>
      <c r="Q36">
        <f>VLOOKUP($C36,RLS!$C$37:$P$41,14,FALSE)</f>
        <v>0</v>
      </c>
      <c r="R36">
        <f>VLOOKUP($C36,RLS!$C$37:$P$41,14,FALSE)</f>
        <v>0</v>
      </c>
      <c r="S36">
        <f>VLOOKUP($C36,RLS!$C$37:$P$41,14,FALSE)</f>
        <v>0</v>
      </c>
      <c r="T36">
        <f>VLOOKUP($C36,RLS!$C$37:$P$41,14,FALSE)</f>
        <v>0</v>
      </c>
      <c r="U36">
        <f>VLOOKUP($C36,RLS!$C$37:$P$41,14,FALSE)</f>
        <v>0</v>
      </c>
      <c r="V36">
        <f>VLOOKUP($C36,RLS!$C$37:$P$41,14,FALSE)</f>
        <v>0</v>
      </c>
      <c r="W36">
        <f>VLOOKUP($C36,RLS!$C$37:$P$41,14,FALSE)</f>
        <v>0</v>
      </c>
      <c r="X36">
        <f>VLOOKUP($C36,RLS!$C$37:$P$41,14,FALSE)</f>
        <v>0</v>
      </c>
      <c r="Y36">
        <f>VLOOKUP($C36,RLS!$C$37:$P$41,14,FALSE)</f>
        <v>0</v>
      </c>
      <c r="Z36">
        <f>VLOOKUP($C36,RLS!$C$37:$P$41,14,FALSE)</f>
        <v>0</v>
      </c>
      <c r="AA36">
        <f>VLOOKUP($C36,RLS!$C$37:$P$41,14,FALSE)</f>
        <v>0</v>
      </c>
      <c r="AB36">
        <f>VLOOKUP($C36,RLS!$C$37:$P$41,14,FALSE)</f>
        <v>0</v>
      </c>
      <c r="AC36">
        <f>VLOOKUP($C36,RLS!$C$37:$AB$41,26,FALSE)</f>
        <v>0</v>
      </c>
      <c r="AD36">
        <f>VLOOKUP($C36,RLS!$C$37:$AB$41,26,FALSE)</f>
        <v>0</v>
      </c>
      <c r="AE36">
        <f>VLOOKUP($C36,RLS!$C$37:$AB$41,26,FALSE)</f>
        <v>0</v>
      </c>
      <c r="AF36">
        <f>VLOOKUP($C36,RLS!$C$37:$AB$41,26,FALSE)</f>
        <v>0</v>
      </c>
      <c r="AG36">
        <f>VLOOKUP($C36,RLS!$C$37:$AB$41,26,FALSE)</f>
        <v>0</v>
      </c>
      <c r="AH36">
        <f>VLOOKUP($C36,RLS!$C$37:$AB$41,26,FALSE)</f>
        <v>0</v>
      </c>
      <c r="AI36">
        <f>VLOOKUP($C36,RLS!$C$37:$AB$41,26,FALSE)</f>
        <v>0</v>
      </c>
      <c r="AJ36">
        <f>VLOOKUP($C36,RLS!$C$37:$AB$41,26,FALSE)</f>
        <v>0</v>
      </c>
      <c r="AK36">
        <f>VLOOKUP($C36,RLS!$C$37:$AB$41,26,FALSE)</f>
        <v>0</v>
      </c>
      <c r="AL36">
        <f>VLOOKUP($C36,RLS!$C$37:$AB$41,26,FALSE)</f>
        <v>0</v>
      </c>
      <c r="AM36">
        <f>VLOOKUP($C36,RLS!$C$37:$AB$41,26,FALSE)</f>
        <v>0</v>
      </c>
      <c r="AN36">
        <f>VLOOKUP($C36,RLS!$C$37:$AB$41,26,FALSE)</f>
        <v>0</v>
      </c>
      <c r="AO36">
        <f>VLOOKUP($C36,RLS!$C$37:$AN$41,38,FALSE)</f>
        <v>0</v>
      </c>
      <c r="AP36">
        <f>VLOOKUP($C36,RLS!$C$37:$AN$41,38,FALSE)</f>
        <v>0</v>
      </c>
      <c r="AQ36">
        <f>VLOOKUP($C36,RLS!$C$37:$AN$41,38,FALSE)</f>
        <v>0</v>
      </c>
      <c r="AR36">
        <f>VLOOKUP($C36,RLS!$C$37:$AN$41,38,FALSE)</f>
        <v>0</v>
      </c>
      <c r="AS36">
        <f>VLOOKUP($C36,RLS!$C$37:$AN$41,38,FALSE)</f>
        <v>0</v>
      </c>
      <c r="AT36">
        <f>VLOOKUP($C36,RLS!$C$37:$AN$41,38,FALSE)</f>
        <v>0</v>
      </c>
      <c r="AU36">
        <f>VLOOKUP($C36,RLS!$C$37:$AN$41,38,FALSE)</f>
        <v>0</v>
      </c>
      <c r="AV36">
        <f>VLOOKUP($C36,RLS!$C$37:$AN$41,38,FALSE)</f>
        <v>0</v>
      </c>
      <c r="AW36">
        <f>VLOOKUP($C36,RLS!$C$37:$AN$41,38,FALSE)</f>
        <v>0</v>
      </c>
      <c r="AX36">
        <f>VLOOKUP($C36,RLS!$C$37:$AN$41,38,FALSE)</f>
        <v>0</v>
      </c>
      <c r="AY36">
        <f>VLOOKUP($C36,RLS!$C$37:$AN$41,38,FALSE)</f>
        <v>0</v>
      </c>
      <c r="AZ36">
        <f>VLOOKUP($C36,RLS!$C$37:$AN$41,38,FALSE)</f>
        <v>0</v>
      </c>
      <c r="BA36">
        <f>VLOOKUP($C36,RLS!$C$37:$AZ$41,50,FALSE)</f>
        <v>0</v>
      </c>
      <c r="BB36">
        <f>VLOOKUP($C36,RLS!$C$37:$AZ$41,50,FALSE)</f>
        <v>0</v>
      </c>
      <c r="BC36">
        <f>VLOOKUP($C36,RLS!$C$37:$AZ$41,50,FALSE)</f>
        <v>0</v>
      </c>
      <c r="BD36">
        <f>VLOOKUP($C36,RLS!$C$37:$AZ$41,50,FALSE)</f>
        <v>0</v>
      </c>
      <c r="BE36">
        <f>VLOOKUP($C36,RLS!$C$37:$AZ$41,50,FALSE)</f>
        <v>0</v>
      </c>
      <c r="BF36">
        <f>VLOOKUP($C36,RLS!$C$37:$AZ$41,50,FALSE)</f>
        <v>0</v>
      </c>
      <c r="BG36">
        <f>VLOOKUP($C36,RLS!$C$37:$AZ$41,50,FALSE)</f>
        <v>0</v>
      </c>
      <c r="BH36">
        <f>VLOOKUP($C36,RLS!$C$37:$AZ$41,50,FALSE)</f>
        <v>0</v>
      </c>
      <c r="BI36">
        <f>VLOOKUP($C36,RLS!$C$37:$AZ$41,50,FALSE)</f>
        <v>0</v>
      </c>
      <c r="BJ36">
        <f>VLOOKUP($C36,RLS!$C$37:$AZ$41,50,FALSE)</f>
        <v>0</v>
      </c>
      <c r="BK36">
        <f>VLOOKUP($C36,RLS!$C$37:$AZ$41,50,FALSE)</f>
        <v>0</v>
      </c>
      <c r="BL36">
        <f>VLOOKUP($C36,RLS!$C$37:$AZ$41,50,FALSE)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0FE2-3B57-48BD-A04F-08EC293108B2}">
  <dimension ref="A1:BM36"/>
  <sheetViews>
    <sheetView tabSelected="1" topLeftCell="AA1" workbookViewId="0">
      <selection activeCell="BH2" sqref="BH2:BH36"/>
    </sheetView>
  </sheetViews>
  <sheetFormatPr defaultRowHeight="14.5" x14ac:dyDescent="0.35"/>
  <cols>
    <col min="2" max="2" width="24.81640625" bestFit="1" customWidth="1"/>
    <col min="3" max="3" width="14.6328125" customWidth="1"/>
  </cols>
  <sheetData>
    <row r="1" spans="1:65" s="21" customFormat="1" x14ac:dyDescent="0.35">
      <c r="A1" s="21" t="s">
        <v>0</v>
      </c>
      <c r="B1" s="21" t="s">
        <v>111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1" t="s">
        <v>56</v>
      </c>
      <c r="BG1" s="21" t="s">
        <v>57</v>
      </c>
      <c r="BH1" s="21" t="s">
        <v>58</v>
      </c>
      <c r="BI1" s="21" t="s">
        <v>59</v>
      </c>
      <c r="BJ1" s="21" t="s">
        <v>60</v>
      </c>
      <c r="BK1" s="21" t="s">
        <v>61</v>
      </c>
      <c r="BL1" s="21" t="s">
        <v>62</v>
      </c>
      <c r="BM1" s="21" t="s">
        <v>63</v>
      </c>
    </row>
    <row r="2" spans="1:65" x14ac:dyDescent="0.35">
      <c r="A2" t="s">
        <v>64</v>
      </c>
      <c r="B2" t="s">
        <v>112</v>
      </c>
      <c r="C2" t="s">
        <v>65</v>
      </c>
      <c r="D2" t="s">
        <v>95</v>
      </c>
      <c r="E2" t="s">
        <v>66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</row>
    <row r="3" spans="1:65" x14ac:dyDescent="0.35">
      <c r="A3" t="s">
        <v>64</v>
      </c>
      <c r="B3" t="s">
        <v>113</v>
      </c>
      <c r="C3" t="s">
        <v>65</v>
      </c>
      <c r="D3" t="s">
        <v>95</v>
      </c>
      <c r="E3" t="s">
        <v>67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</row>
    <row r="4" spans="1:65" x14ac:dyDescent="0.35">
      <c r="A4" t="s">
        <v>64</v>
      </c>
      <c r="B4" t="s">
        <v>112</v>
      </c>
      <c r="C4" t="s">
        <v>65</v>
      </c>
      <c r="D4" t="s">
        <v>95</v>
      </c>
      <c r="E4" t="s">
        <v>68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35">
      <c r="A5" t="s">
        <v>69</v>
      </c>
      <c r="B5" t="s">
        <v>112</v>
      </c>
      <c r="C5" t="s">
        <v>65</v>
      </c>
      <c r="D5" t="s">
        <v>96</v>
      </c>
      <c r="E5" t="s">
        <v>66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</row>
    <row r="6" spans="1:65" x14ac:dyDescent="0.35">
      <c r="A6" t="s">
        <v>69</v>
      </c>
      <c r="B6" t="s">
        <v>113</v>
      </c>
      <c r="C6" t="s">
        <v>65</v>
      </c>
      <c r="D6" t="s">
        <v>96</v>
      </c>
      <c r="E6" t="s">
        <v>66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 x14ac:dyDescent="0.35">
      <c r="A7" t="s">
        <v>69</v>
      </c>
      <c r="B7" t="s">
        <v>113</v>
      </c>
      <c r="C7" t="s">
        <v>65</v>
      </c>
      <c r="D7" t="s">
        <v>96</v>
      </c>
      <c r="E7" t="s">
        <v>67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</row>
    <row r="8" spans="1:65" x14ac:dyDescent="0.35">
      <c r="A8" t="s">
        <v>69</v>
      </c>
      <c r="B8" t="s">
        <v>112</v>
      </c>
      <c r="C8" t="s">
        <v>65</v>
      </c>
      <c r="D8" t="s">
        <v>96</v>
      </c>
      <c r="E8" t="s">
        <v>68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35">
      <c r="A9" t="s">
        <v>70</v>
      </c>
      <c r="B9" t="s">
        <v>118</v>
      </c>
      <c r="C9" t="s">
        <v>65</v>
      </c>
      <c r="D9" t="s">
        <v>97</v>
      </c>
      <c r="E9" t="s">
        <v>66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</row>
    <row r="10" spans="1:65" x14ac:dyDescent="0.35">
      <c r="A10" t="s">
        <v>70</v>
      </c>
      <c r="B10" t="s">
        <v>118</v>
      </c>
      <c r="C10" t="s">
        <v>65</v>
      </c>
      <c r="D10" t="s">
        <v>97</v>
      </c>
      <c r="E10" t="s">
        <v>67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</row>
    <row r="11" spans="1:65" x14ac:dyDescent="0.35">
      <c r="A11" t="s">
        <v>70</v>
      </c>
      <c r="B11" t="s">
        <v>118</v>
      </c>
      <c r="C11" t="s">
        <v>65</v>
      </c>
      <c r="D11" t="s">
        <v>97</v>
      </c>
      <c r="E11" t="s">
        <v>68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35">
      <c r="A12" t="s">
        <v>71</v>
      </c>
      <c r="B12" t="s">
        <v>112</v>
      </c>
      <c r="C12" t="s">
        <v>65</v>
      </c>
      <c r="D12" t="s">
        <v>98</v>
      </c>
      <c r="E12" t="s">
        <v>72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 x14ac:dyDescent="0.35">
      <c r="A13" t="s">
        <v>73</v>
      </c>
      <c r="B13" t="s">
        <v>115</v>
      </c>
      <c r="C13" t="s">
        <v>65</v>
      </c>
      <c r="D13" t="s">
        <v>99</v>
      </c>
      <c r="E13" t="s">
        <v>72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35">
      <c r="A14" t="s">
        <v>74</v>
      </c>
      <c r="B14" t="s">
        <v>116</v>
      </c>
      <c r="C14" t="s">
        <v>65</v>
      </c>
      <c r="D14" t="s">
        <v>100</v>
      </c>
      <c r="E14" t="s">
        <v>66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 x14ac:dyDescent="0.35">
      <c r="A15" t="s">
        <v>64</v>
      </c>
      <c r="B15" t="s">
        <v>113</v>
      </c>
      <c r="C15" t="s">
        <v>75</v>
      </c>
      <c r="D15" t="s">
        <v>101</v>
      </c>
      <c r="E15" t="s">
        <v>66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35">
      <c r="A16" t="s">
        <v>64</v>
      </c>
      <c r="B16" t="s">
        <v>112</v>
      </c>
      <c r="C16" t="s">
        <v>75</v>
      </c>
      <c r="D16" t="s">
        <v>101</v>
      </c>
      <c r="E16" t="s">
        <v>67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35">
      <c r="A17" t="s">
        <v>64</v>
      </c>
      <c r="B17" t="s">
        <v>112</v>
      </c>
      <c r="C17" t="s">
        <v>75</v>
      </c>
      <c r="D17" t="s">
        <v>101</v>
      </c>
      <c r="E17" t="s">
        <v>68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35">
      <c r="A18" t="s">
        <v>69</v>
      </c>
      <c r="B18" t="s">
        <v>113</v>
      </c>
      <c r="C18" t="s">
        <v>75</v>
      </c>
      <c r="D18" t="s">
        <v>102</v>
      </c>
      <c r="E18" t="s">
        <v>66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</row>
    <row r="19" spans="1:65" x14ac:dyDescent="0.35">
      <c r="A19" t="s">
        <v>69</v>
      </c>
      <c r="B19" t="s">
        <v>113</v>
      </c>
      <c r="C19" t="s">
        <v>75</v>
      </c>
      <c r="D19" t="s">
        <v>102</v>
      </c>
      <c r="E19" t="s">
        <v>67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35">
      <c r="A20" t="s">
        <v>69</v>
      </c>
      <c r="B20" t="s">
        <v>113</v>
      </c>
      <c r="C20" t="s">
        <v>75</v>
      </c>
      <c r="D20" t="s">
        <v>102</v>
      </c>
      <c r="E20" t="s">
        <v>68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35">
      <c r="A21" t="s">
        <v>70</v>
      </c>
      <c r="B21" t="s">
        <v>112</v>
      </c>
      <c r="C21" t="s">
        <v>75</v>
      </c>
      <c r="D21" t="s">
        <v>103</v>
      </c>
      <c r="E21" t="s">
        <v>66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35">
      <c r="A22" t="s">
        <v>70</v>
      </c>
      <c r="B22" t="s">
        <v>112</v>
      </c>
      <c r="C22" t="s">
        <v>75</v>
      </c>
      <c r="D22" t="s">
        <v>103</v>
      </c>
      <c r="E22" t="s">
        <v>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35">
      <c r="A23" t="s">
        <v>70</v>
      </c>
      <c r="B23" t="s">
        <v>112</v>
      </c>
      <c r="C23" t="s">
        <v>75</v>
      </c>
      <c r="D23" t="s">
        <v>103</v>
      </c>
      <c r="E23" t="s">
        <v>68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35">
      <c r="A24" t="s">
        <v>73</v>
      </c>
      <c r="B24" t="s">
        <v>116</v>
      </c>
      <c r="C24" t="s">
        <v>75</v>
      </c>
      <c r="D24" t="s">
        <v>104</v>
      </c>
      <c r="E24" t="s">
        <v>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35">
      <c r="A25" t="s">
        <v>74</v>
      </c>
      <c r="B25" t="s">
        <v>114</v>
      </c>
      <c r="C25" t="s">
        <v>75</v>
      </c>
      <c r="D25" t="s">
        <v>105</v>
      </c>
      <c r="E25" t="s">
        <v>68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35">
      <c r="A26" t="s">
        <v>64</v>
      </c>
      <c r="B26" t="s">
        <v>112</v>
      </c>
      <c r="C26" t="s">
        <v>76</v>
      </c>
      <c r="D26" t="s">
        <v>106</v>
      </c>
      <c r="E26" t="s">
        <v>66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35">
      <c r="A27" t="s">
        <v>64</v>
      </c>
      <c r="B27" t="s">
        <v>112</v>
      </c>
      <c r="C27" t="s">
        <v>76</v>
      </c>
      <c r="D27" t="s">
        <v>106</v>
      </c>
      <c r="E27" t="s">
        <v>67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35">
      <c r="A28" t="s">
        <v>64</v>
      </c>
      <c r="B28" t="s">
        <v>112</v>
      </c>
      <c r="C28" t="s">
        <v>76</v>
      </c>
      <c r="D28" t="s">
        <v>106</v>
      </c>
      <c r="E28" t="s">
        <v>68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35">
      <c r="A29" t="s">
        <v>69</v>
      </c>
      <c r="B29" t="s">
        <v>117</v>
      </c>
      <c r="C29" t="s">
        <v>76</v>
      </c>
      <c r="D29" t="s">
        <v>107</v>
      </c>
      <c r="E29" t="s">
        <v>66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35">
      <c r="A30" t="s">
        <v>69</v>
      </c>
      <c r="B30" t="s">
        <v>117</v>
      </c>
      <c r="C30" t="s">
        <v>76</v>
      </c>
      <c r="D30" t="s">
        <v>107</v>
      </c>
      <c r="E30" t="s">
        <v>67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</row>
    <row r="31" spans="1:65" x14ac:dyDescent="0.35">
      <c r="A31" t="s">
        <v>69</v>
      </c>
      <c r="B31" t="s">
        <v>117</v>
      </c>
      <c r="C31" t="s">
        <v>76</v>
      </c>
      <c r="D31" t="s">
        <v>107</v>
      </c>
      <c r="E31" t="s">
        <v>68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35">
      <c r="A32" t="s">
        <v>70</v>
      </c>
      <c r="B32" t="s">
        <v>112</v>
      </c>
      <c r="C32" t="s">
        <v>76</v>
      </c>
      <c r="D32" t="s">
        <v>108</v>
      </c>
      <c r="E32" t="s">
        <v>66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35">
      <c r="A33" t="s">
        <v>70</v>
      </c>
      <c r="B33" t="s">
        <v>112</v>
      </c>
      <c r="C33" t="s">
        <v>76</v>
      </c>
      <c r="D33" t="s">
        <v>108</v>
      </c>
      <c r="E33" t="s">
        <v>67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35">
      <c r="A34" t="s">
        <v>70</v>
      </c>
      <c r="B34" t="s">
        <v>112</v>
      </c>
      <c r="C34" t="s">
        <v>76</v>
      </c>
      <c r="D34" t="s">
        <v>108</v>
      </c>
      <c r="E34" t="s">
        <v>68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35">
      <c r="A35" t="s">
        <v>73</v>
      </c>
      <c r="B35" t="s">
        <v>116</v>
      </c>
      <c r="C35" t="s">
        <v>76</v>
      </c>
      <c r="D35" t="s">
        <v>109</v>
      </c>
      <c r="E35" t="s">
        <v>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35">
      <c r="A36" t="s">
        <v>74</v>
      </c>
      <c r="B36" t="s">
        <v>116</v>
      </c>
      <c r="C36" t="s">
        <v>76</v>
      </c>
      <c r="D36" t="s">
        <v>110</v>
      </c>
      <c r="E36" t="s">
        <v>67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</sheetData>
  <autoFilter ref="A1:BM36" xr:uid="{0EA60FE2-3B57-48BD-A04F-08EC293108B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FTE</vt:lpstr>
      <vt:lpstr>India Role Distribution</vt:lpstr>
      <vt:lpstr>Onsite Role Distribution</vt:lpstr>
      <vt:lpstr>Productivity</vt:lpstr>
      <vt:lpstr>Unit Distribution</vt:lpstr>
      <vt:lpstr>Transfer</vt:lpstr>
      <vt:lpstr>RLS</vt:lpstr>
      <vt:lpstr>RLS Detail</vt:lpstr>
      <vt:lpstr>RLS Detail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Mukesh Kumar</dc:creator>
  <cp:lastModifiedBy>Mukesh Kumar Prasad</cp:lastModifiedBy>
  <dcterms:created xsi:type="dcterms:W3CDTF">2026-09-26T16:21:00Z</dcterms:created>
  <dcterms:modified xsi:type="dcterms:W3CDTF">2026-09-27T20:42:09Z</dcterms:modified>
</cp:coreProperties>
</file>