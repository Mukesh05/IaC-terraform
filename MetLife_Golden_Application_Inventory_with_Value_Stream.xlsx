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pgemini-my.sharepoint.com/personal/bharath_chandran_capgemini_com/Documents/Desktop/"/>
    </mc:Choice>
  </mc:AlternateContent>
  <xr:revisionPtr revIDLastSave="0" documentId="8_{F13A82B4-AAA8-4796-B27D-CD4BE8CAD5E5}" xr6:coauthVersionLast="47" xr6:coauthVersionMax="47" xr10:uidLastSave="{00000000-0000-0000-0000-000000000000}"/>
  <bookViews>
    <workbookView xWindow="-108" yWindow="-108" windowWidth="23256" windowHeight="12456" activeTab="2" xr2:uid="{00000000-000D-0000-FFFF-FFFF00000000}"/>
  </bookViews>
  <sheets>
    <sheet name="README" sheetId="1" r:id="rId1"/>
    <sheet name="Classification Rules" sheetId="2" r:id="rId2"/>
    <sheet name="Golden Inventory" sheetId="3" r:id="rId3"/>
    <sheet name="Domain Summary" sheetId="4" r:id="rId4"/>
    <sheet name="Archetype Summary" sheetId="5" r:id="rId5"/>
    <sheet name="Overrides &amp; Change Log" sheetId="6" r:id="rId6"/>
  </sheets>
  <definedNames>
    <definedName name="_xlnm._FilterDatabase" localSheetId="2" hidden="1">'Golden Inventory'!$A$4:$AK$146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5" l="1"/>
  <c r="D15" i="4"/>
  <c r="C15" i="4"/>
  <c r="D14" i="4"/>
  <c r="C14" i="4"/>
  <c r="D13" i="4"/>
  <c r="C13" i="4"/>
  <c r="D12" i="4"/>
  <c r="C12" i="4"/>
  <c r="D11" i="4"/>
  <c r="C11" i="4"/>
  <c r="D10" i="4"/>
  <c r="C10" i="4"/>
  <c r="D9" i="4"/>
  <c r="C9" i="4"/>
  <c r="D8" i="4"/>
  <c r="C8" i="4"/>
  <c r="D7" i="4"/>
  <c r="C7" i="4"/>
  <c r="D6" i="4"/>
  <c r="C6" i="4"/>
  <c r="C16" i="4" s="1"/>
  <c r="D5" i="4"/>
  <c r="C5" i="4"/>
  <c r="G46" i="2"/>
  <c r="L8" i="5" s="1"/>
  <c r="F46" i="2"/>
  <c r="G45" i="2"/>
  <c r="L7" i="5" s="1"/>
  <c r="F45" i="2"/>
  <c r="G44" i="2"/>
  <c r="L6" i="5" s="1"/>
  <c r="F44" i="2"/>
  <c r="E44" i="2"/>
  <c r="K6" i="5" s="1"/>
  <c r="D44" i="2"/>
  <c r="J6" i="5" s="1"/>
  <c r="G43" i="2"/>
  <c r="L5" i="5" s="1"/>
  <c r="F43" i="2"/>
  <c r="E43" i="2"/>
  <c r="K5" i="5" s="1"/>
  <c r="D43" i="2"/>
  <c r="J5" i="5" s="1"/>
  <c r="G27" i="2"/>
  <c r="E46" i="2" s="1"/>
  <c r="K8" i="5" s="1"/>
  <c r="F27" i="2"/>
  <c r="E45" i="2" s="1"/>
  <c r="K7" i="5" s="1"/>
  <c r="E27" i="2"/>
  <c r="D27" i="2"/>
  <c r="C26" i="2"/>
  <c r="X146" i="3"/>
  <c r="AC146" i="3" s="1"/>
  <c r="X145" i="3"/>
  <c r="AC145" i="3" s="1"/>
  <c r="X144" i="3"/>
  <c r="AC144" i="3" s="1"/>
  <c r="AH143" i="3"/>
  <c r="AC143" i="3"/>
  <c r="X143" i="3"/>
  <c r="Y143" i="3" s="1"/>
  <c r="AA143" i="3" s="1"/>
  <c r="X142" i="3"/>
  <c r="AC142" i="3" s="1"/>
  <c r="X141" i="3"/>
  <c r="AC141" i="3" s="1"/>
  <c r="AD140" i="3"/>
  <c r="Y140" i="3"/>
  <c r="AA140" i="3" s="1"/>
  <c r="X140" i="3"/>
  <c r="AC140" i="3" s="1"/>
  <c r="X139" i="3"/>
  <c r="AC139" i="3" s="1"/>
  <c r="X138" i="3"/>
  <c r="Y138" i="3" s="1"/>
  <c r="AA138" i="3" s="1"/>
  <c r="AB138" i="3" s="1"/>
  <c r="X137" i="3"/>
  <c r="AC137" i="3" s="1"/>
  <c r="Y136" i="3"/>
  <c r="AA136" i="3" s="1"/>
  <c r="X136" i="3"/>
  <c r="AC136" i="3" s="1"/>
  <c r="AC135" i="3"/>
  <c r="Y135" i="3"/>
  <c r="AA135" i="3" s="1"/>
  <c r="AD135" i="3" s="1"/>
  <c r="X135" i="3"/>
  <c r="X134" i="3"/>
  <c r="AC134" i="3" s="1"/>
  <c r="Y133" i="3"/>
  <c r="AA133" i="3" s="1"/>
  <c r="X133" i="3"/>
  <c r="AC133" i="3" s="1"/>
  <c r="X132" i="3"/>
  <c r="AC132" i="3" s="1"/>
  <c r="AI131" i="3"/>
  <c r="Y131" i="3"/>
  <c r="AA131" i="3" s="1"/>
  <c r="X131" i="3"/>
  <c r="AC131" i="3" s="1"/>
  <c r="X130" i="3"/>
  <c r="AC130" i="3" s="1"/>
  <c r="AG129" i="3"/>
  <c r="AC129" i="3"/>
  <c r="Y129" i="3"/>
  <c r="AA129" i="3" s="1"/>
  <c r="X129" i="3"/>
  <c r="X128" i="3"/>
  <c r="AC128" i="3" s="1"/>
  <c r="X127" i="3"/>
  <c r="AC127" i="3" s="1"/>
  <c r="Y126" i="3"/>
  <c r="AA126" i="3" s="1"/>
  <c r="X126" i="3"/>
  <c r="AC126" i="3" s="1"/>
  <c r="AC125" i="3"/>
  <c r="X125" i="3"/>
  <c r="Y125" i="3" s="1"/>
  <c r="AA125" i="3" s="1"/>
  <c r="AC124" i="3"/>
  <c r="Y124" i="3"/>
  <c r="AA124" i="3" s="1"/>
  <c r="X124" i="3"/>
  <c r="AA123" i="3"/>
  <c r="Y123" i="3"/>
  <c r="X123" i="3"/>
  <c r="AC123" i="3" s="1"/>
  <c r="AC122" i="3"/>
  <c r="AA122" i="3"/>
  <c r="Y122" i="3"/>
  <c r="X122" i="3"/>
  <c r="X121" i="3"/>
  <c r="X120" i="3"/>
  <c r="AD119" i="3"/>
  <c r="Y119" i="3"/>
  <c r="AA119" i="3" s="1"/>
  <c r="X119" i="3"/>
  <c r="AC119" i="3" s="1"/>
  <c r="X118" i="3"/>
  <c r="AC118" i="3" s="1"/>
  <c r="AC117" i="3"/>
  <c r="AB117" i="3"/>
  <c r="Y117" i="3"/>
  <c r="AA117" i="3" s="1"/>
  <c r="X117" i="3"/>
  <c r="X116" i="3"/>
  <c r="AC116" i="3" s="1"/>
  <c r="AC115" i="3"/>
  <c r="Y115" i="3"/>
  <c r="AA115" i="3" s="1"/>
  <c r="AH115" i="3" s="1"/>
  <c r="X115" i="3"/>
  <c r="X114" i="3"/>
  <c r="AC114" i="3" s="1"/>
  <c r="AJ113" i="3"/>
  <c r="AF113" i="3"/>
  <c r="AC113" i="3"/>
  <c r="X113" i="3"/>
  <c r="Y113" i="3" s="1"/>
  <c r="AA113" i="3" s="1"/>
  <c r="Y112" i="3"/>
  <c r="AA112" i="3" s="1"/>
  <c r="X112" i="3"/>
  <c r="AC112" i="3" s="1"/>
  <c r="X111" i="3"/>
  <c r="AC111" i="3" s="1"/>
  <c r="X110" i="3"/>
  <c r="Y110" i="3" s="1"/>
  <c r="AA110" i="3" s="1"/>
  <c r="X109" i="3"/>
  <c r="AC109" i="3" s="1"/>
  <c r="AG108" i="3"/>
  <c r="AC108" i="3"/>
  <c r="Y108" i="3"/>
  <c r="AA108" i="3" s="1"/>
  <c r="X108" i="3"/>
  <c r="AC107" i="3"/>
  <c r="Y107" i="3"/>
  <c r="AA107" i="3" s="1"/>
  <c r="X107" i="3"/>
  <c r="AC106" i="3"/>
  <c r="X106" i="3"/>
  <c r="Y106" i="3" s="1"/>
  <c r="AA106" i="3" s="1"/>
  <c r="AE106" i="3" s="1"/>
  <c r="Y105" i="3"/>
  <c r="AA105" i="3" s="1"/>
  <c r="AK105" i="3" s="1"/>
  <c r="X105" i="3"/>
  <c r="AC105" i="3" s="1"/>
  <c r="AC104" i="3"/>
  <c r="X104" i="3"/>
  <c r="Y104" i="3" s="1"/>
  <c r="AA104" i="3" s="1"/>
  <c r="Y103" i="3"/>
  <c r="AA103" i="3" s="1"/>
  <c r="AI103" i="3" s="1"/>
  <c r="X103" i="3"/>
  <c r="AC103" i="3" s="1"/>
  <c r="X102" i="3"/>
  <c r="AC101" i="3"/>
  <c r="Y101" i="3"/>
  <c r="AA101" i="3" s="1"/>
  <c r="X101" i="3"/>
  <c r="X100" i="3"/>
  <c r="X99" i="3"/>
  <c r="AC99" i="3" s="1"/>
  <c r="Y98" i="3"/>
  <c r="AA98" i="3" s="1"/>
  <c r="X98" i="3"/>
  <c r="AC98" i="3" s="1"/>
  <c r="AJ97" i="3"/>
  <c r="AH97" i="3"/>
  <c r="AC97" i="3"/>
  <c r="X97" i="3"/>
  <c r="Y97" i="3" s="1"/>
  <c r="AA97" i="3" s="1"/>
  <c r="AC96" i="3"/>
  <c r="Y96" i="3"/>
  <c r="AA96" i="3" s="1"/>
  <c r="AG96" i="3" s="1"/>
  <c r="X96" i="3"/>
  <c r="AA95" i="3"/>
  <c r="AF95" i="3" s="1"/>
  <c r="Y95" i="3"/>
  <c r="X95" i="3"/>
  <c r="AC95" i="3" s="1"/>
  <c r="AE94" i="3"/>
  <c r="AC94" i="3"/>
  <c r="AA94" i="3"/>
  <c r="Y94" i="3"/>
  <c r="X94" i="3"/>
  <c r="X93" i="3"/>
  <c r="X92" i="3"/>
  <c r="Y92" i="3" s="1"/>
  <c r="AA92" i="3" s="1"/>
  <c r="Y91" i="3"/>
  <c r="AA91" i="3" s="1"/>
  <c r="AI91" i="3" s="1"/>
  <c r="X91" i="3"/>
  <c r="AC91" i="3" s="1"/>
  <c r="X90" i="3"/>
  <c r="AJ89" i="3"/>
  <c r="AG89" i="3"/>
  <c r="AC89" i="3"/>
  <c r="AB89" i="3"/>
  <c r="Y89" i="3"/>
  <c r="AA89" i="3" s="1"/>
  <c r="X89" i="3"/>
  <c r="X88" i="3"/>
  <c r="AH87" i="3"/>
  <c r="AE87" i="3"/>
  <c r="AC87" i="3"/>
  <c r="Y87" i="3"/>
  <c r="AA87" i="3" s="1"/>
  <c r="X87" i="3"/>
  <c r="X86" i="3"/>
  <c r="AC86" i="3" s="1"/>
  <c r="AC85" i="3"/>
  <c r="X85" i="3"/>
  <c r="Y85" i="3" s="1"/>
  <c r="AA85" i="3" s="1"/>
  <c r="AK84" i="3"/>
  <c r="AI84" i="3"/>
  <c r="AD84" i="3"/>
  <c r="Y84" i="3"/>
  <c r="AA84" i="3" s="1"/>
  <c r="X84" i="3"/>
  <c r="AC84" i="3" s="1"/>
  <c r="X83" i="3"/>
  <c r="AC83" i="3" s="1"/>
  <c r="AC82" i="3"/>
  <c r="AB82" i="3"/>
  <c r="X82" i="3"/>
  <c r="Y82" i="3" s="1"/>
  <c r="AA82" i="3" s="1"/>
  <c r="X81" i="3"/>
  <c r="AC80" i="3"/>
  <c r="Y80" i="3"/>
  <c r="AA80" i="3" s="1"/>
  <c r="X80" i="3"/>
  <c r="AC79" i="3"/>
  <c r="Y79" i="3"/>
  <c r="AA79" i="3" s="1"/>
  <c r="AB79" i="3" s="1"/>
  <c r="X79" i="3"/>
  <c r="AJ78" i="3"/>
  <c r="AE78" i="3"/>
  <c r="AC78" i="3"/>
  <c r="X78" i="3"/>
  <c r="Y78" i="3" s="1"/>
  <c r="AA78" i="3" s="1"/>
  <c r="Y77" i="3"/>
  <c r="AA77" i="3" s="1"/>
  <c r="AK77" i="3" s="1"/>
  <c r="X77" i="3"/>
  <c r="AC77" i="3" s="1"/>
  <c r="AK76" i="3"/>
  <c r="AC76" i="3"/>
  <c r="AA76" i="3"/>
  <c r="X76" i="3"/>
  <c r="Y76" i="3" s="1"/>
  <c r="Y75" i="3"/>
  <c r="AA75" i="3" s="1"/>
  <c r="AI75" i="3" s="1"/>
  <c r="X75" i="3"/>
  <c r="AC75" i="3" s="1"/>
  <c r="X74" i="3"/>
  <c r="AC73" i="3"/>
  <c r="X73" i="3"/>
  <c r="Y73" i="3" s="1"/>
  <c r="AA73" i="3" s="1"/>
  <c r="AG73" i="3" s="1"/>
  <c r="AK72" i="3"/>
  <c r="AI72" i="3"/>
  <c r="AG72" i="3"/>
  <c r="AD72" i="3"/>
  <c r="Y72" i="3"/>
  <c r="AA72" i="3" s="1"/>
  <c r="X72" i="3"/>
  <c r="AC72" i="3" s="1"/>
  <c r="X71" i="3"/>
  <c r="AC71" i="3" s="1"/>
  <c r="AI70" i="3"/>
  <c r="AG70" i="3"/>
  <c r="AE70" i="3"/>
  <c r="Y70" i="3"/>
  <c r="AA70" i="3" s="1"/>
  <c r="X70" i="3"/>
  <c r="AC70" i="3" s="1"/>
  <c r="AK69" i="3"/>
  <c r="AH69" i="3"/>
  <c r="AC69" i="3"/>
  <c r="X69" i="3"/>
  <c r="Y69" i="3" s="1"/>
  <c r="AA69" i="3" s="1"/>
  <c r="AG68" i="3"/>
  <c r="AC68" i="3"/>
  <c r="Y68" i="3"/>
  <c r="AA68" i="3" s="1"/>
  <c r="X68" i="3"/>
  <c r="AA67" i="3"/>
  <c r="AH67" i="3" s="1"/>
  <c r="Y67" i="3"/>
  <c r="X67" i="3"/>
  <c r="AC67" i="3" s="1"/>
  <c r="AC66" i="3"/>
  <c r="AA66" i="3"/>
  <c r="Y66" i="3"/>
  <c r="X66" i="3"/>
  <c r="X65" i="3"/>
  <c r="AA64" i="3"/>
  <c r="X64" i="3"/>
  <c r="Y64" i="3" s="1"/>
  <c r="AE63" i="3"/>
  <c r="AD63" i="3"/>
  <c r="Y63" i="3"/>
  <c r="AA63" i="3" s="1"/>
  <c r="X63" i="3"/>
  <c r="AC63" i="3" s="1"/>
  <c r="X62" i="3"/>
  <c r="AC61" i="3"/>
  <c r="Y61" i="3"/>
  <c r="AA61" i="3" s="1"/>
  <c r="AB61" i="3" s="1"/>
  <c r="X61" i="3"/>
  <c r="X60" i="3"/>
  <c r="AC59" i="3"/>
  <c r="Y59" i="3"/>
  <c r="AA59" i="3" s="1"/>
  <c r="X59" i="3"/>
  <c r="X58" i="3"/>
  <c r="AC58" i="3" s="1"/>
  <c r="AJ57" i="3"/>
  <c r="AF57" i="3"/>
  <c r="AC57" i="3"/>
  <c r="X57" i="3"/>
  <c r="Y57" i="3" s="1"/>
  <c r="AA57" i="3" s="1"/>
  <c r="AC56" i="3"/>
  <c r="Y56" i="3"/>
  <c r="AA56" i="3" s="1"/>
  <c r="X56" i="3"/>
  <c r="X55" i="3"/>
  <c r="AC55" i="3" s="1"/>
  <c r="AJ54" i="3"/>
  <c r="AI54" i="3"/>
  <c r="AG54" i="3"/>
  <c r="AC54" i="3"/>
  <c r="AB54" i="3"/>
  <c r="X54" i="3"/>
  <c r="Y54" i="3" s="1"/>
  <c r="AA54" i="3" s="1"/>
  <c r="X53" i="3"/>
  <c r="AC52" i="3"/>
  <c r="Y52" i="3"/>
  <c r="AA52" i="3" s="1"/>
  <c r="AG52" i="3" s="1"/>
  <c r="X52" i="3"/>
  <c r="AC51" i="3"/>
  <c r="Y51" i="3"/>
  <c r="AA51" i="3" s="1"/>
  <c r="X51" i="3"/>
  <c r="AC50" i="3"/>
  <c r="X50" i="3"/>
  <c r="Y50" i="3" s="1"/>
  <c r="AA50" i="3" s="1"/>
  <c r="AJ50" i="3" s="1"/>
  <c r="Y49" i="3"/>
  <c r="AA49" i="3" s="1"/>
  <c r="AB49" i="3" s="1"/>
  <c r="X49" i="3"/>
  <c r="AC49" i="3" s="1"/>
  <c r="AC48" i="3"/>
  <c r="X48" i="3"/>
  <c r="Y48" i="3" s="1"/>
  <c r="AA48" i="3" s="1"/>
  <c r="AI47" i="3"/>
  <c r="Y47" i="3"/>
  <c r="AA47" i="3" s="1"/>
  <c r="X47" i="3"/>
  <c r="AC47" i="3" s="1"/>
  <c r="X46" i="3"/>
  <c r="AG45" i="3"/>
  <c r="AC45" i="3"/>
  <c r="Y45" i="3"/>
  <c r="AA45" i="3" s="1"/>
  <c r="X45" i="3"/>
  <c r="X44" i="3"/>
  <c r="AC44" i="3" s="1"/>
  <c r="X43" i="3"/>
  <c r="AC43" i="3" s="1"/>
  <c r="Y42" i="3"/>
  <c r="AA42" i="3" s="1"/>
  <c r="AG42" i="3" s="1"/>
  <c r="X42" i="3"/>
  <c r="AC42" i="3" s="1"/>
  <c r="AK41" i="3"/>
  <c r="AC41" i="3"/>
  <c r="X41" i="3"/>
  <c r="Y41" i="3" s="1"/>
  <c r="AA41" i="3" s="1"/>
  <c r="AE40" i="3"/>
  <c r="AC40" i="3"/>
  <c r="Y40" i="3"/>
  <c r="AA40" i="3" s="1"/>
  <c r="X40" i="3"/>
  <c r="AA39" i="3"/>
  <c r="AF39" i="3" s="1"/>
  <c r="Y39" i="3"/>
  <c r="X39" i="3"/>
  <c r="AC39" i="3" s="1"/>
  <c r="AC38" i="3"/>
  <c r="AA38" i="3"/>
  <c r="AE38" i="3" s="1"/>
  <c r="Y38" i="3"/>
  <c r="X38" i="3"/>
  <c r="X37" i="3"/>
  <c r="AC36" i="3"/>
  <c r="AA36" i="3"/>
  <c r="X36" i="3"/>
  <c r="Y36" i="3" s="1"/>
  <c r="AC35" i="3"/>
  <c r="Y35" i="3"/>
  <c r="AA35" i="3" s="1"/>
  <c r="X35" i="3"/>
  <c r="X34" i="3"/>
  <c r="AC33" i="3"/>
  <c r="Y33" i="3"/>
  <c r="AA33" i="3" s="1"/>
  <c r="AJ33" i="3" s="1"/>
  <c r="X33" i="3"/>
  <c r="X32" i="3"/>
  <c r="AC31" i="3"/>
  <c r="Y31" i="3"/>
  <c r="AA31" i="3" s="1"/>
  <c r="X31" i="3"/>
  <c r="X30" i="3"/>
  <c r="AC30" i="3" s="1"/>
  <c r="AF29" i="3"/>
  <c r="X29" i="3"/>
  <c r="Y29" i="3" s="1"/>
  <c r="AA29" i="3" s="1"/>
  <c r="AK28" i="3"/>
  <c r="AI28" i="3"/>
  <c r="AD28" i="3"/>
  <c r="AC28" i="3"/>
  <c r="Y28" i="3"/>
  <c r="AA28" i="3" s="1"/>
  <c r="X28" i="3"/>
  <c r="X27" i="3"/>
  <c r="AC27" i="3" s="1"/>
  <c r="AJ26" i="3"/>
  <c r="AI26" i="3"/>
  <c r="AG26" i="3"/>
  <c r="AC26" i="3"/>
  <c r="AB26" i="3"/>
  <c r="X26" i="3"/>
  <c r="Y26" i="3" s="1"/>
  <c r="AA26" i="3" s="1"/>
  <c r="X25" i="3"/>
  <c r="AJ24" i="3"/>
  <c r="AH24" i="3"/>
  <c r="Y24" i="3"/>
  <c r="AA24" i="3" s="1"/>
  <c r="X24" i="3"/>
  <c r="AC24" i="3" s="1"/>
  <c r="Y23" i="3"/>
  <c r="AA23" i="3" s="1"/>
  <c r="AB23" i="3" s="1"/>
  <c r="X23" i="3"/>
  <c r="AC23" i="3" s="1"/>
  <c r="AC22" i="3"/>
  <c r="X22" i="3"/>
  <c r="Y22" i="3" s="1"/>
  <c r="AA22" i="3" s="1"/>
  <c r="AJ22" i="3" s="1"/>
  <c r="Y21" i="3"/>
  <c r="AA21" i="3" s="1"/>
  <c r="X21" i="3"/>
  <c r="AC21" i="3" s="1"/>
  <c r="AC20" i="3"/>
  <c r="X20" i="3"/>
  <c r="Y20" i="3" s="1"/>
  <c r="AA20" i="3" s="1"/>
  <c r="AJ19" i="3"/>
  <c r="AI19" i="3"/>
  <c r="Y19" i="3"/>
  <c r="AA19" i="3" s="1"/>
  <c r="X19" i="3"/>
  <c r="AC19" i="3" s="1"/>
  <c r="X18" i="3"/>
  <c r="AC17" i="3"/>
  <c r="Y17" i="3"/>
  <c r="AA17" i="3" s="1"/>
  <c r="X17" i="3"/>
  <c r="X16" i="3"/>
  <c r="AC16" i="3" s="1"/>
  <c r="X15" i="3"/>
  <c r="AC15" i="3" s="1"/>
  <c r="AI14" i="3"/>
  <c r="AH14" i="3"/>
  <c r="AG14" i="3"/>
  <c r="AF14" i="3"/>
  <c r="AD14" i="3"/>
  <c r="AB14" i="3"/>
  <c r="Y14" i="3"/>
  <c r="AA14" i="3" s="1"/>
  <c r="X14" i="3"/>
  <c r="AC14" i="3" s="1"/>
  <c r="AC13" i="3"/>
  <c r="X13" i="3"/>
  <c r="Y13" i="3" s="1"/>
  <c r="AA13" i="3" s="1"/>
  <c r="AJ13" i="3" s="1"/>
  <c r="AG12" i="3"/>
  <c r="AF12" i="3"/>
  <c r="AD12" i="3"/>
  <c r="AC12" i="3"/>
  <c r="Y12" i="3"/>
  <c r="AA12" i="3" s="1"/>
  <c r="X12" i="3"/>
  <c r="AK11" i="3"/>
  <c r="AI11" i="3"/>
  <c r="AH11" i="3"/>
  <c r="AA11" i="3"/>
  <c r="AB11" i="3" s="1"/>
  <c r="Y11" i="3"/>
  <c r="X11" i="3"/>
  <c r="AC11" i="3" s="1"/>
  <c r="AC10" i="3"/>
  <c r="Y10" i="3"/>
  <c r="AA10" i="3" s="1"/>
  <c r="X10" i="3"/>
  <c r="X9" i="3"/>
  <c r="AC9" i="3" s="1"/>
  <c r="AC8" i="3"/>
  <c r="Y8" i="3"/>
  <c r="AA8" i="3" s="1"/>
  <c r="X8" i="3"/>
  <c r="AK7" i="3"/>
  <c r="AI7" i="3"/>
  <c r="AC7" i="3"/>
  <c r="Y7" i="3"/>
  <c r="AA7" i="3" s="1"/>
  <c r="X7" i="3"/>
  <c r="Y6" i="3"/>
  <c r="AA6" i="3" s="1"/>
  <c r="X6" i="3"/>
  <c r="AC6" i="3" s="1"/>
  <c r="AK5" i="3"/>
  <c r="AJ5" i="3"/>
  <c r="AI5" i="3"/>
  <c r="AG5" i="3"/>
  <c r="AF5" i="3"/>
  <c r="AE5" i="3"/>
  <c r="AC5" i="3"/>
  <c r="AB5" i="3"/>
  <c r="Y5" i="3"/>
  <c r="AA5" i="3" s="1"/>
  <c r="X5" i="3"/>
  <c r="AI6" i="3" l="1"/>
  <c r="AH6" i="3"/>
  <c r="AG6" i="3"/>
  <c r="AF6" i="3"/>
  <c r="AE6" i="3"/>
  <c r="AD6" i="3"/>
  <c r="AB6" i="3"/>
  <c r="AK6" i="3"/>
  <c r="AJ6" i="3"/>
  <c r="AK59" i="3"/>
  <c r="AI59" i="3"/>
  <c r="AG59" i="3"/>
  <c r="AF59" i="3"/>
  <c r="AD59" i="3"/>
  <c r="AB59" i="3"/>
  <c r="AJ59" i="3"/>
  <c r="AH59" i="3"/>
  <c r="AE59" i="3"/>
  <c r="AJ48" i="3"/>
  <c r="AI48" i="3"/>
  <c r="AG48" i="3"/>
  <c r="AF48" i="3"/>
  <c r="AE48" i="3"/>
  <c r="AB48" i="3"/>
  <c r="AK48" i="3"/>
  <c r="AH48" i="3"/>
  <c r="AD48" i="3"/>
  <c r="AK10" i="3"/>
  <c r="AJ10" i="3"/>
  <c r="AI10" i="3"/>
  <c r="AH10" i="3"/>
  <c r="AG10" i="3"/>
  <c r="AF10" i="3"/>
  <c r="AD10" i="3"/>
  <c r="AE10" i="3"/>
  <c r="AB10" i="3"/>
  <c r="AK31" i="3"/>
  <c r="AI31" i="3"/>
  <c r="AG31" i="3"/>
  <c r="AF31" i="3"/>
  <c r="AD31" i="3"/>
  <c r="AB31" i="3"/>
  <c r="AJ31" i="3"/>
  <c r="AH31" i="3"/>
  <c r="AE31" i="3"/>
  <c r="AK8" i="3"/>
  <c r="AJ8" i="3"/>
  <c r="AH8" i="3"/>
  <c r="AI8" i="3"/>
  <c r="AG8" i="3"/>
  <c r="AF8" i="3"/>
  <c r="AD8" i="3"/>
  <c r="AB8" i="3"/>
  <c r="AK92" i="3"/>
  <c r="AJ92" i="3"/>
  <c r="AI92" i="3"/>
  <c r="AH92" i="3"/>
  <c r="AG92" i="3"/>
  <c r="AF92" i="3"/>
  <c r="AE92" i="3"/>
  <c r="AD92" i="3"/>
  <c r="AB92" i="3"/>
  <c r="AI20" i="3"/>
  <c r="AG20" i="3"/>
  <c r="AB20" i="3"/>
  <c r="AF20" i="3"/>
  <c r="AD20" i="3"/>
  <c r="AK20" i="3"/>
  <c r="AJ20" i="3"/>
  <c r="AH20" i="3"/>
  <c r="AK85" i="3"/>
  <c r="AI85" i="3"/>
  <c r="AG85" i="3"/>
  <c r="AE85" i="3"/>
  <c r="AD85" i="3"/>
  <c r="AB85" i="3"/>
  <c r="AF17" i="3"/>
  <c r="AD17" i="3"/>
  <c r="AB17" i="3"/>
  <c r="AK17" i="3"/>
  <c r="AJ17" i="3"/>
  <c r="AI17" i="3"/>
  <c r="AC120" i="3"/>
  <c r="Y120" i="3"/>
  <c r="AA120" i="3" s="1"/>
  <c r="AH5" i="3"/>
  <c r="I9" i="4"/>
  <c r="M9" i="4" s="1"/>
  <c r="H9" i="4"/>
  <c r="L9" i="4" s="1"/>
  <c r="AD5" i="3"/>
  <c r="AC60" i="3"/>
  <c r="Y60" i="3"/>
  <c r="AA60" i="3" s="1"/>
  <c r="H13" i="4" s="1"/>
  <c r="L13" i="4" s="1"/>
  <c r="AJ72" i="3"/>
  <c r="AH72" i="3"/>
  <c r="AF72" i="3"/>
  <c r="AE72" i="3"/>
  <c r="AB72" i="3"/>
  <c r="AK113" i="3"/>
  <c r="AI113" i="3"/>
  <c r="AH113" i="3"/>
  <c r="AG113" i="3"/>
  <c r="AD113" i="3"/>
  <c r="AB113" i="3"/>
  <c r="AK143" i="3"/>
  <c r="AJ143" i="3"/>
  <c r="AI143" i="3"/>
  <c r="AG143" i="3"/>
  <c r="AF143" i="3"/>
  <c r="AE143" i="3"/>
  <c r="AD143" i="3"/>
  <c r="AB143" i="3"/>
  <c r="Y9" i="3"/>
  <c r="AA9" i="3" s="1"/>
  <c r="D15" i="5" s="1"/>
  <c r="E15" i="5" s="1"/>
  <c r="AK98" i="3"/>
  <c r="AJ98" i="3"/>
  <c r="AH98" i="3"/>
  <c r="AF98" i="3"/>
  <c r="AD98" i="3"/>
  <c r="AB98" i="3"/>
  <c r="AC62" i="3"/>
  <c r="Y62" i="3"/>
  <c r="AA62" i="3" s="1"/>
  <c r="AK80" i="3"/>
  <c r="AJ80" i="3"/>
  <c r="AI80" i="3"/>
  <c r="AH80" i="3"/>
  <c r="AF80" i="3"/>
  <c r="AD80" i="3"/>
  <c r="AB80" i="3"/>
  <c r="AK107" i="3"/>
  <c r="AJ107" i="3"/>
  <c r="AI107" i="3"/>
  <c r="AH107" i="3"/>
  <c r="AG107" i="3"/>
  <c r="AF107" i="3"/>
  <c r="AE107" i="3"/>
  <c r="AB107" i="3"/>
  <c r="AK13" i="3"/>
  <c r="AH17" i="3"/>
  <c r="AE22" i="3"/>
  <c r="AG33" i="3"/>
  <c r="AK68" i="3"/>
  <c r="AJ68" i="3"/>
  <c r="AI68" i="3"/>
  <c r="AH68" i="3"/>
  <c r="AF68" i="3"/>
  <c r="AD68" i="3"/>
  <c r="AB68" i="3"/>
  <c r="AJ133" i="3"/>
  <c r="AI133" i="3"/>
  <c r="AH133" i="3"/>
  <c r="AG133" i="3"/>
  <c r="AF133" i="3"/>
  <c r="AE133" i="3"/>
  <c r="AD133" i="3"/>
  <c r="AB133" i="3"/>
  <c r="AE50" i="3"/>
  <c r="AH85" i="3"/>
  <c r="AF50" i="3"/>
  <c r="AJ85" i="3"/>
  <c r="AC92" i="3"/>
  <c r="AK115" i="3"/>
  <c r="AJ115" i="3"/>
  <c r="AI115" i="3"/>
  <c r="AG115" i="3"/>
  <c r="AF115" i="3"/>
  <c r="AD115" i="3"/>
  <c r="AB115" i="3"/>
  <c r="AG17" i="3"/>
  <c r="AK39" i="3"/>
  <c r="AJ39" i="3"/>
  <c r="AG39" i="3"/>
  <c r="AE39" i="3"/>
  <c r="AD39" i="3"/>
  <c r="AB39" i="3"/>
  <c r="AB56" i="3"/>
  <c r="AJ56" i="3"/>
  <c r="AH56" i="3"/>
  <c r="AG56" i="3"/>
  <c r="AF56" i="3"/>
  <c r="AE56" i="3"/>
  <c r="AC74" i="3"/>
  <c r="Y74" i="3"/>
  <c r="AA74" i="3" s="1"/>
  <c r="AB125" i="3"/>
  <c r="AK125" i="3"/>
  <c r="AI125" i="3"/>
  <c r="AH125" i="3"/>
  <c r="AG125" i="3"/>
  <c r="AF125" i="3"/>
  <c r="AD125" i="3"/>
  <c r="AC18" i="3"/>
  <c r="Y18" i="3"/>
  <c r="AA18" i="3" s="1"/>
  <c r="AF22" i="3"/>
  <c r="AH39" i="3"/>
  <c r="AF45" i="3"/>
  <c r="AE45" i="3"/>
  <c r="AD45" i="3"/>
  <c r="AB45" i="3"/>
  <c r="AK45" i="3"/>
  <c r="AJ45" i="3"/>
  <c r="AI45" i="3"/>
  <c r="AH45" i="3"/>
  <c r="AK51" i="3"/>
  <c r="AJ51" i="3"/>
  <c r="AI51" i="3"/>
  <c r="AH51" i="3"/>
  <c r="AG51" i="3"/>
  <c r="AF51" i="3"/>
  <c r="AE51" i="3"/>
  <c r="AD56" i="3"/>
  <c r="AC100" i="3"/>
  <c r="Y100" i="3"/>
  <c r="AA100" i="3" s="1"/>
  <c r="AD107" i="3"/>
  <c r="AJ125" i="3"/>
  <c r="AK14" i="3"/>
  <c r="AJ14" i="3"/>
  <c r="AH22" i="3"/>
  <c r="AB28" i="3"/>
  <c r="AJ28" i="3"/>
  <c r="AH28" i="3"/>
  <c r="AG28" i="3"/>
  <c r="AF28" i="3"/>
  <c r="AE28" i="3"/>
  <c r="AC34" i="3"/>
  <c r="Y34" i="3"/>
  <c r="AA34" i="3" s="1"/>
  <c r="AI39" i="3"/>
  <c r="AB51" i="3"/>
  <c r="AI56" i="3"/>
  <c r="AE68" i="3"/>
  <c r="AG80" i="3"/>
  <c r="AK136" i="3"/>
  <c r="AJ136" i="3"/>
  <c r="AI136" i="3"/>
  <c r="AH136" i="3"/>
  <c r="AG136" i="3"/>
  <c r="AF136" i="3"/>
  <c r="AD136" i="3"/>
  <c r="AB136" i="3"/>
  <c r="AB13" i="3"/>
  <c r="AI13" i="3"/>
  <c r="AG13" i="3"/>
  <c r="AF13" i="3"/>
  <c r="AE13" i="3"/>
  <c r="AK67" i="3"/>
  <c r="AJ67" i="3"/>
  <c r="AG67" i="3"/>
  <c r="AE67" i="3"/>
  <c r="AD67" i="3"/>
  <c r="AB67" i="3"/>
  <c r="AC32" i="3"/>
  <c r="Y32" i="3"/>
  <c r="AA32" i="3" s="1"/>
  <c r="AK123" i="3"/>
  <c r="AJ123" i="3"/>
  <c r="AI123" i="3"/>
  <c r="AG123" i="3"/>
  <c r="AF123" i="3"/>
  <c r="AE123" i="3"/>
  <c r="AD123" i="3"/>
  <c r="AB123" i="3"/>
  <c r="Y44" i="3"/>
  <c r="AA44" i="3" s="1"/>
  <c r="AH123" i="3"/>
  <c r="AK33" i="3"/>
  <c r="AI33" i="3"/>
  <c r="AH33" i="3"/>
  <c r="AF33" i="3"/>
  <c r="AE33" i="3"/>
  <c r="AD33" i="3"/>
  <c r="AI98" i="3"/>
  <c r="AH13" i="3"/>
  <c r="AB33" i="3"/>
  <c r="AJ61" i="3"/>
  <c r="AK135" i="3"/>
  <c r="AJ135" i="3"/>
  <c r="AI135" i="3"/>
  <c r="AH135" i="3"/>
  <c r="AG135" i="3"/>
  <c r="AF135" i="3"/>
  <c r="AE135" i="3"/>
  <c r="AB135" i="3"/>
  <c r="AC93" i="3"/>
  <c r="Y93" i="3"/>
  <c r="AA93" i="3" s="1"/>
  <c r="AK56" i="3"/>
  <c r="AK63" i="3"/>
  <c r="AJ63" i="3"/>
  <c r="AH63" i="3"/>
  <c r="AG63" i="3"/>
  <c r="AF63" i="3"/>
  <c r="AC81" i="3"/>
  <c r="Y81" i="3"/>
  <c r="AA81" i="3" s="1"/>
  <c r="AK87" i="3"/>
  <c r="AI87" i="3"/>
  <c r="AG87" i="3"/>
  <c r="AF87" i="3"/>
  <c r="AD87" i="3"/>
  <c r="AB87" i="3"/>
  <c r="AK108" i="3"/>
  <c r="AJ108" i="3"/>
  <c r="AI108" i="3"/>
  <c r="AH108" i="3"/>
  <c r="AF108" i="3"/>
  <c r="AE108" i="3"/>
  <c r="AD108" i="3"/>
  <c r="AB108" i="3"/>
  <c r="AK126" i="3"/>
  <c r="AJ126" i="3"/>
  <c r="AI126" i="3"/>
  <c r="AH126" i="3"/>
  <c r="AG126" i="3"/>
  <c r="AF126" i="3"/>
  <c r="AD126" i="3"/>
  <c r="AB126" i="3"/>
  <c r="AK40" i="3"/>
  <c r="AJ40" i="3"/>
  <c r="AI40" i="3"/>
  <c r="AH40" i="3"/>
  <c r="AF40" i="3"/>
  <c r="AD40" i="3"/>
  <c r="AB40" i="3"/>
  <c r="AC46" i="3"/>
  <c r="Y46" i="3"/>
  <c r="AA46" i="3" s="1"/>
  <c r="AD51" i="3"/>
  <c r="AK57" i="3"/>
  <c r="AI57" i="3"/>
  <c r="AG57" i="3"/>
  <c r="AE57" i="3"/>
  <c r="AD57" i="3"/>
  <c r="AB57" i="3"/>
  <c r="AB63" i="3"/>
  <c r="AB69" i="3"/>
  <c r="AI69" i="3"/>
  <c r="AG69" i="3"/>
  <c r="AF69" i="3"/>
  <c r="AE69" i="3"/>
  <c r="AD69" i="3"/>
  <c r="AK94" i="3"/>
  <c r="AJ94" i="3"/>
  <c r="AI94" i="3"/>
  <c r="AH94" i="3"/>
  <c r="AG94" i="3"/>
  <c r="AF94" i="3"/>
  <c r="AD94" i="3"/>
  <c r="AB94" i="3"/>
  <c r="AK117" i="3"/>
  <c r="AI117" i="3"/>
  <c r="AH117" i="3"/>
  <c r="AG117" i="3"/>
  <c r="AF117" i="3"/>
  <c r="AE117" i="3"/>
  <c r="AD117" i="3"/>
  <c r="AE126" i="3"/>
  <c r="AB91" i="3"/>
  <c r="AD91" i="3"/>
  <c r="AF85" i="3"/>
  <c r="AK35" i="3"/>
  <c r="AJ35" i="3"/>
  <c r="AH35" i="3"/>
  <c r="AG35" i="3"/>
  <c r="AF35" i="3"/>
  <c r="AF101" i="3"/>
  <c r="AE101" i="3"/>
  <c r="AD101" i="3"/>
  <c r="AB101" i="3"/>
  <c r="AK101" i="3"/>
  <c r="AJ101" i="3"/>
  <c r="AI101" i="3"/>
  <c r="AH101" i="3"/>
  <c r="AD23" i="3"/>
  <c r="AK29" i="3"/>
  <c r="AI29" i="3"/>
  <c r="AG29" i="3"/>
  <c r="AE29" i="3"/>
  <c r="AD29" i="3"/>
  <c r="AB29" i="3"/>
  <c r="AB35" i="3"/>
  <c r="AG40" i="3"/>
  <c r="AH57" i="3"/>
  <c r="AI63" i="3"/>
  <c r="AJ69" i="3"/>
  <c r="AK82" i="3"/>
  <c r="AJ82" i="3"/>
  <c r="AH82" i="3"/>
  <c r="AF82" i="3"/>
  <c r="AE82" i="3"/>
  <c r="AD82" i="3"/>
  <c r="AJ87" i="3"/>
  <c r="AJ117" i="3"/>
  <c r="AB105" i="3"/>
  <c r="AE98" i="3"/>
  <c r="AG98" i="3"/>
  <c r="AD13" i="3"/>
  <c r="AC29" i="3"/>
  <c r="AB41" i="3"/>
  <c r="AI41" i="3"/>
  <c r="AG41" i="3"/>
  <c r="AF41" i="3"/>
  <c r="AE41" i="3"/>
  <c r="AD41" i="3"/>
  <c r="AE52" i="3"/>
  <c r="AC88" i="3"/>
  <c r="Y88" i="3"/>
  <c r="AA88" i="3" s="1"/>
  <c r="AG101" i="3"/>
  <c r="AK38" i="3"/>
  <c r="AJ38" i="3"/>
  <c r="AI38" i="3"/>
  <c r="AH38" i="3"/>
  <c r="AG38" i="3"/>
  <c r="AF38" i="3"/>
  <c r="AD38" i="3"/>
  <c r="AB38" i="3"/>
  <c r="AK110" i="3"/>
  <c r="AJ110" i="3"/>
  <c r="AH110" i="3"/>
  <c r="AG110" i="3"/>
  <c r="AF110" i="3"/>
  <c r="AE110" i="3"/>
  <c r="AD110" i="3"/>
  <c r="AK133" i="3"/>
  <c r="AK124" i="3"/>
  <c r="AJ124" i="3"/>
  <c r="AI124" i="3"/>
  <c r="AH124" i="3"/>
  <c r="AG124" i="3"/>
  <c r="AF124" i="3"/>
  <c r="AE124" i="3"/>
  <c r="AD124" i="3"/>
  <c r="AB124" i="3"/>
  <c r="AJ7" i="3"/>
  <c r="AF7" i="3"/>
  <c r="AK52" i="3"/>
  <c r="AJ52" i="3"/>
  <c r="AI52" i="3"/>
  <c r="AF52" i="3"/>
  <c r="AD52" i="3"/>
  <c r="AB52" i="3"/>
  <c r="AK64" i="3"/>
  <c r="AJ64" i="3"/>
  <c r="AH64" i="3"/>
  <c r="AI64" i="3"/>
  <c r="AG64" i="3"/>
  <c r="AF64" i="3"/>
  <c r="AE64" i="3"/>
  <c r="AD64" i="3"/>
  <c r="AB64" i="3"/>
  <c r="AC102" i="3"/>
  <c r="Y102" i="3"/>
  <c r="AA102" i="3" s="1"/>
  <c r="AH29" i="3"/>
  <c r="AE35" i="3"/>
  <c r="AH41" i="3"/>
  <c r="AH52" i="3"/>
  <c r="AC64" i="3"/>
  <c r="AK70" i="3"/>
  <c r="AJ70" i="3"/>
  <c r="AH70" i="3"/>
  <c r="AF70" i="3"/>
  <c r="AD70" i="3"/>
  <c r="AG82" i="3"/>
  <c r="AB110" i="3"/>
  <c r="AJ105" i="3"/>
  <c r="AI105" i="3"/>
  <c r="AH105" i="3"/>
  <c r="AG105" i="3"/>
  <c r="AF105" i="3"/>
  <c r="AE105" i="3"/>
  <c r="AD105" i="3"/>
  <c r="AK79" i="3"/>
  <c r="AJ79" i="3"/>
  <c r="AI79" i="3"/>
  <c r="AH79" i="3"/>
  <c r="AG79" i="3"/>
  <c r="AF79" i="3"/>
  <c r="AE79" i="3"/>
  <c r="AJ21" i="3"/>
  <c r="AI21" i="3"/>
  <c r="AG21" i="3"/>
  <c r="AH21" i="3"/>
  <c r="AF21" i="3"/>
  <c r="AD21" i="3"/>
  <c r="AI67" i="3"/>
  <c r="AK23" i="3"/>
  <c r="AJ23" i="3"/>
  <c r="AI23" i="3"/>
  <c r="AH23" i="3"/>
  <c r="AG23" i="3"/>
  <c r="AF23" i="3"/>
  <c r="AH75" i="3"/>
  <c r="AG75" i="3"/>
  <c r="AF75" i="3"/>
  <c r="AE75" i="3"/>
  <c r="AD75" i="3"/>
  <c r="AB75" i="3"/>
  <c r="AK75" i="3"/>
  <c r="AJ75" i="3"/>
  <c r="AK138" i="3"/>
  <c r="AJ138" i="3"/>
  <c r="AI138" i="3"/>
  <c r="AH138" i="3"/>
  <c r="AG138" i="3"/>
  <c r="AF138" i="3"/>
  <c r="AE138" i="3"/>
  <c r="AD138" i="3"/>
  <c r="AB7" i="3"/>
  <c r="AD7" i="3"/>
  <c r="AJ11" i="3"/>
  <c r="AG11" i="3"/>
  <c r="AD11" i="3"/>
  <c r="AK24" i="3"/>
  <c r="AI24" i="3"/>
  <c r="AF24" i="3"/>
  <c r="AD24" i="3"/>
  <c r="AB24" i="3"/>
  <c r="AD35" i="3"/>
  <c r="AJ76" i="3"/>
  <c r="AI76" i="3"/>
  <c r="AG76" i="3"/>
  <c r="AF76" i="3"/>
  <c r="AE76" i="3"/>
  <c r="AD76" i="3"/>
  <c r="AB76" i="3"/>
  <c r="AK95" i="3"/>
  <c r="AJ95" i="3"/>
  <c r="AI95" i="3"/>
  <c r="AG95" i="3"/>
  <c r="AE95" i="3"/>
  <c r="AD95" i="3"/>
  <c r="AB95" i="3"/>
  <c r="AG7" i="3"/>
  <c r="AF11" i="3"/>
  <c r="AH19" i="3"/>
  <c r="AG19" i="3"/>
  <c r="AF19" i="3"/>
  <c r="AD19" i="3"/>
  <c r="AB19" i="3"/>
  <c r="AK19" i="3"/>
  <c r="AG24" i="3"/>
  <c r="AJ29" i="3"/>
  <c r="AI35" i="3"/>
  <c r="AJ41" i="3"/>
  <c r="AH47" i="3"/>
  <c r="AG47" i="3"/>
  <c r="AF47" i="3"/>
  <c r="AE47" i="3"/>
  <c r="AD47" i="3"/>
  <c r="AB47" i="3"/>
  <c r="AK47" i="3"/>
  <c r="AJ47" i="3"/>
  <c r="AC53" i="3"/>
  <c r="Y53" i="3"/>
  <c r="AA53" i="3" s="1"/>
  <c r="I6" i="4" s="1"/>
  <c r="M6" i="4" s="1"/>
  <c r="AC65" i="3"/>
  <c r="Y65" i="3"/>
  <c r="AA65" i="3" s="1"/>
  <c r="AB70" i="3"/>
  <c r="AH76" i="3"/>
  <c r="AI82" i="3"/>
  <c r="AK89" i="3"/>
  <c r="AI89" i="3"/>
  <c r="AH89" i="3"/>
  <c r="AF89" i="3"/>
  <c r="AE89" i="3"/>
  <c r="AD89" i="3"/>
  <c r="AH95" i="3"/>
  <c r="AI110" i="3"/>
  <c r="AK119" i="3"/>
  <c r="AJ119" i="3"/>
  <c r="AI119" i="3"/>
  <c r="AH119" i="3"/>
  <c r="AG119" i="3"/>
  <c r="AF119" i="3"/>
  <c r="AE119" i="3"/>
  <c r="AB119" i="3"/>
  <c r="AF129" i="3"/>
  <c r="AE129" i="3"/>
  <c r="AD129" i="3"/>
  <c r="AB129" i="3"/>
  <c r="AK129" i="3"/>
  <c r="AJ129" i="3"/>
  <c r="AI129" i="3"/>
  <c r="AH129" i="3"/>
  <c r="AF73" i="3"/>
  <c r="AE73" i="3"/>
  <c r="AD73" i="3"/>
  <c r="AB73" i="3"/>
  <c r="AK73" i="3"/>
  <c r="AJ73" i="3"/>
  <c r="AI73" i="3"/>
  <c r="AH73" i="3"/>
  <c r="AD79" i="3"/>
  <c r="AK22" i="3"/>
  <c r="AI22" i="3"/>
  <c r="AG22" i="3"/>
  <c r="AD22" i="3"/>
  <c r="AB22" i="3"/>
  <c r="AH7" i="3"/>
  <c r="AB140" i="3"/>
  <c r="AK140" i="3"/>
  <c r="AJ140" i="3"/>
  <c r="AI140" i="3"/>
  <c r="AH140" i="3"/>
  <c r="AG140" i="3"/>
  <c r="AF140" i="3"/>
  <c r="AE140" i="3"/>
  <c r="AB21" i="3"/>
  <c r="AK36" i="3"/>
  <c r="AJ36" i="3"/>
  <c r="AH36" i="3"/>
  <c r="AI36" i="3"/>
  <c r="AG36" i="3"/>
  <c r="AF36" i="3"/>
  <c r="AE36" i="3"/>
  <c r="AD36" i="3"/>
  <c r="AB36" i="3"/>
  <c r="AC121" i="3"/>
  <c r="Y121" i="3"/>
  <c r="AA121" i="3" s="1"/>
  <c r="Y16" i="3"/>
  <c r="AA16" i="3" s="1"/>
  <c r="AC37" i="3"/>
  <c r="Y37" i="3"/>
  <c r="AA37" i="3" s="1"/>
  <c r="AB42" i="3"/>
  <c r="AK54" i="3"/>
  <c r="AH54" i="3"/>
  <c r="AF54" i="3"/>
  <c r="AE54" i="3"/>
  <c r="AD54" i="3"/>
  <c r="AB77" i="3"/>
  <c r="AE96" i="3"/>
  <c r="AJ49" i="3"/>
  <c r="AI49" i="3"/>
  <c r="AH49" i="3"/>
  <c r="AG49" i="3"/>
  <c r="AF49" i="3"/>
  <c r="AE49" i="3"/>
  <c r="AD49" i="3"/>
  <c r="I13" i="4"/>
  <c r="M13" i="4" s="1"/>
  <c r="AK61" i="3"/>
  <c r="AI61" i="3"/>
  <c r="AH61" i="3"/>
  <c r="AF61" i="3"/>
  <c r="AE61" i="3"/>
  <c r="AD61" i="3"/>
  <c r="AK106" i="3"/>
  <c r="AJ106" i="3"/>
  <c r="AI106" i="3"/>
  <c r="AH106" i="3"/>
  <c r="AG106" i="3"/>
  <c r="AF106" i="3"/>
  <c r="AD106" i="3"/>
  <c r="AB106" i="3"/>
  <c r="AG61" i="3"/>
  <c r="AK91" i="3"/>
  <c r="AJ91" i="3"/>
  <c r="AH91" i="3"/>
  <c r="AG91" i="3"/>
  <c r="AF91" i="3"/>
  <c r="AE91" i="3"/>
  <c r="AK50" i="3"/>
  <c r="AI50" i="3"/>
  <c r="AH50" i="3"/>
  <c r="AG50" i="3"/>
  <c r="AD50" i="3"/>
  <c r="AB50" i="3"/>
  <c r="AF67" i="3"/>
  <c r="AK21" i="3"/>
  <c r="AH103" i="3"/>
  <c r="AG103" i="3"/>
  <c r="AF103" i="3"/>
  <c r="AE103" i="3"/>
  <c r="AD103" i="3"/>
  <c r="AB103" i="3"/>
  <c r="AK103" i="3"/>
  <c r="AJ103" i="3"/>
  <c r="AK12" i="3"/>
  <c r="AJ12" i="3"/>
  <c r="AI12" i="3"/>
  <c r="AH12" i="3"/>
  <c r="AC90" i="3"/>
  <c r="Y90" i="3"/>
  <c r="AA90" i="3" s="1"/>
  <c r="I8" i="4" s="1"/>
  <c r="M8" i="4" s="1"/>
  <c r="AJ104" i="3"/>
  <c r="AI104" i="3"/>
  <c r="AH104" i="3"/>
  <c r="AG104" i="3"/>
  <c r="AF104" i="3"/>
  <c r="AE104" i="3"/>
  <c r="AD104" i="3"/>
  <c r="AB104" i="3"/>
  <c r="AB112" i="3"/>
  <c r="AJ112" i="3"/>
  <c r="AI112" i="3"/>
  <c r="AH112" i="3"/>
  <c r="AG112" i="3"/>
  <c r="AF112" i="3"/>
  <c r="AE112" i="3"/>
  <c r="AB12" i="3"/>
  <c r="AK78" i="3"/>
  <c r="AI78" i="3"/>
  <c r="AH78" i="3"/>
  <c r="AG78" i="3"/>
  <c r="AF78" i="3"/>
  <c r="AD78" i="3"/>
  <c r="AB78" i="3"/>
  <c r="AB97" i="3"/>
  <c r="AK97" i="3"/>
  <c r="AI97" i="3"/>
  <c r="AG97" i="3"/>
  <c r="AF97" i="3"/>
  <c r="AE97" i="3"/>
  <c r="AD97" i="3"/>
  <c r="AD112" i="3"/>
  <c r="AH131" i="3"/>
  <c r="AG131" i="3"/>
  <c r="AF131" i="3"/>
  <c r="AE131" i="3"/>
  <c r="AD131" i="3"/>
  <c r="AB131" i="3"/>
  <c r="AK131" i="3"/>
  <c r="AJ131" i="3"/>
  <c r="AK49" i="3"/>
  <c r="AK96" i="3"/>
  <c r="AJ96" i="3"/>
  <c r="AI96" i="3"/>
  <c r="AH96" i="3"/>
  <c r="AF96" i="3"/>
  <c r="AD96" i="3"/>
  <c r="AB96" i="3"/>
  <c r="AC25" i="3"/>
  <c r="Y25" i="3"/>
  <c r="AA25" i="3" s="1"/>
  <c r="AK42" i="3"/>
  <c r="AJ42" i="3"/>
  <c r="AH42" i="3"/>
  <c r="AF42" i="3"/>
  <c r="AD42" i="3"/>
  <c r="AJ77" i="3"/>
  <c r="AI77" i="3"/>
  <c r="AH77" i="3"/>
  <c r="AG77" i="3"/>
  <c r="AF77" i="3"/>
  <c r="AE77" i="3"/>
  <c r="AD77" i="3"/>
  <c r="AE42" i="3"/>
  <c r="AK26" i="3"/>
  <c r="AH26" i="3"/>
  <c r="AF26" i="3"/>
  <c r="AD26" i="3"/>
  <c r="AI42" i="3"/>
  <c r="AK66" i="3"/>
  <c r="AJ66" i="3"/>
  <c r="AI66" i="3"/>
  <c r="AH66" i="3"/>
  <c r="AG66" i="3"/>
  <c r="AF66" i="3"/>
  <c r="AD66" i="3"/>
  <c r="AB66" i="3"/>
  <c r="AB84" i="3"/>
  <c r="AJ84" i="3"/>
  <c r="AH84" i="3"/>
  <c r="AG84" i="3"/>
  <c r="AF84" i="3"/>
  <c r="AE84" i="3"/>
  <c r="AK104" i="3"/>
  <c r="AK112" i="3"/>
  <c r="AK122" i="3"/>
  <c r="AJ122" i="3"/>
  <c r="AI122" i="3"/>
  <c r="AH122" i="3"/>
  <c r="AG122" i="3"/>
  <c r="AF122" i="3"/>
  <c r="AE122" i="3"/>
  <c r="AD122" i="3"/>
  <c r="AB122" i="3"/>
  <c r="AC110" i="3"/>
  <c r="AC138" i="3"/>
  <c r="D46" i="2"/>
  <c r="AE11" i="3" s="1"/>
  <c r="Y134" i="3"/>
  <c r="AA134" i="3" s="1"/>
  <c r="Y132" i="3"/>
  <c r="AA132" i="3" s="1"/>
  <c r="Y145" i="3"/>
  <c r="AA145" i="3" s="1"/>
  <c r="Y130" i="3"/>
  <c r="AA130" i="3" s="1"/>
  <c r="Y128" i="3"/>
  <c r="AA128" i="3" s="1"/>
  <c r="Y141" i="3"/>
  <c r="AA141" i="3" s="1"/>
  <c r="Y27" i="3"/>
  <c r="AA27" i="3" s="1"/>
  <c r="Y55" i="3"/>
  <c r="AA55" i="3" s="1"/>
  <c r="I11" i="4" s="1"/>
  <c r="M11" i="4" s="1"/>
  <c r="Y83" i="3"/>
  <c r="AA83" i="3" s="1"/>
  <c r="Y111" i="3"/>
  <c r="AA111" i="3" s="1"/>
  <c r="Y139" i="3"/>
  <c r="AA139" i="3" s="1"/>
  <c r="Y109" i="3"/>
  <c r="AA109" i="3" s="1"/>
  <c r="Y137" i="3"/>
  <c r="AA137" i="3" s="1"/>
  <c r="Y118" i="3"/>
  <c r="AA118" i="3" s="1"/>
  <c r="Y146" i="3"/>
  <c r="AA146" i="3" s="1"/>
  <c r="Y116" i="3"/>
  <c r="AA116" i="3" s="1"/>
  <c r="Y144" i="3"/>
  <c r="AA144" i="3" s="1"/>
  <c r="D16" i="4"/>
  <c r="Y30" i="3"/>
  <c r="AA30" i="3" s="1"/>
  <c r="Y58" i="3"/>
  <c r="AA58" i="3" s="1"/>
  <c r="Y86" i="3"/>
  <c r="AA86" i="3" s="1"/>
  <c r="F11" i="4" s="1"/>
  <c r="Y114" i="3"/>
  <c r="AA114" i="3" s="1"/>
  <c r="Y142" i="3"/>
  <c r="AA142" i="3" s="1"/>
  <c r="Y15" i="3"/>
  <c r="AA15" i="3" s="1"/>
  <c r="H5" i="5" s="1"/>
  <c r="Y43" i="3"/>
  <c r="AA43" i="3" s="1"/>
  <c r="F12" i="4" s="1"/>
  <c r="Y71" i="3"/>
  <c r="AA71" i="3" s="1"/>
  <c r="Y99" i="3"/>
  <c r="AA99" i="3" s="1"/>
  <c r="Y127" i="3"/>
  <c r="AA127" i="3" s="1"/>
  <c r="D45" i="2"/>
  <c r="P12" i="4" l="1"/>
  <c r="O12" i="4"/>
  <c r="N12" i="4"/>
  <c r="J12" i="4"/>
  <c r="P11" i="4"/>
  <c r="O11" i="4"/>
  <c r="N11" i="4"/>
  <c r="J11" i="4"/>
  <c r="AD127" i="3"/>
  <c r="AB127" i="3"/>
  <c r="AK127" i="3"/>
  <c r="AJ127" i="3"/>
  <c r="AI127" i="3"/>
  <c r="AH127" i="3"/>
  <c r="AG127" i="3"/>
  <c r="AF127" i="3"/>
  <c r="AE127" i="3"/>
  <c r="J7" i="5"/>
  <c r="AE66" i="3"/>
  <c r="AJ44" i="3"/>
  <c r="AH44" i="3"/>
  <c r="AF44" i="3"/>
  <c r="AE44" i="3"/>
  <c r="AB44" i="3"/>
  <c r="AG44" i="3"/>
  <c r="AI44" i="3"/>
  <c r="AK44" i="3"/>
  <c r="AD44" i="3"/>
  <c r="AD15" i="3"/>
  <c r="AB15" i="3"/>
  <c r="AK15" i="3"/>
  <c r="AI15" i="3"/>
  <c r="AH15" i="3"/>
  <c r="AG15" i="3"/>
  <c r="AF15" i="3"/>
  <c r="AE15" i="3"/>
  <c r="AJ15" i="3"/>
  <c r="AG60" i="3"/>
  <c r="AF60" i="3"/>
  <c r="AE60" i="3"/>
  <c r="AD60" i="3"/>
  <c r="AB60" i="3"/>
  <c r="AK60" i="3"/>
  <c r="AJ60" i="3"/>
  <c r="AI60" i="3"/>
  <c r="AH60" i="3"/>
  <c r="G6" i="5"/>
  <c r="AE58" i="3"/>
  <c r="AD58" i="3"/>
  <c r="AB58" i="3"/>
  <c r="AJ58" i="3"/>
  <c r="AI58" i="3"/>
  <c r="AH58" i="3"/>
  <c r="AG58" i="3"/>
  <c r="AK58" i="3"/>
  <c r="AF58" i="3"/>
  <c r="AG32" i="3"/>
  <c r="AF32" i="3"/>
  <c r="AD32" i="3"/>
  <c r="AE32" i="3"/>
  <c r="AB32" i="3"/>
  <c r="AK32" i="3"/>
  <c r="AJ32" i="3"/>
  <c r="AI32" i="3"/>
  <c r="AH32" i="3"/>
  <c r="AI34" i="3"/>
  <c r="AH34" i="3"/>
  <c r="AG34" i="3"/>
  <c r="AF34" i="3"/>
  <c r="AE34" i="3"/>
  <c r="AD34" i="3"/>
  <c r="AB34" i="3"/>
  <c r="I7" i="4"/>
  <c r="M7" i="4" s="1"/>
  <c r="H7" i="4"/>
  <c r="L7" i="4" s="1"/>
  <c r="G7" i="4"/>
  <c r="K7" i="4" s="1"/>
  <c r="F7" i="4"/>
  <c r="AK34" i="3"/>
  <c r="AJ34" i="3"/>
  <c r="H6" i="5"/>
  <c r="H9" i="5" s="1"/>
  <c r="AE20" i="3"/>
  <c r="AE86" i="3"/>
  <c r="AD86" i="3"/>
  <c r="AB86" i="3"/>
  <c r="AJ86" i="3"/>
  <c r="AI86" i="3"/>
  <c r="AH86" i="3"/>
  <c r="AG86" i="3"/>
  <c r="AK86" i="3"/>
  <c r="AF86" i="3"/>
  <c r="G11" i="4"/>
  <c r="K11" i="4" s="1"/>
  <c r="F6" i="2"/>
  <c r="E14" i="4"/>
  <c r="E12" i="4"/>
  <c r="E10" i="4"/>
  <c r="E8" i="4"/>
  <c r="E6" i="4"/>
  <c r="E15" i="4"/>
  <c r="E13" i="4"/>
  <c r="E11" i="4"/>
  <c r="E9" i="4"/>
  <c r="E7" i="4"/>
  <c r="E5" i="4"/>
  <c r="E16" i="4" s="1"/>
  <c r="F6" i="4"/>
  <c r="H11" i="4"/>
  <c r="L11" i="4" s="1"/>
  <c r="G6" i="2"/>
  <c r="D7" i="5"/>
  <c r="F10" i="4"/>
  <c r="AG144" i="3"/>
  <c r="AF144" i="3"/>
  <c r="AE144" i="3"/>
  <c r="AD144" i="3"/>
  <c r="AB144" i="3"/>
  <c r="AK144" i="3"/>
  <c r="AJ144" i="3"/>
  <c r="AI144" i="3"/>
  <c r="AH144" i="3"/>
  <c r="AE23" i="3"/>
  <c r="G6" i="4"/>
  <c r="K6" i="4" s="1"/>
  <c r="F7" i="2"/>
  <c r="E7" i="5"/>
  <c r="G10" i="4"/>
  <c r="K10" i="4" s="1"/>
  <c r="AG116" i="3"/>
  <c r="AF116" i="3"/>
  <c r="AE116" i="3"/>
  <c r="AD116" i="3"/>
  <c r="AB116" i="3"/>
  <c r="AK116" i="3"/>
  <c r="AJ116" i="3"/>
  <c r="AI116" i="3"/>
  <c r="AH116" i="3"/>
  <c r="H6" i="4"/>
  <c r="L6" i="4" s="1"/>
  <c r="F5" i="4"/>
  <c r="D8" i="5"/>
  <c r="G7" i="5"/>
  <c r="H10" i="4"/>
  <c r="L10" i="4" s="1"/>
  <c r="AD99" i="3"/>
  <c r="AB99" i="3"/>
  <c r="AK99" i="3"/>
  <c r="AI99" i="3"/>
  <c r="AH99" i="3"/>
  <c r="AG99" i="3"/>
  <c r="AF99" i="3"/>
  <c r="AE99" i="3"/>
  <c r="AJ99" i="3"/>
  <c r="AD71" i="3"/>
  <c r="AB71" i="3"/>
  <c r="AK71" i="3"/>
  <c r="AI71" i="3"/>
  <c r="AH71" i="3"/>
  <c r="AG71" i="3"/>
  <c r="AF71" i="3"/>
  <c r="AJ71" i="3"/>
  <c r="AE71" i="3"/>
  <c r="AK93" i="3"/>
  <c r="AJ93" i="3"/>
  <c r="AI93" i="3"/>
  <c r="AH93" i="3"/>
  <c r="AG93" i="3"/>
  <c r="AE93" i="3"/>
  <c r="AB93" i="3"/>
  <c r="AF93" i="3"/>
  <c r="AD93" i="3"/>
  <c r="AE30" i="3"/>
  <c r="AD30" i="3"/>
  <c r="I14" i="4"/>
  <c r="M14" i="4" s="1"/>
  <c r="AB30" i="3"/>
  <c r="H14" i="4"/>
  <c r="L14" i="4" s="1"/>
  <c r="G14" i="4"/>
  <c r="K14" i="4" s="1"/>
  <c r="F14" i="4"/>
  <c r="AJ30" i="3"/>
  <c r="AI30" i="3"/>
  <c r="AH30" i="3"/>
  <c r="AG30" i="3"/>
  <c r="AK30" i="3"/>
  <c r="AF30" i="3"/>
  <c r="AI146" i="3"/>
  <c r="AH146" i="3"/>
  <c r="AG146" i="3"/>
  <c r="AF146" i="3"/>
  <c r="AE146" i="3"/>
  <c r="AD146" i="3"/>
  <c r="AB146" i="3"/>
  <c r="AK146" i="3"/>
  <c r="AJ146" i="3"/>
  <c r="AK134" i="3"/>
  <c r="AJ134" i="3"/>
  <c r="AI134" i="3"/>
  <c r="AH134" i="3"/>
  <c r="AG134" i="3"/>
  <c r="AF134" i="3"/>
  <c r="AE134" i="3"/>
  <c r="AD134" i="3"/>
  <c r="AB134" i="3"/>
  <c r="G5" i="4"/>
  <c r="G7" i="2"/>
  <c r="I10" i="4"/>
  <c r="M10" i="4" s="1"/>
  <c r="I6" i="5"/>
  <c r="AI118" i="3"/>
  <c r="AH118" i="3"/>
  <c r="AG118" i="3"/>
  <c r="AF118" i="3"/>
  <c r="AE118" i="3"/>
  <c r="AD118" i="3"/>
  <c r="AB118" i="3"/>
  <c r="AK118" i="3"/>
  <c r="AJ118" i="3"/>
  <c r="AG88" i="3"/>
  <c r="AF88" i="3"/>
  <c r="AE88" i="3"/>
  <c r="AD88" i="3"/>
  <c r="AB88" i="3"/>
  <c r="AK88" i="3"/>
  <c r="AJ88" i="3"/>
  <c r="AI88" i="3"/>
  <c r="AH88" i="3"/>
  <c r="H5" i="4"/>
  <c r="AH9" i="3"/>
  <c r="AE9" i="3"/>
  <c r="AB9" i="3"/>
  <c r="AI9" i="3"/>
  <c r="AG9" i="3"/>
  <c r="AD9" i="3"/>
  <c r="AJ9" i="3"/>
  <c r="AK9" i="3"/>
  <c r="AF9" i="3"/>
  <c r="D5" i="5"/>
  <c r="H7" i="5"/>
  <c r="E6" i="5"/>
  <c r="E8" i="5"/>
  <c r="AK120" i="3"/>
  <c r="AJ120" i="3"/>
  <c r="AI120" i="3"/>
  <c r="AH120" i="3"/>
  <c r="AG120" i="3"/>
  <c r="AF120" i="3"/>
  <c r="AE120" i="3"/>
  <c r="AD120" i="3"/>
  <c r="AB120" i="3"/>
  <c r="F15" i="4"/>
  <c r="I5" i="4"/>
  <c r="G15" i="4"/>
  <c r="K15" i="4" s="1"/>
  <c r="AK111" i="3"/>
  <c r="AJ111" i="3"/>
  <c r="AI111" i="3"/>
  <c r="AG111" i="3"/>
  <c r="AF111" i="3"/>
  <c r="AE111" i="3"/>
  <c r="AB111" i="3"/>
  <c r="AH111" i="3"/>
  <c r="AD111" i="3"/>
  <c r="AE16" i="3"/>
  <c r="AF16" i="3"/>
  <c r="AB16" i="3"/>
  <c r="AH16" i="3"/>
  <c r="AD16" i="3"/>
  <c r="AJ16" i="3"/>
  <c r="AK16" i="3"/>
  <c r="AI16" i="3"/>
  <c r="AG16" i="3"/>
  <c r="AG18" i="3"/>
  <c r="AE18" i="3"/>
  <c r="AF18" i="3"/>
  <c r="AK18" i="3"/>
  <c r="AH18" i="3"/>
  <c r="AJ18" i="3"/>
  <c r="AI18" i="3"/>
  <c r="AD18" i="3"/>
  <c r="AB18" i="3"/>
  <c r="G8" i="2"/>
  <c r="I15" i="4"/>
  <c r="M15" i="4" s="1"/>
  <c r="AJ132" i="3"/>
  <c r="AI132" i="3"/>
  <c r="AH132" i="3"/>
  <c r="AG132" i="3"/>
  <c r="AF132" i="3"/>
  <c r="AE132" i="3"/>
  <c r="AD132" i="3"/>
  <c r="AB132" i="3"/>
  <c r="AK132" i="3"/>
  <c r="AE142" i="3"/>
  <c r="AD142" i="3"/>
  <c r="AB142" i="3"/>
  <c r="AK142" i="3"/>
  <c r="AJ142" i="3"/>
  <c r="AI142" i="3"/>
  <c r="AH142" i="3"/>
  <c r="AG142" i="3"/>
  <c r="AF142" i="3"/>
  <c r="D6" i="5"/>
  <c r="AI62" i="3"/>
  <c r="AH62" i="3"/>
  <c r="AG62" i="3"/>
  <c r="AF62" i="3"/>
  <c r="AE62" i="3"/>
  <c r="AD62" i="3"/>
  <c r="AB62" i="3"/>
  <c r="AK62" i="3"/>
  <c r="AJ62" i="3"/>
  <c r="AK109" i="3"/>
  <c r="AJ109" i="3"/>
  <c r="AI109" i="3"/>
  <c r="AH109" i="3"/>
  <c r="AG109" i="3"/>
  <c r="AE109" i="3"/>
  <c r="AD109" i="3"/>
  <c r="AF109" i="3"/>
  <c r="AB109" i="3"/>
  <c r="AK139" i="3"/>
  <c r="AJ139" i="3"/>
  <c r="AI139" i="3"/>
  <c r="AG139" i="3"/>
  <c r="AF139" i="3"/>
  <c r="AE139" i="3"/>
  <c r="AB139" i="3"/>
  <c r="AH139" i="3"/>
  <c r="AD139" i="3"/>
  <c r="AE115" i="3"/>
  <c r="H15" i="4"/>
  <c r="L15" i="4" s="1"/>
  <c r="AK83" i="3"/>
  <c r="AJ83" i="3"/>
  <c r="AI83" i="3"/>
  <c r="AG83" i="3"/>
  <c r="AE83" i="3"/>
  <c r="AB83" i="3"/>
  <c r="AD83" i="3"/>
  <c r="AH83" i="3"/>
  <c r="AF83" i="3"/>
  <c r="J8" i="5"/>
  <c r="AE12" i="3"/>
  <c r="AE14" i="3"/>
  <c r="G8" i="4"/>
  <c r="K8" i="4" s="1"/>
  <c r="AK121" i="3"/>
  <c r="AJ121" i="3"/>
  <c r="AI121" i="3"/>
  <c r="AH121" i="3"/>
  <c r="AG121" i="3"/>
  <c r="AE121" i="3"/>
  <c r="AD121" i="3"/>
  <c r="AB121" i="3"/>
  <c r="AF121" i="3"/>
  <c r="AE19" i="3"/>
  <c r="G8" i="5"/>
  <c r="AJ74" i="3"/>
  <c r="AH74" i="3"/>
  <c r="AG74" i="3"/>
  <c r="AE74" i="3"/>
  <c r="AD74" i="3"/>
  <c r="AK74" i="3"/>
  <c r="AI74" i="3"/>
  <c r="AF74" i="3"/>
  <c r="AB74" i="3"/>
  <c r="AK55" i="3"/>
  <c r="AJ55" i="3"/>
  <c r="AI55" i="3"/>
  <c r="AG55" i="3"/>
  <c r="AE55" i="3"/>
  <c r="AB55" i="3"/>
  <c r="AF55" i="3"/>
  <c r="AD55" i="3"/>
  <c r="AH55" i="3"/>
  <c r="H8" i="4"/>
  <c r="L8" i="4" s="1"/>
  <c r="AE21" i="3"/>
  <c r="F9" i="2"/>
  <c r="AK53" i="3"/>
  <c r="AJ53" i="3"/>
  <c r="AI53" i="3"/>
  <c r="AH53" i="3"/>
  <c r="AG53" i="3"/>
  <c r="AE53" i="3"/>
  <c r="AD53" i="3"/>
  <c r="AB53" i="3"/>
  <c r="AF53" i="3"/>
  <c r="AJ65" i="3"/>
  <c r="AI65" i="3"/>
  <c r="AH65" i="3"/>
  <c r="AE65" i="3"/>
  <c r="AB65" i="3"/>
  <c r="AG65" i="3"/>
  <c r="AF65" i="3"/>
  <c r="AK65" i="3"/>
  <c r="AD65" i="3"/>
  <c r="AK25" i="3"/>
  <c r="AJ25" i="3"/>
  <c r="AI25" i="3"/>
  <c r="AH25" i="3"/>
  <c r="AG25" i="3"/>
  <c r="AE25" i="3"/>
  <c r="AF25" i="3"/>
  <c r="AD25" i="3"/>
  <c r="AB25" i="3"/>
  <c r="AE114" i="3"/>
  <c r="AD114" i="3"/>
  <c r="AB114" i="3"/>
  <c r="AK114" i="3"/>
  <c r="AJ114" i="3"/>
  <c r="AI114" i="3"/>
  <c r="AH114" i="3"/>
  <c r="AG114" i="3"/>
  <c r="AF114" i="3"/>
  <c r="AK137" i="3"/>
  <c r="AJ137" i="3"/>
  <c r="AI137" i="3"/>
  <c r="AH137" i="3"/>
  <c r="AG137" i="3"/>
  <c r="AE137" i="3"/>
  <c r="AD137" i="3"/>
  <c r="AF137" i="3"/>
  <c r="AB137" i="3"/>
  <c r="AK27" i="3"/>
  <c r="AJ27" i="3"/>
  <c r="AI27" i="3"/>
  <c r="AG27" i="3"/>
  <c r="AE27" i="3"/>
  <c r="AB27" i="3"/>
  <c r="AF27" i="3"/>
  <c r="AD27" i="3"/>
  <c r="AH27" i="3"/>
  <c r="AE125" i="3"/>
  <c r="AE17" i="3"/>
  <c r="H8" i="5"/>
  <c r="AD43" i="3"/>
  <c r="AB43" i="3"/>
  <c r="AK43" i="3"/>
  <c r="AI43" i="3"/>
  <c r="AH43" i="3"/>
  <c r="AG43" i="3"/>
  <c r="AF43" i="3"/>
  <c r="AE43" i="3"/>
  <c r="AJ43" i="3"/>
  <c r="AI90" i="3"/>
  <c r="AH90" i="3"/>
  <c r="AG90" i="3"/>
  <c r="AF90" i="3"/>
  <c r="AE90" i="3"/>
  <c r="AD90" i="3"/>
  <c r="AB90" i="3"/>
  <c r="AK90" i="3"/>
  <c r="AJ90" i="3"/>
  <c r="AJ37" i="3"/>
  <c r="AI37" i="3"/>
  <c r="AH37" i="3"/>
  <c r="AE37" i="3"/>
  <c r="AB37" i="3"/>
  <c r="AG37" i="3"/>
  <c r="AF37" i="3"/>
  <c r="AD37" i="3"/>
  <c r="AK37" i="3"/>
  <c r="F8" i="2"/>
  <c r="G12" i="4"/>
  <c r="K12" i="4" s="1"/>
  <c r="AJ100" i="3"/>
  <c r="AH100" i="3"/>
  <c r="AF100" i="3"/>
  <c r="AE100" i="3"/>
  <c r="AD100" i="3"/>
  <c r="AB100" i="3"/>
  <c r="AK100" i="3"/>
  <c r="AI100" i="3"/>
  <c r="AG100" i="3"/>
  <c r="H12" i="4"/>
  <c r="L12" i="4" s="1"/>
  <c r="G5" i="5"/>
  <c r="G9" i="5" s="1"/>
  <c r="I12" i="4"/>
  <c r="M12" i="4" s="1"/>
  <c r="AJ46" i="3"/>
  <c r="AH46" i="3"/>
  <c r="AG46" i="3"/>
  <c r="AE46" i="3"/>
  <c r="AD46" i="3"/>
  <c r="AK46" i="3"/>
  <c r="AB46" i="3"/>
  <c r="AI46" i="3"/>
  <c r="AF46" i="3"/>
  <c r="AE80" i="3"/>
  <c r="AK130" i="3"/>
  <c r="AJ130" i="3"/>
  <c r="AH130" i="3"/>
  <c r="AG130" i="3"/>
  <c r="AF130" i="3"/>
  <c r="AE130" i="3"/>
  <c r="AD130" i="3"/>
  <c r="AB130" i="3"/>
  <c r="AI130" i="3"/>
  <c r="AE7" i="3"/>
  <c r="AE136" i="3"/>
  <c r="I8" i="5"/>
  <c r="I5" i="5"/>
  <c r="I9" i="5" s="1"/>
  <c r="F8" i="4"/>
  <c r="E5" i="5"/>
  <c r="E9" i="5" s="1"/>
  <c r="AK145" i="3"/>
  <c r="AI145" i="3"/>
  <c r="AH145" i="3"/>
  <c r="AG145" i="3"/>
  <c r="AF145" i="3"/>
  <c r="AE145" i="3"/>
  <c r="AD145" i="3"/>
  <c r="AB145" i="3"/>
  <c r="AJ145" i="3"/>
  <c r="I7" i="5"/>
  <c r="F13" i="4"/>
  <c r="AJ102" i="3"/>
  <c r="AH102" i="3"/>
  <c r="AG102" i="3"/>
  <c r="AF102" i="3"/>
  <c r="AE102" i="3"/>
  <c r="AD102" i="3"/>
  <c r="AB102" i="3"/>
  <c r="AK102" i="3"/>
  <c r="AI102" i="3"/>
  <c r="AE113" i="3"/>
  <c r="G9" i="2"/>
  <c r="F9" i="4"/>
  <c r="AK141" i="3"/>
  <c r="AI141" i="3"/>
  <c r="AH141" i="3"/>
  <c r="AG141" i="3"/>
  <c r="AE141" i="3"/>
  <c r="AD141" i="3"/>
  <c r="AB141" i="3"/>
  <c r="AJ141" i="3"/>
  <c r="AF141" i="3"/>
  <c r="AE8" i="3"/>
  <c r="AJ128" i="3"/>
  <c r="AI128" i="3"/>
  <c r="AH128" i="3"/>
  <c r="AF128" i="3"/>
  <c r="AE128" i="3"/>
  <c r="AD128" i="3"/>
  <c r="AB128" i="3"/>
  <c r="AK128" i="3"/>
  <c r="AG128" i="3"/>
  <c r="AE26" i="3"/>
  <c r="G13" i="4"/>
  <c r="K13" i="4" s="1"/>
  <c r="AK81" i="3"/>
  <c r="AJ81" i="3"/>
  <c r="AI81" i="3"/>
  <c r="AH81" i="3"/>
  <c r="AG81" i="3"/>
  <c r="AE81" i="3"/>
  <c r="AF81" i="3"/>
  <c r="AD81" i="3"/>
  <c r="AB81" i="3"/>
  <c r="G9" i="4"/>
  <c r="K9" i="4" s="1"/>
  <c r="AE24" i="3"/>
  <c r="H16" i="4" l="1"/>
  <c r="L16" i="4" s="1"/>
  <c r="L5" i="4"/>
  <c r="F16" i="4"/>
  <c r="P5" i="4"/>
  <c r="O5" i="4"/>
  <c r="N5" i="4"/>
  <c r="J5" i="4"/>
  <c r="I16" i="4"/>
  <c r="M16" i="4" s="1"/>
  <c r="M5" i="4"/>
  <c r="P15" i="4"/>
  <c r="O15" i="4"/>
  <c r="N15" i="4"/>
  <c r="J15" i="4"/>
  <c r="P7" i="4"/>
  <c r="O7" i="4"/>
  <c r="N7" i="4"/>
  <c r="J7" i="4"/>
  <c r="J8" i="4"/>
  <c r="P8" i="4"/>
  <c r="O8" i="4"/>
  <c r="N8" i="4"/>
  <c r="D9" i="5"/>
  <c r="D13" i="5" s="1"/>
  <c r="E13" i="5" s="1"/>
  <c r="F7" i="5"/>
  <c r="D14" i="5"/>
  <c r="E14" i="5" s="1"/>
  <c r="L9" i="5"/>
  <c r="K9" i="5"/>
  <c r="J9" i="5"/>
  <c r="F6" i="5"/>
  <c r="F5" i="5"/>
  <c r="F8" i="5"/>
  <c r="J14" i="4"/>
  <c r="O14" i="4"/>
  <c r="P14" i="4"/>
  <c r="N14" i="4"/>
  <c r="F10" i="2"/>
  <c r="G16" i="4"/>
  <c r="K16" i="4" s="1"/>
  <c r="K5" i="4"/>
  <c r="O10" i="4"/>
  <c r="J10" i="4"/>
  <c r="N10" i="4"/>
  <c r="P10" i="4"/>
  <c r="P9" i="4"/>
  <c r="O9" i="4"/>
  <c r="N9" i="4"/>
  <c r="J9" i="4"/>
  <c r="P6" i="4"/>
  <c r="O6" i="4"/>
  <c r="N6" i="4"/>
  <c r="J6" i="4"/>
  <c r="P13" i="4"/>
  <c r="O13" i="4"/>
  <c r="N13" i="4"/>
  <c r="J13" i="4"/>
  <c r="G10" i="2"/>
  <c r="P16" i="4" l="1"/>
  <c r="J16" i="4"/>
  <c r="O16" i="4"/>
  <c r="N16" i="4"/>
  <c r="F9" i="5"/>
</calcChain>
</file>

<file path=xl/sharedStrings.xml><?xml version="1.0" encoding="utf-8"?>
<sst xmlns="http://schemas.openxmlformats.org/spreadsheetml/2006/main" count="2166" uniqueCount="627">
  <si>
    <t>Golden inventory  —  142 applications, archetype derived live from the source fields</t>
  </si>
  <si>
    <t>Column F is the Value Stream. Columns L, M and N are the only three fields the rule reads. Columns X to AK are formulas. Column Z is the only place to type.</t>
  </si>
  <si>
    <t>#</t>
  </si>
  <si>
    <t>EAI ID</t>
  </si>
  <si>
    <t>Application</t>
  </si>
  <si>
    <t>Application long name</t>
  </si>
  <si>
    <t>領域  (domain)</t>
  </si>
  <si>
    <t>Value Stream</t>
  </si>
  <si>
    <t>Group</t>
  </si>
  <si>
    <t>Team</t>
  </si>
  <si>
    <t>Application class</t>
  </si>
  <si>
    <t>Business critical</t>
  </si>
  <si>
    <t>Hosting</t>
  </si>
  <si>
    <t>PRIMARY CODE LANGUAGE</t>
  </si>
  <si>
    <t>PRIORITY TRANSFER</t>
  </si>
  <si>
    <t>CLOUD INDICATOR</t>
  </si>
  <si>
    <t>Cloud platform</t>
  </si>
  <si>
    <t>Source code owner</t>
  </si>
  <si>
    <t>Current FTC</t>
  </si>
  <si>
    <t>Current FTE</t>
  </si>
  <si>
    <t>Current MGCC</t>
  </si>
  <si>
    <t>Total effort</t>
  </si>
  <si>
    <t>% of PRJ</t>
  </si>
  <si>
    <t>Target FTC</t>
  </si>
  <si>
    <t>Target FTE/MGCC</t>
  </si>
  <si>
    <t>Rule fired</t>
  </si>
  <si>
    <t>Derived archetype</t>
  </si>
  <si>
    <t>OVERRIDE</t>
  </si>
  <si>
    <t>FINAL ARCHETYPE</t>
  </si>
  <si>
    <t>Archetype name</t>
  </si>
  <si>
    <t>Evidence — what decided it</t>
  </si>
  <si>
    <t>Why this archetype</t>
  </si>
  <si>
    <t>AI ceiling</t>
  </si>
  <si>
    <t>Productivity by Y3</t>
  </si>
  <si>
    <t>Offshore ceiling</t>
  </si>
  <si>
    <t>Offshore by Y3</t>
  </si>
  <si>
    <t>Transition method</t>
  </si>
  <si>
    <t>Typical duration</t>
  </si>
  <si>
    <t>Sourcing construct</t>
  </si>
  <si>
    <t>Global Sales Comp - Japan</t>
  </si>
  <si>
    <t>Fee Management</t>
  </si>
  <si>
    <t>VS1: Commission Processing &amp; Management</t>
  </si>
  <si>
    <t>Core Insurance Systems Group 34956</t>
  </si>
  <si>
    <t>Commission Systems Team 34958</t>
  </si>
  <si>
    <t>Core Business Application</t>
  </si>
  <si>
    <t>N</t>
  </si>
  <si>
    <t>Yes</t>
  </si>
  <si>
    <t>Other#Infomatica workflow Bash shell Dos batch</t>
  </si>
  <si>
    <t>Software as a Service (SaaS)</t>
  </si>
  <si>
    <t>Non-MetLife Owned Application Code (3rd party/COTS)</t>
  </si>
  <si>
    <t>LC POSPMC MF-JPN</t>
  </si>
  <si>
    <t>LifeComm POSPMC</t>
  </si>
  <si>
    <t>contract management</t>
  </si>
  <si>
    <t>VS1: Policy Administration &amp; Contract Servicing</t>
  </si>
  <si>
    <t>Policy Admin Systems Team 34957</t>
  </si>
  <si>
    <t>Y</t>
  </si>
  <si>
    <t>Assembler, COBOL, MU(EASYPLUS), JCL</t>
  </si>
  <si>
    <t>No</t>
  </si>
  <si>
    <t>MetLife Owned Application Code</t>
  </si>
  <si>
    <t>LC Billing MF-JPN</t>
  </si>
  <si>
    <t>LifeComm Billing</t>
  </si>
  <si>
    <t>VS2: Billing, Collections &amp; Payments</t>
  </si>
  <si>
    <t>COBOL, Assembler, MU(EASYPLUS), JCL</t>
  </si>
  <si>
    <t>LC Collection MF-JPN</t>
  </si>
  <si>
    <t>LifeComm Collection</t>
  </si>
  <si>
    <t>LC Corresponding MF-JPN</t>
  </si>
  <si>
    <t>LifeComm Corresponding</t>
  </si>
  <si>
    <t>VS4: Correspondence, Documents &amp; Tax</t>
  </si>
  <si>
    <t>LC UWI MF-JPN</t>
  </si>
  <si>
    <t>LifeComm  UWI</t>
  </si>
  <si>
    <t>VS5: New Business, Underwriting &amp; Interfaces</t>
  </si>
  <si>
    <t>LC AAPerf MF-JPN</t>
  </si>
  <si>
    <t>LifeComm AgentAgencyPerformance</t>
  </si>
  <si>
    <t>VS3: Agency &amp; Commission</t>
  </si>
  <si>
    <t>LC Payment MF-JPN</t>
  </si>
  <si>
    <t>LifeComm Payment</t>
  </si>
  <si>
    <t>LC GL/SC MF-JPN</t>
  </si>
  <si>
    <t>LifeComm GL/SC</t>
  </si>
  <si>
    <t>VS6: Finance, Valuation &amp; Reinsurance</t>
  </si>
  <si>
    <t>LC Valuation MF-JPN</t>
  </si>
  <si>
    <t>LifeComm Valuation</t>
  </si>
  <si>
    <t>LC AACOMP MF-JPN</t>
  </si>
  <si>
    <t>LifeComm AgentAgencyComp</t>
  </si>
  <si>
    <t>Processor-I MF-JPN</t>
  </si>
  <si>
    <t>Claim payment (Processor-I)</t>
  </si>
  <si>
    <t>COBOL, MU(EASYPLUS), Assembler, JCL</t>
  </si>
  <si>
    <t>LC Submit MF-JPN</t>
  </si>
  <si>
    <t>Submit Online</t>
  </si>
  <si>
    <t>LC Micro MF-JPN</t>
  </si>
  <si>
    <t>Micro-Index</t>
  </si>
  <si>
    <t>Foreign MF-JPN</t>
  </si>
  <si>
    <t>Foreign</t>
  </si>
  <si>
    <t>CT Salary  MF-JPN</t>
  </si>
  <si>
    <t>CT Salary System</t>
  </si>
  <si>
    <t>TaxCertification MF-JPN</t>
  </si>
  <si>
    <t>TaxCertification</t>
  </si>
  <si>
    <t>SWINGMANAGER MF-JPN</t>
  </si>
  <si>
    <t>SWING MANAGER</t>
  </si>
  <si>
    <t>PremCollectDBMF-JPN</t>
  </si>
  <si>
    <t>Premium Collection History DB</t>
  </si>
  <si>
    <t>MCFA CP DB MF-JPN</t>
  </si>
  <si>
    <t>MCFA Coupon DB</t>
  </si>
  <si>
    <t>Maturity MF-JPN</t>
  </si>
  <si>
    <t>Payment  maturity existing benefit etc</t>
  </si>
  <si>
    <t>LC Reins MF-JPN</t>
  </si>
  <si>
    <t>Reinsurance</t>
  </si>
  <si>
    <t>ASP Bridge(H) MF-JPN</t>
  </si>
  <si>
    <t>ASP Bridge (HOST)</t>
  </si>
  <si>
    <t>Common Service Business Application</t>
  </si>
  <si>
    <t>CCA MF-JPN</t>
  </si>
  <si>
    <t>Client Contract Administration</t>
  </si>
  <si>
    <t>C04NWC-JPN</t>
  </si>
  <si>
    <t>CenterServer</t>
  </si>
  <si>
    <t>New Contract Related</t>
  </si>
  <si>
    <t>VS2: Rules &amp; Decisioning</t>
  </si>
  <si>
    <t>Customer Service and Operations Systems Group 34965</t>
  </si>
  <si>
    <t>New Business Team 34966</t>
  </si>
  <si>
    <t>C/C++</t>
  </si>
  <si>
    <t>C03WRE-JPN</t>
  </si>
  <si>
    <t>POS Workflow Payment Workflow (Restoring cancelled</t>
  </si>
  <si>
    <t>Storage and Preservation Related</t>
  </si>
  <si>
    <t>VS1: Digital Workflow &amp; Process Automation</t>
  </si>
  <si>
    <t>Policy Servicing Team 34967</t>
  </si>
  <si>
    <t>VB.NET</t>
  </si>
  <si>
    <t>C12WNC-JPN</t>
  </si>
  <si>
    <t>POS Workflow Payment Workflow (Claim Transaction A</t>
  </si>
  <si>
    <t>Insurance Claims and Benefits Payment Related</t>
  </si>
  <si>
    <t>VS1: Claims Processing &amp; Adjudication</t>
  </si>
  <si>
    <t>Claims Team 34968</t>
  </si>
  <si>
    <t>VB.NET; C/C++; JAVA</t>
  </si>
  <si>
    <t>C03WRD-JPN</t>
  </si>
  <si>
    <t>POS Workflow Payment Workflow (Reduction of paymen</t>
  </si>
  <si>
    <t>C03PCA-JPN</t>
  </si>
  <si>
    <t>Add Coverage</t>
  </si>
  <si>
    <t>VS2: Digital Payments &amp; Servicing</t>
  </si>
  <si>
    <t>VB</t>
  </si>
  <si>
    <t>C10CSS-JPN</t>
  </si>
  <si>
    <t>FSC Call Support</t>
  </si>
  <si>
    <t>Customer Care / Call Center Related</t>
  </si>
  <si>
    <t>VS2: Call Center Operations Platform</t>
  </si>
  <si>
    <t>Customer Care Team 34969</t>
  </si>
  <si>
    <t>C04VAS-JPN</t>
  </si>
  <si>
    <t>Voucher Approval System for AS400</t>
  </si>
  <si>
    <t>Corporate Related</t>
  </si>
  <si>
    <t>VS6: Legacy Corporate Platforms</t>
  </si>
  <si>
    <t>Corporate Systems Team 34959</t>
  </si>
  <si>
    <t>C04SYM-JPN</t>
  </si>
  <si>
    <t>Renewal symap Business Work Flow</t>
  </si>
  <si>
    <t>VS4: Imaging &amp; Document Capture</t>
  </si>
  <si>
    <t>C03VSV-JPN</t>
  </si>
  <si>
    <t>Variable Annuity Sun View</t>
  </si>
  <si>
    <t>PinID tool_JPN</t>
  </si>
  <si>
    <t>PinID Increase tool</t>
  </si>
  <si>
    <t>C11VCM-JPN</t>
  </si>
  <si>
    <t>Deposit Control System</t>
  </si>
  <si>
    <t>VS1: New Business Processing</t>
  </si>
  <si>
    <t>C04OSI-JPN</t>
  </si>
  <si>
    <t>S Sum Total System(Open)</t>
  </si>
  <si>
    <t>JAVA</t>
  </si>
  <si>
    <t>W03FIC-JPN</t>
  </si>
  <si>
    <t>Guidance Refusal Information Administration System</t>
  </si>
  <si>
    <t>VS3: Risk, Compliance &amp; Governance</t>
  </si>
  <si>
    <t>Platform as a Service (PaaS)</t>
  </si>
  <si>
    <t>C03APO-JPN</t>
  </si>
  <si>
    <t>Apollocs</t>
  </si>
  <si>
    <t>VS5: Corporate Integration &amp; Batch Services</t>
  </si>
  <si>
    <t>Other#APOLLOCS</t>
  </si>
  <si>
    <t>Z04IMA-JPN</t>
  </si>
  <si>
    <t>Image Search</t>
  </si>
  <si>
    <t>CSS; JAVA;HTML; VB.NET</t>
  </si>
  <si>
    <t>W05AMS-JPN</t>
  </si>
  <si>
    <t>Annuity Information Management System(AIMS)</t>
  </si>
  <si>
    <t>VS2: Pension, Benefits &amp; Maturity Administration</t>
  </si>
  <si>
    <t>W02OPS-JPN</t>
  </si>
  <si>
    <t>Insurance Planning for Operator</t>
  </si>
  <si>
    <t>Marketing/Direct Business Related</t>
  </si>
  <si>
    <t>VS2: Customer Acquisition &amp; Quotation</t>
  </si>
  <si>
    <t>Customer and Channel Engineering 34961</t>
  </si>
  <si>
    <t>W04RRE-JPN</t>
  </si>
  <si>
    <t>Rule Engine</t>
  </si>
  <si>
    <t>W03PIU-JPN</t>
  </si>
  <si>
    <t>IS universal life insurance simulation</t>
  </si>
  <si>
    <t>W08HTN-JPN</t>
  </si>
  <si>
    <t>conservation contact personnel entry system</t>
  </si>
  <si>
    <t>VS4: Corporate Workflow &amp; Employee Services</t>
  </si>
  <si>
    <t>W08NAV-JPN</t>
  </si>
  <si>
    <t>Branch Marketing Information System</t>
  </si>
  <si>
    <t>Sales / Insurance Recruitment</t>
  </si>
  <si>
    <t>VS3: Agency &amp; Producer Enablement</t>
  </si>
  <si>
    <t>Distribution F2F Team 34962</t>
  </si>
  <si>
    <t>W08SFE-JPN</t>
  </si>
  <si>
    <t>commission Inquiry</t>
  </si>
  <si>
    <t>W08CIS-JPN</t>
  </si>
  <si>
    <t>Career Information System</t>
  </si>
  <si>
    <t>W08NAR-JPN</t>
  </si>
  <si>
    <t>producers information entry system</t>
  </si>
  <si>
    <t>W13WWF-JPN</t>
  </si>
  <si>
    <t>Web work flow</t>
  </si>
  <si>
    <t>P08MMS-JPN</t>
  </si>
  <si>
    <t>Medical Management System</t>
  </si>
  <si>
    <t>VS3: Medical Underwriting</t>
  </si>
  <si>
    <t>WPSYEC-JPN</t>
  </si>
  <si>
    <t>Direct Marketing Site</t>
  </si>
  <si>
    <t>VS1: Digital Marketing &amp; Lead Management</t>
  </si>
  <si>
    <t>Marketing and Leads Team 34964</t>
  </si>
  <si>
    <t>W07IPC-JPN</t>
  </si>
  <si>
    <t>Internet Prospective Information</t>
  </si>
  <si>
    <t>W01LOI-JPN</t>
  </si>
  <si>
    <t>Japan Authorization / login</t>
  </si>
  <si>
    <t>Common Service Platform</t>
  </si>
  <si>
    <t>VS1: Identity &amp; Access Services</t>
  </si>
  <si>
    <t>Japan Platform Team 35775</t>
  </si>
  <si>
    <t>W01MAS-JPN</t>
  </si>
  <si>
    <t>Common Framework(Master4)</t>
  </si>
  <si>
    <t>VS2: Portal Services</t>
  </si>
  <si>
    <t>A04MMP-JPN</t>
  </si>
  <si>
    <t>AS400 Mass Marketing System</t>
  </si>
  <si>
    <t>Other#RPG</t>
  </si>
  <si>
    <t>P02BKE-JPN</t>
  </si>
  <si>
    <t>Sales illustration system (based on EXCEL) for BAN</t>
  </si>
  <si>
    <t>VS2: Bancassurance Platforms</t>
  </si>
  <si>
    <t>Distribution Banca Team 34963</t>
  </si>
  <si>
    <t>Other#VBA</t>
  </si>
  <si>
    <t>WPSC2S-JPN</t>
  </si>
  <si>
    <t>Call Control System</t>
  </si>
  <si>
    <t>B13ITS-JPN</t>
  </si>
  <si>
    <t>ITS-PCIS(Mutual Fund System(Including Bestway)</t>
  </si>
  <si>
    <t>VS1: Finance &amp; Accounting Services</t>
  </si>
  <si>
    <t>W13WEP-JPN</t>
  </si>
  <si>
    <t>Web Payment</t>
  </si>
  <si>
    <t>Data Send System for BANC  MF-JP</t>
  </si>
  <si>
    <t>Data Send System for BANC</t>
  </si>
  <si>
    <t>CCMDNT-JPN</t>
  </si>
  <si>
    <t>.NET Common Infrastructure</t>
  </si>
  <si>
    <t>VB.NET; C #</t>
  </si>
  <si>
    <t>BCMHRP-JPN</t>
  </si>
  <si>
    <t>Data cooperation</t>
  </si>
  <si>
    <t>Data Infrastructure</t>
  </si>
  <si>
    <t>VS1: Informatica — ETL, IDQ, Address Doctor &amp; HOST/AS400 Data Cooperation</t>
  </si>
  <si>
    <t>Data Platforms Team 34980</t>
  </si>
  <si>
    <t>Other#MS-DOS ,AWK,VBScript,JAVA</t>
  </si>
  <si>
    <t>Running on both on-premises and Azure.  The on-premises version will be decommissioned by the end of 2027.</t>
  </si>
  <si>
    <t>WPSCUS-JPN</t>
  </si>
  <si>
    <t>Customer Support System</t>
  </si>
  <si>
    <t>JavaScript; Other#APEX</t>
  </si>
  <si>
    <t>WAANSO-JPN</t>
  </si>
  <si>
    <t>New Submit Online System</t>
  </si>
  <si>
    <t>WZZHYO-JPN</t>
  </si>
  <si>
    <t>Report Template Management System</t>
  </si>
  <si>
    <t>VS2: Corporate Operations &amp; Productivity</t>
  </si>
  <si>
    <t>EAADRS-JPN</t>
  </si>
  <si>
    <t>Dr.SUM</t>
  </si>
  <si>
    <t>WPMWCC-JPN</t>
  </si>
  <si>
    <t>Web Contact Center</t>
  </si>
  <si>
    <t>VS4: Care Operations &amp; Batch Services</t>
  </si>
  <si>
    <t>WGLRPC-JPN</t>
  </si>
  <si>
    <t>ReportConnection</t>
  </si>
  <si>
    <t>VS5: Sales Support &amp; Distribution Services</t>
  </si>
  <si>
    <t>Policy UWIBATCH MF-JPN</t>
  </si>
  <si>
    <t>Policy Underwriting and Issue Batch</t>
  </si>
  <si>
    <t>Other#ASM; Cobol</t>
  </si>
  <si>
    <t>WAAATF-JPN</t>
  </si>
  <si>
    <t>Agents Target Following system</t>
  </si>
  <si>
    <t>ZGLEST-JPN</t>
  </si>
  <si>
    <t>eSTATION</t>
  </si>
  <si>
    <t>JavaScript; VB.NET; C#;HTML</t>
  </si>
  <si>
    <t>CMESB-JPN</t>
  </si>
  <si>
    <t>Enterprise Service Bus</t>
  </si>
  <si>
    <t>VS4: Enterprise Integration Services</t>
  </si>
  <si>
    <t>JAVA; Other#ESQL</t>
  </si>
  <si>
    <t>WPMAUD-JPN</t>
  </si>
  <si>
    <t>Unknown Address Tracking System</t>
  </si>
  <si>
    <t>WCMPXS-JPN</t>
  </si>
  <si>
    <t>ProductXpress</t>
  </si>
  <si>
    <t>Infrastructure Application</t>
  </si>
  <si>
    <t>Other#Peculiar Language, Implemented in PX designer.</t>
  </si>
  <si>
    <t>WUIURE-JPN</t>
  </si>
  <si>
    <t>Pre-Underwriting</t>
  </si>
  <si>
    <t>LINC MF-JPN</t>
  </si>
  <si>
    <t>LINC</t>
  </si>
  <si>
    <t>A06TOG-JPN</t>
  </si>
  <si>
    <t>Group Policy Management System</t>
  </si>
  <si>
    <t>Other#RPG; Cobol</t>
  </si>
  <si>
    <t>W06TGR-JPN</t>
  </si>
  <si>
    <t>Group Policy Inquiry System for Intranet</t>
  </si>
  <si>
    <t>VB.NET; JAVA</t>
  </si>
  <si>
    <t>WAAICM-JPN</t>
  </si>
  <si>
    <t>ICM</t>
  </si>
  <si>
    <t>JAVA; C#; Other#ETL JAVA(ADJP) SQL</t>
  </si>
  <si>
    <t>WAACPS-JPN</t>
  </si>
  <si>
    <t>Commission and Performance System</t>
  </si>
  <si>
    <t>OMSIKN-JPN</t>
  </si>
  <si>
    <t>Conservation contract transferring system</t>
  </si>
  <si>
    <t>OMSTAT-JPN</t>
  </si>
  <si>
    <t>Conservation contract allowance system</t>
  </si>
  <si>
    <t>VS3: Campaign Processing &amp; Batch Services</t>
  </si>
  <si>
    <t>ZGLEDQ-JPN</t>
  </si>
  <si>
    <t>FATCA Oracle EDQ</t>
  </si>
  <si>
    <t>JAVA; C #</t>
  </si>
  <si>
    <t>WGLWLF-JPN</t>
  </si>
  <si>
    <t>Watch List Filtering system</t>
  </si>
  <si>
    <t>WZZMNB-JPN</t>
  </si>
  <si>
    <t>My number management system</t>
  </si>
  <si>
    <t>VS3: Claims Support Services</t>
  </si>
  <si>
    <t>BCMETL-JPN</t>
  </si>
  <si>
    <t>Informatica Platform</t>
  </si>
  <si>
    <t>Other#Used UI for development and stored data as XML</t>
  </si>
  <si>
    <t>WPSCFC-JPN</t>
  </si>
  <si>
    <t>c-Force</t>
  </si>
  <si>
    <t>Other#APEX;HTML; JavaScript</t>
  </si>
  <si>
    <t>CGLFJM-JPN</t>
  </si>
  <si>
    <t>Misconduct Management system</t>
  </si>
  <si>
    <t>WGLBSR-JPN</t>
  </si>
  <si>
    <t>BSRec</t>
  </si>
  <si>
    <t>JP-RPASS</t>
  </si>
  <si>
    <t>JAPAN_BluePrism RPA</t>
  </si>
  <si>
    <t>VS3: RPA &amp; Robotics Services</t>
  </si>
  <si>
    <t>Other#COTS from BluePrism</t>
  </si>
  <si>
    <t>W03CCP-JPN</t>
  </si>
  <si>
    <t>Customer Communication Preferences</t>
  </si>
  <si>
    <t>VS4: Document Processing &amp; Imaging</t>
  </si>
  <si>
    <t>JP-Banca Report</t>
  </si>
  <si>
    <t>Japan Banca Report</t>
  </si>
  <si>
    <t>Infrastructure as a Service (IaaS); Platform as a Service (PaaS)</t>
  </si>
  <si>
    <t>LPS-JPN(EUC081)</t>
  </si>
  <si>
    <t>Life Plan Simulation Japan</t>
  </si>
  <si>
    <t>PHP</t>
  </si>
  <si>
    <t>CIT-JPN(EUC082)</t>
  </si>
  <si>
    <t>Inheritance Tax Simulation</t>
  </si>
  <si>
    <t>CMIAPI-JPN</t>
  </si>
  <si>
    <t>API Hub</t>
  </si>
  <si>
    <t>VS3: API Management &amp; Partner Integration</t>
  </si>
  <si>
    <t>K2</t>
  </si>
  <si>
    <t>Japan K2 - Digital Workflows</t>
  </si>
  <si>
    <t>JP-PCI-RPASS</t>
  </si>
  <si>
    <t>Japan PCI Robotics Process Automation Service</t>
  </si>
  <si>
    <t>Other#This is coded within blueprism</t>
  </si>
  <si>
    <t>RBRARS-JPN</t>
  </si>
  <si>
    <t>RBWF Report Automatic Recognition System</t>
  </si>
  <si>
    <t>VS5: New Business Batch Processing</t>
  </si>
  <si>
    <t>CMEAPI-JP</t>
  </si>
  <si>
    <t>Japan Partner API</t>
  </si>
  <si>
    <t>JP-WCMAUT</t>
  </si>
  <si>
    <t>JP Authentication Platform</t>
  </si>
  <si>
    <t>Himawari</t>
  </si>
  <si>
    <t>Himawari (Call Center Platform)</t>
  </si>
  <si>
    <t>JavaScript;HTML; Other#APEX</t>
  </si>
  <si>
    <t>JP-QA Shared Service</t>
  </si>
  <si>
    <t>Japan QA Shared Service- multiple projects</t>
  </si>
  <si>
    <t>VS5: Shared Platform Services</t>
  </si>
  <si>
    <t>Platform</t>
  </si>
  <si>
    <t>Other#Selenese, but supports others</t>
  </si>
  <si>
    <t>JP-DB2-CONNECT</t>
  </si>
  <si>
    <t>Japan DB2 Connect Proxy</t>
  </si>
  <si>
    <t>VS5: Preservation Batch Services</t>
  </si>
  <si>
    <t>Other#COTS</t>
  </si>
  <si>
    <t>JP-Payroll</t>
  </si>
  <si>
    <t>Japan Payroll System</t>
  </si>
  <si>
    <t>Other# N-A(SaaS)</t>
  </si>
  <si>
    <t>JP-OLB Batch</t>
  </si>
  <si>
    <t>Japan - Direct Marketing Batch Applications</t>
  </si>
  <si>
    <t>ASP B_O-JPN</t>
  </si>
  <si>
    <t>ASP Bridge (OPEN)</t>
  </si>
  <si>
    <t>JAVA; C#; VB.NET</t>
  </si>
  <si>
    <t>WCMCCMJPN</t>
  </si>
  <si>
    <t>Inspire - Forms Management</t>
  </si>
  <si>
    <t>VS3: Customer Communication Management</t>
  </si>
  <si>
    <t>JavaScript</t>
  </si>
  <si>
    <t>Digital Portal</t>
  </si>
  <si>
    <t>Digital Portals for Policy Administration</t>
  </si>
  <si>
    <t>VS1: Customer Servicing Portals</t>
  </si>
  <si>
    <t>JAVA; JavaScript</t>
  </si>
  <si>
    <t>JP - Remote Closing</t>
  </si>
  <si>
    <t>JP - Remote Sales Closing</t>
  </si>
  <si>
    <t>VS4: Digital Sales &amp; Remote Closing</t>
  </si>
  <si>
    <t>PaymentService</t>
  </si>
  <si>
    <t>Payment Common Service - JP</t>
  </si>
  <si>
    <t>JP-GSSP</t>
  </si>
  <si>
    <t>Japan Sales Platform (GSSP)</t>
  </si>
  <si>
    <t>VS1: Japan Sales Platform (GSSP)</t>
  </si>
  <si>
    <t>Business Content Management</t>
  </si>
  <si>
    <t>Other#n/a</t>
  </si>
  <si>
    <t>Software as a Service (SaaS); Platform as a Service (PaaS)</t>
  </si>
  <si>
    <t>DSP</t>
  </si>
  <si>
    <t>Digital Servicing Platform</t>
  </si>
  <si>
    <t>PL/SQL</t>
  </si>
  <si>
    <t>JDPREP</t>
  </si>
  <si>
    <t>Japan Data Platform and Reporting-JP</t>
  </si>
  <si>
    <t>VS2: Azure Synapse — Japan Data Platform &amp; BI/Reporting</t>
  </si>
  <si>
    <t>Other#Transact SQL</t>
  </si>
  <si>
    <t>Kintone-JPN</t>
  </si>
  <si>
    <t>kintone and paperlogic electronic contract system</t>
  </si>
  <si>
    <t>Other#Vendor Managed</t>
  </si>
  <si>
    <t>POS-IMS</t>
  </si>
  <si>
    <t>POS - Integrated Management System</t>
  </si>
  <si>
    <t>AppsPortal</t>
  </si>
  <si>
    <t>Enterprise Apps Portal</t>
  </si>
  <si>
    <t>JavaScript; JAVA</t>
  </si>
  <si>
    <t>Scan Manager</t>
  </si>
  <si>
    <t>Digital Scan Manager</t>
  </si>
  <si>
    <t>ODMoC</t>
  </si>
  <si>
    <t>IBM Operational Decision Manager on Cloud</t>
  </si>
  <si>
    <t>Other#IRL Vendor supported language</t>
  </si>
  <si>
    <t>External Portal</t>
  </si>
  <si>
    <t>External Apps Portal</t>
  </si>
  <si>
    <t>VS3: Producer Portal &amp; Compensation Services</t>
  </si>
  <si>
    <t>Distribution Systems - Internal</t>
  </si>
  <si>
    <t>Corporate Batch</t>
  </si>
  <si>
    <t>OpenBatch system for Corporate</t>
  </si>
  <si>
    <t>Claim Batch</t>
  </si>
  <si>
    <t>OpenBatch system for Claim</t>
  </si>
  <si>
    <t>VS4: Claims Batch Processing</t>
  </si>
  <si>
    <t>Customer Care Batch</t>
  </si>
  <si>
    <t>Open Batch System for Customer Care</t>
  </si>
  <si>
    <t>Other#ETL (Infomatica)</t>
  </si>
  <si>
    <t>AURA</t>
  </si>
  <si>
    <t>AURA Underwriting</t>
  </si>
  <si>
    <t>POS Batch</t>
  </si>
  <si>
    <t>OpenBatch system for Policy Servicing</t>
  </si>
  <si>
    <t>Distribution Marketing batches</t>
  </si>
  <si>
    <t>Distribution Marketing related batches</t>
  </si>
  <si>
    <t>HIMAWARI backend apps</t>
  </si>
  <si>
    <t>HIMAWARI backend applications</t>
  </si>
  <si>
    <t>New Business Batch</t>
  </si>
  <si>
    <t>OpenBatch system for New Business</t>
  </si>
  <si>
    <t>WCC</t>
  </si>
  <si>
    <t>Web Credit Card</t>
  </si>
  <si>
    <t>JAVA; HTML5; JavaScript</t>
  </si>
  <si>
    <t>PDF Auto Loader Batch</t>
  </si>
  <si>
    <t>Open Batch System for PDF Auto Loader</t>
  </si>
  <si>
    <t>IVR Tekigosei</t>
  </si>
  <si>
    <t>Confirming UnitLink product suitability via IVR</t>
  </si>
  <si>
    <t>Other# N-A</t>
  </si>
  <si>
    <t>W09WSD-JPN BIS</t>
  </si>
  <si>
    <t>Call Center WSD BIS</t>
  </si>
  <si>
    <t>NBAPPS-JPN</t>
  </si>
  <si>
    <t>New Business Operation Apps</t>
  </si>
  <si>
    <t>SCS</t>
  </si>
  <si>
    <t>Sales Compensation System</t>
  </si>
  <si>
    <t>VS2: Next-Generation Compensation Platform</t>
  </si>
  <si>
    <t>JAVA; Other#SQL</t>
  </si>
  <si>
    <t>Pega for Claims</t>
  </si>
  <si>
    <t>Pega for Claims - Pega Workflow</t>
  </si>
  <si>
    <t>RAPS</t>
  </si>
  <si>
    <t>Retirement Allowance Payment System</t>
  </si>
  <si>
    <t>Commission System Support Tool</t>
  </si>
  <si>
    <t>Support Tool for Commission System</t>
  </si>
  <si>
    <t>MDRS</t>
  </si>
  <si>
    <t>Maturity and Deferral Related System</t>
  </si>
  <si>
    <t>JP-BANCA</t>
  </si>
  <si>
    <t>Japan Sales Platform-BANCA</t>
  </si>
  <si>
    <t>Commission calculation</t>
  </si>
  <si>
    <t>Commission Calculation Service</t>
  </si>
  <si>
    <t>Vcalc-JPN</t>
  </si>
  <si>
    <t>Variable Insurance Guarantee Calculation System</t>
  </si>
  <si>
    <t>MetLife Japan  |  Golden Application Inventory  —  archetype classification</t>
  </si>
  <si>
    <t>The single reference every domain team classifies against. One rule set, applied identically to all 142 applications.</t>
  </si>
  <si>
    <t>WHAT THIS IS</t>
  </si>
  <si>
    <t>Purpose</t>
  </si>
  <si>
    <t>The authoritative archetype classification for all 142 applications in Appendix 3 v2. Every domain model must classify against this sheet rather than re-deriving its own.</t>
  </si>
  <si>
    <t>Why it exists</t>
  </si>
  <si>
    <t>The archetype sets three ceilings and one method for every application — the AI ceiling, the offshore ceiling, the transition mechanic and the sourcing construct. If two domains classify the same way differently, their prices are not comparable.</t>
  </si>
  <si>
    <t>It is live, not a snapshot</t>
  </si>
  <si>
    <t>The archetype column is a formula, not a value. Change a source field and the classification, the parameters and both summaries re-derive.</t>
  </si>
  <si>
    <t>HOW TO USE IT — FOR A DOMAIN TEAM</t>
  </si>
  <si>
    <t>1 · Filter</t>
  </si>
  <si>
    <t>Open Golden Inventory and filter column E to your 領域. The sheet has an autofilter on row 4.</t>
  </si>
  <si>
    <t>2 · Read your mix</t>
  </si>
  <si>
    <t>Go to Domain Summary and find your row. It gives your application count, effort, archetype mix and the weighted AI and offshore ceilings for your domain. Those are the starting parameters for your model.</t>
  </si>
  <si>
    <t>3 · Cut your value streams</t>
  </si>
  <si>
    <t>Group your applications into functional value streams. Reconcile to your domain effort exactly before you build any pod.</t>
  </si>
  <si>
    <t>4 · Do not re-derive the archetype</t>
  </si>
  <si>
    <t>If you believe an application is misclassified, use the Override column and record who and why. Do not change the rule.</t>
  </si>
  <si>
    <t>THE RULE, IN ORDER</t>
  </si>
  <si>
    <t>Rule 1  →  D</t>
  </si>
  <si>
    <t>Primary code language contains COBOL, Assembler, ASM, RPG, EASYPLUS or PL/I. Mainframe and AS/400 estate.</t>
  </si>
  <si>
    <t>Rule 2  →  C</t>
  </si>
  <si>
    <t>Not rule 1, and Priority Transfer Targets = Y. The ten applications MetLife has already flagged for transfer.</t>
  </si>
  <si>
    <t>Rule 3  →  B</t>
  </si>
  <si>
    <t>Not rules 1 or 2, and Cloud Indicator = Yes. Cloud-migrated, so re-platformed, documented and specifiable.</t>
  </si>
  <si>
    <t>Rule 4  →  A</t>
  </si>
  <si>
    <t>Everything else. On-premises, non-mainframe, not flagged for transfer — where Japanese business context is bound to the application.</t>
  </si>
  <si>
    <t>Order matters</t>
  </si>
  <si>
    <t>The rules are exclusive and evaluated top to bottom. An application matching more than one test takes the first.</t>
  </si>
  <si>
    <t>RECONCILIATION AGAINST SECTION 4.1</t>
  </si>
  <si>
    <t>Application counts</t>
  </si>
  <si>
    <t>Match exactly for all four archetypes: A 71, B 33, C 10, D 28.</t>
  </si>
  <si>
    <t>Effort</t>
  </si>
  <si>
    <t>B and C match exactly (379.5 and 569.9). A and D differ by 4.7 units in opposite directions — this sheet gives A 317.1 and D 237.5 against Section 4.1's A 321.8 and D 232.8.</t>
  </si>
  <si>
    <t>Which to use</t>
  </si>
  <si>
    <t>This sheet. The figures here are reproducible from the source fields; the Section 4.1 A/D split is not. Section 4.1 should be corrected to match.</t>
  </si>
  <si>
    <t>GOVERNANCE</t>
  </si>
  <si>
    <t>Owner</t>
  </si>
  <si>
    <t>Solution architecture. Changes to the rule require agreement across all eleven domain teams, because the rule sets the price.</t>
  </si>
  <si>
    <t>Overrides</t>
  </si>
  <si>
    <t>Permitted, but only on the Overrides sheet with a named owner, a date and a reason. An override changes one application, never the rule.</t>
  </si>
  <si>
    <t>Source</t>
  </si>
  <si>
    <t>Appendix 3 v2 — "03 [Appendix 3] Target EA Inventory v2.xlsx", sheet ApplicationList. 142 applications, 1,504.0 effort units.</t>
  </si>
  <si>
    <t>Known data gap</t>
  </si>
  <si>
    <t>Named supply (FTC + FTE + MGCC) sums to 1,458.8 against 1,504.0 of effort. The 45.2-unit gap sits in 15 applications, mostly Storage &amp; Preservation and Data Infrastructure. Raised as a clarification; not allocated here.</t>
  </si>
  <si>
    <t>Classification rules and the parameters each archetype carries</t>
  </si>
  <si>
    <t>Blue cells are inputs. The Golden Inventory reads every parameter from this sheet, so changing it here changes it everywhere.</t>
  </si>
  <si>
    <t>A.  THE RULE  —  evaluated in order, first match wins</t>
  </si>
  <si>
    <t>Rule</t>
  </si>
  <si>
    <t>Archetype</t>
  </si>
  <si>
    <t>Name</t>
  </si>
  <si>
    <t>Test applied to the source field</t>
  </si>
  <si>
    <t>Apps</t>
  </si>
  <si>
    <t>Rule 1</t>
  </si>
  <si>
    <t>D</t>
  </si>
  <si>
    <t>Legacy-coupled core</t>
  </si>
  <si>
    <t>Primary code language contains COBOL, Assembler, ASM, RPG, EASYPLUS or PL/I</t>
  </si>
  <si>
    <t>Rule 2</t>
  </si>
  <si>
    <t>C</t>
  </si>
  <si>
    <t>MGCC-destined</t>
  </si>
  <si>
    <t>Not rule 1, and Priority Transfer Targets = Y</t>
  </si>
  <si>
    <t>Rule 3</t>
  </si>
  <si>
    <t>B</t>
  </si>
  <si>
    <t>Offshore-ready</t>
  </si>
  <si>
    <t>Not rules 1-2, and Cloud Indicator = Yes</t>
  </si>
  <si>
    <t>Rule 4</t>
  </si>
  <si>
    <t>A</t>
  </si>
  <si>
    <t>Language-locked</t>
  </si>
  <si>
    <t>Everything else — on premises, not mainframe, not a transfer target</t>
  </si>
  <si>
    <t>Total</t>
  </si>
  <si>
    <t>B.  WHY EACH ARCHETYPE IS ITS OWN GROUP</t>
  </si>
  <si>
    <t>Rules hard-coded across modules and design truth is not written down. AI does comprehension here, not generation.</t>
  </si>
  <si>
    <t>MetLife has already flagged these for transfer and nine of ten already carry MGCC people. Routing them through a vendor transition pays for the same knowledge transfer twice.</t>
  </si>
  <si>
    <t>Cloud migration has already forced re-platforming, documentation and specifiability. Highest AI and offshore ceiling in the estate.</t>
  </si>
  <si>
    <t>On-premises and non-mainframe, so the constraint is not the technology — it is that the business context exists only in Japanese, in few heads.</t>
  </si>
  <si>
    <t>C.  AI CEILING  —  phase effort mix x AI-addressable share per phase</t>
  </si>
  <si>
    <t>Delivery phase</t>
  </si>
  <si>
    <t>Share of effort</t>
  </si>
  <si>
    <t>Requirements &amp; impact analysis</t>
  </si>
  <si>
    <t>Design &amp; architecture</t>
  </si>
  <si>
    <t>Build &amp; code</t>
  </si>
  <si>
    <t>Test &amp; quality assurance</t>
  </si>
  <si>
    <t>Release &amp; deploy</t>
  </si>
  <si>
    <t>Run, monitor &amp; coordinate</t>
  </si>
  <si>
    <t>Phase mix total (must equal 100%)</t>
  </si>
  <si>
    <t>WEIGHTED AI CEILING</t>
  </si>
  <si>
    <t>D.  REALISATION, AND THE NON-AI COMPONENTS  —  portfolio defaults</t>
  </si>
  <si>
    <t>Driver</t>
  </si>
  <si>
    <t>Year 1</t>
  </si>
  <si>
    <t>Year 2</t>
  </si>
  <si>
    <t>Year 3</t>
  </si>
  <si>
    <t>Note</t>
  </si>
  <si>
    <t>AI realisation — share of ceiling captured</t>
  </si>
  <si>
    <t>Domain teams may lower this with a stated reason, e.g. a platform on a sunset path.</t>
  </si>
  <si>
    <t>Classical ADM productivity (cumulative)</t>
  </si>
  <si>
    <t>Standardisation, defect reduction, shift-left.</t>
  </si>
  <si>
    <t>Operating-model productivity (cumulative)</t>
  </si>
  <si>
    <t>Pod consolidation, span of control, one release train.</t>
  </si>
  <si>
    <t>E.  OFFSHORE CEILING</t>
  </si>
  <si>
    <t>Offshore-able ceiling</t>
  </si>
  <si>
    <t>Applied by policy</t>
  </si>
  <si>
    <t>Archetype C is held at zero: we take only the onshore Japanese-language roles while MGCC takes engineering.</t>
  </si>
  <si>
    <t>Realisation by Year 3</t>
  </si>
  <si>
    <t>F.  DERIVED PARAMETERS  —  what the Golden Inventory looks up</t>
  </si>
  <si>
    <t>Full transition into a Japanese-resident pod; knowledge capture is the critical path</t>
  </si>
  <si>
    <t>10-14 weeks per cluster</t>
  </si>
  <si>
    <t>Fully sourced, onshore-weighted</t>
  </si>
  <si>
    <t>Full transition, fastest ramp; artefacts already exist</t>
  </si>
  <si>
    <t>6-8 weeks per cluster</t>
  </si>
  <si>
    <t>Fully sourced, moving to output units</t>
  </si>
  <si>
    <t>Role handover of onshore roles; MGCC takes engineering directly from the incumbents</t>
  </si>
  <si>
    <t>6-8 weeks, role handover</t>
  </si>
  <si>
    <t>Co-sourced with MGCC, permanently</t>
  </si>
  <si>
    <t>Deepest and slowest; design truth recovered from source, schedulers and job logs</t>
  </si>
  <si>
    <t>14-20 weeks per cluster</t>
  </si>
  <si>
    <t>Fully sourced, MetLife SMEs paired</t>
  </si>
  <si>
    <t>Domain summary  —  the starting parameters for every 領域</t>
  </si>
  <si>
    <t>Each domain team begins here. The weighted ceilings are effort-weighted across that domain's own archetype mix.</t>
  </si>
  <si>
    <t>領域</t>
  </si>
  <si>
    <t>Share</t>
  </si>
  <si>
    <t>A %</t>
  </si>
  <si>
    <t>B %</t>
  </si>
  <si>
    <t>C %</t>
  </si>
  <si>
    <t>D %</t>
  </si>
  <si>
    <t>Weighted AI ceiling</t>
  </si>
  <si>
    <t>Weighted offshore ceiling</t>
  </si>
  <si>
    <t>PORTFOLIO</t>
  </si>
  <si>
    <t>How to read the last three columns</t>
  </si>
  <si>
    <t>•  WEIGHTED AI CEILING — the most productivity this domain could ever earn from AI, if every ceiling were fully realised. It is a property of the estate, not of the plan.</t>
  </si>
  <si>
    <t>•  PRODUCTIVITY BY Y3 — the ceiling put through the portfolio-default realisation curve (75% by Year 3) and compounded with classical and operating-model productivity. This is the number to price against unless you have a stated reason to differ.</t>
  </si>
  <si>
    <t>•  WEIGHTED OFFSHORE CEILING — with archetype C held at zero by policy, because on those applications MGCC takes engineering and we hold only the onshore roles.</t>
  </si>
  <si>
    <t>•  A domain may lower realisation with a documented reason — Data Infrastructure does, because Informatica is on a sunset path. It may not raise the ceiling.</t>
  </si>
  <si>
    <t>Archetype summary  —  the portfolio seen four ways</t>
  </si>
  <si>
    <t>Every figure is a roll-up of the Golden Inventory, so it moves if a classification or an override changes.</t>
  </si>
  <si>
    <t>Productivity Y3</t>
  </si>
  <si>
    <t>Offshore Y3</t>
  </si>
  <si>
    <t>Portfolio</t>
  </si>
  <si>
    <t>Portfolio figures are effort-weighted across the four archetypes.</t>
  </si>
  <si>
    <t>CHECKS  —  all three must be zero</t>
  </si>
  <si>
    <t>Check</t>
  </si>
  <si>
    <t>Expected</t>
  </si>
  <si>
    <t>Actual</t>
  </si>
  <si>
    <t>Variance</t>
  </si>
  <si>
    <t>Applications classified</t>
  </si>
  <si>
    <t>Effort classified</t>
  </si>
  <si>
    <t>Applications with no archetype</t>
  </si>
  <si>
    <t>Overrides applied</t>
  </si>
  <si>
    <t>Every override must have a matching entry on the Overrides sheet.</t>
  </si>
  <si>
    <t>Overrides and change log</t>
  </si>
  <si>
    <t>An override changes one application. It never changes the rule. No override is valid without an owner, a date and a reason.</t>
  </si>
  <si>
    <t>A.  APPLICATION OVERRIDES</t>
  </si>
  <si>
    <t>From</t>
  </si>
  <si>
    <t>To</t>
  </si>
  <si>
    <t>Reason</t>
  </si>
  <si>
    <t>Raised by</t>
  </si>
  <si>
    <t>Date</t>
  </si>
  <si>
    <t>Approved by</t>
  </si>
  <si>
    <t>Type the override into column Z of the Golden Inventory as well — this sheet is the record, that column is the mechanism.</t>
  </si>
  <si>
    <t>B.  CHANGES TO THE RULE ITSELF</t>
  </si>
  <si>
    <t>What changed</t>
  </si>
  <si>
    <t>Why</t>
  </si>
  <si>
    <t>Agreed by</t>
  </si>
  <si>
    <t>Domains re-run</t>
  </si>
  <si>
    <t>2 Sep 2026</t>
  </si>
  <si>
    <t>Archetype A / B boundary set to Cloud Indicator</t>
  </si>
  <si>
    <t>The earlier proxy (Cloud Platform contains SaaS) produced A 10 / B 94, which contradicted Section 4.1. Cloud Indicator reproduces Section 4.1's counts exactly: A 71, B 33.</t>
  </si>
  <si>
    <t>Solution architecture</t>
  </si>
  <si>
    <t>All — baseline</t>
  </si>
  <si>
    <t>C.  WHAT REQUIRES AGREEMENT ACROSS ALL DOMAINS</t>
  </si>
  <si>
    <t>•  Any change to the four rules or their order — the rule sets the price, so a change re-prices every domain.</t>
  </si>
  <si>
    <t>•  Any change to the phase mix, the AI-addressable shares, or the offshore ceilings on the Classification Rules sheet.</t>
  </si>
  <si>
    <t>•  Any change to the realisation curve used as the portfolio default. A single domain may deviate downward with a stated reason; the default itself may not move without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</si>
</sst>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scheme val="minor"/>
    </font>
    <font>
      <b/>
      <sz val="14"/>
      <color rgb="FFFFFFFF"/>
      <name val="Arial"/>
      <family val="2"/>
    </font>
    <font>
      <i/>
      <sz val="8.5"/>
      <color rgb="FF595959"/>
      <name val="Arial"/>
      <family val="2"/>
    </font>
    <font>
      <b/>
      <sz val="11"/>
      <color rgb="FF00385F"/>
      <name val="Arial"/>
      <family val="2"/>
    </font>
    <font>
      <b/>
      <sz val="10"/>
      <name val="Arial"/>
      <family val="2"/>
    </font>
    <font>
      <sz val="10"/>
      <name val="Arial"/>
      <family val="2"/>
    </font>
    <font>
      <b/>
      <sz val="9"/>
      <color rgb="FFFFFFFF"/>
      <name val="Arial"/>
      <family val="2"/>
    </font>
    <font>
      <sz val="10"/>
      <color rgb="FF0000FF"/>
      <name val="Arial"/>
      <family val="2"/>
    </font>
    <font>
      <sz val="9"/>
      <name val="Arial"/>
      <family val="2"/>
    </font>
  </fonts>
  <fills count="14">
    <fill>
      <patternFill patternType="none"/>
    </fill>
    <fill>
      <patternFill patternType="gray125"/>
    </fill>
    <fill>
      <patternFill patternType="solid">
        <fgColor rgb="FF00385F"/>
      </patternFill>
    </fill>
    <fill>
      <patternFill patternType="solid">
        <fgColor rgb="FFDCEEF9"/>
      </patternFill>
    </fill>
    <fill>
      <patternFill patternType="solid">
        <fgColor rgb="FF0090DA"/>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F2F2F2"/>
      </patternFill>
    </fill>
    <fill>
      <patternFill patternType="solid">
        <fgColor rgb="FFC00000"/>
      </patternFill>
    </fill>
    <fill>
      <patternFill patternType="solid">
        <fgColor rgb="FF7030A0"/>
      </patternFill>
    </fill>
    <fill>
      <patternFill patternType="solid">
        <fgColor rgb="FF006100"/>
      </patternFill>
    </fill>
    <fill>
      <patternFill patternType="solid">
        <fgColor rgb="FFF2E6F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4" fillId="0" borderId="1" xfId="0" applyFont="1" applyBorder="1"/>
    <xf numFmtId="0" fontId="5" fillId="0" borderId="1" xfId="0" applyFont="1" applyBorder="1" applyAlignment="1">
      <alignment vertical="center" wrapText="1"/>
    </xf>
    <xf numFmtId="0" fontId="6"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xf numFmtId="3"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3"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4" fillId="9" borderId="1" xfId="0" applyFont="1" applyFill="1" applyBorder="1"/>
    <xf numFmtId="165" fontId="4" fillId="9" borderId="1" xfId="0" applyNumberFormat="1" applyFont="1" applyFill="1" applyBorder="1" applyAlignment="1">
      <alignment horizontal="center" vertical="center"/>
    </xf>
    <xf numFmtId="0" fontId="2" fillId="0" borderId="1" xfId="0" applyFont="1" applyBorder="1"/>
    <xf numFmtId="0" fontId="2" fillId="0" borderId="0" xfId="0" applyFont="1"/>
    <xf numFmtId="165" fontId="5" fillId="0" borderId="1" xfId="0" applyNumberFormat="1" applyFont="1" applyBorder="1" applyAlignment="1">
      <alignment horizontal="center" vertical="center"/>
    </xf>
    <xf numFmtId="0" fontId="8" fillId="0" borderId="1" xfId="0" applyFont="1" applyBorder="1" applyAlignment="1">
      <alignment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3" fontId="8" fillId="0" borderId="1" xfId="0" applyNumberFormat="1" applyFont="1" applyBorder="1" applyAlignment="1">
      <alignment horizontal="center" vertical="center"/>
    </xf>
    <xf numFmtId="0" fontId="8" fillId="0" borderId="1" xfId="0" applyFont="1" applyBorder="1"/>
    <xf numFmtId="164"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0" fontId="5" fillId="0" borderId="1" xfId="0" applyFont="1" applyBorder="1" applyAlignment="1">
      <alignment horizontal="center" vertical="center"/>
    </xf>
    <xf numFmtId="0" fontId="7" fillId="13" borderId="1" xfId="0" applyFont="1" applyFill="1" applyBorder="1" applyAlignment="1">
      <alignment horizontal="center" vertical="center"/>
    </xf>
    <xf numFmtId="9" fontId="8" fillId="0" borderId="1" xfId="0" applyNumberFormat="1" applyFont="1" applyBorder="1" applyAlignment="1">
      <alignment horizontal="center" vertical="center"/>
    </xf>
    <xf numFmtId="3" fontId="4" fillId="9" borderId="1" xfId="0" applyNumberFormat="1" applyFont="1" applyFill="1" applyBorder="1" applyAlignment="1">
      <alignment horizontal="center" vertical="center"/>
    </xf>
    <xf numFmtId="164" fontId="4" fillId="9" borderId="1" xfId="0" applyNumberFormat="1" applyFont="1" applyFill="1" applyBorder="1" applyAlignment="1">
      <alignment horizontal="center" vertical="center"/>
    </xf>
    <xf numFmtId="9" fontId="4" fillId="9" borderId="1" xfId="0" applyNumberFormat="1" applyFont="1" applyFill="1" applyBorder="1" applyAlignment="1">
      <alignment horizontal="center" vertical="center"/>
    </xf>
    <xf numFmtId="0" fontId="3" fillId="0" borderId="0" xfId="0" applyFont="1"/>
    <xf numFmtId="0" fontId="7" fillId="0" borderId="1" xfId="0" applyFont="1" applyBorder="1"/>
    <xf numFmtId="0" fontId="7" fillId="0" borderId="1" xfId="0" applyFont="1" applyBorder="1" applyAlignment="1">
      <alignment horizontal="center" vertical="center"/>
    </xf>
    <xf numFmtId="0" fontId="1" fillId="2" borderId="0" xfId="0" applyFont="1" applyFill="1" applyAlignment="1">
      <alignment vertical="center" indent="1"/>
    </xf>
    <xf numFmtId="0" fontId="0" fillId="0" borderId="0" xfId="0"/>
    <xf numFmtId="0" fontId="2" fillId="0" borderId="0" xfId="0" applyFont="1" applyAlignment="1">
      <alignment indent="1"/>
    </xf>
    <xf numFmtId="0" fontId="3" fillId="3" borderId="0" xfId="0" applyFont="1" applyFill="1" applyAlignment="1">
      <alignment vertical="center" indent="1"/>
    </xf>
    <xf numFmtId="0" fontId="5" fillId="0" borderId="1" xfId="0" applyFont="1" applyBorder="1" applyAlignment="1">
      <alignment vertical="center" wrapText="1"/>
    </xf>
    <xf numFmtId="0" fontId="0" fillId="0" borderId="2" xfId="0" applyBorder="1"/>
    <xf numFmtId="0" fontId="0" fillId="0" borderId="3" xfId="0" applyBorder="1"/>
    <xf numFmtId="0" fontId="8" fillId="0" borderId="1" xfId="0" applyFont="1" applyBorder="1" applyAlignment="1">
      <alignment vertical="center" wrapText="1"/>
    </xf>
  </cellXfs>
  <cellStyles count="1">
    <cellStyle name="Normal" xfId="0" builtinId="0"/>
  </cellStyles>
  <dxfs count="5">
    <dxf>
      <fill>
        <patternFill patternType="solid">
          <fgColor rgb="FFE2EFDA"/>
        </patternFill>
      </fill>
    </dxf>
    <dxf>
      <fill>
        <patternFill patternType="solid">
          <fgColor rgb="FFFFF2CC"/>
        </patternFill>
      </fill>
    </dxf>
    <dxf>
      <fill>
        <patternFill patternType="solid">
          <fgColor rgb="FFDDEBF7"/>
        </patternFill>
      </fill>
    </dxf>
    <dxf>
      <fill>
        <patternFill patternType="solid">
          <fgColor rgb="FFFCE4D6"/>
        </patternFill>
      </fill>
    </dxf>
    <dxf>
      <font>
        <b/>
        <sz val="9"/>
        <color rgb="FF7030A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sqref="A1:F1"/>
    </sheetView>
  </sheetViews>
  <sheetFormatPr defaultColWidth="8.77734375" defaultRowHeight="14.4" x14ac:dyDescent="0.3"/>
  <cols>
    <col min="1" max="1" width="3" customWidth="1"/>
    <col min="2" max="2" width="30" customWidth="1"/>
    <col min="3" max="3" width="100" customWidth="1"/>
  </cols>
  <sheetData>
    <row r="1" spans="1:6" ht="25.95" customHeight="1" x14ac:dyDescent="0.3">
      <c r="A1" s="38" t="s">
        <v>455</v>
      </c>
      <c r="B1" s="39"/>
      <c r="C1" s="39"/>
      <c r="D1" s="39"/>
      <c r="E1" s="39"/>
      <c r="F1" s="39"/>
    </row>
    <row r="2" spans="1:6" x14ac:dyDescent="0.3">
      <c r="A2" s="40" t="s">
        <v>456</v>
      </c>
      <c r="B2" s="39"/>
      <c r="C2" s="39"/>
      <c r="D2" s="39"/>
      <c r="E2" s="39"/>
      <c r="F2" s="39"/>
    </row>
    <row r="4" spans="1:6" ht="19.05" customHeight="1" x14ac:dyDescent="0.3">
      <c r="A4" s="41" t="s">
        <v>457</v>
      </c>
      <c r="B4" s="39"/>
      <c r="C4" s="39"/>
    </row>
    <row r="5" spans="1:6" ht="31.95" customHeight="1" x14ac:dyDescent="0.3">
      <c r="B5" s="1" t="s">
        <v>458</v>
      </c>
      <c r="C5" s="2" t="s">
        <v>459</v>
      </c>
    </row>
    <row r="6" spans="1:6" ht="31.95" customHeight="1" x14ac:dyDescent="0.3">
      <c r="B6" s="1" t="s">
        <v>460</v>
      </c>
      <c r="C6" s="2" t="s">
        <v>461</v>
      </c>
    </row>
    <row r="7" spans="1:6" ht="31.95" customHeight="1" x14ac:dyDescent="0.3">
      <c r="B7" s="1" t="s">
        <v>462</v>
      </c>
      <c r="C7" s="2" t="s">
        <v>463</v>
      </c>
    </row>
    <row r="8" spans="1:6" ht="19.05" customHeight="1" x14ac:dyDescent="0.3">
      <c r="A8" s="41" t="s">
        <v>464</v>
      </c>
      <c r="B8" s="39"/>
      <c r="C8" s="39"/>
    </row>
    <row r="9" spans="1:6" ht="31.95" customHeight="1" x14ac:dyDescent="0.3">
      <c r="B9" s="1" t="s">
        <v>465</v>
      </c>
      <c r="C9" s="2" t="s">
        <v>466</v>
      </c>
    </row>
    <row r="10" spans="1:6" ht="31.95" customHeight="1" x14ac:dyDescent="0.3">
      <c r="B10" s="1" t="s">
        <v>467</v>
      </c>
      <c r="C10" s="2" t="s">
        <v>468</v>
      </c>
    </row>
    <row r="11" spans="1:6" ht="31.95" customHeight="1" x14ac:dyDescent="0.3">
      <c r="B11" s="1" t="s">
        <v>469</v>
      </c>
      <c r="C11" s="2" t="s">
        <v>470</v>
      </c>
    </row>
    <row r="12" spans="1:6" ht="31.95" customHeight="1" x14ac:dyDescent="0.3">
      <c r="B12" s="1" t="s">
        <v>471</v>
      </c>
      <c r="C12" s="2" t="s">
        <v>472</v>
      </c>
    </row>
    <row r="13" spans="1:6" ht="19.05" customHeight="1" x14ac:dyDescent="0.3">
      <c r="A13" s="41" t="s">
        <v>473</v>
      </c>
      <c r="B13" s="39"/>
      <c r="C13" s="39"/>
    </row>
    <row r="14" spans="1:6" ht="31.95" customHeight="1" x14ac:dyDescent="0.3">
      <c r="B14" s="1" t="s">
        <v>474</v>
      </c>
      <c r="C14" s="2" t="s">
        <v>475</v>
      </c>
    </row>
    <row r="15" spans="1:6" ht="31.95" customHeight="1" x14ac:dyDescent="0.3">
      <c r="B15" s="1" t="s">
        <v>476</v>
      </c>
      <c r="C15" s="2" t="s">
        <v>477</v>
      </c>
    </row>
    <row r="16" spans="1:6" ht="31.95" customHeight="1" x14ac:dyDescent="0.3">
      <c r="B16" s="1" t="s">
        <v>478</v>
      </c>
      <c r="C16" s="2" t="s">
        <v>479</v>
      </c>
    </row>
    <row r="17" spans="1:3" ht="31.95" customHeight="1" x14ac:dyDescent="0.3">
      <c r="B17" s="1" t="s">
        <v>480</v>
      </c>
      <c r="C17" s="2" t="s">
        <v>481</v>
      </c>
    </row>
    <row r="18" spans="1:3" ht="31.95" customHeight="1" x14ac:dyDescent="0.3">
      <c r="B18" s="1" t="s">
        <v>482</v>
      </c>
      <c r="C18" s="2" t="s">
        <v>483</v>
      </c>
    </row>
    <row r="19" spans="1:3" ht="19.05" customHeight="1" x14ac:dyDescent="0.3">
      <c r="A19" s="41" t="s">
        <v>484</v>
      </c>
      <c r="B19" s="39"/>
      <c r="C19" s="39"/>
    </row>
    <row r="20" spans="1:3" ht="31.95" customHeight="1" x14ac:dyDescent="0.3">
      <c r="B20" s="1" t="s">
        <v>485</v>
      </c>
      <c r="C20" s="2" t="s">
        <v>486</v>
      </c>
    </row>
    <row r="21" spans="1:3" ht="31.95" customHeight="1" x14ac:dyDescent="0.3">
      <c r="B21" s="1" t="s">
        <v>487</v>
      </c>
      <c r="C21" s="2" t="s">
        <v>488</v>
      </c>
    </row>
    <row r="22" spans="1:3" ht="31.95" customHeight="1" x14ac:dyDescent="0.3">
      <c r="B22" s="1" t="s">
        <v>489</v>
      </c>
      <c r="C22" s="2" t="s">
        <v>490</v>
      </c>
    </row>
    <row r="23" spans="1:3" ht="19.05" customHeight="1" x14ac:dyDescent="0.3">
      <c r="A23" s="41" t="s">
        <v>491</v>
      </c>
      <c r="B23" s="39"/>
      <c r="C23" s="39"/>
    </row>
    <row r="24" spans="1:3" ht="31.95" customHeight="1" x14ac:dyDescent="0.3">
      <c r="B24" s="1" t="s">
        <v>492</v>
      </c>
      <c r="C24" s="2" t="s">
        <v>493</v>
      </c>
    </row>
    <row r="25" spans="1:3" ht="31.95" customHeight="1" x14ac:dyDescent="0.3">
      <c r="B25" s="1" t="s">
        <v>494</v>
      </c>
      <c r="C25" s="2" t="s">
        <v>495</v>
      </c>
    </row>
    <row r="26" spans="1:3" ht="31.95" customHeight="1" x14ac:dyDescent="0.3">
      <c r="B26" s="1" t="s">
        <v>496</v>
      </c>
      <c r="C26" s="2" t="s">
        <v>497</v>
      </c>
    </row>
    <row r="27" spans="1:3" ht="31.95" customHeight="1" x14ac:dyDescent="0.3">
      <c r="B27" s="1" t="s">
        <v>498</v>
      </c>
      <c r="C27" s="2" t="s">
        <v>499</v>
      </c>
    </row>
  </sheetData>
  <mergeCells count="7">
    <mergeCell ref="A2:F2"/>
    <mergeCell ref="A19:C19"/>
    <mergeCell ref="A13:C13"/>
    <mergeCell ref="A23:C23"/>
    <mergeCell ref="A1:F1"/>
    <mergeCell ref="A8:C8"/>
    <mergeCell ref="A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6"/>
  <sheetViews>
    <sheetView workbookViewId="0">
      <selection sqref="A1:J1"/>
    </sheetView>
  </sheetViews>
  <sheetFormatPr defaultColWidth="8.77734375" defaultRowHeight="14.4" x14ac:dyDescent="0.3"/>
  <cols>
    <col min="1" max="1" width="2" customWidth="1"/>
    <col min="2" max="2" width="16" customWidth="1"/>
    <col min="3" max="3" width="30" customWidth="1"/>
    <col min="4" max="4" width="46" customWidth="1"/>
    <col min="5" max="5" width="20.44140625" customWidth="1"/>
    <col min="6" max="9" width="14" customWidth="1"/>
    <col min="10" max="10" width="40" customWidth="1"/>
  </cols>
  <sheetData>
    <row r="1" spans="1:10" ht="25.95" customHeight="1" x14ac:dyDescent="0.3">
      <c r="A1" s="38" t="s">
        <v>500</v>
      </c>
      <c r="B1" s="39"/>
      <c r="C1" s="39"/>
      <c r="D1" s="39"/>
      <c r="E1" s="39"/>
      <c r="F1" s="39"/>
      <c r="G1" s="39"/>
      <c r="H1" s="39"/>
      <c r="I1" s="39"/>
      <c r="J1" s="39"/>
    </row>
    <row r="2" spans="1:10" x14ac:dyDescent="0.3">
      <c r="A2" s="40" t="s">
        <v>501</v>
      </c>
      <c r="B2" s="39"/>
      <c r="C2" s="39"/>
      <c r="D2" s="39"/>
      <c r="E2" s="39"/>
      <c r="F2" s="39"/>
      <c r="G2" s="39"/>
      <c r="H2" s="39"/>
      <c r="I2" s="39"/>
      <c r="J2" s="39"/>
    </row>
    <row r="4" spans="1:10" ht="19.05" customHeight="1" x14ac:dyDescent="0.3">
      <c r="A4" s="41" t="s">
        <v>502</v>
      </c>
      <c r="B4" s="39"/>
      <c r="C4" s="39"/>
      <c r="D4" s="39"/>
      <c r="E4" s="39"/>
      <c r="F4" s="39"/>
      <c r="G4" s="39"/>
      <c r="H4" s="39"/>
      <c r="I4" s="39"/>
    </row>
    <row r="5" spans="1:10" ht="31.95" customHeight="1" x14ac:dyDescent="0.3">
      <c r="B5" s="3" t="s">
        <v>503</v>
      </c>
      <c r="C5" s="3" t="s">
        <v>504</v>
      </c>
      <c r="D5" s="3" t="s">
        <v>505</v>
      </c>
      <c r="E5" s="3" t="s">
        <v>506</v>
      </c>
      <c r="F5" s="3" t="s">
        <v>507</v>
      </c>
      <c r="G5" s="3" t="s">
        <v>487</v>
      </c>
    </row>
    <row r="6" spans="1:10" ht="55.95" customHeight="1" x14ac:dyDescent="0.3">
      <c r="B6" s="4" t="s">
        <v>508</v>
      </c>
      <c r="C6" s="5" t="s">
        <v>509</v>
      </c>
      <c r="D6" s="6" t="s">
        <v>510</v>
      </c>
      <c r="E6" s="2" t="s">
        <v>511</v>
      </c>
      <c r="F6" s="7">
        <f>COUNTIF('Golden Inventory'!$AA:$AA,$C6)</f>
        <v>28</v>
      </c>
      <c r="G6" s="8">
        <f>SUMIF('Golden Inventory'!$AA:$AA,$C6,'Golden Inventory'!$T:$T)</f>
        <v>237.50779166666666</v>
      </c>
    </row>
    <row r="7" spans="1:10" ht="28.05" customHeight="1" x14ac:dyDescent="0.3">
      <c r="B7" s="4" t="s">
        <v>512</v>
      </c>
      <c r="C7" s="9" t="s">
        <v>513</v>
      </c>
      <c r="D7" s="6" t="s">
        <v>514</v>
      </c>
      <c r="E7" s="2" t="s">
        <v>515</v>
      </c>
      <c r="F7" s="7">
        <f>COUNTIF('Golden Inventory'!$AA:$AA,$C7)</f>
        <v>10</v>
      </c>
      <c r="G7" s="8">
        <f>SUMIF('Golden Inventory'!$AA:$AA,$C7,'Golden Inventory'!$T:$T)</f>
        <v>569.88025000000005</v>
      </c>
    </row>
    <row r="8" spans="1:10" ht="28.05" customHeight="1" x14ac:dyDescent="0.3">
      <c r="B8" s="4" t="s">
        <v>516</v>
      </c>
      <c r="C8" s="10" t="s">
        <v>517</v>
      </c>
      <c r="D8" s="6" t="s">
        <v>518</v>
      </c>
      <c r="E8" s="2" t="s">
        <v>519</v>
      </c>
      <c r="F8" s="7">
        <f>COUNTIF('Golden Inventory'!$AA:$AA,$C8)</f>
        <v>33</v>
      </c>
      <c r="G8" s="8">
        <f>SUMIF('Golden Inventory'!$AA:$AA,$C8,'Golden Inventory'!$T:$T)</f>
        <v>379.5044666666667</v>
      </c>
    </row>
    <row r="9" spans="1:10" ht="55.95" customHeight="1" x14ac:dyDescent="0.3">
      <c r="B9" s="4" t="s">
        <v>520</v>
      </c>
      <c r="C9" s="11" t="s">
        <v>521</v>
      </c>
      <c r="D9" s="6" t="s">
        <v>522</v>
      </c>
      <c r="E9" s="2" t="s">
        <v>523</v>
      </c>
      <c r="F9" s="7">
        <f>COUNTIF('Golden Inventory'!$AA:$AA,$C9)</f>
        <v>71</v>
      </c>
      <c r="G9" s="8">
        <f>SUMIF('Golden Inventory'!$AA:$AA,$C9,'Golden Inventory'!$T:$T)</f>
        <v>317.08354166666669</v>
      </c>
    </row>
    <row r="10" spans="1:10" x14ac:dyDescent="0.3">
      <c r="D10" s="1" t="s">
        <v>524</v>
      </c>
      <c r="F10" s="12">
        <f>SUM(F6:F9)</f>
        <v>142</v>
      </c>
      <c r="G10" s="13">
        <f>SUM(G6:G9)</f>
        <v>1503.97605</v>
      </c>
    </row>
    <row r="12" spans="1:10" ht="19.05" customHeight="1" x14ac:dyDescent="0.3">
      <c r="A12" s="41" t="s">
        <v>525</v>
      </c>
      <c r="B12" s="39"/>
      <c r="C12" s="39"/>
      <c r="D12" s="39"/>
      <c r="E12" s="39"/>
      <c r="F12" s="39"/>
      <c r="G12" s="39"/>
      <c r="H12" s="39"/>
      <c r="I12" s="39"/>
    </row>
    <row r="13" spans="1:10" ht="30" customHeight="1" x14ac:dyDescent="0.3">
      <c r="B13" s="5" t="s">
        <v>509</v>
      </c>
      <c r="C13" s="1" t="s">
        <v>510</v>
      </c>
      <c r="D13" s="42" t="s">
        <v>526</v>
      </c>
      <c r="E13" s="43"/>
      <c r="F13" s="43"/>
      <c r="G13" s="43"/>
      <c r="H13" s="43"/>
      <c r="I13" s="44"/>
    </row>
    <row r="14" spans="1:10" ht="30" customHeight="1" x14ac:dyDescent="0.3">
      <c r="B14" s="9" t="s">
        <v>513</v>
      </c>
      <c r="C14" s="1" t="s">
        <v>514</v>
      </c>
      <c r="D14" s="42" t="s">
        <v>527</v>
      </c>
      <c r="E14" s="43"/>
      <c r="F14" s="43"/>
      <c r="G14" s="43"/>
      <c r="H14" s="43"/>
      <c r="I14" s="44"/>
    </row>
    <row r="15" spans="1:10" ht="30" customHeight="1" x14ac:dyDescent="0.3">
      <c r="B15" s="10" t="s">
        <v>517</v>
      </c>
      <c r="C15" s="1" t="s">
        <v>518</v>
      </c>
      <c r="D15" s="42" t="s">
        <v>528</v>
      </c>
      <c r="E15" s="43"/>
      <c r="F15" s="43"/>
      <c r="G15" s="43"/>
      <c r="H15" s="43"/>
      <c r="I15" s="44"/>
    </row>
    <row r="16" spans="1:10" ht="30" customHeight="1" x14ac:dyDescent="0.3">
      <c r="B16" s="11" t="s">
        <v>521</v>
      </c>
      <c r="C16" s="1" t="s">
        <v>522</v>
      </c>
      <c r="D16" s="42" t="s">
        <v>529</v>
      </c>
      <c r="E16" s="43"/>
      <c r="F16" s="43"/>
      <c r="G16" s="43"/>
      <c r="H16" s="43"/>
      <c r="I16" s="44"/>
    </row>
    <row r="18" spans="1:9" ht="19.05" customHeight="1" x14ac:dyDescent="0.3">
      <c r="A18" s="41" t="s">
        <v>530</v>
      </c>
      <c r="B18" s="39"/>
      <c r="C18" s="39"/>
      <c r="D18" s="39"/>
      <c r="E18" s="39"/>
      <c r="F18" s="39"/>
      <c r="G18" s="39"/>
      <c r="H18" s="39"/>
      <c r="I18" s="39"/>
    </row>
    <row r="19" spans="1:9" ht="31.95" customHeight="1" x14ac:dyDescent="0.3">
      <c r="B19" s="3" t="s">
        <v>531</v>
      </c>
      <c r="C19" s="3" t="s">
        <v>532</v>
      </c>
      <c r="D19" s="3" t="s">
        <v>521</v>
      </c>
      <c r="E19" s="3" t="s">
        <v>517</v>
      </c>
      <c r="F19" s="3" t="s">
        <v>513</v>
      </c>
      <c r="G19" s="3" t="s">
        <v>509</v>
      </c>
    </row>
    <row r="20" spans="1:9" x14ac:dyDescent="0.3">
      <c r="B20" s="6" t="s">
        <v>533</v>
      </c>
      <c r="C20" s="14">
        <v>0.15</v>
      </c>
      <c r="D20" s="14">
        <v>0.22</v>
      </c>
      <c r="E20" s="14">
        <v>0.35</v>
      </c>
      <c r="F20" s="14">
        <v>0.35</v>
      </c>
      <c r="G20" s="14">
        <v>0.35</v>
      </c>
    </row>
    <row r="21" spans="1:9" x14ac:dyDescent="0.3">
      <c r="B21" s="6" t="s">
        <v>534</v>
      </c>
      <c r="C21" s="14">
        <v>0.1</v>
      </c>
      <c r="D21" s="14">
        <v>0.2</v>
      </c>
      <c r="E21" s="14">
        <v>0.3</v>
      </c>
      <c r="F21" s="14">
        <v>0.3</v>
      </c>
      <c r="G21" s="14">
        <v>0.22</v>
      </c>
    </row>
    <row r="22" spans="1:9" x14ac:dyDescent="0.3">
      <c r="B22" s="6" t="s">
        <v>535</v>
      </c>
      <c r="C22" s="14">
        <v>0.3</v>
      </c>
      <c r="D22" s="14">
        <v>0.32</v>
      </c>
      <c r="E22" s="14">
        <v>0.55000000000000004</v>
      </c>
      <c r="F22" s="14">
        <v>0.5</v>
      </c>
      <c r="G22" s="14">
        <v>0.2</v>
      </c>
    </row>
    <row r="23" spans="1:9" x14ac:dyDescent="0.3">
      <c r="B23" s="6" t="s">
        <v>536</v>
      </c>
      <c r="C23" s="14">
        <v>0.25</v>
      </c>
      <c r="D23" s="14">
        <v>0.38</v>
      </c>
      <c r="E23" s="14">
        <v>0.6</v>
      </c>
      <c r="F23" s="14">
        <v>0.55000000000000004</v>
      </c>
      <c r="G23" s="14">
        <v>0.4</v>
      </c>
    </row>
    <row r="24" spans="1:9" x14ac:dyDescent="0.3">
      <c r="B24" s="6" t="s">
        <v>537</v>
      </c>
      <c r="C24" s="14">
        <v>0.05</v>
      </c>
      <c r="D24" s="14">
        <v>0.3</v>
      </c>
      <c r="E24" s="14">
        <v>0.5</v>
      </c>
      <c r="F24" s="14">
        <v>0.45</v>
      </c>
      <c r="G24" s="14">
        <v>0.25</v>
      </c>
    </row>
    <row r="25" spans="1:9" x14ac:dyDescent="0.3">
      <c r="B25" s="6" t="s">
        <v>538</v>
      </c>
      <c r="C25" s="14">
        <v>0.15</v>
      </c>
      <c r="D25" s="14">
        <v>0.3</v>
      </c>
      <c r="E25" s="14">
        <v>0.4</v>
      </c>
      <c r="F25" s="14">
        <v>0.4</v>
      </c>
      <c r="G25" s="14">
        <v>0.32</v>
      </c>
    </row>
    <row r="26" spans="1:9" x14ac:dyDescent="0.3">
      <c r="B26" s="1" t="s">
        <v>539</v>
      </c>
      <c r="C26" s="15">
        <f>SUM(C20:C25)</f>
        <v>1</v>
      </c>
    </row>
    <row r="27" spans="1:9" x14ac:dyDescent="0.3">
      <c r="B27" s="16" t="s">
        <v>540</v>
      </c>
      <c r="D27" s="17">
        <f>SUMPRODUCT($C$20:$C$25,D20:D25)</f>
        <v>0.30399999999999999</v>
      </c>
      <c r="E27" s="17">
        <f>SUMPRODUCT($C$20:$C$25,E20:E25)</f>
        <v>0.48249999999999998</v>
      </c>
      <c r="F27" s="17">
        <f>SUMPRODUCT($C$20:$C$25,F20:F25)</f>
        <v>0.45250000000000001</v>
      </c>
      <c r="G27" s="17">
        <f>SUMPRODUCT($C$20:$C$25,G20:G25)</f>
        <v>0.29500000000000004</v>
      </c>
    </row>
    <row r="29" spans="1:9" ht="19.05" customHeight="1" x14ac:dyDescent="0.3">
      <c r="A29" s="41" t="s">
        <v>541</v>
      </c>
      <c r="B29" s="39"/>
      <c r="C29" s="39"/>
      <c r="D29" s="39"/>
      <c r="E29" s="39"/>
      <c r="F29" s="39"/>
      <c r="G29" s="39"/>
      <c r="H29" s="39"/>
      <c r="I29" s="39"/>
    </row>
    <row r="30" spans="1:9" ht="31.95" customHeight="1" x14ac:dyDescent="0.3">
      <c r="B30" s="3" t="s">
        <v>542</v>
      </c>
      <c r="C30" s="3" t="s">
        <v>543</v>
      </c>
      <c r="D30" s="3" t="s">
        <v>544</v>
      </c>
      <c r="E30" s="3" t="s">
        <v>545</v>
      </c>
      <c r="F30" s="3"/>
      <c r="G30" s="3" t="s">
        <v>546</v>
      </c>
    </row>
    <row r="31" spans="1:9" x14ac:dyDescent="0.3">
      <c r="B31" s="6" t="s">
        <v>547</v>
      </c>
      <c r="C31" s="14">
        <v>0.25</v>
      </c>
      <c r="D31" s="14">
        <v>0.55000000000000004</v>
      </c>
      <c r="E31" s="14">
        <v>0.75</v>
      </c>
      <c r="G31" s="18" t="s">
        <v>548</v>
      </c>
    </row>
    <row r="32" spans="1:9" x14ac:dyDescent="0.3">
      <c r="B32" s="6" t="s">
        <v>549</v>
      </c>
      <c r="C32" s="14">
        <v>0.02</v>
      </c>
      <c r="D32" s="14">
        <v>0.05</v>
      </c>
      <c r="E32" s="14">
        <v>7.0000000000000007E-2</v>
      </c>
      <c r="G32" s="18" t="s">
        <v>550</v>
      </c>
    </row>
    <row r="33" spans="1:10" x14ac:dyDescent="0.3">
      <c r="B33" s="6" t="s">
        <v>551</v>
      </c>
      <c r="C33" s="14">
        <v>0.03</v>
      </c>
      <c r="D33" s="14">
        <v>0.06</v>
      </c>
      <c r="E33" s="14">
        <v>0.08</v>
      </c>
      <c r="G33" s="18" t="s">
        <v>552</v>
      </c>
    </row>
    <row r="35" spans="1:10" ht="19.05" customHeight="1" x14ac:dyDescent="0.3">
      <c r="A35" s="41" t="s">
        <v>553</v>
      </c>
      <c r="B35" s="39"/>
      <c r="C35" s="39"/>
      <c r="D35" s="39"/>
      <c r="E35" s="39"/>
      <c r="F35" s="39"/>
      <c r="G35" s="39"/>
      <c r="H35" s="39"/>
      <c r="I35" s="39"/>
    </row>
    <row r="36" spans="1:10" ht="31.95" customHeight="1" x14ac:dyDescent="0.3">
      <c r="B36" s="3"/>
      <c r="C36" s="3" t="s">
        <v>521</v>
      </c>
      <c r="D36" s="3" t="s">
        <v>517</v>
      </c>
      <c r="E36" s="3" t="s">
        <v>513</v>
      </c>
      <c r="F36" s="3" t="s">
        <v>509</v>
      </c>
    </row>
    <row r="37" spans="1:10" x14ac:dyDescent="0.3">
      <c r="B37" s="6" t="s">
        <v>554</v>
      </c>
      <c r="C37" s="14">
        <v>0.15</v>
      </c>
      <c r="D37" s="14">
        <v>0.78</v>
      </c>
      <c r="E37" s="14">
        <v>0.85</v>
      </c>
      <c r="F37" s="14">
        <v>0.57999999999999996</v>
      </c>
    </row>
    <row r="38" spans="1:10" x14ac:dyDescent="0.3">
      <c r="B38" s="6" t="s">
        <v>555</v>
      </c>
      <c r="C38" s="14">
        <v>0.15</v>
      </c>
      <c r="D38" s="14">
        <v>0.78</v>
      </c>
      <c r="E38" s="14">
        <v>0</v>
      </c>
      <c r="F38" s="14">
        <v>0.57999999999999996</v>
      </c>
      <c r="H38" s="19" t="s">
        <v>556</v>
      </c>
    </row>
    <row r="39" spans="1:10" x14ac:dyDescent="0.3">
      <c r="B39" s="6" t="s">
        <v>557</v>
      </c>
      <c r="C39" s="14">
        <v>0.93</v>
      </c>
    </row>
    <row r="41" spans="1:10" ht="19.05" customHeight="1" x14ac:dyDescent="0.3">
      <c r="A41" s="41" t="s">
        <v>558</v>
      </c>
      <c r="B41" s="39"/>
      <c r="C41" s="39"/>
      <c r="D41" s="39"/>
      <c r="E41" s="39"/>
      <c r="F41" s="39"/>
      <c r="G41" s="39"/>
      <c r="H41" s="39"/>
      <c r="I41" s="39"/>
    </row>
    <row r="42" spans="1:10" ht="31.95" customHeight="1" x14ac:dyDescent="0.3">
      <c r="B42" s="3" t="s">
        <v>504</v>
      </c>
      <c r="C42" s="3" t="s">
        <v>505</v>
      </c>
      <c r="D42" s="3" t="s">
        <v>32</v>
      </c>
      <c r="E42" s="3" t="s">
        <v>33</v>
      </c>
      <c r="F42" s="3" t="s">
        <v>34</v>
      </c>
      <c r="G42" s="3" t="s">
        <v>35</v>
      </c>
      <c r="H42" s="3" t="s">
        <v>36</v>
      </c>
      <c r="I42" s="3" t="s">
        <v>37</v>
      </c>
      <c r="J42" s="3" t="s">
        <v>38</v>
      </c>
    </row>
    <row r="43" spans="1:10" ht="31.95" customHeight="1" x14ac:dyDescent="0.3">
      <c r="B43" s="11" t="s">
        <v>521</v>
      </c>
      <c r="C43" s="6" t="s">
        <v>522</v>
      </c>
      <c r="D43" s="20">
        <f>D$27</f>
        <v>0.30399999999999999</v>
      </c>
      <c r="E43" s="20">
        <f>1-(1-D$27*$E$31)*(1-$E$32)*(1-$E$33)</f>
        <v>0.33947680000000002</v>
      </c>
      <c r="F43" s="20">
        <f>C$38</f>
        <v>0.15</v>
      </c>
      <c r="G43" s="20">
        <f>C$38*$C$39</f>
        <v>0.13950000000000001</v>
      </c>
      <c r="H43" s="21" t="s">
        <v>559</v>
      </c>
      <c r="I43" s="21" t="s">
        <v>560</v>
      </c>
      <c r="J43" s="21" t="s">
        <v>561</v>
      </c>
    </row>
    <row r="44" spans="1:10" ht="31.95" customHeight="1" x14ac:dyDescent="0.3">
      <c r="B44" s="10" t="s">
        <v>517</v>
      </c>
      <c r="C44" s="6" t="s">
        <v>518</v>
      </c>
      <c r="D44" s="20">
        <f>E$27</f>
        <v>0.48249999999999998</v>
      </c>
      <c r="E44" s="20">
        <f>1-(1-E$27*$E$31)*(1-$E$32)*(1-$E$33)</f>
        <v>0.45402025000000001</v>
      </c>
      <c r="F44" s="20">
        <f>D$38</f>
        <v>0.78</v>
      </c>
      <c r="G44" s="20">
        <f>D$38*$C$39</f>
        <v>0.72540000000000004</v>
      </c>
      <c r="H44" s="21" t="s">
        <v>562</v>
      </c>
      <c r="I44" s="21" t="s">
        <v>563</v>
      </c>
      <c r="J44" s="21" t="s">
        <v>564</v>
      </c>
    </row>
    <row r="45" spans="1:10" ht="31.95" customHeight="1" x14ac:dyDescent="0.3">
      <c r="B45" s="9" t="s">
        <v>513</v>
      </c>
      <c r="C45" s="6" t="s">
        <v>514</v>
      </c>
      <c r="D45" s="20">
        <f>F$27</f>
        <v>0.45250000000000001</v>
      </c>
      <c r="E45" s="20">
        <f>1-(1-F$27*$E$31)*(1-$E$32)*(1-$E$33)</f>
        <v>0.43476925</v>
      </c>
      <c r="F45" s="20">
        <f>E$38</f>
        <v>0</v>
      </c>
      <c r="G45" s="20">
        <f>E$38*$C$39</f>
        <v>0</v>
      </c>
      <c r="H45" s="21" t="s">
        <v>565</v>
      </c>
      <c r="I45" s="21" t="s">
        <v>566</v>
      </c>
      <c r="J45" s="21" t="s">
        <v>567</v>
      </c>
    </row>
    <row r="46" spans="1:10" ht="31.95" customHeight="1" x14ac:dyDescent="0.3">
      <c r="B46" s="5" t="s">
        <v>509</v>
      </c>
      <c r="C46" s="6" t="s">
        <v>510</v>
      </c>
      <c r="D46" s="20">
        <f>G$27</f>
        <v>0.29500000000000004</v>
      </c>
      <c r="E46" s="20">
        <f>1-(1-G$27*$E$31)*(1-$E$32)*(1-$E$33)</f>
        <v>0.3337015000000001</v>
      </c>
      <c r="F46" s="20">
        <f>F$38</f>
        <v>0.57999999999999996</v>
      </c>
      <c r="G46" s="20">
        <f>F$38*$C$39</f>
        <v>0.53939999999999999</v>
      </c>
      <c r="H46" s="21" t="s">
        <v>568</v>
      </c>
      <c r="I46" s="21" t="s">
        <v>569</v>
      </c>
      <c r="J46" s="21" t="s">
        <v>570</v>
      </c>
    </row>
  </sheetData>
  <mergeCells count="12">
    <mergeCell ref="A29:I29"/>
    <mergeCell ref="A1:J1"/>
    <mergeCell ref="A41:I41"/>
    <mergeCell ref="D15:I15"/>
    <mergeCell ref="D13:I13"/>
    <mergeCell ref="D14:I14"/>
    <mergeCell ref="A18:I18"/>
    <mergeCell ref="A12:I12"/>
    <mergeCell ref="A2:J2"/>
    <mergeCell ref="D16:I16"/>
    <mergeCell ref="A4:I4"/>
    <mergeCell ref="A35:I3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46"/>
  <sheetViews>
    <sheetView tabSelected="1" workbookViewId="0">
      <pane xSplit="23" ySplit="4" topLeftCell="X5" activePane="bottomRight" state="frozen"/>
      <selection pane="topRight"/>
      <selection pane="bottomLeft"/>
      <selection pane="bottomRight" activeCell="F5" sqref="F5"/>
    </sheetView>
  </sheetViews>
  <sheetFormatPr defaultColWidth="8.77734375" defaultRowHeight="14.4" x14ac:dyDescent="0.3"/>
  <cols>
    <col min="1" max="1" width="5" customWidth="1"/>
    <col min="2" max="2" width="9" customWidth="1"/>
    <col min="3" max="3" width="24" customWidth="1"/>
    <col min="4" max="4" width="34" customWidth="1"/>
    <col min="5" max="5" width="26" customWidth="1"/>
    <col min="6" max="6" width="44" customWidth="1"/>
    <col min="7" max="7" width="22" customWidth="1"/>
    <col min="8" max="8" width="24" customWidth="1"/>
    <col min="10" max="10" width="9" customWidth="1"/>
    <col min="12" max="12" width="34" customWidth="1"/>
    <col min="13" max="13" width="11" customWidth="1"/>
    <col min="15" max="15" width="26" customWidth="1"/>
    <col min="17" max="17" width="11" customWidth="1"/>
    <col min="21" max="21" width="9" customWidth="1"/>
    <col min="22" max="22" width="11" customWidth="1"/>
    <col min="23" max="23" width="13" customWidth="1"/>
    <col min="24" max="24" width="10" customWidth="1"/>
    <col min="25" max="25" width="11" customWidth="1"/>
    <col min="27" max="27" width="13" customWidth="1"/>
    <col min="28" max="28" width="22" customWidth="1"/>
    <col min="29" max="29" width="38" customWidth="1"/>
    <col min="30" max="30" width="46" customWidth="1"/>
    <col min="31" max="31" width="10" customWidth="1"/>
    <col min="32" max="32" width="12" customWidth="1"/>
    <col min="33" max="33" width="11" customWidth="1"/>
    <col min="35" max="35" width="44" customWidth="1"/>
    <col min="36" max="36" width="18" customWidth="1"/>
    <col min="37" max="37" width="30" customWidth="1"/>
  </cols>
  <sheetData>
    <row r="1" spans="1:37" ht="25.95" customHeight="1" x14ac:dyDescent="0.3">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row>
    <row r="2" spans="1:37" x14ac:dyDescent="0.3">
      <c r="A2" s="40"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row>
    <row r="4" spans="1:37" ht="31.95" customHeight="1" x14ac:dyDescent="0.3">
      <c r="A4" s="3" t="s">
        <v>2</v>
      </c>
      <c r="B4" s="3" t="s">
        <v>3</v>
      </c>
      <c r="C4" s="3" t="s">
        <v>4</v>
      </c>
      <c r="D4" s="3" t="s">
        <v>5</v>
      </c>
      <c r="E4" s="3" t="s">
        <v>6</v>
      </c>
      <c r="F4" s="3" t="s">
        <v>7</v>
      </c>
      <c r="G4" s="3" t="s">
        <v>8</v>
      </c>
      <c r="H4" s="3" t="s">
        <v>9</v>
      </c>
      <c r="I4" s="3" t="s">
        <v>10</v>
      </c>
      <c r="J4" s="3" t="s">
        <v>11</v>
      </c>
      <c r="K4" s="3" t="s">
        <v>12</v>
      </c>
      <c r="L4" s="22" t="s">
        <v>13</v>
      </c>
      <c r="M4" s="22" t="s">
        <v>14</v>
      </c>
      <c r="N4" s="22" t="s">
        <v>15</v>
      </c>
      <c r="O4" s="3" t="s">
        <v>16</v>
      </c>
      <c r="P4" s="3" t="s">
        <v>17</v>
      </c>
      <c r="Q4" s="3" t="s">
        <v>18</v>
      </c>
      <c r="R4" s="3" t="s">
        <v>19</v>
      </c>
      <c r="S4" s="3" t="s">
        <v>20</v>
      </c>
      <c r="T4" s="3" t="s">
        <v>21</v>
      </c>
      <c r="U4" s="3" t="s">
        <v>22</v>
      </c>
      <c r="V4" s="3" t="s">
        <v>23</v>
      </c>
      <c r="W4" s="3" t="s">
        <v>24</v>
      </c>
      <c r="X4" s="3" t="s">
        <v>25</v>
      </c>
      <c r="Y4" s="3" t="s">
        <v>26</v>
      </c>
      <c r="Z4" s="23" t="s">
        <v>27</v>
      </c>
      <c r="AA4" s="24" t="s">
        <v>28</v>
      </c>
      <c r="AB4" s="3" t="s">
        <v>29</v>
      </c>
      <c r="AC4" s="3" t="s">
        <v>30</v>
      </c>
      <c r="AD4" s="3" t="s">
        <v>31</v>
      </c>
      <c r="AE4" s="3" t="s">
        <v>32</v>
      </c>
      <c r="AF4" s="3" t="s">
        <v>33</v>
      </c>
      <c r="AG4" s="3" t="s">
        <v>34</v>
      </c>
      <c r="AH4" s="3" t="s">
        <v>35</v>
      </c>
      <c r="AI4" s="3" t="s">
        <v>36</v>
      </c>
      <c r="AJ4" s="3" t="s">
        <v>37</v>
      </c>
      <c r="AK4" s="3" t="s">
        <v>38</v>
      </c>
    </row>
    <row r="5" spans="1:37" ht="39" customHeight="1" x14ac:dyDescent="0.3">
      <c r="A5" s="25">
        <v>1</v>
      </c>
      <c r="B5" s="26">
        <v>9629</v>
      </c>
      <c r="C5" s="26" t="s">
        <v>39</v>
      </c>
      <c r="D5" s="26" t="s">
        <v>39</v>
      </c>
      <c r="E5" s="26" t="s">
        <v>40</v>
      </c>
      <c r="F5" s="26" t="s">
        <v>41</v>
      </c>
      <c r="G5" s="26" t="s">
        <v>42</v>
      </c>
      <c r="H5" s="26" t="s">
        <v>43</v>
      </c>
      <c r="I5" s="26" t="s">
        <v>44</v>
      </c>
      <c r="J5" s="26" t="s">
        <v>45</v>
      </c>
      <c r="K5" s="26" t="s">
        <v>46</v>
      </c>
      <c r="L5" s="26" t="s">
        <v>47</v>
      </c>
      <c r="M5" s="26" t="s">
        <v>45</v>
      </c>
      <c r="N5" s="26" t="s">
        <v>46</v>
      </c>
      <c r="O5" s="26" t="s">
        <v>48</v>
      </c>
      <c r="P5" s="26" t="s">
        <v>49</v>
      </c>
      <c r="Q5" s="27">
        <v>0</v>
      </c>
      <c r="R5" s="27">
        <v>0</v>
      </c>
      <c r="S5" s="27">
        <v>0</v>
      </c>
      <c r="T5" s="27">
        <v>0</v>
      </c>
      <c r="U5" s="28">
        <v>0</v>
      </c>
      <c r="V5" s="27">
        <v>0</v>
      </c>
      <c r="W5" s="27">
        <v>0</v>
      </c>
      <c r="X5" s="29" t="str">
        <f t="shared" ref="X5:X36" si="0">IF(OR(ISNUMBER(SEARCH("COBOL",$L5)),ISNUMBER(SEARCH("Assembler",$L5)),ISNUMBER(SEARCH("ASM",$L5)),ISNUMBER(SEARCH("RPG",$L5)),ISNUMBER(SEARCH("EASYPLUS",$L5)),ISNUMBER(SEARCH("PL/I",$L5))),"Rule 1",IF($M5="Y","Rule 2",IF($N5="Yes","Rule 3","Rule 4")))</f>
        <v>Rule 3</v>
      </c>
      <c r="Y5" s="29" t="str">
        <f t="shared" ref="Y5:Y36" si="1">IF($X5="Rule 1","D",IF($X5="Rule 2","C",IF($X5="Rule 3","B","A")))</f>
        <v>B</v>
      </c>
      <c r="Z5" s="30"/>
      <c r="AA5" s="4" t="str">
        <f t="shared" ref="AA5:AA36" si="2">IF($Z5="",$Y5,$Z5)</f>
        <v>B</v>
      </c>
      <c r="AB5" s="6" t="str">
        <f>IFERROR(INDEX('Classification Rules'!$C$43:$C$46,MATCH($AA5,'Classification Rules'!$B$43:$B$46,0)),"")</f>
        <v>Offshore-ready</v>
      </c>
      <c r="AC5" s="21" t="str">
        <f t="shared" ref="AC5:AC36" si="3">IF($X5="Rule 1","Language: "&amp;$L5,IF($X5="Rule 2","Priority Transfer Target = Y",IF($X5="Rule 3","Cloud Indicator = Yes  ("&amp;$O5&amp;")","Cloud Indicator = No, not mainframe, not a transfer target")))</f>
        <v>Cloud Indicator = Yes  (Software as a Service (SaaS))</v>
      </c>
      <c r="AD5" s="21" t="str">
        <f>IFERROR(INDEX('Classification Rules'!$D$13:$D$16,MATCH($AA5,'Classification Rules'!$B$13:$B$16,0)),"")</f>
        <v>Cloud migration has already forced re-platforming, documentation and specifiability. Highest AI and offshore ceiling in the estate.</v>
      </c>
      <c r="AE5" s="20">
        <f>IFERROR(INDEX('Classification Rules'!$D$43:$D$46,MATCH($AA5,'Classification Rules'!$B$43:$B$46,0)),"")</f>
        <v>0.48249999999999998</v>
      </c>
      <c r="AF5" s="20">
        <f>IFERROR(INDEX('Classification Rules'!$E$43:$E$46,MATCH($AA5,'Classification Rules'!$B$43:$B$46,0)),"")</f>
        <v>0.45402025000000001</v>
      </c>
      <c r="AG5" s="20">
        <f>IFERROR(INDEX('Classification Rules'!$F$43:$F$46,MATCH($AA5,'Classification Rules'!$B$43:$B$46,0)),"")</f>
        <v>0.78</v>
      </c>
      <c r="AH5" s="20">
        <f>IFERROR(INDEX('Classification Rules'!$G$43:$G$46,MATCH($AA5,'Classification Rules'!$B$43:$B$46,0)),"")</f>
        <v>0.72540000000000004</v>
      </c>
      <c r="AI5" s="21" t="str">
        <f>IFERROR(INDEX('Classification Rules'!$I$43:$I$46,MATCH($AA5,'Classification Rules'!$B$43:$B$46,0)),"")</f>
        <v>6-8 weeks per cluster</v>
      </c>
      <c r="AJ5" s="21" t="str">
        <f>IFERROR(INDEX('Classification Rules'!$J$43:$J$46,MATCH($AA5,'Classification Rules'!$B$43:$B$46,0)),"")</f>
        <v>Fully sourced, moving to output units</v>
      </c>
      <c r="AK5" s="21">
        <f>IFERROR(INDEX('Classification Rules'!$K$43:$K$46,MATCH($AA5,'Classification Rules'!$B$43:$B$46,0)),"")</f>
        <v>0</v>
      </c>
    </row>
    <row r="6" spans="1:37" ht="25.95" customHeight="1" x14ac:dyDescent="0.3">
      <c r="A6" s="25">
        <v>2</v>
      </c>
      <c r="B6" s="26">
        <v>9796</v>
      </c>
      <c r="C6" s="26" t="s">
        <v>50</v>
      </c>
      <c r="D6" s="26" t="s">
        <v>51</v>
      </c>
      <c r="E6" s="26" t="s">
        <v>52</v>
      </c>
      <c r="F6" s="26" t="s">
        <v>53</v>
      </c>
      <c r="G6" s="26" t="s">
        <v>42</v>
      </c>
      <c r="H6" s="26" t="s">
        <v>54</v>
      </c>
      <c r="I6" s="26" t="s">
        <v>44</v>
      </c>
      <c r="J6" s="26" t="s">
        <v>55</v>
      </c>
      <c r="K6" s="26" t="s">
        <v>46</v>
      </c>
      <c r="L6" s="26" t="s">
        <v>56</v>
      </c>
      <c r="M6" s="26" t="s">
        <v>45</v>
      </c>
      <c r="N6" s="26" t="s">
        <v>57</v>
      </c>
      <c r="O6" s="26"/>
      <c r="P6" s="26" t="s">
        <v>58</v>
      </c>
      <c r="Q6" s="27">
        <v>59.558958333333358</v>
      </c>
      <c r="R6" s="27">
        <v>7.7541666666666673</v>
      </c>
      <c r="S6" s="27">
        <v>0</v>
      </c>
      <c r="T6" s="27">
        <v>67.313125000000028</v>
      </c>
      <c r="U6" s="28">
        <v>0.71176374097424044</v>
      </c>
      <c r="V6" s="27">
        <v>33.656562500000007</v>
      </c>
      <c r="W6" s="27">
        <v>33.656562500000007</v>
      </c>
      <c r="X6" s="29" t="str">
        <f t="shared" si="0"/>
        <v>Rule 1</v>
      </c>
      <c r="Y6" s="29" t="str">
        <f t="shared" si="1"/>
        <v>D</v>
      </c>
      <c r="Z6" s="30"/>
      <c r="AA6" s="4" t="str">
        <f t="shared" si="2"/>
        <v>D</v>
      </c>
      <c r="AB6" s="6" t="str">
        <f>IFERROR(INDEX('Classification Rules'!$C$43:$C$46,MATCH($AA6,'Classification Rules'!$B$43:$B$46,0)),"")</f>
        <v>Legacy-coupled core</v>
      </c>
      <c r="AC6" s="21" t="str">
        <f t="shared" si="3"/>
        <v>Language: Assembler, COBOL, MU(EASYPLUS), JCL</v>
      </c>
      <c r="AD6" s="21" t="str">
        <f>IFERROR(INDEX('Classification Rules'!$D$13:$D$16,MATCH($AA6,'Classification Rules'!$B$13:$B$16,0)),"")</f>
        <v>Rules hard-coded across modules and design truth is not written down. AI does comprehension here, not generation.</v>
      </c>
      <c r="AE6" s="20">
        <f>IFERROR(INDEX('Classification Rules'!$D$43:$D$46,MATCH($AA6,'Classification Rules'!$B$43:$B$46,0)),"")</f>
        <v>0.29500000000000004</v>
      </c>
      <c r="AF6" s="20">
        <f>IFERROR(INDEX('Classification Rules'!$E$43:$E$46,MATCH($AA6,'Classification Rules'!$B$43:$B$46,0)),"")</f>
        <v>0.3337015000000001</v>
      </c>
      <c r="AG6" s="20">
        <f>IFERROR(INDEX('Classification Rules'!$F$43:$F$46,MATCH($AA6,'Classification Rules'!$B$43:$B$46,0)),"")</f>
        <v>0.57999999999999996</v>
      </c>
      <c r="AH6" s="20">
        <f>IFERROR(INDEX('Classification Rules'!$G$43:$G$46,MATCH($AA6,'Classification Rules'!$B$43:$B$46,0)),"")</f>
        <v>0.53939999999999999</v>
      </c>
      <c r="AI6" s="21" t="str">
        <f>IFERROR(INDEX('Classification Rules'!$I$43:$I$46,MATCH($AA6,'Classification Rules'!$B$43:$B$46,0)),"")</f>
        <v>14-20 weeks per cluster</v>
      </c>
      <c r="AJ6" s="21" t="str">
        <f>IFERROR(INDEX('Classification Rules'!$J$43:$J$46,MATCH($AA6,'Classification Rules'!$B$43:$B$46,0)),"")</f>
        <v>Fully sourced, MetLife SMEs paired</v>
      </c>
      <c r="AK6" s="21">
        <f>IFERROR(INDEX('Classification Rules'!$K$43:$K$46,MATCH($AA6,'Classification Rules'!$B$43:$B$46,0)),"")</f>
        <v>0</v>
      </c>
    </row>
    <row r="7" spans="1:37" ht="25.95" customHeight="1" x14ac:dyDescent="0.3">
      <c r="A7" s="25">
        <v>3</v>
      </c>
      <c r="B7" s="26">
        <v>9800</v>
      </c>
      <c r="C7" s="26" t="s">
        <v>59</v>
      </c>
      <c r="D7" s="26" t="s">
        <v>60</v>
      </c>
      <c r="E7" s="26" t="s">
        <v>52</v>
      </c>
      <c r="F7" s="26" t="s">
        <v>61</v>
      </c>
      <c r="G7" s="26" t="s">
        <v>42</v>
      </c>
      <c r="H7" s="26" t="s">
        <v>54</v>
      </c>
      <c r="I7" s="26" t="s">
        <v>44</v>
      </c>
      <c r="J7" s="26" t="s">
        <v>55</v>
      </c>
      <c r="K7" s="26" t="s">
        <v>46</v>
      </c>
      <c r="L7" s="26" t="s">
        <v>62</v>
      </c>
      <c r="M7" s="26" t="s">
        <v>45</v>
      </c>
      <c r="N7" s="26" t="s">
        <v>57</v>
      </c>
      <c r="O7" s="26"/>
      <c r="P7" s="26" t="s">
        <v>58</v>
      </c>
      <c r="Q7" s="27">
        <v>20.89216666666665</v>
      </c>
      <c r="R7" s="27">
        <v>1.85375</v>
      </c>
      <c r="S7" s="27">
        <v>0</v>
      </c>
      <c r="T7" s="27">
        <v>22.745916666666648</v>
      </c>
      <c r="U7" s="28">
        <v>0.94285787558939149</v>
      </c>
      <c r="V7" s="27">
        <v>11.37295833333333</v>
      </c>
      <c r="W7" s="27">
        <v>11.37295833333333</v>
      </c>
      <c r="X7" s="29" t="str">
        <f t="shared" si="0"/>
        <v>Rule 1</v>
      </c>
      <c r="Y7" s="29" t="str">
        <f t="shared" si="1"/>
        <v>D</v>
      </c>
      <c r="Z7" s="30"/>
      <c r="AA7" s="4" t="str">
        <f t="shared" si="2"/>
        <v>D</v>
      </c>
      <c r="AB7" s="6" t="str">
        <f>IFERROR(INDEX('Classification Rules'!$C$43:$C$46,MATCH($AA7,'Classification Rules'!$B$43:$B$46,0)),"")</f>
        <v>Legacy-coupled core</v>
      </c>
      <c r="AC7" s="21" t="str">
        <f t="shared" si="3"/>
        <v>Language: COBOL, Assembler, MU(EASYPLUS), JCL</v>
      </c>
      <c r="AD7" s="21" t="str">
        <f>IFERROR(INDEX('Classification Rules'!$D$13:$D$16,MATCH($AA7,'Classification Rules'!$B$13:$B$16,0)),"")</f>
        <v>Rules hard-coded across modules and design truth is not written down. AI does comprehension here, not generation.</v>
      </c>
      <c r="AE7" s="20">
        <f>IFERROR(INDEX('Classification Rules'!$D$43:$D$46,MATCH($AA7,'Classification Rules'!$B$43:$B$46,0)),"")</f>
        <v>0.29500000000000004</v>
      </c>
      <c r="AF7" s="20">
        <f>IFERROR(INDEX('Classification Rules'!$E$43:$E$46,MATCH($AA7,'Classification Rules'!$B$43:$B$46,0)),"")</f>
        <v>0.3337015000000001</v>
      </c>
      <c r="AG7" s="20">
        <f>IFERROR(INDEX('Classification Rules'!$F$43:$F$46,MATCH($AA7,'Classification Rules'!$B$43:$B$46,0)),"")</f>
        <v>0.57999999999999996</v>
      </c>
      <c r="AH7" s="20">
        <f>IFERROR(INDEX('Classification Rules'!$G$43:$G$46,MATCH($AA7,'Classification Rules'!$B$43:$B$46,0)),"")</f>
        <v>0.53939999999999999</v>
      </c>
      <c r="AI7" s="21" t="str">
        <f>IFERROR(INDEX('Classification Rules'!$I$43:$I$46,MATCH($AA7,'Classification Rules'!$B$43:$B$46,0)),"")</f>
        <v>14-20 weeks per cluster</v>
      </c>
      <c r="AJ7" s="21" t="str">
        <f>IFERROR(INDEX('Classification Rules'!$J$43:$J$46,MATCH($AA7,'Classification Rules'!$B$43:$B$46,0)),"")</f>
        <v>Fully sourced, MetLife SMEs paired</v>
      </c>
      <c r="AK7" s="21">
        <f>IFERROR(INDEX('Classification Rules'!$K$43:$K$46,MATCH($AA7,'Classification Rules'!$B$43:$B$46,0)),"")</f>
        <v>0</v>
      </c>
    </row>
    <row r="8" spans="1:37" ht="25.95" customHeight="1" x14ac:dyDescent="0.3">
      <c r="A8" s="25">
        <v>4</v>
      </c>
      <c r="B8" s="26">
        <v>9801</v>
      </c>
      <c r="C8" s="26" t="s">
        <v>63</v>
      </c>
      <c r="D8" s="26" t="s">
        <v>64</v>
      </c>
      <c r="E8" s="26" t="s">
        <v>52</v>
      </c>
      <c r="F8" s="26" t="s">
        <v>61</v>
      </c>
      <c r="G8" s="26" t="s">
        <v>42</v>
      </c>
      <c r="H8" s="26" t="s">
        <v>54</v>
      </c>
      <c r="I8" s="26" t="s">
        <v>44</v>
      </c>
      <c r="J8" s="26" t="s">
        <v>55</v>
      </c>
      <c r="K8" s="26" t="s">
        <v>46</v>
      </c>
      <c r="L8" s="26" t="s">
        <v>62</v>
      </c>
      <c r="M8" s="26" t="s">
        <v>45</v>
      </c>
      <c r="N8" s="26" t="s">
        <v>57</v>
      </c>
      <c r="O8" s="26"/>
      <c r="P8" s="26" t="s">
        <v>58</v>
      </c>
      <c r="Q8" s="27">
        <v>0</v>
      </c>
      <c r="R8" s="27">
        <v>0</v>
      </c>
      <c r="S8" s="27">
        <v>0</v>
      </c>
      <c r="T8" s="27">
        <v>0</v>
      </c>
      <c r="U8" s="28">
        <v>0</v>
      </c>
      <c r="V8" s="27">
        <v>0</v>
      </c>
      <c r="W8" s="27">
        <v>0</v>
      </c>
      <c r="X8" s="29" t="str">
        <f t="shared" si="0"/>
        <v>Rule 1</v>
      </c>
      <c r="Y8" s="29" t="str">
        <f t="shared" si="1"/>
        <v>D</v>
      </c>
      <c r="Z8" s="30"/>
      <c r="AA8" s="4" t="str">
        <f t="shared" si="2"/>
        <v>D</v>
      </c>
      <c r="AB8" s="6" t="str">
        <f>IFERROR(INDEX('Classification Rules'!$C$43:$C$46,MATCH($AA8,'Classification Rules'!$B$43:$B$46,0)),"")</f>
        <v>Legacy-coupled core</v>
      </c>
      <c r="AC8" s="21" t="str">
        <f t="shared" si="3"/>
        <v>Language: COBOL, Assembler, MU(EASYPLUS), JCL</v>
      </c>
      <c r="AD8" s="21" t="str">
        <f>IFERROR(INDEX('Classification Rules'!$D$13:$D$16,MATCH($AA8,'Classification Rules'!$B$13:$B$16,0)),"")</f>
        <v>Rules hard-coded across modules and design truth is not written down. AI does comprehension here, not generation.</v>
      </c>
      <c r="AE8" s="20">
        <f>IFERROR(INDEX('Classification Rules'!$D$43:$D$46,MATCH($AA8,'Classification Rules'!$B$43:$B$46,0)),"")</f>
        <v>0.29500000000000004</v>
      </c>
      <c r="AF8" s="20">
        <f>IFERROR(INDEX('Classification Rules'!$E$43:$E$46,MATCH($AA8,'Classification Rules'!$B$43:$B$46,0)),"")</f>
        <v>0.3337015000000001</v>
      </c>
      <c r="AG8" s="20">
        <f>IFERROR(INDEX('Classification Rules'!$F$43:$F$46,MATCH($AA8,'Classification Rules'!$B$43:$B$46,0)),"")</f>
        <v>0.57999999999999996</v>
      </c>
      <c r="AH8" s="20">
        <f>IFERROR(INDEX('Classification Rules'!$G$43:$G$46,MATCH($AA8,'Classification Rules'!$B$43:$B$46,0)),"")</f>
        <v>0.53939999999999999</v>
      </c>
      <c r="AI8" s="21" t="str">
        <f>IFERROR(INDEX('Classification Rules'!$I$43:$I$46,MATCH($AA8,'Classification Rules'!$B$43:$B$46,0)),"")</f>
        <v>14-20 weeks per cluster</v>
      </c>
      <c r="AJ8" s="21" t="str">
        <f>IFERROR(INDEX('Classification Rules'!$J$43:$J$46,MATCH($AA8,'Classification Rules'!$B$43:$B$46,0)),"")</f>
        <v>Fully sourced, MetLife SMEs paired</v>
      </c>
      <c r="AK8" s="21">
        <f>IFERROR(INDEX('Classification Rules'!$K$43:$K$46,MATCH($AA8,'Classification Rules'!$B$43:$B$46,0)),"")</f>
        <v>0</v>
      </c>
    </row>
    <row r="9" spans="1:37" ht="25.95" customHeight="1" x14ac:dyDescent="0.3">
      <c r="A9" s="25">
        <v>5</v>
      </c>
      <c r="B9" s="26">
        <v>9802</v>
      </c>
      <c r="C9" s="26" t="s">
        <v>65</v>
      </c>
      <c r="D9" s="26" t="s">
        <v>66</v>
      </c>
      <c r="E9" s="26" t="s">
        <v>52</v>
      </c>
      <c r="F9" s="26" t="s">
        <v>67</v>
      </c>
      <c r="G9" s="26" t="s">
        <v>42</v>
      </c>
      <c r="H9" s="26" t="s">
        <v>54</v>
      </c>
      <c r="I9" s="26" t="s">
        <v>44</v>
      </c>
      <c r="J9" s="26" t="s">
        <v>55</v>
      </c>
      <c r="K9" s="26" t="s">
        <v>46</v>
      </c>
      <c r="L9" s="26" t="s">
        <v>62</v>
      </c>
      <c r="M9" s="26" t="s">
        <v>45</v>
      </c>
      <c r="N9" s="26" t="s">
        <v>57</v>
      </c>
      <c r="O9" s="26"/>
      <c r="P9" s="26" t="s">
        <v>58</v>
      </c>
      <c r="Q9" s="27">
        <v>15.953625000000001</v>
      </c>
      <c r="R9" s="27">
        <v>1.6541666666666659</v>
      </c>
      <c r="S9" s="27">
        <v>0</v>
      </c>
      <c r="T9" s="27">
        <v>17.607791666666671</v>
      </c>
      <c r="U9" s="28">
        <v>0.98287216596819116</v>
      </c>
      <c r="V9" s="27">
        <v>8.8038958333333337</v>
      </c>
      <c r="W9" s="27">
        <v>8.8038958333333337</v>
      </c>
      <c r="X9" s="29" t="str">
        <f t="shared" si="0"/>
        <v>Rule 1</v>
      </c>
      <c r="Y9" s="29" t="str">
        <f t="shared" si="1"/>
        <v>D</v>
      </c>
      <c r="Z9" s="30"/>
      <c r="AA9" s="4" t="str">
        <f t="shared" si="2"/>
        <v>D</v>
      </c>
      <c r="AB9" s="6" t="str">
        <f>IFERROR(INDEX('Classification Rules'!$C$43:$C$46,MATCH($AA9,'Classification Rules'!$B$43:$B$46,0)),"")</f>
        <v>Legacy-coupled core</v>
      </c>
      <c r="AC9" s="21" t="str">
        <f t="shared" si="3"/>
        <v>Language: COBOL, Assembler, MU(EASYPLUS), JCL</v>
      </c>
      <c r="AD9" s="21" t="str">
        <f>IFERROR(INDEX('Classification Rules'!$D$13:$D$16,MATCH($AA9,'Classification Rules'!$B$13:$B$16,0)),"")</f>
        <v>Rules hard-coded across modules and design truth is not written down. AI does comprehension here, not generation.</v>
      </c>
      <c r="AE9" s="20">
        <f>IFERROR(INDEX('Classification Rules'!$D$43:$D$46,MATCH($AA9,'Classification Rules'!$B$43:$B$46,0)),"")</f>
        <v>0.29500000000000004</v>
      </c>
      <c r="AF9" s="20">
        <f>IFERROR(INDEX('Classification Rules'!$E$43:$E$46,MATCH($AA9,'Classification Rules'!$B$43:$B$46,0)),"")</f>
        <v>0.3337015000000001</v>
      </c>
      <c r="AG9" s="20">
        <f>IFERROR(INDEX('Classification Rules'!$F$43:$F$46,MATCH($AA9,'Classification Rules'!$B$43:$B$46,0)),"")</f>
        <v>0.57999999999999996</v>
      </c>
      <c r="AH9" s="20">
        <f>IFERROR(INDEX('Classification Rules'!$G$43:$G$46,MATCH($AA9,'Classification Rules'!$B$43:$B$46,0)),"")</f>
        <v>0.53939999999999999</v>
      </c>
      <c r="AI9" s="21" t="str">
        <f>IFERROR(INDEX('Classification Rules'!$I$43:$I$46,MATCH($AA9,'Classification Rules'!$B$43:$B$46,0)),"")</f>
        <v>14-20 weeks per cluster</v>
      </c>
      <c r="AJ9" s="21" t="str">
        <f>IFERROR(INDEX('Classification Rules'!$J$43:$J$46,MATCH($AA9,'Classification Rules'!$B$43:$B$46,0)),"")</f>
        <v>Fully sourced, MetLife SMEs paired</v>
      </c>
      <c r="AK9" s="21">
        <f>IFERROR(INDEX('Classification Rules'!$K$43:$K$46,MATCH($AA9,'Classification Rules'!$B$43:$B$46,0)),"")</f>
        <v>0</v>
      </c>
    </row>
    <row r="10" spans="1:37" ht="25.95" customHeight="1" x14ac:dyDescent="0.3">
      <c r="A10" s="25">
        <v>6</v>
      </c>
      <c r="B10" s="26">
        <v>9803</v>
      </c>
      <c r="C10" s="26" t="s">
        <v>68</v>
      </c>
      <c r="D10" s="26" t="s">
        <v>69</v>
      </c>
      <c r="E10" s="26" t="s">
        <v>52</v>
      </c>
      <c r="F10" s="26" t="s">
        <v>70</v>
      </c>
      <c r="G10" s="26" t="s">
        <v>42</v>
      </c>
      <c r="H10" s="26" t="s">
        <v>54</v>
      </c>
      <c r="I10" s="26" t="s">
        <v>44</v>
      </c>
      <c r="J10" s="26" t="s">
        <v>55</v>
      </c>
      <c r="K10" s="26" t="s">
        <v>46</v>
      </c>
      <c r="L10" s="26" t="s">
        <v>56</v>
      </c>
      <c r="M10" s="26" t="s">
        <v>45</v>
      </c>
      <c r="N10" s="26" t="s">
        <v>57</v>
      </c>
      <c r="O10" s="26"/>
      <c r="P10" s="26" t="s">
        <v>58</v>
      </c>
      <c r="Q10" s="27">
        <v>8.8045833333333299</v>
      </c>
      <c r="R10" s="27">
        <v>0.85</v>
      </c>
      <c r="S10" s="27">
        <v>0</v>
      </c>
      <c r="T10" s="27">
        <v>9.6545833333333295</v>
      </c>
      <c r="U10" s="28">
        <v>0.94821112597643609</v>
      </c>
      <c r="V10" s="27">
        <v>4.8272916666666648</v>
      </c>
      <c r="W10" s="27">
        <v>4.8272916666666648</v>
      </c>
      <c r="X10" s="29" t="str">
        <f t="shared" si="0"/>
        <v>Rule 1</v>
      </c>
      <c r="Y10" s="29" t="str">
        <f t="shared" si="1"/>
        <v>D</v>
      </c>
      <c r="Z10" s="30"/>
      <c r="AA10" s="4" t="str">
        <f t="shared" si="2"/>
        <v>D</v>
      </c>
      <c r="AB10" s="6" t="str">
        <f>IFERROR(INDEX('Classification Rules'!$C$43:$C$46,MATCH($AA10,'Classification Rules'!$B$43:$B$46,0)),"")</f>
        <v>Legacy-coupled core</v>
      </c>
      <c r="AC10" s="21" t="str">
        <f t="shared" si="3"/>
        <v>Language: Assembler, COBOL, MU(EASYPLUS), JCL</v>
      </c>
      <c r="AD10" s="21" t="str">
        <f>IFERROR(INDEX('Classification Rules'!$D$13:$D$16,MATCH($AA10,'Classification Rules'!$B$13:$B$16,0)),"")</f>
        <v>Rules hard-coded across modules and design truth is not written down. AI does comprehension here, not generation.</v>
      </c>
      <c r="AE10" s="20">
        <f>IFERROR(INDEX('Classification Rules'!$D$43:$D$46,MATCH($AA10,'Classification Rules'!$B$43:$B$46,0)),"")</f>
        <v>0.29500000000000004</v>
      </c>
      <c r="AF10" s="20">
        <f>IFERROR(INDEX('Classification Rules'!$E$43:$E$46,MATCH($AA10,'Classification Rules'!$B$43:$B$46,0)),"")</f>
        <v>0.3337015000000001</v>
      </c>
      <c r="AG10" s="20">
        <f>IFERROR(INDEX('Classification Rules'!$F$43:$F$46,MATCH($AA10,'Classification Rules'!$B$43:$B$46,0)),"")</f>
        <v>0.57999999999999996</v>
      </c>
      <c r="AH10" s="20">
        <f>IFERROR(INDEX('Classification Rules'!$G$43:$G$46,MATCH($AA10,'Classification Rules'!$B$43:$B$46,0)),"")</f>
        <v>0.53939999999999999</v>
      </c>
      <c r="AI10" s="21" t="str">
        <f>IFERROR(INDEX('Classification Rules'!$I$43:$I$46,MATCH($AA10,'Classification Rules'!$B$43:$B$46,0)),"")</f>
        <v>14-20 weeks per cluster</v>
      </c>
      <c r="AJ10" s="21" t="str">
        <f>IFERROR(INDEX('Classification Rules'!$J$43:$J$46,MATCH($AA10,'Classification Rules'!$B$43:$B$46,0)),"")</f>
        <v>Fully sourced, MetLife SMEs paired</v>
      </c>
      <c r="AK10" s="21">
        <f>IFERROR(INDEX('Classification Rules'!$K$43:$K$46,MATCH($AA10,'Classification Rules'!$B$43:$B$46,0)),"")</f>
        <v>0</v>
      </c>
    </row>
    <row r="11" spans="1:37" ht="25.95" customHeight="1" x14ac:dyDescent="0.3">
      <c r="A11" s="25">
        <v>7</v>
      </c>
      <c r="B11" s="26">
        <v>9804</v>
      </c>
      <c r="C11" s="26" t="s">
        <v>71</v>
      </c>
      <c r="D11" s="26" t="s">
        <v>72</v>
      </c>
      <c r="E11" s="26" t="s">
        <v>52</v>
      </c>
      <c r="F11" s="26" t="s">
        <v>73</v>
      </c>
      <c r="G11" s="26" t="s">
        <v>42</v>
      </c>
      <c r="H11" s="26" t="s">
        <v>54</v>
      </c>
      <c r="I11" s="26" t="s">
        <v>44</v>
      </c>
      <c r="J11" s="26" t="s">
        <v>55</v>
      </c>
      <c r="K11" s="26" t="s">
        <v>46</v>
      </c>
      <c r="L11" s="26" t="s">
        <v>62</v>
      </c>
      <c r="M11" s="26" t="s">
        <v>45</v>
      </c>
      <c r="N11" s="26" t="s">
        <v>57</v>
      </c>
      <c r="O11" s="26"/>
      <c r="P11" s="26" t="s">
        <v>58</v>
      </c>
      <c r="Q11" s="27">
        <v>10.784166666666669</v>
      </c>
      <c r="R11" s="27">
        <v>0.74583333333333335</v>
      </c>
      <c r="S11" s="27">
        <v>0</v>
      </c>
      <c r="T11" s="27">
        <v>11.53</v>
      </c>
      <c r="U11" s="28">
        <v>0.83304423243712056</v>
      </c>
      <c r="V11" s="27">
        <v>5.7650000000000006</v>
      </c>
      <c r="W11" s="27">
        <v>5.7650000000000006</v>
      </c>
      <c r="X11" s="29" t="str">
        <f t="shared" si="0"/>
        <v>Rule 1</v>
      </c>
      <c r="Y11" s="29" t="str">
        <f t="shared" si="1"/>
        <v>D</v>
      </c>
      <c r="Z11" s="30"/>
      <c r="AA11" s="4" t="str">
        <f t="shared" si="2"/>
        <v>D</v>
      </c>
      <c r="AB11" s="6" t="str">
        <f>IFERROR(INDEX('Classification Rules'!$C$43:$C$46,MATCH($AA11,'Classification Rules'!$B$43:$B$46,0)),"")</f>
        <v>Legacy-coupled core</v>
      </c>
      <c r="AC11" s="21" t="str">
        <f t="shared" si="3"/>
        <v>Language: COBOL, Assembler, MU(EASYPLUS), JCL</v>
      </c>
      <c r="AD11" s="21" t="str">
        <f>IFERROR(INDEX('Classification Rules'!$D$13:$D$16,MATCH($AA11,'Classification Rules'!$B$13:$B$16,0)),"")</f>
        <v>Rules hard-coded across modules and design truth is not written down. AI does comprehension here, not generation.</v>
      </c>
      <c r="AE11" s="20">
        <f>IFERROR(INDEX('Classification Rules'!$D$43:$D$46,MATCH($AA11,'Classification Rules'!$B$43:$B$46,0)),"")</f>
        <v>0.29500000000000004</v>
      </c>
      <c r="AF11" s="20">
        <f>IFERROR(INDEX('Classification Rules'!$E$43:$E$46,MATCH($AA11,'Classification Rules'!$B$43:$B$46,0)),"")</f>
        <v>0.3337015000000001</v>
      </c>
      <c r="AG11" s="20">
        <f>IFERROR(INDEX('Classification Rules'!$F$43:$F$46,MATCH($AA11,'Classification Rules'!$B$43:$B$46,0)),"")</f>
        <v>0.57999999999999996</v>
      </c>
      <c r="AH11" s="20">
        <f>IFERROR(INDEX('Classification Rules'!$G$43:$G$46,MATCH($AA11,'Classification Rules'!$B$43:$B$46,0)),"")</f>
        <v>0.53939999999999999</v>
      </c>
      <c r="AI11" s="21" t="str">
        <f>IFERROR(INDEX('Classification Rules'!$I$43:$I$46,MATCH($AA11,'Classification Rules'!$B$43:$B$46,0)),"")</f>
        <v>14-20 weeks per cluster</v>
      </c>
      <c r="AJ11" s="21" t="str">
        <f>IFERROR(INDEX('Classification Rules'!$J$43:$J$46,MATCH($AA11,'Classification Rules'!$B$43:$B$46,0)),"")</f>
        <v>Fully sourced, MetLife SMEs paired</v>
      </c>
      <c r="AK11" s="21">
        <f>IFERROR(INDEX('Classification Rules'!$K$43:$K$46,MATCH($AA11,'Classification Rules'!$B$43:$B$46,0)),"")</f>
        <v>0</v>
      </c>
    </row>
    <row r="12" spans="1:37" ht="25.95" customHeight="1" x14ac:dyDescent="0.3">
      <c r="A12" s="25">
        <v>8</v>
      </c>
      <c r="B12" s="26">
        <v>9805</v>
      </c>
      <c r="C12" s="26" t="s">
        <v>74</v>
      </c>
      <c r="D12" s="26" t="s">
        <v>75</v>
      </c>
      <c r="E12" s="26" t="s">
        <v>52</v>
      </c>
      <c r="F12" s="26" t="s">
        <v>61</v>
      </c>
      <c r="G12" s="26" t="s">
        <v>42</v>
      </c>
      <c r="H12" s="26" t="s">
        <v>54</v>
      </c>
      <c r="I12" s="26" t="s">
        <v>44</v>
      </c>
      <c r="J12" s="26" t="s">
        <v>55</v>
      </c>
      <c r="K12" s="26" t="s">
        <v>46</v>
      </c>
      <c r="L12" s="26" t="s">
        <v>62</v>
      </c>
      <c r="M12" s="26" t="s">
        <v>45</v>
      </c>
      <c r="N12" s="26" t="s">
        <v>57</v>
      </c>
      <c r="O12" s="26"/>
      <c r="P12" s="26" t="s">
        <v>58</v>
      </c>
      <c r="Q12" s="27">
        <v>2.8966666666666661</v>
      </c>
      <c r="R12" s="27">
        <v>2.5000000000000001E-2</v>
      </c>
      <c r="S12" s="27">
        <v>0</v>
      </c>
      <c r="T12" s="27">
        <v>2.921666666666666</v>
      </c>
      <c r="U12" s="28">
        <v>0.90587564175698809</v>
      </c>
      <c r="V12" s="27">
        <v>1.460833333333333</v>
      </c>
      <c r="W12" s="27">
        <v>1.460833333333333</v>
      </c>
      <c r="X12" s="29" t="str">
        <f t="shared" si="0"/>
        <v>Rule 1</v>
      </c>
      <c r="Y12" s="29" t="str">
        <f t="shared" si="1"/>
        <v>D</v>
      </c>
      <c r="Z12" s="30"/>
      <c r="AA12" s="4" t="str">
        <f t="shared" si="2"/>
        <v>D</v>
      </c>
      <c r="AB12" s="6" t="str">
        <f>IFERROR(INDEX('Classification Rules'!$C$43:$C$46,MATCH($AA12,'Classification Rules'!$B$43:$B$46,0)),"")</f>
        <v>Legacy-coupled core</v>
      </c>
      <c r="AC12" s="21" t="str">
        <f t="shared" si="3"/>
        <v>Language: COBOL, Assembler, MU(EASYPLUS), JCL</v>
      </c>
      <c r="AD12" s="21" t="str">
        <f>IFERROR(INDEX('Classification Rules'!$D$13:$D$16,MATCH($AA12,'Classification Rules'!$B$13:$B$16,0)),"")</f>
        <v>Rules hard-coded across modules and design truth is not written down. AI does comprehension here, not generation.</v>
      </c>
      <c r="AE12" s="20">
        <f>IFERROR(INDEX('Classification Rules'!$D$43:$D$46,MATCH($AA12,'Classification Rules'!$B$43:$B$46,0)),"")</f>
        <v>0.29500000000000004</v>
      </c>
      <c r="AF12" s="20">
        <f>IFERROR(INDEX('Classification Rules'!$E$43:$E$46,MATCH($AA12,'Classification Rules'!$B$43:$B$46,0)),"")</f>
        <v>0.3337015000000001</v>
      </c>
      <c r="AG12" s="20">
        <f>IFERROR(INDEX('Classification Rules'!$F$43:$F$46,MATCH($AA12,'Classification Rules'!$B$43:$B$46,0)),"")</f>
        <v>0.57999999999999996</v>
      </c>
      <c r="AH12" s="20">
        <f>IFERROR(INDEX('Classification Rules'!$G$43:$G$46,MATCH($AA12,'Classification Rules'!$B$43:$B$46,0)),"")</f>
        <v>0.53939999999999999</v>
      </c>
      <c r="AI12" s="21" t="str">
        <f>IFERROR(INDEX('Classification Rules'!$I$43:$I$46,MATCH($AA12,'Classification Rules'!$B$43:$B$46,0)),"")</f>
        <v>14-20 weeks per cluster</v>
      </c>
      <c r="AJ12" s="21" t="str">
        <f>IFERROR(INDEX('Classification Rules'!$J$43:$J$46,MATCH($AA12,'Classification Rules'!$B$43:$B$46,0)),"")</f>
        <v>Fully sourced, MetLife SMEs paired</v>
      </c>
      <c r="AK12" s="21">
        <f>IFERROR(INDEX('Classification Rules'!$K$43:$K$46,MATCH($AA12,'Classification Rules'!$B$43:$B$46,0)),"")</f>
        <v>0</v>
      </c>
    </row>
    <row r="13" spans="1:37" ht="25.95" customHeight="1" x14ac:dyDescent="0.3">
      <c r="A13" s="25">
        <v>9</v>
      </c>
      <c r="B13" s="26">
        <v>9806</v>
      </c>
      <c r="C13" s="26" t="s">
        <v>76</v>
      </c>
      <c r="D13" s="26" t="s">
        <v>77</v>
      </c>
      <c r="E13" s="26" t="s">
        <v>52</v>
      </c>
      <c r="F13" s="26" t="s">
        <v>78</v>
      </c>
      <c r="G13" s="26" t="s">
        <v>42</v>
      </c>
      <c r="H13" s="26" t="s">
        <v>54</v>
      </c>
      <c r="I13" s="26" t="s">
        <v>44</v>
      </c>
      <c r="J13" s="26" t="s">
        <v>55</v>
      </c>
      <c r="K13" s="26" t="s">
        <v>46</v>
      </c>
      <c r="L13" s="26" t="s">
        <v>62</v>
      </c>
      <c r="M13" s="26" t="s">
        <v>45</v>
      </c>
      <c r="N13" s="26" t="s">
        <v>57</v>
      </c>
      <c r="O13" s="26"/>
      <c r="P13" s="26" t="s">
        <v>58</v>
      </c>
      <c r="Q13" s="27">
        <v>5.2887500000000012</v>
      </c>
      <c r="R13" s="27">
        <v>1.0249999999999999</v>
      </c>
      <c r="S13" s="27">
        <v>0</v>
      </c>
      <c r="T13" s="27">
        <v>6.3137500000000006</v>
      </c>
      <c r="U13" s="28">
        <v>0.83765590972084747</v>
      </c>
      <c r="V13" s="27">
        <v>3.1568749999999999</v>
      </c>
      <c r="W13" s="27">
        <v>3.1568749999999999</v>
      </c>
      <c r="X13" s="29" t="str">
        <f t="shared" si="0"/>
        <v>Rule 1</v>
      </c>
      <c r="Y13" s="29" t="str">
        <f t="shared" si="1"/>
        <v>D</v>
      </c>
      <c r="Z13" s="30"/>
      <c r="AA13" s="4" t="str">
        <f t="shared" si="2"/>
        <v>D</v>
      </c>
      <c r="AB13" s="6" t="str">
        <f>IFERROR(INDEX('Classification Rules'!$C$43:$C$46,MATCH($AA13,'Classification Rules'!$B$43:$B$46,0)),"")</f>
        <v>Legacy-coupled core</v>
      </c>
      <c r="AC13" s="21" t="str">
        <f t="shared" si="3"/>
        <v>Language: COBOL, Assembler, MU(EASYPLUS), JCL</v>
      </c>
      <c r="AD13" s="21" t="str">
        <f>IFERROR(INDEX('Classification Rules'!$D$13:$D$16,MATCH($AA13,'Classification Rules'!$B$13:$B$16,0)),"")</f>
        <v>Rules hard-coded across modules and design truth is not written down. AI does comprehension here, not generation.</v>
      </c>
      <c r="AE13" s="20">
        <f>IFERROR(INDEX('Classification Rules'!$D$43:$D$46,MATCH($AA13,'Classification Rules'!$B$43:$B$46,0)),"")</f>
        <v>0.29500000000000004</v>
      </c>
      <c r="AF13" s="20">
        <f>IFERROR(INDEX('Classification Rules'!$E$43:$E$46,MATCH($AA13,'Classification Rules'!$B$43:$B$46,0)),"")</f>
        <v>0.3337015000000001</v>
      </c>
      <c r="AG13" s="20">
        <f>IFERROR(INDEX('Classification Rules'!$F$43:$F$46,MATCH($AA13,'Classification Rules'!$B$43:$B$46,0)),"")</f>
        <v>0.57999999999999996</v>
      </c>
      <c r="AH13" s="20">
        <f>IFERROR(INDEX('Classification Rules'!$G$43:$G$46,MATCH($AA13,'Classification Rules'!$B$43:$B$46,0)),"")</f>
        <v>0.53939999999999999</v>
      </c>
      <c r="AI13" s="21" t="str">
        <f>IFERROR(INDEX('Classification Rules'!$I$43:$I$46,MATCH($AA13,'Classification Rules'!$B$43:$B$46,0)),"")</f>
        <v>14-20 weeks per cluster</v>
      </c>
      <c r="AJ13" s="21" t="str">
        <f>IFERROR(INDEX('Classification Rules'!$J$43:$J$46,MATCH($AA13,'Classification Rules'!$B$43:$B$46,0)),"")</f>
        <v>Fully sourced, MetLife SMEs paired</v>
      </c>
      <c r="AK13" s="21">
        <f>IFERROR(INDEX('Classification Rules'!$K$43:$K$46,MATCH($AA13,'Classification Rules'!$B$43:$B$46,0)),"")</f>
        <v>0</v>
      </c>
    </row>
    <row r="14" spans="1:37" ht="25.95" customHeight="1" x14ac:dyDescent="0.3">
      <c r="A14" s="25">
        <v>10</v>
      </c>
      <c r="B14" s="26">
        <v>9807</v>
      </c>
      <c r="C14" s="26" t="s">
        <v>79</v>
      </c>
      <c r="D14" s="26" t="s">
        <v>80</v>
      </c>
      <c r="E14" s="26" t="s">
        <v>52</v>
      </c>
      <c r="F14" s="26" t="s">
        <v>78</v>
      </c>
      <c r="G14" s="26" t="s">
        <v>42</v>
      </c>
      <c r="H14" s="26" t="s">
        <v>54</v>
      </c>
      <c r="I14" s="26" t="s">
        <v>44</v>
      </c>
      <c r="J14" s="26" t="s">
        <v>45</v>
      </c>
      <c r="K14" s="26" t="s">
        <v>46</v>
      </c>
      <c r="L14" s="26" t="s">
        <v>62</v>
      </c>
      <c r="M14" s="26" t="s">
        <v>45</v>
      </c>
      <c r="N14" s="26" t="s">
        <v>57</v>
      </c>
      <c r="O14" s="26"/>
      <c r="P14" s="26" t="s">
        <v>58</v>
      </c>
      <c r="Q14" s="27">
        <v>9.7687500000000007</v>
      </c>
      <c r="R14" s="27">
        <v>1.4833333333333329</v>
      </c>
      <c r="S14" s="27">
        <v>0</v>
      </c>
      <c r="T14" s="27">
        <v>11.25208333333333</v>
      </c>
      <c r="U14" s="28">
        <v>0.85632290316608028</v>
      </c>
      <c r="V14" s="27">
        <v>5.6260416666666666</v>
      </c>
      <c r="W14" s="27">
        <v>5.6260416666666666</v>
      </c>
      <c r="X14" s="29" t="str">
        <f t="shared" si="0"/>
        <v>Rule 1</v>
      </c>
      <c r="Y14" s="29" t="str">
        <f t="shared" si="1"/>
        <v>D</v>
      </c>
      <c r="Z14" s="30"/>
      <c r="AA14" s="4" t="str">
        <f t="shared" si="2"/>
        <v>D</v>
      </c>
      <c r="AB14" s="6" t="str">
        <f>IFERROR(INDEX('Classification Rules'!$C$43:$C$46,MATCH($AA14,'Classification Rules'!$B$43:$B$46,0)),"")</f>
        <v>Legacy-coupled core</v>
      </c>
      <c r="AC14" s="21" t="str">
        <f t="shared" si="3"/>
        <v>Language: COBOL, Assembler, MU(EASYPLUS), JCL</v>
      </c>
      <c r="AD14" s="21" t="str">
        <f>IFERROR(INDEX('Classification Rules'!$D$13:$D$16,MATCH($AA14,'Classification Rules'!$B$13:$B$16,0)),"")</f>
        <v>Rules hard-coded across modules and design truth is not written down. AI does comprehension here, not generation.</v>
      </c>
      <c r="AE14" s="20">
        <f>IFERROR(INDEX('Classification Rules'!$D$43:$D$46,MATCH($AA14,'Classification Rules'!$B$43:$B$46,0)),"")</f>
        <v>0.29500000000000004</v>
      </c>
      <c r="AF14" s="20">
        <f>IFERROR(INDEX('Classification Rules'!$E$43:$E$46,MATCH($AA14,'Classification Rules'!$B$43:$B$46,0)),"")</f>
        <v>0.3337015000000001</v>
      </c>
      <c r="AG14" s="20">
        <f>IFERROR(INDEX('Classification Rules'!$F$43:$F$46,MATCH($AA14,'Classification Rules'!$B$43:$B$46,0)),"")</f>
        <v>0.57999999999999996</v>
      </c>
      <c r="AH14" s="20">
        <f>IFERROR(INDEX('Classification Rules'!$G$43:$G$46,MATCH($AA14,'Classification Rules'!$B$43:$B$46,0)),"")</f>
        <v>0.53939999999999999</v>
      </c>
      <c r="AI14" s="21" t="str">
        <f>IFERROR(INDEX('Classification Rules'!$I$43:$I$46,MATCH($AA14,'Classification Rules'!$B$43:$B$46,0)),"")</f>
        <v>14-20 weeks per cluster</v>
      </c>
      <c r="AJ14" s="21" t="str">
        <f>IFERROR(INDEX('Classification Rules'!$J$43:$J$46,MATCH($AA14,'Classification Rules'!$B$43:$B$46,0)),"")</f>
        <v>Fully sourced, MetLife SMEs paired</v>
      </c>
      <c r="AK14" s="21">
        <f>IFERROR(INDEX('Classification Rules'!$K$43:$K$46,MATCH($AA14,'Classification Rules'!$B$43:$B$46,0)),"")</f>
        <v>0</v>
      </c>
    </row>
    <row r="15" spans="1:37" ht="25.95" customHeight="1" x14ac:dyDescent="0.3">
      <c r="A15" s="25">
        <v>11</v>
      </c>
      <c r="B15" s="26">
        <v>9808</v>
      </c>
      <c r="C15" s="26" t="s">
        <v>81</v>
      </c>
      <c r="D15" s="26" t="s">
        <v>82</v>
      </c>
      <c r="E15" s="26" t="s">
        <v>52</v>
      </c>
      <c r="F15" s="26" t="s">
        <v>73</v>
      </c>
      <c r="G15" s="26" t="s">
        <v>42</v>
      </c>
      <c r="H15" s="26" t="s">
        <v>54</v>
      </c>
      <c r="I15" s="26" t="s">
        <v>44</v>
      </c>
      <c r="J15" s="26" t="s">
        <v>55</v>
      </c>
      <c r="K15" s="26" t="s">
        <v>46</v>
      </c>
      <c r="L15" s="26" t="s">
        <v>62</v>
      </c>
      <c r="M15" s="26" t="s">
        <v>45</v>
      </c>
      <c r="N15" s="26" t="s">
        <v>57</v>
      </c>
      <c r="O15" s="26"/>
      <c r="P15" s="26" t="s">
        <v>58</v>
      </c>
      <c r="Q15" s="27">
        <v>13.545708333333341</v>
      </c>
      <c r="R15" s="27">
        <v>3.1437499999999998</v>
      </c>
      <c r="S15" s="27">
        <v>0</v>
      </c>
      <c r="T15" s="27">
        <v>16.689458333333341</v>
      </c>
      <c r="U15" s="28">
        <v>0.72662384189620677</v>
      </c>
      <c r="V15" s="27">
        <v>8.344729166666669</v>
      </c>
      <c r="W15" s="27">
        <v>8.344729166666669</v>
      </c>
      <c r="X15" s="29" t="str">
        <f t="shared" si="0"/>
        <v>Rule 1</v>
      </c>
      <c r="Y15" s="29" t="str">
        <f t="shared" si="1"/>
        <v>D</v>
      </c>
      <c r="Z15" s="30"/>
      <c r="AA15" s="4" t="str">
        <f t="shared" si="2"/>
        <v>D</v>
      </c>
      <c r="AB15" s="6" t="str">
        <f>IFERROR(INDEX('Classification Rules'!$C$43:$C$46,MATCH($AA15,'Classification Rules'!$B$43:$B$46,0)),"")</f>
        <v>Legacy-coupled core</v>
      </c>
      <c r="AC15" s="21" t="str">
        <f t="shared" si="3"/>
        <v>Language: COBOL, Assembler, MU(EASYPLUS), JCL</v>
      </c>
      <c r="AD15" s="21" t="str">
        <f>IFERROR(INDEX('Classification Rules'!$D$13:$D$16,MATCH($AA15,'Classification Rules'!$B$13:$B$16,0)),"")</f>
        <v>Rules hard-coded across modules and design truth is not written down. AI does comprehension here, not generation.</v>
      </c>
      <c r="AE15" s="20">
        <f>IFERROR(INDEX('Classification Rules'!$D$43:$D$46,MATCH($AA15,'Classification Rules'!$B$43:$B$46,0)),"")</f>
        <v>0.29500000000000004</v>
      </c>
      <c r="AF15" s="20">
        <f>IFERROR(INDEX('Classification Rules'!$E$43:$E$46,MATCH($AA15,'Classification Rules'!$B$43:$B$46,0)),"")</f>
        <v>0.3337015000000001</v>
      </c>
      <c r="AG15" s="20">
        <f>IFERROR(INDEX('Classification Rules'!$F$43:$F$46,MATCH($AA15,'Classification Rules'!$B$43:$B$46,0)),"")</f>
        <v>0.57999999999999996</v>
      </c>
      <c r="AH15" s="20">
        <f>IFERROR(INDEX('Classification Rules'!$G$43:$G$46,MATCH($AA15,'Classification Rules'!$B$43:$B$46,0)),"")</f>
        <v>0.53939999999999999</v>
      </c>
      <c r="AI15" s="21" t="str">
        <f>IFERROR(INDEX('Classification Rules'!$I$43:$I$46,MATCH($AA15,'Classification Rules'!$B$43:$B$46,0)),"")</f>
        <v>14-20 weeks per cluster</v>
      </c>
      <c r="AJ15" s="21" t="str">
        <f>IFERROR(INDEX('Classification Rules'!$J$43:$J$46,MATCH($AA15,'Classification Rules'!$B$43:$B$46,0)),"")</f>
        <v>Fully sourced, MetLife SMEs paired</v>
      </c>
      <c r="AK15" s="21">
        <f>IFERROR(INDEX('Classification Rules'!$K$43:$K$46,MATCH($AA15,'Classification Rules'!$B$43:$B$46,0)),"")</f>
        <v>0</v>
      </c>
    </row>
    <row r="16" spans="1:37" ht="25.95" customHeight="1" x14ac:dyDescent="0.3">
      <c r="A16" s="25">
        <v>12</v>
      </c>
      <c r="B16" s="26">
        <v>9810</v>
      </c>
      <c r="C16" s="26" t="s">
        <v>83</v>
      </c>
      <c r="D16" s="26" t="s">
        <v>84</v>
      </c>
      <c r="E16" s="26" t="s">
        <v>52</v>
      </c>
      <c r="F16" s="26" t="s">
        <v>61</v>
      </c>
      <c r="G16" s="26" t="s">
        <v>42</v>
      </c>
      <c r="H16" s="26" t="s">
        <v>54</v>
      </c>
      <c r="I16" s="26" t="s">
        <v>44</v>
      </c>
      <c r="J16" s="26" t="s">
        <v>55</v>
      </c>
      <c r="K16" s="26" t="s">
        <v>46</v>
      </c>
      <c r="L16" s="26" t="s">
        <v>85</v>
      </c>
      <c r="M16" s="26" t="s">
        <v>45</v>
      </c>
      <c r="N16" s="26" t="s">
        <v>57</v>
      </c>
      <c r="O16" s="26"/>
      <c r="P16" s="26" t="s">
        <v>58</v>
      </c>
      <c r="Q16" s="27">
        <v>7.6683333333333339</v>
      </c>
      <c r="R16" s="27">
        <v>1.1291666666666671</v>
      </c>
      <c r="S16" s="27">
        <v>0</v>
      </c>
      <c r="T16" s="27">
        <v>8.7975000000000012</v>
      </c>
      <c r="U16" s="28">
        <v>0.75561238988348978</v>
      </c>
      <c r="V16" s="27">
        <v>4.3987500000000006</v>
      </c>
      <c r="W16" s="27">
        <v>4.3987500000000006</v>
      </c>
      <c r="X16" s="29" t="str">
        <f t="shared" si="0"/>
        <v>Rule 1</v>
      </c>
      <c r="Y16" s="29" t="str">
        <f t="shared" si="1"/>
        <v>D</v>
      </c>
      <c r="Z16" s="30"/>
      <c r="AA16" s="4" t="str">
        <f t="shared" si="2"/>
        <v>D</v>
      </c>
      <c r="AB16" s="6" t="str">
        <f>IFERROR(INDEX('Classification Rules'!$C$43:$C$46,MATCH($AA16,'Classification Rules'!$B$43:$B$46,0)),"")</f>
        <v>Legacy-coupled core</v>
      </c>
      <c r="AC16" s="21" t="str">
        <f t="shared" si="3"/>
        <v>Language: COBOL, MU(EASYPLUS), Assembler, JCL</v>
      </c>
      <c r="AD16" s="21" t="str">
        <f>IFERROR(INDEX('Classification Rules'!$D$13:$D$16,MATCH($AA16,'Classification Rules'!$B$13:$B$16,0)),"")</f>
        <v>Rules hard-coded across modules and design truth is not written down. AI does comprehension here, not generation.</v>
      </c>
      <c r="AE16" s="20">
        <f>IFERROR(INDEX('Classification Rules'!$D$43:$D$46,MATCH($AA16,'Classification Rules'!$B$43:$B$46,0)),"")</f>
        <v>0.29500000000000004</v>
      </c>
      <c r="AF16" s="20">
        <f>IFERROR(INDEX('Classification Rules'!$E$43:$E$46,MATCH($AA16,'Classification Rules'!$B$43:$B$46,0)),"")</f>
        <v>0.3337015000000001</v>
      </c>
      <c r="AG16" s="20">
        <f>IFERROR(INDEX('Classification Rules'!$F$43:$F$46,MATCH($AA16,'Classification Rules'!$B$43:$B$46,0)),"")</f>
        <v>0.57999999999999996</v>
      </c>
      <c r="AH16" s="20">
        <f>IFERROR(INDEX('Classification Rules'!$G$43:$G$46,MATCH($AA16,'Classification Rules'!$B$43:$B$46,0)),"")</f>
        <v>0.53939999999999999</v>
      </c>
      <c r="AI16" s="21" t="str">
        <f>IFERROR(INDEX('Classification Rules'!$I$43:$I$46,MATCH($AA16,'Classification Rules'!$B$43:$B$46,0)),"")</f>
        <v>14-20 weeks per cluster</v>
      </c>
      <c r="AJ16" s="21" t="str">
        <f>IFERROR(INDEX('Classification Rules'!$J$43:$J$46,MATCH($AA16,'Classification Rules'!$B$43:$B$46,0)),"")</f>
        <v>Fully sourced, MetLife SMEs paired</v>
      </c>
      <c r="AK16" s="21">
        <f>IFERROR(INDEX('Classification Rules'!$K$43:$K$46,MATCH($AA16,'Classification Rules'!$B$43:$B$46,0)),"")</f>
        <v>0</v>
      </c>
    </row>
    <row r="17" spans="1:37" ht="25.95" customHeight="1" x14ac:dyDescent="0.3">
      <c r="A17" s="25">
        <v>13</v>
      </c>
      <c r="B17" s="26">
        <v>9811</v>
      </c>
      <c r="C17" s="26" t="s">
        <v>86</v>
      </c>
      <c r="D17" s="26" t="s">
        <v>87</v>
      </c>
      <c r="E17" s="26" t="s">
        <v>52</v>
      </c>
      <c r="F17" s="26" t="s">
        <v>70</v>
      </c>
      <c r="G17" s="26" t="s">
        <v>42</v>
      </c>
      <c r="H17" s="26" t="s">
        <v>54</v>
      </c>
      <c r="I17" s="26" t="s">
        <v>44</v>
      </c>
      <c r="J17" s="26" t="s">
        <v>55</v>
      </c>
      <c r="K17" s="26" t="s">
        <v>46</v>
      </c>
      <c r="L17" s="26" t="s">
        <v>85</v>
      </c>
      <c r="M17" s="26" t="s">
        <v>45</v>
      </c>
      <c r="N17" s="26" t="s">
        <v>57</v>
      </c>
      <c r="O17" s="26"/>
      <c r="P17" s="26" t="s">
        <v>58</v>
      </c>
      <c r="Q17" s="27">
        <v>1.968333333333333</v>
      </c>
      <c r="R17" s="27">
        <v>0.16458333333333339</v>
      </c>
      <c r="S17" s="27">
        <v>0</v>
      </c>
      <c r="T17" s="27">
        <v>2.132916666666667</v>
      </c>
      <c r="U17" s="28">
        <v>0.95311584293807383</v>
      </c>
      <c r="V17" s="27">
        <v>1.0664583333333331</v>
      </c>
      <c r="W17" s="27">
        <v>1.0664583333333331</v>
      </c>
      <c r="X17" s="29" t="str">
        <f t="shared" si="0"/>
        <v>Rule 1</v>
      </c>
      <c r="Y17" s="29" t="str">
        <f t="shared" si="1"/>
        <v>D</v>
      </c>
      <c r="Z17" s="30"/>
      <c r="AA17" s="4" t="str">
        <f t="shared" si="2"/>
        <v>D</v>
      </c>
      <c r="AB17" s="6" t="str">
        <f>IFERROR(INDEX('Classification Rules'!$C$43:$C$46,MATCH($AA17,'Classification Rules'!$B$43:$B$46,0)),"")</f>
        <v>Legacy-coupled core</v>
      </c>
      <c r="AC17" s="21" t="str">
        <f t="shared" si="3"/>
        <v>Language: COBOL, MU(EASYPLUS), Assembler, JCL</v>
      </c>
      <c r="AD17" s="21" t="str">
        <f>IFERROR(INDEX('Classification Rules'!$D$13:$D$16,MATCH($AA17,'Classification Rules'!$B$13:$B$16,0)),"")</f>
        <v>Rules hard-coded across modules and design truth is not written down. AI does comprehension here, not generation.</v>
      </c>
      <c r="AE17" s="20">
        <f>IFERROR(INDEX('Classification Rules'!$D$43:$D$46,MATCH($AA17,'Classification Rules'!$B$43:$B$46,0)),"")</f>
        <v>0.29500000000000004</v>
      </c>
      <c r="AF17" s="20">
        <f>IFERROR(INDEX('Classification Rules'!$E$43:$E$46,MATCH($AA17,'Classification Rules'!$B$43:$B$46,0)),"")</f>
        <v>0.3337015000000001</v>
      </c>
      <c r="AG17" s="20">
        <f>IFERROR(INDEX('Classification Rules'!$F$43:$F$46,MATCH($AA17,'Classification Rules'!$B$43:$B$46,0)),"")</f>
        <v>0.57999999999999996</v>
      </c>
      <c r="AH17" s="20">
        <f>IFERROR(INDEX('Classification Rules'!$G$43:$G$46,MATCH($AA17,'Classification Rules'!$B$43:$B$46,0)),"")</f>
        <v>0.53939999999999999</v>
      </c>
      <c r="AI17" s="21" t="str">
        <f>IFERROR(INDEX('Classification Rules'!$I$43:$I$46,MATCH($AA17,'Classification Rules'!$B$43:$B$46,0)),"")</f>
        <v>14-20 weeks per cluster</v>
      </c>
      <c r="AJ17" s="21" t="str">
        <f>IFERROR(INDEX('Classification Rules'!$J$43:$J$46,MATCH($AA17,'Classification Rules'!$B$43:$B$46,0)),"")</f>
        <v>Fully sourced, MetLife SMEs paired</v>
      </c>
      <c r="AK17" s="21">
        <f>IFERROR(INDEX('Classification Rules'!$K$43:$K$46,MATCH($AA17,'Classification Rules'!$B$43:$B$46,0)),"")</f>
        <v>0</v>
      </c>
    </row>
    <row r="18" spans="1:37" ht="25.95" customHeight="1" x14ac:dyDescent="0.3">
      <c r="A18" s="25">
        <v>14</v>
      </c>
      <c r="B18" s="26">
        <v>9813</v>
      </c>
      <c r="C18" s="26" t="s">
        <v>88</v>
      </c>
      <c r="D18" s="26" t="s">
        <v>89</v>
      </c>
      <c r="E18" s="26" t="s">
        <v>52</v>
      </c>
      <c r="F18" s="26" t="s">
        <v>67</v>
      </c>
      <c r="G18" s="26" t="s">
        <v>42</v>
      </c>
      <c r="H18" s="26" t="s">
        <v>54</v>
      </c>
      <c r="I18" s="26" t="s">
        <v>44</v>
      </c>
      <c r="J18" s="26" t="s">
        <v>55</v>
      </c>
      <c r="K18" s="26" t="s">
        <v>46</v>
      </c>
      <c r="L18" s="26" t="s">
        <v>85</v>
      </c>
      <c r="M18" s="26" t="s">
        <v>45</v>
      </c>
      <c r="N18" s="26" t="s">
        <v>57</v>
      </c>
      <c r="O18" s="26"/>
      <c r="P18" s="26" t="s">
        <v>58</v>
      </c>
      <c r="Q18" s="27">
        <v>2.1175000000000002</v>
      </c>
      <c r="R18" s="27">
        <v>0</v>
      </c>
      <c r="S18" s="27">
        <v>0</v>
      </c>
      <c r="T18" s="27">
        <v>2.1175000000000002</v>
      </c>
      <c r="U18" s="28">
        <v>0.64580873671782768</v>
      </c>
      <c r="V18" s="27">
        <v>1.0587500000000001</v>
      </c>
      <c r="W18" s="27">
        <v>1.0587500000000001</v>
      </c>
      <c r="X18" s="29" t="str">
        <f t="shared" si="0"/>
        <v>Rule 1</v>
      </c>
      <c r="Y18" s="29" t="str">
        <f t="shared" si="1"/>
        <v>D</v>
      </c>
      <c r="Z18" s="30"/>
      <c r="AA18" s="4" t="str">
        <f t="shared" si="2"/>
        <v>D</v>
      </c>
      <c r="AB18" s="6" t="str">
        <f>IFERROR(INDEX('Classification Rules'!$C$43:$C$46,MATCH($AA18,'Classification Rules'!$B$43:$B$46,0)),"")</f>
        <v>Legacy-coupled core</v>
      </c>
      <c r="AC18" s="21" t="str">
        <f t="shared" si="3"/>
        <v>Language: COBOL, MU(EASYPLUS), Assembler, JCL</v>
      </c>
      <c r="AD18" s="21" t="str">
        <f>IFERROR(INDEX('Classification Rules'!$D$13:$D$16,MATCH($AA18,'Classification Rules'!$B$13:$B$16,0)),"")</f>
        <v>Rules hard-coded across modules and design truth is not written down. AI does comprehension here, not generation.</v>
      </c>
      <c r="AE18" s="20">
        <f>IFERROR(INDEX('Classification Rules'!$D$43:$D$46,MATCH($AA18,'Classification Rules'!$B$43:$B$46,0)),"")</f>
        <v>0.29500000000000004</v>
      </c>
      <c r="AF18" s="20">
        <f>IFERROR(INDEX('Classification Rules'!$E$43:$E$46,MATCH($AA18,'Classification Rules'!$B$43:$B$46,0)),"")</f>
        <v>0.3337015000000001</v>
      </c>
      <c r="AG18" s="20">
        <f>IFERROR(INDEX('Classification Rules'!$F$43:$F$46,MATCH($AA18,'Classification Rules'!$B$43:$B$46,0)),"")</f>
        <v>0.57999999999999996</v>
      </c>
      <c r="AH18" s="20">
        <f>IFERROR(INDEX('Classification Rules'!$G$43:$G$46,MATCH($AA18,'Classification Rules'!$B$43:$B$46,0)),"")</f>
        <v>0.53939999999999999</v>
      </c>
      <c r="AI18" s="21" t="str">
        <f>IFERROR(INDEX('Classification Rules'!$I$43:$I$46,MATCH($AA18,'Classification Rules'!$B$43:$B$46,0)),"")</f>
        <v>14-20 weeks per cluster</v>
      </c>
      <c r="AJ18" s="21" t="str">
        <f>IFERROR(INDEX('Classification Rules'!$J$43:$J$46,MATCH($AA18,'Classification Rules'!$B$43:$B$46,0)),"")</f>
        <v>Fully sourced, MetLife SMEs paired</v>
      </c>
      <c r="AK18" s="21">
        <f>IFERROR(INDEX('Classification Rules'!$K$43:$K$46,MATCH($AA18,'Classification Rules'!$B$43:$B$46,0)),"")</f>
        <v>0</v>
      </c>
    </row>
    <row r="19" spans="1:37" ht="25.95" customHeight="1" x14ac:dyDescent="0.3">
      <c r="A19" s="25">
        <v>15</v>
      </c>
      <c r="B19" s="26">
        <v>9814</v>
      </c>
      <c r="C19" s="26" t="s">
        <v>90</v>
      </c>
      <c r="D19" s="26" t="s">
        <v>91</v>
      </c>
      <c r="E19" s="26" t="s">
        <v>52</v>
      </c>
      <c r="F19" s="26" t="s">
        <v>53</v>
      </c>
      <c r="G19" s="26" t="s">
        <v>42</v>
      </c>
      <c r="H19" s="26" t="s">
        <v>54</v>
      </c>
      <c r="I19" s="26" t="s">
        <v>44</v>
      </c>
      <c r="J19" s="26" t="s">
        <v>45</v>
      </c>
      <c r="K19" s="26" t="s">
        <v>46</v>
      </c>
      <c r="L19" s="26" t="s">
        <v>85</v>
      </c>
      <c r="M19" s="26" t="s">
        <v>45</v>
      </c>
      <c r="N19" s="26" t="s">
        <v>57</v>
      </c>
      <c r="O19" s="26"/>
      <c r="P19" s="26" t="s">
        <v>58</v>
      </c>
      <c r="Q19" s="27">
        <v>0</v>
      </c>
      <c r="R19" s="27">
        <v>0</v>
      </c>
      <c r="S19" s="27">
        <v>0</v>
      </c>
      <c r="T19" s="27">
        <v>0</v>
      </c>
      <c r="U19" s="28">
        <v>0</v>
      </c>
      <c r="V19" s="27">
        <v>0</v>
      </c>
      <c r="W19" s="27">
        <v>0</v>
      </c>
      <c r="X19" s="29" t="str">
        <f t="shared" si="0"/>
        <v>Rule 1</v>
      </c>
      <c r="Y19" s="29" t="str">
        <f t="shared" si="1"/>
        <v>D</v>
      </c>
      <c r="Z19" s="30"/>
      <c r="AA19" s="4" t="str">
        <f t="shared" si="2"/>
        <v>D</v>
      </c>
      <c r="AB19" s="6" t="str">
        <f>IFERROR(INDEX('Classification Rules'!$C$43:$C$46,MATCH($AA19,'Classification Rules'!$B$43:$B$46,0)),"")</f>
        <v>Legacy-coupled core</v>
      </c>
      <c r="AC19" s="21" t="str">
        <f t="shared" si="3"/>
        <v>Language: COBOL, MU(EASYPLUS), Assembler, JCL</v>
      </c>
      <c r="AD19" s="21" t="str">
        <f>IFERROR(INDEX('Classification Rules'!$D$13:$D$16,MATCH($AA19,'Classification Rules'!$B$13:$B$16,0)),"")</f>
        <v>Rules hard-coded across modules and design truth is not written down. AI does comprehension here, not generation.</v>
      </c>
      <c r="AE19" s="20">
        <f>IFERROR(INDEX('Classification Rules'!$D$43:$D$46,MATCH($AA19,'Classification Rules'!$B$43:$B$46,0)),"")</f>
        <v>0.29500000000000004</v>
      </c>
      <c r="AF19" s="20">
        <f>IFERROR(INDEX('Classification Rules'!$E$43:$E$46,MATCH($AA19,'Classification Rules'!$B$43:$B$46,0)),"")</f>
        <v>0.3337015000000001</v>
      </c>
      <c r="AG19" s="20">
        <f>IFERROR(INDEX('Classification Rules'!$F$43:$F$46,MATCH($AA19,'Classification Rules'!$B$43:$B$46,0)),"")</f>
        <v>0.57999999999999996</v>
      </c>
      <c r="AH19" s="20">
        <f>IFERROR(INDEX('Classification Rules'!$G$43:$G$46,MATCH($AA19,'Classification Rules'!$B$43:$B$46,0)),"")</f>
        <v>0.53939999999999999</v>
      </c>
      <c r="AI19" s="21" t="str">
        <f>IFERROR(INDEX('Classification Rules'!$I$43:$I$46,MATCH($AA19,'Classification Rules'!$B$43:$B$46,0)),"")</f>
        <v>14-20 weeks per cluster</v>
      </c>
      <c r="AJ19" s="21" t="str">
        <f>IFERROR(INDEX('Classification Rules'!$J$43:$J$46,MATCH($AA19,'Classification Rules'!$B$43:$B$46,0)),"")</f>
        <v>Fully sourced, MetLife SMEs paired</v>
      </c>
      <c r="AK19" s="21">
        <f>IFERROR(INDEX('Classification Rules'!$K$43:$K$46,MATCH($AA19,'Classification Rules'!$B$43:$B$46,0)),"")</f>
        <v>0</v>
      </c>
    </row>
    <row r="20" spans="1:37" ht="25.95" customHeight="1" x14ac:dyDescent="0.3">
      <c r="A20" s="25">
        <v>16</v>
      </c>
      <c r="B20" s="26">
        <v>9816</v>
      </c>
      <c r="C20" s="26" t="s">
        <v>92</v>
      </c>
      <c r="D20" s="26" t="s">
        <v>93</v>
      </c>
      <c r="E20" s="26" t="s">
        <v>52</v>
      </c>
      <c r="F20" s="26" t="s">
        <v>73</v>
      </c>
      <c r="G20" s="26" t="s">
        <v>42</v>
      </c>
      <c r="H20" s="26" t="s">
        <v>54</v>
      </c>
      <c r="I20" s="26" t="s">
        <v>44</v>
      </c>
      <c r="J20" s="26" t="s">
        <v>55</v>
      </c>
      <c r="K20" s="26" t="s">
        <v>46</v>
      </c>
      <c r="L20" s="26" t="s">
        <v>85</v>
      </c>
      <c r="M20" s="26" t="s">
        <v>45</v>
      </c>
      <c r="N20" s="26" t="s">
        <v>57</v>
      </c>
      <c r="O20" s="26"/>
      <c r="P20" s="26" t="s">
        <v>58</v>
      </c>
      <c r="Q20" s="27">
        <v>0.2</v>
      </c>
      <c r="R20" s="27">
        <v>0</v>
      </c>
      <c r="S20" s="27">
        <v>0</v>
      </c>
      <c r="T20" s="27">
        <v>0.2</v>
      </c>
      <c r="U20" s="28">
        <v>0</v>
      </c>
      <c r="V20" s="27">
        <v>9.9999999999999992E-2</v>
      </c>
      <c r="W20" s="27">
        <v>9.9999999999999992E-2</v>
      </c>
      <c r="X20" s="29" t="str">
        <f t="shared" si="0"/>
        <v>Rule 1</v>
      </c>
      <c r="Y20" s="29" t="str">
        <f t="shared" si="1"/>
        <v>D</v>
      </c>
      <c r="Z20" s="30"/>
      <c r="AA20" s="4" t="str">
        <f t="shared" si="2"/>
        <v>D</v>
      </c>
      <c r="AB20" s="6" t="str">
        <f>IFERROR(INDEX('Classification Rules'!$C$43:$C$46,MATCH($AA20,'Classification Rules'!$B$43:$B$46,0)),"")</f>
        <v>Legacy-coupled core</v>
      </c>
      <c r="AC20" s="21" t="str">
        <f t="shared" si="3"/>
        <v>Language: COBOL, MU(EASYPLUS), Assembler, JCL</v>
      </c>
      <c r="AD20" s="21" t="str">
        <f>IFERROR(INDEX('Classification Rules'!$D$13:$D$16,MATCH($AA20,'Classification Rules'!$B$13:$B$16,0)),"")</f>
        <v>Rules hard-coded across modules and design truth is not written down. AI does comprehension here, not generation.</v>
      </c>
      <c r="AE20" s="20">
        <f>IFERROR(INDEX('Classification Rules'!$D$43:$D$46,MATCH($AA20,'Classification Rules'!$B$43:$B$46,0)),"")</f>
        <v>0.29500000000000004</v>
      </c>
      <c r="AF20" s="20">
        <f>IFERROR(INDEX('Classification Rules'!$E$43:$E$46,MATCH($AA20,'Classification Rules'!$B$43:$B$46,0)),"")</f>
        <v>0.3337015000000001</v>
      </c>
      <c r="AG20" s="20">
        <f>IFERROR(INDEX('Classification Rules'!$F$43:$F$46,MATCH($AA20,'Classification Rules'!$B$43:$B$46,0)),"")</f>
        <v>0.57999999999999996</v>
      </c>
      <c r="AH20" s="20">
        <f>IFERROR(INDEX('Classification Rules'!$G$43:$G$46,MATCH($AA20,'Classification Rules'!$B$43:$B$46,0)),"")</f>
        <v>0.53939999999999999</v>
      </c>
      <c r="AI20" s="21" t="str">
        <f>IFERROR(INDEX('Classification Rules'!$I$43:$I$46,MATCH($AA20,'Classification Rules'!$B$43:$B$46,0)),"")</f>
        <v>14-20 weeks per cluster</v>
      </c>
      <c r="AJ20" s="21" t="str">
        <f>IFERROR(INDEX('Classification Rules'!$J$43:$J$46,MATCH($AA20,'Classification Rules'!$B$43:$B$46,0)),"")</f>
        <v>Fully sourced, MetLife SMEs paired</v>
      </c>
      <c r="AK20" s="21">
        <f>IFERROR(INDEX('Classification Rules'!$K$43:$K$46,MATCH($AA20,'Classification Rules'!$B$43:$B$46,0)),"")</f>
        <v>0</v>
      </c>
    </row>
    <row r="21" spans="1:37" ht="25.95" customHeight="1" x14ac:dyDescent="0.3">
      <c r="A21" s="25">
        <v>17</v>
      </c>
      <c r="B21" s="26">
        <v>9817</v>
      </c>
      <c r="C21" s="26" t="s">
        <v>94</v>
      </c>
      <c r="D21" s="26" t="s">
        <v>95</v>
      </c>
      <c r="E21" s="26" t="s">
        <v>52</v>
      </c>
      <c r="F21" s="26" t="s">
        <v>67</v>
      </c>
      <c r="G21" s="26" t="s">
        <v>42</v>
      </c>
      <c r="H21" s="26" t="s">
        <v>54</v>
      </c>
      <c r="I21" s="26" t="s">
        <v>44</v>
      </c>
      <c r="J21" s="26" t="s">
        <v>45</v>
      </c>
      <c r="K21" s="26" t="s">
        <v>46</v>
      </c>
      <c r="L21" s="26" t="s">
        <v>85</v>
      </c>
      <c r="M21" s="26" t="s">
        <v>45</v>
      </c>
      <c r="N21" s="26" t="s">
        <v>57</v>
      </c>
      <c r="O21" s="26"/>
      <c r="P21" s="26" t="s">
        <v>58</v>
      </c>
      <c r="Q21" s="27">
        <v>1.6648750000000001</v>
      </c>
      <c r="R21" s="27">
        <v>0</v>
      </c>
      <c r="S21" s="27">
        <v>0</v>
      </c>
      <c r="T21" s="27">
        <v>1.6648750000000001</v>
      </c>
      <c r="U21" s="28">
        <v>0.40748804965337743</v>
      </c>
      <c r="V21" s="27">
        <v>0.83243749999999994</v>
      </c>
      <c r="W21" s="27">
        <v>0.83243749999999994</v>
      </c>
      <c r="X21" s="29" t="str">
        <f t="shared" si="0"/>
        <v>Rule 1</v>
      </c>
      <c r="Y21" s="29" t="str">
        <f t="shared" si="1"/>
        <v>D</v>
      </c>
      <c r="Z21" s="30"/>
      <c r="AA21" s="4" t="str">
        <f t="shared" si="2"/>
        <v>D</v>
      </c>
      <c r="AB21" s="6" t="str">
        <f>IFERROR(INDEX('Classification Rules'!$C$43:$C$46,MATCH($AA21,'Classification Rules'!$B$43:$B$46,0)),"")</f>
        <v>Legacy-coupled core</v>
      </c>
      <c r="AC21" s="21" t="str">
        <f t="shared" si="3"/>
        <v>Language: COBOL, MU(EASYPLUS), Assembler, JCL</v>
      </c>
      <c r="AD21" s="21" t="str">
        <f>IFERROR(INDEX('Classification Rules'!$D$13:$D$16,MATCH($AA21,'Classification Rules'!$B$13:$B$16,0)),"")</f>
        <v>Rules hard-coded across modules and design truth is not written down. AI does comprehension here, not generation.</v>
      </c>
      <c r="AE21" s="20">
        <f>IFERROR(INDEX('Classification Rules'!$D$43:$D$46,MATCH($AA21,'Classification Rules'!$B$43:$B$46,0)),"")</f>
        <v>0.29500000000000004</v>
      </c>
      <c r="AF21" s="20">
        <f>IFERROR(INDEX('Classification Rules'!$E$43:$E$46,MATCH($AA21,'Classification Rules'!$B$43:$B$46,0)),"")</f>
        <v>0.3337015000000001</v>
      </c>
      <c r="AG21" s="20">
        <f>IFERROR(INDEX('Classification Rules'!$F$43:$F$46,MATCH($AA21,'Classification Rules'!$B$43:$B$46,0)),"")</f>
        <v>0.57999999999999996</v>
      </c>
      <c r="AH21" s="20">
        <f>IFERROR(INDEX('Classification Rules'!$G$43:$G$46,MATCH($AA21,'Classification Rules'!$B$43:$B$46,0)),"")</f>
        <v>0.53939999999999999</v>
      </c>
      <c r="AI21" s="21" t="str">
        <f>IFERROR(INDEX('Classification Rules'!$I$43:$I$46,MATCH($AA21,'Classification Rules'!$B$43:$B$46,0)),"")</f>
        <v>14-20 weeks per cluster</v>
      </c>
      <c r="AJ21" s="21" t="str">
        <f>IFERROR(INDEX('Classification Rules'!$J$43:$J$46,MATCH($AA21,'Classification Rules'!$B$43:$B$46,0)),"")</f>
        <v>Fully sourced, MetLife SMEs paired</v>
      </c>
      <c r="AK21" s="21">
        <f>IFERROR(INDEX('Classification Rules'!$K$43:$K$46,MATCH($AA21,'Classification Rules'!$B$43:$B$46,0)),"")</f>
        <v>0</v>
      </c>
    </row>
    <row r="22" spans="1:37" ht="25.95" customHeight="1" x14ac:dyDescent="0.3">
      <c r="A22" s="25">
        <v>18</v>
      </c>
      <c r="B22" s="26">
        <v>9818</v>
      </c>
      <c r="C22" s="26" t="s">
        <v>96</v>
      </c>
      <c r="D22" s="26" t="s">
        <v>97</v>
      </c>
      <c r="E22" s="26" t="s">
        <v>52</v>
      </c>
      <c r="F22" s="26" t="s">
        <v>53</v>
      </c>
      <c r="G22" s="26" t="s">
        <v>42</v>
      </c>
      <c r="H22" s="26" t="s">
        <v>54</v>
      </c>
      <c r="I22" s="26" t="s">
        <v>44</v>
      </c>
      <c r="J22" s="26" t="s">
        <v>45</v>
      </c>
      <c r="K22" s="26" t="s">
        <v>46</v>
      </c>
      <c r="L22" s="26" t="s">
        <v>85</v>
      </c>
      <c r="M22" s="26" t="s">
        <v>45</v>
      </c>
      <c r="N22" s="26" t="s">
        <v>57</v>
      </c>
      <c r="O22" s="26"/>
      <c r="P22" s="26" t="s">
        <v>58</v>
      </c>
      <c r="Q22" s="27">
        <v>0</v>
      </c>
      <c r="R22" s="27">
        <v>0</v>
      </c>
      <c r="S22" s="27">
        <v>0</v>
      </c>
      <c r="T22" s="27">
        <v>0</v>
      </c>
      <c r="U22" s="28">
        <v>0</v>
      </c>
      <c r="V22" s="27">
        <v>0</v>
      </c>
      <c r="W22" s="27">
        <v>0</v>
      </c>
      <c r="X22" s="29" t="str">
        <f t="shared" si="0"/>
        <v>Rule 1</v>
      </c>
      <c r="Y22" s="29" t="str">
        <f t="shared" si="1"/>
        <v>D</v>
      </c>
      <c r="Z22" s="30"/>
      <c r="AA22" s="4" t="str">
        <f t="shared" si="2"/>
        <v>D</v>
      </c>
      <c r="AB22" s="6" t="str">
        <f>IFERROR(INDEX('Classification Rules'!$C$43:$C$46,MATCH($AA22,'Classification Rules'!$B$43:$B$46,0)),"")</f>
        <v>Legacy-coupled core</v>
      </c>
      <c r="AC22" s="21" t="str">
        <f t="shared" si="3"/>
        <v>Language: COBOL, MU(EASYPLUS), Assembler, JCL</v>
      </c>
      <c r="AD22" s="21" t="str">
        <f>IFERROR(INDEX('Classification Rules'!$D$13:$D$16,MATCH($AA22,'Classification Rules'!$B$13:$B$16,0)),"")</f>
        <v>Rules hard-coded across modules and design truth is not written down. AI does comprehension here, not generation.</v>
      </c>
      <c r="AE22" s="20">
        <f>IFERROR(INDEX('Classification Rules'!$D$43:$D$46,MATCH($AA22,'Classification Rules'!$B$43:$B$46,0)),"")</f>
        <v>0.29500000000000004</v>
      </c>
      <c r="AF22" s="20">
        <f>IFERROR(INDEX('Classification Rules'!$E$43:$E$46,MATCH($AA22,'Classification Rules'!$B$43:$B$46,0)),"")</f>
        <v>0.3337015000000001</v>
      </c>
      <c r="AG22" s="20">
        <f>IFERROR(INDEX('Classification Rules'!$F$43:$F$46,MATCH($AA22,'Classification Rules'!$B$43:$B$46,0)),"")</f>
        <v>0.57999999999999996</v>
      </c>
      <c r="AH22" s="20">
        <f>IFERROR(INDEX('Classification Rules'!$G$43:$G$46,MATCH($AA22,'Classification Rules'!$B$43:$B$46,0)),"")</f>
        <v>0.53939999999999999</v>
      </c>
      <c r="AI22" s="21" t="str">
        <f>IFERROR(INDEX('Classification Rules'!$I$43:$I$46,MATCH($AA22,'Classification Rules'!$B$43:$B$46,0)),"")</f>
        <v>14-20 weeks per cluster</v>
      </c>
      <c r="AJ22" s="21" t="str">
        <f>IFERROR(INDEX('Classification Rules'!$J$43:$J$46,MATCH($AA22,'Classification Rules'!$B$43:$B$46,0)),"")</f>
        <v>Fully sourced, MetLife SMEs paired</v>
      </c>
      <c r="AK22" s="21">
        <f>IFERROR(INDEX('Classification Rules'!$K$43:$K$46,MATCH($AA22,'Classification Rules'!$B$43:$B$46,0)),"")</f>
        <v>0</v>
      </c>
    </row>
    <row r="23" spans="1:37" ht="25.95" customHeight="1" x14ac:dyDescent="0.3">
      <c r="A23" s="25">
        <v>19</v>
      </c>
      <c r="B23" s="26">
        <v>9819</v>
      </c>
      <c r="C23" s="26" t="s">
        <v>98</v>
      </c>
      <c r="D23" s="26" t="s">
        <v>99</v>
      </c>
      <c r="E23" s="26" t="s">
        <v>52</v>
      </c>
      <c r="F23" s="26" t="s">
        <v>61</v>
      </c>
      <c r="G23" s="26" t="s">
        <v>42</v>
      </c>
      <c r="H23" s="26" t="s">
        <v>54</v>
      </c>
      <c r="I23" s="26" t="s">
        <v>44</v>
      </c>
      <c r="J23" s="26" t="s">
        <v>45</v>
      </c>
      <c r="K23" s="26" t="s">
        <v>46</v>
      </c>
      <c r="L23" s="26" t="s">
        <v>85</v>
      </c>
      <c r="M23" s="26" t="s">
        <v>45</v>
      </c>
      <c r="N23" s="26" t="s">
        <v>57</v>
      </c>
      <c r="O23" s="26"/>
      <c r="P23" s="26" t="s">
        <v>58</v>
      </c>
      <c r="Q23" s="27">
        <v>0</v>
      </c>
      <c r="R23" s="27">
        <v>0</v>
      </c>
      <c r="S23" s="27">
        <v>0</v>
      </c>
      <c r="T23" s="27">
        <v>0</v>
      </c>
      <c r="U23" s="28">
        <v>0</v>
      </c>
      <c r="V23" s="27">
        <v>0</v>
      </c>
      <c r="W23" s="27">
        <v>0</v>
      </c>
      <c r="X23" s="29" t="str">
        <f t="shared" si="0"/>
        <v>Rule 1</v>
      </c>
      <c r="Y23" s="29" t="str">
        <f t="shared" si="1"/>
        <v>D</v>
      </c>
      <c r="Z23" s="30"/>
      <c r="AA23" s="4" t="str">
        <f t="shared" si="2"/>
        <v>D</v>
      </c>
      <c r="AB23" s="6" t="str">
        <f>IFERROR(INDEX('Classification Rules'!$C$43:$C$46,MATCH($AA23,'Classification Rules'!$B$43:$B$46,0)),"")</f>
        <v>Legacy-coupled core</v>
      </c>
      <c r="AC23" s="21" t="str">
        <f t="shared" si="3"/>
        <v>Language: COBOL, MU(EASYPLUS), Assembler, JCL</v>
      </c>
      <c r="AD23" s="21" t="str">
        <f>IFERROR(INDEX('Classification Rules'!$D$13:$D$16,MATCH($AA23,'Classification Rules'!$B$13:$B$16,0)),"")</f>
        <v>Rules hard-coded across modules and design truth is not written down. AI does comprehension here, not generation.</v>
      </c>
      <c r="AE23" s="20">
        <f>IFERROR(INDEX('Classification Rules'!$D$43:$D$46,MATCH($AA23,'Classification Rules'!$B$43:$B$46,0)),"")</f>
        <v>0.29500000000000004</v>
      </c>
      <c r="AF23" s="20">
        <f>IFERROR(INDEX('Classification Rules'!$E$43:$E$46,MATCH($AA23,'Classification Rules'!$B$43:$B$46,0)),"")</f>
        <v>0.3337015000000001</v>
      </c>
      <c r="AG23" s="20">
        <f>IFERROR(INDEX('Classification Rules'!$F$43:$F$46,MATCH($AA23,'Classification Rules'!$B$43:$B$46,0)),"")</f>
        <v>0.57999999999999996</v>
      </c>
      <c r="AH23" s="20">
        <f>IFERROR(INDEX('Classification Rules'!$G$43:$G$46,MATCH($AA23,'Classification Rules'!$B$43:$B$46,0)),"")</f>
        <v>0.53939999999999999</v>
      </c>
      <c r="AI23" s="21" t="str">
        <f>IFERROR(INDEX('Classification Rules'!$I$43:$I$46,MATCH($AA23,'Classification Rules'!$B$43:$B$46,0)),"")</f>
        <v>14-20 weeks per cluster</v>
      </c>
      <c r="AJ23" s="21" t="str">
        <f>IFERROR(INDEX('Classification Rules'!$J$43:$J$46,MATCH($AA23,'Classification Rules'!$B$43:$B$46,0)),"")</f>
        <v>Fully sourced, MetLife SMEs paired</v>
      </c>
      <c r="AK23" s="21">
        <f>IFERROR(INDEX('Classification Rules'!$K$43:$K$46,MATCH($AA23,'Classification Rules'!$B$43:$B$46,0)),"")</f>
        <v>0</v>
      </c>
    </row>
    <row r="24" spans="1:37" ht="25.95" customHeight="1" x14ac:dyDescent="0.3">
      <c r="A24" s="25">
        <v>20</v>
      </c>
      <c r="B24" s="26">
        <v>9820</v>
      </c>
      <c r="C24" s="26" t="s">
        <v>100</v>
      </c>
      <c r="D24" s="26" t="s">
        <v>101</v>
      </c>
      <c r="E24" s="26" t="s">
        <v>52</v>
      </c>
      <c r="F24" s="26" t="s">
        <v>53</v>
      </c>
      <c r="G24" s="26" t="s">
        <v>42</v>
      </c>
      <c r="H24" s="26" t="s">
        <v>54</v>
      </c>
      <c r="I24" s="26" t="s">
        <v>44</v>
      </c>
      <c r="J24" s="26" t="s">
        <v>55</v>
      </c>
      <c r="K24" s="26" t="s">
        <v>46</v>
      </c>
      <c r="L24" s="26" t="s">
        <v>85</v>
      </c>
      <c r="M24" s="26" t="s">
        <v>45</v>
      </c>
      <c r="N24" s="26" t="s">
        <v>57</v>
      </c>
      <c r="O24" s="26"/>
      <c r="P24" s="26" t="s">
        <v>58</v>
      </c>
      <c r="Q24" s="27">
        <v>0</v>
      </c>
      <c r="R24" s="27">
        <v>0</v>
      </c>
      <c r="S24" s="27">
        <v>0</v>
      </c>
      <c r="T24" s="27">
        <v>0</v>
      </c>
      <c r="U24" s="28">
        <v>0</v>
      </c>
      <c r="V24" s="27">
        <v>0</v>
      </c>
      <c r="W24" s="27">
        <v>0</v>
      </c>
      <c r="X24" s="29" t="str">
        <f t="shared" si="0"/>
        <v>Rule 1</v>
      </c>
      <c r="Y24" s="29" t="str">
        <f t="shared" si="1"/>
        <v>D</v>
      </c>
      <c r="Z24" s="30"/>
      <c r="AA24" s="4" t="str">
        <f t="shared" si="2"/>
        <v>D</v>
      </c>
      <c r="AB24" s="6" t="str">
        <f>IFERROR(INDEX('Classification Rules'!$C$43:$C$46,MATCH($AA24,'Classification Rules'!$B$43:$B$46,0)),"")</f>
        <v>Legacy-coupled core</v>
      </c>
      <c r="AC24" s="21" t="str">
        <f t="shared" si="3"/>
        <v>Language: COBOL, MU(EASYPLUS), Assembler, JCL</v>
      </c>
      <c r="AD24" s="21" t="str">
        <f>IFERROR(INDEX('Classification Rules'!$D$13:$D$16,MATCH($AA24,'Classification Rules'!$B$13:$B$16,0)),"")</f>
        <v>Rules hard-coded across modules and design truth is not written down. AI does comprehension here, not generation.</v>
      </c>
      <c r="AE24" s="20">
        <f>IFERROR(INDEX('Classification Rules'!$D$43:$D$46,MATCH($AA24,'Classification Rules'!$B$43:$B$46,0)),"")</f>
        <v>0.29500000000000004</v>
      </c>
      <c r="AF24" s="20">
        <f>IFERROR(INDEX('Classification Rules'!$E$43:$E$46,MATCH($AA24,'Classification Rules'!$B$43:$B$46,0)),"")</f>
        <v>0.3337015000000001</v>
      </c>
      <c r="AG24" s="20">
        <f>IFERROR(INDEX('Classification Rules'!$F$43:$F$46,MATCH($AA24,'Classification Rules'!$B$43:$B$46,0)),"")</f>
        <v>0.57999999999999996</v>
      </c>
      <c r="AH24" s="20">
        <f>IFERROR(INDEX('Classification Rules'!$G$43:$G$46,MATCH($AA24,'Classification Rules'!$B$43:$B$46,0)),"")</f>
        <v>0.53939999999999999</v>
      </c>
      <c r="AI24" s="21" t="str">
        <f>IFERROR(INDEX('Classification Rules'!$I$43:$I$46,MATCH($AA24,'Classification Rules'!$B$43:$B$46,0)),"")</f>
        <v>14-20 weeks per cluster</v>
      </c>
      <c r="AJ24" s="21" t="str">
        <f>IFERROR(INDEX('Classification Rules'!$J$43:$J$46,MATCH($AA24,'Classification Rules'!$B$43:$B$46,0)),"")</f>
        <v>Fully sourced, MetLife SMEs paired</v>
      </c>
      <c r="AK24" s="21">
        <f>IFERROR(INDEX('Classification Rules'!$K$43:$K$46,MATCH($AA24,'Classification Rules'!$B$43:$B$46,0)),"")</f>
        <v>0</v>
      </c>
    </row>
    <row r="25" spans="1:37" ht="25.95" customHeight="1" x14ac:dyDescent="0.3">
      <c r="A25" s="25">
        <v>21</v>
      </c>
      <c r="B25" s="26">
        <v>9821</v>
      </c>
      <c r="C25" s="26" t="s">
        <v>102</v>
      </c>
      <c r="D25" s="26" t="s">
        <v>103</v>
      </c>
      <c r="E25" s="26" t="s">
        <v>52</v>
      </c>
      <c r="F25" s="26" t="s">
        <v>53</v>
      </c>
      <c r="G25" s="26" t="s">
        <v>42</v>
      </c>
      <c r="H25" s="26" t="s">
        <v>54</v>
      </c>
      <c r="I25" s="26" t="s">
        <v>44</v>
      </c>
      <c r="J25" s="26" t="s">
        <v>55</v>
      </c>
      <c r="K25" s="26" t="s">
        <v>46</v>
      </c>
      <c r="L25" s="26" t="s">
        <v>85</v>
      </c>
      <c r="M25" s="26" t="s">
        <v>45</v>
      </c>
      <c r="N25" s="26" t="s">
        <v>57</v>
      </c>
      <c r="O25" s="26"/>
      <c r="P25" s="26" t="s">
        <v>58</v>
      </c>
      <c r="Q25" s="27">
        <v>4.378333333333333</v>
      </c>
      <c r="R25" s="27">
        <v>0.97083333333333321</v>
      </c>
      <c r="S25" s="27">
        <v>0</v>
      </c>
      <c r="T25" s="27">
        <v>5.3491666666666662</v>
      </c>
      <c r="U25" s="28">
        <v>0.62610998597912448</v>
      </c>
      <c r="V25" s="27">
        <v>2.6745833333333331</v>
      </c>
      <c r="W25" s="27">
        <v>2.6745833333333331</v>
      </c>
      <c r="X25" s="29" t="str">
        <f t="shared" si="0"/>
        <v>Rule 1</v>
      </c>
      <c r="Y25" s="29" t="str">
        <f t="shared" si="1"/>
        <v>D</v>
      </c>
      <c r="Z25" s="30"/>
      <c r="AA25" s="4" t="str">
        <f t="shared" si="2"/>
        <v>D</v>
      </c>
      <c r="AB25" s="6" t="str">
        <f>IFERROR(INDEX('Classification Rules'!$C$43:$C$46,MATCH($AA25,'Classification Rules'!$B$43:$B$46,0)),"")</f>
        <v>Legacy-coupled core</v>
      </c>
      <c r="AC25" s="21" t="str">
        <f t="shared" si="3"/>
        <v>Language: COBOL, MU(EASYPLUS), Assembler, JCL</v>
      </c>
      <c r="AD25" s="21" t="str">
        <f>IFERROR(INDEX('Classification Rules'!$D$13:$D$16,MATCH($AA25,'Classification Rules'!$B$13:$B$16,0)),"")</f>
        <v>Rules hard-coded across modules and design truth is not written down. AI does comprehension here, not generation.</v>
      </c>
      <c r="AE25" s="20">
        <f>IFERROR(INDEX('Classification Rules'!$D$43:$D$46,MATCH($AA25,'Classification Rules'!$B$43:$B$46,0)),"")</f>
        <v>0.29500000000000004</v>
      </c>
      <c r="AF25" s="20">
        <f>IFERROR(INDEX('Classification Rules'!$E$43:$E$46,MATCH($AA25,'Classification Rules'!$B$43:$B$46,0)),"")</f>
        <v>0.3337015000000001</v>
      </c>
      <c r="AG25" s="20">
        <f>IFERROR(INDEX('Classification Rules'!$F$43:$F$46,MATCH($AA25,'Classification Rules'!$B$43:$B$46,0)),"")</f>
        <v>0.57999999999999996</v>
      </c>
      <c r="AH25" s="20">
        <f>IFERROR(INDEX('Classification Rules'!$G$43:$G$46,MATCH($AA25,'Classification Rules'!$B$43:$B$46,0)),"")</f>
        <v>0.53939999999999999</v>
      </c>
      <c r="AI25" s="21" t="str">
        <f>IFERROR(INDEX('Classification Rules'!$I$43:$I$46,MATCH($AA25,'Classification Rules'!$B$43:$B$46,0)),"")</f>
        <v>14-20 weeks per cluster</v>
      </c>
      <c r="AJ25" s="21" t="str">
        <f>IFERROR(INDEX('Classification Rules'!$J$43:$J$46,MATCH($AA25,'Classification Rules'!$B$43:$B$46,0)),"")</f>
        <v>Fully sourced, MetLife SMEs paired</v>
      </c>
      <c r="AK25" s="21">
        <f>IFERROR(INDEX('Classification Rules'!$K$43:$K$46,MATCH($AA25,'Classification Rules'!$B$43:$B$46,0)),"")</f>
        <v>0</v>
      </c>
    </row>
    <row r="26" spans="1:37" ht="25.95" customHeight="1" x14ac:dyDescent="0.3">
      <c r="A26" s="25">
        <v>22</v>
      </c>
      <c r="B26" s="26">
        <v>9822</v>
      </c>
      <c r="C26" s="26" t="s">
        <v>104</v>
      </c>
      <c r="D26" s="26" t="s">
        <v>105</v>
      </c>
      <c r="E26" s="26" t="s">
        <v>52</v>
      </c>
      <c r="F26" s="26" t="s">
        <v>78</v>
      </c>
      <c r="G26" s="26" t="s">
        <v>42</v>
      </c>
      <c r="H26" s="26" t="s">
        <v>54</v>
      </c>
      <c r="I26" s="26" t="s">
        <v>44</v>
      </c>
      <c r="J26" s="26" t="s">
        <v>45</v>
      </c>
      <c r="K26" s="26" t="s">
        <v>46</v>
      </c>
      <c r="L26" s="26" t="s">
        <v>85</v>
      </c>
      <c r="M26" s="26" t="s">
        <v>45</v>
      </c>
      <c r="N26" s="26" t="s">
        <v>57</v>
      </c>
      <c r="O26" s="26"/>
      <c r="P26" s="26" t="s">
        <v>58</v>
      </c>
      <c r="Q26" s="27">
        <v>6.0129166666666656</v>
      </c>
      <c r="R26" s="27">
        <v>0.25416666666666671</v>
      </c>
      <c r="S26" s="27">
        <v>0</v>
      </c>
      <c r="T26" s="27">
        <v>6.267083333333332</v>
      </c>
      <c r="U26" s="28">
        <v>0.78990758593178645</v>
      </c>
      <c r="V26" s="27">
        <v>3.133541666666666</v>
      </c>
      <c r="W26" s="27">
        <v>3.133541666666666</v>
      </c>
      <c r="X26" s="29" t="str">
        <f t="shared" si="0"/>
        <v>Rule 1</v>
      </c>
      <c r="Y26" s="29" t="str">
        <f t="shared" si="1"/>
        <v>D</v>
      </c>
      <c r="Z26" s="30"/>
      <c r="AA26" s="4" t="str">
        <f t="shared" si="2"/>
        <v>D</v>
      </c>
      <c r="AB26" s="6" t="str">
        <f>IFERROR(INDEX('Classification Rules'!$C$43:$C$46,MATCH($AA26,'Classification Rules'!$B$43:$B$46,0)),"")</f>
        <v>Legacy-coupled core</v>
      </c>
      <c r="AC26" s="21" t="str">
        <f t="shared" si="3"/>
        <v>Language: COBOL, MU(EASYPLUS), Assembler, JCL</v>
      </c>
      <c r="AD26" s="21" t="str">
        <f>IFERROR(INDEX('Classification Rules'!$D$13:$D$16,MATCH($AA26,'Classification Rules'!$B$13:$B$16,0)),"")</f>
        <v>Rules hard-coded across modules and design truth is not written down. AI does comprehension here, not generation.</v>
      </c>
      <c r="AE26" s="20">
        <f>IFERROR(INDEX('Classification Rules'!$D$43:$D$46,MATCH($AA26,'Classification Rules'!$B$43:$B$46,0)),"")</f>
        <v>0.29500000000000004</v>
      </c>
      <c r="AF26" s="20">
        <f>IFERROR(INDEX('Classification Rules'!$E$43:$E$46,MATCH($AA26,'Classification Rules'!$B$43:$B$46,0)),"")</f>
        <v>0.3337015000000001</v>
      </c>
      <c r="AG26" s="20">
        <f>IFERROR(INDEX('Classification Rules'!$F$43:$F$46,MATCH($AA26,'Classification Rules'!$B$43:$B$46,0)),"")</f>
        <v>0.57999999999999996</v>
      </c>
      <c r="AH26" s="20">
        <f>IFERROR(INDEX('Classification Rules'!$G$43:$G$46,MATCH($AA26,'Classification Rules'!$B$43:$B$46,0)),"")</f>
        <v>0.53939999999999999</v>
      </c>
      <c r="AI26" s="21" t="str">
        <f>IFERROR(INDEX('Classification Rules'!$I$43:$I$46,MATCH($AA26,'Classification Rules'!$B$43:$B$46,0)),"")</f>
        <v>14-20 weeks per cluster</v>
      </c>
      <c r="AJ26" s="21" t="str">
        <f>IFERROR(INDEX('Classification Rules'!$J$43:$J$46,MATCH($AA26,'Classification Rules'!$B$43:$B$46,0)),"")</f>
        <v>Fully sourced, MetLife SMEs paired</v>
      </c>
      <c r="AK26" s="21">
        <f>IFERROR(INDEX('Classification Rules'!$K$43:$K$46,MATCH($AA26,'Classification Rules'!$B$43:$B$46,0)),"")</f>
        <v>0</v>
      </c>
    </row>
    <row r="27" spans="1:37" ht="25.95" customHeight="1" x14ac:dyDescent="0.3">
      <c r="A27" s="25">
        <v>23</v>
      </c>
      <c r="B27" s="26">
        <v>9823</v>
      </c>
      <c r="C27" s="26" t="s">
        <v>106</v>
      </c>
      <c r="D27" s="26" t="s">
        <v>107</v>
      </c>
      <c r="E27" s="26" t="s">
        <v>52</v>
      </c>
      <c r="F27" s="26" t="s">
        <v>70</v>
      </c>
      <c r="G27" s="26" t="s">
        <v>42</v>
      </c>
      <c r="H27" s="26" t="s">
        <v>54</v>
      </c>
      <c r="I27" s="26" t="s">
        <v>108</v>
      </c>
      <c r="J27" s="26" t="s">
        <v>55</v>
      </c>
      <c r="K27" s="26" t="s">
        <v>46</v>
      </c>
      <c r="L27" s="26" t="s">
        <v>85</v>
      </c>
      <c r="M27" s="26" t="s">
        <v>45</v>
      </c>
      <c r="N27" s="26" t="s">
        <v>57</v>
      </c>
      <c r="O27" s="26"/>
      <c r="P27" s="26" t="s">
        <v>58</v>
      </c>
      <c r="Q27" s="27">
        <v>6.7267083333333364</v>
      </c>
      <c r="R27" s="27">
        <v>1.4624999999999999</v>
      </c>
      <c r="S27" s="27">
        <v>0</v>
      </c>
      <c r="T27" s="27">
        <v>8.189208333333335</v>
      </c>
      <c r="U27" s="28">
        <v>0.72808726932294032</v>
      </c>
      <c r="V27" s="27">
        <v>4.0946041666666666</v>
      </c>
      <c r="W27" s="27">
        <v>4.0946041666666666</v>
      </c>
      <c r="X27" s="29" t="str">
        <f t="shared" si="0"/>
        <v>Rule 1</v>
      </c>
      <c r="Y27" s="29" t="str">
        <f t="shared" si="1"/>
        <v>D</v>
      </c>
      <c r="Z27" s="30"/>
      <c r="AA27" s="4" t="str">
        <f t="shared" si="2"/>
        <v>D</v>
      </c>
      <c r="AB27" s="6" t="str">
        <f>IFERROR(INDEX('Classification Rules'!$C$43:$C$46,MATCH($AA27,'Classification Rules'!$B$43:$B$46,0)),"")</f>
        <v>Legacy-coupled core</v>
      </c>
      <c r="AC27" s="21" t="str">
        <f t="shared" si="3"/>
        <v>Language: COBOL, MU(EASYPLUS), Assembler, JCL</v>
      </c>
      <c r="AD27" s="21" t="str">
        <f>IFERROR(INDEX('Classification Rules'!$D$13:$D$16,MATCH($AA27,'Classification Rules'!$B$13:$B$16,0)),"")</f>
        <v>Rules hard-coded across modules and design truth is not written down. AI does comprehension here, not generation.</v>
      </c>
      <c r="AE27" s="20">
        <f>IFERROR(INDEX('Classification Rules'!$D$43:$D$46,MATCH($AA27,'Classification Rules'!$B$43:$B$46,0)),"")</f>
        <v>0.29500000000000004</v>
      </c>
      <c r="AF27" s="20">
        <f>IFERROR(INDEX('Classification Rules'!$E$43:$E$46,MATCH($AA27,'Classification Rules'!$B$43:$B$46,0)),"")</f>
        <v>0.3337015000000001</v>
      </c>
      <c r="AG27" s="20">
        <f>IFERROR(INDEX('Classification Rules'!$F$43:$F$46,MATCH($AA27,'Classification Rules'!$B$43:$B$46,0)),"")</f>
        <v>0.57999999999999996</v>
      </c>
      <c r="AH27" s="20">
        <f>IFERROR(INDEX('Classification Rules'!$G$43:$G$46,MATCH($AA27,'Classification Rules'!$B$43:$B$46,0)),"")</f>
        <v>0.53939999999999999</v>
      </c>
      <c r="AI27" s="21" t="str">
        <f>IFERROR(INDEX('Classification Rules'!$I$43:$I$46,MATCH($AA27,'Classification Rules'!$B$43:$B$46,0)),"")</f>
        <v>14-20 weeks per cluster</v>
      </c>
      <c r="AJ27" s="21" t="str">
        <f>IFERROR(INDEX('Classification Rules'!$J$43:$J$46,MATCH($AA27,'Classification Rules'!$B$43:$B$46,0)),"")</f>
        <v>Fully sourced, MetLife SMEs paired</v>
      </c>
      <c r="AK27" s="21">
        <f>IFERROR(INDEX('Classification Rules'!$K$43:$K$46,MATCH($AA27,'Classification Rules'!$B$43:$B$46,0)),"")</f>
        <v>0</v>
      </c>
    </row>
    <row r="28" spans="1:37" ht="25.95" customHeight="1" x14ac:dyDescent="0.3">
      <c r="A28" s="25">
        <v>24</v>
      </c>
      <c r="B28" s="26">
        <v>9824</v>
      </c>
      <c r="C28" s="26" t="s">
        <v>109</v>
      </c>
      <c r="D28" s="26" t="s">
        <v>110</v>
      </c>
      <c r="E28" s="26" t="s">
        <v>52</v>
      </c>
      <c r="F28" s="26" t="s">
        <v>53</v>
      </c>
      <c r="G28" s="26" t="s">
        <v>42</v>
      </c>
      <c r="H28" s="26" t="s">
        <v>54</v>
      </c>
      <c r="I28" s="26" t="s">
        <v>44</v>
      </c>
      <c r="J28" s="26" t="s">
        <v>55</v>
      </c>
      <c r="K28" s="26" t="s">
        <v>46</v>
      </c>
      <c r="L28" s="26" t="s">
        <v>85</v>
      </c>
      <c r="M28" s="26" t="s">
        <v>45</v>
      </c>
      <c r="N28" s="26" t="s">
        <v>57</v>
      </c>
      <c r="O28" s="26"/>
      <c r="P28" s="26" t="s">
        <v>58</v>
      </c>
      <c r="Q28" s="27">
        <v>1.630833333333334</v>
      </c>
      <c r="R28" s="27">
        <v>0</v>
      </c>
      <c r="S28" s="27">
        <v>0</v>
      </c>
      <c r="T28" s="27">
        <v>1.630833333333334</v>
      </c>
      <c r="U28" s="28">
        <v>0.38681655595298942</v>
      </c>
      <c r="V28" s="27">
        <v>0.81541666666666679</v>
      </c>
      <c r="W28" s="27">
        <v>0.81541666666666679</v>
      </c>
      <c r="X28" s="29" t="str">
        <f t="shared" si="0"/>
        <v>Rule 1</v>
      </c>
      <c r="Y28" s="29" t="str">
        <f t="shared" si="1"/>
        <v>D</v>
      </c>
      <c r="Z28" s="30"/>
      <c r="AA28" s="4" t="str">
        <f t="shared" si="2"/>
        <v>D</v>
      </c>
      <c r="AB28" s="6" t="str">
        <f>IFERROR(INDEX('Classification Rules'!$C$43:$C$46,MATCH($AA28,'Classification Rules'!$B$43:$B$46,0)),"")</f>
        <v>Legacy-coupled core</v>
      </c>
      <c r="AC28" s="21" t="str">
        <f t="shared" si="3"/>
        <v>Language: COBOL, MU(EASYPLUS), Assembler, JCL</v>
      </c>
      <c r="AD28" s="21" t="str">
        <f>IFERROR(INDEX('Classification Rules'!$D$13:$D$16,MATCH($AA28,'Classification Rules'!$B$13:$B$16,0)),"")</f>
        <v>Rules hard-coded across modules and design truth is not written down. AI does comprehension here, not generation.</v>
      </c>
      <c r="AE28" s="20">
        <f>IFERROR(INDEX('Classification Rules'!$D$43:$D$46,MATCH($AA28,'Classification Rules'!$B$43:$B$46,0)),"")</f>
        <v>0.29500000000000004</v>
      </c>
      <c r="AF28" s="20">
        <f>IFERROR(INDEX('Classification Rules'!$E$43:$E$46,MATCH($AA28,'Classification Rules'!$B$43:$B$46,0)),"")</f>
        <v>0.3337015000000001</v>
      </c>
      <c r="AG28" s="20">
        <f>IFERROR(INDEX('Classification Rules'!$F$43:$F$46,MATCH($AA28,'Classification Rules'!$B$43:$B$46,0)),"")</f>
        <v>0.57999999999999996</v>
      </c>
      <c r="AH28" s="20">
        <f>IFERROR(INDEX('Classification Rules'!$G$43:$G$46,MATCH($AA28,'Classification Rules'!$B$43:$B$46,0)),"")</f>
        <v>0.53939999999999999</v>
      </c>
      <c r="AI28" s="21" t="str">
        <f>IFERROR(INDEX('Classification Rules'!$I$43:$I$46,MATCH($AA28,'Classification Rules'!$B$43:$B$46,0)),"")</f>
        <v>14-20 weeks per cluster</v>
      </c>
      <c r="AJ28" s="21" t="str">
        <f>IFERROR(INDEX('Classification Rules'!$J$43:$J$46,MATCH($AA28,'Classification Rules'!$B$43:$B$46,0)),"")</f>
        <v>Fully sourced, MetLife SMEs paired</v>
      </c>
      <c r="AK28" s="21">
        <f>IFERROR(INDEX('Classification Rules'!$K$43:$K$46,MATCH($AA28,'Classification Rules'!$B$43:$B$46,0)),"")</f>
        <v>0</v>
      </c>
    </row>
    <row r="29" spans="1:37" ht="39" customHeight="1" x14ac:dyDescent="0.3">
      <c r="A29" s="25">
        <v>25</v>
      </c>
      <c r="B29" s="26">
        <v>9833</v>
      </c>
      <c r="C29" s="26" t="s">
        <v>111</v>
      </c>
      <c r="D29" s="26" t="s">
        <v>112</v>
      </c>
      <c r="E29" s="26" t="s">
        <v>113</v>
      </c>
      <c r="F29" s="26" t="s">
        <v>114</v>
      </c>
      <c r="G29" s="26" t="s">
        <v>115</v>
      </c>
      <c r="H29" s="26" t="s">
        <v>116</v>
      </c>
      <c r="I29" s="26" t="s">
        <v>44</v>
      </c>
      <c r="J29" s="26" t="s">
        <v>45</v>
      </c>
      <c r="K29" s="26" t="s">
        <v>46</v>
      </c>
      <c r="L29" s="26" t="s">
        <v>117</v>
      </c>
      <c r="M29" s="26" t="s">
        <v>45</v>
      </c>
      <c r="N29" s="26" t="s">
        <v>57</v>
      </c>
      <c r="O29" s="26"/>
      <c r="P29" s="26" t="s">
        <v>58</v>
      </c>
      <c r="Q29" s="27">
        <v>8.7316666666666691</v>
      </c>
      <c r="R29" s="27">
        <v>0.1104166666666667</v>
      </c>
      <c r="S29" s="27">
        <v>0</v>
      </c>
      <c r="T29" s="27">
        <v>8.8420833333333366</v>
      </c>
      <c r="U29" s="28">
        <v>0.91687479383629433</v>
      </c>
      <c r="V29" s="27">
        <v>4.4210416666666683</v>
      </c>
      <c r="W29" s="27">
        <v>4.4210416666666683</v>
      </c>
      <c r="X29" s="29" t="str">
        <f t="shared" si="0"/>
        <v>Rule 4</v>
      </c>
      <c r="Y29" s="29" t="str">
        <f t="shared" si="1"/>
        <v>A</v>
      </c>
      <c r="Z29" s="30"/>
      <c r="AA29" s="4" t="str">
        <f t="shared" si="2"/>
        <v>A</v>
      </c>
      <c r="AB29" s="6" t="str">
        <f>IFERROR(INDEX('Classification Rules'!$C$43:$C$46,MATCH($AA29,'Classification Rules'!$B$43:$B$46,0)),"")</f>
        <v>Language-locked</v>
      </c>
      <c r="AC29" s="21" t="str">
        <f t="shared" si="3"/>
        <v>Cloud Indicator = No, not mainframe, not a transfer target</v>
      </c>
      <c r="AD29" s="21" t="str">
        <f>IFERROR(INDEX('Classification Rules'!$D$13:$D$16,MATCH($AA29,'Classification Rules'!$B$13:$B$16,0)),"")</f>
        <v>On-premises and non-mainframe, so the constraint is not the technology — it is that the business context exists only in Japanese, in few heads.</v>
      </c>
      <c r="AE29" s="20">
        <f>IFERROR(INDEX('Classification Rules'!$D$43:$D$46,MATCH($AA29,'Classification Rules'!$B$43:$B$46,0)),"")</f>
        <v>0.30399999999999999</v>
      </c>
      <c r="AF29" s="20">
        <f>IFERROR(INDEX('Classification Rules'!$E$43:$E$46,MATCH($AA29,'Classification Rules'!$B$43:$B$46,0)),"")</f>
        <v>0.33947680000000002</v>
      </c>
      <c r="AG29" s="20">
        <f>IFERROR(INDEX('Classification Rules'!$F$43:$F$46,MATCH($AA29,'Classification Rules'!$B$43:$B$46,0)),"")</f>
        <v>0.15</v>
      </c>
      <c r="AH29" s="20">
        <f>IFERROR(INDEX('Classification Rules'!$G$43:$G$46,MATCH($AA29,'Classification Rules'!$B$43:$B$46,0)),"")</f>
        <v>0.13950000000000001</v>
      </c>
      <c r="AI29" s="21" t="str">
        <f>IFERROR(INDEX('Classification Rules'!$I$43:$I$46,MATCH($AA29,'Classification Rules'!$B$43:$B$46,0)),"")</f>
        <v>10-14 weeks per cluster</v>
      </c>
      <c r="AJ29" s="21" t="str">
        <f>IFERROR(INDEX('Classification Rules'!$J$43:$J$46,MATCH($AA29,'Classification Rules'!$B$43:$B$46,0)),"")</f>
        <v>Fully sourced, onshore-weighted</v>
      </c>
      <c r="AK29" s="21">
        <f>IFERROR(INDEX('Classification Rules'!$K$43:$K$46,MATCH($AA29,'Classification Rules'!$B$43:$B$46,0)),"")</f>
        <v>0</v>
      </c>
    </row>
    <row r="30" spans="1:37" ht="39" customHeight="1" x14ac:dyDescent="0.3">
      <c r="A30" s="25">
        <v>26</v>
      </c>
      <c r="B30" s="26">
        <v>9834</v>
      </c>
      <c r="C30" s="26" t="s">
        <v>118</v>
      </c>
      <c r="D30" s="26" t="s">
        <v>119</v>
      </c>
      <c r="E30" s="26" t="s">
        <v>120</v>
      </c>
      <c r="F30" s="26" t="s">
        <v>121</v>
      </c>
      <c r="G30" s="26" t="s">
        <v>115</v>
      </c>
      <c r="H30" s="26" t="s">
        <v>122</v>
      </c>
      <c r="I30" s="26" t="s">
        <v>44</v>
      </c>
      <c r="J30" s="26" t="s">
        <v>55</v>
      </c>
      <c r="K30" s="26" t="s">
        <v>46</v>
      </c>
      <c r="L30" s="26" t="s">
        <v>123</v>
      </c>
      <c r="M30" s="26" t="s">
        <v>45</v>
      </c>
      <c r="N30" s="26" t="s">
        <v>57</v>
      </c>
      <c r="O30" s="26"/>
      <c r="P30" s="26" t="s">
        <v>58</v>
      </c>
      <c r="Q30" s="27">
        <v>0.2</v>
      </c>
      <c r="R30" s="27">
        <v>0.2</v>
      </c>
      <c r="S30" s="27">
        <v>0</v>
      </c>
      <c r="T30" s="27">
        <v>0.37083333333333329</v>
      </c>
      <c r="U30" s="28">
        <v>0.32584269662921339</v>
      </c>
      <c r="V30" s="27">
        <v>0.1854166666666667</v>
      </c>
      <c r="W30" s="27">
        <v>0.1854166666666667</v>
      </c>
      <c r="X30" s="29" t="str">
        <f t="shared" si="0"/>
        <v>Rule 4</v>
      </c>
      <c r="Y30" s="29" t="str">
        <f t="shared" si="1"/>
        <v>A</v>
      </c>
      <c r="Z30" s="30"/>
      <c r="AA30" s="4" t="str">
        <f t="shared" si="2"/>
        <v>A</v>
      </c>
      <c r="AB30" s="6" t="str">
        <f>IFERROR(INDEX('Classification Rules'!$C$43:$C$46,MATCH($AA30,'Classification Rules'!$B$43:$B$46,0)),"")</f>
        <v>Language-locked</v>
      </c>
      <c r="AC30" s="21" t="str">
        <f t="shared" si="3"/>
        <v>Cloud Indicator = No, not mainframe, not a transfer target</v>
      </c>
      <c r="AD30" s="21" t="str">
        <f>IFERROR(INDEX('Classification Rules'!$D$13:$D$16,MATCH($AA30,'Classification Rules'!$B$13:$B$16,0)),"")</f>
        <v>On-premises and non-mainframe, so the constraint is not the technology — it is that the business context exists only in Japanese, in few heads.</v>
      </c>
      <c r="AE30" s="20">
        <f>IFERROR(INDEX('Classification Rules'!$D$43:$D$46,MATCH($AA30,'Classification Rules'!$B$43:$B$46,0)),"")</f>
        <v>0.30399999999999999</v>
      </c>
      <c r="AF30" s="20">
        <f>IFERROR(INDEX('Classification Rules'!$E$43:$E$46,MATCH($AA30,'Classification Rules'!$B$43:$B$46,0)),"")</f>
        <v>0.33947680000000002</v>
      </c>
      <c r="AG30" s="20">
        <f>IFERROR(INDEX('Classification Rules'!$F$43:$F$46,MATCH($AA30,'Classification Rules'!$B$43:$B$46,0)),"")</f>
        <v>0.15</v>
      </c>
      <c r="AH30" s="20">
        <f>IFERROR(INDEX('Classification Rules'!$G$43:$G$46,MATCH($AA30,'Classification Rules'!$B$43:$B$46,0)),"")</f>
        <v>0.13950000000000001</v>
      </c>
      <c r="AI30" s="21" t="str">
        <f>IFERROR(INDEX('Classification Rules'!$I$43:$I$46,MATCH($AA30,'Classification Rules'!$B$43:$B$46,0)),"")</f>
        <v>10-14 weeks per cluster</v>
      </c>
      <c r="AJ30" s="21" t="str">
        <f>IFERROR(INDEX('Classification Rules'!$J$43:$J$46,MATCH($AA30,'Classification Rules'!$B$43:$B$46,0)),"")</f>
        <v>Fully sourced, onshore-weighted</v>
      </c>
      <c r="AK30" s="21">
        <f>IFERROR(INDEX('Classification Rules'!$K$43:$K$46,MATCH($AA30,'Classification Rules'!$B$43:$B$46,0)),"")</f>
        <v>0</v>
      </c>
    </row>
    <row r="31" spans="1:37" ht="39" customHeight="1" x14ac:dyDescent="0.3">
      <c r="A31" s="25">
        <v>27</v>
      </c>
      <c r="B31" s="26">
        <v>9835</v>
      </c>
      <c r="C31" s="26" t="s">
        <v>124</v>
      </c>
      <c r="D31" s="26" t="s">
        <v>125</v>
      </c>
      <c r="E31" s="26" t="s">
        <v>126</v>
      </c>
      <c r="F31" s="26" t="s">
        <v>127</v>
      </c>
      <c r="G31" s="26" t="s">
        <v>115</v>
      </c>
      <c r="H31" s="26" t="s">
        <v>128</v>
      </c>
      <c r="I31" s="26" t="s">
        <v>44</v>
      </c>
      <c r="J31" s="26" t="s">
        <v>55</v>
      </c>
      <c r="K31" s="26" t="s">
        <v>46</v>
      </c>
      <c r="L31" s="26" t="s">
        <v>129</v>
      </c>
      <c r="M31" s="26" t="s">
        <v>45</v>
      </c>
      <c r="N31" s="26" t="s">
        <v>57</v>
      </c>
      <c r="O31" s="26"/>
      <c r="P31" s="26" t="s">
        <v>58</v>
      </c>
      <c r="Q31" s="27">
        <v>29.379874999999991</v>
      </c>
      <c r="R31" s="27">
        <v>5.6166666666666663</v>
      </c>
      <c r="S31" s="27">
        <v>0</v>
      </c>
      <c r="T31" s="27">
        <v>34.996541666666651</v>
      </c>
      <c r="U31" s="28">
        <v>0.90522873093412803</v>
      </c>
      <c r="V31" s="27">
        <v>17.498270833333329</v>
      </c>
      <c r="W31" s="27">
        <v>17.498270833333329</v>
      </c>
      <c r="X31" s="29" t="str">
        <f t="shared" si="0"/>
        <v>Rule 4</v>
      </c>
      <c r="Y31" s="29" t="str">
        <f t="shared" si="1"/>
        <v>A</v>
      </c>
      <c r="Z31" s="30"/>
      <c r="AA31" s="4" t="str">
        <f t="shared" si="2"/>
        <v>A</v>
      </c>
      <c r="AB31" s="6" t="str">
        <f>IFERROR(INDEX('Classification Rules'!$C$43:$C$46,MATCH($AA31,'Classification Rules'!$B$43:$B$46,0)),"")</f>
        <v>Language-locked</v>
      </c>
      <c r="AC31" s="21" t="str">
        <f t="shared" si="3"/>
        <v>Cloud Indicator = No, not mainframe, not a transfer target</v>
      </c>
      <c r="AD31" s="21" t="str">
        <f>IFERROR(INDEX('Classification Rules'!$D$13:$D$16,MATCH($AA31,'Classification Rules'!$B$13:$B$16,0)),"")</f>
        <v>On-premises and non-mainframe, so the constraint is not the technology — it is that the business context exists only in Japanese, in few heads.</v>
      </c>
      <c r="AE31" s="20">
        <f>IFERROR(INDEX('Classification Rules'!$D$43:$D$46,MATCH($AA31,'Classification Rules'!$B$43:$B$46,0)),"")</f>
        <v>0.30399999999999999</v>
      </c>
      <c r="AF31" s="20">
        <f>IFERROR(INDEX('Classification Rules'!$E$43:$E$46,MATCH($AA31,'Classification Rules'!$B$43:$B$46,0)),"")</f>
        <v>0.33947680000000002</v>
      </c>
      <c r="AG31" s="20">
        <f>IFERROR(INDEX('Classification Rules'!$F$43:$F$46,MATCH($AA31,'Classification Rules'!$B$43:$B$46,0)),"")</f>
        <v>0.15</v>
      </c>
      <c r="AH31" s="20">
        <f>IFERROR(INDEX('Classification Rules'!$G$43:$G$46,MATCH($AA31,'Classification Rules'!$B$43:$B$46,0)),"")</f>
        <v>0.13950000000000001</v>
      </c>
      <c r="AI31" s="21" t="str">
        <f>IFERROR(INDEX('Classification Rules'!$I$43:$I$46,MATCH($AA31,'Classification Rules'!$B$43:$B$46,0)),"")</f>
        <v>10-14 weeks per cluster</v>
      </c>
      <c r="AJ31" s="21" t="str">
        <f>IFERROR(INDEX('Classification Rules'!$J$43:$J$46,MATCH($AA31,'Classification Rules'!$B$43:$B$46,0)),"")</f>
        <v>Fully sourced, onshore-weighted</v>
      </c>
      <c r="AK31" s="21">
        <f>IFERROR(INDEX('Classification Rules'!$K$43:$K$46,MATCH($AA31,'Classification Rules'!$B$43:$B$46,0)),"")</f>
        <v>0</v>
      </c>
    </row>
    <row r="32" spans="1:37" ht="39" customHeight="1" x14ac:dyDescent="0.3">
      <c r="A32" s="25">
        <v>28</v>
      </c>
      <c r="B32" s="26">
        <v>9836</v>
      </c>
      <c r="C32" s="26" t="s">
        <v>130</v>
      </c>
      <c r="D32" s="26" t="s">
        <v>131</v>
      </c>
      <c r="E32" s="26" t="s">
        <v>120</v>
      </c>
      <c r="F32" s="26" t="s">
        <v>121</v>
      </c>
      <c r="G32" s="26" t="s">
        <v>115</v>
      </c>
      <c r="H32" s="26" t="s">
        <v>122</v>
      </c>
      <c r="I32" s="26" t="s">
        <v>44</v>
      </c>
      <c r="J32" s="26" t="s">
        <v>55</v>
      </c>
      <c r="K32" s="26" t="s">
        <v>46</v>
      </c>
      <c r="L32" s="26" t="s">
        <v>123</v>
      </c>
      <c r="M32" s="26" t="s">
        <v>45</v>
      </c>
      <c r="N32" s="26" t="s">
        <v>57</v>
      </c>
      <c r="O32" s="26"/>
      <c r="P32" s="26" t="s">
        <v>58</v>
      </c>
      <c r="Q32" s="27">
        <v>0.3</v>
      </c>
      <c r="R32" s="27">
        <v>0.3</v>
      </c>
      <c r="S32" s="27">
        <v>0</v>
      </c>
      <c r="T32" s="27">
        <v>2.5258333333333329</v>
      </c>
      <c r="U32" s="28">
        <v>0.90102276476410426</v>
      </c>
      <c r="V32" s="27">
        <v>1.262916666666666</v>
      </c>
      <c r="W32" s="27">
        <v>1.262916666666666</v>
      </c>
      <c r="X32" s="29" t="str">
        <f t="shared" si="0"/>
        <v>Rule 4</v>
      </c>
      <c r="Y32" s="29" t="str">
        <f t="shared" si="1"/>
        <v>A</v>
      </c>
      <c r="Z32" s="30"/>
      <c r="AA32" s="4" t="str">
        <f t="shared" si="2"/>
        <v>A</v>
      </c>
      <c r="AB32" s="6" t="str">
        <f>IFERROR(INDEX('Classification Rules'!$C$43:$C$46,MATCH($AA32,'Classification Rules'!$B$43:$B$46,0)),"")</f>
        <v>Language-locked</v>
      </c>
      <c r="AC32" s="21" t="str">
        <f t="shared" si="3"/>
        <v>Cloud Indicator = No, not mainframe, not a transfer target</v>
      </c>
      <c r="AD32" s="21" t="str">
        <f>IFERROR(INDEX('Classification Rules'!$D$13:$D$16,MATCH($AA32,'Classification Rules'!$B$13:$B$16,0)),"")</f>
        <v>On-premises and non-mainframe, so the constraint is not the technology — it is that the business context exists only in Japanese, in few heads.</v>
      </c>
      <c r="AE32" s="20">
        <f>IFERROR(INDEX('Classification Rules'!$D$43:$D$46,MATCH($AA32,'Classification Rules'!$B$43:$B$46,0)),"")</f>
        <v>0.30399999999999999</v>
      </c>
      <c r="AF32" s="20">
        <f>IFERROR(INDEX('Classification Rules'!$E$43:$E$46,MATCH($AA32,'Classification Rules'!$B$43:$B$46,0)),"")</f>
        <v>0.33947680000000002</v>
      </c>
      <c r="AG32" s="20">
        <f>IFERROR(INDEX('Classification Rules'!$F$43:$F$46,MATCH($AA32,'Classification Rules'!$B$43:$B$46,0)),"")</f>
        <v>0.15</v>
      </c>
      <c r="AH32" s="20">
        <f>IFERROR(INDEX('Classification Rules'!$G$43:$G$46,MATCH($AA32,'Classification Rules'!$B$43:$B$46,0)),"")</f>
        <v>0.13950000000000001</v>
      </c>
      <c r="AI32" s="21" t="str">
        <f>IFERROR(INDEX('Classification Rules'!$I$43:$I$46,MATCH($AA32,'Classification Rules'!$B$43:$B$46,0)),"")</f>
        <v>10-14 weeks per cluster</v>
      </c>
      <c r="AJ32" s="21" t="str">
        <f>IFERROR(INDEX('Classification Rules'!$J$43:$J$46,MATCH($AA32,'Classification Rules'!$B$43:$B$46,0)),"")</f>
        <v>Fully sourced, onshore-weighted</v>
      </c>
      <c r="AK32" s="21">
        <f>IFERROR(INDEX('Classification Rules'!$K$43:$K$46,MATCH($AA32,'Classification Rules'!$B$43:$B$46,0)),"")</f>
        <v>0</v>
      </c>
    </row>
    <row r="33" spans="1:37" ht="39" customHeight="1" x14ac:dyDescent="0.3">
      <c r="A33" s="25">
        <v>29</v>
      </c>
      <c r="B33" s="26">
        <v>9842</v>
      </c>
      <c r="C33" s="26" t="s">
        <v>132</v>
      </c>
      <c r="D33" s="26" t="s">
        <v>133</v>
      </c>
      <c r="E33" s="26" t="s">
        <v>120</v>
      </c>
      <c r="F33" s="26" t="s">
        <v>134</v>
      </c>
      <c r="G33" s="26" t="s">
        <v>115</v>
      </c>
      <c r="H33" s="26" t="s">
        <v>122</v>
      </c>
      <c r="I33" s="26" t="s">
        <v>44</v>
      </c>
      <c r="J33" s="26" t="s">
        <v>45</v>
      </c>
      <c r="K33" s="26" t="s">
        <v>46</v>
      </c>
      <c r="L33" s="26" t="s">
        <v>135</v>
      </c>
      <c r="M33" s="26" t="s">
        <v>45</v>
      </c>
      <c r="N33" s="26" t="s">
        <v>57</v>
      </c>
      <c r="O33" s="26"/>
      <c r="P33" s="26" t="s">
        <v>58</v>
      </c>
      <c r="Q33" s="27">
        <v>0.3</v>
      </c>
      <c r="R33" s="27">
        <v>0.3</v>
      </c>
      <c r="S33" s="27">
        <v>0</v>
      </c>
      <c r="T33" s="27">
        <v>2.88625</v>
      </c>
      <c r="U33" s="28">
        <v>0.90298830662624519</v>
      </c>
      <c r="V33" s="27">
        <v>1.443125</v>
      </c>
      <c r="W33" s="27">
        <v>1.443125</v>
      </c>
      <c r="X33" s="29" t="str">
        <f t="shared" si="0"/>
        <v>Rule 4</v>
      </c>
      <c r="Y33" s="29" t="str">
        <f t="shared" si="1"/>
        <v>A</v>
      </c>
      <c r="Z33" s="30"/>
      <c r="AA33" s="4" t="str">
        <f t="shared" si="2"/>
        <v>A</v>
      </c>
      <c r="AB33" s="6" t="str">
        <f>IFERROR(INDEX('Classification Rules'!$C$43:$C$46,MATCH($AA33,'Classification Rules'!$B$43:$B$46,0)),"")</f>
        <v>Language-locked</v>
      </c>
      <c r="AC33" s="21" t="str">
        <f t="shared" si="3"/>
        <v>Cloud Indicator = No, not mainframe, not a transfer target</v>
      </c>
      <c r="AD33" s="21" t="str">
        <f>IFERROR(INDEX('Classification Rules'!$D$13:$D$16,MATCH($AA33,'Classification Rules'!$B$13:$B$16,0)),"")</f>
        <v>On-premises and non-mainframe, so the constraint is not the technology — it is that the business context exists only in Japanese, in few heads.</v>
      </c>
      <c r="AE33" s="20">
        <f>IFERROR(INDEX('Classification Rules'!$D$43:$D$46,MATCH($AA33,'Classification Rules'!$B$43:$B$46,0)),"")</f>
        <v>0.30399999999999999</v>
      </c>
      <c r="AF33" s="20">
        <f>IFERROR(INDEX('Classification Rules'!$E$43:$E$46,MATCH($AA33,'Classification Rules'!$B$43:$B$46,0)),"")</f>
        <v>0.33947680000000002</v>
      </c>
      <c r="AG33" s="20">
        <f>IFERROR(INDEX('Classification Rules'!$F$43:$F$46,MATCH($AA33,'Classification Rules'!$B$43:$B$46,0)),"")</f>
        <v>0.15</v>
      </c>
      <c r="AH33" s="20">
        <f>IFERROR(INDEX('Classification Rules'!$G$43:$G$46,MATCH($AA33,'Classification Rules'!$B$43:$B$46,0)),"")</f>
        <v>0.13950000000000001</v>
      </c>
      <c r="AI33" s="21" t="str">
        <f>IFERROR(INDEX('Classification Rules'!$I$43:$I$46,MATCH($AA33,'Classification Rules'!$B$43:$B$46,0)),"")</f>
        <v>10-14 weeks per cluster</v>
      </c>
      <c r="AJ33" s="21" t="str">
        <f>IFERROR(INDEX('Classification Rules'!$J$43:$J$46,MATCH($AA33,'Classification Rules'!$B$43:$B$46,0)),"")</f>
        <v>Fully sourced, onshore-weighted</v>
      </c>
      <c r="AK33" s="21">
        <f>IFERROR(INDEX('Classification Rules'!$K$43:$K$46,MATCH($AA33,'Classification Rules'!$B$43:$B$46,0)),"")</f>
        <v>0</v>
      </c>
    </row>
    <row r="34" spans="1:37" ht="39" customHeight="1" x14ac:dyDescent="0.3">
      <c r="A34" s="25">
        <v>30</v>
      </c>
      <c r="B34" s="26">
        <v>9843</v>
      </c>
      <c r="C34" s="26" t="s">
        <v>136</v>
      </c>
      <c r="D34" s="26" t="s">
        <v>137</v>
      </c>
      <c r="E34" s="26" t="s">
        <v>138</v>
      </c>
      <c r="F34" s="26" t="s">
        <v>139</v>
      </c>
      <c r="G34" s="26" t="s">
        <v>115</v>
      </c>
      <c r="H34" s="26" t="s">
        <v>140</v>
      </c>
      <c r="I34" s="26" t="s">
        <v>44</v>
      </c>
      <c r="J34" s="26" t="s">
        <v>45</v>
      </c>
      <c r="K34" s="26" t="s">
        <v>46</v>
      </c>
      <c r="L34" s="26" t="s">
        <v>123</v>
      </c>
      <c r="M34" s="26" t="s">
        <v>45</v>
      </c>
      <c r="N34" s="26" t="s">
        <v>57</v>
      </c>
      <c r="O34" s="26"/>
      <c r="P34" s="26" t="s">
        <v>58</v>
      </c>
      <c r="Q34" s="27">
        <v>1.212083333333333</v>
      </c>
      <c r="R34" s="27">
        <v>0.20833333333333329</v>
      </c>
      <c r="S34" s="27">
        <v>0</v>
      </c>
      <c r="T34" s="27">
        <v>1.4204166666666671</v>
      </c>
      <c r="U34" s="28">
        <v>0.63596362569668519</v>
      </c>
      <c r="V34" s="27">
        <v>0.71020833333333333</v>
      </c>
      <c r="W34" s="27">
        <v>0.71020833333333333</v>
      </c>
      <c r="X34" s="29" t="str">
        <f t="shared" si="0"/>
        <v>Rule 4</v>
      </c>
      <c r="Y34" s="29" t="str">
        <f t="shared" si="1"/>
        <v>A</v>
      </c>
      <c r="Z34" s="30"/>
      <c r="AA34" s="4" t="str">
        <f t="shared" si="2"/>
        <v>A</v>
      </c>
      <c r="AB34" s="6" t="str">
        <f>IFERROR(INDEX('Classification Rules'!$C$43:$C$46,MATCH($AA34,'Classification Rules'!$B$43:$B$46,0)),"")</f>
        <v>Language-locked</v>
      </c>
      <c r="AC34" s="21" t="str">
        <f t="shared" si="3"/>
        <v>Cloud Indicator = No, not mainframe, not a transfer target</v>
      </c>
      <c r="AD34" s="21" t="str">
        <f>IFERROR(INDEX('Classification Rules'!$D$13:$D$16,MATCH($AA34,'Classification Rules'!$B$13:$B$16,0)),"")</f>
        <v>On-premises and non-mainframe, so the constraint is not the technology — it is that the business context exists only in Japanese, in few heads.</v>
      </c>
      <c r="AE34" s="20">
        <f>IFERROR(INDEX('Classification Rules'!$D$43:$D$46,MATCH($AA34,'Classification Rules'!$B$43:$B$46,0)),"")</f>
        <v>0.30399999999999999</v>
      </c>
      <c r="AF34" s="20">
        <f>IFERROR(INDEX('Classification Rules'!$E$43:$E$46,MATCH($AA34,'Classification Rules'!$B$43:$B$46,0)),"")</f>
        <v>0.33947680000000002</v>
      </c>
      <c r="AG34" s="20">
        <f>IFERROR(INDEX('Classification Rules'!$F$43:$F$46,MATCH($AA34,'Classification Rules'!$B$43:$B$46,0)),"")</f>
        <v>0.15</v>
      </c>
      <c r="AH34" s="20">
        <f>IFERROR(INDEX('Classification Rules'!$G$43:$G$46,MATCH($AA34,'Classification Rules'!$B$43:$B$46,0)),"")</f>
        <v>0.13950000000000001</v>
      </c>
      <c r="AI34" s="21" t="str">
        <f>IFERROR(INDEX('Classification Rules'!$I$43:$I$46,MATCH($AA34,'Classification Rules'!$B$43:$B$46,0)),"")</f>
        <v>10-14 weeks per cluster</v>
      </c>
      <c r="AJ34" s="21" t="str">
        <f>IFERROR(INDEX('Classification Rules'!$J$43:$J$46,MATCH($AA34,'Classification Rules'!$B$43:$B$46,0)),"")</f>
        <v>Fully sourced, onshore-weighted</v>
      </c>
      <c r="AK34" s="21">
        <f>IFERROR(INDEX('Classification Rules'!$K$43:$K$46,MATCH($AA34,'Classification Rules'!$B$43:$B$46,0)),"")</f>
        <v>0</v>
      </c>
    </row>
    <row r="35" spans="1:37" ht="39" customHeight="1" x14ac:dyDescent="0.3">
      <c r="A35" s="25">
        <v>31</v>
      </c>
      <c r="B35" s="26">
        <v>9844</v>
      </c>
      <c r="C35" s="26" t="s">
        <v>141</v>
      </c>
      <c r="D35" s="26" t="s">
        <v>142</v>
      </c>
      <c r="E35" s="26" t="s">
        <v>143</v>
      </c>
      <c r="F35" s="26" t="s">
        <v>144</v>
      </c>
      <c r="G35" s="26" t="s">
        <v>42</v>
      </c>
      <c r="H35" s="26" t="s">
        <v>145</v>
      </c>
      <c r="I35" s="26" t="s">
        <v>44</v>
      </c>
      <c r="J35" s="26" t="s">
        <v>55</v>
      </c>
      <c r="K35" s="26" t="s">
        <v>46</v>
      </c>
      <c r="L35" s="26" t="s">
        <v>123</v>
      </c>
      <c r="M35" s="26" t="s">
        <v>45</v>
      </c>
      <c r="N35" s="26" t="s">
        <v>57</v>
      </c>
      <c r="O35" s="26"/>
      <c r="P35" s="26" t="s">
        <v>58</v>
      </c>
      <c r="Q35" s="27">
        <v>0.67083333333333339</v>
      </c>
      <c r="R35" s="27">
        <v>0.68333333333333324</v>
      </c>
      <c r="S35" s="27">
        <v>0</v>
      </c>
      <c r="T35" s="27">
        <v>1.354166666666667</v>
      </c>
      <c r="U35" s="28">
        <v>0.36923076923076931</v>
      </c>
      <c r="V35" s="27">
        <v>0.67708333333333326</v>
      </c>
      <c r="W35" s="27">
        <v>0.67708333333333326</v>
      </c>
      <c r="X35" s="29" t="str">
        <f t="shared" si="0"/>
        <v>Rule 4</v>
      </c>
      <c r="Y35" s="29" t="str">
        <f t="shared" si="1"/>
        <v>A</v>
      </c>
      <c r="Z35" s="30"/>
      <c r="AA35" s="4" t="str">
        <f t="shared" si="2"/>
        <v>A</v>
      </c>
      <c r="AB35" s="6" t="str">
        <f>IFERROR(INDEX('Classification Rules'!$C$43:$C$46,MATCH($AA35,'Classification Rules'!$B$43:$B$46,0)),"")</f>
        <v>Language-locked</v>
      </c>
      <c r="AC35" s="21" t="str">
        <f t="shared" si="3"/>
        <v>Cloud Indicator = No, not mainframe, not a transfer target</v>
      </c>
      <c r="AD35" s="21" t="str">
        <f>IFERROR(INDEX('Classification Rules'!$D$13:$D$16,MATCH($AA35,'Classification Rules'!$B$13:$B$16,0)),"")</f>
        <v>On-premises and non-mainframe, so the constraint is not the technology — it is that the business context exists only in Japanese, in few heads.</v>
      </c>
      <c r="AE35" s="20">
        <f>IFERROR(INDEX('Classification Rules'!$D$43:$D$46,MATCH($AA35,'Classification Rules'!$B$43:$B$46,0)),"")</f>
        <v>0.30399999999999999</v>
      </c>
      <c r="AF35" s="20">
        <f>IFERROR(INDEX('Classification Rules'!$E$43:$E$46,MATCH($AA35,'Classification Rules'!$B$43:$B$46,0)),"")</f>
        <v>0.33947680000000002</v>
      </c>
      <c r="AG35" s="20">
        <f>IFERROR(INDEX('Classification Rules'!$F$43:$F$46,MATCH($AA35,'Classification Rules'!$B$43:$B$46,0)),"")</f>
        <v>0.15</v>
      </c>
      <c r="AH35" s="20">
        <f>IFERROR(INDEX('Classification Rules'!$G$43:$G$46,MATCH($AA35,'Classification Rules'!$B$43:$B$46,0)),"")</f>
        <v>0.13950000000000001</v>
      </c>
      <c r="AI35" s="21" t="str">
        <f>IFERROR(INDEX('Classification Rules'!$I$43:$I$46,MATCH($AA35,'Classification Rules'!$B$43:$B$46,0)),"")</f>
        <v>10-14 weeks per cluster</v>
      </c>
      <c r="AJ35" s="21" t="str">
        <f>IFERROR(INDEX('Classification Rules'!$J$43:$J$46,MATCH($AA35,'Classification Rules'!$B$43:$B$46,0)),"")</f>
        <v>Fully sourced, onshore-weighted</v>
      </c>
      <c r="AK35" s="21">
        <f>IFERROR(INDEX('Classification Rules'!$K$43:$K$46,MATCH($AA35,'Classification Rules'!$B$43:$B$46,0)),"")</f>
        <v>0</v>
      </c>
    </row>
    <row r="36" spans="1:37" ht="39" customHeight="1" x14ac:dyDescent="0.3">
      <c r="A36" s="25">
        <v>32</v>
      </c>
      <c r="B36" s="26">
        <v>9845</v>
      </c>
      <c r="C36" s="26" t="s">
        <v>146</v>
      </c>
      <c r="D36" s="26" t="s">
        <v>147</v>
      </c>
      <c r="E36" s="26" t="s">
        <v>113</v>
      </c>
      <c r="F36" s="26" t="s">
        <v>148</v>
      </c>
      <c r="G36" s="26" t="s">
        <v>115</v>
      </c>
      <c r="H36" s="26" t="s">
        <v>116</v>
      </c>
      <c r="I36" s="26" t="s">
        <v>44</v>
      </c>
      <c r="J36" s="26" t="s">
        <v>45</v>
      </c>
      <c r="K36" s="26" t="s">
        <v>46</v>
      </c>
      <c r="L36" s="26" t="s">
        <v>123</v>
      </c>
      <c r="M36" s="26" t="s">
        <v>45</v>
      </c>
      <c r="N36" s="26" t="s">
        <v>57</v>
      </c>
      <c r="O36" s="26"/>
      <c r="P36" s="26" t="s">
        <v>58</v>
      </c>
      <c r="Q36" s="27">
        <v>3.4049166666666668</v>
      </c>
      <c r="R36" s="27">
        <v>0</v>
      </c>
      <c r="S36" s="27">
        <v>0</v>
      </c>
      <c r="T36" s="27">
        <v>3.4049166666666668</v>
      </c>
      <c r="U36" s="28">
        <v>0.84091632198536437</v>
      </c>
      <c r="V36" s="27">
        <v>1.702458333333333</v>
      </c>
      <c r="W36" s="27">
        <v>1.702458333333333</v>
      </c>
      <c r="X36" s="29" t="str">
        <f t="shared" si="0"/>
        <v>Rule 4</v>
      </c>
      <c r="Y36" s="29" t="str">
        <f t="shared" si="1"/>
        <v>A</v>
      </c>
      <c r="Z36" s="30"/>
      <c r="AA36" s="4" t="str">
        <f t="shared" si="2"/>
        <v>A</v>
      </c>
      <c r="AB36" s="6" t="str">
        <f>IFERROR(INDEX('Classification Rules'!$C$43:$C$46,MATCH($AA36,'Classification Rules'!$B$43:$B$46,0)),"")</f>
        <v>Language-locked</v>
      </c>
      <c r="AC36" s="21" t="str">
        <f t="shared" si="3"/>
        <v>Cloud Indicator = No, not mainframe, not a transfer target</v>
      </c>
      <c r="AD36" s="21" t="str">
        <f>IFERROR(INDEX('Classification Rules'!$D$13:$D$16,MATCH($AA36,'Classification Rules'!$B$13:$B$16,0)),"")</f>
        <v>On-premises and non-mainframe, so the constraint is not the technology — it is that the business context exists only in Japanese, in few heads.</v>
      </c>
      <c r="AE36" s="20">
        <f>IFERROR(INDEX('Classification Rules'!$D$43:$D$46,MATCH($AA36,'Classification Rules'!$B$43:$B$46,0)),"")</f>
        <v>0.30399999999999999</v>
      </c>
      <c r="AF36" s="20">
        <f>IFERROR(INDEX('Classification Rules'!$E$43:$E$46,MATCH($AA36,'Classification Rules'!$B$43:$B$46,0)),"")</f>
        <v>0.33947680000000002</v>
      </c>
      <c r="AG36" s="20">
        <f>IFERROR(INDEX('Classification Rules'!$F$43:$F$46,MATCH($AA36,'Classification Rules'!$B$43:$B$46,0)),"")</f>
        <v>0.15</v>
      </c>
      <c r="AH36" s="20">
        <f>IFERROR(INDEX('Classification Rules'!$G$43:$G$46,MATCH($AA36,'Classification Rules'!$B$43:$B$46,0)),"")</f>
        <v>0.13950000000000001</v>
      </c>
      <c r="AI36" s="21" t="str">
        <f>IFERROR(INDEX('Classification Rules'!$I$43:$I$46,MATCH($AA36,'Classification Rules'!$B$43:$B$46,0)),"")</f>
        <v>10-14 weeks per cluster</v>
      </c>
      <c r="AJ36" s="21" t="str">
        <f>IFERROR(INDEX('Classification Rules'!$J$43:$J$46,MATCH($AA36,'Classification Rules'!$B$43:$B$46,0)),"")</f>
        <v>Fully sourced, onshore-weighted</v>
      </c>
      <c r="AK36" s="21">
        <f>IFERROR(INDEX('Classification Rules'!$K$43:$K$46,MATCH($AA36,'Classification Rules'!$B$43:$B$46,0)),"")</f>
        <v>0</v>
      </c>
    </row>
    <row r="37" spans="1:37" ht="39" customHeight="1" x14ac:dyDescent="0.3">
      <c r="A37" s="25">
        <v>33</v>
      </c>
      <c r="B37" s="26">
        <v>9846</v>
      </c>
      <c r="C37" s="26" t="s">
        <v>149</v>
      </c>
      <c r="D37" s="26" t="s">
        <v>150</v>
      </c>
      <c r="E37" s="26" t="s">
        <v>138</v>
      </c>
      <c r="F37" s="26" t="s">
        <v>139</v>
      </c>
      <c r="G37" s="26" t="s">
        <v>115</v>
      </c>
      <c r="H37" s="26" t="s">
        <v>140</v>
      </c>
      <c r="I37" s="26" t="s">
        <v>44</v>
      </c>
      <c r="J37" s="26" t="s">
        <v>45</v>
      </c>
      <c r="K37" s="26" t="s">
        <v>46</v>
      </c>
      <c r="L37" s="26" t="s">
        <v>123</v>
      </c>
      <c r="M37" s="26" t="s">
        <v>45</v>
      </c>
      <c r="N37" s="26" t="s">
        <v>57</v>
      </c>
      <c r="O37" s="26"/>
      <c r="P37" s="26" t="s">
        <v>58</v>
      </c>
      <c r="Q37" s="27">
        <v>3.125E-2</v>
      </c>
      <c r="R37" s="27">
        <v>0.4</v>
      </c>
      <c r="S37" s="27">
        <v>0</v>
      </c>
      <c r="T37" s="27">
        <v>0.43125000000000002</v>
      </c>
      <c r="U37" s="28">
        <v>0.92753623188405798</v>
      </c>
      <c r="V37" s="27">
        <v>0.21562500000000001</v>
      </c>
      <c r="W37" s="27">
        <v>0.21562500000000001</v>
      </c>
      <c r="X37" s="29" t="str">
        <f t="shared" ref="X37:X68" si="4">IF(OR(ISNUMBER(SEARCH("COBOL",$L37)),ISNUMBER(SEARCH("Assembler",$L37)),ISNUMBER(SEARCH("ASM",$L37)),ISNUMBER(SEARCH("RPG",$L37)),ISNUMBER(SEARCH("EASYPLUS",$L37)),ISNUMBER(SEARCH("PL/I",$L37))),"Rule 1",IF($M37="Y","Rule 2",IF($N37="Yes","Rule 3","Rule 4")))</f>
        <v>Rule 4</v>
      </c>
      <c r="Y37" s="29" t="str">
        <f t="shared" ref="Y37:Y68" si="5">IF($X37="Rule 1","D",IF($X37="Rule 2","C",IF($X37="Rule 3","B","A")))</f>
        <v>A</v>
      </c>
      <c r="Z37" s="30"/>
      <c r="AA37" s="4" t="str">
        <f t="shared" ref="AA37:AA68" si="6">IF($Z37="",$Y37,$Z37)</f>
        <v>A</v>
      </c>
      <c r="AB37" s="6" t="str">
        <f>IFERROR(INDEX('Classification Rules'!$C$43:$C$46,MATCH($AA37,'Classification Rules'!$B$43:$B$46,0)),"")</f>
        <v>Language-locked</v>
      </c>
      <c r="AC37" s="21" t="str">
        <f t="shared" ref="AC37:AC68" si="7">IF($X37="Rule 1","Language: "&amp;$L37,IF($X37="Rule 2","Priority Transfer Target = Y",IF($X37="Rule 3","Cloud Indicator = Yes  ("&amp;$O37&amp;")","Cloud Indicator = No, not mainframe, not a transfer target")))</f>
        <v>Cloud Indicator = No, not mainframe, not a transfer target</v>
      </c>
      <c r="AD37" s="21" t="str">
        <f>IFERROR(INDEX('Classification Rules'!$D$13:$D$16,MATCH($AA37,'Classification Rules'!$B$13:$B$16,0)),"")</f>
        <v>On-premises and non-mainframe, so the constraint is not the technology — it is that the business context exists only in Japanese, in few heads.</v>
      </c>
      <c r="AE37" s="20">
        <f>IFERROR(INDEX('Classification Rules'!$D$43:$D$46,MATCH($AA37,'Classification Rules'!$B$43:$B$46,0)),"")</f>
        <v>0.30399999999999999</v>
      </c>
      <c r="AF37" s="20">
        <f>IFERROR(INDEX('Classification Rules'!$E$43:$E$46,MATCH($AA37,'Classification Rules'!$B$43:$B$46,0)),"")</f>
        <v>0.33947680000000002</v>
      </c>
      <c r="AG37" s="20">
        <f>IFERROR(INDEX('Classification Rules'!$F$43:$F$46,MATCH($AA37,'Classification Rules'!$B$43:$B$46,0)),"")</f>
        <v>0.15</v>
      </c>
      <c r="AH37" s="20">
        <f>IFERROR(INDEX('Classification Rules'!$G$43:$G$46,MATCH($AA37,'Classification Rules'!$B$43:$B$46,0)),"")</f>
        <v>0.13950000000000001</v>
      </c>
      <c r="AI37" s="21" t="str">
        <f>IFERROR(INDEX('Classification Rules'!$I$43:$I$46,MATCH($AA37,'Classification Rules'!$B$43:$B$46,0)),"")</f>
        <v>10-14 weeks per cluster</v>
      </c>
      <c r="AJ37" s="21" t="str">
        <f>IFERROR(INDEX('Classification Rules'!$J$43:$J$46,MATCH($AA37,'Classification Rules'!$B$43:$B$46,0)),"")</f>
        <v>Fully sourced, onshore-weighted</v>
      </c>
      <c r="AK37" s="21">
        <f>IFERROR(INDEX('Classification Rules'!$K$43:$K$46,MATCH($AA37,'Classification Rules'!$B$43:$B$46,0)),"")</f>
        <v>0</v>
      </c>
    </row>
    <row r="38" spans="1:37" ht="39" customHeight="1" x14ac:dyDescent="0.3">
      <c r="A38" s="25">
        <v>34</v>
      </c>
      <c r="B38" s="26">
        <v>9847</v>
      </c>
      <c r="C38" s="26" t="s">
        <v>151</v>
      </c>
      <c r="D38" s="26" t="s">
        <v>152</v>
      </c>
      <c r="E38" s="26" t="s">
        <v>52</v>
      </c>
      <c r="F38" s="26" t="s">
        <v>53</v>
      </c>
      <c r="G38" s="26" t="s">
        <v>42</v>
      </c>
      <c r="H38" s="26" t="s">
        <v>54</v>
      </c>
      <c r="I38" s="26" t="s">
        <v>44</v>
      </c>
      <c r="J38" s="26" t="s">
        <v>45</v>
      </c>
      <c r="K38" s="26" t="s">
        <v>46</v>
      </c>
      <c r="L38" s="26" t="s">
        <v>123</v>
      </c>
      <c r="M38" s="26" t="s">
        <v>45</v>
      </c>
      <c r="N38" s="26" t="s">
        <v>57</v>
      </c>
      <c r="O38" s="26"/>
      <c r="P38" s="26" t="s">
        <v>58</v>
      </c>
      <c r="Q38" s="27">
        <v>0.15262500000000001</v>
      </c>
      <c r="R38" s="27">
        <v>0.3</v>
      </c>
      <c r="S38" s="27">
        <v>0</v>
      </c>
      <c r="T38" s="27">
        <v>0.45262499999999989</v>
      </c>
      <c r="U38" s="28">
        <v>1</v>
      </c>
      <c r="V38" s="27">
        <v>0.2263125</v>
      </c>
      <c r="W38" s="27">
        <v>0.2263125</v>
      </c>
      <c r="X38" s="29" t="str">
        <f t="shared" si="4"/>
        <v>Rule 4</v>
      </c>
      <c r="Y38" s="29" t="str">
        <f t="shared" si="5"/>
        <v>A</v>
      </c>
      <c r="Z38" s="30"/>
      <c r="AA38" s="4" t="str">
        <f t="shared" si="6"/>
        <v>A</v>
      </c>
      <c r="AB38" s="6" t="str">
        <f>IFERROR(INDEX('Classification Rules'!$C$43:$C$46,MATCH($AA38,'Classification Rules'!$B$43:$B$46,0)),"")</f>
        <v>Language-locked</v>
      </c>
      <c r="AC38" s="21" t="str">
        <f t="shared" si="7"/>
        <v>Cloud Indicator = No, not mainframe, not a transfer target</v>
      </c>
      <c r="AD38" s="21" t="str">
        <f>IFERROR(INDEX('Classification Rules'!$D$13:$D$16,MATCH($AA38,'Classification Rules'!$B$13:$B$16,0)),"")</f>
        <v>On-premises and non-mainframe, so the constraint is not the technology — it is that the business context exists only in Japanese, in few heads.</v>
      </c>
      <c r="AE38" s="20">
        <f>IFERROR(INDEX('Classification Rules'!$D$43:$D$46,MATCH($AA38,'Classification Rules'!$B$43:$B$46,0)),"")</f>
        <v>0.30399999999999999</v>
      </c>
      <c r="AF38" s="20">
        <f>IFERROR(INDEX('Classification Rules'!$E$43:$E$46,MATCH($AA38,'Classification Rules'!$B$43:$B$46,0)),"")</f>
        <v>0.33947680000000002</v>
      </c>
      <c r="AG38" s="20">
        <f>IFERROR(INDEX('Classification Rules'!$F$43:$F$46,MATCH($AA38,'Classification Rules'!$B$43:$B$46,0)),"")</f>
        <v>0.15</v>
      </c>
      <c r="AH38" s="20">
        <f>IFERROR(INDEX('Classification Rules'!$G$43:$G$46,MATCH($AA38,'Classification Rules'!$B$43:$B$46,0)),"")</f>
        <v>0.13950000000000001</v>
      </c>
      <c r="AI38" s="21" t="str">
        <f>IFERROR(INDEX('Classification Rules'!$I$43:$I$46,MATCH($AA38,'Classification Rules'!$B$43:$B$46,0)),"")</f>
        <v>10-14 weeks per cluster</v>
      </c>
      <c r="AJ38" s="21" t="str">
        <f>IFERROR(INDEX('Classification Rules'!$J$43:$J$46,MATCH($AA38,'Classification Rules'!$B$43:$B$46,0)),"")</f>
        <v>Fully sourced, onshore-weighted</v>
      </c>
      <c r="AK38" s="21">
        <f>IFERROR(INDEX('Classification Rules'!$K$43:$K$46,MATCH($AA38,'Classification Rules'!$B$43:$B$46,0)),"")</f>
        <v>0</v>
      </c>
    </row>
    <row r="39" spans="1:37" ht="39" customHeight="1" x14ac:dyDescent="0.3">
      <c r="A39" s="25">
        <v>35</v>
      </c>
      <c r="B39" s="26">
        <v>9848</v>
      </c>
      <c r="C39" s="26" t="s">
        <v>153</v>
      </c>
      <c r="D39" s="26" t="s">
        <v>154</v>
      </c>
      <c r="E39" s="26" t="s">
        <v>113</v>
      </c>
      <c r="F39" s="26" t="s">
        <v>155</v>
      </c>
      <c r="G39" s="26" t="s">
        <v>115</v>
      </c>
      <c r="H39" s="26" t="s">
        <v>116</v>
      </c>
      <c r="I39" s="26" t="s">
        <v>44</v>
      </c>
      <c r="J39" s="26" t="s">
        <v>45</v>
      </c>
      <c r="K39" s="26" t="s">
        <v>46</v>
      </c>
      <c r="L39" s="26" t="s">
        <v>123</v>
      </c>
      <c r="M39" s="26" t="s">
        <v>45</v>
      </c>
      <c r="N39" s="26" t="s">
        <v>57</v>
      </c>
      <c r="O39" s="26"/>
      <c r="P39" s="26" t="s">
        <v>58</v>
      </c>
      <c r="Q39" s="27">
        <v>0.88541666666666663</v>
      </c>
      <c r="R39" s="27">
        <v>0</v>
      </c>
      <c r="S39" s="27">
        <v>0</v>
      </c>
      <c r="T39" s="27">
        <v>0.88541666666666663</v>
      </c>
      <c r="U39" s="28">
        <v>0.83058823529411763</v>
      </c>
      <c r="V39" s="27">
        <v>0.44270833333333331</v>
      </c>
      <c r="W39" s="27">
        <v>0.44270833333333331</v>
      </c>
      <c r="X39" s="29" t="str">
        <f t="shared" si="4"/>
        <v>Rule 4</v>
      </c>
      <c r="Y39" s="29" t="str">
        <f t="shared" si="5"/>
        <v>A</v>
      </c>
      <c r="Z39" s="30"/>
      <c r="AA39" s="4" t="str">
        <f t="shared" si="6"/>
        <v>A</v>
      </c>
      <c r="AB39" s="6" t="str">
        <f>IFERROR(INDEX('Classification Rules'!$C$43:$C$46,MATCH($AA39,'Classification Rules'!$B$43:$B$46,0)),"")</f>
        <v>Language-locked</v>
      </c>
      <c r="AC39" s="21" t="str">
        <f t="shared" si="7"/>
        <v>Cloud Indicator = No, not mainframe, not a transfer target</v>
      </c>
      <c r="AD39" s="21" t="str">
        <f>IFERROR(INDEX('Classification Rules'!$D$13:$D$16,MATCH($AA39,'Classification Rules'!$B$13:$B$16,0)),"")</f>
        <v>On-premises and non-mainframe, so the constraint is not the technology — it is that the business context exists only in Japanese, in few heads.</v>
      </c>
      <c r="AE39" s="20">
        <f>IFERROR(INDEX('Classification Rules'!$D$43:$D$46,MATCH($AA39,'Classification Rules'!$B$43:$B$46,0)),"")</f>
        <v>0.30399999999999999</v>
      </c>
      <c r="AF39" s="20">
        <f>IFERROR(INDEX('Classification Rules'!$E$43:$E$46,MATCH($AA39,'Classification Rules'!$B$43:$B$46,0)),"")</f>
        <v>0.33947680000000002</v>
      </c>
      <c r="AG39" s="20">
        <f>IFERROR(INDEX('Classification Rules'!$F$43:$F$46,MATCH($AA39,'Classification Rules'!$B$43:$B$46,0)),"")</f>
        <v>0.15</v>
      </c>
      <c r="AH39" s="20">
        <f>IFERROR(INDEX('Classification Rules'!$G$43:$G$46,MATCH($AA39,'Classification Rules'!$B$43:$B$46,0)),"")</f>
        <v>0.13950000000000001</v>
      </c>
      <c r="AI39" s="21" t="str">
        <f>IFERROR(INDEX('Classification Rules'!$I$43:$I$46,MATCH($AA39,'Classification Rules'!$B$43:$B$46,0)),"")</f>
        <v>10-14 weeks per cluster</v>
      </c>
      <c r="AJ39" s="21" t="str">
        <f>IFERROR(INDEX('Classification Rules'!$J$43:$J$46,MATCH($AA39,'Classification Rules'!$B$43:$B$46,0)),"")</f>
        <v>Fully sourced, onshore-weighted</v>
      </c>
      <c r="AK39" s="21">
        <f>IFERROR(INDEX('Classification Rules'!$K$43:$K$46,MATCH($AA39,'Classification Rules'!$B$43:$B$46,0)),"")</f>
        <v>0</v>
      </c>
    </row>
    <row r="40" spans="1:37" ht="39" customHeight="1" x14ac:dyDescent="0.3">
      <c r="A40" s="25">
        <v>36</v>
      </c>
      <c r="B40" s="26">
        <v>9849</v>
      </c>
      <c r="C40" s="26" t="s">
        <v>156</v>
      </c>
      <c r="D40" s="26" t="s">
        <v>157</v>
      </c>
      <c r="E40" s="26" t="s">
        <v>113</v>
      </c>
      <c r="F40" s="26" t="s">
        <v>155</v>
      </c>
      <c r="G40" s="26" t="s">
        <v>115</v>
      </c>
      <c r="H40" s="26" t="s">
        <v>116</v>
      </c>
      <c r="I40" s="26" t="s">
        <v>108</v>
      </c>
      <c r="J40" s="26" t="s">
        <v>45</v>
      </c>
      <c r="K40" s="26" t="s">
        <v>46</v>
      </c>
      <c r="L40" s="26" t="s">
        <v>158</v>
      </c>
      <c r="M40" s="26" t="s">
        <v>45</v>
      </c>
      <c r="N40" s="26" t="s">
        <v>57</v>
      </c>
      <c r="O40" s="26"/>
      <c r="P40" s="26" t="s">
        <v>58</v>
      </c>
      <c r="Q40" s="27">
        <v>5.1862499999999994</v>
      </c>
      <c r="R40" s="27">
        <v>0.3833333333333333</v>
      </c>
      <c r="S40" s="27">
        <v>0</v>
      </c>
      <c r="T40" s="27">
        <v>5.5695833333333322</v>
      </c>
      <c r="U40" s="28">
        <v>0.83152539836911799</v>
      </c>
      <c r="V40" s="27">
        <v>2.7847916666666661</v>
      </c>
      <c r="W40" s="27">
        <v>2.7847916666666661</v>
      </c>
      <c r="X40" s="29" t="str">
        <f t="shared" si="4"/>
        <v>Rule 4</v>
      </c>
      <c r="Y40" s="29" t="str">
        <f t="shared" si="5"/>
        <v>A</v>
      </c>
      <c r="Z40" s="30"/>
      <c r="AA40" s="4" t="str">
        <f t="shared" si="6"/>
        <v>A</v>
      </c>
      <c r="AB40" s="6" t="str">
        <f>IFERROR(INDEX('Classification Rules'!$C$43:$C$46,MATCH($AA40,'Classification Rules'!$B$43:$B$46,0)),"")</f>
        <v>Language-locked</v>
      </c>
      <c r="AC40" s="21" t="str">
        <f t="shared" si="7"/>
        <v>Cloud Indicator = No, not mainframe, not a transfer target</v>
      </c>
      <c r="AD40" s="21" t="str">
        <f>IFERROR(INDEX('Classification Rules'!$D$13:$D$16,MATCH($AA40,'Classification Rules'!$B$13:$B$16,0)),"")</f>
        <v>On-premises and non-mainframe, so the constraint is not the technology — it is that the business context exists only in Japanese, in few heads.</v>
      </c>
      <c r="AE40" s="20">
        <f>IFERROR(INDEX('Classification Rules'!$D$43:$D$46,MATCH($AA40,'Classification Rules'!$B$43:$B$46,0)),"")</f>
        <v>0.30399999999999999</v>
      </c>
      <c r="AF40" s="20">
        <f>IFERROR(INDEX('Classification Rules'!$E$43:$E$46,MATCH($AA40,'Classification Rules'!$B$43:$B$46,0)),"")</f>
        <v>0.33947680000000002</v>
      </c>
      <c r="AG40" s="20">
        <f>IFERROR(INDEX('Classification Rules'!$F$43:$F$46,MATCH($AA40,'Classification Rules'!$B$43:$B$46,0)),"")</f>
        <v>0.15</v>
      </c>
      <c r="AH40" s="20">
        <f>IFERROR(INDEX('Classification Rules'!$G$43:$G$46,MATCH($AA40,'Classification Rules'!$B$43:$B$46,0)),"")</f>
        <v>0.13950000000000001</v>
      </c>
      <c r="AI40" s="21" t="str">
        <f>IFERROR(INDEX('Classification Rules'!$I$43:$I$46,MATCH($AA40,'Classification Rules'!$B$43:$B$46,0)),"")</f>
        <v>10-14 weeks per cluster</v>
      </c>
      <c r="AJ40" s="21" t="str">
        <f>IFERROR(INDEX('Classification Rules'!$J$43:$J$46,MATCH($AA40,'Classification Rules'!$B$43:$B$46,0)),"")</f>
        <v>Fully sourced, onshore-weighted</v>
      </c>
      <c r="AK40" s="21">
        <f>IFERROR(INDEX('Classification Rules'!$K$43:$K$46,MATCH($AA40,'Classification Rules'!$B$43:$B$46,0)),"")</f>
        <v>0</v>
      </c>
    </row>
    <row r="41" spans="1:37" ht="39" customHeight="1" x14ac:dyDescent="0.3">
      <c r="A41" s="25">
        <v>37</v>
      </c>
      <c r="B41" s="26">
        <v>9851</v>
      </c>
      <c r="C41" s="26" t="s">
        <v>159</v>
      </c>
      <c r="D41" s="26" t="s">
        <v>160</v>
      </c>
      <c r="E41" s="26" t="s">
        <v>143</v>
      </c>
      <c r="F41" s="26" t="s">
        <v>161</v>
      </c>
      <c r="G41" s="26" t="s">
        <v>42</v>
      </c>
      <c r="H41" s="26" t="s">
        <v>145</v>
      </c>
      <c r="I41" s="26" t="s">
        <v>44</v>
      </c>
      <c r="J41" s="26" t="s">
        <v>45</v>
      </c>
      <c r="K41" s="26" t="s">
        <v>46</v>
      </c>
      <c r="L41" s="26" t="s">
        <v>158</v>
      </c>
      <c r="M41" s="26" t="s">
        <v>45</v>
      </c>
      <c r="N41" s="26" t="s">
        <v>46</v>
      </c>
      <c r="O41" s="26" t="s">
        <v>162</v>
      </c>
      <c r="P41" s="26" t="s">
        <v>58</v>
      </c>
      <c r="Q41" s="27">
        <v>0.29166666666666657</v>
      </c>
      <c r="R41" s="27">
        <v>0.1166666666666667</v>
      </c>
      <c r="S41" s="27">
        <v>0</v>
      </c>
      <c r="T41" s="27">
        <v>0.40833333333333333</v>
      </c>
      <c r="U41" s="28">
        <v>0.82653061224489799</v>
      </c>
      <c r="V41" s="27">
        <v>0.20416666666666669</v>
      </c>
      <c r="W41" s="27">
        <v>0.20416666666666669</v>
      </c>
      <c r="X41" s="29" t="str">
        <f t="shared" si="4"/>
        <v>Rule 3</v>
      </c>
      <c r="Y41" s="29" t="str">
        <f t="shared" si="5"/>
        <v>B</v>
      </c>
      <c r="Z41" s="30"/>
      <c r="AA41" s="4" t="str">
        <f t="shared" si="6"/>
        <v>B</v>
      </c>
      <c r="AB41" s="6" t="str">
        <f>IFERROR(INDEX('Classification Rules'!$C$43:$C$46,MATCH($AA41,'Classification Rules'!$B$43:$B$46,0)),"")</f>
        <v>Offshore-ready</v>
      </c>
      <c r="AC41" s="21" t="str">
        <f t="shared" si="7"/>
        <v>Cloud Indicator = Yes  (Platform as a Service (PaaS))</v>
      </c>
      <c r="AD41" s="21" t="str">
        <f>IFERROR(INDEX('Classification Rules'!$D$13:$D$16,MATCH($AA41,'Classification Rules'!$B$13:$B$16,0)),"")</f>
        <v>Cloud migration has already forced re-platforming, documentation and specifiability. Highest AI and offshore ceiling in the estate.</v>
      </c>
      <c r="AE41" s="20">
        <f>IFERROR(INDEX('Classification Rules'!$D$43:$D$46,MATCH($AA41,'Classification Rules'!$B$43:$B$46,0)),"")</f>
        <v>0.48249999999999998</v>
      </c>
      <c r="AF41" s="20">
        <f>IFERROR(INDEX('Classification Rules'!$E$43:$E$46,MATCH($AA41,'Classification Rules'!$B$43:$B$46,0)),"")</f>
        <v>0.45402025000000001</v>
      </c>
      <c r="AG41" s="20">
        <f>IFERROR(INDEX('Classification Rules'!$F$43:$F$46,MATCH($AA41,'Classification Rules'!$B$43:$B$46,0)),"")</f>
        <v>0.78</v>
      </c>
      <c r="AH41" s="20">
        <f>IFERROR(INDEX('Classification Rules'!$G$43:$G$46,MATCH($AA41,'Classification Rules'!$B$43:$B$46,0)),"")</f>
        <v>0.72540000000000004</v>
      </c>
      <c r="AI41" s="21" t="str">
        <f>IFERROR(INDEX('Classification Rules'!$I$43:$I$46,MATCH($AA41,'Classification Rules'!$B$43:$B$46,0)),"")</f>
        <v>6-8 weeks per cluster</v>
      </c>
      <c r="AJ41" s="21" t="str">
        <f>IFERROR(INDEX('Classification Rules'!$J$43:$J$46,MATCH($AA41,'Classification Rules'!$B$43:$B$46,0)),"")</f>
        <v>Fully sourced, moving to output units</v>
      </c>
      <c r="AK41" s="21">
        <f>IFERROR(INDEX('Classification Rules'!$K$43:$K$46,MATCH($AA41,'Classification Rules'!$B$43:$B$46,0)),"")</f>
        <v>0</v>
      </c>
    </row>
    <row r="42" spans="1:37" ht="39" customHeight="1" x14ac:dyDescent="0.3">
      <c r="A42" s="25">
        <v>38</v>
      </c>
      <c r="B42" s="26">
        <v>9852</v>
      </c>
      <c r="C42" s="26" t="s">
        <v>163</v>
      </c>
      <c r="D42" s="26" t="s">
        <v>164</v>
      </c>
      <c r="E42" s="26" t="s">
        <v>143</v>
      </c>
      <c r="F42" s="26" t="s">
        <v>165</v>
      </c>
      <c r="G42" s="26" t="s">
        <v>42</v>
      </c>
      <c r="H42" s="26" t="s">
        <v>145</v>
      </c>
      <c r="I42" s="26" t="s">
        <v>44</v>
      </c>
      <c r="J42" s="26" t="s">
        <v>45</v>
      </c>
      <c r="K42" s="26" t="s">
        <v>46</v>
      </c>
      <c r="L42" s="26" t="s">
        <v>166</v>
      </c>
      <c r="M42" s="26" t="s">
        <v>45</v>
      </c>
      <c r="N42" s="26" t="s">
        <v>57</v>
      </c>
      <c r="O42" s="26"/>
      <c r="P42" s="26" t="s">
        <v>49</v>
      </c>
      <c r="Q42" s="27">
        <v>0.5083333333333333</v>
      </c>
      <c r="R42" s="27">
        <v>0</v>
      </c>
      <c r="S42" s="27">
        <v>0</v>
      </c>
      <c r="T42" s="27">
        <v>0.5083333333333333</v>
      </c>
      <c r="U42" s="28">
        <v>0.36885245901639352</v>
      </c>
      <c r="V42" s="27">
        <v>0.25416666666666671</v>
      </c>
      <c r="W42" s="27">
        <v>0.25416666666666671</v>
      </c>
      <c r="X42" s="29" t="str">
        <f t="shared" si="4"/>
        <v>Rule 4</v>
      </c>
      <c r="Y42" s="29" t="str">
        <f t="shared" si="5"/>
        <v>A</v>
      </c>
      <c r="Z42" s="30"/>
      <c r="AA42" s="4" t="str">
        <f t="shared" si="6"/>
        <v>A</v>
      </c>
      <c r="AB42" s="6" t="str">
        <f>IFERROR(INDEX('Classification Rules'!$C$43:$C$46,MATCH($AA42,'Classification Rules'!$B$43:$B$46,0)),"")</f>
        <v>Language-locked</v>
      </c>
      <c r="AC42" s="21" t="str">
        <f t="shared" si="7"/>
        <v>Cloud Indicator = No, not mainframe, not a transfer target</v>
      </c>
      <c r="AD42" s="21" t="str">
        <f>IFERROR(INDEX('Classification Rules'!$D$13:$D$16,MATCH($AA42,'Classification Rules'!$B$13:$B$16,0)),"")</f>
        <v>On-premises and non-mainframe, so the constraint is not the technology — it is that the business context exists only in Japanese, in few heads.</v>
      </c>
      <c r="AE42" s="20">
        <f>IFERROR(INDEX('Classification Rules'!$D$43:$D$46,MATCH($AA42,'Classification Rules'!$B$43:$B$46,0)),"")</f>
        <v>0.30399999999999999</v>
      </c>
      <c r="AF42" s="20">
        <f>IFERROR(INDEX('Classification Rules'!$E$43:$E$46,MATCH($AA42,'Classification Rules'!$B$43:$B$46,0)),"")</f>
        <v>0.33947680000000002</v>
      </c>
      <c r="AG42" s="20">
        <f>IFERROR(INDEX('Classification Rules'!$F$43:$F$46,MATCH($AA42,'Classification Rules'!$B$43:$B$46,0)),"")</f>
        <v>0.15</v>
      </c>
      <c r="AH42" s="20">
        <f>IFERROR(INDEX('Classification Rules'!$G$43:$G$46,MATCH($AA42,'Classification Rules'!$B$43:$B$46,0)),"")</f>
        <v>0.13950000000000001</v>
      </c>
      <c r="AI42" s="21" t="str">
        <f>IFERROR(INDEX('Classification Rules'!$I$43:$I$46,MATCH($AA42,'Classification Rules'!$B$43:$B$46,0)),"")</f>
        <v>10-14 weeks per cluster</v>
      </c>
      <c r="AJ42" s="21" t="str">
        <f>IFERROR(INDEX('Classification Rules'!$J$43:$J$46,MATCH($AA42,'Classification Rules'!$B$43:$B$46,0)),"")</f>
        <v>Fully sourced, onshore-weighted</v>
      </c>
      <c r="AK42" s="21">
        <f>IFERROR(INDEX('Classification Rules'!$K$43:$K$46,MATCH($AA42,'Classification Rules'!$B$43:$B$46,0)),"")</f>
        <v>0</v>
      </c>
    </row>
    <row r="43" spans="1:37" ht="39" customHeight="1" x14ac:dyDescent="0.3">
      <c r="A43" s="25">
        <v>39</v>
      </c>
      <c r="B43" s="26">
        <v>9854</v>
      </c>
      <c r="C43" s="26" t="s">
        <v>167</v>
      </c>
      <c r="D43" s="26" t="s">
        <v>168</v>
      </c>
      <c r="E43" s="26" t="s">
        <v>113</v>
      </c>
      <c r="F43" s="26" t="s">
        <v>148</v>
      </c>
      <c r="G43" s="26" t="s">
        <v>115</v>
      </c>
      <c r="H43" s="26" t="s">
        <v>116</v>
      </c>
      <c r="I43" s="26" t="s">
        <v>44</v>
      </c>
      <c r="J43" s="26" t="s">
        <v>45</v>
      </c>
      <c r="K43" s="26" t="s">
        <v>46</v>
      </c>
      <c r="L43" s="26" t="s">
        <v>169</v>
      </c>
      <c r="M43" s="26" t="s">
        <v>45</v>
      </c>
      <c r="N43" s="26" t="s">
        <v>57</v>
      </c>
      <c r="O43" s="26"/>
      <c r="P43" s="26" t="s">
        <v>58</v>
      </c>
      <c r="Q43" s="27">
        <v>1.4004166666666671</v>
      </c>
      <c r="R43" s="27">
        <v>0</v>
      </c>
      <c r="S43" s="27">
        <v>0</v>
      </c>
      <c r="T43" s="27">
        <v>1.4004166666666671</v>
      </c>
      <c r="U43" s="28">
        <v>0.92859268074977674</v>
      </c>
      <c r="V43" s="27">
        <v>0.70020833333333332</v>
      </c>
      <c r="W43" s="27">
        <v>0.70020833333333332</v>
      </c>
      <c r="X43" s="29" t="str">
        <f t="shared" si="4"/>
        <v>Rule 4</v>
      </c>
      <c r="Y43" s="29" t="str">
        <f t="shared" si="5"/>
        <v>A</v>
      </c>
      <c r="Z43" s="30"/>
      <c r="AA43" s="4" t="str">
        <f t="shared" si="6"/>
        <v>A</v>
      </c>
      <c r="AB43" s="6" t="str">
        <f>IFERROR(INDEX('Classification Rules'!$C$43:$C$46,MATCH($AA43,'Classification Rules'!$B$43:$B$46,0)),"")</f>
        <v>Language-locked</v>
      </c>
      <c r="AC43" s="21" t="str">
        <f t="shared" si="7"/>
        <v>Cloud Indicator = No, not mainframe, not a transfer target</v>
      </c>
      <c r="AD43" s="21" t="str">
        <f>IFERROR(INDEX('Classification Rules'!$D$13:$D$16,MATCH($AA43,'Classification Rules'!$B$13:$B$16,0)),"")</f>
        <v>On-premises and non-mainframe, so the constraint is not the technology — it is that the business context exists only in Japanese, in few heads.</v>
      </c>
      <c r="AE43" s="20">
        <f>IFERROR(INDEX('Classification Rules'!$D$43:$D$46,MATCH($AA43,'Classification Rules'!$B$43:$B$46,0)),"")</f>
        <v>0.30399999999999999</v>
      </c>
      <c r="AF43" s="20">
        <f>IFERROR(INDEX('Classification Rules'!$E$43:$E$46,MATCH($AA43,'Classification Rules'!$B$43:$B$46,0)),"")</f>
        <v>0.33947680000000002</v>
      </c>
      <c r="AG43" s="20">
        <f>IFERROR(INDEX('Classification Rules'!$F$43:$F$46,MATCH($AA43,'Classification Rules'!$B$43:$B$46,0)),"")</f>
        <v>0.15</v>
      </c>
      <c r="AH43" s="20">
        <f>IFERROR(INDEX('Classification Rules'!$G$43:$G$46,MATCH($AA43,'Classification Rules'!$B$43:$B$46,0)),"")</f>
        <v>0.13950000000000001</v>
      </c>
      <c r="AI43" s="21" t="str">
        <f>IFERROR(INDEX('Classification Rules'!$I$43:$I$46,MATCH($AA43,'Classification Rules'!$B$43:$B$46,0)),"")</f>
        <v>10-14 weeks per cluster</v>
      </c>
      <c r="AJ43" s="21" t="str">
        <f>IFERROR(INDEX('Classification Rules'!$J$43:$J$46,MATCH($AA43,'Classification Rules'!$B$43:$B$46,0)),"")</f>
        <v>Fully sourced, onshore-weighted</v>
      </c>
      <c r="AK43" s="21">
        <f>IFERROR(INDEX('Classification Rules'!$K$43:$K$46,MATCH($AA43,'Classification Rules'!$B$43:$B$46,0)),"")</f>
        <v>0</v>
      </c>
    </row>
    <row r="44" spans="1:37" ht="39" customHeight="1" x14ac:dyDescent="0.3">
      <c r="A44" s="25">
        <v>40</v>
      </c>
      <c r="B44" s="26">
        <v>9857</v>
      </c>
      <c r="C44" s="26" t="s">
        <v>170</v>
      </c>
      <c r="D44" s="26" t="s">
        <v>171</v>
      </c>
      <c r="E44" s="26" t="s">
        <v>126</v>
      </c>
      <c r="F44" s="26" t="s">
        <v>172</v>
      </c>
      <c r="G44" s="26" t="s">
        <v>115</v>
      </c>
      <c r="H44" s="26" t="s">
        <v>128</v>
      </c>
      <c r="I44" s="26" t="s">
        <v>44</v>
      </c>
      <c r="J44" s="26" t="s">
        <v>55</v>
      </c>
      <c r="K44" s="26" t="s">
        <v>46</v>
      </c>
      <c r="L44" s="26" t="s">
        <v>158</v>
      </c>
      <c r="M44" s="26" t="s">
        <v>45</v>
      </c>
      <c r="N44" s="26" t="s">
        <v>57</v>
      </c>
      <c r="O44" s="26"/>
      <c r="P44" s="26" t="s">
        <v>58</v>
      </c>
      <c r="Q44" s="27">
        <v>20.211666666666648</v>
      </c>
      <c r="R44" s="27">
        <v>1.8166666666666671</v>
      </c>
      <c r="S44" s="27">
        <v>0</v>
      </c>
      <c r="T44" s="27">
        <v>22.028333333333322</v>
      </c>
      <c r="U44" s="28">
        <v>0.92547476734508582</v>
      </c>
      <c r="V44" s="27">
        <v>11.014166666666661</v>
      </c>
      <c r="W44" s="27">
        <v>11.014166666666661</v>
      </c>
      <c r="X44" s="29" t="str">
        <f t="shared" si="4"/>
        <v>Rule 4</v>
      </c>
      <c r="Y44" s="29" t="str">
        <f t="shared" si="5"/>
        <v>A</v>
      </c>
      <c r="Z44" s="30"/>
      <c r="AA44" s="4" t="str">
        <f t="shared" si="6"/>
        <v>A</v>
      </c>
      <c r="AB44" s="6" t="str">
        <f>IFERROR(INDEX('Classification Rules'!$C$43:$C$46,MATCH($AA44,'Classification Rules'!$B$43:$B$46,0)),"")</f>
        <v>Language-locked</v>
      </c>
      <c r="AC44" s="21" t="str">
        <f t="shared" si="7"/>
        <v>Cloud Indicator = No, not mainframe, not a transfer target</v>
      </c>
      <c r="AD44" s="21" t="str">
        <f>IFERROR(INDEX('Classification Rules'!$D$13:$D$16,MATCH($AA44,'Classification Rules'!$B$13:$B$16,0)),"")</f>
        <v>On-premises and non-mainframe, so the constraint is not the technology — it is that the business context exists only in Japanese, in few heads.</v>
      </c>
      <c r="AE44" s="20">
        <f>IFERROR(INDEX('Classification Rules'!$D$43:$D$46,MATCH($AA44,'Classification Rules'!$B$43:$B$46,0)),"")</f>
        <v>0.30399999999999999</v>
      </c>
      <c r="AF44" s="20">
        <f>IFERROR(INDEX('Classification Rules'!$E$43:$E$46,MATCH($AA44,'Classification Rules'!$B$43:$B$46,0)),"")</f>
        <v>0.33947680000000002</v>
      </c>
      <c r="AG44" s="20">
        <f>IFERROR(INDEX('Classification Rules'!$F$43:$F$46,MATCH($AA44,'Classification Rules'!$B$43:$B$46,0)),"")</f>
        <v>0.15</v>
      </c>
      <c r="AH44" s="20">
        <f>IFERROR(INDEX('Classification Rules'!$G$43:$G$46,MATCH($AA44,'Classification Rules'!$B$43:$B$46,0)),"")</f>
        <v>0.13950000000000001</v>
      </c>
      <c r="AI44" s="21" t="str">
        <f>IFERROR(INDEX('Classification Rules'!$I$43:$I$46,MATCH($AA44,'Classification Rules'!$B$43:$B$46,0)),"")</f>
        <v>10-14 weeks per cluster</v>
      </c>
      <c r="AJ44" s="21" t="str">
        <f>IFERROR(INDEX('Classification Rules'!$J$43:$J$46,MATCH($AA44,'Classification Rules'!$B$43:$B$46,0)),"")</f>
        <v>Fully sourced, onshore-weighted</v>
      </c>
      <c r="AK44" s="21">
        <f>IFERROR(INDEX('Classification Rules'!$K$43:$K$46,MATCH($AA44,'Classification Rules'!$B$43:$B$46,0)),"")</f>
        <v>0</v>
      </c>
    </row>
    <row r="45" spans="1:37" ht="39" customHeight="1" x14ac:dyDescent="0.3">
      <c r="A45" s="25">
        <v>41</v>
      </c>
      <c r="B45" s="26">
        <v>9858</v>
      </c>
      <c r="C45" s="26" t="s">
        <v>173</v>
      </c>
      <c r="D45" s="26" t="s">
        <v>174</v>
      </c>
      <c r="E45" s="26" t="s">
        <v>175</v>
      </c>
      <c r="F45" s="26" t="s">
        <v>176</v>
      </c>
      <c r="G45" s="26" t="s">
        <v>177</v>
      </c>
      <c r="H45" s="26"/>
      <c r="I45" s="26" t="s">
        <v>44</v>
      </c>
      <c r="J45" s="26" t="s">
        <v>45</v>
      </c>
      <c r="K45" s="26" t="s">
        <v>46</v>
      </c>
      <c r="L45" s="26" t="s">
        <v>158</v>
      </c>
      <c r="M45" s="26" t="s">
        <v>45</v>
      </c>
      <c r="N45" s="26" t="s">
        <v>57</v>
      </c>
      <c r="O45" s="26"/>
      <c r="P45" s="26" t="s">
        <v>58</v>
      </c>
      <c r="Q45" s="27">
        <v>4.8333333333333339</v>
      </c>
      <c r="R45" s="27">
        <v>1</v>
      </c>
      <c r="S45" s="27">
        <v>1.083333333333333</v>
      </c>
      <c r="T45" s="27">
        <v>6.916666666666667</v>
      </c>
      <c r="U45" s="28">
        <v>0.71084337349397586</v>
      </c>
      <c r="V45" s="27">
        <v>3.458333333333333</v>
      </c>
      <c r="W45" s="27">
        <v>3.458333333333333</v>
      </c>
      <c r="X45" s="29" t="str">
        <f t="shared" si="4"/>
        <v>Rule 4</v>
      </c>
      <c r="Y45" s="29" t="str">
        <f t="shared" si="5"/>
        <v>A</v>
      </c>
      <c r="Z45" s="30"/>
      <c r="AA45" s="4" t="str">
        <f t="shared" si="6"/>
        <v>A</v>
      </c>
      <c r="AB45" s="6" t="str">
        <f>IFERROR(INDEX('Classification Rules'!$C$43:$C$46,MATCH($AA45,'Classification Rules'!$B$43:$B$46,0)),"")</f>
        <v>Language-locked</v>
      </c>
      <c r="AC45" s="21" t="str">
        <f t="shared" si="7"/>
        <v>Cloud Indicator = No, not mainframe, not a transfer target</v>
      </c>
      <c r="AD45" s="21" t="str">
        <f>IFERROR(INDEX('Classification Rules'!$D$13:$D$16,MATCH($AA45,'Classification Rules'!$B$13:$B$16,0)),"")</f>
        <v>On-premises and non-mainframe, so the constraint is not the technology — it is that the business context exists only in Japanese, in few heads.</v>
      </c>
      <c r="AE45" s="20">
        <f>IFERROR(INDEX('Classification Rules'!$D$43:$D$46,MATCH($AA45,'Classification Rules'!$B$43:$B$46,0)),"")</f>
        <v>0.30399999999999999</v>
      </c>
      <c r="AF45" s="20">
        <f>IFERROR(INDEX('Classification Rules'!$E$43:$E$46,MATCH($AA45,'Classification Rules'!$B$43:$B$46,0)),"")</f>
        <v>0.33947680000000002</v>
      </c>
      <c r="AG45" s="20">
        <f>IFERROR(INDEX('Classification Rules'!$F$43:$F$46,MATCH($AA45,'Classification Rules'!$B$43:$B$46,0)),"")</f>
        <v>0.15</v>
      </c>
      <c r="AH45" s="20">
        <f>IFERROR(INDEX('Classification Rules'!$G$43:$G$46,MATCH($AA45,'Classification Rules'!$B$43:$B$46,0)),"")</f>
        <v>0.13950000000000001</v>
      </c>
      <c r="AI45" s="21" t="str">
        <f>IFERROR(INDEX('Classification Rules'!$I$43:$I$46,MATCH($AA45,'Classification Rules'!$B$43:$B$46,0)),"")</f>
        <v>10-14 weeks per cluster</v>
      </c>
      <c r="AJ45" s="21" t="str">
        <f>IFERROR(INDEX('Classification Rules'!$J$43:$J$46,MATCH($AA45,'Classification Rules'!$B$43:$B$46,0)),"")</f>
        <v>Fully sourced, onshore-weighted</v>
      </c>
      <c r="AK45" s="21">
        <f>IFERROR(INDEX('Classification Rules'!$K$43:$K$46,MATCH($AA45,'Classification Rules'!$B$43:$B$46,0)),"")</f>
        <v>0</v>
      </c>
    </row>
    <row r="46" spans="1:37" ht="39" customHeight="1" x14ac:dyDescent="0.3">
      <c r="A46" s="25">
        <v>42</v>
      </c>
      <c r="B46" s="26">
        <v>9861</v>
      </c>
      <c r="C46" s="26" t="s">
        <v>178</v>
      </c>
      <c r="D46" s="26" t="s">
        <v>179</v>
      </c>
      <c r="E46" s="26" t="s">
        <v>113</v>
      </c>
      <c r="F46" s="26" t="s">
        <v>114</v>
      </c>
      <c r="G46" s="26" t="s">
        <v>115</v>
      </c>
      <c r="H46" s="26" t="s">
        <v>116</v>
      </c>
      <c r="I46" s="26" t="s">
        <v>44</v>
      </c>
      <c r="J46" s="26" t="s">
        <v>55</v>
      </c>
      <c r="K46" s="26" t="s">
        <v>46</v>
      </c>
      <c r="L46" s="26" t="s">
        <v>158</v>
      </c>
      <c r="M46" s="26" t="s">
        <v>45</v>
      </c>
      <c r="N46" s="26" t="s">
        <v>57</v>
      </c>
      <c r="O46" s="26"/>
      <c r="P46" s="26" t="s">
        <v>58</v>
      </c>
      <c r="Q46" s="27">
        <v>6.3152916666666679</v>
      </c>
      <c r="R46" s="27">
        <v>0</v>
      </c>
      <c r="S46" s="27">
        <v>0</v>
      </c>
      <c r="T46" s="27">
        <v>6.3152916666666679</v>
      </c>
      <c r="U46" s="28">
        <v>0.87325737132753167</v>
      </c>
      <c r="V46" s="27">
        <v>3.1576458333333339</v>
      </c>
      <c r="W46" s="27">
        <v>3.1576458333333339</v>
      </c>
      <c r="X46" s="29" t="str">
        <f t="shared" si="4"/>
        <v>Rule 4</v>
      </c>
      <c r="Y46" s="29" t="str">
        <f t="shared" si="5"/>
        <v>A</v>
      </c>
      <c r="Z46" s="30"/>
      <c r="AA46" s="4" t="str">
        <f t="shared" si="6"/>
        <v>A</v>
      </c>
      <c r="AB46" s="6" t="str">
        <f>IFERROR(INDEX('Classification Rules'!$C$43:$C$46,MATCH($AA46,'Classification Rules'!$B$43:$B$46,0)),"")</f>
        <v>Language-locked</v>
      </c>
      <c r="AC46" s="21" t="str">
        <f t="shared" si="7"/>
        <v>Cloud Indicator = No, not mainframe, not a transfer target</v>
      </c>
      <c r="AD46" s="21" t="str">
        <f>IFERROR(INDEX('Classification Rules'!$D$13:$D$16,MATCH($AA46,'Classification Rules'!$B$13:$B$16,0)),"")</f>
        <v>On-premises and non-mainframe, so the constraint is not the technology — it is that the business context exists only in Japanese, in few heads.</v>
      </c>
      <c r="AE46" s="20">
        <f>IFERROR(INDEX('Classification Rules'!$D$43:$D$46,MATCH($AA46,'Classification Rules'!$B$43:$B$46,0)),"")</f>
        <v>0.30399999999999999</v>
      </c>
      <c r="AF46" s="20">
        <f>IFERROR(INDEX('Classification Rules'!$E$43:$E$46,MATCH($AA46,'Classification Rules'!$B$43:$B$46,0)),"")</f>
        <v>0.33947680000000002</v>
      </c>
      <c r="AG46" s="20">
        <f>IFERROR(INDEX('Classification Rules'!$F$43:$F$46,MATCH($AA46,'Classification Rules'!$B$43:$B$46,0)),"")</f>
        <v>0.15</v>
      </c>
      <c r="AH46" s="20">
        <f>IFERROR(INDEX('Classification Rules'!$G$43:$G$46,MATCH($AA46,'Classification Rules'!$B$43:$B$46,0)),"")</f>
        <v>0.13950000000000001</v>
      </c>
      <c r="AI46" s="21" t="str">
        <f>IFERROR(INDEX('Classification Rules'!$I$43:$I$46,MATCH($AA46,'Classification Rules'!$B$43:$B$46,0)),"")</f>
        <v>10-14 weeks per cluster</v>
      </c>
      <c r="AJ46" s="21" t="str">
        <f>IFERROR(INDEX('Classification Rules'!$J$43:$J$46,MATCH($AA46,'Classification Rules'!$B$43:$B$46,0)),"")</f>
        <v>Fully sourced, onshore-weighted</v>
      </c>
      <c r="AK46" s="21">
        <f>IFERROR(INDEX('Classification Rules'!$K$43:$K$46,MATCH($AA46,'Classification Rules'!$B$43:$B$46,0)),"")</f>
        <v>0</v>
      </c>
    </row>
    <row r="47" spans="1:37" ht="39" customHeight="1" x14ac:dyDescent="0.3">
      <c r="A47" s="25">
        <v>43</v>
      </c>
      <c r="B47" s="26">
        <v>9879</v>
      </c>
      <c r="C47" s="26" t="s">
        <v>180</v>
      </c>
      <c r="D47" s="26" t="s">
        <v>181</v>
      </c>
      <c r="E47" s="26" t="s">
        <v>120</v>
      </c>
      <c r="F47" s="26" t="s">
        <v>134</v>
      </c>
      <c r="G47" s="26" t="s">
        <v>115</v>
      </c>
      <c r="H47" s="26" t="s">
        <v>122</v>
      </c>
      <c r="I47" s="26" t="s">
        <v>44</v>
      </c>
      <c r="J47" s="26" t="s">
        <v>45</v>
      </c>
      <c r="K47" s="26" t="s">
        <v>46</v>
      </c>
      <c r="L47" s="26" t="s">
        <v>158</v>
      </c>
      <c r="M47" s="26" t="s">
        <v>45</v>
      </c>
      <c r="N47" s="26" t="s">
        <v>57</v>
      </c>
      <c r="O47" s="26"/>
      <c r="P47" s="26" t="s">
        <v>58</v>
      </c>
      <c r="Q47" s="27">
        <v>0.2</v>
      </c>
      <c r="R47" s="27">
        <v>0.1</v>
      </c>
      <c r="S47" s="27">
        <v>0</v>
      </c>
      <c r="T47" s="27">
        <v>0.30833333333333329</v>
      </c>
      <c r="U47" s="28">
        <v>0.67567567567567566</v>
      </c>
      <c r="V47" s="27">
        <v>0.15416666666666659</v>
      </c>
      <c r="W47" s="27">
        <v>0.15416666666666659</v>
      </c>
      <c r="X47" s="29" t="str">
        <f t="shared" si="4"/>
        <v>Rule 4</v>
      </c>
      <c r="Y47" s="29" t="str">
        <f t="shared" si="5"/>
        <v>A</v>
      </c>
      <c r="Z47" s="30"/>
      <c r="AA47" s="4" t="str">
        <f t="shared" si="6"/>
        <v>A</v>
      </c>
      <c r="AB47" s="6" t="str">
        <f>IFERROR(INDEX('Classification Rules'!$C$43:$C$46,MATCH($AA47,'Classification Rules'!$B$43:$B$46,0)),"")</f>
        <v>Language-locked</v>
      </c>
      <c r="AC47" s="21" t="str">
        <f t="shared" si="7"/>
        <v>Cloud Indicator = No, not mainframe, not a transfer target</v>
      </c>
      <c r="AD47" s="21" t="str">
        <f>IFERROR(INDEX('Classification Rules'!$D$13:$D$16,MATCH($AA47,'Classification Rules'!$B$13:$B$16,0)),"")</f>
        <v>On-premises and non-mainframe, so the constraint is not the technology — it is that the business context exists only in Japanese, in few heads.</v>
      </c>
      <c r="AE47" s="20">
        <f>IFERROR(INDEX('Classification Rules'!$D$43:$D$46,MATCH($AA47,'Classification Rules'!$B$43:$B$46,0)),"")</f>
        <v>0.30399999999999999</v>
      </c>
      <c r="AF47" s="20">
        <f>IFERROR(INDEX('Classification Rules'!$E$43:$E$46,MATCH($AA47,'Classification Rules'!$B$43:$B$46,0)),"")</f>
        <v>0.33947680000000002</v>
      </c>
      <c r="AG47" s="20">
        <f>IFERROR(INDEX('Classification Rules'!$F$43:$F$46,MATCH($AA47,'Classification Rules'!$B$43:$B$46,0)),"")</f>
        <v>0.15</v>
      </c>
      <c r="AH47" s="20">
        <f>IFERROR(INDEX('Classification Rules'!$G$43:$G$46,MATCH($AA47,'Classification Rules'!$B$43:$B$46,0)),"")</f>
        <v>0.13950000000000001</v>
      </c>
      <c r="AI47" s="21" t="str">
        <f>IFERROR(INDEX('Classification Rules'!$I$43:$I$46,MATCH($AA47,'Classification Rules'!$B$43:$B$46,0)),"")</f>
        <v>10-14 weeks per cluster</v>
      </c>
      <c r="AJ47" s="21" t="str">
        <f>IFERROR(INDEX('Classification Rules'!$J$43:$J$46,MATCH($AA47,'Classification Rules'!$B$43:$B$46,0)),"")</f>
        <v>Fully sourced, onshore-weighted</v>
      </c>
      <c r="AK47" s="21">
        <f>IFERROR(INDEX('Classification Rules'!$K$43:$K$46,MATCH($AA47,'Classification Rules'!$B$43:$B$46,0)),"")</f>
        <v>0</v>
      </c>
    </row>
    <row r="48" spans="1:37" ht="39" customHeight="1" x14ac:dyDescent="0.3">
      <c r="A48" s="25">
        <v>44</v>
      </c>
      <c r="B48" s="26">
        <v>9890</v>
      </c>
      <c r="C48" s="26" t="s">
        <v>182</v>
      </c>
      <c r="D48" s="26" t="s">
        <v>183</v>
      </c>
      <c r="E48" s="26" t="s">
        <v>143</v>
      </c>
      <c r="F48" s="26" t="s">
        <v>184</v>
      </c>
      <c r="G48" s="26" t="s">
        <v>42</v>
      </c>
      <c r="H48" s="26" t="s">
        <v>145</v>
      </c>
      <c r="I48" s="26" t="s">
        <v>44</v>
      </c>
      <c r="J48" s="26" t="s">
        <v>45</v>
      </c>
      <c r="K48" s="26" t="s">
        <v>46</v>
      </c>
      <c r="L48" s="26" t="s">
        <v>158</v>
      </c>
      <c r="M48" s="26" t="s">
        <v>45</v>
      </c>
      <c r="N48" s="26" t="s">
        <v>57</v>
      </c>
      <c r="O48" s="26"/>
      <c r="P48" s="26" t="s">
        <v>58</v>
      </c>
      <c r="Q48" s="27">
        <v>1.5054583333333329</v>
      </c>
      <c r="R48" s="27">
        <v>4.5833333333333337E-2</v>
      </c>
      <c r="S48" s="27">
        <v>0</v>
      </c>
      <c r="T48" s="27">
        <v>1.551291666666667</v>
      </c>
      <c r="U48" s="28">
        <v>7.2009884236254748E-2</v>
      </c>
      <c r="V48" s="27">
        <v>0.77564583333333326</v>
      </c>
      <c r="W48" s="27">
        <v>0.77564583333333326</v>
      </c>
      <c r="X48" s="29" t="str">
        <f t="shared" si="4"/>
        <v>Rule 4</v>
      </c>
      <c r="Y48" s="29" t="str">
        <f t="shared" si="5"/>
        <v>A</v>
      </c>
      <c r="Z48" s="30"/>
      <c r="AA48" s="4" t="str">
        <f t="shared" si="6"/>
        <v>A</v>
      </c>
      <c r="AB48" s="6" t="str">
        <f>IFERROR(INDEX('Classification Rules'!$C$43:$C$46,MATCH($AA48,'Classification Rules'!$B$43:$B$46,0)),"")</f>
        <v>Language-locked</v>
      </c>
      <c r="AC48" s="21" t="str">
        <f t="shared" si="7"/>
        <v>Cloud Indicator = No, not mainframe, not a transfer target</v>
      </c>
      <c r="AD48" s="21" t="str">
        <f>IFERROR(INDEX('Classification Rules'!$D$13:$D$16,MATCH($AA48,'Classification Rules'!$B$13:$B$16,0)),"")</f>
        <v>On-premises and non-mainframe, so the constraint is not the technology — it is that the business context exists only in Japanese, in few heads.</v>
      </c>
      <c r="AE48" s="20">
        <f>IFERROR(INDEX('Classification Rules'!$D$43:$D$46,MATCH($AA48,'Classification Rules'!$B$43:$B$46,0)),"")</f>
        <v>0.30399999999999999</v>
      </c>
      <c r="AF48" s="20">
        <f>IFERROR(INDEX('Classification Rules'!$E$43:$E$46,MATCH($AA48,'Classification Rules'!$B$43:$B$46,0)),"")</f>
        <v>0.33947680000000002</v>
      </c>
      <c r="AG48" s="20">
        <f>IFERROR(INDEX('Classification Rules'!$F$43:$F$46,MATCH($AA48,'Classification Rules'!$B$43:$B$46,0)),"")</f>
        <v>0.15</v>
      </c>
      <c r="AH48" s="20">
        <f>IFERROR(INDEX('Classification Rules'!$G$43:$G$46,MATCH($AA48,'Classification Rules'!$B$43:$B$46,0)),"")</f>
        <v>0.13950000000000001</v>
      </c>
      <c r="AI48" s="21" t="str">
        <f>IFERROR(INDEX('Classification Rules'!$I$43:$I$46,MATCH($AA48,'Classification Rules'!$B$43:$B$46,0)),"")</f>
        <v>10-14 weeks per cluster</v>
      </c>
      <c r="AJ48" s="21" t="str">
        <f>IFERROR(INDEX('Classification Rules'!$J$43:$J$46,MATCH($AA48,'Classification Rules'!$B$43:$B$46,0)),"")</f>
        <v>Fully sourced, onshore-weighted</v>
      </c>
      <c r="AK48" s="21">
        <f>IFERROR(INDEX('Classification Rules'!$K$43:$K$46,MATCH($AA48,'Classification Rules'!$B$43:$B$46,0)),"")</f>
        <v>0</v>
      </c>
    </row>
    <row r="49" spans="1:37" ht="39" customHeight="1" x14ac:dyDescent="0.3">
      <c r="A49" s="25">
        <v>45</v>
      </c>
      <c r="B49" s="26">
        <v>9894</v>
      </c>
      <c r="C49" s="26" t="s">
        <v>185</v>
      </c>
      <c r="D49" s="26" t="s">
        <v>186</v>
      </c>
      <c r="E49" s="26" t="s">
        <v>187</v>
      </c>
      <c r="F49" s="26" t="s">
        <v>188</v>
      </c>
      <c r="G49" s="26" t="s">
        <v>177</v>
      </c>
      <c r="H49" s="26" t="s">
        <v>189</v>
      </c>
      <c r="I49" s="26" t="s">
        <v>44</v>
      </c>
      <c r="J49" s="26" t="s">
        <v>45</v>
      </c>
      <c r="K49" s="26" t="s">
        <v>46</v>
      </c>
      <c r="L49" s="26" t="s">
        <v>135</v>
      </c>
      <c r="M49" s="26" t="s">
        <v>45</v>
      </c>
      <c r="N49" s="26" t="s">
        <v>57</v>
      </c>
      <c r="O49" s="26"/>
      <c r="P49" s="26" t="s">
        <v>58</v>
      </c>
      <c r="Q49" s="27">
        <v>2.841874999999999</v>
      </c>
      <c r="R49" s="27">
        <v>0.3520833333333333</v>
      </c>
      <c r="S49" s="27">
        <v>0</v>
      </c>
      <c r="T49" s="27">
        <v>3.1939583333333328</v>
      </c>
      <c r="U49" s="28">
        <v>0.79192485813058511</v>
      </c>
      <c r="V49" s="27">
        <v>1.596979166666666</v>
      </c>
      <c r="W49" s="27">
        <v>1.596979166666666</v>
      </c>
      <c r="X49" s="29" t="str">
        <f t="shared" si="4"/>
        <v>Rule 4</v>
      </c>
      <c r="Y49" s="29" t="str">
        <f t="shared" si="5"/>
        <v>A</v>
      </c>
      <c r="Z49" s="30"/>
      <c r="AA49" s="4" t="str">
        <f t="shared" si="6"/>
        <v>A</v>
      </c>
      <c r="AB49" s="6" t="str">
        <f>IFERROR(INDEX('Classification Rules'!$C$43:$C$46,MATCH($AA49,'Classification Rules'!$B$43:$B$46,0)),"")</f>
        <v>Language-locked</v>
      </c>
      <c r="AC49" s="21" t="str">
        <f t="shared" si="7"/>
        <v>Cloud Indicator = No, not mainframe, not a transfer target</v>
      </c>
      <c r="AD49" s="21" t="str">
        <f>IFERROR(INDEX('Classification Rules'!$D$13:$D$16,MATCH($AA49,'Classification Rules'!$B$13:$B$16,0)),"")</f>
        <v>On-premises and non-mainframe, so the constraint is not the technology — it is that the business context exists only in Japanese, in few heads.</v>
      </c>
      <c r="AE49" s="20">
        <f>IFERROR(INDEX('Classification Rules'!$D$43:$D$46,MATCH($AA49,'Classification Rules'!$B$43:$B$46,0)),"")</f>
        <v>0.30399999999999999</v>
      </c>
      <c r="AF49" s="20">
        <f>IFERROR(INDEX('Classification Rules'!$E$43:$E$46,MATCH($AA49,'Classification Rules'!$B$43:$B$46,0)),"")</f>
        <v>0.33947680000000002</v>
      </c>
      <c r="AG49" s="20">
        <f>IFERROR(INDEX('Classification Rules'!$F$43:$F$46,MATCH($AA49,'Classification Rules'!$B$43:$B$46,0)),"")</f>
        <v>0.15</v>
      </c>
      <c r="AH49" s="20">
        <f>IFERROR(INDEX('Classification Rules'!$G$43:$G$46,MATCH($AA49,'Classification Rules'!$B$43:$B$46,0)),"")</f>
        <v>0.13950000000000001</v>
      </c>
      <c r="AI49" s="21" t="str">
        <f>IFERROR(INDEX('Classification Rules'!$I$43:$I$46,MATCH($AA49,'Classification Rules'!$B$43:$B$46,0)),"")</f>
        <v>10-14 weeks per cluster</v>
      </c>
      <c r="AJ49" s="21" t="str">
        <f>IFERROR(INDEX('Classification Rules'!$J$43:$J$46,MATCH($AA49,'Classification Rules'!$B$43:$B$46,0)),"")</f>
        <v>Fully sourced, onshore-weighted</v>
      </c>
      <c r="AK49" s="21">
        <f>IFERROR(INDEX('Classification Rules'!$K$43:$K$46,MATCH($AA49,'Classification Rules'!$B$43:$B$46,0)),"")</f>
        <v>0</v>
      </c>
    </row>
    <row r="50" spans="1:37" ht="39" customHeight="1" x14ac:dyDescent="0.3">
      <c r="A50" s="25">
        <v>46</v>
      </c>
      <c r="B50" s="26">
        <v>9896</v>
      </c>
      <c r="C50" s="26" t="s">
        <v>190</v>
      </c>
      <c r="D50" s="26" t="s">
        <v>191</v>
      </c>
      <c r="E50" s="26" t="s">
        <v>143</v>
      </c>
      <c r="F50" s="26" t="s">
        <v>184</v>
      </c>
      <c r="G50" s="26" t="s">
        <v>42</v>
      </c>
      <c r="H50" s="26" t="s">
        <v>145</v>
      </c>
      <c r="I50" s="26" t="s">
        <v>44</v>
      </c>
      <c r="J50" s="26" t="s">
        <v>45</v>
      </c>
      <c r="K50" s="26" t="s">
        <v>46</v>
      </c>
      <c r="L50" s="26" t="s">
        <v>158</v>
      </c>
      <c r="M50" s="26" t="s">
        <v>45</v>
      </c>
      <c r="N50" s="26" t="s">
        <v>57</v>
      </c>
      <c r="O50" s="26"/>
      <c r="P50" s="26" t="s">
        <v>58</v>
      </c>
      <c r="Q50" s="27">
        <v>1.091375</v>
      </c>
      <c r="R50" s="27">
        <v>0.105</v>
      </c>
      <c r="S50" s="27">
        <v>0</v>
      </c>
      <c r="T50" s="27">
        <v>1.196375</v>
      </c>
      <c r="U50" s="28">
        <v>0.98955177097481983</v>
      </c>
      <c r="V50" s="27">
        <v>0.59818749999999998</v>
      </c>
      <c r="W50" s="27">
        <v>0.59818749999999998</v>
      </c>
      <c r="X50" s="29" t="str">
        <f t="shared" si="4"/>
        <v>Rule 4</v>
      </c>
      <c r="Y50" s="29" t="str">
        <f t="shared" si="5"/>
        <v>A</v>
      </c>
      <c r="Z50" s="30"/>
      <c r="AA50" s="4" t="str">
        <f t="shared" si="6"/>
        <v>A</v>
      </c>
      <c r="AB50" s="6" t="str">
        <f>IFERROR(INDEX('Classification Rules'!$C$43:$C$46,MATCH($AA50,'Classification Rules'!$B$43:$B$46,0)),"")</f>
        <v>Language-locked</v>
      </c>
      <c r="AC50" s="21" t="str">
        <f t="shared" si="7"/>
        <v>Cloud Indicator = No, not mainframe, not a transfer target</v>
      </c>
      <c r="AD50" s="21" t="str">
        <f>IFERROR(INDEX('Classification Rules'!$D$13:$D$16,MATCH($AA50,'Classification Rules'!$B$13:$B$16,0)),"")</f>
        <v>On-premises and non-mainframe, so the constraint is not the technology — it is that the business context exists only in Japanese, in few heads.</v>
      </c>
      <c r="AE50" s="20">
        <f>IFERROR(INDEX('Classification Rules'!$D$43:$D$46,MATCH($AA50,'Classification Rules'!$B$43:$B$46,0)),"")</f>
        <v>0.30399999999999999</v>
      </c>
      <c r="AF50" s="20">
        <f>IFERROR(INDEX('Classification Rules'!$E$43:$E$46,MATCH($AA50,'Classification Rules'!$B$43:$B$46,0)),"")</f>
        <v>0.33947680000000002</v>
      </c>
      <c r="AG50" s="20">
        <f>IFERROR(INDEX('Classification Rules'!$F$43:$F$46,MATCH($AA50,'Classification Rules'!$B$43:$B$46,0)),"")</f>
        <v>0.15</v>
      </c>
      <c r="AH50" s="20">
        <f>IFERROR(INDEX('Classification Rules'!$G$43:$G$46,MATCH($AA50,'Classification Rules'!$B$43:$B$46,0)),"")</f>
        <v>0.13950000000000001</v>
      </c>
      <c r="AI50" s="21" t="str">
        <f>IFERROR(INDEX('Classification Rules'!$I$43:$I$46,MATCH($AA50,'Classification Rules'!$B$43:$B$46,0)),"")</f>
        <v>10-14 weeks per cluster</v>
      </c>
      <c r="AJ50" s="21" t="str">
        <f>IFERROR(INDEX('Classification Rules'!$J$43:$J$46,MATCH($AA50,'Classification Rules'!$B$43:$B$46,0)),"")</f>
        <v>Fully sourced, onshore-weighted</v>
      </c>
      <c r="AK50" s="21">
        <f>IFERROR(INDEX('Classification Rules'!$K$43:$K$46,MATCH($AA50,'Classification Rules'!$B$43:$B$46,0)),"")</f>
        <v>0</v>
      </c>
    </row>
    <row r="51" spans="1:37" ht="39" customHeight="1" x14ac:dyDescent="0.3">
      <c r="A51" s="25">
        <v>47</v>
      </c>
      <c r="B51" s="26">
        <v>9899</v>
      </c>
      <c r="C51" s="26" t="s">
        <v>192</v>
      </c>
      <c r="D51" s="26" t="s">
        <v>193</v>
      </c>
      <c r="E51" s="26" t="s">
        <v>143</v>
      </c>
      <c r="F51" s="26" t="s">
        <v>184</v>
      </c>
      <c r="G51" s="26" t="s">
        <v>42</v>
      </c>
      <c r="H51" s="26" t="s">
        <v>145</v>
      </c>
      <c r="I51" s="26" t="s">
        <v>44</v>
      </c>
      <c r="J51" s="26" t="s">
        <v>45</v>
      </c>
      <c r="K51" s="26" t="s">
        <v>46</v>
      </c>
      <c r="L51" s="26" t="s">
        <v>158</v>
      </c>
      <c r="M51" s="26" t="s">
        <v>45</v>
      </c>
      <c r="N51" s="26" t="s">
        <v>57</v>
      </c>
      <c r="O51" s="26"/>
      <c r="P51" s="26" t="s">
        <v>58</v>
      </c>
      <c r="Q51" s="27">
        <v>1.2041249999999999</v>
      </c>
      <c r="R51" s="27">
        <v>0.52916666666666679</v>
      </c>
      <c r="S51" s="27">
        <v>0</v>
      </c>
      <c r="T51" s="27">
        <v>1.7332916666666669</v>
      </c>
      <c r="U51" s="28">
        <v>0.82691891632010373</v>
      </c>
      <c r="V51" s="27">
        <v>0.86664583333333334</v>
      </c>
      <c r="W51" s="27">
        <v>0.86664583333333334</v>
      </c>
      <c r="X51" s="29" t="str">
        <f t="shared" si="4"/>
        <v>Rule 4</v>
      </c>
      <c r="Y51" s="29" t="str">
        <f t="shared" si="5"/>
        <v>A</v>
      </c>
      <c r="Z51" s="30"/>
      <c r="AA51" s="4" t="str">
        <f t="shared" si="6"/>
        <v>A</v>
      </c>
      <c r="AB51" s="6" t="str">
        <f>IFERROR(INDEX('Classification Rules'!$C$43:$C$46,MATCH($AA51,'Classification Rules'!$B$43:$B$46,0)),"")</f>
        <v>Language-locked</v>
      </c>
      <c r="AC51" s="21" t="str">
        <f t="shared" si="7"/>
        <v>Cloud Indicator = No, not mainframe, not a transfer target</v>
      </c>
      <c r="AD51" s="21" t="str">
        <f>IFERROR(INDEX('Classification Rules'!$D$13:$D$16,MATCH($AA51,'Classification Rules'!$B$13:$B$16,0)),"")</f>
        <v>On-premises and non-mainframe, so the constraint is not the technology — it is that the business context exists only in Japanese, in few heads.</v>
      </c>
      <c r="AE51" s="20">
        <f>IFERROR(INDEX('Classification Rules'!$D$43:$D$46,MATCH($AA51,'Classification Rules'!$B$43:$B$46,0)),"")</f>
        <v>0.30399999999999999</v>
      </c>
      <c r="AF51" s="20">
        <f>IFERROR(INDEX('Classification Rules'!$E$43:$E$46,MATCH($AA51,'Classification Rules'!$B$43:$B$46,0)),"")</f>
        <v>0.33947680000000002</v>
      </c>
      <c r="AG51" s="20">
        <f>IFERROR(INDEX('Classification Rules'!$F$43:$F$46,MATCH($AA51,'Classification Rules'!$B$43:$B$46,0)),"")</f>
        <v>0.15</v>
      </c>
      <c r="AH51" s="20">
        <f>IFERROR(INDEX('Classification Rules'!$G$43:$G$46,MATCH($AA51,'Classification Rules'!$B$43:$B$46,0)),"")</f>
        <v>0.13950000000000001</v>
      </c>
      <c r="AI51" s="21" t="str">
        <f>IFERROR(INDEX('Classification Rules'!$I$43:$I$46,MATCH($AA51,'Classification Rules'!$B$43:$B$46,0)),"")</f>
        <v>10-14 weeks per cluster</v>
      </c>
      <c r="AJ51" s="21" t="str">
        <f>IFERROR(INDEX('Classification Rules'!$J$43:$J$46,MATCH($AA51,'Classification Rules'!$B$43:$B$46,0)),"")</f>
        <v>Fully sourced, onshore-weighted</v>
      </c>
      <c r="AK51" s="21">
        <f>IFERROR(INDEX('Classification Rules'!$K$43:$K$46,MATCH($AA51,'Classification Rules'!$B$43:$B$46,0)),"")</f>
        <v>0</v>
      </c>
    </row>
    <row r="52" spans="1:37" ht="39" customHeight="1" x14ac:dyDescent="0.3">
      <c r="A52" s="25">
        <v>48</v>
      </c>
      <c r="B52" s="26">
        <v>9906</v>
      </c>
      <c r="C52" s="26" t="s">
        <v>194</v>
      </c>
      <c r="D52" s="26" t="s">
        <v>195</v>
      </c>
      <c r="E52" s="26" t="s">
        <v>143</v>
      </c>
      <c r="F52" s="26" t="s">
        <v>184</v>
      </c>
      <c r="G52" s="26" t="s">
        <v>42</v>
      </c>
      <c r="H52" s="26" t="s">
        <v>145</v>
      </c>
      <c r="I52" s="26" t="s">
        <v>44</v>
      </c>
      <c r="J52" s="26" t="s">
        <v>45</v>
      </c>
      <c r="K52" s="26" t="s">
        <v>46</v>
      </c>
      <c r="L52" s="26" t="s">
        <v>158</v>
      </c>
      <c r="M52" s="26" t="s">
        <v>45</v>
      </c>
      <c r="N52" s="26" t="s">
        <v>57</v>
      </c>
      <c r="O52" s="26"/>
      <c r="P52" s="26" t="s">
        <v>58</v>
      </c>
      <c r="Q52" s="27">
        <v>1.286041666666667</v>
      </c>
      <c r="R52" s="27">
        <v>0.14541666666666661</v>
      </c>
      <c r="S52" s="27">
        <v>0</v>
      </c>
      <c r="T52" s="27">
        <v>1.4314583333333331</v>
      </c>
      <c r="U52" s="28">
        <v>0.950516664241013</v>
      </c>
      <c r="V52" s="27">
        <v>0.71572916666666653</v>
      </c>
      <c r="W52" s="27">
        <v>0.71572916666666653</v>
      </c>
      <c r="X52" s="29" t="str">
        <f t="shared" si="4"/>
        <v>Rule 4</v>
      </c>
      <c r="Y52" s="29" t="str">
        <f t="shared" si="5"/>
        <v>A</v>
      </c>
      <c r="Z52" s="30"/>
      <c r="AA52" s="4" t="str">
        <f t="shared" si="6"/>
        <v>A</v>
      </c>
      <c r="AB52" s="6" t="str">
        <f>IFERROR(INDEX('Classification Rules'!$C$43:$C$46,MATCH($AA52,'Classification Rules'!$B$43:$B$46,0)),"")</f>
        <v>Language-locked</v>
      </c>
      <c r="AC52" s="21" t="str">
        <f t="shared" si="7"/>
        <v>Cloud Indicator = No, not mainframe, not a transfer target</v>
      </c>
      <c r="AD52" s="21" t="str">
        <f>IFERROR(INDEX('Classification Rules'!$D$13:$D$16,MATCH($AA52,'Classification Rules'!$B$13:$B$16,0)),"")</f>
        <v>On-premises and non-mainframe, so the constraint is not the technology — it is that the business context exists only in Japanese, in few heads.</v>
      </c>
      <c r="AE52" s="20">
        <f>IFERROR(INDEX('Classification Rules'!$D$43:$D$46,MATCH($AA52,'Classification Rules'!$B$43:$B$46,0)),"")</f>
        <v>0.30399999999999999</v>
      </c>
      <c r="AF52" s="20">
        <f>IFERROR(INDEX('Classification Rules'!$E$43:$E$46,MATCH($AA52,'Classification Rules'!$B$43:$B$46,0)),"")</f>
        <v>0.33947680000000002</v>
      </c>
      <c r="AG52" s="20">
        <f>IFERROR(INDEX('Classification Rules'!$F$43:$F$46,MATCH($AA52,'Classification Rules'!$B$43:$B$46,0)),"")</f>
        <v>0.15</v>
      </c>
      <c r="AH52" s="20">
        <f>IFERROR(INDEX('Classification Rules'!$G$43:$G$46,MATCH($AA52,'Classification Rules'!$B$43:$B$46,0)),"")</f>
        <v>0.13950000000000001</v>
      </c>
      <c r="AI52" s="21" t="str">
        <f>IFERROR(INDEX('Classification Rules'!$I$43:$I$46,MATCH($AA52,'Classification Rules'!$B$43:$B$46,0)),"")</f>
        <v>10-14 weeks per cluster</v>
      </c>
      <c r="AJ52" s="21" t="str">
        <f>IFERROR(INDEX('Classification Rules'!$J$43:$J$46,MATCH($AA52,'Classification Rules'!$B$43:$B$46,0)),"")</f>
        <v>Fully sourced, onshore-weighted</v>
      </c>
      <c r="AK52" s="21">
        <f>IFERROR(INDEX('Classification Rules'!$K$43:$K$46,MATCH($AA52,'Classification Rules'!$B$43:$B$46,0)),"")</f>
        <v>0</v>
      </c>
    </row>
    <row r="53" spans="1:37" ht="39" customHeight="1" x14ac:dyDescent="0.3">
      <c r="A53" s="25">
        <v>49</v>
      </c>
      <c r="B53" s="26">
        <v>9907</v>
      </c>
      <c r="C53" s="26" t="s">
        <v>196</v>
      </c>
      <c r="D53" s="26" t="s">
        <v>197</v>
      </c>
      <c r="E53" s="26" t="s">
        <v>143</v>
      </c>
      <c r="F53" s="26" t="s">
        <v>184</v>
      </c>
      <c r="G53" s="26" t="s">
        <v>42</v>
      </c>
      <c r="H53" s="26" t="s">
        <v>145</v>
      </c>
      <c r="I53" s="26" t="s">
        <v>44</v>
      </c>
      <c r="J53" s="26" t="s">
        <v>45</v>
      </c>
      <c r="K53" s="26" t="s">
        <v>46</v>
      </c>
      <c r="L53" s="26" t="s">
        <v>158</v>
      </c>
      <c r="M53" s="26" t="s">
        <v>45</v>
      </c>
      <c r="N53" s="26" t="s">
        <v>57</v>
      </c>
      <c r="O53" s="26"/>
      <c r="P53" s="26" t="s">
        <v>58</v>
      </c>
      <c r="Q53" s="27">
        <v>0.38583333333333342</v>
      </c>
      <c r="R53" s="27">
        <v>0</v>
      </c>
      <c r="S53" s="27">
        <v>0</v>
      </c>
      <c r="T53" s="27">
        <v>0.38583333333333342</v>
      </c>
      <c r="U53" s="28">
        <v>0.35205183585313171</v>
      </c>
      <c r="V53" s="27">
        <v>0.19291666666666671</v>
      </c>
      <c r="W53" s="27">
        <v>0.19291666666666671</v>
      </c>
      <c r="X53" s="29" t="str">
        <f t="shared" si="4"/>
        <v>Rule 4</v>
      </c>
      <c r="Y53" s="29" t="str">
        <f t="shared" si="5"/>
        <v>A</v>
      </c>
      <c r="Z53" s="30"/>
      <c r="AA53" s="4" t="str">
        <f t="shared" si="6"/>
        <v>A</v>
      </c>
      <c r="AB53" s="6" t="str">
        <f>IFERROR(INDEX('Classification Rules'!$C$43:$C$46,MATCH($AA53,'Classification Rules'!$B$43:$B$46,0)),"")</f>
        <v>Language-locked</v>
      </c>
      <c r="AC53" s="21" t="str">
        <f t="shared" si="7"/>
        <v>Cloud Indicator = No, not mainframe, not a transfer target</v>
      </c>
      <c r="AD53" s="21" t="str">
        <f>IFERROR(INDEX('Classification Rules'!$D$13:$D$16,MATCH($AA53,'Classification Rules'!$B$13:$B$16,0)),"")</f>
        <v>On-premises and non-mainframe, so the constraint is not the technology — it is that the business context exists only in Japanese, in few heads.</v>
      </c>
      <c r="AE53" s="20">
        <f>IFERROR(INDEX('Classification Rules'!$D$43:$D$46,MATCH($AA53,'Classification Rules'!$B$43:$B$46,0)),"")</f>
        <v>0.30399999999999999</v>
      </c>
      <c r="AF53" s="20">
        <f>IFERROR(INDEX('Classification Rules'!$E$43:$E$46,MATCH($AA53,'Classification Rules'!$B$43:$B$46,0)),"")</f>
        <v>0.33947680000000002</v>
      </c>
      <c r="AG53" s="20">
        <f>IFERROR(INDEX('Classification Rules'!$F$43:$F$46,MATCH($AA53,'Classification Rules'!$B$43:$B$46,0)),"")</f>
        <v>0.15</v>
      </c>
      <c r="AH53" s="20">
        <f>IFERROR(INDEX('Classification Rules'!$G$43:$G$46,MATCH($AA53,'Classification Rules'!$B$43:$B$46,0)),"")</f>
        <v>0.13950000000000001</v>
      </c>
      <c r="AI53" s="21" t="str">
        <f>IFERROR(INDEX('Classification Rules'!$I$43:$I$46,MATCH($AA53,'Classification Rules'!$B$43:$B$46,0)),"")</f>
        <v>10-14 weeks per cluster</v>
      </c>
      <c r="AJ53" s="21" t="str">
        <f>IFERROR(INDEX('Classification Rules'!$J$43:$J$46,MATCH($AA53,'Classification Rules'!$B$43:$B$46,0)),"")</f>
        <v>Fully sourced, onshore-weighted</v>
      </c>
      <c r="AK53" s="21">
        <f>IFERROR(INDEX('Classification Rules'!$K$43:$K$46,MATCH($AA53,'Classification Rules'!$B$43:$B$46,0)),"")</f>
        <v>0</v>
      </c>
    </row>
    <row r="54" spans="1:37" ht="39" customHeight="1" x14ac:dyDescent="0.3">
      <c r="A54" s="25">
        <v>50</v>
      </c>
      <c r="B54" s="26">
        <v>9910</v>
      </c>
      <c r="C54" s="26" t="s">
        <v>198</v>
      </c>
      <c r="D54" s="26" t="s">
        <v>199</v>
      </c>
      <c r="E54" s="26" t="s">
        <v>113</v>
      </c>
      <c r="F54" s="26" t="s">
        <v>200</v>
      </c>
      <c r="G54" s="26" t="s">
        <v>115</v>
      </c>
      <c r="H54" s="26" t="s">
        <v>116</v>
      </c>
      <c r="I54" s="26" t="s">
        <v>44</v>
      </c>
      <c r="J54" s="26" t="s">
        <v>45</v>
      </c>
      <c r="K54" s="26" t="s">
        <v>46</v>
      </c>
      <c r="L54" s="26" t="s">
        <v>123</v>
      </c>
      <c r="M54" s="26" t="s">
        <v>45</v>
      </c>
      <c r="N54" s="26" t="s">
        <v>57</v>
      </c>
      <c r="O54" s="26"/>
      <c r="P54" s="26" t="s">
        <v>58</v>
      </c>
      <c r="Q54" s="27">
        <v>6.25E-2</v>
      </c>
      <c r="R54" s="27">
        <v>0</v>
      </c>
      <c r="S54" s="27">
        <v>0</v>
      </c>
      <c r="T54" s="27">
        <v>6.25E-2</v>
      </c>
      <c r="U54" s="28">
        <v>1</v>
      </c>
      <c r="V54" s="27">
        <v>3.125E-2</v>
      </c>
      <c r="W54" s="27">
        <v>3.125E-2</v>
      </c>
      <c r="X54" s="29" t="str">
        <f t="shared" si="4"/>
        <v>Rule 4</v>
      </c>
      <c r="Y54" s="29" t="str">
        <f t="shared" si="5"/>
        <v>A</v>
      </c>
      <c r="Z54" s="30"/>
      <c r="AA54" s="4" t="str">
        <f t="shared" si="6"/>
        <v>A</v>
      </c>
      <c r="AB54" s="6" t="str">
        <f>IFERROR(INDEX('Classification Rules'!$C$43:$C$46,MATCH($AA54,'Classification Rules'!$B$43:$B$46,0)),"")</f>
        <v>Language-locked</v>
      </c>
      <c r="AC54" s="21" t="str">
        <f t="shared" si="7"/>
        <v>Cloud Indicator = No, not mainframe, not a transfer target</v>
      </c>
      <c r="AD54" s="21" t="str">
        <f>IFERROR(INDEX('Classification Rules'!$D$13:$D$16,MATCH($AA54,'Classification Rules'!$B$13:$B$16,0)),"")</f>
        <v>On-premises and non-mainframe, so the constraint is not the technology — it is that the business context exists only in Japanese, in few heads.</v>
      </c>
      <c r="AE54" s="20">
        <f>IFERROR(INDEX('Classification Rules'!$D$43:$D$46,MATCH($AA54,'Classification Rules'!$B$43:$B$46,0)),"")</f>
        <v>0.30399999999999999</v>
      </c>
      <c r="AF54" s="20">
        <f>IFERROR(INDEX('Classification Rules'!$E$43:$E$46,MATCH($AA54,'Classification Rules'!$B$43:$B$46,0)),"")</f>
        <v>0.33947680000000002</v>
      </c>
      <c r="AG54" s="20">
        <f>IFERROR(INDEX('Classification Rules'!$F$43:$F$46,MATCH($AA54,'Classification Rules'!$B$43:$B$46,0)),"")</f>
        <v>0.15</v>
      </c>
      <c r="AH54" s="20">
        <f>IFERROR(INDEX('Classification Rules'!$G$43:$G$46,MATCH($AA54,'Classification Rules'!$B$43:$B$46,0)),"")</f>
        <v>0.13950000000000001</v>
      </c>
      <c r="AI54" s="21" t="str">
        <f>IFERROR(INDEX('Classification Rules'!$I$43:$I$46,MATCH($AA54,'Classification Rules'!$B$43:$B$46,0)),"")</f>
        <v>10-14 weeks per cluster</v>
      </c>
      <c r="AJ54" s="21" t="str">
        <f>IFERROR(INDEX('Classification Rules'!$J$43:$J$46,MATCH($AA54,'Classification Rules'!$B$43:$B$46,0)),"")</f>
        <v>Fully sourced, onshore-weighted</v>
      </c>
      <c r="AK54" s="21">
        <f>IFERROR(INDEX('Classification Rules'!$K$43:$K$46,MATCH($AA54,'Classification Rules'!$B$43:$B$46,0)),"")</f>
        <v>0</v>
      </c>
    </row>
    <row r="55" spans="1:37" ht="39" customHeight="1" x14ac:dyDescent="0.3">
      <c r="A55" s="25">
        <v>51</v>
      </c>
      <c r="B55" s="26">
        <v>9920</v>
      </c>
      <c r="C55" s="26" t="s">
        <v>201</v>
      </c>
      <c r="D55" s="26" t="s">
        <v>202</v>
      </c>
      <c r="E55" s="26" t="s">
        <v>175</v>
      </c>
      <c r="F55" s="26" t="s">
        <v>203</v>
      </c>
      <c r="G55" s="26" t="s">
        <v>177</v>
      </c>
      <c r="H55" s="26" t="s">
        <v>204</v>
      </c>
      <c r="I55" s="26" t="s">
        <v>44</v>
      </c>
      <c r="J55" s="26" t="s">
        <v>45</v>
      </c>
      <c r="K55" s="26" t="s">
        <v>46</v>
      </c>
      <c r="L55" s="26" t="s">
        <v>158</v>
      </c>
      <c r="M55" s="26" t="s">
        <v>45</v>
      </c>
      <c r="N55" s="26" t="s">
        <v>57</v>
      </c>
      <c r="O55" s="26"/>
      <c r="P55" s="26" t="s">
        <v>58</v>
      </c>
      <c r="Q55" s="27">
        <v>10.3375</v>
      </c>
      <c r="R55" s="27">
        <v>3.558333333333334</v>
      </c>
      <c r="S55" s="27">
        <v>5.1816666666666684</v>
      </c>
      <c r="T55" s="27">
        <v>19.077500000000001</v>
      </c>
      <c r="U55" s="28">
        <v>0.93360415847639022</v>
      </c>
      <c r="V55" s="27">
        <v>9.5387500000000021</v>
      </c>
      <c r="W55" s="27">
        <v>9.5387500000000021</v>
      </c>
      <c r="X55" s="29" t="str">
        <f t="shared" si="4"/>
        <v>Rule 4</v>
      </c>
      <c r="Y55" s="29" t="str">
        <f t="shared" si="5"/>
        <v>A</v>
      </c>
      <c r="Z55" s="30"/>
      <c r="AA55" s="4" t="str">
        <f t="shared" si="6"/>
        <v>A</v>
      </c>
      <c r="AB55" s="6" t="str">
        <f>IFERROR(INDEX('Classification Rules'!$C$43:$C$46,MATCH($AA55,'Classification Rules'!$B$43:$B$46,0)),"")</f>
        <v>Language-locked</v>
      </c>
      <c r="AC55" s="21" t="str">
        <f t="shared" si="7"/>
        <v>Cloud Indicator = No, not mainframe, not a transfer target</v>
      </c>
      <c r="AD55" s="21" t="str">
        <f>IFERROR(INDEX('Classification Rules'!$D$13:$D$16,MATCH($AA55,'Classification Rules'!$B$13:$B$16,0)),"")</f>
        <v>On-premises and non-mainframe, so the constraint is not the technology — it is that the business context exists only in Japanese, in few heads.</v>
      </c>
      <c r="AE55" s="20">
        <f>IFERROR(INDEX('Classification Rules'!$D$43:$D$46,MATCH($AA55,'Classification Rules'!$B$43:$B$46,0)),"")</f>
        <v>0.30399999999999999</v>
      </c>
      <c r="AF55" s="20">
        <f>IFERROR(INDEX('Classification Rules'!$E$43:$E$46,MATCH($AA55,'Classification Rules'!$B$43:$B$46,0)),"")</f>
        <v>0.33947680000000002</v>
      </c>
      <c r="AG55" s="20">
        <f>IFERROR(INDEX('Classification Rules'!$F$43:$F$46,MATCH($AA55,'Classification Rules'!$B$43:$B$46,0)),"")</f>
        <v>0.15</v>
      </c>
      <c r="AH55" s="20">
        <f>IFERROR(INDEX('Classification Rules'!$G$43:$G$46,MATCH($AA55,'Classification Rules'!$B$43:$B$46,0)),"")</f>
        <v>0.13950000000000001</v>
      </c>
      <c r="AI55" s="21" t="str">
        <f>IFERROR(INDEX('Classification Rules'!$I$43:$I$46,MATCH($AA55,'Classification Rules'!$B$43:$B$46,0)),"")</f>
        <v>10-14 weeks per cluster</v>
      </c>
      <c r="AJ55" s="21" t="str">
        <f>IFERROR(INDEX('Classification Rules'!$J$43:$J$46,MATCH($AA55,'Classification Rules'!$B$43:$B$46,0)),"")</f>
        <v>Fully sourced, onshore-weighted</v>
      </c>
      <c r="AK55" s="21">
        <f>IFERROR(INDEX('Classification Rules'!$K$43:$K$46,MATCH($AA55,'Classification Rules'!$B$43:$B$46,0)),"")</f>
        <v>0</v>
      </c>
    </row>
    <row r="56" spans="1:37" ht="39" customHeight="1" x14ac:dyDescent="0.3">
      <c r="A56" s="25">
        <v>52</v>
      </c>
      <c r="B56" s="26">
        <v>9921</v>
      </c>
      <c r="C56" s="26" t="s">
        <v>205</v>
      </c>
      <c r="D56" s="26" t="s">
        <v>206</v>
      </c>
      <c r="E56" s="26" t="s">
        <v>175</v>
      </c>
      <c r="F56" s="26" t="s">
        <v>203</v>
      </c>
      <c r="G56" s="26" t="s">
        <v>177</v>
      </c>
      <c r="H56" s="26" t="s">
        <v>204</v>
      </c>
      <c r="I56" s="26" t="s">
        <v>44</v>
      </c>
      <c r="J56" s="26" t="s">
        <v>45</v>
      </c>
      <c r="K56" s="26" t="s">
        <v>46</v>
      </c>
      <c r="L56" s="26" t="s">
        <v>158</v>
      </c>
      <c r="M56" s="26" t="s">
        <v>45</v>
      </c>
      <c r="N56" s="26" t="s">
        <v>46</v>
      </c>
      <c r="O56" s="26" t="s">
        <v>162</v>
      </c>
      <c r="P56" s="26" t="s">
        <v>58</v>
      </c>
      <c r="Q56" s="27">
        <v>0.3041666666666667</v>
      </c>
      <c r="R56" s="27">
        <v>4.1666666666666657E-2</v>
      </c>
      <c r="S56" s="27">
        <v>0</v>
      </c>
      <c r="T56" s="27">
        <v>0.34583333333333338</v>
      </c>
      <c r="U56" s="28">
        <v>1</v>
      </c>
      <c r="V56" s="27">
        <v>0.17291666666666669</v>
      </c>
      <c r="W56" s="27">
        <v>0.17291666666666669</v>
      </c>
      <c r="X56" s="29" t="str">
        <f t="shared" si="4"/>
        <v>Rule 3</v>
      </c>
      <c r="Y56" s="29" t="str">
        <f t="shared" si="5"/>
        <v>B</v>
      </c>
      <c r="Z56" s="30"/>
      <c r="AA56" s="4" t="str">
        <f t="shared" si="6"/>
        <v>B</v>
      </c>
      <c r="AB56" s="6" t="str">
        <f>IFERROR(INDEX('Classification Rules'!$C$43:$C$46,MATCH($AA56,'Classification Rules'!$B$43:$B$46,0)),"")</f>
        <v>Offshore-ready</v>
      </c>
      <c r="AC56" s="21" t="str">
        <f t="shared" si="7"/>
        <v>Cloud Indicator = Yes  (Platform as a Service (PaaS))</v>
      </c>
      <c r="AD56" s="21" t="str">
        <f>IFERROR(INDEX('Classification Rules'!$D$13:$D$16,MATCH($AA56,'Classification Rules'!$B$13:$B$16,0)),"")</f>
        <v>Cloud migration has already forced re-platforming, documentation and specifiability. Highest AI and offshore ceiling in the estate.</v>
      </c>
      <c r="AE56" s="20">
        <f>IFERROR(INDEX('Classification Rules'!$D$43:$D$46,MATCH($AA56,'Classification Rules'!$B$43:$B$46,0)),"")</f>
        <v>0.48249999999999998</v>
      </c>
      <c r="AF56" s="20">
        <f>IFERROR(INDEX('Classification Rules'!$E$43:$E$46,MATCH($AA56,'Classification Rules'!$B$43:$B$46,0)),"")</f>
        <v>0.45402025000000001</v>
      </c>
      <c r="AG56" s="20">
        <f>IFERROR(INDEX('Classification Rules'!$F$43:$F$46,MATCH($AA56,'Classification Rules'!$B$43:$B$46,0)),"")</f>
        <v>0.78</v>
      </c>
      <c r="AH56" s="20">
        <f>IFERROR(INDEX('Classification Rules'!$G$43:$G$46,MATCH($AA56,'Classification Rules'!$B$43:$B$46,0)),"")</f>
        <v>0.72540000000000004</v>
      </c>
      <c r="AI56" s="21" t="str">
        <f>IFERROR(INDEX('Classification Rules'!$I$43:$I$46,MATCH($AA56,'Classification Rules'!$B$43:$B$46,0)),"")</f>
        <v>6-8 weeks per cluster</v>
      </c>
      <c r="AJ56" s="21" t="str">
        <f>IFERROR(INDEX('Classification Rules'!$J$43:$J$46,MATCH($AA56,'Classification Rules'!$B$43:$B$46,0)),"")</f>
        <v>Fully sourced, moving to output units</v>
      </c>
      <c r="AK56" s="21">
        <f>IFERROR(INDEX('Classification Rules'!$K$43:$K$46,MATCH($AA56,'Classification Rules'!$B$43:$B$46,0)),"")</f>
        <v>0</v>
      </c>
    </row>
    <row r="57" spans="1:37" ht="39" customHeight="1" x14ac:dyDescent="0.3">
      <c r="A57" s="25">
        <v>53</v>
      </c>
      <c r="B57" s="26">
        <v>9926</v>
      </c>
      <c r="C57" s="26" t="s">
        <v>207</v>
      </c>
      <c r="D57" s="26" t="s">
        <v>208</v>
      </c>
      <c r="E57" s="26" t="s">
        <v>209</v>
      </c>
      <c r="F57" s="26" t="s">
        <v>210</v>
      </c>
      <c r="G57" s="26" t="s">
        <v>211</v>
      </c>
      <c r="H57" s="26" t="s">
        <v>211</v>
      </c>
      <c r="I57" s="26" t="s">
        <v>108</v>
      </c>
      <c r="J57" s="26" t="s">
        <v>45</v>
      </c>
      <c r="K57" s="26" t="s">
        <v>46</v>
      </c>
      <c r="L57" s="26" t="s">
        <v>158</v>
      </c>
      <c r="M57" s="26" t="s">
        <v>45</v>
      </c>
      <c r="N57" s="26" t="s">
        <v>57</v>
      </c>
      <c r="O57" s="26"/>
      <c r="P57" s="26" t="s">
        <v>58</v>
      </c>
      <c r="Q57" s="27">
        <v>7.4999999999999997E-2</v>
      </c>
      <c r="R57" s="27">
        <v>0</v>
      </c>
      <c r="S57" s="27">
        <v>0</v>
      </c>
      <c r="T57" s="27">
        <v>7.4999999999999997E-2</v>
      </c>
      <c r="U57" s="28">
        <v>0</v>
      </c>
      <c r="V57" s="27">
        <v>3.7499999999999999E-2</v>
      </c>
      <c r="W57" s="27">
        <v>3.7499999999999999E-2</v>
      </c>
      <c r="X57" s="29" t="str">
        <f t="shared" si="4"/>
        <v>Rule 4</v>
      </c>
      <c r="Y57" s="29" t="str">
        <f t="shared" si="5"/>
        <v>A</v>
      </c>
      <c r="Z57" s="30"/>
      <c r="AA57" s="4" t="str">
        <f t="shared" si="6"/>
        <v>A</v>
      </c>
      <c r="AB57" s="6" t="str">
        <f>IFERROR(INDEX('Classification Rules'!$C$43:$C$46,MATCH($AA57,'Classification Rules'!$B$43:$B$46,0)),"")</f>
        <v>Language-locked</v>
      </c>
      <c r="AC57" s="21" t="str">
        <f t="shared" si="7"/>
        <v>Cloud Indicator = No, not mainframe, not a transfer target</v>
      </c>
      <c r="AD57" s="21" t="str">
        <f>IFERROR(INDEX('Classification Rules'!$D$13:$D$16,MATCH($AA57,'Classification Rules'!$B$13:$B$16,0)),"")</f>
        <v>On-premises and non-mainframe, so the constraint is not the technology — it is that the business context exists only in Japanese, in few heads.</v>
      </c>
      <c r="AE57" s="20">
        <f>IFERROR(INDEX('Classification Rules'!$D$43:$D$46,MATCH($AA57,'Classification Rules'!$B$43:$B$46,0)),"")</f>
        <v>0.30399999999999999</v>
      </c>
      <c r="AF57" s="20">
        <f>IFERROR(INDEX('Classification Rules'!$E$43:$E$46,MATCH($AA57,'Classification Rules'!$B$43:$B$46,0)),"")</f>
        <v>0.33947680000000002</v>
      </c>
      <c r="AG57" s="20">
        <f>IFERROR(INDEX('Classification Rules'!$F$43:$F$46,MATCH($AA57,'Classification Rules'!$B$43:$B$46,0)),"")</f>
        <v>0.15</v>
      </c>
      <c r="AH57" s="20">
        <f>IFERROR(INDEX('Classification Rules'!$G$43:$G$46,MATCH($AA57,'Classification Rules'!$B$43:$B$46,0)),"")</f>
        <v>0.13950000000000001</v>
      </c>
      <c r="AI57" s="21" t="str">
        <f>IFERROR(INDEX('Classification Rules'!$I$43:$I$46,MATCH($AA57,'Classification Rules'!$B$43:$B$46,0)),"")</f>
        <v>10-14 weeks per cluster</v>
      </c>
      <c r="AJ57" s="21" t="str">
        <f>IFERROR(INDEX('Classification Rules'!$J$43:$J$46,MATCH($AA57,'Classification Rules'!$B$43:$B$46,0)),"")</f>
        <v>Fully sourced, onshore-weighted</v>
      </c>
      <c r="AK57" s="21">
        <f>IFERROR(INDEX('Classification Rules'!$K$43:$K$46,MATCH($AA57,'Classification Rules'!$B$43:$B$46,0)),"")</f>
        <v>0</v>
      </c>
    </row>
    <row r="58" spans="1:37" ht="39" customHeight="1" x14ac:dyDescent="0.3">
      <c r="A58" s="25">
        <v>54</v>
      </c>
      <c r="B58" s="26">
        <v>9928</v>
      </c>
      <c r="C58" s="26" t="s">
        <v>212</v>
      </c>
      <c r="D58" s="26" t="s">
        <v>213</v>
      </c>
      <c r="E58" s="26" t="s">
        <v>209</v>
      </c>
      <c r="F58" s="26" t="s">
        <v>214</v>
      </c>
      <c r="G58" s="26" t="s">
        <v>211</v>
      </c>
      <c r="H58" s="26" t="s">
        <v>211</v>
      </c>
      <c r="I58" s="26" t="s">
        <v>108</v>
      </c>
      <c r="J58" s="26" t="s">
        <v>45</v>
      </c>
      <c r="K58" s="26" t="s">
        <v>46</v>
      </c>
      <c r="L58" s="26" t="s">
        <v>158</v>
      </c>
      <c r="M58" s="26" t="s">
        <v>45</v>
      </c>
      <c r="N58" s="26" t="s">
        <v>46</v>
      </c>
      <c r="O58" s="26" t="s">
        <v>162</v>
      </c>
      <c r="P58" s="26" t="s">
        <v>58</v>
      </c>
      <c r="Q58" s="27">
        <v>1.397083333333333</v>
      </c>
      <c r="R58" s="27">
        <v>1</v>
      </c>
      <c r="S58" s="27">
        <v>0</v>
      </c>
      <c r="T58" s="27">
        <v>2.3970833333333341</v>
      </c>
      <c r="U58" s="28">
        <v>0.86441856422735963</v>
      </c>
      <c r="V58" s="27">
        <v>1.1985416666666671</v>
      </c>
      <c r="W58" s="27">
        <v>1.1985416666666671</v>
      </c>
      <c r="X58" s="29" t="str">
        <f t="shared" si="4"/>
        <v>Rule 3</v>
      </c>
      <c r="Y58" s="29" t="str">
        <f t="shared" si="5"/>
        <v>B</v>
      </c>
      <c r="Z58" s="30"/>
      <c r="AA58" s="4" t="str">
        <f t="shared" si="6"/>
        <v>B</v>
      </c>
      <c r="AB58" s="6" t="str">
        <f>IFERROR(INDEX('Classification Rules'!$C$43:$C$46,MATCH($AA58,'Classification Rules'!$B$43:$B$46,0)),"")</f>
        <v>Offshore-ready</v>
      </c>
      <c r="AC58" s="21" t="str">
        <f t="shared" si="7"/>
        <v>Cloud Indicator = Yes  (Platform as a Service (PaaS))</v>
      </c>
      <c r="AD58" s="21" t="str">
        <f>IFERROR(INDEX('Classification Rules'!$D$13:$D$16,MATCH($AA58,'Classification Rules'!$B$13:$B$16,0)),"")</f>
        <v>Cloud migration has already forced re-platforming, documentation and specifiability. Highest AI and offshore ceiling in the estate.</v>
      </c>
      <c r="AE58" s="20">
        <f>IFERROR(INDEX('Classification Rules'!$D$43:$D$46,MATCH($AA58,'Classification Rules'!$B$43:$B$46,0)),"")</f>
        <v>0.48249999999999998</v>
      </c>
      <c r="AF58" s="20">
        <f>IFERROR(INDEX('Classification Rules'!$E$43:$E$46,MATCH($AA58,'Classification Rules'!$B$43:$B$46,0)),"")</f>
        <v>0.45402025000000001</v>
      </c>
      <c r="AG58" s="20">
        <f>IFERROR(INDEX('Classification Rules'!$F$43:$F$46,MATCH($AA58,'Classification Rules'!$B$43:$B$46,0)),"")</f>
        <v>0.78</v>
      </c>
      <c r="AH58" s="20">
        <f>IFERROR(INDEX('Classification Rules'!$G$43:$G$46,MATCH($AA58,'Classification Rules'!$B$43:$B$46,0)),"")</f>
        <v>0.72540000000000004</v>
      </c>
      <c r="AI58" s="21" t="str">
        <f>IFERROR(INDEX('Classification Rules'!$I$43:$I$46,MATCH($AA58,'Classification Rules'!$B$43:$B$46,0)),"")</f>
        <v>6-8 weeks per cluster</v>
      </c>
      <c r="AJ58" s="21" t="str">
        <f>IFERROR(INDEX('Classification Rules'!$J$43:$J$46,MATCH($AA58,'Classification Rules'!$B$43:$B$46,0)),"")</f>
        <v>Fully sourced, moving to output units</v>
      </c>
      <c r="AK58" s="21">
        <f>IFERROR(INDEX('Classification Rules'!$K$43:$K$46,MATCH($AA58,'Classification Rules'!$B$43:$B$46,0)),"")</f>
        <v>0</v>
      </c>
    </row>
    <row r="59" spans="1:37" ht="25.95" customHeight="1" x14ac:dyDescent="0.3">
      <c r="A59" s="25">
        <v>55</v>
      </c>
      <c r="B59" s="26">
        <v>9930</v>
      </c>
      <c r="C59" s="26" t="s">
        <v>215</v>
      </c>
      <c r="D59" s="26" t="s">
        <v>216</v>
      </c>
      <c r="E59" s="26" t="s">
        <v>143</v>
      </c>
      <c r="F59" s="26" t="s">
        <v>144</v>
      </c>
      <c r="G59" s="26" t="s">
        <v>42</v>
      </c>
      <c r="H59" s="26" t="s">
        <v>145</v>
      </c>
      <c r="I59" s="26" t="s">
        <v>44</v>
      </c>
      <c r="J59" s="26" t="s">
        <v>55</v>
      </c>
      <c r="K59" s="26" t="s">
        <v>46</v>
      </c>
      <c r="L59" s="26" t="s">
        <v>217</v>
      </c>
      <c r="M59" s="26" t="s">
        <v>45</v>
      </c>
      <c r="N59" s="26" t="s">
        <v>57</v>
      </c>
      <c r="O59" s="26"/>
      <c r="P59" s="26" t="s">
        <v>58</v>
      </c>
      <c r="Q59" s="27">
        <v>2.4083333333333332</v>
      </c>
      <c r="R59" s="27">
        <v>7.4999999999999997E-2</v>
      </c>
      <c r="S59" s="27">
        <v>0</v>
      </c>
      <c r="T59" s="27">
        <v>2.4833333333333329</v>
      </c>
      <c r="U59" s="28">
        <v>0.89932885906040272</v>
      </c>
      <c r="V59" s="27">
        <v>1.2416666666666669</v>
      </c>
      <c r="W59" s="27">
        <v>1.2416666666666669</v>
      </c>
      <c r="X59" s="29" t="str">
        <f t="shared" si="4"/>
        <v>Rule 1</v>
      </c>
      <c r="Y59" s="29" t="str">
        <f t="shared" si="5"/>
        <v>D</v>
      </c>
      <c r="Z59" s="30"/>
      <c r="AA59" s="4" t="str">
        <f t="shared" si="6"/>
        <v>D</v>
      </c>
      <c r="AB59" s="6" t="str">
        <f>IFERROR(INDEX('Classification Rules'!$C$43:$C$46,MATCH($AA59,'Classification Rules'!$B$43:$B$46,0)),"")</f>
        <v>Legacy-coupled core</v>
      </c>
      <c r="AC59" s="21" t="str">
        <f t="shared" si="7"/>
        <v>Language: Other#RPG</v>
      </c>
      <c r="AD59" s="21" t="str">
        <f>IFERROR(INDEX('Classification Rules'!$D$13:$D$16,MATCH($AA59,'Classification Rules'!$B$13:$B$16,0)),"")</f>
        <v>Rules hard-coded across modules and design truth is not written down. AI does comprehension here, not generation.</v>
      </c>
      <c r="AE59" s="20">
        <f>IFERROR(INDEX('Classification Rules'!$D$43:$D$46,MATCH($AA59,'Classification Rules'!$B$43:$B$46,0)),"")</f>
        <v>0.29500000000000004</v>
      </c>
      <c r="AF59" s="20">
        <f>IFERROR(INDEX('Classification Rules'!$E$43:$E$46,MATCH($AA59,'Classification Rules'!$B$43:$B$46,0)),"")</f>
        <v>0.3337015000000001</v>
      </c>
      <c r="AG59" s="20">
        <f>IFERROR(INDEX('Classification Rules'!$F$43:$F$46,MATCH($AA59,'Classification Rules'!$B$43:$B$46,0)),"")</f>
        <v>0.57999999999999996</v>
      </c>
      <c r="AH59" s="20">
        <f>IFERROR(INDEX('Classification Rules'!$G$43:$G$46,MATCH($AA59,'Classification Rules'!$B$43:$B$46,0)),"")</f>
        <v>0.53939999999999999</v>
      </c>
      <c r="AI59" s="21" t="str">
        <f>IFERROR(INDEX('Classification Rules'!$I$43:$I$46,MATCH($AA59,'Classification Rules'!$B$43:$B$46,0)),"")</f>
        <v>14-20 weeks per cluster</v>
      </c>
      <c r="AJ59" s="21" t="str">
        <f>IFERROR(INDEX('Classification Rules'!$J$43:$J$46,MATCH($AA59,'Classification Rules'!$B$43:$B$46,0)),"")</f>
        <v>Fully sourced, MetLife SMEs paired</v>
      </c>
      <c r="AK59" s="21">
        <f>IFERROR(INDEX('Classification Rules'!$K$43:$K$46,MATCH($AA59,'Classification Rules'!$B$43:$B$46,0)),"")</f>
        <v>0</v>
      </c>
    </row>
    <row r="60" spans="1:37" ht="39" customHeight="1" x14ac:dyDescent="0.3">
      <c r="A60" s="25">
        <v>56</v>
      </c>
      <c r="B60" s="26">
        <v>9931</v>
      </c>
      <c r="C60" s="26" t="s">
        <v>218</v>
      </c>
      <c r="D60" s="26" t="s">
        <v>219</v>
      </c>
      <c r="E60" s="26" t="s">
        <v>187</v>
      </c>
      <c r="F60" s="26" t="s">
        <v>220</v>
      </c>
      <c r="G60" s="26" t="s">
        <v>177</v>
      </c>
      <c r="H60" s="26" t="s">
        <v>221</v>
      </c>
      <c r="I60" s="26" t="s">
        <v>44</v>
      </c>
      <c r="J60" s="26" t="s">
        <v>45</v>
      </c>
      <c r="K60" s="26" t="s">
        <v>46</v>
      </c>
      <c r="L60" s="26" t="s">
        <v>222</v>
      </c>
      <c r="M60" s="26" t="s">
        <v>45</v>
      </c>
      <c r="N60" s="26" t="s">
        <v>57</v>
      </c>
      <c r="O60" s="26"/>
      <c r="P60" s="26" t="s">
        <v>58</v>
      </c>
      <c r="Q60" s="27">
        <v>13</v>
      </c>
      <c r="R60" s="27">
        <v>2.2749999999999999</v>
      </c>
      <c r="S60" s="27">
        <v>0</v>
      </c>
      <c r="T60" s="27">
        <v>15.275</v>
      </c>
      <c r="U60" s="28">
        <v>0.91728849185496575</v>
      </c>
      <c r="V60" s="27">
        <v>7.6375000000000002</v>
      </c>
      <c r="W60" s="27">
        <v>7.6375000000000002</v>
      </c>
      <c r="X60" s="29" t="str">
        <f t="shared" si="4"/>
        <v>Rule 4</v>
      </c>
      <c r="Y60" s="29" t="str">
        <f t="shared" si="5"/>
        <v>A</v>
      </c>
      <c r="Z60" s="30"/>
      <c r="AA60" s="4" t="str">
        <f t="shared" si="6"/>
        <v>A</v>
      </c>
      <c r="AB60" s="6" t="str">
        <f>IFERROR(INDEX('Classification Rules'!$C$43:$C$46,MATCH($AA60,'Classification Rules'!$B$43:$B$46,0)),"")</f>
        <v>Language-locked</v>
      </c>
      <c r="AC60" s="21" t="str">
        <f t="shared" si="7"/>
        <v>Cloud Indicator = No, not mainframe, not a transfer target</v>
      </c>
      <c r="AD60" s="21" t="str">
        <f>IFERROR(INDEX('Classification Rules'!$D$13:$D$16,MATCH($AA60,'Classification Rules'!$B$13:$B$16,0)),"")</f>
        <v>On-premises and non-mainframe, so the constraint is not the technology — it is that the business context exists only in Japanese, in few heads.</v>
      </c>
      <c r="AE60" s="20">
        <f>IFERROR(INDEX('Classification Rules'!$D$43:$D$46,MATCH($AA60,'Classification Rules'!$B$43:$B$46,0)),"")</f>
        <v>0.30399999999999999</v>
      </c>
      <c r="AF60" s="20">
        <f>IFERROR(INDEX('Classification Rules'!$E$43:$E$46,MATCH($AA60,'Classification Rules'!$B$43:$B$46,0)),"")</f>
        <v>0.33947680000000002</v>
      </c>
      <c r="AG60" s="20">
        <f>IFERROR(INDEX('Classification Rules'!$F$43:$F$46,MATCH($AA60,'Classification Rules'!$B$43:$B$46,0)),"")</f>
        <v>0.15</v>
      </c>
      <c r="AH60" s="20">
        <f>IFERROR(INDEX('Classification Rules'!$G$43:$G$46,MATCH($AA60,'Classification Rules'!$B$43:$B$46,0)),"")</f>
        <v>0.13950000000000001</v>
      </c>
      <c r="AI60" s="21" t="str">
        <f>IFERROR(INDEX('Classification Rules'!$I$43:$I$46,MATCH($AA60,'Classification Rules'!$B$43:$B$46,0)),"")</f>
        <v>10-14 weeks per cluster</v>
      </c>
      <c r="AJ60" s="21" t="str">
        <f>IFERROR(INDEX('Classification Rules'!$J$43:$J$46,MATCH($AA60,'Classification Rules'!$B$43:$B$46,0)),"")</f>
        <v>Fully sourced, onshore-weighted</v>
      </c>
      <c r="AK60" s="21">
        <f>IFERROR(INDEX('Classification Rules'!$K$43:$K$46,MATCH($AA60,'Classification Rules'!$B$43:$B$46,0)),"")</f>
        <v>0</v>
      </c>
    </row>
    <row r="61" spans="1:37" ht="39" customHeight="1" x14ac:dyDescent="0.3">
      <c r="A61" s="25">
        <v>57</v>
      </c>
      <c r="B61" s="26">
        <v>9940</v>
      </c>
      <c r="C61" s="26" t="s">
        <v>223</v>
      </c>
      <c r="D61" s="26" t="s">
        <v>224</v>
      </c>
      <c r="E61" s="26" t="s">
        <v>143</v>
      </c>
      <c r="F61" s="26" t="s">
        <v>184</v>
      </c>
      <c r="G61" s="26" t="s">
        <v>42</v>
      </c>
      <c r="H61" s="26" t="s">
        <v>145</v>
      </c>
      <c r="I61" s="26" t="s">
        <v>44</v>
      </c>
      <c r="J61" s="26" t="s">
        <v>45</v>
      </c>
      <c r="K61" s="26" t="s">
        <v>46</v>
      </c>
      <c r="L61" s="26" t="s">
        <v>158</v>
      </c>
      <c r="M61" s="26" t="s">
        <v>45</v>
      </c>
      <c r="N61" s="26" t="s">
        <v>57</v>
      </c>
      <c r="O61" s="26"/>
      <c r="P61" s="26" t="s">
        <v>58</v>
      </c>
      <c r="Q61" s="27">
        <v>0.38750000000000012</v>
      </c>
      <c r="R61" s="27">
        <v>2.5000000000000001E-2</v>
      </c>
      <c r="S61" s="27">
        <v>0</v>
      </c>
      <c r="T61" s="27">
        <v>0.41250000000000009</v>
      </c>
      <c r="U61" s="28">
        <v>0.81818181818181812</v>
      </c>
      <c r="V61" s="27">
        <v>0.20624999999999999</v>
      </c>
      <c r="W61" s="27">
        <v>0.20624999999999999</v>
      </c>
      <c r="X61" s="29" t="str">
        <f t="shared" si="4"/>
        <v>Rule 4</v>
      </c>
      <c r="Y61" s="29" t="str">
        <f t="shared" si="5"/>
        <v>A</v>
      </c>
      <c r="Z61" s="30"/>
      <c r="AA61" s="4" t="str">
        <f t="shared" si="6"/>
        <v>A</v>
      </c>
      <c r="AB61" s="6" t="str">
        <f>IFERROR(INDEX('Classification Rules'!$C$43:$C$46,MATCH($AA61,'Classification Rules'!$B$43:$B$46,0)),"")</f>
        <v>Language-locked</v>
      </c>
      <c r="AC61" s="21" t="str">
        <f t="shared" si="7"/>
        <v>Cloud Indicator = No, not mainframe, not a transfer target</v>
      </c>
      <c r="AD61" s="21" t="str">
        <f>IFERROR(INDEX('Classification Rules'!$D$13:$D$16,MATCH($AA61,'Classification Rules'!$B$13:$B$16,0)),"")</f>
        <v>On-premises and non-mainframe, so the constraint is not the technology — it is that the business context exists only in Japanese, in few heads.</v>
      </c>
      <c r="AE61" s="20">
        <f>IFERROR(INDEX('Classification Rules'!$D$43:$D$46,MATCH($AA61,'Classification Rules'!$B$43:$B$46,0)),"")</f>
        <v>0.30399999999999999</v>
      </c>
      <c r="AF61" s="20">
        <f>IFERROR(INDEX('Classification Rules'!$E$43:$E$46,MATCH($AA61,'Classification Rules'!$B$43:$B$46,0)),"")</f>
        <v>0.33947680000000002</v>
      </c>
      <c r="AG61" s="20">
        <f>IFERROR(INDEX('Classification Rules'!$F$43:$F$46,MATCH($AA61,'Classification Rules'!$B$43:$B$46,0)),"")</f>
        <v>0.15</v>
      </c>
      <c r="AH61" s="20">
        <f>IFERROR(INDEX('Classification Rules'!$G$43:$G$46,MATCH($AA61,'Classification Rules'!$B$43:$B$46,0)),"")</f>
        <v>0.13950000000000001</v>
      </c>
      <c r="AI61" s="21" t="str">
        <f>IFERROR(INDEX('Classification Rules'!$I$43:$I$46,MATCH($AA61,'Classification Rules'!$B$43:$B$46,0)),"")</f>
        <v>10-14 weeks per cluster</v>
      </c>
      <c r="AJ61" s="21" t="str">
        <f>IFERROR(INDEX('Classification Rules'!$J$43:$J$46,MATCH($AA61,'Classification Rules'!$B$43:$B$46,0)),"")</f>
        <v>Fully sourced, onshore-weighted</v>
      </c>
      <c r="AK61" s="21">
        <f>IFERROR(INDEX('Classification Rules'!$K$43:$K$46,MATCH($AA61,'Classification Rules'!$B$43:$B$46,0)),"")</f>
        <v>0</v>
      </c>
    </row>
    <row r="62" spans="1:37" ht="39" customHeight="1" x14ac:dyDescent="0.3">
      <c r="A62" s="25">
        <v>58</v>
      </c>
      <c r="B62" s="26">
        <v>9941</v>
      </c>
      <c r="C62" s="26" t="s">
        <v>225</v>
      </c>
      <c r="D62" s="26" t="s">
        <v>226</v>
      </c>
      <c r="E62" s="26" t="s">
        <v>143</v>
      </c>
      <c r="F62" s="26" t="s">
        <v>227</v>
      </c>
      <c r="G62" s="26" t="s">
        <v>42</v>
      </c>
      <c r="H62" s="26" t="s">
        <v>145</v>
      </c>
      <c r="I62" s="26" t="s">
        <v>44</v>
      </c>
      <c r="J62" s="26" t="s">
        <v>45</v>
      </c>
      <c r="K62" s="26" t="s">
        <v>46</v>
      </c>
      <c r="L62" s="26" t="s">
        <v>158</v>
      </c>
      <c r="M62" s="26" t="s">
        <v>45</v>
      </c>
      <c r="N62" s="26" t="s">
        <v>46</v>
      </c>
      <c r="O62" s="26" t="s">
        <v>48</v>
      </c>
      <c r="P62" s="26" t="s">
        <v>58</v>
      </c>
      <c r="Q62" s="27">
        <v>0.92916458333333329</v>
      </c>
      <c r="R62" s="27">
        <v>8.7499999999999994E-2</v>
      </c>
      <c r="S62" s="27">
        <v>0</v>
      </c>
      <c r="T62" s="27">
        <v>1.016664583333333</v>
      </c>
      <c r="U62" s="28">
        <v>0.41311355146219558</v>
      </c>
      <c r="V62" s="27">
        <v>0.5083322916666666</v>
      </c>
      <c r="W62" s="27">
        <v>0.5083322916666666</v>
      </c>
      <c r="X62" s="29" t="str">
        <f t="shared" si="4"/>
        <v>Rule 3</v>
      </c>
      <c r="Y62" s="29" t="str">
        <f t="shared" si="5"/>
        <v>B</v>
      </c>
      <c r="Z62" s="30"/>
      <c r="AA62" s="4" t="str">
        <f t="shared" si="6"/>
        <v>B</v>
      </c>
      <c r="AB62" s="6" t="str">
        <f>IFERROR(INDEX('Classification Rules'!$C$43:$C$46,MATCH($AA62,'Classification Rules'!$B$43:$B$46,0)),"")</f>
        <v>Offshore-ready</v>
      </c>
      <c r="AC62" s="21" t="str">
        <f t="shared" si="7"/>
        <v>Cloud Indicator = Yes  (Software as a Service (SaaS))</v>
      </c>
      <c r="AD62" s="21" t="str">
        <f>IFERROR(INDEX('Classification Rules'!$D$13:$D$16,MATCH($AA62,'Classification Rules'!$B$13:$B$16,0)),"")</f>
        <v>Cloud migration has already forced re-platforming, documentation and specifiability. Highest AI and offshore ceiling in the estate.</v>
      </c>
      <c r="AE62" s="20">
        <f>IFERROR(INDEX('Classification Rules'!$D$43:$D$46,MATCH($AA62,'Classification Rules'!$B$43:$B$46,0)),"")</f>
        <v>0.48249999999999998</v>
      </c>
      <c r="AF62" s="20">
        <f>IFERROR(INDEX('Classification Rules'!$E$43:$E$46,MATCH($AA62,'Classification Rules'!$B$43:$B$46,0)),"")</f>
        <v>0.45402025000000001</v>
      </c>
      <c r="AG62" s="20">
        <f>IFERROR(INDEX('Classification Rules'!$F$43:$F$46,MATCH($AA62,'Classification Rules'!$B$43:$B$46,0)),"")</f>
        <v>0.78</v>
      </c>
      <c r="AH62" s="20">
        <f>IFERROR(INDEX('Classification Rules'!$G$43:$G$46,MATCH($AA62,'Classification Rules'!$B$43:$B$46,0)),"")</f>
        <v>0.72540000000000004</v>
      </c>
      <c r="AI62" s="21" t="str">
        <f>IFERROR(INDEX('Classification Rules'!$I$43:$I$46,MATCH($AA62,'Classification Rules'!$B$43:$B$46,0)),"")</f>
        <v>6-8 weeks per cluster</v>
      </c>
      <c r="AJ62" s="21" t="str">
        <f>IFERROR(INDEX('Classification Rules'!$J$43:$J$46,MATCH($AA62,'Classification Rules'!$B$43:$B$46,0)),"")</f>
        <v>Fully sourced, moving to output units</v>
      </c>
      <c r="AK62" s="21">
        <f>IFERROR(INDEX('Classification Rules'!$K$43:$K$46,MATCH($AA62,'Classification Rules'!$B$43:$B$46,0)),"")</f>
        <v>0</v>
      </c>
    </row>
    <row r="63" spans="1:37" ht="39" customHeight="1" x14ac:dyDescent="0.3">
      <c r="A63" s="25">
        <v>59</v>
      </c>
      <c r="B63" s="26">
        <v>9947</v>
      </c>
      <c r="C63" s="26" t="s">
        <v>228</v>
      </c>
      <c r="D63" s="26" t="s">
        <v>229</v>
      </c>
      <c r="E63" s="26" t="s">
        <v>120</v>
      </c>
      <c r="F63" s="26" t="s">
        <v>134</v>
      </c>
      <c r="G63" s="26" t="s">
        <v>115</v>
      </c>
      <c r="H63" s="26" t="s">
        <v>122</v>
      </c>
      <c r="I63" s="26" t="s">
        <v>44</v>
      </c>
      <c r="J63" s="26" t="s">
        <v>55</v>
      </c>
      <c r="K63" s="26" t="s">
        <v>46</v>
      </c>
      <c r="L63" s="26" t="s">
        <v>158</v>
      </c>
      <c r="M63" s="26" t="s">
        <v>45</v>
      </c>
      <c r="N63" s="26" t="s">
        <v>57</v>
      </c>
      <c r="O63" s="26"/>
      <c r="P63" s="26" t="s">
        <v>58</v>
      </c>
      <c r="Q63" s="27">
        <v>9</v>
      </c>
      <c r="R63" s="27">
        <v>1.154166666666667</v>
      </c>
      <c r="S63" s="27">
        <v>0</v>
      </c>
      <c r="T63" s="27">
        <v>10</v>
      </c>
      <c r="U63" s="28">
        <v>0.75904634544925254</v>
      </c>
      <c r="V63" s="27">
        <v>5</v>
      </c>
      <c r="W63" s="27">
        <v>5</v>
      </c>
      <c r="X63" s="29" t="str">
        <f t="shared" si="4"/>
        <v>Rule 4</v>
      </c>
      <c r="Y63" s="29" t="str">
        <f t="shared" si="5"/>
        <v>A</v>
      </c>
      <c r="Z63" s="30"/>
      <c r="AA63" s="4" t="str">
        <f t="shared" si="6"/>
        <v>A</v>
      </c>
      <c r="AB63" s="6" t="str">
        <f>IFERROR(INDEX('Classification Rules'!$C$43:$C$46,MATCH($AA63,'Classification Rules'!$B$43:$B$46,0)),"")</f>
        <v>Language-locked</v>
      </c>
      <c r="AC63" s="21" t="str">
        <f t="shared" si="7"/>
        <v>Cloud Indicator = No, not mainframe, not a transfer target</v>
      </c>
      <c r="AD63" s="21" t="str">
        <f>IFERROR(INDEX('Classification Rules'!$D$13:$D$16,MATCH($AA63,'Classification Rules'!$B$13:$B$16,0)),"")</f>
        <v>On-premises and non-mainframe, so the constraint is not the technology — it is that the business context exists only in Japanese, in few heads.</v>
      </c>
      <c r="AE63" s="20">
        <f>IFERROR(INDEX('Classification Rules'!$D$43:$D$46,MATCH($AA63,'Classification Rules'!$B$43:$B$46,0)),"")</f>
        <v>0.30399999999999999</v>
      </c>
      <c r="AF63" s="20">
        <f>IFERROR(INDEX('Classification Rules'!$E$43:$E$46,MATCH($AA63,'Classification Rules'!$B$43:$B$46,0)),"")</f>
        <v>0.33947680000000002</v>
      </c>
      <c r="AG63" s="20">
        <f>IFERROR(INDEX('Classification Rules'!$F$43:$F$46,MATCH($AA63,'Classification Rules'!$B$43:$B$46,0)),"")</f>
        <v>0.15</v>
      </c>
      <c r="AH63" s="20">
        <f>IFERROR(INDEX('Classification Rules'!$G$43:$G$46,MATCH($AA63,'Classification Rules'!$B$43:$B$46,0)),"")</f>
        <v>0.13950000000000001</v>
      </c>
      <c r="AI63" s="21" t="str">
        <f>IFERROR(INDEX('Classification Rules'!$I$43:$I$46,MATCH($AA63,'Classification Rules'!$B$43:$B$46,0)),"")</f>
        <v>10-14 weeks per cluster</v>
      </c>
      <c r="AJ63" s="21" t="str">
        <f>IFERROR(INDEX('Classification Rules'!$J$43:$J$46,MATCH($AA63,'Classification Rules'!$B$43:$B$46,0)),"")</f>
        <v>Fully sourced, onshore-weighted</v>
      </c>
      <c r="AK63" s="21">
        <f>IFERROR(INDEX('Classification Rules'!$K$43:$K$46,MATCH($AA63,'Classification Rules'!$B$43:$B$46,0)),"")</f>
        <v>0</v>
      </c>
    </row>
    <row r="64" spans="1:37" ht="25.95" customHeight="1" x14ac:dyDescent="0.3">
      <c r="A64" s="25">
        <v>60</v>
      </c>
      <c r="B64" s="26">
        <v>9948</v>
      </c>
      <c r="C64" s="26" t="s">
        <v>230</v>
      </c>
      <c r="D64" s="26" t="s">
        <v>231</v>
      </c>
      <c r="E64" s="26" t="s">
        <v>52</v>
      </c>
      <c r="F64" s="26" t="s">
        <v>70</v>
      </c>
      <c r="G64" s="26" t="s">
        <v>42</v>
      </c>
      <c r="H64" s="26" t="s">
        <v>54</v>
      </c>
      <c r="I64" s="26" t="s">
        <v>44</v>
      </c>
      <c r="J64" s="26" t="s">
        <v>55</v>
      </c>
      <c r="K64" s="26" t="s">
        <v>46</v>
      </c>
      <c r="L64" s="26" t="s">
        <v>85</v>
      </c>
      <c r="M64" s="26" t="s">
        <v>45</v>
      </c>
      <c r="N64" s="26" t="s">
        <v>57</v>
      </c>
      <c r="O64" s="26"/>
      <c r="P64" s="26" t="s">
        <v>58</v>
      </c>
      <c r="Q64" s="27">
        <v>9.2697083333333321</v>
      </c>
      <c r="R64" s="27">
        <v>2.8458333333333332</v>
      </c>
      <c r="S64" s="27">
        <v>0</v>
      </c>
      <c r="T64" s="27">
        <v>12.115541666666671</v>
      </c>
      <c r="U64" s="28">
        <v>0.77129926093550627</v>
      </c>
      <c r="V64" s="27">
        <v>6.0577708333333327</v>
      </c>
      <c r="W64" s="27">
        <v>6.0577708333333327</v>
      </c>
      <c r="X64" s="29" t="str">
        <f t="shared" si="4"/>
        <v>Rule 1</v>
      </c>
      <c r="Y64" s="29" t="str">
        <f t="shared" si="5"/>
        <v>D</v>
      </c>
      <c r="Z64" s="30"/>
      <c r="AA64" s="4" t="str">
        <f t="shared" si="6"/>
        <v>D</v>
      </c>
      <c r="AB64" s="6" t="str">
        <f>IFERROR(INDEX('Classification Rules'!$C$43:$C$46,MATCH($AA64,'Classification Rules'!$B$43:$B$46,0)),"")</f>
        <v>Legacy-coupled core</v>
      </c>
      <c r="AC64" s="21" t="str">
        <f t="shared" si="7"/>
        <v>Language: COBOL, MU(EASYPLUS), Assembler, JCL</v>
      </c>
      <c r="AD64" s="21" t="str">
        <f>IFERROR(INDEX('Classification Rules'!$D$13:$D$16,MATCH($AA64,'Classification Rules'!$B$13:$B$16,0)),"")</f>
        <v>Rules hard-coded across modules and design truth is not written down. AI does comprehension here, not generation.</v>
      </c>
      <c r="AE64" s="20">
        <f>IFERROR(INDEX('Classification Rules'!$D$43:$D$46,MATCH($AA64,'Classification Rules'!$B$43:$B$46,0)),"")</f>
        <v>0.29500000000000004</v>
      </c>
      <c r="AF64" s="20">
        <f>IFERROR(INDEX('Classification Rules'!$E$43:$E$46,MATCH($AA64,'Classification Rules'!$B$43:$B$46,0)),"")</f>
        <v>0.3337015000000001</v>
      </c>
      <c r="AG64" s="20">
        <f>IFERROR(INDEX('Classification Rules'!$F$43:$F$46,MATCH($AA64,'Classification Rules'!$B$43:$B$46,0)),"")</f>
        <v>0.57999999999999996</v>
      </c>
      <c r="AH64" s="20">
        <f>IFERROR(INDEX('Classification Rules'!$G$43:$G$46,MATCH($AA64,'Classification Rules'!$B$43:$B$46,0)),"")</f>
        <v>0.53939999999999999</v>
      </c>
      <c r="AI64" s="21" t="str">
        <f>IFERROR(INDEX('Classification Rules'!$I$43:$I$46,MATCH($AA64,'Classification Rules'!$B$43:$B$46,0)),"")</f>
        <v>14-20 weeks per cluster</v>
      </c>
      <c r="AJ64" s="21" t="str">
        <f>IFERROR(INDEX('Classification Rules'!$J$43:$J$46,MATCH($AA64,'Classification Rules'!$B$43:$B$46,0)),"")</f>
        <v>Fully sourced, MetLife SMEs paired</v>
      </c>
      <c r="AK64" s="21">
        <f>IFERROR(INDEX('Classification Rules'!$K$43:$K$46,MATCH($AA64,'Classification Rules'!$B$43:$B$46,0)),"")</f>
        <v>0</v>
      </c>
    </row>
    <row r="65" spans="1:37" ht="39" customHeight="1" x14ac:dyDescent="0.3">
      <c r="A65" s="25">
        <v>61</v>
      </c>
      <c r="B65" s="26">
        <v>9949</v>
      </c>
      <c r="C65" s="26" t="s">
        <v>232</v>
      </c>
      <c r="D65" s="26" t="s">
        <v>233</v>
      </c>
      <c r="E65" s="26" t="s">
        <v>143</v>
      </c>
      <c r="F65" s="26" t="s">
        <v>165</v>
      </c>
      <c r="G65" s="26" t="s">
        <v>42</v>
      </c>
      <c r="H65" s="26" t="s">
        <v>145</v>
      </c>
      <c r="I65" s="26" t="s">
        <v>108</v>
      </c>
      <c r="J65" s="26" t="s">
        <v>45</v>
      </c>
      <c r="K65" s="26" t="s">
        <v>46</v>
      </c>
      <c r="L65" s="26" t="s">
        <v>234</v>
      </c>
      <c r="M65" s="26" t="s">
        <v>45</v>
      </c>
      <c r="N65" s="26" t="s">
        <v>57</v>
      </c>
      <c r="O65" s="26"/>
      <c r="P65" s="26" t="s">
        <v>58</v>
      </c>
      <c r="Q65" s="27">
        <v>6.6666666666666666E-2</v>
      </c>
      <c r="R65" s="27">
        <v>0</v>
      </c>
      <c r="S65" s="27">
        <v>0</v>
      </c>
      <c r="T65" s="27">
        <v>6.6666666666666666E-2</v>
      </c>
      <c r="U65" s="28">
        <v>0</v>
      </c>
      <c r="V65" s="27">
        <v>3.3333333333333333E-2</v>
      </c>
      <c r="W65" s="27">
        <v>3.3333333333333333E-2</v>
      </c>
      <c r="X65" s="29" t="str">
        <f t="shared" si="4"/>
        <v>Rule 4</v>
      </c>
      <c r="Y65" s="29" t="str">
        <f t="shared" si="5"/>
        <v>A</v>
      </c>
      <c r="Z65" s="30"/>
      <c r="AA65" s="4" t="str">
        <f t="shared" si="6"/>
        <v>A</v>
      </c>
      <c r="AB65" s="6" t="str">
        <f>IFERROR(INDEX('Classification Rules'!$C$43:$C$46,MATCH($AA65,'Classification Rules'!$B$43:$B$46,0)),"")</f>
        <v>Language-locked</v>
      </c>
      <c r="AC65" s="21" t="str">
        <f t="shared" si="7"/>
        <v>Cloud Indicator = No, not mainframe, not a transfer target</v>
      </c>
      <c r="AD65" s="21" t="str">
        <f>IFERROR(INDEX('Classification Rules'!$D$13:$D$16,MATCH($AA65,'Classification Rules'!$B$13:$B$16,0)),"")</f>
        <v>On-premises and non-mainframe, so the constraint is not the technology — it is that the business context exists only in Japanese, in few heads.</v>
      </c>
      <c r="AE65" s="20">
        <f>IFERROR(INDEX('Classification Rules'!$D$43:$D$46,MATCH($AA65,'Classification Rules'!$B$43:$B$46,0)),"")</f>
        <v>0.30399999999999999</v>
      </c>
      <c r="AF65" s="20">
        <f>IFERROR(INDEX('Classification Rules'!$E$43:$E$46,MATCH($AA65,'Classification Rules'!$B$43:$B$46,0)),"")</f>
        <v>0.33947680000000002</v>
      </c>
      <c r="AG65" s="20">
        <f>IFERROR(INDEX('Classification Rules'!$F$43:$F$46,MATCH($AA65,'Classification Rules'!$B$43:$B$46,0)),"")</f>
        <v>0.15</v>
      </c>
      <c r="AH65" s="20">
        <f>IFERROR(INDEX('Classification Rules'!$G$43:$G$46,MATCH($AA65,'Classification Rules'!$B$43:$B$46,0)),"")</f>
        <v>0.13950000000000001</v>
      </c>
      <c r="AI65" s="21" t="str">
        <f>IFERROR(INDEX('Classification Rules'!$I$43:$I$46,MATCH($AA65,'Classification Rules'!$B$43:$B$46,0)),"")</f>
        <v>10-14 weeks per cluster</v>
      </c>
      <c r="AJ65" s="21" t="str">
        <f>IFERROR(INDEX('Classification Rules'!$J$43:$J$46,MATCH($AA65,'Classification Rules'!$B$43:$B$46,0)),"")</f>
        <v>Fully sourced, onshore-weighted</v>
      </c>
      <c r="AK65" s="21">
        <f>IFERROR(INDEX('Classification Rules'!$K$43:$K$46,MATCH($AA65,'Classification Rules'!$B$43:$B$46,0)),"")</f>
        <v>0</v>
      </c>
    </row>
    <row r="66" spans="1:37" ht="39" customHeight="1" x14ac:dyDescent="0.3">
      <c r="A66" s="25">
        <v>62</v>
      </c>
      <c r="B66" s="26">
        <v>9951</v>
      </c>
      <c r="C66" s="26" t="s">
        <v>235</v>
      </c>
      <c r="D66" s="26" t="s">
        <v>236</v>
      </c>
      <c r="E66" s="26" t="s">
        <v>237</v>
      </c>
      <c r="F66" s="26" t="s">
        <v>238</v>
      </c>
      <c r="G66" s="26" t="s">
        <v>239</v>
      </c>
      <c r="H66" s="26" t="s">
        <v>239</v>
      </c>
      <c r="I66" s="26" t="s">
        <v>108</v>
      </c>
      <c r="J66" s="26" t="s">
        <v>45</v>
      </c>
      <c r="K66" s="26" t="s">
        <v>46</v>
      </c>
      <c r="L66" s="26" t="s">
        <v>240</v>
      </c>
      <c r="M66" s="26" t="s">
        <v>55</v>
      </c>
      <c r="N66" s="26" t="s">
        <v>57</v>
      </c>
      <c r="O66" s="26" t="s">
        <v>241</v>
      </c>
      <c r="P66" s="26" t="s">
        <v>58</v>
      </c>
      <c r="Q66" s="27">
        <v>7</v>
      </c>
      <c r="R66" s="27">
        <v>1</v>
      </c>
      <c r="S66" s="27">
        <v>0</v>
      </c>
      <c r="T66" s="27">
        <v>7.9270416666666641</v>
      </c>
      <c r="U66" s="28">
        <v>0.77923668455550354</v>
      </c>
      <c r="V66" s="27">
        <v>3.963520833333332</v>
      </c>
      <c r="W66" s="27">
        <v>3.963520833333332</v>
      </c>
      <c r="X66" s="29" t="str">
        <f t="shared" si="4"/>
        <v>Rule 2</v>
      </c>
      <c r="Y66" s="29" t="str">
        <f t="shared" si="5"/>
        <v>C</v>
      </c>
      <c r="Z66" s="30"/>
      <c r="AA66" s="4" t="str">
        <f t="shared" si="6"/>
        <v>C</v>
      </c>
      <c r="AB66" s="6" t="str">
        <f>IFERROR(INDEX('Classification Rules'!$C$43:$C$46,MATCH($AA66,'Classification Rules'!$B$43:$B$46,0)),"")</f>
        <v>MGCC-destined</v>
      </c>
      <c r="AC66" s="21" t="str">
        <f t="shared" si="7"/>
        <v>Priority Transfer Target = Y</v>
      </c>
      <c r="AD66" s="21" t="str">
        <f>IFERROR(INDEX('Classification Rules'!$D$13:$D$16,MATCH($AA66,'Classification Rules'!$B$13:$B$16,0)),"")</f>
        <v>MetLife has already flagged these for transfer and nine of ten already carry MGCC people. Routing them through a vendor transition pays for the same knowledge transfer twice.</v>
      </c>
      <c r="AE66" s="20">
        <f>IFERROR(INDEX('Classification Rules'!$D$43:$D$46,MATCH($AA66,'Classification Rules'!$B$43:$B$46,0)),"")</f>
        <v>0.45250000000000001</v>
      </c>
      <c r="AF66" s="20">
        <f>IFERROR(INDEX('Classification Rules'!$E$43:$E$46,MATCH($AA66,'Classification Rules'!$B$43:$B$46,0)),"")</f>
        <v>0.43476925</v>
      </c>
      <c r="AG66" s="20">
        <f>IFERROR(INDEX('Classification Rules'!$F$43:$F$46,MATCH($AA66,'Classification Rules'!$B$43:$B$46,0)),"")</f>
        <v>0</v>
      </c>
      <c r="AH66" s="20">
        <f>IFERROR(INDEX('Classification Rules'!$G$43:$G$46,MATCH($AA66,'Classification Rules'!$B$43:$B$46,0)),"")</f>
        <v>0</v>
      </c>
      <c r="AI66" s="21" t="str">
        <f>IFERROR(INDEX('Classification Rules'!$I$43:$I$46,MATCH($AA66,'Classification Rules'!$B$43:$B$46,0)),"")</f>
        <v>6-8 weeks, role handover</v>
      </c>
      <c r="AJ66" s="21" t="str">
        <f>IFERROR(INDEX('Classification Rules'!$J$43:$J$46,MATCH($AA66,'Classification Rules'!$B$43:$B$46,0)),"")</f>
        <v>Co-sourced with MGCC, permanently</v>
      </c>
      <c r="AK66" s="21">
        <f>IFERROR(INDEX('Classification Rules'!$K$43:$K$46,MATCH($AA66,'Classification Rules'!$B$43:$B$46,0)),"")</f>
        <v>0</v>
      </c>
    </row>
    <row r="67" spans="1:37" ht="39" customHeight="1" x14ac:dyDescent="0.3">
      <c r="A67" s="25">
        <v>63</v>
      </c>
      <c r="B67" s="26">
        <v>9962</v>
      </c>
      <c r="C67" s="26" t="s">
        <v>242</v>
      </c>
      <c r="D67" s="26" t="s">
        <v>243</v>
      </c>
      <c r="E67" s="26" t="s">
        <v>175</v>
      </c>
      <c r="F67" s="26" t="s">
        <v>203</v>
      </c>
      <c r="G67" s="26" t="s">
        <v>177</v>
      </c>
      <c r="H67" s="26" t="s">
        <v>204</v>
      </c>
      <c r="I67" s="26" t="s">
        <v>44</v>
      </c>
      <c r="J67" s="26" t="s">
        <v>45</v>
      </c>
      <c r="K67" s="26" t="s">
        <v>46</v>
      </c>
      <c r="L67" s="26" t="s">
        <v>244</v>
      </c>
      <c r="M67" s="26" t="s">
        <v>45</v>
      </c>
      <c r="N67" s="26" t="s">
        <v>46</v>
      </c>
      <c r="O67" s="26" t="s">
        <v>162</v>
      </c>
      <c r="P67" s="26" t="s">
        <v>58</v>
      </c>
      <c r="Q67" s="27">
        <v>8.9216666666666686</v>
      </c>
      <c r="R67" s="27">
        <v>2.4104166666666669</v>
      </c>
      <c r="S67" s="27">
        <v>1.52</v>
      </c>
      <c r="T67" s="27">
        <v>12.852083333333329</v>
      </c>
      <c r="U67" s="28">
        <v>0.82739503971470241</v>
      </c>
      <c r="V67" s="27">
        <v>6.4260416666666673</v>
      </c>
      <c r="W67" s="27">
        <v>6.4260416666666673</v>
      </c>
      <c r="X67" s="29" t="str">
        <f t="shared" si="4"/>
        <v>Rule 3</v>
      </c>
      <c r="Y67" s="29" t="str">
        <f t="shared" si="5"/>
        <v>B</v>
      </c>
      <c r="Z67" s="30"/>
      <c r="AA67" s="4" t="str">
        <f t="shared" si="6"/>
        <v>B</v>
      </c>
      <c r="AB67" s="6" t="str">
        <f>IFERROR(INDEX('Classification Rules'!$C$43:$C$46,MATCH($AA67,'Classification Rules'!$B$43:$B$46,0)),"")</f>
        <v>Offshore-ready</v>
      </c>
      <c r="AC67" s="21" t="str">
        <f t="shared" si="7"/>
        <v>Cloud Indicator = Yes  (Platform as a Service (PaaS))</v>
      </c>
      <c r="AD67" s="21" t="str">
        <f>IFERROR(INDEX('Classification Rules'!$D$13:$D$16,MATCH($AA67,'Classification Rules'!$B$13:$B$16,0)),"")</f>
        <v>Cloud migration has already forced re-platforming, documentation and specifiability. Highest AI and offshore ceiling in the estate.</v>
      </c>
      <c r="AE67" s="20">
        <f>IFERROR(INDEX('Classification Rules'!$D$43:$D$46,MATCH($AA67,'Classification Rules'!$B$43:$B$46,0)),"")</f>
        <v>0.48249999999999998</v>
      </c>
      <c r="AF67" s="20">
        <f>IFERROR(INDEX('Classification Rules'!$E$43:$E$46,MATCH($AA67,'Classification Rules'!$B$43:$B$46,0)),"")</f>
        <v>0.45402025000000001</v>
      </c>
      <c r="AG67" s="20">
        <f>IFERROR(INDEX('Classification Rules'!$F$43:$F$46,MATCH($AA67,'Classification Rules'!$B$43:$B$46,0)),"")</f>
        <v>0.78</v>
      </c>
      <c r="AH67" s="20">
        <f>IFERROR(INDEX('Classification Rules'!$G$43:$G$46,MATCH($AA67,'Classification Rules'!$B$43:$B$46,0)),"")</f>
        <v>0.72540000000000004</v>
      </c>
      <c r="AI67" s="21" t="str">
        <f>IFERROR(INDEX('Classification Rules'!$I$43:$I$46,MATCH($AA67,'Classification Rules'!$B$43:$B$46,0)),"")</f>
        <v>6-8 weeks per cluster</v>
      </c>
      <c r="AJ67" s="21" t="str">
        <f>IFERROR(INDEX('Classification Rules'!$J$43:$J$46,MATCH($AA67,'Classification Rules'!$B$43:$B$46,0)),"")</f>
        <v>Fully sourced, moving to output units</v>
      </c>
      <c r="AK67" s="21">
        <f>IFERROR(INDEX('Classification Rules'!$K$43:$K$46,MATCH($AA67,'Classification Rules'!$B$43:$B$46,0)),"")</f>
        <v>0</v>
      </c>
    </row>
    <row r="68" spans="1:37" ht="39" customHeight="1" x14ac:dyDescent="0.3">
      <c r="A68" s="25">
        <v>64</v>
      </c>
      <c r="B68" s="26">
        <v>9964</v>
      </c>
      <c r="C68" s="26" t="s">
        <v>245</v>
      </c>
      <c r="D68" s="26" t="s">
        <v>246</v>
      </c>
      <c r="E68" s="26" t="s">
        <v>143</v>
      </c>
      <c r="F68" s="26" t="s">
        <v>184</v>
      </c>
      <c r="G68" s="26" t="s">
        <v>42</v>
      </c>
      <c r="H68" s="26" t="s">
        <v>145</v>
      </c>
      <c r="I68" s="26" t="s">
        <v>44</v>
      </c>
      <c r="J68" s="26" t="s">
        <v>45</v>
      </c>
      <c r="K68" s="26" t="s">
        <v>46</v>
      </c>
      <c r="L68" s="26" t="s">
        <v>158</v>
      </c>
      <c r="M68" s="26" t="s">
        <v>45</v>
      </c>
      <c r="N68" s="26" t="s">
        <v>57</v>
      </c>
      <c r="O68" s="26"/>
      <c r="P68" s="26" t="s">
        <v>58</v>
      </c>
      <c r="Q68" s="27">
        <v>1.9533333333333329</v>
      </c>
      <c r="R68" s="27">
        <v>0.36249999999999988</v>
      </c>
      <c r="S68" s="27">
        <v>0</v>
      </c>
      <c r="T68" s="27">
        <v>2.315833333333333</v>
      </c>
      <c r="U68" s="28">
        <v>0.90824037423533643</v>
      </c>
      <c r="V68" s="27">
        <v>1.1579166666666669</v>
      </c>
      <c r="W68" s="27">
        <v>1.1579166666666669</v>
      </c>
      <c r="X68" s="29" t="str">
        <f t="shared" si="4"/>
        <v>Rule 4</v>
      </c>
      <c r="Y68" s="29" t="str">
        <f t="shared" si="5"/>
        <v>A</v>
      </c>
      <c r="Z68" s="30"/>
      <c r="AA68" s="4" t="str">
        <f t="shared" si="6"/>
        <v>A</v>
      </c>
      <c r="AB68" s="6" t="str">
        <f>IFERROR(INDEX('Classification Rules'!$C$43:$C$46,MATCH($AA68,'Classification Rules'!$B$43:$B$46,0)),"")</f>
        <v>Language-locked</v>
      </c>
      <c r="AC68" s="21" t="str">
        <f t="shared" si="7"/>
        <v>Cloud Indicator = No, not mainframe, not a transfer target</v>
      </c>
      <c r="AD68" s="21" t="str">
        <f>IFERROR(INDEX('Classification Rules'!$D$13:$D$16,MATCH($AA68,'Classification Rules'!$B$13:$B$16,0)),"")</f>
        <v>On-premises and non-mainframe, so the constraint is not the technology — it is that the business context exists only in Japanese, in few heads.</v>
      </c>
      <c r="AE68" s="20">
        <f>IFERROR(INDEX('Classification Rules'!$D$43:$D$46,MATCH($AA68,'Classification Rules'!$B$43:$B$46,0)),"")</f>
        <v>0.30399999999999999</v>
      </c>
      <c r="AF68" s="20">
        <f>IFERROR(INDEX('Classification Rules'!$E$43:$E$46,MATCH($AA68,'Classification Rules'!$B$43:$B$46,0)),"")</f>
        <v>0.33947680000000002</v>
      </c>
      <c r="AG68" s="20">
        <f>IFERROR(INDEX('Classification Rules'!$F$43:$F$46,MATCH($AA68,'Classification Rules'!$B$43:$B$46,0)),"")</f>
        <v>0.15</v>
      </c>
      <c r="AH68" s="20">
        <f>IFERROR(INDEX('Classification Rules'!$G$43:$G$46,MATCH($AA68,'Classification Rules'!$B$43:$B$46,0)),"")</f>
        <v>0.13950000000000001</v>
      </c>
      <c r="AI68" s="21" t="str">
        <f>IFERROR(INDEX('Classification Rules'!$I$43:$I$46,MATCH($AA68,'Classification Rules'!$B$43:$B$46,0)),"")</f>
        <v>10-14 weeks per cluster</v>
      </c>
      <c r="AJ68" s="21" t="str">
        <f>IFERROR(INDEX('Classification Rules'!$J$43:$J$46,MATCH($AA68,'Classification Rules'!$B$43:$B$46,0)),"")</f>
        <v>Fully sourced, onshore-weighted</v>
      </c>
      <c r="AK68" s="21">
        <f>IFERROR(INDEX('Classification Rules'!$K$43:$K$46,MATCH($AA68,'Classification Rules'!$B$43:$B$46,0)),"")</f>
        <v>0</v>
      </c>
    </row>
    <row r="69" spans="1:37" ht="39" customHeight="1" x14ac:dyDescent="0.3">
      <c r="A69" s="25">
        <v>65</v>
      </c>
      <c r="B69" s="26">
        <v>9965</v>
      </c>
      <c r="C69" s="26" t="s">
        <v>247</v>
      </c>
      <c r="D69" s="26" t="s">
        <v>248</v>
      </c>
      <c r="E69" s="26" t="s">
        <v>143</v>
      </c>
      <c r="F69" s="26" t="s">
        <v>249</v>
      </c>
      <c r="G69" s="26" t="s">
        <v>42</v>
      </c>
      <c r="H69" s="26" t="s">
        <v>145</v>
      </c>
      <c r="I69" s="26" t="s">
        <v>44</v>
      </c>
      <c r="J69" s="26" t="s">
        <v>45</v>
      </c>
      <c r="K69" s="26" t="s">
        <v>46</v>
      </c>
      <c r="L69" s="26" t="s">
        <v>158</v>
      </c>
      <c r="M69" s="26" t="s">
        <v>45</v>
      </c>
      <c r="N69" s="26" t="s">
        <v>57</v>
      </c>
      <c r="O69" s="26"/>
      <c r="P69" s="26" t="s">
        <v>58</v>
      </c>
      <c r="Q69" s="27">
        <v>2.5000000000000001E-2</v>
      </c>
      <c r="R69" s="27">
        <v>3.7499999999999999E-2</v>
      </c>
      <c r="S69" s="27">
        <v>0</v>
      </c>
      <c r="T69" s="27">
        <v>6.25E-2</v>
      </c>
      <c r="U69" s="28">
        <v>0.2</v>
      </c>
      <c r="V69" s="27">
        <v>3.125E-2</v>
      </c>
      <c r="W69" s="27">
        <v>3.125E-2</v>
      </c>
      <c r="X69" s="29" t="str">
        <f t="shared" ref="X69:X100" si="8">IF(OR(ISNUMBER(SEARCH("COBOL",$L69)),ISNUMBER(SEARCH("Assembler",$L69)),ISNUMBER(SEARCH("ASM",$L69)),ISNUMBER(SEARCH("RPG",$L69)),ISNUMBER(SEARCH("EASYPLUS",$L69)),ISNUMBER(SEARCH("PL/I",$L69))),"Rule 1",IF($M69="Y","Rule 2",IF($N69="Yes","Rule 3","Rule 4")))</f>
        <v>Rule 4</v>
      </c>
      <c r="Y69" s="29" t="str">
        <f t="shared" ref="Y69:Y100" si="9">IF($X69="Rule 1","D",IF($X69="Rule 2","C",IF($X69="Rule 3","B","A")))</f>
        <v>A</v>
      </c>
      <c r="Z69" s="30"/>
      <c r="AA69" s="4" t="str">
        <f t="shared" ref="AA69:AA100" si="10">IF($Z69="",$Y69,$Z69)</f>
        <v>A</v>
      </c>
      <c r="AB69" s="6" t="str">
        <f>IFERROR(INDEX('Classification Rules'!$C$43:$C$46,MATCH($AA69,'Classification Rules'!$B$43:$B$46,0)),"")</f>
        <v>Language-locked</v>
      </c>
      <c r="AC69" s="21" t="str">
        <f t="shared" ref="AC69:AC100" si="11">IF($X69="Rule 1","Language: "&amp;$L69,IF($X69="Rule 2","Priority Transfer Target = Y",IF($X69="Rule 3","Cloud Indicator = Yes  ("&amp;$O69&amp;")","Cloud Indicator = No, not mainframe, not a transfer target")))</f>
        <v>Cloud Indicator = No, not mainframe, not a transfer target</v>
      </c>
      <c r="AD69" s="21" t="str">
        <f>IFERROR(INDEX('Classification Rules'!$D$13:$D$16,MATCH($AA69,'Classification Rules'!$B$13:$B$16,0)),"")</f>
        <v>On-premises and non-mainframe, so the constraint is not the technology — it is that the business context exists only in Japanese, in few heads.</v>
      </c>
      <c r="AE69" s="20">
        <f>IFERROR(INDEX('Classification Rules'!$D$43:$D$46,MATCH($AA69,'Classification Rules'!$B$43:$B$46,0)),"")</f>
        <v>0.30399999999999999</v>
      </c>
      <c r="AF69" s="20">
        <f>IFERROR(INDEX('Classification Rules'!$E$43:$E$46,MATCH($AA69,'Classification Rules'!$B$43:$B$46,0)),"")</f>
        <v>0.33947680000000002</v>
      </c>
      <c r="AG69" s="20">
        <f>IFERROR(INDEX('Classification Rules'!$F$43:$F$46,MATCH($AA69,'Classification Rules'!$B$43:$B$46,0)),"")</f>
        <v>0.15</v>
      </c>
      <c r="AH69" s="20">
        <f>IFERROR(INDEX('Classification Rules'!$G$43:$G$46,MATCH($AA69,'Classification Rules'!$B$43:$B$46,0)),"")</f>
        <v>0.13950000000000001</v>
      </c>
      <c r="AI69" s="21" t="str">
        <f>IFERROR(INDEX('Classification Rules'!$I$43:$I$46,MATCH($AA69,'Classification Rules'!$B$43:$B$46,0)),"")</f>
        <v>10-14 weeks per cluster</v>
      </c>
      <c r="AJ69" s="21" t="str">
        <f>IFERROR(INDEX('Classification Rules'!$J$43:$J$46,MATCH($AA69,'Classification Rules'!$B$43:$B$46,0)),"")</f>
        <v>Fully sourced, onshore-weighted</v>
      </c>
      <c r="AK69" s="21">
        <f>IFERROR(INDEX('Classification Rules'!$K$43:$K$46,MATCH($AA69,'Classification Rules'!$B$43:$B$46,0)),"")</f>
        <v>0</v>
      </c>
    </row>
    <row r="70" spans="1:37" ht="39" customHeight="1" x14ac:dyDescent="0.3">
      <c r="A70" s="25">
        <v>66</v>
      </c>
      <c r="B70" s="26">
        <v>9969</v>
      </c>
      <c r="C70" s="26" t="s">
        <v>250</v>
      </c>
      <c r="D70" s="26" t="s">
        <v>251</v>
      </c>
      <c r="E70" s="26" t="s">
        <v>143</v>
      </c>
      <c r="F70" s="26" t="s">
        <v>165</v>
      </c>
      <c r="G70" s="26" t="s">
        <v>42</v>
      </c>
      <c r="H70" s="26" t="s">
        <v>145</v>
      </c>
      <c r="I70" s="26" t="s">
        <v>44</v>
      </c>
      <c r="J70" s="26" t="s">
        <v>45</v>
      </c>
      <c r="K70" s="26" t="s">
        <v>46</v>
      </c>
      <c r="L70" s="26" t="s">
        <v>158</v>
      </c>
      <c r="M70" s="26" t="s">
        <v>45</v>
      </c>
      <c r="N70" s="26" t="s">
        <v>57</v>
      </c>
      <c r="O70" s="26"/>
      <c r="P70" s="26" t="s">
        <v>49</v>
      </c>
      <c r="Q70" s="27">
        <v>0.31237500000000001</v>
      </c>
      <c r="R70" s="27">
        <v>2.5000000000000001E-2</v>
      </c>
      <c r="S70" s="27">
        <v>0</v>
      </c>
      <c r="T70" s="27">
        <v>0.33737499999999998</v>
      </c>
      <c r="U70" s="28">
        <v>0.67580585402000737</v>
      </c>
      <c r="V70" s="27">
        <v>0.16868749999999999</v>
      </c>
      <c r="W70" s="27">
        <v>0.16868749999999999</v>
      </c>
      <c r="X70" s="29" t="str">
        <f t="shared" si="8"/>
        <v>Rule 4</v>
      </c>
      <c r="Y70" s="29" t="str">
        <f t="shared" si="9"/>
        <v>A</v>
      </c>
      <c r="Z70" s="30"/>
      <c r="AA70" s="4" t="str">
        <f t="shared" si="10"/>
        <v>A</v>
      </c>
      <c r="AB70" s="6" t="str">
        <f>IFERROR(INDEX('Classification Rules'!$C$43:$C$46,MATCH($AA70,'Classification Rules'!$B$43:$B$46,0)),"")</f>
        <v>Language-locked</v>
      </c>
      <c r="AC70" s="21" t="str">
        <f t="shared" si="11"/>
        <v>Cloud Indicator = No, not mainframe, not a transfer target</v>
      </c>
      <c r="AD70" s="21" t="str">
        <f>IFERROR(INDEX('Classification Rules'!$D$13:$D$16,MATCH($AA70,'Classification Rules'!$B$13:$B$16,0)),"")</f>
        <v>On-premises and non-mainframe, so the constraint is not the technology — it is that the business context exists only in Japanese, in few heads.</v>
      </c>
      <c r="AE70" s="20">
        <f>IFERROR(INDEX('Classification Rules'!$D$43:$D$46,MATCH($AA70,'Classification Rules'!$B$43:$B$46,0)),"")</f>
        <v>0.30399999999999999</v>
      </c>
      <c r="AF70" s="20">
        <f>IFERROR(INDEX('Classification Rules'!$E$43:$E$46,MATCH($AA70,'Classification Rules'!$B$43:$B$46,0)),"")</f>
        <v>0.33947680000000002</v>
      </c>
      <c r="AG70" s="20">
        <f>IFERROR(INDEX('Classification Rules'!$F$43:$F$46,MATCH($AA70,'Classification Rules'!$B$43:$B$46,0)),"")</f>
        <v>0.15</v>
      </c>
      <c r="AH70" s="20">
        <f>IFERROR(INDEX('Classification Rules'!$G$43:$G$46,MATCH($AA70,'Classification Rules'!$B$43:$B$46,0)),"")</f>
        <v>0.13950000000000001</v>
      </c>
      <c r="AI70" s="21" t="str">
        <f>IFERROR(INDEX('Classification Rules'!$I$43:$I$46,MATCH($AA70,'Classification Rules'!$B$43:$B$46,0)),"")</f>
        <v>10-14 weeks per cluster</v>
      </c>
      <c r="AJ70" s="21" t="str">
        <f>IFERROR(INDEX('Classification Rules'!$J$43:$J$46,MATCH($AA70,'Classification Rules'!$B$43:$B$46,0)),"")</f>
        <v>Fully sourced, onshore-weighted</v>
      </c>
      <c r="AK70" s="21">
        <f>IFERROR(INDEX('Classification Rules'!$K$43:$K$46,MATCH($AA70,'Classification Rules'!$B$43:$B$46,0)),"")</f>
        <v>0</v>
      </c>
    </row>
    <row r="71" spans="1:37" ht="39" customHeight="1" x14ac:dyDescent="0.3">
      <c r="A71" s="25">
        <v>67</v>
      </c>
      <c r="B71" s="26">
        <v>9975</v>
      </c>
      <c r="C71" s="26" t="s">
        <v>252</v>
      </c>
      <c r="D71" s="26" t="s">
        <v>253</v>
      </c>
      <c r="E71" s="26" t="s">
        <v>138</v>
      </c>
      <c r="F71" s="26" t="s">
        <v>254</v>
      </c>
      <c r="G71" s="26" t="s">
        <v>115</v>
      </c>
      <c r="H71" s="26" t="s">
        <v>140</v>
      </c>
      <c r="I71" s="26" t="s">
        <v>44</v>
      </c>
      <c r="J71" s="26" t="s">
        <v>45</v>
      </c>
      <c r="K71" s="26" t="s">
        <v>46</v>
      </c>
      <c r="L71" s="26" t="s">
        <v>158</v>
      </c>
      <c r="M71" s="26" t="s">
        <v>45</v>
      </c>
      <c r="N71" s="26" t="s">
        <v>57</v>
      </c>
      <c r="O71" s="26"/>
      <c r="P71" s="26" t="s">
        <v>58</v>
      </c>
      <c r="Q71" s="27">
        <v>1.111666666666667</v>
      </c>
      <c r="R71" s="27">
        <v>0</v>
      </c>
      <c r="S71" s="27">
        <v>0</v>
      </c>
      <c r="T71" s="27">
        <v>1.111666666666667</v>
      </c>
      <c r="U71" s="28">
        <v>0.5850824587706146</v>
      </c>
      <c r="V71" s="27">
        <v>0.5558333333333334</v>
      </c>
      <c r="W71" s="27">
        <v>0.5558333333333334</v>
      </c>
      <c r="X71" s="29" t="str">
        <f t="shared" si="8"/>
        <v>Rule 4</v>
      </c>
      <c r="Y71" s="29" t="str">
        <f t="shared" si="9"/>
        <v>A</v>
      </c>
      <c r="Z71" s="30"/>
      <c r="AA71" s="4" t="str">
        <f t="shared" si="10"/>
        <v>A</v>
      </c>
      <c r="AB71" s="6" t="str">
        <f>IFERROR(INDEX('Classification Rules'!$C$43:$C$46,MATCH($AA71,'Classification Rules'!$B$43:$B$46,0)),"")</f>
        <v>Language-locked</v>
      </c>
      <c r="AC71" s="21" t="str">
        <f t="shared" si="11"/>
        <v>Cloud Indicator = No, not mainframe, not a transfer target</v>
      </c>
      <c r="AD71" s="21" t="str">
        <f>IFERROR(INDEX('Classification Rules'!$D$13:$D$16,MATCH($AA71,'Classification Rules'!$B$13:$B$16,0)),"")</f>
        <v>On-premises and non-mainframe, so the constraint is not the technology — it is that the business context exists only in Japanese, in few heads.</v>
      </c>
      <c r="AE71" s="20">
        <f>IFERROR(INDEX('Classification Rules'!$D$43:$D$46,MATCH($AA71,'Classification Rules'!$B$43:$B$46,0)),"")</f>
        <v>0.30399999999999999</v>
      </c>
      <c r="AF71" s="20">
        <f>IFERROR(INDEX('Classification Rules'!$E$43:$E$46,MATCH($AA71,'Classification Rules'!$B$43:$B$46,0)),"")</f>
        <v>0.33947680000000002</v>
      </c>
      <c r="AG71" s="20">
        <f>IFERROR(INDEX('Classification Rules'!$F$43:$F$46,MATCH($AA71,'Classification Rules'!$B$43:$B$46,0)),"")</f>
        <v>0.15</v>
      </c>
      <c r="AH71" s="20">
        <f>IFERROR(INDEX('Classification Rules'!$G$43:$G$46,MATCH($AA71,'Classification Rules'!$B$43:$B$46,0)),"")</f>
        <v>0.13950000000000001</v>
      </c>
      <c r="AI71" s="21" t="str">
        <f>IFERROR(INDEX('Classification Rules'!$I$43:$I$46,MATCH($AA71,'Classification Rules'!$B$43:$B$46,0)),"")</f>
        <v>10-14 weeks per cluster</v>
      </c>
      <c r="AJ71" s="21" t="str">
        <f>IFERROR(INDEX('Classification Rules'!$J$43:$J$46,MATCH($AA71,'Classification Rules'!$B$43:$B$46,0)),"")</f>
        <v>Fully sourced, onshore-weighted</v>
      </c>
      <c r="AK71" s="21">
        <f>IFERROR(INDEX('Classification Rules'!$K$43:$K$46,MATCH($AA71,'Classification Rules'!$B$43:$B$46,0)),"")</f>
        <v>0</v>
      </c>
    </row>
    <row r="72" spans="1:37" ht="39" customHeight="1" x14ac:dyDescent="0.3">
      <c r="A72" s="25">
        <v>68</v>
      </c>
      <c r="B72" s="26">
        <v>9977</v>
      </c>
      <c r="C72" s="26" t="s">
        <v>255</v>
      </c>
      <c r="D72" s="26" t="s">
        <v>256</v>
      </c>
      <c r="E72" s="26" t="s">
        <v>187</v>
      </c>
      <c r="F72" s="26" t="s">
        <v>257</v>
      </c>
      <c r="G72" s="26" t="s">
        <v>177</v>
      </c>
      <c r="H72" s="26" t="s">
        <v>189</v>
      </c>
      <c r="I72" s="26" t="s">
        <v>44</v>
      </c>
      <c r="J72" s="26" t="s">
        <v>45</v>
      </c>
      <c r="K72" s="26" t="s">
        <v>46</v>
      </c>
      <c r="L72" s="26" t="s">
        <v>158</v>
      </c>
      <c r="M72" s="26" t="s">
        <v>45</v>
      </c>
      <c r="N72" s="26" t="s">
        <v>57</v>
      </c>
      <c r="O72" s="26"/>
      <c r="P72" s="26" t="s">
        <v>58</v>
      </c>
      <c r="Q72" s="27">
        <v>1</v>
      </c>
      <c r="R72" s="27">
        <v>1</v>
      </c>
      <c r="S72" s="27">
        <v>0</v>
      </c>
      <c r="T72" s="27">
        <v>0.45791666666666669</v>
      </c>
      <c r="U72" s="28">
        <v>0</v>
      </c>
      <c r="V72" s="27">
        <v>0.22895833333333329</v>
      </c>
      <c r="W72" s="27">
        <v>0.22895833333333329</v>
      </c>
      <c r="X72" s="29" t="str">
        <f t="shared" si="8"/>
        <v>Rule 4</v>
      </c>
      <c r="Y72" s="29" t="str">
        <f t="shared" si="9"/>
        <v>A</v>
      </c>
      <c r="Z72" s="30"/>
      <c r="AA72" s="4" t="str">
        <f t="shared" si="10"/>
        <v>A</v>
      </c>
      <c r="AB72" s="6" t="str">
        <f>IFERROR(INDEX('Classification Rules'!$C$43:$C$46,MATCH($AA72,'Classification Rules'!$B$43:$B$46,0)),"")</f>
        <v>Language-locked</v>
      </c>
      <c r="AC72" s="21" t="str">
        <f t="shared" si="11"/>
        <v>Cloud Indicator = No, not mainframe, not a transfer target</v>
      </c>
      <c r="AD72" s="21" t="str">
        <f>IFERROR(INDEX('Classification Rules'!$D$13:$D$16,MATCH($AA72,'Classification Rules'!$B$13:$B$16,0)),"")</f>
        <v>On-premises and non-mainframe, so the constraint is not the technology — it is that the business context exists only in Japanese, in few heads.</v>
      </c>
      <c r="AE72" s="20">
        <f>IFERROR(INDEX('Classification Rules'!$D$43:$D$46,MATCH($AA72,'Classification Rules'!$B$43:$B$46,0)),"")</f>
        <v>0.30399999999999999</v>
      </c>
      <c r="AF72" s="20">
        <f>IFERROR(INDEX('Classification Rules'!$E$43:$E$46,MATCH($AA72,'Classification Rules'!$B$43:$B$46,0)),"")</f>
        <v>0.33947680000000002</v>
      </c>
      <c r="AG72" s="20">
        <f>IFERROR(INDEX('Classification Rules'!$F$43:$F$46,MATCH($AA72,'Classification Rules'!$B$43:$B$46,0)),"")</f>
        <v>0.15</v>
      </c>
      <c r="AH72" s="20">
        <f>IFERROR(INDEX('Classification Rules'!$G$43:$G$46,MATCH($AA72,'Classification Rules'!$B$43:$B$46,0)),"")</f>
        <v>0.13950000000000001</v>
      </c>
      <c r="AI72" s="21" t="str">
        <f>IFERROR(INDEX('Classification Rules'!$I$43:$I$46,MATCH($AA72,'Classification Rules'!$B$43:$B$46,0)),"")</f>
        <v>10-14 weeks per cluster</v>
      </c>
      <c r="AJ72" s="21" t="str">
        <f>IFERROR(INDEX('Classification Rules'!$J$43:$J$46,MATCH($AA72,'Classification Rules'!$B$43:$B$46,0)),"")</f>
        <v>Fully sourced, onshore-weighted</v>
      </c>
      <c r="AK72" s="21">
        <f>IFERROR(INDEX('Classification Rules'!$K$43:$K$46,MATCH($AA72,'Classification Rules'!$B$43:$B$46,0)),"")</f>
        <v>0</v>
      </c>
    </row>
    <row r="73" spans="1:37" ht="25.95" customHeight="1" x14ac:dyDescent="0.3">
      <c r="A73" s="25">
        <v>69</v>
      </c>
      <c r="B73" s="26">
        <v>9980</v>
      </c>
      <c r="C73" s="26" t="s">
        <v>258</v>
      </c>
      <c r="D73" s="26" t="s">
        <v>259</v>
      </c>
      <c r="E73" s="26" t="s">
        <v>52</v>
      </c>
      <c r="F73" s="26" t="s">
        <v>70</v>
      </c>
      <c r="G73" s="26" t="s">
        <v>42</v>
      </c>
      <c r="H73" s="26" t="s">
        <v>54</v>
      </c>
      <c r="I73" s="26" t="s">
        <v>44</v>
      </c>
      <c r="J73" s="26" t="s">
        <v>55</v>
      </c>
      <c r="K73" s="26" t="s">
        <v>46</v>
      </c>
      <c r="L73" s="26" t="s">
        <v>260</v>
      </c>
      <c r="M73" s="26" t="s">
        <v>45</v>
      </c>
      <c r="N73" s="26" t="s">
        <v>57</v>
      </c>
      <c r="O73" s="26"/>
      <c r="P73" s="26" t="s">
        <v>58</v>
      </c>
      <c r="Q73" s="27">
        <v>12.606875000000009</v>
      </c>
      <c r="R73" s="27">
        <v>1.1416666666666671</v>
      </c>
      <c r="S73" s="27">
        <v>0</v>
      </c>
      <c r="T73" s="27">
        <v>13.74854166666667</v>
      </c>
      <c r="U73" s="28">
        <v>0.81496522358431966</v>
      </c>
      <c r="V73" s="27">
        <v>6.8742708333333367</v>
      </c>
      <c r="W73" s="27">
        <v>6.8742708333333367</v>
      </c>
      <c r="X73" s="29" t="str">
        <f t="shared" si="8"/>
        <v>Rule 1</v>
      </c>
      <c r="Y73" s="29" t="str">
        <f t="shared" si="9"/>
        <v>D</v>
      </c>
      <c r="Z73" s="30"/>
      <c r="AA73" s="4" t="str">
        <f t="shared" si="10"/>
        <v>D</v>
      </c>
      <c r="AB73" s="6" t="str">
        <f>IFERROR(INDEX('Classification Rules'!$C$43:$C$46,MATCH($AA73,'Classification Rules'!$B$43:$B$46,0)),"")</f>
        <v>Legacy-coupled core</v>
      </c>
      <c r="AC73" s="21" t="str">
        <f t="shared" si="11"/>
        <v>Language: Other#ASM; Cobol</v>
      </c>
      <c r="AD73" s="21" t="str">
        <f>IFERROR(INDEX('Classification Rules'!$D$13:$D$16,MATCH($AA73,'Classification Rules'!$B$13:$B$16,0)),"")</f>
        <v>Rules hard-coded across modules and design truth is not written down. AI does comprehension here, not generation.</v>
      </c>
      <c r="AE73" s="20">
        <f>IFERROR(INDEX('Classification Rules'!$D$43:$D$46,MATCH($AA73,'Classification Rules'!$B$43:$B$46,0)),"")</f>
        <v>0.29500000000000004</v>
      </c>
      <c r="AF73" s="20">
        <f>IFERROR(INDEX('Classification Rules'!$E$43:$E$46,MATCH($AA73,'Classification Rules'!$B$43:$B$46,0)),"")</f>
        <v>0.3337015000000001</v>
      </c>
      <c r="AG73" s="20">
        <f>IFERROR(INDEX('Classification Rules'!$F$43:$F$46,MATCH($AA73,'Classification Rules'!$B$43:$B$46,0)),"")</f>
        <v>0.57999999999999996</v>
      </c>
      <c r="AH73" s="20">
        <f>IFERROR(INDEX('Classification Rules'!$G$43:$G$46,MATCH($AA73,'Classification Rules'!$B$43:$B$46,0)),"")</f>
        <v>0.53939999999999999</v>
      </c>
      <c r="AI73" s="21" t="str">
        <f>IFERROR(INDEX('Classification Rules'!$I$43:$I$46,MATCH($AA73,'Classification Rules'!$B$43:$B$46,0)),"")</f>
        <v>14-20 weeks per cluster</v>
      </c>
      <c r="AJ73" s="21" t="str">
        <f>IFERROR(INDEX('Classification Rules'!$J$43:$J$46,MATCH($AA73,'Classification Rules'!$B$43:$B$46,0)),"")</f>
        <v>Fully sourced, MetLife SMEs paired</v>
      </c>
      <c r="AK73" s="21">
        <f>IFERROR(INDEX('Classification Rules'!$K$43:$K$46,MATCH($AA73,'Classification Rules'!$B$43:$B$46,0)),"")</f>
        <v>0</v>
      </c>
    </row>
    <row r="74" spans="1:37" ht="39" customHeight="1" x14ac:dyDescent="0.3">
      <c r="A74" s="25">
        <v>70</v>
      </c>
      <c r="B74" s="26">
        <v>9983</v>
      </c>
      <c r="C74" s="26" t="s">
        <v>261</v>
      </c>
      <c r="D74" s="26" t="s">
        <v>262</v>
      </c>
      <c r="E74" s="26" t="s">
        <v>187</v>
      </c>
      <c r="F74" s="26" t="s">
        <v>188</v>
      </c>
      <c r="G74" s="26" t="s">
        <v>177</v>
      </c>
      <c r="H74" s="26" t="s">
        <v>189</v>
      </c>
      <c r="I74" s="26" t="s">
        <v>44</v>
      </c>
      <c r="J74" s="26" t="s">
        <v>45</v>
      </c>
      <c r="K74" s="26" t="s">
        <v>46</v>
      </c>
      <c r="L74" s="26" t="s">
        <v>158</v>
      </c>
      <c r="M74" s="26" t="s">
        <v>45</v>
      </c>
      <c r="N74" s="26" t="s">
        <v>46</v>
      </c>
      <c r="O74" s="26" t="s">
        <v>162</v>
      </c>
      <c r="P74" s="26" t="s">
        <v>58</v>
      </c>
      <c r="Q74" s="27">
        <v>6.6141666666666667</v>
      </c>
      <c r="R74" s="27">
        <v>0.6479166666666667</v>
      </c>
      <c r="S74" s="27">
        <v>0</v>
      </c>
      <c r="T74" s="27">
        <v>7.262083333333333</v>
      </c>
      <c r="U74" s="28">
        <v>0.93912444775948134</v>
      </c>
      <c r="V74" s="27">
        <v>3.6310416666666669</v>
      </c>
      <c r="W74" s="27">
        <v>3.6310416666666669</v>
      </c>
      <c r="X74" s="29" t="str">
        <f t="shared" si="8"/>
        <v>Rule 3</v>
      </c>
      <c r="Y74" s="29" t="str">
        <f t="shared" si="9"/>
        <v>B</v>
      </c>
      <c r="Z74" s="30"/>
      <c r="AA74" s="4" t="str">
        <f t="shared" si="10"/>
        <v>B</v>
      </c>
      <c r="AB74" s="6" t="str">
        <f>IFERROR(INDEX('Classification Rules'!$C$43:$C$46,MATCH($AA74,'Classification Rules'!$B$43:$B$46,0)),"")</f>
        <v>Offshore-ready</v>
      </c>
      <c r="AC74" s="21" t="str">
        <f t="shared" si="11"/>
        <v>Cloud Indicator = Yes  (Platform as a Service (PaaS))</v>
      </c>
      <c r="AD74" s="21" t="str">
        <f>IFERROR(INDEX('Classification Rules'!$D$13:$D$16,MATCH($AA74,'Classification Rules'!$B$13:$B$16,0)),"")</f>
        <v>Cloud migration has already forced re-platforming, documentation and specifiability. Highest AI and offshore ceiling in the estate.</v>
      </c>
      <c r="AE74" s="20">
        <f>IFERROR(INDEX('Classification Rules'!$D$43:$D$46,MATCH($AA74,'Classification Rules'!$B$43:$B$46,0)),"")</f>
        <v>0.48249999999999998</v>
      </c>
      <c r="AF74" s="20">
        <f>IFERROR(INDEX('Classification Rules'!$E$43:$E$46,MATCH($AA74,'Classification Rules'!$B$43:$B$46,0)),"")</f>
        <v>0.45402025000000001</v>
      </c>
      <c r="AG74" s="20">
        <f>IFERROR(INDEX('Classification Rules'!$F$43:$F$46,MATCH($AA74,'Classification Rules'!$B$43:$B$46,0)),"")</f>
        <v>0.78</v>
      </c>
      <c r="AH74" s="20">
        <f>IFERROR(INDEX('Classification Rules'!$G$43:$G$46,MATCH($AA74,'Classification Rules'!$B$43:$B$46,0)),"")</f>
        <v>0.72540000000000004</v>
      </c>
      <c r="AI74" s="21" t="str">
        <f>IFERROR(INDEX('Classification Rules'!$I$43:$I$46,MATCH($AA74,'Classification Rules'!$B$43:$B$46,0)),"")</f>
        <v>6-8 weeks per cluster</v>
      </c>
      <c r="AJ74" s="21" t="str">
        <f>IFERROR(INDEX('Classification Rules'!$J$43:$J$46,MATCH($AA74,'Classification Rules'!$B$43:$B$46,0)),"")</f>
        <v>Fully sourced, moving to output units</v>
      </c>
      <c r="AK74" s="21">
        <f>IFERROR(INDEX('Classification Rules'!$K$43:$K$46,MATCH($AA74,'Classification Rules'!$B$43:$B$46,0)),"")</f>
        <v>0</v>
      </c>
    </row>
    <row r="75" spans="1:37" ht="39" customHeight="1" x14ac:dyDescent="0.3">
      <c r="A75" s="25">
        <v>71</v>
      </c>
      <c r="B75" s="26">
        <v>9986</v>
      </c>
      <c r="C75" s="26" t="s">
        <v>263</v>
      </c>
      <c r="D75" s="26" t="s">
        <v>264</v>
      </c>
      <c r="E75" s="26" t="s">
        <v>143</v>
      </c>
      <c r="F75" s="26" t="s">
        <v>249</v>
      </c>
      <c r="G75" s="26" t="s">
        <v>42</v>
      </c>
      <c r="H75" s="26" t="s">
        <v>145</v>
      </c>
      <c r="I75" s="26" t="s">
        <v>44</v>
      </c>
      <c r="J75" s="26" t="s">
        <v>45</v>
      </c>
      <c r="K75" s="26" t="s">
        <v>46</v>
      </c>
      <c r="L75" s="26" t="s">
        <v>265</v>
      </c>
      <c r="M75" s="26" t="s">
        <v>45</v>
      </c>
      <c r="N75" s="26" t="s">
        <v>57</v>
      </c>
      <c r="O75" s="26"/>
      <c r="P75" s="26" t="s">
        <v>58</v>
      </c>
      <c r="Q75" s="27">
        <v>2.4426666666666672</v>
      </c>
      <c r="R75" s="27">
        <v>0.5708333333333333</v>
      </c>
      <c r="S75" s="27">
        <v>0</v>
      </c>
      <c r="T75" s="27">
        <v>3.0135000000000001</v>
      </c>
      <c r="U75" s="28">
        <v>0.2751507106907804</v>
      </c>
      <c r="V75" s="27">
        <v>1.50675</v>
      </c>
      <c r="W75" s="27">
        <v>1.50675</v>
      </c>
      <c r="X75" s="29" t="str">
        <f t="shared" si="8"/>
        <v>Rule 4</v>
      </c>
      <c r="Y75" s="29" t="str">
        <f t="shared" si="9"/>
        <v>A</v>
      </c>
      <c r="Z75" s="30"/>
      <c r="AA75" s="4" t="str">
        <f t="shared" si="10"/>
        <v>A</v>
      </c>
      <c r="AB75" s="6" t="str">
        <f>IFERROR(INDEX('Classification Rules'!$C$43:$C$46,MATCH($AA75,'Classification Rules'!$B$43:$B$46,0)),"")</f>
        <v>Language-locked</v>
      </c>
      <c r="AC75" s="21" t="str">
        <f t="shared" si="11"/>
        <v>Cloud Indicator = No, not mainframe, not a transfer target</v>
      </c>
      <c r="AD75" s="21" t="str">
        <f>IFERROR(INDEX('Classification Rules'!$D$13:$D$16,MATCH($AA75,'Classification Rules'!$B$13:$B$16,0)),"")</f>
        <v>On-premises and non-mainframe, so the constraint is not the technology — it is that the business context exists only in Japanese, in few heads.</v>
      </c>
      <c r="AE75" s="20">
        <f>IFERROR(INDEX('Classification Rules'!$D$43:$D$46,MATCH($AA75,'Classification Rules'!$B$43:$B$46,0)),"")</f>
        <v>0.30399999999999999</v>
      </c>
      <c r="AF75" s="20">
        <f>IFERROR(INDEX('Classification Rules'!$E$43:$E$46,MATCH($AA75,'Classification Rules'!$B$43:$B$46,0)),"")</f>
        <v>0.33947680000000002</v>
      </c>
      <c r="AG75" s="20">
        <f>IFERROR(INDEX('Classification Rules'!$F$43:$F$46,MATCH($AA75,'Classification Rules'!$B$43:$B$46,0)),"")</f>
        <v>0.15</v>
      </c>
      <c r="AH75" s="20">
        <f>IFERROR(INDEX('Classification Rules'!$G$43:$G$46,MATCH($AA75,'Classification Rules'!$B$43:$B$46,0)),"")</f>
        <v>0.13950000000000001</v>
      </c>
      <c r="AI75" s="21" t="str">
        <f>IFERROR(INDEX('Classification Rules'!$I$43:$I$46,MATCH($AA75,'Classification Rules'!$B$43:$B$46,0)),"")</f>
        <v>10-14 weeks per cluster</v>
      </c>
      <c r="AJ75" s="21" t="str">
        <f>IFERROR(INDEX('Classification Rules'!$J$43:$J$46,MATCH($AA75,'Classification Rules'!$B$43:$B$46,0)),"")</f>
        <v>Fully sourced, onshore-weighted</v>
      </c>
      <c r="AK75" s="21">
        <f>IFERROR(INDEX('Classification Rules'!$K$43:$K$46,MATCH($AA75,'Classification Rules'!$B$43:$B$46,0)),"")</f>
        <v>0</v>
      </c>
    </row>
    <row r="76" spans="1:37" ht="39" customHeight="1" x14ac:dyDescent="0.3">
      <c r="A76" s="25">
        <v>72</v>
      </c>
      <c r="B76" s="26">
        <v>9992</v>
      </c>
      <c r="C76" s="26" t="s">
        <v>266</v>
      </c>
      <c r="D76" s="26" t="s">
        <v>267</v>
      </c>
      <c r="E76" s="26" t="s">
        <v>209</v>
      </c>
      <c r="F76" s="26" t="s">
        <v>268</v>
      </c>
      <c r="G76" s="26" t="s">
        <v>211</v>
      </c>
      <c r="H76" s="26" t="s">
        <v>211</v>
      </c>
      <c r="I76" s="26" t="s">
        <v>108</v>
      </c>
      <c r="J76" s="26" t="s">
        <v>45</v>
      </c>
      <c r="K76" s="26" t="s">
        <v>46</v>
      </c>
      <c r="L76" s="26" t="s">
        <v>269</v>
      </c>
      <c r="M76" s="26" t="s">
        <v>45</v>
      </c>
      <c r="N76" s="26" t="s">
        <v>57</v>
      </c>
      <c r="O76" s="26"/>
      <c r="P76" s="26" t="s">
        <v>58</v>
      </c>
      <c r="Q76" s="27">
        <v>7.2083333333333339</v>
      </c>
      <c r="R76" s="27">
        <v>2.995833333333334</v>
      </c>
      <c r="S76" s="27">
        <v>2.520833333333333</v>
      </c>
      <c r="T76" s="27">
        <v>12.725</v>
      </c>
      <c r="U76" s="28">
        <v>0.93778650949574338</v>
      </c>
      <c r="V76" s="27">
        <v>6.3625000000000007</v>
      </c>
      <c r="W76" s="27">
        <v>6.3625000000000007</v>
      </c>
      <c r="X76" s="29" t="str">
        <f t="shared" si="8"/>
        <v>Rule 4</v>
      </c>
      <c r="Y76" s="29" t="str">
        <f t="shared" si="9"/>
        <v>A</v>
      </c>
      <c r="Z76" s="30"/>
      <c r="AA76" s="4" t="str">
        <f t="shared" si="10"/>
        <v>A</v>
      </c>
      <c r="AB76" s="6" t="str">
        <f>IFERROR(INDEX('Classification Rules'!$C$43:$C$46,MATCH($AA76,'Classification Rules'!$B$43:$B$46,0)),"")</f>
        <v>Language-locked</v>
      </c>
      <c r="AC76" s="21" t="str">
        <f t="shared" si="11"/>
        <v>Cloud Indicator = No, not mainframe, not a transfer target</v>
      </c>
      <c r="AD76" s="21" t="str">
        <f>IFERROR(INDEX('Classification Rules'!$D$13:$D$16,MATCH($AA76,'Classification Rules'!$B$13:$B$16,0)),"")</f>
        <v>On-premises and non-mainframe, so the constraint is not the technology — it is that the business context exists only in Japanese, in few heads.</v>
      </c>
      <c r="AE76" s="20">
        <f>IFERROR(INDEX('Classification Rules'!$D$43:$D$46,MATCH($AA76,'Classification Rules'!$B$43:$B$46,0)),"")</f>
        <v>0.30399999999999999</v>
      </c>
      <c r="AF76" s="20">
        <f>IFERROR(INDEX('Classification Rules'!$E$43:$E$46,MATCH($AA76,'Classification Rules'!$B$43:$B$46,0)),"")</f>
        <v>0.33947680000000002</v>
      </c>
      <c r="AG76" s="20">
        <f>IFERROR(INDEX('Classification Rules'!$F$43:$F$46,MATCH($AA76,'Classification Rules'!$B$43:$B$46,0)),"")</f>
        <v>0.15</v>
      </c>
      <c r="AH76" s="20">
        <f>IFERROR(INDEX('Classification Rules'!$G$43:$G$46,MATCH($AA76,'Classification Rules'!$B$43:$B$46,0)),"")</f>
        <v>0.13950000000000001</v>
      </c>
      <c r="AI76" s="21" t="str">
        <f>IFERROR(INDEX('Classification Rules'!$I$43:$I$46,MATCH($AA76,'Classification Rules'!$B$43:$B$46,0)),"")</f>
        <v>10-14 weeks per cluster</v>
      </c>
      <c r="AJ76" s="21" t="str">
        <f>IFERROR(INDEX('Classification Rules'!$J$43:$J$46,MATCH($AA76,'Classification Rules'!$B$43:$B$46,0)),"")</f>
        <v>Fully sourced, onshore-weighted</v>
      </c>
      <c r="AK76" s="21">
        <f>IFERROR(INDEX('Classification Rules'!$K$43:$K$46,MATCH($AA76,'Classification Rules'!$B$43:$B$46,0)),"")</f>
        <v>0</v>
      </c>
    </row>
    <row r="77" spans="1:37" ht="39" customHeight="1" x14ac:dyDescent="0.3">
      <c r="A77" s="25">
        <v>73</v>
      </c>
      <c r="B77" s="26">
        <v>9994</v>
      </c>
      <c r="C77" s="26" t="s">
        <v>270</v>
      </c>
      <c r="D77" s="26" t="s">
        <v>271</v>
      </c>
      <c r="E77" s="26" t="s">
        <v>120</v>
      </c>
      <c r="F77" s="26" t="s">
        <v>134</v>
      </c>
      <c r="G77" s="26" t="s">
        <v>115</v>
      </c>
      <c r="H77" s="26" t="s">
        <v>122</v>
      </c>
      <c r="I77" s="26" t="s">
        <v>44</v>
      </c>
      <c r="J77" s="26" t="s">
        <v>45</v>
      </c>
      <c r="K77" s="26" t="s">
        <v>57</v>
      </c>
      <c r="L77" s="26" t="s">
        <v>158</v>
      </c>
      <c r="M77" s="26" t="s">
        <v>45</v>
      </c>
      <c r="N77" s="26" t="s">
        <v>46</v>
      </c>
      <c r="O77" s="26" t="s">
        <v>162</v>
      </c>
      <c r="P77" s="26" t="s">
        <v>49</v>
      </c>
      <c r="Q77" s="27">
        <v>0.79999999999999993</v>
      </c>
      <c r="R77" s="27">
        <v>0.2</v>
      </c>
      <c r="S77" s="27">
        <v>0</v>
      </c>
      <c r="T77" s="27">
        <v>1.1729166666666659</v>
      </c>
      <c r="U77" s="28">
        <v>0.42806394316163421</v>
      </c>
      <c r="V77" s="27">
        <v>0.58645833333333319</v>
      </c>
      <c r="W77" s="27">
        <v>0.58645833333333319</v>
      </c>
      <c r="X77" s="29" t="str">
        <f t="shared" si="8"/>
        <v>Rule 3</v>
      </c>
      <c r="Y77" s="29" t="str">
        <f t="shared" si="9"/>
        <v>B</v>
      </c>
      <c r="Z77" s="30"/>
      <c r="AA77" s="4" t="str">
        <f t="shared" si="10"/>
        <v>B</v>
      </c>
      <c r="AB77" s="6" t="str">
        <f>IFERROR(INDEX('Classification Rules'!$C$43:$C$46,MATCH($AA77,'Classification Rules'!$B$43:$B$46,0)),"")</f>
        <v>Offshore-ready</v>
      </c>
      <c r="AC77" s="21" t="str">
        <f t="shared" si="11"/>
        <v>Cloud Indicator = Yes  (Platform as a Service (PaaS))</v>
      </c>
      <c r="AD77" s="21" t="str">
        <f>IFERROR(INDEX('Classification Rules'!$D$13:$D$16,MATCH($AA77,'Classification Rules'!$B$13:$B$16,0)),"")</f>
        <v>Cloud migration has already forced re-platforming, documentation and specifiability. Highest AI and offshore ceiling in the estate.</v>
      </c>
      <c r="AE77" s="20">
        <f>IFERROR(INDEX('Classification Rules'!$D$43:$D$46,MATCH($AA77,'Classification Rules'!$B$43:$B$46,0)),"")</f>
        <v>0.48249999999999998</v>
      </c>
      <c r="AF77" s="20">
        <f>IFERROR(INDEX('Classification Rules'!$E$43:$E$46,MATCH($AA77,'Classification Rules'!$B$43:$B$46,0)),"")</f>
        <v>0.45402025000000001</v>
      </c>
      <c r="AG77" s="20">
        <f>IFERROR(INDEX('Classification Rules'!$F$43:$F$46,MATCH($AA77,'Classification Rules'!$B$43:$B$46,0)),"")</f>
        <v>0.78</v>
      </c>
      <c r="AH77" s="20">
        <f>IFERROR(INDEX('Classification Rules'!$G$43:$G$46,MATCH($AA77,'Classification Rules'!$B$43:$B$46,0)),"")</f>
        <v>0.72540000000000004</v>
      </c>
      <c r="AI77" s="21" t="str">
        <f>IFERROR(INDEX('Classification Rules'!$I$43:$I$46,MATCH($AA77,'Classification Rules'!$B$43:$B$46,0)),"")</f>
        <v>6-8 weeks per cluster</v>
      </c>
      <c r="AJ77" s="21" t="str">
        <f>IFERROR(INDEX('Classification Rules'!$J$43:$J$46,MATCH($AA77,'Classification Rules'!$B$43:$B$46,0)),"")</f>
        <v>Fully sourced, moving to output units</v>
      </c>
      <c r="AK77" s="21">
        <f>IFERROR(INDEX('Classification Rules'!$K$43:$K$46,MATCH($AA77,'Classification Rules'!$B$43:$B$46,0)),"")</f>
        <v>0</v>
      </c>
    </row>
    <row r="78" spans="1:37" ht="39" customHeight="1" x14ac:dyDescent="0.3">
      <c r="A78" s="25">
        <v>74</v>
      </c>
      <c r="B78" s="26">
        <v>9995</v>
      </c>
      <c r="C78" s="26" t="s">
        <v>272</v>
      </c>
      <c r="D78" s="26" t="s">
        <v>273</v>
      </c>
      <c r="E78" s="26" t="s">
        <v>143</v>
      </c>
      <c r="F78" s="26" t="s">
        <v>165</v>
      </c>
      <c r="G78" s="26" t="s">
        <v>42</v>
      </c>
      <c r="H78" s="26" t="s">
        <v>145</v>
      </c>
      <c r="I78" s="26" t="s">
        <v>274</v>
      </c>
      <c r="J78" s="26" t="s">
        <v>45</v>
      </c>
      <c r="K78" s="26" t="s">
        <v>46</v>
      </c>
      <c r="L78" s="26" t="s">
        <v>275</v>
      </c>
      <c r="M78" s="26" t="s">
        <v>45</v>
      </c>
      <c r="N78" s="26" t="s">
        <v>57</v>
      </c>
      <c r="O78" s="26"/>
      <c r="P78" s="26" t="s">
        <v>58</v>
      </c>
      <c r="Q78" s="27">
        <v>0.77916666666666667</v>
      </c>
      <c r="R78" s="27">
        <v>0</v>
      </c>
      <c r="S78" s="27">
        <v>0</v>
      </c>
      <c r="T78" s="27">
        <v>0.77916666666666667</v>
      </c>
      <c r="U78" s="28">
        <v>0.67914438502673802</v>
      </c>
      <c r="V78" s="27">
        <v>0.38958333333333328</v>
      </c>
      <c r="W78" s="27">
        <v>0.38958333333333328</v>
      </c>
      <c r="X78" s="29" t="str">
        <f t="shared" si="8"/>
        <v>Rule 4</v>
      </c>
      <c r="Y78" s="29" t="str">
        <f t="shared" si="9"/>
        <v>A</v>
      </c>
      <c r="Z78" s="30"/>
      <c r="AA78" s="4" t="str">
        <f t="shared" si="10"/>
        <v>A</v>
      </c>
      <c r="AB78" s="6" t="str">
        <f>IFERROR(INDEX('Classification Rules'!$C$43:$C$46,MATCH($AA78,'Classification Rules'!$B$43:$B$46,0)),"")</f>
        <v>Language-locked</v>
      </c>
      <c r="AC78" s="21" t="str">
        <f t="shared" si="11"/>
        <v>Cloud Indicator = No, not mainframe, not a transfer target</v>
      </c>
      <c r="AD78" s="21" t="str">
        <f>IFERROR(INDEX('Classification Rules'!$D$13:$D$16,MATCH($AA78,'Classification Rules'!$B$13:$B$16,0)),"")</f>
        <v>On-premises and non-mainframe, so the constraint is not the technology — it is that the business context exists only in Japanese, in few heads.</v>
      </c>
      <c r="AE78" s="20">
        <f>IFERROR(INDEX('Classification Rules'!$D$43:$D$46,MATCH($AA78,'Classification Rules'!$B$43:$B$46,0)),"")</f>
        <v>0.30399999999999999</v>
      </c>
      <c r="AF78" s="20">
        <f>IFERROR(INDEX('Classification Rules'!$E$43:$E$46,MATCH($AA78,'Classification Rules'!$B$43:$B$46,0)),"")</f>
        <v>0.33947680000000002</v>
      </c>
      <c r="AG78" s="20">
        <f>IFERROR(INDEX('Classification Rules'!$F$43:$F$46,MATCH($AA78,'Classification Rules'!$B$43:$B$46,0)),"")</f>
        <v>0.15</v>
      </c>
      <c r="AH78" s="20">
        <f>IFERROR(INDEX('Classification Rules'!$G$43:$G$46,MATCH($AA78,'Classification Rules'!$B$43:$B$46,0)),"")</f>
        <v>0.13950000000000001</v>
      </c>
      <c r="AI78" s="21" t="str">
        <f>IFERROR(INDEX('Classification Rules'!$I$43:$I$46,MATCH($AA78,'Classification Rules'!$B$43:$B$46,0)),"")</f>
        <v>10-14 weeks per cluster</v>
      </c>
      <c r="AJ78" s="21" t="str">
        <f>IFERROR(INDEX('Classification Rules'!$J$43:$J$46,MATCH($AA78,'Classification Rules'!$B$43:$B$46,0)),"")</f>
        <v>Fully sourced, onshore-weighted</v>
      </c>
      <c r="AK78" s="21">
        <f>IFERROR(INDEX('Classification Rules'!$K$43:$K$46,MATCH($AA78,'Classification Rules'!$B$43:$B$46,0)),"")</f>
        <v>0</v>
      </c>
    </row>
    <row r="79" spans="1:37" ht="39" customHeight="1" x14ac:dyDescent="0.3">
      <c r="A79" s="25">
        <v>75</v>
      </c>
      <c r="B79" s="26">
        <v>9996</v>
      </c>
      <c r="C79" s="26" t="s">
        <v>276</v>
      </c>
      <c r="D79" s="26" t="s">
        <v>277</v>
      </c>
      <c r="E79" s="26" t="s">
        <v>113</v>
      </c>
      <c r="F79" s="26" t="s">
        <v>200</v>
      </c>
      <c r="G79" s="26" t="s">
        <v>115</v>
      </c>
      <c r="H79" s="26" t="s">
        <v>116</v>
      </c>
      <c r="I79" s="26" t="s">
        <v>44</v>
      </c>
      <c r="J79" s="26" t="s">
        <v>45</v>
      </c>
      <c r="K79" s="26" t="s">
        <v>46</v>
      </c>
      <c r="L79" s="26" t="s">
        <v>158</v>
      </c>
      <c r="M79" s="26" t="s">
        <v>45</v>
      </c>
      <c r="N79" s="26" t="s">
        <v>57</v>
      </c>
      <c r="O79" s="26"/>
      <c r="P79" s="26" t="s">
        <v>58</v>
      </c>
      <c r="Q79" s="27">
        <v>0.22625000000000001</v>
      </c>
      <c r="R79" s="27">
        <v>0</v>
      </c>
      <c r="S79" s="27">
        <v>0</v>
      </c>
      <c r="T79" s="27">
        <v>0.22625000000000001</v>
      </c>
      <c r="U79" s="28">
        <v>0.33701657458563528</v>
      </c>
      <c r="V79" s="27">
        <v>0.113125</v>
      </c>
      <c r="W79" s="27">
        <v>0.113125</v>
      </c>
      <c r="X79" s="29" t="str">
        <f t="shared" si="8"/>
        <v>Rule 4</v>
      </c>
      <c r="Y79" s="29" t="str">
        <f t="shared" si="9"/>
        <v>A</v>
      </c>
      <c r="Z79" s="30"/>
      <c r="AA79" s="4" t="str">
        <f t="shared" si="10"/>
        <v>A</v>
      </c>
      <c r="AB79" s="6" t="str">
        <f>IFERROR(INDEX('Classification Rules'!$C$43:$C$46,MATCH($AA79,'Classification Rules'!$B$43:$B$46,0)),"")</f>
        <v>Language-locked</v>
      </c>
      <c r="AC79" s="21" t="str">
        <f t="shared" si="11"/>
        <v>Cloud Indicator = No, not mainframe, not a transfer target</v>
      </c>
      <c r="AD79" s="21" t="str">
        <f>IFERROR(INDEX('Classification Rules'!$D$13:$D$16,MATCH($AA79,'Classification Rules'!$B$13:$B$16,0)),"")</f>
        <v>On-premises and non-mainframe, so the constraint is not the technology — it is that the business context exists only in Japanese, in few heads.</v>
      </c>
      <c r="AE79" s="20">
        <f>IFERROR(INDEX('Classification Rules'!$D$43:$D$46,MATCH($AA79,'Classification Rules'!$B$43:$B$46,0)),"")</f>
        <v>0.30399999999999999</v>
      </c>
      <c r="AF79" s="20">
        <f>IFERROR(INDEX('Classification Rules'!$E$43:$E$46,MATCH($AA79,'Classification Rules'!$B$43:$B$46,0)),"")</f>
        <v>0.33947680000000002</v>
      </c>
      <c r="AG79" s="20">
        <f>IFERROR(INDEX('Classification Rules'!$F$43:$F$46,MATCH($AA79,'Classification Rules'!$B$43:$B$46,0)),"")</f>
        <v>0.15</v>
      </c>
      <c r="AH79" s="20">
        <f>IFERROR(INDEX('Classification Rules'!$G$43:$G$46,MATCH($AA79,'Classification Rules'!$B$43:$B$46,0)),"")</f>
        <v>0.13950000000000001</v>
      </c>
      <c r="AI79" s="21" t="str">
        <f>IFERROR(INDEX('Classification Rules'!$I$43:$I$46,MATCH($AA79,'Classification Rules'!$B$43:$B$46,0)),"")</f>
        <v>10-14 weeks per cluster</v>
      </c>
      <c r="AJ79" s="21" t="str">
        <f>IFERROR(INDEX('Classification Rules'!$J$43:$J$46,MATCH($AA79,'Classification Rules'!$B$43:$B$46,0)),"")</f>
        <v>Fully sourced, onshore-weighted</v>
      </c>
      <c r="AK79" s="21">
        <f>IFERROR(INDEX('Classification Rules'!$K$43:$K$46,MATCH($AA79,'Classification Rules'!$B$43:$B$46,0)),"")</f>
        <v>0</v>
      </c>
    </row>
    <row r="80" spans="1:37" ht="25.95" customHeight="1" x14ac:dyDescent="0.3">
      <c r="A80" s="25">
        <v>76</v>
      </c>
      <c r="B80" s="26">
        <v>9999</v>
      </c>
      <c r="C80" s="26" t="s">
        <v>278</v>
      </c>
      <c r="D80" s="26" t="s">
        <v>279</v>
      </c>
      <c r="E80" s="26" t="s">
        <v>52</v>
      </c>
      <c r="F80" s="26" t="s">
        <v>70</v>
      </c>
      <c r="G80" s="26" t="s">
        <v>42</v>
      </c>
      <c r="H80" s="26" t="s">
        <v>54</v>
      </c>
      <c r="I80" s="26" t="s">
        <v>44</v>
      </c>
      <c r="J80" s="26" t="s">
        <v>55</v>
      </c>
      <c r="K80" s="26" t="s">
        <v>46</v>
      </c>
      <c r="L80" s="26" t="s">
        <v>85</v>
      </c>
      <c r="M80" s="26" t="s">
        <v>45</v>
      </c>
      <c r="N80" s="26" t="s">
        <v>57</v>
      </c>
      <c r="O80" s="26"/>
      <c r="P80" s="26" t="s">
        <v>58</v>
      </c>
      <c r="Q80" s="27">
        <v>1.0287500000000001</v>
      </c>
      <c r="R80" s="27">
        <v>0</v>
      </c>
      <c r="S80" s="27">
        <v>0</v>
      </c>
      <c r="T80" s="27">
        <v>1.0287500000000001</v>
      </c>
      <c r="U80" s="28">
        <v>0.12920210611583641</v>
      </c>
      <c r="V80" s="27">
        <v>0.51437500000000003</v>
      </c>
      <c r="W80" s="27">
        <v>0.51437500000000003</v>
      </c>
      <c r="X80" s="29" t="str">
        <f t="shared" si="8"/>
        <v>Rule 1</v>
      </c>
      <c r="Y80" s="29" t="str">
        <f t="shared" si="9"/>
        <v>D</v>
      </c>
      <c r="Z80" s="30"/>
      <c r="AA80" s="4" t="str">
        <f t="shared" si="10"/>
        <v>D</v>
      </c>
      <c r="AB80" s="6" t="str">
        <f>IFERROR(INDEX('Classification Rules'!$C$43:$C$46,MATCH($AA80,'Classification Rules'!$B$43:$B$46,0)),"")</f>
        <v>Legacy-coupled core</v>
      </c>
      <c r="AC80" s="21" t="str">
        <f t="shared" si="11"/>
        <v>Language: COBOL, MU(EASYPLUS), Assembler, JCL</v>
      </c>
      <c r="AD80" s="21" t="str">
        <f>IFERROR(INDEX('Classification Rules'!$D$13:$D$16,MATCH($AA80,'Classification Rules'!$B$13:$B$16,0)),"")</f>
        <v>Rules hard-coded across modules and design truth is not written down. AI does comprehension here, not generation.</v>
      </c>
      <c r="AE80" s="20">
        <f>IFERROR(INDEX('Classification Rules'!$D$43:$D$46,MATCH($AA80,'Classification Rules'!$B$43:$B$46,0)),"")</f>
        <v>0.29500000000000004</v>
      </c>
      <c r="AF80" s="20">
        <f>IFERROR(INDEX('Classification Rules'!$E$43:$E$46,MATCH($AA80,'Classification Rules'!$B$43:$B$46,0)),"")</f>
        <v>0.3337015000000001</v>
      </c>
      <c r="AG80" s="20">
        <f>IFERROR(INDEX('Classification Rules'!$F$43:$F$46,MATCH($AA80,'Classification Rules'!$B$43:$B$46,0)),"")</f>
        <v>0.57999999999999996</v>
      </c>
      <c r="AH80" s="20">
        <f>IFERROR(INDEX('Classification Rules'!$G$43:$G$46,MATCH($AA80,'Classification Rules'!$B$43:$B$46,0)),"")</f>
        <v>0.53939999999999999</v>
      </c>
      <c r="AI80" s="21" t="str">
        <f>IFERROR(INDEX('Classification Rules'!$I$43:$I$46,MATCH($AA80,'Classification Rules'!$B$43:$B$46,0)),"")</f>
        <v>14-20 weeks per cluster</v>
      </c>
      <c r="AJ80" s="21" t="str">
        <f>IFERROR(INDEX('Classification Rules'!$J$43:$J$46,MATCH($AA80,'Classification Rules'!$B$43:$B$46,0)),"")</f>
        <v>Fully sourced, MetLife SMEs paired</v>
      </c>
      <c r="AK80" s="21">
        <f>IFERROR(INDEX('Classification Rules'!$K$43:$K$46,MATCH($AA80,'Classification Rules'!$B$43:$B$46,0)),"")</f>
        <v>0</v>
      </c>
    </row>
    <row r="81" spans="1:37" ht="25.95" customHeight="1" x14ac:dyDescent="0.3">
      <c r="A81" s="25">
        <v>77</v>
      </c>
      <c r="B81" s="26">
        <v>10001</v>
      </c>
      <c r="C81" s="26" t="s">
        <v>280</v>
      </c>
      <c r="D81" s="26" t="s">
        <v>281</v>
      </c>
      <c r="E81" s="26" t="s">
        <v>143</v>
      </c>
      <c r="F81" s="26" t="s">
        <v>144</v>
      </c>
      <c r="G81" s="26" t="s">
        <v>42</v>
      </c>
      <c r="H81" s="26" t="s">
        <v>145</v>
      </c>
      <c r="I81" s="26" t="s">
        <v>44</v>
      </c>
      <c r="J81" s="26" t="s">
        <v>55</v>
      </c>
      <c r="K81" s="26" t="s">
        <v>46</v>
      </c>
      <c r="L81" s="26" t="s">
        <v>282</v>
      </c>
      <c r="M81" s="26" t="s">
        <v>45</v>
      </c>
      <c r="N81" s="26" t="s">
        <v>57</v>
      </c>
      <c r="O81" s="26"/>
      <c r="P81" s="26" t="s">
        <v>58</v>
      </c>
      <c r="Q81" s="27">
        <v>2.729166666666667</v>
      </c>
      <c r="R81" s="27">
        <v>3.0249999999999999</v>
      </c>
      <c r="S81" s="27">
        <v>0</v>
      </c>
      <c r="T81" s="27">
        <v>5.7541666666666664</v>
      </c>
      <c r="U81" s="28">
        <v>0.34540188269370031</v>
      </c>
      <c r="V81" s="27">
        <v>2.8770833333333332</v>
      </c>
      <c r="W81" s="27">
        <v>2.8770833333333332</v>
      </c>
      <c r="X81" s="29" t="str">
        <f t="shared" si="8"/>
        <v>Rule 1</v>
      </c>
      <c r="Y81" s="29" t="str">
        <f t="shared" si="9"/>
        <v>D</v>
      </c>
      <c r="Z81" s="30"/>
      <c r="AA81" s="4" t="str">
        <f t="shared" si="10"/>
        <v>D</v>
      </c>
      <c r="AB81" s="6" t="str">
        <f>IFERROR(INDEX('Classification Rules'!$C$43:$C$46,MATCH($AA81,'Classification Rules'!$B$43:$B$46,0)),"")</f>
        <v>Legacy-coupled core</v>
      </c>
      <c r="AC81" s="21" t="str">
        <f t="shared" si="11"/>
        <v>Language: Other#RPG; Cobol</v>
      </c>
      <c r="AD81" s="21" t="str">
        <f>IFERROR(INDEX('Classification Rules'!$D$13:$D$16,MATCH($AA81,'Classification Rules'!$B$13:$B$16,0)),"")</f>
        <v>Rules hard-coded across modules and design truth is not written down. AI does comprehension here, not generation.</v>
      </c>
      <c r="AE81" s="20">
        <f>IFERROR(INDEX('Classification Rules'!$D$43:$D$46,MATCH($AA81,'Classification Rules'!$B$43:$B$46,0)),"")</f>
        <v>0.29500000000000004</v>
      </c>
      <c r="AF81" s="20">
        <f>IFERROR(INDEX('Classification Rules'!$E$43:$E$46,MATCH($AA81,'Classification Rules'!$B$43:$B$46,0)),"")</f>
        <v>0.3337015000000001</v>
      </c>
      <c r="AG81" s="20">
        <f>IFERROR(INDEX('Classification Rules'!$F$43:$F$46,MATCH($AA81,'Classification Rules'!$B$43:$B$46,0)),"")</f>
        <v>0.57999999999999996</v>
      </c>
      <c r="AH81" s="20">
        <f>IFERROR(INDEX('Classification Rules'!$G$43:$G$46,MATCH($AA81,'Classification Rules'!$B$43:$B$46,0)),"")</f>
        <v>0.53939999999999999</v>
      </c>
      <c r="AI81" s="21" t="str">
        <f>IFERROR(INDEX('Classification Rules'!$I$43:$I$46,MATCH($AA81,'Classification Rules'!$B$43:$B$46,0)),"")</f>
        <v>14-20 weeks per cluster</v>
      </c>
      <c r="AJ81" s="21" t="str">
        <f>IFERROR(INDEX('Classification Rules'!$J$43:$J$46,MATCH($AA81,'Classification Rules'!$B$43:$B$46,0)),"")</f>
        <v>Fully sourced, MetLife SMEs paired</v>
      </c>
      <c r="AK81" s="21">
        <f>IFERROR(INDEX('Classification Rules'!$K$43:$K$46,MATCH($AA81,'Classification Rules'!$B$43:$B$46,0)),"")</f>
        <v>0</v>
      </c>
    </row>
    <row r="82" spans="1:37" ht="39" customHeight="1" x14ac:dyDescent="0.3">
      <c r="A82" s="25">
        <v>78</v>
      </c>
      <c r="B82" s="26">
        <v>10032</v>
      </c>
      <c r="C82" s="26" t="s">
        <v>283</v>
      </c>
      <c r="D82" s="26" t="s">
        <v>284</v>
      </c>
      <c r="E82" s="26" t="s">
        <v>143</v>
      </c>
      <c r="F82" s="26" t="s">
        <v>184</v>
      </c>
      <c r="G82" s="26" t="s">
        <v>42</v>
      </c>
      <c r="H82" s="26" t="s">
        <v>145</v>
      </c>
      <c r="I82" s="26" t="s">
        <v>44</v>
      </c>
      <c r="J82" s="26" t="s">
        <v>55</v>
      </c>
      <c r="K82" s="26" t="s">
        <v>46</v>
      </c>
      <c r="L82" s="26" t="s">
        <v>285</v>
      </c>
      <c r="M82" s="26" t="s">
        <v>45</v>
      </c>
      <c r="N82" s="26" t="s">
        <v>57</v>
      </c>
      <c r="O82" s="26"/>
      <c r="P82" s="26" t="s">
        <v>58</v>
      </c>
      <c r="Q82" s="27">
        <v>1.8583333333333329</v>
      </c>
      <c r="R82" s="27">
        <v>0.94166666666666676</v>
      </c>
      <c r="S82" s="27">
        <v>0</v>
      </c>
      <c r="T82" s="27">
        <v>2.8</v>
      </c>
      <c r="U82" s="28">
        <v>0.26934523809523808</v>
      </c>
      <c r="V82" s="27">
        <v>1.4</v>
      </c>
      <c r="W82" s="27">
        <v>1.4</v>
      </c>
      <c r="X82" s="29" t="str">
        <f t="shared" si="8"/>
        <v>Rule 4</v>
      </c>
      <c r="Y82" s="29" t="str">
        <f t="shared" si="9"/>
        <v>A</v>
      </c>
      <c r="Z82" s="30"/>
      <c r="AA82" s="4" t="str">
        <f t="shared" si="10"/>
        <v>A</v>
      </c>
      <c r="AB82" s="6" t="str">
        <f>IFERROR(INDEX('Classification Rules'!$C$43:$C$46,MATCH($AA82,'Classification Rules'!$B$43:$B$46,0)),"")</f>
        <v>Language-locked</v>
      </c>
      <c r="AC82" s="21" t="str">
        <f t="shared" si="11"/>
        <v>Cloud Indicator = No, not mainframe, not a transfer target</v>
      </c>
      <c r="AD82" s="21" t="str">
        <f>IFERROR(INDEX('Classification Rules'!$D$13:$D$16,MATCH($AA82,'Classification Rules'!$B$13:$B$16,0)),"")</f>
        <v>On-premises and non-mainframe, so the constraint is not the technology — it is that the business context exists only in Japanese, in few heads.</v>
      </c>
      <c r="AE82" s="20">
        <f>IFERROR(INDEX('Classification Rules'!$D$43:$D$46,MATCH($AA82,'Classification Rules'!$B$43:$B$46,0)),"")</f>
        <v>0.30399999999999999</v>
      </c>
      <c r="AF82" s="20">
        <f>IFERROR(INDEX('Classification Rules'!$E$43:$E$46,MATCH($AA82,'Classification Rules'!$B$43:$B$46,0)),"")</f>
        <v>0.33947680000000002</v>
      </c>
      <c r="AG82" s="20">
        <f>IFERROR(INDEX('Classification Rules'!$F$43:$F$46,MATCH($AA82,'Classification Rules'!$B$43:$B$46,0)),"")</f>
        <v>0.15</v>
      </c>
      <c r="AH82" s="20">
        <f>IFERROR(INDEX('Classification Rules'!$G$43:$G$46,MATCH($AA82,'Classification Rules'!$B$43:$B$46,0)),"")</f>
        <v>0.13950000000000001</v>
      </c>
      <c r="AI82" s="21" t="str">
        <f>IFERROR(INDEX('Classification Rules'!$I$43:$I$46,MATCH($AA82,'Classification Rules'!$B$43:$B$46,0)),"")</f>
        <v>10-14 weeks per cluster</v>
      </c>
      <c r="AJ82" s="21" t="str">
        <f>IFERROR(INDEX('Classification Rules'!$J$43:$J$46,MATCH($AA82,'Classification Rules'!$B$43:$B$46,0)),"")</f>
        <v>Fully sourced, onshore-weighted</v>
      </c>
      <c r="AK82" s="21">
        <f>IFERROR(INDEX('Classification Rules'!$K$43:$K$46,MATCH($AA82,'Classification Rules'!$B$43:$B$46,0)),"")</f>
        <v>0</v>
      </c>
    </row>
    <row r="83" spans="1:37" ht="39" customHeight="1" x14ac:dyDescent="0.3">
      <c r="A83" s="25">
        <v>79</v>
      </c>
      <c r="B83" s="26">
        <v>11004</v>
      </c>
      <c r="C83" s="26" t="s">
        <v>286</v>
      </c>
      <c r="D83" s="26" t="s">
        <v>287</v>
      </c>
      <c r="E83" s="26" t="s">
        <v>40</v>
      </c>
      <c r="F83" s="26" t="s">
        <v>41</v>
      </c>
      <c r="G83" s="26" t="s">
        <v>42</v>
      </c>
      <c r="H83" s="26" t="s">
        <v>43</v>
      </c>
      <c r="I83" s="26" t="s">
        <v>44</v>
      </c>
      <c r="J83" s="26" t="s">
        <v>45</v>
      </c>
      <c r="K83" s="26" t="s">
        <v>46</v>
      </c>
      <c r="L83" s="26" t="s">
        <v>288</v>
      </c>
      <c r="M83" s="26" t="s">
        <v>45</v>
      </c>
      <c r="N83" s="26" t="s">
        <v>46</v>
      </c>
      <c r="O83" s="26" t="s">
        <v>48</v>
      </c>
      <c r="P83" s="26" t="s">
        <v>58</v>
      </c>
      <c r="Q83" s="27">
        <v>21.50612499999999</v>
      </c>
      <c r="R83" s="27">
        <v>7.7291666666666643</v>
      </c>
      <c r="S83" s="27">
        <v>0</v>
      </c>
      <c r="T83" s="27">
        <v>29.235291666666651</v>
      </c>
      <c r="U83" s="28">
        <v>0.83096913405173833</v>
      </c>
      <c r="V83" s="27">
        <v>14.617645833333331</v>
      </c>
      <c r="W83" s="27">
        <v>14.617645833333331</v>
      </c>
      <c r="X83" s="29" t="str">
        <f t="shared" si="8"/>
        <v>Rule 3</v>
      </c>
      <c r="Y83" s="29" t="str">
        <f t="shared" si="9"/>
        <v>B</v>
      </c>
      <c r="Z83" s="30"/>
      <c r="AA83" s="4" t="str">
        <f t="shared" si="10"/>
        <v>B</v>
      </c>
      <c r="AB83" s="6" t="str">
        <f>IFERROR(INDEX('Classification Rules'!$C$43:$C$46,MATCH($AA83,'Classification Rules'!$B$43:$B$46,0)),"")</f>
        <v>Offshore-ready</v>
      </c>
      <c r="AC83" s="21" t="str">
        <f t="shared" si="11"/>
        <v>Cloud Indicator = Yes  (Software as a Service (SaaS))</v>
      </c>
      <c r="AD83" s="21" t="str">
        <f>IFERROR(INDEX('Classification Rules'!$D$13:$D$16,MATCH($AA83,'Classification Rules'!$B$13:$B$16,0)),"")</f>
        <v>Cloud migration has already forced re-platforming, documentation and specifiability. Highest AI and offshore ceiling in the estate.</v>
      </c>
      <c r="AE83" s="20">
        <f>IFERROR(INDEX('Classification Rules'!$D$43:$D$46,MATCH($AA83,'Classification Rules'!$B$43:$B$46,0)),"")</f>
        <v>0.48249999999999998</v>
      </c>
      <c r="AF83" s="20">
        <f>IFERROR(INDEX('Classification Rules'!$E$43:$E$46,MATCH($AA83,'Classification Rules'!$B$43:$B$46,0)),"")</f>
        <v>0.45402025000000001</v>
      </c>
      <c r="AG83" s="20">
        <f>IFERROR(INDEX('Classification Rules'!$F$43:$F$46,MATCH($AA83,'Classification Rules'!$B$43:$B$46,0)),"")</f>
        <v>0.78</v>
      </c>
      <c r="AH83" s="20">
        <f>IFERROR(INDEX('Classification Rules'!$G$43:$G$46,MATCH($AA83,'Classification Rules'!$B$43:$B$46,0)),"")</f>
        <v>0.72540000000000004</v>
      </c>
      <c r="AI83" s="21" t="str">
        <f>IFERROR(INDEX('Classification Rules'!$I$43:$I$46,MATCH($AA83,'Classification Rules'!$B$43:$B$46,0)),"")</f>
        <v>6-8 weeks per cluster</v>
      </c>
      <c r="AJ83" s="21" t="str">
        <f>IFERROR(INDEX('Classification Rules'!$J$43:$J$46,MATCH($AA83,'Classification Rules'!$B$43:$B$46,0)),"")</f>
        <v>Fully sourced, moving to output units</v>
      </c>
      <c r="AK83" s="21">
        <f>IFERROR(INDEX('Classification Rules'!$K$43:$K$46,MATCH($AA83,'Classification Rules'!$B$43:$B$46,0)),"")</f>
        <v>0</v>
      </c>
    </row>
    <row r="84" spans="1:37" ht="39" customHeight="1" x14ac:dyDescent="0.3">
      <c r="A84" s="25">
        <v>80</v>
      </c>
      <c r="B84" s="26">
        <v>11005</v>
      </c>
      <c r="C84" s="26" t="s">
        <v>289</v>
      </c>
      <c r="D84" s="26" t="s">
        <v>290</v>
      </c>
      <c r="E84" s="26" t="s">
        <v>143</v>
      </c>
      <c r="F84" s="26" t="s">
        <v>184</v>
      </c>
      <c r="G84" s="26" t="s">
        <v>42</v>
      </c>
      <c r="H84" s="26" t="s">
        <v>145</v>
      </c>
      <c r="I84" s="26" t="s">
        <v>44</v>
      </c>
      <c r="J84" s="26" t="s">
        <v>45</v>
      </c>
      <c r="K84" s="26" t="s">
        <v>46</v>
      </c>
      <c r="L84" s="26" t="s">
        <v>158</v>
      </c>
      <c r="M84" s="26" t="s">
        <v>45</v>
      </c>
      <c r="N84" s="26" t="s">
        <v>46</v>
      </c>
      <c r="O84" s="26" t="s">
        <v>162</v>
      </c>
      <c r="P84" s="26" t="s">
        <v>58</v>
      </c>
      <c r="Q84" s="27">
        <v>0.36249999999999999</v>
      </c>
      <c r="R84" s="27">
        <v>4.1666666666666657E-2</v>
      </c>
      <c r="S84" s="27">
        <v>0.5</v>
      </c>
      <c r="T84" s="27">
        <v>0.90416666666666667</v>
      </c>
      <c r="U84" s="28">
        <v>0.44700460829493088</v>
      </c>
      <c r="V84" s="27">
        <v>0.45208333333333328</v>
      </c>
      <c r="W84" s="27">
        <v>0.45208333333333328</v>
      </c>
      <c r="X84" s="29" t="str">
        <f t="shared" si="8"/>
        <v>Rule 3</v>
      </c>
      <c r="Y84" s="29" t="str">
        <f t="shared" si="9"/>
        <v>B</v>
      </c>
      <c r="Z84" s="30"/>
      <c r="AA84" s="4" t="str">
        <f t="shared" si="10"/>
        <v>B</v>
      </c>
      <c r="AB84" s="6" t="str">
        <f>IFERROR(INDEX('Classification Rules'!$C$43:$C$46,MATCH($AA84,'Classification Rules'!$B$43:$B$46,0)),"")</f>
        <v>Offshore-ready</v>
      </c>
      <c r="AC84" s="21" t="str">
        <f t="shared" si="11"/>
        <v>Cloud Indicator = Yes  (Platform as a Service (PaaS))</v>
      </c>
      <c r="AD84" s="21" t="str">
        <f>IFERROR(INDEX('Classification Rules'!$D$13:$D$16,MATCH($AA84,'Classification Rules'!$B$13:$B$16,0)),"")</f>
        <v>Cloud migration has already forced re-platforming, documentation and specifiability. Highest AI and offshore ceiling in the estate.</v>
      </c>
      <c r="AE84" s="20">
        <f>IFERROR(INDEX('Classification Rules'!$D$43:$D$46,MATCH($AA84,'Classification Rules'!$B$43:$B$46,0)),"")</f>
        <v>0.48249999999999998</v>
      </c>
      <c r="AF84" s="20">
        <f>IFERROR(INDEX('Classification Rules'!$E$43:$E$46,MATCH($AA84,'Classification Rules'!$B$43:$B$46,0)),"")</f>
        <v>0.45402025000000001</v>
      </c>
      <c r="AG84" s="20">
        <f>IFERROR(INDEX('Classification Rules'!$F$43:$F$46,MATCH($AA84,'Classification Rules'!$B$43:$B$46,0)),"")</f>
        <v>0.78</v>
      </c>
      <c r="AH84" s="20">
        <f>IFERROR(INDEX('Classification Rules'!$G$43:$G$46,MATCH($AA84,'Classification Rules'!$B$43:$B$46,0)),"")</f>
        <v>0.72540000000000004</v>
      </c>
      <c r="AI84" s="21" t="str">
        <f>IFERROR(INDEX('Classification Rules'!$I$43:$I$46,MATCH($AA84,'Classification Rules'!$B$43:$B$46,0)),"")</f>
        <v>6-8 weeks per cluster</v>
      </c>
      <c r="AJ84" s="21" t="str">
        <f>IFERROR(INDEX('Classification Rules'!$J$43:$J$46,MATCH($AA84,'Classification Rules'!$B$43:$B$46,0)),"")</f>
        <v>Fully sourced, moving to output units</v>
      </c>
      <c r="AK84" s="21">
        <f>IFERROR(INDEX('Classification Rules'!$K$43:$K$46,MATCH($AA84,'Classification Rules'!$B$43:$B$46,0)),"")</f>
        <v>0</v>
      </c>
    </row>
    <row r="85" spans="1:37" ht="39" customHeight="1" x14ac:dyDescent="0.3">
      <c r="A85" s="25">
        <v>81</v>
      </c>
      <c r="B85" s="26">
        <v>11007</v>
      </c>
      <c r="C85" s="26" t="s">
        <v>291</v>
      </c>
      <c r="D85" s="26" t="s">
        <v>292</v>
      </c>
      <c r="E85" s="26" t="s">
        <v>143</v>
      </c>
      <c r="F85" s="26" t="s">
        <v>184</v>
      </c>
      <c r="G85" s="26" t="s">
        <v>42</v>
      </c>
      <c r="H85" s="26" t="s">
        <v>145</v>
      </c>
      <c r="I85" s="26" t="s">
        <v>44</v>
      </c>
      <c r="J85" s="26" t="s">
        <v>45</v>
      </c>
      <c r="K85" s="26" t="s">
        <v>46</v>
      </c>
      <c r="L85" s="26" t="s">
        <v>158</v>
      </c>
      <c r="M85" s="26" t="s">
        <v>45</v>
      </c>
      <c r="N85" s="26" t="s">
        <v>57</v>
      </c>
      <c r="O85" s="26"/>
      <c r="P85" s="26" t="s">
        <v>58</v>
      </c>
      <c r="Q85" s="27">
        <v>0.23491666666666669</v>
      </c>
      <c r="R85" s="27">
        <v>7.2916666666666657E-2</v>
      </c>
      <c r="S85" s="27">
        <v>0</v>
      </c>
      <c r="T85" s="27">
        <v>0.30783333333333329</v>
      </c>
      <c r="U85" s="28">
        <v>0.95939361126150513</v>
      </c>
      <c r="V85" s="27">
        <v>0.15391666666666659</v>
      </c>
      <c r="W85" s="27">
        <v>0.15391666666666659</v>
      </c>
      <c r="X85" s="29" t="str">
        <f t="shared" si="8"/>
        <v>Rule 4</v>
      </c>
      <c r="Y85" s="29" t="str">
        <f t="shared" si="9"/>
        <v>A</v>
      </c>
      <c r="Z85" s="30"/>
      <c r="AA85" s="4" t="str">
        <f t="shared" si="10"/>
        <v>A</v>
      </c>
      <c r="AB85" s="6" t="str">
        <f>IFERROR(INDEX('Classification Rules'!$C$43:$C$46,MATCH($AA85,'Classification Rules'!$B$43:$B$46,0)),"")</f>
        <v>Language-locked</v>
      </c>
      <c r="AC85" s="21" t="str">
        <f t="shared" si="11"/>
        <v>Cloud Indicator = No, not mainframe, not a transfer target</v>
      </c>
      <c r="AD85" s="21" t="str">
        <f>IFERROR(INDEX('Classification Rules'!$D$13:$D$16,MATCH($AA85,'Classification Rules'!$B$13:$B$16,0)),"")</f>
        <v>On-premises and non-mainframe, so the constraint is not the technology — it is that the business context exists only in Japanese, in few heads.</v>
      </c>
      <c r="AE85" s="20">
        <f>IFERROR(INDEX('Classification Rules'!$D$43:$D$46,MATCH($AA85,'Classification Rules'!$B$43:$B$46,0)),"")</f>
        <v>0.30399999999999999</v>
      </c>
      <c r="AF85" s="20">
        <f>IFERROR(INDEX('Classification Rules'!$E$43:$E$46,MATCH($AA85,'Classification Rules'!$B$43:$B$46,0)),"")</f>
        <v>0.33947680000000002</v>
      </c>
      <c r="AG85" s="20">
        <f>IFERROR(INDEX('Classification Rules'!$F$43:$F$46,MATCH($AA85,'Classification Rules'!$B$43:$B$46,0)),"")</f>
        <v>0.15</v>
      </c>
      <c r="AH85" s="20">
        <f>IFERROR(INDEX('Classification Rules'!$G$43:$G$46,MATCH($AA85,'Classification Rules'!$B$43:$B$46,0)),"")</f>
        <v>0.13950000000000001</v>
      </c>
      <c r="AI85" s="21" t="str">
        <f>IFERROR(INDEX('Classification Rules'!$I$43:$I$46,MATCH($AA85,'Classification Rules'!$B$43:$B$46,0)),"")</f>
        <v>10-14 weeks per cluster</v>
      </c>
      <c r="AJ85" s="21" t="str">
        <f>IFERROR(INDEX('Classification Rules'!$J$43:$J$46,MATCH($AA85,'Classification Rules'!$B$43:$B$46,0)),"")</f>
        <v>Fully sourced, onshore-weighted</v>
      </c>
      <c r="AK85" s="21">
        <f>IFERROR(INDEX('Classification Rules'!$K$43:$K$46,MATCH($AA85,'Classification Rules'!$B$43:$B$46,0)),"")</f>
        <v>0</v>
      </c>
    </row>
    <row r="86" spans="1:37" ht="39" customHeight="1" x14ac:dyDescent="0.3">
      <c r="A86" s="25">
        <v>82</v>
      </c>
      <c r="B86" s="26">
        <v>11008</v>
      </c>
      <c r="C86" s="26" t="s">
        <v>293</v>
      </c>
      <c r="D86" s="26" t="s">
        <v>294</v>
      </c>
      <c r="E86" s="26" t="s">
        <v>175</v>
      </c>
      <c r="F86" s="26" t="s">
        <v>295</v>
      </c>
      <c r="G86" s="26" t="s">
        <v>177</v>
      </c>
      <c r="H86" s="26" t="s">
        <v>204</v>
      </c>
      <c r="I86" s="26" t="s">
        <v>44</v>
      </c>
      <c r="J86" s="26" t="s">
        <v>45</v>
      </c>
      <c r="K86" s="26" t="s">
        <v>46</v>
      </c>
      <c r="L86" s="26" t="s">
        <v>158</v>
      </c>
      <c r="M86" s="26" t="s">
        <v>45</v>
      </c>
      <c r="N86" s="26" t="s">
        <v>57</v>
      </c>
      <c r="O86" s="26"/>
      <c r="P86" s="26" t="s">
        <v>58</v>
      </c>
      <c r="Q86" s="27">
        <v>0.13541666666666671</v>
      </c>
      <c r="R86" s="27">
        <v>1.666666666666667E-2</v>
      </c>
      <c r="S86" s="27">
        <v>0</v>
      </c>
      <c r="T86" s="27">
        <v>0.15208333333333329</v>
      </c>
      <c r="U86" s="28">
        <v>0.52054794520547942</v>
      </c>
      <c r="V86" s="27">
        <v>7.6041666666666674E-2</v>
      </c>
      <c r="W86" s="27">
        <v>7.6041666666666674E-2</v>
      </c>
      <c r="X86" s="29" t="str">
        <f t="shared" si="8"/>
        <v>Rule 4</v>
      </c>
      <c r="Y86" s="29" t="str">
        <f t="shared" si="9"/>
        <v>A</v>
      </c>
      <c r="Z86" s="30"/>
      <c r="AA86" s="4" t="str">
        <f t="shared" si="10"/>
        <v>A</v>
      </c>
      <c r="AB86" s="6" t="str">
        <f>IFERROR(INDEX('Classification Rules'!$C$43:$C$46,MATCH($AA86,'Classification Rules'!$B$43:$B$46,0)),"")</f>
        <v>Language-locked</v>
      </c>
      <c r="AC86" s="21" t="str">
        <f t="shared" si="11"/>
        <v>Cloud Indicator = No, not mainframe, not a transfer target</v>
      </c>
      <c r="AD86" s="21" t="str">
        <f>IFERROR(INDEX('Classification Rules'!$D$13:$D$16,MATCH($AA86,'Classification Rules'!$B$13:$B$16,0)),"")</f>
        <v>On-premises and non-mainframe, so the constraint is not the technology — it is that the business context exists only in Japanese, in few heads.</v>
      </c>
      <c r="AE86" s="20">
        <f>IFERROR(INDEX('Classification Rules'!$D$43:$D$46,MATCH($AA86,'Classification Rules'!$B$43:$B$46,0)),"")</f>
        <v>0.30399999999999999</v>
      </c>
      <c r="AF86" s="20">
        <f>IFERROR(INDEX('Classification Rules'!$E$43:$E$46,MATCH($AA86,'Classification Rules'!$B$43:$B$46,0)),"")</f>
        <v>0.33947680000000002</v>
      </c>
      <c r="AG86" s="20">
        <f>IFERROR(INDEX('Classification Rules'!$F$43:$F$46,MATCH($AA86,'Classification Rules'!$B$43:$B$46,0)),"")</f>
        <v>0.15</v>
      </c>
      <c r="AH86" s="20">
        <f>IFERROR(INDEX('Classification Rules'!$G$43:$G$46,MATCH($AA86,'Classification Rules'!$B$43:$B$46,0)),"")</f>
        <v>0.13950000000000001</v>
      </c>
      <c r="AI86" s="21" t="str">
        <f>IFERROR(INDEX('Classification Rules'!$I$43:$I$46,MATCH($AA86,'Classification Rules'!$B$43:$B$46,0)),"")</f>
        <v>10-14 weeks per cluster</v>
      </c>
      <c r="AJ86" s="21" t="str">
        <f>IFERROR(INDEX('Classification Rules'!$J$43:$J$46,MATCH($AA86,'Classification Rules'!$B$43:$B$46,0)),"")</f>
        <v>Fully sourced, onshore-weighted</v>
      </c>
      <c r="AK86" s="21">
        <f>IFERROR(INDEX('Classification Rules'!$K$43:$K$46,MATCH($AA86,'Classification Rules'!$B$43:$B$46,0)),"")</f>
        <v>0</v>
      </c>
    </row>
    <row r="87" spans="1:37" ht="39" customHeight="1" x14ac:dyDescent="0.3">
      <c r="A87" s="25">
        <v>83</v>
      </c>
      <c r="B87" s="26">
        <v>11010</v>
      </c>
      <c r="C87" s="26" t="s">
        <v>296</v>
      </c>
      <c r="D87" s="26" t="s">
        <v>297</v>
      </c>
      <c r="E87" s="26" t="s">
        <v>143</v>
      </c>
      <c r="F87" s="26" t="s">
        <v>227</v>
      </c>
      <c r="G87" s="26" t="s">
        <v>42</v>
      </c>
      <c r="H87" s="26" t="s">
        <v>145</v>
      </c>
      <c r="I87" s="26" t="s">
        <v>44</v>
      </c>
      <c r="J87" s="26" t="s">
        <v>45</v>
      </c>
      <c r="K87" s="26" t="s">
        <v>46</v>
      </c>
      <c r="L87" s="26" t="s">
        <v>298</v>
      </c>
      <c r="M87" s="26" t="s">
        <v>45</v>
      </c>
      <c r="N87" s="26" t="s">
        <v>46</v>
      </c>
      <c r="O87" s="26" t="s">
        <v>162</v>
      </c>
      <c r="P87" s="26" t="s">
        <v>58</v>
      </c>
      <c r="Q87" s="27">
        <v>1.2583333333333331</v>
      </c>
      <c r="R87" s="27">
        <v>2.9166666666666671E-2</v>
      </c>
      <c r="S87" s="27">
        <v>0.5</v>
      </c>
      <c r="T87" s="27">
        <v>1.7875000000000001</v>
      </c>
      <c r="U87" s="28">
        <v>0.55710955710955723</v>
      </c>
      <c r="V87" s="27">
        <v>0.89374999999999982</v>
      </c>
      <c r="W87" s="27">
        <v>0.89374999999999982</v>
      </c>
      <c r="X87" s="29" t="str">
        <f t="shared" si="8"/>
        <v>Rule 3</v>
      </c>
      <c r="Y87" s="29" t="str">
        <f t="shared" si="9"/>
        <v>B</v>
      </c>
      <c r="Z87" s="30"/>
      <c r="AA87" s="4" t="str">
        <f t="shared" si="10"/>
        <v>B</v>
      </c>
      <c r="AB87" s="6" t="str">
        <f>IFERROR(INDEX('Classification Rules'!$C$43:$C$46,MATCH($AA87,'Classification Rules'!$B$43:$B$46,0)),"")</f>
        <v>Offshore-ready</v>
      </c>
      <c r="AC87" s="21" t="str">
        <f t="shared" si="11"/>
        <v>Cloud Indicator = Yes  (Platform as a Service (PaaS))</v>
      </c>
      <c r="AD87" s="21" t="str">
        <f>IFERROR(INDEX('Classification Rules'!$D$13:$D$16,MATCH($AA87,'Classification Rules'!$B$13:$B$16,0)),"")</f>
        <v>Cloud migration has already forced re-platforming, documentation and specifiability. Highest AI and offshore ceiling in the estate.</v>
      </c>
      <c r="AE87" s="20">
        <f>IFERROR(INDEX('Classification Rules'!$D$43:$D$46,MATCH($AA87,'Classification Rules'!$B$43:$B$46,0)),"")</f>
        <v>0.48249999999999998</v>
      </c>
      <c r="AF87" s="20">
        <f>IFERROR(INDEX('Classification Rules'!$E$43:$E$46,MATCH($AA87,'Classification Rules'!$B$43:$B$46,0)),"")</f>
        <v>0.45402025000000001</v>
      </c>
      <c r="AG87" s="20">
        <f>IFERROR(INDEX('Classification Rules'!$F$43:$F$46,MATCH($AA87,'Classification Rules'!$B$43:$B$46,0)),"")</f>
        <v>0.78</v>
      </c>
      <c r="AH87" s="20">
        <f>IFERROR(INDEX('Classification Rules'!$G$43:$G$46,MATCH($AA87,'Classification Rules'!$B$43:$B$46,0)),"")</f>
        <v>0.72540000000000004</v>
      </c>
      <c r="AI87" s="21" t="str">
        <f>IFERROR(INDEX('Classification Rules'!$I$43:$I$46,MATCH($AA87,'Classification Rules'!$B$43:$B$46,0)),"")</f>
        <v>6-8 weeks per cluster</v>
      </c>
      <c r="AJ87" s="21" t="str">
        <f>IFERROR(INDEX('Classification Rules'!$J$43:$J$46,MATCH($AA87,'Classification Rules'!$B$43:$B$46,0)),"")</f>
        <v>Fully sourced, moving to output units</v>
      </c>
      <c r="AK87" s="21">
        <f>IFERROR(INDEX('Classification Rules'!$K$43:$K$46,MATCH($AA87,'Classification Rules'!$B$43:$B$46,0)),"")</f>
        <v>0</v>
      </c>
    </row>
    <row r="88" spans="1:37" ht="39" customHeight="1" x14ac:dyDescent="0.3">
      <c r="A88" s="25">
        <v>84</v>
      </c>
      <c r="B88" s="26">
        <v>11011</v>
      </c>
      <c r="C88" s="26" t="s">
        <v>299</v>
      </c>
      <c r="D88" s="26" t="s">
        <v>300</v>
      </c>
      <c r="E88" s="26" t="s">
        <v>143</v>
      </c>
      <c r="F88" s="26" t="s">
        <v>161</v>
      </c>
      <c r="G88" s="26" t="s">
        <v>42</v>
      </c>
      <c r="H88" s="26" t="s">
        <v>145</v>
      </c>
      <c r="I88" s="26" t="s">
        <v>44</v>
      </c>
      <c r="J88" s="26" t="s">
        <v>45</v>
      </c>
      <c r="K88" s="26" t="s">
        <v>46</v>
      </c>
      <c r="L88" s="26" t="s">
        <v>158</v>
      </c>
      <c r="M88" s="26" t="s">
        <v>45</v>
      </c>
      <c r="N88" s="26" t="s">
        <v>57</v>
      </c>
      <c r="O88" s="26"/>
      <c r="P88" s="26" t="s">
        <v>58</v>
      </c>
      <c r="Q88" s="27">
        <v>6.0791666666666666</v>
      </c>
      <c r="R88" s="27">
        <v>1.0708333333333331</v>
      </c>
      <c r="S88" s="27">
        <v>0</v>
      </c>
      <c r="T88" s="27">
        <v>7.15</v>
      </c>
      <c r="U88" s="28">
        <v>0.90384615384615385</v>
      </c>
      <c r="V88" s="27">
        <v>3.5750000000000002</v>
      </c>
      <c r="W88" s="27">
        <v>3.5750000000000002</v>
      </c>
      <c r="X88" s="29" t="str">
        <f t="shared" si="8"/>
        <v>Rule 4</v>
      </c>
      <c r="Y88" s="29" t="str">
        <f t="shared" si="9"/>
        <v>A</v>
      </c>
      <c r="Z88" s="30"/>
      <c r="AA88" s="4" t="str">
        <f t="shared" si="10"/>
        <v>A</v>
      </c>
      <c r="AB88" s="6" t="str">
        <f>IFERROR(INDEX('Classification Rules'!$C$43:$C$46,MATCH($AA88,'Classification Rules'!$B$43:$B$46,0)),"")</f>
        <v>Language-locked</v>
      </c>
      <c r="AC88" s="21" t="str">
        <f t="shared" si="11"/>
        <v>Cloud Indicator = No, not mainframe, not a transfer target</v>
      </c>
      <c r="AD88" s="21" t="str">
        <f>IFERROR(INDEX('Classification Rules'!$D$13:$D$16,MATCH($AA88,'Classification Rules'!$B$13:$B$16,0)),"")</f>
        <v>On-premises and non-mainframe, so the constraint is not the technology — it is that the business context exists only in Japanese, in few heads.</v>
      </c>
      <c r="AE88" s="20">
        <f>IFERROR(INDEX('Classification Rules'!$D$43:$D$46,MATCH($AA88,'Classification Rules'!$B$43:$B$46,0)),"")</f>
        <v>0.30399999999999999</v>
      </c>
      <c r="AF88" s="20">
        <f>IFERROR(INDEX('Classification Rules'!$E$43:$E$46,MATCH($AA88,'Classification Rules'!$B$43:$B$46,0)),"")</f>
        <v>0.33947680000000002</v>
      </c>
      <c r="AG88" s="20">
        <f>IFERROR(INDEX('Classification Rules'!$F$43:$F$46,MATCH($AA88,'Classification Rules'!$B$43:$B$46,0)),"")</f>
        <v>0.15</v>
      </c>
      <c r="AH88" s="20">
        <f>IFERROR(INDEX('Classification Rules'!$G$43:$G$46,MATCH($AA88,'Classification Rules'!$B$43:$B$46,0)),"")</f>
        <v>0.13950000000000001</v>
      </c>
      <c r="AI88" s="21" t="str">
        <f>IFERROR(INDEX('Classification Rules'!$I$43:$I$46,MATCH($AA88,'Classification Rules'!$B$43:$B$46,0)),"")</f>
        <v>10-14 weeks per cluster</v>
      </c>
      <c r="AJ88" s="21" t="str">
        <f>IFERROR(INDEX('Classification Rules'!$J$43:$J$46,MATCH($AA88,'Classification Rules'!$B$43:$B$46,0)),"")</f>
        <v>Fully sourced, onshore-weighted</v>
      </c>
      <c r="AK88" s="21">
        <f>IFERROR(INDEX('Classification Rules'!$K$43:$K$46,MATCH($AA88,'Classification Rules'!$B$43:$B$46,0)),"")</f>
        <v>0</v>
      </c>
    </row>
    <row r="89" spans="1:37" ht="39" customHeight="1" x14ac:dyDescent="0.3">
      <c r="A89" s="25">
        <v>85</v>
      </c>
      <c r="B89" s="26">
        <v>11012</v>
      </c>
      <c r="C89" s="26" t="s">
        <v>301</v>
      </c>
      <c r="D89" s="26" t="s">
        <v>302</v>
      </c>
      <c r="E89" s="26" t="s">
        <v>126</v>
      </c>
      <c r="F89" s="26" t="s">
        <v>303</v>
      </c>
      <c r="G89" s="26" t="s">
        <v>115</v>
      </c>
      <c r="H89" s="26" t="s">
        <v>128</v>
      </c>
      <c r="I89" s="26" t="s">
        <v>44</v>
      </c>
      <c r="J89" s="26" t="s">
        <v>45</v>
      </c>
      <c r="K89" s="26" t="s">
        <v>46</v>
      </c>
      <c r="L89" s="26" t="s">
        <v>158</v>
      </c>
      <c r="M89" s="26" t="s">
        <v>45</v>
      </c>
      <c r="N89" s="26" t="s">
        <v>57</v>
      </c>
      <c r="O89" s="26"/>
      <c r="P89" s="26" t="s">
        <v>58</v>
      </c>
      <c r="Q89" s="27">
        <v>1.652333333333333</v>
      </c>
      <c r="R89" s="27">
        <v>0.29166666666666669</v>
      </c>
      <c r="S89" s="27">
        <v>0</v>
      </c>
      <c r="T89" s="27">
        <v>1.944</v>
      </c>
      <c r="U89" s="28">
        <v>0.83217592592592593</v>
      </c>
      <c r="V89" s="27">
        <v>0.97200000000000009</v>
      </c>
      <c r="W89" s="27">
        <v>0.97200000000000009</v>
      </c>
      <c r="X89" s="29" t="str">
        <f t="shared" si="8"/>
        <v>Rule 4</v>
      </c>
      <c r="Y89" s="29" t="str">
        <f t="shared" si="9"/>
        <v>A</v>
      </c>
      <c r="Z89" s="30"/>
      <c r="AA89" s="4" t="str">
        <f t="shared" si="10"/>
        <v>A</v>
      </c>
      <c r="AB89" s="6" t="str">
        <f>IFERROR(INDEX('Classification Rules'!$C$43:$C$46,MATCH($AA89,'Classification Rules'!$B$43:$B$46,0)),"")</f>
        <v>Language-locked</v>
      </c>
      <c r="AC89" s="21" t="str">
        <f t="shared" si="11"/>
        <v>Cloud Indicator = No, not mainframe, not a transfer target</v>
      </c>
      <c r="AD89" s="21" t="str">
        <f>IFERROR(INDEX('Classification Rules'!$D$13:$D$16,MATCH($AA89,'Classification Rules'!$B$13:$B$16,0)),"")</f>
        <v>On-premises and non-mainframe, so the constraint is not the technology — it is that the business context exists only in Japanese, in few heads.</v>
      </c>
      <c r="AE89" s="20">
        <f>IFERROR(INDEX('Classification Rules'!$D$43:$D$46,MATCH($AA89,'Classification Rules'!$B$43:$B$46,0)),"")</f>
        <v>0.30399999999999999</v>
      </c>
      <c r="AF89" s="20">
        <f>IFERROR(INDEX('Classification Rules'!$E$43:$E$46,MATCH($AA89,'Classification Rules'!$B$43:$B$46,0)),"")</f>
        <v>0.33947680000000002</v>
      </c>
      <c r="AG89" s="20">
        <f>IFERROR(INDEX('Classification Rules'!$F$43:$F$46,MATCH($AA89,'Classification Rules'!$B$43:$B$46,0)),"")</f>
        <v>0.15</v>
      </c>
      <c r="AH89" s="20">
        <f>IFERROR(INDEX('Classification Rules'!$G$43:$G$46,MATCH($AA89,'Classification Rules'!$B$43:$B$46,0)),"")</f>
        <v>0.13950000000000001</v>
      </c>
      <c r="AI89" s="21" t="str">
        <f>IFERROR(INDEX('Classification Rules'!$I$43:$I$46,MATCH($AA89,'Classification Rules'!$B$43:$B$46,0)),"")</f>
        <v>10-14 weeks per cluster</v>
      </c>
      <c r="AJ89" s="21" t="str">
        <f>IFERROR(INDEX('Classification Rules'!$J$43:$J$46,MATCH($AA89,'Classification Rules'!$B$43:$B$46,0)),"")</f>
        <v>Fully sourced, onshore-weighted</v>
      </c>
      <c r="AK89" s="21">
        <f>IFERROR(INDEX('Classification Rules'!$K$43:$K$46,MATCH($AA89,'Classification Rules'!$B$43:$B$46,0)),"")</f>
        <v>0</v>
      </c>
    </row>
    <row r="90" spans="1:37" ht="39" customHeight="1" x14ac:dyDescent="0.3">
      <c r="A90" s="25">
        <v>86</v>
      </c>
      <c r="B90" s="26">
        <v>11014</v>
      </c>
      <c r="C90" s="26" t="s">
        <v>304</v>
      </c>
      <c r="D90" s="26" t="s">
        <v>305</v>
      </c>
      <c r="E90" s="26" t="s">
        <v>237</v>
      </c>
      <c r="F90" s="26" t="s">
        <v>238</v>
      </c>
      <c r="G90" s="26" t="s">
        <v>239</v>
      </c>
      <c r="H90" s="26" t="s">
        <v>239</v>
      </c>
      <c r="I90" s="26" t="s">
        <v>108</v>
      </c>
      <c r="J90" s="26" t="s">
        <v>45</v>
      </c>
      <c r="K90" s="26" t="s">
        <v>46</v>
      </c>
      <c r="L90" s="26" t="s">
        <v>306</v>
      </c>
      <c r="M90" s="26" t="s">
        <v>55</v>
      </c>
      <c r="N90" s="26" t="s">
        <v>46</v>
      </c>
      <c r="O90" s="26"/>
      <c r="P90" s="26" t="s">
        <v>58</v>
      </c>
      <c r="Q90" s="27">
        <v>29.097916666666659</v>
      </c>
      <c r="R90" s="27">
        <v>6.8250000000000011</v>
      </c>
      <c r="S90" s="27">
        <v>6.8500000000000014</v>
      </c>
      <c r="T90" s="27">
        <v>42.772916666666667</v>
      </c>
      <c r="U90" s="28">
        <v>0.88284058253372955</v>
      </c>
      <c r="V90" s="27">
        <v>21.38645833333333</v>
      </c>
      <c r="W90" s="27">
        <v>21.38645833333333</v>
      </c>
      <c r="X90" s="29" t="str">
        <f t="shared" si="8"/>
        <v>Rule 2</v>
      </c>
      <c r="Y90" s="29" t="str">
        <f t="shared" si="9"/>
        <v>C</v>
      </c>
      <c r="Z90" s="30"/>
      <c r="AA90" s="4" t="str">
        <f t="shared" si="10"/>
        <v>C</v>
      </c>
      <c r="AB90" s="6" t="str">
        <f>IFERROR(INDEX('Classification Rules'!$C$43:$C$46,MATCH($AA90,'Classification Rules'!$B$43:$B$46,0)),"")</f>
        <v>MGCC-destined</v>
      </c>
      <c r="AC90" s="21" t="str">
        <f t="shared" si="11"/>
        <v>Priority Transfer Target = Y</v>
      </c>
      <c r="AD90" s="21" t="str">
        <f>IFERROR(INDEX('Classification Rules'!$D$13:$D$16,MATCH($AA90,'Classification Rules'!$B$13:$B$16,0)),"")</f>
        <v>MetLife has already flagged these for transfer and nine of ten already carry MGCC people. Routing them through a vendor transition pays for the same knowledge transfer twice.</v>
      </c>
      <c r="AE90" s="20">
        <f>IFERROR(INDEX('Classification Rules'!$D$43:$D$46,MATCH($AA90,'Classification Rules'!$B$43:$B$46,0)),"")</f>
        <v>0.45250000000000001</v>
      </c>
      <c r="AF90" s="20">
        <f>IFERROR(INDEX('Classification Rules'!$E$43:$E$46,MATCH($AA90,'Classification Rules'!$B$43:$B$46,0)),"")</f>
        <v>0.43476925</v>
      </c>
      <c r="AG90" s="20">
        <f>IFERROR(INDEX('Classification Rules'!$F$43:$F$46,MATCH($AA90,'Classification Rules'!$B$43:$B$46,0)),"")</f>
        <v>0</v>
      </c>
      <c r="AH90" s="20">
        <f>IFERROR(INDEX('Classification Rules'!$G$43:$G$46,MATCH($AA90,'Classification Rules'!$B$43:$B$46,0)),"")</f>
        <v>0</v>
      </c>
      <c r="AI90" s="21" t="str">
        <f>IFERROR(INDEX('Classification Rules'!$I$43:$I$46,MATCH($AA90,'Classification Rules'!$B$43:$B$46,0)),"")</f>
        <v>6-8 weeks, role handover</v>
      </c>
      <c r="AJ90" s="21" t="str">
        <f>IFERROR(INDEX('Classification Rules'!$J$43:$J$46,MATCH($AA90,'Classification Rules'!$B$43:$B$46,0)),"")</f>
        <v>Co-sourced with MGCC, permanently</v>
      </c>
      <c r="AK90" s="21">
        <f>IFERROR(INDEX('Classification Rules'!$K$43:$K$46,MATCH($AA90,'Classification Rules'!$B$43:$B$46,0)),"")</f>
        <v>0</v>
      </c>
    </row>
    <row r="91" spans="1:37" ht="39" customHeight="1" x14ac:dyDescent="0.3">
      <c r="A91" s="25">
        <v>87</v>
      </c>
      <c r="B91" s="26">
        <v>11203</v>
      </c>
      <c r="C91" s="26" t="s">
        <v>307</v>
      </c>
      <c r="D91" s="26" t="s">
        <v>308</v>
      </c>
      <c r="E91" s="26" t="s">
        <v>187</v>
      </c>
      <c r="F91" s="26" t="s">
        <v>188</v>
      </c>
      <c r="G91" s="26" t="s">
        <v>177</v>
      </c>
      <c r="H91" s="26" t="s">
        <v>189</v>
      </c>
      <c r="I91" s="26" t="s">
        <v>44</v>
      </c>
      <c r="J91" s="26" t="s">
        <v>45</v>
      </c>
      <c r="K91" s="26" t="s">
        <v>57</v>
      </c>
      <c r="L91" s="26" t="s">
        <v>309</v>
      </c>
      <c r="M91" s="26" t="s">
        <v>55</v>
      </c>
      <c r="N91" s="26" t="s">
        <v>46</v>
      </c>
      <c r="O91" s="26" t="s">
        <v>48</v>
      </c>
      <c r="P91" s="26" t="s">
        <v>49</v>
      </c>
      <c r="Q91" s="27">
        <v>20.833333333333329</v>
      </c>
      <c r="R91" s="27">
        <v>10.00416666666667</v>
      </c>
      <c r="S91" s="27">
        <v>12.725</v>
      </c>
      <c r="T91" s="27">
        <v>43.5625</v>
      </c>
      <c r="U91" s="28">
        <v>0.86915351506456251</v>
      </c>
      <c r="V91" s="27">
        <v>21.78125</v>
      </c>
      <c r="W91" s="27">
        <v>21.78125</v>
      </c>
      <c r="X91" s="29" t="str">
        <f t="shared" si="8"/>
        <v>Rule 2</v>
      </c>
      <c r="Y91" s="29" t="str">
        <f t="shared" si="9"/>
        <v>C</v>
      </c>
      <c r="Z91" s="30"/>
      <c r="AA91" s="4" t="str">
        <f t="shared" si="10"/>
        <v>C</v>
      </c>
      <c r="AB91" s="6" t="str">
        <f>IFERROR(INDEX('Classification Rules'!$C$43:$C$46,MATCH($AA91,'Classification Rules'!$B$43:$B$46,0)),"")</f>
        <v>MGCC-destined</v>
      </c>
      <c r="AC91" s="21" t="str">
        <f t="shared" si="11"/>
        <v>Priority Transfer Target = Y</v>
      </c>
      <c r="AD91" s="21" t="str">
        <f>IFERROR(INDEX('Classification Rules'!$D$13:$D$16,MATCH($AA91,'Classification Rules'!$B$13:$B$16,0)),"")</f>
        <v>MetLife has already flagged these for transfer and nine of ten already carry MGCC people. Routing them through a vendor transition pays for the same knowledge transfer twice.</v>
      </c>
      <c r="AE91" s="20">
        <f>IFERROR(INDEX('Classification Rules'!$D$43:$D$46,MATCH($AA91,'Classification Rules'!$B$43:$B$46,0)),"")</f>
        <v>0.45250000000000001</v>
      </c>
      <c r="AF91" s="20">
        <f>IFERROR(INDEX('Classification Rules'!$E$43:$E$46,MATCH($AA91,'Classification Rules'!$B$43:$B$46,0)),"")</f>
        <v>0.43476925</v>
      </c>
      <c r="AG91" s="20">
        <f>IFERROR(INDEX('Classification Rules'!$F$43:$F$46,MATCH($AA91,'Classification Rules'!$B$43:$B$46,0)),"")</f>
        <v>0</v>
      </c>
      <c r="AH91" s="20">
        <f>IFERROR(INDEX('Classification Rules'!$G$43:$G$46,MATCH($AA91,'Classification Rules'!$B$43:$B$46,0)),"")</f>
        <v>0</v>
      </c>
      <c r="AI91" s="21" t="str">
        <f>IFERROR(INDEX('Classification Rules'!$I$43:$I$46,MATCH($AA91,'Classification Rules'!$B$43:$B$46,0)),"")</f>
        <v>6-8 weeks, role handover</v>
      </c>
      <c r="AJ91" s="21" t="str">
        <f>IFERROR(INDEX('Classification Rules'!$J$43:$J$46,MATCH($AA91,'Classification Rules'!$B$43:$B$46,0)),"")</f>
        <v>Co-sourced with MGCC, permanently</v>
      </c>
      <c r="AK91" s="21">
        <f>IFERROR(INDEX('Classification Rules'!$K$43:$K$46,MATCH($AA91,'Classification Rules'!$B$43:$B$46,0)),"")</f>
        <v>0</v>
      </c>
    </row>
    <row r="92" spans="1:37" ht="39" customHeight="1" x14ac:dyDescent="0.3">
      <c r="A92" s="25">
        <v>88</v>
      </c>
      <c r="B92" s="26">
        <v>11288</v>
      </c>
      <c r="C92" s="26" t="s">
        <v>310</v>
      </c>
      <c r="D92" s="26" t="s">
        <v>311</v>
      </c>
      <c r="E92" s="26" t="s">
        <v>143</v>
      </c>
      <c r="F92" s="26" t="s">
        <v>161</v>
      </c>
      <c r="G92" s="26" t="s">
        <v>42</v>
      </c>
      <c r="H92" s="26" t="s">
        <v>145</v>
      </c>
      <c r="I92" s="26" t="s">
        <v>44</v>
      </c>
      <c r="J92" s="26" t="s">
        <v>45</v>
      </c>
      <c r="K92" s="26" t="s">
        <v>46</v>
      </c>
      <c r="L92" s="26" t="s">
        <v>135</v>
      </c>
      <c r="M92" s="26" t="s">
        <v>45</v>
      </c>
      <c r="N92" s="26" t="s">
        <v>57</v>
      </c>
      <c r="O92" s="26"/>
      <c r="P92" s="26" t="s">
        <v>58</v>
      </c>
      <c r="Q92" s="27">
        <v>9.166666666666666E-2</v>
      </c>
      <c r="R92" s="27">
        <v>0</v>
      </c>
      <c r="S92" s="27">
        <v>0</v>
      </c>
      <c r="T92" s="27">
        <v>9.166666666666666E-2</v>
      </c>
      <c r="U92" s="28">
        <v>0.27272727272727271</v>
      </c>
      <c r="V92" s="27">
        <v>4.583333333333333E-2</v>
      </c>
      <c r="W92" s="27">
        <v>4.583333333333333E-2</v>
      </c>
      <c r="X92" s="29" t="str">
        <f t="shared" si="8"/>
        <v>Rule 4</v>
      </c>
      <c r="Y92" s="29" t="str">
        <f t="shared" si="9"/>
        <v>A</v>
      </c>
      <c r="Z92" s="30"/>
      <c r="AA92" s="4" t="str">
        <f t="shared" si="10"/>
        <v>A</v>
      </c>
      <c r="AB92" s="6" t="str">
        <f>IFERROR(INDEX('Classification Rules'!$C$43:$C$46,MATCH($AA92,'Classification Rules'!$B$43:$B$46,0)),"")</f>
        <v>Language-locked</v>
      </c>
      <c r="AC92" s="21" t="str">
        <f t="shared" si="11"/>
        <v>Cloud Indicator = No, not mainframe, not a transfer target</v>
      </c>
      <c r="AD92" s="21" t="str">
        <f>IFERROR(INDEX('Classification Rules'!$D$13:$D$16,MATCH($AA92,'Classification Rules'!$B$13:$B$16,0)),"")</f>
        <v>On-premises and non-mainframe, so the constraint is not the technology — it is that the business context exists only in Japanese, in few heads.</v>
      </c>
      <c r="AE92" s="20">
        <f>IFERROR(INDEX('Classification Rules'!$D$43:$D$46,MATCH($AA92,'Classification Rules'!$B$43:$B$46,0)),"")</f>
        <v>0.30399999999999999</v>
      </c>
      <c r="AF92" s="20">
        <f>IFERROR(INDEX('Classification Rules'!$E$43:$E$46,MATCH($AA92,'Classification Rules'!$B$43:$B$46,0)),"")</f>
        <v>0.33947680000000002</v>
      </c>
      <c r="AG92" s="20">
        <f>IFERROR(INDEX('Classification Rules'!$F$43:$F$46,MATCH($AA92,'Classification Rules'!$B$43:$B$46,0)),"")</f>
        <v>0.15</v>
      </c>
      <c r="AH92" s="20">
        <f>IFERROR(INDEX('Classification Rules'!$G$43:$G$46,MATCH($AA92,'Classification Rules'!$B$43:$B$46,0)),"")</f>
        <v>0.13950000000000001</v>
      </c>
      <c r="AI92" s="21" t="str">
        <f>IFERROR(INDEX('Classification Rules'!$I$43:$I$46,MATCH($AA92,'Classification Rules'!$B$43:$B$46,0)),"")</f>
        <v>10-14 weeks per cluster</v>
      </c>
      <c r="AJ92" s="21" t="str">
        <f>IFERROR(INDEX('Classification Rules'!$J$43:$J$46,MATCH($AA92,'Classification Rules'!$B$43:$B$46,0)),"")</f>
        <v>Fully sourced, onshore-weighted</v>
      </c>
      <c r="AK92" s="21">
        <f>IFERROR(INDEX('Classification Rules'!$K$43:$K$46,MATCH($AA92,'Classification Rules'!$B$43:$B$46,0)),"")</f>
        <v>0</v>
      </c>
    </row>
    <row r="93" spans="1:37" ht="39" customHeight="1" x14ac:dyDescent="0.3">
      <c r="A93" s="25">
        <v>89</v>
      </c>
      <c r="B93" s="26">
        <v>11308</v>
      </c>
      <c r="C93" s="26" t="s">
        <v>312</v>
      </c>
      <c r="D93" s="26" t="s">
        <v>313</v>
      </c>
      <c r="E93" s="26" t="s">
        <v>143</v>
      </c>
      <c r="F93" s="26" t="s">
        <v>227</v>
      </c>
      <c r="G93" s="26" t="s">
        <v>42</v>
      </c>
      <c r="H93" s="26" t="s">
        <v>145</v>
      </c>
      <c r="I93" s="26" t="s">
        <v>44</v>
      </c>
      <c r="J93" s="26" t="s">
        <v>45</v>
      </c>
      <c r="K93" s="26" t="s">
        <v>46</v>
      </c>
      <c r="L93" s="26" t="s">
        <v>158</v>
      </c>
      <c r="M93" s="26" t="s">
        <v>45</v>
      </c>
      <c r="N93" s="26" t="s">
        <v>57</v>
      </c>
      <c r="O93" s="26"/>
      <c r="P93" s="26" t="s">
        <v>58</v>
      </c>
      <c r="Q93" s="27">
        <v>0.48125000000000001</v>
      </c>
      <c r="R93" s="27">
        <v>6.25E-2</v>
      </c>
      <c r="S93" s="27">
        <v>0</v>
      </c>
      <c r="T93" s="27">
        <v>0.54374999999999996</v>
      </c>
      <c r="U93" s="28">
        <v>0.37931034482758619</v>
      </c>
      <c r="V93" s="27">
        <v>0.27187499999999998</v>
      </c>
      <c r="W93" s="27">
        <v>0.27187499999999998</v>
      </c>
      <c r="X93" s="29" t="str">
        <f t="shared" si="8"/>
        <v>Rule 4</v>
      </c>
      <c r="Y93" s="29" t="str">
        <f t="shared" si="9"/>
        <v>A</v>
      </c>
      <c r="Z93" s="30"/>
      <c r="AA93" s="4" t="str">
        <f t="shared" si="10"/>
        <v>A</v>
      </c>
      <c r="AB93" s="6" t="str">
        <f>IFERROR(INDEX('Classification Rules'!$C$43:$C$46,MATCH($AA93,'Classification Rules'!$B$43:$B$46,0)),"")</f>
        <v>Language-locked</v>
      </c>
      <c r="AC93" s="21" t="str">
        <f t="shared" si="11"/>
        <v>Cloud Indicator = No, not mainframe, not a transfer target</v>
      </c>
      <c r="AD93" s="21" t="str">
        <f>IFERROR(INDEX('Classification Rules'!$D$13:$D$16,MATCH($AA93,'Classification Rules'!$B$13:$B$16,0)),"")</f>
        <v>On-premises and non-mainframe, so the constraint is not the technology — it is that the business context exists only in Japanese, in few heads.</v>
      </c>
      <c r="AE93" s="20">
        <f>IFERROR(INDEX('Classification Rules'!$D$43:$D$46,MATCH($AA93,'Classification Rules'!$B$43:$B$46,0)),"")</f>
        <v>0.30399999999999999</v>
      </c>
      <c r="AF93" s="20">
        <f>IFERROR(INDEX('Classification Rules'!$E$43:$E$46,MATCH($AA93,'Classification Rules'!$B$43:$B$46,0)),"")</f>
        <v>0.33947680000000002</v>
      </c>
      <c r="AG93" s="20">
        <f>IFERROR(INDEX('Classification Rules'!$F$43:$F$46,MATCH($AA93,'Classification Rules'!$B$43:$B$46,0)),"")</f>
        <v>0.15</v>
      </c>
      <c r="AH93" s="20">
        <f>IFERROR(INDEX('Classification Rules'!$G$43:$G$46,MATCH($AA93,'Classification Rules'!$B$43:$B$46,0)),"")</f>
        <v>0.13950000000000001</v>
      </c>
      <c r="AI93" s="21" t="str">
        <f>IFERROR(INDEX('Classification Rules'!$I$43:$I$46,MATCH($AA93,'Classification Rules'!$B$43:$B$46,0)),"")</f>
        <v>10-14 weeks per cluster</v>
      </c>
      <c r="AJ93" s="21" t="str">
        <f>IFERROR(INDEX('Classification Rules'!$J$43:$J$46,MATCH($AA93,'Classification Rules'!$B$43:$B$46,0)),"")</f>
        <v>Fully sourced, onshore-weighted</v>
      </c>
      <c r="AK93" s="21">
        <f>IFERROR(INDEX('Classification Rules'!$K$43:$K$46,MATCH($AA93,'Classification Rules'!$B$43:$B$46,0)),"")</f>
        <v>0</v>
      </c>
    </row>
    <row r="94" spans="1:37" ht="39" customHeight="1" x14ac:dyDescent="0.3">
      <c r="A94" s="25">
        <v>90</v>
      </c>
      <c r="B94" s="26">
        <v>11604</v>
      </c>
      <c r="C94" s="26" t="s">
        <v>314</v>
      </c>
      <c r="D94" s="26" t="s">
        <v>315</v>
      </c>
      <c r="E94" s="26" t="s">
        <v>120</v>
      </c>
      <c r="F94" s="26" t="s">
        <v>316</v>
      </c>
      <c r="G94" s="26" t="s">
        <v>115</v>
      </c>
      <c r="H94" s="26" t="s">
        <v>122</v>
      </c>
      <c r="I94" s="26" t="s">
        <v>108</v>
      </c>
      <c r="J94" s="26" t="s">
        <v>45</v>
      </c>
      <c r="K94" s="26" t="s">
        <v>46</v>
      </c>
      <c r="L94" s="26" t="s">
        <v>317</v>
      </c>
      <c r="M94" s="26" t="s">
        <v>45</v>
      </c>
      <c r="N94" s="26" t="s">
        <v>57</v>
      </c>
      <c r="O94" s="26"/>
      <c r="P94" s="26" t="s">
        <v>49</v>
      </c>
      <c r="Q94" s="27">
        <v>5.6624583333333343</v>
      </c>
      <c r="R94" s="27">
        <v>4.0750000000000002</v>
      </c>
      <c r="S94" s="27">
        <v>0</v>
      </c>
      <c r="T94" s="27">
        <v>9.7374583333333344</v>
      </c>
      <c r="U94" s="28">
        <v>0.89730379676421379</v>
      </c>
      <c r="V94" s="27">
        <v>4.8687291666666672</v>
      </c>
      <c r="W94" s="27">
        <v>4.8687291666666672</v>
      </c>
      <c r="X94" s="29" t="str">
        <f t="shared" si="8"/>
        <v>Rule 4</v>
      </c>
      <c r="Y94" s="29" t="str">
        <f t="shared" si="9"/>
        <v>A</v>
      </c>
      <c r="Z94" s="30"/>
      <c r="AA94" s="4" t="str">
        <f t="shared" si="10"/>
        <v>A</v>
      </c>
      <c r="AB94" s="6" t="str">
        <f>IFERROR(INDEX('Classification Rules'!$C$43:$C$46,MATCH($AA94,'Classification Rules'!$B$43:$B$46,0)),"")</f>
        <v>Language-locked</v>
      </c>
      <c r="AC94" s="21" t="str">
        <f t="shared" si="11"/>
        <v>Cloud Indicator = No, not mainframe, not a transfer target</v>
      </c>
      <c r="AD94" s="21" t="str">
        <f>IFERROR(INDEX('Classification Rules'!$D$13:$D$16,MATCH($AA94,'Classification Rules'!$B$13:$B$16,0)),"")</f>
        <v>On-premises and non-mainframe, so the constraint is not the technology — it is that the business context exists only in Japanese, in few heads.</v>
      </c>
      <c r="AE94" s="20">
        <f>IFERROR(INDEX('Classification Rules'!$D$43:$D$46,MATCH($AA94,'Classification Rules'!$B$43:$B$46,0)),"")</f>
        <v>0.30399999999999999</v>
      </c>
      <c r="AF94" s="20">
        <f>IFERROR(INDEX('Classification Rules'!$E$43:$E$46,MATCH($AA94,'Classification Rules'!$B$43:$B$46,0)),"")</f>
        <v>0.33947680000000002</v>
      </c>
      <c r="AG94" s="20">
        <f>IFERROR(INDEX('Classification Rules'!$F$43:$F$46,MATCH($AA94,'Classification Rules'!$B$43:$B$46,0)),"")</f>
        <v>0.15</v>
      </c>
      <c r="AH94" s="20">
        <f>IFERROR(INDEX('Classification Rules'!$G$43:$G$46,MATCH($AA94,'Classification Rules'!$B$43:$B$46,0)),"")</f>
        <v>0.13950000000000001</v>
      </c>
      <c r="AI94" s="21" t="str">
        <f>IFERROR(INDEX('Classification Rules'!$I$43:$I$46,MATCH($AA94,'Classification Rules'!$B$43:$B$46,0)),"")</f>
        <v>10-14 weeks per cluster</v>
      </c>
      <c r="AJ94" s="21" t="str">
        <f>IFERROR(INDEX('Classification Rules'!$J$43:$J$46,MATCH($AA94,'Classification Rules'!$B$43:$B$46,0)),"")</f>
        <v>Fully sourced, onshore-weighted</v>
      </c>
      <c r="AK94" s="21">
        <f>IFERROR(INDEX('Classification Rules'!$K$43:$K$46,MATCH($AA94,'Classification Rules'!$B$43:$B$46,0)),"")</f>
        <v>0</v>
      </c>
    </row>
    <row r="95" spans="1:37" ht="39" customHeight="1" x14ac:dyDescent="0.3">
      <c r="A95" s="25">
        <v>91</v>
      </c>
      <c r="B95" s="26">
        <v>11893</v>
      </c>
      <c r="C95" s="26" t="s">
        <v>318</v>
      </c>
      <c r="D95" s="26" t="s">
        <v>319</v>
      </c>
      <c r="E95" s="26" t="s">
        <v>120</v>
      </c>
      <c r="F95" s="26" t="s">
        <v>320</v>
      </c>
      <c r="G95" s="26" t="s">
        <v>115</v>
      </c>
      <c r="H95" s="26" t="s">
        <v>122</v>
      </c>
      <c r="I95" s="26" t="s">
        <v>44</v>
      </c>
      <c r="J95" s="26" t="s">
        <v>45</v>
      </c>
      <c r="K95" s="26" t="s">
        <v>46</v>
      </c>
      <c r="L95" s="26" t="s">
        <v>158</v>
      </c>
      <c r="M95" s="26" t="s">
        <v>45</v>
      </c>
      <c r="N95" s="26" t="s">
        <v>46</v>
      </c>
      <c r="O95" s="26" t="s">
        <v>162</v>
      </c>
      <c r="P95" s="26" t="s">
        <v>58</v>
      </c>
      <c r="Q95" s="27">
        <v>0.2</v>
      </c>
      <c r="R95" s="27">
        <v>0.2</v>
      </c>
      <c r="S95" s="27">
        <v>0</v>
      </c>
      <c r="T95" s="27">
        <v>0.35416666666666669</v>
      </c>
      <c r="U95" s="28">
        <v>0.56470588235294117</v>
      </c>
      <c r="V95" s="27">
        <v>0.17708333333333329</v>
      </c>
      <c r="W95" s="27">
        <v>0.17708333333333329</v>
      </c>
      <c r="X95" s="29" t="str">
        <f t="shared" si="8"/>
        <v>Rule 3</v>
      </c>
      <c r="Y95" s="29" t="str">
        <f t="shared" si="9"/>
        <v>B</v>
      </c>
      <c r="Z95" s="30"/>
      <c r="AA95" s="4" t="str">
        <f t="shared" si="10"/>
        <v>B</v>
      </c>
      <c r="AB95" s="6" t="str">
        <f>IFERROR(INDEX('Classification Rules'!$C$43:$C$46,MATCH($AA95,'Classification Rules'!$B$43:$B$46,0)),"")</f>
        <v>Offshore-ready</v>
      </c>
      <c r="AC95" s="21" t="str">
        <f t="shared" si="11"/>
        <v>Cloud Indicator = Yes  (Platform as a Service (PaaS))</v>
      </c>
      <c r="AD95" s="21" t="str">
        <f>IFERROR(INDEX('Classification Rules'!$D$13:$D$16,MATCH($AA95,'Classification Rules'!$B$13:$B$16,0)),"")</f>
        <v>Cloud migration has already forced re-platforming, documentation and specifiability. Highest AI and offshore ceiling in the estate.</v>
      </c>
      <c r="AE95" s="20">
        <f>IFERROR(INDEX('Classification Rules'!$D$43:$D$46,MATCH($AA95,'Classification Rules'!$B$43:$B$46,0)),"")</f>
        <v>0.48249999999999998</v>
      </c>
      <c r="AF95" s="20">
        <f>IFERROR(INDEX('Classification Rules'!$E$43:$E$46,MATCH($AA95,'Classification Rules'!$B$43:$B$46,0)),"")</f>
        <v>0.45402025000000001</v>
      </c>
      <c r="AG95" s="20">
        <f>IFERROR(INDEX('Classification Rules'!$F$43:$F$46,MATCH($AA95,'Classification Rules'!$B$43:$B$46,0)),"")</f>
        <v>0.78</v>
      </c>
      <c r="AH95" s="20">
        <f>IFERROR(INDEX('Classification Rules'!$G$43:$G$46,MATCH($AA95,'Classification Rules'!$B$43:$B$46,0)),"")</f>
        <v>0.72540000000000004</v>
      </c>
      <c r="AI95" s="21" t="str">
        <f>IFERROR(INDEX('Classification Rules'!$I$43:$I$46,MATCH($AA95,'Classification Rules'!$B$43:$B$46,0)),"")</f>
        <v>6-8 weeks per cluster</v>
      </c>
      <c r="AJ95" s="21" t="str">
        <f>IFERROR(INDEX('Classification Rules'!$J$43:$J$46,MATCH($AA95,'Classification Rules'!$B$43:$B$46,0)),"")</f>
        <v>Fully sourced, moving to output units</v>
      </c>
      <c r="AK95" s="21">
        <f>IFERROR(INDEX('Classification Rules'!$K$43:$K$46,MATCH($AA95,'Classification Rules'!$B$43:$B$46,0)),"")</f>
        <v>0</v>
      </c>
    </row>
    <row r="96" spans="1:37" ht="39" customHeight="1" x14ac:dyDescent="0.3">
      <c r="A96" s="25">
        <v>92</v>
      </c>
      <c r="B96" s="26">
        <v>11986</v>
      </c>
      <c r="C96" s="26" t="s">
        <v>321</v>
      </c>
      <c r="D96" s="26" t="s">
        <v>322</v>
      </c>
      <c r="E96" s="26" t="s">
        <v>187</v>
      </c>
      <c r="F96" s="26" t="s">
        <v>220</v>
      </c>
      <c r="G96" s="26" t="s">
        <v>177</v>
      </c>
      <c r="H96" s="26" t="s">
        <v>221</v>
      </c>
      <c r="I96" s="26" t="s">
        <v>108</v>
      </c>
      <c r="J96" s="26" t="s">
        <v>45</v>
      </c>
      <c r="K96" s="26" t="s">
        <v>46</v>
      </c>
      <c r="L96" s="26" t="s">
        <v>158</v>
      </c>
      <c r="M96" s="26" t="s">
        <v>45</v>
      </c>
      <c r="N96" s="26" t="s">
        <v>46</v>
      </c>
      <c r="O96" s="26" t="s">
        <v>323</v>
      </c>
      <c r="P96" s="26" t="s">
        <v>58</v>
      </c>
      <c r="Q96" s="27">
        <v>6</v>
      </c>
      <c r="R96" s="27">
        <v>6</v>
      </c>
      <c r="S96" s="27">
        <v>3</v>
      </c>
      <c r="T96" s="27">
        <v>15</v>
      </c>
      <c r="U96" s="28">
        <v>1</v>
      </c>
      <c r="V96" s="27">
        <v>7.5</v>
      </c>
      <c r="W96" s="27">
        <v>7.5</v>
      </c>
      <c r="X96" s="29" t="str">
        <f t="shared" si="8"/>
        <v>Rule 3</v>
      </c>
      <c r="Y96" s="29" t="str">
        <f t="shared" si="9"/>
        <v>B</v>
      </c>
      <c r="Z96" s="30"/>
      <c r="AA96" s="4" t="str">
        <f t="shared" si="10"/>
        <v>B</v>
      </c>
      <c r="AB96" s="6" t="str">
        <f>IFERROR(INDEX('Classification Rules'!$C$43:$C$46,MATCH($AA96,'Classification Rules'!$B$43:$B$46,0)),"")</f>
        <v>Offshore-ready</v>
      </c>
      <c r="AC96" s="21" t="str">
        <f t="shared" si="11"/>
        <v>Cloud Indicator = Yes  (Infrastructure as a Service (IaaS); Platform as a Service (PaaS))</v>
      </c>
      <c r="AD96" s="21" t="str">
        <f>IFERROR(INDEX('Classification Rules'!$D$13:$D$16,MATCH($AA96,'Classification Rules'!$B$13:$B$16,0)),"")</f>
        <v>Cloud migration has already forced re-platforming, documentation and specifiability. Highest AI and offshore ceiling in the estate.</v>
      </c>
      <c r="AE96" s="20">
        <f>IFERROR(INDEX('Classification Rules'!$D$43:$D$46,MATCH($AA96,'Classification Rules'!$B$43:$B$46,0)),"")</f>
        <v>0.48249999999999998</v>
      </c>
      <c r="AF96" s="20">
        <f>IFERROR(INDEX('Classification Rules'!$E$43:$E$46,MATCH($AA96,'Classification Rules'!$B$43:$B$46,0)),"")</f>
        <v>0.45402025000000001</v>
      </c>
      <c r="AG96" s="20">
        <f>IFERROR(INDEX('Classification Rules'!$F$43:$F$46,MATCH($AA96,'Classification Rules'!$B$43:$B$46,0)),"")</f>
        <v>0.78</v>
      </c>
      <c r="AH96" s="20">
        <f>IFERROR(INDEX('Classification Rules'!$G$43:$G$46,MATCH($AA96,'Classification Rules'!$B$43:$B$46,0)),"")</f>
        <v>0.72540000000000004</v>
      </c>
      <c r="AI96" s="21" t="str">
        <f>IFERROR(INDEX('Classification Rules'!$I$43:$I$46,MATCH($AA96,'Classification Rules'!$B$43:$B$46,0)),"")</f>
        <v>6-8 weeks per cluster</v>
      </c>
      <c r="AJ96" s="21" t="str">
        <f>IFERROR(INDEX('Classification Rules'!$J$43:$J$46,MATCH($AA96,'Classification Rules'!$B$43:$B$46,0)),"")</f>
        <v>Fully sourced, moving to output units</v>
      </c>
      <c r="AK96" s="21">
        <f>IFERROR(INDEX('Classification Rules'!$K$43:$K$46,MATCH($AA96,'Classification Rules'!$B$43:$B$46,0)),"")</f>
        <v>0</v>
      </c>
    </row>
    <row r="97" spans="1:37" ht="39" customHeight="1" x14ac:dyDescent="0.3">
      <c r="A97" s="25">
        <v>93</v>
      </c>
      <c r="B97" s="26">
        <v>12021</v>
      </c>
      <c r="C97" s="26" t="s">
        <v>324</v>
      </c>
      <c r="D97" s="26" t="s">
        <v>325</v>
      </c>
      <c r="E97" s="26" t="s">
        <v>175</v>
      </c>
      <c r="F97" s="26" t="s">
        <v>176</v>
      </c>
      <c r="G97" s="26" t="s">
        <v>177</v>
      </c>
      <c r="H97" s="26" t="s">
        <v>204</v>
      </c>
      <c r="I97" s="26" t="s">
        <v>44</v>
      </c>
      <c r="J97" s="26" t="s">
        <v>45</v>
      </c>
      <c r="K97" s="26" t="s">
        <v>46</v>
      </c>
      <c r="L97" s="26" t="s">
        <v>326</v>
      </c>
      <c r="M97" s="26" t="s">
        <v>45</v>
      </c>
      <c r="N97" s="26" t="s">
        <v>57</v>
      </c>
      <c r="O97" s="26"/>
      <c r="P97" s="26" t="s">
        <v>49</v>
      </c>
      <c r="Q97" s="27">
        <v>0</v>
      </c>
      <c r="R97" s="27">
        <v>0</v>
      </c>
      <c r="S97" s="27">
        <v>0</v>
      </c>
      <c r="T97" s="27">
        <v>0</v>
      </c>
      <c r="U97" s="28">
        <v>0</v>
      </c>
      <c r="V97" s="27">
        <v>0</v>
      </c>
      <c r="W97" s="27">
        <v>0</v>
      </c>
      <c r="X97" s="29" t="str">
        <f t="shared" si="8"/>
        <v>Rule 4</v>
      </c>
      <c r="Y97" s="29" t="str">
        <f t="shared" si="9"/>
        <v>A</v>
      </c>
      <c r="Z97" s="30"/>
      <c r="AA97" s="4" t="str">
        <f t="shared" si="10"/>
        <v>A</v>
      </c>
      <c r="AB97" s="6" t="str">
        <f>IFERROR(INDEX('Classification Rules'!$C$43:$C$46,MATCH($AA97,'Classification Rules'!$B$43:$B$46,0)),"")</f>
        <v>Language-locked</v>
      </c>
      <c r="AC97" s="21" t="str">
        <f t="shared" si="11"/>
        <v>Cloud Indicator = No, not mainframe, not a transfer target</v>
      </c>
      <c r="AD97" s="21" t="str">
        <f>IFERROR(INDEX('Classification Rules'!$D$13:$D$16,MATCH($AA97,'Classification Rules'!$B$13:$B$16,0)),"")</f>
        <v>On-premises and non-mainframe, so the constraint is not the technology — it is that the business context exists only in Japanese, in few heads.</v>
      </c>
      <c r="AE97" s="20">
        <f>IFERROR(INDEX('Classification Rules'!$D$43:$D$46,MATCH($AA97,'Classification Rules'!$B$43:$B$46,0)),"")</f>
        <v>0.30399999999999999</v>
      </c>
      <c r="AF97" s="20">
        <f>IFERROR(INDEX('Classification Rules'!$E$43:$E$46,MATCH($AA97,'Classification Rules'!$B$43:$B$46,0)),"")</f>
        <v>0.33947680000000002</v>
      </c>
      <c r="AG97" s="20">
        <f>IFERROR(INDEX('Classification Rules'!$F$43:$F$46,MATCH($AA97,'Classification Rules'!$B$43:$B$46,0)),"")</f>
        <v>0.15</v>
      </c>
      <c r="AH97" s="20">
        <f>IFERROR(INDEX('Classification Rules'!$G$43:$G$46,MATCH($AA97,'Classification Rules'!$B$43:$B$46,0)),"")</f>
        <v>0.13950000000000001</v>
      </c>
      <c r="AI97" s="21" t="str">
        <f>IFERROR(INDEX('Classification Rules'!$I$43:$I$46,MATCH($AA97,'Classification Rules'!$B$43:$B$46,0)),"")</f>
        <v>10-14 weeks per cluster</v>
      </c>
      <c r="AJ97" s="21" t="str">
        <f>IFERROR(INDEX('Classification Rules'!$J$43:$J$46,MATCH($AA97,'Classification Rules'!$B$43:$B$46,0)),"")</f>
        <v>Fully sourced, onshore-weighted</v>
      </c>
      <c r="AK97" s="21">
        <f>IFERROR(INDEX('Classification Rules'!$K$43:$K$46,MATCH($AA97,'Classification Rules'!$B$43:$B$46,0)),"")</f>
        <v>0</v>
      </c>
    </row>
    <row r="98" spans="1:37" ht="39" customHeight="1" x14ac:dyDescent="0.3">
      <c r="A98" s="25">
        <v>94</v>
      </c>
      <c r="B98" s="26">
        <v>12030</v>
      </c>
      <c r="C98" s="26" t="s">
        <v>327</v>
      </c>
      <c r="D98" s="26" t="s">
        <v>328</v>
      </c>
      <c r="E98" s="26" t="s">
        <v>175</v>
      </c>
      <c r="F98" s="26" t="s">
        <v>176</v>
      </c>
      <c r="G98" s="26" t="s">
        <v>177</v>
      </c>
      <c r="H98" s="26" t="s">
        <v>204</v>
      </c>
      <c r="I98" s="26" t="s">
        <v>44</v>
      </c>
      <c r="J98" s="26" t="s">
        <v>45</v>
      </c>
      <c r="K98" s="26" t="s">
        <v>46</v>
      </c>
      <c r="L98" s="26" t="s">
        <v>158</v>
      </c>
      <c r="M98" s="26" t="s">
        <v>45</v>
      </c>
      <c r="N98" s="26" t="s">
        <v>57</v>
      </c>
      <c r="O98" s="26"/>
      <c r="P98" s="26" t="s">
        <v>49</v>
      </c>
      <c r="Q98" s="27">
        <v>0</v>
      </c>
      <c r="R98" s="27">
        <v>0</v>
      </c>
      <c r="S98" s="27">
        <v>0</v>
      </c>
      <c r="T98" s="27">
        <v>0</v>
      </c>
      <c r="U98" s="28">
        <v>0</v>
      </c>
      <c r="V98" s="27">
        <v>0</v>
      </c>
      <c r="W98" s="27">
        <v>0</v>
      </c>
      <c r="X98" s="29" t="str">
        <f t="shared" si="8"/>
        <v>Rule 4</v>
      </c>
      <c r="Y98" s="29" t="str">
        <f t="shared" si="9"/>
        <v>A</v>
      </c>
      <c r="Z98" s="30"/>
      <c r="AA98" s="4" t="str">
        <f t="shared" si="10"/>
        <v>A</v>
      </c>
      <c r="AB98" s="6" t="str">
        <f>IFERROR(INDEX('Classification Rules'!$C$43:$C$46,MATCH($AA98,'Classification Rules'!$B$43:$B$46,0)),"")</f>
        <v>Language-locked</v>
      </c>
      <c r="AC98" s="21" t="str">
        <f t="shared" si="11"/>
        <v>Cloud Indicator = No, not mainframe, not a transfer target</v>
      </c>
      <c r="AD98" s="21" t="str">
        <f>IFERROR(INDEX('Classification Rules'!$D$13:$D$16,MATCH($AA98,'Classification Rules'!$B$13:$B$16,0)),"")</f>
        <v>On-premises and non-mainframe, so the constraint is not the technology — it is that the business context exists only in Japanese, in few heads.</v>
      </c>
      <c r="AE98" s="20">
        <f>IFERROR(INDEX('Classification Rules'!$D$43:$D$46,MATCH($AA98,'Classification Rules'!$B$43:$B$46,0)),"")</f>
        <v>0.30399999999999999</v>
      </c>
      <c r="AF98" s="20">
        <f>IFERROR(INDEX('Classification Rules'!$E$43:$E$46,MATCH($AA98,'Classification Rules'!$B$43:$B$46,0)),"")</f>
        <v>0.33947680000000002</v>
      </c>
      <c r="AG98" s="20">
        <f>IFERROR(INDEX('Classification Rules'!$F$43:$F$46,MATCH($AA98,'Classification Rules'!$B$43:$B$46,0)),"")</f>
        <v>0.15</v>
      </c>
      <c r="AH98" s="20">
        <f>IFERROR(INDEX('Classification Rules'!$G$43:$G$46,MATCH($AA98,'Classification Rules'!$B$43:$B$46,0)),"")</f>
        <v>0.13950000000000001</v>
      </c>
      <c r="AI98" s="21" t="str">
        <f>IFERROR(INDEX('Classification Rules'!$I$43:$I$46,MATCH($AA98,'Classification Rules'!$B$43:$B$46,0)),"")</f>
        <v>10-14 weeks per cluster</v>
      </c>
      <c r="AJ98" s="21" t="str">
        <f>IFERROR(INDEX('Classification Rules'!$J$43:$J$46,MATCH($AA98,'Classification Rules'!$B$43:$B$46,0)),"")</f>
        <v>Fully sourced, onshore-weighted</v>
      </c>
      <c r="AK98" s="21">
        <f>IFERROR(INDEX('Classification Rules'!$K$43:$K$46,MATCH($AA98,'Classification Rules'!$B$43:$B$46,0)),"")</f>
        <v>0</v>
      </c>
    </row>
    <row r="99" spans="1:37" ht="39" customHeight="1" x14ac:dyDescent="0.3">
      <c r="A99" s="25">
        <v>95</v>
      </c>
      <c r="B99" s="26">
        <v>12038</v>
      </c>
      <c r="C99" s="26" t="s">
        <v>329</v>
      </c>
      <c r="D99" s="26" t="s">
        <v>330</v>
      </c>
      <c r="E99" s="26" t="s">
        <v>209</v>
      </c>
      <c r="F99" s="26" t="s">
        <v>331</v>
      </c>
      <c r="G99" s="26" t="s">
        <v>211</v>
      </c>
      <c r="H99" s="26" t="s">
        <v>211</v>
      </c>
      <c r="I99" s="26" t="s">
        <v>108</v>
      </c>
      <c r="J99" s="26" t="s">
        <v>45</v>
      </c>
      <c r="K99" s="26" t="s">
        <v>46</v>
      </c>
      <c r="L99" s="26" t="s">
        <v>158</v>
      </c>
      <c r="M99" s="26" t="s">
        <v>45</v>
      </c>
      <c r="N99" s="26" t="s">
        <v>46</v>
      </c>
      <c r="O99" s="26" t="s">
        <v>162</v>
      </c>
      <c r="P99" s="26" t="s">
        <v>58</v>
      </c>
      <c r="Q99" s="27">
        <v>19.24666666666667</v>
      </c>
      <c r="R99" s="27">
        <v>4.1333333333333329</v>
      </c>
      <c r="S99" s="27">
        <v>16.91041666666667</v>
      </c>
      <c r="T99" s="27">
        <v>40.290416666666673</v>
      </c>
      <c r="U99" s="28">
        <v>0.94847823613969406</v>
      </c>
      <c r="V99" s="27">
        <v>20.145208333333329</v>
      </c>
      <c r="W99" s="27">
        <v>20.145208333333329</v>
      </c>
      <c r="X99" s="29" t="str">
        <f t="shared" si="8"/>
        <v>Rule 3</v>
      </c>
      <c r="Y99" s="29" t="str">
        <f t="shared" si="9"/>
        <v>B</v>
      </c>
      <c r="Z99" s="30"/>
      <c r="AA99" s="4" t="str">
        <f t="shared" si="10"/>
        <v>B</v>
      </c>
      <c r="AB99" s="6" t="str">
        <f>IFERROR(INDEX('Classification Rules'!$C$43:$C$46,MATCH($AA99,'Classification Rules'!$B$43:$B$46,0)),"")</f>
        <v>Offshore-ready</v>
      </c>
      <c r="AC99" s="21" t="str">
        <f t="shared" si="11"/>
        <v>Cloud Indicator = Yes  (Platform as a Service (PaaS))</v>
      </c>
      <c r="AD99" s="21" t="str">
        <f>IFERROR(INDEX('Classification Rules'!$D$13:$D$16,MATCH($AA99,'Classification Rules'!$B$13:$B$16,0)),"")</f>
        <v>Cloud migration has already forced re-platforming, documentation and specifiability. Highest AI and offshore ceiling in the estate.</v>
      </c>
      <c r="AE99" s="20">
        <f>IFERROR(INDEX('Classification Rules'!$D$43:$D$46,MATCH($AA99,'Classification Rules'!$B$43:$B$46,0)),"")</f>
        <v>0.48249999999999998</v>
      </c>
      <c r="AF99" s="20">
        <f>IFERROR(INDEX('Classification Rules'!$E$43:$E$46,MATCH($AA99,'Classification Rules'!$B$43:$B$46,0)),"")</f>
        <v>0.45402025000000001</v>
      </c>
      <c r="AG99" s="20">
        <f>IFERROR(INDEX('Classification Rules'!$F$43:$F$46,MATCH($AA99,'Classification Rules'!$B$43:$B$46,0)),"")</f>
        <v>0.78</v>
      </c>
      <c r="AH99" s="20">
        <f>IFERROR(INDEX('Classification Rules'!$G$43:$G$46,MATCH($AA99,'Classification Rules'!$B$43:$B$46,0)),"")</f>
        <v>0.72540000000000004</v>
      </c>
      <c r="AI99" s="21" t="str">
        <f>IFERROR(INDEX('Classification Rules'!$I$43:$I$46,MATCH($AA99,'Classification Rules'!$B$43:$B$46,0)),"")</f>
        <v>6-8 weeks per cluster</v>
      </c>
      <c r="AJ99" s="21" t="str">
        <f>IFERROR(INDEX('Classification Rules'!$J$43:$J$46,MATCH($AA99,'Classification Rules'!$B$43:$B$46,0)),"")</f>
        <v>Fully sourced, moving to output units</v>
      </c>
      <c r="AK99" s="21">
        <f>IFERROR(INDEX('Classification Rules'!$K$43:$K$46,MATCH($AA99,'Classification Rules'!$B$43:$B$46,0)),"")</f>
        <v>0</v>
      </c>
    </row>
    <row r="100" spans="1:37" ht="39" customHeight="1" x14ac:dyDescent="0.3">
      <c r="A100" s="25">
        <v>96</v>
      </c>
      <c r="B100" s="26">
        <v>12117</v>
      </c>
      <c r="C100" s="26" t="s">
        <v>332</v>
      </c>
      <c r="D100" s="26" t="s">
        <v>333</v>
      </c>
      <c r="E100" s="26" t="s">
        <v>120</v>
      </c>
      <c r="F100" s="26" t="s">
        <v>121</v>
      </c>
      <c r="G100" s="26" t="s">
        <v>115</v>
      </c>
      <c r="H100" s="26" t="s">
        <v>122</v>
      </c>
      <c r="I100" s="26" t="s">
        <v>44</v>
      </c>
      <c r="J100" s="26" t="s">
        <v>55</v>
      </c>
      <c r="K100" s="26" t="s">
        <v>46</v>
      </c>
      <c r="L100" s="26" t="s">
        <v>123</v>
      </c>
      <c r="M100" s="26" t="s">
        <v>45</v>
      </c>
      <c r="N100" s="26" t="s">
        <v>57</v>
      </c>
      <c r="O100" s="26"/>
      <c r="P100" s="26" t="s">
        <v>49</v>
      </c>
      <c r="Q100" s="27">
        <v>6</v>
      </c>
      <c r="R100" s="27">
        <v>15.5375</v>
      </c>
      <c r="S100" s="27">
        <v>11</v>
      </c>
      <c r="T100" s="27">
        <v>62.64237500000003</v>
      </c>
      <c r="U100" s="28">
        <v>0.8631983009371319</v>
      </c>
      <c r="V100" s="27">
        <v>31.321187500000011</v>
      </c>
      <c r="W100" s="27">
        <v>31.321187500000011</v>
      </c>
      <c r="X100" s="29" t="str">
        <f t="shared" si="8"/>
        <v>Rule 4</v>
      </c>
      <c r="Y100" s="29" t="str">
        <f t="shared" si="9"/>
        <v>A</v>
      </c>
      <c r="Z100" s="30"/>
      <c r="AA100" s="4" t="str">
        <f t="shared" si="10"/>
        <v>A</v>
      </c>
      <c r="AB100" s="6" t="str">
        <f>IFERROR(INDEX('Classification Rules'!$C$43:$C$46,MATCH($AA100,'Classification Rules'!$B$43:$B$46,0)),"")</f>
        <v>Language-locked</v>
      </c>
      <c r="AC100" s="21" t="str">
        <f t="shared" si="11"/>
        <v>Cloud Indicator = No, not mainframe, not a transfer target</v>
      </c>
      <c r="AD100" s="21" t="str">
        <f>IFERROR(INDEX('Classification Rules'!$D$13:$D$16,MATCH($AA100,'Classification Rules'!$B$13:$B$16,0)),"")</f>
        <v>On-premises and non-mainframe, so the constraint is not the technology — it is that the business context exists only in Japanese, in few heads.</v>
      </c>
      <c r="AE100" s="20">
        <f>IFERROR(INDEX('Classification Rules'!$D$43:$D$46,MATCH($AA100,'Classification Rules'!$B$43:$B$46,0)),"")</f>
        <v>0.30399999999999999</v>
      </c>
      <c r="AF100" s="20">
        <f>IFERROR(INDEX('Classification Rules'!$E$43:$E$46,MATCH($AA100,'Classification Rules'!$B$43:$B$46,0)),"")</f>
        <v>0.33947680000000002</v>
      </c>
      <c r="AG100" s="20">
        <f>IFERROR(INDEX('Classification Rules'!$F$43:$F$46,MATCH($AA100,'Classification Rules'!$B$43:$B$46,0)),"")</f>
        <v>0.15</v>
      </c>
      <c r="AH100" s="20">
        <f>IFERROR(INDEX('Classification Rules'!$G$43:$G$46,MATCH($AA100,'Classification Rules'!$B$43:$B$46,0)),"")</f>
        <v>0.13950000000000001</v>
      </c>
      <c r="AI100" s="21" t="str">
        <f>IFERROR(INDEX('Classification Rules'!$I$43:$I$46,MATCH($AA100,'Classification Rules'!$B$43:$B$46,0)),"")</f>
        <v>10-14 weeks per cluster</v>
      </c>
      <c r="AJ100" s="21" t="str">
        <f>IFERROR(INDEX('Classification Rules'!$J$43:$J$46,MATCH($AA100,'Classification Rules'!$B$43:$B$46,0)),"")</f>
        <v>Fully sourced, onshore-weighted</v>
      </c>
      <c r="AK100" s="21">
        <f>IFERROR(INDEX('Classification Rules'!$K$43:$K$46,MATCH($AA100,'Classification Rules'!$B$43:$B$46,0)),"")</f>
        <v>0</v>
      </c>
    </row>
    <row r="101" spans="1:37" ht="39" customHeight="1" x14ac:dyDescent="0.3">
      <c r="A101" s="25">
        <v>97</v>
      </c>
      <c r="B101" s="26">
        <v>12198</v>
      </c>
      <c r="C101" s="26" t="s">
        <v>334</v>
      </c>
      <c r="D101" s="26" t="s">
        <v>335</v>
      </c>
      <c r="E101" s="26" t="s">
        <v>120</v>
      </c>
      <c r="F101" s="26" t="s">
        <v>316</v>
      </c>
      <c r="G101" s="26" t="s">
        <v>115</v>
      </c>
      <c r="H101" s="26" t="s">
        <v>122</v>
      </c>
      <c r="I101" s="26" t="s">
        <v>108</v>
      </c>
      <c r="J101" s="26" t="s">
        <v>45</v>
      </c>
      <c r="K101" s="26" t="s">
        <v>46</v>
      </c>
      <c r="L101" s="26" t="s">
        <v>336</v>
      </c>
      <c r="M101" s="26" t="s">
        <v>45</v>
      </c>
      <c r="N101" s="26" t="s">
        <v>57</v>
      </c>
      <c r="O101" s="26"/>
      <c r="P101" s="26" t="s">
        <v>49</v>
      </c>
      <c r="Q101" s="27">
        <v>1</v>
      </c>
      <c r="R101" s="27">
        <v>2</v>
      </c>
      <c r="S101" s="27">
        <v>0</v>
      </c>
      <c r="T101" s="27">
        <v>3</v>
      </c>
      <c r="U101" s="28">
        <v>0</v>
      </c>
      <c r="V101" s="27">
        <v>1.5</v>
      </c>
      <c r="W101" s="27">
        <v>1.5</v>
      </c>
      <c r="X101" s="29" t="str">
        <f t="shared" ref="X101:X132" si="12">IF(OR(ISNUMBER(SEARCH("COBOL",$L101)),ISNUMBER(SEARCH("Assembler",$L101)),ISNUMBER(SEARCH("ASM",$L101)),ISNUMBER(SEARCH("RPG",$L101)),ISNUMBER(SEARCH("EASYPLUS",$L101)),ISNUMBER(SEARCH("PL/I",$L101))),"Rule 1",IF($M101="Y","Rule 2",IF($N101="Yes","Rule 3","Rule 4")))</f>
        <v>Rule 4</v>
      </c>
      <c r="Y101" s="29" t="str">
        <f t="shared" ref="Y101:Y132" si="13">IF($X101="Rule 1","D",IF($X101="Rule 2","C",IF($X101="Rule 3","B","A")))</f>
        <v>A</v>
      </c>
      <c r="Z101" s="30"/>
      <c r="AA101" s="4" t="str">
        <f t="shared" ref="AA101:AA132" si="14">IF($Z101="",$Y101,$Z101)</f>
        <v>A</v>
      </c>
      <c r="AB101" s="6" t="str">
        <f>IFERROR(INDEX('Classification Rules'!$C$43:$C$46,MATCH($AA101,'Classification Rules'!$B$43:$B$46,0)),"")</f>
        <v>Language-locked</v>
      </c>
      <c r="AC101" s="21" t="str">
        <f t="shared" ref="AC101:AC132" si="15">IF($X101="Rule 1","Language: "&amp;$L101,IF($X101="Rule 2","Priority Transfer Target = Y",IF($X101="Rule 3","Cloud Indicator = Yes  ("&amp;$O101&amp;")","Cloud Indicator = No, not mainframe, not a transfer target")))</f>
        <v>Cloud Indicator = No, not mainframe, not a transfer target</v>
      </c>
      <c r="AD101" s="21" t="str">
        <f>IFERROR(INDEX('Classification Rules'!$D$13:$D$16,MATCH($AA101,'Classification Rules'!$B$13:$B$16,0)),"")</f>
        <v>On-premises and non-mainframe, so the constraint is not the technology — it is that the business context exists only in Japanese, in few heads.</v>
      </c>
      <c r="AE101" s="20">
        <f>IFERROR(INDEX('Classification Rules'!$D$43:$D$46,MATCH($AA101,'Classification Rules'!$B$43:$B$46,0)),"")</f>
        <v>0.30399999999999999</v>
      </c>
      <c r="AF101" s="20">
        <f>IFERROR(INDEX('Classification Rules'!$E$43:$E$46,MATCH($AA101,'Classification Rules'!$B$43:$B$46,0)),"")</f>
        <v>0.33947680000000002</v>
      </c>
      <c r="AG101" s="20">
        <f>IFERROR(INDEX('Classification Rules'!$F$43:$F$46,MATCH($AA101,'Classification Rules'!$B$43:$B$46,0)),"")</f>
        <v>0.15</v>
      </c>
      <c r="AH101" s="20">
        <f>IFERROR(INDEX('Classification Rules'!$G$43:$G$46,MATCH($AA101,'Classification Rules'!$B$43:$B$46,0)),"")</f>
        <v>0.13950000000000001</v>
      </c>
      <c r="AI101" s="21" t="str">
        <f>IFERROR(INDEX('Classification Rules'!$I$43:$I$46,MATCH($AA101,'Classification Rules'!$B$43:$B$46,0)),"")</f>
        <v>10-14 weeks per cluster</v>
      </c>
      <c r="AJ101" s="21" t="str">
        <f>IFERROR(INDEX('Classification Rules'!$J$43:$J$46,MATCH($AA101,'Classification Rules'!$B$43:$B$46,0)),"")</f>
        <v>Fully sourced, onshore-weighted</v>
      </c>
      <c r="AK101" s="21">
        <f>IFERROR(INDEX('Classification Rules'!$K$43:$K$46,MATCH($AA101,'Classification Rules'!$B$43:$B$46,0)),"")</f>
        <v>0</v>
      </c>
    </row>
    <row r="102" spans="1:37" ht="39" customHeight="1" x14ac:dyDescent="0.3">
      <c r="A102" s="25">
        <v>98</v>
      </c>
      <c r="B102" s="26">
        <v>12520</v>
      </c>
      <c r="C102" s="26" t="s">
        <v>337</v>
      </c>
      <c r="D102" s="26" t="s">
        <v>338</v>
      </c>
      <c r="E102" s="26" t="s">
        <v>113</v>
      </c>
      <c r="F102" s="26" t="s">
        <v>339</v>
      </c>
      <c r="G102" s="26" t="s">
        <v>115</v>
      </c>
      <c r="H102" s="26" t="s">
        <v>116</v>
      </c>
      <c r="I102" s="26" t="s">
        <v>44</v>
      </c>
      <c r="J102" s="26" t="s">
        <v>45</v>
      </c>
      <c r="K102" s="26" t="s">
        <v>46</v>
      </c>
      <c r="L102" s="26" t="s">
        <v>158</v>
      </c>
      <c r="M102" s="26" t="s">
        <v>45</v>
      </c>
      <c r="N102" s="26" t="s">
        <v>46</v>
      </c>
      <c r="O102" s="26"/>
      <c r="P102" s="26" t="s">
        <v>58</v>
      </c>
      <c r="Q102" s="27">
        <v>0.125</v>
      </c>
      <c r="R102" s="27">
        <v>0</v>
      </c>
      <c r="S102" s="27">
        <v>0</v>
      </c>
      <c r="T102" s="27">
        <v>0.125</v>
      </c>
      <c r="U102" s="28">
        <v>1</v>
      </c>
      <c r="V102" s="27">
        <v>6.25E-2</v>
      </c>
      <c r="W102" s="27">
        <v>6.25E-2</v>
      </c>
      <c r="X102" s="29" t="str">
        <f t="shared" si="12"/>
        <v>Rule 3</v>
      </c>
      <c r="Y102" s="29" t="str">
        <f t="shared" si="13"/>
        <v>B</v>
      </c>
      <c r="Z102" s="30"/>
      <c r="AA102" s="4" t="str">
        <f t="shared" si="14"/>
        <v>B</v>
      </c>
      <c r="AB102" s="6" t="str">
        <f>IFERROR(INDEX('Classification Rules'!$C$43:$C$46,MATCH($AA102,'Classification Rules'!$B$43:$B$46,0)),"")</f>
        <v>Offshore-ready</v>
      </c>
      <c r="AC102" s="21" t="str">
        <f t="shared" si="15"/>
        <v>Cloud Indicator = Yes  ()</v>
      </c>
      <c r="AD102" s="21" t="str">
        <f>IFERROR(INDEX('Classification Rules'!$D$13:$D$16,MATCH($AA102,'Classification Rules'!$B$13:$B$16,0)),"")</f>
        <v>Cloud migration has already forced re-platforming, documentation and specifiability. Highest AI and offshore ceiling in the estate.</v>
      </c>
      <c r="AE102" s="20">
        <f>IFERROR(INDEX('Classification Rules'!$D$43:$D$46,MATCH($AA102,'Classification Rules'!$B$43:$B$46,0)),"")</f>
        <v>0.48249999999999998</v>
      </c>
      <c r="AF102" s="20">
        <f>IFERROR(INDEX('Classification Rules'!$E$43:$E$46,MATCH($AA102,'Classification Rules'!$B$43:$B$46,0)),"")</f>
        <v>0.45402025000000001</v>
      </c>
      <c r="AG102" s="20">
        <f>IFERROR(INDEX('Classification Rules'!$F$43:$F$46,MATCH($AA102,'Classification Rules'!$B$43:$B$46,0)),"")</f>
        <v>0.78</v>
      </c>
      <c r="AH102" s="20">
        <f>IFERROR(INDEX('Classification Rules'!$G$43:$G$46,MATCH($AA102,'Classification Rules'!$B$43:$B$46,0)),"")</f>
        <v>0.72540000000000004</v>
      </c>
      <c r="AI102" s="21" t="str">
        <f>IFERROR(INDEX('Classification Rules'!$I$43:$I$46,MATCH($AA102,'Classification Rules'!$B$43:$B$46,0)),"")</f>
        <v>6-8 weeks per cluster</v>
      </c>
      <c r="AJ102" s="21" t="str">
        <f>IFERROR(INDEX('Classification Rules'!$J$43:$J$46,MATCH($AA102,'Classification Rules'!$B$43:$B$46,0)),"")</f>
        <v>Fully sourced, moving to output units</v>
      </c>
      <c r="AK102" s="21">
        <f>IFERROR(INDEX('Classification Rules'!$K$43:$K$46,MATCH($AA102,'Classification Rules'!$B$43:$B$46,0)),"")</f>
        <v>0</v>
      </c>
    </row>
    <row r="103" spans="1:37" ht="39" customHeight="1" x14ac:dyDescent="0.3">
      <c r="A103" s="25">
        <v>99</v>
      </c>
      <c r="B103" s="26">
        <v>12527</v>
      </c>
      <c r="C103" s="26" t="s">
        <v>340</v>
      </c>
      <c r="D103" s="26" t="s">
        <v>341</v>
      </c>
      <c r="E103" s="26" t="s">
        <v>209</v>
      </c>
      <c r="F103" s="26" t="s">
        <v>331</v>
      </c>
      <c r="G103" s="26" t="s">
        <v>211</v>
      </c>
      <c r="H103" s="26" t="s">
        <v>211</v>
      </c>
      <c r="I103" s="26" t="s">
        <v>108</v>
      </c>
      <c r="J103" s="26" t="s">
        <v>45</v>
      </c>
      <c r="K103" s="26" t="s">
        <v>46</v>
      </c>
      <c r="L103" s="26" t="s">
        <v>158</v>
      </c>
      <c r="M103" s="26" t="s">
        <v>45</v>
      </c>
      <c r="N103" s="26" t="s">
        <v>46</v>
      </c>
      <c r="O103" s="26" t="s">
        <v>162</v>
      </c>
      <c r="P103" s="26" t="s">
        <v>58</v>
      </c>
      <c r="Q103" s="27">
        <v>0.1083333333333333</v>
      </c>
      <c r="R103" s="27">
        <v>0</v>
      </c>
      <c r="S103" s="27">
        <v>2.5000000000000001E-2</v>
      </c>
      <c r="T103" s="27">
        <v>0.1333333333333333</v>
      </c>
      <c r="U103" s="28">
        <v>1</v>
      </c>
      <c r="V103" s="27">
        <v>6.6666666666666666E-2</v>
      </c>
      <c r="W103" s="27">
        <v>6.6666666666666666E-2</v>
      </c>
      <c r="X103" s="29" t="str">
        <f t="shared" si="12"/>
        <v>Rule 3</v>
      </c>
      <c r="Y103" s="29" t="str">
        <f t="shared" si="13"/>
        <v>B</v>
      </c>
      <c r="Z103" s="30"/>
      <c r="AA103" s="4" t="str">
        <f t="shared" si="14"/>
        <v>B</v>
      </c>
      <c r="AB103" s="6" t="str">
        <f>IFERROR(INDEX('Classification Rules'!$C$43:$C$46,MATCH($AA103,'Classification Rules'!$B$43:$B$46,0)),"")</f>
        <v>Offshore-ready</v>
      </c>
      <c r="AC103" s="21" t="str">
        <f t="shared" si="15"/>
        <v>Cloud Indicator = Yes  (Platform as a Service (PaaS))</v>
      </c>
      <c r="AD103" s="21" t="str">
        <f>IFERROR(INDEX('Classification Rules'!$D$13:$D$16,MATCH($AA103,'Classification Rules'!$B$13:$B$16,0)),"")</f>
        <v>Cloud migration has already forced re-platforming, documentation and specifiability. Highest AI and offshore ceiling in the estate.</v>
      </c>
      <c r="AE103" s="20">
        <f>IFERROR(INDEX('Classification Rules'!$D$43:$D$46,MATCH($AA103,'Classification Rules'!$B$43:$B$46,0)),"")</f>
        <v>0.48249999999999998</v>
      </c>
      <c r="AF103" s="20">
        <f>IFERROR(INDEX('Classification Rules'!$E$43:$E$46,MATCH($AA103,'Classification Rules'!$B$43:$B$46,0)),"")</f>
        <v>0.45402025000000001</v>
      </c>
      <c r="AG103" s="20">
        <f>IFERROR(INDEX('Classification Rules'!$F$43:$F$46,MATCH($AA103,'Classification Rules'!$B$43:$B$46,0)),"")</f>
        <v>0.78</v>
      </c>
      <c r="AH103" s="20">
        <f>IFERROR(INDEX('Classification Rules'!$G$43:$G$46,MATCH($AA103,'Classification Rules'!$B$43:$B$46,0)),"")</f>
        <v>0.72540000000000004</v>
      </c>
      <c r="AI103" s="21" t="str">
        <f>IFERROR(INDEX('Classification Rules'!$I$43:$I$46,MATCH($AA103,'Classification Rules'!$B$43:$B$46,0)),"")</f>
        <v>6-8 weeks per cluster</v>
      </c>
      <c r="AJ103" s="21" t="str">
        <f>IFERROR(INDEX('Classification Rules'!$J$43:$J$46,MATCH($AA103,'Classification Rules'!$B$43:$B$46,0)),"")</f>
        <v>Fully sourced, moving to output units</v>
      </c>
      <c r="AK103" s="21">
        <f>IFERROR(INDEX('Classification Rules'!$K$43:$K$46,MATCH($AA103,'Classification Rules'!$B$43:$B$46,0)),"")</f>
        <v>0</v>
      </c>
    </row>
    <row r="104" spans="1:37" ht="39" customHeight="1" x14ac:dyDescent="0.3">
      <c r="A104" s="25">
        <v>100</v>
      </c>
      <c r="B104" s="26">
        <v>12607</v>
      </c>
      <c r="C104" s="26" t="s">
        <v>342</v>
      </c>
      <c r="D104" s="26" t="s">
        <v>343</v>
      </c>
      <c r="E104" s="26" t="s">
        <v>209</v>
      </c>
      <c r="F104" s="26" t="s">
        <v>210</v>
      </c>
      <c r="G104" s="26" t="s">
        <v>211</v>
      </c>
      <c r="H104" s="26" t="s">
        <v>211</v>
      </c>
      <c r="I104" s="26" t="s">
        <v>108</v>
      </c>
      <c r="J104" s="26" t="s">
        <v>45</v>
      </c>
      <c r="K104" s="26" t="s">
        <v>46</v>
      </c>
      <c r="L104" s="26" t="s">
        <v>158</v>
      </c>
      <c r="M104" s="26" t="s">
        <v>45</v>
      </c>
      <c r="N104" s="26" t="s">
        <v>46</v>
      </c>
      <c r="O104" s="26" t="s">
        <v>162</v>
      </c>
      <c r="P104" s="26" t="s">
        <v>58</v>
      </c>
      <c r="Q104" s="27">
        <v>1.3374999999999999</v>
      </c>
      <c r="R104" s="27">
        <v>0</v>
      </c>
      <c r="S104" s="27">
        <v>1</v>
      </c>
      <c r="T104" s="27">
        <v>2.3374999999999999</v>
      </c>
      <c r="U104" s="28">
        <v>1</v>
      </c>
      <c r="V104" s="27">
        <v>1.16875</v>
      </c>
      <c r="W104" s="27">
        <v>1.16875</v>
      </c>
      <c r="X104" s="29" t="str">
        <f t="shared" si="12"/>
        <v>Rule 3</v>
      </c>
      <c r="Y104" s="29" t="str">
        <f t="shared" si="13"/>
        <v>B</v>
      </c>
      <c r="Z104" s="30"/>
      <c r="AA104" s="4" t="str">
        <f t="shared" si="14"/>
        <v>B</v>
      </c>
      <c r="AB104" s="6" t="str">
        <f>IFERROR(INDEX('Classification Rules'!$C$43:$C$46,MATCH($AA104,'Classification Rules'!$B$43:$B$46,0)),"")</f>
        <v>Offshore-ready</v>
      </c>
      <c r="AC104" s="21" t="str">
        <f t="shared" si="15"/>
        <v>Cloud Indicator = Yes  (Platform as a Service (PaaS))</v>
      </c>
      <c r="AD104" s="21" t="str">
        <f>IFERROR(INDEX('Classification Rules'!$D$13:$D$16,MATCH($AA104,'Classification Rules'!$B$13:$B$16,0)),"")</f>
        <v>Cloud migration has already forced re-platforming, documentation and specifiability. Highest AI and offshore ceiling in the estate.</v>
      </c>
      <c r="AE104" s="20">
        <f>IFERROR(INDEX('Classification Rules'!$D$43:$D$46,MATCH($AA104,'Classification Rules'!$B$43:$B$46,0)),"")</f>
        <v>0.48249999999999998</v>
      </c>
      <c r="AF104" s="20">
        <f>IFERROR(INDEX('Classification Rules'!$E$43:$E$46,MATCH($AA104,'Classification Rules'!$B$43:$B$46,0)),"")</f>
        <v>0.45402025000000001</v>
      </c>
      <c r="AG104" s="20">
        <f>IFERROR(INDEX('Classification Rules'!$F$43:$F$46,MATCH($AA104,'Classification Rules'!$B$43:$B$46,0)),"")</f>
        <v>0.78</v>
      </c>
      <c r="AH104" s="20">
        <f>IFERROR(INDEX('Classification Rules'!$G$43:$G$46,MATCH($AA104,'Classification Rules'!$B$43:$B$46,0)),"")</f>
        <v>0.72540000000000004</v>
      </c>
      <c r="AI104" s="21" t="str">
        <f>IFERROR(INDEX('Classification Rules'!$I$43:$I$46,MATCH($AA104,'Classification Rules'!$B$43:$B$46,0)),"")</f>
        <v>6-8 weeks per cluster</v>
      </c>
      <c r="AJ104" s="21" t="str">
        <f>IFERROR(INDEX('Classification Rules'!$J$43:$J$46,MATCH($AA104,'Classification Rules'!$B$43:$B$46,0)),"")</f>
        <v>Fully sourced, moving to output units</v>
      </c>
      <c r="AK104" s="21">
        <f>IFERROR(INDEX('Classification Rules'!$K$43:$K$46,MATCH($AA104,'Classification Rules'!$B$43:$B$46,0)),"")</f>
        <v>0</v>
      </c>
    </row>
    <row r="105" spans="1:37" ht="39" customHeight="1" x14ac:dyDescent="0.3">
      <c r="A105" s="25">
        <v>101</v>
      </c>
      <c r="B105" s="26">
        <v>12646</v>
      </c>
      <c r="C105" s="26" t="s">
        <v>344</v>
      </c>
      <c r="D105" s="26" t="s">
        <v>345</v>
      </c>
      <c r="E105" s="26" t="s">
        <v>138</v>
      </c>
      <c r="F105" s="26" t="s">
        <v>139</v>
      </c>
      <c r="G105" s="26" t="s">
        <v>115</v>
      </c>
      <c r="H105" s="26" t="s">
        <v>140</v>
      </c>
      <c r="I105" s="26" t="s">
        <v>44</v>
      </c>
      <c r="J105" s="26" t="s">
        <v>55</v>
      </c>
      <c r="K105" s="26" t="s">
        <v>57</v>
      </c>
      <c r="L105" s="26" t="s">
        <v>346</v>
      </c>
      <c r="M105" s="26" t="s">
        <v>45</v>
      </c>
      <c r="N105" s="26" t="s">
        <v>46</v>
      </c>
      <c r="O105" s="26" t="s">
        <v>48</v>
      </c>
      <c r="P105" s="26" t="s">
        <v>49</v>
      </c>
      <c r="Q105" s="27">
        <v>9.5833333333333321</v>
      </c>
      <c r="R105" s="27">
        <v>11.3375</v>
      </c>
      <c r="S105" s="27">
        <v>7.0833333333333357</v>
      </c>
      <c r="T105" s="27">
        <v>28.00416666666667</v>
      </c>
      <c r="U105" s="28">
        <v>0.81223032286862074</v>
      </c>
      <c r="V105" s="27">
        <v>14.00208333333333</v>
      </c>
      <c r="W105" s="27">
        <v>14.00208333333333</v>
      </c>
      <c r="X105" s="29" t="str">
        <f t="shared" si="12"/>
        <v>Rule 3</v>
      </c>
      <c r="Y105" s="29" t="str">
        <f t="shared" si="13"/>
        <v>B</v>
      </c>
      <c r="Z105" s="30"/>
      <c r="AA105" s="4" t="str">
        <f t="shared" si="14"/>
        <v>B</v>
      </c>
      <c r="AB105" s="6" t="str">
        <f>IFERROR(INDEX('Classification Rules'!$C$43:$C$46,MATCH($AA105,'Classification Rules'!$B$43:$B$46,0)),"")</f>
        <v>Offshore-ready</v>
      </c>
      <c r="AC105" s="21" t="str">
        <f t="shared" si="15"/>
        <v>Cloud Indicator = Yes  (Software as a Service (SaaS))</v>
      </c>
      <c r="AD105" s="21" t="str">
        <f>IFERROR(INDEX('Classification Rules'!$D$13:$D$16,MATCH($AA105,'Classification Rules'!$B$13:$B$16,0)),"")</f>
        <v>Cloud migration has already forced re-platforming, documentation and specifiability. Highest AI and offshore ceiling in the estate.</v>
      </c>
      <c r="AE105" s="20">
        <f>IFERROR(INDEX('Classification Rules'!$D$43:$D$46,MATCH($AA105,'Classification Rules'!$B$43:$B$46,0)),"")</f>
        <v>0.48249999999999998</v>
      </c>
      <c r="AF105" s="20">
        <f>IFERROR(INDEX('Classification Rules'!$E$43:$E$46,MATCH($AA105,'Classification Rules'!$B$43:$B$46,0)),"")</f>
        <v>0.45402025000000001</v>
      </c>
      <c r="AG105" s="20">
        <f>IFERROR(INDEX('Classification Rules'!$F$43:$F$46,MATCH($AA105,'Classification Rules'!$B$43:$B$46,0)),"")</f>
        <v>0.78</v>
      </c>
      <c r="AH105" s="20">
        <f>IFERROR(INDEX('Classification Rules'!$G$43:$G$46,MATCH($AA105,'Classification Rules'!$B$43:$B$46,0)),"")</f>
        <v>0.72540000000000004</v>
      </c>
      <c r="AI105" s="21" t="str">
        <f>IFERROR(INDEX('Classification Rules'!$I$43:$I$46,MATCH($AA105,'Classification Rules'!$B$43:$B$46,0)),"")</f>
        <v>6-8 weeks per cluster</v>
      </c>
      <c r="AJ105" s="21" t="str">
        <f>IFERROR(INDEX('Classification Rules'!$J$43:$J$46,MATCH($AA105,'Classification Rules'!$B$43:$B$46,0)),"")</f>
        <v>Fully sourced, moving to output units</v>
      </c>
      <c r="AK105" s="21">
        <f>IFERROR(INDEX('Classification Rules'!$K$43:$K$46,MATCH($AA105,'Classification Rules'!$B$43:$B$46,0)),"")</f>
        <v>0</v>
      </c>
    </row>
    <row r="106" spans="1:37" ht="39" customHeight="1" x14ac:dyDescent="0.3">
      <c r="A106" s="25">
        <v>102</v>
      </c>
      <c r="B106" s="26">
        <v>12654</v>
      </c>
      <c r="C106" s="26" t="s">
        <v>347</v>
      </c>
      <c r="D106" s="26" t="s">
        <v>348</v>
      </c>
      <c r="E106" s="26" t="s">
        <v>209</v>
      </c>
      <c r="F106" s="26" t="s">
        <v>349</v>
      </c>
      <c r="G106" s="26" t="s">
        <v>115</v>
      </c>
      <c r="H106" s="26"/>
      <c r="I106" s="26" t="s">
        <v>350</v>
      </c>
      <c r="J106" s="26" t="s">
        <v>45</v>
      </c>
      <c r="K106" s="26" t="s">
        <v>46</v>
      </c>
      <c r="L106" s="26" t="s">
        <v>351</v>
      </c>
      <c r="M106" s="26" t="s">
        <v>45</v>
      </c>
      <c r="N106" s="26" t="s">
        <v>57</v>
      </c>
      <c r="O106" s="26"/>
      <c r="P106" s="26" t="s">
        <v>58</v>
      </c>
      <c r="Q106" s="27">
        <v>0</v>
      </c>
      <c r="R106" s="27">
        <v>0.25</v>
      </c>
      <c r="S106" s="27">
        <v>0</v>
      </c>
      <c r="T106" s="27">
        <v>0.25</v>
      </c>
      <c r="U106" s="28">
        <v>1</v>
      </c>
      <c r="V106" s="27">
        <v>0.125</v>
      </c>
      <c r="W106" s="27">
        <v>0.125</v>
      </c>
      <c r="X106" s="29" t="str">
        <f t="shared" si="12"/>
        <v>Rule 4</v>
      </c>
      <c r="Y106" s="29" t="str">
        <f t="shared" si="13"/>
        <v>A</v>
      </c>
      <c r="Z106" s="30"/>
      <c r="AA106" s="4" t="str">
        <f t="shared" si="14"/>
        <v>A</v>
      </c>
      <c r="AB106" s="6" t="str">
        <f>IFERROR(INDEX('Classification Rules'!$C$43:$C$46,MATCH($AA106,'Classification Rules'!$B$43:$B$46,0)),"")</f>
        <v>Language-locked</v>
      </c>
      <c r="AC106" s="21" t="str">
        <f t="shared" si="15"/>
        <v>Cloud Indicator = No, not mainframe, not a transfer target</v>
      </c>
      <c r="AD106" s="21" t="str">
        <f>IFERROR(INDEX('Classification Rules'!$D$13:$D$16,MATCH($AA106,'Classification Rules'!$B$13:$B$16,0)),"")</f>
        <v>On-premises and non-mainframe, so the constraint is not the technology — it is that the business context exists only in Japanese, in few heads.</v>
      </c>
      <c r="AE106" s="20">
        <f>IFERROR(INDEX('Classification Rules'!$D$43:$D$46,MATCH($AA106,'Classification Rules'!$B$43:$B$46,0)),"")</f>
        <v>0.30399999999999999</v>
      </c>
      <c r="AF106" s="20">
        <f>IFERROR(INDEX('Classification Rules'!$E$43:$E$46,MATCH($AA106,'Classification Rules'!$B$43:$B$46,0)),"")</f>
        <v>0.33947680000000002</v>
      </c>
      <c r="AG106" s="20">
        <f>IFERROR(INDEX('Classification Rules'!$F$43:$F$46,MATCH($AA106,'Classification Rules'!$B$43:$B$46,0)),"")</f>
        <v>0.15</v>
      </c>
      <c r="AH106" s="20">
        <f>IFERROR(INDEX('Classification Rules'!$G$43:$G$46,MATCH($AA106,'Classification Rules'!$B$43:$B$46,0)),"")</f>
        <v>0.13950000000000001</v>
      </c>
      <c r="AI106" s="21" t="str">
        <f>IFERROR(INDEX('Classification Rules'!$I$43:$I$46,MATCH($AA106,'Classification Rules'!$B$43:$B$46,0)),"")</f>
        <v>10-14 weeks per cluster</v>
      </c>
      <c r="AJ106" s="21" t="str">
        <f>IFERROR(INDEX('Classification Rules'!$J$43:$J$46,MATCH($AA106,'Classification Rules'!$B$43:$B$46,0)),"")</f>
        <v>Fully sourced, onshore-weighted</v>
      </c>
      <c r="AK106" s="21">
        <f>IFERROR(INDEX('Classification Rules'!$K$43:$K$46,MATCH($AA106,'Classification Rules'!$B$43:$B$46,0)),"")</f>
        <v>0</v>
      </c>
    </row>
    <row r="107" spans="1:37" ht="39" customHeight="1" x14ac:dyDescent="0.3">
      <c r="A107" s="25">
        <v>103</v>
      </c>
      <c r="B107" s="26">
        <v>12675</v>
      </c>
      <c r="C107" s="26" t="s">
        <v>352</v>
      </c>
      <c r="D107" s="26" t="s">
        <v>353</v>
      </c>
      <c r="E107" s="26" t="s">
        <v>120</v>
      </c>
      <c r="F107" s="26" t="s">
        <v>354</v>
      </c>
      <c r="G107" s="26" t="s">
        <v>115</v>
      </c>
      <c r="H107" s="26" t="s">
        <v>122</v>
      </c>
      <c r="I107" s="26" t="s">
        <v>350</v>
      </c>
      <c r="J107" s="26" t="s">
        <v>45</v>
      </c>
      <c r="K107" s="26" t="s">
        <v>46</v>
      </c>
      <c r="L107" s="26" t="s">
        <v>355</v>
      </c>
      <c r="M107" s="26" t="s">
        <v>45</v>
      </c>
      <c r="N107" s="26" t="s">
        <v>57</v>
      </c>
      <c r="O107" s="26"/>
      <c r="P107" s="26" t="s">
        <v>49</v>
      </c>
      <c r="Q107" s="27">
        <v>0</v>
      </c>
      <c r="R107" s="27">
        <v>0.1</v>
      </c>
      <c r="S107" s="27">
        <v>0</v>
      </c>
      <c r="T107" s="27">
        <v>0.1</v>
      </c>
      <c r="U107" s="28">
        <v>0</v>
      </c>
      <c r="V107" s="27">
        <v>0.05</v>
      </c>
      <c r="W107" s="27">
        <v>0.05</v>
      </c>
      <c r="X107" s="29" t="str">
        <f t="shared" si="12"/>
        <v>Rule 4</v>
      </c>
      <c r="Y107" s="29" t="str">
        <f t="shared" si="13"/>
        <v>A</v>
      </c>
      <c r="Z107" s="30"/>
      <c r="AA107" s="4" t="str">
        <f t="shared" si="14"/>
        <v>A</v>
      </c>
      <c r="AB107" s="6" t="str">
        <f>IFERROR(INDEX('Classification Rules'!$C$43:$C$46,MATCH($AA107,'Classification Rules'!$B$43:$B$46,0)),"")</f>
        <v>Language-locked</v>
      </c>
      <c r="AC107" s="21" t="str">
        <f t="shared" si="15"/>
        <v>Cloud Indicator = No, not mainframe, not a transfer target</v>
      </c>
      <c r="AD107" s="21" t="str">
        <f>IFERROR(INDEX('Classification Rules'!$D$13:$D$16,MATCH($AA107,'Classification Rules'!$B$13:$B$16,0)),"")</f>
        <v>On-premises and non-mainframe, so the constraint is not the technology — it is that the business context exists only in Japanese, in few heads.</v>
      </c>
      <c r="AE107" s="20">
        <f>IFERROR(INDEX('Classification Rules'!$D$43:$D$46,MATCH($AA107,'Classification Rules'!$B$43:$B$46,0)),"")</f>
        <v>0.30399999999999999</v>
      </c>
      <c r="AF107" s="20">
        <f>IFERROR(INDEX('Classification Rules'!$E$43:$E$46,MATCH($AA107,'Classification Rules'!$B$43:$B$46,0)),"")</f>
        <v>0.33947680000000002</v>
      </c>
      <c r="AG107" s="20">
        <f>IFERROR(INDEX('Classification Rules'!$F$43:$F$46,MATCH($AA107,'Classification Rules'!$B$43:$B$46,0)),"")</f>
        <v>0.15</v>
      </c>
      <c r="AH107" s="20">
        <f>IFERROR(INDEX('Classification Rules'!$G$43:$G$46,MATCH($AA107,'Classification Rules'!$B$43:$B$46,0)),"")</f>
        <v>0.13950000000000001</v>
      </c>
      <c r="AI107" s="21" t="str">
        <f>IFERROR(INDEX('Classification Rules'!$I$43:$I$46,MATCH($AA107,'Classification Rules'!$B$43:$B$46,0)),"")</f>
        <v>10-14 weeks per cluster</v>
      </c>
      <c r="AJ107" s="21" t="str">
        <f>IFERROR(INDEX('Classification Rules'!$J$43:$J$46,MATCH($AA107,'Classification Rules'!$B$43:$B$46,0)),"")</f>
        <v>Fully sourced, onshore-weighted</v>
      </c>
      <c r="AK107" s="21">
        <f>IFERROR(INDEX('Classification Rules'!$K$43:$K$46,MATCH($AA107,'Classification Rules'!$B$43:$B$46,0)),"")</f>
        <v>0</v>
      </c>
    </row>
    <row r="108" spans="1:37" ht="39" customHeight="1" x14ac:dyDescent="0.3">
      <c r="A108" s="25">
        <v>104</v>
      </c>
      <c r="B108" s="26">
        <v>12721</v>
      </c>
      <c r="C108" s="26" t="s">
        <v>356</v>
      </c>
      <c r="D108" s="26" t="s">
        <v>357</v>
      </c>
      <c r="E108" s="26" t="s">
        <v>143</v>
      </c>
      <c r="F108" s="26" t="s">
        <v>249</v>
      </c>
      <c r="G108" s="26" t="s">
        <v>42</v>
      </c>
      <c r="H108" s="26" t="s">
        <v>145</v>
      </c>
      <c r="I108" s="26" t="s">
        <v>44</v>
      </c>
      <c r="J108" s="26" t="s">
        <v>45</v>
      </c>
      <c r="K108" s="26" t="s">
        <v>57</v>
      </c>
      <c r="L108" s="26" t="s">
        <v>358</v>
      </c>
      <c r="M108" s="26" t="s">
        <v>45</v>
      </c>
      <c r="N108" s="26" t="s">
        <v>46</v>
      </c>
      <c r="O108" s="26" t="s">
        <v>48</v>
      </c>
      <c r="P108" s="26" t="s">
        <v>49</v>
      </c>
      <c r="Q108" s="27">
        <v>0.24166666666666661</v>
      </c>
      <c r="R108" s="27">
        <v>0</v>
      </c>
      <c r="S108" s="27">
        <v>0</v>
      </c>
      <c r="T108" s="27">
        <v>0.24166666666666661</v>
      </c>
      <c r="U108" s="28">
        <v>0.93103448275862066</v>
      </c>
      <c r="V108" s="27">
        <v>0.12083333333333331</v>
      </c>
      <c r="W108" s="27">
        <v>0.12083333333333331</v>
      </c>
      <c r="X108" s="29" t="str">
        <f t="shared" si="12"/>
        <v>Rule 3</v>
      </c>
      <c r="Y108" s="29" t="str">
        <f t="shared" si="13"/>
        <v>B</v>
      </c>
      <c r="Z108" s="30"/>
      <c r="AA108" s="4" t="str">
        <f t="shared" si="14"/>
        <v>B</v>
      </c>
      <c r="AB108" s="6" t="str">
        <f>IFERROR(INDEX('Classification Rules'!$C$43:$C$46,MATCH($AA108,'Classification Rules'!$B$43:$B$46,0)),"")</f>
        <v>Offshore-ready</v>
      </c>
      <c r="AC108" s="21" t="str">
        <f t="shared" si="15"/>
        <v>Cloud Indicator = Yes  (Software as a Service (SaaS))</v>
      </c>
      <c r="AD108" s="21" t="str">
        <f>IFERROR(INDEX('Classification Rules'!$D$13:$D$16,MATCH($AA108,'Classification Rules'!$B$13:$B$16,0)),"")</f>
        <v>Cloud migration has already forced re-platforming, documentation and specifiability. Highest AI and offshore ceiling in the estate.</v>
      </c>
      <c r="AE108" s="20">
        <f>IFERROR(INDEX('Classification Rules'!$D$43:$D$46,MATCH($AA108,'Classification Rules'!$B$43:$B$46,0)),"")</f>
        <v>0.48249999999999998</v>
      </c>
      <c r="AF108" s="20">
        <f>IFERROR(INDEX('Classification Rules'!$E$43:$E$46,MATCH($AA108,'Classification Rules'!$B$43:$B$46,0)),"")</f>
        <v>0.45402025000000001</v>
      </c>
      <c r="AG108" s="20">
        <f>IFERROR(INDEX('Classification Rules'!$F$43:$F$46,MATCH($AA108,'Classification Rules'!$B$43:$B$46,0)),"")</f>
        <v>0.78</v>
      </c>
      <c r="AH108" s="20">
        <f>IFERROR(INDEX('Classification Rules'!$G$43:$G$46,MATCH($AA108,'Classification Rules'!$B$43:$B$46,0)),"")</f>
        <v>0.72540000000000004</v>
      </c>
      <c r="AI108" s="21" t="str">
        <f>IFERROR(INDEX('Classification Rules'!$I$43:$I$46,MATCH($AA108,'Classification Rules'!$B$43:$B$46,0)),"")</f>
        <v>6-8 weeks per cluster</v>
      </c>
      <c r="AJ108" s="21" t="str">
        <f>IFERROR(INDEX('Classification Rules'!$J$43:$J$46,MATCH($AA108,'Classification Rules'!$B$43:$B$46,0)),"")</f>
        <v>Fully sourced, moving to output units</v>
      </c>
      <c r="AK108" s="21">
        <f>IFERROR(INDEX('Classification Rules'!$K$43:$K$46,MATCH($AA108,'Classification Rules'!$B$43:$B$46,0)),"")</f>
        <v>0</v>
      </c>
    </row>
    <row r="109" spans="1:37" ht="39" customHeight="1" x14ac:dyDescent="0.3">
      <c r="A109" s="25">
        <v>105</v>
      </c>
      <c r="B109" s="26">
        <v>12820</v>
      </c>
      <c r="C109" s="26" t="s">
        <v>359</v>
      </c>
      <c r="D109" s="26" t="s">
        <v>360</v>
      </c>
      <c r="E109" s="26" t="s">
        <v>175</v>
      </c>
      <c r="F109" s="26" t="s">
        <v>295</v>
      </c>
      <c r="G109" s="26" t="s">
        <v>177</v>
      </c>
      <c r="H109" s="26" t="s">
        <v>204</v>
      </c>
      <c r="I109" s="26" t="s">
        <v>44</v>
      </c>
      <c r="J109" s="26" t="s">
        <v>45</v>
      </c>
      <c r="K109" s="26" t="s">
        <v>46</v>
      </c>
      <c r="L109" s="26" t="s">
        <v>158</v>
      </c>
      <c r="M109" s="26" t="s">
        <v>45</v>
      </c>
      <c r="N109" s="26" t="s">
        <v>57</v>
      </c>
      <c r="O109" s="26"/>
      <c r="P109" s="26" t="s">
        <v>58</v>
      </c>
      <c r="Q109" s="27">
        <v>0.36249999999999999</v>
      </c>
      <c r="R109" s="27">
        <v>0</v>
      </c>
      <c r="S109" s="27">
        <v>0</v>
      </c>
      <c r="T109" s="27">
        <v>0.36249999999999999</v>
      </c>
      <c r="U109" s="28">
        <v>1</v>
      </c>
      <c r="V109" s="27">
        <v>0.18124999999999999</v>
      </c>
      <c r="W109" s="27">
        <v>0.18124999999999999</v>
      </c>
      <c r="X109" s="29" t="str">
        <f t="shared" si="12"/>
        <v>Rule 4</v>
      </c>
      <c r="Y109" s="29" t="str">
        <f t="shared" si="13"/>
        <v>A</v>
      </c>
      <c r="Z109" s="30"/>
      <c r="AA109" s="4" t="str">
        <f t="shared" si="14"/>
        <v>A</v>
      </c>
      <c r="AB109" s="6" t="str">
        <f>IFERROR(INDEX('Classification Rules'!$C$43:$C$46,MATCH($AA109,'Classification Rules'!$B$43:$B$46,0)),"")</f>
        <v>Language-locked</v>
      </c>
      <c r="AC109" s="21" t="str">
        <f t="shared" si="15"/>
        <v>Cloud Indicator = No, not mainframe, not a transfer target</v>
      </c>
      <c r="AD109" s="21" t="str">
        <f>IFERROR(INDEX('Classification Rules'!$D$13:$D$16,MATCH($AA109,'Classification Rules'!$B$13:$B$16,0)),"")</f>
        <v>On-premises and non-mainframe, so the constraint is not the technology — it is that the business context exists only in Japanese, in few heads.</v>
      </c>
      <c r="AE109" s="20">
        <f>IFERROR(INDEX('Classification Rules'!$D$43:$D$46,MATCH($AA109,'Classification Rules'!$B$43:$B$46,0)),"")</f>
        <v>0.30399999999999999</v>
      </c>
      <c r="AF109" s="20">
        <f>IFERROR(INDEX('Classification Rules'!$E$43:$E$46,MATCH($AA109,'Classification Rules'!$B$43:$B$46,0)),"")</f>
        <v>0.33947680000000002</v>
      </c>
      <c r="AG109" s="20">
        <f>IFERROR(INDEX('Classification Rules'!$F$43:$F$46,MATCH($AA109,'Classification Rules'!$B$43:$B$46,0)),"")</f>
        <v>0.15</v>
      </c>
      <c r="AH109" s="20">
        <f>IFERROR(INDEX('Classification Rules'!$G$43:$G$46,MATCH($AA109,'Classification Rules'!$B$43:$B$46,0)),"")</f>
        <v>0.13950000000000001</v>
      </c>
      <c r="AI109" s="21" t="str">
        <f>IFERROR(INDEX('Classification Rules'!$I$43:$I$46,MATCH($AA109,'Classification Rules'!$B$43:$B$46,0)),"")</f>
        <v>10-14 weeks per cluster</v>
      </c>
      <c r="AJ109" s="21" t="str">
        <f>IFERROR(INDEX('Classification Rules'!$J$43:$J$46,MATCH($AA109,'Classification Rules'!$B$43:$B$46,0)),"")</f>
        <v>Fully sourced, onshore-weighted</v>
      </c>
      <c r="AK109" s="21">
        <f>IFERROR(INDEX('Classification Rules'!$K$43:$K$46,MATCH($AA109,'Classification Rules'!$B$43:$B$46,0)),"")</f>
        <v>0</v>
      </c>
    </row>
    <row r="110" spans="1:37" ht="39" customHeight="1" x14ac:dyDescent="0.3">
      <c r="A110" s="25">
        <v>106</v>
      </c>
      <c r="B110" s="26">
        <v>12890</v>
      </c>
      <c r="C110" s="26" t="s">
        <v>361</v>
      </c>
      <c r="D110" s="26" t="s">
        <v>362</v>
      </c>
      <c r="E110" s="26" t="s">
        <v>143</v>
      </c>
      <c r="F110" s="26" t="s">
        <v>165</v>
      </c>
      <c r="G110" s="26" t="s">
        <v>42</v>
      </c>
      <c r="H110" s="26" t="s">
        <v>145</v>
      </c>
      <c r="I110" s="26" t="s">
        <v>108</v>
      </c>
      <c r="J110" s="26" t="s">
        <v>55</v>
      </c>
      <c r="K110" s="26" t="s">
        <v>46</v>
      </c>
      <c r="L110" s="26" t="s">
        <v>363</v>
      </c>
      <c r="M110" s="26" t="s">
        <v>45</v>
      </c>
      <c r="N110" s="26" t="s">
        <v>57</v>
      </c>
      <c r="O110" s="26"/>
      <c r="P110" s="26" t="s">
        <v>58</v>
      </c>
      <c r="Q110" s="27">
        <v>1.2346250000000001</v>
      </c>
      <c r="R110" s="27">
        <v>6.25E-2</v>
      </c>
      <c r="S110" s="27">
        <v>0</v>
      </c>
      <c r="T110" s="27">
        <v>1.2971250000000001</v>
      </c>
      <c r="U110" s="28">
        <v>0.85063120362339784</v>
      </c>
      <c r="V110" s="27">
        <v>0.64856249999999993</v>
      </c>
      <c r="W110" s="27">
        <v>0.64856249999999993</v>
      </c>
      <c r="X110" s="29" t="str">
        <f t="shared" si="12"/>
        <v>Rule 4</v>
      </c>
      <c r="Y110" s="29" t="str">
        <f t="shared" si="13"/>
        <v>A</v>
      </c>
      <c r="Z110" s="30"/>
      <c r="AA110" s="4" t="str">
        <f t="shared" si="14"/>
        <v>A</v>
      </c>
      <c r="AB110" s="6" t="str">
        <f>IFERROR(INDEX('Classification Rules'!$C$43:$C$46,MATCH($AA110,'Classification Rules'!$B$43:$B$46,0)),"")</f>
        <v>Language-locked</v>
      </c>
      <c r="AC110" s="21" t="str">
        <f t="shared" si="15"/>
        <v>Cloud Indicator = No, not mainframe, not a transfer target</v>
      </c>
      <c r="AD110" s="21" t="str">
        <f>IFERROR(INDEX('Classification Rules'!$D$13:$D$16,MATCH($AA110,'Classification Rules'!$B$13:$B$16,0)),"")</f>
        <v>On-premises and non-mainframe, so the constraint is not the technology — it is that the business context exists only in Japanese, in few heads.</v>
      </c>
      <c r="AE110" s="20">
        <f>IFERROR(INDEX('Classification Rules'!$D$43:$D$46,MATCH($AA110,'Classification Rules'!$B$43:$B$46,0)),"")</f>
        <v>0.30399999999999999</v>
      </c>
      <c r="AF110" s="20">
        <f>IFERROR(INDEX('Classification Rules'!$E$43:$E$46,MATCH($AA110,'Classification Rules'!$B$43:$B$46,0)),"")</f>
        <v>0.33947680000000002</v>
      </c>
      <c r="AG110" s="20">
        <f>IFERROR(INDEX('Classification Rules'!$F$43:$F$46,MATCH($AA110,'Classification Rules'!$B$43:$B$46,0)),"")</f>
        <v>0.15</v>
      </c>
      <c r="AH110" s="20">
        <f>IFERROR(INDEX('Classification Rules'!$G$43:$G$46,MATCH($AA110,'Classification Rules'!$B$43:$B$46,0)),"")</f>
        <v>0.13950000000000001</v>
      </c>
      <c r="AI110" s="21" t="str">
        <f>IFERROR(INDEX('Classification Rules'!$I$43:$I$46,MATCH($AA110,'Classification Rules'!$B$43:$B$46,0)),"")</f>
        <v>10-14 weeks per cluster</v>
      </c>
      <c r="AJ110" s="21" t="str">
        <f>IFERROR(INDEX('Classification Rules'!$J$43:$J$46,MATCH($AA110,'Classification Rules'!$B$43:$B$46,0)),"")</f>
        <v>Fully sourced, onshore-weighted</v>
      </c>
      <c r="AK110" s="21">
        <f>IFERROR(INDEX('Classification Rules'!$K$43:$K$46,MATCH($AA110,'Classification Rules'!$B$43:$B$46,0)),"")</f>
        <v>0</v>
      </c>
    </row>
    <row r="111" spans="1:37" ht="39" customHeight="1" x14ac:dyDescent="0.3">
      <c r="A111" s="25">
        <v>107</v>
      </c>
      <c r="B111" s="26">
        <v>12894</v>
      </c>
      <c r="C111" s="26" t="s">
        <v>364</v>
      </c>
      <c r="D111" s="26" t="s">
        <v>365</v>
      </c>
      <c r="E111" s="26" t="s">
        <v>138</v>
      </c>
      <c r="F111" s="26" t="s">
        <v>366</v>
      </c>
      <c r="G111" s="26" t="s">
        <v>115</v>
      </c>
      <c r="H111" s="26" t="s">
        <v>140</v>
      </c>
      <c r="I111" s="26" t="s">
        <v>108</v>
      </c>
      <c r="J111" s="26" t="s">
        <v>45</v>
      </c>
      <c r="K111" s="26" t="s">
        <v>46</v>
      </c>
      <c r="L111" s="26" t="s">
        <v>367</v>
      </c>
      <c r="M111" s="26" t="s">
        <v>45</v>
      </c>
      <c r="N111" s="26" t="s">
        <v>46</v>
      </c>
      <c r="O111" s="26" t="s">
        <v>162</v>
      </c>
      <c r="P111" s="26" t="s">
        <v>58</v>
      </c>
      <c r="Q111" s="27">
        <v>2.6333333333333342</v>
      </c>
      <c r="R111" s="27">
        <v>2.7791666666666668</v>
      </c>
      <c r="S111" s="27">
        <v>2.9187500000000002</v>
      </c>
      <c r="T111" s="27">
        <v>8.3312500000000007</v>
      </c>
      <c r="U111" s="28">
        <v>0.92748187046761688</v>
      </c>
      <c r="V111" s="27">
        <v>4.1656250000000004</v>
      </c>
      <c r="W111" s="27">
        <v>4.1656250000000004</v>
      </c>
      <c r="X111" s="29" t="str">
        <f t="shared" si="12"/>
        <v>Rule 3</v>
      </c>
      <c r="Y111" s="29" t="str">
        <f t="shared" si="13"/>
        <v>B</v>
      </c>
      <c r="Z111" s="30"/>
      <c r="AA111" s="4" t="str">
        <f t="shared" si="14"/>
        <v>B</v>
      </c>
      <c r="AB111" s="6" t="str">
        <f>IFERROR(INDEX('Classification Rules'!$C$43:$C$46,MATCH($AA111,'Classification Rules'!$B$43:$B$46,0)),"")</f>
        <v>Offshore-ready</v>
      </c>
      <c r="AC111" s="21" t="str">
        <f t="shared" si="15"/>
        <v>Cloud Indicator = Yes  (Platform as a Service (PaaS))</v>
      </c>
      <c r="AD111" s="21" t="str">
        <f>IFERROR(INDEX('Classification Rules'!$D$13:$D$16,MATCH($AA111,'Classification Rules'!$B$13:$B$16,0)),"")</f>
        <v>Cloud migration has already forced re-platforming, documentation and specifiability. Highest AI and offshore ceiling in the estate.</v>
      </c>
      <c r="AE111" s="20">
        <f>IFERROR(INDEX('Classification Rules'!$D$43:$D$46,MATCH($AA111,'Classification Rules'!$B$43:$B$46,0)),"")</f>
        <v>0.48249999999999998</v>
      </c>
      <c r="AF111" s="20">
        <f>IFERROR(INDEX('Classification Rules'!$E$43:$E$46,MATCH($AA111,'Classification Rules'!$B$43:$B$46,0)),"")</f>
        <v>0.45402025000000001</v>
      </c>
      <c r="AG111" s="20">
        <f>IFERROR(INDEX('Classification Rules'!$F$43:$F$46,MATCH($AA111,'Classification Rules'!$B$43:$B$46,0)),"")</f>
        <v>0.78</v>
      </c>
      <c r="AH111" s="20">
        <f>IFERROR(INDEX('Classification Rules'!$G$43:$G$46,MATCH($AA111,'Classification Rules'!$B$43:$B$46,0)),"")</f>
        <v>0.72540000000000004</v>
      </c>
      <c r="AI111" s="21" t="str">
        <f>IFERROR(INDEX('Classification Rules'!$I$43:$I$46,MATCH($AA111,'Classification Rules'!$B$43:$B$46,0)),"")</f>
        <v>6-8 weeks per cluster</v>
      </c>
      <c r="AJ111" s="21" t="str">
        <f>IFERROR(INDEX('Classification Rules'!$J$43:$J$46,MATCH($AA111,'Classification Rules'!$B$43:$B$46,0)),"")</f>
        <v>Fully sourced, moving to output units</v>
      </c>
      <c r="AK111" s="21">
        <f>IFERROR(INDEX('Classification Rules'!$K$43:$K$46,MATCH($AA111,'Classification Rules'!$B$43:$B$46,0)),"")</f>
        <v>0</v>
      </c>
    </row>
    <row r="112" spans="1:37" ht="39" customHeight="1" x14ac:dyDescent="0.3">
      <c r="A112" s="25">
        <v>108</v>
      </c>
      <c r="B112" s="26">
        <v>12932</v>
      </c>
      <c r="C112" s="26" t="s">
        <v>368</v>
      </c>
      <c r="D112" s="26" t="s">
        <v>369</v>
      </c>
      <c r="E112" s="26" t="s">
        <v>138</v>
      </c>
      <c r="F112" s="26" t="s">
        <v>370</v>
      </c>
      <c r="G112" s="26" t="s">
        <v>115</v>
      </c>
      <c r="H112" s="26" t="s">
        <v>140</v>
      </c>
      <c r="I112" s="26" t="s">
        <v>44</v>
      </c>
      <c r="J112" s="26" t="s">
        <v>45</v>
      </c>
      <c r="K112" s="26" t="s">
        <v>46</v>
      </c>
      <c r="L112" s="26" t="s">
        <v>371</v>
      </c>
      <c r="M112" s="26" t="s">
        <v>45</v>
      </c>
      <c r="N112" s="26" t="s">
        <v>46</v>
      </c>
      <c r="O112" s="26" t="s">
        <v>162</v>
      </c>
      <c r="P112" s="26" t="s">
        <v>58</v>
      </c>
      <c r="Q112" s="27">
        <v>35.819583333333327</v>
      </c>
      <c r="R112" s="27">
        <v>25.000000000000071</v>
      </c>
      <c r="S112" s="27">
        <v>12.866666666666671</v>
      </c>
      <c r="T112" s="27">
        <v>73.686250000000058</v>
      </c>
      <c r="U112" s="28">
        <v>0.91167506375567586</v>
      </c>
      <c r="V112" s="27">
        <v>36.843125000000029</v>
      </c>
      <c r="W112" s="27">
        <v>36.843125000000029</v>
      </c>
      <c r="X112" s="29" t="str">
        <f t="shared" si="12"/>
        <v>Rule 3</v>
      </c>
      <c r="Y112" s="29" t="str">
        <f t="shared" si="13"/>
        <v>B</v>
      </c>
      <c r="Z112" s="30"/>
      <c r="AA112" s="4" t="str">
        <f t="shared" si="14"/>
        <v>B</v>
      </c>
      <c r="AB112" s="6" t="str">
        <f>IFERROR(INDEX('Classification Rules'!$C$43:$C$46,MATCH($AA112,'Classification Rules'!$B$43:$B$46,0)),"")</f>
        <v>Offshore-ready</v>
      </c>
      <c r="AC112" s="21" t="str">
        <f t="shared" si="15"/>
        <v>Cloud Indicator = Yes  (Platform as a Service (PaaS))</v>
      </c>
      <c r="AD112" s="21" t="str">
        <f>IFERROR(INDEX('Classification Rules'!$D$13:$D$16,MATCH($AA112,'Classification Rules'!$B$13:$B$16,0)),"")</f>
        <v>Cloud migration has already forced re-platforming, documentation and specifiability. Highest AI and offshore ceiling in the estate.</v>
      </c>
      <c r="AE112" s="20">
        <f>IFERROR(INDEX('Classification Rules'!$D$43:$D$46,MATCH($AA112,'Classification Rules'!$B$43:$B$46,0)),"")</f>
        <v>0.48249999999999998</v>
      </c>
      <c r="AF112" s="20">
        <f>IFERROR(INDEX('Classification Rules'!$E$43:$E$46,MATCH($AA112,'Classification Rules'!$B$43:$B$46,0)),"")</f>
        <v>0.45402025000000001</v>
      </c>
      <c r="AG112" s="20">
        <f>IFERROR(INDEX('Classification Rules'!$F$43:$F$46,MATCH($AA112,'Classification Rules'!$B$43:$B$46,0)),"")</f>
        <v>0.78</v>
      </c>
      <c r="AH112" s="20">
        <f>IFERROR(INDEX('Classification Rules'!$G$43:$G$46,MATCH($AA112,'Classification Rules'!$B$43:$B$46,0)),"")</f>
        <v>0.72540000000000004</v>
      </c>
      <c r="AI112" s="21" t="str">
        <f>IFERROR(INDEX('Classification Rules'!$I$43:$I$46,MATCH($AA112,'Classification Rules'!$B$43:$B$46,0)),"")</f>
        <v>6-8 weeks per cluster</v>
      </c>
      <c r="AJ112" s="21" t="str">
        <f>IFERROR(INDEX('Classification Rules'!$J$43:$J$46,MATCH($AA112,'Classification Rules'!$B$43:$B$46,0)),"")</f>
        <v>Fully sourced, moving to output units</v>
      </c>
      <c r="AK112" s="21">
        <f>IFERROR(INDEX('Classification Rules'!$K$43:$K$46,MATCH($AA112,'Classification Rules'!$B$43:$B$46,0)),"")</f>
        <v>0</v>
      </c>
    </row>
    <row r="113" spans="1:37" ht="39" customHeight="1" x14ac:dyDescent="0.3">
      <c r="A113" s="25">
        <v>109</v>
      </c>
      <c r="B113" s="26">
        <v>12991</v>
      </c>
      <c r="C113" s="26" t="s">
        <v>372</v>
      </c>
      <c r="D113" s="26" t="s">
        <v>373</v>
      </c>
      <c r="E113" s="26" t="s">
        <v>187</v>
      </c>
      <c r="F113" s="26" t="s">
        <v>374</v>
      </c>
      <c r="G113" s="26" t="s">
        <v>177</v>
      </c>
      <c r="H113" s="26" t="s">
        <v>189</v>
      </c>
      <c r="I113" s="26" t="s">
        <v>108</v>
      </c>
      <c r="J113" s="26" t="s">
        <v>45</v>
      </c>
      <c r="K113" s="26" t="s">
        <v>46</v>
      </c>
      <c r="L113" s="26" t="s">
        <v>158</v>
      </c>
      <c r="M113" s="26" t="s">
        <v>55</v>
      </c>
      <c r="N113" s="26" t="s">
        <v>46</v>
      </c>
      <c r="O113" s="26" t="s">
        <v>162</v>
      </c>
      <c r="P113" s="26" t="s">
        <v>58</v>
      </c>
      <c r="Q113" s="27">
        <v>4.6458333333333321</v>
      </c>
      <c r="R113" s="27">
        <v>4.5625</v>
      </c>
      <c r="S113" s="27">
        <v>3</v>
      </c>
      <c r="T113" s="27">
        <v>12.20833333333333</v>
      </c>
      <c r="U113" s="28">
        <v>1</v>
      </c>
      <c r="V113" s="27">
        <v>6.1041666666666661</v>
      </c>
      <c r="W113" s="27">
        <v>6.1041666666666661</v>
      </c>
      <c r="X113" s="29" t="str">
        <f t="shared" si="12"/>
        <v>Rule 2</v>
      </c>
      <c r="Y113" s="29" t="str">
        <f t="shared" si="13"/>
        <v>C</v>
      </c>
      <c r="Z113" s="30"/>
      <c r="AA113" s="4" t="str">
        <f t="shared" si="14"/>
        <v>C</v>
      </c>
      <c r="AB113" s="6" t="str">
        <f>IFERROR(INDEX('Classification Rules'!$C$43:$C$46,MATCH($AA113,'Classification Rules'!$B$43:$B$46,0)),"")</f>
        <v>MGCC-destined</v>
      </c>
      <c r="AC113" s="21" t="str">
        <f t="shared" si="15"/>
        <v>Priority Transfer Target = Y</v>
      </c>
      <c r="AD113" s="21" t="str">
        <f>IFERROR(INDEX('Classification Rules'!$D$13:$D$16,MATCH($AA113,'Classification Rules'!$B$13:$B$16,0)),"")</f>
        <v>MetLife has already flagged these for transfer and nine of ten already carry MGCC people. Routing them through a vendor transition pays for the same knowledge transfer twice.</v>
      </c>
      <c r="AE113" s="20">
        <f>IFERROR(INDEX('Classification Rules'!$D$43:$D$46,MATCH($AA113,'Classification Rules'!$B$43:$B$46,0)),"")</f>
        <v>0.45250000000000001</v>
      </c>
      <c r="AF113" s="20">
        <f>IFERROR(INDEX('Classification Rules'!$E$43:$E$46,MATCH($AA113,'Classification Rules'!$B$43:$B$46,0)),"")</f>
        <v>0.43476925</v>
      </c>
      <c r="AG113" s="20">
        <f>IFERROR(INDEX('Classification Rules'!$F$43:$F$46,MATCH($AA113,'Classification Rules'!$B$43:$B$46,0)),"")</f>
        <v>0</v>
      </c>
      <c r="AH113" s="20">
        <f>IFERROR(INDEX('Classification Rules'!$G$43:$G$46,MATCH($AA113,'Classification Rules'!$B$43:$B$46,0)),"")</f>
        <v>0</v>
      </c>
      <c r="AI113" s="21" t="str">
        <f>IFERROR(INDEX('Classification Rules'!$I$43:$I$46,MATCH($AA113,'Classification Rules'!$B$43:$B$46,0)),"")</f>
        <v>6-8 weeks, role handover</v>
      </c>
      <c r="AJ113" s="21" t="str">
        <f>IFERROR(INDEX('Classification Rules'!$J$43:$J$46,MATCH($AA113,'Classification Rules'!$B$43:$B$46,0)),"")</f>
        <v>Co-sourced with MGCC, permanently</v>
      </c>
      <c r="AK113" s="21">
        <f>IFERROR(INDEX('Classification Rules'!$K$43:$K$46,MATCH($AA113,'Classification Rules'!$B$43:$B$46,0)),"")</f>
        <v>0</v>
      </c>
    </row>
    <row r="114" spans="1:37" ht="39" customHeight="1" x14ac:dyDescent="0.3">
      <c r="A114" s="25">
        <v>110</v>
      </c>
      <c r="B114" s="26">
        <v>13139</v>
      </c>
      <c r="C114" s="26" t="s">
        <v>375</v>
      </c>
      <c r="D114" s="26" t="s">
        <v>376</v>
      </c>
      <c r="E114" s="26" t="s">
        <v>209</v>
      </c>
      <c r="F114" s="26" t="s">
        <v>268</v>
      </c>
      <c r="G114" s="26" t="s">
        <v>211</v>
      </c>
      <c r="H114" s="26" t="s">
        <v>211</v>
      </c>
      <c r="I114" s="26" t="s">
        <v>108</v>
      </c>
      <c r="J114" s="26" t="s">
        <v>45</v>
      </c>
      <c r="K114" s="26" t="s">
        <v>46</v>
      </c>
      <c r="L114" s="26" t="s">
        <v>158</v>
      </c>
      <c r="M114" s="26" t="s">
        <v>45</v>
      </c>
      <c r="N114" s="26" t="s">
        <v>46</v>
      </c>
      <c r="O114" s="26" t="s">
        <v>162</v>
      </c>
      <c r="P114" s="26" t="s">
        <v>58</v>
      </c>
      <c r="Q114" s="27">
        <v>0</v>
      </c>
      <c r="R114" s="27">
        <v>1.3</v>
      </c>
      <c r="S114" s="27">
        <v>0.69166666666666665</v>
      </c>
      <c r="T114" s="27">
        <v>1.9916666666666669</v>
      </c>
      <c r="U114" s="28">
        <v>1</v>
      </c>
      <c r="V114" s="27">
        <v>0.99583333333333335</v>
      </c>
      <c r="W114" s="27">
        <v>0.99583333333333335</v>
      </c>
      <c r="X114" s="29" t="str">
        <f t="shared" si="12"/>
        <v>Rule 3</v>
      </c>
      <c r="Y114" s="29" t="str">
        <f t="shared" si="13"/>
        <v>B</v>
      </c>
      <c r="Z114" s="30"/>
      <c r="AA114" s="4" t="str">
        <f t="shared" si="14"/>
        <v>B</v>
      </c>
      <c r="AB114" s="6" t="str">
        <f>IFERROR(INDEX('Classification Rules'!$C$43:$C$46,MATCH($AA114,'Classification Rules'!$B$43:$B$46,0)),"")</f>
        <v>Offshore-ready</v>
      </c>
      <c r="AC114" s="21" t="str">
        <f t="shared" si="15"/>
        <v>Cloud Indicator = Yes  (Platform as a Service (PaaS))</v>
      </c>
      <c r="AD114" s="21" t="str">
        <f>IFERROR(INDEX('Classification Rules'!$D$13:$D$16,MATCH($AA114,'Classification Rules'!$B$13:$B$16,0)),"")</f>
        <v>Cloud migration has already forced re-platforming, documentation and specifiability. Highest AI and offshore ceiling in the estate.</v>
      </c>
      <c r="AE114" s="20">
        <f>IFERROR(INDEX('Classification Rules'!$D$43:$D$46,MATCH($AA114,'Classification Rules'!$B$43:$B$46,0)),"")</f>
        <v>0.48249999999999998</v>
      </c>
      <c r="AF114" s="20">
        <f>IFERROR(INDEX('Classification Rules'!$E$43:$E$46,MATCH($AA114,'Classification Rules'!$B$43:$B$46,0)),"")</f>
        <v>0.45402025000000001</v>
      </c>
      <c r="AG114" s="20">
        <f>IFERROR(INDEX('Classification Rules'!$F$43:$F$46,MATCH($AA114,'Classification Rules'!$B$43:$B$46,0)),"")</f>
        <v>0.78</v>
      </c>
      <c r="AH114" s="20">
        <f>IFERROR(INDEX('Classification Rules'!$G$43:$G$46,MATCH($AA114,'Classification Rules'!$B$43:$B$46,0)),"")</f>
        <v>0.72540000000000004</v>
      </c>
      <c r="AI114" s="21" t="str">
        <f>IFERROR(INDEX('Classification Rules'!$I$43:$I$46,MATCH($AA114,'Classification Rules'!$B$43:$B$46,0)),"")</f>
        <v>6-8 weeks per cluster</v>
      </c>
      <c r="AJ114" s="21" t="str">
        <f>IFERROR(INDEX('Classification Rules'!$J$43:$J$46,MATCH($AA114,'Classification Rules'!$B$43:$B$46,0)),"")</f>
        <v>Fully sourced, moving to output units</v>
      </c>
      <c r="AK114" s="21">
        <f>IFERROR(INDEX('Classification Rules'!$K$43:$K$46,MATCH($AA114,'Classification Rules'!$B$43:$B$46,0)),"")</f>
        <v>0</v>
      </c>
    </row>
    <row r="115" spans="1:37" ht="39" customHeight="1" x14ac:dyDescent="0.3">
      <c r="A115" s="25">
        <v>111</v>
      </c>
      <c r="B115" s="26">
        <v>13197</v>
      </c>
      <c r="C115" s="26" t="s">
        <v>377</v>
      </c>
      <c r="D115" s="26" t="s">
        <v>378</v>
      </c>
      <c r="E115" s="26" t="s">
        <v>187</v>
      </c>
      <c r="F115" s="26" t="s">
        <v>379</v>
      </c>
      <c r="G115" s="26" t="s">
        <v>177</v>
      </c>
      <c r="H115" s="26" t="s">
        <v>189</v>
      </c>
      <c r="I115" s="26" t="s">
        <v>44</v>
      </c>
      <c r="J115" s="26" t="s">
        <v>55</v>
      </c>
      <c r="K115" s="26" t="s">
        <v>46</v>
      </c>
      <c r="L115" s="26" t="s">
        <v>371</v>
      </c>
      <c r="M115" s="26" t="s">
        <v>55</v>
      </c>
      <c r="N115" s="26" t="s">
        <v>46</v>
      </c>
      <c r="O115" s="26" t="s">
        <v>162</v>
      </c>
      <c r="P115" s="26" t="s">
        <v>58</v>
      </c>
      <c r="Q115" s="27">
        <v>151.77083333333329</v>
      </c>
      <c r="R115" s="27">
        <v>30.937500000000011</v>
      </c>
      <c r="S115" s="27">
        <v>47.204166666666673</v>
      </c>
      <c r="T115" s="27">
        <v>229.91249999999999</v>
      </c>
      <c r="U115" s="28">
        <v>0.94717193135069511</v>
      </c>
      <c r="V115" s="27">
        <v>114.95625</v>
      </c>
      <c r="W115" s="27">
        <v>114.95625</v>
      </c>
      <c r="X115" s="29" t="str">
        <f t="shared" si="12"/>
        <v>Rule 2</v>
      </c>
      <c r="Y115" s="29" t="str">
        <f t="shared" si="13"/>
        <v>C</v>
      </c>
      <c r="Z115" s="30"/>
      <c r="AA115" s="4" t="str">
        <f t="shared" si="14"/>
        <v>C</v>
      </c>
      <c r="AB115" s="6" t="str">
        <f>IFERROR(INDEX('Classification Rules'!$C$43:$C$46,MATCH($AA115,'Classification Rules'!$B$43:$B$46,0)),"")</f>
        <v>MGCC-destined</v>
      </c>
      <c r="AC115" s="21" t="str">
        <f t="shared" si="15"/>
        <v>Priority Transfer Target = Y</v>
      </c>
      <c r="AD115" s="21" t="str">
        <f>IFERROR(INDEX('Classification Rules'!$D$13:$D$16,MATCH($AA115,'Classification Rules'!$B$13:$B$16,0)),"")</f>
        <v>MetLife has already flagged these for transfer and nine of ten already carry MGCC people. Routing them through a vendor transition pays for the same knowledge transfer twice.</v>
      </c>
      <c r="AE115" s="20">
        <f>IFERROR(INDEX('Classification Rules'!$D$43:$D$46,MATCH($AA115,'Classification Rules'!$B$43:$B$46,0)),"")</f>
        <v>0.45250000000000001</v>
      </c>
      <c r="AF115" s="20">
        <f>IFERROR(INDEX('Classification Rules'!$E$43:$E$46,MATCH($AA115,'Classification Rules'!$B$43:$B$46,0)),"")</f>
        <v>0.43476925</v>
      </c>
      <c r="AG115" s="20">
        <f>IFERROR(INDEX('Classification Rules'!$F$43:$F$46,MATCH($AA115,'Classification Rules'!$B$43:$B$46,0)),"")</f>
        <v>0</v>
      </c>
      <c r="AH115" s="20">
        <f>IFERROR(INDEX('Classification Rules'!$G$43:$G$46,MATCH($AA115,'Classification Rules'!$B$43:$B$46,0)),"")</f>
        <v>0</v>
      </c>
      <c r="AI115" s="21" t="str">
        <f>IFERROR(INDEX('Classification Rules'!$I$43:$I$46,MATCH($AA115,'Classification Rules'!$B$43:$B$46,0)),"")</f>
        <v>6-8 weeks, role handover</v>
      </c>
      <c r="AJ115" s="21" t="str">
        <f>IFERROR(INDEX('Classification Rules'!$J$43:$J$46,MATCH($AA115,'Classification Rules'!$B$43:$B$46,0)),"")</f>
        <v>Co-sourced with MGCC, permanently</v>
      </c>
      <c r="AK115" s="21">
        <f>IFERROR(INDEX('Classification Rules'!$K$43:$K$46,MATCH($AA115,'Classification Rules'!$B$43:$B$46,0)),"")</f>
        <v>0</v>
      </c>
    </row>
    <row r="116" spans="1:37" ht="39" customHeight="1" x14ac:dyDescent="0.3">
      <c r="A116" s="25">
        <v>112</v>
      </c>
      <c r="B116" s="26">
        <v>13262</v>
      </c>
      <c r="C116" s="26" t="s">
        <v>380</v>
      </c>
      <c r="D116" s="26" t="s">
        <v>380</v>
      </c>
      <c r="E116" s="26" t="s">
        <v>143</v>
      </c>
      <c r="F116" s="26" t="s">
        <v>249</v>
      </c>
      <c r="G116" s="26" t="s">
        <v>42</v>
      </c>
      <c r="H116" s="26" t="s">
        <v>145</v>
      </c>
      <c r="I116" s="26" t="s">
        <v>108</v>
      </c>
      <c r="J116" s="26" t="s">
        <v>45</v>
      </c>
      <c r="K116" s="26" t="s">
        <v>57</v>
      </c>
      <c r="L116" s="26" t="s">
        <v>381</v>
      </c>
      <c r="M116" s="26" t="s">
        <v>45</v>
      </c>
      <c r="N116" s="26" t="s">
        <v>46</v>
      </c>
      <c r="O116" s="26" t="s">
        <v>382</v>
      </c>
      <c r="P116" s="26" t="s">
        <v>49</v>
      </c>
      <c r="Q116" s="27">
        <v>1.513333333333333</v>
      </c>
      <c r="R116" s="27">
        <v>1.75</v>
      </c>
      <c r="S116" s="27">
        <v>0.5</v>
      </c>
      <c r="T116" s="27">
        <v>3.7633333333333332</v>
      </c>
      <c r="U116" s="28">
        <v>0.21147032772364921</v>
      </c>
      <c r="V116" s="27">
        <v>1.881666666666667</v>
      </c>
      <c r="W116" s="27">
        <v>1.881666666666667</v>
      </c>
      <c r="X116" s="29" t="str">
        <f t="shared" si="12"/>
        <v>Rule 3</v>
      </c>
      <c r="Y116" s="29" t="str">
        <f t="shared" si="13"/>
        <v>B</v>
      </c>
      <c r="Z116" s="30"/>
      <c r="AA116" s="4" t="str">
        <f t="shared" si="14"/>
        <v>B</v>
      </c>
      <c r="AB116" s="6" t="str">
        <f>IFERROR(INDEX('Classification Rules'!$C$43:$C$46,MATCH($AA116,'Classification Rules'!$B$43:$B$46,0)),"")</f>
        <v>Offshore-ready</v>
      </c>
      <c r="AC116" s="21" t="str">
        <f t="shared" si="15"/>
        <v>Cloud Indicator = Yes  (Software as a Service (SaaS); Platform as a Service (PaaS))</v>
      </c>
      <c r="AD116" s="21" t="str">
        <f>IFERROR(INDEX('Classification Rules'!$D$13:$D$16,MATCH($AA116,'Classification Rules'!$B$13:$B$16,0)),"")</f>
        <v>Cloud migration has already forced re-platforming, documentation and specifiability. Highest AI and offshore ceiling in the estate.</v>
      </c>
      <c r="AE116" s="20">
        <f>IFERROR(INDEX('Classification Rules'!$D$43:$D$46,MATCH($AA116,'Classification Rules'!$B$43:$B$46,0)),"")</f>
        <v>0.48249999999999998</v>
      </c>
      <c r="AF116" s="20">
        <f>IFERROR(INDEX('Classification Rules'!$E$43:$E$46,MATCH($AA116,'Classification Rules'!$B$43:$B$46,0)),"")</f>
        <v>0.45402025000000001</v>
      </c>
      <c r="AG116" s="20">
        <f>IFERROR(INDEX('Classification Rules'!$F$43:$F$46,MATCH($AA116,'Classification Rules'!$B$43:$B$46,0)),"")</f>
        <v>0.78</v>
      </c>
      <c r="AH116" s="20">
        <f>IFERROR(INDEX('Classification Rules'!$G$43:$G$46,MATCH($AA116,'Classification Rules'!$B$43:$B$46,0)),"")</f>
        <v>0.72540000000000004</v>
      </c>
      <c r="AI116" s="21" t="str">
        <f>IFERROR(INDEX('Classification Rules'!$I$43:$I$46,MATCH($AA116,'Classification Rules'!$B$43:$B$46,0)),"")</f>
        <v>6-8 weeks per cluster</v>
      </c>
      <c r="AJ116" s="21" t="str">
        <f>IFERROR(INDEX('Classification Rules'!$J$43:$J$46,MATCH($AA116,'Classification Rules'!$B$43:$B$46,0)),"")</f>
        <v>Fully sourced, moving to output units</v>
      </c>
      <c r="AK116" s="21">
        <f>IFERROR(INDEX('Classification Rules'!$K$43:$K$46,MATCH($AA116,'Classification Rules'!$B$43:$B$46,0)),"")</f>
        <v>0</v>
      </c>
    </row>
    <row r="117" spans="1:37" ht="39" customHeight="1" x14ac:dyDescent="0.3">
      <c r="A117" s="25">
        <v>113</v>
      </c>
      <c r="B117" s="26">
        <v>13274</v>
      </c>
      <c r="C117" s="26" t="s">
        <v>383</v>
      </c>
      <c r="D117" s="26" t="s">
        <v>384</v>
      </c>
      <c r="E117" s="26" t="s">
        <v>120</v>
      </c>
      <c r="F117" s="26" t="s">
        <v>121</v>
      </c>
      <c r="G117" s="26" t="s">
        <v>115</v>
      </c>
      <c r="H117" s="26" t="s">
        <v>122</v>
      </c>
      <c r="I117" s="26" t="s">
        <v>350</v>
      </c>
      <c r="J117" s="26" t="s">
        <v>45</v>
      </c>
      <c r="K117" s="26" t="s">
        <v>46</v>
      </c>
      <c r="L117" s="26" t="s">
        <v>385</v>
      </c>
      <c r="M117" s="26" t="s">
        <v>45</v>
      </c>
      <c r="N117" s="26" t="s">
        <v>57</v>
      </c>
      <c r="O117" s="26"/>
      <c r="P117" s="26" t="s">
        <v>58</v>
      </c>
      <c r="Q117" s="27">
        <v>0</v>
      </c>
      <c r="R117" s="27">
        <v>1</v>
      </c>
      <c r="S117" s="27">
        <v>0</v>
      </c>
      <c r="T117" s="27">
        <v>1</v>
      </c>
      <c r="U117" s="28">
        <v>1</v>
      </c>
      <c r="V117" s="27">
        <v>0.5</v>
      </c>
      <c r="W117" s="27">
        <v>0.5</v>
      </c>
      <c r="X117" s="29" t="str">
        <f t="shared" si="12"/>
        <v>Rule 4</v>
      </c>
      <c r="Y117" s="29" t="str">
        <f t="shared" si="13"/>
        <v>A</v>
      </c>
      <c r="Z117" s="30"/>
      <c r="AA117" s="4" t="str">
        <f t="shared" si="14"/>
        <v>A</v>
      </c>
      <c r="AB117" s="6" t="str">
        <f>IFERROR(INDEX('Classification Rules'!$C$43:$C$46,MATCH($AA117,'Classification Rules'!$B$43:$B$46,0)),"")</f>
        <v>Language-locked</v>
      </c>
      <c r="AC117" s="21" t="str">
        <f t="shared" si="15"/>
        <v>Cloud Indicator = No, not mainframe, not a transfer target</v>
      </c>
      <c r="AD117" s="21" t="str">
        <f>IFERROR(INDEX('Classification Rules'!$D$13:$D$16,MATCH($AA117,'Classification Rules'!$B$13:$B$16,0)),"")</f>
        <v>On-premises and non-mainframe, so the constraint is not the technology — it is that the business context exists only in Japanese, in few heads.</v>
      </c>
      <c r="AE117" s="20">
        <f>IFERROR(INDEX('Classification Rules'!$D$43:$D$46,MATCH($AA117,'Classification Rules'!$B$43:$B$46,0)),"")</f>
        <v>0.30399999999999999</v>
      </c>
      <c r="AF117" s="20">
        <f>IFERROR(INDEX('Classification Rules'!$E$43:$E$46,MATCH($AA117,'Classification Rules'!$B$43:$B$46,0)),"")</f>
        <v>0.33947680000000002</v>
      </c>
      <c r="AG117" s="20">
        <f>IFERROR(INDEX('Classification Rules'!$F$43:$F$46,MATCH($AA117,'Classification Rules'!$B$43:$B$46,0)),"")</f>
        <v>0.15</v>
      </c>
      <c r="AH117" s="20">
        <f>IFERROR(INDEX('Classification Rules'!$G$43:$G$46,MATCH($AA117,'Classification Rules'!$B$43:$B$46,0)),"")</f>
        <v>0.13950000000000001</v>
      </c>
      <c r="AI117" s="21" t="str">
        <f>IFERROR(INDEX('Classification Rules'!$I$43:$I$46,MATCH($AA117,'Classification Rules'!$B$43:$B$46,0)),"")</f>
        <v>10-14 weeks per cluster</v>
      </c>
      <c r="AJ117" s="21" t="str">
        <f>IFERROR(INDEX('Classification Rules'!$J$43:$J$46,MATCH($AA117,'Classification Rules'!$B$43:$B$46,0)),"")</f>
        <v>Fully sourced, onshore-weighted</v>
      </c>
      <c r="AK117" s="21">
        <f>IFERROR(INDEX('Classification Rules'!$K$43:$K$46,MATCH($AA117,'Classification Rules'!$B$43:$B$46,0)),"")</f>
        <v>0</v>
      </c>
    </row>
    <row r="118" spans="1:37" ht="39" customHeight="1" x14ac:dyDescent="0.3">
      <c r="A118" s="25">
        <v>114</v>
      </c>
      <c r="B118" s="26">
        <v>13314</v>
      </c>
      <c r="C118" s="26" t="s">
        <v>386</v>
      </c>
      <c r="D118" s="26" t="s">
        <v>387</v>
      </c>
      <c r="E118" s="26" t="s">
        <v>237</v>
      </c>
      <c r="F118" s="26" t="s">
        <v>388</v>
      </c>
      <c r="G118" s="26" t="s">
        <v>239</v>
      </c>
      <c r="H118" s="26" t="s">
        <v>239</v>
      </c>
      <c r="I118" s="26" t="s">
        <v>350</v>
      </c>
      <c r="J118" s="26" t="s">
        <v>45</v>
      </c>
      <c r="K118" s="26" t="s">
        <v>46</v>
      </c>
      <c r="L118" s="26" t="s">
        <v>389</v>
      </c>
      <c r="M118" s="26" t="s">
        <v>45</v>
      </c>
      <c r="N118" s="26" t="s">
        <v>46</v>
      </c>
      <c r="O118" s="26" t="s">
        <v>162</v>
      </c>
      <c r="P118" s="26" t="s">
        <v>58</v>
      </c>
      <c r="Q118" s="27">
        <v>28.606677083333331</v>
      </c>
      <c r="R118" s="27">
        <v>11</v>
      </c>
      <c r="S118" s="27">
        <v>9.1416666666666639</v>
      </c>
      <c r="T118" s="27">
        <v>50.065010416666659</v>
      </c>
      <c r="U118" s="28">
        <v>0.86264109519268806</v>
      </c>
      <c r="V118" s="27">
        <v>25.03250520833333</v>
      </c>
      <c r="W118" s="27">
        <v>25.03250520833333</v>
      </c>
      <c r="X118" s="29" t="str">
        <f t="shared" si="12"/>
        <v>Rule 3</v>
      </c>
      <c r="Y118" s="29" t="str">
        <f t="shared" si="13"/>
        <v>B</v>
      </c>
      <c r="Z118" s="30"/>
      <c r="AA118" s="4" t="str">
        <f t="shared" si="14"/>
        <v>B</v>
      </c>
      <c r="AB118" s="6" t="str">
        <f>IFERROR(INDEX('Classification Rules'!$C$43:$C$46,MATCH($AA118,'Classification Rules'!$B$43:$B$46,0)),"")</f>
        <v>Offshore-ready</v>
      </c>
      <c r="AC118" s="21" t="str">
        <f t="shared" si="15"/>
        <v>Cloud Indicator = Yes  (Platform as a Service (PaaS))</v>
      </c>
      <c r="AD118" s="21" t="str">
        <f>IFERROR(INDEX('Classification Rules'!$D$13:$D$16,MATCH($AA118,'Classification Rules'!$B$13:$B$16,0)),"")</f>
        <v>Cloud migration has already forced re-platforming, documentation and specifiability. Highest AI and offshore ceiling in the estate.</v>
      </c>
      <c r="AE118" s="20">
        <f>IFERROR(INDEX('Classification Rules'!$D$43:$D$46,MATCH($AA118,'Classification Rules'!$B$43:$B$46,0)),"")</f>
        <v>0.48249999999999998</v>
      </c>
      <c r="AF118" s="20">
        <f>IFERROR(INDEX('Classification Rules'!$E$43:$E$46,MATCH($AA118,'Classification Rules'!$B$43:$B$46,0)),"")</f>
        <v>0.45402025000000001</v>
      </c>
      <c r="AG118" s="20">
        <f>IFERROR(INDEX('Classification Rules'!$F$43:$F$46,MATCH($AA118,'Classification Rules'!$B$43:$B$46,0)),"")</f>
        <v>0.78</v>
      </c>
      <c r="AH118" s="20">
        <f>IFERROR(INDEX('Classification Rules'!$G$43:$G$46,MATCH($AA118,'Classification Rules'!$B$43:$B$46,0)),"")</f>
        <v>0.72540000000000004</v>
      </c>
      <c r="AI118" s="21" t="str">
        <f>IFERROR(INDEX('Classification Rules'!$I$43:$I$46,MATCH($AA118,'Classification Rules'!$B$43:$B$46,0)),"")</f>
        <v>6-8 weeks per cluster</v>
      </c>
      <c r="AJ118" s="21" t="str">
        <f>IFERROR(INDEX('Classification Rules'!$J$43:$J$46,MATCH($AA118,'Classification Rules'!$B$43:$B$46,0)),"")</f>
        <v>Fully sourced, moving to output units</v>
      </c>
      <c r="AK118" s="21">
        <f>IFERROR(INDEX('Classification Rules'!$K$43:$K$46,MATCH($AA118,'Classification Rules'!$B$43:$B$46,0)),"")</f>
        <v>0</v>
      </c>
    </row>
    <row r="119" spans="1:37" ht="39" customHeight="1" x14ac:dyDescent="0.3">
      <c r="A119" s="25">
        <v>115</v>
      </c>
      <c r="B119" s="26">
        <v>13405</v>
      </c>
      <c r="C119" s="26" t="s">
        <v>390</v>
      </c>
      <c r="D119" s="26" t="s">
        <v>391</v>
      </c>
      <c r="E119" s="26" t="s">
        <v>143</v>
      </c>
      <c r="F119" s="26" t="s">
        <v>249</v>
      </c>
      <c r="G119" s="26" t="s">
        <v>42</v>
      </c>
      <c r="H119" s="26" t="s">
        <v>145</v>
      </c>
      <c r="I119" s="26" t="s">
        <v>108</v>
      </c>
      <c r="J119" s="26" t="s">
        <v>45</v>
      </c>
      <c r="K119" s="26" t="s">
        <v>57</v>
      </c>
      <c r="L119" s="26" t="s">
        <v>392</v>
      </c>
      <c r="M119" s="26" t="s">
        <v>45</v>
      </c>
      <c r="N119" s="26" t="s">
        <v>46</v>
      </c>
      <c r="O119" s="26" t="s">
        <v>48</v>
      </c>
      <c r="P119" s="26" t="s">
        <v>49</v>
      </c>
      <c r="Q119" s="27">
        <v>0</v>
      </c>
      <c r="R119" s="27">
        <v>0</v>
      </c>
      <c r="S119" s="27">
        <v>0</v>
      </c>
      <c r="T119" s="27">
        <v>0</v>
      </c>
      <c r="U119" s="28">
        <v>0</v>
      </c>
      <c r="V119" s="27">
        <v>0</v>
      </c>
      <c r="W119" s="27">
        <v>0</v>
      </c>
      <c r="X119" s="29" t="str">
        <f t="shared" si="12"/>
        <v>Rule 3</v>
      </c>
      <c r="Y119" s="29" t="str">
        <f t="shared" si="13"/>
        <v>B</v>
      </c>
      <c r="Z119" s="30"/>
      <c r="AA119" s="4" t="str">
        <f t="shared" si="14"/>
        <v>B</v>
      </c>
      <c r="AB119" s="6" t="str">
        <f>IFERROR(INDEX('Classification Rules'!$C$43:$C$46,MATCH($AA119,'Classification Rules'!$B$43:$B$46,0)),"")</f>
        <v>Offshore-ready</v>
      </c>
      <c r="AC119" s="21" t="str">
        <f t="shared" si="15"/>
        <v>Cloud Indicator = Yes  (Software as a Service (SaaS))</v>
      </c>
      <c r="AD119" s="21" t="str">
        <f>IFERROR(INDEX('Classification Rules'!$D$13:$D$16,MATCH($AA119,'Classification Rules'!$B$13:$B$16,0)),"")</f>
        <v>Cloud migration has already forced re-platforming, documentation and specifiability. Highest AI and offshore ceiling in the estate.</v>
      </c>
      <c r="AE119" s="20">
        <f>IFERROR(INDEX('Classification Rules'!$D$43:$D$46,MATCH($AA119,'Classification Rules'!$B$43:$B$46,0)),"")</f>
        <v>0.48249999999999998</v>
      </c>
      <c r="AF119" s="20">
        <f>IFERROR(INDEX('Classification Rules'!$E$43:$E$46,MATCH($AA119,'Classification Rules'!$B$43:$B$46,0)),"")</f>
        <v>0.45402025000000001</v>
      </c>
      <c r="AG119" s="20">
        <f>IFERROR(INDEX('Classification Rules'!$F$43:$F$46,MATCH($AA119,'Classification Rules'!$B$43:$B$46,0)),"")</f>
        <v>0.78</v>
      </c>
      <c r="AH119" s="20">
        <f>IFERROR(INDEX('Classification Rules'!$G$43:$G$46,MATCH($AA119,'Classification Rules'!$B$43:$B$46,0)),"")</f>
        <v>0.72540000000000004</v>
      </c>
      <c r="AI119" s="21" t="str">
        <f>IFERROR(INDEX('Classification Rules'!$I$43:$I$46,MATCH($AA119,'Classification Rules'!$B$43:$B$46,0)),"")</f>
        <v>6-8 weeks per cluster</v>
      </c>
      <c r="AJ119" s="21" t="str">
        <f>IFERROR(INDEX('Classification Rules'!$J$43:$J$46,MATCH($AA119,'Classification Rules'!$B$43:$B$46,0)),"")</f>
        <v>Fully sourced, moving to output units</v>
      </c>
      <c r="AK119" s="21">
        <f>IFERROR(INDEX('Classification Rules'!$K$43:$K$46,MATCH($AA119,'Classification Rules'!$B$43:$B$46,0)),"")</f>
        <v>0</v>
      </c>
    </row>
    <row r="120" spans="1:37" ht="39" customHeight="1" x14ac:dyDescent="0.3">
      <c r="A120" s="25">
        <v>116</v>
      </c>
      <c r="B120" s="26">
        <v>13453</v>
      </c>
      <c r="C120" s="26" t="s">
        <v>393</v>
      </c>
      <c r="D120" s="26" t="s">
        <v>394</v>
      </c>
      <c r="E120" s="26" t="s">
        <v>120</v>
      </c>
      <c r="F120" s="26" t="s">
        <v>121</v>
      </c>
      <c r="G120" s="26" t="s">
        <v>115</v>
      </c>
      <c r="H120" s="26" t="s">
        <v>122</v>
      </c>
      <c r="I120" s="26" t="s">
        <v>350</v>
      </c>
      <c r="J120" s="26" t="s">
        <v>45</v>
      </c>
      <c r="K120" s="26" t="s">
        <v>46</v>
      </c>
      <c r="L120" s="26" t="s">
        <v>285</v>
      </c>
      <c r="M120" s="26" t="s">
        <v>45</v>
      </c>
      <c r="N120" s="26" t="s">
        <v>57</v>
      </c>
      <c r="O120" s="26"/>
      <c r="P120" s="26" t="s">
        <v>58</v>
      </c>
      <c r="Q120" s="27">
        <v>0.89999999999999991</v>
      </c>
      <c r="R120" s="27">
        <v>0.3</v>
      </c>
      <c r="S120" s="27">
        <v>0</v>
      </c>
      <c r="T120" s="27">
        <v>9.9375</v>
      </c>
      <c r="U120" s="28">
        <v>0.90440251572327046</v>
      </c>
      <c r="V120" s="27">
        <v>4.96875</v>
      </c>
      <c r="W120" s="27">
        <v>4.96875</v>
      </c>
      <c r="X120" s="29" t="str">
        <f t="shared" si="12"/>
        <v>Rule 4</v>
      </c>
      <c r="Y120" s="29" t="str">
        <f t="shared" si="13"/>
        <v>A</v>
      </c>
      <c r="Z120" s="30"/>
      <c r="AA120" s="4" t="str">
        <f t="shared" si="14"/>
        <v>A</v>
      </c>
      <c r="AB120" s="6" t="str">
        <f>IFERROR(INDEX('Classification Rules'!$C$43:$C$46,MATCH($AA120,'Classification Rules'!$B$43:$B$46,0)),"")</f>
        <v>Language-locked</v>
      </c>
      <c r="AC120" s="21" t="str">
        <f t="shared" si="15"/>
        <v>Cloud Indicator = No, not mainframe, not a transfer target</v>
      </c>
      <c r="AD120" s="21" t="str">
        <f>IFERROR(INDEX('Classification Rules'!$D$13:$D$16,MATCH($AA120,'Classification Rules'!$B$13:$B$16,0)),"")</f>
        <v>On-premises and non-mainframe, so the constraint is not the technology — it is that the business context exists only in Japanese, in few heads.</v>
      </c>
      <c r="AE120" s="20">
        <f>IFERROR(INDEX('Classification Rules'!$D$43:$D$46,MATCH($AA120,'Classification Rules'!$B$43:$B$46,0)),"")</f>
        <v>0.30399999999999999</v>
      </c>
      <c r="AF120" s="20">
        <f>IFERROR(INDEX('Classification Rules'!$E$43:$E$46,MATCH($AA120,'Classification Rules'!$B$43:$B$46,0)),"")</f>
        <v>0.33947680000000002</v>
      </c>
      <c r="AG120" s="20">
        <f>IFERROR(INDEX('Classification Rules'!$F$43:$F$46,MATCH($AA120,'Classification Rules'!$B$43:$B$46,0)),"")</f>
        <v>0.15</v>
      </c>
      <c r="AH120" s="20">
        <f>IFERROR(INDEX('Classification Rules'!$G$43:$G$46,MATCH($AA120,'Classification Rules'!$B$43:$B$46,0)),"")</f>
        <v>0.13950000000000001</v>
      </c>
      <c r="AI120" s="21" t="str">
        <f>IFERROR(INDEX('Classification Rules'!$I$43:$I$46,MATCH($AA120,'Classification Rules'!$B$43:$B$46,0)),"")</f>
        <v>10-14 weeks per cluster</v>
      </c>
      <c r="AJ120" s="21" t="str">
        <f>IFERROR(INDEX('Classification Rules'!$J$43:$J$46,MATCH($AA120,'Classification Rules'!$B$43:$B$46,0)),"")</f>
        <v>Fully sourced, onshore-weighted</v>
      </c>
      <c r="AK120" s="21">
        <f>IFERROR(INDEX('Classification Rules'!$K$43:$K$46,MATCH($AA120,'Classification Rules'!$B$43:$B$46,0)),"")</f>
        <v>0</v>
      </c>
    </row>
    <row r="121" spans="1:37" ht="39" customHeight="1" x14ac:dyDescent="0.3">
      <c r="A121" s="25">
        <v>117</v>
      </c>
      <c r="B121" s="26">
        <v>13476</v>
      </c>
      <c r="C121" s="26" t="s">
        <v>395</v>
      </c>
      <c r="D121" s="26" t="s">
        <v>396</v>
      </c>
      <c r="E121" s="26" t="s">
        <v>209</v>
      </c>
      <c r="F121" s="26" t="s">
        <v>214</v>
      </c>
      <c r="G121" s="26" t="s">
        <v>115</v>
      </c>
      <c r="H121" s="26"/>
      <c r="I121" s="26" t="s">
        <v>44</v>
      </c>
      <c r="J121" s="26" t="s">
        <v>45</v>
      </c>
      <c r="K121" s="26" t="s">
        <v>46</v>
      </c>
      <c r="L121" s="26" t="s">
        <v>397</v>
      </c>
      <c r="M121" s="26" t="s">
        <v>55</v>
      </c>
      <c r="N121" s="26" t="s">
        <v>46</v>
      </c>
      <c r="O121" s="26" t="s">
        <v>162</v>
      </c>
      <c r="P121" s="26" t="s">
        <v>58</v>
      </c>
      <c r="Q121" s="27">
        <v>57.149875000000023</v>
      </c>
      <c r="R121" s="27">
        <v>23.302083333333329</v>
      </c>
      <c r="S121" s="27">
        <v>42.086666666666673</v>
      </c>
      <c r="T121" s="27">
        <v>122.538625</v>
      </c>
      <c r="U121" s="28">
        <v>0.88077908768221724</v>
      </c>
      <c r="V121" s="27">
        <v>61.269312500000012</v>
      </c>
      <c r="W121" s="27">
        <v>61.269312500000012</v>
      </c>
      <c r="X121" s="29" t="str">
        <f t="shared" si="12"/>
        <v>Rule 2</v>
      </c>
      <c r="Y121" s="29" t="str">
        <f t="shared" si="13"/>
        <v>C</v>
      </c>
      <c r="Z121" s="30"/>
      <c r="AA121" s="4" t="str">
        <f t="shared" si="14"/>
        <v>C</v>
      </c>
      <c r="AB121" s="6" t="str">
        <f>IFERROR(INDEX('Classification Rules'!$C$43:$C$46,MATCH($AA121,'Classification Rules'!$B$43:$B$46,0)),"")</f>
        <v>MGCC-destined</v>
      </c>
      <c r="AC121" s="21" t="str">
        <f t="shared" si="15"/>
        <v>Priority Transfer Target = Y</v>
      </c>
      <c r="AD121" s="21" t="str">
        <f>IFERROR(INDEX('Classification Rules'!$D$13:$D$16,MATCH($AA121,'Classification Rules'!$B$13:$B$16,0)),"")</f>
        <v>MetLife has already flagged these for transfer and nine of ten already carry MGCC people. Routing them through a vendor transition pays for the same knowledge transfer twice.</v>
      </c>
      <c r="AE121" s="20">
        <f>IFERROR(INDEX('Classification Rules'!$D$43:$D$46,MATCH($AA121,'Classification Rules'!$B$43:$B$46,0)),"")</f>
        <v>0.45250000000000001</v>
      </c>
      <c r="AF121" s="20">
        <f>IFERROR(INDEX('Classification Rules'!$E$43:$E$46,MATCH($AA121,'Classification Rules'!$B$43:$B$46,0)),"")</f>
        <v>0.43476925</v>
      </c>
      <c r="AG121" s="20">
        <f>IFERROR(INDEX('Classification Rules'!$F$43:$F$46,MATCH($AA121,'Classification Rules'!$B$43:$B$46,0)),"")</f>
        <v>0</v>
      </c>
      <c r="AH121" s="20">
        <f>IFERROR(INDEX('Classification Rules'!$G$43:$G$46,MATCH($AA121,'Classification Rules'!$B$43:$B$46,0)),"")</f>
        <v>0</v>
      </c>
      <c r="AI121" s="21" t="str">
        <f>IFERROR(INDEX('Classification Rules'!$I$43:$I$46,MATCH($AA121,'Classification Rules'!$B$43:$B$46,0)),"")</f>
        <v>6-8 weeks, role handover</v>
      </c>
      <c r="AJ121" s="21" t="str">
        <f>IFERROR(INDEX('Classification Rules'!$J$43:$J$46,MATCH($AA121,'Classification Rules'!$B$43:$B$46,0)),"")</f>
        <v>Co-sourced with MGCC, permanently</v>
      </c>
      <c r="AK121" s="21">
        <f>IFERROR(INDEX('Classification Rules'!$K$43:$K$46,MATCH($AA121,'Classification Rules'!$B$43:$B$46,0)),"")</f>
        <v>0</v>
      </c>
    </row>
    <row r="122" spans="1:37" ht="39" customHeight="1" x14ac:dyDescent="0.3">
      <c r="A122" s="25">
        <v>118</v>
      </c>
      <c r="B122" s="26">
        <v>13500</v>
      </c>
      <c r="C122" s="26" t="s">
        <v>398</v>
      </c>
      <c r="D122" s="26" t="s">
        <v>399</v>
      </c>
      <c r="E122" s="26" t="s">
        <v>120</v>
      </c>
      <c r="F122" s="26" t="s">
        <v>320</v>
      </c>
      <c r="G122" s="26" t="s">
        <v>115</v>
      </c>
      <c r="H122" s="26" t="s">
        <v>122</v>
      </c>
      <c r="I122" s="26" t="s">
        <v>44</v>
      </c>
      <c r="J122" s="26" t="s">
        <v>45</v>
      </c>
      <c r="K122" s="26" t="s">
        <v>46</v>
      </c>
      <c r="L122" s="26" t="s">
        <v>123</v>
      </c>
      <c r="M122" s="26" t="s">
        <v>45</v>
      </c>
      <c r="N122" s="26" t="s">
        <v>57</v>
      </c>
      <c r="O122" s="26"/>
      <c r="P122" s="26" t="s">
        <v>49</v>
      </c>
      <c r="Q122" s="27">
        <v>0.5</v>
      </c>
      <c r="R122" s="27">
        <v>0.2</v>
      </c>
      <c r="S122" s="27">
        <v>0</v>
      </c>
      <c r="T122" s="27">
        <v>0.59583333333333333</v>
      </c>
      <c r="U122" s="28">
        <v>0.66433566433566438</v>
      </c>
      <c r="V122" s="27">
        <v>0.29791666666666672</v>
      </c>
      <c r="W122" s="27">
        <v>0.29791666666666672</v>
      </c>
      <c r="X122" s="29" t="str">
        <f t="shared" si="12"/>
        <v>Rule 4</v>
      </c>
      <c r="Y122" s="29" t="str">
        <f t="shared" si="13"/>
        <v>A</v>
      </c>
      <c r="Z122" s="30"/>
      <c r="AA122" s="4" t="str">
        <f t="shared" si="14"/>
        <v>A</v>
      </c>
      <c r="AB122" s="6" t="str">
        <f>IFERROR(INDEX('Classification Rules'!$C$43:$C$46,MATCH($AA122,'Classification Rules'!$B$43:$B$46,0)),"")</f>
        <v>Language-locked</v>
      </c>
      <c r="AC122" s="21" t="str">
        <f t="shared" si="15"/>
        <v>Cloud Indicator = No, not mainframe, not a transfer target</v>
      </c>
      <c r="AD122" s="21" t="str">
        <f>IFERROR(INDEX('Classification Rules'!$D$13:$D$16,MATCH($AA122,'Classification Rules'!$B$13:$B$16,0)),"")</f>
        <v>On-premises and non-mainframe, so the constraint is not the technology — it is that the business context exists only in Japanese, in few heads.</v>
      </c>
      <c r="AE122" s="20">
        <f>IFERROR(INDEX('Classification Rules'!$D$43:$D$46,MATCH($AA122,'Classification Rules'!$B$43:$B$46,0)),"")</f>
        <v>0.30399999999999999</v>
      </c>
      <c r="AF122" s="20">
        <f>IFERROR(INDEX('Classification Rules'!$E$43:$E$46,MATCH($AA122,'Classification Rules'!$B$43:$B$46,0)),"")</f>
        <v>0.33947680000000002</v>
      </c>
      <c r="AG122" s="20">
        <f>IFERROR(INDEX('Classification Rules'!$F$43:$F$46,MATCH($AA122,'Classification Rules'!$B$43:$B$46,0)),"")</f>
        <v>0.15</v>
      </c>
      <c r="AH122" s="20">
        <f>IFERROR(INDEX('Classification Rules'!$G$43:$G$46,MATCH($AA122,'Classification Rules'!$B$43:$B$46,0)),"")</f>
        <v>0.13950000000000001</v>
      </c>
      <c r="AI122" s="21" t="str">
        <f>IFERROR(INDEX('Classification Rules'!$I$43:$I$46,MATCH($AA122,'Classification Rules'!$B$43:$B$46,0)),"")</f>
        <v>10-14 weeks per cluster</v>
      </c>
      <c r="AJ122" s="21" t="str">
        <f>IFERROR(INDEX('Classification Rules'!$J$43:$J$46,MATCH($AA122,'Classification Rules'!$B$43:$B$46,0)),"")</f>
        <v>Fully sourced, onshore-weighted</v>
      </c>
      <c r="AK122" s="21">
        <f>IFERROR(INDEX('Classification Rules'!$K$43:$K$46,MATCH($AA122,'Classification Rules'!$B$43:$B$46,0)),"")</f>
        <v>0</v>
      </c>
    </row>
    <row r="123" spans="1:37" ht="39" customHeight="1" x14ac:dyDescent="0.3">
      <c r="A123" s="25">
        <v>119</v>
      </c>
      <c r="B123" s="26">
        <v>13676</v>
      </c>
      <c r="C123" s="26" t="s">
        <v>400</v>
      </c>
      <c r="D123" s="26" t="s">
        <v>401</v>
      </c>
      <c r="E123" s="26" t="s">
        <v>209</v>
      </c>
      <c r="F123" s="26" t="s">
        <v>349</v>
      </c>
      <c r="G123" s="26" t="s">
        <v>211</v>
      </c>
      <c r="H123" s="26" t="s">
        <v>211</v>
      </c>
      <c r="I123" s="26" t="s">
        <v>44</v>
      </c>
      <c r="J123" s="26" t="s">
        <v>45</v>
      </c>
      <c r="K123" s="26" t="s">
        <v>57</v>
      </c>
      <c r="L123" s="26" t="s">
        <v>402</v>
      </c>
      <c r="M123" s="26" t="s">
        <v>45</v>
      </c>
      <c r="N123" s="26" t="s">
        <v>46</v>
      </c>
      <c r="O123" s="26" t="s">
        <v>48</v>
      </c>
      <c r="P123" s="26" t="s">
        <v>58</v>
      </c>
      <c r="Q123" s="27">
        <v>11.572916666666661</v>
      </c>
      <c r="R123" s="27">
        <v>2.333333333333333</v>
      </c>
      <c r="S123" s="27">
        <v>2.135416666666667</v>
      </c>
      <c r="T123" s="27">
        <v>16.041666666666661</v>
      </c>
      <c r="U123" s="28">
        <v>0.93766233766233764</v>
      </c>
      <c r="V123" s="27">
        <v>8.0208333333333321</v>
      </c>
      <c r="W123" s="27">
        <v>8.0208333333333321</v>
      </c>
      <c r="X123" s="29" t="str">
        <f t="shared" si="12"/>
        <v>Rule 3</v>
      </c>
      <c r="Y123" s="29" t="str">
        <f t="shared" si="13"/>
        <v>B</v>
      </c>
      <c r="Z123" s="30"/>
      <c r="AA123" s="4" t="str">
        <f t="shared" si="14"/>
        <v>B</v>
      </c>
      <c r="AB123" s="6" t="str">
        <f>IFERROR(INDEX('Classification Rules'!$C$43:$C$46,MATCH($AA123,'Classification Rules'!$B$43:$B$46,0)),"")</f>
        <v>Offshore-ready</v>
      </c>
      <c r="AC123" s="21" t="str">
        <f t="shared" si="15"/>
        <v>Cloud Indicator = Yes  (Software as a Service (SaaS))</v>
      </c>
      <c r="AD123" s="21" t="str">
        <f>IFERROR(INDEX('Classification Rules'!$D$13:$D$16,MATCH($AA123,'Classification Rules'!$B$13:$B$16,0)),"")</f>
        <v>Cloud migration has already forced re-platforming, documentation and specifiability. Highest AI and offshore ceiling in the estate.</v>
      </c>
      <c r="AE123" s="20">
        <f>IFERROR(INDEX('Classification Rules'!$D$43:$D$46,MATCH($AA123,'Classification Rules'!$B$43:$B$46,0)),"")</f>
        <v>0.48249999999999998</v>
      </c>
      <c r="AF123" s="20">
        <f>IFERROR(INDEX('Classification Rules'!$E$43:$E$46,MATCH($AA123,'Classification Rules'!$B$43:$B$46,0)),"")</f>
        <v>0.45402025000000001</v>
      </c>
      <c r="AG123" s="20">
        <f>IFERROR(INDEX('Classification Rules'!$F$43:$F$46,MATCH($AA123,'Classification Rules'!$B$43:$B$46,0)),"")</f>
        <v>0.78</v>
      </c>
      <c r="AH123" s="20">
        <f>IFERROR(INDEX('Classification Rules'!$G$43:$G$46,MATCH($AA123,'Classification Rules'!$B$43:$B$46,0)),"")</f>
        <v>0.72540000000000004</v>
      </c>
      <c r="AI123" s="21" t="str">
        <f>IFERROR(INDEX('Classification Rules'!$I$43:$I$46,MATCH($AA123,'Classification Rules'!$B$43:$B$46,0)),"")</f>
        <v>6-8 weeks per cluster</v>
      </c>
      <c r="AJ123" s="21" t="str">
        <f>IFERROR(INDEX('Classification Rules'!$J$43:$J$46,MATCH($AA123,'Classification Rules'!$B$43:$B$46,0)),"")</f>
        <v>Fully sourced, moving to output units</v>
      </c>
      <c r="AK123" s="21">
        <f>IFERROR(INDEX('Classification Rules'!$K$43:$K$46,MATCH($AA123,'Classification Rules'!$B$43:$B$46,0)),"")</f>
        <v>0</v>
      </c>
    </row>
    <row r="124" spans="1:37" ht="39" customHeight="1" x14ac:dyDescent="0.3">
      <c r="A124" s="25">
        <v>120</v>
      </c>
      <c r="B124" s="26">
        <v>13721</v>
      </c>
      <c r="C124" s="26" t="s">
        <v>403</v>
      </c>
      <c r="D124" s="26" t="s">
        <v>404</v>
      </c>
      <c r="E124" s="26" t="s">
        <v>40</v>
      </c>
      <c r="F124" s="26" t="s">
        <v>405</v>
      </c>
      <c r="G124" s="26" t="s">
        <v>42</v>
      </c>
      <c r="H124" s="26" t="s">
        <v>43</v>
      </c>
      <c r="I124" s="26" t="s">
        <v>44</v>
      </c>
      <c r="J124" s="26" t="s">
        <v>45</v>
      </c>
      <c r="K124" s="26" t="s">
        <v>46</v>
      </c>
      <c r="L124" s="26" t="s">
        <v>371</v>
      </c>
      <c r="M124" s="26" t="s">
        <v>45</v>
      </c>
      <c r="N124" s="26" t="s">
        <v>46</v>
      </c>
      <c r="O124" s="26" t="s">
        <v>162</v>
      </c>
      <c r="P124" s="26" t="s">
        <v>58</v>
      </c>
      <c r="Q124" s="27">
        <v>1.666666666666667</v>
      </c>
      <c r="R124" s="27">
        <v>0.70833333333333337</v>
      </c>
      <c r="S124" s="27">
        <v>0.58333333333333337</v>
      </c>
      <c r="T124" s="27">
        <v>2.958333333333333</v>
      </c>
      <c r="U124" s="28">
        <v>0.91549295774647887</v>
      </c>
      <c r="V124" s="27">
        <v>1.479166666666667</v>
      </c>
      <c r="W124" s="27">
        <v>1.479166666666667</v>
      </c>
      <c r="X124" s="29" t="str">
        <f t="shared" si="12"/>
        <v>Rule 3</v>
      </c>
      <c r="Y124" s="29" t="str">
        <f t="shared" si="13"/>
        <v>B</v>
      </c>
      <c r="Z124" s="30"/>
      <c r="AA124" s="4" t="str">
        <f t="shared" si="14"/>
        <v>B</v>
      </c>
      <c r="AB124" s="6" t="str">
        <f>IFERROR(INDEX('Classification Rules'!$C$43:$C$46,MATCH($AA124,'Classification Rules'!$B$43:$B$46,0)),"")</f>
        <v>Offshore-ready</v>
      </c>
      <c r="AC124" s="21" t="str">
        <f t="shared" si="15"/>
        <v>Cloud Indicator = Yes  (Platform as a Service (PaaS))</v>
      </c>
      <c r="AD124" s="21" t="str">
        <f>IFERROR(INDEX('Classification Rules'!$D$13:$D$16,MATCH($AA124,'Classification Rules'!$B$13:$B$16,0)),"")</f>
        <v>Cloud migration has already forced re-platforming, documentation and specifiability. Highest AI and offshore ceiling in the estate.</v>
      </c>
      <c r="AE124" s="20">
        <f>IFERROR(INDEX('Classification Rules'!$D$43:$D$46,MATCH($AA124,'Classification Rules'!$B$43:$B$46,0)),"")</f>
        <v>0.48249999999999998</v>
      </c>
      <c r="AF124" s="20">
        <f>IFERROR(INDEX('Classification Rules'!$E$43:$E$46,MATCH($AA124,'Classification Rules'!$B$43:$B$46,0)),"")</f>
        <v>0.45402025000000001</v>
      </c>
      <c r="AG124" s="20">
        <f>IFERROR(INDEX('Classification Rules'!$F$43:$F$46,MATCH($AA124,'Classification Rules'!$B$43:$B$46,0)),"")</f>
        <v>0.78</v>
      </c>
      <c r="AH124" s="20">
        <f>IFERROR(INDEX('Classification Rules'!$G$43:$G$46,MATCH($AA124,'Classification Rules'!$B$43:$B$46,0)),"")</f>
        <v>0.72540000000000004</v>
      </c>
      <c r="AI124" s="21" t="str">
        <f>IFERROR(INDEX('Classification Rules'!$I$43:$I$46,MATCH($AA124,'Classification Rules'!$B$43:$B$46,0)),"")</f>
        <v>6-8 weeks per cluster</v>
      </c>
      <c r="AJ124" s="21" t="str">
        <f>IFERROR(INDEX('Classification Rules'!$J$43:$J$46,MATCH($AA124,'Classification Rules'!$B$43:$B$46,0)),"")</f>
        <v>Fully sourced, moving to output units</v>
      </c>
      <c r="AK124" s="21">
        <f>IFERROR(INDEX('Classification Rules'!$K$43:$K$46,MATCH($AA124,'Classification Rules'!$B$43:$B$46,0)),"")</f>
        <v>0</v>
      </c>
    </row>
    <row r="125" spans="1:37" ht="39" customHeight="1" x14ac:dyDescent="0.3">
      <c r="A125" s="25">
        <v>121</v>
      </c>
      <c r="B125" s="26">
        <v>13738</v>
      </c>
      <c r="C125" s="26" t="s">
        <v>406</v>
      </c>
      <c r="D125" s="26" t="s">
        <v>406</v>
      </c>
      <c r="E125" s="26" t="s">
        <v>187</v>
      </c>
      <c r="F125" s="26" t="s">
        <v>188</v>
      </c>
      <c r="G125" s="26" t="s">
        <v>177</v>
      </c>
      <c r="H125" s="26" t="s">
        <v>189</v>
      </c>
      <c r="I125" s="26" t="s">
        <v>44</v>
      </c>
      <c r="J125" s="26" t="s">
        <v>45</v>
      </c>
      <c r="K125" s="26" t="s">
        <v>57</v>
      </c>
      <c r="L125" s="26" t="s">
        <v>158</v>
      </c>
      <c r="M125" s="26" t="s">
        <v>55</v>
      </c>
      <c r="N125" s="26" t="s">
        <v>46</v>
      </c>
      <c r="O125" s="26" t="s">
        <v>162</v>
      </c>
      <c r="P125" s="26" t="s">
        <v>58</v>
      </c>
      <c r="Q125" s="27">
        <v>0.33333333333333343</v>
      </c>
      <c r="R125" s="27">
        <v>0.25</v>
      </c>
      <c r="S125" s="27">
        <v>8.3333333333333329E-2</v>
      </c>
      <c r="T125" s="27">
        <v>0.66666666666666674</v>
      </c>
      <c r="U125" s="28">
        <v>1</v>
      </c>
      <c r="V125" s="27">
        <v>0.33333333333333343</v>
      </c>
      <c r="W125" s="27">
        <v>0.33333333333333343</v>
      </c>
      <c r="X125" s="29" t="str">
        <f t="shared" si="12"/>
        <v>Rule 2</v>
      </c>
      <c r="Y125" s="29" t="str">
        <f t="shared" si="13"/>
        <v>C</v>
      </c>
      <c r="Z125" s="30"/>
      <c r="AA125" s="4" t="str">
        <f t="shared" si="14"/>
        <v>C</v>
      </c>
      <c r="AB125" s="6" t="str">
        <f>IFERROR(INDEX('Classification Rules'!$C$43:$C$46,MATCH($AA125,'Classification Rules'!$B$43:$B$46,0)),"")</f>
        <v>MGCC-destined</v>
      </c>
      <c r="AC125" s="21" t="str">
        <f t="shared" si="15"/>
        <v>Priority Transfer Target = Y</v>
      </c>
      <c r="AD125" s="21" t="str">
        <f>IFERROR(INDEX('Classification Rules'!$D$13:$D$16,MATCH($AA125,'Classification Rules'!$B$13:$B$16,0)),"")</f>
        <v>MetLife has already flagged these for transfer and nine of ten already carry MGCC people. Routing them through a vendor transition pays for the same knowledge transfer twice.</v>
      </c>
      <c r="AE125" s="20">
        <f>IFERROR(INDEX('Classification Rules'!$D$43:$D$46,MATCH($AA125,'Classification Rules'!$B$43:$B$46,0)),"")</f>
        <v>0.45250000000000001</v>
      </c>
      <c r="AF125" s="20">
        <f>IFERROR(INDEX('Classification Rules'!$E$43:$E$46,MATCH($AA125,'Classification Rules'!$B$43:$B$46,0)),"")</f>
        <v>0.43476925</v>
      </c>
      <c r="AG125" s="20">
        <f>IFERROR(INDEX('Classification Rules'!$F$43:$F$46,MATCH($AA125,'Classification Rules'!$B$43:$B$46,0)),"")</f>
        <v>0</v>
      </c>
      <c r="AH125" s="20">
        <f>IFERROR(INDEX('Classification Rules'!$G$43:$G$46,MATCH($AA125,'Classification Rules'!$B$43:$B$46,0)),"")</f>
        <v>0</v>
      </c>
      <c r="AI125" s="21" t="str">
        <f>IFERROR(INDEX('Classification Rules'!$I$43:$I$46,MATCH($AA125,'Classification Rules'!$B$43:$B$46,0)),"")</f>
        <v>6-8 weeks, role handover</v>
      </c>
      <c r="AJ125" s="21" t="str">
        <f>IFERROR(INDEX('Classification Rules'!$J$43:$J$46,MATCH($AA125,'Classification Rules'!$B$43:$B$46,0)),"")</f>
        <v>Co-sourced with MGCC, permanently</v>
      </c>
      <c r="AK125" s="21">
        <f>IFERROR(INDEX('Classification Rules'!$K$43:$K$46,MATCH($AA125,'Classification Rules'!$B$43:$B$46,0)),"")</f>
        <v>0</v>
      </c>
    </row>
    <row r="126" spans="1:37" ht="39" customHeight="1" x14ac:dyDescent="0.3">
      <c r="A126" s="25">
        <v>122</v>
      </c>
      <c r="B126" s="26">
        <v>13812</v>
      </c>
      <c r="C126" s="26" t="s">
        <v>407</v>
      </c>
      <c r="D126" s="26" t="s">
        <v>408</v>
      </c>
      <c r="E126" s="26" t="s">
        <v>143</v>
      </c>
      <c r="F126" s="26" t="s">
        <v>165</v>
      </c>
      <c r="G126" s="26" t="s">
        <v>42</v>
      </c>
      <c r="H126" s="26" t="s">
        <v>145</v>
      </c>
      <c r="I126" s="26" t="s">
        <v>44</v>
      </c>
      <c r="J126" s="26" t="s">
        <v>45</v>
      </c>
      <c r="K126" s="26" t="s">
        <v>46</v>
      </c>
      <c r="L126" s="26" t="s">
        <v>123</v>
      </c>
      <c r="M126" s="26" t="s">
        <v>45</v>
      </c>
      <c r="N126" s="26" t="s">
        <v>57</v>
      </c>
      <c r="O126" s="26"/>
      <c r="P126" s="26" t="s">
        <v>58</v>
      </c>
      <c r="Q126" s="27">
        <v>2.0400000000000009</v>
      </c>
      <c r="R126" s="27">
        <v>1.7</v>
      </c>
      <c r="S126" s="27">
        <v>0</v>
      </c>
      <c r="T126" s="27">
        <v>3.7400000000000011</v>
      </c>
      <c r="U126" s="28">
        <v>0.30837789661319082</v>
      </c>
      <c r="V126" s="27">
        <v>1.870000000000001</v>
      </c>
      <c r="W126" s="27">
        <v>1.870000000000001</v>
      </c>
      <c r="X126" s="29" t="str">
        <f t="shared" si="12"/>
        <v>Rule 4</v>
      </c>
      <c r="Y126" s="29" t="str">
        <f t="shared" si="13"/>
        <v>A</v>
      </c>
      <c r="Z126" s="30"/>
      <c r="AA126" s="4" t="str">
        <f t="shared" si="14"/>
        <v>A</v>
      </c>
      <c r="AB126" s="6" t="str">
        <f>IFERROR(INDEX('Classification Rules'!$C$43:$C$46,MATCH($AA126,'Classification Rules'!$B$43:$B$46,0)),"")</f>
        <v>Language-locked</v>
      </c>
      <c r="AC126" s="21" t="str">
        <f t="shared" si="15"/>
        <v>Cloud Indicator = No, not mainframe, not a transfer target</v>
      </c>
      <c r="AD126" s="21" t="str">
        <f>IFERROR(INDEX('Classification Rules'!$D$13:$D$16,MATCH($AA126,'Classification Rules'!$B$13:$B$16,0)),"")</f>
        <v>On-premises and non-mainframe, so the constraint is not the technology — it is that the business context exists only in Japanese, in few heads.</v>
      </c>
      <c r="AE126" s="20">
        <f>IFERROR(INDEX('Classification Rules'!$D$43:$D$46,MATCH($AA126,'Classification Rules'!$B$43:$B$46,0)),"")</f>
        <v>0.30399999999999999</v>
      </c>
      <c r="AF126" s="20">
        <f>IFERROR(INDEX('Classification Rules'!$E$43:$E$46,MATCH($AA126,'Classification Rules'!$B$43:$B$46,0)),"")</f>
        <v>0.33947680000000002</v>
      </c>
      <c r="AG126" s="20">
        <f>IFERROR(INDEX('Classification Rules'!$F$43:$F$46,MATCH($AA126,'Classification Rules'!$B$43:$B$46,0)),"")</f>
        <v>0.15</v>
      </c>
      <c r="AH126" s="20">
        <f>IFERROR(INDEX('Classification Rules'!$G$43:$G$46,MATCH($AA126,'Classification Rules'!$B$43:$B$46,0)),"")</f>
        <v>0.13950000000000001</v>
      </c>
      <c r="AI126" s="21" t="str">
        <f>IFERROR(INDEX('Classification Rules'!$I$43:$I$46,MATCH($AA126,'Classification Rules'!$B$43:$B$46,0)),"")</f>
        <v>10-14 weeks per cluster</v>
      </c>
      <c r="AJ126" s="21" t="str">
        <f>IFERROR(INDEX('Classification Rules'!$J$43:$J$46,MATCH($AA126,'Classification Rules'!$B$43:$B$46,0)),"")</f>
        <v>Fully sourced, onshore-weighted</v>
      </c>
      <c r="AK126" s="21">
        <f>IFERROR(INDEX('Classification Rules'!$K$43:$K$46,MATCH($AA126,'Classification Rules'!$B$43:$B$46,0)),"")</f>
        <v>0</v>
      </c>
    </row>
    <row r="127" spans="1:37" ht="39" customHeight="1" x14ac:dyDescent="0.3">
      <c r="A127" s="25">
        <v>123</v>
      </c>
      <c r="B127" s="26">
        <v>13820</v>
      </c>
      <c r="C127" s="26" t="s">
        <v>409</v>
      </c>
      <c r="D127" s="26" t="s">
        <v>410</v>
      </c>
      <c r="E127" s="26" t="s">
        <v>126</v>
      </c>
      <c r="F127" s="26" t="s">
        <v>411</v>
      </c>
      <c r="G127" s="26" t="s">
        <v>115</v>
      </c>
      <c r="H127" s="26" t="s">
        <v>128</v>
      </c>
      <c r="I127" s="26" t="s">
        <v>108</v>
      </c>
      <c r="J127" s="26" t="s">
        <v>45</v>
      </c>
      <c r="K127" s="26" t="s">
        <v>46</v>
      </c>
      <c r="L127" s="26" t="s">
        <v>158</v>
      </c>
      <c r="M127" s="26" t="s">
        <v>45</v>
      </c>
      <c r="N127" s="26" t="s">
        <v>46</v>
      </c>
      <c r="O127" s="26" t="s">
        <v>162</v>
      </c>
      <c r="P127" s="26" t="s">
        <v>58</v>
      </c>
      <c r="Q127" s="27">
        <v>20.59041666666667</v>
      </c>
      <c r="R127" s="27">
        <v>5.0458333333333316</v>
      </c>
      <c r="S127" s="27">
        <v>18.145833333333329</v>
      </c>
      <c r="T127" s="27">
        <v>43.782083333333333</v>
      </c>
      <c r="U127" s="28">
        <v>0.98365960200614777</v>
      </c>
      <c r="V127" s="27">
        <v>21.89104166666667</v>
      </c>
      <c r="W127" s="27">
        <v>21.89104166666667</v>
      </c>
      <c r="X127" s="29" t="str">
        <f t="shared" si="12"/>
        <v>Rule 3</v>
      </c>
      <c r="Y127" s="29" t="str">
        <f t="shared" si="13"/>
        <v>B</v>
      </c>
      <c r="Z127" s="30"/>
      <c r="AA127" s="4" t="str">
        <f t="shared" si="14"/>
        <v>B</v>
      </c>
      <c r="AB127" s="6" t="str">
        <f>IFERROR(INDEX('Classification Rules'!$C$43:$C$46,MATCH($AA127,'Classification Rules'!$B$43:$B$46,0)),"")</f>
        <v>Offshore-ready</v>
      </c>
      <c r="AC127" s="21" t="str">
        <f t="shared" si="15"/>
        <v>Cloud Indicator = Yes  (Platform as a Service (PaaS))</v>
      </c>
      <c r="AD127" s="21" t="str">
        <f>IFERROR(INDEX('Classification Rules'!$D$13:$D$16,MATCH($AA127,'Classification Rules'!$B$13:$B$16,0)),"")</f>
        <v>Cloud migration has already forced re-platforming, documentation and specifiability. Highest AI and offshore ceiling in the estate.</v>
      </c>
      <c r="AE127" s="20">
        <f>IFERROR(INDEX('Classification Rules'!$D$43:$D$46,MATCH($AA127,'Classification Rules'!$B$43:$B$46,0)),"")</f>
        <v>0.48249999999999998</v>
      </c>
      <c r="AF127" s="20">
        <f>IFERROR(INDEX('Classification Rules'!$E$43:$E$46,MATCH($AA127,'Classification Rules'!$B$43:$B$46,0)),"")</f>
        <v>0.45402025000000001</v>
      </c>
      <c r="AG127" s="20">
        <f>IFERROR(INDEX('Classification Rules'!$F$43:$F$46,MATCH($AA127,'Classification Rules'!$B$43:$B$46,0)),"")</f>
        <v>0.78</v>
      </c>
      <c r="AH127" s="20">
        <f>IFERROR(INDEX('Classification Rules'!$G$43:$G$46,MATCH($AA127,'Classification Rules'!$B$43:$B$46,0)),"")</f>
        <v>0.72540000000000004</v>
      </c>
      <c r="AI127" s="21" t="str">
        <f>IFERROR(INDEX('Classification Rules'!$I$43:$I$46,MATCH($AA127,'Classification Rules'!$B$43:$B$46,0)),"")</f>
        <v>6-8 weeks per cluster</v>
      </c>
      <c r="AJ127" s="21" t="str">
        <f>IFERROR(INDEX('Classification Rules'!$J$43:$J$46,MATCH($AA127,'Classification Rules'!$B$43:$B$46,0)),"")</f>
        <v>Fully sourced, moving to output units</v>
      </c>
      <c r="AK127" s="21">
        <f>IFERROR(INDEX('Classification Rules'!$K$43:$K$46,MATCH($AA127,'Classification Rules'!$B$43:$B$46,0)),"")</f>
        <v>0</v>
      </c>
    </row>
    <row r="128" spans="1:37" ht="39" customHeight="1" x14ac:dyDescent="0.3">
      <c r="A128" s="25">
        <v>124</v>
      </c>
      <c r="B128" s="26">
        <v>13856</v>
      </c>
      <c r="C128" s="26" t="s">
        <v>412</v>
      </c>
      <c r="D128" s="26" t="s">
        <v>413</v>
      </c>
      <c r="E128" s="26" t="s">
        <v>138</v>
      </c>
      <c r="F128" s="26" t="s">
        <v>254</v>
      </c>
      <c r="G128" s="26" t="s">
        <v>115</v>
      </c>
      <c r="H128" s="26" t="s">
        <v>140</v>
      </c>
      <c r="I128" s="26" t="s">
        <v>44</v>
      </c>
      <c r="J128" s="26" t="s">
        <v>45</v>
      </c>
      <c r="K128" s="26" t="s">
        <v>46</v>
      </c>
      <c r="L128" s="26" t="s">
        <v>414</v>
      </c>
      <c r="M128" s="26" t="s">
        <v>45</v>
      </c>
      <c r="N128" s="26" t="s">
        <v>57</v>
      </c>
      <c r="O128" s="26"/>
      <c r="P128" s="26" t="s">
        <v>58</v>
      </c>
      <c r="Q128" s="27">
        <v>4.4024999999999999</v>
      </c>
      <c r="R128" s="27">
        <v>1.958333333333333</v>
      </c>
      <c r="S128" s="27">
        <v>4.1666666666666657E-2</v>
      </c>
      <c r="T128" s="27">
        <v>6.4025000000000007</v>
      </c>
      <c r="U128" s="28">
        <v>0.95769881556683589</v>
      </c>
      <c r="V128" s="27">
        <v>3.2012499999999999</v>
      </c>
      <c r="W128" s="27">
        <v>3.2012499999999999</v>
      </c>
      <c r="X128" s="29" t="str">
        <f t="shared" si="12"/>
        <v>Rule 4</v>
      </c>
      <c r="Y128" s="29" t="str">
        <f t="shared" si="13"/>
        <v>A</v>
      </c>
      <c r="Z128" s="30"/>
      <c r="AA128" s="4" t="str">
        <f t="shared" si="14"/>
        <v>A</v>
      </c>
      <c r="AB128" s="6" t="str">
        <f>IFERROR(INDEX('Classification Rules'!$C$43:$C$46,MATCH($AA128,'Classification Rules'!$B$43:$B$46,0)),"")</f>
        <v>Language-locked</v>
      </c>
      <c r="AC128" s="21" t="str">
        <f t="shared" si="15"/>
        <v>Cloud Indicator = No, not mainframe, not a transfer target</v>
      </c>
      <c r="AD128" s="21" t="str">
        <f>IFERROR(INDEX('Classification Rules'!$D$13:$D$16,MATCH($AA128,'Classification Rules'!$B$13:$B$16,0)),"")</f>
        <v>On-premises and non-mainframe, so the constraint is not the technology — it is that the business context exists only in Japanese, in few heads.</v>
      </c>
      <c r="AE128" s="20">
        <f>IFERROR(INDEX('Classification Rules'!$D$43:$D$46,MATCH($AA128,'Classification Rules'!$B$43:$B$46,0)),"")</f>
        <v>0.30399999999999999</v>
      </c>
      <c r="AF128" s="20">
        <f>IFERROR(INDEX('Classification Rules'!$E$43:$E$46,MATCH($AA128,'Classification Rules'!$B$43:$B$46,0)),"")</f>
        <v>0.33947680000000002</v>
      </c>
      <c r="AG128" s="20">
        <f>IFERROR(INDEX('Classification Rules'!$F$43:$F$46,MATCH($AA128,'Classification Rules'!$B$43:$B$46,0)),"")</f>
        <v>0.15</v>
      </c>
      <c r="AH128" s="20">
        <f>IFERROR(INDEX('Classification Rules'!$G$43:$G$46,MATCH($AA128,'Classification Rules'!$B$43:$B$46,0)),"")</f>
        <v>0.13950000000000001</v>
      </c>
      <c r="AI128" s="21" t="str">
        <f>IFERROR(INDEX('Classification Rules'!$I$43:$I$46,MATCH($AA128,'Classification Rules'!$B$43:$B$46,0)),"")</f>
        <v>10-14 weeks per cluster</v>
      </c>
      <c r="AJ128" s="21" t="str">
        <f>IFERROR(INDEX('Classification Rules'!$J$43:$J$46,MATCH($AA128,'Classification Rules'!$B$43:$B$46,0)),"")</f>
        <v>Fully sourced, onshore-weighted</v>
      </c>
      <c r="AK128" s="21">
        <f>IFERROR(INDEX('Classification Rules'!$K$43:$K$46,MATCH($AA128,'Classification Rules'!$B$43:$B$46,0)),"")</f>
        <v>0</v>
      </c>
    </row>
    <row r="129" spans="1:37" ht="39" customHeight="1" x14ac:dyDescent="0.3">
      <c r="A129" s="25">
        <v>125</v>
      </c>
      <c r="B129" s="26">
        <v>13863</v>
      </c>
      <c r="C129" s="26" t="s">
        <v>415</v>
      </c>
      <c r="D129" s="26" t="s">
        <v>416</v>
      </c>
      <c r="E129" s="26" t="s">
        <v>113</v>
      </c>
      <c r="F129" s="26" t="s">
        <v>200</v>
      </c>
      <c r="G129" s="26" t="s">
        <v>115</v>
      </c>
      <c r="H129" s="26" t="s">
        <v>116</v>
      </c>
      <c r="I129" s="26" t="s">
        <v>108</v>
      </c>
      <c r="J129" s="26" t="s">
        <v>45</v>
      </c>
      <c r="K129" s="26" t="s">
        <v>57</v>
      </c>
      <c r="L129" s="26" t="s">
        <v>158</v>
      </c>
      <c r="M129" s="26" t="s">
        <v>45</v>
      </c>
      <c r="N129" s="26" t="s">
        <v>46</v>
      </c>
      <c r="O129" s="26" t="s">
        <v>48</v>
      </c>
      <c r="P129" s="26" t="s">
        <v>49</v>
      </c>
      <c r="Q129" s="27">
        <v>1</v>
      </c>
      <c r="R129" s="27">
        <v>0</v>
      </c>
      <c r="S129" s="27">
        <v>0</v>
      </c>
      <c r="T129" s="27">
        <v>0</v>
      </c>
      <c r="U129" s="28">
        <v>0</v>
      </c>
      <c r="V129" s="27">
        <v>0</v>
      </c>
      <c r="W129" s="27">
        <v>0</v>
      </c>
      <c r="X129" s="29" t="str">
        <f t="shared" si="12"/>
        <v>Rule 3</v>
      </c>
      <c r="Y129" s="29" t="str">
        <f t="shared" si="13"/>
        <v>B</v>
      </c>
      <c r="Z129" s="30"/>
      <c r="AA129" s="4" t="str">
        <f t="shared" si="14"/>
        <v>B</v>
      </c>
      <c r="AB129" s="6" t="str">
        <f>IFERROR(INDEX('Classification Rules'!$C$43:$C$46,MATCH($AA129,'Classification Rules'!$B$43:$B$46,0)),"")</f>
        <v>Offshore-ready</v>
      </c>
      <c r="AC129" s="21" t="str">
        <f t="shared" si="15"/>
        <v>Cloud Indicator = Yes  (Software as a Service (SaaS))</v>
      </c>
      <c r="AD129" s="21" t="str">
        <f>IFERROR(INDEX('Classification Rules'!$D$13:$D$16,MATCH($AA129,'Classification Rules'!$B$13:$B$16,0)),"")</f>
        <v>Cloud migration has already forced re-platforming, documentation and specifiability. Highest AI and offshore ceiling in the estate.</v>
      </c>
      <c r="AE129" s="20">
        <f>IFERROR(INDEX('Classification Rules'!$D$43:$D$46,MATCH($AA129,'Classification Rules'!$B$43:$B$46,0)),"")</f>
        <v>0.48249999999999998</v>
      </c>
      <c r="AF129" s="20">
        <f>IFERROR(INDEX('Classification Rules'!$E$43:$E$46,MATCH($AA129,'Classification Rules'!$B$43:$B$46,0)),"")</f>
        <v>0.45402025000000001</v>
      </c>
      <c r="AG129" s="20">
        <f>IFERROR(INDEX('Classification Rules'!$F$43:$F$46,MATCH($AA129,'Classification Rules'!$B$43:$B$46,0)),"")</f>
        <v>0.78</v>
      </c>
      <c r="AH129" s="20">
        <f>IFERROR(INDEX('Classification Rules'!$G$43:$G$46,MATCH($AA129,'Classification Rules'!$B$43:$B$46,0)),"")</f>
        <v>0.72540000000000004</v>
      </c>
      <c r="AI129" s="21" t="str">
        <f>IFERROR(INDEX('Classification Rules'!$I$43:$I$46,MATCH($AA129,'Classification Rules'!$B$43:$B$46,0)),"")</f>
        <v>6-8 weeks per cluster</v>
      </c>
      <c r="AJ129" s="21" t="str">
        <f>IFERROR(INDEX('Classification Rules'!$J$43:$J$46,MATCH($AA129,'Classification Rules'!$B$43:$B$46,0)),"")</f>
        <v>Fully sourced, moving to output units</v>
      </c>
      <c r="AK129" s="21">
        <f>IFERROR(INDEX('Classification Rules'!$K$43:$K$46,MATCH($AA129,'Classification Rules'!$B$43:$B$46,0)),"")</f>
        <v>0</v>
      </c>
    </row>
    <row r="130" spans="1:37" ht="39" customHeight="1" x14ac:dyDescent="0.3">
      <c r="A130" s="25">
        <v>126</v>
      </c>
      <c r="B130" s="26">
        <v>13884</v>
      </c>
      <c r="C130" s="26" t="s">
        <v>417</v>
      </c>
      <c r="D130" s="26" t="s">
        <v>418</v>
      </c>
      <c r="E130" s="26" t="s">
        <v>120</v>
      </c>
      <c r="F130" s="26" t="s">
        <v>354</v>
      </c>
      <c r="G130" s="26" t="s">
        <v>115</v>
      </c>
      <c r="H130" s="26" t="s">
        <v>122</v>
      </c>
      <c r="I130" s="26" t="s">
        <v>44</v>
      </c>
      <c r="J130" s="26" t="s">
        <v>45</v>
      </c>
      <c r="K130" s="26" t="s">
        <v>46</v>
      </c>
      <c r="L130" s="26" t="s">
        <v>158</v>
      </c>
      <c r="M130" s="26" t="s">
        <v>45</v>
      </c>
      <c r="N130" s="26" t="s">
        <v>57</v>
      </c>
      <c r="O130" s="26"/>
      <c r="P130" s="26" t="s">
        <v>58</v>
      </c>
      <c r="Q130" s="27">
        <v>0.4</v>
      </c>
      <c r="R130" s="27">
        <v>0.3</v>
      </c>
      <c r="S130" s="27">
        <v>0</v>
      </c>
      <c r="T130" s="27">
        <v>4.2762499999999992</v>
      </c>
      <c r="U130" s="28">
        <v>0.90909090909090917</v>
      </c>
      <c r="V130" s="27">
        <v>2.1381250000000001</v>
      </c>
      <c r="W130" s="27">
        <v>2.1381250000000001</v>
      </c>
      <c r="X130" s="29" t="str">
        <f t="shared" si="12"/>
        <v>Rule 4</v>
      </c>
      <c r="Y130" s="29" t="str">
        <f t="shared" si="13"/>
        <v>A</v>
      </c>
      <c r="Z130" s="30"/>
      <c r="AA130" s="4" t="str">
        <f t="shared" si="14"/>
        <v>A</v>
      </c>
      <c r="AB130" s="6" t="str">
        <f>IFERROR(INDEX('Classification Rules'!$C$43:$C$46,MATCH($AA130,'Classification Rules'!$B$43:$B$46,0)),"")</f>
        <v>Language-locked</v>
      </c>
      <c r="AC130" s="21" t="str">
        <f t="shared" si="15"/>
        <v>Cloud Indicator = No, not mainframe, not a transfer target</v>
      </c>
      <c r="AD130" s="21" t="str">
        <f>IFERROR(INDEX('Classification Rules'!$D$13:$D$16,MATCH($AA130,'Classification Rules'!$B$13:$B$16,0)),"")</f>
        <v>On-premises and non-mainframe, so the constraint is not the technology — it is that the business context exists only in Japanese, in few heads.</v>
      </c>
      <c r="AE130" s="20">
        <f>IFERROR(INDEX('Classification Rules'!$D$43:$D$46,MATCH($AA130,'Classification Rules'!$B$43:$B$46,0)),"")</f>
        <v>0.30399999999999999</v>
      </c>
      <c r="AF130" s="20">
        <f>IFERROR(INDEX('Classification Rules'!$E$43:$E$46,MATCH($AA130,'Classification Rules'!$B$43:$B$46,0)),"")</f>
        <v>0.33947680000000002</v>
      </c>
      <c r="AG130" s="20">
        <f>IFERROR(INDEX('Classification Rules'!$F$43:$F$46,MATCH($AA130,'Classification Rules'!$B$43:$B$46,0)),"")</f>
        <v>0.15</v>
      </c>
      <c r="AH130" s="20">
        <f>IFERROR(INDEX('Classification Rules'!$G$43:$G$46,MATCH($AA130,'Classification Rules'!$B$43:$B$46,0)),"")</f>
        <v>0.13950000000000001</v>
      </c>
      <c r="AI130" s="21" t="str">
        <f>IFERROR(INDEX('Classification Rules'!$I$43:$I$46,MATCH($AA130,'Classification Rules'!$B$43:$B$46,0)),"")</f>
        <v>10-14 weeks per cluster</v>
      </c>
      <c r="AJ130" s="21" t="str">
        <f>IFERROR(INDEX('Classification Rules'!$J$43:$J$46,MATCH($AA130,'Classification Rules'!$B$43:$B$46,0)),"")</f>
        <v>Fully sourced, onshore-weighted</v>
      </c>
      <c r="AK130" s="21">
        <f>IFERROR(INDEX('Classification Rules'!$K$43:$K$46,MATCH($AA130,'Classification Rules'!$B$43:$B$46,0)),"")</f>
        <v>0</v>
      </c>
    </row>
    <row r="131" spans="1:37" ht="39" customHeight="1" x14ac:dyDescent="0.3">
      <c r="A131" s="25">
        <v>127</v>
      </c>
      <c r="B131" s="26">
        <v>13888</v>
      </c>
      <c r="C131" s="26" t="s">
        <v>419</v>
      </c>
      <c r="D131" s="26" t="s">
        <v>420</v>
      </c>
      <c r="E131" s="26" t="s">
        <v>175</v>
      </c>
      <c r="F131" s="26" t="s">
        <v>295</v>
      </c>
      <c r="G131" s="26" t="s">
        <v>177</v>
      </c>
      <c r="H131" s="26" t="s">
        <v>204</v>
      </c>
      <c r="I131" s="26" t="s">
        <v>108</v>
      </c>
      <c r="J131" s="26" t="s">
        <v>45</v>
      </c>
      <c r="K131" s="26" t="s">
        <v>46</v>
      </c>
      <c r="L131" s="26" t="s">
        <v>385</v>
      </c>
      <c r="M131" s="26" t="s">
        <v>45</v>
      </c>
      <c r="N131" s="26" t="s">
        <v>57</v>
      </c>
      <c r="O131" s="26"/>
      <c r="P131" s="26" t="s">
        <v>58</v>
      </c>
      <c r="Q131" s="27">
        <v>2.947500000000002</v>
      </c>
      <c r="R131" s="27">
        <v>0.49999999999999989</v>
      </c>
      <c r="S131" s="27">
        <v>1</v>
      </c>
      <c r="T131" s="27">
        <v>4.4475000000000016</v>
      </c>
      <c r="U131" s="28">
        <v>0.2407719692711261</v>
      </c>
      <c r="V131" s="27">
        <v>2.2237500000000008</v>
      </c>
      <c r="W131" s="27">
        <v>2.2237500000000008</v>
      </c>
      <c r="X131" s="29" t="str">
        <f t="shared" si="12"/>
        <v>Rule 4</v>
      </c>
      <c r="Y131" s="29" t="str">
        <f t="shared" si="13"/>
        <v>A</v>
      </c>
      <c r="Z131" s="30"/>
      <c r="AA131" s="4" t="str">
        <f t="shared" si="14"/>
        <v>A</v>
      </c>
      <c r="AB131" s="6" t="str">
        <f>IFERROR(INDEX('Classification Rules'!$C$43:$C$46,MATCH($AA131,'Classification Rules'!$B$43:$B$46,0)),"")</f>
        <v>Language-locked</v>
      </c>
      <c r="AC131" s="21" t="str">
        <f t="shared" si="15"/>
        <v>Cloud Indicator = No, not mainframe, not a transfer target</v>
      </c>
      <c r="AD131" s="21" t="str">
        <f>IFERROR(INDEX('Classification Rules'!$D$13:$D$16,MATCH($AA131,'Classification Rules'!$B$13:$B$16,0)),"")</f>
        <v>On-premises and non-mainframe, so the constraint is not the technology — it is that the business context exists only in Japanese, in few heads.</v>
      </c>
      <c r="AE131" s="20">
        <f>IFERROR(INDEX('Classification Rules'!$D$43:$D$46,MATCH($AA131,'Classification Rules'!$B$43:$B$46,0)),"")</f>
        <v>0.30399999999999999</v>
      </c>
      <c r="AF131" s="20">
        <f>IFERROR(INDEX('Classification Rules'!$E$43:$E$46,MATCH($AA131,'Classification Rules'!$B$43:$B$46,0)),"")</f>
        <v>0.33947680000000002</v>
      </c>
      <c r="AG131" s="20">
        <f>IFERROR(INDEX('Classification Rules'!$F$43:$F$46,MATCH($AA131,'Classification Rules'!$B$43:$B$46,0)),"")</f>
        <v>0.15</v>
      </c>
      <c r="AH131" s="20">
        <f>IFERROR(INDEX('Classification Rules'!$G$43:$G$46,MATCH($AA131,'Classification Rules'!$B$43:$B$46,0)),"")</f>
        <v>0.13950000000000001</v>
      </c>
      <c r="AI131" s="21" t="str">
        <f>IFERROR(INDEX('Classification Rules'!$I$43:$I$46,MATCH($AA131,'Classification Rules'!$B$43:$B$46,0)),"")</f>
        <v>10-14 weeks per cluster</v>
      </c>
      <c r="AJ131" s="21" t="str">
        <f>IFERROR(INDEX('Classification Rules'!$J$43:$J$46,MATCH($AA131,'Classification Rules'!$B$43:$B$46,0)),"")</f>
        <v>Fully sourced, onshore-weighted</v>
      </c>
      <c r="AK131" s="21">
        <f>IFERROR(INDEX('Classification Rules'!$K$43:$K$46,MATCH($AA131,'Classification Rules'!$B$43:$B$46,0)),"")</f>
        <v>0</v>
      </c>
    </row>
    <row r="132" spans="1:37" ht="39" customHeight="1" x14ac:dyDescent="0.3">
      <c r="A132" s="25">
        <v>128</v>
      </c>
      <c r="B132" s="26">
        <v>13971</v>
      </c>
      <c r="C132" s="26" t="s">
        <v>421</v>
      </c>
      <c r="D132" s="26" t="s">
        <v>422</v>
      </c>
      <c r="E132" s="26" t="s">
        <v>138</v>
      </c>
      <c r="F132" s="26" t="s">
        <v>254</v>
      </c>
      <c r="G132" s="26" t="s">
        <v>115</v>
      </c>
      <c r="H132" s="26" t="s">
        <v>140</v>
      </c>
      <c r="I132" s="26" t="s">
        <v>44</v>
      </c>
      <c r="J132" s="26" t="s">
        <v>45</v>
      </c>
      <c r="K132" s="26" t="s">
        <v>46</v>
      </c>
      <c r="L132" s="26" t="s">
        <v>123</v>
      </c>
      <c r="M132" s="26" t="s">
        <v>45</v>
      </c>
      <c r="N132" s="26" t="s">
        <v>57</v>
      </c>
      <c r="O132" s="26"/>
      <c r="P132" s="26" t="s">
        <v>58</v>
      </c>
      <c r="Q132" s="27">
        <v>0.95416666666666661</v>
      </c>
      <c r="R132" s="27">
        <v>0.54999999999999993</v>
      </c>
      <c r="S132" s="27">
        <v>0</v>
      </c>
      <c r="T132" s="27">
        <v>1.504166666666666</v>
      </c>
      <c r="U132" s="28">
        <v>0.29362880886426601</v>
      </c>
      <c r="V132" s="27">
        <v>0.75208333333333321</v>
      </c>
      <c r="W132" s="27">
        <v>0.75208333333333321</v>
      </c>
      <c r="X132" s="29" t="str">
        <f t="shared" si="12"/>
        <v>Rule 4</v>
      </c>
      <c r="Y132" s="29" t="str">
        <f t="shared" si="13"/>
        <v>A</v>
      </c>
      <c r="Z132" s="30"/>
      <c r="AA132" s="4" t="str">
        <f t="shared" si="14"/>
        <v>A</v>
      </c>
      <c r="AB132" s="6" t="str">
        <f>IFERROR(INDEX('Classification Rules'!$C$43:$C$46,MATCH($AA132,'Classification Rules'!$B$43:$B$46,0)),"")</f>
        <v>Language-locked</v>
      </c>
      <c r="AC132" s="21" t="str">
        <f t="shared" si="15"/>
        <v>Cloud Indicator = No, not mainframe, not a transfer target</v>
      </c>
      <c r="AD132" s="21" t="str">
        <f>IFERROR(INDEX('Classification Rules'!$D$13:$D$16,MATCH($AA132,'Classification Rules'!$B$13:$B$16,0)),"")</f>
        <v>On-premises and non-mainframe, so the constraint is not the technology — it is that the business context exists only in Japanese, in few heads.</v>
      </c>
      <c r="AE132" s="20">
        <f>IFERROR(INDEX('Classification Rules'!$D$43:$D$46,MATCH($AA132,'Classification Rules'!$B$43:$B$46,0)),"")</f>
        <v>0.30399999999999999</v>
      </c>
      <c r="AF132" s="20">
        <f>IFERROR(INDEX('Classification Rules'!$E$43:$E$46,MATCH($AA132,'Classification Rules'!$B$43:$B$46,0)),"")</f>
        <v>0.33947680000000002</v>
      </c>
      <c r="AG132" s="20">
        <f>IFERROR(INDEX('Classification Rules'!$F$43:$F$46,MATCH($AA132,'Classification Rules'!$B$43:$B$46,0)),"")</f>
        <v>0.15</v>
      </c>
      <c r="AH132" s="20">
        <f>IFERROR(INDEX('Classification Rules'!$G$43:$G$46,MATCH($AA132,'Classification Rules'!$B$43:$B$46,0)),"")</f>
        <v>0.13950000000000001</v>
      </c>
      <c r="AI132" s="21" t="str">
        <f>IFERROR(INDEX('Classification Rules'!$I$43:$I$46,MATCH($AA132,'Classification Rules'!$B$43:$B$46,0)),"")</f>
        <v>10-14 weeks per cluster</v>
      </c>
      <c r="AJ132" s="21" t="str">
        <f>IFERROR(INDEX('Classification Rules'!$J$43:$J$46,MATCH($AA132,'Classification Rules'!$B$43:$B$46,0)),"")</f>
        <v>Fully sourced, onshore-weighted</v>
      </c>
      <c r="AK132" s="21">
        <f>IFERROR(INDEX('Classification Rules'!$K$43:$K$46,MATCH($AA132,'Classification Rules'!$B$43:$B$46,0)),"")</f>
        <v>0</v>
      </c>
    </row>
    <row r="133" spans="1:37" ht="39" customHeight="1" x14ac:dyDescent="0.3">
      <c r="A133" s="25">
        <v>129</v>
      </c>
      <c r="B133" s="26">
        <v>13982</v>
      </c>
      <c r="C133" s="26" t="s">
        <v>423</v>
      </c>
      <c r="D133" s="26" t="s">
        <v>424</v>
      </c>
      <c r="E133" s="26" t="s">
        <v>113</v>
      </c>
      <c r="F133" s="26" t="s">
        <v>339</v>
      </c>
      <c r="G133" s="26" t="s">
        <v>115</v>
      </c>
      <c r="H133" s="26" t="s">
        <v>116</v>
      </c>
      <c r="I133" s="26" t="s">
        <v>44</v>
      </c>
      <c r="J133" s="26" t="s">
        <v>45</v>
      </c>
      <c r="K133" s="26" t="s">
        <v>46</v>
      </c>
      <c r="L133" s="26" t="s">
        <v>158</v>
      </c>
      <c r="M133" s="26" t="s">
        <v>45</v>
      </c>
      <c r="N133" s="26" t="s">
        <v>57</v>
      </c>
      <c r="O133" s="26"/>
      <c r="P133" s="26" t="s">
        <v>58</v>
      </c>
      <c r="Q133" s="27">
        <v>0.86916666666666664</v>
      </c>
      <c r="R133" s="27">
        <v>3.3333333333333333E-2</v>
      </c>
      <c r="S133" s="27">
        <v>0</v>
      </c>
      <c r="T133" s="27">
        <v>0.90249999999999997</v>
      </c>
      <c r="U133" s="28">
        <v>1</v>
      </c>
      <c r="V133" s="27">
        <v>0.45124999999999998</v>
      </c>
      <c r="W133" s="27">
        <v>0.45124999999999998</v>
      </c>
      <c r="X133" s="29" t="str">
        <f t="shared" ref="X133:X146" si="16">IF(OR(ISNUMBER(SEARCH("COBOL",$L133)),ISNUMBER(SEARCH("Assembler",$L133)),ISNUMBER(SEARCH("ASM",$L133)),ISNUMBER(SEARCH("RPG",$L133)),ISNUMBER(SEARCH("EASYPLUS",$L133)),ISNUMBER(SEARCH("PL/I",$L133))),"Rule 1",IF($M133="Y","Rule 2",IF($N133="Yes","Rule 3","Rule 4")))</f>
        <v>Rule 4</v>
      </c>
      <c r="Y133" s="29" t="str">
        <f t="shared" ref="Y133:Y146" si="17">IF($X133="Rule 1","D",IF($X133="Rule 2","C",IF($X133="Rule 3","B","A")))</f>
        <v>A</v>
      </c>
      <c r="Z133" s="30"/>
      <c r="AA133" s="4" t="str">
        <f t="shared" ref="AA133:AA146" si="18">IF($Z133="",$Y133,$Z133)</f>
        <v>A</v>
      </c>
      <c r="AB133" s="6" t="str">
        <f>IFERROR(INDEX('Classification Rules'!$C$43:$C$46,MATCH($AA133,'Classification Rules'!$B$43:$B$46,0)),"")</f>
        <v>Language-locked</v>
      </c>
      <c r="AC133" s="21" t="str">
        <f t="shared" ref="AC133:AC146" si="19">IF($X133="Rule 1","Language: "&amp;$L133,IF($X133="Rule 2","Priority Transfer Target = Y",IF($X133="Rule 3","Cloud Indicator = Yes  ("&amp;$O133&amp;")","Cloud Indicator = No, not mainframe, not a transfer target")))</f>
        <v>Cloud Indicator = No, not mainframe, not a transfer target</v>
      </c>
      <c r="AD133" s="21" t="str">
        <f>IFERROR(INDEX('Classification Rules'!$D$13:$D$16,MATCH($AA133,'Classification Rules'!$B$13:$B$16,0)),"")</f>
        <v>On-premises and non-mainframe, so the constraint is not the technology — it is that the business context exists only in Japanese, in few heads.</v>
      </c>
      <c r="AE133" s="20">
        <f>IFERROR(INDEX('Classification Rules'!$D$43:$D$46,MATCH($AA133,'Classification Rules'!$B$43:$B$46,0)),"")</f>
        <v>0.30399999999999999</v>
      </c>
      <c r="AF133" s="20">
        <f>IFERROR(INDEX('Classification Rules'!$E$43:$E$46,MATCH($AA133,'Classification Rules'!$B$43:$B$46,0)),"")</f>
        <v>0.33947680000000002</v>
      </c>
      <c r="AG133" s="20">
        <f>IFERROR(INDEX('Classification Rules'!$F$43:$F$46,MATCH($AA133,'Classification Rules'!$B$43:$B$46,0)),"")</f>
        <v>0.15</v>
      </c>
      <c r="AH133" s="20">
        <f>IFERROR(INDEX('Classification Rules'!$G$43:$G$46,MATCH($AA133,'Classification Rules'!$B$43:$B$46,0)),"")</f>
        <v>0.13950000000000001</v>
      </c>
      <c r="AI133" s="21" t="str">
        <f>IFERROR(INDEX('Classification Rules'!$I$43:$I$46,MATCH($AA133,'Classification Rules'!$B$43:$B$46,0)),"")</f>
        <v>10-14 weeks per cluster</v>
      </c>
      <c r="AJ133" s="21" t="str">
        <f>IFERROR(INDEX('Classification Rules'!$J$43:$J$46,MATCH($AA133,'Classification Rules'!$B$43:$B$46,0)),"")</f>
        <v>Fully sourced, onshore-weighted</v>
      </c>
      <c r="AK133" s="21">
        <f>IFERROR(INDEX('Classification Rules'!$K$43:$K$46,MATCH($AA133,'Classification Rules'!$B$43:$B$46,0)),"")</f>
        <v>0</v>
      </c>
    </row>
    <row r="134" spans="1:37" ht="39" customHeight="1" x14ac:dyDescent="0.3">
      <c r="A134" s="25">
        <v>130</v>
      </c>
      <c r="B134" s="26">
        <v>14049</v>
      </c>
      <c r="C134" s="26" t="s">
        <v>425</v>
      </c>
      <c r="D134" s="26" t="s">
        <v>426</v>
      </c>
      <c r="E134" s="26" t="s">
        <v>187</v>
      </c>
      <c r="F134" s="26" t="s">
        <v>374</v>
      </c>
      <c r="G134" s="26" t="s">
        <v>177</v>
      </c>
      <c r="H134" s="26" t="s">
        <v>189</v>
      </c>
      <c r="I134" s="26" t="s">
        <v>108</v>
      </c>
      <c r="J134" s="26" t="s">
        <v>45</v>
      </c>
      <c r="K134" s="26" t="s">
        <v>46</v>
      </c>
      <c r="L134" s="26" t="s">
        <v>427</v>
      </c>
      <c r="M134" s="26" t="s">
        <v>55</v>
      </c>
      <c r="N134" s="26" t="s">
        <v>46</v>
      </c>
      <c r="O134" s="26" t="s">
        <v>162</v>
      </c>
      <c r="P134" s="26" t="s">
        <v>58</v>
      </c>
      <c r="Q134" s="27">
        <v>0</v>
      </c>
      <c r="R134" s="27">
        <v>0</v>
      </c>
      <c r="S134" s="27">
        <v>0.125</v>
      </c>
      <c r="T134" s="27">
        <v>0.125</v>
      </c>
      <c r="U134" s="28">
        <v>1</v>
      </c>
      <c r="V134" s="27">
        <v>6.25E-2</v>
      </c>
      <c r="W134" s="27">
        <v>6.25E-2</v>
      </c>
      <c r="X134" s="29" t="str">
        <f t="shared" si="16"/>
        <v>Rule 2</v>
      </c>
      <c r="Y134" s="29" t="str">
        <f t="shared" si="17"/>
        <v>C</v>
      </c>
      <c r="Z134" s="30"/>
      <c r="AA134" s="4" t="str">
        <f t="shared" si="18"/>
        <v>C</v>
      </c>
      <c r="AB134" s="6" t="str">
        <f>IFERROR(INDEX('Classification Rules'!$C$43:$C$46,MATCH($AA134,'Classification Rules'!$B$43:$B$46,0)),"")</f>
        <v>MGCC-destined</v>
      </c>
      <c r="AC134" s="21" t="str">
        <f t="shared" si="19"/>
        <v>Priority Transfer Target = Y</v>
      </c>
      <c r="AD134" s="21" t="str">
        <f>IFERROR(INDEX('Classification Rules'!$D$13:$D$16,MATCH($AA134,'Classification Rules'!$B$13:$B$16,0)),"")</f>
        <v>MetLife has already flagged these for transfer and nine of ten already carry MGCC people. Routing them through a vendor transition pays for the same knowledge transfer twice.</v>
      </c>
      <c r="AE134" s="20">
        <f>IFERROR(INDEX('Classification Rules'!$D$43:$D$46,MATCH($AA134,'Classification Rules'!$B$43:$B$46,0)),"")</f>
        <v>0.45250000000000001</v>
      </c>
      <c r="AF134" s="20">
        <f>IFERROR(INDEX('Classification Rules'!$E$43:$E$46,MATCH($AA134,'Classification Rules'!$B$43:$B$46,0)),"")</f>
        <v>0.43476925</v>
      </c>
      <c r="AG134" s="20">
        <f>IFERROR(INDEX('Classification Rules'!$F$43:$F$46,MATCH($AA134,'Classification Rules'!$B$43:$B$46,0)),"")</f>
        <v>0</v>
      </c>
      <c r="AH134" s="20">
        <f>IFERROR(INDEX('Classification Rules'!$G$43:$G$46,MATCH($AA134,'Classification Rules'!$B$43:$B$46,0)),"")</f>
        <v>0</v>
      </c>
      <c r="AI134" s="21" t="str">
        <f>IFERROR(INDEX('Classification Rules'!$I$43:$I$46,MATCH($AA134,'Classification Rules'!$B$43:$B$46,0)),"")</f>
        <v>6-8 weeks, role handover</v>
      </c>
      <c r="AJ134" s="21" t="str">
        <f>IFERROR(INDEX('Classification Rules'!$J$43:$J$46,MATCH($AA134,'Classification Rules'!$B$43:$B$46,0)),"")</f>
        <v>Co-sourced with MGCC, permanently</v>
      </c>
      <c r="AK134" s="21">
        <f>IFERROR(INDEX('Classification Rules'!$K$43:$K$46,MATCH($AA134,'Classification Rules'!$B$43:$B$46,0)),"")</f>
        <v>0</v>
      </c>
    </row>
    <row r="135" spans="1:37" ht="39" customHeight="1" x14ac:dyDescent="0.3">
      <c r="A135" s="25">
        <v>131</v>
      </c>
      <c r="B135" s="26">
        <v>14059</v>
      </c>
      <c r="C135" s="26" t="s">
        <v>428</v>
      </c>
      <c r="D135" s="26" t="s">
        <v>429</v>
      </c>
      <c r="E135" s="26" t="s">
        <v>52</v>
      </c>
      <c r="F135" s="26" t="s">
        <v>67</v>
      </c>
      <c r="G135" s="26" t="s">
        <v>42</v>
      </c>
      <c r="H135" s="26" t="s">
        <v>54</v>
      </c>
      <c r="I135" s="26" t="s">
        <v>44</v>
      </c>
      <c r="J135" s="26" t="s">
        <v>45</v>
      </c>
      <c r="K135" s="26" t="s">
        <v>46</v>
      </c>
      <c r="L135" s="26" t="s">
        <v>158</v>
      </c>
      <c r="M135" s="26" t="s">
        <v>45</v>
      </c>
      <c r="N135" s="26" t="s">
        <v>57</v>
      </c>
      <c r="O135" s="26"/>
      <c r="P135" s="26" t="s">
        <v>58</v>
      </c>
      <c r="Q135" s="27">
        <v>1.0166666666666671</v>
      </c>
      <c r="R135" s="27">
        <v>1.041666666666667E-2</v>
      </c>
      <c r="S135" s="27">
        <v>0</v>
      </c>
      <c r="T135" s="27">
        <v>1.0270833333333329</v>
      </c>
      <c r="U135" s="28">
        <v>0.9026369168356998</v>
      </c>
      <c r="V135" s="27">
        <v>0.51354166666666667</v>
      </c>
      <c r="W135" s="27">
        <v>0.51354166666666667</v>
      </c>
      <c r="X135" s="29" t="str">
        <f t="shared" si="16"/>
        <v>Rule 4</v>
      </c>
      <c r="Y135" s="29" t="str">
        <f t="shared" si="17"/>
        <v>A</v>
      </c>
      <c r="Z135" s="30"/>
      <c r="AA135" s="4" t="str">
        <f t="shared" si="18"/>
        <v>A</v>
      </c>
      <c r="AB135" s="6" t="str">
        <f>IFERROR(INDEX('Classification Rules'!$C$43:$C$46,MATCH($AA135,'Classification Rules'!$B$43:$B$46,0)),"")</f>
        <v>Language-locked</v>
      </c>
      <c r="AC135" s="21" t="str">
        <f t="shared" si="19"/>
        <v>Cloud Indicator = No, not mainframe, not a transfer target</v>
      </c>
      <c r="AD135" s="21" t="str">
        <f>IFERROR(INDEX('Classification Rules'!$D$13:$D$16,MATCH($AA135,'Classification Rules'!$B$13:$B$16,0)),"")</f>
        <v>On-premises and non-mainframe, so the constraint is not the technology — it is that the business context exists only in Japanese, in few heads.</v>
      </c>
      <c r="AE135" s="20">
        <f>IFERROR(INDEX('Classification Rules'!$D$43:$D$46,MATCH($AA135,'Classification Rules'!$B$43:$B$46,0)),"")</f>
        <v>0.30399999999999999</v>
      </c>
      <c r="AF135" s="20">
        <f>IFERROR(INDEX('Classification Rules'!$E$43:$E$46,MATCH($AA135,'Classification Rules'!$B$43:$B$46,0)),"")</f>
        <v>0.33947680000000002</v>
      </c>
      <c r="AG135" s="20">
        <f>IFERROR(INDEX('Classification Rules'!$F$43:$F$46,MATCH($AA135,'Classification Rules'!$B$43:$B$46,0)),"")</f>
        <v>0.15</v>
      </c>
      <c r="AH135" s="20">
        <f>IFERROR(INDEX('Classification Rules'!$G$43:$G$46,MATCH($AA135,'Classification Rules'!$B$43:$B$46,0)),"")</f>
        <v>0.13950000000000001</v>
      </c>
      <c r="AI135" s="21" t="str">
        <f>IFERROR(INDEX('Classification Rules'!$I$43:$I$46,MATCH($AA135,'Classification Rules'!$B$43:$B$46,0)),"")</f>
        <v>10-14 weeks per cluster</v>
      </c>
      <c r="AJ135" s="21" t="str">
        <f>IFERROR(INDEX('Classification Rules'!$J$43:$J$46,MATCH($AA135,'Classification Rules'!$B$43:$B$46,0)),"")</f>
        <v>Fully sourced, onshore-weighted</v>
      </c>
      <c r="AK135" s="21">
        <f>IFERROR(INDEX('Classification Rules'!$K$43:$K$46,MATCH($AA135,'Classification Rules'!$B$43:$B$46,0)),"")</f>
        <v>0</v>
      </c>
    </row>
    <row r="136" spans="1:37" ht="39" customHeight="1" x14ac:dyDescent="0.3">
      <c r="A136" s="25">
        <v>132</v>
      </c>
      <c r="B136" s="26">
        <v>14097</v>
      </c>
      <c r="C136" s="26" t="s">
        <v>430</v>
      </c>
      <c r="D136" s="26" t="s">
        <v>431</v>
      </c>
      <c r="E136" s="26" t="s">
        <v>187</v>
      </c>
      <c r="F136" s="26" t="s">
        <v>374</v>
      </c>
      <c r="G136" s="26" t="s">
        <v>177</v>
      </c>
      <c r="H136" s="26" t="s">
        <v>189</v>
      </c>
      <c r="I136" s="26" t="s">
        <v>108</v>
      </c>
      <c r="J136" s="26" t="s">
        <v>45</v>
      </c>
      <c r="K136" s="26" t="s">
        <v>57</v>
      </c>
      <c r="L136" s="26" t="s">
        <v>432</v>
      </c>
      <c r="M136" s="26" t="s">
        <v>55</v>
      </c>
      <c r="N136" s="26" t="s">
        <v>46</v>
      </c>
      <c r="O136" s="26" t="s">
        <v>48</v>
      </c>
      <c r="P136" s="26" t="s">
        <v>49</v>
      </c>
      <c r="Q136" s="27">
        <v>8.3333333333333329E-2</v>
      </c>
      <c r="R136" s="27">
        <v>0</v>
      </c>
      <c r="S136" s="27">
        <v>8.3333333333333329E-2</v>
      </c>
      <c r="T136" s="27">
        <v>0.16666666666666671</v>
      </c>
      <c r="U136" s="28">
        <v>1</v>
      </c>
      <c r="V136" s="27">
        <v>8.3333333333333329E-2</v>
      </c>
      <c r="W136" s="27">
        <v>8.3333333333333329E-2</v>
      </c>
      <c r="X136" s="29" t="str">
        <f t="shared" si="16"/>
        <v>Rule 2</v>
      </c>
      <c r="Y136" s="29" t="str">
        <f t="shared" si="17"/>
        <v>C</v>
      </c>
      <c r="Z136" s="30"/>
      <c r="AA136" s="4" t="str">
        <f t="shared" si="18"/>
        <v>C</v>
      </c>
      <c r="AB136" s="6" t="str">
        <f>IFERROR(INDEX('Classification Rules'!$C$43:$C$46,MATCH($AA136,'Classification Rules'!$B$43:$B$46,0)),"")</f>
        <v>MGCC-destined</v>
      </c>
      <c r="AC136" s="21" t="str">
        <f t="shared" si="19"/>
        <v>Priority Transfer Target = Y</v>
      </c>
      <c r="AD136" s="21" t="str">
        <f>IFERROR(INDEX('Classification Rules'!$D$13:$D$16,MATCH($AA136,'Classification Rules'!$B$13:$B$16,0)),"")</f>
        <v>MetLife has already flagged these for transfer and nine of ten already carry MGCC people. Routing them through a vendor transition pays for the same knowledge transfer twice.</v>
      </c>
      <c r="AE136" s="20">
        <f>IFERROR(INDEX('Classification Rules'!$D$43:$D$46,MATCH($AA136,'Classification Rules'!$B$43:$B$46,0)),"")</f>
        <v>0.45250000000000001</v>
      </c>
      <c r="AF136" s="20">
        <f>IFERROR(INDEX('Classification Rules'!$E$43:$E$46,MATCH($AA136,'Classification Rules'!$B$43:$B$46,0)),"")</f>
        <v>0.43476925</v>
      </c>
      <c r="AG136" s="20">
        <f>IFERROR(INDEX('Classification Rules'!$F$43:$F$46,MATCH($AA136,'Classification Rules'!$B$43:$B$46,0)),"")</f>
        <v>0</v>
      </c>
      <c r="AH136" s="20">
        <f>IFERROR(INDEX('Classification Rules'!$G$43:$G$46,MATCH($AA136,'Classification Rules'!$B$43:$B$46,0)),"")</f>
        <v>0</v>
      </c>
      <c r="AI136" s="21" t="str">
        <f>IFERROR(INDEX('Classification Rules'!$I$43:$I$46,MATCH($AA136,'Classification Rules'!$B$43:$B$46,0)),"")</f>
        <v>6-8 weeks, role handover</v>
      </c>
      <c r="AJ136" s="21" t="str">
        <f>IFERROR(INDEX('Classification Rules'!$J$43:$J$46,MATCH($AA136,'Classification Rules'!$B$43:$B$46,0)),"")</f>
        <v>Co-sourced with MGCC, permanently</v>
      </c>
      <c r="AK136" s="21">
        <f>IFERROR(INDEX('Classification Rules'!$K$43:$K$46,MATCH($AA136,'Classification Rules'!$B$43:$B$46,0)),"")</f>
        <v>0</v>
      </c>
    </row>
    <row r="137" spans="1:37" ht="39" customHeight="1" x14ac:dyDescent="0.3">
      <c r="A137" s="25">
        <v>133</v>
      </c>
      <c r="B137" s="26">
        <v>14217</v>
      </c>
      <c r="C137" s="26" t="s">
        <v>433</v>
      </c>
      <c r="D137" s="26" t="s">
        <v>434</v>
      </c>
      <c r="E137" s="26" t="s">
        <v>187</v>
      </c>
      <c r="F137" s="26" t="s">
        <v>257</v>
      </c>
      <c r="G137" s="26" t="s">
        <v>177</v>
      </c>
      <c r="H137" s="26" t="s">
        <v>221</v>
      </c>
      <c r="I137" s="26" t="s">
        <v>44</v>
      </c>
      <c r="J137" s="26" t="s">
        <v>45</v>
      </c>
      <c r="K137" s="26" t="s">
        <v>46</v>
      </c>
      <c r="L137" s="26" t="s">
        <v>123</v>
      </c>
      <c r="M137" s="26" t="s">
        <v>45</v>
      </c>
      <c r="N137" s="26" t="s">
        <v>57</v>
      </c>
      <c r="O137" s="26"/>
      <c r="P137" s="26" t="s">
        <v>58</v>
      </c>
      <c r="Q137" s="27">
        <v>0.80833333333333335</v>
      </c>
      <c r="R137" s="27">
        <v>7.4999999999999997E-2</v>
      </c>
      <c r="S137" s="27">
        <v>0</v>
      </c>
      <c r="T137" s="27">
        <v>0.8833333333333333</v>
      </c>
      <c r="U137" s="28">
        <v>0.48113207547169817</v>
      </c>
      <c r="V137" s="27">
        <v>0.44166666666666671</v>
      </c>
      <c r="W137" s="27">
        <v>0.44166666666666671</v>
      </c>
      <c r="X137" s="29" t="str">
        <f t="shared" si="16"/>
        <v>Rule 4</v>
      </c>
      <c r="Y137" s="29" t="str">
        <f t="shared" si="17"/>
        <v>A</v>
      </c>
      <c r="Z137" s="30"/>
      <c r="AA137" s="4" t="str">
        <f t="shared" si="18"/>
        <v>A</v>
      </c>
      <c r="AB137" s="6" t="str">
        <f>IFERROR(INDEX('Classification Rules'!$C$43:$C$46,MATCH($AA137,'Classification Rules'!$B$43:$B$46,0)),"")</f>
        <v>Language-locked</v>
      </c>
      <c r="AC137" s="21" t="str">
        <f t="shared" si="19"/>
        <v>Cloud Indicator = No, not mainframe, not a transfer target</v>
      </c>
      <c r="AD137" s="21" t="str">
        <f>IFERROR(INDEX('Classification Rules'!$D$13:$D$16,MATCH($AA137,'Classification Rules'!$B$13:$B$16,0)),"")</f>
        <v>On-premises and non-mainframe, so the constraint is not the technology — it is that the business context exists only in Japanese, in few heads.</v>
      </c>
      <c r="AE137" s="20">
        <f>IFERROR(INDEX('Classification Rules'!$D$43:$D$46,MATCH($AA137,'Classification Rules'!$B$43:$B$46,0)),"")</f>
        <v>0.30399999999999999</v>
      </c>
      <c r="AF137" s="20">
        <f>IFERROR(INDEX('Classification Rules'!$E$43:$E$46,MATCH($AA137,'Classification Rules'!$B$43:$B$46,0)),"")</f>
        <v>0.33947680000000002</v>
      </c>
      <c r="AG137" s="20">
        <f>IFERROR(INDEX('Classification Rules'!$F$43:$F$46,MATCH($AA137,'Classification Rules'!$B$43:$B$46,0)),"")</f>
        <v>0.15</v>
      </c>
      <c r="AH137" s="20">
        <f>IFERROR(INDEX('Classification Rules'!$G$43:$G$46,MATCH($AA137,'Classification Rules'!$B$43:$B$46,0)),"")</f>
        <v>0.13950000000000001</v>
      </c>
      <c r="AI137" s="21" t="str">
        <f>IFERROR(INDEX('Classification Rules'!$I$43:$I$46,MATCH($AA137,'Classification Rules'!$B$43:$B$46,0)),"")</f>
        <v>10-14 weeks per cluster</v>
      </c>
      <c r="AJ137" s="21" t="str">
        <f>IFERROR(INDEX('Classification Rules'!$J$43:$J$46,MATCH($AA137,'Classification Rules'!$B$43:$B$46,0)),"")</f>
        <v>Fully sourced, onshore-weighted</v>
      </c>
      <c r="AK137" s="21">
        <f>IFERROR(INDEX('Classification Rules'!$K$43:$K$46,MATCH($AA137,'Classification Rules'!$B$43:$B$46,0)),"")</f>
        <v>0</v>
      </c>
    </row>
    <row r="138" spans="1:37" ht="39" customHeight="1" x14ac:dyDescent="0.3">
      <c r="A138" s="25">
        <v>134</v>
      </c>
      <c r="B138" s="26">
        <v>14267</v>
      </c>
      <c r="C138" s="26" t="s">
        <v>435</v>
      </c>
      <c r="D138" s="26" t="s">
        <v>436</v>
      </c>
      <c r="E138" s="26" t="s">
        <v>113</v>
      </c>
      <c r="F138" s="26" t="s">
        <v>155</v>
      </c>
      <c r="G138" s="26" t="s">
        <v>115</v>
      </c>
      <c r="H138" s="26" t="s">
        <v>116</v>
      </c>
      <c r="I138" s="26" t="s">
        <v>108</v>
      </c>
      <c r="J138" s="26" t="s">
        <v>45</v>
      </c>
      <c r="K138" s="26" t="s">
        <v>46</v>
      </c>
      <c r="L138" s="26" t="s">
        <v>158</v>
      </c>
      <c r="M138" s="26" t="s">
        <v>45</v>
      </c>
      <c r="N138" s="26" t="s">
        <v>57</v>
      </c>
      <c r="O138" s="26"/>
      <c r="P138" s="26" t="s">
        <v>58</v>
      </c>
      <c r="Q138" s="27">
        <v>12.25666666666668</v>
      </c>
      <c r="R138" s="27">
        <v>0.5</v>
      </c>
      <c r="S138" s="27">
        <v>0</v>
      </c>
      <c r="T138" s="27">
        <v>12.75666666666668</v>
      </c>
      <c r="U138" s="28">
        <v>0.88241442383067681</v>
      </c>
      <c r="V138" s="27">
        <v>6.3783333333333383</v>
      </c>
      <c r="W138" s="27">
        <v>6.3783333333333383</v>
      </c>
      <c r="X138" s="29" t="str">
        <f t="shared" si="16"/>
        <v>Rule 4</v>
      </c>
      <c r="Y138" s="29" t="str">
        <f t="shared" si="17"/>
        <v>A</v>
      </c>
      <c r="Z138" s="30"/>
      <c r="AA138" s="4" t="str">
        <f t="shared" si="18"/>
        <v>A</v>
      </c>
      <c r="AB138" s="6" t="str">
        <f>IFERROR(INDEX('Classification Rules'!$C$43:$C$46,MATCH($AA138,'Classification Rules'!$B$43:$B$46,0)),"")</f>
        <v>Language-locked</v>
      </c>
      <c r="AC138" s="21" t="str">
        <f t="shared" si="19"/>
        <v>Cloud Indicator = No, not mainframe, not a transfer target</v>
      </c>
      <c r="AD138" s="21" t="str">
        <f>IFERROR(INDEX('Classification Rules'!$D$13:$D$16,MATCH($AA138,'Classification Rules'!$B$13:$B$16,0)),"")</f>
        <v>On-premises and non-mainframe, so the constraint is not the technology — it is that the business context exists only in Japanese, in few heads.</v>
      </c>
      <c r="AE138" s="20">
        <f>IFERROR(INDEX('Classification Rules'!$D$43:$D$46,MATCH($AA138,'Classification Rules'!$B$43:$B$46,0)),"")</f>
        <v>0.30399999999999999</v>
      </c>
      <c r="AF138" s="20">
        <f>IFERROR(INDEX('Classification Rules'!$E$43:$E$46,MATCH($AA138,'Classification Rules'!$B$43:$B$46,0)),"")</f>
        <v>0.33947680000000002</v>
      </c>
      <c r="AG138" s="20">
        <f>IFERROR(INDEX('Classification Rules'!$F$43:$F$46,MATCH($AA138,'Classification Rules'!$B$43:$B$46,0)),"")</f>
        <v>0.15</v>
      </c>
      <c r="AH138" s="20">
        <f>IFERROR(INDEX('Classification Rules'!$G$43:$G$46,MATCH($AA138,'Classification Rules'!$B$43:$B$46,0)),"")</f>
        <v>0.13950000000000001</v>
      </c>
      <c r="AI138" s="21" t="str">
        <f>IFERROR(INDEX('Classification Rules'!$I$43:$I$46,MATCH($AA138,'Classification Rules'!$B$43:$B$46,0)),"")</f>
        <v>10-14 weeks per cluster</v>
      </c>
      <c r="AJ138" s="21" t="str">
        <f>IFERROR(INDEX('Classification Rules'!$J$43:$J$46,MATCH($AA138,'Classification Rules'!$B$43:$B$46,0)),"")</f>
        <v>Fully sourced, onshore-weighted</v>
      </c>
      <c r="AK138" s="21">
        <f>IFERROR(INDEX('Classification Rules'!$K$43:$K$46,MATCH($AA138,'Classification Rules'!$B$43:$B$46,0)),"")</f>
        <v>0</v>
      </c>
    </row>
    <row r="139" spans="1:37" ht="39" customHeight="1" x14ac:dyDescent="0.3">
      <c r="A139" s="25">
        <v>135</v>
      </c>
      <c r="B139" s="26">
        <v>14285</v>
      </c>
      <c r="C139" s="26" t="s">
        <v>437</v>
      </c>
      <c r="D139" s="26" t="s">
        <v>438</v>
      </c>
      <c r="E139" s="26" t="s">
        <v>40</v>
      </c>
      <c r="F139" s="26" t="s">
        <v>439</v>
      </c>
      <c r="G139" s="26" t="s">
        <v>42</v>
      </c>
      <c r="H139" s="26" t="s">
        <v>43</v>
      </c>
      <c r="I139" s="26" t="s">
        <v>44</v>
      </c>
      <c r="J139" s="26" t="s">
        <v>45</v>
      </c>
      <c r="K139" s="26" t="s">
        <v>46</v>
      </c>
      <c r="L139" s="26" t="s">
        <v>440</v>
      </c>
      <c r="M139" s="26" t="s">
        <v>45</v>
      </c>
      <c r="N139" s="26" t="s">
        <v>46</v>
      </c>
      <c r="O139" s="26" t="s">
        <v>162</v>
      </c>
      <c r="P139" s="26" t="s">
        <v>58</v>
      </c>
      <c r="Q139" s="27">
        <v>14.975</v>
      </c>
      <c r="R139" s="27">
        <v>1.341666666666667</v>
      </c>
      <c r="S139" s="27">
        <v>0</v>
      </c>
      <c r="T139" s="27">
        <v>16.31666666666667</v>
      </c>
      <c r="U139" s="28">
        <v>0.98774259448416757</v>
      </c>
      <c r="V139" s="27">
        <v>8.158333333333335</v>
      </c>
      <c r="W139" s="27">
        <v>8.158333333333335</v>
      </c>
      <c r="X139" s="29" t="str">
        <f t="shared" si="16"/>
        <v>Rule 3</v>
      </c>
      <c r="Y139" s="29" t="str">
        <f t="shared" si="17"/>
        <v>B</v>
      </c>
      <c r="Z139" s="30"/>
      <c r="AA139" s="4" t="str">
        <f t="shared" si="18"/>
        <v>B</v>
      </c>
      <c r="AB139" s="6" t="str">
        <f>IFERROR(INDEX('Classification Rules'!$C$43:$C$46,MATCH($AA139,'Classification Rules'!$B$43:$B$46,0)),"")</f>
        <v>Offshore-ready</v>
      </c>
      <c r="AC139" s="21" t="str">
        <f t="shared" si="19"/>
        <v>Cloud Indicator = Yes  (Platform as a Service (PaaS))</v>
      </c>
      <c r="AD139" s="21" t="str">
        <f>IFERROR(INDEX('Classification Rules'!$D$13:$D$16,MATCH($AA139,'Classification Rules'!$B$13:$B$16,0)),"")</f>
        <v>Cloud migration has already forced re-platforming, documentation and specifiability. Highest AI and offshore ceiling in the estate.</v>
      </c>
      <c r="AE139" s="20">
        <f>IFERROR(INDEX('Classification Rules'!$D$43:$D$46,MATCH($AA139,'Classification Rules'!$B$43:$B$46,0)),"")</f>
        <v>0.48249999999999998</v>
      </c>
      <c r="AF139" s="20">
        <f>IFERROR(INDEX('Classification Rules'!$E$43:$E$46,MATCH($AA139,'Classification Rules'!$B$43:$B$46,0)),"")</f>
        <v>0.45402025000000001</v>
      </c>
      <c r="AG139" s="20">
        <f>IFERROR(INDEX('Classification Rules'!$F$43:$F$46,MATCH($AA139,'Classification Rules'!$B$43:$B$46,0)),"")</f>
        <v>0.78</v>
      </c>
      <c r="AH139" s="20">
        <f>IFERROR(INDEX('Classification Rules'!$G$43:$G$46,MATCH($AA139,'Classification Rules'!$B$43:$B$46,0)),"")</f>
        <v>0.72540000000000004</v>
      </c>
      <c r="AI139" s="21" t="str">
        <f>IFERROR(INDEX('Classification Rules'!$I$43:$I$46,MATCH($AA139,'Classification Rules'!$B$43:$B$46,0)),"")</f>
        <v>6-8 weeks per cluster</v>
      </c>
      <c r="AJ139" s="21" t="str">
        <f>IFERROR(INDEX('Classification Rules'!$J$43:$J$46,MATCH($AA139,'Classification Rules'!$B$43:$B$46,0)),"")</f>
        <v>Fully sourced, moving to output units</v>
      </c>
      <c r="AK139" s="21">
        <f>IFERROR(INDEX('Classification Rules'!$K$43:$K$46,MATCH($AA139,'Classification Rules'!$B$43:$B$46,0)),"")</f>
        <v>0</v>
      </c>
    </row>
    <row r="140" spans="1:37" ht="39" customHeight="1" x14ac:dyDescent="0.3">
      <c r="A140" s="25">
        <v>136</v>
      </c>
      <c r="B140" s="26">
        <v>14322</v>
      </c>
      <c r="C140" s="26" t="s">
        <v>441</v>
      </c>
      <c r="D140" s="26" t="s">
        <v>442</v>
      </c>
      <c r="E140" s="26" t="s">
        <v>126</v>
      </c>
      <c r="F140" s="26" t="s">
        <v>127</v>
      </c>
      <c r="G140" s="26" t="s">
        <v>115</v>
      </c>
      <c r="H140" s="26" t="s">
        <v>128</v>
      </c>
      <c r="I140" s="26" t="s">
        <v>44</v>
      </c>
      <c r="J140" s="26" t="s">
        <v>45</v>
      </c>
      <c r="K140" s="26" t="s">
        <v>57</v>
      </c>
      <c r="L140" s="26" t="s">
        <v>158</v>
      </c>
      <c r="M140" s="26" t="s">
        <v>45</v>
      </c>
      <c r="N140" s="26" t="s">
        <v>46</v>
      </c>
      <c r="O140" s="26" t="s">
        <v>48</v>
      </c>
      <c r="P140" s="26" t="s">
        <v>58</v>
      </c>
      <c r="Q140" s="27">
        <v>11.491666666666671</v>
      </c>
      <c r="R140" s="27">
        <v>0.70833333333333337</v>
      </c>
      <c r="S140" s="27">
        <v>4.5</v>
      </c>
      <c r="T140" s="27">
        <v>16.7</v>
      </c>
      <c r="U140" s="28">
        <v>0.98702594810379252</v>
      </c>
      <c r="V140" s="27">
        <v>8.3500000000000014</v>
      </c>
      <c r="W140" s="27">
        <v>8.3500000000000014</v>
      </c>
      <c r="X140" s="29" t="str">
        <f t="shared" si="16"/>
        <v>Rule 3</v>
      </c>
      <c r="Y140" s="29" t="str">
        <f t="shared" si="17"/>
        <v>B</v>
      </c>
      <c r="Z140" s="30"/>
      <c r="AA140" s="4" t="str">
        <f t="shared" si="18"/>
        <v>B</v>
      </c>
      <c r="AB140" s="6" t="str">
        <f>IFERROR(INDEX('Classification Rules'!$C$43:$C$46,MATCH($AA140,'Classification Rules'!$B$43:$B$46,0)),"")</f>
        <v>Offshore-ready</v>
      </c>
      <c r="AC140" s="21" t="str">
        <f t="shared" si="19"/>
        <v>Cloud Indicator = Yes  (Software as a Service (SaaS))</v>
      </c>
      <c r="AD140" s="21" t="str">
        <f>IFERROR(INDEX('Classification Rules'!$D$13:$D$16,MATCH($AA140,'Classification Rules'!$B$13:$B$16,0)),"")</f>
        <v>Cloud migration has already forced re-platforming, documentation and specifiability. Highest AI and offshore ceiling in the estate.</v>
      </c>
      <c r="AE140" s="20">
        <f>IFERROR(INDEX('Classification Rules'!$D$43:$D$46,MATCH($AA140,'Classification Rules'!$B$43:$B$46,0)),"")</f>
        <v>0.48249999999999998</v>
      </c>
      <c r="AF140" s="20">
        <f>IFERROR(INDEX('Classification Rules'!$E$43:$E$46,MATCH($AA140,'Classification Rules'!$B$43:$B$46,0)),"")</f>
        <v>0.45402025000000001</v>
      </c>
      <c r="AG140" s="20">
        <f>IFERROR(INDEX('Classification Rules'!$F$43:$F$46,MATCH($AA140,'Classification Rules'!$B$43:$B$46,0)),"")</f>
        <v>0.78</v>
      </c>
      <c r="AH140" s="20">
        <f>IFERROR(INDEX('Classification Rules'!$G$43:$G$46,MATCH($AA140,'Classification Rules'!$B$43:$B$46,0)),"")</f>
        <v>0.72540000000000004</v>
      </c>
      <c r="AI140" s="21" t="str">
        <f>IFERROR(INDEX('Classification Rules'!$I$43:$I$46,MATCH($AA140,'Classification Rules'!$B$43:$B$46,0)),"")</f>
        <v>6-8 weeks per cluster</v>
      </c>
      <c r="AJ140" s="21" t="str">
        <f>IFERROR(INDEX('Classification Rules'!$J$43:$J$46,MATCH($AA140,'Classification Rules'!$B$43:$B$46,0)),"")</f>
        <v>Fully sourced, moving to output units</v>
      </c>
      <c r="AK140" s="21">
        <f>IFERROR(INDEX('Classification Rules'!$K$43:$K$46,MATCH($AA140,'Classification Rules'!$B$43:$B$46,0)),"")</f>
        <v>0</v>
      </c>
    </row>
    <row r="141" spans="1:37" ht="39" customHeight="1" x14ac:dyDescent="0.3">
      <c r="A141" s="25">
        <v>137</v>
      </c>
      <c r="B141" s="26">
        <v>14376</v>
      </c>
      <c r="C141" s="26" t="s">
        <v>443</v>
      </c>
      <c r="D141" s="26" t="s">
        <v>444</v>
      </c>
      <c r="E141" s="26" t="s">
        <v>143</v>
      </c>
      <c r="F141" s="26" t="s">
        <v>165</v>
      </c>
      <c r="G141" s="26" t="s">
        <v>42</v>
      </c>
      <c r="H141" s="26" t="s">
        <v>145</v>
      </c>
      <c r="I141" s="26" t="s">
        <v>44</v>
      </c>
      <c r="J141" s="26" t="s">
        <v>45</v>
      </c>
      <c r="K141" s="26" t="s">
        <v>46</v>
      </c>
      <c r="L141" s="26" t="s">
        <v>123</v>
      </c>
      <c r="M141" s="26" t="s">
        <v>45</v>
      </c>
      <c r="N141" s="26" t="s">
        <v>57</v>
      </c>
      <c r="O141" s="26"/>
      <c r="P141" s="26" t="s">
        <v>58</v>
      </c>
      <c r="Q141" s="27">
        <v>0.27479166666666671</v>
      </c>
      <c r="R141" s="27">
        <v>0</v>
      </c>
      <c r="S141" s="27">
        <v>0</v>
      </c>
      <c r="T141" s="27">
        <v>0.27479166666666671</v>
      </c>
      <c r="U141" s="28">
        <v>0.7725549658832449</v>
      </c>
      <c r="V141" s="27">
        <v>0.13739583333333341</v>
      </c>
      <c r="W141" s="27">
        <v>0.13739583333333341</v>
      </c>
      <c r="X141" s="29" t="str">
        <f t="shared" si="16"/>
        <v>Rule 4</v>
      </c>
      <c r="Y141" s="29" t="str">
        <f t="shared" si="17"/>
        <v>A</v>
      </c>
      <c r="Z141" s="30"/>
      <c r="AA141" s="4" t="str">
        <f t="shared" si="18"/>
        <v>A</v>
      </c>
      <c r="AB141" s="6" t="str">
        <f>IFERROR(INDEX('Classification Rules'!$C$43:$C$46,MATCH($AA141,'Classification Rules'!$B$43:$B$46,0)),"")</f>
        <v>Language-locked</v>
      </c>
      <c r="AC141" s="21" t="str">
        <f t="shared" si="19"/>
        <v>Cloud Indicator = No, not mainframe, not a transfer target</v>
      </c>
      <c r="AD141" s="21" t="str">
        <f>IFERROR(INDEX('Classification Rules'!$D$13:$D$16,MATCH($AA141,'Classification Rules'!$B$13:$B$16,0)),"")</f>
        <v>On-premises and non-mainframe, so the constraint is not the technology — it is that the business context exists only in Japanese, in few heads.</v>
      </c>
      <c r="AE141" s="20">
        <f>IFERROR(INDEX('Classification Rules'!$D$43:$D$46,MATCH($AA141,'Classification Rules'!$B$43:$B$46,0)),"")</f>
        <v>0.30399999999999999</v>
      </c>
      <c r="AF141" s="20">
        <f>IFERROR(INDEX('Classification Rules'!$E$43:$E$46,MATCH($AA141,'Classification Rules'!$B$43:$B$46,0)),"")</f>
        <v>0.33947680000000002</v>
      </c>
      <c r="AG141" s="20">
        <f>IFERROR(INDEX('Classification Rules'!$F$43:$F$46,MATCH($AA141,'Classification Rules'!$B$43:$B$46,0)),"")</f>
        <v>0.15</v>
      </c>
      <c r="AH141" s="20">
        <f>IFERROR(INDEX('Classification Rules'!$G$43:$G$46,MATCH($AA141,'Classification Rules'!$B$43:$B$46,0)),"")</f>
        <v>0.13950000000000001</v>
      </c>
      <c r="AI141" s="21" t="str">
        <f>IFERROR(INDEX('Classification Rules'!$I$43:$I$46,MATCH($AA141,'Classification Rules'!$B$43:$B$46,0)),"")</f>
        <v>10-14 weeks per cluster</v>
      </c>
      <c r="AJ141" s="21" t="str">
        <f>IFERROR(INDEX('Classification Rules'!$J$43:$J$46,MATCH($AA141,'Classification Rules'!$B$43:$B$46,0)),"")</f>
        <v>Fully sourced, onshore-weighted</v>
      </c>
      <c r="AK141" s="21">
        <f>IFERROR(INDEX('Classification Rules'!$K$43:$K$46,MATCH($AA141,'Classification Rules'!$B$43:$B$46,0)),"")</f>
        <v>0</v>
      </c>
    </row>
    <row r="142" spans="1:37" ht="39" customHeight="1" x14ac:dyDescent="0.3">
      <c r="A142" s="25">
        <v>138</v>
      </c>
      <c r="B142" s="26">
        <v>14377</v>
      </c>
      <c r="C142" s="26" t="s">
        <v>445</v>
      </c>
      <c r="D142" s="26" t="s">
        <v>446</v>
      </c>
      <c r="E142" s="26" t="s">
        <v>143</v>
      </c>
      <c r="F142" s="26" t="s">
        <v>249</v>
      </c>
      <c r="G142" s="26" t="s">
        <v>42</v>
      </c>
      <c r="H142" s="26" t="s">
        <v>145</v>
      </c>
      <c r="I142" s="26" t="s">
        <v>44</v>
      </c>
      <c r="J142" s="26" t="s">
        <v>45</v>
      </c>
      <c r="K142" s="26" t="s">
        <v>46</v>
      </c>
      <c r="L142" s="26" t="s">
        <v>123</v>
      </c>
      <c r="M142" s="26" t="s">
        <v>45</v>
      </c>
      <c r="N142" s="26" t="s">
        <v>57</v>
      </c>
      <c r="O142" s="26"/>
      <c r="P142" s="26" t="s">
        <v>58</v>
      </c>
      <c r="Q142" s="27">
        <v>0.59708333333333341</v>
      </c>
      <c r="R142" s="27">
        <v>0.12916666666666671</v>
      </c>
      <c r="S142" s="27">
        <v>0</v>
      </c>
      <c r="T142" s="27">
        <v>0.72625000000000006</v>
      </c>
      <c r="U142" s="28">
        <v>0.97991967871485952</v>
      </c>
      <c r="V142" s="27">
        <v>0.36312499999999998</v>
      </c>
      <c r="W142" s="27">
        <v>0.36312499999999998</v>
      </c>
      <c r="X142" s="29" t="str">
        <f t="shared" si="16"/>
        <v>Rule 4</v>
      </c>
      <c r="Y142" s="29" t="str">
        <f t="shared" si="17"/>
        <v>A</v>
      </c>
      <c r="Z142" s="30"/>
      <c r="AA142" s="4" t="str">
        <f t="shared" si="18"/>
        <v>A</v>
      </c>
      <c r="AB142" s="6" t="str">
        <f>IFERROR(INDEX('Classification Rules'!$C$43:$C$46,MATCH($AA142,'Classification Rules'!$B$43:$B$46,0)),"")</f>
        <v>Language-locked</v>
      </c>
      <c r="AC142" s="21" t="str">
        <f t="shared" si="19"/>
        <v>Cloud Indicator = No, not mainframe, not a transfer target</v>
      </c>
      <c r="AD142" s="21" t="str">
        <f>IFERROR(INDEX('Classification Rules'!$D$13:$D$16,MATCH($AA142,'Classification Rules'!$B$13:$B$16,0)),"")</f>
        <v>On-premises and non-mainframe, so the constraint is not the technology — it is that the business context exists only in Japanese, in few heads.</v>
      </c>
      <c r="AE142" s="20">
        <f>IFERROR(INDEX('Classification Rules'!$D$43:$D$46,MATCH($AA142,'Classification Rules'!$B$43:$B$46,0)),"")</f>
        <v>0.30399999999999999</v>
      </c>
      <c r="AF142" s="20">
        <f>IFERROR(INDEX('Classification Rules'!$E$43:$E$46,MATCH($AA142,'Classification Rules'!$B$43:$B$46,0)),"")</f>
        <v>0.33947680000000002</v>
      </c>
      <c r="AG142" s="20">
        <f>IFERROR(INDEX('Classification Rules'!$F$43:$F$46,MATCH($AA142,'Classification Rules'!$B$43:$B$46,0)),"")</f>
        <v>0.15</v>
      </c>
      <c r="AH142" s="20">
        <f>IFERROR(INDEX('Classification Rules'!$G$43:$G$46,MATCH($AA142,'Classification Rules'!$B$43:$B$46,0)),"")</f>
        <v>0.13950000000000001</v>
      </c>
      <c r="AI142" s="21" t="str">
        <f>IFERROR(INDEX('Classification Rules'!$I$43:$I$46,MATCH($AA142,'Classification Rules'!$B$43:$B$46,0)),"")</f>
        <v>10-14 weeks per cluster</v>
      </c>
      <c r="AJ142" s="21" t="str">
        <f>IFERROR(INDEX('Classification Rules'!$J$43:$J$46,MATCH($AA142,'Classification Rules'!$B$43:$B$46,0)),"")</f>
        <v>Fully sourced, onshore-weighted</v>
      </c>
      <c r="AK142" s="21">
        <f>IFERROR(INDEX('Classification Rules'!$K$43:$K$46,MATCH($AA142,'Classification Rules'!$B$43:$B$46,0)),"")</f>
        <v>0</v>
      </c>
    </row>
    <row r="143" spans="1:37" ht="39" customHeight="1" x14ac:dyDescent="0.3">
      <c r="A143" s="25">
        <v>139</v>
      </c>
      <c r="B143" s="26">
        <v>14423</v>
      </c>
      <c r="C143" s="26" t="s">
        <v>447</v>
      </c>
      <c r="D143" s="26" t="s">
        <v>448</v>
      </c>
      <c r="E143" s="26" t="s">
        <v>126</v>
      </c>
      <c r="F143" s="26" t="s">
        <v>172</v>
      </c>
      <c r="G143" s="26" t="s">
        <v>115</v>
      </c>
      <c r="H143" s="26" t="s">
        <v>128</v>
      </c>
      <c r="I143" s="26" t="s">
        <v>44</v>
      </c>
      <c r="J143" s="26" t="s">
        <v>55</v>
      </c>
      <c r="K143" s="26" t="s">
        <v>46</v>
      </c>
      <c r="L143" s="26" t="s">
        <v>123</v>
      </c>
      <c r="M143" s="26" t="s">
        <v>45</v>
      </c>
      <c r="N143" s="26" t="s">
        <v>57</v>
      </c>
      <c r="O143" s="26"/>
      <c r="P143" s="26" t="s">
        <v>58</v>
      </c>
      <c r="Q143" s="27">
        <v>2.1225000000000001</v>
      </c>
      <c r="R143" s="27">
        <v>0</v>
      </c>
      <c r="S143" s="27">
        <v>0</v>
      </c>
      <c r="T143" s="27">
        <v>2.1225000000000001</v>
      </c>
      <c r="U143" s="28">
        <v>0.75068708284255981</v>
      </c>
      <c r="V143" s="27">
        <v>1.06125</v>
      </c>
      <c r="W143" s="27">
        <v>1.06125</v>
      </c>
      <c r="X143" s="29" t="str">
        <f t="shared" si="16"/>
        <v>Rule 4</v>
      </c>
      <c r="Y143" s="29" t="str">
        <f t="shared" si="17"/>
        <v>A</v>
      </c>
      <c r="Z143" s="30"/>
      <c r="AA143" s="4" t="str">
        <f t="shared" si="18"/>
        <v>A</v>
      </c>
      <c r="AB143" s="6" t="str">
        <f>IFERROR(INDEX('Classification Rules'!$C$43:$C$46,MATCH($AA143,'Classification Rules'!$B$43:$B$46,0)),"")</f>
        <v>Language-locked</v>
      </c>
      <c r="AC143" s="21" t="str">
        <f t="shared" si="19"/>
        <v>Cloud Indicator = No, not mainframe, not a transfer target</v>
      </c>
      <c r="AD143" s="21" t="str">
        <f>IFERROR(INDEX('Classification Rules'!$D$13:$D$16,MATCH($AA143,'Classification Rules'!$B$13:$B$16,0)),"")</f>
        <v>On-premises and non-mainframe, so the constraint is not the technology — it is that the business context exists only in Japanese, in few heads.</v>
      </c>
      <c r="AE143" s="20">
        <f>IFERROR(INDEX('Classification Rules'!$D$43:$D$46,MATCH($AA143,'Classification Rules'!$B$43:$B$46,0)),"")</f>
        <v>0.30399999999999999</v>
      </c>
      <c r="AF143" s="20">
        <f>IFERROR(INDEX('Classification Rules'!$E$43:$E$46,MATCH($AA143,'Classification Rules'!$B$43:$B$46,0)),"")</f>
        <v>0.33947680000000002</v>
      </c>
      <c r="AG143" s="20">
        <f>IFERROR(INDEX('Classification Rules'!$F$43:$F$46,MATCH($AA143,'Classification Rules'!$B$43:$B$46,0)),"")</f>
        <v>0.15</v>
      </c>
      <c r="AH143" s="20">
        <f>IFERROR(INDEX('Classification Rules'!$G$43:$G$46,MATCH($AA143,'Classification Rules'!$B$43:$B$46,0)),"")</f>
        <v>0.13950000000000001</v>
      </c>
      <c r="AI143" s="21" t="str">
        <f>IFERROR(INDEX('Classification Rules'!$I$43:$I$46,MATCH($AA143,'Classification Rules'!$B$43:$B$46,0)),"")</f>
        <v>10-14 weeks per cluster</v>
      </c>
      <c r="AJ143" s="21" t="str">
        <f>IFERROR(INDEX('Classification Rules'!$J$43:$J$46,MATCH($AA143,'Classification Rules'!$B$43:$B$46,0)),"")</f>
        <v>Fully sourced, onshore-weighted</v>
      </c>
      <c r="AK143" s="21">
        <f>IFERROR(INDEX('Classification Rules'!$K$43:$K$46,MATCH($AA143,'Classification Rules'!$B$43:$B$46,0)),"")</f>
        <v>0</v>
      </c>
    </row>
    <row r="144" spans="1:37" ht="39" customHeight="1" x14ac:dyDescent="0.3">
      <c r="A144" s="25">
        <v>140</v>
      </c>
      <c r="B144" s="26">
        <v>14595</v>
      </c>
      <c r="C144" s="26" t="s">
        <v>449</v>
      </c>
      <c r="D144" s="26" t="s">
        <v>450</v>
      </c>
      <c r="E144" s="26" t="s">
        <v>187</v>
      </c>
      <c r="F144" s="26" t="s">
        <v>220</v>
      </c>
      <c r="G144" s="26" t="s">
        <v>177</v>
      </c>
      <c r="H144" s="26"/>
      <c r="I144" s="26" t="s">
        <v>44</v>
      </c>
      <c r="J144" s="26" t="s">
        <v>45</v>
      </c>
      <c r="K144" s="26" t="s">
        <v>46</v>
      </c>
      <c r="L144" s="26" t="s">
        <v>397</v>
      </c>
      <c r="M144" s="26" t="s">
        <v>55</v>
      </c>
      <c r="N144" s="26" t="s">
        <v>46</v>
      </c>
      <c r="O144" s="26" t="s">
        <v>162</v>
      </c>
      <c r="P144" s="26" t="s">
        <v>58</v>
      </c>
      <c r="Q144" s="27">
        <v>60</v>
      </c>
      <c r="R144" s="27">
        <v>25</v>
      </c>
      <c r="S144" s="27">
        <v>25</v>
      </c>
      <c r="T144" s="27">
        <v>110</v>
      </c>
      <c r="U144" s="28">
        <v>0.99242965891407664</v>
      </c>
      <c r="V144" s="27">
        <v>55</v>
      </c>
      <c r="W144" s="27">
        <v>55</v>
      </c>
      <c r="X144" s="29" t="str">
        <f t="shared" si="16"/>
        <v>Rule 2</v>
      </c>
      <c r="Y144" s="29" t="str">
        <f t="shared" si="17"/>
        <v>C</v>
      </c>
      <c r="Z144" s="30"/>
      <c r="AA144" s="4" t="str">
        <f t="shared" si="18"/>
        <v>C</v>
      </c>
      <c r="AB144" s="6" t="str">
        <f>IFERROR(INDEX('Classification Rules'!$C$43:$C$46,MATCH($AA144,'Classification Rules'!$B$43:$B$46,0)),"")</f>
        <v>MGCC-destined</v>
      </c>
      <c r="AC144" s="21" t="str">
        <f t="shared" si="19"/>
        <v>Priority Transfer Target = Y</v>
      </c>
      <c r="AD144" s="21" t="str">
        <f>IFERROR(INDEX('Classification Rules'!$D$13:$D$16,MATCH($AA144,'Classification Rules'!$B$13:$B$16,0)),"")</f>
        <v>MetLife has already flagged these for transfer and nine of ten already carry MGCC people. Routing them through a vendor transition pays for the same knowledge transfer twice.</v>
      </c>
      <c r="AE144" s="20">
        <f>IFERROR(INDEX('Classification Rules'!$D$43:$D$46,MATCH($AA144,'Classification Rules'!$B$43:$B$46,0)),"")</f>
        <v>0.45250000000000001</v>
      </c>
      <c r="AF144" s="20">
        <f>IFERROR(INDEX('Classification Rules'!$E$43:$E$46,MATCH($AA144,'Classification Rules'!$B$43:$B$46,0)),"")</f>
        <v>0.43476925</v>
      </c>
      <c r="AG144" s="20">
        <f>IFERROR(INDEX('Classification Rules'!$F$43:$F$46,MATCH($AA144,'Classification Rules'!$B$43:$B$46,0)),"")</f>
        <v>0</v>
      </c>
      <c r="AH144" s="20">
        <f>IFERROR(INDEX('Classification Rules'!$G$43:$G$46,MATCH($AA144,'Classification Rules'!$B$43:$B$46,0)),"")</f>
        <v>0</v>
      </c>
      <c r="AI144" s="21" t="str">
        <f>IFERROR(INDEX('Classification Rules'!$I$43:$I$46,MATCH($AA144,'Classification Rules'!$B$43:$B$46,0)),"")</f>
        <v>6-8 weeks, role handover</v>
      </c>
      <c r="AJ144" s="21" t="str">
        <f>IFERROR(INDEX('Classification Rules'!$J$43:$J$46,MATCH($AA144,'Classification Rules'!$B$43:$B$46,0)),"")</f>
        <v>Co-sourced with MGCC, permanently</v>
      </c>
      <c r="AK144" s="21">
        <f>IFERROR(INDEX('Classification Rules'!$K$43:$K$46,MATCH($AA144,'Classification Rules'!$B$43:$B$46,0)),"")</f>
        <v>0</v>
      </c>
    </row>
    <row r="145" spans="1:37" ht="39" customHeight="1" x14ac:dyDescent="0.3">
      <c r="A145" s="25">
        <v>141</v>
      </c>
      <c r="B145" s="26">
        <v>14701</v>
      </c>
      <c r="C145" s="26" t="s">
        <v>451</v>
      </c>
      <c r="D145" s="26" t="s">
        <v>452</v>
      </c>
      <c r="E145" s="26" t="s">
        <v>40</v>
      </c>
      <c r="F145" s="26" t="s">
        <v>405</v>
      </c>
      <c r="G145" s="26" t="s">
        <v>42</v>
      </c>
      <c r="H145" s="26" t="s">
        <v>43</v>
      </c>
      <c r="I145" s="26" t="s">
        <v>108</v>
      </c>
      <c r="J145" s="26" t="s">
        <v>45</v>
      </c>
      <c r="K145" s="26" t="s">
        <v>46</v>
      </c>
      <c r="L145" s="26" t="s">
        <v>158</v>
      </c>
      <c r="M145" s="26" t="s">
        <v>45</v>
      </c>
      <c r="N145" s="26" t="s">
        <v>46</v>
      </c>
      <c r="O145" s="26" t="s">
        <v>162</v>
      </c>
      <c r="P145" s="26" t="s">
        <v>58</v>
      </c>
      <c r="Q145" s="27">
        <v>0</v>
      </c>
      <c r="R145" s="27">
        <v>0</v>
      </c>
      <c r="S145" s="27">
        <v>0</v>
      </c>
      <c r="T145" s="27">
        <v>0</v>
      </c>
      <c r="U145" s="28">
        <v>0</v>
      </c>
      <c r="V145" s="27">
        <v>0</v>
      </c>
      <c r="W145" s="27">
        <v>0</v>
      </c>
      <c r="X145" s="29" t="str">
        <f t="shared" si="16"/>
        <v>Rule 3</v>
      </c>
      <c r="Y145" s="29" t="str">
        <f t="shared" si="17"/>
        <v>B</v>
      </c>
      <c r="Z145" s="30"/>
      <c r="AA145" s="4" t="str">
        <f t="shared" si="18"/>
        <v>B</v>
      </c>
      <c r="AB145" s="6" t="str">
        <f>IFERROR(INDEX('Classification Rules'!$C$43:$C$46,MATCH($AA145,'Classification Rules'!$B$43:$B$46,0)),"")</f>
        <v>Offshore-ready</v>
      </c>
      <c r="AC145" s="21" t="str">
        <f t="shared" si="19"/>
        <v>Cloud Indicator = Yes  (Platform as a Service (PaaS))</v>
      </c>
      <c r="AD145" s="21" t="str">
        <f>IFERROR(INDEX('Classification Rules'!$D$13:$D$16,MATCH($AA145,'Classification Rules'!$B$13:$B$16,0)),"")</f>
        <v>Cloud migration has already forced re-platforming, documentation and specifiability. Highest AI and offshore ceiling in the estate.</v>
      </c>
      <c r="AE145" s="20">
        <f>IFERROR(INDEX('Classification Rules'!$D$43:$D$46,MATCH($AA145,'Classification Rules'!$B$43:$B$46,0)),"")</f>
        <v>0.48249999999999998</v>
      </c>
      <c r="AF145" s="20">
        <f>IFERROR(INDEX('Classification Rules'!$E$43:$E$46,MATCH($AA145,'Classification Rules'!$B$43:$B$46,0)),"")</f>
        <v>0.45402025000000001</v>
      </c>
      <c r="AG145" s="20">
        <f>IFERROR(INDEX('Classification Rules'!$F$43:$F$46,MATCH($AA145,'Classification Rules'!$B$43:$B$46,0)),"")</f>
        <v>0.78</v>
      </c>
      <c r="AH145" s="20">
        <f>IFERROR(INDEX('Classification Rules'!$G$43:$G$46,MATCH($AA145,'Classification Rules'!$B$43:$B$46,0)),"")</f>
        <v>0.72540000000000004</v>
      </c>
      <c r="AI145" s="21" t="str">
        <f>IFERROR(INDEX('Classification Rules'!$I$43:$I$46,MATCH($AA145,'Classification Rules'!$B$43:$B$46,0)),"")</f>
        <v>6-8 weeks per cluster</v>
      </c>
      <c r="AJ145" s="21" t="str">
        <f>IFERROR(INDEX('Classification Rules'!$J$43:$J$46,MATCH($AA145,'Classification Rules'!$B$43:$B$46,0)),"")</f>
        <v>Fully sourced, moving to output units</v>
      </c>
      <c r="AK145" s="21">
        <f>IFERROR(INDEX('Classification Rules'!$K$43:$K$46,MATCH($AA145,'Classification Rules'!$B$43:$B$46,0)),"")</f>
        <v>0</v>
      </c>
    </row>
    <row r="146" spans="1:37" ht="39" customHeight="1" x14ac:dyDescent="0.3">
      <c r="A146" s="25">
        <v>142</v>
      </c>
      <c r="B146" s="26">
        <v>14930</v>
      </c>
      <c r="C146" s="26" t="s">
        <v>453</v>
      </c>
      <c r="D146" s="26" t="s">
        <v>454</v>
      </c>
      <c r="E146" s="26" t="s">
        <v>143</v>
      </c>
      <c r="F146" s="26" t="s">
        <v>227</v>
      </c>
      <c r="G146" s="26" t="s">
        <v>42</v>
      </c>
      <c r="H146" s="26" t="s">
        <v>145</v>
      </c>
      <c r="I146" s="26" t="s">
        <v>44</v>
      </c>
      <c r="J146" s="26" t="s">
        <v>45</v>
      </c>
      <c r="K146" s="26" t="s">
        <v>46</v>
      </c>
      <c r="L146" s="26" t="s">
        <v>158</v>
      </c>
      <c r="M146" s="26" t="s">
        <v>45</v>
      </c>
      <c r="N146" s="26" t="s">
        <v>46</v>
      </c>
      <c r="O146" s="26" t="s">
        <v>162</v>
      </c>
      <c r="P146" s="26" t="s">
        <v>58</v>
      </c>
      <c r="Q146" s="27">
        <v>1.5</v>
      </c>
      <c r="R146" s="27">
        <v>0.5</v>
      </c>
      <c r="S146" s="27">
        <v>0</v>
      </c>
      <c r="T146" s="27">
        <v>2</v>
      </c>
      <c r="U146" s="28">
        <v>1</v>
      </c>
      <c r="V146" s="27">
        <v>1</v>
      </c>
      <c r="W146" s="27">
        <v>1</v>
      </c>
      <c r="X146" s="29" t="str">
        <f t="shared" si="16"/>
        <v>Rule 3</v>
      </c>
      <c r="Y146" s="29" t="str">
        <f t="shared" si="17"/>
        <v>B</v>
      </c>
      <c r="Z146" s="30"/>
      <c r="AA146" s="4" t="str">
        <f t="shared" si="18"/>
        <v>B</v>
      </c>
      <c r="AB146" s="6" t="str">
        <f>IFERROR(INDEX('Classification Rules'!$C$43:$C$46,MATCH($AA146,'Classification Rules'!$B$43:$B$46,0)),"")</f>
        <v>Offshore-ready</v>
      </c>
      <c r="AC146" s="21" t="str">
        <f t="shared" si="19"/>
        <v>Cloud Indicator = Yes  (Platform as a Service (PaaS))</v>
      </c>
      <c r="AD146" s="21" t="str">
        <f>IFERROR(INDEX('Classification Rules'!$D$13:$D$16,MATCH($AA146,'Classification Rules'!$B$13:$B$16,0)),"")</f>
        <v>Cloud migration has already forced re-platforming, documentation and specifiability. Highest AI and offshore ceiling in the estate.</v>
      </c>
      <c r="AE146" s="20">
        <f>IFERROR(INDEX('Classification Rules'!$D$43:$D$46,MATCH($AA146,'Classification Rules'!$B$43:$B$46,0)),"")</f>
        <v>0.48249999999999998</v>
      </c>
      <c r="AF146" s="20">
        <f>IFERROR(INDEX('Classification Rules'!$E$43:$E$46,MATCH($AA146,'Classification Rules'!$B$43:$B$46,0)),"")</f>
        <v>0.45402025000000001</v>
      </c>
      <c r="AG146" s="20">
        <f>IFERROR(INDEX('Classification Rules'!$F$43:$F$46,MATCH($AA146,'Classification Rules'!$B$43:$B$46,0)),"")</f>
        <v>0.78</v>
      </c>
      <c r="AH146" s="20">
        <f>IFERROR(INDEX('Classification Rules'!$G$43:$G$46,MATCH($AA146,'Classification Rules'!$B$43:$B$46,0)),"")</f>
        <v>0.72540000000000004</v>
      </c>
      <c r="AI146" s="21" t="str">
        <f>IFERROR(INDEX('Classification Rules'!$I$43:$I$46,MATCH($AA146,'Classification Rules'!$B$43:$B$46,0)),"")</f>
        <v>6-8 weeks per cluster</v>
      </c>
      <c r="AJ146" s="21" t="str">
        <f>IFERROR(INDEX('Classification Rules'!$J$43:$J$46,MATCH($AA146,'Classification Rules'!$B$43:$B$46,0)),"")</f>
        <v>Fully sourced, moving to output units</v>
      </c>
      <c r="AK146" s="21">
        <f>IFERROR(INDEX('Classification Rules'!$K$43:$K$46,MATCH($AA146,'Classification Rules'!$B$43:$B$46,0)),"")</f>
        <v>0</v>
      </c>
    </row>
  </sheetData>
  <autoFilter ref="A4:AK146" xr:uid="{00000000-0009-0000-0000-000002000000}"/>
  <mergeCells count="2">
    <mergeCell ref="A1:AK1"/>
    <mergeCell ref="A2:AK2"/>
  </mergeCells>
  <conditionalFormatting sqref="A5:AK146">
    <cfRule type="expression" dxfId="4" priority="5">
      <formula>$Y5&lt;&gt;""</formula>
    </cfRule>
  </conditionalFormatting>
  <conditionalFormatting sqref="AA5:AA146">
    <cfRule type="expression" dxfId="3" priority="1">
      <formula>$Z5="A"</formula>
    </cfRule>
    <cfRule type="expression" dxfId="2" priority="2">
      <formula>$Z5="B"</formula>
    </cfRule>
    <cfRule type="expression" dxfId="1" priority="3">
      <formula>$Z5="C"</formula>
    </cfRule>
    <cfRule type="expression" dxfId="0" priority="4">
      <formula>$Z5="D"</formula>
    </cfRule>
  </conditionalFormatting>
  <dataValidations count="1">
    <dataValidation type="list" allowBlank="1" errorTitle="Override must be a valid archetype" error="Enter A, B, C or D — and record the reason on the Overrides sheet." sqref="Z5:Z146" xr:uid="{00000000-0002-0000-0200-000000000000}">
      <formula1>"A,B,C,D"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
  <sheetViews>
    <sheetView workbookViewId="0">
      <selection sqref="A1:P1"/>
    </sheetView>
  </sheetViews>
  <sheetFormatPr defaultColWidth="8.77734375" defaultRowHeight="14.4" x14ac:dyDescent="0.3"/>
  <cols>
    <col min="1" max="1" width="2" customWidth="1"/>
    <col min="2" max="2" width="30" customWidth="1"/>
    <col min="3" max="3" width="8" customWidth="1"/>
    <col min="4" max="4" width="10" customWidth="1"/>
    <col min="5" max="5" width="9" customWidth="1"/>
    <col min="6" max="9" width="8" customWidth="1"/>
    <col min="10" max="13" width="9" customWidth="1"/>
    <col min="14" max="14" width="13" customWidth="1"/>
    <col min="15" max="16" width="14" customWidth="1"/>
  </cols>
  <sheetData>
    <row r="1" spans="1:16" ht="25.95" customHeight="1" x14ac:dyDescent="0.3">
      <c r="A1" s="38" t="s">
        <v>571</v>
      </c>
      <c r="B1" s="39"/>
      <c r="C1" s="39"/>
      <c r="D1" s="39"/>
      <c r="E1" s="39"/>
      <c r="F1" s="39"/>
      <c r="G1" s="39"/>
      <c r="H1" s="39"/>
      <c r="I1" s="39"/>
      <c r="J1" s="39"/>
      <c r="K1" s="39"/>
      <c r="L1" s="39"/>
      <c r="M1" s="39"/>
      <c r="N1" s="39"/>
      <c r="O1" s="39"/>
      <c r="P1" s="39"/>
    </row>
    <row r="2" spans="1:16" x14ac:dyDescent="0.3">
      <c r="A2" s="40" t="s">
        <v>572</v>
      </c>
      <c r="B2" s="39"/>
      <c r="C2" s="39"/>
      <c r="D2" s="39"/>
      <c r="E2" s="39"/>
      <c r="F2" s="39"/>
      <c r="G2" s="39"/>
      <c r="H2" s="39"/>
      <c r="I2" s="39"/>
      <c r="J2" s="39"/>
      <c r="K2" s="39"/>
      <c r="L2" s="39"/>
      <c r="M2" s="39"/>
      <c r="N2" s="39"/>
      <c r="O2" s="39"/>
      <c r="P2" s="39"/>
    </row>
    <row r="4" spans="1:16" ht="31.95" customHeight="1" x14ac:dyDescent="0.3">
      <c r="B4" s="3" t="s">
        <v>573</v>
      </c>
      <c r="C4" s="3" t="s">
        <v>507</v>
      </c>
      <c r="D4" s="3" t="s">
        <v>487</v>
      </c>
      <c r="E4" s="3" t="s">
        <v>574</v>
      </c>
      <c r="F4" s="3" t="s">
        <v>521</v>
      </c>
      <c r="G4" s="3" t="s">
        <v>517</v>
      </c>
      <c r="H4" s="3" t="s">
        <v>513</v>
      </c>
      <c r="I4" s="3" t="s">
        <v>509</v>
      </c>
      <c r="J4" s="3" t="s">
        <v>575</v>
      </c>
      <c r="K4" s="3" t="s">
        <v>576</v>
      </c>
      <c r="L4" s="3" t="s">
        <v>577</v>
      </c>
      <c r="M4" s="3" t="s">
        <v>578</v>
      </c>
      <c r="N4" s="3" t="s">
        <v>579</v>
      </c>
      <c r="O4" s="3" t="s">
        <v>33</v>
      </c>
      <c r="P4" s="3" t="s">
        <v>580</v>
      </c>
    </row>
    <row r="5" spans="1:16" x14ac:dyDescent="0.3">
      <c r="B5" s="1" t="s">
        <v>209</v>
      </c>
      <c r="C5" s="7">
        <f>COUNTIF('Golden Inventory'!$E:$E,$B5)</f>
        <v>10</v>
      </c>
      <c r="D5" s="8">
        <f>SUMIF('Golden Inventory'!$E:$E,$B5,'Golden Inventory'!$T:$T)</f>
        <v>198.78029166666667</v>
      </c>
      <c r="E5" s="20">
        <f t="shared" ref="E5:E15" si="0">IF($D$16=0,0,D5/$D$16)</f>
        <v>0.13216985181822988</v>
      </c>
      <c r="F5" s="8">
        <f>SUMIFS('Golden Inventory'!$T:$T,'Golden Inventory'!$E:$E,$B5,'Golden Inventory'!$AA:$AA,"A")</f>
        <v>13.049999999999999</v>
      </c>
      <c r="G5" s="8">
        <f>SUMIFS('Golden Inventory'!$T:$T,'Golden Inventory'!$E:$E,$B5,'Golden Inventory'!$AA:$AA,"B")</f>
        <v>63.191666666666663</v>
      </c>
      <c r="H5" s="8">
        <f>SUMIFS('Golden Inventory'!$T:$T,'Golden Inventory'!$E:$E,$B5,'Golden Inventory'!$AA:$AA,"C")</f>
        <v>122.538625</v>
      </c>
      <c r="I5" s="8">
        <f>SUMIFS('Golden Inventory'!$T:$T,'Golden Inventory'!$E:$E,$B5,'Golden Inventory'!$AA:$AA,"D")</f>
        <v>0</v>
      </c>
      <c r="J5" s="31">
        <f t="shared" ref="J5:J16" si="1">IF($D5=0,0,F5/$D5)</f>
        <v>6.5650371526184581E-2</v>
      </c>
      <c r="K5" s="31">
        <f t="shared" ref="K5:K16" si="2">IF($D5=0,0,G5/$D5)</f>
        <v>0.31789704168777627</v>
      </c>
      <c r="L5" s="31">
        <f t="shared" ref="L5:L16" si="3">IF($D5=0,0,H5/$D5)</f>
        <v>0.61645258678603909</v>
      </c>
      <c r="M5" s="31">
        <f t="shared" ref="M5:M16" si="4">IF($D5=0,0,I5/$D5)</f>
        <v>0</v>
      </c>
      <c r="N5" s="20" t="e">
        <f>IF($D5=0,0,SUMPRODUCT(F5:I5,TRANSPOSE('Classification Rules'!$D$43:$D$46))/$D5)</f>
        <v>#VALUE!</v>
      </c>
      <c r="O5" s="20" t="e">
        <f>IF($D5=0,0,SUMPRODUCT(F5:I5,TRANSPOSE('Classification Rules'!$E$43:$E$46))/$D5)</f>
        <v>#VALUE!</v>
      </c>
      <c r="P5" s="20" t="e">
        <f>IF($D5=0,0,SUMPRODUCT(F5:I5,TRANSPOSE('Classification Rules'!$F$43:$F$46))/$D5)</f>
        <v>#VALUE!</v>
      </c>
    </row>
    <row r="6" spans="1:16" x14ac:dyDescent="0.3">
      <c r="B6" s="1" t="s">
        <v>143</v>
      </c>
      <c r="C6" s="7">
        <f>COUNTIF('Golden Inventory'!$E:$E,$B6)</f>
        <v>33</v>
      </c>
      <c r="D6" s="8">
        <f>SUMIF('Golden Inventory'!$E:$E,$B6,'Golden Inventory'!$T:$T)</f>
        <v>50.438872916666675</v>
      </c>
      <c r="E6" s="20">
        <f t="shared" si="0"/>
        <v>3.3537018702303585E-2</v>
      </c>
      <c r="F6" s="8">
        <f>SUMIFS('Golden Inventory'!$T:$T,'Golden Inventory'!$E:$E,$B6,'Golden Inventory'!$AA:$AA,"A")</f>
        <v>32.079708333333336</v>
      </c>
      <c r="G6" s="8">
        <f>SUMIFS('Golden Inventory'!$T:$T,'Golden Inventory'!$E:$E,$B6,'Golden Inventory'!$AA:$AA,"B")</f>
        <v>10.121664583333333</v>
      </c>
      <c r="H6" s="8">
        <f>SUMIFS('Golden Inventory'!$T:$T,'Golden Inventory'!$E:$E,$B6,'Golden Inventory'!$AA:$AA,"C")</f>
        <v>0</v>
      </c>
      <c r="I6" s="8">
        <f>SUMIFS('Golden Inventory'!$T:$T,'Golden Inventory'!$E:$E,$B6,'Golden Inventory'!$AA:$AA,"D")</f>
        <v>8.2374999999999989</v>
      </c>
      <c r="J6" s="31">
        <f t="shared" si="1"/>
        <v>0.63601160133641954</v>
      </c>
      <c r="K6" s="31">
        <f t="shared" si="2"/>
        <v>0.20067190240463917</v>
      </c>
      <c r="L6" s="31">
        <f t="shared" si="3"/>
        <v>0</v>
      </c>
      <c r="M6" s="31">
        <f t="shared" si="4"/>
        <v>0.1633164962589411</v>
      </c>
      <c r="N6" s="20" t="e">
        <f>IF($D6=0,0,SUMPRODUCT(F6:I6,TRANSPOSE('Classification Rules'!$D$43:$D$46))/$D6)</f>
        <v>#VALUE!</v>
      </c>
      <c r="O6" s="20" t="e">
        <f>IF($D6=0,0,SUMPRODUCT(F6:I6,TRANSPOSE('Classification Rules'!$E$43:$E$46))/$D6)</f>
        <v>#VALUE!</v>
      </c>
      <c r="P6" s="20" t="e">
        <f>IF($D6=0,0,SUMPRODUCT(F6:I6,TRANSPOSE('Classification Rules'!$F$43:$F$46))/$D6)</f>
        <v>#VALUE!</v>
      </c>
    </row>
    <row r="7" spans="1:16" x14ac:dyDescent="0.3">
      <c r="B7" s="1" t="s">
        <v>138</v>
      </c>
      <c r="C7" s="7">
        <f>COUNTIF('Golden Inventory'!$E:$E,$B7)</f>
        <v>8</v>
      </c>
      <c r="D7" s="8">
        <f>SUMIF('Golden Inventory'!$E:$E,$B7,'Golden Inventory'!$T:$T)</f>
        <v>120.89166666666674</v>
      </c>
      <c r="E7" s="20">
        <f t="shared" si="0"/>
        <v>8.0381377527033587E-2</v>
      </c>
      <c r="F7" s="8">
        <f>SUMIFS('Golden Inventory'!$T:$T,'Golden Inventory'!$E:$E,$B7,'Golden Inventory'!$AA:$AA,"A")</f>
        <v>10.870000000000001</v>
      </c>
      <c r="G7" s="8">
        <f>SUMIFS('Golden Inventory'!$T:$T,'Golden Inventory'!$E:$E,$B7,'Golden Inventory'!$AA:$AA,"B")</f>
        <v>110.02166666666673</v>
      </c>
      <c r="H7" s="8">
        <f>SUMIFS('Golden Inventory'!$T:$T,'Golden Inventory'!$E:$E,$B7,'Golden Inventory'!$AA:$AA,"C")</f>
        <v>0</v>
      </c>
      <c r="I7" s="8">
        <f>SUMIFS('Golden Inventory'!$T:$T,'Golden Inventory'!$E:$E,$B7,'Golden Inventory'!$AA:$AA,"D")</f>
        <v>0</v>
      </c>
      <c r="J7" s="31">
        <f t="shared" si="1"/>
        <v>8.9915213345281547E-2</v>
      </c>
      <c r="K7" s="31">
        <f t="shared" si="2"/>
        <v>0.91008478665471848</v>
      </c>
      <c r="L7" s="31">
        <f t="shared" si="3"/>
        <v>0</v>
      </c>
      <c r="M7" s="31">
        <f t="shared" si="4"/>
        <v>0</v>
      </c>
      <c r="N7" s="20" t="e">
        <f>IF($D7=0,0,SUMPRODUCT(F7:I7,TRANSPOSE('Classification Rules'!$D$43:$D$46))/$D7)</f>
        <v>#VALUE!</v>
      </c>
      <c r="O7" s="20" t="e">
        <f>IF($D7=0,0,SUMPRODUCT(F7:I7,TRANSPOSE('Classification Rules'!$E$43:$E$46))/$D7)</f>
        <v>#VALUE!</v>
      </c>
      <c r="P7" s="20" t="e">
        <f>IF($D7=0,0,SUMPRODUCT(F7:I7,TRANSPOSE('Classification Rules'!$F$43:$F$46))/$D7)</f>
        <v>#VALUE!</v>
      </c>
    </row>
    <row r="8" spans="1:16" x14ac:dyDescent="0.3">
      <c r="B8" s="1" t="s">
        <v>237</v>
      </c>
      <c r="C8" s="7">
        <f>COUNTIF('Golden Inventory'!$E:$E,$B8)</f>
        <v>3</v>
      </c>
      <c r="D8" s="8">
        <f>SUMIF('Golden Inventory'!$E:$E,$B8,'Golden Inventory'!$T:$T)</f>
        <v>100.76496874999998</v>
      </c>
      <c r="E8" s="20">
        <f t="shared" si="0"/>
        <v>6.6999051447661009E-2</v>
      </c>
      <c r="F8" s="8">
        <f>SUMIFS('Golden Inventory'!$T:$T,'Golden Inventory'!$E:$E,$B8,'Golden Inventory'!$AA:$AA,"A")</f>
        <v>0</v>
      </c>
      <c r="G8" s="8">
        <f>SUMIFS('Golden Inventory'!$T:$T,'Golden Inventory'!$E:$E,$B8,'Golden Inventory'!$AA:$AA,"B")</f>
        <v>50.065010416666659</v>
      </c>
      <c r="H8" s="8">
        <f>SUMIFS('Golden Inventory'!$T:$T,'Golden Inventory'!$E:$E,$B8,'Golden Inventory'!$AA:$AA,"C")</f>
        <v>50.699958333333328</v>
      </c>
      <c r="I8" s="8">
        <f>SUMIFS('Golden Inventory'!$T:$T,'Golden Inventory'!$E:$E,$B8,'Golden Inventory'!$AA:$AA,"D")</f>
        <v>0</v>
      </c>
      <c r="J8" s="31">
        <f t="shared" si="1"/>
        <v>0</v>
      </c>
      <c r="K8" s="31">
        <f t="shared" si="2"/>
        <v>0.49684936181421352</v>
      </c>
      <c r="L8" s="31">
        <f t="shared" si="3"/>
        <v>0.50315063818578654</v>
      </c>
      <c r="M8" s="31">
        <f t="shared" si="4"/>
        <v>0</v>
      </c>
      <c r="N8" s="20" t="e">
        <f>IF($D8=0,0,SUMPRODUCT(F8:I8,TRANSPOSE('Classification Rules'!$D$43:$D$46))/$D8)</f>
        <v>#VALUE!</v>
      </c>
      <c r="O8" s="20" t="e">
        <f>IF($D8=0,0,SUMPRODUCT(F8:I8,TRANSPOSE('Classification Rules'!$E$43:$E$46))/$D8)</f>
        <v>#VALUE!</v>
      </c>
      <c r="P8" s="20" t="e">
        <f>IF($D8=0,0,SUMPRODUCT(F8:I8,TRANSPOSE('Classification Rules'!$F$43:$F$46))/$D8)</f>
        <v>#VALUE!</v>
      </c>
    </row>
    <row r="9" spans="1:16" x14ac:dyDescent="0.3">
      <c r="B9" s="1" t="s">
        <v>40</v>
      </c>
      <c r="C9" s="7">
        <f>COUNTIF('Golden Inventory'!$E:$E,$B9)</f>
        <v>5</v>
      </c>
      <c r="D9" s="8">
        <f>SUMIF('Golden Inventory'!$E:$E,$B9,'Golden Inventory'!$T:$T)</f>
        <v>48.510291666666653</v>
      </c>
      <c r="E9" s="20">
        <f t="shared" si="0"/>
        <v>3.225469691932039E-2</v>
      </c>
      <c r="F9" s="8">
        <f>SUMIFS('Golden Inventory'!$T:$T,'Golden Inventory'!$E:$E,$B9,'Golden Inventory'!$AA:$AA,"A")</f>
        <v>0</v>
      </c>
      <c r="G9" s="8">
        <f>SUMIFS('Golden Inventory'!$T:$T,'Golden Inventory'!$E:$E,$B9,'Golden Inventory'!$AA:$AA,"B")</f>
        <v>48.510291666666653</v>
      </c>
      <c r="H9" s="8">
        <f>SUMIFS('Golden Inventory'!$T:$T,'Golden Inventory'!$E:$E,$B9,'Golden Inventory'!$AA:$AA,"C")</f>
        <v>0</v>
      </c>
      <c r="I9" s="8">
        <f>SUMIFS('Golden Inventory'!$T:$T,'Golden Inventory'!$E:$E,$B9,'Golden Inventory'!$AA:$AA,"D")</f>
        <v>0</v>
      </c>
      <c r="J9" s="31">
        <f t="shared" si="1"/>
        <v>0</v>
      </c>
      <c r="K9" s="31">
        <f t="shared" si="2"/>
        <v>1</v>
      </c>
      <c r="L9" s="31">
        <f t="shared" si="3"/>
        <v>0</v>
      </c>
      <c r="M9" s="31">
        <f t="shared" si="4"/>
        <v>0</v>
      </c>
      <c r="N9" s="20" t="e">
        <f>IF($D9=0,0,SUMPRODUCT(F9:I9,TRANSPOSE('Classification Rules'!$D$43:$D$46))/$D9)</f>
        <v>#VALUE!</v>
      </c>
      <c r="O9" s="20" t="e">
        <f>IF($D9=0,0,SUMPRODUCT(F9:I9,TRANSPOSE('Classification Rules'!$E$43:$E$46))/$D9)</f>
        <v>#VALUE!</v>
      </c>
      <c r="P9" s="20" t="e">
        <f>IF($D9=0,0,SUMPRODUCT(F9:I9,TRANSPOSE('Classification Rules'!$F$43:$F$46))/$D9)</f>
        <v>#VALUE!</v>
      </c>
    </row>
    <row r="10" spans="1:16" x14ac:dyDescent="0.3">
      <c r="B10" s="1" t="s">
        <v>126</v>
      </c>
      <c r="C10" s="7">
        <f>COUNTIF('Golden Inventory'!$E:$E,$B10)</f>
        <v>6</v>
      </c>
      <c r="D10" s="8">
        <f>SUMIF('Golden Inventory'!$E:$E,$B10,'Golden Inventory'!$T:$T)</f>
        <v>121.57345833333331</v>
      </c>
      <c r="E10" s="20">
        <f t="shared" si="0"/>
        <v>8.083470367319566E-2</v>
      </c>
      <c r="F10" s="8">
        <f>SUMIFS('Golden Inventory'!$T:$T,'Golden Inventory'!$E:$E,$B10,'Golden Inventory'!$AA:$AA,"A")</f>
        <v>61.091374999999978</v>
      </c>
      <c r="G10" s="8">
        <f>SUMIFS('Golden Inventory'!$T:$T,'Golden Inventory'!$E:$E,$B10,'Golden Inventory'!$AA:$AA,"B")</f>
        <v>60.482083333333335</v>
      </c>
      <c r="H10" s="8">
        <f>SUMIFS('Golden Inventory'!$T:$T,'Golden Inventory'!$E:$E,$B10,'Golden Inventory'!$AA:$AA,"C")</f>
        <v>0</v>
      </c>
      <c r="I10" s="8">
        <f>SUMIFS('Golden Inventory'!$T:$T,'Golden Inventory'!$E:$E,$B10,'Golden Inventory'!$AA:$AA,"D")</f>
        <v>0</v>
      </c>
      <c r="J10" s="31">
        <f t="shared" si="1"/>
        <v>0.50250585808374426</v>
      </c>
      <c r="K10" s="31">
        <f t="shared" si="2"/>
        <v>0.49749414191625585</v>
      </c>
      <c r="L10" s="31">
        <f t="shared" si="3"/>
        <v>0</v>
      </c>
      <c r="M10" s="31">
        <f t="shared" si="4"/>
        <v>0</v>
      </c>
      <c r="N10" s="20" t="e">
        <f>IF($D10=0,0,SUMPRODUCT(F10:I10,TRANSPOSE('Classification Rules'!$D$43:$D$46))/$D10)</f>
        <v>#VALUE!</v>
      </c>
      <c r="O10" s="20" t="e">
        <f>IF($D10=0,0,SUMPRODUCT(F10:I10,TRANSPOSE('Classification Rules'!$E$43:$E$46))/$D10)</f>
        <v>#VALUE!</v>
      </c>
      <c r="P10" s="20" t="e">
        <f>IF($D10=0,0,SUMPRODUCT(F10:I10,TRANSPOSE('Classification Rules'!$F$43:$F$46))/$D10)</f>
        <v>#VALUE!</v>
      </c>
    </row>
    <row r="11" spans="1:16" x14ac:dyDescent="0.3">
      <c r="B11" s="1" t="s">
        <v>175</v>
      </c>
      <c r="C11" s="7">
        <f>COUNTIF('Golden Inventory'!$E:$E,$B11)</f>
        <v>9</v>
      </c>
      <c r="D11" s="8">
        <f>SUMIF('Golden Inventory'!$E:$E,$B11,'Golden Inventory'!$T:$T)</f>
        <v>44.154166666666654</v>
      </c>
      <c r="E11" s="20">
        <f t="shared" si="0"/>
        <v>2.9358291088921698E-2</v>
      </c>
      <c r="F11" s="8">
        <f>SUMIFS('Golden Inventory'!$T:$T,'Golden Inventory'!$E:$E,$B11,'Golden Inventory'!$AA:$AA,"A")</f>
        <v>30.956250000000004</v>
      </c>
      <c r="G11" s="8">
        <f>SUMIFS('Golden Inventory'!$T:$T,'Golden Inventory'!$E:$E,$B11,'Golden Inventory'!$AA:$AA,"B")</f>
        <v>13.197916666666663</v>
      </c>
      <c r="H11" s="8">
        <f>SUMIFS('Golden Inventory'!$T:$T,'Golden Inventory'!$E:$E,$B11,'Golden Inventory'!$AA:$AA,"C")</f>
        <v>0</v>
      </c>
      <c r="I11" s="8">
        <f>SUMIFS('Golden Inventory'!$T:$T,'Golden Inventory'!$E:$E,$B11,'Golden Inventory'!$AA:$AA,"D")</f>
        <v>0</v>
      </c>
      <c r="J11" s="31">
        <f t="shared" si="1"/>
        <v>0.70109464942908395</v>
      </c>
      <c r="K11" s="31">
        <f t="shared" si="2"/>
        <v>0.29890535057091627</v>
      </c>
      <c r="L11" s="31">
        <f t="shared" si="3"/>
        <v>0</v>
      </c>
      <c r="M11" s="31">
        <f t="shared" si="4"/>
        <v>0</v>
      </c>
      <c r="N11" s="20" t="e">
        <f>IF($D11=0,0,SUMPRODUCT(F11:I11,TRANSPOSE('Classification Rules'!$D$43:$D$46))/$D11)</f>
        <v>#VALUE!</v>
      </c>
      <c r="O11" s="20" t="e">
        <f>IF($D11=0,0,SUMPRODUCT(F11:I11,TRANSPOSE('Classification Rules'!$E$43:$E$46))/$D11)</f>
        <v>#VALUE!</v>
      </c>
      <c r="P11" s="20" t="e">
        <f>IF($D11=0,0,SUMPRODUCT(F11:I11,TRANSPOSE('Classification Rules'!$F$43:$F$46))/$D11)</f>
        <v>#VALUE!</v>
      </c>
    </row>
    <row r="12" spans="1:16" x14ac:dyDescent="0.3">
      <c r="B12" s="1" t="s">
        <v>113</v>
      </c>
      <c r="C12" s="7">
        <f>COUNTIF('Golden Inventory'!$E:$E,$B12)</f>
        <v>12</v>
      </c>
      <c r="D12" s="8">
        <f>SUMIF('Golden Inventory'!$E:$E,$B12,'Golden Inventory'!$T:$T)</f>
        <v>40.490625000000016</v>
      </c>
      <c r="E12" s="20">
        <f t="shared" si="0"/>
        <v>2.6922386829231766E-2</v>
      </c>
      <c r="F12" s="8">
        <f>SUMIFS('Golden Inventory'!$T:$T,'Golden Inventory'!$E:$E,$B12,'Golden Inventory'!$AA:$AA,"A")</f>
        <v>40.365625000000016</v>
      </c>
      <c r="G12" s="8">
        <f>SUMIFS('Golden Inventory'!$T:$T,'Golden Inventory'!$E:$E,$B12,'Golden Inventory'!$AA:$AA,"B")</f>
        <v>0.125</v>
      </c>
      <c r="H12" s="8">
        <f>SUMIFS('Golden Inventory'!$T:$T,'Golden Inventory'!$E:$E,$B12,'Golden Inventory'!$AA:$AA,"C")</f>
        <v>0</v>
      </c>
      <c r="I12" s="8">
        <f>SUMIFS('Golden Inventory'!$T:$T,'Golden Inventory'!$E:$E,$B12,'Golden Inventory'!$AA:$AA,"D")</f>
        <v>0</v>
      </c>
      <c r="J12" s="31">
        <f t="shared" si="1"/>
        <v>0.99691286563247661</v>
      </c>
      <c r="K12" s="31">
        <f t="shared" si="2"/>
        <v>3.0871343675233451E-3</v>
      </c>
      <c r="L12" s="31">
        <f t="shared" si="3"/>
        <v>0</v>
      </c>
      <c r="M12" s="31">
        <f t="shared" si="4"/>
        <v>0</v>
      </c>
      <c r="N12" s="20" t="e">
        <f>IF($D12=0,0,SUMPRODUCT(F12:I12,TRANSPOSE('Classification Rules'!$D$43:$D$46))/$D12)</f>
        <v>#VALUE!</v>
      </c>
      <c r="O12" s="20" t="e">
        <f>IF($D12=0,0,SUMPRODUCT(F12:I12,TRANSPOSE('Classification Rules'!$E$43:$E$46))/$D12)</f>
        <v>#VALUE!</v>
      </c>
      <c r="P12" s="20" t="e">
        <f>IF($D12=0,0,SUMPRODUCT(F12:I12,TRANSPOSE('Classification Rules'!$F$43:$F$46))/$D12)</f>
        <v>#VALUE!</v>
      </c>
    </row>
    <row r="13" spans="1:16" x14ac:dyDescent="0.3">
      <c r="B13" s="1" t="s">
        <v>187</v>
      </c>
      <c r="C13" s="7">
        <f>COUNTIF('Golden Inventory'!$E:$E,$B13)</f>
        <v>13</v>
      </c>
      <c r="D13" s="8">
        <f>SUMIF('Golden Inventory'!$E:$E,$B13,'Golden Inventory'!$T:$T)</f>
        <v>438.71395833333338</v>
      </c>
      <c r="E13" s="20">
        <f t="shared" si="0"/>
        <v>0.29170275572761506</v>
      </c>
      <c r="F13" s="8">
        <f>SUMIFS('Golden Inventory'!$T:$T,'Golden Inventory'!$E:$E,$B13,'Golden Inventory'!$AA:$AA,"A")</f>
        <v>19.810208333333332</v>
      </c>
      <c r="G13" s="8">
        <f>SUMIFS('Golden Inventory'!$T:$T,'Golden Inventory'!$E:$E,$B13,'Golden Inventory'!$AA:$AA,"B")</f>
        <v>22.262083333333333</v>
      </c>
      <c r="H13" s="8">
        <f>SUMIFS('Golden Inventory'!$T:$T,'Golden Inventory'!$E:$E,$B13,'Golden Inventory'!$AA:$AA,"C")</f>
        <v>396.64166666666671</v>
      </c>
      <c r="I13" s="8">
        <f>SUMIFS('Golden Inventory'!$T:$T,'Golden Inventory'!$E:$E,$B13,'Golden Inventory'!$AA:$AA,"D")</f>
        <v>0</v>
      </c>
      <c r="J13" s="31">
        <f t="shared" si="1"/>
        <v>4.5155181313564684E-2</v>
      </c>
      <c r="K13" s="31">
        <f t="shared" si="2"/>
        <v>5.0743959499047163E-2</v>
      </c>
      <c r="L13" s="31">
        <f t="shared" si="3"/>
        <v>0.90410085918738814</v>
      </c>
      <c r="M13" s="31">
        <f t="shared" si="4"/>
        <v>0</v>
      </c>
      <c r="N13" s="20" t="e">
        <f>IF($D13=0,0,SUMPRODUCT(F13:I13,TRANSPOSE('Classification Rules'!$D$43:$D$46))/$D13)</f>
        <v>#VALUE!</v>
      </c>
      <c r="O13" s="20" t="e">
        <f>IF($D13=0,0,SUMPRODUCT(F13:I13,TRANSPOSE('Classification Rules'!$E$43:$E$46))/$D13)</f>
        <v>#VALUE!</v>
      </c>
      <c r="P13" s="20" t="e">
        <f>IF($D13=0,0,SUMPRODUCT(F13:I13,TRANSPOSE('Classification Rules'!$F$43:$F$46))/$D13)</f>
        <v>#VALUE!</v>
      </c>
    </row>
    <row r="14" spans="1:16" x14ac:dyDescent="0.3">
      <c r="B14" s="1" t="s">
        <v>120</v>
      </c>
      <c r="C14" s="7">
        <f>COUNTIF('Golden Inventory'!$E:$E,$B14)</f>
        <v>15</v>
      </c>
      <c r="D14" s="8">
        <f>SUMIF('Golden Inventory'!$E:$E,$B14,'Golden Inventory'!$T:$T)</f>
        <v>108.90775000000002</v>
      </c>
      <c r="E14" s="20">
        <f t="shared" si="0"/>
        <v>7.2413220941915948E-2</v>
      </c>
      <c r="F14" s="8">
        <f>SUMIFS('Golden Inventory'!$T:$T,'Golden Inventory'!$E:$E,$B14,'Golden Inventory'!$AA:$AA,"A")</f>
        <v>107.38066666666668</v>
      </c>
      <c r="G14" s="8">
        <f>SUMIFS('Golden Inventory'!$T:$T,'Golden Inventory'!$E:$E,$B14,'Golden Inventory'!$AA:$AA,"B")</f>
        <v>1.5270833333333327</v>
      </c>
      <c r="H14" s="8">
        <f>SUMIFS('Golden Inventory'!$T:$T,'Golden Inventory'!$E:$E,$B14,'Golden Inventory'!$AA:$AA,"C")</f>
        <v>0</v>
      </c>
      <c r="I14" s="8">
        <f>SUMIFS('Golden Inventory'!$T:$T,'Golden Inventory'!$E:$E,$B14,'Golden Inventory'!$AA:$AA,"D")</f>
        <v>0</v>
      </c>
      <c r="J14" s="31">
        <f t="shared" si="1"/>
        <v>0.98597819408321874</v>
      </c>
      <c r="K14" s="31">
        <f t="shared" si="2"/>
        <v>1.4021805916781243E-2</v>
      </c>
      <c r="L14" s="31">
        <f t="shared" si="3"/>
        <v>0</v>
      </c>
      <c r="M14" s="31">
        <f t="shared" si="4"/>
        <v>0</v>
      </c>
      <c r="N14" s="20" t="e">
        <f>IF($D14=0,0,SUMPRODUCT(F14:I14,TRANSPOSE('Classification Rules'!$D$43:$D$46))/$D14)</f>
        <v>#VALUE!</v>
      </c>
      <c r="O14" s="20" t="e">
        <f>IF($D14=0,0,SUMPRODUCT(F14:I14,TRANSPOSE('Classification Rules'!$E$43:$E$46))/$D14)</f>
        <v>#VALUE!</v>
      </c>
      <c r="P14" s="20" t="e">
        <f>IF($D14=0,0,SUMPRODUCT(F14:I14,TRANSPOSE('Classification Rules'!$F$43:$F$46))/$D14)</f>
        <v>#VALUE!</v>
      </c>
    </row>
    <row r="15" spans="1:16" x14ac:dyDescent="0.3">
      <c r="B15" s="1" t="s">
        <v>52</v>
      </c>
      <c r="C15" s="7">
        <f>COUNTIF('Golden Inventory'!$E:$E,$B15)</f>
        <v>28</v>
      </c>
      <c r="D15" s="8">
        <f>SUMIF('Golden Inventory'!$E:$E,$B15,'Golden Inventory'!$T:$T)</f>
        <v>230.75000000000003</v>
      </c>
      <c r="E15" s="20">
        <f t="shared" si="0"/>
        <v>0.15342664532457151</v>
      </c>
      <c r="F15" s="8">
        <f>SUMIFS('Golden Inventory'!$T:$T,'Golden Inventory'!$E:$E,$B15,'Golden Inventory'!$AA:$AA,"A")</f>
        <v>1.4797083333333327</v>
      </c>
      <c r="G15" s="8">
        <f>SUMIFS('Golden Inventory'!$T:$T,'Golden Inventory'!$E:$E,$B15,'Golden Inventory'!$AA:$AA,"B")</f>
        <v>0</v>
      </c>
      <c r="H15" s="8">
        <f>SUMIFS('Golden Inventory'!$T:$T,'Golden Inventory'!$E:$E,$B15,'Golden Inventory'!$AA:$AA,"C")</f>
        <v>0</v>
      </c>
      <c r="I15" s="8">
        <f>SUMIFS('Golden Inventory'!$T:$T,'Golden Inventory'!$E:$E,$B15,'Golden Inventory'!$AA:$AA,"D")</f>
        <v>229.27029166666668</v>
      </c>
      <c r="J15" s="31">
        <f t="shared" si="1"/>
        <v>6.4126038280967823E-3</v>
      </c>
      <c r="K15" s="31">
        <f t="shared" si="2"/>
        <v>0</v>
      </c>
      <c r="L15" s="31">
        <f t="shared" si="3"/>
        <v>0</v>
      </c>
      <c r="M15" s="31">
        <f t="shared" si="4"/>
        <v>0.99358739617190317</v>
      </c>
      <c r="N15" s="20" t="e">
        <f>IF($D15=0,0,SUMPRODUCT(F15:I15,TRANSPOSE('Classification Rules'!$D$43:$D$46))/$D15)</f>
        <v>#VALUE!</v>
      </c>
      <c r="O15" s="20" t="e">
        <f>IF($D15=0,0,SUMPRODUCT(F15:I15,TRANSPOSE('Classification Rules'!$E$43:$E$46))/$D15)</f>
        <v>#VALUE!</v>
      </c>
      <c r="P15" s="20" t="e">
        <f>IF($D15=0,0,SUMPRODUCT(F15:I15,TRANSPOSE('Classification Rules'!$F$43:$F$46))/$D15)</f>
        <v>#VALUE!</v>
      </c>
    </row>
    <row r="16" spans="1:16" x14ac:dyDescent="0.3">
      <c r="B16" s="16" t="s">
        <v>581</v>
      </c>
      <c r="C16" s="32">
        <f t="shared" ref="C16:I16" si="5">SUM(C5:C15)</f>
        <v>142</v>
      </c>
      <c r="D16" s="33">
        <f t="shared" si="5"/>
        <v>1503.97605</v>
      </c>
      <c r="E16" s="17">
        <f t="shared" si="5"/>
        <v>1</v>
      </c>
      <c r="F16" s="33">
        <f t="shared" si="5"/>
        <v>317.08354166666669</v>
      </c>
      <c r="G16" s="33">
        <f t="shared" si="5"/>
        <v>379.50446666666676</v>
      </c>
      <c r="H16" s="33">
        <f t="shared" si="5"/>
        <v>569.88025000000005</v>
      </c>
      <c r="I16" s="33">
        <f t="shared" si="5"/>
        <v>237.50779166666669</v>
      </c>
      <c r="J16" s="34">
        <f t="shared" si="1"/>
        <v>0.2108301802190711</v>
      </c>
      <c r="K16" s="34">
        <f t="shared" si="2"/>
        <v>0.25233411573719328</v>
      </c>
      <c r="L16" s="34">
        <f t="shared" si="3"/>
        <v>0.37891577462287385</v>
      </c>
      <c r="M16" s="34">
        <f t="shared" si="4"/>
        <v>0.15791992942086192</v>
      </c>
      <c r="N16" s="17" t="e">
        <f>IF($D16=0,0,SUMPRODUCT(F16:I16,TRANSPOSE('Classification Rules'!$D$43:$D$46))/$D16)</f>
        <v>#VALUE!</v>
      </c>
      <c r="O16" s="17" t="e">
        <f>IF($D16=0,0,SUMPRODUCT(F16:I16,TRANSPOSE('Classification Rules'!$E$43:$E$46))/$D16)</f>
        <v>#VALUE!</v>
      </c>
      <c r="P16" s="17" t="e">
        <f>IF($D16=0,0,SUMPRODUCT(F16:I16,TRANSPOSE('Classification Rules'!$F$43:$F$46))/$D16)</f>
        <v>#VALUE!</v>
      </c>
    </row>
    <row r="18" spans="2:16" x14ac:dyDescent="0.3">
      <c r="B18" s="35" t="s">
        <v>582</v>
      </c>
    </row>
    <row r="19" spans="2:16" ht="28.05" customHeight="1" x14ac:dyDescent="0.3">
      <c r="B19" s="45" t="s">
        <v>583</v>
      </c>
      <c r="C19" s="43"/>
      <c r="D19" s="43"/>
      <c r="E19" s="43"/>
      <c r="F19" s="43"/>
      <c r="G19" s="43"/>
      <c r="H19" s="43"/>
      <c r="I19" s="43"/>
      <c r="J19" s="43"/>
      <c r="K19" s="43"/>
      <c r="L19" s="43"/>
      <c r="M19" s="43"/>
      <c r="N19" s="43"/>
      <c r="O19" s="43"/>
      <c r="P19" s="44"/>
    </row>
    <row r="20" spans="2:16" ht="28.05" customHeight="1" x14ac:dyDescent="0.3">
      <c r="B20" s="45" t="s">
        <v>584</v>
      </c>
      <c r="C20" s="43"/>
      <c r="D20" s="43"/>
      <c r="E20" s="43"/>
      <c r="F20" s="43"/>
      <c r="G20" s="43"/>
      <c r="H20" s="43"/>
      <c r="I20" s="43"/>
      <c r="J20" s="43"/>
      <c r="K20" s="43"/>
      <c r="L20" s="43"/>
      <c r="M20" s="43"/>
      <c r="N20" s="43"/>
      <c r="O20" s="43"/>
      <c r="P20" s="44"/>
    </row>
    <row r="21" spans="2:16" ht="28.05" customHeight="1" x14ac:dyDescent="0.3">
      <c r="B21" s="45" t="s">
        <v>585</v>
      </c>
      <c r="C21" s="43"/>
      <c r="D21" s="43"/>
      <c r="E21" s="43"/>
      <c r="F21" s="43"/>
      <c r="G21" s="43"/>
      <c r="H21" s="43"/>
      <c r="I21" s="43"/>
      <c r="J21" s="43"/>
      <c r="K21" s="43"/>
      <c r="L21" s="43"/>
      <c r="M21" s="43"/>
      <c r="N21" s="43"/>
      <c r="O21" s="43"/>
      <c r="P21" s="44"/>
    </row>
    <row r="22" spans="2:16" ht="28.05" customHeight="1" x14ac:dyDescent="0.3">
      <c r="B22" s="45" t="s">
        <v>586</v>
      </c>
      <c r="C22" s="43"/>
      <c r="D22" s="43"/>
      <c r="E22" s="43"/>
      <c r="F22" s="43"/>
      <c r="G22" s="43"/>
      <c r="H22" s="43"/>
      <c r="I22" s="43"/>
      <c r="J22" s="43"/>
      <c r="K22" s="43"/>
      <c r="L22" s="43"/>
      <c r="M22" s="43"/>
      <c r="N22" s="43"/>
      <c r="O22" s="43"/>
      <c r="P22" s="44"/>
    </row>
  </sheetData>
  <mergeCells count="6">
    <mergeCell ref="B20:P20"/>
    <mergeCell ref="A1:P1"/>
    <mergeCell ref="B19:P19"/>
    <mergeCell ref="B22:P22"/>
    <mergeCell ref="B21:P21"/>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7"/>
  <sheetViews>
    <sheetView workbookViewId="0">
      <selection sqref="A1:L1"/>
    </sheetView>
  </sheetViews>
  <sheetFormatPr defaultColWidth="8.77734375" defaultRowHeight="14.4" x14ac:dyDescent="0.3"/>
  <cols>
    <col min="1" max="1" width="2" customWidth="1"/>
    <col min="2" max="2" width="10" customWidth="1"/>
    <col min="3" max="3" width="24" customWidth="1"/>
    <col min="4" max="4" width="9" customWidth="1"/>
    <col min="5" max="5" width="11" customWidth="1"/>
    <col min="6" max="6" width="9" customWidth="1"/>
    <col min="7" max="10" width="11" customWidth="1"/>
    <col min="11" max="12" width="13" customWidth="1"/>
  </cols>
  <sheetData>
    <row r="1" spans="1:12" ht="25.95" customHeight="1" x14ac:dyDescent="0.3">
      <c r="A1" s="38" t="s">
        <v>587</v>
      </c>
      <c r="B1" s="39"/>
      <c r="C1" s="39"/>
      <c r="D1" s="39"/>
      <c r="E1" s="39"/>
      <c r="F1" s="39"/>
      <c r="G1" s="39"/>
      <c r="H1" s="39"/>
      <c r="I1" s="39"/>
      <c r="J1" s="39"/>
      <c r="K1" s="39"/>
      <c r="L1" s="39"/>
    </row>
    <row r="2" spans="1:12" x14ac:dyDescent="0.3">
      <c r="A2" s="40" t="s">
        <v>588</v>
      </c>
      <c r="B2" s="39"/>
      <c r="C2" s="39"/>
      <c r="D2" s="39"/>
      <c r="E2" s="39"/>
      <c r="F2" s="39"/>
      <c r="G2" s="39"/>
      <c r="H2" s="39"/>
      <c r="I2" s="39"/>
      <c r="J2" s="39"/>
      <c r="K2" s="39"/>
      <c r="L2" s="39"/>
    </row>
    <row r="4" spans="1:12" ht="31.95" customHeight="1" x14ac:dyDescent="0.3">
      <c r="B4" s="3" t="s">
        <v>504</v>
      </c>
      <c r="C4" s="3" t="s">
        <v>505</v>
      </c>
      <c r="D4" s="3" t="s">
        <v>507</v>
      </c>
      <c r="E4" s="3" t="s">
        <v>487</v>
      </c>
      <c r="F4" s="3" t="s">
        <v>574</v>
      </c>
      <c r="G4" s="3" t="s">
        <v>18</v>
      </c>
      <c r="H4" s="3" t="s">
        <v>19</v>
      </c>
      <c r="I4" s="3" t="s">
        <v>20</v>
      </c>
      <c r="J4" s="3" t="s">
        <v>32</v>
      </c>
      <c r="K4" s="3" t="s">
        <v>589</v>
      </c>
      <c r="L4" s="3" t="s">
        <v>590</v>
      </c>
    </row>
    <row r="5" spans="1:12" x14ac:dyDescent="0.3">
      <c r="B5" s="11" t="s">
        <v>521</v>
      </c>
      <c r="C5" s="6" t="s">
        <v>522</v>
      </c>
      <c r="D5" s="7">
        <f>COUNTIF('Golden Inventory'!$AA:$AA,$B5)</f>
        <v>71</v>
      </c>
      <c r="E5" s="8">
        <f>SUMIF('Golden Inventory'!$AA:$AA,$B5,'Golden Inventory'!$T:$T)</f>
        <v>317.08354166666669</v>
      </c>
      <c r="F5" s="20">
        <f>IF($E$9=0,0,E5/$E$9)</f>
        <v>0.2108301802190711</v>
      </c>
      <c r="G5" s="8">
        <f>SUMIF('Golden Inventory'!$AA:$AA,$B5,'Golden Inventory'!$Q:$Q)</f>
        <v>195.10866666666669</v>
      </c>
      <c r="H5" s="8">
        <f>SUMIF('Golden Inventory'!$AA:$AA,$B5,'Golden Inventory'!$R:$R)</f>
        <v>56.337916666666665</v>
      </c>
      <c r="I5" s="8">
        <f>SUMIF('Golden Inventory'!$AA:$AA,$B5,'Golden Inventory'!$S:$S)</f>
        <v>20.827500000000004</v>
      </c>
      <c r="J5" s="20">
        <f>IFERROR(INDEX('Classification Rules'!$D$43:$D$46,MATCH($B5,'Classification Rules'!$B$43:$B$46,0)),"")</f>
        <v>0.30399999999999999</v>
      </c>
      <c r="K5" s="20">
        <f>IFERROR(INDEX('Classification Rules'!$E$43:$E$46,MATCH($B5,'Classification Rules'!$B$43:$B$46,0)),"")</f>
        <v>0.33947680000000002</v>
      </c>
      <c r="L5" s="20">
        <f>IFERROR(INDEX('Classification Rules'!$G$43:$G$46,MATCH($B5,'Classification Rules'!$B$43:$B$46,0)),"")</f>
        <v>0.13950000000000001</v>
      </c>
    </row>
    <row r="6" spans="1:12" x14ac:dyDescent="0.3">
      <c r="B6" s="10" t="s">
        <v>517</v>
      </c>
      <c r="C6" s="6" t="s">
        <v>518</v>
      </c>
      <c r="D6" s="7">
        <f>COUNTIF('Golden Inventory'!$AA:$AA,$B6)</f>
        <v>33</v>
      </c>
      <c r="E6" s="8">
        <f>SUMIF('Golden Inventory'!$AA:$AA,$B6,'Golden Inventory'!$T:$T)</f>
        <v>379.5044666666667</v>
      </c>
      <c r="F6" s="20">
        <f>IF($E$9=0,0,E6/$E$9)</f>
        <v>0.25233411573719322</v>
      </c>
      <c r="G6" s="8">
        <f>SUMIF('Golden Inventory'!$AA:$AA,$B6,'Golden Inventory'!$Q:$Q)</f>
        <v>210.59696666666665</v>
      </c>
      <c r="H6" s="8">
        <f>SUMIF('Golden Inventory'!$AA:$AA,$B6,'Golden Inventory'!$R:$R)</f>
        <v>86.44166666666672</v>
      </c>
      <c r="I6" s="8">
        <f>SUMIF('Golden Inventory'!$AA:$AA,$B6,'Golden Inventory'!$S:$S)</f>
        <v>82.022083333333342</v>
      </c>
      <c r="J6" s="20">
        <f>IFERROR(INDEX('Classification Rules'!$D$43:$D$46,MATCH($B6,'Classification Rules'!$B$43:$B$46,0)),"")</f>
        <v>0.48249999999999998</v>
      </c>
      <c r="K6" s="20">
        <f>IFERROR(INDEX('Classification Rules'!$E$43:$E$46,MATCH($B6,'Classification Rules'!$B$43:$B$46,0)),"")</f>
        <v>0.45402025000000001</v>
      </c>
      <c r="L6" s="20">
        <f>IFERROR(INDEX('Classification Rules'!$G$43:$G$46,MATCH($B6,'Classification Rules'!$B$43:$B$46,0)),"")</f>
        <v>0.72540000000000004</v>
      </c>
    </row>
    <row r="7" spans="1:12" x14ac:dyDescent="0.3">
      <c r="B7" s="9" t="s">
        <v>513</v>
      </c>
      <c r="C7" s="6" t="s">
        <v>514</v>
      </c>
      <c r="D7" s="7">
        <f>COUNTIF('Golden Inventory'!$AA:$AA,$B7)</f>
        <v>10</v>
      </c>
      <c r="E7" s="8">
        <f>SUMIF('Golden Inventory'!$AA:$AA,$B7,'Golden Inventory'!$T:$T)</f>
        <v>569.88025000000005</v>
      </c>
      <c r="F7" s="20">
        <f>IF($E$9=0,0,E7/$E$9)</f>
        <v>0.37891577462287385</v>
      </c>
      <c r="G7" s="8">
        <f>SUMIF('Golden Inventory'!$AA:$AA,$B7,'Golden Inventory'!$Q:$Q)</f>
        <v>330.91445833333324</v>
      </c>
      <c r="H7" s="8">
        <f>SUMIF('Golden Inventory'!$AA:$AA,$B7,'Golden Inventory'!$R:$R)</f>
        <v>101.88125000000001</v>
      </c>
      <c r="I7" s="8">
        <f>SUMIF('Golden Inventory'!$AA:$AA,$B7,'Golden Inventory'!$S:$S)</f>
        <v>137.1575</v>
      </c>
      <c r="J7" s="20">
        <f>IFERROR(INDEX('Classification Rules'!$D$43:$D$46,MATCH($B7,'Classification Rules'!$B$43:$B$46,0)),"")</f>
        <v>0.45250000000000001</v>
      </c>
      <c r="K7" s="20">
        <f>IFERROR(INDEX('Classification Rules'!$E$43:$E$46,MATCH($B7,'Classification Rules'!$B$43:$B$46,0)),"")</f>
        <v>0.43476925</v>
      </c>
      <c r="L7" s="20">
        <f>IFERROR(INDEX('Classification Rules'!$G$43:$G$46,MATCH($B7,'Classification Rules'!$B$43:$B$46,0)),"")</f>
        <v>0</v>
      </c>
    </row>
    <row r="8" spans="1:12" x14ac:dyDescent="0.3">
      <c r="B8" s="5" t="s">
        <v>509</v>
      </c>
      <c r="C8" s="6" t="s">
        <v>510</v>
      </c>
      <c r="D8" s="7">
        <f>COUNTIF('Golden Inventory'!$AA:$AA,$B8)</f>
        <v>28</v>
      </c>
      <c r="E8" s="8">
        <f>SUMIF('Golden Inventory'!$AA:$AA,$B8,'Golden Inventory'!$T:$T)</f>
        <v>237.50779166666666</v>
      </c>
      <c r="F8" s="20">
        <f>IF($E$9=0,0,E8/$E$9)</f>
        <v>0.15791992942086189</v>
      </c>
      <c r="G8" s="8">
        <f>SUMIF('Golden Inventory'!$AA:$AA,$B8,'Golden Inventory'!$Q:$Q)</f>
        <v>207.90404166666664</v>
      </c>
      <c r="H8" s="8">
        <f>SUMIF('Golden Inventory'!$AA:$AA,$B8,'Golden Inventory'!$R:$R)</f>
        <v>29.603749999999991</v>
      </c>
      <c r="I8" s="8">
        <f>SUMIF('Golden Inventory'!$AA:$AA,$B8,'Golden Inventory'!$S:$S)</f>
        <v>0</v>
      </c>
      <c r="J8" s="20">
        <f>IFERROR(INDEX('Classification Rules'!$D$43:$D$46,MATCH($B8,'Classification Rules'!$B$43:$B$46,0)),"")</f>
        <v>0.29500000000000004</v>
      </c>
      <c r="K8" s="20">
        <f>IFERROR(INDEX('Classification Rules'!$E$43:$E$46,MATCH($B8,'Classification Rules'!$B$43:$B$46,0)),"")</f>
        <v>0.3337015000000001</v>
      </c>
      <c r="L8" s="20">
        <f>IFERROR(INDEX('Classification Rules'!$G$43:$G$46,MATCH($B8,'Classification Rules'!$B$43:$B$46,0)),"")</f>
        <v>0.53939999999999999</v>
      </c>
    </row>
    <row r="9" spans="1:12" x14ac:dyDescent="0.3">
      <c r="C9" s="16" t="s">
        <v>591</v>
      </c>
      <c r="D9" s="32">
        <f t="shared" ref="D9:I9" si="0">SUM(D5:D8)</f>
        <v>142</v>
      </c>
      <c r="E9" s="33">
        <f t="shared" si="0"/>
        <v>1503.97605</v>
      </c>
      <c r="F9" s="17">
        <f t="shared" si="0"/>
        <v>1</v>
      </c>
      <c r="G9" s="33">
        <f t="shared" si="0"/>
        <v>944.52413333333334</v>
      </c>
      <c r="H9" s="33">
        <f t="shared" si="0"/>
        <v>274.26458333333341</v>
      </c>
      <c r="I9" s="33">
        <f t="shared" si="0"/>
        <v>240.00708333333336</v>
      </c>
      <c r="J9" s="17">
        <f>IF($E$9=0,0,SUMPRODUCT($E$5:$E$8,J5:J8)/$E$9)</f>
        <v>0.40388935282579808</v>
      </c>
      <c r="K9" s="17">
        <f>IF($E$9=0,0,SUMPRODUCT($E$5:$E$8,K5:K8)/$E$9)</f>
        <v>0.40357579770831459</v>
      </c>
      <c r="L9" s="17">
        <f>IF($E$9=0,0,SUMPRODUCT($E$5:$E$8,L5:L8)/$E$9)</f>
        <v>0.2976359876259333</v>
      </c>
    </row>
    <row r="10" spans="1:12" x14ac:dyDescent="0.3">
      <c r="C10" s="19" t="s">
        <v>592</v>
      </c>
    </row>
    <row r="11" spans="1:12" ht="19.05" customHeight="1" x14ac:dyDescent="0.3">
      <c r="A11" s="41" t="s">
        <v>593</v>
      </c>
      <c r="B11" s="39"/>
      <c r="C11" s="39"/>
      <c r="D11" s="39"/>
      <c r="E11" s="39"/>
      <c r="F11" s="39"/>
      <c r="G11" s="39"/>
      <c r="H11" s="39"/>
      <c r="I11" s="39"/>
      <c r="J11" s="39"/>
      <c r="K11" s="39"/>
    </row>
    <row r="12" spans="1:12" ht="31.95" customHeight="1" x14ac:dyDescent="0.3">
      <c r="B12" s="3" t="s">
        <v>594</v>
      </c>
      <c r="C12" s="3" t="s">
        <v>595</v>
      </c>
      <c r="D12" s="3" t="s">
        <v>596</v>
      </c>
      <c r="E12" s="3" t="s">
        <v>597</v>
      </c>
    </row>
    <row r="13" spans="1:12" x14ac:dyDescent="0.3">
      <c r="B13" s="6" t="s">
        <v>598</v>
      </c>
      <c r="C13" s="7">
        <v>142</v>
      </c>
      <c r="D13" s="7">
        <f>D9</f>
        <v>142</v>
      </c>
      <c r="E13" s="32">
        <f>D13-C13</f>
        <v>0</v>
      </c>
    </row>
    <row r="14" spans="1:12" x14ac:dyDescent="0.3">
      <c r="B14" s="6" t="s">
        <v>599</v>
      </c>
      <c r="C14" s="8">
        <v>1504</v>
      </c>
      <c r="D14" s="8">
        <f>E9</f>
        <v>1503.97605</v>
      </c>
      <c r="E14" s="33">
        <f>D14-C14</f>
        <v>-2.3950000000013461E-2</v>
      </c>
    </row>
    <row r="15" spans="1:12" x14ac:dyDescent="0.3">
      <c r="B15" s="6" t="s">
        <v>600</v>
      </c>
      <c r="C15" s="7">
        <v>0</v>
      </c>
      <c r="D15" s="7">
        <f>COUNTIF('Golden Inventory'!$AA$5:$AA$146,"")</f>
        <v>0</v>
      </c>
      <c r="E15" s="32">
        <f>D15-C15</f>
        <v>0</v>
      </c>
    </row>
    <row r="17" spans="2:6" x14ac:dyDescent="0.3">
      <c r="B17" s="1" t="s">
        <v>601</v>
      </c>
      <c r="D17" s="12">
        <f>COUNTIF('Golden Inventory'!$Z$5:$Z$146,"?*")</f>
        <v>0</v>
      </c>
      <c r="F17" s="19" t="s">
        <v>602</v>
      </c>
    </row>
  </sheetData>
  <mergeCells count="3">
    <mergeCell ref="A11:K11"/>
    <mergeCell ref="A2:L2"/>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7"/>
  <sheetViews>
    <sheetView topLeftCell="A14" workbookViewId="0">
      <selection sqref="A1:I1"/>
    </sheetView>
  </sheetViews>
  <sheetFormatPr defaultColWidth="8.77734375" defaultRowHeight="14.4" x14ac:dyDescent="0.3"/>
  <cols>
    <col min="1" max="1" width="2" customWidth="1"/>
    <col min="2" max="2" width="12" customWidth="1"/>
    <col min="3" max="3" width="30" customWidth="1"/>
    <col min="4" max="4" width="12" customWidth="1"/>
    <col min="5" max="5" width="18.109375" customWidth="1"/>
    <col min="6" max="6" width="44" customWidth="1"/>
    <col min="7" max="7" width="22" customWidth="1"/>
    <col min="8" max="8" width="14" customWidth="1"/>
    <col min="9" max="9" width="16" customWidth="1"/>
  </cols>
  <sheetData>
    <row r="1" spans="1:9" ht="25.95" customHeight="1" x14ac:dyDescent="0.3">
      <c r="A1" s="38" t="s">
        <v>603</v>
      </c>
      <c r="B1" s="39"/>
      <c r="C1" s="39"/>
      <c r="D1" s="39"/>
      <c r="E1" s="39"/>
      <c r="F1" s="39"/>
      <c r="G1" s="39"/>
      <c r="H1" s="39"/>
      <c r="I1" s="39"/>
    </row>
    <row r="2" spans="1:9" x14ac:dyDescent="0.3">
      <c r="A2" s="40" t="s">
        <v>604</v>
      </c>
      <c r="B2" s="39"/>
      <c r="C2" s="39"/>
      <c r="D2" s="39"/>
      <c r="E2" s="39"/>
      <c r="F2" s="39"/>
      <c r="G2" s="39"/>
      <c r="H2" s="39"/>
      <c r="I2" s="39"/>
    </row>
    <row r="4" spans="1:9" ht="19.05" customHeight="1" x14ac:dyDescent="0.3">
      <c r="A4" s="41" t="s">
        <v>605</v>
      </c>
      <c r="B4" s="39"/>
      <c r="C4" s="39"/>
      <c r="D4" s="39"/>
      <c r="E4" s="39"/>
      <c r="F4" s="39"/>
      <c r="G4" s="39"/>
      <c r="H4" s="39"/>
    </row>
    <row r="5" spans="1:9" ht="31.95" customHeight="1" x14ac:dyDescent="0.3">
      <c r="B5" s="3" t="s">
        <v>3</v>
      </c>
      <c r="C5" s="3" t="s">
        <v>4</v>
      </c>
      <c r="D5" s="3" t="s">
        <v>606</v>
      </c>
      <c r="E5" s="3" t="s">
        <v>607</v>
      </c>
      <c r="F5" s="3" t="s">
        <v>608</v>
      </c>
      <c r="G5" s="3" t="s">
        <v>609</v>
      </c>
      <c r="H5" s="3" t="s">
        <v>610</v>
      </c>
      <c r="I5" s="3" t="s">
        <v>611</v>
      </c>
    </row>
    <row r="6" spans="1:9" ht="22.05" customHeight="1" x14ac:dyDescent="0.3">
      <c r="B6" s="36"/>
      <c r="C6" s="36"/>
      <c r="D6" s="37"/>
      <c r="E6" s="37"/>
      <c r="F6" s="36"/>
      <c r="G6" s="36"/>
      <c r="H6" s="36"/>
      <c r="I6" s="37"/>
    </row>
    <row r="7" spans="1:9" ht="22.05" customHeight="1" x14ac:dyDescent="0.3">
      <c r="B7" s="36"/>
      <c r="C7" s="36"/>
      <c r="D7" s="37"/>
      <c r="E7" s="37"/>
      <c r="F7" s="36"/>
      <c r="G7" s="36"/>
      <c r="H7" s="36"/>
      <c r="I7" s="37"/>
    </row>
    <row r="8" spans="1:9" ht="22.05" customHeight="1" x14ac:dyDescent="0.3">
      <c r="B8" s="36"/>
      <c r="C8" s="36"/>
      <c r="D8" s="37"/>
      <c r="E8" s="37"/>
      <c r="F8" s="36"/>
      <c r="G8" s="36"/>
      <c r="H8" s="36"/>
      <c r="I8" s="37"/>
    </row>
    <row r="9" spans="1:9" ht="22.05" customHeight="1" x14ac:dyDescent="0.3">
      <c r="B9" s="36"/>
      <c r="C9" s="36"/>
      <c r="D9" s="37"/>
      <c r="E9" s="37"/>
      <c r="F9" s="36"/>
      <c r="G9" s="36"/>
      <c r="H9" s="36"/>
      <c r="I9" s="37"/>
    </row>
    <row r="10" spans="1:9" ht="22.05" customHeight="1" x14ac:dyDescent="0.3">
      <c r="B10" s="36"/>
      <c r="C10" s="36"/>
      <c r="D10" s="37"/>
      <c r="E10" s="37"/>
      <c r="F10" s="36"/>
      <c r="G10" s="36"/>
      <c r="H10" s="36"/>
      <c r="I10" s="37"/>
    </row>
    <row r="11" spans="1:9" ht="22.05" customHeight="1" x14ac:dyDescent="0.3">
      <c r="B11" s="36"/>
      <c r="C11" s="36"/>
      <c r="D11" s="37"/>
      <c r="E11" s="37"/>
      <c r="F11" s="36"/>
      <c r="G11" s="36"/>
      <c r="H11" s="36"/>
      <c r="I11" s="37"/>
    </row>
    <row r="12" spans="1:9" ht="22.05" customHeight="1" x14ac:dyDescent="0.3">
      <c r="B12" s="36"/>
      <c r="C12" s="36"/>
      <c r="D12" s="37"/>
      <c r="E12" s="37"/>
      <c r="F12" s="36"/>
      <c r="G12" s="36"/>
      <c r="H12" s="36"/>
      <c r="I12" s="37"/>
    </row>
    <row r="13" spans="1:9" ht="22.05" customHeight="1" x14ac:dyDescent="0.3">
      <c r="B13" s="36"/>
      <c r="C13" s="36"/>
      <c r="D13" s="37"/>
      <c r="E13" s="37"/>
      <c r="F13" s="36"/>
      <c r="G13" s="36"/>
      <c r="H13" s="36"/>
      <c r="I13" s="37"/>
    </row>
    <row r="14" spans="1:9" ht="22.05" customHeight="1" x14ac:dyDescent="0.3">
      <c r="B14" s="36"/>
      <c r="C14" s="36"/>
      <c r="D14" s="37"/>
      <c r="E14" s="37"/>
      <c r="F14" s="36"/>
      <c r="G14" s="36"/>
      <c r="H14" s="36"/>
      <c r="I14" s="37"/>
    </row>
    <row r="15" spans="1:9" ht="22.05" customHeight="1" x14ac:dyDescent="0.3">
      <c r="B15" s="36"/>
      <c r="C15" s="36"/>
      <c r="D15" s="37"/>
      <c r="E15" s="37"/>
      <c r="F15" s="36"/>
      <c r="G15" s="36"/>
      <c r="H15" s="36"/>
      <c r="I15" s="37"/>
    </row>
    <row r="16" spans="1:9" ht="22.05" customHeight="1" x14ac:dyDescent="0.3">
      <c r="B16" s="36"/>
      <c r="C16" s="36"/>
      <c r="D16" s="37"/>
      <c r="E16" s="37"/>
      <c r="F16" s="36"/>
      <c r="G16" s="36"/>
      <c r="H16" s="36"/>
      <c r="I16" s="37"/>
    </row>
    <row r="17" spans="1:9" ht="22.05" customHeight="1" x14ac:dyDescent="0.3">
      <c r="B17" s="36"/>
      <c r="C17" s="36"/>
      <c r="D17" s="37"/>
      <c r="E17" s="37"/>
      <c r="F17" s="36"/>
      <c r="G17" s="36"/>
      <c r="H17" s="36"/>
      <c r="I17" s="37"/>
    </row>
    <row r="19" spans="1:9" x14ac:dyDescent="0.3">
      <c r="B19" s="19" t="s">
        <v>612</v>
      </c>
    </row>
    <row r="21" spans="1:9" ht="19.05" customHeight="1" x14ac:dyDescent="0.3">
      <c r="A21" s="41" t="s">
        <v>613</v>
      </c>
      <c r="B21" s="39"/>
      <c r="C21" s="39"/>
      <c r="D21" s="39"/>
      <c r="E21" s="39"/>
      <c r="F21" s="39"/>
      <c r="G21" s="39"/>
      <c r="H21" s="39"/>
    </row>
    <row r="22" spans="1:9" ht="31.95" customHeight="1" x14ac:dyDescent="0.3">
      <c r="B22" s="3" t="s">
        <v>610</v>
      </c>
      <c r="C22" s="3" t="s">
        <v>614</v>
      </c>
      <c r="D22" s="3" t="s">
        <v>615</v>
      </c>
      <c r="E22" s="3" t="s">
        <v>616</v>
      </c>
      <c r="F22" s="3" t="s">
        <v>617</v>
      </c>
    </row>
    <row r="23" spans="1:9" ht="238.05" customHeight="1" x14ac:dyDescent="0.3">
      <c r="B23" s="6" t="s">
        <v>618</v>
      </c>
      <c r="C23" s="2" t="s">
        <v>619</v>
      </c>
      <c r="D23" s="2" t="s">
        <v>620</v>
      </c>
      <c r="E23" s="6" t="s">
        <v>621</v>
      </c>
      <c r="F23" s="6" t="s">
        <v>622</v>
      </c>
    </row>
    <row r="24" spans="1:9" ht="22.05" customHeight="1" x14ac:dyDescent="0.3">
      <c r="B24" s="36"/>
      <c r="C24" s="36"/>
      <c r="D24" s="36"/>
      <c r="E24" s="36"/>
      <c r="F24" s="36"/>
    </row>
    <row r="25" spans="1:9" ht="22.05" customHeight="1" x14ac:dyDescent="0.3">
      <c r="B25" s="36"/>
      <c r="C25" s="36"/>
      <c r="D25" s="36"/>
      <c r="E25" s="36"/>
      <c r="F25" s="36"/>
    </row>
    <row r="26" spans="1:9" ht="22.05" customHeight="1" x14ac:dyDescent="0.3">
      <c r="B26" s="36"/>
      <c r="C26" s="36"/>
      <c r="D26" s="36"/>
      <c r="E26" s="36"/>
      <c r="F26" s="36"/>
    </row>
    <row r="27" spans="1:9" ht="22.05" customHeight="1" x14ac:dyDescent="0.3">
      <c r="B27" s="36"/>
      <c r="C27" s="36"/>
      <c r="D27" s="36"/>
      <c r="E27" s="36"/>
      <c r="F27" s="36"/>
    </row>
    <row r="28" spans="1:9" ht="22.05" customHeight="1" x14ac:dyDescent="0.3">
      <c r="B28" s="36"/>
      <c r="C28" s="36"/>
      <c r="D28" s="36"/>
      <c r="E28" s="36"/>
      <c r="F28" s="36"/>
    </row>
    <row r="29" spans="1:9" ht="22.05" customHeight="1" x14ac:dyDescent="0.3">
      <c r="B29" s="36"/>
      <c r="C29" s="36"/>
      <c r="D29" s="36"/>
      <c r="E29" s="36"/>
      <c r="F29" s="36"/>
    </row>
    <row r="30" spans="1:9" ht="22.05" customHeight="1" x14ac:dyDescent="0.3">
      <c r="B30" s="36"/>
      <c r="C30" s="36"/>
      <c r="D30" s="36"/>
      <c r="E30" s="36"/>
      <c r="F30" s="36"/>
    </row>
    <row r="31" spans="1:9" ht="22.05" customHeight="1" x14ac:dyDescent="0.3">
      <c r="B31" s="36"/>
      <c r="C31" s="36"/>
      <c r="D31" s="36"/>
      <c r="E31" s="36"/>
      <c r="F31" s="36"/>
    </row>
    <row r="34" spans="1:9" ht="19.05" customHeight="1" x14ac:dyDescent="0.3">
      <c r="A34" s="41" t="s">
        <v>623</v>
      </c>
      <c r="B34" s="39"/>
      <c r="C34" s="39"/>
      <c r="D34" s="39"/>
      <c r="E34" s="39"/>
      <c r="F34" s="39"/>
      <c r="G34" s="39"/>
      <c r="H34" s="39"/>
    </row>
    <row r="35" spans="1:9" ht="28.05" customHeight="1" x14ac:dyDescent="0.3">
      <c r="B35" s="42" t="s">
        <v>624</v>
      </c>
      <c r="C35" s="43"/>
      <c r="D35" s="43"/>
      <c r="E35" s="43"/>
      <c r="F35" s="43"/>
      <c r="G35" s="43"/>
      <c r="H35" s="43"/>
      <c r="I35" s="44"/>
    </row>
    <row r="36" spans="1:9" ht="28.05" customHeight="1" x14ac:dyDescent="0.3">
      <c r="B36" s="42" t="s">
        <v>625</v>
      </c>
      <c r="C36" s="43"/>
      <c r="D36" s="43"/>
      <c r="E36" s="43"/>
      <c r="F36" s="43"/>
      <c r="G36" s="43"/>
      <c r="H36" s="43"/>
      <c r="I36" s="44"/>
    </row>
    <row r="37" spans="1:9" ht="28.05" customHeight="1" x14ac:dyDescent="0.3">
      <c r="B37" s="42" t="s">
        <v>626</v>
      </c>
      <c r="C37" s="43"/>
      <c r="D37" s="43"/>
      <c r="E37" s="43"/>
      <c r="F37" s="43"/>
      <c r="G37" s="43"/>
      <c r="H37" s="43"/>
      <c r="I37" s="44"/>
    </row>
  </sheetData>
  <mergeCells count="8">
    <mergeCell ref="B37:I37"/>
    <mergeCell ref="B35:I35"/>
    <mergeCell ref="A34:H34"/>
    <mergeCell ref="A4:H4"/>
    <mergeCell ref="A21:H21"/>
    <mergeCell ref="A2:I2"/>
    <mergeCell ref="A1:I1"/>
    <mergeCell ref="B36:I36"/>
  </mergeCells>
  <pageMargins left="0.75" right="0.75" top="1" bottom="1" header="0.5" footer="0.5"/>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Classification Rules</vt:lpstr>
      <vt:lpstr>Golden Inventory</vt:lpstr>
      <vt:lpstr>Domain Summary</vt:lpstr>
      <vt:lpstr>Archetype Summary</vt:lpstr>
      <vt:lpstr>Overrides &amp; 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Chandran, Bharath</cp:lastModifiedBy>
  <dcterms:created xsi:type="dcterms:W3CDTF">2026-09-02T11:17:40Z</dcterms:created>
  <dcterms:modified xsi:type="dcterms:W3CDTF">2026-09-03T06:41:05Z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ies>
</file>