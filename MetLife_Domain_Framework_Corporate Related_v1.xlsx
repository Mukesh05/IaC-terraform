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4" activeTab="5" autoFilterDateGrouping="1"/>
  </bookViews>
  <sheets>
    <sheet xmlns:r="http://schemas.openxmlformats.org/officeDocument/2006/relationships" name="START HERE" sheetId="1" state="visible" r:id="rId1"/>
    <sheet xmlns:r="http://schemas.openxmlformats.org/officeDocument/2006/relationships" name="Logic Tree" sheetId="2" state="visible" r:id="rId2"/>
    <sheet xmlns:r="http://schemas.openxmlformats.org/officeDocument/2006/relationships" name="Value Streams &amp; Delivery Mode" sheetId="3" state="visible" r:id="rId3"/>
    <sheet xmlns:r="http://schemas.openxmlformats.org/officeDocument/2006/relationships" name="Role x Sourcing" sheetId="4" state="visible" r:id="rId4"/>
    <sheet xmlns:r="http://schemas.openxmlformats.org/officeDocument/2006/relationships" name="AMS &amp; Ticket Load" sheetId="5" state="visible" r:id="rId5"/>
    <sheet xmlns:r="http://schemas.openxmlformats.org/officeDocument/2006/relationships" name="Seat Planner" sheetId="6" state="visible" r:id="rId6"/>
    <sheet xmlns:r="http://schemas.openxmlformats.org/officeDocument/2006/relationships" name="Seat Planner — how" sheetId="7" state="visible" r:id="rId7"/>
    <sheet xmlns:r="http://schemas.openxmlformats.org/officeDocument/2006/relationships" name="Reconciliation &amp; Checks" sheetId="8" state="visible" r:id="rId8"/>
    <sheet xmlns:r="http://schemas.openxmlformats.org/officeDocument/2006/relationships" name="Rates &amp; Tables" sheetId="9" state="visible" r:id="rId9"/>
    <sheet xmlns:r="http://schemas.openxmlformats.org/officeDocument/2006/relationships" name="Inventory v5" sheetId="10" state="visible" r:id="rId10"/>
    <sheet xmlns:r="http://schemas.openxmlformats.org/officeDocument/2006/relationships" name="Stream Catalogue" sheetId="11" state="visible" r:id="rId11"/>
    <sheet xmlns:r="http://schemas.openxmlformats.org/officeDocument/2006/relationships" name="Method Note" sheetId="12" state="visible" r:id="rId12"/>
    <sheet xmlns:r="http://schemas.openxmlformats.org/officeDocument/2006/relationships" name="Pod Library" sheetId="13" state="visible" r:id="rId13"/>
  </sheets>
  <definedNames>
    <definedName name="_xlnm._FilterDatabase" localSheetId="5" hidden="1">'Seat Planner'!$B$4:$P$424</definedName>
  </definedNames>
  <calcPr calcId="191029" fullCalcOnLoad="1" iterateDelta="0.0001"/>
</workbook>
</file>

<file path=xl/styles.xml><?xml version="1.0" encoding="utf-8"?>
<styleSheet xmlns="http://schemas.openxmlformats.org/spreadsheetml/2006/main">
  <numFmts count="6">
    <numFmt numFmtId="164" formatCode="#,##0.000"/>
    <numFmt numFmtId="165" formatCode="0.0%"/>
    <numFmt numFmtId="166" formatCode="0.000"/>
    <numFmt numFmtId="167" formatCode="#,##0.0"/>
    <numFmt numFmtId="168" formatCode="#,##0.00;\-#,##0.00;&quot;&quot;"/>
    <numFmt numFmtId="169" formatCode="0.000;\-0.000;&quot;&quot;"/>
  </numFmts>
  <fonts count="19">
    <font>
      <name val="Calibri"/>
      <charset val="1"/>
      <family val="2"/>
      <color theme="1"/>
      <sz val="11"/>
    </font>
    <font>
      <name val="Arial"/>
      <charset val="1"/>
      <b val="1"/>
      <color rgb="FFFFFFFF"/>
      <sz val="14"/>
    </font>
    <font>
      <name val="Arial"/>
      <charset val="1"/>
      <color rgb="FFFFFFFF"/>
      <sz val="9"/>
    </font>
    <font>
      <name val="Arial"/>
      <charset val="1"/>
      <b val="1"/>
      <color rgb="FF00385F"/>
      <sz val="11"/>
    </font>
    <font>
      <name val="Noto Sans CJK SC"/>
      <family val="2"/>
      <b val="1"/>
      <color rgb="FF00385F"/>
      <sz val="11"/>
    </font>
    <font>
      <name val="Arial"/>
      <charset val="1"/>
      <b val="1"/>
      <color rgb="FF00385F"/>
      <sz val="13"/>
    </font>
    <font>
      <name val="Arial"/>
      <charset val="1"/>
      <sz val="9.5"/>
    </font>
    <font>
      <name val="Arial"/>
      <charset val="1"/>
      <b val="1"/>
      <color rgb="FFFFFFFF"/>
      <sz val="8.5"/>
    </font>
    <font>
      <name val="Arial"/>
      <charset val="1"/>
      <b val="1"/>
      <sz val="9.5"/>
    </font>
    <font>
      <name val="Noto Sans CJK SC"/>
      <family val="2"/>
      <b val="1"/>
      <sz val="9.5"/>
    </font>
    <font>
      <name val="Arial"/>
      <charset val="1"/>
      <color rgb="FF595959"/>
      <sz val="8.5"/>
    </font>
    <font>
      <name val="Noto Sans CJK SC"/>
      <family val="2"/>
      <color rgb="FF595959"/>
      <sz val="8.5"/>
    </font>
    <font>
      <name val="Noto Sans CJK SC"/>
      <family val="2"/>
      <sz val="9.5"/>
    </font>
    <font>
      <name val="Arial"/>
      <charset val="1"/>
      <color rgb="FF008000"/>
      <sz val="9.5"/>
    </font>
    <font>
      <name val="Noto Sans CJK SC"/>
      <family val="2"/>
      <color rgb="FFFFFFFF"/>
      <sz val="9"/>
    </font>
    <font>
      <name val="Noto Sans CJK SC"/>
      <family val="2"/>
      <b val="1"/>
      <color rgb="FFFFFFFF"/>
      <sz val="14"/>
    </font>
    <font>
      <name val="Noto Sans CJK SC"/>
      <charset val="1"/>
      <family val="2"/>
      <b val="1"/>
      <color rgb="FFFFFFFF"/>
      <sz val="8.5"/>
    </font>
    <font>
      <name val="Arial"/>
      <charset val="1"/>
      <b val="1"/>
      <color rgb="FF00385F"/>
      <sz val="9.5"/>
    </font>
    <font>
      <name val="Arial"/>
      <charset val="1"/>
      <family val="2"/>
      <sz val="9.5"/>
    </font>
  </fonts>
  <fills count="8">
    <fill>
      <patternFill/>
    </fill>
    <fill>
      <patternFill patternType="gray125"/>
    </fill>
    <fill>
      <patternFill patternType="solid">
        <fgColor rgb="FF00385F"/>
        <bgColor rgb="FF003300"/>
      </patternFill>
    </fill>
    <fill>
      <patternFill patternType="solid">
        <fgColor rgb="FFDCEEF9"/>
        <bgColor rgb="FFE2F0D9"/>
      </patternFill>
    </fill>
    <fill>
      <patternFill patternType="solid">
        <fgColor rgb="FFFFF2CC"/>
        <bgColor rgb="FFF2F2F2"/>
      </patternFill>
    </fill>
    <fill>
      <patternFill patternType="solid">
        <fgColor rgb="FF0090DA"/>
        <bgColor rgb="FF008080"/>
      </patternFill>
    </fill>
    <fill>
      <patternFill patternType="solid">
        <fgColor rgb="FFF2F2F2"/>
        <bgColor rgb="FFE2F0D9"/>
      </patternFill>
    </fill>
    <fill>
      <patternFill patternType="solid">
        <fgColor rgb="FFE2F0D9"/>
        <bgColor rgb="FFDCEEF9"/>
      </patternFill>
    </fill>
  </fills>
  <borders count="6">
    <border>
      <left/>
      <right/>
      <top/>
      <bottom/>
      <diagonal/>
    </border>
    <border>
      <left style="thin">
        <color rgb="FFD2DCE3"/>
      </left>
      <right style="thin">
        <color rgb="FFD2DCE3"/>
      </right>
      <top style="thin">
        <color rgb="FFD2DCE3"/>
      </top>
      <bottom style="thin">
        <color rgb="FFD2DCE3"/>
      </bottom>
      <diagonal/>
    </border>
    <border>
      <left/>
      <right/>
      <top style="thin">
        <color rgb="FFD2DCE3"/>
      </top>
      <bottom/>
      <diagonal/>
    </border>
    <border>
      <left/>
      <right style="thin">
        <color rgb="FFD2DCE3"/>
      </right>
      <top style="thin">
        <color rgb="FFD2DCE3"/>
      </top>
      <bottom/>
      <diagonal/>
    </border>
    <border>
      <left/>
      <right/>
      <top style="thin">
        <color rgb="FFD2DCE3"/>
      </top>
      <bottom style="thin">
        <color rgb="FFD2DCE3"/>
      </bottom>
      <diagonal/>
    </border>
    <border>
      <left/>
      <right style="thin">
        <color rgb="FFD2DCE3"/>
      </right>
      <top style="thin">
        <color rgb="FFD2DCE3"/>
      </top>
      <bottom style="thin">
        <color rgb="FFD2DCE3"/>
      </bottom>
      <diagonal/>
    </border>
  </borders>
  <cellStyleXfs count="1">
    <xf numFmtId="0" fontId="0" fillId="0" borderId="0"/>
  </cellStyleXfs>
  <cellXfs count="79">
    <xf numFmtId="0" fontId="0" fillId="0" borderId="0" pivotButton="0" quotePrefix="0" xfId="0"/>
    <xf numFmtId="0" fontId="10" fillId="0" borderId="0" pivotButton="0" quotePrefix="0" xfId="0"/>
    <xf numFmtId="0" fontId="8" fillId="7" borderId="1" applyAlignment="1" pivotButton="0" quotePrefix="0" xfId="0">
      <alignment horizontal="center" vertical="center" wrapText="1"/>
    </xf>
    <xf numFmtId="0" fontId="10" fillId="0" borderId="0" applyAlignment="1" pivotButton="0" quotePrefix="0" xfId="0">
      <alignment vertical="top" wrapText="1"/>
    </xf>
    <xf numFmtId="0" fontId="3" fillId="3" borderId="0" applyAlignment="1" pivotButton="0" quotePrefix="0" xfId="0">
      <alignment vertical="top" wrapText="1"/>
    </xf>
    <xf numFmtId="0" fontId="6" fillId="0" borderId="0" applyAlignment="1" pivotButton="0" quotePrefix="0" xfId="0">
      <alignment vertical="top" wrapText="1"/>
    </xf>
    <xf numFmtId="0" fontId="3" fillId="3" borderId="1" applyAlignment="1" pivotButton="0" quotePrefix="0" xfId="0">
      <alignment vertical="top" wrapText="1"/>
    </xf>
    <xf numFmtId="0" fontId="2" fillId="2" borderId="0" applyAlignment="1" pivotButton="0" quotePrefix="0" xfId="0">
      <alignment vertical="top" wrapText="1"/>
    </xf>
    <xf numFmtId="0" fontId="1" fillId="2" borderId="0"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horizontal="center" vertical="center" wrapText="1"/>
    </xf>
    <xf numFmtId="0" fontId="6" fillId="0" borderId="0" applyAlignment="1" pivotButton="0" quotePrefix="0" xfId="0">
      <alignment vertical="top" wrapText="1"/>
    </xf>
    <xf numFmtId="0" fontId="7" fillId="5" borderId="1" applyAlignment="1" pivotButton="0" quotePrefix="0" xfId="0">
      <alignment horizontal="center" vertical="center" wrapText="1"/>
    </xf>
    <xf numFmtId="0" fontId="8" fillId="0" borderId="1" applyAlignment="1" pivotButton="0" quotePrefix="0" xfId="0">
      <alignment vertical="top" wrapText="1"/>
    </xf>
    <xf numFmtId="3" fontId="8" fillId="6" borderId="1" applyAlignment="1" pivotButton="0" quotePrefix="0" xfId="0">
      <alignment horizontal="center" vertical="center" wrapText="1"/>
    </xf>
    <xf numFmtId="0" fontId="10" fillId="0" borderId="0" applyAlignment="1" pivotButton="0" quotePrefix="0" xfId="0">
      <alignment vertical="top" wrapText="1"/>
    </xf>
    <xf numFmtId="164" fontId="8" fillId="6" borderId="1" applyAlignment="1" pivotButton="0" quotePrefix="0" xfId="0">
      <alignment horizontal="center" vertical="center" wrapText="1"/>
    </xf>
    <xf numFmtId="4" fontId="8" fillId="6" borderId="1" applyAlignment="1" pivotButton="0" quotePrefix="0" xfId="0">
      <alignment horizontal="center" vertical="center" wrapText="1"/>
    </xf>
    <xf numFmtId="165" fontId="8" fillId="6" borderId="1" applyAlignment="1" pivotButton="0" quotePrefix="0" xfId="0">
      <alignment horizontal="center" vertical="center" wrapText="1"/>
    </xf>
    <xf numFmtId="0" fontId="8" fillId="4" borderId="1" applyAlignment="1" pivotButton="0" quotePrefix="0" xfId="0">
      <alignment vertical="top" wrapText="1"/>
    </xf>
    <xf numFmtId="0" fontId="6" fillId="0" borderId="1" applyAlignment="1" pivotButton="0" quotePrefix="0" xfId="0">
      <alignment vertical="top" wrapText="1"/>
    </xf>
    <xf numFmtId="0" fontId="8" fillId="0" borderId="1" applyAlignment="1" pivotButton="0" quotePrefix="0" xfId="0">
      <alignment horizontal="center" vertical="center" wrapText="1"/>
    </xf>
    <xf numFmtId="3" fontId="13" fillId="0" borderId="1" applyAlignment="1" pivotButton="0" quotePrefix="0" xfId="0">
      <alignment horizontal="center" vertical="center" wrapText="1"/>
    </xf>
    <xf numFmtId="0" fontId="8" fillId="6" borderId="1" applyAlignment="1" pivotButton="0" quotePrefix="0" xfId="0">
      <alignment vertical="top" wrapText="1"/>
    </xf>
    <xf numFmtId="164" fontId="13" fillId="0" borderId="1" applyAlignment="1" pivotButton="0" quotePrefix="0" xfId="0">
      <alignment horizontal="center" vertical="center" wrapText="1"/>
    </xf>
    <xf numFmtId="4" fontId="13" fillId="0" borderId="1" applyAlignment="1" pivotButton="0" quotePrefix="0" xfId="0">
      <alignment horizontal="center" vertical="center" wrapText="1"/>
    </xf>
    <xf numFmtId="164" fontId="6" fillId="4" borderId="1" applyAlignment="1" pivotButton="0" quotePrefix="0" xfId="0">
      <alignment horizontal="center" vertical="center" wrapText="1"/>
    </xf>
    <xf numFmtId="164" fontId="8" fillId="4" borderId="1" applyAlignment="1" pivotButton="0" quotePrefix="0" xfId="0">
      <alignment horizontal="center" vertical="center" wrapText="1"/>
    </xf>
    <xf numFmtId="0" fontId="8" fillId="7" borderId="1" applyAlignment="1" pivotButton="0" quotePrefix="0" xfId="0">
      <alignment horizontal="center" vertical="center" wrapText="1"/>
    </xf>
    <xf numFmtId="165" fontId="13" fillId="0" borderId="1" applyAlignment="1" pivotButton="0" quotePrefix="0" xfId="0">
      <alignment horizontal="center" vertical="center" wrapText="1"/>
    </xf>
    <xf numFmtId="10" fontId="13" fillId="0" borderId="1" applyAlignment="1" pivotButton="0" quotePrefix="0" xfId="0">
      <alignment horizontal="center" vertical="center" wrapText="1"/>
    </xf>
    <xf numFmtId="9" fontId="13" fillId="0" borderId="1" applyAlignment="1" pivotButton="0" quotePrefix="0" xfId="0">
      <alignment horizontal="center" vertical="center" wrapText="1"/>
    </xf>
    <xf numFmtId="10" fontId="8"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0" applyAlignment="1" pivotButton="0" quotePrefix="0" xfId="0">
      <alignment vertical="top" wrapText="1"/>
    </xf>
    <xf numFmtId="4" fontId="8" fillId="4" borderId="1" applyAlignment="1" pivotButton="0" quotePrefix="0" xfId="0">
      <alignment horizontal="center" vertical="center" wrapText="1"/>
    </xf>
    <xf numFmtId="3" fontId="8" fillId="4" borderId="1" applyAlignment="1" pivotButton="0" quotePrefix="0" xfId="0">
      <alignment horizontal="center" vertical="center" wrapText="1"/>
    </xf>
    <xf numFmtId="166" fontId="13" fillId="0" borderId="1" applyAlignment="1" pivotButton="0" quotePrefix="0" xfId="0">
      <alignment horizontal="center" vertical="center" wrapText="1"/>
    </xf>
    <xf numFmtId="167" fontId="13" fillId="0" borderId="1" applyAlignment="1" pivotButton="0" quotePrefix="0" xfId="0">
      <alignment horizontal="center" vertical="center" wrapText="1"/>
    </xf>
    <xf numFmtId="0" fontId="8" fillId="7" borderId="1" applyAlignment="1" pivotButton="0" quotePrefix="0" xfId="0">
      <alignment vertical="top" wrapText="1"/>
    </xf>
    <xf numFmtId="4" fontId="8" fillId="7" borderId="1" applyAlignment="1" pivotButton="0" quotePrefix="0" xfId="0">
      <alignment horizontal="center" vertical="center" wrapText="1"/>
    </xf>
    <xf numFmtId="9" fontId="6" fillId="4" borderId="1" applyAlignment="1" pivotButton="0" quotePrefix="0" xfId="0">
      <alignment horizontal="center" vertical="center" wrapText="1"/>
    </xf>
    <xf numFmtId="3" fontId="6" fillId="0" borderId="1" applyAlignment="1" pivotButton="0" quotePrefix="0" xfId="0">
      <alignment horizontal="center" vertical="center" wrapText="1"/>
    </xf>
    <xf numFmtId="0" fontId="13" fillId="0" borderId="1" applyAlignment="1" pivotButton="0" quotePrefix="0" xfId="0">
      <alignment horizontal="center" vertical="center" wrapText="1"/>
    </xf>
    <xf numFmtId="164" fontId="8" fillId="7"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4" borderId="1" applyAlignment="1" pivotButton="0" quotePrefix="0" xfId="0">
      <alignment horizontal="center" vertical="center" wrapText="1"/>
    </xf>
    <xf numFmtId="9" fontId="13" fillId="6" borderId="1" applyAlignment="1" pivotButton="0" quotePrefix="0" xfId="0">
      <alignment horizontal="center" vertical="center" wrapText="1"/>
    </xf>
    <xf numFmtId="4" fontId="13" fillId="6" borderId="1" applyAlignment="1" pivotButton="0" quotePrefix="0" xfId="0">
      <alignment horizontal="center" vertical="center" wrapText="1"/>
    </xf>
    <xf numFmtId="0" fontId="10" fillId="0" borderId="1" applyAlignment="1" pivotButton="0" quotePrefix="0" xfId="0">
      <alignment horizontal="center" vertical="center" wrapText="1"/>
    </xf>
    <xf numFmtId="167" fontId="6" fillId="4" borderId="1" applyAlignment="1" pivotButton="0" quotePrefix="0" xfId="0">
      <alignment horizontal="center" vertical="center" wrapText="1"/>
    </xf>
    <xf numFmtId="0" fontId="6" fillId="4" borderId="1" applyAlignment="1" pivotButton="0" quotePrefix="0" xfId="0">
      <alignment horizontal="center" vertical="center" wrapText="1"/>
    </xf>
    <xf numFmtId="168" fontId="13" fillId="0" borderId="1" applyAlignment="1" pivotButton="0" quotePrefix="0" xfId="0">
      <alignment horizontal="center" vertical="center" wrapText="1"/>
    </xf>
    <xf numFmtId="168" fontId="8" fillId="6" borderId="1" applyAlignment="1" pivotButton="0" quotePrefix="0" xfId="0">
      <alignment horizontal="center" vertical="center" wrapText="1"/>
    </xf>
    <xf numFmtId="169" fontId="13" fillId="0" borderId="1" applyAlignment="1" pivotButton="0" quotePrefix="0" xfId="0">
      <alignment horizontal="center" vertical="center" wrapText="1"/>
    </xf>
    <xf numFmtId="165" fontId="8" fillId="4" borderId="1" applyAlignment="1" pivotButton="0" quotePrefix="0" xfId="0">
      <alignment horizontal="center" vertical="center" wrapText="1"/>
    </xf>
    <xf numFmtId="0" fontId="8" fillId="6" borderId="1" applyAlignment="1" pivotButton="0" quotePrefix="0" xfId="0">
      <alignment horizontal="center" vertical="center" wrapText="1"/>
    </xf>
    <xf numFmtId="167" fontId="8" fillId="6" borderId="1" applyAlignment="1" pivotButton="0" quotePrefix="0" xfId="0">
      <alignment horizontal="center" vertical="center" wrapText="1"/>
    </xf>
    <xf numFmtId="9" fontId="8" fillId="6" borderId="1" applyAlignment="1" pivotButton="0" quotePrefix="0" xfId="0">
      <alignment horizontal="center" vertical="center" wrapText="1"/>
    </xf>
    <xf numFmtId="166" fontId="6" fillId="4" borderId="1" applyAlignment="1" pivotButton="0" quotePrefix="0" xfId="0">
      <alignment horizontal="center" vertical="center" wrapText="1"/>
    </xf>
    <xf numFmtId="0" fontId="16" fillId="5" borderId="1" applyAlignment="1" pivotButton="0" quotePrefix="0" xfId="0">
      <alignment horizontal="center"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3" fontId="13" fillId="6" borderId="1" applyAlignment="1" pivotButton="0" quotePrefix="0" xfId="0">
      <alignment horizontal="center" vertical="center" wrapText="1"/>
    </xf>
    <xf numFmtId="4" fontId="6" fillId="0" borderId="1" applyAlignment="1" pivotButton="0" quotePrefix="0" xfId="0">
      <alignment horizontal="center" vertical="center" wrapText="1"/>
    </xf>
    <xf numFmtId="0" fontId="10" fillId="0" borderId="1" applyAlignment="1" pivotButton="0" quotePrefix="0" xfId="0">
      <alignment vertical="top" wrapText="1"/>
    </xf>
    <xf numFmtId="2" fontId="0" fillId="0" borderId="0" pivotButton="0" quotePrefix="0" xfId="0"/>
    <xf numFmtId="2" fontId="7" fillId="5" borderId="1" applyAlignment="1" pivotButton="0" quotePrefix="0" xfId="0">
      <alignment horizontal="center" vertical="center" wrapText="1"/>
    </xf>
    <xf numFmtId="2" fontId="6" fillId="4" borderId="1" applyAlignment="1" pivotButton="0" quotePrefix="0" xfId="0">
      <alignment horizontal="center" vertical="center" wrapText="1"/>
    </xf>
    <xf numFmtId="167" fontId="17" fillId="0" borderId="1" applyAlignment="1" pivotButton="0" quotePrefix="0" xfId="0">
      <alignment horizontal="center" vertical="center" wrapText="1"/>
    </xf>
    <xf numFmtId="2" fontId="8" fillId="6" borderId="1" applyAlignment="1" pivotButton="0" quotePrefix="0" xfId="0">
      <alignment horizontal="center" vertical="center" wrapText="1"/>
    </xf>
    <xf numFmtId="0" fontId="8" fillId="6" borderId="0" applyAlignment="1" pivotButton="0" quotePrefix="0" xfId="0">
      <alignment vertical="top" wrapText="1"/>
    </xf>
    <xf numFmtId="2" fontId="8" fillId="6" borderId="0" applyAlignment="1" pivotButton="0" quotePrefix="0" xfId="0">
      <alignment horizontal="center" vertical="center" wrapText="1"/>
    </xf>
    <xf numFmtId="0" fontId="18" fillId="0" borderId="1" applyAlignment="1" pivotButton="0" quotePrefix="0" xfId="0">
      <alignment horizontal="center" vertical="center" wrapText="1"/>
    </xf>
    <xf numFmtId="0" fontId="18" fillId="4" borderId="1" applyAlignment="1" pivotButton="0" quotePrefix="0" xfId="0">
      <alignment horizontal="center" vertical="center" wrapText="1"/>
    </xf>
    <xf numFmtId="0" fontId="18"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E2F0D9"/>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8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topLeftCell="B4" zoomScaleNormal="100" workbookViewId="0">
      <selection activeCell="C5" sqref="C5"/>
    </sheetView>
  </sheetViews>
  <sheetFormatPr baseColWidth="8" defaultColWidth="8.6328125" defaultRowHeight="14.5"/>
  <cols>
    <col width="2.453125" customWidth="1" min="1" max="1"/>
    <col width="34" customWidth="1" min="2" max="2"/>
    <col width="42" customWidth="1" min="3" max="3"/>
    <col width="3" customWidth="1" min="4" max="4"/>
    <col width="96" customWidth="1" min="5" max="5"/>
  </cols>
  <sheetData>
    <row r="1" ht="25.5" customHeight="1">
      <c r="A1" s="8" t="inlineStr">
        <is>
          <t>Domain framework template  —  set one cell, everything else re-derives</t>
        </is>
      </c>
    </row>
    <row r="2" ht="15" customHeight="1">
      <c r="A2" s="7" t="inlineStr">
        <is>
          <t>MetLife Japan Application Development Services. Appendix 3 v5 · Golden Application Inventory v4 · the per-sourcing productivity engine used on Sales / Insurance, Contract Management, Data Infrastructure, Common Service Platform and Storage &amp; Preservation.</t>
        </is>
      </c>
    </row>
    <row r="4" ht="17.25" customHeight="1">
      <c r="B4" s="6" t="inlineStr">
        <is>
          <t>STEP 1  —  choose your 領域</t>
        </is>
      </c>
      <c r="C4" s="77" t="n"/>
      <c r="D4" s="77" t="n"/>
      <c r="E4" s="78" t="n"/>
    </row>
    <row r="5" ht="45.75" customHeight="1">
      <c r="B5" s="9" t="inlineStr">
        <is>
          <t>Domain</t>
        </is>
      </c>
      <c r="C5" s="10" t="inlineStr">
        <is>
          <t>Corporate Related</t>
        </is>
      </c>
      <c r="E5" s="11" t="inlineStr">
        <is>
          <t>Pick from the drop-down. Every sheet that says (auto) re-derives the moment this changes: the baseline, the archetype mix, the AI and offshore ceilings, the capability chain, the five-year target headcount, the per-sourcing plan, the transfer solve, the value streams and the ticket load. Nothing else on this sheet needs to be touched to get a first cut.</t>
        </is>
      </c>
    </row>
    <row r="7" ht="15" customHeight="1">
      <c r="B7" s="6" t="inlineStr">
        <is>
          <t>STEP 2  —  read what the data says</t>
        </is>
      </c>
      <c r="C7" s="77" t="n"/>
      <c r="D7" s="77" t="n"/>
      <c r="E7" s="78" t="n"/>
    </row>
    <row r="8" ht="14.25" customHeight="1">
      <c r="B8" s="12" t="inlineStr">
        <is>
          <t>Measure</t>
        </is>
      </c>
      <c r="C8" s="12" t="inlineStr">
        <is>
          <t>Value</t>
        </is>
      </c>
      <c r="D8" s="12" t="n"/>
      <c r="E8" s="12" t="inlineStr">
        <is>
          <t>What it tells you</t>
        </is>
      </c>
    </row>
    <row r="9" ht="27.75" customHeight="1">
      <c r="B9" s="13" t="inlineStr">
        <is>
          <t>Applications in this 領域</t>
        </is>
      </c>
      <c r="C9" s="14">
        <f>SUMPRODUCT(--('Inventory v5'!$D$5:$D$146='START HERE'!$C$5))</f>
        <v/>
      </c>
      <c r="E9" s="15" t="inlineStr">
        <is>
          <t>How many application lines the SUMIFS are reading. If this is 0 the domain name is misspelt.</t>
        </is>
      </c>
    </row>
    <row r="10" ht="27.75" customHeight="1">
      <c r="B10" s="13" t="inlineStr">
        <is>
          <t>Total effort — units of person-capacity</t>
        </is>
      </c>
      <c r="C10" s="16">
        <f>SUMIFS('Inventory v5'!$J$5:$J$146,'Inventory v5'!$D$5:$D$146,'START HERE'!$C$5)</f>
        <v/>
      </c>
      <c r="E10" s="15" t="inlineStr">
        <is>
          <t>The frozen scope. Every target in the model is a percentage reduction against this number, and it never changes across the five years.</t>
        </is>
      </c>
    </row>
    <row r="11" ht="27.75" customHeight="1">
      <c r="B11" s="13" t="inlineStr">
        <is>
          <t>Vendor today  (Appendix 3 'Current FTC')</t>
        </is>
      </c>
      <c r="C11" s="16">
        <f>SUMIFS('Inventory v5'!$K$5:$K$146,'Inventory v5'!$D$5:$D$146,'START HERE'!$C$5)</f>
        <v/>
      </c>
      <c r="E11" s="15" t="inlineStr">
        <is>
          <t>Capgemini plus any named sub-contractor. Appendix 3 reports the two as one number, which is why the model carries PT separately.</t>
        </is>
      </c>
    </row>
    <row r="12" ht="27.75" customHeight="1">
      <c r="B12" s="13" t="inlineStr">
        <is>
          <t>MetLife Japan today  (FTE)</t>
        </is>
      </c>
      <c r="C12" s="16">
        <f>SUMIFS('Inventory v5'!$L$5:$L$146,'Inventory v5'!$D$5:$D$146,'START HERE'!$C$5)</f>
        <v/>
      </c>
      <c r="E12" s="15" t="inlineStr">
        <is>
          <t>MetLife's own people. Mostly BSA and PM work — see the Role × Sourcing sheet.</t>
        </is>
      </c>
    </row>
    <row r="13" ht="27.75" customHeight="1">
      <c r="B13" s="13" t="inlineStr">
        <is>
          <t>MetLife MGCC today</t>
        </is>
      </c>
      <c r="C13" s="16">
        <f>SUMIFS('Inventory v5'!$M$5:$M$146,'Inventory v5'!$D$5:$D$146,'START HERE'!$C$5)</f>
        <v/>
      </c>
      <c r="E13" s="15" t="inlineStr">
        <is>
          <t>MetLife's global capability centre. Mostly build and test.</t>
        </is>
      </c>
    </row>
    <row r="14" ht="27.75" customHeight="1">
      <c r="B14" s="13" t="inlineStr">
        <is>
          <t>Capgemini heads on these applications today</t>
        </is>
      </c>
      <c r="C14" s="17">
        <f>'Logic Tree'!C14</f>
        <v/>
      </c>
      <c r="E14" s="15" t="inlineStr">
        <is>
          <t>From the Golden Inventory's application-level Capgemini headcount. The gap to the vendor number is FSI, NCD or unnamed — see the Vendor column on the inventory.</t>
        </is>
      </c>
    </row>
    <row r="15" ht="27.75" customHeight="1">
      <c r="B15" s="13" t="inlineStr">
        <is>
          <t>MetLife share of the whole 領域 on day one</t>
        </is>
      </c>
      <c r="C15" s="18">
        <f>IF(C10=0,0,(C12+C13)/C10)</f>
        <v/>
      </c>
      <c r="E15" s="15" t="inlineStr">
        <is>
          <t>THE NUMBER THAT SETS YOUR POSTURE. Above 50% and the 50:50 is already met — argue against further convergence. Below 40% and you have a real transfer to size.</t>
        </is>
      </c>
    </row>
    <row r="16" ht="27.75" customHeight="1">
      <c r="B16" s="13" t="inlineStr">
        <is>
          <t>Blended AI ceiling</t>
        </is>
      </c>
      <c r="C16" s="18">
        <f>'Logic Tree'!C38</f>
        <v/>
      </c>
      <c r="E16" s="15" t="inlineStr">
        <is>
          <t>Effort-weighted across the archetypes present. This is the ceiling, not the commitment.</t>
        </is>
      </c>
    </row>
    <row r="17" ht="27.75" customHeight="1">
      <c r="B17" s="13" t="inlineStr">
        <is>
          <t>Blended offshore ceiling</t>
        </is>
      </c>
      <c r="C17" s="18">
        <f>'Logic Tree'!C39</f>
        <v/>
      </c>
      <c r="E17" s="15" t="inlineStr">
        <is>
          <t>Same weighting, on the offshore ceilings. J applications cap at 12% and drag this down hard.</t>
        </is>
      </c>
    </row>
    <row r="18" ht="27.75" customHeight="1">
      <c r="B18" s="13" t="inlineStr">
        <is>
          <t>Delivered offshore or by MGCC today</t>
        </is>
      </c>
      <c r="C18" s="18">
        <f>'Logic Tree'!C130</f>
        <v/>
      </c>
      <c r="E18" s="15" t="inlineStr">
        <is>
          <t>Offshore plus MGCC as a share of total effort. The gap between this and the ceiling is the offshore case.</t>
        </is>
      </c>
    </row>
    <row r="20" ht="15" customHeight="1">
      <c r="B20" s="6" t="inlineStr">
        <is>
          <t>STEP 3  —  make the judgements that are yours</t>
        </is>
      </c>
      <c r="C20" s="77" t="n"/>
      <c r="D20" s="77" t="n"/>
      <c r="E20" s="78" t="n"/>
    </row>
    <row r="21" ht="14.25" customHeight="1">
      <c r="B21" s="12" t="inlineStr">
        <is>
          <t>Sheet</t>
        </is>
      </c>
      <c r="C21" s="12" t="inlineStr">
        <is>
          <t>What you decide there</t>
        </is>
      </c>
      <c r="D21" s="12" t="n"/>
      <c r="E21" s="12" t="inlineStr">
        <is>
          <t>Why it matters</t>
        </is>
      </c>
    </row>
    <row r="22" ht="55.5" customHeight="1">
      <c r="B22" s="19" t="inlineStr">
        <is>
          <t>Rates &amp; Tables</t>
        </is>
      </c>
      <c r="C22" s="20" t="inlineStr">
        <is>
          <t>Adoption factors, realisation curve, classical ADM curve, operating-model curve, pre-load, partner drag, transfer cap, guardrail floors, cost index.</t>
        </is>
      </c>
      <c r="E22" s="15" t="inlineStr">
        <is>
          <t>The amber cells here are the solution position, not data. Read the notes before changing any of them. The one most worth thinking about for your 領域 is ADOPTION: how much of the AI ceiling MetLife's own people and MGCC can realistically commit to. Common Service Platform raised them; Storage &amp; Preservation left them at the portfolio default. Both are defensible; neither is automatic.</t>
        </is>
      </c>
    </row>
    <row r="23" ht="55.5" customHeight="1">
      <c r="B23" s="19" t="inlineStr">
        <is>
          <t>Value Streams &amp; Delivery Mode</t>
        </is>
      </c>
      <c r="C23" s="20" t="inlineStr">
        <is>
          <t>The quarter each stream converts to pod delivery, and the pod / team counts by year.</t>
        </is>
      </c>
      <c r="E23" s="15" t="inlineStr">
        <is>
          <t>The stream list, effort and today's method all fill in automatically. What you decide is WHEN each stream converts and how many delivery units you run. Pod and team counts drive the whole seat plan.</t>
        </is>
      </c>
    </row>
    <row r="24" ht="55.5" customHeight="1">
      <c r="B24" s="19" t="inlineStr">
        <is>
          <t>Role × Sourcing</t>
        </is>
      </c>
      <c r="C24" s="20" t="inlineStr">
        <is>
          <t>How each sourcing pool's headcount splits across the six client roles.</t>
        </is>
      </c>
      <c r="E24" s="15" t="inlineStr">
        <is>
          <t>Seeded with the observed split across the five 領域 already modelled — 1,102 units of Year-1 roster. Change it only if you know your 領域 differs, and say why. This matrix is what makes the per-sourcing AI ceilings differ from each other.</t>
        </is>
      </c>
    </row>
    <row r="25" ht="55.5" customHeight="1">
      <c r="B25" s="19" t="inlineStr">
        <is>
          <t>Partner plan</t>
        </is>
      </c>
      <c r="C25" s="20" t="inlineStr">
        <is>
          <t>On the Logic Tree, section E — the sub-contracted population by year.</t>
        </is>
      </c>
      <c r="E25" s="15" t="inlineStr">
        <is>
          <t>Seeded at today's named-vendor figure held flat. If your 領域 has a real incumbent, taper it deliberately: partner seats can never transfer to MetLife, so they make the 50:50 harder.</t>
        </is>
      </c>
    </row>
    <row r="26" ht="55.5" customHeight="1">
      <c r="B26" s="19" t="inlineStr">
        <is>
          <t>Seat Planner</t>
        </is>
      </c>
      <c r="C26" s="20" t="inlineStr">
        <is>
          <t>The delivery anatomy: every seat in every pod, team and horizontal function.</t>
        </is>
      </c>
      <c r="E26" s="15" t="inlineStr">
        <is>
          <t>THIS IS THE WORK. The model tells you how many people of each sourcing type you may have in each year; the anatomy decides who they are. Keep deployed heads on a 0.5 grid and keep sharing inside the 領域 — MetLife may award the eleven 領域 to two or three vendors.</t>
        </is>
      </c>
    </row>
    <row r="27" ht="55.5" customHeight="1">
      <c r="B27" s="19" t="inlineStr">
        <is>
          <t>Reconciliation &amp; Checks</t>
        </is>
      </c>
      <c r="C27" s="20" t="inlineStr">
        <is>
          <t>Nothing to enter. Read it.</t>
        </is>
      </c>
      <c r="E27" s="15" t="inlineStr">
        <is>
          <t>Every invariant the five built models are held to, as live formulas. Green in every year is the bar for a solution review.</t>
        </is>
      </c>
    </row>
    <row r="29" ht="15" customHeight="1">
      <c r="B29" s="6" t="inlineStr">
        <is>
          <t>HOW WE KNOW THE ENGINE IS RIGHT</t>
        </is>
      </c>
      <c r="C29" s="77" t="n"/>
      <c r="D29" s="77" t="n"/>
      <c r="E29" s="78" t="n"/>
    </row>
    <row r="30" ht="51.75" customHeight="1">
      <c r="B30" s="11" t="inlineStr">
        <is>
          <t>•  The engine here was tested against two models built independently in Python and already under practice review. Set the domain to Common Service Platform, enter its conversion quarters and pod plan, and raise the two MetLife adoption factors to 0.92 and 0.72 as that 領域 argues for, and the template reproduces the built model to within 0.14 of a person on every sourcing line in every year, and 0.09 of a percentage point on the Capgemini ratio.</t>
        </is>
      </c>
    </row>
    <row r="31" ht="51.75" customHeight="1">
      <c r="B31" s="11" t="inlineStr">
        <is>
          <t>•  Set it to Storage and Preservation Related, enter its conversion quarters, pod plan and FSI taper, and it reproduces that model to within 0.11 of a person and 0.15 of a percentage point, including the six-person Year-3 transfer.</t>
        </is>
      </c>
    </row>
    <row r="32" ht="51.75" customHeight="1">
      <c r="B32" s="11" t="inlineStr">
        <is>
          <t>•  The small residual is the role × sourcing matrix: this template seeds it from the portfolio average, while each built model uses its own Year-1 anatomy. That is the one place to tune if you want an exact match to a hand-built model.</t>
        </is>
      </c>
    </row>
    <row r="35" ht="15" customHeight="1">
      <c r="B35" s="6" t="inlineStr">
        <is>
          <t>WHAT THIS TEMPLATE DOES NOT DO</t>
        </is>
      </c>
      <c r="C35" s="77" t="n"/>
      <c r="D35" s="77" t="n"/>
      <c r="E35" s="78" t="n"/>
    </row>
    <row r="36" ht="45.75" customHeight="1">
      <c r="B36" s="11" t="inlineStr">
        <is>
          <t>•  It does not solve the seat plan for you. The five built models were fitted numerically: seats were optimised against the per-sourcing targets, the role lines, the location split and three guardrails simultaneously, then quantised onto a 0.5 head grid. Excel cannot do that. What this template does is give you every target the solver was aiming at, and check your hand-built anatomy against all of them.</t>
        </is>
      </c>
    </row>
    <row r="37" ht="45.75" customHeight="1">
      <c r="B37" s="11" t="inlineStr">
        <is>
          <t>•  It does not carry the inherited Capgemini workforce roll-forward. That needs the billing and staff-mapping files and is domain-specific; the Golden Inventory's CG heads today is carried here as the starting point.</t>
        </is>
      </c>
    </row>
    <row r="38" ht="45.75" customHeight="1">
      <c r="B38" s="11" t="inlineStr">
        <is>
          <t>•  It does not net out applications marked Retire in the Appendix 3 v5 disposition columns. The baseline is frozen at today's effort in every year, as it is in all five built models. If your 領域 has material retirements, that is an argument to make explicitly, not silently.</t>
        </is>
      </c>
    </row>
    <row r="39" ht="45.75" customHeight="1">
      <c r="B39" s="11" t="inlineStr">
        <is>
          <t>•  It does not price anything. The cost index is relative, onshore Tokyo E2 = 1.00, and exists so you can see the shape of the cost curve before the rate card lands.</t>
        </is>
      </c>
    </row>
  </sheetData>
  <mergeCells count="14">
    <mergeCell ref="A1:H1"/>
    <mergeCell ref="B31:E31"/>
    <mergeCell ref="B35:E35"/>
    <mergeCell ref="B4:E4"/>
    <mergeCell ref="B37:E37"/>
    <mergeCell ref="A2:H2"/>
    <mergeCell ref="B38:E38"/>
    <mergeCell ref="B30:E30"/>
    <mergeCell ref="B29:E29"/>
    <mergeCell ref="B39:E39"/>
    <mergeCell ref="B7:E7"/>
    <mergeCell ref="B20:E20"/>
    <mergeCell ref="B36:E36"/>
    <mergeCell ref="B32:E32"/>
  </mergeCells>
  <dataValidations count="1">
    <dataValidation sqref="C5" showDropDown="0" showInputMessage="0" showErrorMessage="0" allowBlank="0" error="Pick one of the eleven 領域 exactly as Appendix 3 v5 spells it." type="list">
      <formula1>"Common Service Platform,Contract Management,Corporate Related,Customer Care / Call Center,Data Infrastructure,Fee Management,Insurance Claims and Benefits Payment Related,Marketing / Direct Business,New Contract Related,Sales / Insurance Recruitment,Stora"</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134"/>
  <sheetViews>
    <sheetView zoomScaleNormal="100" workbookViewId="0">
      <selection activeCell="A1" sqref="A1"/>
    </sheetView>
  </sheetViews>
  <sheetFormatPr baseColWidth="8" defaultColWidth="8.6328125" defaultRowHeight="14.5"/>
  <cols>
    <col width="2.453125" customWidth="1" min="1" max="1"/>
    <col width="46" customWidth="1" min="2" max="2"/>
    <col width="13" customWidth="1" min="3" max="7"/>
    <col width="3" customWidth="1" min="8" max="8"/>
    <col width="66" customWidth="1" min="9" max="9"/>
  </cols>
  <sheetData>
    <row r="1" ht="25.5" customHeight="1">
      <c r="A1" s="8" t="inlineStr">
        <is>
          <t>Logic tree  (auto)  —  every driver, five years, one domain name</t>
        </is>
      </c>
    </row>
    <row r="2" ht="15" customHeight="1">
      <c r="A2" s="7" t="inlineStr">
        <is>
          <t>Green figures are derived from the inventory or from the rates tables. Amber cells are the few genuine inputs left on this sheet. Nothing here needs editing to produce a first cut.</t>
        </is>
      </c>
    </row>
    <row r="4" ht="15" customHeight="1">
      <c r="A4" s="4" t="inlineStr">
        <is>
          <t>A.  BASELINE  —  Appendix 3 v5, read and never edited</t>
        </is>
      </c>
    </row>
    <row r="5" ht="25.5" customHeight="1">
      <c r="B5" s="13" t="inlineStr">
        <is>
          <t>Domain</t>
        </is>
      </c>
      <c r="C5" s="21">
        <f>'START HERE'!$C$5</f>
        <v/>
      </c>
      <c r="I5" s="15" t="inlineStr">
        <is>
          <t>The one cell that drives the workbook. Change it on START HERE.</t>
        </is>
      </c>
    </row>
    <row r="6" ht="25.5" customHeight="1">
      <c r="B6" s="13" t="inlineStr">
        <is>
          <t>Applications in scope</t>
        </is>
      </c>
      <c r="C6" s="22">
        <f>SUMPRODUCT(--('Inventory v5'!$D$5:$D$146='START HERE'!$C$5))</f>
        <v/>
      </c>
      <c r="I6" s="15" t="inlineStr">
        <is>
          <t>Zero here means the name is misspelt.</t>
        </is>
      </c>
    </row>
    <row r="7" ht="25.5" customHeight="1">
      <c r="B7" s="23" t="inlineStr">
        <is>
          <t>TOTAL EFFORT  —  the frozen scope</t>
        </is>
      </c>
      <c r="C7" s="16">
        <f>SUMIFS('Inventory v5'!$J$5:$J$146,'Inventory v5'!$D$5:$D$146,'START HERE'!$C$5)</f>
        <v/>
      </c>
      <c r="I7" s="15" t="inlineStr">
        <is>
          <t>Units of person-capacity. Held constant across all five years: productivity shows as fewer people doing the same scope, never as scope walking out of the model.</t>
        </is>
      </c>
    </row>
    <row r="8" ht="25.5" customHeight="1">
      <c r="B8" s="13" t="inlineStr">
        <is>
          <t>Vendor today  (Appendix 3 'Current FTC')</t>
        </is>
      </c>
      <c r="C8" s="24">
        <f>SUMIFS('Inventory v5'!$K$5:$K$146,'Inventory v5'!$D$5:$D$146,'START HERE'!$C$5)</f>
        <v/>
      </c>
      <c r="I8" s="15" t="inlineStr">
        <is>
          <t>Capgemini plus any named sub-contractor.</t>
        </is>
      </c>
    </row>
    <row r="9" ht="25.5" customHeight="1">
      <c r="B9" s="13" t="inlineStr">
        <is>
          <t>MetLife Japan today  (FTE)</t>
        </is>
      </c>
      <c r="C9" s="24">
        <f>SUMIFS('Inventory v5'!$L$5:$L$146,'Inventory v5'!$D$5:$D$146,'START HERE'!$C$5)</f>
        <v/>
      </c>
      <c r="I9" s="15" t="inlineStr">
        <is>
          <t>Governance, product ownership, domain SME.</t>
        </is>
      </c>
    </row>
    <row r="10" ht="25.5" customHeight="1">
      <c r="B10" s="13" t="inlineStr">
        <is>
          <t>MetLife MGCC today</t>
        </is>
      </c>
      <c r="C10" s="24">
        <f>SUMIFS('Inventory v5'!$M$5:$M$146,'Inventory v5'!$D$5:$D$146,'START HERE'!$C$5)</f>
        <v/>
      </c>
      <c r="I10" s="15" t="inlineStr">
        <is>
          <t>MetLife's captive delivery centre.</t>
        </is>
      </c>
    </row>
    <row r="11" ht="25.5" customHeight="1">
      <c r="B11" s="13" t="inlineStr">
        <is>
          <t>Onshore Tokyo</t>
        </is>
      </c>
      <c r="C11" s="24">
        <f>SUMIFS('Inventory v5'!$N$5:$N$146,'Inventory v5'!$D$5:$D$146,'START HERE'!$C$5)</f>
        <v/>
      </c>
      <c r="I11" s="15" t="inlineStr">
        <is>
          <t>Vendor only. MEASURED, not assumed.</t>
        </is>
      </c>
    </row>
    <row r="12" ht="25.5" customHeight="1">
      <c r="B12" s="13" t="inlineStr">
        <is>
          <t>Offshore</t>
        </is>
      </c>
      <c r="C12" s="24">
        <f>SUMIFS('Inventory v5'!$O$5:$O$146,'Inventory v5'!$D$5:$D$146,'START HERE'!$C$5)</f>
        <v/>
      </c>
      <c r="I12" s="15" t="inlineStr">
        <is>
          <t>Vendor only. MGCC is excluded — it is MetLife's, not ours.</t>
        </is>
      </c>
    </row>
    <row r="13" ht="25.5" customHeight="1">
      <c r="B13" s="13" t="inlineStr">
        <is>
          <t>Nearshore</t>
        </is>
      </c>
      <c r="C13" s="24">
        <f>SUMIFS('Inventory v5'!$P$5:$P$146,'Inventory v5'!$D$5:$D$146,'START HERE'!$C$5)</f>
        <v/>
      </c>
      <c r="I13" s="15" t="inlineStr">
        <is>
          <t>Zero in most 領域. Carried so every domain model shares one schema.</t>
        </is>
      </c>
    </row>
    <row r="14" ht="25.5" customHeight="1">
      <c r="B14" s="13" t="inlineStr">
        <is>
          <t>Capgemini heads on these applications today</t>
        </is>
      </c>
      <c r="C14" s="25">
        <f>SUMIFS('Inventory v5'!$AN$5:$AN$146,'Inventory v5'!$D$5:$D$146,'START HERE'!$C$5)</f>
        <v/>
      </c>
      <c r="I14" s="15" t="inlineStr">
        <is>
          <t>From the Golden Inventory v4 workforce reconciliation. The continuity argument starts here.</t>
        </is>
      </c>
    </row>
    <row r="16" ht="21.75" customHeight="1">
      <c r="B16" s="15" t="inlineStr">
        <is>
          <t>Rows 7 to 13 are the reconciliation target. A Year-1 seat plan that does not reproduce these numbers is not a plan for this 領域 — it is a plan for a different one.</t>
        </is>
      </c>
    </row>
    <row r="18" ht="15" customHeight="1">
      <c r="A18" s="4" t="inlineStr">
        <is>
          <t>B.  THE ROLE LINE  —  as reported, and as restated where it is internally impossible</t>
        </is>
      </c>
    </row>
    <row r="19" ht="21.75" customHeight="1">
      <c r="B19" s="12" t="inlineStr">
        <is>
          <t>Client role</t>
        </is>
      </c>
      <c r="C19" s="12" t="inlineStr">
        <is>
          <t>Appendix 3 v5</t>
        </is>
      </c>
      <c r="D19" s="12" t="inlineStr">
        <is>
          <t>Restated — INPUT</t>
        </is>
      </c>
      <c r="E19" s="12" t="inlineStr">
        <is>
          <t>Difference</t>
        </is>
      </c>
      <c r="F19" s="12" t="n"/>
      <c r="G19" s="12" t="n"/>
      <c r="H19" s="12" t="n"/>
      <c r="I19" s="12" t="inlineStr">
        <is>
          <t>Note</t>
        </is>
      </c>
    </row>
    <row r="20" ht="25.5" customHeight="1">
      <c r="B20" s="13" t="inlineStr">
        <is>
          <t>BSA</t>
        </is>
      </c>
      <c r="C20" s="24">
        <f>SUMIFS('Inventory v5'!$Q$5:$Q$146,'Inventory v5'!$D$5:$D$146,'START HERE'!$C$5)</f>
        <v/>
      </c>
      <c r="D20" s="26" t="n">
        <v>3.67447</v>
      </c>
      <c r="E20" s="16">
        <f>D20-C20</f>
        <v/>
      </c>
      <c r="I20" s="15" t="inlineStr">
        <is>
          <t>Bilingual analysis. Scarce in every 領域.</t>
        </is>
      </c>
    </row>
    <row r="21" ht="25.5" customHeight="1">
      <c r="B21" s="13" t="inlineStr">
        <is>
          <t>Developer</t>
        </is>
      </c>
      <c r="C21" s="24">
        <f>SUMIFS('Inventory v5'!$R$5:$R$146,'Inventory v5'!$D$5:$D$146,'START HERE'!$C$5)</f>
        <v/>
      </c>
      <c r="D21" s="26" t="n">
        <v>13.962986</v>
      </c>
      <c r="E21" s="16">
        <f>D21-C21</f>
        <v/>
      </c>
      <c r="I21" s="15" t="inlineStr">
        <is>
          <t>The line restatements are taken FROM here, which is why it is the only one that falls.</t>
        </is>
      </c>
    </row>
    <row r="22" ht="25.5" customHeight="1">
      <c r="B22" s="13" t="inlineStr">
        <is>
          <t>Tester</t>
        </is>
      </c>
      <c r="C22" s="24">
        <f>SUMIFS('Inventory v5'!$S$5:$S$146,'Inventory v5'!$D$5:$D$146,'START HERE'!$C$5)</f>
        <v/>
      </c>
      <c r="D22" s="26" t="n">
        <v>6.246599</v>
      </c>
      <c r="E22" s="16">
        <f>D22-C22</f>
        <v/>
      </c>
      <c r="I22" s="15" t="inlineStr">
        <is>
          <t>Where the AI ceiling is highest. A thin tester line understates what is achievable.</t>
        </is>
      </c>
    </row>
    <row r="23" ht="25.5" customHeight="1">
      <c r="B23" s="13" t="inlineStr">
        <is>
          <t>Maintenance</t>
        </is>
      </c>
      <c r="C23" s="24">
        <f>SUMIFS('Inventory v5'!$T$5:$T$146,'Inventory v5'!$D$5:$D$146,'START HERE'!$C$5)</f>
        <v/>
      </c>
      <c r="D23" s="26" t="n">
        <v>8.083834</v>
      </c>
      <c r="E23" s="16">
        <f>D23-C23</f>
        <v/>
      </c>
      <c r="I23" s="15" t="inlineStr">
        <is>
          <t>Compare to the ticket load on the AMS sheet. Several 領域 report one person of run against a thousand incidents a year; that is a coding convention, not a plan.</t>
        </is>
      </c>
    </row>
    <row r="24" ht="25.5" customHeight="1">
      <c r="B24" s="13" t="inlineStr">
        <is>
          <t>PM</t>
        </is>
      </c>
      <c r="C24" s="24">
        <f>SUMIFS('Inventory v5'!$U$5:$U$146,'Inventory v5'!$D$5:$D$146,'START HERE'!$C$5)</f>
        <v/>
      </c>
      <c r="D24" s="26" t="n">
        <v>2.572129</v>
      </c>
      <c r="E24" s="16">
        <f>D24-C24</f>
        <v/>
      </c>
      <c r="I24" s="15" t="inlineStr">
        <is>
          <t>Compare to the number of delivery units you intend to run.</t>
        </is>
      </c>
    </row>
    <row r="25" ht="25.5" customHeight="1">
      <c r="B25" s="13" t="inlineStr">
        <is>
          <t>Other</t>
        </is>
      </c>
      <c r="C25" s="24">
        <f>SUMIFS('Inventory v5'!$V$5:$V$146,'Inventory v5'!$D$5:$D$146,'START HERE'!$C$5)</f>
        <v/>
      </c>
      <c r="D25" s="26" t="n">
        <v>2.204682</v>
      </c>
      <c r="E25" s="16">
        <f>D25-C25</f>
        <v/>
      </c>
      <c r="I25" s="15" t="inlineStr">
        <is>
          <t>Architecture and enablement. Reported as zero in several 領域.</t>
        </is>
      </c>
    </row>
    <row r="26" ht="24" customHeight="1">
      <c r="B26" s="23" t="inlineStr">
        <is>
          <t>Total  —  must equal the vendor number, and must not move</t>
        </is>
      </c>
      <c r="C26" s="16">
        <f>SUM(C20:C25)</f>
        <v/>
      </c>
      <c r="D26" s="16">
        <f>SUM(D20:D25)</f>
        <v/>
      </c>
      <c r="E26" s="27">
        <f>D26-C26</f>
        <v/>
      </c>
    </row>
    <row r="27" ht="14.25" customHeight="1">
      <c r="B27" s="13" t="inlineStr">
        <is>
          <t>Neutrality check</t>
        </is>
      </c>
      <c r="C27" s="28">
        <f>IF(ABS(E26)&lt;0.005,"OK  —  arithmetically neutral","FAIL  —  the restatement changes the total")</f>
        <v/>
      </c>
      <c r="D27" s="77" t="n"/>
      <c r="E27" s="77" t="n"/>
      <c r="F27" s="77" t="n"/>
      <c r="G27" s="78" t="n"/>
    </row>
    <row r="28" ht="30" customHeight="1">
      <c r="B28" s="15" t="inlineStr">
        <is>
          <t>A RESTATEMENT MOVES PEOPLE BETWEEN ROLE LINES. IT NEVER CHANGES THE TOTAL. Overwrite the amber column where MetLife's own figure is internally impossible, take the difference out of Developer, and check that row 27 still says OK. Every restatement goes back to MetLife as a clarification question — we are not silently re-pricing their data.</t>
        </is>
      </c>
    </row>
    <row r="30" ht="15" customHeight="1">
      <c r="A30" s="4" t="inlineStr">
        <is>
          <t>C.  ARCHETYPES  —  the six-rule classifier, and the two ceilings it sets</t>
        </is>
      </c>
    </row>
    <row r="31" ht="14.25" customHeight="1">
      <c r="B31" s="12" t="inlineStr">
        <is>
          <t>Archetype</t>
        </is>
      </c>
      <c r="C31" s="12" t="inlineStr">
        <is>
          <t>Apps</t>
        </is>
      </c>
      <c r="D31" s="12" t="inlineStr">
        <is>
          <t>Effort</t>
        </is>
      </c>
      <c r="E31" s="12" t="inlineStr">
        <is>
          <t>Share of effort</t>
        </is>
      </c>
      <c r="F31" s="12" t="inlineStr">
        <is>
          <t>AI ceiling</t>
        </is>
      </c>
      <c r="G31" s="12" t="inlineStr">
        <is>
          <t>Offshore ceiling</t>
        </is>
      </c>
      <c r="H31" s="12" t="n"/>
      <c r="I31" s="12" t="inlineStr">
        <is>
          <t>Note</t>
        </is>
      </c>
    </row>
    <row r="32" ht="14.25" customHeight="1">
      <c r="B32" s="21" t="inlineStr">
        <is>
          <t>M</t>
        </is>
      </c>
      <c r="C32" s="22">
        <f>SUMPRODUCT(--('Inventory v5'!$D$5:$D$146='START HERE'!$C$5),--('Inventory v5'!$G$5:$G$146="M"))</f>
        <v/>
      </c>
      <c r="D32" s="24">
        <f>SUMIFS('Inventory v5'!$J$5:$J$146,'Inventory v5'!$D$5:$D$146,'START HERE'!$C$5,'Inventory v5'!$G$5:$G$146,"M")</f>
        <v/>
      </c>
      <c r="E32" s="29">
        <f>IF($C$7=0,0,D32/$C$7)</f>
        <v/>
      </c>
      <c r="F32" s="30">
        <f>'Rates &amp; Tables'!$I$6</f>
        <v/>
      </c>
      <c r="G32" s="31">
        <f>'Rates &amp; Tables'!$C$27</f>
        <v/>
      </c>
    </row>
    <row r="33" ht="14.25" customHeight="1">
      <c r="B33" s="21" t="inlineStr">
        <is>
          <t>L</t>
        </is>
      </c>
      <c r="C33" s="22">
        <f>SUMPRODUCT(--('Inventory v5'!$D$5:$D$146='START HERE'!$C$5),--('Inventory v5'!$G$5:$G$146="L"))</f>
        <v/>
      </c>
      <c r="D33" s="24">
        <f>SUMIFS('Inventory v5'!$J$5:$J$146,'Inventory v5'!$D$5:$D$146,'START HERE'!$C$5,'Inventory v5'!$G$5:$G$146,"L")</f>
        <v/>
      </c>
      <c r="E33" s="29">
        <f>IF($C$7=0,0,D33/$C$7)</f>
        <v/>
      </c>
      <c r="F33" s="30">
        <f>'Rates &amp; Tables'!$I$7</f>
        <v/>
      </c>
      <c r="G33" s="31">
        <f>'Rates &amp; Tables'!$C$28</f>
        <v/>
      </c>
    </row>
    <row r="34" ht="14.25" customHeight="1">
      <c r="B34" s="21" t="inlineStr">
        <is>
          <t>D</t>
        </is>
      </c>
      <c r="C34" s="22">
        <f>SUMPRODUCT(--('Inventory v5'!$D$5:$D$146='START HERE'!$C$5),--('Inventory v5'!$G$5:$G$146="D"))</f>
        <v/>
      </c>
      <c r="D34" s="24">
        <f>SUMIFS('Inventory v5'!$J$5:$J$146,'Inventory v5'!$D$5:$D$146,'START HERE'!$C$5,'Inventory v5'!$G$5:$G$146,"D")</f>
        <v/>
      </c>
      <c r="E34" s="29">
        <f>IF($C$7=0,0,D34/$C$7)</f>
        <v/>
      </c>
      <c r="F34" s="30">
        <f>'Rates &amp; Tables'!$I$8</f>
        <v/>
      </c>
      <c r="G34" s="31">
        <f>'Rates &amp; Tables'!$C$29</f>
        <v/>
      </c>
    </row>
    <row r="35" ht="14.25" customHeight="1">
      <c r="B35" s="21" t="inlineStr">
        <is>
          <t>P</t>
        </is>
      </c>
      <c r="C35" s="22">
        <f>SUMPRODUCT(--('Inventory v5'!$D$5:$D$146='START HERE'!$C$5),--('Inventory v5'!$G$5:$G$146="P"))</f>
        <v/>
      </c>
      <c r="D35" s="24">
        <f>SUMIFS('Inventory v5'!$J$5:$J$146,'Inventory v5'!$D$5:$D$146,'START HERE'!$C$5,'Inventory v5'!$G$5:$G$146,"P")</f>
        <v/>
      </c>
      <c r="E35" s="29">
        <f>IF($C$7=0,0,D35/$C$7)</f>
        <v/>
      </c>
      <c r="F35" s="30">
        <f>'Rates &amp; Tables'!$I$9</f>
        <v/>
      </c>
      <c r="G35" s="31">
        <f>'Rates &amp; Tables'!$C$30</f>
        <v/>
      </c>
    </row>
    <row r="36" ht="14.25" customHeight="1">
      <c r="B36" s="21" t="inlineStr">
        <is>
          <t>J</t>
        </is>
      </c>
      <c r="C36" s="22">
        <f>SUMPRODUCT(--('Inventory v5'!$D$5:$D$146='START HERE'!$C$5),--('Inventory v5'!$G$5:$G$146="J"))</f>
        <v/>
      </c>
      <c r="D36" s="24">
        <f>SUMIFS('Inventory v5'!$J$5:$J$146,'Inventory v5'!$D$5:$D$146,'START HERE'!$C$5,'Inventory v5'!$G$5:$G$146,"J")</f>
        <v/>
      </c>
      <c r="E36" s="29">
        <f>IF($C$7=0,0,D36/$C$7)</f>
        <v/>
      </c>
      <c r="F36" s="30">
        <f>'Rates &amp; Tables'!$I$10</f>
        <v/>
      </c>
      <c r="G36" s="31">
        <f>'Rates &amp; Tables'!$C$31</f>
        <v/>
      </c>
    </row>
    <row r="37" ht="14.25" customHeight="1">
      <c r="B37" s="21" t="inlineStr">
        <is>
          <t>T</t>
        </is>
      </c>
      <c r="C37" s="22">
        <f>SUMPRODUCT(--('Inventory v5'!$D$5:$D$146='START HERE'!$C$5),--('Inventory v5'!$G$5:$G$146="T"))</f>
        <v/>
      </c>
      <c r="D37" s="24">
        <f>SUMIFS('Inventory v5'!$J$5:$J$146,'Inventory v5'!$D$5:$D$146,'START HERE'!$C$5,'Inventory v5'!$G$5:$G$146,"T")</f>
        <v/>
      </c>
      <c r="E37" s="29">
        <f>IF($C$7=0,0,D37/$C$7)</f>
        <v/>
      </c>
      <c r="F37" s="30">
        <f>'Rates &amp; Tables'!$I$11</f>
        <v/>
      </c>
      <c r="G37" s="31">
        <f>'Rates &amp; Tables'!$C$32</f>
        <v/>
      </c>
    </row>
    <row r="38" ht="21.75" customHeight="1">
      <c r="B38" s="23" t="inlineStr">
        <is>
          <t>BLENDED AI CEILING</t>
        </is>
      </c>
      <c r="C38" s="32">
        <f>IF($C$7=0,0,SUMPRODUCT($D$32:$D$37,$F$32:$F$37)/$C$7)</f>
        <v/>
      </c>
      <c r="I38" s="15" t="inlineStr">
        <is>
          <t>Effort-weighted. This is what the estate could theoretically support, before realisation, before adoption, and before anyone has to agree to it.</t>
        </is>
      </c>
    </row>
    <row r="39" ht="21.75" customHeight="1">
      <c r="B39" s="23" t="inlineStr">
        <is>
          <t>BLENDED OFFSHORE CEILING</t>
        </is>
      </c>
      <c r="C39" s="32">
        <f>IF($C$7=0,0,SUMPRODUCT($D$32:$D$37,$G$32:$G$37)/$C$7)</f>
        <v/>
      </c>
      <c r="I39" s="15" t="inlineStr">
        <is>
          <t>The number that decides whether an offshore case exists at all. A 領域 that is mostly J applications cannot be moved, however good the tooling.</t>
        </is>
      </c>
    </row>
    <row r="41" ht="15" customHeight="1">
      <c r="A41" s="4" t="inlineStr">
        <is>
          <t>D.  THE CAPABILITY CHAIN  —  four gates, compounded, then pre-loaded</t>
        </is>
      </c>
    </row>
    <row r="42" ht="14.25" customHeight="1">
      <c r="B42" s="12" t="inlineStr">
        <is>
          <t>Driver</t>
        </is>
      </c>
      <c r="C42" s="12" t="inlineStr">
        <is>
          <t>Year 1</t>
        </is>
      </c>
      <c r="D42" s="12" t="inlineStr">
        <is>
          <t>Year 2</t>
        </is>
      </c>
      <c r="E42" s="12" t="inlineStr">
        <is>
          <t>Year 3</t>
        </is>
      </c>
      <c r="F42" s="12" t="inlineStr">
        <is>
          <t>Year 4</t>
        </is>
      </c>
      <c r="G42" s="12" t="inlineStr">
        <is>
          <t>Year 5</t>
        </is>
      </c>
      <c r="H42" s="12" t="n"/>
      <c r="I42" s="12" t="inlineStr">
        <is>
          <t>Basis</t>
        </is>
      </c>
    </row>
    <row r="43" ht="25.5" customHeight="1">
      <c r="B43" s="13" t="inlineStr">
        <is>
          <t>Agile share of effort</t>
        </is>
      </c>
      <c r="C43" s="29">
        <f>'Value Streams &amp; Delivery Mode'!D33</f>
        <v/>
      </c>
      <c r="D43" s="29">
        <f>'Value Streams &amp; Delivery Mode'!E33</f>
        <v/>
      </c>
      <c r="E43" s="29">
        <f>'Value Streams &amp; Delivery Mode'!F33</f>
        <v/>
      </c>
      <c r="F43" s="29">
        <f>'Value Streams &amp; Delivery Mode'!G33</f>
        <v/>
      </c>
      <c r="G43" s="29">
        <f>'Value Streams &amp; Delivery Mode'!H33</f>
        <v/>
      </c>
      <c r="I43" s="15" t="inlineStr">
        <is>
          <t>From the Value Streams sheet. Operating-model gain is only available where the stream actually runs as a pod, so this scales it.</t>
        </is>
      </c>
    </row>
    <row r="44" ht="25.5" customHeight="1">
      <c r="B44" s="13" t="inlineStr">
        <is>
          <t>Operating-model productivity — pass 1</t>
        </is>
      </c>
      <c r="C44" s="30">
        <f>'Rates &amp; Tables'!C47*C43</f>
        <v/>
      </c>
      <c r="D44" s="30">
        <f>'Rates &amp; Tables'!D47*D43</f>
        <v/>
      </c>
      <c r="E44" s="30">
        <f>'Rates &amp; Tables'!E47*E43</f>
        <v/>
      </c>
      <c r="F44" s="30">
        <f>'Rates &amp; Tables'!F47*F43</f>
        <v/>
      </c>
      <c r="G44" s="30">
        <f>'Rates &amp; Tables'!G47*G43</f>
        <v/>
      </c>
      <c r="I44" s="15" t="inlineStr">
        <is>
          <t>Pass one, before the partner discount. It exists only to give the partner share something to divide by.</t>
        </is>
      </c>
    </row>
    <row r="45" ht="25.5" customHeight="1">
      <c r="B45" s="13" t="inlineStr">
        <is>
          <t>Blended capability — pass 1</t>
        </is>
      </c>
      <c r="C45" s="30">
        <f>1-(1-$C$38*'Rates &amp; Tables'!C45)*(1-'Rates &amp; Tables'!C46)*(1-C44)</f>
        <v/>
      </c>
      <c r="D45" s="30">
        <f>1-(1-$C$38*'Rates &amp; Tables'!D45)*(1-'Rates &amp; Tables'!D46)*(1-D44)</f>
        <v/>
      </c>
      <c r="E45" s="30">
        <f>1-(1-$C$38*'Rates &amp; Tables'!E45)*(1-'Rates &amp; Tables'!E46)*(1-E44)</f>
        <v/>
      </c>
      <c r="F45" s="30">
        <f>1-(1-$C$38*'Rates &amp; Tables'!F45)*(1-'Rates &amp; Tables'!F46)*(1-F44)</f>
        <v/>
      </c>
      <c r="G45" s="30">
        <f>1-(1-$C$38*'Rates &amp; Tables'!G45)*(1-'Rates &amp; Tables'!G46)*(1-G44)</f>
        <v/>
      </c>
      <c r="I45" s="15" t="inlineStr">
        <is>
          <t>1 − (1 − ceiling × realisation)(1 − classical)(1 − operating model). The gates are independent, so they compound rather than add.</t>
        </is>
      </c>
    </row>
    <row r="46" ht="25.5" customHeight="1">
      <c r="B46" s="13" t="inlineStr">
        <is>
          <t>Applied — pass 1</t>
        </is>
      </c>
      <c r="C46" s="30">
        <f>0</f>
        <v/>
      </c>
      <c r="D46" s="30">
        <f>C45+'Rates &amp; Tables'!$C$51*(D45-C45)</f>
        <v/>
      </c>
      <c r="E46" s="30">
        <f>D45+'Rates &amp; Tables'!$C$51*(E45-D45)</f>
        <v/>
      </c>
      <c r="F46" s="30">
        <f>E45+'Rates &amp; Tables'!$C$51*(F45-E45)</f>
        <v/>
      </c>
      <c r="G46" s="30">
        <f>F45+'Rates &amp; Tables'!$C$51*(G45-F45)</f>
        <v/>
      </c>
      <c r="I46" s="15" t="inlineStr">
        <is>
          <t>Carry-forward: this year's applied figure is last year's full capability plus the pre-load share of this year's gain. Year 1 applies nothing.</t>
        </is>
      </c>
    </row>
    <row r="47" ht="25.5" customHeight="1">
      <c r="B47" s="13" t="inlineStr">
        <is>
          <t>Target headcount — pass 1</t>
        </is>
      </c>
      <c r="C47" s="25">
        <f>$C$7*(1-C46)</f>
        <v/>
      </c>
      <c r="D47" s="25">
        <f>$C$7*(1-D46)</f>
        <v/>
      </c>
      <c r="E47" s="25">
        <f>$C$7*(1-E46)</f>
        <v/>
      </c>
      <c r="F47" s="25">
        <f>$C$7*(1-F46)</f>
        <v/>
      </c>
      <c r="G47" s="25">
        <f>$C$7*(1-G46)</f>
        <v/>
      </c>
      <c r="I47" s="15" t="inlineStr">
        <is>
          <t>Pass one only. Not the commitment.</t>
        </is>
      </c>
    </row>
    <row r="48" ht="25.5" customHeight="1">
      <c r="B48" s="13" t="inlineStr">
        <is>
          <t>Partner share of the population</t>
        </is>
      </c>
      <c r="C48" s="29">
        <f>IF(C47=0,0,C57/C47)</f>
        <v/>
      </c>
      <c r="D48" s="29">
        <f>IF(D47=0,0,D57/D47)</f>
        <v/>
      </c>
      <c r="E48" s="29">
        <f>IF(E47=0,0,E57/E47)</f>
        <v/>
      </c>
      <c r="F48" s="29">
        <f>IF(F47=0,0,F57/F47)</f>
        <v/>
      </c>
      <c r="G48" s="29">
        <f>IF(G47=0,0,G57/G47)</f>
        <v/>
      </c>
      <c r="I48" s="15" t="inlineStr">
        <is>
          <t>Partner population divided by the pass-one target. This is the step that breaks the circularity: the partner share depends on the target and the target depends on the partner share.</t>
        </is>
      </c>
    </row>
    <row r="49" ht="25.5" customHeight="1">
      <c r="B49" s="13" t="inlineStr">
        <is>
          <t>Operating-model productivity — final</t>
        </is>
      </c>
      <c r="C49" s="30">
        <f>'Rates &amp; Tables'!C47*C43*(1-'Rates &amp; Tables'!$C$52*C48)</f>
        <v/>
      </c>
      <c r="D49" s="30">
        <f>'Rates &amp; Tables'!D47*D43*(1-'Rates &amp; Tables'!$C$52*D48)</f>
        <v/>
      </c>
      <c r="E49" s="30">
        <f>'Rates &amp; Tables'!E47*E43*(1-'Rates &amp; Tables'!$C$52*E48)</f>
        <v/>
      </c>
      <c r="F49" s="30">
        <f>'Rates &amp; Tables'!F47*F43*(1-'Rates &amp; Tables'!$C$52*F48)</f>
        <v/>
      </c>
      <c r="G49" s="30">
        <f>'Rates &amp; Tables'!G47*G43*(1-'Rates &amp; Tables'!$C$52*G48)</f>
        <v/>
      </c>
      <c r="I49" s="15" t="inlineStr">
        <is>
          <t>Raw curve × agile share × span-of-control factor. On a 領域 with no sub-contractor this equals row 44.</t>
        </is>
      </c>
    </row>
    <row r="50" ht="25.5" customHeight="1">
      <c r="B50" s="23" t="inlineStr">
        <is>
          <t>BLENDED CAPABILITY — final</t>
        </is>
      </c>
      <c r="C50" s="32">
        <f>1-(1-$C$38*'Rates &amp; Tables'!C45)*(1-'Rates &amp; Tables'!C46)*(1-C49)</f>
        <v/>
      </c>
      <c r="D50" s="32">
        <f>1-(1-$C$38*'Rates &amp; Tables'!D45)*(1-'Rates &amp; Tables'!D46)*(1-D49)</f>
        <v/>
      </c>
      <c r="E50" s="32">
        <f>1-(1-$C$38*'Rates &amp; Tables'!E45)*(1-'Rates &amp; Tables'!E46)*(1-E49)</f>
        <v/>
      </c>
      <c r="F50" s="32">
        <f>1-(1-$C$38*'Rates &amp; Tables'!F45)*(1-'Rates &amp; Tables'!F46)*(1-F49)</f>
        <v/>
      </c>
      <c r="G50" s="32">
        <f>1-(1-$C$38*'Rates &amp; Tables'!G45)*(1-'Rates &amp; Tables'!G46)*(1-G49)</f>
        <v/>
      </c>
      <c r="I50" s="15" t="inlineStr">
        <is>
          <t>The domain commitment, blended across all four sourcing types. Section F then splits it.</t>
        </is>
      </c>
    </row>
    <row r="51" ht="25.5" customHeight="1">
      <c r="B51" s="23" t="inlineStr">
        <is>
          <t>APPLIED — carry-forward with pre-load</t>
        </is>
      </c>
      <c r="C51" s="32">
        <f>0</f>
        <v/>
      </c>
      <c r="D51" s="32">
        <f>C50+'Rates &amp; Tables'!$C$51*(D50-C50)</f>
        <v/>
      </c>
      <c r="E51" s="32">
        <f>D50+'Rates &amp; Tables'!$C$51*(E50-D50)</f>
        <v/>
      </c>
      <c r="F51" s="32">
        <f>E50+'Rates &amp; Tables'!$C$51*(F50-E50)</f>
        <v/>
      </c>
      <c r="G51" s="32">
        <f>F50+'Rates &amp; Tables'!$C$51*(G50-F50)</f>
        <v/>
      </c>
      <c r="I51" s="15" t="inlineStr">
        <is>
          <t>Year 1 applies ZERO. Capability earned in Q4 cannot fund a headcount reduction in Q1, and a Year-1 roster that does not match Appendix 3 is not credible.</t>
        </is>
      </c>
    </row>
    <row r="52" ht="25.5" customHeight="1">
      <c r="B52" s="23" t="inlineStr">
        <is>
          <t>TARGET HEADCOUNT  —  the commitment</t>
        </is>
      </c>
      <c r="C52" s="17">
        <f>$C$7*(1-C51)</f>
        <v/>
      </c>
      <c r="D52" s="17">
        <f>$C$7*(1-D51)</f>
        <v/>
      </c>
      <c r="E52" s="17">
        <f>$C$7*(1-E51)</f>
        <v/>
      </c>
      <c r="F52" s="17">
        <f>$C$7*(1-F51)</f>
        <v/>
      </c>
      <c r="G52" s="17">
        <f>$C$7*(1-G51)</f>
        <v/>
      </c>
      <c r="I52" s="15" t="inlineStr">
        <is>
          <t>THE NUMBER THE WHOLE MODEL EXISTS TO PRODUCE. Frozen scope × (1 − applied).</t>
        </is>
      </c>
    </row>
    <row r="54" ht="15" customHeight="1">
      <c r="A54" s="4" t="inlineStr">
        <is>
          <t>E.  PARTNER  —  the fourth sourcing type, and why it makes the 50:50 harder</t>
        </is>
      </c>
    </row>
    <row r="55" ht="14.25" customHeight="1">
      <c r="B55" s="12" t="inlineStr">
        <is>
          <t>Measure</t>
        </is>
      </c>
      <c r="C55" s="12" t="inlineStr">
        <is>
          <t>Which vendor</t>
        </is>
      </c>
      <c r="D55" s="12" t="inlineStr">
        <is>
          <t>Year 2</t>
        </is>
      </c>
      <c r="E55" s="12" t="inlineStr">
        <is>
          <t>Year 3</t>
        </is>
      </c>
      <c r="F55" s="12" t="inlineStr">
        <is>
          <t>Year 4</t>
        </is>
      </c>
      <c r="G55" s="12" t="inlineStr">
        <is>
          <t>Year 5</t>
        </is>
      </c>
      <c r="H55" s="12" t="n"/>
      <c r="I55" s="12" t="inlineStr">
        <is>
          <t>Basis</t>
        </is>
      </c>
    </row>
    <row r="56" ht="186.75" customHeight="1">
      <c r="B56" s="13" t="inlineStr">
        <is>
          <t>Sub-contracted FTC today  —  pick the vendor</t>
        </is>
      </c>
      <c r="C56" s="24" t="n">
        <v>5</v>
      </c>
      <c r="D56" s="33" t="inlineStr">
        <is>
          <t>FSI</t>
        </is>
      </c>
      <c r="I56" s="34">
        <f>"FSI "&amp;TEXT(SUMIFS('Inventory v5'!$K$5:$K$146,'Inventory v5'!$D$5:$D$146,'START HERE'!$C$5,'Inventory v5'!$F$5:$F$146,"FSI"),"0.0")&amp;"  ·  NCD "&amp;TEXT(SUMIFS('Inventory v5'!$K$5:$K$146,'Inventory v5'!$D$5:$D$146,'START HERE'!$C$5,'Inventory v5'!$F$5:$F$146,"NCD"),"0.0")&amp;"  ·  NCS "&amp;TEXT(SUMIFS('Inventory v5'!$K$5:$K$146,'Inventory v5'!$D$5:$D$146,'START HERE'!$C$5,'Inventory v5'!$F$5:$F$146,"NCS"),"0.0")&amp;"  ·  Capgemini "&amp;TEXT(SUMIFS('Inventory v5'!$K$5:$K$146,'Inventory v5'!$D$5:$D$146,'START HERE'!$C$5,'Inventory v5'!$F$5:$F$146,"CG"),"0.0")&amp;"  ·  no named vendor "&amp;TEXT(SUMIFS('Inventory v5'!$K$5:$K$146,'Inventory v5'!$D$5:$D$146,'START HERE'!$C$5,'Inventory v5'!$F$5:$F$146,"unnamed"),"0.0")</f>
        <v/>
      </c>
      <c r="J56" s="15" t="inlineStr">
        <is>
          <t>Vendor FTC in this 領域 from the Golden v4 tags. Zero against every named vendor means no sub-contract of size, and the PT rows resolve to zero.</t>
        </is>
      </c>
    </row>
    <row r="57" ht="39.75" customHeight="1">
      <c r="B57" s="19" t="inlineStr">
        <is>
          <t>PARTNER POPULATION BY YEAR  —  INPUT</t>
        </is>
      </c>
      <c r="C57" s="35" t="n">
        <v>5</v>
      </c>
      <c r="D57" s="35" t="n">
        <v>5</v>
      </c>
      <c r="E57" s="35" t="n">
        <v>4</v>
      </c>
      <c r="F57" s="35" t="n">
        <v>3</v>
      </c>
      <c r="G57" s="35" t="n">
        <v>3</v>
      </c>
      <c r="I57" s="15" t="inlineStr">
        <is>
          <t>SEEDED, NOT DECIDED. The default holds the partner at a constant share of a shrinking domain. If you have a real incumbent, taper it deliberately: partner seats can never transfer to MetLife, so every one you keep sits on the Capgemini side of the 50:50 permanently. If you have none, leave it at zero.</t>
        </is>
      </c>
      <c r="J57" s="15" t="inlineStr">
        <is>
          <t>DECIDE WHICH NAMED VENDORS YOU ARE RETAINING AS SUB-CONTRACTORS. Not every third party in the 領域 is one: some we sub-contract because they hold irreplaceable knowledge, and some we displace and absorb. The five built models retained FSI where FSI was entrenched on Japanese-specification waterfall applications, and absorbed NCD everywhere. Choose, and be able to say why — the answer changes the 50:50 arithmetic.</t>
        </is>
      </c>
    </row>
    <row r="58" ht="14.25" customHeight="1">
      <c r="B58" s="20" t="inlineStr">
        <is>
          <t>Span-of-control factor  =  1 − drag × partner share</t>
        </is>
      </c>
      <c r="C58" s="29">
        <f>1-'Rates &amp; Tables'!$C$52*C48</f>
        <v/>
      </c>
      <c r="D58" s="29">
        <f>1-'Rates &amp; Tables'!$C$52*D48</f>
        <v/>
      </c>
      <c r="E58" s="29">
        <f>1-'Rates &amp; Tables'!$C$52*E48</f>
        <v/>
      </c>
      <c r="F58" s="29">
        <f>1-'Rates &amp; Tables'!$C$52*F48</f>
        <v/>
      </c>
      <c r="G58" s="29">
        <f>1-'Rates &amp; Tables'!$C$52*G48</f>
        <v/>
      </c>
    </row>
    <row r="59" ht="25.5" customHeight="1">
      <c r="B59" s="15" t="inlineStr">
        <is>
          <t>A partner seat returns 40% of the operating-model gain a Capgemini seat does — two management chains, a contractual boundary on ways of working, slower standardisation. That is the drag on the Rates sheet, and it is the number to argue about if your 領域 is partner-heavy.</t>
        </is>
      </c>
    </row>
    <row r="61" ht="15" customHeight="1">
      <c r="A61" s="4" t="inlineStr">
        <is>
          <t>F.  PER-SOURCING  —  the same four gates, on four different populations</t>
        </is>
      </c>
    </row>
    <row r="62" ht="21.75" customHeight="1">
      <c r="B62" s="12" t="inlineStr">
        <is>
          <t>Sourcing pool</t>
        </is>
      </c>
      <c r="C62" s="12" t="inlineStr">
        <is>
          <t>Year-1 population</t>
        </is>
      </c>
      <c r="D62" s="12" t="inlineStr">
        <is>
          <t>Own AI ceiling</t>
        </is>
      </c>
      <c r="E62" s="12" t="inlineStr">
        <is>
          <t>Adoption</t>
        </is>
      </c>
      <c r="F62" s="12" t="n"/>
      <c r="G62" s="12" t="n"/>
      <c r="H62" s="12" t="n"/>
      <c r="I62" s="12" t="n"/>
      <c r="J62" s="12" t="inlineStr">
        <is>
          <t>What this pool does</t>
        </is>
      </c>
    </row>
    <row r="63" ht="27.75" customHeight="1">
      <c r="B63" s="21" t="inlineStr">
        <is>
          <t>FTC</t>
        </is>
      </c>
      <c r="C63" s="24">
        <f>$C$8-$C$57</f>
        <v/>
      </c>
      <c r="D63" s="30">
        <f>'Role x Sourcing'!$D$40</f>
        <v/>
      </c>
      <c r="E63" s="31">
        <f>'Rates &amp; Tables'!$C$36</f>
        <v/>
      </c>
      <c r="I63" s="15" t="inlineStr">
        <is>
          <t>Capgemini payroll. The vendor number less the named sub-contractor.</t>
        </is>
      </c>
    </row>
    <row r="64" ht="27.75" customHeight="1">
      <c r="B64" s="21" t="inlineStr">
        <is>
          <t>PT</t>
        </is>
      </c>
      <c r="C64" s="24">
        <f>$C$57</f>
        <v/>
      </c>
      <c r="D64" s="30">
        <f>'Role x Sourcing'!$D$41</f>
        <v/>
      </c>
      <c r="E64" s="31">
        <f>'Rates &amp; Tables'!$C$37</f>
        <v/>
      </c>
      <c r="I64" s="15" t="inlineStr">
        <is>
          <t>Named sub-contractor. Zero in most 領域.</t>
        </is>
      </c>
    </row>
    <row r="65" ht="27.75" customHeight="1">
      <c r="B65" s="21" t="inlineStr">
        <is>
          <t>FTE</t>
        </is>
      </c>
      <c r="C65" s="24">
        <f>$C$9</f>
        <v/>
      </c>
      <c r="D65" s="30">
        <f>'Role x Sourcing'!$D$42</f>
        <v/>
      </c>
      <c r="E65" s="31">
        <f>'Rates &amp; Tables'!$C$38</f>
        <v/>
      </c>
      <c r="I65" s="15" t="inlineStr">
        <is>
          <t>MetLife Japan. Across the five 領域 modelled this population is 41% BSA and 39% PM — governance work, the least machine-addressable in the estate.</t>
        </is>
      </c>
    </row>
    <row r="66" ht="27.75" customHeight="1">
      <c r="B66" s="21" t="inlineStr">
        <is>
          <t>MGCC</t>
        </is>
      </c>
      <c r="C66" s="24">
        <f>$C$10</f>
        <v/>
      </c>
      <c r="D66" s="30">
        <f>'Role x Sourcing'!$D$43</f>
        <v/>
      </c>
      <c r="E66" s="31">
        <f>'Rates &amp; Tables'!$C$39</f>
        <v/>
      </c>
      <c r="I66" s="15" t="inlineStr">
        <is>
          <t>MetLife's captive centre. 74% developers and 26% testers — build and test, where the ceiling is highest.</t>
        </is>
      </c>
    </row>
    <row r="67" ht="14.25" customHeight="1">
      <c r="B67" s="23" t="inlineStr">
        <is>
          <t>Total  —  ties to the frozen scope</t>
        </is>
      </c>
      <c r="C67" s="16">
        <f>SUM(C63:C66)</f>
        <v/>
      </c>
    </row>
    <row r="68" ht="42" customHeight="1">
      <c r="B68" s="13" t="inlineStr">
        <is>
          <t>Day-one vendor share  —  does the 50% guardrail even apply here?</t>
        </is>
      </c>
      <c r="C68" s="18">
        <f>IF($C$7=0,0,(C63+C64)/$C$7)</f>
        <v/>
      </c>
      <c r="D68" s="36">
        <f>IF(C68&gt;='Rates &amp; Tables'!$C$55,1,0)</f>
        <v/>
      </c>
      <c r="I68" s="15" t="inlineStr">
        <is>
          <t>1 = Capgemini starts in the majority, so the floor is a position we are PROTECTING and it applies from Year 2. 0 = MetLife already holds the majority on day one, so the floor is switched off: we do not manufacture a majority we never had. Common Service Platform is the worked example of the second case.</t>
        </is>
      </c>
    </row>
    <row r="70" ht="14.25" customHeight="1">
      <c r="B70" s="12" t="inlineStr">
        <is>
          <t>CAPABILITY BY POOL</t>
        </is>
      </c>
      <c r="C70" s="12" t="inlineStr">
        <is>
          <t>Year 1</t>
        </is>
      </c>
      <c r="D70" s="12" t="inlineStr">
        <is>
          <t>Year 2</t>
        </is>
      </c>
      <c r="E70" s="12" t="inlineStr">
        <is>
          <t>Year 3</t>
        </is>
      </c>
      <c r="F70" s="12" t="inlineStr">
        <is>
          <t>Year 4</t>
        </is>
      </c>
      <c r="G70" s="12" t="inlineStr">
        <is>
          <t>Year 5</t>
        </is>
      </c>
    </row>
    <row r="71" ht="14.25" customHeight="1">
      <c r="B71" s="21" t="inlineStr">
        <is>
          <t>FTC</t>
        </is>
      </c>
      <c r="C71" s="30">
        <f>1-(1-$D$63*'Rates &amp; Tables'!C45*$E$63)*(1-'Rates &amp; Tables'!C46)*(1-C49)</f>
        <v/>
      </c>
      <c r="D71" s="30">
        <f>1-(1-$D$63*'Rates &amp; Tables'!D45*$E$63)*(1-'Rates &amp; Tables'!D46)*(1-D49)</f>
        <v/>
      </c>
      <c r="E71" s="30">
        <f>1-(1-$D$63*'Rates &amp; Tables'!E45*$E$63)*(1-'Rates &amp; Tables'!E46)*(1-E49)</f>
        <v/>
      </c>
      <c r="F71" s="30">
        <f>1-(1-$D$63*'Rates &amp; Tables'!F45*$E$63)*(1-'Rates &amp; Tables'!F46)*(1-F49)</f>
        <v/>
      </c>
      <c r="G71" s="30">
        <f>1-(1-$D$63*'Rates &amp; Tables'!G45*$E$63)*(1-'Rates &amp; Tables'!G46)*(1-G49)</f>
        <v/>
      </c>
    </row>
    <row r="72" ht="14.25" customHeight="1">
      <c r="B72" s="21" t="inlineStr">
        <is>
          <t>PT</t>
        </is>
      </c>
      <c r="C72" s="30">
        <f>1-(1-$D$64*'Rates &amp; Tables'!C45*$E$64)*(1-'Rates &amp; Tables'!C46)*(1-C49)</f>
        <v/>
      </c>
      <c r="D72" s="30">
        <f>1-(1-$D$64*'Rates &amp; Tables'!D45*$E$64)*(1-'Rates &amp; Tables'!D46)*(1-D49)</f>
        <v/>
      </c>
      <c r="E72" s="30">
        <f>1-(1-$D$64*'Rates &amp; Tables'!E45*$E$64)*(1-'Rates &amp; Tables'!E46)*(1-E49)</f>
        <v/>
      </c>
      <c r="F72" s="30">
        <f>1-(1-$D$64*'Rates &amp; Tables'!F45*$E$64)*(1-'Rates &amp; Tables'!F46)*(1-F49)</f>
        <v/>
      </c>
      <c r="G72" s="30">
        <f>1-(1-$D$64*'Rates &amp; Tables'!G45*$E$64)*(1-'Rates &amp; Tables'!G46)*(1-G49)</f>
        <v/>
      </c>
    </row>
    <row r="73" ht="14.25" customHeight="1">
      <c r="B73" s="21" t="inlineStr">
        <is>
          <t>FTE</t>
        </is>
      </c>
      <c r="C73" s="30">
        <f>1-(1-$D$65*'Rates &amp; Tables'!C45*$E$65)*(1-'Rates &amp; Tables'!C46)*(1-C49)</f>
        <v/>
      </c>
      <c r="D73" s="30">
        <f>1-(1-$D$65*'Rates &amp; Tables'!D45*$E$65)*(1-'Rates &amp; Tables'!D46)*(1-D49)</f>
        <v/>
      </c>
      <c r="E73" s="30">
        <f>1-(1-$D$65*'Rates &amp; Tables'!E45*$E$65)*(1-'Rates &amp; Tables'!E46)*(1-E49)</f>
        <v/>
      </c>
      <c r="F73" s="30">
        <f>1-(1-$D$65*'Rates &amp; Tables'!F45*$E$65)*(1-'Rates &amp; Tables'!F46)*(1-F49)</f>
        <v/>
      </c>
      <c r="G73" s="30">
        <f>1-(1-$D$65*'Rates &amp; Tables'!G45*$E$65)*(1-'Rates &amp; Tables'!G46)*(1-G49)</f>
        <v/>
      </c>
    </row>
    <row r="74" ht="14.25" customHeight="1">
      <c r="B74" s="21" t="inlineStr">
        <is>
          <t>MGCC</t>
        </is>
      </c>
      <c r="C74" s="30">
        <f>1-(1-$D$66*'Rates &amp; Tables'!C45*$E$66)*(1-'Rates &amp; Tables'!C46)*(1-C49)</f>
        <v/>
      </c>
      <c r="D74" s="30">
        <f>1-(1-$D$66*'Rates &amp; Tables'!D45*$E$66)*(1-'Rates &amp; Tables'!D46)*(1-D49)</f>
        <v/>
      </c>
      <c r="E74" s="30">
        <f>1-(1-$D$66*'Rates &amp; Tables'!E45*$E$66)*(1-'Rates &amp; Tables'!E46)*(1-E49)</f>
        <v/>
      </c>
      <c r="F74" s="30">
        <f>1-(1-$D$66*'Rates &amp; Tables'!F45*$E$66)*(1-'Rates &amp; Tables'!F46)*(1-F49)</f>
        <v/>
      </c>
      <c r="G74" s="30">
        <f>1-(1-$D$66*'Rates &amp; Tables'!G45*$E$66)*(1-'Rates &amp; Tables'!G46)*(1-G49)</f>
        <v/>
      </c>
    </row>
    <row r="76" ht="14.25" customHeight="1">
      <c r="B76" s="12" t="inlineStr">
        <is>
          <t>APPLIED  —  carry-forward with pre-load</t>
        </is>
      </c>
      <c r="C76" s="12" t="inlineStr">
        <is>
          <t>Year 1</t>
        </is>
      </c>
      <c r="D76" s="12" t="inlineStr">
        <is>
          <t>Year 2</t>
        </is>
      </c>
      <c r="E76" s="12" t="inlineStr">
        <is>
          <t>Year 3</t>
        </is>
      </c>
      <c r="F76" s="12" t="inlineStr">
        <is>
          <t>Year 4</t>
        </is>
      </c>
      <c r="G76" s="12" t="inlineStr">
        <is>
          <t>Year 5</t>
        </is>
      </c>
    </row>
    <row r="77" ht="14.25" customHeight="1">
      <c r="B77" s="21" t="inlineStr">
        <is>
          <t>FTC</t>
        </is>
      </c>
      <c r="C77" s="30">
        <f>0</f>
        <v/>
      </c>
      <c r="D77" s="30">
        <f>C71+'Rates &amp; Tables'!$C$51*(D71-C71)</f>
        <v/>
      </c>
      <c r="E77" s="30">
        <f>D71+'Rates &amp; Tables'!$C$51*(E71-D71)</f>
        <v/>
      </c>
      <c r="F77" s="30">
        <f>E71+'Rates &amp; Tables'!$C$51*(F71-E71)</f>
        <v/>
      </c>
      <c r="G77" s="30">
        <f>F71+'Rates &amp; Tables'!$C$51*(G71-F71)</f>
        <v/>
      </c>
    </row>
    <row r="78" ht="14.25" customHeight="1">
      <c r="B78" s="21" t="inlineStr">
        <is>
          <t>PT</t>
        </is>
      </c>
      <c r="C78" s="30">
        <f>0</f>
        <v/>
      </c>
      <c r="D78" s="30">
        <f>C72+'Rates &amp; Tables'!$C$51*(D72-C72)</f>
        <v/>
      </c>
      <c r="E78" s="30">
        <f>D72+'Rates &amp; Tables'!$C$51*(E72-D72)</f>
        <v/>
      </c>
      <c r="F78" s="30">
        <f>E72+'Rates &amp; Tables'!$C$51*(F72-E72)</f>
        <v/>
      </c>
      <c r="G78" s="30">
        <f>F72+'Rates &amp; Tables'!$C$51*(G72-F72)</f>
        <v/>
      </c>
    </row>
    <row r="79" ht="14.25" customHeight="1">
      <c r="B79" s="21" t="inlineStr">
        <is>
          <t>FTE</t>
        </is>
      </c>
      <c r="C79" s="30">
        <f>0</f>
        <v/>
      </c>
      <c r="D79" s="30">
        <f>C73+'Rates &amp; Tables'!$C$51*(D73-C73)</f>
        <v/>
      </c>
      <c r="E79" s="30">
        <f>D73+'Rates &amp; Tables'!$C$51*(E73-D73)</f>
        <v/>
      </c>
      <c r="F79" s="30">
        <f>E73+'Rates &amp; Tables'!$C$51*(F73-E73)</f>
        <v/>
      </c>
      <c r="G79" s="30">
        <f>F73+'Rates &amp; Tables'!$C$51*(G73-F73)</f>
        <v/>
      </c>
    </row>
    <row r="80" ht="14.25" customHeight="1">
      <c r="B80" s="21" t="inlineStr">
        <is>
          <t>MGCC</t>
        </is>
      </c>
      <c r="C80" s="30">
        <f>0</f>
        <v/>
      </c>
      <c r="D80" s="30">
        <f>C74+'Rates &amp; Tables'!$C$51*(D74-C74)</f>
        <v/>
      </c>
      <c r="E80" s="30">
        <f>D74+'Rates &amp; Tables'!$C$51*(E74-D74)</f>
        <v/>
      </c>
      <c r="F80" s="30">
        <f>E74+'Rates &amp; Tables'!$C$51*(F74-E74)</f>
        <v/>
      </c>
      <c r="G80" s="30">
        <f>F74+'Rates &amp; Tables'!$C$51*(G74-F74)</f>
        <v/>
      </c>
    </row>
    <row r="82" ht="14.25" customHeight="1">
      <c r="B82" s="12" t="inlineStr">
        <is>
          <t>NATURAL POPULATION  —  each pool on its own curve</t>
        </is>
      </c>
      <c r="C82" s="12" t="inlineStr">
        <is>
          <t>Year 1</t>
        </is>
      </c>
      <c r="D82" s="12" t="inlineStr">
        <is>
          <t>Year 2</t>
        </is>
      </c>
      <c r="E82" s="12" t="inlineStr">
        <is>
          <t>Year 3</t>
        </is>
      </c>
      <c r="F82" s="12" t="inlineStr">
        <is>
          <t>Year 4</t>
        </is>
      </c>
      <c r="G82" s="12" t="inlineStr">
        <is>
          <t>Year 5</t>
        </is>
      </c>
    </row>
    <row r="83" ht="14.25" customHeight="1">
      <c r="B83" s="21" t="inlineStr">
        <is>
          <t>FTC</t>
        </is>
      </c>
      <c r="C83" s="25">
        <f>$C$63*(1-C77)</f>
        <v/>
      </c>
      <c r="D83" s="25">
        <f>$C$63*(1-D77)</f>
        <v/>
      </c>
      <c r="E83" s="25">
        <f>$C$63*(1-E77)</f>
        <v/>
      </c>
      <c r="F83" s="25">
        <f>$C$63*(1-F77)</f>
        <v/>
      </c>
      <c r="G83" s="25">
        <f>$C$63*(1-G77)</f>
        <v/>
      </c>
    </row>
    <row r="84" ht="14.25" customHeight="1">
      <c r="B84" s="21" t="inlineStr">
        <is>
          <t>PT</t>
        </is>
      </c>
      <c r="C84" s="25">
        <f>$C$64*(1-C78)</f>
        <v/>
      </c>
      <c r="D84" s="25">
        <f>$C$64*(1-D78)</f>
        <v/>
      </c>
      <c r="E84" s="25">
        <f>$C$64*(1-E78)</f>
        <v/>
      </c>
      <c r="F84" s="25">
        <f>$C$64*(1-F78)</f>
        <v/>
      </c>
      <c r="G84" s="25">
        <f>$C$64*(1-G78)</f>
        <v/>
      </c>
    </row>
    <row r="85" ht="14.25" customHeight="1">
      <c r="B85" s="21" t="inlineStr">
        <is>
          <t>FTE</t>
        </is>
      </c>
      <c r="C85" s="25">
        <f>$C$65*(1-C79)</f>
        <v/>
      </c>
      <c r="D85" s="25">
        <f>$C$65*(1-D79)</f>
        <v/>
      </c>
      <c r="E85" s="25">
        <f>$C$65*(1-E79)</f>
        <v/>
      </c>
      <c r="F85" s="25">
        <f>$C$65*(1-F79)</f>
        <v/>
      </c>
      <c r="G85" s="25">
        <f>$C$65*(1-G79)</f>
        <v/>
      </c>
    </row>
    <row r="86" ht="14.25" customHeight="1">
      <c r="B86" s="21" t="inlineStr">
        <is>
          <t>MGCC</t>
        </is>
      </c>
      <c r="C86" s="25">
        <f>$C$66*(1-C80)</f>
        <v/>
      </c>
      <c r="D86" s="25">
        <f>$C$66*(1-D80)</f>
        <v/>
      </c>
      <c r="E86" s="25">
        <f>$C$66*(1-E80)</f>
        <v/>
      </c>
      <c r="F86" s="25">
        <f>$C$66*(1-F80)</f>
        <v/>
      </c>
      <c r="G86" s="25">
        <f>$C$66*(1-G80)</f>
        <v/>
      </c>
    </row>
    <row r="87" ht="39.75" customHeight="1">
      <c r="B87" s="15" t="inlineStr">
        <is>
          <t>THIS IS THE HEART OF THE MODEL. The headline commitment in row 52 does not change. What changes is who carries it. A pool whose work sits in Test and Build earns a high ceiling; a pool whose work sits in Run and Requirements earns a low one; and the adoption factor then asks how much of that ceiling the pool has the authority to commit to. Apply one blended rate to all four and you are wrong in both directions at once — and most wrong on the population you control least.</t>
        </is>
      </c>
    </row>
    <row r="89" ht="15" customHeight="1">
      <c r="A89" s="4" t="inlineStr">
        <is>
          <t>G.  THE PLAN  —  MetLife and the partner take their own path, Capgemini absorbs the balance</t>
        </is>
      </c>
    </row>
    <row r="90" ht="14.25" customHeight="1">
      <c r="B90" s="12" t="inlineStr">
        <is>
          <t>Measure</t>
        </is>
      </c>
      <c r="C90" s="12" t="inlineStr">
        <is>
          <t>Year 1</t>
        </is>
      </c>
      <c r="D90" s="12" t="inlineStr">
        <is>
          <t>Year 2</t>
        </is>
      </c>
      <c r="E90" s="12" t="inlineStr">
        <is>
          <t>Year 3</t>
        </is>
      </c>
      <c r="F90" s="12" t="inlineStr">
        <is>
          <t>Year 4</t>
        </is>
      </c>
      <c r="G90" s="12" t="inlineStr">
        <is>
          <t>Year 5</t>
        </is>
      </c>
      <c r="H90" s="12" t="n"/>
      <c r="I90" s="12" t="inlineStr">
        <is>
          <t>Note</t>
        </is>
      </c>
    </row>
    <row r="91" ht="30" customHeight="1">
      <c r="B91" s="23" t="inlineStr">
        <is>
          <t>Target headcount</t>
        </is>
      </c>
      <c r="C91" s="17">
        <f>C52</f>
        <v/>
      </c>
      <c r="D91" s="17">
        <f>D52</f>
        <v/>
      </c>
      <c r="E91" s="17">
        <f>E52</f>
        <v/>
      </c>
      <c r="F91" s="17">
        <f>F52</f>
        <v/>
      </c>
      <c r="G91" s="17">
        <f>G52</f>
        <v/>
      </c>
      <c r="I91" s="15" t="inlineStr">
        <is>
          <t>From row 52. Unchanged by anything in this section.</t>
        </is>
      </c>
    </row>
    <row r="92" ht="30" customHeight="1">
      <c r="B92" s="13" t="inlineStr">
        <is>
          <t>MetLife Japan  (FTE)</t>
        </is>
      </c>
      <c r="C92" s="25">
        <f>C85</f>
        <v/>
      </c>
      <c r="D92" s="25">
        <f>D85</f>
        <v/>
      </c>
      <c r="E92" s="25">
        <f>E85</f>
        <v/>
      </c>
      <c r="F92" s="25">
        <f>F85</f>
        <v/>
      </c>
      <c r="G92" s="25">
        <f>G85</f>
        <v/>
      </c>
      <c r="I92" s="15" t="inlineStr">
        <is>
          <t>Their own slower curve, from row 85. Not the domain average.</t>
        </is>
      </c>
    </row>
    <row r="93" ht="30" customHeight="1">
      <c r="B93" s="13" t="inlineStr">
        <is>
          <t>MetLife MGCC</t>
        </is>
      </c>
      <c r="C93" s="25">
        <f>C86</f>
        <v/>
      </c>
      <c r="D93" s="25">
        <f>D86</f>
        <v/>
      </c>
      <c r="E93" s="25">
        <f>E86</f>
        <v/>
      </c>
      <c r="F93" s="25">
        <f>F86</f>
        <v/>
      </c>
      <c r="G93" s="25">
        <f>G86</f>
        <v/>
      </c>
      <c r="I93" s="15" t="inlineStr">
        <is>
          <t>Their own curve, from row 86.</t>
        </is>
      </c>
    </row>
    <row r="94" ht="30" customHeight="1">
      <c r="B94" s="13" t="inlineStr">
        <is>
          <t>Partner  (PT)</t>
        </is>
      </c>
      <c r="C94" s="25">
        <f>C57</f>
        <v/>
      </c>
      <c r="D94" s="25">
        <f>D57</f>
        <v/>
      </c>
      <c r="E94" s="25">
        <f>E57</f>
        <v/>
      </c>
      <c r="F94" s="25">
        <f>F57</f>
        <v/>
      </c>
      <c r="G94" s="25">
        <f>G57</f>
        <v/>
      </c>
      <c r="I94" s="15" t="inlineStr">
        <is>
          <t>The partner plan from row 57.</t>
        </is>
      </c>
    </row>
    <row r="95" ht="30" customHeight="1">
      <c r="B95" s="23" t="inlineStr">
        <is>
          <t>Capgemini  (FTC)  —  absorbs the balance</t>
        </is>
      </c>
      <c r="C95" s="17">
        <f>C91-C92-C93-C94</f>
        <v/>
      </c>
      <c r="D95" s="17">
        <f>IF(AND($D$68=1,(D91-D92-D93)/D91&lt;'Rates &amp; Tables'!$C$55),'Rates &amp; Tables'!$C$55/(1-'Rates &amp; Tables'!$C$55)*(D92+D93)-D94,D91-D92-D93-D94)</f>
        <v/>
      </c>
      <c r="E95" s="17">
        <f>IF(AND($D$68=1,(E91-E92-E93)/E91&lt;'Rates &amp; Tables'!$C$55),'Rates &amp; Tables'!$C$55/(1-'Rates &amp; Tables'!$C$55)*(E92+E93)-E94,E91-E92-E93-E94)</f>
        <v/>
      </c>
      <c r="F95" s="17">
        <f>IF(AND($D$68=1,(F91-F92-F93)/F91&lt;'Rates &amp; Tables'!$C$55),'Rates &amp; Tables'!$C$55/(1-'Rates &amp; Tables'!$C$55)*(F92+F93)-F94,F91-F92-F93-F94)</f>
        <v/>
      </c>
      <c r="G95" s="17">
        <f>IF(AND($D$68=1,(G91-G92-G93)/G91&lt;'Rates &amp; Tables'!$C$55),'Rates &amp; Tables'!$C$55/(1-'Rates &amp; Tables'!$C$55)*(G92+G93)-G94,G91-G92-G93-G94)</f>
        <v/>
      </c>
      <c r="I95" s="15" t="inlineStr">
        <is>
          <t>WHAT IS LEFT. This is the mechanic that converges the ratio without anybody changing employer: Capgemini shrinks faster than MetLife because Capgemini's work is more machine-addressable and Capgemini has the authority to act on it.</t>
        </is>
      </c>
    </row>
    <row r="96" ht="30" customHeight="1">
      <c r="B96" s="13" t="inlineStr">
        <is>
          <t>TOTAL</t>
        </is>
      </c>
      <c r="C96" s="25">
        <f>C95+C94+C92+C93</f>
        <v/>
      </c>
      <c r="D96" s="25">
        <f>D95+D94+D92+D93</f>
        <v/>
      </c>
      <c r="E96" s="25">
        <f>E95+E94+E92+E93</f>
        <v/>
      </c>
      <c r="F96" s="25">
        <f>F95+F94+F92+F93</f>
        <v/>
      </c>
      <c r="G96" s="25">
        <f>G95+G94+G92+G93</f>
        <v/>
      </c>
      <c r="I96" s="15" t="inlineStr">
        <is>
          <t>Equals row 91 unless the floor has fired.</t>
        </is>
      </c>
    </row>
    <row r="97" ht="30" customHeight="1">
      <c r="B97" s="23" t="inlineStr">
        <is>
          <t>RATIO  —  Capgemini + partner share</t>
        </is>
      </c>
      <c r="C97" s="18">
        <f>IF(C96=0,0,(C95+C94)/C96)</f>
        <v/>
      </c>
      <c r="D97" s="18">
        <f>IF(D96=0,0,(D95+D94)/D96)</f>
        <v/>
      </c>
      <c r="E97" s="18">
        <f>IF(E96=0,0,(E95+E94)/E96)</f>
        <v/>
      </c>
      <c r="F97" s="18">
        <f>IF(F96=0,0,(F95+F94)/F96)</f>
        <v/>
      </c>
      <c r="G97" s="18">
        <f>IF(G96=0,0,(G95+G94)/G96)</f>
        <v/>
      </c>
      <c r="I97" s="15" t="inlineStr">
        <is>
          <t>Falls every year. That fall is the organic convergence, and it is what makes the Year-3 transfer small.</t>
        </is>
      </c>
    </row>
    <row r="98" ht="30" customHeight="1">
      <c r="B98" s="13" t="inlineStr">
        <is>
          <t>Floor applied?</t>
        </is>
      </c>
      <c r="C98" s="22" t="n">
        <v>0</v>
      </c>
      <c r="D98" s="22">
        <f>IF(AND($D$68=1,(D91-D92-D93)/D91&lt;'Rates &amp; Tables'!$C$55),1,0)</f>
        <v/>
      </c>
      <c r="E98" s="22">
        <f>IF(AND($D$68=1,(E91-E92-E93)/E91&lt;'Rates &amp; Tables'!$C$55),1,0)</f>
        <v/>
      </c>
      <c r="F98" s="22">
        <f>IF(AND($D$68=1,(F91-F92-F93)/F91&lt;'Rates &amp; Tables'!$C$55),1,0)</f>
        <v/>
      </c>
      <c r="G98" s="22">
        <f>IF(AND($D$68=1,(G91-G92-G93)/G91&lt;'Rates &amp; Tables'!$C$55),1,0)</f>
        <v/>
      </c>
      <c r="I98" s="15" t="inlineStr">
        <is>
          <t>1 = the guardrail bound this year and Capgemini was held above the floor rather than shrinking further. Check row 68 first: if the floor does not apply to your 領域 this will always be 0.</t>
        </is>
      </c>
    </row>
    <row r="100" ht="15" customHeight="1">
      <c r="A100" s="4" t="inlineStr">
        <is>
          <t>H.  THE TRANSFER  —  struck once, on the Year-3 exit, AFTER organic convergence</t>
        </is>
      </c>
    </row>
    <row r="101" ht="14.25" customHeight="1">
      <c r="B101" s="12" t="inlineStr">
        <is>
          <t>Step</t>
        </is>
      </c>
      <c r="C101" s="12" t="inlineStr">
        <is>
          <t>Value</t>
        </is>
      </c>
      <c r="D101" s="12" t="n"/>
      <c r="E101" s="12" t="n"/>
      <c r="F101" s="12" t="n"/>
      <c r="G101" s="12" t="n"/>
      <c r="H101" s="12" t="n"/>
      <c r="I101" s="12" t="n"/>
      <c r="J101" s="12" t="inlineStr">
        <is>
          <t>Note</t>
        </is>
      </c>
    </row>
    <row r="103" ht="27.75" customHeight="1">
      <c r="B103" s="20" t="inlineStr">
        <is>
          <t>Exit Year 3 headcount, at full realisation</t>
        </is>
      </c>
      <c r="C103" s="25">
        <f>$C$7*(1-E50)</f>
        <v/>
      </c>
      <c r="I103" s="15" t="inlineStr">
        <is>
          <t>Not the Year-3 target. The transfer is struck on the position the domain exits Year 3 in, which is the full capability rather than the pre-loaded figure.</t>
        </is>
      </c>
    </row>
    <row r="104" ht="27.75" customHeight="1">
      <c r="B104" s="20" t="inlineStr">
        <is>
          <t>Scale factor from the Year-3 plan to the exit</t>
        </is>
      </c>
      <c r="C104" s="37">
        <f>IF(E96=0,0,C103/E96)</f>
        <v/>
      </c>
      <c r="I104" s="15" t="inlineStr">
        <is>
          <t>The Year-3 plan is re-based onto the exit headcount so the mix is preserved.</t>
        </is>
      </c>
    </row>
    <row r="105" ht="27.75" customHeight="1">
      <c r="B105" s="20" t="inlineStr">
        <is>
          <t>Vendor units at the exit</t>
        </is>
      </c>
      <c r="C105" s="25">
        <f>(E95+E94)*C104</f>
        <v/>
      </c>
      <c r="I105" s="15" t="inlineStr">
        <is>
          <t>Capgemini plus partner.</t>
        </is>
      </c>
    </row>
    <row r="106" ht="27.75" customHeight="1">
      <c r="B106" s="20" t="inlineStr">
        <is>
          <t xml:space="preserve">  — of which Capgemini payroll, the transfer pool</t>
        </is>
      </c>
      <c r="C106" s="25">
        <f>E95*C104</f>
        <v/>
      </c>
      <c r="I106" s="15" t="inlineStr">
        <is>
          <t>ONLY THIS CAN MOVE. Partner seats are contracted to a third party; they are not ours to transfer.</t>
        </is>
      </c>
    </row>
    <row r="107" ht="27.75" customHeight="1">
      <c r="B107" s="20" t="inlineStr">
        <is>
          <t>50:50 requires each side to be</t>
        </is>
      </c>
      <c r="C107" s="25">
        <f>C103/2</f>
        <v/>
      </c>
      <c r="I107" s="15" t="inlineStr">
        <is>
          <t>Half the exit headcount.</t>
        </is>
      </c>
    </row>
    <row r="108" ht="27.75" customHeight="1">
      <c r="B108" s="19" t="inlineStr">
        <is>
          <t>TRANSFER REQUIRED</t>
        </is>
      </c>
      <c r="C108" s="35">
        <f>C105-C107</f>
        <v/>
      </c>
      <c r="I108" s="15" t="inlineStr">
        <is>
          <t>NEGATIVE means the 領域 is already past 50:50 and nothing needs to move — argue against further convergence rather than for it.</t>
        </is>
      </c>
    </row>
    <row r="109" ht="27.75" customHeight="1">
      <c r="B109" s="20" t="inlineStr">
        <is>
          <t>Cap on the transferable pool</t>
        </is>
      </c>
      <c r="C109" s="31">
        <f>'Rates &amp; Tables'!$C$53</f>
        <v/>
      </c>
      <c r="I109" s="15" t="inlineStr">
        <is>
          <t>The most of our own population we will put through a transfer of employment.</t>
        </is>
      </c>
    </row>
    <row r="110" ht="27.75" customHeight="1">
      <c r="B110" s="20" t="inlineStr">
        <is>
          <t>Maximum transferable</t>
        </is>
      </c>
      <c r="C110" s="25">
        <f>C106*C109</f>
        <v/>
      </c>
      <c r="I110" s="15" t="inlineStr">
        <is>
          <t>The pool times the cap.</t>
        </is>
      </c>
    </row>
    <row r="111" ht="27.75" customHeight="1">
      <c r="B111" s="19" t="inlineStr">
        <is>
          <t>TRANSFER APPLIED</t>
        </is>
      </c>
      <c r="C111" s="35">
        <f>MAX(0,MIN(C108,C110))</f>
        <v/>
      </c>
      <c r="I111" s="15" t="inlineStr">
        <is>
          <t>If this is materially below row 108 the 50:50 does not close on transfer alone, and the answer is a different sourcing mix rather than a bigger transfer. Contract Management is the worked example.</t>
        </is>
      </c>
    </row>
    <row r="112" ht="27.75" customHeight="1">
      <c r="B112" s="20" t="inlineStr">
        <is>
          <t xml:space="preserve">  — to MetLife Japan</t>
        </is>
      </c>
      <c r="C112" s="38">
        <f>ROUND(C111*'Rates &amp; Tables'!$C$54,1)</f>
        <v/>
      </c>
      <c r="I112" s="15" t="inlineStr">
        <is>
          <t>Onshore people to the onshore entity.</t>
        </is>
      </c>
    </row>
    <row r="113" ht="27.75" customHeight="1">
      <c r="B113" s="20" t="inlineStr">
        <is>
          <t xml:space="preserve">  — to MGCC</t>
        </is>
      </c>
      <c r="C113" s="38">
        <f>ROUND(C111-C112,1)</f>
        <v/>
      </c>
      <c r="I113" s="15" t="inlineStr">
        <is>
          <t>Offshore people to the offshore entity.</t>
        </is>
      </c>
    </row>
    <row r="114" ht="27.75" customHeight="1">
      <c r="B114" s="39" t="inlineStr">
        <is>
          <t>RESIDUAL GAP TO 50:50</t>
        </is>
      </c>
      <c r="C114" s="40">
        <f>C108-(C112+C113)</f>
        <v/>
      </c>
      <c r="I114" s="15" t="inlineStr">
        <is>
          <t>What the transfer cannot close. Report it; do not hide it.</t>
        </is>
      </c>
    </row>
    <row r="115" ht="27.75" customHeight="1">
      <c r="B115" s="20" t="inlineStr">
        <is>
          <t>Ratio actually reached at the Year-3 exit</t>
        </is>
      </c>
      <c r="C115" s="29">
        <f>IF(C103=0,0,(C105-(C112+C113))/C103)</f>
        <v/>
      </c>
      <c r="I115" s="15" t="inlineStr">
        <is>
          <t>MetLife has accepted 50:50 as the aspirational journey, not a hard target. A defensible number with a reason beats an engineered one.</t>
        </is>
      </c>
    </row>
    <row r="117" ht="15" customHeight="1">
      <c r="A117" s="4" t="inlineStr">
        <is>
          <t>I.  THE FINAL PLAN  —  Years 4 and 5 carry the transferred seats on MetLife's side</t>
        </is>
      </c>
    </row>
    <row r="118" ht="14.25" customHeight="1">
      <c r="B118" s="12" t="inlineStr">
        <is>
          <t>Measure</t>
        </is>
      </c>
      <c r="C118" s="12" t="inlineStr">
        <is>
          <t>Year 1</t>
        </is>
      </c>
      <c r="D118" s="12" t="inlineStr">
        <is>
          <t>Year 2</t>
        </is>
      </c>
      <c r="E118" s="12" t="inlineStr">
        <is>
          <t>Year 3</t>
        </is>
      </c>
      <c r="F118" s="12" t="inlineStr">
        <is>
          <t>Year 4</t>
        </is>
      </c>
      <c r="G118" s="12" t="inlineStr">
        <is>
          <t>Year 5</t>
        </is>
      </c>
      <c r="H118" s="12" t="n"/>
      <c r="I118" s="12" t="inlineStr">
        <is>
          <t>Note</t>
        </is>
      </c>
    </row>
    <row r="119" ht="30" customHeight="1">
      <c r="B119" s="13" t="inlineStr">
        <is>
          <t>Transferred people carried by MetLife Japan</t>
        </is>
      </c>
      <c r="C119" s="25" t="n">
        <v>0</v>
      </c>
      <c r="D119" s="25" t="n">
        <v>0</v>
      </c>
      <c r="E119" s="25" t="n">
        <v>0</v>
      </c>
      <c r="F119" s="25">
        <f>$C$112*IF((1-E79)=0,1,(1-F79)/(1-E79))</f>
        <v/>
      </c>
      <c r="G119" s="25">
        <f>$C$112*IF((1-E79)=0,1,(1-G79)/(1-E79))</f>
        <v/>
      </c>
      <c r="I119" s="15" t="inlineStr">
        <is>
          <t>Decayed, not held flat. Once inside MetLife they are subject to the same productivity as everybody else; pinning them at the Year-3 number was a defect in an earlier version of this model.</t>
        </is>
      </c>
    </row>
    <row r="120" ht="30" customHeight="1">
      <c r="B120" s="13" t="inlineStr">
        <is>
          <t>Transferred people carried by MGCC</t>
        </is>
      </c>
      <c r="C120" s="25" t="n">
        <v>0</v>
      </c>
      <c r="D120" s="25" t="n">
        <v>0</v>
      </c>
      <c r="E120" s="25" t="n">
        <v>0</v>
      </c>
      <c r="F120" s="25">
        <f>$C$113*IF($C$66=0,IF((1-E79)=0,1,(1-F79)/(1-E79)),IF((1-E80)=0,1,(1-F80)/(1-E80)))</f>
        <v/>
      </c>
      <c r="G120" s="25">
        <f>$C$113*IF($C$66=0,IF((1-E79)=0,1,(1-G79)/(1-E79)),IF((1-E80)=0,1,(1-G80)/(1-E80)))</f>
        <v/>
      </c>
      <c r="I120" s="15" t="inlineStr">
        <is>
          <t>Same mechanic, on the MGCC curve.</t>
        </is>
      </c>
    </row>
    <row r="121" ht="30" customHeight="1">
      <c r="B121" s="13" t="inlineStr">
        <is>
          <t>MetLife Japan  —  final</t>
        </is>
      </c>
      <c r="C121" s="25">
        <f>C92</f>
        <v/>
      </c>
      <c r="D121" s="25">
        <f>D92</f>
        <v/>
      </c>
      <c r="E121" s="25">
        <f>E92</f>
        <v/>
      </c>
      <c r="F121" s="25">
        <f>IF(AND($D$68=1,(F91-(F92+F119)-(F93+F120))/F91&lt;'Rates &amp; Tables'!$C$55),(F92+F119)*'Rates &amp; Tables'!$C$55*F91/((F92+F119)+(F93+F120)),(F92+F119))</f>
        <v/>
      </c>
      <c r="G121" s="25">
        <f>IF(AND($D$68=1,(G91-(G92+G119)-(G93+G120))/G91&lt;'Rates &amp; Tables'!$C$55),(G92+G119)*'Rates &amp; Tables'!$C$55*G91/((G92+G119)+(G93+G120)),(G92+G119))</f>
        <v/>
      </c>
      <c r="I121" s="15" t="inlineStr">
        <is>
          <t>Natural curve plus the transferred population.</t>
        </is>
      </c>
    </row>
    <row r="122" ht="30" customHeight="1">
      <c r="B122" s="13" t="inlineStr">
        <is>
          <t>MetLife MGCC  —  final</t>
        </is>
      </c>
      <c r="C122" s="25">
        <f>C93</f>
        <v/>
      </c>
      <c r="D122" s="25">
        <f>D93</f>
        <v/>
      </c>
      <c r="E122" s="25">
        <f>E93</f>
        <v/>
      </c>
      <c r="F122" s="25">
        <f>IF(AND($D$68=1,(F91-(F92+F119)-(F93+F120))/F91&lt;'Rates &amp; Tables'!$C$55),(F93+F120)*'Rates &amp; Tables'!$C$55*F91/((F92+F119)+(F93+F120)),(F93+F120))</f>
        <v/>
      </c>
      <c r="G122" s="25">
        <f>IF(AND($D$68=1,(G91-(G92+G119)-(G93+G120))/G91&lt;'Rates &amp; Tables'!$C$55),(G93+G120)*'Rates &amp; Tables'!$C$55*G91/((G92+G119)+(G93+G120)),(G93+G120))</f>
        <v/>
      </c>
      <c r="I122" s="15" t="inlineStr">
        <is>
          <t>Natural curve plus the transferred population.</t>
        </is>
      </c>
    </row>
    <row r="123" ht="30" customHeight="1">
      <c r="B123" s="13" t="inlineStr">
        <is>
          <t>Partner  —  final</t>
        </is>
      </c>
      <c r="C123" s="25">
        <f>C94</f>
        <v/>
      </c>
      <c r="D123" s="25">
        <f>D94</f>
        <v/>
      </c>
      <c r="E123" s="25">
        <f>E94</f>
        <v/>
      </c>
      <c r="F123" s="25">
        <f>F94</f>
        <v/>
      </c>
      <c r="G123" s="25">
        <f>G94</f>
        <v/>
      </c>
      <c r="I123" s="15" t="inlineStr">
        <is>
          <t>Unchanged by the transfer. Partner seats never move.</t>
        </is>
      </c>
    </row>
    <row r="124" ht="30" customHeight="1">
      <c r="B124" s="23" t="inlineStr">
        <is>
          <t>Capgemini  —  final</t>
        </is>
      </c>
      <c r="C124" s="17">
        <f>C95</f>
        <v/>
      </c>
      <c r="D124" s="17">
        <f>D95</f>
        <v/>
      </c>
      <c r="E124" s="17">
        <f>E95</f>
        <v/>
      </c>
      <c r="F124" s="17">
        <f>F91-F121-F122-F123</f>
        <v/>
      </c>
      <c r="G124" s="17">
        <f>G91-G121-G122-G123</f>
        <v/>
      </c>
      <c r="I124" s="15" t="inlineStr">
        <is>
          <t>The balance again, with the guardrail re-applied.</t>
        </is>
      </c>
    </row>
    <row r="125" ht="30" customHeight="1">
      <c r="B125" s="13" t="inlineStr">
        <is>
          <t>TOTAL  —  final</t>
        </is>
      </c>
      <c r="C125" s="25">
        <f>C121+C122+C123+C124</f>
        <v/>
      </c>
      <c r="D125" s="25">
        <f>D121+D122+D123+D124</f>
        <v/>
      </c>
      <c r="E125" s="25">
        <f>E121+E122+E123+E124</f>
        <v/>
      </c>
      <c r="F125" s="25">
        <f>F121+F122+F123+F124</f>
        <v/>
      </c>
      <c r="G125" s="25">
        <f>G121+G122+G123+G124</f>
        <v/>
      </c>
      <c r="I125" s="15" t="inlineStr">
        <is>
          <t>Should equal the target in row 91 unless the guardrail has fired.</t>
        </is>
      </c>
    </row>
    <row r="126" ht="30" customHeight="1">
      <c r="B126" s="23" t="inlineStr">
        <is>
          <t>RATIO  —  Capgemini + partner share</t>
        </is>
      </c>
      <c r="C126" s="18">
        <f>IF(C125=0,0,(C124+C123)/C125)</f>
        <v/>
      </c>
      <c r="D126" s="18">
        <f>IF(D125=0,0,(D124+D123)/D125)</f>
        <v/>
      </c>
      <c r="E126" s="18">
        <f>IF(E125=0,0,(E124+E123)/E125)</f>
        <v/>
      </c>
      <c r="F126" s="18">
        <f>IF(F125=0,0,(F124+F123)/F125)</f>
        <v/>
      </c>
      <c r="G126" s="18">
        <f>IF(G125=0,0,(G124+G123)/G125)</f>
        <v/>
      </c>
      <c r="I126" s="15" t="inlineStr">
        <is>
          <t>THE HEADLINE. Years 1 to 3 are the pre-transfer position; Years 4 and 5 are post-transfer.</t>
        </is>
      </c>
    </row>
    <row r="127" ht="30" customHeight="1">
      <c r="B127" s="15" t="inlineStr">
        <is>
          <t>ROWS 121 TO 124 ARE THE TARGET THE SEAT PLAN IS CHECKED AGAINST. Everything above this is how they were arrived at; everything below is location, and the Seat Planner is where they turn into people. The Reconciliation sheet tests the anatomy against this block, year by year and pool by pool.</t>
        </is>
      </c>
    </row>
    <row r="129" ht="15" customHeight="1">
      <c r="A129" s="4" t="inlineStr">
        <is>
          <t>J.  OFFSHORE  —  a measured start, a re-cut ceiling, and a closure curve</t>
        </is>
      </c>
    </row>
    <row r="130" ht="21.75" customHeight="1">
      <c r="B130" s="13" t="inlineStr">
        <is>
          <t>Delivered offshore or by MGCC today</t>
        </is>
      </c>
      <c r="C130" s="18">
        <f>IF($C$7=0,0,($C$12+$C$10)/$C$7)</f>
        <v/>
      </c>
      <c r="I130" s="15" t="inlineStr">
        <is>
          <t>MEASURED. Vendor offshore plus MGCC, over the frozen scope. MGCC counts: the work is away from Tokyo whoever employs the person.</t>
        </is>
      </c>
    </row>
    <row r="131" ht="14.25" customHeight="1">
      <c r="B131" s="13" t="inlineStr">
        <is>
          <t>Blended offshore ceiling</t>
        </is>
      </c>
      <c r="C131" s="18">
        <f>$C$39</f>
        <v/>
      </c>
      <c r="I131" s="15" t="inlineStr">
        <is>
          <t>From section C. A 領域 of J applications caps at 12% and there is no case to make.</t>
        </is>
      </c>
    </row>
    <row r="132" ht="14.25" customHeight="1">
      <c r="B132" s="12" t="inlineStr">
        <is>
          <t>Driver</t>
        </is>
      </c>
      <c r="C132" s="12" t="inlineStr">
        <is>
          <t>Year 1</t>
        </is>
      </c>
      <c r="D132" s="12" t="inlineStr">
        <is>
          <t>Year 2</t>
        </is>
      </c>
      <c r="E132" s="12" t="inlineStr">
        <is>
          <t>Year 3</t>
        </is>
      </c>
      <c r="F132" s="12" t="inlineStr">
        <is>
          <t>Year 4</t>
        </is>
      </c>
      <c r="G132" s="12" t="inlineStr">
        <is>
          <t>Year 5</t>
        </is>
      </c>
      <c r="H132" s="12" t="n"/>
      <c r="I132" s="12" t="inlineStr">
        <is>
          <t>Basis</t>
        </is>
      </c>
    </row>
    <row r="133" ht="39.75" customHeight="1">
      <c r="B133" s="19" t="inlineStr">
        <is>
          <t>Gap closure — share of (ceiling − today) reached  —  INPUT</t>
        </is>
      </c>
      <c r="C133" s="41" t="n">
        <v>0</v>
      </c>
      <c r="D133" s="41" t="n">
        <v>0.3</v>
      </c>
      <c r="E133" s="41" t="n">
        <v>0.55</v>
      </c>
      <c r="F133" s="41" t="n">
        <v>0.72</v>
      </c>
      <c r="G133" s="41" t="n">
        <v>0.85</v>
      </c>
      <c r="I133" s="15" t="inlineStr">
        <is>
          <t>SEEDED, NOT DECIDED. Year 1 should be close to zero — the Year-1 roster is what Appendix 3 says it is. Everything after that is a transition assumption you own. A 領域 whose onshore population is mostly MetLife's cannot move offshore faster than MetLife lets it.</t>
        </is>
      </c>
    </row>
    <row r="134" ht="14.25" customHeight="1">
      <c r="B134" s="23" t="inlineStr">
        <is>
          <t>TARGET OFFSHORE SHARE, whole team</t>
        </is>
      </c>
      <c r="C134" s="18">
        <f>$C$130+($C$131-$C$130)*C133</f>
        <v/>
      </c>
      <c r="D134" s="18">
        <f>$C$130+($C$131-$C$130)*D133</f>
        <v/>
      </c>
      <c r="E134" s="18">
        <f>$C$130+($C$131-$C$130)*E133</f>
        <v/>
      </c>
      <c r="F134" s="18">
        <f>$C$130+($C$131-$C$130)*F133</f>
        <v/>
      </c>
      <c r="G134" s="18">
        <f>$C$130+($C$131-$C$130)*G133</f>
        <v/>
      </c>
    </row>
  </sheetData>
  <mergeCells count="18">
    <mergeCell ref="A1:J1"/>
    <mergeCell ref="A117:J117"/>
    <mergeCell ref="B127:H127"/>
    <mergeCell ref="A89:J89"/>
    <mergeCell ref="A61:J61"/>
    <mergeCell ref="A18:J18"/>
    <mergeCell ref="A100:J100"/>
    <mergeCell ref="A30:J30"/>
    <mergeCell ref="B87:H87"/>
    <mergeCell ref="C27:G27"/>
    <mergeCell ref="A4:J4"/>
    <mergeCell ref="B16:H16"/>
    <mergeCell ref="A129:J129"/>
    <mergeCell ref="A2:J2"/>
    <mergeCell ref="B59:H59"/>
    <mergeCell ref="A41:J41"/>
    <mergeCell ref="A54:J54"/>
    <mergeCell ref="B28:H28"/>
  </mergeCells>
  <dataValidations count="1">
    <dataValidation sqref="D56" showDropDown="0" showInputMessage="0" showErrorMessage="0" allowBlank="0" type="list">
      <formula1>"FSI,NCD,NCS,all named,none"</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34"/>
  <sheetViews>
    <sheetView topLeftCell="C16" zoomScaleNormal="100" workbookViewId="0">
      <selection activeCell="A1" sqref="A1:L1"/>
    </sheetView>
  </sheetViews>
  <sheetFormatPr baseColWidth="8" defaultColWidth="8.6328125" defaultRowHeight="14.5"/>
  <cols>
    <col width="2.453125" customWidth="1" min="1" max="1"/>
    <col width="5" customWidth="1" min="2" max="2"/>
    <col width="40" customWidth="1" min="3" max="3"/>
    <col width="8" customWidth="1" min="4" max="4"/>
    <col width="11" customWidth="1" min="5" max="5"/>
    <col width="9" customWidth="1" min="6" max="6"/>
    <col width="13" customWidth="1" min="7" max="8"/>
    <col width="3" customWidth="1" min="9" max="9"/>
    <col width="11.90625" customWidth="1" min="10" max="10"/>
    <col width="9" customWidth="1" min="11" max="13"/>
    <col width="3" customWidth="1" min="14" max="14"/>
    <col width="60" customWidth="1" min="15" max="15"/>
  </cols>
  <sheetData>
    <row r="1" ht="25.5" customHeight="1">
      <c r="A1" s="8" t="inlineStr">
        <is>
          <t>Value streams and delivery mode  —  the streams fill in, the conversion is yours</t>
        </is>
      </c>
    </row>
    <row r="2" ht="15" customHeight="1">
      <c r="A2" s="7" t="inlineStr">
        <is>
          <t>Stream names, application counts, effort and today's development method are read from Appendix 3 v5. What you decide is when each stream converts to pod delivery and how many units you run.</t>
        </is>
      </c>
    </row>
    <row r="4" ht="17.25" customHeight="1">
      <c r="A4" s="4" t="inlineStr">
        <is>
          <t>A.  THE STREAMS IN THIS 領域  (auto, except the conversion quarter)</t>
        </is>
      </c>
    </row>
    <row r="5" ht="21.75" customHeight="1">
      <c r="B5" s="12" t="inlineStr">
        <is>
          <t>#</t>
        </is>
      </c>
      <c r="C5" s="12" t="inlineStr">
        <is>
          <t>Value stream</t>
        </is>
      </c>
      <c r="D5" s="12" t="inlineStr">
        <is>
          <t>Apps</t>
        </is>
      </c>
      <c r="E5" s="12" t="inlineStr">
        <is>
          <t>Effort</t>
        </is>
      </c>
      <c r="F5" s="12" t="inlineStr">
        <is>
          <t>Share</t>
        </is>
      </c>
      <c r="G5" s="12" t="inlineStr">
        <is>
          <t>Method today</t>
        </is>
      </c>
      <c r="H5" s="12" t="inlineStr">
        <is>
          <t>Converts in Q — INPUT</t>
        </is>
      </c>
    </row>
    <row r="6" ht="33" customHeight="1">
      <c r="B6" s="42" t="n">
        <v>1</v>
      </c>
      <c r="C6" s="13">
        <f>IFERROR(INDEX('Stream Catalogue'!$E$5:$E$31,MATCH('START HERE'!$C$5&amp;"|"&amp;$B6,'Stream Catalogue'!$B$5:$B$31,0)),"")</f>
        <v/>
      </c>
      <c r="D6" s="22">
        <f>IFERROR(INDEX('Stream Catalogue'!$F$5:$F$31,MATCH('START HERE'!$C$5&amp;"|"&amp;$B6,'Stream Catalogue'!$B$5:$B$31,0)),"")</f>
        <v/>
      </c>
      <c r="E6" s="24">
        <f>IFERROR(INDEX('Stream Catalogue'!$G$5:$G$31,MATCH('START HERE'!$C$5&amp;"|"&amp;$B6,'Stream Catalogue'!$B$5:$B$31,0)),"")</f>
        <v/>
      </c>
      <c r="F6" s="29">
        <f>IF($E6="","",IF('Logic Tree'!$C$7=0,0,$E6/'Logic Tree'!$C$7))</f>
        <v/>
      </c>
      <c r="G6" s="43">
        <f>IFERROR(INDEX('Stream Catalogue'!$H$5:$H$31,MATCH('START HERE'!$C$5&amp;"|"&amp;$B6,'Stream Catalogue'!$B$5:$B$31,0)),"")</f>
        <v/>
      </c>
      <c r="H6" s="36" t="n">
        <v>1</v>
      </c>
      <c r="J6" s="15" t="inlineStr">
        <is>
          <t>Blank rows mean your 領域 has fewer than six value streams — that is normal, most have two or three. If row 13 is not zero, your 領域 has MORE than six and the catalogue needs extending; tell whoever maintains this template.</t>
        </is>
      </c>
    </row>
    <row r="7" ht="14.25" customHeight="1">
      <c r="B7" s="42" t="n">
        <v>2</v>
      </c>
      <c r="C7" s="13">
        <f>IFERROR(INDEX('Stream Catalogue'!$E$5:$E$31,MATCH('START HERE'!$C$5&amp;"|"&amp;$B7,'Stream Catalogue'!$B$5:$B$31,0)),"")</f>
        <v/>
      </c>
      <c r="D7" s="22">
        <f>IFERROR(INDEX('Stream Catalogue'!$F$5:$F$31,MATCH('START HERE'!$C$5&amp;"|"&amp;$B7,'Stream Catalogue'!$B$5:$B$31,0)),"")</f>
        <v/>
      </c>
      <c r="E7" s="24">
        <f>IFERROR(INDEX('Stream Catalogue'!$G$5:$G$31,MATCH('START HERE'!$C$5&amp;"|"&amp;$B7,'Stream Catalogue'!$B$5:$B$31,0)),"")</f>
        <v/>
      </c>
      <c r="F7" s="29">
        <f>IF($E7="","",IF('Logic Tree'!$C$7=0,0,$E7/'Logic Tree'!$C$7))</f>
        <v/>
      </c>
      <c r="G7" s="43">
        <f>IFERROR(INDEX('Stream Catalogue'!$H$5:$H$31,MATCH('START HERE'!$C$5&amp;"|"&amp;$B7,'Stream Catalogue'!$B$5:$B$31,0)),"")</f>
        <v/>
      </c>
      <c r="H7" s="36" t="n">
        <v>5</v>
      </c>
    </row>
    <row r="8" ht="14.25" customHeight="1">
      <c r="B8" s="42" t="n">
        <v>3</v>
      </c>
      <c r="C8" s="13">
        <f>IFERROR(INDEX('Stream Catalogue'!$E$5:$E$31,MATCH('START HERE'!$C$5&amp;"|"&amp;$B8,'Stream Catalogue'!$B$5:$B$31,0)),"")</f>
        <v/>
      </c>
      <c r="D8" s="22">
        <f>IFERROR(INDEX('Stream Catalogue'!$F$5:$F$31,MATCH('START HERE'!$C$5&amp;"|"&amp;$B8,'Stream Catalogue'!$B$5:$B$31,0)),"")</f>
        <v/>
      </c>
      <c r="E8" s="24">
        <f>IFERROR(INDEX('Stream Catalogue'!$G$5:$G$31,MATCH('START HERE'!$C$5&amp;"|"&amp;$B8,'Stream Catalogue'!$B$5:$B$31,0)),"")</f>
        <v/>
      </c>
      <c r="F8" s="29">
        <f>IF($E8="","",IF('Logic Tree'!$C$7=0,0,$E8/'Logic Tree'!$C$7))</f>
        <v/>
      </c>
      <c r="G8" s="43">
        <f>IFERROR(INDEX('Stream Catalogue'!$H$5:$H$31,MATCH('START HERE'!$C$5&amp;"|"&amp;$B8,'Stream Catalogue'!$B$5:$B$31,0)),"")</f>
        <v/>
      </c>
      <c r="H8" s="36" t="n">
        <v>7</v>
      </c>
    </row>
    <row r="9" ht="49.5" customHeight="1">
      <c r="B9" s="42" t="n">
        <v>4</v>
      </c>
      <c r="C9" s="13">
        <f>IFERROR(INDEX('Stream Catalogue'!$E$5:$E$31,MATCH('START HERE'!$C$5&amp;"|"&amp;$B9,'Stream Catalogue'!$B$5:$B$31,0)),"")</f>
        <v/>
      </c>
      <c r="D9" s="22">
        <f>IFERROR(INDEX('Stream Catalogue'!$F$5:$F$31,MATCH('START HERE'!$C$5&amp;"|"&amp;$B9,'Stream Catalogue'!$B$5:$B$31,0)),"")</f>
        <v/>
      </c>
      <c r="E9" s="24">
        <f>IFERROR(INDEX('Stream Catalogue'!$G$5:$G$31,MATCH('START HERE'!$C$5&amp;"|"&amp;$B9,'Stream Catalogue'!$B$5:$B$31,0)),"")</f>
        <v/>
      </c>
      <c r="F9" s="29">
        <f>IF($E9="","",IF('Logic Tree'!$C$7=0,0,$E9/'Logic Tree'!$C$7))</f>
        <v/>
      </c>
      <c r="G9" s="43">
        <f>IFERROR(INDEX('Stream Catalogue'!$H$5:$H$31,MATCH('START HERE'!$C$5&amp;"|"&amp;$B9,'Stream Catalogue'!$B$5:$B$31,0)),"")</f>
        <v/>
      </c>
      <c r="H9" s="36" t="n">
        <v>9</v>
      </c>
      <c r="J9" s="15" t="inlineStr">
        <is>
          <t>THE CONVERSION QUARTER IS THE ASSUMPTION TO ARGUE ABOUT. Q1 means the stream runs as pods from day one; Q9 means it converts at the start of Year 3. A stream that is already recorded Agile in Appendix 3 should convert early — the work is proving the pod shape, not changing method. A Japanese-specification waterfall stream should convert late or not at all.</t>
        </is>
      </c>
    </row>
    <row r="10" ht="14.25" customHeight="1">
      <c r="B10" s="42" t="n">
        <v>5</v>
      </c>
      <c r="C10" s="13">
        <f>IFERROR(INDEX('Stream Catalogue'!$E$5:$E$31,MATCH('START HERE'!$C$5&amp;"|"&amp;$B10,'Stream Catalogue'!$B$5:$B$31,0)),"")</f>
        <v/>
      </c>
      <c r="D10" s="22">
        <f>IFERROR(INDEX('Stream Catalogue'!$F$5:$F$31,MATCH('START HERE'!$C$5&amp;"|"&amp;$B10,'Stream Catalogue'!$B$5:$B$31,0)),"")</f>
        <v/>
      </c>
      <c r="E10" s="24">
        <f>IFERROR(INDEX('Stream Catalogue'!$G$5:$G$31,MATCH('START HERE'!$C$5&amp;"|"&amp;$B10,'Stream Catalogue'!$B$5:$B$31,0)),"")</f>
        <v/>
      </c>
      <c r="F10" s="29">
        <f>IF($E10="","",IF('Logic Tree'!$C$7=0,0,$E10/'Logic Tree'!$C$7))</f>
        <v/>
      </c>
      <c r="G10" s="43">
        <f>IFERROR(INDEX('Stream Catalogue'!$H$5:$H$31,MATCH('START HERE'!$C$5&amp;"|"&amp;$B10,'Stream Catalogue'!$B$5:$B$31,0)),"")</f>
        <v/>
      </c>
      <c r="H10" s="36" t="n">
        <v>11</v>
      </c>
    </row>
    <row r="11" ht="14.25" customHeight="1">
      <c r="B11" s="42" t="n">
        <v>6</v>
      </c>
      <c r="C11" s="13">
        <f>IFERROR(INDEX('Stream Catalogue'!$E$5:$E$31,MATCH('START HERE'!$C$5&amp;"|"&amp;$B11,'Stream Catalogue'!$B$5:$B$31,0)),"")</f>
        <v/>
      </c>
      <c r="D11" s="22">
        <f>IFERROR(INDEX('Stream Catalogue'!$F$5:$F$31,MATCH('START HERE'!$C$5&amp;"|"&amp;$B11,'Stream Catalogue'!$B$5:$B$31,0)),"")</f>
        <v/>
      </c>
      <c r="E11" s="24">
        <f>IFERROR(INDEX('Stream Catalogue'!$G$5:$G$31,MATCH('START HERE'!$C$5&amp;"|"&amp;$B11,'Stream Catalogue'!$B$5:$B$31,0)),"")</f>
        <v/>
      </c>
      <c r="F11" s="29">
        <f>IF($E11="","",IF('Logic Tree'!$C$7=0,0,$E11/'Logic Tree'!$C$7))</f>
        <v/>
      </c>
      <c r="G11" s="43">
        <f>IFERROR(INDEX('Stream Catalogue'!$H$5:$H$31,MATCH('START HERE'!$C$5&amp;"|"&amp;$B11,'Stream Catalogue'!$B$5:$B$31,0)),"")</f>
        <v/>
      </c>
      <c r="H11" s="36" t="n">
        <v>13</v>
      </c>
    </row>
    <row r="12" ht="14.25" customHeight="1">
      <c r="B12" s="13" t="n"/>
      <c r="C12" s="23" t="inlineStr">
        <is>
          <t>Total  —  must equal the frozen scope</t>
        </is>
      </c>
      <c r="D12" s="14">
        <f>SUM(D6:D11)</f>
        <v/>
      </c>
      <c r="E12" s="16">
        <f>SUM(E6:E11)</f>
        <v/>
      </c>
      <c r="F12" s="18">
        <f>IF('Logic Tree'!$C$7=0,0,E12/'Logic Tree'!$C$7)</f>
        <v/>
      </c>
    </row>
    <row r="13" ht="14.25" customHeight="1">
      <c r="C13" s="13" t="inlineStr">
        <is>
          <t>Reconciliation to the Logic Tree</t>
        </is>
      </c>
      <c r="E13" s="44">
        <f>E12-'Logic Tree'!$C$7</f>
        <v/>
      </c>
    </row>
    <row r="15" ht="15" customHeight="1">
      <c r="A15" s="4" t="inlineStr">
        <is>
          <t>B.  DELIVERY UNITS BY YEAR  —  INPUT</t>
        </is>
      </c>
    </row>
    <row r="16" ht="33" customHeight="1">
      <c r="B16" s="12" t="inlineStr">
        <is>
          <t>#</t>
        </is>
      </c>
      <c r="C16" s="12" t="inlineStr">
        <is>
          <t>Value stream</t>
        </is>
      </c>
      <c r="D16" s="12" t="inlineStr">
        <is>
          <t>Y1 pods</t>
        </is>
      </c>
      <c r="E16" s="12" t="inlineStr">
        <is>
          <t>Y1 teams</t>
        </is>
      </c>
      <c r="F16" s="12" t="inlineStr">
        <is>
          <t>Y2 pods</t>
        </is>
      </c>
      <c r="G16" s="12" t="inlineStr">
        <is>
          <t>Y2 teams</t>
        </is>
      </c>
      <c r="H16" s="12" t="inlineStr">
        <is>
          <t>Y3 pods</t>
        </is>
      </c>
      <c r="I16" s="12" t="inlineStr">
        <is>
          <t>Y3 teams</t>
        </is>
      </c>
      <c r="J16" s="12" t="inlineStr">
        <is>
          <t>Y4 pods</t>
        </is>
      </c>
      <c r="K16" s="12" t="inlineStr">
        <is>
          <t>Y4 teams</t>
        </is>
      </c>
      <c r="L16" s="12" t="inlineStr">
        <is>
          <t>Y5 pods</t>
        </is>
      </c>
      <c r="M16" s="12" t="inlineStr">
        <is>
          <t>Y5 teams</t>
        </is>
      </c>
    </row>
    <row r="17" ht="55.5" customHeight="1">
      <c r="B17" s="42" t="n">
        <v>1</v>
      </c>
      <c r="C17" s="13">
        <f>C6</f>
        <v/>
      </c>
      <c r="D17" s="45" t="n">
        <v>1</v>
      </c>
      <c r="E17" s="45" t="n">
        <v>0</v>
      </c>
      <c r="F17" s="45" t="n">
        <v>1</v>
      </c>
      <c r="G17" s="45" t="n">
        <v>0</v>
      </c>
      <c r="H17" s="45" t="n">
        <v>1</v>
      </c>
      <c r="I17" s="45" t="n">
        <v>0</v>
      </c>
      <c r="J17" s="45" t="n">
        <v>1</v>
      </c>
      <c r="K17" s="45" t="n">
        <v>0</v>
      </c>
      <c r="L17" s="45" t="n">
        <v>1</v>
      </c>
      <c r="M17" s="45" t="n">
        <v>0</v>
      </c>
      <c r="O17" s="15" t="inlineStr">
        <is>
          <t>A POD is a cross-functional unit that owns a stream end to end; a TEAM is the waterfall or hybrid shape with a separate test cell. Across the five 領域 modelled, pods run 10 seats in Year 1 falling to 6 by Year 4, and teams run 11 to 12 with the test cell attached. Enter the counts here; the Seat Planner multiplies them by the seat anatomy you design.</t>
        </is>
      </c>
    </row>
    <row r="18" ht="14.25" customHeight="1">
      <c r="B18" s="42" t="n">
        <v>2</v>
      </c>
      <c r="C18" s="13">
        <f>C7</f>
        <v/>
      </c>
      <c r="D18" s="45" t="n">
        <v>0</v>
      </c>
      <c r="E18" s="45" t="n">
        <v>1</v>
      </c>
      <c r="F18" s="45" t="n">
        <v>1</v>
      </c>
      <c r="G18" s="45" t="n">
        <v>0</v>
      </c>
      <c r="H18" s="45" t="n">
        <v>1</v>
      </c>
      <c r="I18" s="45" t="n">
        <v>0</v>
      </c>
      <c r="J18" s="45" t="n">
        <v>1</v>
      </c>
      <c r="K18" s="45" t="n">
        <v>0</v>
      </c>
      <c r="L18" s="45" t="n">
        <v>1</v>
      </c>
      <c r="M18" s="45" t="n">
        <v>0</v>
      </c>
    </row>
    <row r="19" ht="14.25" customHeight="1">
      <c r="B19" s="42" t="n">
        <v>3</v>
      </c>
      <c r="C19" s="13">
        <f>C8</f>
        <v/>
      </c>
      <c r="D19" s="45" t="n">
        <v>0</v>
      </c>
      <c r="E19" s="45" t="n">
        <v>1</v>
      </c>
      <c r="F19" s="45" t="n">
        <v>0</v>
      </c>
      <c r="G19" s="45" t="n">
        <v>1</v>
      </c>
      <c r="H19" s="45" t="n">
        <v>1</v>
      </c>
      <c r="I19" s="45" t="n">
        <v>0</v>
      </c>
      <c r="J19" s="45" t="n">
        <v>1</v>
      </c>
      <c r="K19" s="45" t="n">
        <v>0</v>
      </c>
      <c r="L19" s="45" t="n">
        <v>1</v>
      </c>
      <c r="M19" s="45" t="n">
        <v>0</v>
      </c>
    </row>
    <row r="20" ht="43.5" customHeight="1">
      <c r="B20" s="42" t="n">
        <v>4</v>
      </c>
      <c r="C20" s="13">
        <f>C9</f>
        <v/>
      </c>
      <c r="D20" s="45" t="n">
        <v>0</v>
      </c>
      <c r="E20" s="45" t="n">
        <v>0</v>
      </c>
      <c r="F20" s="45" t="n">
        <v>0</v>
      </c>
      <c r="G20" s="45" t="n">
        <v>0</v>
      </c>
      <c r="H20" s="45" t="n">
        <v>0</v>
      </c>
      <c r="I20" s="45" t="n">
        <v>0</v>
      </c>
      <c r="J20" s="45" t="n">
        <v>0</v>
      </c>
      <c r="K20" s="45" t="n">
        <v>0</v>
      </c>
      <c r="L20" s="45" t="n">
        <v>0</v>
      </c>
      <c r="M20" s="45" t="n">
        <v>0</v>
      </c>
      <c r="O20" s="15" t="inlineStr">
        <is>
          <t>Teams should disappear as streams convert. If you still have teams in Year 5, either the conversion quarters above are wrong or you are telling MetLife the 領域 never modernises — which may be the right answer for a Japan-locked estate, but say it out loud.</t>
        </is>
      </c>
    </row>
    <row r="21" ht="14.25" customHeight="1">
      <c r="B21" s="42" t="n">
        <v>5</v>
      </c>
      <c r="C21" s="13">
        <f>C10</f>
        <v/>
      </c>
      <c r="D21" s="45" t="n">
        <v>0</v>
      </c>
      <c r="E21" s="45" t="n">
        <v>0</v>
      </c>
      <c r="F21" s="45" t="n">
        <v>0</v>
      </c>
      <c r="G21" s="45" t="n">
        <v>0</v>
      </c>
      <c r="H21" s="45" t="n">
        <v>0</v>
      </c>
      <c r="I21" s="45" t="n">
        <v>0</v>
      </c>
      <c r="J21" s="45" t="n">
        <v>0</v>
      </c>
      <c r="K21" s="45" t="n">
        <v>0</v>
      </c>
      <c r="L21" s="45" t="n">
        <v>0</v>
      </c>
      <c r="M21" s="45" t="n">
        <v>0</v>
      </c>
    </row>
    <row r="22" ht="14.25" customHeight="1">
      <c r="B22" s="42" t="n">
        <v>6</v>
      </c>
      <c r="C22" s="13">
        <f>C11</f>
        <v/>
      </c>
      <c r="D22" s="45" t="n">
        <v>0</v>
      </c>
      <c r="E22" s="45" t="n">
        <v>0</v>
      </c>
      <c r="F22" s="45" t="n">
        <v>0</v>
      </c>
      <c r="G22" s="45" t="n">
        <v>0</v>
      </c>
      <c r="H22" s="45" t="n">
        <v>0</v>
      </c>
      <c r="I22" s="45" t="n">
        <v>0</v>
      </c>
      <c r="J22" s="45" t="n">
        <v>0</v>
      </c>
      <c r="K22" s="45" t="n">
        <v>0</v>
      </c>
      <c r="L22" s="45" t="n">
        <v>0</v>
      </c>
      <c r="M22" s="45" t="n">
        <v>0</v>
      </c>
    </row>
    <row r="23" ht="14.25" customHeight="1">
      <c r="C23" s="23" t="inlineStr">
        <is>
          <t>TOTAL DELIVERY UNITS</t>
        </is>
      </c>
      <c r="D23" s="14">
        <f>SUM(D17:D22)</f>
        <v/>
      </c>
      <c r="E23" s="14">
        <f>SUM(E17:E22)</f>
        <v/>
      </c>
      <c r="F23" s="14">
        <f>SUM(F17:F22)</f>
        <v/>
      </c>
      <c r="G23" s="14">
        <f>SUM(G17:G22)</f>
        <v/>
      </c>
      <c r="H23" s="14">
        <f>SUM(H17:H22)</f>
        <v/>
      </c>
      <c r="I23" s="14">
        <f>SUM(I17:I22)</f>
        <v/>
      </c>
      <c r="J23" s="14">
        <f>SUM(J17:J22)</f>
        <v/>
      </c>
      <c r="K23" s="14">
        <f>SUM(K17:K22)</f>
        <v/>
      </c>
      <c r="L23" s="14">
        <f>SUM(L17:L22)</f>
        <v/>
      </c>
      <c r="M23" s="14">
        <f>SUM(M17:M22)</f>
        <v/>
      </c>
    </row>
    <row r="25" ht="15" customHeight="1">
      <c r="A25" s="4" t="inlineStr">
        <is>
          <t>C.  AGILE SHARE BY YEAR  (auto)  —  read by the Logic Tree</t>
        </is>
      </c>
    </row>
    <row r="26" ht="14.25" customHeight="1">
      <c r="B26" s="12" t="inlineStr">
        <is>
          <t>#</t>
        </is>
      </c>
      <c r="C26" s="12" t="inlineStr">
        <is>
          <t>Value stream</t>
        </is>
      </c>
      <c r="D26" s="12" t="inlineStr">
        <is>
          <t>Year 1</t>
        </is>
      </c>
      <c r="E26" s="12" t="inlineStr">
        <is>
          <t>Year 2</t>
        </is>
      </c>
      <c r="F26" s="12" t="inlineStr">
        <is>
          <t>Year 3</t>
        </is>
      </c>
      <c r="G26" s="12" t="inlineStr">
        <is>
          <t>Year 4</t>
        </is>
      </c>
      <c r="H26" s="12" t="inlineStr">
        <is>
          <t>Year 5</t>
        </is>
      </c>
    </row>
    <row r="27" ht="14.25" customHeight="1">
      <c r="B27" s="42" t="n">
        <v>1</v>
      </c>
      <c r="C27" s="13">
        <f>C6</f>
        <v/>
      </c>
      <c r="D27" s="31">
        <f>IF($C27="",0,MAX(0,MIN(4,4-$H6+1))/4)</f>
        <v/>
      </c>
      <c r="E27" s="31">
        <f>IF($C27="",0,MAX(0,MIN(4,8-$H6+1))/4)</f>
        <v/>
      </c>
      <c r="F27" s="31">
        <f>IF($C27="",0,MAX(0,MIN(4,12-$H6+1))/4)</f>
        <v/>
      </c>
      <c r="G27" s="31">
        <f>IF($C27="",0,MAX(0,MIN(4,16-$H6+1))/4)</f>
        <v/>
      </c>
      <c r="H27" s="31">
        <f>IF($C27="",0,MAX(0,MIN(4,20-$H6+1))/4)</f>
        <v/>
      </c>
    </row>
    <row r="28" ht="14.25" customHeight="1">
      <c r="B28" s="42" t="n">
        <v>2</v>
      </c>
      <c r="C28" s="13">
        <f>C7</f>
        <v/>
      </c>
      <c r="D28" s="31">
        <f>IF($C28="",0,MAX(0,MIN(4,4-$H7+1))/4)</f>
        <v/>
      </c>
      <c r="E28" s="31">
        <f>IF($C28="",0,MAX(0,MIN(4,8-$H7+1))/4)</f>
        <v/>
      </c>
      <c r="F28" s="31">
        <f>IF($C28="",0,MAX(0,MIN(4,12-$H7+1))/4)</f>
        <v/>
      </c>
      <c r="G28" s="31">
        <f>IF($C28="",0,MAX(0,MIN(4,16-$H7+1))/4)</f>
        <v/>
      </c>
      <c r="H28" s="31">
        <f>IF($C28="",0,MAX(0,MIN(4,20-$H7+1))/4)</f>
        <v/>
      </c>
    </row>
    <row r="29" ht="14.25" customHeight="1">
      <c r="B29" s="42" t="n">
        <v>3</v>
      </c>
      <c r="C29" s="13">
        <f>C8</f>
        <v/>
      </c>
      <c r="D29" s="31">
        <f>IF($C29="",0,MAX(0,MIN(4,4-$H8+1))/4)</f>
        <v/>
      </c>
      <c r="E29" s="31">
        <f>IF($C29="",0,MAX(0,MIN(4,8-$H8+1))/4)</f>
        <v/>
      </c>
      <c r="F29" s="31">
        <f>IF($C29="",0,MAX(0,MIN(4,12-$H8+1))/4)</f>
        <v/>
      </c>
      <c r="G29" s="31">
        <f>IF($C29="",0,MAX(0,MIN(4,16-$H8+1))/4)</f>
        <v/>
      </c>
      <c r="H29" s="31">
        <f>IF($C29="",0,MAX(0,MIN(4,20-$H8+1))/4)</f>
        <v/>
      </c>
    </row>
    <row r="30" ht="14.25" customHeight="1">
      <c r="B30" s="42" t="n">
        <v>4</v>
      </c>
      <c r="C30" s="13">
        <f>C9</f>
        <v/>
      </c>
      <c r="D30" s="31">
        <f>IF($C30="",0,MAX(0,MIN(4,4-$H9+1))/4)</f>
        <v/>
      </c>
      <c r="E30" s="31">
        <f>IF($C30="",0,MAX(0,MIN(4,8-$H9+1))/4)</f>
        <v/>
      </c>
      <c r="F30" s="31">
        <f>IF($C30="",0,MAX(0,MIN(4,12-$H9+1))/4)</f>
        <v/>
      </c>
      <c r="G30" s="31">
        <f>IF($C30="",0,MAX(0,MIN(4,16-$H9+1))/4)</f>
        <v/>
      </c>
      <c r="H30" s="31">
        <f>IF($C30="",0,MAX(0,MIN(4,20-$H9+1))/4)</f>
        <v/>
      </c>
    </row>
    <row r="31" ht="14.25" customHeight="1">
      <c r="B31" s="42" t="n">
        <v>5</v>
      </c>
      <c r="C31" s="13">
        <f>C10</f>
        <v/>
      </c>
      <c r="D31" s="31">
        <f>IF($C31="",0,MAX(0,MIN(4,4-$H10+1))/4)</f>
        <v/>
      </c>
      <c r="E31" s="31">
        <f>IF($C31="",0,MAX(0,MIN(4,8-$H10+1))/4)</f>
        <v/>
      </c>
      <c r="F31" s="31">
        <f>IF($C31="",0,MAX(0,MIN(4,12-$H10+1))/4)</f>
        <v/>
      </c>
      <c r="G31" s="31">
        <f>IF($C31="",0,MAX(0,MIN(4,16-$H10+1))/4)</f>
        <v/>
      </c>
      <c r="H31" s="31">
        <f>IF($C31="",0,MAX(0,MIN(4,20-$H10+1))/4)</f>
        <v/>
      </c>
    </row>
    <row r="32" ht="14.25" customHeight="1">
      <c r="B32" s="42" t="n">
        <v>6</v>
      </c>
      <c r="C32" s="13">
        <f>C11</f>
        <v/>
      </c>
      <c r="D32" s="31">
        <f>IF($C32="",0,MAX(0,MIN(4,4-$H11+1))/4)</f>
        <v/>
      </c>
      <c r="E32" s="31">
        <f>IF($C32="",0,MAX(0,MIN(4,8-$H11+1))/4)</f>
        <v/>
      </c>
      <c r="F32" s="31">
        <f>IF($C32="",0,MAX(0,MIN(4,12-$H11+1))/4)</f>
        <v/>
      </c>
      <c r="G32" s="31">
        <f>IF($C32="",0,MAX(0,MIN(4,16-$H11+1))/4)</f>
        <v/>
      </c>
      <c r="H32" s="31">
        <f>IF($C32="",0,MAX(0,MIN(4,20-$H11+1))/4)</f>
        <v/>
      </c>
    </row>
    <row r="33" ht="24" customHeight="1">
      <c r="C33" s="23" t="inlineStr">
        <is>
          <t>EFFORT-WEIGHTED AGILE SHARE OF THE 領域</t>
        </is>
      </c>
      <c r="D33" s="18">
        <f>IF($E$12=0,0,SUMPRODUCT($E$6:$E$11,D27:D32)/$E$12)</f>
        <v/>
      </c>
      <c r="E33" s="18">
        <f>IF($E$12=0,0,SUMPRODUCT($E$6:$E$11,E27:E32)/$E$12)</f>
        <v/>
      </c>
      <c r="F33" s="18">
        <f>IF($E$12=0,0,SUMPRODUCT($E$6:$E$11,F27:F32)/$E$12)</f>
        <v/>
      </c>
      <c r="G33" s="18">
        <f>IF($E$12=0,0,SUMPRODUCT($E$6:$E$11,G27:G32)/$E$12)</f>
        <v/>
      </c>
      <c r="H33" s="18">
        <f>IF($E$12=0,0,SUMPRODUCT($E$6:$E$11,H27:H32)/$E$12)</f>
        <v/>
      </c>
    </row>
    <row r="34" ht="25.5" customHeight="1">
      <c r="B34" s="15" t="inlineStr">
        <is>
          <t>This row scales the operating-model gate in the Logic Tree. Pod consolidation, a single release train and a wider span of control are only available where the stream actually runs as a pod, so a 領域 that converts late earns less of that gate — correctly.</t>
        </is>
      </c>
    </row>
  </sheetData>
  <mergeCells count="6">
    <mergeCell ref="A4:H4"/>
    <mergeCell ref="A2:L2"/>
    <mergeCell ref="A15:L15"/>
    <mergeCell ref="A25:L25"/>
    <mergeCell ref="A1:L1"/>
    <mergeCell ref="B34:L34"/>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L43"/>
  <sheetViews>
    <sheetView topLeftCell="A13" zoomScaleNormal="100" workbookViewId="0">
      <selection activeCell="C24" sqref="C24"/>
    </sheetView>
  </sheetViews>
  <sheetFormatPr baseColWidth="8" defaultColWidth="8.6328125" defaultRowHeight="14.5"/>
  <cols>
    <col width="2.453125" customWidth="1" min="1" max="1"/>
    <col width="26" customWidth="1" min="2" max="2"/>
    <col width="17" customWidth="1" min="3" max="3"/>
    <col width="11" customWidth="1" min="4" max="9"/>
    <col width="12" customWidth="1" min="10" max="10"/>
    <col width="3" customWidth="1" min="11" max="11"/>
    <col width="72" customWidth="1" min="12" max="12"/>
  </cols>
  <sheetData>
    <row r="1" ht="25.5" customHeight="1">
      <c r="A1" s="8" t="inlineStr">
        <is>
          <t>Role × sourcing  —  why the four populations cannot carry the same commitment</t>
        </is>
      </c>
    </row>
    <row r="2" ht="15" customHeight="1">
      <c r="A2" s="7" t="inlineStr">
        <is>
          <t>The one place a judgement about MetLife's own people is made explicit. Seeded from the observed Year-1 roster across the five 領域 already modelled — 1,102 units of seat plan.</t>
        </is>
      </c>
    </row>
    <row r="4" ht="17.25" customHeight="1">
      <c r="A4" s="4" t="inlineStr">
        <is>
          <t>A.  AI CEILING BY CLIENT ROLE, ON THIS 領域'S ARCHETYPE MIX  (auto)</t>
        </is>
      </c>
    </row>
    <row r="5" ht="14.25" customHeight="1">
      <c r="B5" s="12" t="inlineStr">
        <is>
          <t>Archetype</t>
        </is>
      </c>
      <c r="C5" s="12" t="inlineStr">
        <is>
          <t>Share of effort</t>
        </is>
      </c>
      <c r="D5" s="12" t="inlineStr">
        <is>
          <t>BSA</t>
        </is>
      </c>
      <c r="E5" s="12" t="inlineStr">
        <is>
          <t>Developer</t>
        </is>
      </c>
      <c r="F5" s="12" t="inlineStr">
        <is>
          <t>Tester</t>
        </is>
      </c>
      <c r="G5" s="12" t="inlineStr">
        <is>
          <t>Maintenance</t>
        </is>
      </c>
      <c r="H5" s="12" t="inlineStr">
        <is>
          <t>PM</t>
        </is>
      </c>
      <c r="I5" s="12" t="inlineStr">
        <is>
          <t>Other</t>
        </is>
      </c>
    </row>
    <row r="6" ht="14.25" customHeight="1">
      <c r="B6" s="21" t="inlineStr">
        <is>
          <t>M</t>
        </is>
      </c>
      <c r="C6" s="29">
        <f>'Logic Tree'!$E$32</f>
        <v/>
      </c>
      <c r="D6" s="30">
        <f>SUMPRODUCT('Rates &amp; Tables'!$C$17:$H$17,'Rates &amp; Tables'!$C$6:$H$6)</f>
        <v/>
      </c>
      <c r="E6" s="30">
        <f>SUMPRODUCT('Rates &amp; Tables'!$C$18:$H$18,'Rates &amp; Tables'!$C$6:$H$6)</f>
        <v/>
      </c>
      <c r="F6" s="30">
        <f>SUMPRODUCT('Rates &amp; Tables'!$C$19:$H$19,'Rates &amp; Tables'!$C$6:$H$6)</f>
        <v/>
      </c>
      <c r="G6" s="30">
        <f>SUMPRODUCT('Rates &amp; Tables'!$C$20:$H$20,'Rates &amp; Tables'!$C$6:$H$6)</f>
        <v/>
      </c>
      <c r="H6" s="30">
        <f>SUMPRODUCT('Rates &amp; Tables'!$C$21:$H$21,'Rates &amp; Tables'!$C$6:$H$6)</f>
        <v/>
      </c>
      <c r="I6" s="30">
        <f>SUMPRODUCT('Rates &amp; Tables'!$C$22:$H$22,'Rates &amp; Tables'!$C$6:$H$6)</f>
        <v/>
      </c>
    </row>
    <row r="7" ht="14.25" customHeight="1">
      <c r="B7" s="21" t="inlineStr">
        <is>
          <t>L</t>
        </is>
      </c>
      <c r="C7" s="29">
        <f>'Logic Tree'!$E$33</f>
        <v/>
      </c>
      <c r="D7" s="30">
        <f>SUMPRODUCT('Rates &amp; Tables'!$C$17:$H$17,'Rates &amp; Tables'!$C$7:$H$7)</f>
        <v/>
      </c>
      <c r="E7" s="30">
        <f>SUMPRODUCT('Rates &amp; Tables'!$C$18:$H$18,'Rates &amp; Tables'!$C$7:$H$7)</f>
        <v/>
      </c>
      <c r="F7" s="30">
        <f>SUMPRODUCT('Rates &amp; Tables'!$C$19:$H$19,'Rates &amp; Tables'!$C$7:$H$7)</f>
        <v/>
      </c>
      <c r="G7" s="30">
        <f>SUMPRODUCT('Rates &amp; Tables'!$C$20:$H$20,'Rates &amp; Tables'!$C$7:$H$7)</f>
        <v/>
      </c>
      <c r="H7" s="30">
        <f>SUMPRODUCT('Rates &amp; Tables'!$C$21:$H$21,'Rates &amp; Tables'!$C$7:$H$7)</f>
        <v/>
      </c>
      <c r="I7" s="30">
        <f>SUMPRODUCT('Rates &amp; Tables'!$C$22:$H$22,'Rates &amp; Tables'!$C$7:$H$7)</f>
        <v/>
      </c>
    </row>
    <row r="8" ht="14.25" customHeight="1">
      <c r="B8" s="21" t="inlineStr">
        <is>
          <t>D</t>
        </is>
      </c>
      <c r="C8" s="29">
        <f>'Logic Tree'!$E$34</f>
        <v/>
      </c>
      <c r="D8" s="30">
        <f>SUMPRODUCT('Rates &amp; Tables'!$C$17:$H$17,'Rates &amp; Tables'!$C$8:$H$8)</f>
        <v/>
      </c>
      <c r="E8" s="30">
        <f>SUMPRODUCT('Rates &amp; Tables'!$C$18:$H$18,'Rates &amp; Tables'!$C$8:$H$8)</f>
        <v/>
      </c>
      <c r="F8" s="30">
        <f>SUMPRODUCT('Rates &amp; Tables'!$C$19:$H$19,'Rates &amp; Tables'!$C$8:$H$8)</f>
        <v/>
      </c>
      <c r="G8" s="30">
        <f>SUMPRODUCT('Rates &amp; Tables'!$C$20:$H$20,'Rates &amp; Tables'!$C$8:$H$8)</f>
        <v/>
      </c>
      <c r="H8" s="30">
        <f>SUMPRODUCT('Rates &amp; Tables'!$C$21:$H$21,'Rates &amp; Tables'!$C$8:$H$8)</f>
        <v/>
      </c>
      <c r="I8" s="30">
        <f>SUMPRODUCT('Rates &amp; Tables'!$C$22:$H$22,'Rates &amp; Tables'!$C$8:$H$8)</f>
        <v/>
      </c>
    </row>
    <row r="9" ht="14.25" customHeight="1">
      <c r="B9" s="21" t="inlineStr">
        <is>
          <t>P</t>
        </is>
      </c>
      <c r="C9" s="29">
        <f>'Logic Tree'!$E$35</f>
        <v/>
      </c>
      <c r="D9" s="30">
        <f>SUMPRODUCT('Rates &amp; Tables'!$C$17:$H$17,'Rates &amp; Tables'!$C$9:$H$9)</f>
        <v/>
      </c>
      <c r="E9" s="30">
        <f>SUMPRODUCT('Rates &amp; Tables'!$C$18:$H$18,'Rates &amp; Tables'!$C$9:$H$9)</f>
        <v/>
      </c>
      <c r="F9" s="30">
        <f>SUMPRODUCT('Rates &amp; Tables'!$C$19:$H$19,'Rates &amp; Tables'!$C$9:$H$9)</f>
        <v/>
      </c>
      <c r="G9" s="30">
        <f>SUMPRODUCT('Rates &amp; Tables'!$C$20:$H$20,'Rates &amp; Tables'!$C$9:$H$9)</f>
        <v/>
      </c>
      <c r="H9" s="30">
        <f>SUMPRODUCT('Rates &amp; Tables'!$C$21:$H$21,'Rates &amp; Tables'!$C$9:$H$9)</f>
        <v/>
      </c>
      <c r="I9" s="30">
        <f>SUMPRODUCT('Rates &amp; Tables'!$C$22:$H$22,'Rates &amp; Tables'!$C$9:$H$9)</f>
        <v/>
      </c>
    </row>
    <row r="10" ht="14.25" customHeight="1">
      <c r="B10" s="21" t="inlineStr">
        <is>
          <t>J</t>
        </is>
      </c>
      <c r="C10" s="29">
        <f>'Logic Tree'!$E$36</f>
        <v/>
      </c>
      <c r="D10" s="30">
        <f>SUMPRODUCT('Rates &amp; Tables'!$C$17:$H$17,'Rates &amp; Tables'!$C$10:$H$10)</f>
        <v/>
      </c>
      <c r="E10" s="30">
        <f>SUMPRODUCT('Rates &amp; Tables'!$C$18:$H$18,'Rates &amp; Tables'!$C$10:$H$10)</f>
        <v/>
      </c>
      <c r="F10" s="30">
        <f>SUMPRODUCT('Rates &amp; Tables'!$C$19:$H$19,'Rates &amp; Tables'!$C$10:$H$10)</f>
        <v/>
      </c>
      <c r="G10" s="30">
        <f>SUMPRODUCT('Rates &amp; Tables'!$C$20:$H$20,'Rates &amp; Tables'!$C$10:$H$10)</f>
        <v/>
      </c>
      <c r="H10" s="30">
        <f>SUMPRODUCT('Rates &amp; Tables'!$C$21:$H$21,'Rates &amp; Tables'!$C$10:$H$10)</f>
        <v/>
      </c>
      <c r="I10" s="30">
        <f>SUMPRODUCT('Rates &amp; Tables'!$C$22:$H$22,'Rates &amp; Tables'!$C$10:$H$10)</f>
        <v/>
      </c>
    </row>
    <row r="11" ht="14.25" customHeight="1">
      <c r="B11" s="21" t="inlineStr">
        <is>
          <t>T</t>
        </is>
      </c>
      <c r="C11" s="29">
        <f>'Logic Tree'!$E$37</f>
        <v/>
      </c>
      <c r="D11" s="30">
        <f>SUMPRODUCT('Rates &amp; Tables'!$C$17:$H$17,'Rates &amp; Tables'!$C$11:$H$11)</f>
        <v/>
      </c>
      <c r="E11" s="30">
        <f>SUMPRODUCT('Rates &amp; Tables'!$C$18:$H$18,'Rates &amp; Tables'!$C$11:$H$11)</f>
        <v/>
      </c>
      <c r="F11" s="30">
        <f>SUMPRODUCT('Rates &amp; Tables'!$C$19:$H$19,'Rates &amp; Tables'!$C$11:$H$11)</f>
        <v/>
      </c>
      <c r="G11" s="30">
        <f>SUMPRODUCT('Rates &amp; Tables'!$C$20:$H$20,'Rates &amp; Tables'!$C$11:$H$11)</f>
        <v/>
      </c>
      <c r="H11" s="30">
        <f>SUMPRODUCT('Rates &amp; Tables'!$C$21:$H$21,'Rates &amp; Tables'!$C$11:$H$11)</f>
        <v/>
      </c>
      <c r="I11" s="30">
        <f>SUMPRODUCT('Rates &amp; Tables'!$C$22:$H$22,'Rates &amp; Tables'!$C$11:$H$11)</f>
        <v/>
      </c>
    </row>
    <row r="12" ht="33" customHeight="1">
      <c r="B12" s="23" t="inlineStr">
        <is>
          <t>AI CEILING FOR THIS ROLE</t>
        </is>
      </c>
      <c r="D12" s="32">
        <f>SUMPRODUCT($C$6:$C$11,D6:D11)</f>
        <v/>
      </c>
      <c r="E12" s="32">
        <f>SUMPRODUCT($C$6:$C$11,E6:E11)</f>
        <v/>
      </c>
      <c r="F12" s="32">
        <f>SUMPRODUCT($C$6:$C$11,F6:F11)</f>
        <v/>
      </c>
      <c r="G12" s="32">
        <f>SUMPRODUCT($C$6:$C$11,G6:G11)</f>
        <v/>
      </c>
      <c r="H12" s="32">
        <f>SUMPRODUCT($C$6:$C$11,H6:H11)</f>
        <v/>
      </c>
      <c r="I12" s="32">
        <f>SUMPRODUCT($C$6:$C$11,I6:I11)</f>
        <v/>
      </c>
      <c r="L12" s="15" t="inlineStr">
        <is>
          <t>Each role's time distribution run through each archetype's phase ceilings, weighted by how much of this 領域 each archetype is. On a mainframe-heavy 領域 every number here falls; on a cloud 領域 every number rises. Tester is always the highest and PM always the lowest.</t>
        </is>
      </c>
    </row>
    <row r="14" ht="15" customHeight="1">
      <c r="A14" s="4" t="inlineStr">
        <is>
          <t>B.  HOW EACH POOL'S HEADCOUNT SPLITS ACROSS THE SIX ROLES  —  INPUT</t>
        </is>
      </c>
    </row>
    <row r="15" ht="14.25" customHeight="1">
      <c r="B15" s="12" t="inlineStr">
        <is>
          <t>Sourcing pool</t>
        </is>
      </c>
      <c r="C15" s="12" t="n"/>
      <c r="D15" s="12" t="inlineStr">
        <is>
          <t>BSA</t>
        </is>
      </c>
      <c r="E15" s="12" t="inlineStr">
        <is>
          <t>Developer</t>
        </is>
      </c>
      <c r="F15" s="12" t="inlineStr">
        <is>
          <t>Tester</t>
        </is>
      </c>
      <c r="G15" s="12" t="inlineStr">
        <is>
          <t>Maintenance</t>
        </is>
      </c>
      <c r="H15" s="12" t="inlineStr">
        <is>
          <t>PM</t>
        </is>
      </c>
      <c r="I15" s="12" t="inlineStr">
        <is>
          <t>Other</t>
        </is>
      </c>
      <c r="J15" s="12" t="inlineStr">
        <is>
          <t>Check</t>
        </is>
      </c>
    </row>
    <row r="16" ht="14.25" customHeight="1">
      <c r="B16" s="21" t="inlineStr">
        <is>
          <t>FTC</t>
        </is>
      </c>
      <c r="D16" s="46" t="n">
        <v>0.108253</v>
      </c>
      <c r="E16" s="46" t="n">
        <v>0.331456</v>
      </c>
      <c r="F16" s="46" t="n">
        <v>0.176442</v>
      </c>
      <c r="G16" s="46" t="n">
        <v>0.23342</v>
      </c>
      <c r="H16" s="46" t="n">
        <v>0.08096200000000001</v>
      </c>
      <c r="I16" s="46" t="n">
        <v>0.06945</v>
      </c>
      <c r="J16" s="47">
        <f>SUM(D16:I16)</f>
        <v/>
      </c>
      <c r="L16" s="15" t="inlineStr">
        <is>
          <t>Capgemini payroll. Broad, because we carry the delivery.</t>
        </is>
      </c>
    </row>
    <row r="17" ht="14.25" customHeight="1">
      <c r="B17" s="21" t="inlineStr">
        <is>
          <t>PT</t>
        </is>
      </c>
      <c r="D17" s="46" t="n">
        <v>0.0476</v>
      </c>
      <c r="E17" s="46" t="n">
        <v>0.6882</v>
      </c>
      <c r="F17" s="46" t="n">
        <v>0.1291</v>
      </c>
      <c r="G17" s="46" t="n">
        <v>0.1348</v>
      </c>
      <c r="H17" s="46" t="n">
        <v>0.0004</v>
      </c>
      <c r="I17" s="46" t="n">
        <v>0</v>
      </c>
      <c r="J17" s="47">
        <f>SUM(D17:I17)</f>
        <v/>
      </c>
      <c r="L17" s="15" t="inlineStr">
        <is>
          <t>Sub-contractor. Overwhelmingly developers with a maintenance tail.</t>
        </is>
      </c>
    </row>
    <row r="18" ht="14.25" customHeight="1">
      <c r="B18" s="21" t="inlineStr">
        <is>
          <t>FTE</t>
        </is>
      </c>
      <c r="D18" s="46" t="n">
        <v>0.4082</v>
      </c>
      <c r="E18" s="46" t="n">
        <v>0</v>
      </c>
      <c r="F18" s="46" t="n">
        <v>0.0102</v>
      </c>
      <c r="G18" s="46" t="n">
        <v>0.1827</v>
      </c>
      <c r="H18" s="46" t="n">
        <v>0.3886</v>
      </c>
      <c r="I18" s="46" t="n">
        <v>0.0102</v>
      </c>
      <c r="J18" s="47">
        <f>SUM(D18:I18)</f>
        <v/>
      </c>
      <c r="L18" s="15" t="inlineStr">
        <is>
          <t>MetLife Japan. 41% BSA and 39% PM — this is a governance population, not a build one.</t>
        </is>
      </c>
    </row>
    <row r="19" ht="14.25" customHeight="1">
      <c r="B19" s="21" t="inlineStr">
        <is>
          <t>MGCC</t>
        </is>
      </c>
      <c r="D19" s="46" t="n">
        <v>0</v>
      </c>
      <c r="E19" s="46" t="n">
        <v>0.7407</v>
      </c>
      <c r="F19" s="46" t="n">
        <v>0.2593</v>
      </c>
      <c r="G19" s="46" t="n">
        <v>0</v>
      </c>
      <c r="H19" s="46" t="n">
        <v>0</v>
      </c>
      <c r="I19" s="46" t="n">
        <v>0</v>
      </c>
      <c r="J19" s="47">
        <f>SUM(D19:I19)</f>
        <v/>
      </c>
      <c r="L19" s="15" t="inlineStr">
        <is>
          <t>MGCC. 74% developers, 26% testers, nothing else.</t>
        </is>
      </c>
    </row>
    <row r="20" ht="30" customHeight="1">
      <c r="B20" s="15" t="inlineStr">
        <is>
          <t>EACH ROW MUST SUM TO 100%. These are shares of that pool's own headcount, not of the 領域. Change them only where you know your 領域 differs from the portfolio pattern, and write down why — this matrix is the entire reason the four populations end up with different productivity commitments, and MetLife will ask about it.</t>
        </is>
      </c>
    </row>
    <row r="22" ht="15" customHeight="1">
      <c r="A22" s="4" t="inlineStr">
        <is>
          <t>C.  THE RESULTING YEAR-1 HEADCOUNT MATRIX  (auto)</t>
        </is>
      </c>
    </row>
    <row r="23" ht="14.25" customHeight="1">
      <c r="B23" s="12" t="inlineStr">
        <is>
          <t>Sourcing pool</t>
        </is>
      </c>
      <c r="C23" s="12" t="inlineStr">
        <is>
          <t>Year-1 population</t>
        </is>
      </c>
      <c r="D23" s="12" t="inlineStr">
        <is>
          <t>BSA</t>
        </is>
      </c>
      <c r="E23" s="12" t="inlineStr">
        <is>
          <t>Developer</t>
        </is>
      </c>
      <c r="F23" s="12" t="inlineStr">
        <is>
          <t>Tester</t>
        </is>
      </c>
      <c r="G23" s="12" t="inlineStr">
        <is>
          <t>Maintenance</t>
        </is>
      </c>
      <c r="H23" s="12" t="inlineStr">
        <is>
          <t>PM</t>
        </is>
      </c>
      <c r="I23" s="12" t="inlineStr">
        <is>
          <t>Other</t>
        </is>
      </c>
      <c r="J23" s="12" t="inlineStr">
        <is>
          <t>Total</t>
        </is>
      </c>
    </row>
    <row r="24" ht="14.25" customHeight="1">
      <c r="B24" s="21" t="inlineStr">
        <is>
          <t>FTC</t>
        </is>
      </c>
      <c r="C24" s="25">
        <f>'Logic Tree'!$C$63</f>
        <v/>
      </c>
      <c r="D24" s="25">
        <f>$C24*D16</f>
        <v/>
      </c>
      <c r="E24" s="25">
        <f>$C24*E16</f>
        <v/>
      </c>
      <c r="F24" s="25">
        <f>$C24*F16</f>
        <v/>
      </c>
      <c r="G24" s="25">
        <f>$C24*G16</f>
        <v/>
      </c>
      <c r="H24" s="25">
        <f>$C24*H16</f>
        <v/>
      </c>
      <c r="I24" s="25">
        <f>$C24*I16</f>
        <v/>
      </c>
      <c r="J24" s="48">
        <f>SUM(D24:I24)</f>
        <v/>
      </c>
    </row>
    <row r="25" ht="14.25" customHeight="1">
      <c r="B25" s="21" t="inlineStr">
        <is>
          <t>PT</t>
        </is>
      </c>
      <c r="C25" s="25">
        <f>'Logic Tree'!$C$64</f>
        <v/>
      </c>
      <c r="D25" s="25">
        <f>$C25*D17</f>
        <v/>
      </c>
      <c r="E25" s="25">
        <f>$C25*E17</f>
        <v/>
      </c>
      <c r="F25" s="25">
        <f>$C25*F17</f>
        <v/>
      </c>
      <c r="G25" s="25">
        <f>$C25*G17</f>
        <v/>
      </c>
      <c r="H25" s="25">
        <f>$C25*H17</f>
        <v/>
      </c>
      <c r="I25" s="25">
        <f>$C25*I17</f>
        <v/>
      </c>
      <c r="J25" s="48">
        <f>SUM(D25:I25)</f>
        <v/>
      </c>
    </row>
    <row r="26" ht="14.25" customHeight="1">
      <c r="B26" s="21" t="inlineStr">
        <is>
          <t>FTE</t>
        </is>
      </c>
      <c r="C26" s="25">
        <f>'Logic Tree'!$C$65</f>
        <v/>
      </c>
      <c r="D26" s="25">
        <f>$C26*D18</f>
        <v/>
      </c>
      <c r="E26" s="25">
        <f>$C26*E18</f>
        <v/>
      </c>
      <c r="F26" s="25">
        <f>$C26*F18</f>
        <v/>
      </c>
      <c r="G26" s="25">
        <f>$C26*G18</f>
        <v/>
      </c>
      <c r="H26" s="25">
        <f>$C26*H18</f>
        <v/>
      </c>
      <c r="I26" s="25">
        <f>$C26*I18</f>
        <v/>
      </c>
      <c r="J26" s="48">
        <f>SUM(D26:I26)</f>
        <v/>
      </c>
    </row>
    <row r="27" ht="14.25" customHeight="1">
      <c r="B27" s="21" t="inlineStr">
        <is>
          <t>MGCC</t>
        </is>
      </c>
      <c r="C27" s="25">
        <f>'Logic Tree'!$C$66</f>
        <v/>
      </c>
      <c r="D27" s="25">
        <f>$C27*D19</f>
        <v/>
      </c>
      <c r="E27" s="25">
        <f>$C27*E19</f>
        <v/>
      </c>
      <c r="F27" s="25">
        <f>$C27*F19</f>
        <v/>
      </c>
      <c r="G27" s="25">
        <f>$C27*G19</f>
        <v/>
      </c>
      <c r="H27" s="25">
        <f>$C27*H19</f>
        <v/>
      </c>
      <c r="I27" s="25">
        <f>$C27*I19</f>
        <v/>
      </c>
      <c r="J27" s="48">
        <f>SUM(D27:I27)</f>
        <v/>
      </c>
    </row>
    <row r="28" ht="14.25" customHeight="1">
      <c r="B28" s="23" t="inlineStr">
        <is>
          <t>Vendor rows only  (FTC + PT)</t>
        </is>
      </c>
      <c r="D28" s="17">
        <f>D24+D25</f>
        <v/>
      </c>
      <c r="E28" s="17">
        <f>E24+E25</f>
        <v/>
      </c>
      <c r="F28" s="17">
        <f>F24+F25</f>
        <v/>
      </c>
      <c r="G28" s="17">
        <f>G24+G25</f>
        <v/>
      </c>
      <c r="H28" s="17">
        <f>H24+H25</f>
        <v/>
      </c>
      <c r="I28" s="17">
        <f>I24+I25</f>
        <v/>
      </c>
      <c r="J28" s="17">
        <f>SUM(D28:I28)</f>
        <v/>
      </c>
    </row>
    <row r="29" ht="24" customHeight="1">
      <c r="B29" s="13" t="inlineStr">
        <is>
          <t>Appendix 3 v5, restated  —  the vendor role line</t>
        </is>
      </c>
      <c r="D29" s="25">
        <f>'Logic Tree'!$D$20</f>
        <v/>
      </c>
      <c r="E29" s="25">
        <f>'Logic Tree'!$D$21</f>
        <v/>
      </c>
      <c r="F29" s="25">
        <f>'Logic Tree'!$D$22</f>
        <v/>
      </c>
      <c r="G29" s="25">
        <f>'Logic Tree'!$D$23</f>
        <v/>
      </c>
      <c r="H29" s="25">
        <f>'Logic Tree'!$D$24</f>
        <v/>
      </c>
      <c r="I29" s="25">
        <f>'Logic Tree'!$D$25</f>
        <v/>
      </c>
      <c r="J29" s="25">
        <f>SUM(D29:I29)</f>
        <v/>
      </c>
    </row>
    <row r="30" ht="14.25" customHeight="1">
      <c r="B30" s="19" t="inlineStr">
        <is>
          <t>Variance</t>
        </is>
      </c>
      <c r="D30" s="35">
        <f>D28-D29</f>
        <v/>
      </c>
      <c r="E30" s="35">
        <f>E28-E29</f>
        <v/>
      </c>
      <c r="F30" s="35">
        <f>F28-F29</f>
        <v/>
      </c>
      <c r="G30" s="35">
        <f>G28-G29</f>
        <v/>
      </c>
      <c r="H30" s="35">
        <f>H28-H29</f>
        <v/>
      </c>
      <c r="I30" s="35">
        <f>I28-I29</f>
        <v/>
      </c>
      <c r="J30" s="35">
        <f>D30+E30+F30+G30+H30+I30</f>
        <v/>
      </c>
    </row>
    <row r="31" ht="14.25" customHeight="1">
      <c r="B31" s="13" t="inlineStr">
        <is>
          <t>Largest single role variance</t>
        </is>
      </c>
      <c r="C31" s="40">
        <f>MAX(ABS(D30),ABS(E30),ABS(F30),ABS(G30),ABS(H30),ABS(I30))</f>
        <v/>
      </c>
    </row>
    <row r="32" ht="36" customHeight="1">
      <c r="B32" s="15" t="inlineStr">
        <is>
          <t>Row 30 is the honest check on row 16. Appendix 3 tells us the vendor role line but not how it splits between Capgemini and a sub-contractor, and it tells us nothing at all about how MetLife's own people or MGCC are deployed. If row 31 is large, the FTC or PT row above is wrong for your 領域 — tune it until the vendor side reconciles, then leave the MetLife rows alone unless you have evidence.</t>
        </is>
      </c>
    </row>
    <row r="34" ht="15" customHeight="1">
      <c r="A34" s="4" t="inlineStr">
        <is>
          <t>D.  THE PER-SOURCING AI CEILING  (auto)  —  read by the Logic Tree</t>
        </is>
      </c>
    </row>
    <row r="35" ht="25.5" customHeight="1">
      <c r="B35" s="15" t="inlineStr">
        <is>
          <t>This is the output of everything above: each pool's own role mix run through each role's own ceiling. It is what makes MGCC a high-ceiling population and MetLife Japan a low-ceiling one — not an opinion about the people, but an observation about the work they do.</t>
        </is>
      </c>
    </row>
    <row r="39" ht="21.75" customHeight="1">
      <c r="B39" s="12" t="inlineStr">
        <is>
          <t>Sourcing pool</t>
        </is>
      </c>
      <c r="C39" s="12" t="inlineStr">
        <is>
          <t>Dominant roles</t>
        </is>
      </c>
      <c r="D39" s="12" t="inlineStr">
        <is>
          <t>AI CEILING</t>
        </is>
      </c>
      <c r="E39" s="12" t="inlineStr">
        <is>
          <t>Adoption</t>
        </is>
      </c>
      <c r="F39" s="12" t="inlineStr">
        <is>
          <t>Ceiling × adoption</t>
        </is>
      </c>
      <c r="G39" s="12" t="n"/>
      <c r="H39" s="12" t="n"/>
      <c r="I39" s="12" t="n"/>
      <c r="J39" s="12" t="n"/>
      <c r="K39" s="12" t="n"/>
      <c r="L39" s="12" t="inlineStr">
        <is>
          <t>Reading</t>
        </is>
      </c>
    </row>
    <row r="40" ht="33" customHeight="1">
      <c r="B40" s="21" t="inlineStr">
        <is>
          <t>FTC</t>
        </is>
      </c>
      <c r="C40" s="49">
        <f>INDEX($D$15:$I$15,MATCH(MAX(D16:I16),D16:I16,0))&amp;" "&amp;TEXT(MAX(D16:I16),"0%")</f>
        <v/>
      </c>
      <c r="D40" s="32">
        <f>SUMPRODUCT($D$12:$I$12,D16:I16)</f>
        <v/>
      </c>
      <c r="E40" s="31">
        <f>'Rates &amp; Tables'!$C$36</f>
        <v/>
      </c>
      <c r="F40" s="32">
        <f>D40*E40</f>
        <v/>
      </c>
      <c r="L40" s="15" t="inlineStr">
        <is>
          <t>Column D is capability — what the work would support. Column E is authority — how much of it that population can actually commit to. Column F is the product, and it is the number that decides how much of the productivity promise sits on Capgemini's side of the contract.</t>
        </is>
      </c>
    </row>
    <row r="41" ht="14.25" customHeight="1">
      <c r="B41" s="21" t="inlineStr">
        <is>
          <t>PT</t>
        </is>
      </c>
      <c r="C41" s="49">
        <f>INDEX($D$15:$I$15,MATCH(MAX(D17:I17),D17:I17,0))&amp;" "&amp;TEXT(MAX(D17:I17),"0%")</f>
        <v/>
      </c>
      <c r="D41" s="32">
        <f>SUMPRODUCT($D$12:$I$12,D17:I17)</f>
        <v/>
      </c>
      <c r="E41" s="31">
        <f>'Rates &amp; Tables'!$C$37</f>
        <v/>
      </c>
      <c r="F41" s="32">
        <f>D41*E41</f>
        <v/>
      </c>
    </row>
    <row r="42" ht="14.25" customHeight="1">
      <c r="B42" s="21" t="inlineStr">
        <is>
          <t>FTE</t>
        </is>
      </c>
      <c r="C42" s="49">
        <f>INDEX($D$15:$I$15,MATCH(MAX(D18:I18),D18:I18,0))&amp;" "&amp;TEXT(MAX(D18:I18),"0%")</f>
        <v/>
      </c>
      <c r="D42" s="32">
        <f>SUMPRODUCT($D$12:$I$12,D18:I18)</f>
        <v/>
      </c>
      <c r="E42" s="31">
        <f>'Rates &amp; Tables'!$C$38</f>
        <v/>
      </c>
      <c r="F42" s="32">
        <f>D42*E42</f>
        <v/>
      </c>
    </row>
    <row r="43" ht="14.25" customHeight="1">
      <c r="B43" s="21" t="inlineStr">
        <is>
          <t>MGCC</t>
        </is>
      </c>
      <c r="C43" s="49">
        <f>INDEX($D$15:$I$15,MATCH(MAX(D19:I19),D19:I19,0))&amp;" "&amp;TEXT(MAX(D19:I19),"0%")</f>
        <v/>
      </c>
      <c r="D43" s="32">
        <f>SUMPRODUCT($D$12:$I$12,D19:I19)</f>
        <v/>
      </c>
      <c r="E43" s="31">
        <f>'Rates &amp; Tables'!$C$39</f>
        <v/>
      </c>
      <c r="F43" s="32">
        <f>D43*E43</f>
        <v/>
      </c>
    </row>
  </sheetData>
  <mergeCells count="9">
    <mergeCell ref="B20:J20"/>
    <mergeCell ref="A14:J14"/>
    <mergeCell ref="A22:J22"/>
    <mergeCell ref="B32:J32"/>
    <mergeCell ref="A2:K2"/>
    <mergeCell ref="A34:J34"/>
    <mergeCell ref="A4:J4"/>
    <mergeCell ref="B35:J35"/>
    <mergeCell ref="A1:K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33"/>
  <sheetViews>
    <sheetView topLeftCell="A9" zoomScaleNormal="100" workbookViewId="0">
      <selection activeCell="A1" sqref="A1:I1"/>
    </sheetView>
  </sheetViews>
  <sheetFormatPr baseColWidth="8" defaultColWidth="8.6328125" defaultRowHeight="14.5"/>
  <cols>
    <col width="2.453125" customWidth="1" min="1" max="1"/>
    <col width="44" customWidth="1" min="2" max="2"/>
    <col width="14" customWidth="1" min="3" max="5"/>
    <col width="3" customWidth="1" min="6" max="6"/>
    <col width="74" customWidth="1" min="7" max="7"/>
  </cols>
  <sheetData>
    <row r="1" ht="25.5" customHeight="1">
      <c r="A1" s="8" t="inlineStr">
        <is>
          <t>AMS and ticket load  (auto)  —  and the one contradiction to put back to MetLife</t>
        </is>
      </c>
    </row>
    <row r="2" ht="15" customHeight="1">
      <c r="A2" s="7" t="inlineStr">
        <is>
          <t>Incident and change volumes from Appendix 3 v5, against the maintenance role line and against MetLife's own AD / AMS effort split. In several 領域 the two disagree by a factor of three.</t>
        </is>
      </c>
    </row>
    <row r="4" ht="15" customHeight="1">
      <c r="A4" s="4" t="inlineStr">
        <is>
          <t>A.  THE LOAD  (auto)</t>
        </is>
      </c>
    </row>
    <row r="5" ht="14.25" customHeight="1">
      <c r="B5" s="12" t="inlineStr">
        <is>
          <t>Measure</t>
        </is>
      </c>
      <c r="C5" s="12" t="inlineStr">
        <is>
          <t>Volume</t>
        </is>
      </c>
      <c r="D5" s="12" t="inlineStr">
        <is>
          <t>Per application</t>
        </is>
      </c>
      <c r="E5" s="12" t="n"/>
      <c r="F5" s="12" t="n"/>
      <c r="G5" s="12" t="inlineStr">
        <is>
          <t>Note</t>
        </is>
      </c>
    </row>
    <row r="6" ht="14.25" customHeight="1">
      <c r="B6" s="13" t="inlineStr">
        <is>
          <t>P1 — critical incidents</t>
        </is>
      </c>
      <c r="C6" s="22">
        <f>SUMIFS('Inventory v5'!$AE$5:$AE$146,'Inventory v5'!$D$5:$D$146,'START HERE'!$C$5)</f>
        <v/>
      </c>
      <c r="D6" s="38">
        <f>IF('Logic Tree'!$C$6=0,0,C6/'Logic Tree'!$C$6)</f>
        <v/>
      </c>
      <c r="G6" s="15" t="inlineStr">
        <is>
          <t>Outage-class. A 領域 with P1s needs a named onshore first responder.</t>
        </is>
      </c>
    </row>
    <row r="7" ht="14.25" customHeight="1">
      <c r="B7" s="13" t="inlineStr">
        <is>
          <t>P2 — high</t>
        </is>
      </c>
      <c r="C7" s="22">
        <f>SUMIFS('Inventory v5'!$AF$5:$AF$146,'Inventory v5'!$D$5:$D$146,'START HERE'!$C$5)</f>
        <v/>
      </c>
      <c r="D7" s="38">
        <f>IF('Logic Tree'!$C$6=0,0,C7/'Logic Tree'!$C$6)</f>
        <v/>
      </c>
      <c r="G7" s="15" t="inlineStr">
        <is>
          <t>Business-impacting.</t>
        </is>
      </c>
    </row>
    <row r="8" ht="14.25" customHeight="1">
      <c r="B8" s="13" t="inlineStr">
        <is>
          <t>P3 — medium</t>
        </is>
      </c>
      <c r="C8" s="22">
        <f>SUMIFS('Inventory v5'!$AG$5:$AG$146,'Inventory v5'!$D$5:$D$146,'START HERE'!$C$5)</f>
        <v/>
      </c>
      <c r="D8" s="38">
        <f>IF('Logic Tree'!$C$6=0,0,C8/'Logic Tree'!$C$6)</f>
        <v/>
      </c>
      <c r="G8" s="15" t="inlineStr">
        <is>
          <t>The bulk of the analyst load in most 領域.</t>
        </is>
      </c>
    </row>
    <row r="9" ht="14.25" customHeight="1">
      <c r="B9" s="13" t="inlineStr">
        <is>
          <t>P4 — low</t>
        </is>
      </c>
      <c r="C9" s="22">
        <f>SUMIFS('Inventory v5'!$AH$5:$AH$146,'Inventory v5'!$D$5:$D$146,'START HERE'!$C$5)</f>
        <v/>
      </c>
      <c r="D9" s="38">
        <f>IF('Logic Tree'!$C$6=0,0,C9/'Logic Tree'!$C$6)</f>
        <v/>
      </c>
      <c r="G9" s="15" t="n"/>
    </row>
    <row r="10" ht="14.25" customHeight="1">
      <c r="B10" s="13" t="inlineStr">
        <is>
          <t>P5 — cosmetic / request</t>
        </is>
      </c>
      <c r="C10" s="22">
        <f>SUMIFS('Inventory v5'!$AI$5:$AI$146,'Inventory v5'!$D$5:$D$146,'START HERE'!$C$5)</f>
        <v/>
      </c>
      <c r="D10" s="38">
        <f>IF('Logic Tree'!$C$6=0,0,C10/'Logic Tree'!$C$6)</f>
        <v/>
      </c>
      <c r="G10" s="15" t="inlineStr">
        <is>
          <t>Often the largest volume and the cheapest to automate away.</t>
        </is>
      </c>
    </row>
    <row r="12" ht="14.25" customHeight="1">
      <c r="B12" s="13" t="inlineStr">
        <is>
          <t>Emergency changes</t>
        </is>
      </c>
      <c r="C12" s="22">
        <f>SUMIFS('Inventory v5'!$AJ$5:$AJ$146,'Inventory v5'!$D$5:$D$146,'START HERE'!$C$5)</f>
        <v/>
      </c>
      <c r="D12" s="38">
        <f>IF('Logic Tree'!$C$6=0,0,C12/'Logic Tree'!$C$6)</f>
        <v/>
      </c>
      <c r="G12" s="15" t="inlineStr">
        <is>
          <t>Unplanned production change. High volume here signals brittle release practice.</t>
        </is>
      </c>
    </row>
    <row r="13" ht="14.25" customHeight="1">
      <c r="B13" s="13" t="inlineStr">
        <is>
          <t>Normal changes</t>
        </is>
      </c>
      <c r="C13" s="22">
        <f>SUMIFS('Inventory v5'!$AK$5:$AK$146,'Inventory v5'!$D$5:$D$146,'START HERE'!$C$5)</f>
        <v/>
      </c>
      <c r="D13" s="38">
        <f>IF('Logic Tree'!$C$6=0,0,C13/'Logic Tree'!$C$6)</f>
        <v/>
      </c>
      <c r="G13" s="15" t="n"/>
    </row>
    <row r="14" ht="14.25" customHeight="1">
      <c r="B14" s="13" t="inlineStr">
        <is>
          <t>Standard changes</t>
        </is>
      </c>
      <c r="C14" s="22">
        <f>SUMIFS('Inventory v5'!$AL$5:$AL$146,'Inventory v5'!$D$5:$D$146,'START HERE'!$C$5)</f>
        <v/>
      </c>
      <c r="D14" s="38">
        <f>IF('Logic Tree'!$C$6=0,0,C14/'Logic Tree'!$C$6)</f>
        <v/>
      </c>
      <c r="G14" s="15" t="inlineStr">
        <is>
          <t>Pre-approved and repeatable — the natural first target for automation.</t>
        </is>
      </c>
    </row>
    <row r="16" ht="14.25" customHeight="1">
      <c r="B16" s="23" t="inlineStr">
        <is>
          <t>TOTAL INCIDENTS</t>
        </is>
      </c>
      <c r="C16" s="14">
        <f>SUM(C6:C10)</f>
        <v/>
      </c>
    </row>
    <row r="17" ht="14.25" customHeight="1">
      <c r="B17" s="23" t="inlineStr">
        <is>
          <t>TOTAL CHANGES</t>
        </is>
      </c>
      <c r="C17" s="14">
        <f>SUM(C12:C14)</f>
        <v/>
      </c>
    </row>
    <row r="18" ht="21.75" customHeight="1">
      <c r="B18" s="13" t="inlineStr">
        <is>
          <t>P1 + P2 as a share of incidents</t>
        </is>
      </c>
      <c r="C18" s="29">
        <f>IF(C16=0,0,(C6+C7)/C16)</f>
        <v/>
      </c>
      <c r="G18" s="15" t="inlineStr">
        <is>
          <t>Below 1% and the estate is stable; the AMS case is about volume, not severity. Above 5% and you need an onshore incident cell whatever the offshore ceiling says.</t>
        </is>
      </c>
    </row>
    <row r="20" ht="15" customHeight="1">
      <c r="A20" s="4" t="inlineStr">
        <is>
          <t>B.  WHAT IT TAKES TO SERVE IT  —  INPUT</t>
        </is>
      </c>
    </row>
    <row r="21" ht="14.25" customHeight="1">
      <c r="B21" s="12" t="inlineStr">
        <is>
          <t>Driver</t>
        </is>
      </c>
      <c r="C21" s="12" t="inlineStr">
        <is>
          <t>Value</t>
        </is>
      </c>
      <c r="D21" s="12" t="n"/>
      <c r="E21" s="12" t="n"/>
      <c r="F21" s="12" t="n"/>
      <c r="G21" s="12" t="inlineStr">
        <is>
          <t>Note</t>
        </is>
      </c>
    </row>
    <row r="22" ht="25.5" customHeight="1">
      <c r="B22" s="13" t="inlineStr">
        <is>
          <t>Average handling time — incident  (hours)</t>
        </is>
      </c>
      <c r="C22" s="50" t="n">
        <v>3.5</v>
      </c>
      <c r="G22" s="15" t="inlineStr">
        <is>
          <t>Across the five 領域 modelled. Weight it up on a mainframe estate and down on a cloud one.</t>
        </is>
      </c>
    </row>
    <row r="23" ht="25.5" customHeight="1">
      <c r="B23" s="13" t="inlineStr">
        <is>
          <t>Average handling time — change  (hours)</t>
        </is>
      </c>
      <c r="C23" s="50" t="n">
        <v>5</v>
      </c>
      <c r="G23" s="15" t="inlineStr">
        <is>
          <t>Build, test and release of a small change.</t>
        </is>
      </c>
    </row>
    <row r="24" ht="25.5" customHeight="1">
      <c r="B24" s="13" t="inlineStr">
        <is>
          <t>Productive hours per analyst per year</t>
        </is>
      </c>
      <c r="C24" s="50" t="n">
        <v>1500</v>
      </c>
      <c r="G24" s="15" t="inlineStr">
        <is>
          <t>1,800 gross less leave, training and ceremony. Deliberately conservative.</t>
        </is>
      </c>
    </row>
    <row r="25" ht="25.5" customHeight="1">
      <c r="B25" s="13" t="inlineStr">
        <is>
          <t>Share of the load carried by the horizontal AMS function</t>
        </is>
      </c>
      <c r="C25" s="41" t="n">
        <v>0.7</v>
      </c>
      <c r="G25" s="15" t="inlineStr">
        <is>
          <t>The rest sits inside the pods, which is where shift-left actually happens.</t>
        </is>
      </c>
    </row>
    <row r="26" ht="21.75" customHeight="1">
      <c r="B26" s="23" t="inlineStr">
        <is>
          <t>IMPLIED AMS PEOPLE</t>
        </is>
      </c>
      <c r="C26" s="17">
        <f>IF(C24=0,0,(C16*C22+C17*C23)/C24)</f>
        <v/>
      </c>
      <c r="G26" s="15" t="inlineStr">
        <is>
          <t>A SANITY CHECK, NOT A TARGET. It exists so that a maintenance line of one person against a thousand incidents is visibly impossible rather than quietly accepted.</t>
        </is>
      </c>
    </row>
    <row r="27" ht="14.25" customHeight="1">
      <c r="B27" s="13" t="inlineStr">
        <is>
          <t xml:space="preserve">  — of which in the horizontal function  (H1)</t>
        </is>
      </c>
      <c r="C27" s="25">
        <f>C26*C25</f>
        <v/>
      </c>
    </row>
    <row r="29" ht="15" customHeight="1">
      <c r="A29" s="4" t="inlineStr">
        <is>
          <t>C.  THE TWO METLIFE VIEWS OF RUN  —  and they disagree  (auto)</t>
        </is>
      </c>
    </row>
    <row r="30" ht="14.25" customHeight="1">
      <c r="B30" s="12" t="inlineStr">
        <is>
          <t>View</t>
        </is>
      </c>
      <c r="C30" s="12" t="inlineStr">
        <is>
          <t>Units of run</t>
        </is>
      </c>
      <c r="D30" s="12" t="n"/>
      <c r="E30" s="12" t="n"/>
      <c r="F30" s="12" t="n"/>
      <c r="G30" s="12" t="inlineStr">
        <is>
          <t>Where it comes from</t>
        </is>
      </c>
    </row>
    <row r="31" ht="14.25" customHeight="1">
      <c r="B31" s="13" t="inlineStr">
        <is>
          <t>The role line  —  Maintenance, as restated</t>
        </is>
      </c>
      <c r="C31" s="24">
        <f>'Logic Tree'!$D$23</f>
        <v/>
      </c>
      <c r="G31" s="15" t="inlineStr">
        <is>
          <t>Logic Tree section B. This is the figure the seat plan reconciles to.</t>
        </is>
      </c>
    </row>
    <row r="32" ht="21.75" customHeight="1">
      <c r="B32" s="13" t="inlineStr">
        <is>
          <t>The AD / AMS effort split  —  1 − % of PRJ</t>
        </is>
      </c>
      <c r="C32" s="24">
        <f>'Logic Tree'!$C$7-SUMPRODUCT(('Inventory v5'!$D$5:$D$146='START HERE'!$C$5)*'Inventory v5'!$J$5:$J$146*'Inventory v5'!$W$5:$W$146)</f>
        <v/>
      </c>
      <c r="G32" s="15" t="inlineStr">
        <is>
          <t>Appendix 3's own '% of PRJ' column, applied application by application. Same spreadsheet, different answer.</t>
        </is>
      </c>
    </row>
    <row r="33" ht="30" customHeight="1">
      <c r="B33" s="19" t="inlineStr">
        <is>
          <t>THE GAP</t>
        </is>
      </c>
      <c r="C33" s="27">
        <f>C32-C31</f>
        <v/>
      </c>
      <c r="G33" s="15" t="inlineStr">
        <is>
          <t>PUT THIS BACK TO METLIFE BEFORE THE AMS PRICE IS FIXED. It is not a modelling choice — it is a contradiction inside the client's own data, and whichever way it resolves it moves the run-side commercial position.</t>
        </is>
      </c>
    </row>
  </sheetData>
  <mergeCells count="5">
    <mergeCell ref="A2:I2"/>
    <mergeCell ref="A4:G4"/>
    <mergeCell ref="A1:I1"/>
    <mergeCell ref="A20:G20"/>
    <mergeCell ref="A29:G29"/>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filterMode="1">
    <outlinePr summaryBelow="1" summaryRight="1"/>
    <pageSetUpPr/>
  </sheetPr>
  <dimension ref="A1:P424"/>
  <sheetViews>
    <sheetView tabSelected="1" zoomScaleNormal="100" workbookViewId="0">
      <pane xSplit="1" ySplit="4" topLeftCell="B5" activePane="bottomRight" state="frozen"/>
      <selection pane="topRight" activeCell="B1" sqref="B1"/>
      <selection pane="bottomLeft" activeCell="A5" sqref="A5"/>
      <selection pane="bottomRight" activeCell="R10" sqref="R10"/>
    </sheetView>
  </sheetViews>
  <sheetFormatPr baseColWidth="8" defaultColWidth="8.6328125" defaultRowHeight="14.5"/>
  <cols>
    <col width="2.453125" customWidth="1" min="1" max="1"/>
    <col width="6" customWidth="1" min="2" max="2"/>
    <col width="7" customWidth="1" min="3" max="3"/>
    <col width="8" customWidth="1" min="4" max="4"/>
    <col width="6" customWidth="1" min="5" max="5"/>
    <col width="36" customWidth="1" min="6" max="6"/>
    <col width="7" customWidth="1" min="7" max="7"/>
    <col width="6" customWidth="1" min="8" max="8"/>
    <col width="7" customWidth="1" min="9" max="9"/>
    <col width="9" customWidth="1" min="10" max="10"/>
    <col width="10" customWidth="1" min="11" max="11"/>
    <col width="8" customWidth="1" min="12" max="12"/>
    <col width="10" customWidth="1" min="13" max="15"/>
    <col hidden="1" width="10" customWidth="1" min="16" max="16"/>
  </cols>
  <sheetData>
    <row r="1" ht="25.5" customHeight="1">
      <c r="A1" s="8" t="inlineStr">
        <is>
          <t>Seat planner  —  the delivery anatomy, and the only sheet you build by hand</t>
        </is>
      </c>
    </row>
    <row r="2" ht="15" customHeight="1">
      <c r="A2" s="7" t="inlineStr">
        <is>
          <t>One row per seat per unit type per year. Columns L to P are computed. COMPOSITION RULES, applied in this version: every seat has a unique Role detail inside its unit-year block; a grade is fixed for the life of a seat (no seat is re-banded across years); a move between Tokyo and offshore is shown in the seat name, never silently in the Loc column; and the people arriving from the Year-3 transfer sit in their own named seats so the base seats taper monotonically.</t>
        </is>
      </c>
    </row>
    <row r="4" ht="21.75" customHeight="1">
      <c r="B4" s="12" t="inlineStr">
        <is>
          <t>Year</t>
        </is>
      </c>
      <c r="C4" s="12" t="inlineStr">
        <is>
          <t>Unit</t>
        </is>
      </c>
      <c r="D4" s="12" t="inlineStr">
        <is>
          <t>Stream</t>
        </is>
      </c>
      <c r="E4" s="12" t="inlineStr">
        <is>
          <t>Seat</t>
        </is>
      </c>
      <c r="F4" s="12" t="inlineStr">
        <is>
          <t>Role detail</t>
        </is>
      </c>
      <c r="G4" s="12" t="inlineStr">
        <is>
          <t>Role</t>
        </is>
      </c>
      <c r="H4" s="12" t="inlineStr">
        <is>
          <t>Exp</t>
        </is>
      </c>
      <c r="I4" s="12" t="inlineStr">
        <is>
          <t>Loc</t>
        </is>
      </c>
      <c r="J4" s="12" t="inlineStr">
        <is>
          <t>Sourcing</t>
        </is>
      </c>
      <c r="K4" s="12" t="inlineStr">
        <is>
          <t>Seats per unit</t>
        </is>
      </c>
      <c r="L4" s="12" t="inlineStr">
        <is>
          <t>Units</t>
        </is>
      </c>
      <c r="M4" s="12" t="inlineStr">
        <is>
          <t>HEADS</t>
        </is>
      </c>
      <c r="N4" s="12" t="inlineStr">
        <is>
          <t>Cost index</t>
        </is>
      </c>
      <c r="O4" s="12" t="inlineStr">
        <is>
          <t>Cost</t>
        </is>
      </c>
      <c r="P4" s="12" t="inlineStr">
        <is>
          <t>Key</t>
        </is>
      </c>
    </row>
    <row r="5" hidden="1" ht="14.25" customHeight="1">
      <c r="B5" s="51" t="n">
        <v>1</v>
      </c>
      <c r="C5" s="51" t="inlineStr">
        <is>
          <t>POD</t>
        </is>
      </c>
      <c r="D5" s="51" t="n">
        <v>1</v>
      </c>
      <c r="E5" s="51" t="n">
        <v>1</v>
      </c>
      <c r="F5" s="51" t="inlineStr">
        <is>
          <t>MetLife Product Owner</t>
        </is>
      </c>
      <c r="G5" s="51" t="inlineStr">
        <is>
          <t>PM</t>
        </is>
      </c>
      <c r="H5" s="51" t="inlineStr">
        <is>
          <t>E4</t>
        </is>
      </c>
      <c r="I5" s="51" t="inlineStr">
        <is>
          <t>ON</t>
        </is>
      </c>
      <c r="J5" s="51" t="inlineStr">
        <is>
          <t>FTE</t>
        </is>
      </c>
      <c r="K5" s="51" t="n">
        <v>1</v>
      </c>
      <c r="L5" s="52">
        <f>IF($B5="",0,IF($C5="HZ",1,IFERROR(INDEX('Value Streams &amp; Delivery Mode'!$D$17:$M$22,MATCH($D5,'Value Streams &amp; Delivery Mode'!$B$17:$B$22,0),($B5-1)*2+IF($C5="POD",1,2)),0)))</f>
        <v/>
      </c>
      <c r="M5" s="53">
        <f>IF($B5="",0,$K5*$L5)</f>
        <v/>
      </c>
      <c r="N5" s="54">
        <f>IF($B5="",0,IFERROR(INDEX('Rates &amp; Tables'!$C$61:$G$63,MATCH($I5,'Rates &amp; Tables'!$J$61:$J$63,0),MATCH($H5,'Rates &amp; Tables'!$C$60:$G$60,0)),0))</f>
        <v/>
      </c>
      <c r="O5" s="52">
        <f>IF($B5="",0,$M5*$N5)</f>
        <v/>
      </c>
      <c r="P5" s="49">
        <f>IF($B5="","",$B5&amp;"|"&amp;$G5&amp;"|"&amp;$J5)</f>
        <v/>
      </c>
    </row>
    <row r="6" hidden="1" ht="14.25" customHeight="1">
      <c r="B6" s="51" t="n">
        <v>1</v>
      </c>
      <c r="C6" s="51" t="inlineStr">
        <is>
          <t>POD</t>
        </is>
      </c>
      <c r="D6" s="51" t="n">
        <v>1</v>
      </c>
      <c r="E6" s="51" t="n">
        <v>2</v>
      </c>
      <c r="F6" s="51" t="inlineStr">
        <is>
          <t>MetLife Group Policy SME</t>
        </is>
      </c>
      <c r="G6" s="51" t="inlineStr">
        <is>
          <t>BSA</t>
        </is>
      </c>
      <c r="H6" s="51" t="inlineStr">
        <is>
          <t>E4</t>
        </is>
      </c>
      <c r="I6" s="51" t="inlineStr">
        <is>
          <t>ON</t>
        </is>
      </c>
      <c r="J6" s="51" t="inlineStr">
        <is>
          <t>FTE</t>
        </is>
      </c>
      <c r="K6" s="51" t="n">
        <v>1</v>
      </c>
      <c r="L6" s="52">
        <f>IF($B6="",0,IF($C6="HZ",1,IFERROR(INDEX('Value Streams &amp; Delivery Mode'!$D$17:$M$22,MATCH($D6,'Value Streams &amp; Delivery Mode'!$B$17:$B$22,0),($B6-1)*2+IF($C6="POD",1,2)),0)))</f>
        <v/>
      </c>
      <c r="M6" s="53">
        <f>IF($B6="",0,$K6*$L6)</f>
        <v/>
      </c>
      <c r="N6" s="54">
        <f>IF($B6="",0,IFERROR(INDEX('Rates &amp; Tables'!$C$61:$G$63,MATCH($I6,'Rates &amp; Tables'!$J$61:$J$63,0),MATCH($H6,'Rates &amp; Tables'!$C$60:$G$60,0)),0))</f>
        <v/>
      </c>
      <c r="O6" s="52">
        <f>IF($B6="",0,$M6*$N6)</f>
        <v/>
      </c>
      <c r="P6" s="49">
        <f>IF($B6="","",$B6&amp;"|"&amp;$G6&amp;"|"&amp;$J6)</f>
        <v/>
      </c>
    </row>
    <row r="7" ht="14.25" customHeight="1">
      <c r="B7" s="51" t="n">
        <v>1</v>
      </c>
      <c r="C7" s="51" t="inlineStr">
        <is>
          <t>POD</t>
        </is>
      </c>
      <c r="D7" s="51" t="n">
        <v>1</v>
      </c>
      <c r="E7" s="51" t="n">
        <v>3</v>
      </c>
      <c r="F7" s="51" t="inlineStr">
        <is>
          <t>FSI Senior Developer (JP)</t>
        </is>
      </c>
      <c r="G7" s="51" t="inlineStr">
        <is>
          <t>DEV</t>
        </is>
      </c>
      <c r="H7" s="51" t="inlineStr">
        <is>
          <t>E3</t>
        </is>
      </c>
      <c r="I7" s="51" t="inlineStr">
        <is>
          <t>ON</t>
        </is>
      </c>
      <c r="J7" s="51" t="inlineStr">
        <is>
          <t>PT</t>
        </is>
      </c>
      <c r="K7" s="51" t="n">
        <v>2</v>
      </c>
      <c r="L7" s="52">
        <f>IF($B7="",0,IF($C7="HZ",1,IFERROR(INDEX('Value Streams &amp; Delivery Mode'!$D$17:$M$22,MATCH($D7,'Value Streams &amp; Delivery Mode'!$B$17:$B$22,0),($B7-1)*2+IF($C7="POD",1,2)),0)))</f>
        <v/>
      </c>
      <c r="M7" s="53">
        <f>IF($B7="",0,$K7*$L7)</f>
        <v/>
      </c>
      <c r="N7" s="54">
        <f>IF($B7="",0,IFERROR(INDEX('Rates &amp; Tables'!$C$61:$G$63,MATCH($I7,'Rates &amp; Tables'!$J$61:$J$63,0),MATCH($H7,'Rates &amp; Tables'!$C$60:$G$60,0)),0))</f>
        <v/>
      </c>
      <c r="O7" s="52">
        <f>IF($B7="",0,$M7*$N7)</f>
        <v/>
      </c>
      <c r="P7" s="49">
        <f>IF($B7="","",$B7&amp;"|"&amp;$G7&amp;"|"&amp;$J7)</f>
        <v/>
      </c>
    </row>
    <row r="8" ht="14.25" customHeight="1">
      <c r="B8" s="51" t="n">
        <v>1</v>
      </c>
      <c r="C8" s="51" t="inlineStr">
        <is>
          <t>POD</t>
        </is>
      </c>
      <c r="D8" s="51" t="n">
        <v>1</v>
      </c>
      <c r="E8" s="51" t="n">
        <v>4</v>
      </c>
      <c r="F8" s="51" t="inlineStr">
        <is>
          <t>FSI Application Support</t>
        </is>
      </c>
      <c r="G8" s="51" t="inlineStr">
        <is>
          <t>MNT</t>
        </is>
      </c>
      <c r="H8" s="51" t="inlineStr">
        <is>
          <t>E2</t>
        </is>
      </c>
      <c r="I8" s="51" t="inlineStr">
        <is>
          <t>ON</t>
        </is>
      </c>
      <c r="J8" s="51" t="inlineStr">
        <is>
          <t>PT</t>
        </is>
      </c>
      <c r="K8" s="51" t="n">
        <v>1</v>
      </c>
      <c r="L8" s="52">
        <f>IF($B8="",0,IF($C8="HZ",1,IFERROR(INDEX('Value Streams &amp; Delivery Mode'!$D$17:$M$22,MATCH($D8,'Value Streams &amp; Delivery Mode'!$B$17:$B$22,0),($B8-1)*2+IF($C8="POD",1,2)),0)))</f>
        <v/>
      </c>
      <c r="M8" s="53">
        <f>IF($B8="",0,$K8*$L8)</f>
        <v/>
      </c>
      <c r="N8" s="54">
        <f>IF($B8="",0,IFERROR(INDEX('Rates &amp; Tables'!$C$61:$G$63,MATCH($I8,'Rates &amp; Tables'!$J$61:$J$63,0),MATCH($H8,'Rates &amp; Tables'!$C$60:$G$60,0)),0))</f>
        <v/>
      </c>
      <c r="O8" s="52">
        <f>IF($B8="",0,$M8*$N8)</f>
        <v/>
      </c>
      <c r="P8" s="49">
        <f>IF($B8="","",$B8&amp;"|"&amp;$G8&amp;"|"&amp;$J8)</f>
        <v/>
      </c>
    </row>
    <row r="9" ht="14.25" customHeight="1">
      <c r="B9" s="51" t="n">
        <v>1</v>
      </c>
      <c r="C9" s="51" t="inlineStr">
        <is>
          <t>POD</t>
        </is>
      </c>
      <c r="D9" s="51" t="n">
        <v>1</v>
      </c>
      <c r="E9" s="51" t="n">
        <v>5</v>
      </c>
      <c r="F9" s="51" t="inlineStr">
        <is>
          <t>Pod lead / senior engineer</t>
        </is>
      </c>
      <c r="G9" s="51" t="inlineStr">
        <is>
          <t>DEV</t>
        </is>
      </c>
      <c r="H9" s="51" t="inlineStr">
        <is>
          <t>E3</t>
        </is>
      </c>
      <c r="I9" s="51" t="inlineStr">
        <is>
          <t>ON</t>
        </is>
      </c>
      <c r="J9" s="51" t="inlineStr">
        <is>
          <t>FTC</t>
        </is>
      </c>
      <c r="K9" s="51" t="n">
        <v>1</v>
      </c>
      <c r="L9" s="52">
        <f>IF($B9="",0,IF($C9="HZ",1,IFERROR(INDEX('Value Streams &amp; Delivery Mode'!$D$17:$M$22,MATCH($D9,'Value Streams &amp; Delivery Mode'!$B$17:$B$22,0),($B9-1)*2+IF($C9="POD",1,2)),0)))</f>
        <v/>
      </c>
      <c r="M9" s="53">
        <f>IF($B9="",0,$K9*$L9)</f>
        <v/>
      </c>
      <c r="N9" s="54">
        <f>IF($B9="",0,IFERROR(INDEX('Rates &amp; Tables'!$C$61:$G$63,MATCH($I9,'Rates &amp; Tables'!$J$61:$J$63,0),MATCH($H9,'Rates &amp; Tables'!$C$60:$G$60,0)),0))</f>
        <v/>
      </c>
      <c r="O9" s="52">
        <f>IF($B9="",0,$M9*$N9)</f>
        <v/>
      </c>
      <c r="P9" s="49">
        <f>IF($B9="","",$B9&amp;"|"&amp;$G9&amp;"|"&amp;$J9)</f>
        <v/>
      </c>
    </row>
    <row r="10" ht="14.25" customHeight="1">
      <c r="B10" s="51" t="n">
        <v>1</v>
      </c>
      <c r="C10" s="51" t="inlineStr">
        <is>
          <t>POD</t>
        </is>
      </c>
      <c r="D10" s="51" t="n">
        <v>1</v>
      </c>
      <c r="E10" s="51" t="n">
        <v>6</v>
      </c>
      <c r="F10" s="51" t="inlineStr">
        <is>
          <t>Business Analyst (bilingual)</t>
        </is>
      </c>
      <c r="G10" s="51" t="inlineStr">
        <is>
          <t>BSA</t>
        </is>
      </c>
      <c r="H10" s="51" t="inlineStr">
        <is>
          <t>E2</t>
        </is>
      </c>
      <c r="I10" s="51" t="inlineStr">
        <is>
          <t>ON</t>
        </is>
      </c>
      <c r="J10" s="51" t="inlineStr">
        <is>
          <t>FTC</t>
        </is>
      </c>
      <c r="K10" s="51" t="n">
        <v>0.5</v>
      </c>
      <c r="L10" s="52">
        <f>IF($B10="",0,IF($C10="HZ",1,IFERROR(INDEX('Value Streams &amp; Delivery Mode'!$D$17:$M$22,MATCH($D10,'Value Streams &amp; Delivery Mode'!$B$17:$B$22,0),($B10-1)*2+IF($C10="POD",1,2)),0)))</f>
        <v/>
      </c>
      <c r="M10" s="53">
        <f>IF($B10="",0,$K10*$L10)</f>
        <v/>
      </c>
      <c r="N10" s="54">
        <f>IF($B10="",0,IFERROR(INDEX('Rates &amp; Tables'!$C$61:$G$63,MATCH($I10,'Rates &amp; Tables'!$J$61:$J$63,0),MATCH($H10,'Rates &amp; Tables'!$C$60:$G$60,0)),0))</f>
        <v/>
      </c>
      <c r="O10" s="52">
        <f>IF($B10="",0,$M10*$N10)</f>
        <v/>
      </c>
      <c r="P10" s="49">
        <f>IF($B10="","",$B10&amp;"|"&amp;$G10&amp;"|"&amp;$J10)</f>
        <v/>
      </c>
    </row>
    <row r="11" ht="14.25" customHeight="1">
      <c r="B11" s="51" t="n">
        <v>1</v>
      </c>
      <c r="C11" s="51" t="inlineStr">
        <is>
          <t>POD</t>
        </is>
      </c>
      <c r="D11" s="51" t="n">
        <v>1</v>
      </c>
      <c r="E11" s="51" t="n">
        <v>7</v>
      </c>
      <c r="F11" s="51" t="inlineStr">
        <is>
          <t>Java Developer</t>
        </is>
      </c>
      <c r="G11" s="51" t="inlineStr">
        <is>
          <t>DEV</t>
        </is>
      </c>
      <c r="H11" s="51" t="inlineStr">
        <is>
          <t>E2</t>
        </is>
      </c>
      <c r="I11" s="51" t="inlineStr">
        <is>
          <t>OFF</t>
        </is>
      </c>
      <c r="J11" s="51" t="inlineStr">
        <is>
          <t>FTC</t>
        </is>
      </c>
      <c r="K11" s="51" t="n">
        <v>0.5</v>
      </c>
      <c r="L11" s="52">
        <f>IF($B11="",0,IF($C11="HZ",1,IFERROR(INDEX('Value Streams &amp; Delivery Mode'!$D$17:$M$22,MATCH($D11,'Value Streams &amp; Delivery Mode'!$B$17:$B$22,0),($B11-1)*2+IF($C11="POD",1,2)),0)))</f>
        <v/>
      </c>
      <c r="M11" s="53">
        <f>IF($B11="",0,$K11*$L11)</f>
        <v/>
      </c>
      <c r="N11" s="54">
        <f>IF($B11="",0,IFERROR(INDEX('Rates &amp; Tables'!$C$61:$G$63,MATCH($I11,'Rates &amp; Tables'!$J$61:$J$63,0),MATCH($H11,'Rates &amp; Tables'!$C$60:$G$60,0)),0))</f>
        <v/>
      </c>
      <c r="O11" s="52">
        <f>IF($B11="",0,$M11*$N11)</f>
        <v/>
      </c>
      <c r="P11" s="49">
        <f>IF($B11="","",$B11&amp;"|"&amp;$G11&amp;"|"&amp;$J11)</f>
        <v/>
      </c>
    </row>
    <row r="12" ht="14.25" customHeight="1">
      <c r="B12" s="51" t="n">
        <v>1</v>
      </c>
      <c r="C12" s="51" t="inlineStr">
        <is>
          <t>POD</t>
        </is>
      </c>
      <c r="D12" s="51" t="n">
        <v>1</v>
      </c>
      <c r="E12" s="51" t="n">
        <v>8</v>
      </c>
      <c r="F12" s="51" t="inlineStr">
        <is>
          <t>Quality Engineer (SDET)</t>
        </is>
      </c>
      <c r="G12" s="51" t="inlineStr">
        <is>
          <t>TEST</t>
        </is>
      </c>
      <c r="H12" s="51" t="inlineStr">
        <is>
          <t>E3</t>
        </is>
      </c>
      <c r="I12" s="51" t="inlineStr">
        <is>
          <t>ON</t>
        </is>
      </c>
      <c r="J12" s="51" t="inlineStr">
        <is>
          <t>FTC</t>
        </is>
      </c>
      <c r="K12" s="51" t="n">
        <v>1</v>
      </c>
      <c r="L12" s="52">
        <f>IF($B12="",0,IF($C12="HZ",1,IFERROR(INDEX('Value Streams &amp; Delivery Mode'!$D$17:$M$22,MATCH($D12,'Value Streams &amp; Delivery Mode'!$B$17:$B$22,0),($B12-1)*2+IF($C12="POD",1,2)),0)))</f>
        <v/>
      </c>
      <c r="M12" s="53">
        <f>IF($B12="",0,$K12*$L12)</f>
        <v/>
      </c>
      <c r="N12" s="54">
        <f>IF($B12="",0,IFERROR(INDEX('Rates &amp; Tables'!$C$61:$G$63,MATCH($I12,'Rates &amp; Tables'!$J$61:$J$63,0),MATCH($H12,'Rates &amp; Tables'!$C$60:$G$60,0)),0))</f>
        <v/>
      </c>
      <c r="O12" s="52">
        <f>IF($B12="",0,$M12*$N12)</f>
        <v/>
      </c>
      <c r="P12" s="49">
        <f>IF($B12="","",$B12&amp;"|"&amp;$G12&amp;"|"&amp;$J12)</f>
        <v/>
      </c>
    </row>
    <row r="13" ht="14.25" customHeight="1">
      <c r="B13" s="51" t="n">
        <v>1</v>
      </c>
      <c r="C13" s="51" t="inlineStr">
        <is>
          <t>POD</t>
        </is>
      </c>
      <c r="D13" s="51" t="n">
        <v>1</v>
      </c>
      <c r="E13" s="51" t="n">
        <v>9</v>
      </c>
      <c r="F13" s="51" t="inlineStr">
        <is>
          <t>Junior Application Support — offshore</t>
        </is>
      </c>
      <c r="G13" s="51" t="inlineStr">
        <is>
          <t>MNT</t>
        </is>
      </c>
      <c r="H13" s="51" t="inlineStr">
        <is>
          <t>E1</t>
        </is>
      </c>
      <c r="I13" s="51" t="inlineStr">
        <is>
          <t>OFF</t>
        </is>
      </c>
      <c r="J13" s="51" t="inlineStr">
        <is>
          <t>FTC</t>
        </is>
      </c>
      <c r="K13" s="51" t="n">
        <v>0.5</v>
      </c>
      <c r="L13" s="52">
        <f>IF($B13="",0,IF($C13="HZ",1,IFERROR(INDEX('Value Streams &amp; Delivery Mode'!$D$17:$M$22,MATCH($D13,'Value Streams &amp; Delivery Mode'!$B$17:$B$22,0),($B13-1)*2+IF($C13="POD",1,2)),0)))</f>
        <v/>
      </c>
      <c r="M13" s="53">
        <f>IF($B13="",0,$K13*$L13)</f>
        <v/>
      </c>
      <c r="N13" s="54">
        <f>IF($B13="",0,IFERROR(INDEX('Rates &amp; Tables'!$C$61:$G$63,MATCH($I13,'Rates &amp; Tables'!$J$61:$J$63,0),MATCH($H13,'Rates &amp; Tables'!$C$60:$G$60,0)),0))</f>
        <v/>
      </c>
      <c r="O13" s="52">
        <f>IF($B13="",0,$M13*$N13)</f>
        <v/>
      </c>
      <c r="P13" s="49">
        <f>IF($B13="","",$B13&amp;"|"&amp;$G13&amp;"|"&amp;$J13)</f>
        <v/>
      </c>
    </row>
    <row r="14" hidden="1" ht="14.25" customHeight="1">
      <c r="B14" s="51" t="n">
        <v>1</v>
      </c>
      <c r="C14" s="51" t="inlineStr">
        <is>
          <t>TEAM</t>
        </is>
      </c>
      <c r="D14" s="51" t="n">
        <v>2</v>
      </c>
      <c r="E14" s="51" t="n">
        <v>1</v>
      </c>
      <c r="F14" s="51" t="inlineStr">
        <is>
          <t>MetLife Product Owner</t>
        </is>
      </c>
      <c r="G14" s="51" t="inlineStr">
        <is>
          <t>PM</t>
        </is>
      </c>
      <c r="H14" s="51" t="inlineStr">
        <is>
          <t>E4</t>
        </is>
      </c>
      <c r="I14" s="51" t="inlineStr">
        <is>
          <t>ON</t>
        </is>
      </c>
      <c r="J14" s="51" t="inlineStr">
        <is>
          <t>FTE</t>
        </is>
      </c>
      <c r="K14" s="51" t="n">
        <v>1</v>
      </c>
      <c r="L14" s="52">
        <f>IF($B14="",0,IF($C14="HZ",1,IFERROR(INDEX('Value Streams &amp; Delivery Mode'!$D$17:$M$22,MATCH($D14,'Value Streams &amp; Delivery Mode'!$B$17:$B$22,0),($B14-1)*2+IF($C14="POD",1,2)),0)))</f>
        <v/>
      </c>
      <c r="M14" s="53">
        <f>IF($B14="",0,$K14*$L14)</f>
        <v/>
      </c>
      <c r="N14" s="54">
        <f>IF($B14="",0,IFERROR(INDEX('Rates &amp; Tables'!$C$61:$G$63,MATCH($I14,'Rates &amp; Tables'!$J$61:$J$63,0),MATCH($H14,'Rates &amp; Tables'!$C$60:$G$60,0)),0))</f>
        <v/>
      </c>
      <c r="O14" s="52">
        <f>IF($B14="",0,$M14*$N14)</f>
        <v/>
      </c>
      <c r="P14" s="49">
        <f>IF($B14="","",$B14&amp;"|"&amp;$G14&amp;"|"&amp;$J14)</f>
        <v/>
      </c>
    </row>
    <row r="15" hidden="1" ht="14.25" customHeight="1">
      <c r="B15" s="51" t="n">
        <v>1</v>
      </c>
      <c r="C15" s="51" t="inlineStr">
        <is>
          <t>TEAM</t>
        </is>
      </c>
      <c r="D15" s="51" t="n">
        <v>2</v>
      </c>
      <c r="E15" s="51" t="n">
        <v>2</v>
      </c>
      <c r="F15" s="51" t="inlineStr">
        <is>
          <t>MetLife Compliance SME</t>
        </is>
      </c>
      <c r="G15" s="51" t="inlineStr">
        <is>
          <t>BSA</t>
        </is>
      </c>
      <c r="H15" s="51" t="inlineStr">
        <is>
          <t>E4</t>
        </is>
      </c>
      <c r="I15" s="51" t="inlineStr">
        <is>
          <t>ON</t>
        </is>
      </c>
      <c r="J15" s="51" t="inlineStr">
        <is>
          <t>FTE</t>
        </is>
      </c>
      <c r="K15" s="51" t="n">
        <v>1</v>
      </c>
      <c r="L15" s="52">
        <f>IF($B15="",0,IF($C15="HZ",1,IFERROR(INDEX('Value Streams &amp; Delivery Mode'!$D$17:$M$22,MATCH($D15,'Value Streams &amp; Delivery Mode'!$B$17:$B$22,0),($B15-1)*2+IF($C15="POD",1,2)),0)))</f>
        <v/>
      </c>
      <c r="M15" s="53">
        <f>IF($B15="",0,$K15*$L15)</f>
        <v/>
      </c>
      <c r="N15" s="54">
        <f>IF($B15="",0,IFERROR(INDEX('Rates &amp; Tables'!$C$61:$G$63,MATCH($I15,'Rates &amp; Tables'!$J$61:$J$63,0),MATCH($H15,'Rates &amp; Tables'!$C$60:$G$60,0)),0))</f>
        <v/>
      </c>
      <c r="O15" s="52">
        <f>IF($B15="",0,$M15*$N15)</f>
        <v/>
      </c>
      <c r="P15" s="49">
        <f>IF($B15="","",$B15&amp;"|"&amp;$G15&amp;"|"&amp;$J15)</f>
        <v/>
      </c>
    </row>
    <row r="16" hidden="1" ht="14.25" customHeight="1">
      <c r="B16" s="51" t="n">
        <v>1</v>
      </c>
      <c r="C16" s="51" t="inlineStr">
        <is>
          <t>TEAM</t>
        </is>
      </c>
      <c r="D16" s="51" t="n">
        <v>2</v>
      </c>
      <c r="E16" s="51" t="n">
        <v>3</v>
      </c>
      <c r="F16" s="51" t="inlineStr">
        <is>
          <t>MetLife Operations Analyst</t>
        </is>
      </c>
      <c r="G16" s="51" t="inlineStr">
        <is>
          <t>MNT</t>
        </is>
      </c>
      <c r="H16" s="51" t="inlineStr">
        <is>
          <t>E3</t>
        </is>
      </c>
      <c r="I16" s="51" t="inlineStr">
        <is>
          <t>ON</t>
        </is>
      </c>
      <c r="J16" s="51" t="inlineStr">
        <is>
          <t>FTE</t>
        </is>
      </c>
      <c r="K16" s="51" t="n">
        <v>0.5</v>
      </c>
      <c r="L16" s="52">
        <f>IF($B16="",0,IF($C16="HZ",1,IFERROR(INDEX('Value Streams &amp; Delivery Mode'!$D$17:$M$22,MATCH($D16,'Value Streams &amp; Delivery Mode'!$B$17:$B$22,0),($B16-1)*2+IF($C16="POD",1,2)),0)))</f>
        <v/>
      </c>
      <c r="M16" s="53">
        <f>IF($B16="",0,$K16*$L16)</f>
        <v/>
      </c>
      <c r="N16" s="54">
        <f>IF($B16="",0,IFERROR(INDEX('Rates &amp; Tables'!$C$61:$G$63,MATCH($I16,'Rates &amp; Tables'!$J$61:$J$63,0),MATCH($H16,'Rates &amp; Tables'!$C$60:$G$60,0)),0))</f>
        <v/>
      </c>
      <c r="O16" s="52">
        <f>IF($B16="",0,$M16*$N16)</f>
        <v/>
      </c>
      <c r="P16" s="49">
        <f>IF($B16="","",$B16&amp;"|"&amp;$G16&amp;"|"&amp;$J16)</f>
        <v/>
      </c>
    </row>
    <row r="17" ht="14.25" customHeight="1">
      <c r="B17" s="51" t="n">
        <v>1</v>
      </c>
      <c r="C17" s="51" t="inlineStr">
        <is>
          <t>TEAM</t>
        </is>
      </c>
      <c r="D17" s="51" t="n">
        <v>2</v>
      </c>
      <c r="E17" s="51" t="n">
        <v>4</v>
      </c>
      <c r="F17" s="51" t="inlineStr">
        <is>
          <t>FSI Senior Developer (JP)</t>
        </is>
      </c>
      <c r="G17" s="51" t="inlineStr">
        <is>
          <t>DEV</t>
        </is>
      </c>
      <c r="H17" s="51" t="inlineStr">
        <is>
          <t>E3</t>
        </is>
      </c>
      <c r="I17" s="51" t="inlineStr">
        <is>
          <t>ON</t>
        </is>
      </c>
      <c r="J17" s="51" t="inlineStr">
        <is>
          <t>PT</t>
        </is>
      </c>
      <c r="K17" s="51" t="n">
        <v>1.5</v>
      </c>
      <c r="L17" s="52">
        <f>IF($B17="",0,IF($C17="HZ",1,IFERROR(INDEX('Value Streams &amp; Delivery Mode'!$D$17:$M$22,MATCH($D17,'Value Streams &amp; Delivery Mode'!$B$17:$B$22,0),($B17-1)*2+IF($C17="POD",1,2)),0)))</f>
        <v/>
      </c>
      <c r="M17" s="53">
        <f>IF($B17="",0,$K17*$L17)</f>
        <v/>
      </c>
      <c r="N17" s="54">
        <f>IF($B17="",0,IFERROR(INDEX('Rates &amp; Tables'!$C$61:$G$63,MATCH($I17,'Rates &amp; Tables'!$J$61:$J$63,0),MATCH($H17,'Rates &amp; Tables'!$C$60:$G$60,0)),0))</f>
        <v/>
      </c>
      <c r="O17" s="52">
        <f>IF($B17="",0,$M17*$N17)</f>
        <v/>
      </c>
      <c r="P17" s="49">
        <f>IF($B17="","",$B17&amp;"|"&amp;$G17&amp;"|"&amp;$J17)</f>
        <v/>
      </c>
    </row>
    <row r="18" ht="14.25" customHeight="1">
      <c r="B18" s="51" t="n">
        <v>1</v>
      </c>
      <c r="C18" s="51" t="inlineStr">
        <is>
          <t>TEAM</t>
        </is>
      </c>
      <c r="D18" s="51" t="n">
        <v>2</v>
      </c>
      <c r="E18" s="51" t="n">
        <v>5</v>
      </c>
      <c r="F18" s="51" t="inlineStr">
        <is>
          <t>FSI Application Support</t>
        </is>
      </c>
      <c r="G18" s="51" t="inlineStr">
        <is>
          <t>MNT</t>
        </is>
      </c>
      <c r="H18" s="51" t="inlineStr">
        <is>
          <t>E2</t>
        </is>
      </c>
      <c r="I18" s="51" t="inlineStr">
        <is>
          <t>ON</t>
        </is>
      </c>
      <c r="J18" s="51" t="inlineStr">
        <is>
          <t>PT</t>
        </is>
      </c>
      <c r="K18" s="51" t="n">
        <v>0.5</v>
      </c>
      <c r="L18" s="52">
        <f>IF($B18="",0,IF($C18="HZ",1,IFERROR(INDEX('Value Streams &amp; Delivery Mode'!$D$17:$M$22,MATCH($D18,'Value Streams &amp; Delivery Mode'!$B$17:$B$22,0),($B18-1)*2+IF($C18="POD",1,2)),0)))</f>
        <v/>
      </c>
      <c r="M18" s="53">
        <f>IF($B18="",0,$K18*$L18)</f>
        <v/>
      </c>
      <c r="N18" s="54">
        <f>IF($B18="",0,IFERROR(INDEX('Rates &amp; Tables'!$C$61:$G$63,MATCH($I18,'Rates &amp; Tables'!$J$61:$J$63,0),MATCH($H18,'Rates &amp; Tables'!$C$60:$G$60,0)),0))</f>
        <v/>
      </c>
      <c r="O18" s="52">
        <f>IF($B18="",0,$M18*$N18)</f>
        <v/>
      </c>
      <c r="P18" s="49">
        <f>IF($B18="","",$B18&amp;"|"&amp;$G18&amp;"|"&amp;$J18)</f>
        <v/>
      </c>
    </row>
    <row r="19" ht="14.25" customHeight="1">
      <c r="B19" s="51" t="n">
        <v>1</v>
      </c>
      <c r="C19" s="51" t="inlineStr">
        <is>
          <t>TEAM</t>
        </is>
      </c>
      <c r="D19" s="51" t="n">
        <v>2</v>
      </c>
      <c r="E19" s="51" t="n">
        <v>6</v>
      </c>
      <c r="F19" s="51" t="inlineStr">
        <is>
          <t>Team lead / technical lead</t>
        </is>
      </c>
      <c r="G19" s="51" t="inlineStr">
        <is>
          <t>DEV</t>
        </is>
      </c>
      <c r="H19" s="51" t="inlineStr">
        <is>
          <t>E4</t>
        </is>
      </c>
      <c r="I19" s="51" t="inlineStr">
        <is>
          <t>ON</t>
        </is>
      </c>
      <c r="J19" s="51" t="inlineStr">
        <is>
          <t>FTC</t>
        </is>
      </c>
      <c r="K19" s="51" t="n">
        <v>1</v>
      </c>
      <c r="L19" s="52">
        <f>IF($B19="",0,IF($C19="HZ",1,IFERROR(INDEX('Value Streams &amp; Delivery Mode'!$D$17:$M$22,MATCH($D19,'Value Streams &amp; Delivery Mode'!$B$17:$B$22,0),($B19-1)*2+IF($C19="POD",1,2)),0)))</f>
        <v/>
      </c>
      <c r="M19" s="53">
        <f>IF($B19="",0,$K19*$L19)</f>
        <v/>
      </c>
      <c r="N19" s="54">
        <f>IF($B19="",0,IFERROR(INDEX('Rates &amp; Tables'!$C$61:$G$63,MATCH($I19,'Rates &amp; Tables'!$J$61:$J$63,0),MATCH($H19,'Rates &amp; Tables'!$C$60:$G$60,0)),0))</f>
        <v/>
      </c>
      <c r="O19" s="52">
        <f>IF($B19="",0,$M19*$N19)</f>
        <v/>
      </c>
      <c r="P19" s="49">
        <f>IF($B19="","",$B19&amp;"|"&amp;$G19&amp;"|"&amp;$J19)</f>
        <v/>
      </c>
    </row>
    <row r="20" ht="14.25" customHeight="1">
      <c r="B20" s="51" t="n">
        <v>1</v>
      </c>
      <c r="C20" s="51" t="inlineStr">
        <is>
          <t>TEAM</t>
        </is>
      </c>
      <c r="D20" s="51" t="n">
        <v>2</v>
      </c>
      <c r="E20" s="51" t="n">
        <v>7</v>
      </c>
      <c r="F20" s="51" t="inlineStr">
        <is>
          <t>Business Analyst (bilingual)</t>
        </is>
      </c>
      <c r="G20" s="51" t="inlineStr">
        <is>
          <t>BSA</t>
        </is>
      </c>
      <c r="H20" s="51" t="inlineStr">
        <is>
          <t>E2</t>
        </is>
      </c>
      <c r="I20" s="51" t="inlineStr">
        <is>
          <t>ON</t>
        </is>
      </c>
      <c r="J20" s="51" t="inlineStr">
        <is>
          <t>FTC</t>
        </is>
      </c>
      <c r="K20" s="51" t="n">
        <v>1</v>
      </c>
      <c r="L20" s="52">
        <f>IF($B20="",0,IF($C20="HZ",1,IFERROR(INDEX('Value Streams &amp; Delivery Mode'!$D$17:$M$22,MATCH($D20,'Value Streams &amp; Delivery Mode'!$B$17:$B$22,0),($B20-1)*2+IF($C20="POD",1,2)),0)))</f>
        <v/>
      </c>
      <c r="M20" s="53">
        <f>IF($B20="",0,$K20*$L20)</f>
        <v/>
      </c>
      <c r="N20" s="54">
        <f>IF($B20="",0,IFERROR(INDEX('Rates &amp; Tables'!$C$61:$G$63,MATCH($I20,'Rates &amp; Tables'!$J$61:$J$63,0),MATCH($H20,'Rates &amp; Tables'!$C$60:$G$60,0)),0))</f>
        <v/>
      </c>
      <c r="O20" s="52">
        <f>IF($B20="",0,$M20*$N20)</f>
        <v/>
      </c>
      <c r="P20" s="49">
        <f>IF($B20="","",$B20&amp;"|"&amp;$G20&amp;"|"&amp;$J20)</f>
        <v/>
      </c>
    </row>
    <row r="21" ht="14.25" customHeight="1">
      <c r="B21" s="51" t="n">
        <v>1</v>
      </c>
      <c r="C21" s="51" t="inlineStr">
        <is>
          <t>TEAM</t>
        </is>
      </c>
      <c r="D21" s="51" t="n">
        <v>2</v>
      </c>
      <c r="E21" s="51" t="n">
        <v>8</v>
      </c>
      <c r="F21" s="51" t="inlineStr">
        <is>
          <t>Senior .NET Developer</t>
        </is>
      </c>
      <c r="G21" s="51" t="inlineStr">
        <is>
          <t>DEV</t>
        </is>
      </c>
      <c r="H21" s="51" t="inlineStr">
        <is>
          <t>E3</t>
        </is>
      </c>
      <c r="I21" s="51" t="inlineStr">
        <is>
          <t>ON</t>
        </is>
      </c>
      <c r="J21" s="51" t="inlineStr">
        <is>
          <t>FTC</t>
        </is>
      </c>
      <c r="K21" s="51" t="n">
        <v>1</v>
      </c>
      <c r="L21" s="52">
        <f>IF($B21="",0,IF($C21="HZ",1,IFERROR(INDEX('Value Streams &amp; Delivery Mode'!$D$17:$M$22,MATCH($D21,'Value Streams &amp; Delivery Mode'!$B$17:$B$22,0),($B21-1)*2+IF($C21="POD",1,2)),0)))</f>
        <v/>
      </c>
      <c r="M21" s="53">
        <f>IF($B21="",0,$K21*$L21)</f>
        <v/>
      </c>
      <c r="N21" s="54">
        <f>IF($B21="",0,IFERROR(INDEX('Rates &amp; Tables'!$C$61:$G$63,MATCH($I21,'Rates &amp; Tables'!$J$61:$J$63,0),MATCH($H21,'Rates &amp; Tables'!$C$60:$G$60,0)),0))</f>
        <v/>
      </c>
      <c r="O21" s="52">
        <f>IF($B21="",0,$M21*$N21)</f>
        <v/>
      </c>
      <c r="P21" s="49">
        <f>IF($B21="","",$B21&amp;"|"&amp;$G21&amp;"|"&amp;$J21)</f>
        <v/>
      </c>
    </row>
    <row r="22" ht="14.25" customHeight="1">
      <c r="B22" s="51" t="n">
        <v>1</v>
      </c>
      <c r="C22" s="51" t="inlineStr">
        <is>
          <t>TEAM</t>
        </is>
      </c>
      <c r="D22" s="51" t="n">
        <v>2</v>
      </c>
      <c r="E22" s="51" t="n">
        <v>9</v>
      </c>
      <c r="F22" s="51" t="inlineStr">
        <is>
          <t>Junior .NET Developer</t>
        </is>
      </c>
      <c r="G22" s="51" t="inlineStr">
        <is>
          <t>DEV</t>
        </is>
      </c>
      <c r="H22" s="51" t="inlineStr">
        <is>
          <t>E2</t>
        </is>
      </c>
      <c r="I22" s="51" t="inlineStr">
        <is>
          <t>ON</t>
        </is>
      </c>
      <c r="J22" s="51" t="inlineStr">
        <is>
          <t>FTC</t>
        </is>
      </c>
      <c r="K22" s="51" t="n">
        <v>1.5</v>
      </c>
      <c r="L22" s="52">
        <f>IF($B22="",0,IF($C22="HZ",1,IFERROR(INDEX('Value Streams &amp; Delivery Mode'!$D$17:$M$22,MATCH($D22,'Value Streams &amp; Delivery Mode'!$B$17:$B$22,0),($B22-1)*2+IF($C22="POD",1,2)),0)))</f>
        <v/>
      </c>
      <c r="M22" s="53">
        <f>IF($B22="",0,$K22*$L22)</f>
        <v/>
      </c>
      <c r="N22" s="54">
        <f>IF($B22="",0,IFERROR(INDEX('Rates &amp; Tables'!$C$61:$G$63,MATCH($I22,'Rates &amp; Tables'!$J$61:$J$63,0),MATCH($H22,'Rates &amp; Tables'!$C$60:$G$60,0)),0))</f>
        <v/>
      </c>
      <c r="O22" s="52">
        <f>IF($B22="",0,$M22*$N22)</f>
        <v/>
      </c>
      <c r="P22" s="49">
        <f>IF($B22="","",$B22&amp;"|"&amp;$G22&amp;"|"&amp;$J22)</f>
        <v/>
      </c>
    </row>
    <row r="23" ht="14.25" customHeight="1">
      <c r="B23" s="51" t="n">
        <v>1</v>
      </c>
      <c r="C23" s="51" t="inlineStr">
        <is>
          <t>TEAM</t>
        </is>
      </c>
      <c r="D23" s="51" t="n">
        <v>2</v>
      </c>
      <c r="E23" s="51" t="n">
        <v>10</v>
      </c>
      <c r="F23" s="51" t="inlineStr">
        <is>
          <t>Test Engineer</t>
        </is>
      </c>
      <c r="G23" s="51" t="inlineStr">
        <is>
          <t>TEST</t>
        </is>
      </c>
      <c r="H23" s="51" t="inlineStr">
        <is>
          <t>E2</t>
        </is>
      </c>
      <c r="I23" s="51" t="inlineStr">
        <is>
          <t>ON</t>
        </is>
      </c>
      <c r="J23" s="51" t="inlineStr">
        <is>
          <t>FTC</t>
        </is>
      </c>
      <c r="K23" s="51" t="n">
        <v>1.5</v>
      </c>
      <c r="L23" s="52">
        <f>IF($B23="",0,IF($C23="HZ",1,IFERROR(INDEX('Value Streams &amp; Delivery Mode'!$D$17:$M$22,MATCH($D23,'Value Streams &amp; Delivery Mode'!$B$17:$B$22,0),($B23-1)*2+IF($C23="POD",1,2)),0)))</f>
        <v/>
      </c>
      <c r="M23" s="53">
        <f>IF($B23="",0,$K23*$L23)</f>
        <v/>
      </c>
      <c r="N23" s="54">
        <f>IF($B23="",0,IFERROR(INDEX('Rates &amp; Tables'!$C$61:$G$63,MATCH($I23,'Rates &amp; Tables'!$J$61:$J$63,0),MATCH($H23,'Rates &amp; Tables'!$C$60:$G$60,0)),0))</f>
        <v/>
      </c>
      <c r="O23" s="52">
        <f>IF($B23="",0,$M23*$N23)</f>
        <v/>
      </c>
      <c r="P23" s="49">
        <f>IF($B23="","",$B23&amp;"|"&amp;$G23&amp;"|"&amp;$J23)</f>
        <v/>
      </c>
    </row>
    <row r="24" ht="14.25" customHeight="1">
      <c r="B24" s="51" t="n">
        <v>1</v>
      </c>
      <c r="C24" s="51" t="inlineStr">
        <is>
          <t>TEAM</t>
        </is>
      </c>
      <c r="D24" s="51" t="n">
        <v>2</v>
      </c>
      <c r="E24" s="51" t="n">
        <v>11</v>
      </c>
      <c r="F24" s="51" t="inlineStr">
        <is>
          <t>Junior Test Engineer</t>
        </is>
      </c>
      <c r="G24" s="51" t="inlineStr">
        <is>
          <t>TEST</t>
        </is>
      </c>
      <c r="H24" s="51" t="inlineStr">
        <is>
          <t>E1</t>
        </is>
      </c>
      <c r="I24" s="51" t="inlineStr">
        <is>
          <t>ON</t>
        </is>
      </c>
      <c r="J24" s="51" t="inlineStr">
        <is>
          <t>FTC</t>
        </is>
      </c>
      <c r="K24" s="51" t="n">
        <v>0.5</v>
      </c>
      <c r="L24" s="52">
        <f>IF($B24="",0,IF($C24="HZ",1,IFERROR(INDEX('Value Streams &amp; Delivery Mode'!$D$17:$M$22,MATCH($D24,'Value Streams &amp; Delivery Mode'!$B$17:$B$22,0),($B24-1)*2+IF($C24="POD",1,2)),0)))</f>
        <v/>
      </c>
      <c r="M24" s="53">
        <f>IF($B24="",0,$K24*$L24)</f>
        <v/>
      </c>
      <c r="N24" s="54">
        <f>IF($B24="",0,IFERROR(INDEX('Rates &amp; Tables'!$C$61:$G$63,MATCH($I24,'Rates &amp; Tables'!$J$61:$J$63,0),MATCH($H24,'Rates &amp; Tables'!$C$60:$G$60,0)),0))</f>
        <v/>
      </c>
      <c r="O24" s="52">
        <f>IF($B24="",0,$M24*$N24)</f>
        <v/>
      </c>
      <c r="P24" s="49">
        <f>IF($B24="","",$B24&amp;"|"&amp;$G24&amp;"|"&amp;$J24)</f>
        <v/>
      </c>
    </row>
    <row r="25" ht="14.25" customHeight="1">
      <c r="B25" s="51" t="n">
        <v>1</v>
      </c>
      <c r="C25" s="51" t="inlineStr">
        <is>
          <t>TEAM</t>
        </is>
      </c>
      <c r="D25" s="51" t="n">
        <v>2</v>
      </c>
      <c r="E25" s="51" t="n">
        <v>12</v>
      </c>
      <c r="F25" s="51" t="inlineStr">
        <is>
          <t>Junior Application Support</t>
        </is>
      </c>
      <c r="G25" s="51" t="inlineStr">
        <is>
          <t>MNT</t>
        </is>
      </c>
      <c r="H25" s="51" t="inlineStr">
        <is>
          <t>E1</t>
        </is>
      </c>
      <c r="I25" s="51" t="inlineStr">
        <is>
          <t>ON</t>
        </is>
      </c>
      <c r="J25" s="51" t="inlineStr">
        <is>
          <t>FTC</t>
        </is>
      </c>
      <c r="K25" s="51" t="n">
        <v>1</v>
      </c>
      <c r="L25" s="52">
        <f>IF($B25="",0,IF($C25="HZ",1,IFERROR(INDEX('Value Streams &amp; Delivery Mode'!$D$17:$M$22,MATCH($D25,'Value Streams &amp; Delivery Mode'!$B$17:$B$22,0),($B25-1)*2+IF($C25="POD",1,2)),0)))</f>
        <v/>
      </c>
      <c r="M25" s="53">
        <f>IF($B25="",0,$K25*$L25)</f>
        <v/>
      </c>
      <c r="N25" s="54">
        <f>IF($B25="",0,IFERROR(INDEX('Rates &amp; Tables'!$C$61:$G$63,MATCH($I25,'Rates &amp; Tables'!$J$61:$J$63,0),MATCH($H25,'Rates &amp; Tables'!$C$60:$G$60,0)),0))</f>
        <v/>
      </c>
      <c r="O25" s="52">
        <f>IF($B25="",0,$M25*$N25)</f>
        <v/>
      </c>
      <c r="P25" s="49">
        <f>IF($B25="","",$B25&amp;"|"&amp;$G25&amp;"|"&amp;$J25)</f>
        <v/>
      </c>
    </row>
    <row r="26" hidden="1" ht="14.25" customHeight="1">
      <c r="B26" s="51" t="n">
        <v>1</v>
      </c>
      <c r="C26" s="51" t="inlineStr">
        <is>
          <t>TEAM</t>
        </is>
      </c>
      <c r="D26" s="51" t="n">
        <v>3</v>
      </c>
      <c r="E26" s="51" t="n">
        <v>1</v>
      </c>
      <c r="F26" s="51" t="inlineStr">
        <is>
          <t>MetLife Product Owner</t>
        </is>
      </c>
      <c r="G26" s="51" t="inlineStr">
        <is>
          <t>PM</t>
        </is>
      </c>
      <c r="H26" s="51" t="inlineStr">
        <is>
          <t>E4</t>
        </is>
      </c>
      <c r="I26" s="51" t="inlineStr">
        <is>
          <t>ON</t>
        </is>
      </c>
      <c r="J26" s="51" t="inlineStr">
        <is>
          <t>FTE</t>
        </is>
      </c>
      <c r="K26" s="51" t="n">
        <v>1</v>
      </c>
      <c r="L26" s="52">
        <f>IF($B26="",0,IF($C26="HZ",1,IFERROR(INDEX('Value Streams &amp; Delivery Mode'!$D$17:$M$22,MATCH($D26,'Value Streams &amp; Delivery Mode'!$B$17:$B$22,0),($B26-1)*2+IF($C26="POD",1,2)),0)))</f>
        <v/>
      </c>
      <c r="M26" s="53">
        <f>IF($B26="",0,$K26*$L26)</f>
        <v/>
      </c>
      <c r="N26" s="54">
        <f>IF($B26="",0,IFERROR(INDEX('Rates &amp; Tables'!$C$61:$G$63,MATCH($I26,'Rates &amp; Tables'!$J$61:$J$63,0),MATCH($H26,'Rates &amp; Tables'!$C$60:$G$60,0)),0))</f>
        <v/>
      </c>
      <c r="O26" s="52">
        <f>IF($B26="",0,$M26*$N26)</f>
        <v/>
      </c>
      <c r="P26" s="49">
        <f>IF($B26="","",$B26&amp;"|"&amp;$G26&amp;"|"&amp;$J26)</f>
        <v/>
      </c>
    </row>
    <row r="27" hidden="1" ht="14.25" customHeight="1">
      <c r="B27" s="51" t="n">
        <v>1</v>
      </c>
      <c r="C27" s="51" t="inlineStr">
        <is>
          <t>TEAM</t>
        </is>
      </c>
      <c r="D27" s="51" t="n">
        <v>3</v>
      </c>
      <c r="E27" s="51" t="n">
        <v>2</v>
      </c>
      <c r="F27" s="51" t="inlineStr">
        <is>
          <t>MetLife Corporate SME</t>
        </is>
      </c>
      <c r="G27" s="51" t="inlineStr">
        <is>
          <t>BSA</t>
        </is>
      </c>
      <c r="H27" s="51" t="inlineStr">
        <is>
          <t>E4</t>
        </is>
      </c>
      <c r="I27" s="51" t="inlineStr">
        <is>
          <t>ON</t>
        </is>
      </c>
      <c r="J27" s="51" t="inlineStr">
        <is>
          <t>FTE</t>
        </is>
      </c>
      <c r="K27" s="51" t="n">
        <v>1</v>
      </c>
      <c r="L27" s="52">
        <f>IF($B27="",0,IF($C27="HZ",1,IFERROR(INDEX('Value Streams &amp; Delivery Mode'!$D$17:$M$22,MATCH($D27,'Value Streams &amp; Delivery Mode'!$B$17:$B$22,0),($B27-1)*2+IF($C27="POD",1,2)),0)))</f>
        <v/>
      </c>
      <c r="M27" s="53">
        <f>IF($B27="",0,$K27*$L27)</f>
        <v/>
      </c>
      <c r="N27" s="54">
        <f>IF($B27="",0,IFERROR(INDEX('Rates &amp; Tables'!$C$61:$G$63,MATCH($I27,'Rates &amp; Tables'!$J$61:$J$63,0),MATCH($H27,'Rates &amp; Tables'!$C$60:$G$60,0)),0))</f>
        <v/>
      </c>
      <c r="O27" s="52">
        <f>IF($B27="",0,$M27*$N27)</f>
        <v/>
      </c>
      <c r="P27" s="49">
        <f>IF($B27="","",$B27&amp;"|"&amp;$G27&amp;"|"&amp;$J27)</f>
        <v/>
      </c>
    </row>
    <row r="28" hidden="1" ht="14.25" customHeight="1">
      <c r="B28" s="51" t="n">
        <v>1</v>
      </c>
      <c r="C28" s="51" t="inlineStr">
        <is>
          <t>TEAM</t>
        </is>
      </c>
      <c r="D28" s="51" t="n">
        <v>3</v>
      </c>
      <c r="E28" s="51" t="n">
        <v>3</v>
      </c>
      <c r="F28" s="51" t="inlineStr">
        <is>
          <t>MetLife Operations Analyst</t>
        </is>
      </c>
      <c r="G28" s="51" t="inlineStr">
        <is>
          <t>MNT</t>
        </is>
      </c>
      <c r="H28" s="51" t="inlineStr">
        <is>
          <t>E3</t>
        </is>
      </c>
      <c r="I28" s="51" t="inlineStr">
        <is>
          <t>ON</t>
        </is>
      </c>
      <c r="J28" s="51" t="inlineStr">
        <is>
          <t>FTE</t>
        </is>
      </c>
      <c r="K28" s="51" t="n">
        <v>0.5</v>
      </c>
      <c r="L28" s="52">
        <f>IF($B28="",0,IF($C28="HZ",1,IFERROR(INDEX('Value Streams &amp; Delivery Mode'!$D$17:$M$22,MATCH($D28,'Value Streams &amp; Delivery Mode'!$B$17:$B$22,0),($B28-1)*2+IF($C28="POD",1,2)),0)))</f>
        <v/>
      </c>
      <c r="M28" s="53">
        <f>IF($B28="",0,$K28*$L28)</f>
        <v/>
      </c>
      <c r="N28" s="54">
        <f>IF($B28="",0,IFERROR(INDEX('Rates &amp; Tables'!$C$61:$G$63,MATCH($I28,'Rates &amp; Tables'!$J$61:$J$63,0),MATCH($H28,'Rates &amp; Tables'!$C$60:$G$60,0)),0))</f>
        <v/>
      </c>
      <c r="O28" s="52">
        <f>IF($B28="",0,$M28*$N28)</f>
        <v/>
      </c>
      <c r="P28" s="49">
        <f>IF($B28="","",$B28&amp;"|"&amp;$G28&amp;"|"&amp;$J28)</f>
        <v/>
      </c>
    </row>
    <row r="29" ht="14.25" customHeight="1">
      <c r="B29" s="51" t="n">
        <v>1</v>
      </c>
      <c r="C29" s="51" t="inlineStr">
        <is>
          <t>TEAM</t>
        </is>
      </c>
      <c r="D29" s="51" t="n">
        <v>3</v>
      </c>
      <c r="E29" s="51" t="n">
        <v>4</v>
      </c>
      <c r="F29" s="51" t="inlineStr">
        <is>
          <t>Team lead / technical lead</t>
        </is>
      </c>
      <c r="G29" s="51" t="inlineStr">
        <is>
          <t>DEV</t>
        </is>
      </c>
      <c r="H29" s="51" t="inlineStr">
        <is>
          <t>E3</t>
        </is>
      </c>
      <c r="I29" s="51" t="inlineStr">
        <is>
          <t>ON</t>
        </is>
      </c>
      <c r="J29" s="51" t="inlineStr">
        <is>
          <t>FTC</t>
        </is>
      </c>
      <c r="K29" s="51" t="n">
        <v>1</v>
      </c>
      <c r="L29" s="52">
        <f>IF($B29="",0,IF($C29="HZ",1,IFERROR(INDEX('Value Streams &amp; Delivery Mode'!$D$17:$M$22,MATCH($D29,'Value Streams &amp; Delivery Mode'!$B$17:$B$22,0),($B29-1)*2+IF($C29="POD",1,2)),0)))</f>
        <v/>
      </c>
      <c r="M29" s="53">
        <f>IF($B29="",0,$K29*$L29)</f>
        <v/>
      </c>
      <c r="N29" s="54">
        <f>IF($B29="",0,IFERROR(INDEX('Rates &amp; Tables'!$C$61:$G$63,MATCH($I29,'Rates &amp; Tables'!$J$61:$J$63,0),MATCH($H29,'Rates &amp; Tables'!$C$60:$G$60,0)),0))</f>
        <v/>
      </c>
      <c r="O29" s="52">
        <f>IF($B29="",0,$M29*$N29)</f>
        <v/>
      </c>
      <c r="P29" s="49">
        <f>IF($B29="","",$B29&amp;"|"&amp;$G29&amp;"|"&amp;$J29)</f>
        <v/>
      </c>
    </row>
    <row r="30" ht="14.25" customHeight="1">
      <c r="B30" s="51" t="n">
        <v>1</v>
      </c>
      <c r="C30" s="51" t="inlineStr">
        <is>
          <t>TEAM</t>
        </is>
      </c>
      <c r="D30" s="51" t="n">
        <v>3</v>
      </c>
      <c r="E30" s="51" t="n">
        <v>5</v>
      </c>
      <c r="F30" s="51" t="inlineStr">
        <is>
          <t>Business Analyst (bilingual)</t>
        </is>
      </c>
      <c r="G30" s="51" t="inlineStr">
        <is>
          <t>BSA</t>
        </is>
      </c>
      <c r="H30" s="51" t="inlineStr">
        <is>
          <t>E2</t>
        </is>
      </c>
      <c r="I30" s="51" t="inlineStr">
        <is>
          <t>ON</t>
        </is>
      </c>
      <c r="J30" s="51" t="inlineStr">
        <is>
          <t>FTC</t>
        </is>
      </c>
      <c r="K30" s="51" t="n">
        <v>1</v>
      </c>
      <c r="L30" s="52">
        <f>IF($B30="",0,IF($C30="HZ",1,IFERROR(INDEX('Value Streams &amp; Delivery Mode'!$D$17:$M$22,MATCH($D30,'Value Streams &amp; Delivery Mode'!$B$17:$B$22,0),($B30-1)*2+IF($C30="POD",1,2)),0)))</f>
        <v/>
      </c>
      <c r="M30" s="53">
        <f>IF($B30="",0,$K30*$L30)</f>
        <v/>
      </c>
      <c r="N30" s="54">
        <f>IF($B30="",0,IFERROR(INDEX('Rates &amp; Tables'!$C$61:$G$63,MATCH($I30,'Rates &amp; Tables'!$J$61:$J$63,0),MATCH($H30,'Rates &amp; Tables'!$C$60:$G$60,0)),0))</f>
        <v/>
      </c>
      <c r="O30" s="52">
        <f>IF($B30="",0,$M30*$N30)</f>
        <v/>
      </c>
      <c r="P30" s="49">
        <f>IF($B30="","",$B30&amp;"|"&amp;$G30&amp;"|"&amp;$J30)</f>
        <v/>
      </c>
    </row>
    <row r="31" ht="14.25" customHeight="1">
      <c r="B31" s="51" t="n">
        <v>1</v>
      </c>
      <c r="C31" s="51" t="inlineStr">
        <is>
          <t>TEAM</t>
        </is>
      </c>
      <c r="D31" s="51" t="n">
        <v>3</v>
      </c>
      <c r="E31" s="51" t="n">
        <v>6</v>
      </c>
      <c r="F31" s="51" t="inlineStr">
        <is>
          <t>Junior Java Developer</t>
        </is>
      </c>
      <c r="G31" s="51" t="inlineStr">
        <is>
          <t>DEV</t>
        </is>
      </c>
      <c r="H31" s="51" t="inlineStr">
        <is>
          <t>E2</t>
        </is>
      </c>
      <c r="I31" s="51" t="inlineStr">
        <is>
          <t>ON</t>
        </is>
      </c>
      <c r="J31" s="51" t="inlineStr">
        <is>
          <t>FTC</t>
        </is>
      </c>
      <c r="K31" s="51" t="n">
        <v>3</v>
      </c>
      <c r="L31" s="52">
        <f>IF($B31="",0,IF($C31="HZ",1,IFERROR(INDEX('Value Streams &amp; Delivery Mode'!$D$17:$M$22,MATCH($D31,'Value Streams &amp; Delivery Mode'!$B$17:$B$22,0),($B31-1)*2+IF($C31="POD",1,2)),0)))</f>
        <v/>
      </c>
      <c r="M31" s="53">
        <f>IF($B31="",0,$K31*$L31)</f>
        <v/>
      </c>
      <c r="N31" s="54">
        <f>IF($B31="",0,IFERROR(INDEX('Rates &amp; Tables'!$C$61:$G$63,MATCH($I31,'Rates &amp; Tables'!$J$61:$J$63,0),MATCH($H31,'Rates &amp; Tables'!$C$60:$G$60,0)),0))</f>
        <v/>
      </c>
      <c r="O31" s="52">
        <f>IF($B31="",0,$M31*$N31)</f>
        <v/>
      </c>
      <c r="P31" s="49">
        <f>IF($B31="","",$B31&amp;"|"&amp;$G31&amp;"|"&amp;$J31)</f>
        <v/>
      </c>
    </row>
    <row r="32" ht="14.25" customHeight="1">
      <c r="B32" s="51" t="n">
        <v>1</v>
      </c>
      <c r="C32" s="51" t="inlineStr">
        <is>
          <t>TEAM</t>
        </is>
      </c>
      <c r="D32" s="51" t="n">
        <v>3</v>
      </c>
      <c r="E32" s="51" t="n">
        <v>7</v>
      </c>
      <c r="F32" s="51" t="inlineStr">
        <is>
          <t>Graduate Java Developer</t>
        </is>
      </c>
      <c r="G32" s="51" t="inlineStr">
        <is>
          <t>DEV</t>
        </is>
      </c>
      <c r="H32" s="51" t="inlineStr">
        <is>
          <t>E1</t>
        </is>
      </c>
      <c r="I32" s="51" t="inlineStr">
        <is>
          <t>ON</t>
        </is>
      </c>
      <c r="J32" s="51" t="inlineStr">
        <is>
          <t>FTC</t>
        </is>
      </c>
      <c r="K32" s="51" t="n">
        <v>1.5</v>
      </c>
      <c r="L32" s="52">
        <f>IF($B32="",0,IF($C32="HZ",1,IFERROR(INDEX('Value Streams &amp; Delivery Mode'!$D$17:$M$22,MATCH($D32,'Value Streams &amp; Delivery Mode'!$B$17:$B$22,0),($B32-1)*2+IF($C32="POD",1,2)),0)))</f>
        <v/>
      </c>
      <c r="M32" s="53">
        <f>IF($B32="",0,$K32*$L32)</f>
        <v/>
      </c>
      <c r="N32" s="54">
        <f>IF($B32="",0,IFERROR(INDEX('Rates &amp; Tables'!$C$61:$G$63,MATCH($I32,'Rates &amp; Tables'!$J$61:$J$63,0),MATCH($H32,'Rates &amp; Tables'!$C$60:$G$60,0)),0))</f>
        <v/>
      </c>
      <c r="O32" s="52">
        <f>IF($B32="",0,$M32*$N32)</f>
        <v/>
      </c>
      <c r="P32" s="49">
        <f>IF($B32="","",$B32&amp;"|"&amp;$G32&amp;"|"&amp;$J32)</f>
        <v/>
      </c>
    </row>
    <row r="33" ht="14.25" customHeight="1">
      <c r="B33" s="51" t="n">
        <v>1</v>
      </c>
      <c r="C33" s="51" t="inlineStr">
        <is>
          <t>TEAM</t>
        </is>
      </c>
      <c r="D33" s="51" t="n">
        <v>3</v>
      </c>
      <c r="E33" s="51" t="n">
        <v>8</v>
      </c>
      <c r="F33" s="51" t="inlineStr">
        <is>
          <t>Test Engineer</t>
        </is>
      </c>
      <c r="G33" s="51" t="inlineStr">
        <is>
          <t>TEST</t>
        </is>
      </c>
      <c r="H33" s="51" t="inlineStr">
        <is>
          <t>E2</t>
        </is>
      </c>
      <c r="I33" s="51" t="inlineStr">
        <is>
          <t>ON</t>
        </is>
      </c>
      <c r="J33" s="51" t="inlineStr">
        <is>
          <t>FTC</t>
        </is>
      </c>
      <c r="K33" s="51" t="n">
        <v>1.5</v>
      </c>
      <c r="L33" s="52">
        <f>IF($B33="",0,IF($C33="HZ",1,IFERROR(INDEX('Value Streams &amp; Delivery Mode'!$D$17:$M$22,MATCH($D33,'Value Streams &amp; Delivery Mode'!$B$17:$B$22,0),($B33-1)*2+IF($C33="POD",1,2)),0)))</f>
        <v/>
      </c>
      <c r="M33" s="53">
        <f>IF($B33="",0,$K33*$L33)</f>
        <v/>
      </c>
      <c r="N33" s="54">
        <f>IF($B33="",0,IFERROR(INDEX('Rates &amp; Tables'!$C$61:$G$63,MATCH($I33,'Rates &amp; Tables'!$J$61:$J$63,0),MATCH($H33,'Rates &amp; Tables'!$C$60:$G$60,0)),0))</f>
        <v/>
      </c>
      <c r="O33" s="52">
        <f>IF($B33="",0,$M33*$N33)</f>
        <v/>
      </c>
      <c r="P33" s="49">
        <f>IF($B33="","",$B33&amp;"|"&amp;$G33&amp;"|"&amp;$J33)</f>
        <v/>
      </c>
    </row>
    <row r="34" ht="14.25" customHeight="1">
      <c r="B34" s="51" t="n">
        <v>1</v>
      </c>
      <c r="C34" s="51" t="inlineStr">
        <is>
          <t>TEAM</t>
        </is>
      </c>
      <c r="D34" s="51" t="n">
        <v>3</v>
      </c>
      <c r="E34" s="51" t="n">
        <v>9</v>
      </c>
      <c r="F34" s="51" t="inlineStr">
        <is>
          <t>L2/L3 Application Support — Tokyo</t>
        </is>
      </c>
      <c r="G34" s="51" t="inlineStr">
        <is>
          <t>MNT</t>
        </is>
      </c>
      <c r="H34" s="51" t="inlineStr">
        <is>
          <t>E2</t>
        </is>
      </c>
      <c r="I34" s="51" t="inlineStr">
        <is>
          <t>ON</t>
        </is>
      </c>
      <c r="J34" s="51" t="inlineStr">
        <is>
          <t>FTC</t>
        </is>
      </c>
      <c r="K34" s="51" t="n">
        <v>0.5</v>
      </c>
      <c r="L34" s="52">
        <f>IF($B34="",0,IF($C34="HZ",1,IFERROR(INDEX('Value Streams &amp; Delivery Mode'!$D$17:$M$22,MATCH($D34,'Value Streams &amp; Delivery Mode'!$B$17:$B$22,0),($B34-1)*2+IF($C34="POD",1,2)),0)))</f>
        <v/>
      </c>
      <c r="M34" s="53">
        <f>IF($B34="",0,$K34*$L34)</f>
        <v/>
      </c>
      <c r="N34" s="54">
        <f>IF($B34="",0,IFERROR(INDEX('Rates &amp; Tables'!$C$61:$G$63,MATCH($I34,'Rates &amp; Tables'!$J$61:$J$63,0),MATCH($H34,'Rates &amp; Tables'!$C$60:$G$60,0)),0))</f>
        <v/>
      </c>
      <c r="O34" s="52">
        <f>IF($B34="",0,$M34*$N34)</f>
        <v/>
      </c>
      <c r="P34" s="49">
        <f>IF($B34="","",$B34&amp;"|"&amp;$G34&amp;"|"&amp;$J34)</f>
        <v/>
      </c>
    </row>
    <row r="35" ht="14.25" customHeight="1">
      <c r="B35" s="51" t="n">
        <v>1</v>
      </c>
      <c r="C35" s="51" t="inlineStr">
        <is>
          <t>TEAM</t>
        </is>
      </c>
      <c r="D35" s="51" t="n">
        <v>3</v>
      </c>
      <c r="E35" s="51" t="n">
        <v>10</v>
      </c>
      <c r="F35" s="51" t="inlineStr">
        <is>
          <t>Batch Monitoring Engineer</t>
        </is>
      </c>
      <c r="G35" s="51" t="inlineStr">
        <is>
          <t>MNT</t>
        </is>
      </c>
      <c r="H35" s="51" t="inlineStr">
        <is>
          <t>E1</t>
        </is>
      </c>
      <c r="I35" s="51" t="inlineStr">
        <is>
          <t>ON</t>
        </is>
      </c>
      <c r="J35" s="51" t="inlineStr">
        <is>
          <t>FTC</t>
        </is>
      </c>
      <c r="K35" s="51" t="n">
        <v>1</v>
      </c>
      <c r="L35" s="52">
        <f>IF($B35="",0,IF($C35="HZ",1,IFERROR(INDEX('Value Streams &amp; Delivery Mode'!$D$17:$M$22,MATCH($D35,'Value Streams &amp; Delivery Mode'!$B$17:$B$22,0),($B35-1)*2+IF($C35="POD",1,2)),0)))</f>
        <v/>
      </c>
      <c r="M35" s="53">
        <f>IF($B35="",0,$K35*$L35)</f>
        <v/>
      </c>
      <c r="N35" s="54">
        <f>IF($B35="",0,IFERROR(INDEX('Rates &amp; Tables'!$C$61:$G$63,MATCH($I35,'Rates &amp; Tables'!$J$61:$J$63,0),MATCH($H35,'Rates &amp; Tables'!$C$60:$G$60,0)),0))</f>
        <v/>
      </c>
      <c r="O35" s="52">
        <f>IF($B35="",0,$M35*$N35)</f>
        <v/>
      </c>
      <c r="P35" s="49">
        <f>IF($B35="","",$B35&amp;"|"&amp;$G35&amp;"|"&amp;$J35)</f>
        <v/>
      </c>
    </row>
    <row r="36" ht="14.25" customHeight="1">
      <c r="B36" s="51" t="n">
        <v>1</v>
      </c>
      <c r="C36" s="51" t="inlineStr">
        <is>
          <t>HZ</t>
        </is>
      </c>
      <c r="D36" s="51" t="inlineStr">
        <is>
          <t>H3</t>
        </is>
      </c>
      <c r="E36" s="51" t="n">
        <v>1</v>
      </c>
      <c r="F36" s="51" t="inlineStr">
        <is>
          <t>Domain Service Manager</t>
        </is>
      </c>
      <c r="G36" s="51" t="inlineStr">
        <is>
          <t>PM</t>
        </is>
      </c>
      <c r="H36" s="51" t="inlineStr">
        <is>
          <t>E5</t>
        </is>
      </c>
      <c r="I36" s="51" t="inlineStr">
        <is>
          <t>ON</t>
        </is>
      </c>
      <c r="J36" s="51" t="inlineStr">
        <is>
          <t>FTC</t>
        </is>
      </c>
      <c r="K36" s="51" t="n">
        <v>1</v>
      </c>
      <c r="L36" s="52">
        <f>IF($B36="",0,IF($C36="HZ",1,IFERROR(INDEX('Value Streams &amp; Delivery Mode'!$D$17:$M$22,MATCH($D36,'Value Streams &amp; Delivery Mode'!$B$17:$B$22,0),($B36-1)*2+IF($C36="POD",1,2)),0)))</f>
        <v/>
      </c>
      <c r="M36" s="53">
        <f>IF($B36="",0,$K36*$L36)</f>
        <v/>
      </c>
      <c r="N36" s="54">
        <f>IF($B36="",0,IFERROR(INDEX('Rates &amp; Tables'!$C$61:$G$63,MATCH($I36,'Rates &amp; Tables'!$J$61:$J$63,0),MATCH($H36,'Rates &amp; Tables'!$C$60:$G$60,0)),0))</f>
        <v/>
      </c>
      <c r="O36" s="52">
        <f>IF($B36="",0,$M36*$N36)</f>
        <v/>
      </c>
      <c r="P36" s="49">
        <f>IF($B36="","",$B36&amp;"|"&amp;$G36&amp;"|"&amp;$J36)</f>
        <v/>
      </c>
    </row>
    <row r="37" ht="14.25" customHeight="1">
      <c r="B37" s="51" t="n">
        <v>1</v>
      </c>
      <c r="C37" s="51" t="inlineStr">
        <is>
          <t>HZ</t>
        </is>
      </c>
      <c r="D37" s="51" t="inlineStr">
        <is>
          <t>H3</t>
        </is>
      </c>
      <c r="E37" s="51" t="n">
        <v>2</v>
      </c>
      <c r="F37" s="51" t="inlineStr">
        <is>
          <t>Delivery / Project Manager</t>
        </is>
      </c>
      <c r="G37" s="51" t="inlineStr">
        <is>
          <t>PM</t>
        </is>
      </c>
      <c r="H37" s="51" t="inlineStr">
        <is>
          <t>E3</t>
        </is>
      </c>
      <c r="I37" s="51" t="inlineStr">
        <is>
          <t>ON</t>
        </is>
      </c>
      <c r="J37" s="51" t="inlineStr">
        <is>
          <t>FTC</t>
        </is>
      </c>
      <c r="K37" s="51" t="n">
        <v>1.5</v>
      </c>
      <c r="L37" s="52">
        <f>IF($B37="",0,IF($C37="HZ",1,IFERROR(INDEX('Value Streams &amp; Delivery Mode'!$D$17:$M$22,MATCH($D37,'Value Streams &amp; Delivery Mode'!$B$17:$B$22,0),($B37-1)*2+IF($C37="POD",1,2)),0)))</f>
        <v/>
      </c>
      <c r="M37" s="53">
        <f>IF($B37="",0,$K37*$L37)</f>
        <v/>
      </c>
      <c r="N37" s="54">
        <f>IF($B37="",0,IFERROR(INDEX('Rates &amp; Tables'!$C$61:$G$63,MATCH($I37,'Rates &amp; Tables'!$J$61:$J$63,0),MATCH($H37,'Rates &amp; Tables'!$C$60:$G$60,0)),0))</f>
        <v/>
      </c>
      <c r="O37" s="52">
        <f>IF($B37="",0,$M37*$N37)</f>
        <v/>
      </c>
      <c r="P37" s="49">
        <f>IF($B37="","",$B37&amp;"|"&amp;$G37&amp;"|"&amp;$J37)</f>
        <v/>
      </c>
    </row>
    <row r="38" ht="14.25" customHeight="1">
      <c r="B38" s="51" t="n">
        <v>1</v>
      </c>
      <c r="C38" s="51" t="inlineStr">
        <is>
          <t>HZ</t>
        </is>
      </c>
      <c r="D38" s="51" t="inlineStr">
        <is>
          <t>H3</t>
        </is>
      </c>
      <c r="E38" s="51" t="n">
        <v>3</v>
      </c>
      <c r="F38" s="51" t="inlineStr">
        <is>
          <t>Lead BSA (bilingual)</t>
        </is>
      </c>
      <c r="G38" s="51" t="inlineStr">
        <is>
          <t>BSA</t>
        </is>
      </c>
      <c r="H38" s="51" t="inlineStr">
        <is>
          <t>E4</t>
        </is>
      </c>
      <c r="I38" s="51" t="inlineStr">
        <is>
          <t>ON</t>
        </is>
      </c>
      <c r="J38" s="51" t="inlineStr">
        <is>
          <t>FTC</t>
        </is>
      </c>
      <c r="K38" s="51" t="n">
        <v>1</v>
      </c>
      <c r="L38" s="52">
        <f>IF($B38="",0,IF($C38="HZ",1,IFERROR(INDEX('Value Streams &amp; Delivery Mode'!$D$17:$M$22,MATCH($D38,'Value Streams &amp; Delivery Mode'!$B$17:$B$22,0),($B38-1)*2+IF($C38="POD",1,2)),0)))</f>
        <v/>
      </c>
      <c r="M38" s="53">
        <f>IF($B38="",0,$K38*$L38)</f>
        <v/>
      </c>
      <c r="N38" s="54">
        <f>IF($B38="",0,IFERROR(INDEX('Rates &amp; Tables'!$C$61:$G$63,MATCH($I38,'Rates &amp; Tables'!$J$61:$J$63,0),MATCH($H38,'Rates &amp; Tables'!$C$60:$G$60,0)),0))</f>
        <v/>
      </c>
      <c r="O38" s="52">
        <f>IF($B38="",0,$M38*$N38)</f>
        <v/>
      </c>
      <c r="P38" s="49">
        <f>IF($B38="","",$B38&amp;"|"&amp;$G38&amp;"|"&amp;$J38)</f>
        <v/>
      </c>
    </row>
    <row r="39" ht="14.25" customHeight="1">
      <c r="B39" s="51" t="n">
        <v>1</v>
      </c>
      <c r="C39" s="51" t="inlineStr">
        <is>
          <t>HZ</t>
        </is>
      </c>
      <c r="D39" s="51" t="inlineStr">
        <is>
          <t>H3</t>
        </is>
      </c>
      <c r="E39" s="51" t="n">
        <v>4</v>
      </c>
      <c r="F39" s="51" t="inlineStr">
        <is>
          <t>Solution Architect</t>
        </is>
      </c>
      <c r="G39" s="51" t="inlineStr">
        <is>
          <t>OTH</t>
        </is>
      </c>
      <c r="H39" s="51" t="inlineStr">
        <is>
          <t>E4</t>
        </is>
      </c>
      <c r="I39" s="51" t="inlineStr">
        <is>
          <t>ON</t>
        </is>
      </c>
      <c r="J39" s="51" t="inlineStr">
        <is>
          <t>FTC</t>
        </is>
      </c>
      <c r="K39" s="51" t="n">
        <v>1</v>
      </c>
      <c r="L39" s="52">
        <f>IF($B39="",0,IF($C39="HZ",1,IFERROR(INDEX('Value Streams &amp; Delivery Mode'!$D$17:$M$22,MATCH($D39,'Value Streams &amp; Delivery Mode'!$B$17:$B$22,0),($B39-1)*2+IF($C39="POD",1,2)),0)))</f>
        <v/>
      </c>
      <c r="M39" s="53">
        <f>IF($B39="",0,$K39*$L39)</f>
        <v/>
      </c>
      <c r="N39" s="54">
        <f>IF($B39="",0,IFERROR(INDEX('Rates &amp; Tables'!$C$61:$G$63,MATCH($I39,'Rates &amp; Tables'!$J$61:$J$63,0),MATCH($H39,'Rates &amp; Tables'!$C$60:$G$60,0)),0))</f>
        <v/>
      </c>
      <c r="O39" s="52">
        <f>IF($B39="",0,$M39*$N39)</f>
        <v/>
      </c>
      <c r="P39" s="49">
        <f>IF($B39="","",$B39&amp;"|"&amp;$G39&amp;"|"&amp;$J39)</f>
        <v/>
      </c>
    </row>
    <row r="40" ht="14.25" customHeight="1">
      <c r="B40" s="51" t="n">
        <v>1</v>
      </c>
      <c r="C40" s="51" t="inlineStr">
        <is>
          <t>HZ</t>
        </is>
      </c>
      <c r="D40" s="51" t="inlineStr">
        <is>
          <t>H3</t>
        </is>
      </c>
      <c r="E40" s="51" t="n">
        <v>5</v>
      </c>
      <c r="F40" s="51" t="inlineStr">
        <is>
          <t>Release / DevOps engineer</t>
        </is>
      </c>
      <c r="G40" s="51" t="inlineStr">
        <is>
          <t>OTH</t>
        </is>
      </c>
      <c r="H40" s="51" t="inlineStr">
        <is>
          <t>E2</t>
        </is>
      </c>
      <c r="I40" s="51" t="inlineStr">
        <is>
          <t>ON</t>
        </is>
      </c>
      <c r="J40" s="51" t="inlineStr">
        <is>
          <t>FTC</t>
        </is>
      </c>
      <c r="K40" s="51" t="n">
        <v>1.5</v>
      </c>
      <c r="L40" s="52">
        <f>IF($B40="",0,IF($C40="HZ",1,IFERROR(INDEX('Value Streams &amp; Delivery Mode'!$D$17:$M$22,MATCH($D40,'Value Streams &amp; Delivery Mode'!$B$17:$B$22,0),($B40-1)*2+IF($C40="POD",1,2)),0)))</f>
        <v/>
      </c>
      <c r="M40" s="53">
        <f>IF($B40="",0,$K40*$L40)</f>
        <v/>
      </c>
      <c r="N40" s="54">
        <f>IF($B40="",0,IFERROR(INDEX('Rates &amp; Tables'!$C$61:$G$63,MATCH($I40,'Rates &amp; Tables'!$J$61:$J$63,0),MATCH($H40,'Rates &amp; Tables'!$C$60:$G$60,0)),0))</f>
        <v/>
      </c>
      <c r="O40" s="52">
        <f>IF($B40="",0,$M40*$N40)</f>
        <v/>
      </c>
      <c r="P40" s="49">
        <f>IF($B40="","",$B40&amp;"|"&amp;$G40&amp;"|"&amp;$J40)</f>
        <v/>
      </c>
    </row>
    <row r="41" hidden="1" ht="14.25" customHeight="1">
      <c r="B41" s="51" t="n">
        <v>1</v>
      </c>
      <c r="C41" s="51" t="inlineStr">
        <is>
          <t>HZ</t>
        </is>
      </c>
      <c r="D41" s="51" t="inlineStr">
        <is>
          <t>H3</t>
        </is>
      </c>
      <c r="E41" s="51" t="n">
        <v>6</v>
      </c>
      <c r="F41" s="51" t="inlineStr">
        <is>
          <t>MetLife Regulatory Liaison</t>
        </is>
      </c>
      <c r="G41" s="51" t="inlineStr">
        <is>
          <t>BSA</t>
        </is>
      </c>
      <c r="H41" s="51" t="inlineStr">
        <is>
          <t>E4</t>
        </is>
      </c>
      <c r="I41" s="51" t="inlineStr">
        <is>
          <t>ON</t>
        </is>
      </c>
      <c r="J41" s="51" t="inlineStr">
        <is>
          <t>FTE</t>
        </is>
      </c>
      <c r="K41" s="51" t="n">
        <v>1.5</v>
      </c>
      <c r="L41" s="52">
        <f>IF($B41="",0,IF($C41="HZ",1,IFERROR(INDEX('Value Streams &amp; Delivery Mode'!$D$17:$M$22,MATCH($D41,'Value Streams &amp; Delivery Mode'!$B$17:$B$22,0),($B41-1)*2+IF($C41="POD",1,2)),0)))</f>
        <v/>
      </c>
      <c r="M41" s="53">
        <f>IF($B41="",0,$K41*$L41)</f>
        <v/>
      </c>
      <c r="N41" s="54">
        <f>IF($B41="",0,IFERROR(INDEX('Rates &amp; Tables'!$C$61:$G$63,MATCH($I41,'Rates &amp; Tables'!$J$61:$J$63,0),MATCH($H41,'Rates &amp; Tables'!$C$60:$G$60,0)),0))</f>
        <v/>
      </c>
      <c r="O41" s="52">
        <f>IF($B41="",0,$M41*$N41)</f>
        <v/>
      </c>
      <c r="P41" s="49">
        <f>IF($B41="","",$B41&amp;"|"&amp;$G41&amp;"|"&amp;$J41)</f>
        <v/>
      </c>
    </row>
    <row r="42" hidden="1" ht="14.25" customHeight="1">
      <c r="B42" s="51" t="n">
        <v>1</v>
      </c>
      <c r="C42" s="51" t="inlineStr">
        <is>
          <t>HZ</t>
        </is>
      </c>
      <c r="D42" s="51" t="inlineStr">
        <is>
          <t>H3</t>
        </is>
      </c>
      <c r="E42" s="51" t="n">
        <v>7</v>
      </c>
      <c r="F42" s="51" t="inlineStr">
        <is>
          <t>MetLife Domain Architect</t>
        </is>
      </c>
      <c r="G42" s="51" t="inlineStr">
        <is>
          <t>OTH</t>
        </is>
      </c>
      <c r="H42" s="51" t="inlineStr">
        <is>
          <t>E4</t>
        </is>
      </c>
      <c r="I42" s="51" t="inlineStr">
        <is>
          <t>ON</t>
        </is>
      </c>
      <c r="J42" s="51" t="inlineStr">
        <is>
          <t>FTE</t>
        </is>
      </c>
      <c r="K42" s="51" t="n">
        <v>1.5</v>
      </c>
      <c r="L42" s="52">
        <f>IF($B42="",0,IF($C42="HZ",1,IFERROR(INDEX('Value Streams &amp; Delivery Mode'!$D$17:$M$22,MATCH($D42,'Value Streams &amp; Delivery Mode'!$B$17:$B$22,0),($B42-1)*2+IF($C42="POD",1,2)),0)))</f>
        <v/>
      </c>
      <c r="M42" s="53">
        <f>IF($B42="",0,$K42*$L42)</f>
        <v/>
      </c>
      <c r="N42" s="54">
        <f>IF($B42="",0,IFERROR(INDEX('Rates &amp; Tables'!$C$61:$G$63,MATCH($I42,'Rates &amp; Tables'!$J$61:$J$63,0),MATCH($H42,'Rates &amp; Tables'!$C$60:$G$60,0)),0))</f>
        <v/>
      </c>
      <c r="O42" s="52">
        <f>IF($B42="",0,$M42*$N42)</f>
        <v/>
      </c>
      <c r="P42" s="49">
        <f>IF($B42="","",$B42&amp;"|"&amp;$G42&amp;"|"&amp;$J42)</f>
        <v/>
      </c>
    </row>
    <row r="43" ht="14.25" customHeight="1">
      <c r="B43" s="51" t="n">
        <v>1</v>
      </c>
      <c r="C43" s="51" t="inlineStr">
        <is>
          <t>HZ</t>
        </is>
      </c>
      <c r="D43" s="51" t="inlineStr">
        <is>
          <t>H1</t>
        </is>
      </c>
      <c r="E43" s="51" t="n">
        <v>8</v>
      </c>
      <c r="F43" s="51" t="inlineStr">
        <is>
          <t>AMS Team Lead</t>
        </is>
      </c>
      <c r="G43" s="51" t="inlineStr">
        <is>
          <t>MNT</t>
        </is>
      </c>
      <c r="H43" s="51" t="inlineStr">
        <is>
          <t>E3</t>
        </is>
      </c>
      <c r="I43" s="51" t="inlineStr">
        <is>
          <t>ON</t>
        </is>
      </c>
      <c r="J43" s="51" t="inlineStr">
        <is>
          <t>FTC</t>
        </is>
      </c>
      <c r="K43" s="51" t="n">
        <v>1</v>
      </c>
      <c r="L43" s="52">
        <f>IF($B43="",0,IF($C43="HZ",1,IFERROR(INDEX('Value Streams &amp; Delivery Mode'!$D$17:$M$22,MATCH($D43,'Value Streams &amp; Delivery Mode'!$B$17:$B$22,0),($B43-1)*2+IF($C43="POD",1,2)),0)))</f>
        <v/>
      </c>
      <c r="M43" s="53">
        <f>IF($B43="",0,$K43*$L43)</f>
        <v/>
      </c>
      <c r="N43" s="54">
        <f>IF($B43="",0,IFERROR(INDEX('Rates &amp; Tables'!$C$61:$G$63,MATCH($I43,'Rates &amp; Tables'!$J$61:$J$63,0),MATCH($H43,'Rates &amp; Tables'!$C$60:$G$60,0)),0))</f>
        <v/>
      </c>
      <c r="O43" s="52">
        <f>IF($B43="",0,$M43*$N43)</f>
        <v/>
      </c>
      <c r="P43" s="49">
        <f>IF($B43="","",$B43&amp;"|"&amp;$G43&amp;"|"&amp;$J43)</f>
        <v/>
      </c>
    </row>
    <row r="44" ht="14.25" customHeight="1">
      <c r="B44" s="51" t="n">
        <v>1</v>
      </c>
      <c r="C44" s="51" t="inlineStr">
        <is>
          <t>HZ</t>
        </is>
      </c>
      <c r="D44" s="51" t="inlineStr">
        <is>
          <t>H1</t>
        </is>
      </c>
      <c r="E44" s="51" t="n">
        <v>9</v>
      </c>
      <c r="F44" s="51" t="inlineStr">
        <is>
          <t>L2/L3 Application Support — Tokyo</t>
        </is>
      </c>
      <c r="G44" s="51" t="inlineStr">
        <is>
          <t>MNT</t>
        </is>
      </c>
      <c r="H44" s="51" t="inlineStr">
        <is>
          <t>E2</t>
        </is>
      </c>
      <c r="I44" s="51" t="inlineStr">
        <is>
          <t>ON</t>
        </is>
      </c>
      <c r="J44" s="51" t="inlineStr">
        <is>
          <t>FTC</t>
        </is>
      </c>
      <c r="K44" s="51" t="n">
        <v>0.5</v>
      </c>
      <c r="L44" s="52">
        <f>IF($B44="",0,IF($C44="HZ",1,IFERROR(INDEX('Value Streams &amp; Delivery Mode'!$D$17:$M$22,MATCH($D44,'Value Streams &amp; Delivery Mode'!$B$17:$B$22,0),($B44-1)*2+IF($C44="POD",1,2)),0)))</f>
        <v/>
      </c>
      <c r="M44" s="53">
        <f>IF($B44="",0,$K44*$L44)</f>
        <v/>
      </c>
      <c r="N44" s="54">
        <f>IF($B44="",0,IFERROR(INDEX('Rates &amp; Tables'!$C$61:$G$63,MATCH($I44,'Rates &amp; Tables'!$J$61:$J$63,0),MATCH($H44,'Rates &amp; Tables'!$C$60:$G$60,0)),0))</f>
        <v/>
      </c>
      <c r="O44" s="52">
        <f>IF($B44="",0,$M44*$N44)</f>
        <v/>
      </c>
      <c r="P44" s="49">
        <f>IF($B44="","",$B44&amp;"|"&amp;$G44&amp;"|"&amp;$J44)</f>
        <v/>
      </c>
    </row>
    <row r="45" ht="14.25" customHeight="1">
      <c r="B45" s="51" t="n">
        <v>1</v>
      </c>
      <c r="C45" s="51" t="inlineStr">
        <is>
          <t>HZ</t>
        </is>
      </c>
      <c r="D45" s="51" t="inlineStr">
        <is>
          <t>H1</t>
        </is>
      </c>
      <c r="E45" s="51" t="n">
        <v>10</v>
      </c>
      <c r="F45" s="51" t="inlineStr">
        <is>
          <t>Junior Application Support — offshore</t>
        </is>
      </c>
      <c r="G45" s="51" t="inlineStr">
        <is>
          <t>MNT</t>
        </is>
      </c>
      <c r="H45" s="51" t="inlineStr">
        <is>
          <t>E1</t>
        </is>
      </c>
      <c r="I45" s="51" t="inlineStr">
        <is>
          <t>OFF</t>
        </is>
      </c>
      <c r="J45" s="51" t="inlineStr">
        <is>
          <t>FTC</t>
        </is>
      </c>
      <c r="K45" s="51" t="n">
        <v>0.5</v>
      </c>
      <c r="L45" s="52">
        <f>IF($B45="",0,IF($C45="HZ",1,IFERROR(INDEX('Value Streams &amp; Delivery Mode'!$D$17:$M$22,MATCH($D45,'Value Streams &amp; Delivery Mode'!$B$17:$B$22,0),($B45-1)*2+IF($C45="POD",1,2)),0)))</f>
        <v/>
      </c>
      <c r="M45" s="53">
        <f>IF($B45="",0,$K45*$L45)</f>
        <v/>
      </c>
      <c r="N45" s="54">
        <f>IF($B45="",0,IFERROR(INDEX('Rates &amp; Tables'!$C$61:$G$63,MATCH($I45,'Rates &amp; Tables'!$J$61:$J$63,0),MATCH($H45,'Rates &amp; Tables'!$C$60:$G$60,0)),0))</f>
        <v/>
      </c>
      <c r="O45" s="52">
        <f>IF($B45="",0,$M45*$N45)</f>
        <v/>
      </c>
      <c r="P45" s="49">
        <f>IF($B45="","",$B45&amp;"|"&amp;$G45&amp;"|"&amp;$J45)</f>
        <v/>
      </c>
    </row>
    <row r="46" ht="14.25" customHeight="1">
      <c r="B46" s="51" t="n">
        <v>1</v>
      </c>
      <c r="C46" s="51" t="inlineStr">
        <is>
          <t>HZ</t>
        </is>
      </c>
      <c r="D46" s="51" t="inlineStr">
        <is>
          <t>H1</t>
        </is>
      </c>
      <c r="E46" s="51" t="n">
        <v>11</v>
      </c>
      <c r="F46" s="51" t="inlineStr">
        <is>
          <t>Batch Monitoring Engineer</t>
        </is>
      </c>
      <c r="G46" s="51" t="inlineStr">
        <is>
          <t>MNT</t>
        </is>
      </c>
      <c r="H46" s="51" t="inlineStr">
        <is>
          <t>E1</t>
        </is>
      </c>
      <c r="I46" s="51" t="inlineStr">
        <is>
          <t>ON</t>
        </is>
      </c>
      <c r="J46" s="51" t="inlineStr">
        <is>
          <t>FTC</t>
        </is>
      </c>
      <c r="K46" s="51" t="n">
        <v>0.5</v>
      </c>
      <c r="L46" s="52">
        <f>IF($B46="",0,IF($C46="HZ",1,IFERROR(INDEX('Value Streams &amp; Delivery Mode'!$D$17:$M$22,MATCH($D46,'Value Streams &amp; Delivery Mode'!$B$17:$B$22,0),($B46-1)*2+IF($C46="POD",1,2)),0)))</f>
        <v/>
      </c>
      <c r="M46" s="53">
        <f>IF($B46="",0,$K46*$L46)</f>
        <v/>
      </c>
      <c r="N46" s="54">
        <f>IF($B46="",0,IFERROR(INDEX('Rates &amp; Tables'!$C$61:$G$63,MATCH($I46,'Rates &amp; Tables'!$J$61:$J$63,0),MATCH($H46,'Rates &amp; Tables'!$C$60:$G$60,0)),0))</f>
        <v/>
      </c>
      <c r="O46" s="52">
        <f>IF($B46="",0,$M46*$N46)</f>
        <v/>
      </c>
      <c r="P46" s="49">
        <f>IF($B46="","",$B46&amp;"|"&amp;$G46&amp;"|"&amp;$J46)</f>
        <v/>
      </c>
    </row>
    <row r="47" ht="14.25" customHeight="1">
      <c r="B47" s="51" t="n">
        <v>1</v>
      </c>
      <c r="C47" s="51" t="inlineStr">
        <is>
          <t>HZ</t>
        </is>
      </c>
      <c r="D47" s="51" t="inlineStr">
        <is>
          <t>H1</t>
        </is>
      </c>
      <c r="E47" s="51" t="n">
        <v>12</v>
      </c>
      <c r="F47" s="51" t="inlineStr">
        <is>
          <t>SaaS Administrator</t>
        </is>
      </c>
      <c r="G47" s="51" t="inlineStr">
        <is>
          <t>MNT</t>
        </is>
      </c>
      <c r="H47" s="51" t="inlineStr">
        <is>
          <t>E2</t>
        </is>
      </c>
      <c r="I47" s="51" t="inlineStr">
        <is>
          <t>ON</t>
        </is>
      </c>
      <c r="J47" s="51" t="inlineStr">
        <is>
          <t>FTC</t>
        </is>
      </c>
      <c r="K47" s="51" t="n">
        <v>1</v>
      </c>
      <c r="L47" s="52">
        <f>IF($B47="",0,IF($C47="HZ",1,IFERROR(INDEX('Value Streams &amp; Delivery Mode'!$D$17:$M$22,MATCH($D47,'Value Streams &amp; Delivery Mode'!$B$17:$B$22,0),($B47-1)*2+IF($C47="POD",1,2)),0)))</f>
        <v/>
      </c>
      <c r="M47" s="53">
        <f>IF($B47="",0,$K47*$L47)</f>
        <v/>
      </c>
      <c r="N47" s="54">
        <f>IF($B47="",0,IFERROR(INDEX('Rates &amp; Tables'!$C$61:$G$63,MATCH($I47,'Rates &amp; Tables'!$J$61:$J$63,0),MATCH($H47,'Rates &amp; Tables'!$C$60:$G$60,0)),0))</f>
        <v/>
      </c>
      <c r="O47" s="52">
        <f>IF($B47="",0,$M47*$N47)</f>
        <v/>
      </c>
      <c r="P47" s="49">
        <f>IF($B47="","",$B47&amp;"|"&amp;$G47&amp;"|"&amp;$J47)</f>
        <v/>
      </c>
    </row>
    <row r="48" hidden="1" ht="14.25" customHeight="1">
      <c r="B48" s="51" t="n">
        <v>1</v>
      </c>
      <c r="C48" s="51" t="inlineStr">
        <is>
          <t>HZ</t>
        </is>
      </c>
      <c r="D48" s="51" t="inlineStr">
        <is>
          <t>H1</t>
        </is>
      </c>
      <c r="E48" s="51" t="n">
        <v>13</v>
      </c>
      <c r="F48" s="51" t="inlineStr">
        <is>
          <t>MetLife Operations Analyst</t>
        </is>
      </c>
      <c r="G48" s="51" t="inlineStr">
        <is>
          <t>MNT</t>
        </is>
      </c>
      <c r="H48" s="51" t="inlineStr">
        <is>
          <t>E3</t>
        </is>
      </c>
      <c r="I48" s="51" t="inlineStr">
        <is>
          <t>ON</t>
        </is>
      </c>
      <c r="J48" s="51" t="inlineStr">
        <is>
          <t>FTE</t>
        </is>
      </c>
      <c r="K48" s="51" t="n">
        <v>2</v>
      </c>
      <c r="L48" s="52">
        <f>IF($B48="",0,IF($C48="HZ",1,IFERROR(INDEX('Value Streams &amp; Delivery Mode'!$D$17:$M$22,MATCH($D48,'Value Streams &amp; Delivery Mode'!$B$17:$B$22,0),($B48-1)*2+IF($C48="POD",1,2)),0)))</f>
        <v/>
      </c>
      <c r="M48" s="53">
        <f>IF($B48="",0,$K48*$L48)</f>
        <v/>
      </c>
      <c r="N48" s="54">
        <f>IF($B48="",0,IFERROR(INDEX('Rates &amp; Tables'!$C$61:$G$63,MATCH($I48,'Rates &amp; Tables'!$J$61:$J$63,0),MATCH($H48,'Rates &amp; Tables'!$C$60:$G$60,0)),0))</f>
        <v/>
      </c>
      <c r="O48" s="52">
        <f>IF($B48="",0,$M48*$N48)</f>
        <v/>
      </c>
      <c r="P48" s="49">
        <f>IF($B48="","",$B48&amp;"|"&amp;$G48&amp;"|"&amp;$J48)</f>
        <v/>
      </c>
    </row>
    <row r="49" hidden="1" ht="14.25" customHeight="1">
      <c r="B49" s="51" t="n">
        <v>1</v>
      </c>
      <c r="C49" s="51" t="inlineStr">
        <is>
          <t>HZ</t>
        </is>
      </c>
      <c r="D49" s="51" t="inlineStr">
        <is>
          <t>H1</t>
        </is>
      </c>
      <c r="E49" s="51" t="n">
        <v>14</v>
      </c>
      <c r="F49" s="51" t="inlineStr">
        <is>
          <t>MGCC Application Support</t>
        </is>
      </c>
      <c r="G49" s="51" t="inlineStr">
        <is>
          <t>MNT</t>
        </is>
      </c>
      <c r="H49" s="51" t="inlineStr">
        <is>
          <t>E2</t>
        </is>
      </c>
      <c r="I49" s="51" t="inlineStr">
        <is>
          <t>OFF</t>
        </is>
      </c>
      <c r="J49" s="51" t="inlineStr">
        <is>
          <t>MGCC</t>
        </is>
      </c>
      <c r="K49" s="51" t="n">
        <v>1</v>
      </c>
      <c r="L49" s="52">
        <f>IF($B49="",0,IF($C49="HZ",1,IFERROR(INDEX('Value Streams &amp; Delivery Mode'!$D$17:$M$22,MATCH($D49,'Value Streams &amp; Delivery Mode'!$B$17:$B$22,0),($B49-1)*2+IF($C49="POD",1,2)),0)))</f>
        <v/>
      </c>
      <c r="M49" s="53">
        <f>IF($B49="",0,$K49*$L49)</f>
        <v/>
      </c>
      <c r="N49" s="54">
        <f>IF($B49="",0,IFERROR(INDEX('Rates &amp; Tables'!$C$61:$G$63,MATCH($I49,'Rates &amp; Tables'!$J$61:$J$63,0),MATCH($H49,'Rates &amp; Tables'!$C$60:$G$60,0)),0))</f>
        <v/>
      </c>
      <c r="O49" s="52">
        <f>IF($B49="",0,$M49*$N49)</f>
        <v/>
      </c>
      <c r="P49" s="49">
        <f>IF($B49="","",$B49&amp;"|"&amp;$G49&amp;"|"&amp;$J49)</f>
        <v/>
      </c>
    </row>
    <row r="50" ht="14.25" customHeight="1">
      <c r="B50" s="51" t="n">
        <v>1</v>
      </c>
      <c r="C50" s="51" t="inlineStr">
        <is>
          <t>HZ</t>
        </is>
      </c>
      <c r="D50" s="51" t="inlineStr">
        <is>
          <t>H2</t>
        </is>
      </c>
      <c r="E50" s="51" t="n">
        <v>15</v>
      </c>
      <c r="F50" s="51" t="inlineStr">
        <is>
          <t>Test Lead / QA Manager</t>
        </is>
      </c>
      <c r="G50" s="51" t="inlineStr">
        <is>
          <t>TEST</t>
        </is>
      </c>
      <c r="H50" s="51" t="inlineStr">
        <is>
          <t>E3</t>
        </is>
      </c>
      <c r="I50" s="51" t="inlineStr">
        <is>
          <t>ON</t>
        </is>
      </c>
      <c r="J50" s="51" t="inlineStr">
        <is>
          <t>FTC</t>
        </is>
      </c>
      <c r="K50" s="51" t="n">
        <v>1</v>
      </c>
      <c r="L50" s="52">
        <f>IF($B50="",0,IF($C50="HZ",1,IFERROR(INDEX('Value Streams &amp; Delivery Mode'!$D$17:$M$22,MATCH($D50,'Value Streams &amp; Delivery Mode'!$B$17:$B$22,0),($B50-1)*2+IF($C50="POD",1,2)),0)))</f>
        <v/>
      </c>
      <c r="M50" s="53">
        <f>IF($B50="",0,$K50*$L50)</f>
        <v/>
      </c>
      <c r="N50" s="54">
        <f>IF($B50="",0,IFERROR(INDEX('Rates &amp; Tables'!$C$61:$G$63,MATCH($I50,'Rates &amp; Tables'!$J$61:$J$63,0),MATCH($H50,'Rates &amp; Tables'!$C$60:$G$60,0)),0))</f>
        <v/>
      </c>
      <c r="O50" s="52">
        <f>IF($B50="",0,$M50*$N50)</f>
        <v/>
      </c>
      <c r="P50" s="49">
        <f>IF($B50="","",$B50&amp;"|"&amp;$G50&amp;"|"&amp;$J50)</f>
        <v/>
      </c>
    </row>
    <row r="51" ht="14.25" customHeight="1">
      <c r="B51" s="51" t="n">
        <v>1</v>
      </c>
      <c r="C51" s="51" t="inlineStr">
        <is>
          <t>HZ</t>
        </is>
      </c>
      <c r="D51" s="51" t="inlineStr">
        <is>
          <t>H2</t>
        </is>
      </c>
      <c r="E51" s="51" t="n">
        <v>16</v>
      </c>
      <c r="F51" s="51" t="inlineStr">
        <is>
          <t>Junior Test Engineer</t>
        </is>
      </c>
      <c r="G51" s="51" t="inlineStr">
        <is>
          <t>TEST</t>
        </is>
      </c>
      <c r="H51" s="51" t="inlineStr">
        <is>
          <t>E1</t>
        </is>
      </c>
      <c r="I51" s="51" t="inlineStr">
        <is>
          <t>ON</t>
        </is>
      </c>
      <c r="J51" s="51" t="inlineStr">
        <is>
          <t>FTC</t>
        </is>
      </c>
      <c r="K51" s="51" t="n">
        <v>1</v>
      </c>
      <c r="L51" s="52">
        <f>IF($B51="",0,IF($C51="HZ",1,IFERROR(INDEX('Value Streams &amp; Delivery Mode'!$D$17:$M$22,MATCH($D51,'Value Streams &amp; Delivery Mode'!$B$17:$B$22,0),($B51-1)*2+IF($C51="POD",1,2)),0)))</f>
        <v/>
      </c>
      <c r="M51" s="53">
        <f>IF($B51="",0,$K51*$L51)</f>
        <v/>
      </c>
      <c r="N51" s="54">
        <f>IF($B51="",0,IFERROR(INDEX('Rates &amp; Tables'!$C$61:$G$63,MATCH($I51,'Rates &amp; Tables'!$J$61:$J$63,0),MATCH($H51,'Rates &amp; Tables'!$C$60:$G$60,0)),0))</f>
        <v/>
      </c>
      <c r="O51" s="52">
        <f>IF($B51="",0,$M51*$N51)</f>
        <v/>
      </c>
      <c r="P51" s="49">
        <f>IF($B51="","",$B51&amp;"|"&amp;$G51&amp;"|"&amp;$J51)</f>
        <v/>
      </c>
    </row>
    <row r="52" hidden="1" ht="14.25" customHeight="1">
      <c r="B52" s="51" t="n">
        <v>1</v>
      </c>
      <c r="C52" s="51" t="inlineStr">
        <is>
          <t>HZ</t>
        </is>
      </c>
      <c r="D52" s="51" t="inlineStr">
        <is>
          <t>H2</t>
        </is>
      </c>
      <c r="E52" s="51" t="n">
        <v>17</v>
      </c>
      <c r="F52" s="51" t="inlineStr">
        <is>
          <t>MGCC Test Engineer</t>
        </is>
      </c>
      <c r="G52" s="51" t="inlineStr">
        <is>
          <t>TEST</t>
        </is>
      </c>
      <c r="H52" s="51" t="inlineStr">
        <is>
          <t>E2</t>
        </is>
      </c>
      <c r="I52" s="51" t="inlineStr">
        <is>
          <t>OFF</t>
        </is>
      </c>
      <c r="J52" s="51" t="inlineStr">
        <is>
          <t>MGCC</t>
        </is>
      </c>
      <c r="K52" s="51" t="n">
        <v>0.5</v>
      </c>
      <c r="L52" s="52">
        <f>IF($B52="",0,IF($C52="HZ",1,IFERROR(INDEX('Value Streams &amp; Delivery Mode'!$D$17:$M$22,MATCH($D52,'Value Streams &amp; Delivery Mode'!$B$17:$B$22,0),($B52-1)*2+IF($C52="POD",1,2)),0)))</f>
        <v/>
      </c>
      <c r="M52" s="53">
        <f>IF($B52="",0,$K52*$L52)</f>
        <v/>
      </c>
      <c r="N52" s="54">
        <f>IF($B52="",0,IFERROR(INDEX('Rates &amp; Tables'!$C$61:$G$63,MATCH($I52,'Rates &amp; Tables'!$J$61:$J$63,0),MATCH($H52,'Rates &amp; Tables'!$C$60:$G$60,0)),0))</f>
        <v/>
      </c>
      <c r="O52" s="52">
        <f>IF($B52="",0,$M52*$N52)</f>
        <v/>
      </c>
      <c r="P52" s="49">
        <f>IF($B52="","",$B52&amp;"|"&amp;$G52&amp;"|"&amp;$J52)</f>
        <v/>
      </c>
    </row>
    <row r="53" hidden="1" ht="14.25" customHeight="1">
      <c r="B53" s="51" t="n">
        <v>2</v>
      </c>
      <c r="C53" s="51" t="inlineStr">
        <is>
          <t>POD</t>
        </is>
      </c>
      <c r="D53" s="51" t="n">
        <v>1</v>
      </c>
      <c r="E53" s="51" t="n">
        <v>1</v>
      </c>
      <c r="F53" s="51" t="inlineStr">
        <is>
          <t>MetLife Product Owner</t>
        </is>
      </c>
      <c r="G53" s="51" t="inlineStr">
        <is>
          <t>PM</t>
        </is>
      </c>
      <c r="H53" s="51" t="inlineStr">
        <is>
          <t>E4</t>
        </is>
      </c>
      <c r="I53" s="51" t="inlineStr">
        <is>
          <t>ON</t>
        </is>
      </c>
      <c r="J53" s="51" t="inlineStr">
        <is>
          <t>FTE</t>
        </is>
      </c>
      <c r="K53" s="51" t="n">
        <v>1</v>
      </c>
      <c r="L53" s="52">
        <f>IF($B53="",0,IF($C53="HZ",1,IFERROR(INDEX('Value Streams &amp; Delivery Mode'!$D$17:$M$22,MATCH($D53,'Value Streams &amp; Delivery Mode'!$B$17:$B$22,0),($B53-1)*2+IF($C53="POD",1,2)),0)))</f>
        <v/>
      </c>
      <c r="M53" s="53">
        <f>IF($B53="",0,$K53*$L53)</f>
        <v/>
      </c>
      <c r="N53" s="54">
        <f>IF($B53="",0,IFERROR(INDEX('Rates &amp; Tables'!$C$61:$G$63,MATCH($I53,'Rates &amp; Tables'!$J$61:$J$63,0),MATCH($H53,'Rates &amp; Tables'!$C$60:$G$60,0)),0))</f>
        <v/>
      </c>
      <c r="O53" s="52">
        <f>IF($B53="",0,$M53*$N53)</f>
        <v/>
      </c>
      <c r="P53" s="49">
        <f>IF($B53="","",$B53&amp;"|"&amp;$G53&amp;"|"&amp;$J53)</f>
        <v/>
      </c>
    </row>
    <row r="54" hidden="1" ht="14.25" customHeight="1">
      <c r="B54" s="51" t="n">
        <v>2</v>
      </c>
      <c r="C54" s="51" t="inlineStr">
        <is>
          <t>POD</t>
        </is>
      </c>
      <c r="D54" s="51" t="n">
        <v>1</v>
      </c>
      <c r="E54" s="51" t="n">
        <v>2</v>
      </c>
      <c r="F54" s="51" t="inlineStr">
        <is>
          <t>MetLife Group Policy SME</t>
        </is>
      </c>
      <c r="G54" s="51" t="inlineStr">
        <is>
          <t>BSA</t>
        </is>
      </c>
      <c r="H54" s="51" t="inlineStr">
        <is>
          <t>E4</t>
        </is>
      </c>
      <c r="I54" s="51" t="inlineStr">
        <is>
          <t>ON</t>
        </is>
      </c>
      <c r="J54" s="51" t="inlineStr">
        <is>
          <t>FTE</t>
        </is>
      </c>
      <c r="K54" s="51" t="n">
        <v>0.5</v>
      </c>
      <c r="L54" s="52">
        <f>IF($B54="",0,IF($C54="HZ",1,IFERROR(INDEX('Value Streams &amp; Delivery Mode'!$D$17:$M$22,MATCH($D54,'Value Streams &amp; Delivery Mode'!$B$17:$B$22,0),($B54-1)*2+IF($C54="POD",1,2)),0)))</f>
        <v/>
      </c>
      <c r="M54" s="53">
        <f>IF($B54="",0,$K54*$L54)</f>
        <v/>
      </c>
      <c r="N54" s="54">
        <f>IF($B54="",0,IFERROR(INDEX('Rates &amp; Tables'!$C$61:$G$63,MATCH($I54,'Rates &amp; Tables'!$J$61:$J$63,0),MATCH($H54,'Rates &amp; Tables'!$C$60:$G$60,0)),0))</f>
        <v/>
      </c>
      <c r="O54" s="52">
        <f>IF($B54="",0,$M54*$N54)</f>
        <v/>
      </c>
      <c r="P54" s="49">
        <f>IF($B54="","",$B54&amp;"|"&amp;$G54&amp;"|"&amp;$J54)</f>
        <v/>
      </c>
    </row>
    <row r="55" hidden="1" ht="14.25" customHeight="1">
      <c r="B55" s="51" t="n">
        <v>2</v>
      </c>
      <c r="C55" s="51" t="inlineStr">
        <is>
          <t>POD</t>
        </is>
      </c>
      <c r="D55" s="51" t="n">
        <v>1</v>
      </c>
      <c r="E55" s="51" t="n">
        <v>3</v>
      </c>
      <c r="F55" s="51" t="inlineStr">
        <is>
          <t>FSI Senior Developer (JP)</t>
        </is>
      </c>
      <c r="G55" s="51" t="inlineStr">
        <is>
          <t>DEV</t>
        </is>
      </c>
      <c r="H55" s="51" t="inlineStr">
        <is>
          <t>E3</t>
        </is>
      </c>
      <c r="I55" s="51" t="inlineStr">
        <is>
          <t>ON</t>
        </is>
      </c>
      <c r="J55" s="51" t="inlineStr">
        <is>
          <t>PT</t>
        </is>
      </c>
      <c r="K55" s="51" t="n">
        <v>2</v>
      </c>
      <c r="L55" s="52">
        <f>IF($B55="",0,IF($C55="HZ",1,IFERROR(INDEX('Value Streams &amp; Delivery Mode'!$D$17:$M$22,MATCH($D55,'Value Streams &amp; Delivery Mode'!$B$17:$B$22,0),($B55-1)*2+IF($C55="POD",1,2)),0)))</f>
        <v/>
      </c>
      <c r="M55" s="53">
        <f>IF($B55="",0,$K55*$L55)</f>
        <v/>
      </c>
      <c r="N55" s="54">
        <f>IF($B55="",0,IFERROR(INDEX('Rates &amp; Tables'!$C$61:$G$63,MATCH($I55,'Rates &amp; Tables'!$J$61:$J$63,0),MATCH($H55,'Rates &amp; Tables'!$C$60:$G$60,0)),0))</f>
        <v/>
      </c>
      <c r="O55" s="52">
        <f>IF($B55="",0,$M55*$N55)</f>
        <v/>
      </c>
      <c r="P55" s="49">
        <f>IF($B55="","",$B55&amp;"|"&amp;$G55&amp;"|"&amp;$J55)</f>
        <v/>
      </c>
    </row>
    <row r="56" hidden="1" ht="14.25" customHeight="1">
      <c r="B56" s="51" t="n">
        <v>2</v>
      </c>
      <c r="C56" s="51" t="inlineStr">
        <is>
          <t>POD</t>
        </is>
      </c>
      <c r="D56" s="51" t="n">
        <v>1</v>
      </c>
      <c r="E56" s="51" t="n">
        <v>4</v>
      </c>
      <c r="F56" s="51" t="inlineStr">
        <is>
          <t>FSI Application Support</t>
        </is>
      </c>
      <c r="G56" s="51" t="inlineStr">
        <is>
          <t>MNT</t>
        </is>
      </c>
      <c r="H56" s="51" t="inlineStr">
        <is>
          <t>E2</t>
        </is>
      </c>
      <c r="I56" s="51" t="inlineStr">
        <is>
          <t>ON</t>
        </is>
      </c>
      <c r="J56" s="51" t="inlineStr">
        <is>
          <t>PT</t>
        </is>
      </c>
      <c r="K56" s="51" t="n">
        <v>1</v>
      </c>
      <c r="L56" s="52">
        <f>IF($B56="",0,IF($C56="HZ",1,IFERROR(INDEX('Value Streams &amp; Delivery Mode'!$D$17:$M$22,MATCH($D56,'Value Streams &amp; Delivery Mode'!$B$17:$B$22,0),($B56-1)*2+IF($C56="POD",1,2)),0)))</f>
        <v/>
      </c>
      <c r="M56" s="53">
        <f>IF($B56="",0,$K56*$L56)</f>
        <v/>
      </c>
      <c r="N56" s="54">
        <f>IF($B56="",0,IFERROR(INDEX('Rates &amp; Tables'!$C$61:$G$63,MATCH($I56,'Rates &amp; Tables'!$J$61:$J$63,0),MATCH($H56,'Rates &amp; Tables'!$C$60:$G$60,0)),0))</f>
        <v/>
      </c>
      <c r="O56" s="52">
        <f>IF($B56="",0,$M56*$N56)</f>
        <v/>
      </c>
      <c r="P56" s="49">
        <f>IF($B56="","",$B56&amp;"|"&amp;$G56&amp;"|"&amp;$J56)</f>
        <v/>
      </c>
    </row>
    <row r="57" hidden="1" ht="14.25" customHeight="1">
      <c r="B57" s="51" t="n">
        <v>2</v>
      </c>
      <c r="C57" s="51" t="inlineStr">
        <is>
          <t>POD</t>
        </is>
      </c>
      <c r="D57" s="51" t="n">
        <v>1</v>
      </c>
      <c r="E57" s="51" t="n">
        <v>5</v>
      </c>
      <c r="F57" s="51" t="inlineStr">
        <is>
          <t>Pod lead / senior engineer</t>
        </is>
      </c>
      <c r="G57" s="51" t="inlineStr">
        <is>
          <t>DEV</t>
        </is>
      </c>
      <c r="H57" s="51" t="inlineStr">
        <is>
          <t>E3</t>
        </is>
      </c>
      <c r="I57" s="51" t="inlineStr">
        <is>
          <t>ON</t>
        </is>
      </c>
      <c r="J57" s="51" t="inlineStr">
        <is>
          <t>FTC</t>
        </is>
      </c>
      <c r="K57" s="51" t="n">
        <v>1</v>
      </c>
      <c r="L57" s="52">
        <f>IF($B57="",0,IF($C57="HZ",1,IFERROR(INDEX('Value Streams &amp; Delivery Mode'!$D$17:$M$22,MATCH($D57,'Value Streams &amp; Delivery Mode'!$B$17:$B$22,0),($B57-1)*2+IF($C57="POD",1,2)),0)))</f>
        <v/>
      </c>
      <c r="M57" s="53">
        <f>IF($B57="",0,$K57*$L57)</f>
        <v/>
      </c>
      <c r="N57" s="54">
        <f>IF($B57="",0,IFERROR(INDEX('Rates &amp; Tables'!$C$61:$G$63,MATCH($I57,'Rates &amp; Tables'!$J$61:$J$63,0),MATCH($H57,'Rates &amp; Tables'!$C$60:$G$60,0)),0))</f>
        <v/>
      </c>
      <c r="O57" s="52">
        <f>IF($B57="",0,$M57*$N57)</f>
        <v/>
      </c>
      <c r="P57" s="49">
        <f>IF($B57="","",$B57&amp;"|"&amp;$G57&amp;"|"&amp;$J57)</f>
        <v/>
      </c>
    </row>
    <row r="58" hidden="1" ht="14.25" customHeight="1">
      <c r="B58" s="51" t="n">
        <v>2</v>
      </c>
      <c r="C58" s="51" t="inlineStr">
        <is>
          <t>POD</t>
        </is>
      </c>
      <c r="D58" s="51" t="n">
        <v>1</v>
      </c>
      <c r="E58" s="51" t="n">
        <v>6</v>
      </c>
      <c r="F58" s="51" t="inlineStr">
        <is>
          <t>Business Analyst (bilingual)</t>
        </is>
      </c>
      <c r="G58" s="51" t="inlineStr">
        <is>
          <t>BSA</t>
        </is>
      </c>
      <c r="H58" s="51" t="inlineStr">
        <is>
          <t>E2</t>
        </is>
      </c>
      <c r="I58" s="51" t="inlineStr">
        <is>
          <t>ON</t>
        </is>
      </c>
      <c r="J58" s="51" t="inlineStr">
        <is>
          <t>FTC</t>
        </is>
      </c>
      <c r="K58" s="51" t="n">
        <v>0.5</v>
      </c>
      <c r="L58" s="52">
        <f>IF($B58="",0,IF($C58="HZ",1,IFERROR(INDEX('Value Streams &amp; Delivery Mode'!$D$17:$M$22,MATCH($D58,'Value Streams &amp; Delivery Mode'!$B$17:$B$22,0),($B58-1)*2+IF($C58="POD",1,2)),0)))</f>
        <v/>
      </c>
      <c r="M58" s="53">
        <f>IF($B58="",0,$K58*$L58)</f>
        <v/>
      </c>
      <c r="N58" s="54">
        <f>IF($B58="",0,IFERROR(INDEX('Rates &amp; Tables'!$C$61:$G$63,MATCH($I58,'Rates &amp; Tables'!$J$61:$J$63,0),MATCH($H58,'Rates &amp; Tables'!$C$60:$G$60,0)),0))</f>
        <v/>
      </c>
      <c r="O58" s="52">
        <f>IF($B58="",0,$M58*$N58)</f>
        <v/>
      </c>
      <c r="P58" s="49">
        <f>IF($B58="","",$B58&amp;"|"&amp;$G58&amp;"|"&amp;$J58)</f>
        <v/>
      </c>
    </row>
    <row r="59" hidden="1" ht="14.25" customHeight="1">
      <c r="B59" s="51" t="n">
        <v>2</v>
      </c>
      <c r="C59" s="51" t="inlineStr">
        <is>
          <t>POD</t>
        </is>
      </c>
      <c r="D59" s="51" t="n">
        <v>1</v>
      </c>
      <c r="E59" s="51" t="n">
        <v>7</v>
      </c>
      <c r="F59" s="51" t="inlineStr">
        <is>
          <t>Junior Java Developer — offshore</t>
        </is>
      </c>
      <c r="G59" s="51" t="inlineStr">
        <is>
          <t>DEV</t>
        </is>
      </c>
      <c r="H59" s="51" t="inlineStr">
        <is>
          <t>E2</t>
        </is>
      </c>
      <c r="I59" s="51" t="inlineStr">
        <is>
          <t>OFF</t>
        </is>
      </c>
      <c r="J59" s="51" t="inlineStr">
        <is>
          <t>FTC</t>
        </is>
      </c>
      <c r="K59" s="51" t="n">
        <v>1</v>
      </c>
      <c r="L59" s="52">
        <f>IF($B59="",0,IF($C59="HZ",1,IFERROR(INDEX('Value Streams &amp; Delivery Mode'!$D$17:$M$22,MATCH($D59,'Value Streams &amp; Delivery Mode'!$B$17:$B$22,0),($B59-1)*2+IF($C59="POD",1,2)),0)))</f>
        <v/>
      </c>
      <c r="M59" s="53">
        <f>IF($B59="",0,$K59*$L59)</f>
        <v/>
      </c>
      <c r="N59" s="54">
        <f>IF($B59="",0,IFERROR(INDEX('Rates &amp; Tables'!$C$61:$G$63,MATCH($I59,'Rates &amp; Tables'!$J$61:$J$63,0),MATCH($H59,'Rates &amp; Tables'!$C$60:$G$60,0)),0))</f>
        <v/>
      </c>
      <c r="O59" s="52">
        <f>IF($B59="",0,$M59*$N59)</f>
        <v/>
      </c>
      <c r="P59" s="49">
        <f>IF($B59="","",$B59&amp;"|"&amp;$G59&amp;"|"&amp;$J59)</f>
        <v/>
      </c>
    </row>
    <row r="60" hidden="1" ht="14.25" customHeight="1">
      <c r="B60" s="51" t="n">
        <v>2</v>
      </c>
      <c r="C60" s="51" t="inlineStr">
        <is>
          <t>POD</t>
        </is>
      </c>
      <c r="D60" s="51" t="n">
        <v>1</v>
      </c>
      <c r="E60" s="51" t="n">
        <v>8</v>
      </c>
      <c r="F60" s="51" t="inlineStr">
        <is>
          <t>Quality Engineer (SDET) — offshore</t>
        </is>
      </c>
      <c r="G60" s="51" t="inlineStr">
        <is>
          <t>TEST</t>
        </is>
      </c>
      <c r="H60" s="51" t="inlineStr">
        <is>
          <t>E3</t>
        </is>
      </c>
      <c r="I60" s="51" t="inlineStr">
        <is>
          <t>OFF</t>
        </is>
      </c>
      <c r="J60" s="51" t="inlineStr">
        <is>
          <t>FTC</t>
        </is>
      </c>
      <c r="K60" s="51" t="n">
        <v>1</v>
      </c>
      <c r="L60" s="52">
        <f>IF($B60="",0,IF($C60="HZ",1,IFERROR(INDEX('Value Streams &amp; Delivery Mode'!$D$17:$M$22,MATCH($D60,'Value Streams &amp; Delivery Mode'!$B$17:$B$22,0),($B60-1)*2+IF($C60="POD",1,2)),0)))</f>
        <v/>
      </c>
      <c r="M60" s="53">
        <f>IF($B60="",0,$K60*$L60)</f>
        <v/>
      </c>
      <c r="N60" s="54">
        <f>IF($B60="",0,IFERROR(INDEX('Rates &amp; Tables'!$C$61:$G$63,MATCH($I60,'Rates &amp; Tables'!$J$61:$J$63,0),MATCH($H60,'Rates &amp; Tables'!$C$60:$G$60,0)),0))</f>
        <v/>
      </c>
      <c r="O60" s="52">
        <f>IF($B60="",0,$M60*$N60)</f>
        <v/>
      </c>
      <c r="P60" s="49">
        <f>IF($B60="","",$B60&amp;"|"&amp;$G60&amp;"|"&amp;$J60)</f>
        <v/>
      </c>
    </row>
    <row r="61" hidden="1" ht="14.25" customHeight="1">
      <c r="B61" s="51" t="n">
        <v>2</v>
      </c>
      <c r="C61" s="51" t="inlineStr">
        <is>
          <t>POD</t>
        </is>
      </c>
      <c r="D61" s="51" t="n">
        <v>1</v>
      </c>
      <c r="E61" s="51" t="n">
        <v>9</v>
      </c>
      <c r="F61" s="51" t="inlineStr">
        <is>
          <t>Junior Application Support — offshore</t>
        </is>
      </c>
      <c r="G61" s="51" t="inlineStr">
        <is>
          <t>MNT</t>
        </is>
      </c>
      <c r="H61" s="51" t="inlineStr">
        <is>
          <t>E1</t>
        </is>
      </c>
      <c r="I61" s="51" t="inlineStr">
        <is>
          <t>OFF</t>
        </is>
      </c>
      <c r="J61" s="51" t="inlineStr">
        <is>
          <t>FTC</t>
        </is>
      </c>
      <c r="K61" s="51" t="n">
        <v>0.5</v>
      </c>
      <c r="L61" s="52">
        <f>IF($B61="",0,IF($C61="HZ",1,IFERROR(INDEX('Value Streams &amp; Delivery Mode'!$D$17:$M$22,MATCH($D61,'Value Streams &amp; Delivery Mode'!$B$17:$B$22,0),($B61-1)*2+IF($C61="POD",1,2)),0)))</f>
        <v/>
      </c>
      <c r="M61" s="53">
        <f>IF($B61="",0,$K61*$L61)</f>
        <v/>
      </c>
      <c r="N61" s="54">
        <f>IF($B61="",0,IFERROR(INDEX('Rates &amp; Tables'!$C$61:$G$63,MATCH($I61,'Rates &amp; Tables'!$J$61:$J$63,0),MATCH($H61,'Rates &amp; Tables'!$C$60:$G$60,0)),0))</f>
        <v/>
      </c>
      <c r="O61" s="52">
        <f>IF($B61="",0,$M61*$N61)</f>
        <v/>
      </c>
      <c r="P61" s="49">
        <f>IF($B61="","",$B61&amp;"|"&amp;$G61&amp;"|"&amp;$J61)</f>
        <v/>
      </c>
    </row>
    <row r="62" hidden="1" ht="14.25" customHeight="1">
      <c r="B62" s="51" t="n">
        <v>2</v>
      </c>
      <c r="C62" s="51" t="inlineStr">
        <is>
          <t>POD</t>
        </is>
      </c>
      <c r="D62" s="51" t="n">
        <v>2</v>
      </c>
      <c r="E62" s="51" t="n">
        <v>1</v>
      </c>
      <c r="F62" s="51" t="inlineStr">
        <is>
          <t>MetLife Product Owner</t>
        </is>
      </c>
      <c r="G62" s="51" t="inlineStr">
        <is>
          <t>PM</t>
        </is>
      </c>
      <c r="H62" s="51" t="inlineStr">
        <is>
          <t>E4</t>
        </is>
      </c>
      <c r="I62" s="51" t="inlineStr">
        <is>
          <t>ON</t>
        </is>
      </c>
      <c r="J62" s="51" t="inlineStr">
        <is>
          <t>FTE</t>
        </is>
      </c>
      <c r="K62" s="51" t="n">
        <v>1</v>
      </c>
      <c r="L62" s="52">
        <f>IF($B62="",0,IF($C62="HZ",1,IFERROR(INDEX('Value Streams &amp; Delivery Mode'!$D$17:$M$22,MATCH($D62,'Value Streams &amp; Delivery Mode'!$B$17:$B$22,0),($B62-1)*2+IF($C62="POD",1,2)),0)))</f>
        <v/>
      </c>
      <c r="M62" s="53">
        <f>IF($B62="",0,$K62*$L62)</f>
        <v/>
      </c>
      <c r="N62" s="54">
        <f>IF($B62="",0,IFERROR(INDEX('Rates &amp; Tables'!$C$61:$G$63,MATCH($I62,'Rates &amp; Tables'!$J$61:$J$63,0),MATCH($H62,'Rates &amp; Tables'!$C$60:$G$60,0)),0))</f>
        <v/>
      </c>
      <c r="O62" s="52">
        <f>IF($B62="",0,$M62*$N62)</f>
        <v/>
      </c>
      <c r="P62" s="49">
        <f>IF($B62="","",$B62&amp;"|"&amp;$G62&amp;"|"&amp;$J62)</f>
        <v/>
      </c>
    </row>
    <row r="63" hidden="1" ht="14.25" customHeight="1">
      <c r="B63" s="51" t="n">
        <v>2</v>
      </c>
      <c r="C63" s="51" t="inlineStr">
        <is>
          <t>POD</t>
        </is>
      </c>
      <c r="D63" s="51" t="n">
        <v>2</v>
      </c>
      <c r="E63" s="51" t="n">
        <v>2</v>
      </c>
      <c r="F63" s="51" t="inlineStr">
        <is>
          <t>MetLife Compliance SME</t>
        </is>
      </c>
      <c r="G63" s="51" t="inlineStr">
        <is>
          <t>BSA</t>
        </is>
      </c>
      <c r="H63" s="51" t="inlineStr">
        <is>
          <t>E4</t>
        </is>
      </c>
      <c r="I63" s="51" t="inlineStr">
        <is>
          <t>ON</t>
        </is>
      </c>
      <c r="J63" s="51" t="inlineStr">
        <is>
          <t>FTE</t>
        </is>
      </c>
      <c r="K63" s="51" t="n">
        <v>0.5</v>
      </c>
      <c r="L63" s="52">
        <f>IF($B63="",0,IF($C63="HZ",1,IFERROR(INDEX('Value Streams &amp; Delivery Mode'!$D$17:$M$22,MATCH($D63,'Value Streams &amp; Delivery Mode'!$B$17:$B$22,0),($B63-1)*2+IF($C63="POD",1,2)),0)))</f>
        <v/>
      </c>
      <c r="M63" s="53">
        <f>IF($B63="",0,$K63*$L63)</f>
        <v/>
      </c>
      <c r="N63" s="54">
        <f>IF($B63="",0,IFERROR(INDEX('Rates &amp; Tables'!$C$61:$G$63,MATCH($I63,'Rates &amp; Tables'!$J$61:$J$63,0),MATCH($H63,'Rates &amp; Tables'!$C$60:$G$60,0)),0))</f>
        <v/>
      </c>
      <c r="O63" s="52">
        <f>IF($B63="",0,$M63*$N63)</f>
        <v/>
      </c>
      <c r="P63" s="49">
        <f>IF($B63="","",$B63&amp;"|"&amp;$G63&amp;"|"&amp;$J63)</f>
        <v/>
      </c>
    </row>
    <row r="64" hidden="1" ht="14.25" customHeight="1">
      <c r="B64" s="51" t="n">
        <v>2</v>
      </c>
      <c r="C64" s="51" t="inlineStr">
        <is>
          <t>POD</t>
        </is>
      </c>
      <c r="D64" s="51" t="n">
        <v>2</v>
      </c>
      <c r="E64" s="51" t="n">
        <v>3</v>
      </c>
      <c r="F64" s="51" t="inlineStr">
        <is>
          <t>FSI Senior Developer (JP)</t>
        </is>
      </c>
      <c r="G64" s="51" t="inlineStr">
        <is>
          <t>DEV</t>
        </is>
      </c>
      <c r="H64" s="51" t="inlineStr">
        <is>
          <t>E3</t>
        </is>
      </c>
      <c r="I64" s="51" t="inlineStr">
        <is>
          <t>ON</t>
        </is>
      </c>
      <c r="J64" s="51" t="inlineStr">
        <is>
          <t>PT</t>
        </is>
      </c>
      <c r="K64" s="51" t="n">
        <v>1.5</v>
      </c>
      <c r="L64" s="52">
        <f>IF($B64="",0,IF($C64="HZ",1,IFERROR(INDEX('Value Streams &amp; Delivery Mode'!$D$17:$M$22,MATCH($D64,'Value Streams &amp; Delivery Mode'!$B$17:$B$22,0),($B64-1)*2+IF($C64="POD",1,2)),0)))</f>
        <v/>
      </c>
      <c r="M64" s="53">
        <f>IF($B64="",0,$K64*$L64)</f>
        <v/>
      </c>
      <c r="N64" s="54">
        <f>IF($B64="",0,IFERROR(INDEX('Rates &amp; Tables'!$C$61:$G$63,MATCH($I64,'Rates &amp; Tables'!$J$61:$J$63,0),MATCH($H64,'Rates &amp; Tables'!$C$60:$G$60,0)),0))</f>
        <v/>
      </c>
      <c r="O64" s="52">
        <f>IF($B64="",0,$M64*$N64)</f>
        <v/>
      </c>
      <c r="P64" s="49">
        <f>IF($B64="","",$B64&amp;"|"&amp;$G64&amp;"|"&amp;$J64)</f>
        <v/>
      </c>
    </row>
    <row r="65" hidden="1" ht="14.25" customHeight="1">
      <c r="B65" s="51" t="n">
        <v>2</v>
      </c>
      <c r="C65" s="51" t="inlineStr">
        <is>
          <t>POD</t>
        </is>
      </c>
      <c r="D65" s="51" t="n">
        <v>2</v>
      </c>
      <c r="E65" s="51" t="n">
        <v>4</v>
      </c>
      <c r="F65" s="51" t="inlineStr">
        <is>
          <t>FSI Application Support</t>
        </is>
      </c>
      <c r="G65" s="51" t="inlineStr">
        <is>
          <t>MNT</t>
        </is>
      </c>
      <c r="H65" s="51" t="inlineStr">
        <is>
          <t>E2</t>
        </is>
      </c>
      <c r="I65" s="51" t="inlineStr">
        <is>
          <t>ON</t>
        </is>
      </c>
      <c r="J65" s="51" t="inlineStr">
        <is>
          <t>PT</t>
        </is>
      </c>
      <c r="K65" s="51" t="n">
        <v>0.5</v>
      </c>
      <c r="L65" s="52">
        <f>IF($B65="",0,IF($C65="HZ",1,IFERROR(INDEX('Value Streams &amp; Delivery Mode'!$D$17:$M$22,MATCH($D65,'Value Streams &amp; Delivery Mode'!$B$17:$B$22,0),($B65-1)*2+IF($C65="POD",1,2)),0)))</f>
        <v/>
      </c>
      <c r="M65" s="53">
        <f>IF($B65="",0,$K65*$L65)</f>
        <v/>
      </c>
      <c r="N65" s="54">
        <f>IF($B65="",0,IFERROR(INDEX('Rates &amp; Tables'!$C$61:$G$63,MATCH($I65,'Rates &amp; Tables'!$J$61:$J$63,0),MATCH($H65,'Rates &amp; Tables'!$C$60:$G$60,0)),0))</f>
        <v/>
      </c>
      <c r="O65" s="52">
        <f>IF($B65="",0,$M65*$N65)</f>
        <v/>
      </c>
      <c r="P65" s="49">
        <f>IF($B65="","",$B65&amp;"|"&amp;$G65&amp;"|"&amp;$J65)</f>
        <v/>
      </c>
    </row>
    <row r="66" hidden="1" ht="14.25" customHeight="1">
      <c r="B66" s="51" t="n">
        <v>2</v>
      </c>
      <c r="C66" s="51" t="inlineStr">
        <is>
          <t>POD</t>
        </is>
      </c>
      <c r="D66" s="51" t="n">
        <v>2</v>
      </c>
      <c r="E66" s="51" t="n">
        <v>5</v>
      </c>
      <c r="F66" s="51" t="inlineStr">
        <is>
          <t>Pod lead / senior engineer</t>
        </is>
      </c>
      <c r="G66" s="51" t="inlineStr">
        <is>
          <t>DEV</t>
        </is>
      </c>
      <c r="H66" s="51" t="inlineStr">
        <is>
          <t>E4</t>
        </is>
      </c>
      <c r="I66" s="51" t="inlineStr">
        <is>
          <t>ON</t>
        </is>
      </c>
      <c r="J66" s="51" t="inlineStr">
        <is>
          <t>FTC</t>
        </is>
      </c>
      <c r="K66" s="51" t="n">
        <v>1</v>
      </c>
      <c r="L66" s="52">
        <f>IF($B66="",0,IF($C66="HZ",1,IFERROR(INDEX('Value Streams &amp; Delivery Mode'!$D$17:$M$22,MATCH($D66,'Value Streams &amp; Delivery Mode'!$B$17:$B$22,0),($B66-1)*2+IF($C66="POD",1,2)),0)))</f>
        <v/>
      </c>
      <c r="M66" s="53">
        <f>IF($B66="",0,$K66*$L66)</f>
        <v/>
      </c>
      <c r="N66" s="54">
        <f>IF($B66="",0,IFERROR(INDEX('Rates &amp; Tables'!$C$61:$G$63,MATCH($I66,'Rates &amp; Tables'!$J$61:$J$63,0),MATCH($H66,'Rates &amp; Tables'!$C$60:$G$60,0)),0))</f>
        <v/>
      </c>
      <c r="O66" s="52">
        <f>IF($B66="",0,$M66*$N66)</f>
        <v/>
      </c>
      <c r="P66" s="49">
        <f>IF($B66="","",$B66&amp;"|"&amp;$G66&amp;"|"&amp;$J66)</f>
        <v/>
      </c>
    </row>
    <row r="67" hidden="1" ht="14.25" customHeight="1">
      <c r="B67" s="51" t="n">
        <v>2</v>
      </c>
      <c r="C67" s="51" t="inlineStr">
        <is>
          <t>POD</t>
        </is>
      </c>
      <c r="D67" s="51" t="n">
        <v>2</v>
      </c>
      <c r="E67" s="51" t="n">
        <v>6</v>
      </c>
      <c r="F67" s="51" t="inlineStr">
        <is>
          <t>Business Analyst (bilingual)</t>
        </is>
      </c>
      <c r="G67" s="51" t="inlineStr">
        <is>
          <t>BSA</t>
        </is>
      </c>
      <c r="H67" s="51" t="inlineStr">
        <is>
          <t>E2</t>
        </is>
      </c>
      <c r="I67" s="51" t="inlineStr">
        <is>
          <t>ON</t>
        </is>
      </c>
      <c r="J67" s="51" t="inlineStr">
        <is>
          <t>FTC</t>
        </is>
      </c>
      <c r="K67" s="51" t="n">
        <v>0.5</v>
      </c>
      <c r="L67" s="52">
        <f>IF($B67="",0,IF($C67="HZ",1,IFERROR(INDEX('Value Streams &amp; Delivery Mode'!$D$17:$M$22,MATCH($D67,'Value Streams &amp; Delivery Mode'!$B$17:$B$22,0),($B67-1)*2+IF($C67="POD",1,2)),0)))</f>
        <v/>
      </c>
      <c r="M67" s="53">
        <f>IF($B67="",0,$K67*$L67)</f>
        <v/>
      </c>
      <c r="N67" s="54">
        <f>IF($B67="",0,IFERROR(INDEX('Rates &amp; Tables'!$C$61:$G$63,MATCH($I67,'Rates &amp; Tables'!$J$61:$J$63,0),MATCH($H67,'Rates &amp; Tables'!$C$60:$G$60,0)),0))</f>
        <v/>
      </c>
      <c r="O67" s="52">
        <f>IF($B67="",0,$M67*$N67)</f>
        <v/>
      </c>
      <c r="P67" s="49">
        <f>IF($B67="","",$B67&amp;"|"&amp;$G67&amp;"|"&amp;$J67)</f>
        <v/>
      </c>
    </row>
    <row r="68" hidden="1" ht="14.25" customHeight="1">
      <c r="B68" s="51" t="n">
        <v>2</v>
      </c>
      <c r="C68" s="51" t="inlineStr">
        <is>
          <t>POD</t>
        </is>
      </c>
      <c r="D68" s="51" t="n">
        <v>2</v>
      </c>
      <c r="E68" s="51" t="n">
        <v>7</v>
      </c>
      <c r="F68" s="51" t="inlineStr">
        <is>
          <t>Junior .NET Developer</t>
        </is>
      </c>
      <c r="G68" s="51" t="inlineStr">
        <is>
          <t>DEV</t>
        </is>
      </c>
      <c r="H68" s="51" t="inlineStr">
        <is>
          <t>E2</t>
        </is>
      </c>
      <c r="I68" s="51" t="inlineStr">
        <is>
          <t>ON</t>
        </is>
      </c>
      <c r="J68" s="51" t="inlineStr">
        <is>
          <t>FTC</t>
        </is>
      </c>
      <c r="K68" s="51" t="n">
        <v>1.5</v>
      </c>
      <c r="L68" s="52">
        <f>IF($B68="",0,IF($C68="HZ",1,IFERROR(INDEX('Value Streams &amp; Delivery Mode'!$D$17:$M$22,MATCH($D68,'Value Streams &amp; Delivery Mode'!$B$17:$B$22,0),($B68-1)*2+IF($C68="POD",1,2)),0)))</f>
        <v/>
      </c>
      <c r="M68" s="53">
        <f>IF($B68="",0,$K68*$L68)</f>
        <v/>
      </c>
      <c r="N68" s="54">
        <f>IF($B68="",0,IFERROR(INDEX('Rates &amp; Tables'!$C$61:$G$63,MATCH($I68,'Rates &amp; Tables'!$J$61:$J$63,0),MATCH($H68,'Rates &amp; Tables'!$C$60:$G$60,0)),0))</f>
        <v/>
      </c>
      <c r="O68" s="52">
        <f>IF($B68="",0,$M68*$N68)</f>
        <v/>
      </c>
      <c r="P68" s="49">
        <f>IF($B68="","",$B68&amp;"|"&amp;$G68&amp;"|"&amp;$J68)</f>
        <v/>
      </c>
    </row>
    <row r="69" hidden="1" ht="14.25" customHeight="1">
      <c r="B69" s="51" t="n">
        <v>2</v>
      </c>
      <c r="C69" s="51" t="inlineStr">
        <is>
          <t>POD</t>
        </is>
      </c>
      <c r="D69" s="51" t="n">
        <v>2</v>
      </c>
      <c r="E69" s="51" t="n">
        <v>8</v>
      </c>
      <c r="F69" s="51" t="inlineStr">
        <is>
          <t>Junior .NET Developer — offshore</t>
        </is>
      </c>
      <c r="G69" s="51" t="inlineStr">
        <is>
          <t>DEV</t>
        </is>
      </c>
      <c r="H69" s="51" t="inlineStr">
        <is>
          <t>E2</t>
        </is>
      </c>
      <c r="I69" s="51" t="inlineStr">
        <is>
          <t>OFF</t>
        </is>
      </c>
      <c r="J69" s="51" t="inlineStr">
        <is>
          <t>FTC</t>
        </is>
      </c>
      <c r="K69" s="51" t="n">
        <v>1</v>
      </c>
      <c r="L69" s="52">
        <f>IF($B69="",0,IF($C69="HZ",1,IFERROR(INDEX('Value Streams &amp; Delivery Mode'!$D$17:$M$22,MATCH($D69,'Value Streams &amp; Delivery Mode'!$B$17:$B$22,0),($B69-1)*2+IF($C69="POD",1,2)),0)))</f>
        <v/>
      </c>
      <c r="M69" s="53">
        <f>IF($B69="",0,$K69*$L69)</f>
        <v/>
      </c>
      <c r="N69" s="54">
        <f>IF($B69="",0,IFERROR(INDEX('Rates &amp; Tables'!$C$61:$G$63,MATCH($I69,'Rates &amp; Tables'!$J$61:$J$63,0),MATCH($H69,'Rates &amp; Tables'!$C$60:$G$60,0)),0))</f>
        <v/>
      </c>
      <c r="O69" s="52">
        <f>IF($B69="",0,$M69*$N69)</f>
        <v/>
      </c>
      <c r="P69" s="49">
        <f>IF($B69="","",$B69&amp;"|"&amp;$G69&amp;"|"&amp;$J69)</f>
        <v/>
      </c>
    </row>
    <row r="70" hidden="1" ht="14.25" customHeight="1">
      <c r="B70" s="51" t="n">
        <v>2</v>
      </c>
      <c r="C70" s="51" t="inlineStr">
        <is>
          <t>POD</t>
        </is>
      </c>
      <c r="D70" s="51" t="n">
        <v>2</v>
      </c>
      <c r="E70" s="51" t="n">
        <v>9</v>
      </c>
      <c r="F70" s="51" t="inlineStr">
        <is>
          <t>Quality Engineer (SDET) — offshore</t>
        </is>
      </c>
      <c r="G70" s="51" t="inlineStr">
        <is>
          <t>TEST</t>
        </is>
      </c>
      <c r="H70" s="51" t="inlineStr">
        <is>
          <t>E3</t>
        </is>
      </c>
      <c r="I70" s="51" t="inlineStr">
        <is>
          <t>OFF</t>
        </is>
      </c>
      <c r="J70" s="51" t="inlineStr">
        <is>
          <t>FTC</t>
        </is>
      </c>
      <c r="K70" s="51" t="n">
        <v>1</v>
      </c>
      <c r="L70" s="52">
        <f>IF($B70="",0,IF($C70="HZ",1,IFERROR(INDEX('Value Streams &amp; Delivery Mode'!$D$17:$M$22,MATCH($D70,'Value Streams &amp; Delivery Mode'!$B$17:$B$22,0),($B70-1)*2+IF($C70="POD",1,2)),0)))</f>
        <v/>
      </c>
      <c r="M70" s="53">
        <f>IF($B70="",0,$K70*$L70)</f>
        <v/>
      </c>
      <c r="N70" s="54">
        <f>IF($B70="",0,IFERROR(INDEX('Rates &amp; Tables'!$C$61:$G$63,MATCH($I70,'Rates &amp; Tables'!$J$61:$J$63,0),MATCH($H70,'Rates &amp; Tables'!$C$60:$G$60,0)),0))</f>
        <v/>
      </c>
      <c r="O70" s="52">
        <f>IF($B70="",0,$M70*$N70)</f>
        <v/>
      </c>
      <c r="P70" s="49">
        <f>IF($B70="","",$B70&amp;"|"&amp;$G70&amp;"|"&amp;$J70)</f>
        <v/>
      </c>
    </row>
    <row r="71" hidden="1" ht="14.25" customHeight="1">
      <c r="B71" s="51" t="n">
        <v>2</v>
      </c>
      <c r="C71" s="51" t="inlineStr">
        <is>
          <t>POD</t>
        </is>
      </c>
      <c r="D71" s="51" t="n">
        <v>2</v>
      </c>
      <c r="E71" s="51" t="n">
        <v>10</v>
      </c>
      <c r="F71" s="51" t="inlineStr">
        <is>
          <t>Junior Application Support</t>
        </is>
      </c>
      <c r="G71" s="51" t="inlineStr">
        <is>
          <t>MNT</t>
        </is>
      </c>
      <c r="H71" s="51" t="inlineStr">
        <is>
          <t>E1</t>
        </is>
      </c>
      <c r="I71" s="51" t="inlineStr">
        <is>
          <t>ON</t>
        </is>
      </c>
      <c r="J71" s="51" t="inlineStr">
        <is>
          <t>FTC</t>
        </is>
      </c>
      <c r="K71" s="51" t="n">
        <v>0.5</v>
      </c>
      <c r="L71" s="52">
        <f>IF($B71="",0,IF($C71="HZ",1,IFERROR(INDEX('Value Streams &amp; Delivery Mode'!$D$17:$M$22,MATCH($D71,'Value Streams &amp; Delivery Mode'!$B$17:$B$22,0),($B71-1)*2+IF($C71="POD",1,2)),0)))</f>
        <v/>
      </c>
      <c r="M71" s="53">
        <f>IF($B71="",0,$K71*$L71)</f>
        <v/>
      </c>
      <c r="N71" s="54">
        <f>IF($B71="",0,IFERROR(INDEX('Rates &amp; Tables'!$C$61:$G$63,MATCH($I71,'Rates &amp; Tables'!$J$61:$J$63,0),MATCH($H71,'Rates &amp; Tables'!$C$60:$G$60,0)),0))</f>
        <v/>
      </c>
      <c r="O71" s="52">
        <f>IF($B71="",0,$M71*$N71)</f>
        <v/>
      </c>
      <c r="P71" s="49">
        <f>IF($B71="","",$B71&amp;"|"&amp;$G71&amp;"|"&amp;$J71)</f>
        <v/>
      </c>
    </row>
    <row r="72" hidden="1" ht="14.25" customHeight="1">
      <c r="B72" s="51" t="n">
        <v>2</v>
      </c>
      <c r="C72" s="51" t="inlineStr">
        <is>
          <t>TEAM</t>
        </is>
      </c>
      <c r="D72" s="51" t="n">
        <v>3</v>
      </c>
      <c r="E72" s="51" t="n">
        <v>1</v>
      </c>
      <c r="F72" s="51" t="inlineStr">
        <is>
          <t>MetLife Product Owner</t>
        </is>
      </c>
      <c r="G72" s="51" t="inlineStr">
        <is>
          <t>PM</t>
        </is>
      </c>
      <c r="H72" s="51" t="inlineStr">
        <is>
          <t>E4</t>
        </is>
      </c>
      <c r="I72" s="51" t="inlineStr">
        <is>
          <t>ON</t>
        </is>
      </c>
      <c r="J72" s="51" t="inlineStr">
        <is>
          <t>FTE</t>
        </is>
      </c>
      <c r="K72" s="51" t="n">
        <v>1</v>
      </c>
      <c r="L72" s="52">
        <f>IF($B72="",0,IF($C72="HZ",1,IFERROR(INDEX('Value Streams &amp; Delivery Mode'!$D$17:$M$22,MATCH($D72,'Value Streams &amp; Delivery Mode'!$B$17:$B$22,0),($B72-1)*2+IF($C72="POD",1,2)),0)))</f>
        <v/>
      </c>
      <c r="M72" s="53">
        <f>IF($B72="",0,$K72*$L72)</f>
        <v/>
      </c>
      <c r="N72" s="54">
        <f>IF($B72="",0,IFERROR(INDEX('Rates &amp; Tables'!$C$61:$G$63,MATCH($I72,'Rates &amp; Tables'!$J$61:$J$63,0),MATCH($H72,'Rates &amp; Tables'!$C$60:$G$60,0)),0))</f>
        <v/>
      </c>
      <c r="O72" s="52">
        <f>IF($B72="",0,$M72*$N72)</f>
        <v/>
      </c>
      <c r="P72" s="49">
        <f>IF($B72="","",$B72&amp;"|"&amp;$G72&amp;"|"&amp;$J72)</f>
        <v/>
      </c>
    </row>
    <row r="73" hidden="1" ht="14.25" customHeight="1">
      <c r="B73" s="51" t="n">
        <v>2</v>
      </c>
      <c r="C73" s="51" t="inlineStr">
        <is>
          <t>TEAM</t>
        </is>
      </c>
      <c r="D73" s="51" t="n">
        <v>3</v>
      </c>
      <c r="E73" s="51" t="n">
        <v>2</v>
      </c>
      <c r="F73" s="51" t="inlineStr">
        <is>
          <t>MetLife Corporate SME</t>
        </is>
      </c>
      <c r="G73" s="51" t="inlineStr">
        <is>
          <t>BSA</t>
        </is>
      </c>
      <c r="H73" s="51" t="inlineStr">
        <is>
          <t>E4</t>
        </is>
      </c>
      <c r="I73" s="51" t="inlineStr">
        <is>
          <t>ON</t>
        </is>
      </c>
      <c r="J73" s="51" t="inlineStr">
        <is>
          <t>FTE</t>
        </is>
      </c>
      <c r="K73" s="51" t="n">
        <v>0.5</v>
      </c>
      <c r="L73" s="52">
        <f>IF($B73="",0,IF($C73="HZ",1,IFERROR(INDEX('Value Streams &amp; Delivery Mode'!$D$17:$M$22,MATCH($D73,'Value Streams &amp; Delivery Mode'!$B$17:$B$22,0),($B73-1)*2+IF($C73="POD",1,2)),0)))</f>
        <v/>
      </c>
      <c r="M73" s="53">
        <f>IF($B73="",0,$K73*$L73)</f>
        <v/>
      </c>
      <c r="N73" s="54">
        <f>IF($B73="",0,IFERROR(INDEX('Rates &amp; Tables'!$C$61:$G$63,MATCH($I73,'Rates &amp; Tables'!$J$61:$J$63,0),MATCH($H73,'Rates &amp; Tables'!$C$60:$G$60,0)),0))</f>
        <v/>
      </c>
      <c r="O73" s="52">
        <f>IF($B73="",0,$M73*$N73)</f>
        <v/>
      </c>
      <c r="P73" s="49">
        <f>IF($B73="","",$B73&amp;"|"&amp;$G73&amp;"|"&amp;$J73)</f>
        <v/>
      </c>
    </row>
    <row r="74" hidden="1" ht="14.25" customHeight="1">
      <c r="B74" s="51" t="n">
        <v>2</v>
      </c>
      <c r="C74" s="51" t="inlineStr">
        <is>
          <t>TEAM</t>
        </is>
      </c>
      <c r="D74" s="51" t="n">
        <v>3</v>
      </c>
      <c r="E74" s="51" t="n">
        <v>3</v>
      </c>
      <c r="F74" s="51" t="inlineStr">
        <is>
          <t>MetLife Operations Analyst</t>
        </is>
      </c>
      <c r="G74" s="51" t="inlineStr">
        <is>
          <t>MNT</t>
        </is>
      </c>
      <c r="H74" s="51" t="inlineStr">
        <is>
          <t>E3</t>
        </is>
      </c>
      <c r="I74" s="51" t="inlineStr">
        <is>
          <t>ON</t>
        </is>
      </c>
      <c r="J74" s="51" t="inlineStr">
        <is>
          <t>FTE</t>
        </is>
      </c>
      <c r="K74" s="51" t="n">
        <v>0.5</v>
      </c>
      <c r="L74" s="52">
        <f>IF($B74="",0,IF($C74="HZ",1,IFERROR(INDEX('Value Streams &amp; Delivery Mode'!$D$17:$M$22,MATCH($D74,'Value Streams &amp; Delivery Mode'!$B$17:$B$22,0),($B74-1)*2+IF($C74="POD",1,2)),0)))</f>
        <v/>
      </c>
      <c r="M74" s="53">
        <f>IF($B74="",0,$K74*$L74)</f>
        <v/>
      </c>
      <c r="N74" s="54">
        <f>IF($B74="",0,IFERROR(INDEX('Rates &amp; Tables'!$C$61:$G$63,MATCH($I74,'Rates &amp; Tables'!$J$61:$J$63,0),MATCH($H74,'Rates &amp; Tables'!$C$60:$G$60,0)),0))</f>
        <v/>
      </c>
      <c r="O74" s="52">
        <f>IF($B74="",0,$M74*$N74)</f>
        <v/>
      </c>
      <c r="P74" s="49">
        <f>IF($B74="","",$B74&amp;"|"&amp;$G74&amp;"|"&amp;$J74)</f>
        <v/>
      </c>
    </row>
    <row r="75" hidden="1" ht="14.25" customHeight="1">
      <c r="B75" s="51" t="n">
        <v>2</v>
      </c>
      <c r="C75" s="51" t="inlineStr">
        <is>
          <t>TEAM</t>
        </is>
      </c>
      <c r="D75" s="51" t="n">
        <v>3</v>
      </c>
      <c r="E75" s="51" t="n">
        <v>4</v>
      </c>
      <c r="F75" s="51" t="inlineStr">
        <is>
          <t>Team lead / technical lead</t>
        </is>
      </c>
      <c r="G75" s="51" t="inlineStr">
        <is>
          <t>DEV</t>
        </is>
      </c>
      <c r="H75" s="51" t="inlineStr">
        <is>
          <t>E3</t>
        </is>
      </c>
      <c r="I75" s="51" t="inlineStr">
        <is>
          <t>ON</t>
        </is>
      </c>
      <c r="J75" s="51" t="inlineStr">
        <is>
          <t>FTC</t>
        </is>
      </c>
      <c r="K75" s="51" t="n">
        <v>1</v>
      </c>
      <c r="L75" s="52">
        <f>IF($B75="",0,IF($C75="HZ",1,IFERROR(INDEX('Value Streams &amp; Delivery Mode'!$D$17:$M$22,MATCH($D75,'Value Streams &amp; Delivery Mode'!$B$17:$B$22,0),($B75-1)*2+IF($C75="POD",1,2)),0)))</f>
        <v/>
      </c>
      <c r="M75" s="53">
        <f>IF($B75="",0,$K75*$L75)</f>
        <v/>
      </c>
      <c r="N75" s="54">
        <f>IF($B75="",0,IFERROR(INDEX('Rates &amp; Tables'!$C$61:$G$63,MATCH($I75,'Rates &amp; Tables'!$J$61:$J$63,0),MATCH($H75,'Rates &amp; Tables'!$C$60:$G$60,0)),0))</f>
        <v/>
      </c>
      <c r="O75" s="52">
        <f>IF($B75="",0,$M75*$N75)</f>
        <v/>
      </c>
      <c r="P75" s="49">
        <f>IF($B75="","",$B75&amp;"|"&amp;$G75&amp;"|"&amp;$J75)</f>
        <v/>
      </c>
    </row>
    <row r="76" hidden="1" ht="14.25" customHeight="1">
      <c r="B76" s="51" t="n">
        <v>2</v>
      </c>
      <c r="C76" s="51" t="inlineStr">
        <is>
          <t>TEAM</t>
        </is>
      </c>
      <c r="D76" s="51" t="n">
        <v>3</v>
      </c>
      <c r="E76" s="51" t="n">
        <v>5</v>
      </c>
      <c r="F76" s="51" t="inlineStr">
        <is>
          <t>Business Analyst (bilingual)</t>
        </is>
      </c>
      <c r="G76" s="51" t="inlineStr">
        <is>
          <t>BSA</t>
        </is>
      </c>
      <c r="H76" s="51" t="inlineStr">
        <is>
          <t>E2</t>
        </is>
      </c>
      <c r="I76" s="51" t="inlineStr">
        <is>
          <t>ON</t>
        </is>
      </c>
      <c r="J76" s="51" t="inlineStr">
        <is>
          <t>FTC</t>
        </is>
      </c>
      <c r="K76" s="51" t="n">
        <v>0.5</v>
      </c>
      <c r="L76" s="52">
        <f>IF($B76="",0,IF($C76="HZ",1,IFERROR(INDEX('Value Streams &amp; Delivery Mode'!$D$17:$M$22,MATCH($D76,'Value Streams &amp; Delivery Mode'!$B$17:$B$22,0),($B76-1)*2+IF($C76="POD",1,2)),0)))</f>
        <v/>
      </c>
      <c r="M76" s="53">
        <f>IF($B76="",0,$K76*$L76)</f>
        <v/>
      </c>
      <c r="N76" s="54">
        <f>IF($B76="",0,IFERROR(INDEX('Rates &amp; Tables'!$C$61:$G$63,MATCH($I76,'Rates &amp; Tables'!$J$61:$J$63,0),MATCH($H76,'Rates &amp; Tables'!$C$60:$G$60,0)),0))</f>
        <v/>
      </c>
      <c r="O76" s="52">
        <f>IF($B76="",0,$M76*$N76)</f>
        <v/>
      </c>
      <c r="P76" s="49">
        <f>IF($B76="","",$B76&amp;"|"&amp;$G76&amp;"|"&amp;$J76)</f>
        <v/>
      </c>
    </row>
    <row r="77" hidden="1" ht="14.25" customHeight="1">
      <c r="B77" s="51" t="n">
        <v>2</v>
      </c>
      <c r="C77" s="51" t="inlineStr">
        <is>
          <t>TEAM</t>
        </is>
      </c>
      <c r="D77" s="51" t="n">
        <v>3</v>
      </c>
      <c r="E77" s="51" t="n">
        <v>6</v>
      </c>
      <c r="F77" s="51" t="inlineStr">
        <is>
          <t>Junior Java Developer</t>
        </is>
      </c>
      <c r="G77" s="51" t="inlineStr">
        <is>
          <t>DEV</t>
        </is>
      </c>
      <c r="H77" s="51" t="inlineStr">
        <is>
          <t>E2</t>
        </is>
      </c>
      <c r="I77" s="51" t="inlineStr">
        <is>
          <t>ON</t>
        </is>
      </c>
      <c r="J77" s="51" t="inlineStr">
        <is>
          <t>FTC</t>
        </is>
      </c>
      <c r="K77" s="51" t="n">
        <v>2</v>
      </c>
      <c r="L77" s="52">
        <f>IF($B77="",0,IF($C77="HZ",1,IFERROR(INDEX('Value Streams &amp; Delivery Mode'!$D$17:$M$22,MATCH($D77,'Value Streams &amp; Delivery Mode'!$B$17:$B$22,0),($B77-1)*2+IF($C77="POD",1,2)),0)))</f>
        <v/>
      </c>
      <c r="M77" s="53">
        <f>IF($B77="",0,$K77*$L77)</f>
        <v/>
      </c>
      <c r="N77" s="54">
        <f>IF($B77="",0,IFERROR(INDEX('Rates &amp; Tables'!$C$61:$G$63,MATCH($I77,'Rates &amp; Tables'!$J$61:$J$63,0),MATCH($H77,'Rates &amp; Tables'!$C$60:$G$60,0)),0))</f>
        <v/>
      </c>
      <c r="O77" s="52">
        <f>IF($B77="",0,$M77*$N77)</f>
        <v/>
      </c>
      <c r="P77" s="49">
        <f>IF($B77="","",$B77&amp;"|"&amp;$G77&amp;"|"&amp;$J77)</f>
        <v/>
      </c>
    </row>
    <row r="78" hidden="1" ht="14.25" customHeight="1">
      <c r="B78" s="51" t="n">
        <v>2</v>
      </c>
      <c r="C78" s="51" t="inlineStr">
        <is>
          <t>TEAM</t>
        </is>
      </c>
      <c r="D78" s="51" t="n">
        <v>3</v>
      </c>
      <c r="E78" s="51" t="n">
        <v>7</v>
      </c>
      <c r="F78" s="51" t="inlineStr">
        <is>
          <t>Graduate Java Developer</t>
        </is>
      </c>
      <c r="G78" s="51" t="inlineStr">
        <is>
          <t>DEV</t>
        </is>
      </c>
      <c r="H78" s="51" t="inlineStr">
        <is>
          <t>E1</t>
        </is>
      </c>
      <c r="I78" s="51" t="inlineStr">
        <is>
          <t>ON</t>
        </is>
      </c>
      <c r="J78" s="51" t="inlineStr">
        <is>
          <t>FTC</t>
        </is>
      </c>
      <c r="K78" s="51" t="n">
        <v>1</v>
      </c>
      <c r="L78" s="52">
        <f>IF($B78="",0,IF($C78="HZ",1,IFERROR(INDEX('Value Streams &amp; Delivery Mode'!$D$17:$M$22,MATCH($D78,'Value Streams &amp; Delivery Mode'!$B$17:$B$22,0),($B78-1)*2+IF($C78="POD",1,2)),0)))</f>
        <v/>
      </c>
      <c r="M78" s="53">
        <f>IF($B78="",0,$K78*$L78)</f>
        <v/>
      </c>
      <c r="N78" s="54">
        <f>IF($B78="",0,IFERROR(INDEX('Rates &amp; Tables'!$C$61:$G$63,MATCH($I78,'Rates &amp; Tables'!$J$61:$J$63,0),MATCH($H78,'Rates &amp; Tables'!$C$60:$G$60,0)),0))</f>
        <v/>
      </c>
      <c r="O78" s="52">
        <f>IF($B78="",0,$M78*$N78)</f>
        <v/>
      </c>
      <c r="P78" s="49">
        <f>IF($B78="","",$B78&amp;"|"&amp;$G78&amp;"|"&amp;$J78)</f>
        <v/>
      </c>
    </row>
    <row r="79" hidden="1" ht="14.25" customHeight="1">
      <c r="B79" s="51" t="n">
        <v>2</v>
      </c>
      <c r="C79" s="51" t="inlineStr">
        <is>
          <t>TEAM</t>
        </is>
      </c>
      <c r="D79" s="51" t="n">
        <v>3</v>
      </c>
      <c r="E79" s="51" t="n">
        <v>8</v>
      </c>
      <c r="F79" s="51" t="inlineStr">
        <is>
          <t>Junior Java Developer — offshore</t>
        </is>
      </c>
      <c r="G79" s="51" t="inlineStr">
        <is>
          <t>DEV</t>
        </is>
      </c>
      <c r="H79" s="51" t="inlineStr">
        <is>
          <t>E2</t>
        </is>
      </c>
      <c r="I79" s="51" t="inlineStr">
        <is>
          <t>OFF</t>
        </is>
      </c>
      <c r="J79" s="51" t="inlineStr">
        <is>
          <t>FTC</t>
        </is>
      </c>
      <c r="K79" s="51" t="n">
        <v>1</v>
      </c>
      <c r="L79" s="52">
        <f>IF($B79="",0,IF($C79="HZ",1,IFERROR(INDEX('Value Streams &amp; Delivery Mode'!$D$17:$M$22,MATCH($D79,'Value Streams &amp; Delivery Mode'!$B$17:$B$22,0),($B79-1)*2+IF($C79="POD",1,2)),0)))</f>
        <v/>
      </c>
      <c r="M79" s="53">
        <f>IF($B79="",0,$K79*$L79)</f>
        <v/>
      </c>
      <c r="N79" s="54">
        <f>IF($B79="",0,IFERROR(INDEX('Rates &amp; Tables'!$C$61:$G$63,MATCH($I79,'Rates &amp; Tables'!$J$61:$J$63,0),MATCH($H79,'Rates &amp; Tables'!$C$60:$G$60,0)),0))</f>
        <v/>
      </c>
      <c r="O79" s="52">
        <f>IF($B79="",0,$M79*$N79)</f>
        <v/>
      </c>
      <c r="P79" s="49">
        <f>IF($B79="","",$B79&amp;"|"&amp;$G79&amp;"|"&amp;$J79)</f>
        <v/>
      </c>
    </row>
    <row r="80" hidden="1" ht="14.25" customHeight="1">
      <c r="B80" s="51" t="n">
        <v>2</v>
      </c>
      <c r="C80" s="51" t="inlineStr">
        <is>
          <t>TEAM</t>
        </is>
      </c>
      <c r="D80" s="51" t="n">
        <v>3</v>
      </c>
      <c r="E80" s="51" t="n">
        <v>9</v>
      </c>
      <c r="F80" s="51" t="inlineStr">
        <is>
          <t>Test Engineer</t>
        </is>
      </c>
      <c r="G80" s="51" t="inlineStr">
        <is>
          <t>TEST</t>
        </is>
      </c>
      <c r="H80" s="51" t="inlineStr">
        <is>
          <t>E2</t>
        </is>
      </c>
      <c r="I80" s="51" t="inlineStr">
        <is>
          <t>ON</t>
        </is>
      </c>
      <c r="J80" s="51" t="inlineStr">
        <is>
          <t>FTC</t>
        </is>
      </c>
      <c r="K80" s="51" t="n">
        <v>1</v>
      </c>
      <c r="L80" s="52">
        <f>IF($B80="",0,IF($C80="HZ",1,IFERROR(INDEX('Value Streams &amp; Delivery Mode'!$D$17:$M$22,MATCH($D80,'Value Streams &amp; Delivery Mode'!$B$17:$B$22,0),($B80-1)*2+IF($C80="POD",1,2)),0)))</f>
        <v/>
      </c>
      <c r="M80" s="53">
        <f>IF($B80="",0,$K80*$L80)</f>
        <v/>
      </c>
      <c r="N80" s="54">
        <f>IF($B80="",0,IFERROR(INDEX('Rates &amp; Tables'!$C$61:$G$63,MATCH($I80,'Rates &amp; Tables'!$J$61:$J$63,0),MATCH($H80,'Rates &amp; Tables'!$C$60:$G$60,0)),0))</f>
        <v/>
      </c>
      <c r="O80" s="52">
        <f>IF($B80="",0,$M80*$N80)</f>
        <v/>
      </c>
      <c r="P80" s="49">
        <f>IF($B80="","",$B80&amp;"|"&amp;$G80&amp;"|"&amp;$J80)</f>
        <v/>
      </c>
    </row>
    <row r="81" hidden="1" ht="14.25" customHeight="1">
      <c r="B81" s="51" t="n">
        <v>2</v>
      </c>
      <c r="C81" s="51" t="inlineStr">
        <is>
          <t>TEAM</t>
        </is>
      </c>
      <c r="D81" s="51" t="n">
        <v>3</v>
      </c>
      <c r="E81" s="51" t="n">
        <v>10</v>
      </c>
      <c r="F81" s="51" t="inlineStr">
        <is>
          <t>Junior Test Engineer</t>
        </is>
      </c>
      <c r="G81" s="51" t="inlineStr">
        <is>
          <t>TEST</t>
        </is>
      </c>
      <c r="H81" s="51" t="inlineStr">
        <is>
          <t>E1</t>
        </is>
      </c>
      <c r="I81" s="51" t="inlineStr">
        <is>
          <t>ON</t>
        </is>
      </c>
      <c r="J81" s="51" t="inlineStr">
        <is>
          <t>FTC</t>
        </is>
      </c>
      <c r="K81" s="51" t="n">
        <v>0.5</v>
      </c>
      <c r="L81" s="52">
        <f>IF($B81="",0,IF($C81="HZ",1,IFERROR(INDEX('Value Streams &amp; Delivery Mode'!$D$17:$M$22,MATCH($D81,'Value Streams &amp; Delivery Mode'!$B$17:$B$22,0),($B81-1)*2+IF($C81="POD",1,2)),0)))</f>
        <v/>
      </c>
      <c r="M81" s="53">
        <f>IF($B81="",0,$K81*$L81)</f>
        <v/>
      </c>
      <c r="N81" s="54">
        <f>IF($B81="",0,IFERROR(INDEX('Rates &amp; Tables'!$C$61:$G$63,MATCH($I81,'Rates &amp; Tables'!$J$61:$J$63,0),MATCH($H81,'Rates &amp; Tables'!$C$60:$G$60,0)),0))</f>
        <v/>
      </c>
      <c r="O81" s="52">
        <f>IF($B81="",0,$M81*$N81)</f>
        <v/>
      </c>
      <c r="P81" s="49">
        <f>IF($B81="","",$B81&amp;"|"&amp;$G81&amp;"|"&amp;$J81)</f>
        <v/>
      </c>
    </row>
    <row r="82" hidden="1" ht="14.25" customHeight="1">
      <c r="B82" s="51" t="n">
        <v>2</v>
      </c>
      <c r="C82" s="51" t="inlineStr">
        <is>
          <t>TEAM</t>
        </is>
      </c>
      <c r="D82" s="51" t="n">
        <v>3</v>
      </c>
      <c r="E82" s="51" t="n">
        <v>11</v>
      </c>
      <c r="F82" s="51" t="inlineStr">
        <is>
          <t>Batch Monitoring Engineer</t>
        </is>
      </c>
      <c r="G82" s="51" t="inlineStr">
        <is>
          <t>MNT</t>
        </is>
      </c>
      <c r="H82" s="51" t="inlineStr">
        <is>
          <t>E1</t>
        </is>
      </c>
      <c r="I82" s="51" t="inlineStr">
        <is>
          <t>ON</t>
        </is>
      </c>
      <c r="J82" s="51" t="inlineStr">
        <is>
          <t>FTC</t>
        </is>
      </c>
      <c r="K82" s="51" t="n">
        <v>0.5</v>
      </c>
      <c r="L82" s="52">
        <f>IF($B82="",0,IF($C82="HZ",1,IFERROR(INDEX('Value Streams &amp; Delivery Mode'!$D$17:$M$22,MATCH($D82,'Value Streams &amp; Delivery Mode'!$B$17:$B$22,0),($B82-1)*2+IF($C82="POD",1,2)),0)))</f>
        <v/>
      </c>
      <c r="M82" s="53">
        <f>IF($B82="",0,$K82*$L82)</f>
        <v/>
      </c>
      <c r="N82" s="54">
        <f>IF($B82="",0,IFERROR(INDEX('Rates &amp; Tables'!$C$61:$G$63,MATCH($I82,'Rates &amp; Tables'!$J$61:$J$63,0),MATCH($H82,'Rates &amp; Tables'!$C$60:$G$60,0)),0))</f>
        <v/>
      </c>
      <c r="O82" s="52">
        <f>IF($B82="",0,$M82*$N82)</f>
        <v/>
      </c>
      <c r="P82" s="49">
        <f>IF($B82="","",$B82&amp;"|"&amp;$G82&amp;"|"&amp;$J82)</f>
        <v/>
      </c>
    </row>
    <row r="83" hidden="1" ht="14.25" customHeight="1">
      <c r="B83" s="51" t="n">
        <v>2</v>
      </c>
      <c r="C83" s="51" t="inlineStr">
        <is>
          <t>TEAM</t>
        </is>
      </c>
      <c r="D83" s="51" t="n">
        <v>3</v>
      </c>
      <c r="E83" s="51" t="n">
        <v>12</v>
      </c>
      <c r="F83" s="51" t="inlineStr">
        <is>
          <t>L2/L3 Application Support — Tokyo</t>
        </is>
      </c>
      <c r="G83" s="51" t="inlineStr">
        <is>
          <t>MNT</t>
        </is>
      </c>
      <c r="H83" s="51" t="inlineStr">
        <is>
          <t>E2</t>
        </is>
      </c>
      <c r="I83" s="51" t="inlineStr">
        <is>
          <t>ON</t>
        </is>
      </c>
      <c r="J83" s="51" t="inlineStr">
        <is>
          <t>FTC</t>
        </is>
      </c>
      <c r="K83" s="51" t="n">
        <v>0.5</v>
      </c>
      <c r="L83" s="52">
        <f>IF($B83="",0,IF($C83="HZ",1,IFERROR(INDEX('Value Streams &amp; Delivery Mode'!$D$17:$M$22,MATCH($D83,'Value Streams &amp; Delivery Mode'!$B$17:$B$22,0),($B83-1)*2+IF($C83="POD",1,2)),0)))</f>
        <v/>
      </c>
      <c r="M83" s="53">
        <f>IF($B83="",0,$K83*$L83)</f>
        <v/>
      </c>
      <c r="N83" s="54">
        <f>IF($B83="",0,IFERROR(INDEX('Rates &amp; Tables'!$C$61:$G$63,MATCH($I83,'Rates &amp; Tables'!$J$61:$J$63,0),MATCH($H83,'Rates &amp; Tables'!$C$60:$G$60,0)),0))</f>
        <v/>
      </c>
      <c r="O83" s="52">
        <f>IF($B83="",0,$M83*$N83)</f>
        <v/>
      </c>
      <c r="P83" s="49">
        <f>IF($B83="","",$B83&amp;"|"&amp;$G83&amp;"|"&amp;$J83)</f>
        <v/>
      </c>
    </row>
    <row r="84" hidden="1" ht="14.25" customHeight="1">
      <c r="B84" s="51" t="n">
        <v>2</v>
      </c>
      <c r="C84" s="51" t="inlineStr">
        <is>
          <t>HZ</t>
        </is>
      </c>
      <c r="D84" s="51" t="inlineStr">
        <is>
          <t>H3</t>
        </is>
      </c>
      <c r="E84" s="51" t="n">
        <v>1</v>
      </c>
      <c r="F84" s="51" t="inlineStr">
        <is>
          <t>Domain Service Manager</t>
        </is>
      </c>
      <c r="G84" s="51" t="inlineStr">
        <is>
          <t>PM</t>
        </is>
      </c>
      <c r="H84" s="51" t="inlineStr">
        <is>
          <t>E5</t>
        </is>
      </c>
      <c r="I84" s="51" t="inlineStr">
        <is>
          <t>ON</t>
        </is>
      </c>
      <c r="J84" s="51" t="inlineStr">
        <is>
          <t>FTC</t>
        </is>
      </c>
      <c r="K84" s="51" t="n">
        <v>1</v>
      </c>
      <c r="L84" s="52">
        <f>IF($B84="",0,IF($C84="HZ",1,IFERROR(INDEX('Value Streams &amp; Delivery Mode'!$D$17:$M$22,MATCH($D84,'Value Streams &amp; Delivery Mode'!$B$17:$B$22,0),($B84-1)*2+IF($C84="POD",1,2)),0)))</f>
        <v/>
      </c>
      <c r="M84" s="53">
        <f>IF($B84="",0,$K84*$L84)</f>
        <v/>
      </c>
      <c r="N84" s="54">
        <f>IF($B84="",0,IFERROR(INDEX('Rates &amp; Tables'!$C$61:$G$63,MATCH($I84,'Rates &amp; Tables'!$J$61:$J$63,0),MATCH($H84,'Rates &amp; Tables'!$C$60:$G$60,0)),0))</f>
        <v/>
      </c>
      <c r="O84" s="52">
        <f>IF($B84="",0,$M84*$N84)</f>
        <v/>
      </c>
      <c r="P84" s="49">
        <f>IF($B84="","",$B84&amp;"|"&amp;$G84&amp;"|"&amp;$J84)</f>
        <v/>
      </c>
    </row>
    <row r="85" hidden="1" ht="14.25" customHeight="1">
      <c r="B85" s="51" t="n">
        <v>2</v>
      </c>
      <c r="C85" s="51" t="inlineStr">
        <is>
          <t>HZ</t>
        </is>
      </c>
      <c r="D85" s="51" t="inlineStr">
        <is>
          <t>H3</t>
        </is>
      </c>
      <c r="E85" s="51" t="n">
        <v>2</v>
      </c>
      <c r="F85" s="51" t="inlineStr">
        <is>
          <t>Delivery / Project Manager</t>
        </is>
      </c>
      <c r="G85" s="51" t="inlineStr">
        <is>
          <t>PM</t>
        </is>
      </c>
      <c r="H85" s="51" t="inlineStr">
        <is>
          <t>E3</t>
        </is>
      </c>
      <c r="I85" s="51" t="inlineStr">
        <is>
          <t>ON</t>
        </is>
      </c>
      <c r="J85" s="51" t="inlineStr">
        <is>
          <t>FTC</t>
        </is>
      </c>
      <c r="K85" s="51" t="n">
        <v>0.5</v>
      </c>
      <c r="L85" s="52">
        <f>IF($B85="",0,IF($C85="HZ",1,IFERROR(INDEX('Value Streams &amp; Delivery Mode'!$D$17:$M$22,MATCH($D85,'Value Streams &amp; Delivery Mode'!$B$17:$B$22,0),($B85-1)*2+IF($C85="POD",1,2)),0)))</f>
        <v/>
      </c>
      <c r="M85" s="53">
        <f>IF($B85="",0,$K85*$L85)</f>
        <v/>
      </c>
      <c r="N85" s="54">
        <f>IF($B85="",0,IFERROR(INDEX('Rates &amp; Tables'!$C$61:$G$63,MATCH($I85,'Rates &amp; Tables'!$J$61:$J$63,0),MATCH($H85,'Rates &amp; Tables'!$C$60:$G$60,0)),0))</f>
        <v/>
      </c>
      <c r="O85" s="52">
        <f>IF($B85="",0,$M85*$N85)</f>
        <v/>
      </c>
      <c r="P85" s="49">
        <f>IF($B85="","",$B85&amp;"|"&amp;$G85&amp;"|"&amp;$J85)</f>
        <v/>
      </c>
    </row>
    <row r="86" hidden="1" ht="14.25" customHeight="1">
      <c r="B86" s="51" t="n">
        <v>2</v>
      </c>
      <c r="C86" s="51" t="inlineStr">
        <is>
          <t>HZ</t>
        </is>
      </c>
      <c r="D86" s="51" t="inlineStr">
        <is>
          <t>H3</t>
        </is>
      </c>
      <c r="E86" s="51" t="n">
        <v>3</v>
      </c>
      <c r="F86" s="51" t="inlineStr">
        <is>
          <t>Lead BSA (bilingual)</t>
        </is>
      </c>
      <c r="G86" s="51" t="inlineStr">
        <is>
          <t>BSA</t>
        </is>
      </c>
      <c r="H86" s="51" t="inlineStr">
        <is>
          <t>E4</t>
        </is>
      </c>
      <c r="I86" s="51" t="inlineStr">
        <is>
          <t>ON</t>
        </is>
      </c>
      <c r="J86" s="51" t="inlineStr">
        <is>
          <t>FTC</t>
        </is>
      </c>
      <c r="K86" s="51" t="n">
        <v>1</v>
      </c>
      <c r="L86" s="52">
        <f>IF($B86="",0,IF($C86="HZ",1,IFERROR(INDEX('Value Streams &amp; Delivery Mode'!$D$17:$M$22,MATCH($D86,'Value Streams &amp; Delivery Mode'!$B$17:$B$22,0),($B86-1)*2+IF($C86="POD",1,2)),0)))</f>
        <v/>
      </c>
      <c r="M86" s="53">
        <f>IF($B86="",0,$K86*$L86)</f>
        <v/>
      </c>
      <c r="N86" s="54">
        <f>IF($B86="",0,IFERROR(INDEX('Rates &amp; Tables'!$C$61:$G$63,MATCH($I86,'Rates &amp; Tables'!$J$61:$J$63,0),MATCH($H86,'Rates &amp; Tables'!$C$60:$G$60,0)),0))</f>
        <v/>
      </c>
      <c r="O86" s="52">
        <f>IF($B86="",0,$M86*$N86)</f>
        <v/>
      </c>
      <c r="P86" s="49">
        <f>IF($B86="","",$B86&amp;"|"&amp;$G86&amp;"|"&amp;$J86)</f>
        <v/>
      </c>
    </row>
    <row r="87" hidden="1" ht="14.25" customHeight="1">
      <c r="B87" s="51" t="n">
        <v>2</v>
      </c>
      <c r="C87" s="51" t="inlineStr">
        <is>
          <t>HZ</t>
        </is>
      </c>
      <c r="D87" s="51" t="inlineStr">
        <is>
          <t>H3</t>
        </is>
      </c>
      <c r="E87" s="51" t="n">
        <v>4</v>
      </c>
      <c r="F87" s="51" t="inlineStr">
        <is>
          <t>Solution Architect</t>
        </is>
      </c>
      <c r="G87" s="51" t="inlineStr">
        <is>
          <t>OTH</t>
        </is>
      </c>
      <c r="H87" s="51" t="inlineStr">
        <is>
          <t>E4</t>
        </is>
      </c>
      <c r="I87" s="51" t="inlineStr">
        <is>
          <t>ON</t>
        </is>
      </c>
      <c r="J87" s="51" t="inlineStr">
        <is>
          <t>FTC</t>
        </is>
      </c>
      <c r="K87" s="51" t="n">
        <v>0.5</v>
      </c>
      <c r="L87" s="52">
        <f>IF($B87="",0,IF($C87="HZ",1,IFERROR(INDEX('Value Streams &amp; Delivery Mode'!$D$17:$M$22,MATCH($D87,'Value Streams &amp; Delivery Mode'!$B$17:$B$22,0),($B87-1)*2+IF($C87="POD",1,2)),0)))</f>
        <v/>
      </c>
      <c r="M87" s="53">
        <f>IF($B87="",0,$K87*$L87)</f>
        <v/>
      </c>
      <c r="N87" s="54">
        <f>IF($B87="",0,IFERROR(INDEX('Rates &amp; Tables'!$C$61:$G$63,MATCH($I87,'Rates &amp; Tables'!$J$61:$J$63,0),MATCH($H87,'Rates &amp; Tables'!$C$60:$G$60,0)),0))</f>
        <v/>
      </c>
      <c r="O87" s="52">
        <f>IF($B87="",0,$M87*$N87)</f>
        <v/>
      </c>
      <c r="P87" s="49">
        <f>IF($B87="","",$B87&amp;"|"&amp;$G87&amp;"|"&amp;$J87)</f>
        <v/>
      </c>
    </row>
    <row r="88" hidden="1" ht="14.25" customHeight="1">
      <c r="B88" s="51" t="n">
        <v>2</v>
      </c>
      <c r="C88" s="51" t="inlineStr">
        <is>
          <t>HZ</t>
        </is>
      </c>
      <c r="D88" s="51" t="inlineStr">
        <is>
          <t>H3</t>
        </is>
      </c>
      <c r="E88" s="51" t="n">
        <v>5</v>
      </c>
      <c r="F88" s="51" t="inlineStr">
        <is>
          <t>Release / DevOps engineer</t>
        </is>
      </c>
      <c r="G88" s="51" t="inlineStr">
        <is>
          <t>OTH</t>
        </is>
      </c>
      <c r="H88" s="51" t="inlineStr">
        <is>
          <t>E2</t>
        </is>
      </c>
      <c r="I88" s="51" t="inlineStr">
        <is>
          <t>ON</t>
        </is>
      </c>
      <c r="J88" s="51" t="inlineStr">
        <is>
          <t>FTC</t>
        </is>
      </c>
      <c r="K88" s="51" t="n">
        <v>1</v>
      </c>
      <c r="L88" s="52">
        <f>IF($B88="",0,IF($C88="HZ",1,IFERROR(INDEX('Value Streams &amp; Delivery Mode'!$D$17:$M$22,MATCH($D88,'Value Streams &amp; Delivery Mode'!$B$17:$B$22,0),($B88-1)*2+IF($C88="POD",1,2)),0)))</f>
        <v/>
      </c>
      <c r="M88" s="53">
        <f>IF($B88="",0,$K88*$L88)</f>
        <v/>
      </c>
      <c r="N88" s="54">
        <f>IF($B88="",0,IFERROR(INDEX('Rates &amp; Tables'!$C$61:$G$63,MATCH($I88,'Rates &amp; Tables'!$J$61:$J$63,0),MATCH($H88,'Rates &amp; Tables'!$C$60:$G$60,0)),0))</f>
        <v/>
      </c>
      <c r="O88" s="52">
        <f>IF($B88="",0,$M88*$N88)</f>
        <v/>
      </c>
      <c r="P88" s="49">
        <f>IF($B88="","",$B88&amp;"|"&amp;$G88&amp;"|"&amp;$J88)</f>
        <v/>
      </c>
    </row>
    <row r="89" hidden="1" ht="14.25" customHeight="1">
      <c r="B89" s="51" t="n">
        <v>2</v>
      </c>
      <c r="C89" s="51" t="inlineStr">
        <is>
          <t>HZ</t>
        </is>
      </c>
      <c r="D89" s="51" t="inlineStr">
        <is>
          <t>H3</t>
        </is>
      </c>
      <c r="E89" s="51" t="n">
        <v>6</v>
      </c>
      <c r="F89" s="51" t="inlineStr">
        <is>
          <t>MetLife Regulatory Liaison</t>
        </is>
      </c>
      <c r="G89" s="51" t="inlineStr">
        <is>
          <t>BSA</t>
        </is>
      </c>
      <c r="H89" s="51" t="inlineStr">
        <is>
          <t>E4</t>
        </is>
      </c>
      <c r="I89" s="51" t="inlineStr">
        <is>
          <t>ON</t>
        </is>
      </c>
      <c r="J89" s="51" t="inlineStr">
        <is>
          <t>FTE</t>
        </is>
      </c>
      <c r="K89" s="51" t="n">
        <v>1</v>
      </c>
      <c r="L89" s="52">
        <f>IF($B89="",0,IF($C89="HZ",1,IFERROR(INDEX('Value Streams &amp; Delivery Mode'!$D$17:$M$22,MATCH($D89,'Value Streams &amp; Delivery Mode'!$B$17:$B$22,0),($B89-1)*2+IF($C89="POD",1,2)),0)))</f>
        <v/>
      </c>
      <c r="M89" s="53">
        <f>IF($B89="",0,$K89*$L89)</f>
        <v/>
      </c>
      <c r="N89" s="54">
        <f>IF($B89="",0,IFERROR(INDEX('Rates &amp; Tables'!$C$61:$G$63,MATCH($I89,'Rates &amp; Tables'!$J$61:$J$63,0),MATCH($H89,'Rates &amp; Tables'!$C$60:$G$60,0)),0))</f>
        <v/>
      </c>
      <c r="O89" s="52">
        <f>IF($B89="",0,$M89*$N89)</f>
        <v/>
      </c>
      <c r="P89" s="49">
        <f>IF($B89="","",$B89&amp;"|"&amp;$G89&amp;"|"&amp;$J89)</f>
        <v/>
      </c>
    </row>
    <row r="90" hidden="1" ht="14.25" customHeight="1">
      <c r="B90" s="51" t="n">
        <v>2</v>
      </c>
      <c r="C90" s="51" t="inlineStr">
        <is>
          <t>HZ</t>
        </is>
      </c>
      <c r="D90" s="51" t="inlineStr">
        <is>
          <t>H3</t>
        </is>
      </c>
      <c r="E90" s="51" t="n">
        <v>7</v>
      </c>
      <c r="F90" s="51" t="inlineStr">
        <is>
          <t>MetLife Domain Architect</t>
        </is>
      </c>
      <c r="G90" s="51" t="inlineStr">
        <is>
          <t>OTH</t>
        </is>
      </c>
      <c r="H90" s="51" t="inlineStr">
        <is>
          <t>E4</t>
        </is>
      </c>
      <c r="I90" s="51" t="inlineStr">
        <is>
          <t>ON</t>
        </is>
      </c>
      <c r="J90" s="51" t="inlineStr">
        <is>
          <t>FTE</t>
        </is>
      </c>
      <c r="K90" s="51" t="n">
        <v>1</v>
      </c>
      <c r="L90" s="52">
        <f>IF($B90="",0,IF($C90="HZ",1,IFERROR(INDEX('Value Streams &amp; Delivery Mode'!$D$17:$M$22,MATCH($D90,'Value Streams &amp; Delivery Mode'!$B$17:$B$22,0),($B90-1)*2+IF($C90="POD",1,2)),0)))</f>
        <v/>
      </c>
      <c r="M90" s="53">
        <f>IF($B90="",0,$K90*$L90)</f>
        <v/>
      </c>
      <c r="N90" s="54">
        <f>IF($B90="",0,IFERROR(INDEX('Rates &amp; Tables'!$C$61:$G$63,MATCH($I90,'Rates &amp; Tables'!$J$61:$J$63,0),MATCH($H90,'Rates &amp; Tables'!$C$60:$G$60,0)),0))</f>
        <v/>
      </c>
      <c r="O90" s="52">
        <f>IF($B90="",0,$M90*$N90)</f>
        <v/>
      </c>
      <c r="P90" s="49">
        <f>IF($B90="","",$B90&amp;"|"&amp;$G90&amp;"|"&amp;$J90)</f>
        <v/>
      </c>
    </row>
    <row r="91" hidden="1" ht="14.25" customHeight="1">
      <c r="B91" s="51" t="n">
        <v>2</v>
      </c>
      <c r="C91" s="51" t="inlineStr">
        <is>
          <t>HZ</t>
        </is>
      </c>
      <c r="D91" s="51" t="inlineStr">
        <is>
          <t>H1</t>
        </is>
      </c>
      <c r="E91" s="51" t="n">
        <v>8</v>
      </c>
      <c r="F91" s="51" t="inlineStr">
        <is>
          <t>AMS Team Lead</t>
        </is>
      </c>
      <c r="G91" s="51" t="inlineStr">
        <is>
          <t>MNT</t>
        </is>
      </c>
      <c r="H91" s="51" t="inlineStr">
        <is>
          <t>E3</t>
        </is>
      </c>
      <c r="I91" s="51" t="inlineStr">
        <is>
          <t>ON</t>
        </is>
      </c>
      <c r="J91" s="51" t="inlineStr">
        <is>
          <t>FTC</t>
        </is>
      </c>
      <c r="K91" s="51" t="n">
        <v>1</v>
      </c>
      <c r="L91" s="52">
        <f>IF($B91="",0,IF($C91="HZ",1,IFERROR(INDEX('Value Streams &amp; Delivery Mode'!$D$17:$M$22,MATCH($D91,'Value Streams &amp; Delivery Mode'!$B$17:$B$22,0),($B91-1)*2+IF($C91="POD",1,2)),0)))</f>
        <v/>
      </c>
      <c r="M91" s="53">
        <f>IF($B91="",0,$K91*$L91)</f>
        <v/>
      </c>
      <c r="N91" s="54">
        <f>IF($B91="",0,IFERROR(INDEX('Rates &amp; Tables'!$C$61:$G$63,MATCH($I91,'Rates &amp; Tables'!$J$61:$J$63,0),MATCH($H91,'Rates &amp; Tables'!$C$60:$G$60,0)),0))</f>
        <v/>
      </c>
      <c r="O91" s="52">
        <f>IF($B91="",0,$M91*$N91)</f>
        <v/>
      </c>
      <c r="P91" s="49">
        <f>IF($B91="","",$B91&amp;"|"&amp;$G91&amp;"|"&amp;$J91)</f>
        <v/>
      </c>
    </row>
    <row r="92" hidden="1" ht="14.25" customHeight="1">
      <c r="B92" s="51" t="n">
        <v>2</v>
      </c>
      <c r="C92" s="51" t="inlineStr">
        <is>
          <t>HZ</t>
        </is>
      </c>
      <c r="D92" s="51" t="inlineStr">
        <is>
          <t>H1</t>
        </is>
      </c>
      <c r="E92" s="51" t="n">
        <v>9</v>
      </c>
      <c r="F92" s="51" t="inlineStr">
        <is>
          <t>SaaS Administrator</t>
        </is>
      </c>
      <c r="G92" s="51" t="inlineStr">
        <is>
          <t>MNT</t>
        </is>
      </c>
      <c r="H92" s="51" t="inlineStr">
        <is>
          <t>E2</t>
        </is>
      </c>
      <c r="I92" s="51" t="inlineStr">
        <is>
          <t>ON</t>
        </is>
      </c>
      <c r="J92" s="51" t="inlineStr">
        <is>
          <t>FTC</t>
        </is>
      </c>
      <c r="K92" s="51" t="n">
        <v>0.5</v>
      </c>
      <c r="L92" s="52">
        <f>IF($B92="",0,IF($C92="HZ",1,IFERROR(INDEX('Value Streams &amp; Delivery Mode'!$D$17:$M$22,MATCH($D92,'Value Streams &amp; Delivery Mode'!$B$17:$B$22,0),($B92-1)*2+IF($C92="POD",1,2)),0)))</f>
        <v/>
      </c>
      <c r="M92" s="53">
        <f>IF($B92="",0,$K92*$L92)</f>
        <v/>
      </c>
      <c r="N92" s="54">
        <f>IF($B92="",0,IFERROR(INDEX('Rates &amp; Tables'!$C$61:$G$63,MATCH($I92,'Rates &amp; Tables'!$J$61:$J$63,0),MATCH($H92,'Rates &amp; Tables'!$C$60:$G$60,0)),0))</f>
        <v/>
      </c>
      <c r="O92" s="52">
        <f>IF($B92="",0,$M92*$N92)</f>
        <v/>
      </c>
      <c r="P92" s="49">
        <f>IF($B92="","",$B92&amp;"|"&amp;$G92&amp;"|"&amp;$J92)</f>
        <v/>
      </c>
    </row>
    <row r="93" hidden="1" ht="14.25" customHeight="1">
      <c r="B93" s="51" t="n">
        <v>2</v>
      </c>
      <c r="C93" s="51" t="inlineStr">
        <is>
          <t>HZ</t>
        </is>
      </c>
      <c r="D93" s="51" t="inlineStr">
        <is>
          <t>H1</t>
        </is>
      </c>
      <c r="E93" s="51" t="n">
        <v>10</v>
      </c>
      <c r="F93" s="51" t="inlineStr">
        <is>
          <t>Junior Application Support — offshore</t>
        </is>
      </c>
      <c r="G93" s="51" t="inlineStr">
        <is>
          <t>MNT</t>
        </is>
      </c>
      <c r="H93" s="51" t="inlineStr">
        <is>
          <t>E1</t>
        </is>
      </c>
      <c r="I93" s="51" t="inlineStr">
        <is>
          <t>OFF</t>
        </is>
      </c>
      <c r="J93" s="51" t="inlineStr">
        <is>
          <t>FTC</t>
        </is>
      </c>
      <c r="K93" s="51" t="n">
        <v>0.5</v>
      </c>
      <c r="L93" s="52">
        <f>IF($B93="",0,IF($C93="HZ",1,IFERROR(INDEX('Value Streams &amp; Delivery Mode'!$D$17:$M$22,MATCH($D93,'Value Streams &amp; Delivery Mode'!$B$17:$B$22,0),($B93-1)*2+IF($C93="POD",1,2)),0)))</f>
        <v/>
      </c>
      <c r="M93" s="53">
        <f>IF($B93="",0,$K93*$L93)</f>
        <v/>
      </c>
      <c r="N93" s="54">
        <f>IF($B93="",0,IFERROR(INDEX('Rates &amp; Tables'!$C$61:$G$63,MATCH($I93,'Rates &amp; Tables'!$J$61:$J$63,0),MATCH($H93,'Rates &amp; Tables'!$C$60:$G$60,0)),0))</f>
        <v/>
      </c>
      <c r="O93" s="52">
        <f>IF($B93="",0,$M93*$N93)</f>
        <v/>
      </c>
      <c r="P93" s="49">
        <f>IF($B93="","",$B93&amp;"|"&amp;$G93&amp;"|"&amp;$J93)</f>
        <v/>
      </c>
    </row>
    <row r="94" hidden="1" ht="14.25" customHeight="1">
      <c r="B94" s="51" t="n">
        <v>2</v>
      </c>
      <c r="C94" s="51" t="inlineStr">
        <is>
          <t>HZ</t>
        </is>
      </c>
      <c r="D94" s="51" t="inlineStr">
        <is>
          <t>H1</t>
        </is>
      </c>
      <c r="E94" s="51" t="n">
        <v>11</v>
      </c>
      <c r="F94" s="51" t="inlineStr">
        <is>
          <t>MetLife Operations Analyst</t>
        </is>
      </c>
      <c r="G94" s="51" t="inlineStr">
        <is>
          <t>MNT</t>
        </is>
      </c>
      <c r="H94" s="51" t="inlineStr">
        <is>
          <t>E3</t>
        </is>
      </c>
      <c r="I94" s="51" t="inlineStr">
        <is>
          <t>ON</t>
        </is>
      </c>
      <c r="J94" s="51" t="inlineStr">
        <is>
          <t>FTE</t>
        </is>
      </c>
      <c r="K94" s="51" t="n">
        <v>2</v>
      </c>
      <c r="L94" s="52">
        <f>IF($B94="",0,IF($C94="HZ",1,IFERROR(INDEX('Value Streams &amp; Delivery Mode'!$D$17:$M$22,MATCH($D94,'Value Streams &amp; Delivery Mode'!$B$17:$B$22,0),($B94-1)*2+IF($C94="POD",1,2)),0)))</f>
        <v/>
      </c>
      <c r="M94" s="53">
        <f>IF($B94="",0,$K94*$L94)</f>
        <v/>
      </c>
      <c r="N94" s="54">
        <f>IF($B94="",0,IFERROR(INDEX('Rates &amp; Tables'!$C$61:$G$63,MATCH($I94,'Rates &amp; Tables'!$J$61:$J$63,0),MATCH($H94,'Rates &amp; Tables'!$C$60:$G$60,0)),0))</f>
        <v/>
      </c>
      <c r="O94" s="52">
        <f>IF($B94="",0,$M94*$N94)</f>
        <v/>
      </c>
      <c r="P94" s="49">
        <f>IF($B94="","",$B94&amp;"|"&amp;$G94&amp;"|"&amp;$J94)</f>
        <v/>
      </c>
    </row>
    <row r="95" hidden="1" ht="14.25" customHeight="1">
      <c r="B95" s="51" t="n">
        <v>2</v>
      </c>
      <c r="C95" s="51" t="inlineStr">
        <is>
          <t>HZ</t>
        </is>
      </c>
      <c r="D95" s="51" t="inlineStr">
        <is>
          <t>H1</t>
        </is>
      </c>
      <c r="E95" s="51" t="n">
        <v>12</v>
      </c>
      <c r="F95" s="51" t="inlineStr">
        <is>
          <t>MGCC Application Support</t>
        </is>
      </c>
      <c r="G95" s="51" t="inlineStr">
        <is>
          <t>MNT</t>
        </is>
      </c>
      <c r="H95" s="51" t="inlineStr">
        <is>
          <t>E2</t>
        </is>
      </c>
      <c r="I95" s="51" t="inlineStr">
        <is>
          <t>OFF</t>
        </is>
      </c>
      <c r="J95" s="51" t="inlineStr">
        <is>
          <t>MGCC</t>
        </is>
      </c>
      <c r="K95" s="51" t="n">
        <v>0.5</v>
      </c>
      <c r="L95" s="52">
        <f>IF($B95="",0,IF($C95="HZ",1,IFERROR(INDEX('Value Streams &amp; Delivery Mode'!$D$17:$M$22,MATCH($D95,'Value Streams &amp; Delivery Mode'!$B$17:$B$22,0),($B95-1)*2+IF($C95="POD",1,2)),0)))</f>
        <v/>
      </c>
      <c r="M95" s="53">
        <f>IF($B95="",0,$K95*$L95)</f>
        <v/>
      </c>
      <c r="N95" s="54">
        <f>IF($B95="",0,IFERROR(INDEX('Rates &amp; Tables'!$C$61:$G$63,MATCH($I95,'Rates &amp; Tables'!$J$61:$J$63,0),MATCH($H95,'Rates &amp; Tables'!$C$60:$G$60,0)),0))</f>
        <v/>
      </c>
      <c r="O95" s="52">
        <f>IF($B95="",0,$M95*$N95)</f>
        <v/>
      </c>
      <c r="P95" s="49">
        <f>IF($B95="","",$B95&amp;"|"&amp;$G95&amp;"|"&amp;$J95)</f>
        <v/>
      </c>
    </row>
    <row r="96" hidden="1" ht="14.25" customHeight="1">
      <c r="B96" s="51" t="n">
        <v>2</v>
      </c>
      <c r="C96" s="51" t="inlineStr">
        <is>
          <t>HZ</t>
        </is>
      </c>
      <c r="D96" s="51" t="inlineStr">
        <is>
          <t>H2</t>
        </is>
      </c>
      <c r="E96" s="51" t="n">
        <v>13</v>
      </c>
      <c r="F96" s="51" t="inlineStr">
        <is>
          <t>Test Lead / QA Manager</t>
        </is>
      </c>
      <c r="G96" s="51" t="inlineStr">
        <is>
          <t>TEST</t>
        </is>
      </c>
      <c r="H96" s="51" t="inlineStr">
        <is>
          <t>E3</t>
        </is>
      </c>
      <c r="I96" s="51" t="inlineStr">
        <is>
          <t>ON</t>
        </is>
      </c>
      <c r="J96" s="51" t="inlineStr">
        <is>
          <t>FTC</t>
        </is>
      </c>
      <c r="K96" s="51" t="n">
        <v>0.5</v>
      </c>
      <c r="L96" s="52">
        <f>IF($B96="",0,IF($C96="HZ",1,IFERROR(INDEX('Value Streams &amp; Delivery Mode'!$D$17:$M$22,MATCH($D96,'Value Streams &amp; Delivery Mode'!$B$17:$B$22,0),($B96-1)*2+IF($C96="POD",1,2)),0)))</f>
        <v/>
      </c>
      <c r="M96" s="53">
        <f>IF($B96="",0,$K96*$L96)</f>
        <v/>
      </c>
      <c r="N96" s="54">
        <f>IF($B96="",0,IFERROR(INDEX('Rates &amp; Tables'!$C$61:$G$63,MATCH($I96,'Rates &amp; Tables'!$J$61:$J$63,0),MATCH($H96,'Rates &amp; Tables'!$C$60:$G$60,0)),0))</f>
        <v/>
      </c>
      <c r="O96" s="52">
        <f>IF($B96="",0,$M96*$N96)</f>
        <v/>
      </c>
      <c r="P96" s="49">
        <f>IF($B96="","",$B96&amp;"|"&amp;$G96&amp;"|"&amp;$J96)</f>
        <v/>
      </c>
    </row>
    <row r="97" hidden="1" ht="14.25" customHeight="1">
      <c r="B97" s="51" t="n">
        <v>2</v>
      </c>
      <c r="C97" s="51" t="inlineStr">
        <is>
          <t>HZ</t>
        </is>
      </c>
      <c r="D97" s="51" t="inlineStr">
        <is>
          <t>H2</t>
        </is>
      </c>
      <c r="E97" s="51" t="n">
        <v>14</v>
      </c>
      <c r="F97" s="51" t="inlineStr">
        <is>
          <t>MetLife Quality Lead</t>
        </is>
      </c>
      <c r="G97" s="51" t="inlineStr">
        <is>
          <t>TEST</t>
        </is>
      </c>
      <c r="H97" s="51" t="inlineStr">
        <is>
          <t>E3</t>
        </is>
      </c>
      <c r="I97" s="51" t="inlineStr">
        <is>
          <t>ON</t>
        </is>
      </c>
      <c r="J97" s="51" t="inlineStr">
        <is>
          <t>FTE</t>
        </is>
      </c>
      <c r="K97" s="51" t="n">
        <v>1.5</v>
      </c>
      <c r="L97" s="52">
        <f>IF($B97="",0,IF($C97="HZ",1,IFERROR(INDEX('Value Streams &amp; Delivery Mode'!$D$17:$M$22,MATCH($D97,'Value Streams &amp; Delivery Mode'!$B$17:$B$22,0),($B97-1)*2+IF($C97="POD",1,2)),0)))</f>
        <v/>
      </c>
      <c r="M97" s="53">
        <f>IF($B97="",0,$K97*$L97)</f>
        <v/>
      </c>
      <c r="N97" s="54">
        <f>IF($B97="",0,IFERROR(INDEX('Rates &amp; Tables'!$C$61:$G$63,MATCH($I97,'Rates &amp; Tables'!$J$61:$J$63,0),MATCH($H97,'Rates &amp; Tables'!$C$60:$G$60,0)),0))</f>
        <v/>
      </c>
      <c r="O97" s="52">
        <f>IF($B97="",0,$M97*$N97)</f>
        <v/>
      </c>
      <c r="P97" s="49">
        <f>IF($B97="","",$B97&amp;"|"&amp;$G97&amp;"|"&amp;$J97)</f>
        <v/>
      </c>
    </row>
    <row r="98" hidden="1" ht="14.25" customHeight="1">
      <c r="B98" s="51" t="n">
        <v>2</v>
      </c>
      <c r="C98" s="51" t="inlineStr">
        <is>
          <t>HZ</t>
        </is>
      </c>
      <c r="D98" s="51" t="inlineStr">
        <is>
          <t>H2</t>
        </is>
      </c>
      <c r="E98" s="51" t="n">
        <v>15</v>
      </c>
      <c r="F98" s="51" t="inlineStr">
        <is>
          <t>MGCC Test Engineer</t>
        </is>
      </c>
      <c r="G98" s="51" t="inlineStr">
        <is>
          <t>TEST</t>
        </is>
      </c>
      <c r="H98" s="51" t="inlineStr">
        <is>
          <t>E2</t>
        </is>
      </c>
      <c r="I98" s="51" t="inlineStr">
        <is>
          <t>OFF</t>
        </is>
      </c>
      <c r="J98" s="51" t="inlineStr">
        <is>
          <t>MGCC</t>
        </is>
      </c>
      <c r="K98" s="51" t="n">
        <v>0.5</v>
      </c>
      <c r="L98" s="52">
        <f>IF($B98="",0,IF($C98="HZ",1,IFERROR(INDEX('Value Streams &amp; Delivery Mode'!$D$17:$M$22,MATCH($D98,'Value Streams &amp; Delivery Mode'!$B$17:$B$22,0),($B98-1)*2+IF($C98="POD",1,2)),0)))</f>
        <v/>
      </c>
      <c r="M98" s="53">
        <f>IF($B98="",0,$K98*$L98)</f>
        <v/>
      </c>
      <c r="N98" s="54">
        <f>IF($B98="",0,IFERROR(INDEX('Rates &amp; Tables'!$C$61:$G$63,MATCH($I98,'Rates &amp; Tables'!$J$61:$J$63,0),MATCH($H98,'Rates &amp; Tables'!$C$60:$G$60,0)),0))</f>
        <v/>
      </c>
      <c r="O98" s="52">
        <f>IF($B98="",0,$M98*$N98)</f>
        <v/>
      </c>
      <c r="P98" s="49">
        <f>IF($B98="","",$B98&amp;"|"&amp;$G98&amp;"|"&amp;$J98)</f>
        <v/>
      </c>
    </row>
    <row r="99" hidden="1" ht="14.25" customHeight="1">
      <c r="B99" s="51" t="n">
        <v>3</v>
      </c>
      <c r="C99" s="51" t="inlineStr">
        <is>
          <t>POD</t>
        </is>
      </c>
      <c r="D99" s="51" t="n">
        <v>1</v>
      </c>
      <c r="E99" s="51" t="n">
        <v>1</v>
      </c>
      <c r="F99" s="51" t="inlineStr">
        <is>
          <t>MetLife Product Owner</t>
        </is>
      </c>
      <c r="G99" s="51" t="inlineStr">
        <is>
          <t>PM</t>
        </is>
      </c>
      <c r="H99" s="51" t="inlineStr">
        <is>
          <t>E4</t>
        </is>
      </c>
      <c r="I99" s="51" t="inlineStr">
        <is>
          <t>ON</t>
        </is>
      </c>
      <c r="J99" s="51" t="inlineStr">
        <is>
          <t>FTE</t>
        </is>
      </c>
      <c r="K99" s="51" t="n">
        <v>1</v>
      </c>
      <c r="L99" s="52">
        <f>IF($B99="",0,IF($C99="HZ",1,IFERROR(INDEX('Value Streams &amp; Delivery Mode'!$D$17:$M$22,MATCH($D99,'Value Streams &amp; Delivery Mode'!$B$17:$B$22,0),($B99-1)*2+IF($C99="POD",1,2)),0)))</f>
        <v/>
      </c>
      <c r="M99" s="53">
        <f>IF($B99="",0,$K99*$L99)</f>
        <v/>
      </c>
      <c r="N99" s="54">
        <f>IF($B99="",0,IFERROR(INDEX('Rates &amp; Tables'!$C$61:$G$63,MATCH($I99,'Rates &amp; Tables'!$J$61:$J$63,0),MATCH($H99,'Rates &amp; Tables'!$C$60:$G$60,0)),0))</f>
        <v/>
      </c>
      <c r="O99" s="52">
        <f>IF($B99="",0,$M99*$N99)</f>
        <v/>
      </c>
      <c r="P99" s="49">
        <f>IF($B99="","",$B99&amp;"|"&amp;$G99&amp;"|"&amp;$J99)</f>
        <v/>
      </c>
    </row>
    <row r="100" hidden="1" ht="14.25" customHeight="1">
      <c r="B100" s="51" t="n">
        <v>3</v>
      </c>
      <c r="C100" s="51" t="inlineStr">
        <is>
          <t>POD</t>
        </is>
      </c>
      <c r="D100" s="51" t="n">
        <v>1</v>
      </c>
      <c r="E100" s="51" t="n">
        <v>2</v>
      </c>
      <c r="F100" s="51" t="inlineStr">
        <is>
          <t>MetLife Group Policy SME</t>
        </is>
      </c>
      <c r="G100" s="51" t="inlineStr">
        <is>
          <t>BSA</t>
        </is>
      </c>
      <c r="H100" s="51" t="inlineStr">
        <is>
          <t>E4</t>
        </is>
      </c>
      <c r="I100" s="51" t="inlineStr">
        <is>
          <t>ON</t>
        </is>
      </c>
      <c r="J100" s="51" t="inlineStr">
        <is>
          <t>FTE</t>
        </is>
      </c>
      <c r="K100" s="51" t="n">
        <v>0.5</v>
      </c>
      <c r="L100" s="52">
        <f>IF($B100="",0,IF($C100="HZ",1,IFERROR(INDEX('Value Streams &amp; Delivery Mode'!$D$17:$M$22,MATCH($D100,'Value Streams &amp; Delivery Mode'!$B$17:$B$22,0),($B100-1)*2+IF($C100="POD",1,2)),0)))</f>
        <v/>
      </c>
      <c r="M100" s="53">
        <f>IF($B100="",0,$K100*$L100)</f>
        <v/>
      </c>
      <c r="N100" s="54">
        <f>IF($B100="",0,IFERROR(INDEX('Rates &amp; Tables'!$C$61:$G$63,MATCH($I100,'Rates &amp; Tables'!$J$61:$J$63,0),MATCH($H100,'Rates &amp; Tables'!$C$60:$G$60,0)),0))</f>
        <v/>
      </c>
      <c r="O100" s="52">
        <f>IF($B100="",0,$M100*$N100)</f>
        <v/>
      </c>
      <c r="P100" s="49">
        <f>IF($B100="","",$B100&amp;"|"&amp;$G100&amp;"|"&amp;$J100)</f>
        <v/>
      </c>
    </row>
    <row r="101" hidden="1" ht="14.25" customHeight="1">
      <c r="B101" s="51" t="n">
        <v>3</v>
      </c>
      <c r="C101" s="51" t="inlineStr">
        <is>
          <t>POD</t>
        </is>
      </c>
      <c r="D101" s="51" t="n">
        <v>1</v>
      </c>
      <c r="E101" s="51" t="n">
        <v>3</v>
      </c>
      <c r="F101" s="51" t="inlineStr">
        <is>
          <t>FSI Senior Developer (JP)</t>
        </is>
      </c>
      <c r="G101" s="51" t="inlineStr">
        <is>
          <t>DEV</t>
        </is>
      </c>
      <c r="H101" s="51" t="inlineStr">
        <is>
          <t>E3</t>
        </is>
      </c>
      <c r="I101" s="51" t="inlineStr">
        <is>
          <t>ON</t>
        </is>
      </c>
      <c r="J101" s="51" t="inlineStr">
        <is>
          <t>PT</t>
        </is>
      </c>
      <c r="K101" s="51" t="n">
        <v>2</v>
      </c>
      <c r="L101" s="52">
        <f>IF($B101="",0,IF($C101="HZ",1,IFERROR(INDEX('Value Streams &amp; Delivery Mode'!$D$17:$M$22,MATCH($D101,'Value Streams &amp; Delivery Mode'!$B$17:$B$22,0),($B101-1)*2+IF($C101="POD",1,2)),0)))</f>
        <v/>
      </c>
      <c r="M101" s="53">
        <f>IF($B101="",0,$K101*$L101)</f>
        <v/>
      </c>
      <c r="N101" s="54">
        <f>IF($B101="",0,IFERROR(INDEX('Rates &amp; Tables'!$C$61:$G$63,MATCH($I101,'Rates &amp; Tables'!$J$61:$J$63,0),MATCH($H101,'Rates &amp; Tables'!$C$60:$G$60,0)),0))</f>
        <v/>
      </c>
      <c r="O101" s="52">
        <f>IF($B101="",0,$M101*$N101)</f>
        <v/>
      </c>
      <c r="P101" s="49">
        <f>IF($B101="","",$B101&amp;"|"&amp;$G101&amp;"|"&amp;$J101)</f>
        <v/>
      </c>
    </row>
    <row r="102" hidden="1" ht="14.25" customHeight="1">
      <c r="B102" s="51" t="n">
        <v>3</v>
      </c>
      <c r="C102" s="51" t="inlineStr">
        <is>
          <t>POD</t>
        </is>
      </c>
      <c r="D102" s="51" t="n">
        <v>1</v>
      </c>
      <c r="E102" s="51" t="n">
        <v>4</v>
      </c>
      <c r="F102" s="51" t="inlineStr">
        <is>
          <t>FSI Application Support</t>
        </is>
      </c>
      <c r="G102" s="51" t="inlineStr">
        <is>
          <t>MNT</t>
        </is>
      </c>
      <c r="H102" s="51" t="inlineStr">
        <is>
          <t>E2</t>
        </is>
      </c>
      <c r="I102" s="51" t="inlineStr">
        <is>
          <t>ON</t>
        </is>
      </c>
      <c r="J102" s="51" t="inlineStr">
        <is>
          <t>PT</t>
        </is>
      </c>
      <c r="K102" s="51" t="n">
        <v>0.5</v>
      </c>
      <c r="L102" s="52">
        <f>IF($B102="",0,IF($C102="HZ",1,IFERROR(INDEX('Value Streams &amp; Delivery Mode'!$D$17:$M$22,MATCH($D102,'Value Streams &amp; Delivery Mode'!$B$17:$B$22,0),($B102-1)*2+IF($C102="POD",1,2)),0)))</f>
        <v/>
      </c>
      <c r="M102" s="53">
        <f>IF($B102="",0,$K102*$L102)</f>
        <v/>
      </c>
      <c r="N102" s="54">
        <f>IF($B102="",0,IFERROR(INDEX('Rates &amp; Tables'!$C$61:$G$63,MATCH($I102,'Rates &amp; Tables'!$J$61:$J$63,0),MATCH($H102,'Rates &amp; Tables'!$C$60:$G$60,0)),0))</f>
        <v/>
      </c>
      <c r="O102" s="52">
        <f>IF($B102="",0,$M102*$N102)</f>
        <v/>
      </c>
      <c r="P102" s="49">
        <f>IF($B102="","",$B102&amp;"|"&amp;$G102&amp;"|"&amp;$J102)</f>
        <v/>
      </c>
    </row>
    <row r="103" hidden="1" ht="14.25" customHeight="1">
      <c r="B103" s="51" t="n">
        <v>3</v>
      </c>
      <c r="C103" s="51" t="inlineStr">
        <is>
          <t>POD</t>
        </is>
      </c>
      <c r="D103" s="51" t="n">
        <v>1</v>
      </c>
      <c r="E103" s="51" t="n">
        <v>5</v>
      </c>
      <c r="F103" s="51" t="inlineStr">
        <is>
          <t>Pod lead / senior engineer</t>
        </is>
      </c>
      <c r="G103" s="51" t="inlineStr">
        <is>
          <t>DEV</t>
        </is>
      </c>
      <c r="H103" s="51" t="inlineStr">
        <is>
          <t>E3</t>
        </is>
      </c>
      <c r="I103" s="51" t="inlineStr">
        <is>
          <t>ON</t>
        </is>
      </c>
      <c r="J103" s="51" t="inlineStr">
        <is>
          <t>FTC</t>
        </is>
      </c>
      <c r="K103" s="51" t="n">
        <v>1</v>
      </c>
      <c r="L103" s="52">
        <f>IF($B103="",0,IF($C103="HZ",1,IFERROR(INDEX('Value Streams &amp; Delivery Mode'!$D$17:$M$22,MATCH($D103,'Value Streams &amp; Delivery Mode'!$B$17:$B$22,0),($B103-1)*2+IF($C103="POD",1,2)),0)))</f>
        <v/>
      </c>
      <c r="M103" s="53">
        <f>IF($B103="",0,$K103*$L103)</f>
        <v/>
      </c>
      <c r="N103" s="54">
        <f>IF($B103="",0,IFERROR(INDEX('Rates &amp; Tables'!$C$61:$G$63,MATCH($I103,'Rates &amp; Tables'!$J$61:$J$63,0),MATCH($H103,'Rates &amp; Tables'!$C$60:$G$60,0)),0))</f>
        <v/>
      </c>
      <c r="O103" s="52">
        <f>IF($B103="",0,$M103*$N103)</f>
        <v/>
      </c>
      <c r="P103" s="49">
        <f>IF($B103="","",$B103&amp;"|"&amp;$G103&amp;"|"&amp;$J103)</f>
        <v/>
      </c>
    </row>
    <row r="104" hidden="1" ht="14.25" customHeight="1">
      <c r="B104" s="51" t="n">
        <v>3</v>
      </c>
      <c r="C104" s="51" t="inlineStr">
        <is>
          <t>POD</t>
        </is>
      </c>
      <c r="D104" s="51" t="n">
        <v>1</v>
      </c>
      <c r="E104" s="51" t="n">
        <v>6</v>
      </c>
      <c r="F104" s="51" t="inlineStr">
        <is>
          <t>Junior Java Developer — offshore</t>
        </is>
      </c>
      <c r="G104" s="51" t="inlineStr">
        <is>
          <t>DEV</t>
        </is>
      </c>
      <c r="H104" s="51" t="inlineStr">
        <is>
          <t>E2</t>
        </is>
      </c>
      <c r="I104" s="51" t="inlineStr">
        <is>
          <t>OFF</t>
        </is>
      </c>
      <c r="J104" s="51" t="inlineStr">
        <is>
          <t>FTC</t>
        </is>
      </c>
      <c r="K104" s="51" t="n">
        <v>1</v>
      </c>
      <c r="L104" s="52">
        <f>IF($B104="",0,IF($C104="HZ",1,IFERROR(INDEX('Value Streams &amp; Delivery Mode'!$D$17:$M$22,MATCH($D104,'Value Streams &amp; Delivery Mode'!$B$17:$B$22,0),($B104-1)*2+IF($C104="POD",1,2)),0)))</f>
        <v/>
      </c>
      <c r="M104" s="53">
        <f>IF($B104="",0,$K104*$L104)</f>
        <v/>
      </c>
      <c r="N104" s="54">
        <f>IF($B104="",0,IFERROR(INDEX('Rates &amp; Tables'!$C$61:$G$63,MATCH($I104,'Rates &amp; Tables'!$J$61:$J$63,0),MATCH($H104,'Rates &amp; Tables'!$C$60:$G$60,0)),0))</f>
        <v/>
      </c>
      <c r="O104" s="52">
        <f>IF($B104="",0,$M104*$N104)</f>
        <v/>
      </c>
      <c r="P104" s="49">
        <f>IF($B104="","",$B104&amp;"|"&amp;$G104&amp;"|"&amp;$J104)</f>
        <v/>
      </c>
    </row>
    <row r="105" hidden="1" ht="14.25" customHeight="1">
      <c r="B105" s="51" t="n">
        <v>3</v>
      </c>
      <c r="C105" s="51" t="inlineStr">
        <is>
          <t>POD</t>
        </is>
      </c>
      <c r="D105" s="51" t="n">
        <v>1</v>
      </c>
      <c r="E105" s="51" t="n">
        <v>7</v>
      </c>
      <c r="F105" s="51" t="inlineStr">
        <is>
          <t>Quality Engineer (SDET) — offshore</t>
        </is>
      </c>
      <c r="G105" s="51" t="inlineStr">
        <is>
          <t>TEST</t>
        </is>
      </c>
      <c r="H105" s="51" t="inlineStr">
        <is>
          <t>E3</t>
        </is>
      </c>
      <c r="I105" s="51" t="inlineStr">
        <is>
          <t>OFF</t>
        </is>
      </c>
      <c r="J105" s="51" t="inlineStr">
        <is>
          <t>FTC</t>
        </is>
      </c>
      <c r="K105" s="51" t="n">
        <v>1</v>
      </c>
      <c r="L105" s="52">
        <f>IF($B105="",0,IF($C105="HZ",1,IFERROR(INDEX('Value Streams &amp; Delivery Mode'!$D$17:$M$22,MATCH($D105,'Value Streams &amp; Delivery Mode'!$B$17:$B$22,0),($B105-1)*2+IF($C105="POD",1,2)),0)))</f>
        <v/>
      </c>
      <c r="M105" s="53">
        <f>IF($B105="",0,$K105*$L105)</f>
        <v/>
      </c>
      <c r="N105" s="54">
        <f>IF($B105="",0,IFERROR(INDEX('Rates &amp; Tables'!$C$61:$G$63,MATCH($I105,'Rates &amp; Tables'!$J$61:$J$63,0),MATCH($H105,'Rates &amp; Tables'!$C$60:$G$60,0)),0))</f>
        <v/>
      </c>
      <c r="O105" s="52">
        <f>IF($B105="",0,$M105*$N105)</f>
        <v/>
      </c>
      <c r="P105" s="49">
        <f>IF($B105="","",$B105&amp;"|"&amp;$G105&amp;"|"&amp;$J105)</f>
        <v/>
      </c>
    </row>
    <row r="106" hidden="1" ht="14.25" customHeight="1">
      <c r="B106" s="51" t="n">
        <v>3</v>
      </c>
      <c r="C106" s="51" t="inlineStr">
        <is>
          <t>POD</t>
        </is>
      </c>
      <c r="D106" s="51" t="n">
        <v>1</v>
      </c>
      <c r="E106" s="51" t="n">
        <v>8</v>
      </c>
      <c r="F106" s="51" t="inlineStr">
        <is>
          <t>Junior Application Support — offshore</t>
        </is>
      </c>
      <c r="G106" s="51" t="inlineStr">
        <is>
          <t>MNT</t>
        </is>
      </c>
      <c r="H106" s="51" t="inlineStr">
        <is>
          <t>E1</t>
        </is>
      </c>
      <c r="I106" s="51" t="inlineStr">
        <is>
          <t>OFF</t>
        </is>
      </c>
      <c r="J106" s="51" t="inlineStr">
        <is>
          <t>FTC</t>
        </is>
      </c>
      <c r="K106" s="51" t="n">
        <v>0.5</v>
      </c>
      <c r="L106" s="52">
        <f>IF($B106="",0,IF($C106="HZ",1,IFERROR(INDEX('Value Streams &amp; Delivery Mode'!$D$17:$M$22,MATCH($D106,'Value Streams &amp; Delivery Mode'!$B$17:$B$22,0),($B106-1)*2+IF($C106="POD",1,2)),0)))</f>
        <v/>
      </c>
      <c r="M106" s="53">
        <f>IF($B106="",0,$K106*$L106)</f>
        <v/>
      </c>
      <c r="N106" s="54">
        <f>IF($B106="",0,IFERROR(INDEX('Rates &amp; Tables'!$C$61:$G$63,MATCH($I106,'Rates &amp; Tables'!$J$61:$J$63,0),MATCH($H106,'Rates &amp; Tables'!$C$60:$G$60,0)),0))</f>
        <v/>
      </c>
      <c r="O106" s="52">
        <f>IF($B106="",0,$M106*$N106)</f>
        <v/>
      </c>
      <c r="P106" s="49">
        <f>IF($B106="","",$B106&amp;"|"&amp;$G106&amp;"|"&amp;$J106)</f>
        <v/>
      </c>
    </row>
    <row r="107" hidden="1" ht="14.25" customHeight="1">
      <c r="B107" s="51" t="n">
        <v>3</v>
      </c>
      <c r="C107" s="51" t="inlineStr">
        <is>
          <t>POD</t>
        </is>
      </c>
      <c r="D107" s="51" t="n">
        <v>2</v>
      </c>
      <c r="E107" s="51" t="n">
        <v>1</v>
      </c>
      <c r="F107" s="51" t="inlineStr">
        <is>
          <t>MetLife Product Owner</t>
        </is>
      </c>
      <c r="G107" s="51" t="inlineStr">
        <is>
          <t>PM</t>
        </is>
      </c>
      <c r="H107" s="51" t="inlineStr">
        <is>
          <t>E4</t>
        </is>
      </c>
      <c r="I107" s="51" t="inlineStr">
        <is>
          <t>ON</t>
        </is>
      </c>
      <c r="J107" s="51" t="inlineStr">
        <is>
          <t>FTE</t>
        </is>
      </c>
      <c r="K107" s="51" t="n">
        <v>1</v>
      </c>
      <c r="L107" s="52">
        <f>IF($B107="",0,IF($C107="HZ",1,IFERROR(INDEX('Value Streams &amp; Delivery Mode'!$D$17:$M$22,MATCH($D107,'Value Streams &amp; Delivery Mode'!$B$17:$B$22,0),($B107-1)*2+IF($C107="POD",1,2)),0)))</f>
        <v/>
      </c>
      <c r="M107" s="53">
        <f>IF($B107="",0,$K107*$L107)</f>
        <v/>
      </c>
      <c r="N107" s="54">
        <f>IF($B107="",0,IFERROR(INDEX('Rates &amp; Tables'!$C$61:$G$63,MATCH($I107,'Rates &amp; Tables'!$J$61:$J$63,0),MATCH($H107,'Rates &amp; Tables'!$C$60:$G$60,0)),0))</f>
        <v/>
      </c>
      <c r="O107" s="52">
        <f>IF($B107="",0,$M107*$N107)</f>
        <v/>
      </c>
      <c r="P107" s="49">
        <f>IF($B107="","",$B107&amp;"|"&amp;$G107&amp;"|"&amp;$J107)</f>
        <v/>
      </c>
    </row>
    <row r="108" hidden="1" ht="14.25" customHeight="1">
      <c r="B108" s="51" t="n">
        <v>3</v>
      </c>
      <c r="C108" s="51" t="inlineStr">
        <is>
          <t>POD</t>
        </is>
      </c>
      <c r="D108" s="51" t="n">
        <v>2</v>
      </c>
      <c r="E108" s="51" t="n">
        <v>2</v>
      </c>
      <c r="F108" s="51" t="inlineStr">
        <is>
          <t>MetLife Compliance SME</t>
        </is>
      </c>
      <c r="G108" s="51" t="inlineStr">
        <is>
          <t>BSA</t>
        </is>
      </c>
      <c r="H108" s="51" t="inlineStr">
        <is>
          <t>E4</t>
        </is>
      </c>
      <c r="I108" s="51" t="inlineStr">
        <is>
          <t>ON</t>
        </is>
      </c>
      <c r="J108" s="51" t="inlineStr">
        <is>
          <t>FTE</t>
        </is>
      </c>
      <c r="K108" s="51" t="n">
        <v>0.5</v>
      </c>
      <c r="L108" s="52">
        <f>IF($B108="",0,IF($C108="HZ",1,IFERROR(INDEX('Value Streams &amp; Delivery Mode'!$D$17:$M$22,MATCH($D108,'Value Streams &amp; Delivery Mode'!$B$17:$B$22,0),($B108-1)*2+IF($C108="POD",1,2)),0)))</f>
        <v/>
      </c>
      <c r="M108" s="53">
        <f>IF($B108="",0,$K108*$L108)</f>
        <v/>
      </c>
      <c r="N108" s="54">
        <f>IF($B108="",0,IFERROR(INDEX('Rates &amp; Tables'!$C$61:$G$63,MATCH($I108,'Rates &amp; Tables'!$J$61:$J$63,0),MATCH($H108,'Rates &amp; Tables'!$C$60:$G$60,0)),0))</f>
        <v/>
      </c>
      <c r="O108" s="52">
        <f>IF($B108="",0,$M108*$N108)</f>
        <v/>
      </c>
      <c r="P108" s="49">
        <f>IF($B108="","",$B108&amp;"|"&amp;$G108&amp;"|"&amp;$J108)</f>
        <v/>
      </c>
    </row>
    <row r="109" hidden="1" ht="14.25" customHeight="1">
      <c r="B109" s="51" t="n">
        <v>3</v>
      </c>
      <c r="C109" s="51" t="inlineStr">
        <is>
          <t>POD</t>
        </is>
      </c>
      <c r="D109" s="51" t="n">
        <v>2</v>
      </c>
      <c r="E109" s="51" t="n">
        <v>3</v>
      </c>
      <c r="F109" s="51" t="inlineStr">
        <is>
          <t>FSI Senior Developer (JP)</t>
        </is>
      </c>
      <c r="G109" s="51" t="inlineStr">
        <is>
          <t>DEV</t>
        </is>
      </c>
      <c r="H109" s="51" t="inlineStr">
        <is>
          <t>E3</t>
        </is>
      </c>
      <c r="I109" s="51" t="inlineStr">
        <is>
          <t>ON</t>
        </is>
      </c>
      <c r="J109" s="51" t="inlineStr">
        <is>
          <t>PT</t>
        </is>
      </c>
      <c r="K109" s="51" t="n">
        <v>1</v>
      </c>
      <c r="L109" s="52">
        <f>IF($B109="",0,IF($C109="HZ",1,IFERROR(INDEX('Value Streams &amp; Delivery Mode'!$D$17:$M$22,MATCH($D109,'Value Streams &amp; Delivery Mode'!$B$17:$B$22,0),($B109-1)*2+IF($C109="POD",1,2)),0)))</f>
        <v/>
      </c>
      <c r="M109" s="53">
        <f>IF($B109="",0,$K109*$L109)</f>
        <v/>
      </c>
      <c r="N109" s="54">
        <f>IF($B109="",0,IFERROR(INDEX('Rates &amp; Tables'!$C$61:$G$63,MATCH($I109,'Rates &amp; Tables'!$J$61:$J$63,0),MATCH($H109,'Rates &amp; Tables'!$C$60:$G$60,0)),0))</f>
        <v/>
      </c>
      <c r="O109" s="52">
        <f>IF($B109="",0,$M109*$N109)</f>
        <v/>
      </c>
      <c r="P109" s="49">
        <f>IF($B109="","",$B109&amp;"|"&amp;$G109&amp;"|"&amp;$J109)</f>
        <v/>
      </c>
    </row>
    <row r="110" hidden="1" ht="14.25" customHeight="1">
      <c r="B110" s="51" t="n">
        <v>3</v>
      </c>
      <c r="C110" s="51" t="inlineStr">
        <is>
          <t>POD</t>
        </is>
      </c>
      <c r="D110" s="51" t="n">
        <v>2</v>
      </c>
      <c r="E110" s="51" t="n">
        <v>4</v>
      </c>
      <c r="F110" s="51" t="inlineStr">
        <is>
          <t>FSI Application Support</t>
        </is>
      </c>
      <c r="G110" s="51" t="inlineStr">
        <is>
          <t>MNT</t>
        </is>
      </c>
      <c r="H110" s="51" t="inlineStr">
        <is>
          <t>E2</t>
        </is>
      </c>
      <c r="I110" s="51" t="inlineStr">
        <is>
          <t>ON</t>
        </is>
      </c>
      <c r="J110" s="51" t="inlineStr">
        <is>
          <t>PT</t>
        </is>
      </c>
      <c r="K110" s="51" t="n">
        <v>0.5</v>
      </c>
      <c r="L110" s="52">
        <f>IF($B110="",0,IF($C110="HZ",1,IFERROR(INDEX('Value Streams &amp; Delivery Mode'!$D$17:$M$22,MATCH($D110,'Value Streams &amp; Delivery Mode'!$B$17:$B$22,0),($B110-1)*2+IF($C110="POD",1,2)),0)))</f>
        <v/>
      </c>
      <c r="M110" s="53">
        <f>IF($B110="",0,$K110*$L110)</f>
        <v/>
      </c>
      <c r="N110" s="54">
        <f>IF($B110="",0,IFERROR(INDEX('Rates &amp; Tables'!$C$61:$G$63,MATCH($I110,'Rates &amp; Tables'!$J$61:$J$63,0),MATCH($H110,'Rates &amp; Tables'!$C$60:$G$60,0)),0))</f>
        <v/>
      </c>
      <c r="O110" s="52">
        <f>IF($B110="",0,$M110*$N110)</f>
        <v/>
      </c>
      <c r="P110" s="49">
        <f>IF($B110="","",$B110&amp;"|"&amp;$G110&amp;"|"&amp;$J110)</f>
        <v/>
      </c>
    </row>
    <row r="111" hidden="1" ht="14.25" customHeight="1">
      <c r="B111" s="51" t="n">
        <v>3</v>
      </c>
      <c r="C111" s="51" t="inlineStr">
        <is>
          <t>POD</t>
        </is>
      </c>
      <c r="D111" s="51" t="n">
        <v>2</v>
      </c>
      <c r="E111" s="51" t="n">
        <v>5</v>
      </c>
      <c r="F111" s="51" t="inlineStr">
        <is>
          <t>Pod lead / senior engineer</t>
        </is>
      </c>
      <c r="G111" s="51" t="inlineStr">
        <is>
          <t>DEV</t>
        </is>
      </c>
      <c r="H111" s="51" t="inlineStr">
        <is>
          <t>E4</t>
        </is>
      </c>
      <c r="I111" s="51" t="inlineStr">
        <is>
          <t>ON</t>
        </is>
      </c>
      <c r="J111" s="51" t="inlineStr">
        <is>
          <t>FTC</t>
        </is>
      </c>
      <c r="K111" s="51" t="n">
        <v>1</v>
      </c>
      <c r="L111" s="52">
        <f>IF($B111="",0,IF($C111="HZ",1,IFERROR(INDEX('Value Streams &amp; Delivery Mode'!$D$17:$M$22,MATCH($D111,'Value Streams &amp; Delivery Mode'!$B$17:$B$22,0),($B111-1)*2+IF($C111="POD",1,2)),0)))</f>
        <v/>
      </c>
      <c r="M111" s="53">
        <f>IF($B111="",0,$K111*$L111)</f>
        <v/>
      </c>
      <c r="N111" s="54">
        <f>IF($B111="",0,IFERROR(INDEX('Rates &amp; Tables'!$C$61:$G$63,MATCH($I111,'Rates &amp; Tables'!$J$61:$J$63,0),MATCH($H111,'Rates &amp; Tables'!$C$60:$G$60,0)),0))</f>
        <v/>
      </c>
      <c r="O111" s="52">
        <f>IF($B111="",0,$M111*$N111)</f>
        <v/>
      </c>
      <c r="P111" s="49">
        <f>IF($B111="","",$B111&amp;"|"&amp;$G111&amp;"|"&amp;$J111)</f>
        <v/>
      </c>
    </row>
    <row r="112" hidden="1" ht="14.25" customHeight="1">
      <c r="B112" s="51" t="n">
        <v>3</v>
      </c>
      <c r="C112" s="51" t="inlineStr">
        <is>
          <t>POD</t>
        </is>
      </c>
      <c r="D112" s="51" t="n">
        <v>2</v>
      </c>
      <c r="E112" s="51" t="n">
        <v>6</v>
      </c>
      <c r="F112" s="51" t="inlineStr">
        <is>
          <t>Junior .NET Developer — offshore</t>
        </is>
      </c>
      <c r="G112" s="51" t="inlineStr">
        <is>
          <t>DEV</t>
        </is>
      </c>
      <c r="H112" s="51" t="inlineStr">
        <is>
          <t>E2</t>
        </is>
      </c>
      <c r="I112" s="51" t="inlineStr">
        <is>
          <t>OFF</t>
        </is>
      </c>
      <c r="J112" s="51" t="inlineStr">
        <is>
          <t>FTC</t>
        </is>
      </c>
      <c r="K112" s="51" t="n">
        <v>1</v>
      </c>
      <c r="L112" s="52">
        <f>IF($B112="",0,IF($C112="HZ",1,IFERROR(INDEX('Value Streams &amp; Delivery Mode'!$D$17:$M$22,MATCH($D112,'Value Streams &amp; Delivery Mode'!$B$17:$B$22,0),($B112-1)*2+IF($C112="POD",1,2)),0)))</f>
        <v/>
      </c>
      <c r="M112" s="53">
        <f>IF($B112="",0,$K112*$L112)</f>
        <v/>
      </c>
      <c r="N112" s="54">
        <f>IF($B112="",0,IFERROR(INDEX('Rates &amp; Tables'!$C$61:$G$63,MATCH($I112,'Rates &amp; Tables'!$J$61:$J$63,0),MATCH($H112,'Rates &amp; Tables'!$C$60:$G$60,0)),0))</f>
        <v/>
      </c>
      <c r="O112" s="52">
        <f>IF($B112="",0,$M112*$N112)</f>
        <v/>
      </c>
      <c r="P112" s="49">
        <f>IF($B112="","",$B112&amp;"|"&amp;$G112&amp;"|"&amp;$J112)</f>
        <v/>
      </c>
    </row>
    <row r="113" hidden="1" ht="14.25" customHeight="1">
      <c r="B113" s="51" t="n">
        <v>3</v>
      </c>
      <c r="C113" s="51" t="inlineStr">
        <is>
          <t>POD</t>
        </is>
      </c>
      <c r="D113" s="51" t="n">
        <v>2</v>
      </c>
      <c r="E113" s="51" t="n">
        <v>7</v>
      </c>
      <c r="F113" s="51" t="inlineStr">
        <is>
          <t>Quality Engineer (SDET) — offshore</t>
        </is>
      </c>
      <c r="G113" s="51" t="inlineStr">
        <is>
          <t>TEST</t>
        </is>
      </c>
      <c r="H113" s="51" t="inlineStr">
        <is>
          <t>E3</t>
        </is>
      </c>
      <c r="I113" s="51" t="inlineStr">
        <is>
          <t>OFF</t>
        </is>
      </c>
      <c r="J113" s="51" t="inlineStr">
        <is>
          <t>FTC</t>
        </is>
      </c>
      <c r="K113" s="51" t="n">
        <v>1</v>
      </c>
      <c r="L113" s="52">
        <f>IF($B113="",0,IF($C113="HZ",1,IFERROR(INDEX('Value Streams &amp; Delivery Mode'!$D$17:$M$22,MATCH($D113,'Value Streams &amp; Delivery Mode'!$B$17:$B$22,0),($B113-1)*2+IF($C113="POD",1,2)),0)))</f>
        <v/>
      </c>
      <c r="M113" s="53">
        <f>IF($B113="",0,$K113*$L113)</f>
        <v/>
      </c>
      <c r="N113" s="54">
        <f>IF($B113="",0,IFERROR(INDEX('Rates &amp; Tables'!$C$61:$G$63,MATCH($I113,'Rates &amp; Tables'!$J$61:$J$63,0),MATCH($H113,'Rates &amp; Tables'!$C$60:$G$60,0)),0))</f>
        <v/>
      </c>
      <c r="O113" s="52">
        <f>IF($B113="",0,$M113*$N113)</f>
        <v/>
      </c>
      <c r="P113" s="49">
        <f>IF($B113="","",$B113&amp;"|"&amp;$G113&amp;"|"&amp;$J113)</f>
        <v/>
      </c>
    </row>
    <row r="114" hidden="1" ht="14.25" customHeight="1">
      <c r="B114" s="51" t="n">
        <v>3</v>
      </c>
      <c r="C114" s="51" t="inlineStr">
        <is>
          <t>POD</t>
        </is>
      </c>
      <c r="D114" s="51" t="n">
        <v>2</v>
      </c>
      <c r="E114" s="51" t="n">
        <v>8</v>
      </c>
      <c r="F114" s="51" t="inlineStr">
        <is>
          <t>Junior Application Support — offshore</t>
        </is>
      </c>
      <c r="G114" s="51" t="inlineStr">
        <is>
          <t>MNT</t>
        </is>
      </c>
      <c r="H114" s="51" t="inlineStr">
        <is>
          <t>E1</t>
        </is>
      </c>
      <c r="I114" s="51" t="inlineStr">
        <is>
          <t>OFF</t>
        </is>
      </c>
      <c r="J114" s="51" t="inlineStr">
        <is>
          <t>FTC</t>
        </is>
      </c>
      <c r="K114" s="51" t="n">
        <v>0.5</v>
      </c>
      <c r="L114" s="52">
        <f>IF($B114="",0,IF($C114="HZ",1,IFERROR(INDEX('Value Streams &amp; Delivery Mode'!$D$17:$M$22,MATCH($D114,'Value Streams &amp; Delivery Mode'!$B$17:$B$22,0),($B114-1)*2+IF($C114="POD",1,2)),0)))</f>
        <v/>
      </c>
      <c r="M114" s="53">
        <f>IF($B114="",0,$K114*$L114)</f>
        <v/>
      </c>
      <c r="N114" s="54">
        <f>IF($B114="",0,IFERROR(INDEX('Rates &amp; Tables'!$C$61:$G$63,MATCH($I114,'Rates &amp; Tables'!$J$61:$J$63,0),MATCH($H114,'Rates &amp; Tables'!$C$60:$G$60,0)),0))</f>
        <v/>
      </c>
      <c r="O114" s="52">
        <f>IF($B114="",0,$M114*$N114)</f>
        <v/>
      </c>
      <c r="P114" s="49">
        <f>IF($B114="","",$B114&amp;"|"&amp;$G114&amp;"|"&amp;$J114)</f>
        <v/>
      </c>
    </row>
    <row r="115" hidden="1" ht="14.25" customHeight="1">
      <c r="B115" s="51" t="n">
        <v>3</v>
      </c>
      <c r="C115" s="51" t="inlineStr">
        <is>
          <t>POD</t>
        </is>
      </c>
      <c r="D115" s="51" t="n">
        <v>3</v>
      </c>
      <c r="E115" s="51" t="n">
        <v>1</v>
      </c>
      <c r="F115" s="51" t="inlineStr">
        <is>
          <t>MetLife Product Owner</t>
        </is>
      </c>
      <c r="G115" s="51" t="inlineStr">
        <is>
          <t>PM</t>
        </is>
      </c>
      <c r="H115" s="51" t="inlineStr">
        <is>
          <t>E4</t>
        </is>
      </c>
      <c r="I115" s="51" t="inlineStr">
        <is>
          <t>ON</t>
        </is>
      </c>
      <c r="J115" s="51" t="inlineStr">
        <is>
          <t>FTE</t>
        </is>
      </c>
      <c r="K115" s="51" t="n">
        <v>1</v>
      </c>
      <c r="L115" s="52">
        <f>IF($B115="",0,IF($C115="HZ",1,IFERROR(INDEX('Value Streams &amp; Delivery Mode'!$D$17:$M$22,MATCH($D115,'Value Streams &amp; Delivery Mode'!$B$17:$B$22,0),($B115-1)*2+IF($C115="POD",1,2)),0)))</f>
        <v/>
      </c>
      <c r="M115" s="53">
        <f>IF($B115="",0,$K115*$L115)</f>
        <v/>
      </c>
      <c r="N115" s="54">
        <f>IF($B115="",0,IFERROR(INDEX('Rates &amp; Tables'!$C$61:$G$63,MATCH($I115,'Rates &amp; Tables'!$J$61:$J$63,0),MATCH($H115,'Rates &amp; Tables'!$C$60:$G$60,0)),0))</f>
        <v/>
      </c>
      <c r="O115" s="52">
        <f>IF($B115="",0,$M115*$N115)</f>
        <v/>
      </c>
      <c r="P115" s="49">
        <f>IF($B115="","",$B115&amp;"|"&amp;$G115&amp;"|"&amp;$J115)</f>
        <v/>
      </c>
    </row>
    <row r="116" hidden="1" ht="14.25" customHeight="1">
      <c r="B116" s="51" t="n">
        <v>3</v>
      </c>
      <c r="C116" s="51" t="inlineStr">
        <is>
          <t>POD</t>
        </is>
      </c>
      <c r="D116" s="51" t="n">
        <v>3</v>
      </c>
      <c r="E116" s="51" t="n">
        <v>2</v>
      </c>
      <c r="F116" s="51" t="inlineStr">
        <is>
          <t>MetLife Corporate SME</t>
        </is>
      </c>
      <c r="G116" s="51" t="inlineStr">
        <is>
          <t>BSA</t>
        </is>
      </c>
      <c r="H116" s="51" t="inlineStr">
        <is>
          <t>E4</t>
        </is>
      </c>
      <c r="I116" s="51" t="inlineStr">
        <is>
          <t>ON</t>
        </is>
      </c>
      <c r="J116" s="51" t="inlineStr">
        <is>
          <t>FTE</t>
        </is>
      </c>
      <c r="K116" s="51" t="n">
        <v>0.5</v>
      </c>
      <c r="L116" s="52">
        <f>IF($B116="",0,IF($C116="HZ",1,IFERROR(INDEX('Value Streams &amp; Delivery Mode'!$D$17:$M$22,MATCH($D116,'Value Streams &amp; Delivery Mode'!$B$17:$B$22,0),($B116-1)*2+IF($C116="POD",1,2)),0)))</f>
        <v/>
      </c>
      <c r="M116" s="53">
        <f>IF($B116="",0,$K116*$L116)</f>
        <v/>
      </c>
      <c r="N116" s="54">
        <f>IF($B116="",0,IFERROR(INDEX('Rates &amp; Tables'!$C$61:$G$63,MATCH($I116,'Rates &amp; Tables'!$J$61:$J$63,0),MATCH($H116,'Rates &amp; Tables'!$C$60:$G$60,0)),0))</f>
        <v/>
      </c>
      <c r="O116" s="52">
        <f>IF($B116="",0,$M116*$N116)</f>
        <v/>
      </c>
      <c r="P116" s="49">
        <f>IF($B116="","",$B116&amp;"|"&amp;$G116&amp;"|"&amp;$J116)</f>
        <v/>
      </c>
    </row>
    <row r="117" hidden="1" ht="14.25" customHeight="1">
      <c r="B117" s="51" t="n">
        <v>3</v>
      </c>
      <c r="C117" s="51" t="inlineStr">
        <is>
          <t>POD</t>
        </is>
      </c>
      <c r="D117" s="51" t="n">
        <v>3</v>
      </c>
      <c r="E117" s="51" t="n">
        <v>3</v>
      </c>
      <c r="F117" s="51" t="inlineStr">
        <is>
          <t>Pod lead / senior engineer</t>
        </is>
      </c>
      <c r="G117" s="51" t="inlineStr">
        <is>
          <t>DEV</t>
        </is>
      </c>
      <c r="H117" s="51" t="inlineStr">
        <is>
          <t>E3</t>
        </is>
      </c>
      <c r="I117" s="51" t="inlineStr">
        <is>
          <t>ON</t>
        </is>
      </c>
      <c r="J117" s="51" t="inlineStr">
        <is>
          <t>FTC</t>
        </is>
      </c>
      <c r="K117" s="51" t="n">
        <v>1</v>
      </c>
      <c r="L117" s="52">
        <f>IF($B117="",0,IF($C117="HZ",1,IFERROR(INDEX('Value Streams &amp; Delivery Mode'!$D$17:$M$22,MATCH($D117,'Value Streams &amp; Delivery Mode'!$B$17:$B$22,0),($B117-1)*2+IF($C117="POD",1,2)),0)))</f>
        <v/>
      </c>
      <c r="M117" s="53">
        <f>IF($B117="",0,$K117*$L117)</f>
        <v/>
      </c>
      <c r="N117" s="54">
        <f>IF($B117="",0,IFERROR(INDEX('Rates &amp; Tables'!$C$61:$G$63,MATCH($I117,'Rates &amp; Tables'!$J$61:$J$63,0),MATCH($H117,'Rates &amp; Tables'!$C$60:$G$60,0)),0))</f>
        <v/>
      </c>
      <c r="O117" s="52">
        <f>IF($B117="",0,$M117*$N117)</f>
        <v/>
      </c>
      <c r="P117" s="49">
        <f>IF($B117="","",$B117&amp;"|"&amp;$G117&amp;"|"&amp;$J117)</f>
        <v/>
      </c>
    </row>
    <row r="118" hidden="1" ht="14.25" customHeight="1">
      <c r="B118" s="51" t="n">
        <v>3</v>
      </c>
      <c r="C118" s="51" t="inlineStr">
        <is>
          <t>POD</t>
        </is>
      </c>
      <c r="D118" s="51" t="n">
        <v>3</v>
      </c>
      <c r="E118" s="51" t="n">
        <v>4</v>
      </c>
      <c r="F118" s="51" t="inlineStr">
        <is>
          <t>Business Analyst (bilingual)</t>
        </is>
      </c>
      <c r="G118" s="51" t="inlineStr">
        <is>
          <t>BSA</t>
        </is>
      </c>
      <c r="H118" s="51" t="inlineStr">
        <is>
          <t>E2</t>
        </is>
      </c>
      <c r="I118" s="51" t="inlineStr">
        <is>
          <t>ON</t>
        </is>
      </c>
      <c r="J118" s="51" t="inlineStr">
        <is>
          <t>FTC</t>
        </is>
      </c>
      <c r="K118" s="51" t="n">
        <v>0.5</v>
      </c>
      <c r="L118" s="52">
        <f>IF($B118="",0,IF($C118="HZ",1,IFERROR(INDEX('Value Streams &amp; Delivery Mode'!$D$17:$M$22,MATCH($D118,'Value Streams &amp; Delivery Mode'!$B$17:$B$22,0),($B118-1)*2+IF($C118="POD",1,2)),0)))</f>
        <v/>
      </c>
      <c r="M118" s="53">
        <f>IF($B118="",0,$K118*$L118)</f>
        <v/>
      </c>
      <c r="N118" s="54">
        <f>IF($B118="",0,IFERROR(INDEX('Rates &amp; Tables'!$C$61:$G$63,MATCH($I118,'Rates &amp; Tables'!$J$61:$J$63,0),MATCH($H118,'Rates &amp; Tables'!$C$60:$G$60,0)),0))</f>
        <v/>
      </c>
      <c r="O118" s="52">
        <f>IF($B118="",0,$M118*$N118)</f>
        <v/>
      </c>
      <c r="P118" s="49">
        <f>IF($B118="","",$B118&amp;"|"&amp;$G118&amp;"|"&amp;$J118)</f>
        <v/>
      </c>
    </row>
    <row r="119" hidden="1" ht="14.25" customHeight="1">
      <c r="B119" s="51" t="n">
        <v>3</v>
      </c>
      <c r="C119" s="51" t="inlineStr">
        <is>
          <t>POD</t>
        </is>
      </c>
      <c r="D119" s="51" t="n">
        <v>3</v>
      </c>
      <c r="E119" s="51" t="n">
        <v>5</v>
      </c>
      <c r="F119" s="51" t="inlineStr">
        <is>
          <t>Junior Java Developer — offshore</t>
        </is>
      </c>
      <c r="G119" s="51" t="inlineStr">
        <is>
          <t>DEV</t>
        </is>
      </c>
      <c r="H119" s="51" t="inlineStr">
        <is>
          <t>E2</t>
        </is>
      </c>
      <c r="I119" s="51" t="inlineStr">
        <is>
          <t>OFF</t>
        </is>
      </c>
      <c r="J119" s="51" t="inlineStr">
        <is>
          <t>FTC</t>
        </is>
      </c>
      <c r="K119" s="51" t="n">
        <v>1.5</v>
      </c>
      <c r="L119" s="52">
        <f>IF($B119="",0,IF($C119="HZ",1,IFERROR(INDEX('Value Streams &amp; Delivery Mode'!$D$17:$M$22,MATCH($D119,'Value Streams &amp; Delivery Mode'!$B$17:$B$22,0),($B119-1)*2+IF($C119="POD",1,2)),0)))</f>
        <v/>
      </c>
      <c r="M119" s="53">
        <f>IF($B119="",0,$K119*$L119)</f>
        <v/>
      </c>
      <c r="N119" s="54">
        <f>IF($B119="",0,IFERROR(INDEX('Rates &amp; Tables'!$C$61:$G$63,MATCH($I119,'Rates &amp; Tables'!$J$61:$J$63,0),MATCH($H119,'Rates &amp; Tables'!$C$60:$G$60,0)),0))</f>
        <v/>
      </c>
      <c r="O119" s="52">
        <f>IF($B119="",0,$M119*$N119)</f>
        <v/>
      </c>
      <c r="P119" s="49">
        <f>IF($B119="","",$B119&amp;"|"&amp;$G119&amp;"|"&amp;$J119)</f>
        <v/>
      </c>
    </row>
    <row r="120" hidden="1" ht="14.25" customHeight="1">
      <c r="B120" s="51" t="n">
        <v>3</v>
      </c>
      <c r="C120" s="51" t="inlineStr">
        <is>
          <t>POD</t>
        </is>
      </c>
      <c r="D120" s="51" t="n">
        <v>3</v>
      </c>
      <c r="E120" s="51" t="n">
        <v>6</v>
      </c>
      <c r="F120" s="51" t="inlineStr">
        <is>
          <t>Graduate Java Developer</t>
        </is>
      </c>
      <c r="G120" s="51" t="inlineStr">
        <is>
          <t>DEV</t>
        </is>
      </c>
      <c r="H120" s="51" t="inlineStr">
        <is>
          <t>E1</t>
        </is>
      </c>
      <c r="I120" s="51" t="inlineStr">
        <is>
          <t>ON</t>
        </is>
      </c>
      <c r="J120" s="51" t="inlineStr">
        <is>
          <t>FTC</t>
        </is>
      </c>
      <c r="K120" s="51" t="n">
        <v>0.5</v>
      </c>
      <c r="L120" s="52">
        <f>IF($B120="",0,IF($C120="HZ",1,IFERROR(INDEX('Value Streams &amp; Delivery Mode'!$D$17:$M$22,MATCH($D120,'Value Streams &amp; Delivery Mode'!$B$17:$B$22,0),($B120-1)*2+IF($C120="POD",1,2)),0)))</f>
        <v/>
      </c>
      <c r="M120" s="53">
        <f>IF($B120="",0,$K120*$L120)</f>
        <v/>
      </c>
      <c r="N120" s="54">
        <f>IF($B120="",0,IFERROR(INDEX('Rates &amp; Tables'!$C$61:$G$63,MATCH($I120,'Rates &amp; Tables'!$J$61:$J$63,0),MATCH($H120,'Rates &amp; Tables'!$C$60:$G$60,0)),0))</f>
        <v/>
      </c>
      <c r="O120" s="52">
        <f>IF($B120="",0,$M120*$N120)</f>
        <v/>
      </c>
      <c r="P120" s="49">
        <f>IF($B120="","",$B120&amp;"|"&amp;$G120&amp;"|"&amp;$J120)</f>
        <v/>
      </c>
    </row>
    <row r="121" hidden="1" ht="14.25" customHeight="1">
      <c r="B121" s="51" t="n">
        <v>3</v>
      </c>
      <c r="C121" s="51" t="inlineStr">
        <is>
          <t>POD</t>
        </is>
      </c>
      <c r="D121" s="51" t="n">
        <v>3</v>
      </c>
      <c r="E121" s="51" t="n">
        <v>7</v>
      </c>
      <c r="F121" s="51" t="inlineStr">
        <is>
          <t>Quality Engineer (SDET) — offshore</t>
        </is>
      </c>
      <c r="G121" s="51" t="inlineStr">
        <is>
          <t>TEST</t>
        </is>
      </c>
      <c r="H121" s="51" t="inlineStr">
        <is>
          <t>E2</t>
        </is>
      </c>
      <c r="I121" s="51" t="inlineStr">
        <is>
          <t>OFF</t>
        </is>
      </c>
      <c r="J121" s="51" t="inlineStr">
        <is>
          <t>FTC</t>
        </is>
      </c>
      <c r="K121" s="51" t="n">
        <v>1</v>
      </c>
      <c r="L121" s="52">
        <f>IF($B121="",0,IF($C121="HZ",1,IFERROR(INDEX('Value Streams &amp; Delivery Mode'!$D$17:$M$22,MATCH($D121,'Value Streams &amp; Delivery Mode'!$B$17:$B$22,0),($B121-1)*2+IF($C121="POD",1,2)),0)))</f>
        <v/>
      </c>
      <c r="M121" s="53">
        <f>IF($B121="",0,$K121*$L121)</f>
        <v/>
      </c>
      <c r="N121" s="54">
        <f>IF($B121="",0,IFERROR(INDEX('Rates &amp; Tables'!$C$61:$G$63,MATCH($I121,'Rates &amp; Tables'!$J$61:$J$63,0),MATCH($H121,'Rates &amp; Tables'!$C$60:$G$60,0)),0))</f>
        <v/>
      </c>
      <c r="O121" s="52">
        <f>IF($B121="",0,$M121*$N121)</f>
        <v/>
      </c>
      <c r="P121" s="49">
        <f>IF($B121="","",$B121&amp;"|"&amp;$G121&amp;"|"&amp;$J121)</f>
        <v/>
      </c>
    </row>
    <row r="122" hidden="1" ht="14.25" customHeight="1">
      <c r="B122" s="51" t="n">
        <v>3</v>
      </c>
      <c r="C122" s="51" t="inlineStr">
        <is>
          <t>POD</t>
        </is>
      </c>
      <c r="D122" s="51" t="n">
        <v>3</v>
      </c>
      <c r="E122" s="51" t="n">
        <v>8</v>
      </c>
      <c r="F122" s="51" t="inlineStr">
        <is>
          <t>Batch Monitoring Engineer — offshore</t>
        </is>
      </c>
      <c r="G122" s="51" t="inlineStr">
        <is>
          <t>MNT</t>
        </is>
      </c>
      <c r="H122" s="51" t="inlineStr">
        <is>
          <t>E1</t>
        </is>
      </c>
      <c r="I122" s="51" t="inlineStr">
        <is>
          <t>OFF</t>
        </is>
      </c>
      <c r="J122" s="51" t="inlineStr">
        <is>
          <t>FTC</t>
        </is>
      </c>
      <c r="K122" s="51" t="n">
        <v>0.5</v>
      </c>
      <c r="L122" s="52">
        <f>IF($B122="",0,IF($C122="HZ",1,IFERROR(INDEX('Value Streams &amp; Delivery Mode'!$D$17:$M$22,MATCH($D122,'Value Streams &amp; Delivery Mode'!$B$17:$B$22,0),($B122-1)*2+IF($C122="POD",1,2)),0)))</f>
        <v/>
      </c>
      <c r="M122" s="53">
        <f>IF($B122="",0,$K122*$L122)</f>
        <v/>
      </c>
      <c r="N122" s="54">
        <f>IF($B122="",0,IFERROR(INDEX('Rates &amp; Tables'!$C$61:$G$63,MATCH($I122,'Rates &amp; Tables'!$J$61:$J$63,0),MATCH($H122,'Rates &amp; Tables'!$C$60:$G$60,0)),0))</f>
        <v/>
      </c>
      <c r="O122" s="52">
        <f>IF($B122="",0,$M122*$N122)</f>
        <v/>
      </c>
      <c r="P122" s="49">
        <f>IF($B122="","",$B122&amp;"|"&amp;$G122&amp;"|"&amp;$J122)</f>
        <v/>
      </c>
    </row>
    <row r="123" hidden="1" ht="14.25" customHeight="1">
      <c r="B123" s="51" t="n">
        <v>3</v>
      </c>
      <c r="C123" s="51" t="inlineStr">
        <is>
          <t>POD</t>
        </is>
      </c>
      <c r="D123" s="51" t="n">
        <v>3</v>
      </c>
      <c r="E123" s="51" t="n">
        <v>9</v>
      </c>
      <c r="F123" s="51" t="inlineStr">
        <is>
          <t>L2/L3 Application Support — Tokyo</t>
        </is>
      </c>
      <c r="G123" s="51" t="inlineStr">
        <is>
          <t>MNT</t>
        </is>
      </c>
      <c r="H123" s="51" t="inlineStr">
        <is>
          <t>E2</t>
        </is>
      </c>
      <c r="I123" s="51" t="inlineStr">
        <is>
          <t>ON</t>
        </is>
      </c>
      <c r="J123" s="51" t="inlineStr">
        <is>
          <t>FTC</t>
        </is>
      </c>
      <c r="K123" s="51" t="n">
        <v>0.5</v>
      </c>
      <c r="L123" s="52">
        <f>IF($B123="",0,IF($C123="HZ",1,IFERROR(INDEX('Value Streams &amp; Delivery Mode'!$D$17:$M$22,MATCH($D123,'Value Streams &amp; Delivery Mode'!$B$17:$B$22,0),($B123-1)*2+IF($C123="POD",1,2)),0)))</f>
        <v/>
      </c>
      <c r="M123" s="53">
        <f>IF($B123="",0,$K123*$L123)</f>
        <v/>
      </c>
      <c r="N123" s="54">
        <f>IF($B123="",0,IFERROR(INDEX('Rates &amp; Tables'!$C$61:$G$63,MATCH($I123,'Rates &amp; Tables'!$J$61:$J$63,0),MATCH($H123,'Rates &amp; Tables'!$C$60:$G$60,0)),0))</f>
        <v/>
      </c>
      <c r="O123" s="52">
        <f>IF($B123="",0,$M123*$N123)</f>
        <v/>
      </c>
      <c r="P123" s="49">
        <f>IF($B123="","",$B123&amp;"|"&amp;$G123&amp;"|"&amp;$J123)</f>
        <v/>
      </c>
    </row>
    <row r="124" hidden="1" ht="14.25" customHeight="1">
      <c r="B124" s="51" t="n">
        <v>3</v>
      </c>
      <c r="C124" s="51" t="inlineStr">
        <is>
          <t>HZ</t>
        </is>
      </c>
      <c r="D124" s="51" t="inlineStr">
        <is>
          <t>H3</t>
        </is>
      </c>
      <c r="E124" s="51" t="n">
        <v>1</v>
      </c>
      <c r="F124" s="51" t="inlineStr">
        <is>
          <t>Domain Service Manager</t>
        </is>
      </c>
      <c r="G124" s="51" t="inlineStr">
        <is>
          <t>PM</t>
        </is>
      </c>
      <c r="H124" s="51" t="inlineStr">
        <is>
          <t>E5</t>
        </is>
      </c>
      <c r="I124" s="51" t="inlineStr">
        <is>
          <t>ON</t>
        </is>
      </c>
      <c r="J124" s="51" t="inlineStr">
        <is>
          <t>FTC</t>
        </is>
      </c>
      <c r="K124" s="51" t="n">
        <v>1</v>
      </c>
      <c r="L124" s="52">
        <f>IF($B124="",0,IF($C124="HZ",1,IFERROR(INDEX('Value Streams &amp; Delivery Mode'!$D$17:$M$22,MATCH($D124,'Value Streams &amp; Delivery Mode'!$B$17:$B$22,0),($B124-1)*2+IF($C124="POD",1,2)),0)))</f>
        <v/>
      </c>
      <c r="M124" s="53">
        <f>IF($B124="",0,$K124*$L124)</f>
        <v/>
      </c>
      <c r="N124" s="54">
        <f>IF($B124="",0,IFERROR(INDEX('Rates &amp; Tables'!$C$61:$G$63,MATCH($I124,'Rates &amp; Tables'!$J$61:$J$63,0),MATCH($H124,'Rates &amp; Tables'!$C$60:$G$60,0)),0))</f>
        <v/>
      </c>
      <c r="O124" s="52">
        <f>IF($B124="",0,$M124*$N124)</f>
        <v/>
      </c>
      <c r="P124" s="49">
        <f>IF($B124="","",$B124&amp;"|"&amp;$G124&amp;"|"&amp;$J124)</f>
        <v/>
      </c>
    </row>
    <row r="125" hidden="1" ht="14.25" customHeight="1">
      <c r="B125" s="51" t="n">
        <v>3</v>
      </c>
      <c r="C125" s="51" t="inlineStr">
        <is>
          <t>HZ</t>
        </is>
      </c>
      <c r="D125" s="51" t="inlineStr">
        <is>
          <t>H3</t>
        </is>
      </c>
      <c r="E125" s="51" t="n">
        <v>2</v>
      </c>
      <c r="F125" s="51" t="inlineStr">
        <is>
          <t>Lead BSA (bilingual)</t>
        </is>
      </c>
      <c r="G125" s="51" t="inlineStr">
        <is>
          <t>BSA</t>
        </is>
      </c>
      <c r="H125" s="51" t="inlineStr">
        <is>
          <t>E4</t>
        </is>
      </c>
      <c r="I125" s="51" t="inlineStr">
        <is>
          <t>ON</t>
        </is>
      </c>
      <c r="J125" s="51" t="inlineStr">
        <is>
          <t>FTC</t>
        </is>
      </c>
      <c r="K125" s="51" t="n">
        <v>1</v>
      </c>
      <c r="L125" s="52">
        <f>IF($B125="",0,IF($C125="HZ",1,IFERROR(INDEX('Value Streams &amp; Delivery Mode'!$D$17:$M$22,MATCH($D125,'Value Streams &amp; Delivery Mode'!$B$17:$B$22,0),($B125-1)*2+IF($C125="POD",1,2)),0)))</f>
        <v/>
      </c>
      <c r="M125" s="53">
        <f>IF($B125="",0,$K125*$L125)</f>
        <v/>
      </c>
      <c r="N125" s="54">
        <f>IF($B125="",0,IFERROR(INDEX('Rates &amp; Tables'!$C$61:$G$63,MATCH($I125,'Rates &amp; Tables'!$J$61:$J$63,0),MATCH($H125,'Rates &amp; Tables'!$C$60:$G$60,0)),0))</f>
        <v/>
      </c>
      <c r="O125" s="52">
        <f>IF($B125="",0,$M125*$N125)</f>
        <v/>
      </c>
      <c r="P125" s="49">
        <f>IF($B125="","",$B125&amp;"|"&amp;$G125&amp;"|"&amp;$J125)</f>
        <v/>
      </c>
    </row>
    <row r="126" hidden="1" ht="14.25" customHeight="1">
      <c r="B126" s="51" t="n">
        <v>3</v>
      </c>
      <c r="C126" s="51" t="inlineStr">
        <is>
          <t>HZ</t>
        </is>
      </c>
      <c r="D126" s="51" t="inlineStr">
        <is>
          <t>H3</t>
        </is>
      </c>
      <c r="E126" s="51" t="n">
        <v>3</v>
      </c>
      <c r="F126" s="51" t="inlineStr">
        <is>
          <t>Solution Architect</t>
        </is>
      </c>
      <c r="G126" s="51" t="inlineStr">
        <is>
          <t>OTH</t>
        </is>
      </c>
      <c r="H126" s="51" t="inlineStr">
        <is>
          <t>E4</t>
        </is>
      </c>
      <c r="I126" s="51" t="inlineStr">
        <is>
          <t>ON</t>
        </is>
      </c>
      <c r="J126" s="51" t="inlineStr">
        <is>
          <t>FTC</t>
        </is>
      </c>
      <c r="K126" s="51" t="n">
        <v>0.5</v>
      </c>
      <c r="L126" s="52">
        <f>IF($B126="",0,IF($C126="HZ",1,IFERROR(INDEX('Value Streams &amp; Delivery Mode'!$D$17:$M$22,MATCH($D126,'Value Streams &amp; Delivery Mode'!$B$17:$B$22,0),($B126-1)*2+IF($C126="POD",1,2)),0)))</f>
        <v/>
      </c>
      <c r="M126" s="53">
        <f>IF($B126="",0,$K126*$L126)</f>
        <v/>
      </c>
      <c r="N126" s="54">
        <f>IF($B126="",0,IFERROR(INDEX('Rates &amp; Tables'!$C$61:$G$63,MATCH($I126,'Rates &amp; Tables'!$J$61:$J$63,0),MATCH($H126,'Rates &amp; Tables'!$C$60:$G$60,0)),0))</f>
        <v/>
      </c>
      <c r="O126" s="52">
        <f>IF($B126="",0,$M126*$N126)</f>
        <v/>
      </c>
      <c r="P126" s="49">
        <f>IF($B126="","",$B126&amp;"|"&amp;$G126&amp;"|"&amp;$J126)</f>
        <v/>
      </c>
    </row>
    <row r="127" hidden="1" ht="14.25" customHeight="1">
      <c r="B127" s="51" t="n">
        <v>3</v>
      </c>
      <c r="C127" s="51" t="inlineStr">
        <is>
          <t>HZ</t>
        </is>
      </c>
      <c r="D127" s="51" t="inlineStr">
        <is>
          <t>H3</t>
        </is>
      </c>
      <c r="E127" s="51" t="n">
        <v>4</v>
      </c>
      <c r="F127" s="51" t="inlineStr">
        <is>
          <t>Release / DevOps engineer</t>
        </is>
      </c>
      <c r="G127" s="51" t="inlineStr">
        <is>
          <t>OTH</t>
        </is>
      </c>
      <c r="H127" s="51" t="inlineStr">
        <is>
          <t>E2</t>
        </is>
      </c>
      <c r="I127" s="51" t="inlineStr">
        <is>
          <t>ON</t>
        </is>
      </c>
      <c r="J127" s="51" t="inlineStr">
        <is>
          <t>FTC</t>
        </is>
      </c>
      <c r="K127" s="51" t="n">
        <v>1</v>
      </c>
      <c r="L127" s="52">
        <f>IF($B127="",0,IF($C127="HZ",1,IFERROR(INDEX('Value Streams &amp; Delivery Mode'!$D$17:$M$22,MATCH($D127,'Value Streams &amp; Delivery Mode'!$B$17:$B$22,0),($B127-1)*2+IF($C127="POD",1,2)),0)))</f>
        <v/>
      </c>
      <c r="M127" s="53">
        <f>IF($B127="",0,$K127*$L127)</f>
        <v/>
      </c>
      <c r="N127" s="54">
        <f>IF($B127="",0,IFERROR(INDEX('Rates &amp; Tables'!$C$61:$G$63,MATCH($I127,'Rates &amp; Tables'!$J$61:$J$63,0),MATCH($H127,'Rates &amp; Tables'!$C$60:$G$60,0)),0))</f>
        <v/>
      </c>
      <c r="O127" s="52">
        <f>IF($B127="",0,$M127*$N127)</f>
        <v/>
      </c>
      <c r="P127" s="49">
        <f>IF($B127="","",$B127&amp;"|"&amp;$G127&amp;"|"&amp;$J127)</f>
        <v/>
      </c>
    </row>
    <row r="128" hidden="1" ht="14.25" customHeight="1">
      <c r="B128" s="51" t="n">
        <v>3</v>
      </c>
      <c r="C128" s="51" t="inlineStr">
        <is>
          <t>HZ</t>
        </is>
      </c>
      <c r="D128" s="51" t="inlineStr">
        <is>
          <t>H3</t>
        </is>
      </c>
      <c r="E128" s="51" t="n">
        <v>5</v>
      </c>
      <c r="F128" s="51" t="inlineStr">
        <is>
          <t>MetLife Regulatory Liaison</t>
        </is>
      </c>
      <c r="G128" s="51" t="inlineStr">
        <is>
          <t>BSA</t>
        </is>
      </c>
      <c r="H128" s="51" t="inlineStr">
        <is>
          <t>E4</t>
        </is>
      </c>
      <c r="I128" s="51" t="inlineStr">
        <is>
          <t>ON</t>
        </is>
      </c>
      <c r="J128" s="51" t="inlineStr">
        <is>
          <t>FTE</t>
        </is>
      </c>
      <c r="K128" s="51" t="n">
        <v>1</v>
      </c>
      <c r="L128" s="52">
        <f>IF($B128="",0,IF($C128="HZ",1,IFERROR(INDEX('Value Streams &amp; Delivery Mode'!$D$17:$M$22,MATCH($D128,'Value Streams &amp; Delivery Mode'!$B$17:$B$22,0),($B128-1)*2+IF($C128="POD",1,2)),0)))</f>
        <v/>
      </c>
      <c r="M128" s="53">
        <f>IF($B128="",0,$K128*$L128)</f>
        <v/>
      </c>
      <c r="N128" s="54">
        <f>IF($B128="",0,IFERROR(INDEX('Rates &amp; Tables'!$C$61:$G$63,MATCH($I128,'Rates &amp; Tables'!$J$61:$J$63,0),MATCH($H128,'Rates &amp; Tables'!$C$60:$G$60,0)),0))</f>
        <v/>
      </c>
      <c r="O128" s="52">
        <f>IF($B128="",0,$M128*$N128)</f>
        <v/>
      </c>
      <c r="P128" s="49">
        <f>IF($B128="","",$B128&amp;"|"&amp;$G128&amp;"|"&amp;$J128)</f>
        <v/>
      </c>
    </row>
    <row r="129" hidden="1" ht="14.25" customHeight="1">
      <c r="B129" s="51" t="n">
        <v>3</v>
      </c>
      <c r="C129" s="51" t="inlineStr">
        <is>
          <t>HZ</t>
        </is>
      </c>
      <c r="D129" s="51" t="inlineStr">
        <is>
          <t>H3</t>
        </is>
      </c>
      <c r="E129" s="51" t="n">
        <v>6</v>
      </c>
      <c r="F129" s="51" t="inlineStr">
        <is>
          <t>MetLife Domain Architect</t>
        </is>
      </c>
      <c r="G129" s="51" t="inlineStr">
        <is>
          <t>OTH</t>
        </is>
      </c>
      <c r="H129" s="51" t="inlineStr">
        <is>
          <t>E4</t>
        </is>
      </c>
      <c r="I129" s="51" t="inlineStr">
        <is>
          <t>ON</t>
        </is>
      </c>
      <c r="J129" s="51" t="inlineStr">
        <is>
          <t>FTE</t>
        </is>
      </c>
      <c r="K129" s="51" t="n">
        <v>1</v>
      </c>
      <c r="L129" s="52">
        <f>IF($B129="",0,IF($C129="HZ",1,IFERROR(INDEX('Value Streams &amp; Delivery Mode'!$D$17:$M$22,MATCH($D129,'Value Streams &amp; Delivery Mode'!$B$17:$B$22,0),($B129-1)*2+IF($C129="POD",1,2)),0)))</f>
        <v/>
      </c>
      <c r="M129" s="53">
        <f>IF($B129="",0,$K129*$L129)</f>
        <v/>
      </c>
      <c r="N129" s="54">
        <f>IF($B129="",0,IFERROR(INDEX('Rates &amp; Tables'!$C$61:$G$63,MATCH($I129,'Rates &amp; Tables'!$J$61:$J$63,0),MATCH($H129,'Rates &amp; Tables'!$C$60:$G$60,0)),0))</f>
        <v/>
      </c>
      <c r="O129" s="52">
        <f>IF($B129="",0,$M129*$N129)</f>
        <v/>
      </c>
      <c r="P129" s="49">
        <f>IF($B129="","",$B129&amp;"|"&amp;$G129&amp;"|"&amp;$J129)</f>
        <v/>
      </c>
    </row>
    <row r="130" hidden="1" ht="14.25" customHeight="1">
      <c r="B130" s="51" t="n">
        <v>3</v>
      </c>
      <c r="C130" s="51" t="inlineStr">
        <is>
          <t>HZ</t>
        </is>
      </c>
      <c r="D130" s="51" t="inlineStr">
        <is>
          <t>H1</t>
        </is>
      </c>
      <c r="E130" s="51" t="n">
        <v>7</v>
      </c>
      <c r="F130" s="51" t="inlineStr">
        <is>
          <t>AMS Team Lead</t>
        </is>
      </c>
      <c r="G130" s="51" t="inlineStr">
        <is>
          <t>MNT</t>
        </is>
      </c>
      <c r="H130" s="51" t="inlineStr">
        <is>
          <t>E3</t>
        </is>
      </c>
      <c r="I130" s="51" t="inlineStr">
        <is>
          <t>ON</t>
        </is>
      </c>
      <c r="J130" s="51" t="inlineStr">
        <is>
          <t>FTC</t>
        </is>
      </c>
      <c r="K130" s="51" t="n">
        <v>1</v>
      </c>
      <c r="L130" s="52">
        <f>IF($B130="",0,IF($C130="HZ",1,IFERROR(INDEX('Value Streams &amp; Delivery Mode'!$D$17:$M$22,MATCH($D130,'Value Streams &amp; Delivery Mode'!$B$17:$B$22,0),($B130-1)*2+IF($C130="POD",1,2)),0)))</f>
        <v/>
      </c>
      <c r="M130" s="53">
        <f>IF($B130="",0,$K130*$L130)</f>
        <v/>
      </c>
      <c r="N130" s="54">
        <f>IF($B130="",0,IFERROR(INDEX('Rates &amp; Tables'!$C$61:$G$63,MATCH($I130,'Rates &amp; Tables'!$J$61:$J$63,0),MATCH($H130,'Rates &amp; Tables'!$C$60:$G$60,0)),0))</f>
        <v/>
      </c>
      <c r="O130" s="52">
        <f>IF($B130="",0,$M130*$N130)</f>
        <v/>
      </c>
      <c r="P130" s="49">
        <f>IF($B130="","",$B130&amp;"|"&amp;$G130&amp;"|"&amp;$J130)</f>
        <v/>
      </c>
    </row>
    <row r="131" hidden="1" ht="14.25" customHeight="1">
      <c r="B131" s="51" t="n">
        <v>3</v>
      </c>
      <c r="C131" s="51" t="inlineStr">
        <is>
          <t>HZ</t>
        </is>
      </c>
      <c r="D131" s="51" t="inlineStr">
        <is>
          <t>H1</t>
        </is>
      </c>
      <c r="E131" s="51" t="n">
        <v>8</v>
      </c>
      <c r="F131" s="51" t="inlineStr">
        <is>
          <t>SaaS Administrator — offshore</t>
        </is>
      </c>
      <c r="G131" s="51" t="inlineStr">
        <is>
          <t>MNT</t>
        </is>
      </c>
      <c r="H131" s="51" t="inlineStr">
        <is>
          <t>E2</t>
        </is>
      </c>
      <c r="I131" s="51" t="inlineStr">
        <is>
          <t>OFF</t>
        </is>
      </c>
      <c r="J131" s="51" t="inlineStr">
        <is>
          <t>FTC</t>
        </is>
      </c>
      <c r="K131" s="51" t="n">
        <v>1</v>
      </c>
      <c r="L131" s="52">
        <f>IF($B131="",0,IF($C131="HZ",1,IFERROR(INDEX('Value Streams &amp; Delivery Mode'!$D$17:$M$22,MATCH($D131,'Value Streams &amp; Delivery Mode'!$B$17:$B$22,0),($B131-1)*2+IF($C131="POD",1,2)),0)))</f>
        <v/>
      </c>
      <c r="M131" s="53">
        <f>IF($B131="",0,$K131*$L131)</f>
        <v/>
      </c>
      <c r="N131" s="54">
        <f>IF($B131="",0,IFERROR(INDEX('Rates &amp; Tables'!$C$61:$G$63,MATCH($I131,'Rates &amp; Tables'!$J$61:$J$63,0),MATCH($H131,'Rates &amp; Tables'!$C$60:$G$60,0)),0))</f>
        <v/>
      </c>
      <c r="O131" s="52">
        <f>IF($B131="",0,$M131*$N131)</f>
        <v/>
      </c>
      <c r="P131" s="49">
        <f>IF($B131="","",$B131&amp;"|"&amp;$G131&amp;"|"&amp;$J131)</f>
        <v/>
      </c>
    </row>
    <row r="132" hidden="1" ht="14.25" customHeight="1">
      <c r="B132" s="51" t="n">
        <v>3</v>
      </c>
      <c r="C132" s="51" t="inlineStr">
        <is>
          <t>HZ</t>
        </is>
      </c>
      <c r="D132" s="51" t="inlineStr">
        <is>
          <t>H1</t>
        </is>
      </c>
      <c r="E132" s="51" t="n">
        <v>9</v>
      </c>
      <c r="F132" s="51" t="inlineStr">
        <is>
          <t>Junior Application Support — offshore</t>
        </is>
      </c>
      <c r="G132" s="51" t="inlineStr">
        <is>
          <t>MNT</t>
        </is>
      </c>
      <c r="H132" s="51" t="inlineStr">
        <is>
          <t>E1</t>
        </is>
      </c>
      <c r="I132" s="51" t="inlineStr">
        <is>
          <t>OFF</t>
        </is>
      </c>
      <c r="J132" s="51" t="inlineStr">
        <is>
          <t>FTC</t>
        </is>
      </c>
      <c r="K132" s="51" t="n">
        <v>1</v>
      </c>
      <c r="L132" s="52">
        <f>IF($B132="",0,IF($C132="HZ",1,IFERROR(INDEX('Value Streams &amp; Delivery Mode'!$D$17:$M$22,MATCH($D132,'Value Streams &amp; Delivery Mode'!$B$17:$B$22,0),($B132-1)*2+IF($C132="POD",1,2)),0)))</f>
        <v/>
      </c>
      <c r="M132" s="53">
        <f>IF($B132="",0,$K132*$L132)</f>
        <v/>
      </c>
      <c r="N132" s="54">
        <f>IF($B132="",0,IFERROR(INDEX('Rates &amp; Tables'!$C$61:$G$63,MATCH($I132,'Rates &amp; Tables'!$J$61:$J$63,0),MATCH($H132,'Rates &amp; Tables'!$C$60:$G$60,0)),0))</f>
        <v/>
      </c>
      <c r="O132" s="52">
        <f>IF($B132="",0,$M132*$N132)</f>
        <v/>
      </c>
      <c r="P132" s="49">
        <f>IF($B132="","",$B132&amp;"|"&amp;$G132&amp;"|"&amp;$J132)</f>
        <v/>
      </c>
    </row>
    <row r="133" hidden="1" ht="14.25" customHeight="1">
      <c r="B133" s="51" t="n">
        <v>3</v>
      </c>
      <c r="C133" s="51" t="inlineStr">
        <is>
          <t>HZ</t>
        </is>
      </c>
      <c r="D133" s="51" t="inlineStr">
        <is>
          <t>H1</t>
        </is>
      </c>
      <c r="E133" s="51" t="n">
        <v>10</v>
      </c>
      <c r="F133" s="51" t="inlineStr">
        <is>
          <t>MetLife Operations Analyst</t>
        </is>
      </c>
      <c r="G133" s="51" t="inlineStr">
        <is>
          <t>MNT</t>
        </is>
      </c>
      <c r="H133" s="51" t="inlineStr">
        <is>
          <t>E3</t>
        </is>
      </c>
      <c r="I133" s="51" t="inlineStr">
        <is>
          <t>ON</t>
        </is>
      </c>
      <c r="J133" s="51" t="inlineStr">
        <is>
          <t>FTE</t>
        </is>
      </c>
      <c r="K133" s="51" t="n">
        <v>1.5</v>
      </c>
      <c r="L133" s="52">
        <f>IF($B133="",0,IF($C133="HZ",1,IFERROR(INDEX('Value Streams &amp; Delivery Mode'!$D$17:$M$22,MATCH($D133,'Value Streams &amp; Delivery Mode'!$B$17:$B$22,0),($B133-1)*2+IF($C133="POD",1,2)),0)))</f>
        <v/>
      </c>
      <c r="M133" s="53">
        <f>IF($B133="",0,$K133*$L133)</f>
        <v/>
      </c>
      <c r="N133" s="54">
        <f>IF($B133="",0,IFERROR(INDEX('Rates &amp; Tables'!$C$61:$G$63,MATCH($I133,'Rates &amp; Tables'!$J$61:$J$63,0),MATCH($H133,'Rates &amp; Tables'!$C$60:$G$60,0)),0))</f>
        <v/>
      </c>
      <c r="O133" s="52">
        <f>IF($B133="",0,$M133*$N133)</f>
        <v/>
      </c>
      <c r="P133" s="49">
        <f>IF($B133="","",$B133&amp;"|"&amp;$G133&amp;"|"&amp;$J133)</f>
        <v/>
      </c>
    </row>
    <row r="134" hidden="1" ht="14.25" customHeight="1">
      <c r="B134" s="51" t="n">
        <v>3</v>
      </c>
      <c r="C134" s="51" t="inlineStr">
        <is>
          <t>HZ</t>
        </is>
      </c>
      <c r="D134" s="51" t="inlineStr">
        <is>
          <t>H1</t>
        </is>
      </c>
      <c r="E134" s="51" t="n">
        <v>11</v>
      </c>
      <c r="F134" s="51" t="inlineStr">
        <is>
          <t>MGCC Application Support</t>
        </is>
      </c>
      <c r="G134" s="51" t="inlineStr">
        <is>
          <t>MNT</t>
        </is>
      </c>
      <c r="H134" s="51" t="inlineStr">
        <is>
          <t>E2</t>
        </is>
      </c>
      <c r="I134" s="51" t="inlineStr">
        <is>
          <t>OFF</t>
        </is>
      </c>
      <c r="J134" s="51" t="inlineStr">
        <is>
          <t>MGCC</t>
        </is>
      </c>
      <c r="K134" s="51" t="n">
        <v>0.5</v>
      </c>
      <c r="L134" s="52">
        <f>IF($B134="",0,IF($C134="HZ",1,IFERROR(INDEX('Value Streams &amp; Delivery Mode'!$D$17:$M$22,MATCH($D134,'Value Streams &amp; Delivery Mode'!$B$17:$B$22,0),($B134-1)*2+IF($C134="POD",1,2)),0)))</f>
        <v/>
      </c>
      <c r="M134" s="53">
        <f>IF($B134="",0,$K134*$L134)</f>
        <v/>
      </c>
      <c r="N134" s="54">
        <f>IF($B134="",0,IFERROR(INDEX('Rates &amp; Tables'!$C$61:$G$63,MATCH($I134,'Rates &amp; Tables'!$J$61:$J$63,0),MATCH($H134,'Rates &amp; Tables'!$C$60:$G$60,0)),0))</f>
        <v/>
      </c>
      <c r="O134" s="52">
        <f>IF($B134="",0,$M134*$N134)</f>
        <v/>
      </c>
      <c r="P134" s="49">
        <f>IF($B134="","",$B134&amp;"|"&amp;$G134&amp;"|"&amp;$J134)</f>
        <v/>
      </c>
    </row>
    <row r="135" hidden="1" ht="14.25" customHeight="1">
      <c r="B135" s="51" t="n">
        <v>3</v>
      </c>
      <c r="C135" s="51" t="inlineStr">
        <is>
          <t>HZ</t>
        </is>
      </c>
      <c r="D135" s="51" t="inlineStr">
        <is>
          <t>H2</t>
        </is>
      </c>
      <c r="E135" s="51" t="n">
        <v>12</v>
      </c>
      <c r="F135" s="51" t="inlineStr">
        <is>
          <t>Test Lead / QA Manager</t>
        </is>
      </c>
      <c r="G135" s="51" t="inlineStr">
        <is>
          <t>TEST</t>
        </is>
      </c>
      <c r="H135" s="51" t="inlineStr">
        <is>
          <t>E3</t>
        </is>
      </c>
      <c r="I135" s="51" t="inlineStr">
        <is>
          <t>ON</t>
        </is>
      </c>
      <c r="J135" s="51" t="inlineStr">
        <is>
          <t>FTC</t>
        </is>
      </c>
      <c r="K135" s="51" t="n">
        <v>0.5</v>
      </c>
      <c r="L135" s="52">
        <f>IF($B135="",0,IF($C135="HZ",1,IFERROR(INDEX('Value Streams &amp; Delivery Mode'!$D$17:$M$22,MATCH($D135,'Value Streams &amp; Delivery Mode'!$B$17:$B$22,0),($B135-1)*2+IF($C135="POD",1,2)),0)))</f>
        <v/>
      </c>
      <c r="M135" s="53">
        <f>IF($B135="",0,$K135*$L135)</f>
        <v/>
      </c>
      <c r="N135" s="54">
        <f>IF($B135="",0,IFERROR(INDEX('Rates &amp; Tables'!$C$61:$G$63,MATCH($I135,'Rates &amp; Tables'!$J$61:$J$63,0),MATCH($H135,'Rates &amp; Tables'!$C$60:$G$60,0)),0))</f>
        <v/>
      </c>
      <c r="O135" s="52">
        <f>IF($B135="",0,$M135*$N135)</f>
        <v/>
      </c>
      <c r="P135" s="49">
        <f>IF($B135="","",$B135&amp;"|"&amp;$G135&amp;"|"&amp;$J135)</f>
        <v/>
      </c>
    </row>
    <row r="136" hidden="1" ht="14.25" customHeight="1">
      <c r="B136" s="51" t="n">
        <v>3</v>
      </c>
      <c r="C136" s="51" t="inlineStr">
        <is>
          <t>HZ</t>
        </is>
      </c>
      <c r="D136" s="51" t="inlineStr">
        <is>
          <t>H2</t>
        </is>
      </c>
      <c r="E136" s="51" t="n">
        <v>13</v>
      </c>
      <c r="F136" s="51" t="inlineStr">
        <is>
          <t>MetLife Quality Lead</t>
        </is>
      </c>
      <c r="G136" s="51" t="inlineStr">
        <is>
          <t>TEST</t>
        </is>
      </c>
      <c r="H136" s="51" t="inlineStr">
        <is>
          <t>E3</t>
        </is>
      </c>
      <c r="I136" s="51" t="inlineStr">
        <is>
          <t>ON</t>
        </is>
      </c>
      <c r="J136" s="51" t="inlineStr">
        <is>
          <t>FTE</t>
        </is>
      </c>
      <c r="K136" s="51" t="n">
        <v>1.5</v>
      </c>
      <c r="L136" s="52">
        <f>IF($B136="",0,IF($C136="HZ",1,IFERROR(INDEX('Value Streams &amp; Delivery Mode'!$D$17:$M$22,MATCH($D136,'Value Streams &amp; Delivery Mode'!$B$17:$B$22,0),($B136-1)*2+IF($C136="POD",1,2)),0)))</f>
        <v/>
      </c>
      <c r="M136" s="53">
        <f>IF($B136="",0,$K136*$L136)</f>
        <v/>
      </c>
      <c r="N136" s="54">
        <f>IF($B136="",0,IFERROR(INDEX('Rates &amp; Tables'!$C$61:$G$63,MATCH($I136,'Rates &amp; Tables'!$J$61:$J$63,0),MATCH($H136,'Rates &amp; Tables'!$C$60:$G$60,0)),0))</f>
        <v/>
      </c>
      <c r="O136" s="52">
        <f>IF($B136="",0,$M136*$N136)</f>
        <v/>
      </c>
      <c r="P136" s="49">
        <f>IF($B136="","",$B136&amp;"|"&amp;$G136&amp;"|"&amp;$J136)</f>
        <v/>
      </c>
    </row>
    <row r="137" hidden="1" ht="14.25" customHeight="1">
      <c r="B137" s="51" t="n">
        <v>3</v>
      </c>
      <c r="C137" s="51" t="inlineStr">
        <is>
          <t>HZ</t>
        </is>
      </c>
      <c r="D137" s="51" t="inlineStr">
        <is>
          <t>H2</t>
        </is>
      </c>
      <c r="E137" s="51" t="n">
        <v>14</v>
      </c>
      <c r="F137" s="51" t="inlineStr">
        <is>
          <t>MGCC Test Engineer</t>
        </is>
      </c>
      <c r="G137" s="51" t="inlineStr">
        <is>
          <t>TEST</t>
        </is>
      </c>
      <c r="H137" s="51" t="inlineStr">
        <is>
          <t>E2</t>
        </is>
      </c>
      <c r="I137" s="51" t="inlineStr">
        <is>
          <t>OFF</t>
        </is>
      </c>
      <c r="J137" s="51" t="inlineStr">
        <is>
          <t>MGCC</t>
        </is>
      </c>
      <c r="K137" s="51" t="n">
        <v>0.5</v>
      </c>
      <c r="L137" s="52">
        <f>IF($B137="",0,IF($C137="HZ",1,IFERROR(INDEX('Value Streams &amp; Delivery Mode'!$D$17:$M$22,MATCH($D137,'Value Streams &amp; Delivery Mode'!$B$17:$B$22,0),($B137-1)*2+IF($C137="POD",1,2)),0)))</f>
        <v/>
      </c>
      <c r="M137" s="53">
        <f>IF($B137="",0,$K137*$L137)</f>
        <v/>
      </c>
      <c r="N137" s="54">
        <f>IF($B137="",0,IFERROR(INDEX('Rates &amp; Tables'!$C$61:$G$63,MATCH($I137,'Rates &amp; Tables'!$J$61:$J$63,0),MATCH($H137,'Rates &amp; Tables'!$C$60:$G$60,0)),0))</f>
        <v/>
      </c>
      <c r="O137" s="52">
        <f>IF($B137="",0,$M137*$N137)</f>
        <v/>
      </c>
      <c r="P137" s="49">
        <f>IF($B137="","",$B137&amp;"|"&amp;$G137&amp;"|"&amp;$J137)</f>
        <v/>
      </c>
    </row>
    <row r="138" hidden="1" ht="14.25" customHeight="1">
      <c r="B138" s="51" t="n">
        <v>4</v>
      </c>
      <c r="C138" s="51" t="inlineStr">
        <is>
          <t>POD</t>
        </is>
      </c>
      <c r="D138" s="51" t="n">
        <v>1</v>
      </c>
      <c r="E138" s="51" t="n">
        <v>1</v>
      </c>
      <c r="F138" s="51" t="inlineStr">
        <is>
          <t>MetLife Product Owner</t>
        </is>
      </c>
      <c r="G138" s="51" t="inlineStr">
        <is>
          <t>PM</t>
        </is>
      </c>
      <c r="H138" s="51" t="inlineStr">
        <is>
          <t>E4</t>
        </is>
      </c>
      <c r="I138" s="51" t="inlineStr">
        <is>
          <t>ON</t>
        </is>
      </c>
      <c r="J138" s="51" t="inlineStr">
        <is>
          <t>FTE</t>
        </is>
      </c>
      <c r="K138" s="51" t="n">
        <v>1</v>
      </c>
      <c r="L138" s="52">
        <f>IF($B138="",0,IF($C138="HZ",1,IFERROR(INDEX('Value Streams &amp; Delivery Mode'!$D$17:$M$22,MATCH($D138,'Value Streams &amp; Delivery Mode'!$B$17:$B$22,0),($B138-1)*2+IF($C138="POD",1,2)),0)))</f>
        <v/>
      </c>
      <c r="M138" s="53">
        <f>IF($B138="",0,$K138*$L138)</f>
        <v/>
      </c>
      <c r="N138" s="54">
        <f>IF($B138="",0,IFERROR(INDEX('Rates &amp; Tables'!$C$61:$G$63,MATCH($I138,'Rates &amp; Tables'!$J$61:$J$63,0),MATCH($H138,'Rates &amp; Tables'!$C$60:$G$60,0)),0))</f>
        <v/>
      </c>
      <c r="O138" s="52">
        <f>IF($B138="",0,$M138*$N138)</f>
        <v/>
      </c>
      <c r="P138" s="49">
        <f>IF($B138="","",$B138&amp;"|"&amp;$G138&amp;"|"&amp;$J138)</f>
        <v/>
      </c>
    </row>
    <row r="139" hidden="1" ht="14.25" customHeight="1">
      <c r="B139" s="51" t="n">
        <v>4</v>
      </c>
      <c r="C139" s="51" t="inlineStr">
        <is>
          <t>POD</t>
        </is>
      </c>
      <c r="D139" s="51" t="n">
        <v>1</v>
      </c>
      <c r="E139" s="51" t="n">
        <v>2</v>
      </c>
      <c r="F139" s="51" t="inlineStr">
        <is>
          <t>MetLife Group Policy SME</t>
        </is>
      </c>
      <c r="G139" s="51" t="inlineStr">
        <is>
          <t>BSA</t>
        </is>
      </c>
      <c r="H139" s="51" t="inlineStr">
        <is>
          <t>E4</t>
        </is>
      </c>
      <c r="I139" s="51" t="inlineStr">
        <is>
          <t>ON</t>
        </is>
      </c>
      <c r="J139" s="51" t="inlineStr">
        <is>
          <t>FTE</t>
        </is>
      </c>
      <c r="K139" s="51" t="n">
        <v>0.5</v>
      </c>
      <c r="L139" s="52">
        <f>IF($B139="",0,IF($C139="HZ",1,IFERROR(INDEX('Value Streams &amp; Delivery Mode'!$D$17:$M$22,MATCH($D139,'Value Streams &amp; Delivery Mode'!$B$17:$B$22,0),($B139-1)*2+IF($C139="POD",1,2)),0)))</f>
        <v/>
      </c>
      <c r="M139" s="53">
        <f>IF($B139="",0,$K139*$L139)</f>
        <v/>
      </c>
      <c r="N139" s="54">
        <f>IF($B139="",0,IFERROR(INDEX('Rates &amp; Tables'!$C$61:$G$63,MATCH($I139,'Rates &amp; Tables'!$J$61:$J$63,0),MATCH($H139,'Rates &amp; Tables'!$C$60:$G$60,0)),0))</f>
        <v/>
      </c>
      <c r="O139" s="52">
        <f>IF($B139="",0,$M139*$N139)</f>
        <v/>
      </c>
      <c r="P139" s="49">
        <f>IF($B139="","",$B139&amp;"|"&amp;$G139&amp;"|"&amp;$J139)</f>
        <v/>
      </c>
    </row>
    <row r="140" hidden="1" ht="14.25" customHeight="1">
      <c r="B140" s="51" t="n">
        <v>4</v>
      </c>
      <c r="C140" s="51" t="inlineStr">
        <is>
          <t>POD</t>
        </is>
      </c>
      <c r="D140" s="51" t="n">
        <v>1</v>
      </c>
      <c r="E140" s="51" t="n">
        <v>3</v>
      </c>
      <c r="F140" s="51" t="inlineStr">
        <is>
          <t>FSI Senior Developer (JP)</t>
        </is>
      </c>
      <c r="G140" s="51" t="inlineStr">
        <is>
          <t>DEV</t>
        </is>
      </c>
      <c r="H140" s="51" t="inlineStr">
        <is>
          <t>E3</t>
        </is>
      </c>
      <c r="I140" s="51" t="inlineStr">
        <is>
          <t>ON</t>
        </is>
      </c>
      <c r="J140" s="51" t="inlineStr">
        <is>
          <t>PT</t>
        </is>
      </c>
      <c r="K140" s="51" t="n">
        <v>2</v>
      </c>
      <c r="L140" s="52">
        <f>IF($B140="",0,IF($C140="HZ",1,IFERROR(INDEX('Value Streams &amp; Delivery Mode'!$D$17:$M$22,MATCH($D140,'Value Streams &amp; Delivery Mode'!$B$17:$B$22,0),($B140-1)*2+IF($C140="POD",1,2)),0)))</f>
        <v/>
      </c>
      <c r="M140" s="53">
        <f>IF($B140="",0,$K140*$L140)</f>
        <v/>
      </c>
      <c r="N140" s="54">
        <f>IF($B140="",0,IFERROR(INDEX('Rates &amp; Tables'!$C$61:$G$63,MATCH($I140,'Rates &amp; Tables'!$J$61:$J$63,0),MATCH($H140,'Rates &amp; Tables'!$C$60:$G$60,0)),0))</f>
        <v/>
      </c>
      <c r="O140" s="52">
        <f>IF($B140="",0,$M140*$N140)</f>
        <v/>
      </c>
      <c r="P140" s="49">
        <f>IF($B140="","",$B140&amp;"|"&amp;$G140&amp;"|"&amp;$J140)</f>
        <v/>
      </c>
    </row>
    <row r="141" hidden="1" ht="14.25" customHeight="1">
      <c r="B141" s="51" t="n">
        <v>4</v>
      </c>
      <c r="C141" s="51" t="inlineStr">
        <is>
          <t>POD</t>
        </is>
      </c>
      <c r="D141" s="51" t="n">
        <v>1</v>
      </c>
      <c r="E141" s="51" t="n">
        <v>4</v>
      </c>
      <c r="F141" s="51" t="inlineStr">
        <is>
          <t>Pod lead / senior engineer</t>
        </is>
      </c>
      <c r="G141" s="51" t="inlineStr">
        <is>
          <t>DEV</t>
        </is>
      </c>
      <c r="H141" s="51" t="inlineStr">
        <is>
          <t>E3</t>
        </is>
      </c>
      <c r="I141" s="51" t="inlineStr">
        <is>
          <t>ON</t>
        </is>
      </c>
      <c r="J141" s="51" t="inlineStr">
        <is>
          <t>FTC</t>
        </is>
      </c>
      <c r="K141" s="51" t="n">
        <v>1</v>
      </c>
      <c r="L141" s="52">
        <f>IF($B141="",0,IF($C141="HZ",1,IFERROR(INDEX('Value Streams &amp; Delivery Mode'!$D$17:$M$22,MATCH($D141,'Value Streams &amp; Delivery Mode'!$B$17:$B$22,0),($B141-1)*2+IF($C141="POD",1,2)),0)))</f>
        <v/>
      </c>
      <c r="M141" s="53">
        <f>IF($B141="",0,$K141*$L141)</f>
        <v/>
      </c>
      <c r="N141" s="54">
        <f>IF($B141="",0,IFERROR(INDEX('Rates &amp; Tables'!$C$61:$G$63,MATCH($I141,'Rates &amp; Tables'!$J$61:$J$63,0),MATCH($H141,'Rates &amp; Tables'!$C$60:$G$60,0)),0))</f>
        <v/>
      </c>
      <c r="O141" s="52">
        <f>IF($B141="",0,$M141*$N141)</f>
        <v/>
      </c>
      <c r="P141" s="49">
        <f>IF($B141="","",$B141&amp;"|"&amp;$G141&amp;"|"&amp;$J141)</f>
        <v/>
      </c>
    </row>
    <row r="142" hidden="1" ht="14.25" customHeight="1">
      <c r="B142" s="51" t="n">
        <v>4</v>
      </c>
      <c r="C142" s="51" t="inlineStr">
        <is>
          <t>POD</t>
        </is>
      </c>
      <c r="D142" s="51" t="n">
        <v>1</v>
      </c>
      <c r="E142" s="51" t="n">
        <v>5</v>
      </c>
      <c r="F142" s="51" t="inlineStr">
        <is>
          <t>Junior Application Support — offshore</t>
        </is>
      </c>
      <c r="G142" s="51" t="inlineStr">
        <is>
          <t>MNT</t>
        </is>
      </c>
      <c r="H142" s="51" t="inlineStr">
        <is>
          <t>E1</t>
        </is>
      </c>
      <c r="I142" s="51" t="inlineStr">
        <is>
          <t>OFF</t>
        </is>
      </c>
      <c r="J142" s="51" t="inlineStr">
        <is>
          <t>FTC</t>
        </is>
      </c>
      <c r="K142" s="51" t="n">
        <v>0.5</v>
      </c>
      <c r="L142" s="52">
        <f>IF($B142="",0,IF($C142="HZ",1,IFERROR(INDEX('Value Streams &amp; Delivery Mode'!$D$17:$M$22,MATCH($D142,'Value Streams &amp; Delivery Mode'!$B$17:$B$22,0),($B142-1)*2+IF($C142="POD",1,2)),0)))</f>
        <v/>
      </c>
      <c r="M142" s="53">
        <f>IF($B142="",0,$K142*$L142)</f>
        <v/>
      </c>
      <c r="N142" s="54">
        <f>IF($B142="",0,IFERROR(INDEX('Rates &amp; Tables'!$C$61:$G$63,MATCH($I142,'Rates &amp; Tables'!$J$61:$J$63,0),MATCH($H142,'Rates &amp; Tables'!$C$60:$G$60,0)),0))</f>
        <v/>
      </c>
      <c r="O142" s="52">
        <f>IF($B142="",0,$M142*$N142)</f>
        <v/>
      </c>
      <c r="P142" s="49">
        <f>IF($B142="","",$B142&amp;"|"&amp;$G142&amp;"|"&amp;$J142)</f>
        <v/>
      </c>
    </row>
    <row r="143" hidden="1" ht="14.25" customHeight="1">
      <c r="B143" s="51" t="n">
        <v>4</v>
      </c>
      <c r="C143" s="51" t="inlineStr">
        <is>
          <t>POD</t>
        </is>
      </c>
      <c r="D143" s="51" t="n">
        <v>1</v>
      </c>
      <c r="E143" s="51" t="n">
        <v>6</v>
      </c>
      <c r="F143" s="51" t="inlineStr">
        <is>
          <t>MGCC Commission Engineer</t>
        </is>
      </c>
      <c r="G143" s="51" t="inlineStr">
        <is>
          <t>DEV</t>
        </is>
      </c>
      <c r="H143" s="51" t="inlineStr">
        <is>
          <t>E3</t>
        </is>
      </c>
      <c r="I143" s="51" t="inlineStr">
        <is>
          <t>OFF</t>
        </is>
      </c>
      <c r="J143" s="51" t="inlineStr">
        <is>
          <t>MGCC</t>
        </is>
      </c>
      <c r="K143" s="51" t="n">
        <v>0.5</v>
      </c>
      <c r="L143" s="52">
        <f>IF($B143="",0,IF($C143="HZ",1,IFERROR(INDEX('Value Streams &amp; Delivery Mode'!$D$17:$M$22,MATCH($D143,'Value Streams &amp; Delivery Mode'!$B$17:$B$22,0),($B143-1)*2+IF($C143="POD",1,2)),0)))</f>
        <v/>
      </c>
      <c r="M143" s="53">
        <f>IF($B143="",0,$K143*$L143)</f>
        <v/>
      </c>
      <c r="N143" s="54">
        <f>IF($B143="",0,IFERROR(INDEX('Rates &amp; Tables'!$C$61:$G$63,MATCH($I143,'Rates &amp; Tables'!$J$61:$J$63,0),MATCH($H143,'Rates &amp; Tables'!$C$60:$G$60,0)),0))</f>
        <v/>
      </c>
      <c r="O143" s="52">
        <f>IF($B143="",0,$M143*$N143)</f>
        <v/>
      </c>
      <c r="P143" s="49">
        <f>IF($B143="","",$B143&amp;"|"&amp;$G143&amp;"|"&amp;$J143)</f>
        <v/>
      </c>
    </row>
    <row r="144" hidden="1" ht="14.25" customHeight="1">
      <c r="B144" s="51" t="n">
        <v>4</v>
      </c>
      <c r="C144" s="51" t="inlineStr">
        <is>
          <t>POD</t>
        </is>
      </c>
      <c r="D144" s="51" t="n">
        <v>1</v>
      </c>
      <c r="E144" s="51" t="n">
        <v>7</v>
      </c>
      <c r="F144" s="51" t="inlineStr">
        <is>
          <t>MGCC Test Engineer</t>
        </is>
      </c>
      <c r="G144" s="51" t="inlineStr">
        <is>
          <t>TEST</t>
        </is>
      </c>
      <c r="H144" s="51" t="inlineStr">
        <is>
          <t>E2</t>
        </is>
      </c>
      <c r="I144" s="51" t="inlineStr">
        <is>
          <t>OFF</t>
        </is>
      </c>
      <c r="J144" s="51" t="inlineStr">
        <is>
          <t>MGCC</t>
        </is>
      </c>
      <c r="K144" s="51" t="n">
        <v>0.5</v>
      </c>
      <c r="L144" s="52">
        <f>IF($B144="",0,IF($C144="HZ",1,IFERROR(INDEX('Value Streams &amp; Delivery Mode'!$D$17:$M$22,MATCH($D144,'Value Streams &amp; Delivery Mode'!$B$17:$B$22,0),($B144-1)*2+IF($C144="POD",1,2)),0)))</f>
        <v/>
      </c>
      <c r="M144" s="53">
        <f>IF($B144="",0,$K144*$L144)</f>
        <v/>
      </c>
      <c r="N144" s="54">
        <f>IF($B144="",0,IFERROR(INDEX('Rates &amp; Tables'!$C$61:$G$63,MATCH($I144,'Rates &amp; Tables'!$J$61:$J$63,0),MATCH($H144,'Rates &amp; Tables'!$C$60:$G$60,0)),0))</f>
        <v/>
      </c>
      <c r="O144" s="52">
        <f>IF($B144="",0,$M144*$N144)</f>
        <v/>
      </c>
      <c r="P144" s="49">
        <f>IF($B144="","",$B144&amp;"|"&amp;$G144&amp;"|"&amp;$J144)</f>
        <v/>
      </c>
    </row>
    <row r="145" hidden="1" ht="14.25" customHeight="1">
      <c r="B145" s="51" t="n">
        <v>4</v>
      </c>
      <c r="C145" s="51" t="inlineStr">
        <is>
          <t>POD</t>
        </is>
      </c>
      <c r="D145" s="51" t="n">
        <v>2</v>
      </c>
      <c r="E145" s="51" t="n">
        <v>1</v>
      </c>
      <c r="F145" s="51" t="inlineStr">
        <is>
          <t>MetLife Product Owner</t>
        </is>
      </c>
      <c r="G145" s="51" t="inlineStr">
        <is>
          <t>PM</t>
        </is>
      </c>
      <c r="H145" s="51" t="inlineStr">
        <is>
          <t>E4</t>
        </is>
      </c>
      <c r="I145" s="51" t="inlineStr">
        <is>
          <t>ON</t>
        </is>
      </c>
      <c r="J145" s="51" t="inlineStr">
        <is>
          <t>FTE</t>
        </is>
      </c>
      <c r="K145" s="51" t="n">
        <v>1</v>
      </c>
      <c r="L145" s="52">
        <f>IF($B145="",0,IF($C145="HZ",1,IFERROR(INDEX('Value Streams &amp; Delivery Mode'!$D$17:$M$22,MATCH($D145,'Value Streams &amp; Delivery Mode'!$B$17:$B$22,0),($B145-1)*2+IF($C145="POD",1,2)),0)))</f>
        <v/>
      </c>
      <c r="M145" s="53">
        <f>IF($B145="",0,$K145*$L145)</f>
        <v/>
      </c>
      <c r="N145" s="54">
        <f>IF($B145="",0,IFERROR(INDEX('Rates &amp; Tables'!$C$61:$G$63,MATCH($I145,'Rates &amp; Tables'!$J$61:$J$63,0),MATCH($H145,'Rates &amp; Tables'!$C$60:$G$60,0)),0))</f>
        <v/>
      </c>
      <c r="O145" s="52">
        <f>IF($B145="",0,$M145*$N145)</f>
        <v/>
      </c>
      <c r="P145" s="49">
        <f>IF($B145="","",$B145&amp;"|"&amp;$G145&amp;"|"&amp;$J145)</f>
        <v/>
      </c>
    </row>
    <row r="146" hidden="1" ht="14.25" customHeight="1">
      <c r="B146" s="51" t="n">
        <v>4</v>
      </c>
      <c r="C146" s="51" t="inlineStr">
        <is>
          <t>POD</t>
        </is>
      </c>
      <c r="D146" s="51" t="n">
        <v>2</v>
      </c>
      <c r="E146" s="51" t="n">
        <v>2</v>
      </c>
      <c r="F146" s="51" t="inlineStr">
        <is>
          <t>MetLife Compliance SME</t>
        </is>
      </c>
      <c r="G146" s="51" t="inlineStr">
        <is>
          <t>BSA</t>
        </is>
      </c>
      <c r="H146" s="51" t="inlineStr">
        <is>
          <t>E4</t>
        </is>
      </c>
      <c r="I146" s="51" t="inlineStr">
        <is>
          <t>ON</t>
        </is>
      </c>
      <c r="J146" s="51" t="inlineStr">
        <is>
          <t>FTE</t>
        </is>
      </c>
      <c r="K146" s="51" t="n">
        <v>0.5</v>
      </c>
      <c r="L146" s="52">
        <f>IF($B146="",0,IF($C146="HZ",1,IFERROR(INDEX('Value Streams &amp; Delivery Mode'!$D$17:$M$22,MATCH($D146,'Value Streams &amp; Delivery Mode'!$B$17:$B$22,0),($B146-1)*2+IF($C146="POD",1,2)),0)))</f>
        <v/>
      </c>
      <c r="M146" s="53">
        <f>IF($B146="",0,$K146*$L146)</f>
        <v/>
      </c>
      <c r="N146" s="54">
        <f>IF($B146="",0,IFERROR(INDEX('Rates &amp; Tables'!$C$61:$G$63,MATCH($I146,'Rates &amp; Tables'!$J$61:$J$63,0),MATCH($H146,'Rates &amp; Tables'!$C$60:$G$60,0)),0))</f>
        <v/>
      </c>
      <c r="O146" s="52">
        <f>IF($B146="",0,$M146*$N146)</f>
        <v/>
      </c>
      <c r="P146" s="49">
        <f>IF($B146="","",$B146&amp;"|"&amp;$G146&amp;"|"&amp;$J146)</f>
        <v/>
      </c>
    </row>
    <row r="147" hidden="1" ht="14.25" customHeight="1">
      <c r="B147" s="51" t="n">
        <v>4</v>
      </c>
      <c r="C147" s="51" t="inlineStr">
        <is>
          <t>POD</t>
        </is>
      </c>
      <c r="D147" s="51" t="n">
        <v>2</v>
      </c>
      <c r="E147" s="51" t="n">
        <v>3</v>
      </c>
      <c r="F147" s="51" t="inlineStr">
        <is>
          <t>FSI Senior Developer (JP)</t>
        </is>
      </c>
      <c r="G147" s="51" t="inlineStr">
        <is>
          <t>DEV</t>
        </is>
      </c>
      <c r="H147" s="51" t="inlineStr">
        <is>
          <t>E3</t>
        </is>
      </c>
      <c r="I147" s="51" t="inlineStr">
        <is>
          <t>ON</t>
        </is>
      </c>
      <c r="J147" s="51" t="inlineStr">
        <is>
          <t>PT</t>
        </is>
      </c>
      <c r="K147" s="51" t="n">
        <v>1</v>
      </c>
      <c r="L147" s="52">
        <f>IF($B147="",0,IF($C147="HZ",1,IFERROR(INDEX('Value Streams &amp; Delivery Mode'!$D$17:$M$22,MATCH($D147,'Value Streams &amp; Delivery Mode'!$B$17:$B$22,0),($B147-1)*2+IF($C147="POD",1,2)),0)))</f>
        <v/>
      </c>
      <c r="M147" s="53">
        <f>IF($B147="",0,$K147*$L147)</f>
        <v/>
      </c>
      <c r="N147" s="54">
        <f>IF($B147="",0,IFERROR(INDEX('Rates &amp; Tables'!$C$61:$G$63,MATCH($I147,'Rates &amp; Tables'!$J$61:$J$63,0),MATCH($H147,'Rates &amp; Tables'!$C$60:$G$60,0)),0))</f>
        <v/>
      </c>
      <c r="O147" s="52">
        <f>IF($B147="",0,$M147*$N147)</f>
        <v/>
      </c>
      <c r="P147" s="49">
        <f>IF($B147="","",$B147&amp;"|"&amp;$G147&amp;"|"&amp;$J147)</f>
        <v/>
      </c>
    </row>
    <row r="148" hidden="1" ht="14.25" customHeight="1">
      <c r="B148" s="51" t="n">
        <v>4</v>
      </c>
      <c r="C148" s="51" t="inlineStr">
        <is>
          <t>POD</t>
        </is>
      </c>
      <c r="D148" s="51" t="n">
        <v>2</v>
      </c>
      <c r="E148" s="51" t="n">
        <v>4</v>
      </c>
      <c r="F148" s="51" t="inlineStr">
        <is>
          <t>Pod lead / senior engineer</t>
        </is>
      </c>
      <c r="G148" s="51" t="inlineStr">
        <is>
          <t>DEV</t>
        </is>
      </c>
      <c r="H148" s="51" t="inlineStr">
        <is>
          <t>E4</t>
        </is>
      </c>
      <c r="I148" s="51" t="inlineStr">
        <is>
          <t>ON</t>
        </is>
      </c>
      <c r="J148" s="51" t="inlineStr">
        <is>
          <t>FTC</t>
        </is>
      </c>
      <c r="K148" s="51" t="n">
        <v>1</v>
      </c>
      <c r="L148" s="52">
        <f>IF($B148="",0,IF($C148="HZ",1,IFERROR(INDEX('Value Streams &amp; Delivery Mode'!$D$17:$M$22,MATCH($D148,'Value Streams &amp; Delivery Mode'!$B$17:$B$22,0),($B148-1)*2+IF($C148="POD",1,2)),0)))</f>
        <v/>
      </c>
      <c r="M148" s="53">
        <f>IF($B148="",0,$K148*$L148)</f>
        <v/>
      </c>
      <c r="N148" s="54">
        <f>IF($B148="",0,IFERROR(INDEX('Rates &amp; Tables'!$C$61:$G$63,MATCH($I148,'Rates &amp; Tables'!$J$61:$J$63,0),MATCH($H148,'Rates &amp; Tables'!$C$60:$G$60,0)),0))</f>
        <v/>
      </c>
      <c r="O148" s="52">
        <f>IF($B148="",0,$M148*$N148)</f>
        <v/>
      </c>
      <c r="P148" s="49">
        <f>IF($B148="","",$B148&amp;"|"&amp;$G148&amp;"|"&amp;$J148)</f>
        <v/>
      </c>
    </row>
    <row r="149" hidden="1" ht="14.25" customHeight="1">
      <c r="B149" s="51" t="n">
        <v>4</v>
      </c>
      <c r="C149" s="51" t="inlineStr">
        <is>
          <t>POD</t>
        </is>
      </c>
      <c r="D149" s="51" t="n">
        <v>2</v>
      </c>
      <c r="E149" s="51" t="n">
        <v>5</v>
      </c>
      <c r="F149" s="51" t="inlineStr">
        <is>
          <t>Junior .NET Developer — offshore</t>
        </is>
      </c>
      <c r="G149" s="51" t="inlineStr">
        <is>
          <t>DEV</t>
        </is>
      </c>
      <c r="H149" s="51" t="inlineStr">
        <is>
          <t>E2</t>
        </is>
      </c>
      <c r="I149" s="51" t="inlineStr">
        <is>
          <t>OFF</t>
        </is>
      </c>
      <c r="J149" s="51" t="inlineStr">
        <is>
          <t>FTC</t>
        </is>
      </c>
      <c r="K149" s="51" t="n">
        <v>1</v>
      </c>
      <c r="L149" s="52">
        <f>IF($B149="",0,IF($C149="HZ",1,IFERROR(INDEX('Value Streams &amp; Delivery Mode'!$D$17:$M$22,MATCH($D149,'Value Streams &amp; Delivery Mode'!$B$17:$B$22,0),($B149-1)*2+IF($C149="POD",1,2)),0)))</f>
        <v/>
      </c>
      <c r="M149" s="53">
        <f>IF($B149="",0,$K149*$L149)</f>
        <v/>
      </c>
      <c r="N149" s="54">
        <f>IF($B149="",0,IFERROR(INDEX('Rates &amp; Tables'!$C$61:$G$63,MATCH($I149,'Rates &amp; Tables'!$J$61:$J$63,0),MATCH($H149,'Rates &amp; Tables'!$C$60:$G$60,0)),0))</f>
        <v/>
      </c>
      <c r="O149" s="52">
        <f>IF($B149="",0,$M149*$N149)</f>
        <v/>
      </c>
      <c r="P149" s="49">
        <f>IF($B149="","",$B149&amp;"|"&amp;$G149&amp;"|"&amp;$J149)</f>
        <v/>
      </c>
    </row>
    <row r="150" hidden="1" ht="14.25" customHeight="1">
      <c r="B150" s="51" t="n">
        <v>4</v>
      </c>
      <c r="C150" s="51" t="inlineStr">
        <is>
          <t>POD</t>
        </is>
      </c>
      <c r="D150" s="51" t="n">
        <v>2</v>
      </c>
      <c r="E150" s="51" t="n">
        <v>6</v>
      </c>
      <c r="F150" s="51" t="inlineStr">
        <is>
          <t>Junior Application Support — offshore</t>
        </is>
      </c>
      <c r="G150" s="51" t="inlineStr">
        <is>
          <t>MNT</t>
        </is>
      </c>
      <c r="H150" s="51" t="inlineStr">
        <is>
          <t>E1</t>
        </is>
      </c>
      <c r="I150" s="51" t="inlineStr">
        <is>
          <t>OFF</t>
        </is>
      </c>
      <c r="J150" s="51" t="inlineStr">
        <is>
          <t>FTC</t>
        </is>
      </c>
      <c r="K150" s="51" t="n">
        <v>0.5</v>
      </c>
      <c r="L150" s="52">
        <f>IF($B150="",0,IF($C150="HZ",1,IFERROR(INDEX('Value Streams &amp; Delivery Mode'!$D$17:$M$22,MATCH($D150,'Value Streams &amp; Delivery Mode'!$B$17:$B$22,0),($B150-1)*2+IF($C150="POD",1,2)),0)))</f>
        <v/>
      </c>
      <c r="M150" s="53">
        <f>IF($B150="",0,$K150*$L150)</f>
        <v/>
      </c>
      <c r="N150" s="54">
        <f>IF($B150="",0,IFERROR(INDEX('Rates &amp; Tables'!$C$61:$G$63,MATCH($I150,'Rates &amp; Tables'!$J$61:$J$63,0),MATCH($H150,'Rates &amp; Tables'!$C$60:$G$60,0)),0))</f>
        <v/>
      </c>
      <c r="O150" s="52">
        <f>IF($B150="",0,$M150*$N150)</f>
        <v/>
      </c>
      <c r="P150" s="49">
        <f>IF($B150="","",$B150&amp;"|"&amp;$G150&amp;"|"&amp;$J150)</f>
        <v/>
      </c>
    </row>
    <row r="151" hidden="1" ht="14.25" customHeight="1">
      <c r="B151" s="51" t="n">
        <v>4</v>
      </c>
      <c r="C151" s="51" t="inlineStr">
        <is>
          <t>POD</t>
        </is>
      </c>
      <c r="D151" s="51" t="n">
        <v>2</v>
      </c>
      <c r="E151" s="51" t="n">
        <v>7</v>
      </c>
      <c r="F151" s="51" t="inlineStr">
        <is>
          <t>MGCC Commission Engineer</t>
        </is>
      </c>
      <c r="G151" s="51" t="inlineStr">
        <is>
          <t>DEV</t>
        </is>
      </c>
      <c r="H151" s="51" t="inlineStr">
        <is>
          <t>E3</t>
        </is>
      </c>
      <c r="I151" s="51" t="inlineStr">
        <is>
          <t>OFF</t>
        </is>
      </c>
      <c r="J151" s="51" t="inlineStr">
        <is>
          <t>MGCC</t>
        </is>
      </c>
      <c r="K151" s="51" t="n">
        <v>0.5</v>
      </c>
      <c r="L151" s="52">
        <f>IF($B151="",0,IF($C151="HZ",1,IFERROR(INDEX('Value Streams &amp; Delivery Mode'!$D$17:$M$22,MATCH($D151,'Value Streams &amp; Delivery Mode'!$B$17:$B$22,0),($B151-1)*2+IF($C151="POD",1,2)),0)))</f>
        <v/>
      </c>
      <c r="M151" s="53">
        <f>IF($B151="",0,$K151*$L151)</f>
        <v/>
      </c>
      <c r="N151" s="54">
        <f>IF($B151="",0,IFERROR(INDEX('Rates &amp; Tables'!$C$61:$G$63,MATCH($I151,'Rates &amp; Tables'!$J$61:$J$63,0),MATCH($H151,'Rates &amp; Tables'!$C$60:$G$60,0)),0))</f>
        <v/>
      </c>
      <c r="O151" s="52">
        <f>IF($B151="",0,$M151*$N151)</f>
        <v/>
      </c>
      <c r="P151" s="49">
        <f>IF($B151="","",$B151&amp;"|"&amp;$G151&amp;"|"&amp;$J151)</f>
        <v/>
      </c>
    </row>
    <row r="152" hidden="1" ht="14.25" customHeight="1">
      <c r="B152" s="51" t="n">
        <v>4</v>
      </c>
      <c r="C152" s="51" t="inlineStr">
        <is>
          <t>POD</t>
        </is>
      </c>
      <c r="D152" s="51" t="n">
        <v>2</v>
      </c>
      <c r="E152" s="51" t="n">
        <v>8</v>
      </c>
      <c r="F152" s="51" t="inlineStr">
        <is>
          <t>MGCC Test Engineer</t>
        </is>
      </c>
      <c r="G152" s="51" t="inlineStr">
        <is>
          <t>TEST</t>
        </is>
      </c>
      <c r="H152" s="51" t="inlineStr">
        <is>
          <t>E2</t>
        </is>
      </c>
      <c r="I152" s="51" t="inlineStr">
        <is>
          <t>OFF</t>
        </is>
      </c>
      <c r="J152" s="51" t="inlineStr">
        <is>
          <t>MGCC</t>
        </is>
      </c>
      <c r="K152" s="51" t="n">
        <v>0.5</v>
      </c>
      <c r="L152" s="52">
        <f>IF($B152="",0,IF($C152="HZ",1,IFERROR(INDEX('Value Streams &amp; Delivery Mode'!$D$17:$M$22,MATCH($D152,'Value Streams &amp; Delivery Mode'!$B$17:$B$22,0),($B152-1)*2+IF($C152="POD",1,2)),0)))</f>
        <v/>
      </c>
      <c r="M152" s="53">
        <f>IF($B152="",0,$K152*$L152)</f>
        <v/>
      </c>
      <c r="N152" s="54">
        <f>IF($B152="",0,IFERROR(INDEX('Rates &amp; Tables'!$C$61:$G$63,MATCH($I152,'Rates &amp; Tables'!$J$61:$J$63,0),MATCH($H152,'Rates &amp; Tables'!$C$60:$G$60,0)),0))</f>
        <v/>
      </c>
      <c r="O152" s="52">
        <f>IF($B152="",0,$M152*$N152)</f>
        <v/>
      </c>
      <c r="P152" s="49">
        <f>IF($B152="","",$B152&amp;"|"&amp;$G152&amp;"|"&amp;$J152)</f>
        <v/>
      </c>
    </row>
    <row r="153" hidden="1" ht="14.25" customHeight="1">
      <c r="B153" s="51" t="n">
        <v>4</v>
      </c>
      <c r="C153" s="51" t="inlineStr">
        <is>
          <t>POD</t>
        </is>
      </c>
      <c r="D153" s="51" t="n">
        <v>3</v>
      </c>
      <c r="E153" s="51" t="n">
        <v>1</v>
      </c>
      <c r="F153" s="51" t="inlineStr">
        <is>
          <t>MetLife Product Owner</t>
        </is>
      </c>
      <c r="G153" s="51" t="inlineStr">
        <is>
          <t>PM</t>
        </is>
      </c>
      <c r="H153" s="51" t="inlineStr">
        <is>
          <t>E4</t>
        </is>
      </c>
      <c r="I153" s="51" t="inlineStr">
        <is>
          <t>ON</t>
        </is>
      </c>
      <c r="J153" s="51" t="inlineStr">
        <is>
          <t>FTE</t>
        </is>
      </c>
      <c r="K153" s="51" t="n">
        <v>1</v>
      </c>
      <c r="L153" s="52">
        <f>IF($B153="",0,IF($C153="HZ",1,IFERROR(INDEX('Value Streams &amp; Delivery Mode'!$D$17:$M$22,MATCH($D153,'Value Streams &amp; Delivery Mode'!$B$17:$B$22,0),($B153-1)*2+IF($C153="POD",1,2)),0)))</f>
        <v/>
      </c>
      <c r="M153" s="53">
        <f>IF($B153="",0,$K153*$L153)</f>
        <v/>
      </c>
      <c r="N153" s="54">
        <f>IF($B153="",0,IFERROR(INDEX('Rates &amp; Tables'!$C$61:$G$63,MATCH($I153,'Rates &amp; Tables'!$J$61:$J$63,0),MATCH($H153,'Rates &amp; Tables'!$C$60:$G$60,0)),0))</f>
        <v/>
      </c>
      <c r="O153" s="52">
        <f>IF($B153="",0,$M153*$N153)</f>
        <v/>
      </c>
      <c r="P153" s="49">
        <f>IF($B153="","",$B153&amp;"|"&amp;$G153&amp;"|"&amp;$J153)</f>
        <v/>
      </c>
    </row>
    <row r="154" hidden="1" ht="14.25" customHeight="1">
      <c r="B154" s="51" t="n">
        <v>4</v>
      </c>
      <c r="C154" s="51" t="inlineStr">
        <is>
          <t>POD</t>
        </is>
      </c>
      <c r="D154" s="51" t="n">
        <v>3</v>
      </c>
      <c r="E154" s="51" t="n">
        <v>2</v>
      </c>
      <c r="F154" s="51" t="inlineStr">
        <is>
          <t>MetLife Corporate SME</t>
        </is>
      </c>
      <c r="G154" s="51" t="inlineStr">
        <is>
          <t>BSA</t>
        </is>
      </c>
      <c r="H154" s="51" t="inlineStr">
        <is>
          <t>E4</t>
        </is>
      </c>
      <c r="I154" s="51" t="inlineStr">
        <is>
          <t>ON</t>
        </is>
      </c>
      <c r="J154" s="51" t="inlineStr">
        <is>
          <t>FTE</t>
        </is>
      </c>
      <c r="K154" s="51" t="n">
        <v>0.5</v>
      </c>
      <c r="L154" s="52">
        <f>IF($B154="",0,IF($C154="HZ",1,IFERROR(INDEX('Value Streams &amp; Delivery Mode'!$D$17:$M$22,MATCH($D154,'Value Streams &amp; Delivery Mode'!$B$17:$B$22,0),($B154-1)*2+IF($C154="POD",1,2)),0)))</f>
        <v/>
      </c>
      <c r="M154" s="53">
        <f>IF($B154="",0,$K154*$L154)</f>
        <v/>
      </c>
      <c r="N154" s="54">
        <f>IF($B154="",0,IFERROR(INDEX('Rates &amp; Tables'!$C$61:$G$63,MATCH($I154,'Rates &amp; Tables'!$J$61:$J$63,0),MATCH($H154,'Rates &amp; Tables'!$C$60:$G$60,0)),0))</f>
        <v/>
      </c>
      <c r="O154" s="52">
        <f>IF($B154="",0,$M154*$N154)</f>
        <v/>
      </c>
      <c r="P154" s="49">
        <f>IF($B154="","",$B154&amp;"|"&amp;$G154&amp;"|"&amp;$J154)</f>
        <v/>
      </c>
    </row>
    <row r="155" hidden="1" ht="14.25" customHeight="1">
      <c r="B155" s="51" t="n">
        <v>4</v>
      </c>
      <c r="C155" s="51" t="inlineStr">
        <is>
          <t>POD</t>
        </is>
      </c>
      <c r="D155" s="51" t="n">
        <v>3</v>
      </c>
      <c r="E155" s="51" t="n">
        <v>3</v>
      </c>
      <c r="F155" s="51" t="inlineStr">
        <is>
          <t>Pod lead / senior engineer</t>
        </is>
      </c>
      <c r="G155" s="51" t="inlineStr">
        <is>
          <t>DEV</t>
        </is>
      </c>
      <c r="H155" s="51" t="inlineStr">
        <is>
          <t>E3</t>
        </is>
      </c>
      <c r="I155" s="51" t="inlineStr">
        <is>
          <t>ON</t>
        </is>
      </c>
      <c r="J155" s="51" t="inlineStr">
        <is>
          <t>FTC</t>
        </is>
      </c>
      <c r="K155" s="51" t="n">
        <v>1</v>
      </c>
      <c r="L155" s="52">
        <f>IF($B155="",0,IF($C155="HZ",1,IFERROR(INDEX('Value Streams &amp; Delivery Mode'!$D$17:$M$22,MATCH($D155,'Value Streams &amp; Delivery Mode'!$B$17:$B$22,0),($B155-1)*2+IF($C155="POD",1,2)),0)))</f>
        <v/>
      </c>
      <c r="M155" s="53">
        <f>IF($B155="",0,$K155*$L155)</f>
        <v/>
      </c>
      <c r="N155" s="54">
        <f>IF($B155="",0,IFERROR(INDEX('Rates &amp; Tables'!$C$61:$G$63,MATCH($I155,'Rates &amp; Tables'!$J$61:$J$63,0),MATCH($H155,'Rates &amp; Tables'!$C$60:$G$60,0)),0))</f>
        <v/>
      </c>
      <c r="O155" s="52">
        <f>IF($B155="",0,$M155*$N155)</f>
        <v/>
      </c>
      <c r="P155" s="49">
        <f>IF($B155="","",$B155&amp;"|"&amp;$G155&amp;"|"&amp;$J155)</f>
        <v/>
      </c>
    </row>
    <row r="156" hidden="1" ht="14.25" customHeight="1">
      <c r="B156" s="51" t="n">
        <v>4</v>
      </c>
      <c r="C156" s="51" t="inlineStr">
        <is>
          <t>POD</t>
        </is>
      </c>
      <c r="D156" s="51" t="n">
        <v>3</v>
      </c>
      <c r="E156" s="51" t="n">
        <v>4</v>
      </c>
      <c r="F156" s="51" t="inlineStr">
        <is>
          <t>Junior Java Developer — offshore</t>
        </is>
      </c>
      <c r="G156" s="51" t="inlineStr">
        <is>
          <t>DEV</t>
        </is>
      </c>
      <c r="H156" s="51" t="inlineStr">
        <is>
          <t>E2</t>
        </is>
      </c>
      <c r="I156" s="51" t="inlineStr">
        <is>
          <t>OFF</t>
        </is>
      </c>
      <c r="J156" s="51" t="inlineStr">
        <is>
          <t>FTC</t>
        </is>
      </c>
      <c r="K156" s="51" t="n">
        <v>1.5</v>
      </c>
      <c r="L156" s="52">
        <f>IF($B156="",0,IF($C156="HZ",1,IFERROR(INDEX('Value Streams &amp; Delivery Mode'!$D$17:$M$22,MATCH($D156,'Value Streams &amp; Delivery Mode'!$B$17:$B$22,0),($B156-1)*2+IF($C156="POD",1,2)),0)))</f>
        <v/>
      </c>
      <c r="M156" s="53">
        <f>IF($B156="",0,$K156*$L156)</f>
        <v/>
      </c>
      <c r="N156" s="54">
        <f>IF($B156="",0,IFERROR(INDEX('Rates &amp; Tables'!$C$61:$G$63,MATCH($I156,'Rates &amp; Tables'!$J$61:$J$63,0),MATCH($H156,'Rates &amp; Tables'!$C$60:$G$60,0)),0))</f>
        <v/>
      </c>
      <c r="O156" s="52">
        <f>IF($B156="",0,$M156*$N156)</f>
        <v/>
      </c>
      <c r="P156" s="49">
        <f>IF($B156="","",$B156&amp;"|"&amp;$G156&amp;"|"&amp;$J156)</f>
        <v/>
      </c>
    </row>
    <row r="157" hidden="1" ht="14.25" customHeight="1">
      <c r="B157" s="51" t="n">
        <v>4</v>
      </c>
      <c r="C157" s="51" t="inlineStr">
        <is>
          <t>POD</t>
        </is>
      </c>
      <c r="D157" s="51" t="n">
        <v>3</v>
      </c>
      <c r="E157" s="51" t="n">
        <v>5</v>
      </c>
      <c r="F157" s="51" t="inlineStr">
        <is>
          <t>Quality Engineer (SDET) — offshore</t>
        </is>
      </c>
      <c r="G157" s="51" t="inlineStr">
        <is>
          <t>TEST</t>
        </is>
      </c>
      <c r="H157" s="51" t="inlineStr">
        <is>
          <t>E2</t>
        </is>
      </c>
      <c r="I157" s="51" t="inlineStr">
        <is>
          <t>OFF</t>
        </is>
      </c>
      <c r="J157" s="51" t="inlineStr">
        <is>
          <t>FTC</t>
        </is>
      </c>
      <c r="K157" s="51" t="n">
        <v>0.5</v>
      </c>
      <c r="L157" s="52">
        <f>IF($B157="",0,IF($C157="HZ",1,IFERROR(INDEX('Value Streams &amp; Delivery Mode'!$D$17:$M$22,MATCH($D157,'Value Streams &amp; Delivery Mode'!$B$17:$B$22,0),($B157-1)*2+IF($C157="POD",1,2)),0)))</f>
        <v/>
      </c>
      <c r="M157" s="53">
        <f>IF($B157="",0,$K157*$L157)</f>
        <v/>
      </c>
      <c r="N157" s="54">
        <f>IF($B157="",0,IFERROR(INDEX('Rates &amp; Tables'!$C$61:$G$63,MATCH($I157,'Rates &amp; Tables'!$J$61:$J$63,0),MATCH($H157,'Rates &amp; Tables'!$C$60:$G$60,0)),0))</f>
        <v/>
      </c>
      <c r="O157" s="52">
        <f>IF($B157="",0,$M157*$N157)</f>
        <v/>
      </c>
      <c r="P157" s="49">
        <f>IF($B157="","",$B157&amp;"|"&amp;$G157&amp;"|"&amp;$J157)</f>
        <v/>
      </c>
    </row>
    <row r="158" hidden="1" ht="14.25" customHeight="1">
      <c r="B158" s="51" t="n">
        <v>4</v>
      </c>
      <c r="C158" s="51" t="inlineStr">
        <is>
          <t>POD</t>
        </is>
      </c>
      <c r="D158" s="51" t="n">
        <v>3</v>
      </c>
      <c r="E158" s="51" t="n">
        <v>6</v>
      </c>
      <c r="F158" s="51" t="inlineStr">
        <is>
          <t>Junior Application Support — offshore</t>
        </is>
      </c>
      <c r="G158" s="51" t="inlineStr">
        <is>
          <t>MNT</t>
        </is>
      </c>
      <c r="H158" s="51" t="inlineStr">
        <is>
          <t>E1</t>
        </is>
      </c>
      <c r="I158" s="51" t="inlineStr">
        <is>
          <t>OFF</t>
        </is>
      </c>
      <c r="J158" s="51" t="inlineStr">
        <is>
          <t>FTC</t>
        </is>
      </c>
      <c r="K158" s="51" t="n">
        <v>0.5</v>
      </c>
      <c r="L158" s="52">
        <f>IF($B158="",0,IF($C158="HZ",1,IFERROR(INDEX('Value Streams &amp; Delivery Mode'!$D$17:$M$22,MATCH($D158,'Value Streams &amp; Delivery Mode'!$B$17:$B$22,0),($B158-1)*2+IF($C158="POD",1,2)),0)))</f>
        <v/>
      </c>
      <c r="M158" s="53">
        <f>IF($B158="",0,$K158*$L158)</f>
        <v/>
      </c>
      <c r="N158" s="54">
        <f>IF($B158="",0,IFERROR(INDEX('Rates &amp; Tables'!$C$61:$G$63,MATCH($I158,'Rates &amp; Tables'!$J$61:$J$63,0),MATCH($H158,'Rates &amp; Tables'!$C$60:$G$60,0)),0))</f>
        <v/>
      </c>
      <c r="O158" s="52">
        <f>IF($B158="",0,$M158*$N158)</f>
        <v/>
      </c>
      <c r="P158" s="49">
        <f>IF($B158="","",$B158&amp;"|"&amp;$G158&amp;"|"&amp;$J158)</f>
        <v/>
      </c>
    </row>
    <row r="159" hidden="1" ht="14.25" customHeight="1">
      <c r="B159" s="51" t="n">
        <v>4</v>
      </c>
      <c r="C159" s="51" t="inlineStr">
        <is>
          <t>POD</t>
        </is>
      </c>
      <c r="D159" s="51" t="n">
        <v>3</v>
      </c>
      <c r="E159" s="51" t="n">
        <v>7</v>
      </c>
      <c r="F159" s="51" t="inlineStr">
        <is>
          <t>MGCC Commission Engineer</t>
        </is>
      </c>
      <c r="G159" s="51" t="inlineStr">
        <is>
          <t>DEV</t>
        </is>
      </c>
      <c r="H159" s="51" t="inlineStr">
        <is>
          <t>E3</t>
        </is>
      </c>
      <c r="I159" s="51" t="inlineStr">
        <is>
          <t>OFF</t>
        </is>
      </c>
      <c r="J159" s="51" t="inlineStr">
        <is>
          <t>MGCC</t>
        </is>
      </c>
      <c r="K159" s="51" t="n">
        <v>0.5</v>
      </c>
      <c r="L159" s="52">
        <f>IF($B159="",0,IF($C159="HZ",1,IFERROR(INDEX('Value Streams &amp; Delivery Mode'!$D$17:$M$22,MATCH($D159,'Value Streams &amp; Delivery Mode'!$B$17:$B$22,0),($B159-1)*2+IF($C159="POD",1,2)),0)))</f>
        <v/>
      </c>
      <c r="M159" s="53">
        <f>IF($B159="",0,$K159*$L159)</f>
        <v/>
      </c>
      <c r="N159" s="54">
        <f>IF($B159="",0,IFERROR(INDEX('Rates &amp; Tables'!$C$61:$G$63,MATCH($I159,'Rates &amp; Tables'!$J$61:$J$63,0),MATCH($H159,'Rates &amp; Tables'!$C$60:$G$60,0)),0))</f>
        <v/>
      </c>
      <c r="O159" s="52">
        <f>IF($B159="",0,$M159*$N159)</f>
        <v/>
      </c>
      <c r="P159" s="49">
        <f>IF($B159="","",$B159&amp;"|"&amp;$G159&amp;"|"&amp;$J159)</f>
        <v/>
      </c>
    </row>
    <row r="160" hidden="1" ht="14.25" customHeight="1">
      <c r="B160" s="51" t="n">
        <v>4</v>
      </c>
      <c r="C160" s="51" t="inlineStr">
        <is>
          <t>POD</t>
        </is>
      </c>
      <c r="D160" s="51" t="n">
        <v>3</v>
      </c>
      <c r="E160" s="51" t="n">
        <v>8</v>
      </c>
      <c r="F160" s="51" t="inlineStr">
        <is>
          <t>MGCC Test Engineer</t>
        </is>
      </c>
      <c r="G160" s="51" t="inlineStr">
        <is>
          <t>TEST</t>
        </is>
      </c>
      <c r="H160" s="51" t="inlineStr">
        <is>
          <t>E2</t>
        </is>
      </c>
      <c r="I160" s="51" t="inlineStr">
        <is>
          <t>OFF</t>
        </is>
      </c>
      <c r="J160" s="51" t="inlineStr">
        <is>
          <t>MGCC</t>
        </is>
      </c>
      <c r="K160" s="51" t="n">
        <v>0.5</v>
      </c>
      <c r="L160" s="52">
        <f>IF($B160="",0,IF($C160="HZ",1,IFERROR(INDEX('Value Streams &amp; Delivery Mode'!$D$17:$M$22,MATCH($D160,'Value Streams &amp; Delivery Mode'!$B$17:$B$22,0),($B160-1)*2+IF($C160="POD",1,2)),0)))</f>
        <v/>
      </c>
      <c r="M160" s="53">
        <f>IF($B160="",0,$K160*$L160)</f>
        <v/>
      </c>
      <c r="N160" s="54">
        <f>IF($B160="",0,IFERROR(INDEX('Rates &amp; Tables'!$C$61:$G$63,MATCH($I160,'Rates &amp; Tables'!$J$61:$J$63,0),MATCH($H160,'Rates &amp; Tables'!$C$60:$G$60,0)),0))</f>
        <v/>
      </c>
      <c r="O160" s="52">
        <f>IF($B160="",0,$M160*$N160)</f>
        <v/>
      </c>
      <c r="P160" s="49">
        <f>IF($B160="","",$B160&amp;"|"&amp;$G160&amp;"|"&amp;$J160)</f>
        <v/>
      </c>
    </row>
    <row r="161" hidden="1" ht="14.25" customHeight="1">
      <c r="B161" s="51" t="n">
        <v>4</v>
      </c>
      <c r="C161" s="51" t="inlineStr">
        <is>
          <t>HZ</t>
        </is>
      </c>
      <c r="D161" s="51" t="inlineStr">
        <is>
          <t>H3</t>
        </is>
      </c>
      <c r="E161" s="51" t="n">
        <v>1</v>
      </c>
      <c r="F161" s="51" t="inlineStr">
        <is>
          <t>Domain Service Manager</t>
        </is>
      </c>
      <c r="G161" s="51" t="inlineStr">
        <is>
          <t>PM</t>
        </is>
      </c>
      <c r="H161" s="51" t="inlineStr">
        <is>
          <t>E5</t>
        </is>
      </c>
      <c r="I161" s="51" t="inlineStr">
        <is>
          <t>ON</t>
        </is>
      </c>
      <c r="J161" s="51" t="inlineStr">
        <is>
          <t>FTC</t>
        </is>
      </c>
      <c r="K161" s="51" t="n">
        <v>1</v>
      </c>
      <c r="L161" s="52">
        <f>IF($B161="",0,IF($C161="HZ",1,IFERROR(INDEX('Value Streams &amp; Delivery Mode'!$D$17:$M$22,MATCH($D161,'Value Streams &amp; Delivery Mode'!$B$17:$B$22,0),($B161-1)*2+IF($C161="POD",1,2)),0)))</f>
        <v/>
      </c>
      <c r="M161" s="53">
        <f>IF($B161="",0,$K161*$L161)</f>
        <v/>
      </c>
      <c r="N161" s="54">
        <f>IF($B161="",0,IFERROR(INDEX('Rates &amp; Tables'!$C$61:$G$63,MATCH($I161,'Rates &amp; Tables'!$J$61:$J$63,0),MATCH($H161,'Rates &amp; Tables'!$C$60:$G$60,0)),0))</f>
        <v/>
      </c>
      <c r="O161" s="52">
        <f>IF($B161="",0,$M161*$N161)</f>
        <v/>
      </c>
      <c r="P161" s="49">
        <f>IF($B161="","",$B161&amp;"|"&amp;$G161&amp;"|"&amp;$J161)</f>
        <v/>
      </c>
    </row>
    <row r="162" hidden="1" ht="14.25" customHeight="1">
      <c r="B162" s="51" t="n">
        <v>4</v>
      </c>
      <c r="C162" s="51" t="inlineStr">
        <is>
          <t>HZ</t>
        </is>
      </c>
      <c r="D162" s="51" t="inlineStr">
        <is>
          <t>H3</t>
        </is>
      </c>
      <c r="E162" s="51" t="n">
        <v>2</v>
      </c>
      <c r="F162" s="51" t="inlineStr">
        <is>
          <t>Lead BSA (bilingual)</t>
        </is>
      </c>
      <c r="G162" s="51" t="inlineStr">
        <is>
          <t>BSA</t>
        </is>
      </c>
      <c r="H162" s="51" t="inlineStr">
        <is>
          <t>E4</t>
        </is>
      </c>
      <c r="I162" s="51" t="inlineStr">
        <is>
          <t>ON</t>
        </is>
      </c>
      <c r="J162" s="51" t="inlineStr">
        <is>
          <t>FTC</t>
        </is>
      </c>
      <c r="K162" s="51" t="n">
        <v>1</v>
      </c>
      <c r="L162" s="52">
        <f>IF($B162="",0,IF($C162="HZ",1,IFERROR(INDEX('Value Streams &amp; Delivery Mode'!$D$17:$M$22,MATCH($D162,'Value Streams &amp; Delivery Mode'!$B$17:$B$22,0),($B162-1)*2+IF($C162="POD",1,2)),0)))</f>
        <v/>
      </c>
      <c r="M162" s="53">
        <f>IF($B162="",0,$K162*$L162)</f>
        <v/>
      </c>
      <c r="N162" s="54">
        <f>IF($B162="",0,IFERROR(INDEX('Rates &amp; Tables'!$C$61:$G$63,MATCH($I162,'Rates &amp; Tables'!$J$61:$J$63,0),MATCH($H162,'Rates &amp; Tables'!$C$60:$G$60,0)),0))</f>
        <v/>
      </c>
      <c r="O162" s="52">
        <f>IF($B162="",0,$M162*$N162)</f>
        <v/>
      </c>
      <c r="P162" s="49">
        <f>IF($B162="","",$B162&amp;"|"&amp;$G162&amp;"|"&amp;$J162)</f>
        <v/>
      </c>
    </row>
    <row r="163" hidden="1" ht="14.25" customHeight="1">
      <c r="B163" s="51" t="n">
        <v>4</v>
      </c>
      <c r="C163" s="51" t="inlineStr">
        <is>
          <t>HZ</t>
        </is>
      </c>
      <c r="D163" s="51" t="inlineStr">
        <is>
          <t>H3</t>
        </is>
      </c>
      <c r="E163" s="51" t="n">
        <v>3</v>
      </c>
      <c r="F163" s="51" t="inlineStr">
        <is>
          <t>Release &amp; Environments Lead</t>
        </is>
      </c>
      <c r="G163" s="51" t="inlineStr">
        <is>
          <t>OTH</t>
        </is>
      </c>
      <c r="H163" s="51" t="inlineStr">
        <is>
          <t>E3</t>
        </is>
      </c>
      <c r="I163" s="51" t="inlineStr">
        <is>
          <t>ON</t>
        </is>
      </c>
      <c r="J163" s="51" t="inlineStr">
        <is>
          <t>FTC</t>
        </is>
      </c>
      <c r="K163" s="51" t="n">
        <v>0.5</v>
      </c>
      <c r="L163" s="52">
        <f>IF($B163="",0,IF($C163="HZ",1,IFERROR(INDEX('Value Streams &amp; Delivery Mode'!$D$17:$M$22,MATCH($D163,'Value Streams &amp; Delivery Mode'!$B$17:$B$22,0),($B163-1)*2+IF($C163="POD",1,2)),0)))</f>
        <v/>
      </c>
      <c r="M163" s="53">
        <f>IF($B163="",0,$K163*$L163)</f>
        <v/>
      </c>
      <c r="N163" s="54">
        <f>IF($B163="",0,IFERROR(INDEX('Rates &amp; Tables'!$C$61:$G$63,MATCH($I163,'Rates &amp; Tables'!$J$61:$J$63,0),MATCH($H163,'Rates &amp; Tables'!$C$60:$G$60,0)),0))</f>
        <v/>
      </c>
      <c r="O163" s="52">
        <f>IF($B163="",0,$M163*$N163)</f>
        <v/>
      </c>
      <c r="P163" s="49">
        <f>IF($B163="","",$B163&amp;"|"&amp;$G163&amp;"|"&amp;$J163)</f>
        <v/>
      </c>
    </row>
    <row r="164" hidden="1" ht="14.25" customHeight="1">
      <c r="B164" s="51" t="n">
        <v>4</v>
      </c>
      <c r="C164" s="51" t="inlineStr">
        <is>
          <t>HZ</t>
        </is>
      </c>
      <c r="D164" s="51" t="inlineStr">
        <is>
          <t>H3</t>
        </is>
      </c>
      <c r="E164" s="51" t="n">
        <v>4</v>
      </c>
      <c r="F164" s="51" t="inlineStr">
        <is>
          <t>MetLife Regulatory Liaison</t>
        </is>
      </c>
      <c r="G164" s="51" t="inlineStr">
        <is>
          <t>BSA</t>
        </is>
      </c>
      <c r="H164" s="51" t="inlineStr">
        <is>
          <t>E4</t>
        </is>
      </c>
      <c r="I164" s="51" t="inlineStr">
        <is>
          <t>ON</t>
        </is>
      </c>
      <c r="J164" s="51" t="inlineStr">
        <is>
          <t>FTE</t>
        </is>
      </c>
      <c r="K164" s="51" t="n">
        <v>1</v>
      </c>
      <c r="L164" s="52">
        <f>IF($B164="",0,IF($C164="HZ",1,IFERROR(INDEX('Value Streams &amp; Delivery Mode'!$D$17:$M$22,MATCH($D164,'Value Streams &amp; Delivery Mode'!$B$17:$B$22,0),($B164-1)*2+IF($C164="POD",1,2)),0)))</f>
        <v/>
      </c>
      <c r="M164" s="53">
        <f>IF($B164="",0,$K164*$L164)</f>
        <v/>
      </c>
      <c r="N164" s="54">
        <f>IF($B164="",0,IFERROR(INDEX('Rates &amp; Tables'!$C$61:$G$63,MATCH($I164,'Rates &amp; Tables'!$J$61:$J$63,0),MATCH($H164,'Rates &amp; Tables'!$C$60:$G$60,0)),0))</f>
        <v/>
      </c>
      <c r="O164" s="52">
        <f>IF($B164="",0,$M164*$N164)</f>
        <v/>
      </c>
      <c r="P164" s="49">
        <f>IF($B164="","",$B164&amp;"|"&amp;$G164&amp;"|"&amp;$J164)</f>
        <v/>
      </c>
    </row>
    <row r="165" hidden="1" ht="14.25" customHeight="1">
      <c r="B165" s="51" t="n">
        <v>4</v>
      </c>
      <c r="C165" s="51" t="inlineStr">
        <is>
          <t>HZ</t>
        </is>
      </c>
      <c r="D165" s="51" t="inlineStr">
        <is>
          <t>H3</t>
        </is>
      </c>
      <c r="E165" s="51" t="n">
        <v>5</v>
      </c>
      <c r="F165" s="51" t="inlineStr">
        <is>
          <t>MetLife Domain Architect</t>
        </is>
      </c>
      <c r="G165" s="51" t="inlineStr">
        <is>
          <t>OTH</t>
        </is>
      </c>
      <c r="H165" s="51" t="inlineStr">
        <is>
          <t>E4</t>
        </is>
      </c>
      <c r="I165" s="51" t="inlineStr">
        <is>
          <t>ON</t>
        </is>
      </c>
      <c r="J165" s="51" t="inlineStr">
        <is>
          <t>FTE</t>
        </is>
      </c>
      <c r="K165" s="51" t="n">
        <v>1</v>
      </c>
      <c r="L165" s="52">
        <f>IF($B165="",0,IF($C165="HZ",1,IFERROR(INDEX('Value Streams &amp; Delivery Mode'!$D$17:$M$22,MATCH($D165,'Value Streams &amp; Delivery Mode'!$B$17:$B$22,0),($B165-1)*2+IF($C165="POD",1,2)),0)))</f>
        <v/>
      </c>
      <c r="M165" s="53">
        <f>IF($B165="",0,$K165*$L165)</f>
        <v/>
      </c>
      <c r="N165" s="54">
        <f>IF($B165="",0,IFERROR(INDEX('Rates &amp; Tables'!$C$61:$G$63,MATCH($I165,'Rates &amp; Tables'!$J$61:$J$63,0),MATCH($H165,'Rates &amp; Tables'!$C$60:$G$60,0)),0))</f>
        <v/>
      </c>
      <c r="O165" s="52">
        <f>IF($B165="",0,$M165*$N165)</f>
        <v/>
      </c>
      <c r="P165" s="49">
        <f>IF($B165="","",$B165&amp;"|"&amp;$G165&amp;"|"&amp;$J165)</f>
        <v/>
      </c>
    </row>
    <row r="166" hidden="1" ht="14.25" customHeight="1">
      <c r="B166" s="51" t="n">
        <v>4</v>
      </c>
      <c r="C166" s="51" t="inlineStr">
        <is>
          <t>HZ</t>
        </is>
      </c>
      <c r="D166" s="51" t="inlineStr">
        <is>
          <t>H1</t>
        </is>
      </c>
      <c r="E166" s="51" t="n">
        <v>6</v>
      </c>
      <c r="F166" s="51" t="inlineStr">
        <is>
          <t>AMS Team Lead</t>
        </is>
      </c>
      <c r="G166" s="51" t="inlineStr">
        <is>
          <t>MNT</t>
        </is>
      </c>
      <c r="H166" s="51" t="inlineStr">
        <is>
          <t>E3</t>
        </is>
      </c>
      <c r="I166" s="51" t="inlineStr">
        <is>
          <t>ON</t>
        </is>
      </c>
      <c r="J166" s="51" t="inlineStr">
        <is>
          <t>FTC</t>
        </is>
      </c>
      <c r="K166" s="51" t="n">
        <v>1</v>
      </c>
      <c r="L166" s="52">
        <f>IF($B166="",0,IF($C166="HZ",1,IFERROR(INDEX('Value Streams &amp; Delivery Mode'!$D$17:$M$22,MATCH($D166,'Value Streams &amp; Delivery Mode'!$B$17:$B$22,0),($B166-1)*2+IF($C166="POD",1,2)),0)))</f>
        <v/>
      </c>
      <c r="M166" s="53">
        <f>IF($B166="",0,$K166*$L166)</f>
        <v/>
      </c>
      <c r="N166" s="54">
        <f>IF($B166="",0,IFERROR(INDEX('Rates &amp; Tables'!$C$61:$G$63,MATCH($I166,'Rates &amp; Tables'!$J$61:$J$63,0),MATCH($H166,'Rates &amp; Tables'!$C$60:$G$60,0)),0))</f>
        <v/>
      </c>
      <c r="O166" s="52">
        <f>IF($B166="",0,$M166*$N166)</f>
        <v/>
      </c>
      <c r="P166" s="49">
        <f>IF($B166="","",$B166&amp;"|"&amp;$G166&amp;"|"&amp;$J166)</f>
        <v/>
      </c>
    </row>
    <row r="167" hidden="1" ht="14.25" customHeight="1">
      <c r="B167" s="51" t="n">
        <v>4</v>
      </c>
      <c r="C167" s="51" t="inlineStr">
        <is>
          <t>HZ</t>
        </is>
      </c>
      <c r="D167" s="51" t="inlineStr">
        <is>
          <t>H1</t>
        </is>
      </c>
      <c r="E167" s="51" t="n">
        <v>7</v>
      </c>
      <c r="F167" s="51" t="inlineStr">
        <is>
          <t>SaaS Administrator — offshore</t>
        </is>
      </c>
      <c r="G167" s="51" t="inlineStr">
        <is>
          <t>MNT</t>
        </is>
      </c>
      <c r="H167" s="51" t="inlineStr">
        <is>
          <t>E2</t>
        </is>
      </c>
      <c r="I167" s="51" t="inlineStr">
        <is>
          <t>OFF</t>
        </is>
      </c>
      <c r="J167" s="51" t="inlineStr">
        <is>
          <t>FTC</t>
        </is>
      </c>
      <c r="K167" s="51" t="n">
        <v>1</v>
      </c>
      <c r="L167" s="52">
        <f>IF($B167="",0,IF($C167="HZ",1,IFERROR(INDEX('Value Streams &amp; Delivery Mode'!$D$17:$M$22,MATCH($D167,'Value Streams &amp; Delivery Mode'!$B$17:$B$22,0),($B167-1)*2+IF($C167="POD",1,2)),0)))</f>
        <v/>
      </c>
      <c r="M167" s="53">
        <f>IF($B167="",0,$K167*$L167)</f>
        <v/>
      </c>
      <c r="N167" s="54">
        <f>IF($B167="",0,IFERROR(INDEX('Rates &amp; Tables'!$C$61:$G$63,MATCH($I167,'Rates &amp; Tables'!$J$61:$J$63,0),MATCH($H167,'Rates &amp; Tables'!$C$60:$G$60,0)),0))</f>
        <v/>
      </c>
      <c r="O167" s="52">
        <f>IF($B167="",0,$M167*$N167)</f>
        <v/>
      </c>
      <c r="P167" s="49">
        <f>IF($B167="","",$B167&amp;"|"&amp;$G167&amp;"|"&amp;$J167)</f>
        <v/>
      </c>
    </row>
    <row r="168" hidden="1" ht="14.25" customHeight="1">
      <c r="B168" s="51" t="n">
        <v>4</v>
      </c>
      <c r="C168" s="51" t="inlineStr">
        <is>
          <t>HZ</t>
        </is>
      </c>
      <c r="D168" s="51" t="inlineStr">
        <is>
          <t>H1</t>
        </is>
      </c>
      <c r="E168" s="51" t="n">
        <v>8</v>
      </c>
      <c r="F168" s="51" t="inlineStr">
        <is>
          <t>MetLife Operations Analyst</t>
        </is>
      </c>
      <c r="G168" s="51" t="inlineStr">
        <is>
          <t>MNT</t>
        </is>
      </c>
      <c r="H168" s="51" t="inlineStr">
        <is>
          <t>E3</t>
        </is>
      </c>
      <c r="I168" s="51" t="inlineStr">
        <is>
          <t>ON</t>
        </is>
      </c>
      <c r="J168" s="51" t="inlineStr">
        <is>
          <t>FTE</t>
        </is>
      </c>
      <c r="K168" s="51" t="n">
        <v>1.5</v>
      </c>
      <c r="L168" s="52">
        <f>IF($B168="",0,IF($C168="HZ",1,IFERROR(INDEX('Value Streams &amp; Delivery Mode'!$D$17:$M$22,MATCH($D168,'Value Streams &amp; Delivery Mode'!$B$17:$B$22,0),($B168-1)*2+IF($C168="POD",1,2)),0)))</f>
        <v/>
      </c>
      <c r="M168" s="53">
        <f>IF($B168="",0,$K168*$L168)</f>
        <v/>
      </c>
      <c r="N168" s="54">
        <f>IF($B168="",0,IFERROR(INDEX('Rates &amp; Tables'!$C$61:$G$63,MATCH($I168,'Rates &amp; Tables'!$J$61:$J$63,0),MATCH($H168,'Rates &amp; Tables'!$C$60:$G$60,0)),0))</f>
        <v/>
      </c>
      <c r="O168" s="52">
        <f>IF($B168="",0,$M168*$N168)</f>
        <v/>
      </c>
      <c r="P168" s="49">
        <f>IF($B168="","",$B168&amp;"|"&amp;$G168&amp;"|"&amp;$J168)</f>
        <v/>
      </c>
    </row>
    <row r="169" hidden="1" ht="14.25" customHeight="1">
      <c r="B169" s="51" t="n">
        <v>4</v>
      </c>
      <c r="C169" s="51" t="inlineStr">
        <is>
          <t>HZ</t>
        </is>
      </c>
      <c r="D169" s="51" t="inlineStr">
        <is>
          <t>H1</t>
        </is>
      </c>
      <c r="E169" s="51" t="n">
        <v>9</v>
      </c>
      <c r="F169" s="51" t="inlineStr">
        <is>
          <t>MGCC Application Support</t>
        </is>
      </c>
      <c r="G169" s="51" t="inlineStr">
        <is>
          <t>MNT</t>
        </is>
      </c>
      <c r="H169" s="51" t="inlineStr">
        <is>
          <t>E2</t>
        </is>
      </c>
      <c r="I169" s="51" t="inlineStr">
        <is>
          <t>OFF</t>
        </is>
      </c>
      <c r="J169" s="51" t="inlineStr">
        <is>
          <t>MGCC</t>
        </is>
      </c>
      <c r="K169" s="51" t="n">
        <v>0.5</v>
      </c>
      <c r="L169" s="52">
        <f>IF($B169="",0,IF($C169="HZ",1,IFERROR(INDEX('Value Streams &amp; Delivery Mode'!$D$17:$M$22,MATCH($D169,'Value Streams &amp; Delivery Mode'!$B$17:$B$22,0),($B169-1)*2+IF($C169="POD",1,2)),0)))</f>
        <v/>
      </c>
      <c r="M169" s="53">
        <f>IF($B169="",0,$K169*$L169)</f>
        <v/>
      </c>
      <c r="N169" s="54">
        <f>IF($B169="",0,IFERROR(INDEX('Rates &amp; Tables'!$C$61:$G$63,MATCH($I169,'Rates &amp; Tables'!$J$61:$J$63,0),MATCH($H169,'Rates &amp; Tables'!$C$60:$G$60,0)),0))</f>
        <v/>
      </c>
      <c r="O169" s="52">
        <f>IF($B169="",0,$M169*$N169)</f>
        <v/>
      </c>
      <c r="P169" s="49">
        <f>IF($B169="","",$B169&amp;"|"&amp;$G169&amp;"|"&amp;$J169)</f>
        <v/>
      </c>
    </row>
    <row r="170" hidden="1" ht="14.25" customHeight="1">
      <c r="B170" s="51" t="n">
        <v>4</v>
      </c>
      <c r="C170" s="51" t="inlineStr">
        <is>
          <t>HZ</t>
        </is>
      </c>
      <c r="D170" s="51" t="inlineStr">
        <is>
          <t>H2</t>
        </is>
      </c>
      <c r="E170" s="51" t="n">
        <v>10</v>
      </c>
      <c r="F170" s="51" t="inlineStr">
        <is>
          <t>Test Lead / QA Manager</t>
        </is>
      </c>
      <c r="G170" s="51" t="inlineStr">
        <is>
          <t>TEST</t>
        </is>
      </c>
      <c r="H170" s="51" t="inlineStr">
        <is>
          <t>E3</t>
        </is>
      </c>
      <c r="I170" s="51" t="inlineStr">
        <is>
          <t>ON</t>
        </is>
      </c>
      <c r="J170" s="51" t="inlineStr">
        <is>
          <t>FTC</t>
        </is>
      </c>
      <c r="K170" s="51" t="n">
        <v>0.5</v>
      </c>
      <c r="L170" s="52">
        <f>IF($B170="",0,IF($C170="HZ",1,IFERROR(INDEX('Value Streams &amp; Delivery Mode'!$D$17:$M$22,MATCH($D170,'Value Streams &amp; Delivery Mode'!$B$17:$B$22,0),($B170-1)*2+IF($C170="POD",1,2)),0)))</f>
        <v/>
      </c>
      <c r="M170" s="53">
        <f>IF($B170="",0,$K170*$L170)</f>
        <v/>
      </c>
      <c r="N170" s="54">
        <f>IF($B170="",0,IFERROR(INDEX('Rates &amp; Tables'!$C$61:$G$63,MATCH($I170,'Rates &amp; Tables'!$J$61:$J$63,0),MATCH($H170,'Rates &amp; Tables'!$C$60:$G$60,0)),0))</f>
        <v/>
      </c>
      <c r="O170" s="52">
        <f>IF($B170="",0,$M170*$N170)</f>
        <v/>
      </c>
      <c r="P170" s="49">
        <f>IF($B170="","",$B170&amp;"|"&amp;$G170&amp;"|"&amp;$J170)</f>
        <v/>
      </c>
    </row>
    <row r="171" hidden="1" ht="14.25" customHeight="1">
      <c r="B171" s="51" t="n">
        <v>4</v>
      </c>
      <c r="C171" s="51" t="inlineStr">
        <is>
          <t>HZ</t>
        </is>
      </c>
      <c r="D171" s="51" t="inlineStr">
        <is>
          <t>H2</t>
        </is>
      </c>
      <c r="E171" s="51" t="n">
        <v>11</v>
      </c>
      <c r="F171" s="51" t="inlineStr">
        <is>
          <t>MetLife Quality Lead</t>
        </is>
      </c>
      <c r="G171" s="51" t="inlineStr">
        <is>
          <t>TEST</t>
        </is>
      </c>
      <c r="H171" s="51" t="inlineStr">
        <is>
          <t>E3</t>
        </is>
      </c>
      <c r="I171" s="51" t="inlineStr">
        <is>
          <t>ON</t>
        </is>
      </c>
      <c r="J171" s="51" t="inlineStr">
        <is>
          <t>FTE</t>
        </is>
      </c>
      <c r="K171" s="51" t="n">
        <v>1.5</v>
      </c>
      <c r="L171" s="52">
        <f>IF($B171="",0,IF($C171="HZ",1,IFERROR(INDEX('Value Streams &amp; Delivery Mode'!$D$17:$M$22,MATCH($D171,'Value Streams &amp; Delivery Mode'!$B$17:$B$22,0),($B171-1)*2+IF($C171="POD",1,2)),0)))</f>
        <v/>
      </c>
      <c r="M171" s="53">
        <f>IF($B171="",0,$K171*$L171)</f>
        <v/>
      </c>
      <c r="N171" s="54">
        <f>IF($B171="",0,IFERROR(INDEX('Rates &amp; Tables'!$C$61:$G$63,MATCH($I171,'Rates &amp; Tables'!$J$61:$J$63,0),MATCH($H171,'Rates &amp; Tables'!$C$60:$G$60,0)),0))</f>
        <v/>
      </c>
      <c r="O171" s="52">
        <f>IF($B171="",0,$M171*$N171)</f>
        <v/>
      </c>
      <c r="P171" s="49">
        <f>IF($B171="","",$B171&amp;"|"&amp;$G171&amp;"|"&amp;$J171)</f>
        <v/>
      </c>
    </row>
    <row r="172" hidden="1" ht="14.25" customHeight="1">
      <c r="B172" s="51" t="n">
        <v>4</v>
      </c>
      <c r="C172" s="51" t="inlineStr">
        <is>
          <t>HZ</t>
        </is>
      </c>
      <c r="D172" s="51" t="inlineStr">
        <is>
          <t>H2</t>
        </is>
      </c>
      <c r="E172" s="51" t="n">
        <v>12</v>
      </c>
      <c r="F172" s="51" t="inlineStr">
        <is>
          <t>MGCC Test Engineer</t>
        </is>
      </c>
      <c r="G172" s="51" t="inlineStr">
        <is>
          <t>TEST</t>
        </is>
      </c>
      <c r="H172" s="51" t="inlineStr">
        <is>
          <t>E2</t>
        </is>
      </c>
      <c r="I172" s="51" t="inlineStr">
        <is>
          <t>OFF</t>
        </is>
      </c>
      <c r="J172" s="51" t="inlineStr">
        <is>
          <t>MGCC</t>
        </is>
      </c>
      <c r="K172" s="51" t="n">
        <v>0.5</v>
      </c>
      <c r="L172" s="52">
        <f>IF($B172="",0,IF($C172="HZ",1,IFERROR(INDEX('Value Streams &amp; Delivery Mode'!$D$17:$M$22,MATCH($D172,'Value Streams &amp; Delivery Mode'!$B$17:$B$22,0),($B172-1)*2+IF($C172="POD",1,2)),0)))</f>
        <v/>
      </c>
      <c r="M172" s="53">
        <f>IF($B172="",0,$K172*$L172)</f>
        <v/>
      </c>
      <c r="N172" s="54">
        <f>IF($B172="",0,IFERROR(INDEX('Rates &amp; Tables'!$C$61:$G$63,MATCH($I172,'Rates &amp; Tables'!$J$61:$J$63,0),MATCH($H172,'Rates &amp; Tables'!$C$60:$G$60,0)),0))</f>
        <v/>
      </c>
      <c r="O172" s="52">
        <f>IF($B172="",0,$M172*$N172)</f>
        <v/>
      </c>
      <c r="P172" s="49">
        <f>IF($B172="","",$B172&amp;"|"&amp;$G172&amp;"|"&amp;$J172)</f>
        <v/>
      </c>
    </row>
    <row r="173" hidden="1" ht="14.25" customHeight="1">
      <c r="B173" s="51" t="n">
        <v>5</v>
      </c>
      <c r="C173" s="51" t="inlineStr">
        <is>
          <t>POD</t>
        </is>
      </c>
      <c r="D173" s="51" t="n">
        <v>1</v>
      </c>
      <c r="E173" s="51" t="n">
        <v>1</v>
      </c>
      <c r="F173" s="51" t="inlineStr">
        <is>
          <t>MetLife Product Owner</t>
        </is>
      </c>
      <c r="G173" s="51" t="inlineStr">
        <is>
          <t>PM</t>
        </is>
      </c>
      <c r="H173" s="51" t="inlineStr">
        <is>
          <t>E4</t>
        </is>
      </c>
      <c r="I173" s="51" t="inlineStr">
        <is>
          <t>ON</t>
        </is>
      </c>
      <c r="J173" s="51" t="inlineStr">
        <is>
          <t>FTE</t>
        </is>
      </c>
      <c r="K173" s="51" t="n">
        <v>1</v>
      </c>
      <c r="L173" s="52">
        <f>IF($B173="",0,IF($C173="HZ",1,IFERROR(INDEX('Value Streams &amp; Delivery Mode'!$D$17:$M$22,MATCH($D173,'Value Streams &amp; Delivery Mode'!$B$17:$B$22,0),($B173-1)*2+IF($C173="POD",1,2)),0)))</f>
        <v/>
      </c>
      <c r="M173" s="53">
        <f>IF($B173="",0,$K173*$L173)</f>
        <v/>
      </c>
      <c r="N173" s="54">
        <f>IF($B173="",0,IFERROR(INDEX('Rates &amp; Tables'!$C$61:$G$63,MATCH($I173,'Rates &amp; Tables'!$J$61:$J$63,0),MATCH($H173,'Rates &amp; Tables'!$C$60:$G$60,0)),0))</f>
        <v/>
      </c>
      <c r="O173" s="52">
        <f>IF($B173="",0,$M173*$N173)</f>
        <v/>
      </c>
      <c r="P173" s="49">
        <f>IF($B173="","",$B173&amp;"|"&amp;$G173&amp;"|"&amp;$J173)</f>
        <v/>
      </c>
    </row>
    <row r="174" hidden="1" ht="14.25" customHeight="1">
      <c r="B174" s="51" t="n">
        <v>5</v>
      </c>
      <c r="C174" s="51" t="inlineStr">
        <is>
          <t>POD</t>
        </is>
      </c>
      <c r="D174" s="51" t="n">
        <v>1</v>
      </c>
      <c r="E174" s="51" t="n">
        <v>2</v>
      </c>
      <c r="F174" s="51" t="inlineStr">
        <is>
          <t>MetLife Group Policy SME</t>
        </is>
      </c>
      <c r="G174" s="51" t="inlineStr">
        <is>
          <t>BSA</t>
        </is>
      </c>
      <c r="H174" s="51" t="inlineStr">
        <is>
          <t>E4</t>
        </is>
      </c>
      <c r="I174" s="51" t="inlineStr">
        <is>
          <t>ON</t>
        </is>
      </c>
      <c r="J174" s="51" t="inlineStr">
        <is>
          <t>FTE</t>
        </is>
      </c>
      <c r="K174" s="51" t="n">
        <v>0.5</v>
      </c>
      <c r="L174" s="52">
        <f>IF($B174="",0,IF($C174="HZ",1,IFERROR(INDEX('Value Streams &amp; Delivery Mode'!$D$17:$M$22,MATCH($D174,'Value Streams &amp; Delivery Mode'!$B$17:$B$22,0),($B174-1)*2+IF($C174="POD",1,2)),0)))</f>
        <v/>
      </c>
      <c r="M174" s="53">
        <f>IF($B174="",0,$K174*$L174)</f>
        <v/>
      </c>
      <c r="N174" s="54">
        <f>IF($B174="",0,IFERROR(INDEX('Rates &amp; Tables'!$C$61:$G$63,MATCH($I174,'Rates &amp; Tables'!$J$61:$J$63,0),MATCH($H174,'Rates &amp; Tables'!$C$60:$G$60,0)),0))</f>
        <v/>
      </c>
      <c r="O174" s="52">
        <f>IF($B174="",0,$M174*$N174)</f>
        <v/>
      </c>
      <c r="P174" s="49">
        <f>IF($B174="","",$B174&amp;"|"&amp;$G174&amp;"|"&amp;$J174)</f>
        <v/>
      </c>
    </row>
    <row r="175" hidden="1" ht="14.25" customHeight="1">
      <c r="B175" s="51" t="n">
        <v>5</v>
      </c>
      <c r="C175" s="51" t="inlineStr">
        <is>
          <t>POD</t>
        </is>
      </c>
      <c r="D175" s="51" t="n">
        <v>1</v>
      </c>
      <c r="E175" s="51" t="n">
        <v>3</v>
      </c>
      <c r="F175" s="51" t="inlineStr">
        <is>
          <t>FSI Senior Developer (JP)</t>
        </is>
      </c>
      <c r="G175" s="51" t="inlineStr">
        <is>
          <t>DEV</t>
        </is>
      </c>
      <c r="H175" s="51" t="inlineStr">
        <is>
          <t>E3</t>
        </is>
      </c>
      <c r="I175" s="51" t="inlineStr">
        <is>
          <t>ON</t>
        </is>
      </c>
      <c r="J175" s="51" t="inlineStr">
        <is>
          <t>PT</t>
        </is>
      </c>
      <c r="K175" s="51" t="n">
        <v>2</v>
      </c>
      <c r="L175" s="52">
        <f>IF($B175="",0,IF($C175="HZ",1,IFERROR(INDEX('Value Streams &amp; Delivery Mode'!$D$17:$M$22,MATCH($D175,'Value Streams &amp; Delivery Mode'!$B$17:$B$22,0),($B175-1)*2+IF($C175="POD",1,2)),0)))</f>
        <v/>
      </c>
      <c r="M175" s="53">
        <f>IF($B175="",0,$K175*$L175)</f>
        <v/>
      </c>
      <c r="N175" s="54">
        <f>IF($B175="",0,IFERROR(INDEX('Rates &amp; Tables'!$C$61:$G$63,MATCH($I175,'Rates &amp; Tables'!$J$61:$J$63,0),MATCH($H175,'Rates &amp; Tables'!$C$60:$G$60,0)),0))</f>
        <v/>
      </c>
      <c r="O175" s="52">
        <f>IF($B175="",0,$M175*$N175)</f>
        <v/>
      </c>
      <c r="P175" s="49">
        <f>IF($B175="","",$B175&amp;"|"&amp;$G175&amp;"|"&amp;$J175)</f>
        <v/>
      </c>
    </row>
    <row r="176" hidden="1" ht="14.25" customHeight="1">
      <c r="B176" s="51" t="n">
        <v>5</v>
      </c>
      <c r="C176" s="51" t="inlineStr">
        <is>
          <t>POD</t>
        </is>
      </c>
      <c r="D176" s="51" t="n">
        <v>1</v>
      </c>
      <c r="E176" s="51" t="n">
        <v>4</v>
      </c>
      <c r="F176" s="51" t="inlineStr">
        <is>
          <t>Pod lead / senior engineer</t>
        </is>
      </c>
      <c r="G176" s="51" t="inlineStr">
        <is>
          <t>DEV</t>
        </is>
      </c>
      <c r="H176" s="51" t="inlineStr">
        <is>
          <t>E3</t>
        </is>
      </c>
      <c r="I176" s="51" t="inlineStr">
        <is>
          <t>ON</t>
        </is>
      </c>
      <c r="J176" s="51" t="inlineStr">
        <is>
          <t>FTC</t>
        </is>
      </c>
      <c r="K176" s="51" t="n">
        <v>1</v>
      </c>
      <c r="L176" s="52">
        <f>IF($B176="",0,IF($C176="HZ",1,IFERROR(INDEX('Value Streams &amp; Delivery Mode'!$D$17:$M$22,MATCH($D176,'Value Streams &amp; Delivery Mode'!$B$17:$B$22,0),($B176-1)*2+IF($C176="POD",1,2)),0)))</f>
        <v/>
      </c>
      <c r="M176" s="53">
        <f>IF($B176="",0,$K176*$L176)</f>
        <v/>
      </c>
      <c r="N176" s="54">
        <f>IF($B176="",0,IFERROR(INDEX('Rates &amp; Tables'!$C$61:$G$63,MATCH($I176,'Rates &amp; Tables'!$J$61:$J$63,0),MATCH($H176,'Rates &amp; Tables'!$C$60:$G$60,0)),0))</f>
        <v/>
      </c>
      <c r="O176" s="52">
        <f>IF($B176="",0,$M176*$N176)</f>
        <v/>
      </c>
      <c r="P176" s="49">
        <f>IF($B176="","",$B176&amp;"|"&amp;$G176&amp;"|"&amp;$J176)</f>
        <v/>
      </c>
    </row>
    <row r="177" hidden="1" ht="14.25" customHeight="1">
      <c r="B177" s="51" t="n">
        <v>5</v>
      </c>
      <c r="C177" s="51" t="inlineStr">
        <is>
          <t>POD</t>
        </is>
      </c>
      <c r="D177" s="51" t="n">
        <v>1</v>
      </c>
      <c r="E177" s="51" t="n">
        <v>5</v>
      </c>
      <c r="F177" s="51" t="inlineStr">
        <is>
          <t>Junior Application Support — offshore</t>
        </is>
      </c>
      <c r="G177" s="51" t="inlineStr">
        <is>
          <t>MNT</t>
        </is>
      </c>
      <c r="H177" s="51" t="inlineStr">
        <is>
          <t>E1</t>
        </is>
      </c>
      <c r="I177" s="51" t="inlineStr">
        <is>
          <t>OFF</t>
        </is>
      </c>
      <c r="J177" s="51" t="inlineStr">
        <is>
          <t>FTC</t>
        </is>
      </c>
      <c r="K177" s="51" t="n">
        <v>0.5</v>
      </c>
      <c r="L177" s="52">
        <f>IF($B177="",0,IF($C177="HZ",1,IFERROR(INDEX('Value Streams &amp; Delivery Mode'!$D$17:$M$22,MATCH($D177,'Value Streams &amp; Delivery Mode'!$B$17:$B$22,0),($B177-1)*2+IF($C177="POD",1,2)),0)))</f>
        <v/>
      </c>
      <c r="M177" s="53">
        <f>IF($B177="",0,$K177*$L177)</f>
        <v/>
      </c>
      <c r="N177" s="54">
        <f>IF($B177="",0,IFERROR(INDEX('Rates &amp; Tables'!$C$61:$G$63,MATCH($I177,'Rates &amp; Tables'!$J$61:$J$63,0),MATCH($H177,'Rates &amp; Tables'!$C$60:$G$60,0)),0))</f>
        <v/>
      </c>
      <c r="O177" s="52">
        <f>IF($B177="",0,$M177*$N177)</f>
        <v/>
      </c>
      <c r="P177" s="49">
        <f>IF($B177="","",$B177&amp;"|"&amp;$G177&amp;"|"&amp;$J177)</f>
        <v/>
      </c>
    </row>
    <row r="178" hidden="1" ht="14.25" customHeight="1">
      <c r="B178" s="51" t="n">
        <v>5</v>
      </c>
      <c r="C178" s="51" t="inlineStr">
        <is>
          <t>POD</t>
        </is>
      </c>
      <c r="D178" s="51" t="n">
        <v>1</v>
      </c>
      <c r="E178" s="51" t="n">
        <v>6</v>
      </c>
      <c r="F178" s="51" t="inlineStr">
        <is>
          <t>MGCC Commission Engineer</t>
        </is>
      </c>
      <c r="G178" s="51" t="inlineStr">
        <is>
          <t>DEV</t>
        </is>
      </c>
      <c r="H178" s="51" t="inlineStr">
        <is>
          <t>E3</t>
        </is>
      </c>
      <c r="I178" s="51" t="inlineStr">
        <is>
          <t>OFF</t>
        </is>
      </c>
      <c r="J178" s="51" t="inlineStr">
        <is>
          <t>MGCC</t>
        </is>
      </c>
      <c r="K178" s="51" t="n">
        <v>0.5</v>
      </c>
      <c r="L178" s="52">
        <f>IF($B178="",0,IF($C178="HZ",1,IFERROR(INDEX('Value Streams &amp; Delivery Mode'!$D$17:$M$22,MATCH($D178,'Value Streams &amp; Delivery Mode'!$B$17:$B$22,0),($B178-1)*2+IF($C178="POD",1,2)),0)))</f>
        <v/>
      </c>
      <c r="M178" s="53">
        <f>IF($B178="",0,$K178*$L178)</f>
        <v/>
      </c>
      <c r="N178" s="54">
        <f>IF($B178="",0,IFERROR(INDEX('Rates &amp; Tables'!$C$61:$G$63,MATCH($I178,'Rates &amp; Tables'!$J$61:$J$63,0),MATCH($H178,'Rates &amp; Tables'!$C$60:$G$60,0)),0))</f>
        <v/>
      </c>
      <c r="O178" s="52">
        <f>IF($B178="",0,$M178*$N178)</f>
        <v/>
      </c>
      <c r="P178" s="49">
        <f>IF($B178="","",$B178&amp;"|"&amp;$G178&amp;"|"&amp;$J178)</f>
        <v/>
      </c>
    </row>
    <row r="179" hidden="1" ht="14.25" customHeight="1">
      <c r="B179" s="51" t="n">
        <v>5</v>
      </c>
      <c r="C179" s="51" t="inlineStr">
        <is>
          <t>POD</t>
        </is>
      </c>
      <c r="D179" s="51" t="n">
        <v>1</v>
      </c>
      <c r="E179" s="51" t="n">
        <v>7</v>
      </c>
      <c r="F179" s="51" t="inlineStr">
        <is>
          <t>MGCC Test Engineer</t>
        </is>
      </c>
      <c r="G179" s="51" t="inlineStr">
        <is>
          <t>TEST</t>
        </is>
      </c>
      <c r="H179" s="51" t="inlineStr">
        <is>
          <t>E2</t>
        </is>
      </c>
      <c r="I179" s="51" t="inlineStr">
        <is>
          <t>OFF</t>
        </is>
      </c>
      <c r="J179" s="51" t="inlineStr">
        <is>
          <t>MGCC</t>
        </is>
      </c>
      <c r="K179" s="51" t="n">
        <v>0.5</v>
      </c>
      <c r="L179" s="52">
        <f>IF($B179="",0,IF($C179="HZ",1,IFERROR(INDEX('Value Streams &amp; Delivery Mode'!$D$17:$M$22,MATCH($D179,'Value Streams &amp; Delivery Mode'!$B$17:$B$22,0),($B179-1)*2+IF($C179="POD",1,2)),0)))</f>
        <v/>
      </c>
      <c r="M179" s="53">
        <f>IF($B179="",0,$K179*$L179)</f>
        <v/>
      </c>
      <c r="N179" s="54">
        <f>IF($B179="",0,IFERROR(INDEX('Rates &amp; Tables'!$C$61:$G$63,MATCH($I179,'Rates &amp; Tables'!$J$61:$J$63,0),MATCH($H179,'Rates &amp; Tables'!$C$60:$G$60,0)),0))</f>
        <v/>
      </c>
      <c r="O179" s="52">
        <f>IF($B179="",0,$M179*$N179)</f>
        <v/>
      </c>
      <c r="P179" s="49">
        <f>IF($B179="","",$B179&amp;"|"&amp;$G179&amp;"|"&amp;$J179)</f>
        <v/>
      </c>
    </row>
    <row r="180" hidden="1" ht="14.25" customHeight="1">
      <c r="B180" s="51" t="n">
        <v>5</v>
      </c>
      <c r="C180" s="51" t="inlineStr">
        <is>
          <t>POD</t>
        </is>
      </c>
      <c r="D180" s="51" t="n">
        <v>2</v>
      </c>
      <c r="E180" s="51" t="n">
        <v>1</v>
      </c>
      <c r="F180" s="51" t="inlineStr">
        <is>
          <t>MetLife Product Owner</t>
        </is>
      </c>
      <c r="G180" s="51" t="inlineStr">
        <is>
          <t>PM</t>
        </is>
      </c>
      <c r="H180" s="51" t="inlineStr">
        <is>
          <t>E4</t>
        </is>
      </c>
      <c r="I180" s="51" t="inlineStr">
        <is>
          <t>ON</t>
        </is>
      </c>
      <c r="J180" s="51" t="inlineStr">
        <is>
          <t>FTE</t>
        </is>
      </c>
      <c r="K180" s="51" t="n">
        <v>1</v>
      </c>
      <c r="L180" s="52">
        <f>IF($B180="",0,IF($C180="HZ",1,IFERROR(INDEX('Value Streams &amp; Delivery Mode'!$D$17:$M$22,MATCH($D180,'Value Streams &amp; Delivery Mode'!$B$17:$B$22,0),($B180-1)*2+IF($C180="POD",1,2)),0)))</f>
        <v/>
      </c>
      <c r="M180" s="53">
        <f>IF($B180="",0,$K180*$L180)</f>
        <v/>
      </c>
      <c r="N180" s="54">
        <f>IF($B180="",0,IFERROR(INDEX('Rates &amp; Tables'!$C$61:$G$63,MATCH($I180,'Rates &amp; Tables'!$J$61:$J$63,0),MATCH($H180,'Rates &amp; Tables'!$C$60:$G$60,0)),0))</f>
        <v/>
      </c>
      <c r="O180" s="52">
        <f>IF($B180="",0,$M180*$N180)</f>
        <v/>
      </c>
      <c r="P180" s="49">
        <f>IF($B180="","",$B180&amp;"|"&amp;$G180&amp;"|"&amp;$J180)</f>
        <v/>
      </c>
    </row>
    <row r="181" hidden="1" ht="14.25" customHeight="1">
      <c r="B181" s="51" t="n">
        <v>5</v>
      </c>
      <c r="C181" s="51" t="inlineStr">
        <is>
          <t>POD</t>
        </is>
      </c>
      <c r="D181" s="51" t="n">
        <v>2</v>
      </c>
      <c r="E181" s="51" t="n">
        <v>2</v>
      </c>
      <c r="F181" s="51" t="inlineStr">
        <is>
          <t>MetLife Compliance SME</t>
        </is>
      </c>
      <c r="G181" s="51" t="inlineStr">
        <is>
          <t>BSA</t>
        </is>
      </c>
      <c r="H181" s="51" t="inlineStr">
        <is>
          <t>E4</t>
        </is>
      </c>
      <c r="I181" s="51" t="inlineStr">
        <is>
          <t>ON</t>
        </is>
      </c>
      <c r="J181" s="51" t="inlineStr">
        <is>
          <t>FTE</t>
        </is>
      </c>
      <c r="K181" s="51" t="n">
        <v>0.5</v>
      </c>
      <c r="L181" s="52">
        <f>IF($B181="",0,IF($C181="HZ",1,IFERROR(INDEX('Value Streams &amp; Delivery Mode'!$D$17:$M$22,MATCH($D181,'Value Streams &amp; Delivery Mode'!$B$17:$B$22,0),($B181-1)*2+IF($C181="POD",1,2)),0)))</f>
        <v/>
      </c>
      <c r="M181" s="53">
        <f>IF($B181="",0,$K181*$L181)</f>
        <v/>
      </c>
      <c r="N181" s="54">
        <f>IF($B181="",0,IFERROR(INDEX('Rates &amp; Tables'!$C$61:$G$63,MATCH($I181,'Rates &amp; Tables'!$J$61:$J$63,0),MATCH($H181,'Rates &amp; Tables'!$C$60:$G$60,0)),0))</f>
        <v/>
      </c>
      <c r="O181" s="52">
        <f>IF($B181="",0,$M181*$N181)</f>
        <v/>
      </c>
      <c r="P181" s="49">
        <f>IF($B181="","",$B181&amp;"|"&amp;$G181&amp;"|"&amp;$J181)</f>
        <v/>
      </c>
    </row>
    <row r="182" hidden="1" ht="14.25" customHeight="1">
      <c r="B182" s="51" t="n">
        <v>5</v>
      </c>
      <c r="C182" s="51" t="inlineStr">
        <is>
          <t>POD</t>
        </is>
      </c>
      <c r="D182" s="51" t="n">
        <v>2</v>
      </c>
      <c r="E182" s="51" t="n">
        <v>3</v>
      </c>
      <c r="F182" s="51" t="inlineStr">
        <is>
          <t>FSI Senior Developer (JP)</t>
        </is>
      </c>
      <c r="G182" s="51" t="inlineStr">
        <is>
          <t>DEV</t>
        </is>
      </c>
      <c r="H182" s="51" t="inlineStr">
        <is>
          <t>E3</t>
        </is>
      </c>
      <c r="I182" s="51" t="inlineStr">
        <is>
          <t>ON</t>
        </is>
      </c>
      <c r="J182" s="51" t="inlineStr">
        <is>
          <t>PT</t>
        </is>
      </c>
      <c r="K182" s="51" t="n">
        <v>1</v>
      </c>
      <c r="L182" s="52">
        <f>IF($B182="",0,IF($C182="HZ",1,IFERROR(INDEX('Value Streams &amp; Delivery Mode'!$D$17:$M$22,MATCH($D182,'Value Streams &amp; Delivery Mode'!$B$17:$B$22,0),($B182-1)*2+IF($C182="POD",1,2)),0)))</f>
        <v/>
      </c>
      <c r="M182" s="53">
        <f>IF($B182="",0,$K182*$L182)</f>
        <v/>
      </c>
      <c r="N182" s="54">
        <f>IF($B182="",0,IFERROR(INDEX('Rates &amp; Tables'!$C$61:$G$63,MATCH($I182,'Rates &amp; Tables'!$J$61:$J$63,0),MATCH($H182,'Rates &amp; Tables'!$C$60:$G$60,0)),0))</f>
        <v/>
      </c>
      <c r="O182" s="52">
        <f>IF($B182="",0,$M182*$N182)</f>
        <v/>
      </c>
      <c r="P182" s="49">
        <f>IF($B182="","",$B182&amp;"|"&amp;$G182&amp;"|"&amp;$J182)</f>
        <v/>
      </c>
    </row>
    <row r="183" hidden="1" ht="14.25" customHeight="1">
      <c r="B183" s="51" t="n">
        <v>5</v>
      </c>
      <c r="C183" s="51" t="inlineStr">
        <is>
          <t>POD</t>
        </is>
      </c>
      <c r="D183" s="51" t="n">
        <v>2</v>
      </c>
      <c r="E183" s="51" t="n">
        <v>4</v>
      </c>
      <c r="F183" s="51" t="inlineStr">
        <is>
          <t>Pod lead / senior engineer</t>
        </is>
      </c>
      <c r="G183" s="51" t="inlineStr">
        <is>
          <t>DEV</t>
        </is>
      </c>
      <c r="H183" s="51" t="inlineStr">
        <is>
          <t>E4</t>
        </is>
      </c>
      <c r="I183" s="51" t="inlineStr">
        <is>
          <t>ON</t>
        </is>
      </c>
      <c r="J183" s="51" t="inlineStr">
        <is>
          <t>FTC</t>
        </is>
      </c>
      <c r="K183" s="51" t="n">
        <v>1</v>
      </c>
      <c r="L183" s="52">
        <f>IF($B183="",0,IF($C183="HZ",1,IFERROR(INDEX('Value Streams &amp; Delivery Mode'!$D$17:$M$22,MATCH($D183,'Value Streams &amp; Delivery Mode'!$B$17:$B$22,0),($B183-1)*2+IF($C183="POD",1,2)),0)))</f>
        <v/>
      </c>
      <c r="M183" s="53">
        <f>IF($B183="",0,$K183*$L183)</f>
        <v/>
      </c>
      <c r="N183" s="54">
        <f>IF($B183="",0,IFERROR(INDEX('Rates &amp; Tables'!$C$61:$G$63,MATCH($I183,'Rates &amp; Tables'!$J$61:$J$63,0),MATCH($H183,'Rates &amp; Tables'!$C$60:$G$60,0)),0))</f>
        <v/>
      </c>
      <c r="O183" s="52">
        <f>IF($B183="",0,$M183*$N183)</f>
        <v/>
      </c>
      <c r="P183" s="49">
        <f>IF($B183="","",$B183&amp;"|"&amp;$G183&amp;"|"&amp;$J183)</f>
        <v/>
      </c>
    </row>
    <row r="184" hidden="1" ht="14.25" customHeight="1">
      <c r="B184" s="51" t="n">
        <v>5</v>
      </c>
      <c r="C184" s="51" t="inlineStr">
        <is>
          <t>POD</t>
        </is>
      </c>
      <c r="D184" s="51" t="n">
        <v>2</v>
      </c>
      <c r="E184" s="51" t="n">
        <v>5</v>
      </c>
      <c r="F184" s="51" t="inlineStr">
        <is>
          <t>Junior .NET Developer — offshore</t>
        </is>
      </c>
      <c r="G184" s="51" t="inlineStr">
        <is>
          <t>DEV</t>
        </is>
      </c>
      <c r="H184" s="51" t="inlineStr">
        <is>
          <t>E2</t>
        </is>
      </c>
      <c r="I184" s="51" t="inlineStr">
        <is>
          <t>OFF</t>
        </is>
      </c>
      <c r="J184" s="51" t="inlineStr">
        <is>
          <t>FTC</t>
        </is>
      </c>
      <c r="K184" s="51" t="n">
        <v>1</v>
      </c>
      <c r="L184" s="52">
        <f>IF($B184="",0,IF($C184="HZ",1,IFERROR(INDEX('Value Streams &amp; Delivery Mode'!$D$17:$M$22,MATCH($D184,'Value Streams &amp; Delivery Mode'!$B$17:$B$22,0),($B184-1)*2+IF($C184="POD",1,2)),0)))</f>
        <v/>
      </c>
      <c r="M184" s="53">
        <f>IF($B184="",0,$K184*$L184)</f>
        <v/>
      </c>
      <c r="N184" s="54">
        <f>IF($B184="",0,IFERROR(INDEX('Rates &amp; Tables'!$C$61:$G$63,MATCH($I184,'Rates &amp; Tables'!$J$61:$J$63,0),MATCH($H184,'Rates &amp; Tables'!$C$60:$G$60,0)),0))</f>
        <v/>
      </c>
      <c r="O184" s="52">
        <f>IF($B184="",0,$M184*$N184)</f>
        <v/>
      </c>
      <c r="P184" s="49">
        <f>IF($B184="","",$B184&amp;"|"&amp;$G184&amp;"|"&amp;$J184)</f>
        <v/>
      </c>
    </row>
    <row r="185" hidden="1" ht="14.25" customHeight="1">
      <c r="B185" s="51" t="n">
        <v>5</v>
      </c>
      <c r="C185" s="51" t="inlineStr">
        <is>
          <t>POD</t>
        </is>
      </c>
      <c r="D185" s="51" t="n">
        <v>2</v>
      </c>
      <c r="E185" s="51" t="n">
        <v>6</v>
      </c>
      <c r="F185" s="51" t="inlineStr">
        <is>
          <t>Junior Application Support — offshore</t>
        </is>
      </c>
      <c r="G185" s="51" t="inlineStr">
        <is>
          <t>MNT</t>
        </is>
      </c>
      <c r="H185" s="51" t="inlineStr">
        <is>
          <t>E1</t>
        </is>
      </c>
      <c r="I185" s="51" t="inlineStr">
        <is>
          <t>OFF</t>
        </is>
      </c>
      <c r="J185" s="51" t="inlineStr">
        <is>
          <t>FTC</t>
        </is>
      </c>
      <c r="K185" s="51" t="n">
        <v>0.5</v>
      </c>
      <c r="L185" s="52">
        <f>IF($B185="",0,IF($C185="HZ",1,IFERROR(INDEX('Value Streams &amp; Delivery Mode'!$D$17:$M$22,MATCH($D185,'Value Streams &amp; Delivery Mode'!$B$17:$B$22,0),($B185-1)*2+IF($C185="POD",1,2)),0)))</f>
        <v/>
      </c>
      <c r="M185" s="53">
        <f>IF($B185="",0,$K185*$L185)</f>
        <v/>
      </c>
      <c r="N185" s="54">
        <f>IF($B185="",0,IFERROR(INDEX('Rates &amp; Tables'!$C$61:$G$63,MATCH($I185,'Rates &amp; Tables'!$J$61:$J$63,0),MATCH($H185,'Rates &amp; Tables'!$C$60:$G$60,0)),0))</f>
        <v/>
      </c>
      <c r="O185" s="52">
        <f>IF($B185="",0,$M185*$N185)</f>
        <v/>
      </c>
      <c r="P185" s="49">
        <f>IF($B185="","",$B185&amp;"|"&amp;$G185&amp;"|"&amp;$J185)</f>
        <v/>
      </c>
    </row>
    <row r="186" hidden="1" ht="14.25" customHeight="1">
      <c r="B186" s="51" t="n">
        <v>5</v>
      </c>
      <c r="C186" s="51" t="inlineStr">
        <is>
          <t>POD</t>
        </is>
      </c>
      <c r="D186" s="51" t="n">
        <v>2</v>
      </c>
      <c r="E186" s="51" t="n">
        <v>7</v>
      </c>
      <c r="F186" s="51" t="inlineStr">
        <is>
          <t>MGCC Commission Engineer</t>
        </is>
      </c>
      <c r="G186" s="51" t="inlineStr">
        <is>
          <t>DEV</t>
        </is>
      </c>
      <c r="H186" s="51" t="inlineStr">
        <is>
          <t>E3</t>
        </is>
      </c>
      <c r="I186" s="51" t="inlineStr">
        <is>
          <t>OFF</t>
        </is>
      </c>
      <c r="J186" s="51" t="inlineStr">
        <is>
          <t>MGCC</t>
        </is>
      </c>
      <c r="K186" s="51" t="n">
        <v>0.5</v>
      </c>
      <c r="L186" s="52">
        <f>IF($B186="",0,IF($C186="HZ",1,IFERROR(INDEX('Value Streams &amp; Delivery Mode'!$D$17:$M$22,MATCH($D186,'Value Streams &amp; Delivery Mode'!$B$17:$B$22,0),($B186-1)*2+IF($C186="POD",1,2)),0)))</f>
        <v/>
      </c>
      <c r="M186" s="53">
        <f>IF($B186="",0,$K186*$L186)</f>
        <v/>
      </c>
      <c r="N186" s="54">
        <f>IF($B186="",0,IFERROR(INDEX('Rates &amp; Tables'!$C$61:$G$63,MATCH($I186,'Rates &amp; Tables'!$J$61:$J$63,0),MATCH($H186,'Rates &amp; Tables'!$C$60:$G$60,0)),0))</f>
        <v/>
      </c>
      <c r="O186" s="52">
        <f>IF($B186="",0,$M186*$N186)</f>
        <v/>
      </c>
      <c r="P186" s="49">
        <f>IF($B186="","",$B186&amp;"|"&amp;$G186&amp;"|"&amp;$J186)</f>
        <v/>
      </c>
    </row>
    <row r="187" hidden="1" ht="14.25" customHeight="1">
      <c r="B187" s="51" t="n">
        <v>5</v>
      </c>
      <c r="C187" s="51" t="inlineStr">
        <is>
          <t>POD</t>
        </is>
      </c>
      <c r="D187" s="51" t="n">
        <v>2</v>
      </c>
      <c r="E187" s="51" t="n">
        <v>8</v>
      </c>
      <c r="F187" s="51" t="inlineStr">
        <is>
          <t>MGCC Test Engineer</t>
        </is>
      </c>
      <c r="G187" s="51" t="inlineStr">
        <is>
          <t>TEST</t>
        </is>
      </c>
      <c r="H187" s="51" t="inlineStr">
        <is>
          <t>E2</t>
        </is>
      </c>
      <c r="I187" s="51" t="inlineStr">
        <is>
          <t>OFF</t>
        </is>
      </c>
      <c r="J187" s="51" t="inlineStr">
        <is>
          <t>MGCC</t>
        </is>
      </c>
      <c r="K187" s="51" t="n">
        <v>0.5</v>
      </c>
      <c r="L187" s="52">
        <f>IF($B187="",0,IF($C187="HZ",1,IFERROR(INDEX('Value Streams &amp; Delivery Mode'!$D$17:$M$22,MATCH($D187,'Value Streams &amp; Delivery Mode'!$B$17:$B$22,0),($B187-1)*2+IF($C187="POD",1,2)),0)))</f>
        <v/>
      </c>
      <c r="M187" s="53">
        <f>IF($B187="",0,$K187*$L187)</f>
        <v/>
      </c>
      <c r="N187" s="54">
        <f>IF($B187="",0,IFERROR(INDEX('Rates &amp; Tables'!$C$61:$G$63,MATCH($I187,'Rates &amp; Tables'!$J$61:$J$63,0),MATCH($H187,'Rates &amp; Tables'!$C$60:$G$60,0)),0))</f>
        <v/>
      </c>
      <c r="O187" s="52">
        <f>IF($B187="",0,$M187*$N187)</f>
        <v/>
      </c>
      <c r="P187" s="49">
        <f>IF($B187="","",$B187&amp;"|"&amp;$G187&amp;"|"&amp;$J187)</f>
        <v/>
      </c>
    </row>
    <row r="188" hidden="1" ht="14.25" customHeight="1">
      <c r="B188" s="51" t="n">
        <v>5</v>
      </c>
      <c r="C188" s="51" t="inlineStr">
        <is>
          <t>POD</t>
        </is>
      </c>
      <c r="D188" s="51" t="n">
        <v>3</v>
      </c>
      <c r="E188" s="51" t="n">
        <v>1</v>
      </c>
      <c r="F188" s="51" t="inlineStr">
        <is>
          <t>MetLife Product Owner</t>
        </is>
      </c>
      <c r="G188" s="51" t="inlineStr">
        <is>
          <t>PM</t>
        </is>
      </c>
      <c r="H188" s="51" t="inlineStr">
        <is>
          <t>E4</t>
        </is>
      </c>
      <c r="I188" s="51" t="inlineStr">
        <is>
          <t>ON</t>
        </is>
      </c>
      <c r="J188" s="51" t="inlineStr">
        <is>
          <t>FTE</t>
        </is>
      </c>
      <c r="K188" s="51" t="n">
        <v>1</v>
      </c>
      <c r="L188" s="52">
        <f>IF($B188="",0,IF($C188="HZ",1,IFERROR(INDEX('Value Streams &amp; Delivery Mode'!$D$17:$M$22,MATCH($D188,'Value Streams &amp; Delivery Mode'!$B$17:$B$22,0),($B188-1)*2+IF($C188="POD",1,2)),0)))</f>
        <v/>
      </c>
      <c r="M188" s="53">
        <f>IF($B188="",0,$K188*$L188)</f>
        <v/>
      </c>
      <c r="N188" s="54">
        <f>IF($B188="",0,IFERROR(INDEX('Rates &amp; Tables'!$C$61:$G$63,MATCH($I188,'Rates &amp; Tables'!$J$61:$J$63,0),MATCH($H188,'Rates &amp; Tables'!$C$60:$G$60,0)),0))</f>
        <v/>
      </c>
      <c r="O188" s="52">
        <f>IF($B188="",0,$M188*$N188)</f>
        <v/>
      </c>
      <c r="P188" s="49">
        <f>IF($B188="","",$B188&amp;"|"&amp;$G188&amp;"|"&amp;$J188)</f>
        <v/>
      </c>
    </row>
    <row r="189" hidden="1" ht="14.25" customHeight="1">
      <c r="B189" s="51" t="n">
        <v>5</v>
      </c>
      <c r="C189" s="51" t="inlineStr">
        <is>
          <t>POD</t>
        </is>
      </c>
      <c r="D189" s="51" t="n">
        <v>3</v>
      </c>
      <c r="E189" s="51" t="n">
        <v>2</v>
      </c>
      <c r="F189" s="51" t="inlineStr">
        <is>
          <t>MetLife Corporate SME</t>
        </is>
      </c>
      <c r="G189" s="51" t="inlineStr">
        <is>
          <t>BSA</t>
        </is>
      </c>
      <c r="H189" s="51" t="inlineStr">
        <is>
          <t>E4</t>
        </is>
      </c>
      <c r="I189" s="51" t="inlineStr">
        <is>
          <t>ON</t>
        </is>
      </c>
      <c r="J189" s="51" t="inlineStr">
        <is>
          <t>FTE</t>
        </is>
      </c>
      <c r="K189" s="51" t="n">
        <v>0.5</v>
      </c>
      <c r="L189" s="52">
        <f>IF($B189="",0,IF($C189="HZ",1,IFERROR(INDEX('Value Streams &amp; Delivery Mode'!$D$17:$M$22,MATCH($D189,'Value Streams &amp; Delivery Mode'!$B$17:$B$22,0),($B189-1)*2+IF($C189="POD",1,2)),0)))</f>
        <v/>
      </c>
      <c r="M189" s="53">
        <f>IF($B189="",0,$K189*$L189)</f>
        <v/>
      </c>
      <c r="N189" s="54">
        <f>IF($B189="",0,IFERROR(INDEX('Rates &amp; Tables'!$C$61:$G$63,MATCH($I189,'Rates &amp; Tables'!$J$61:$J$63,0),MATCH($H189,'Rates &amp; Tables'!$C$60:$G$60,0)),0))</f>
        <v/>
      </c>
      <c r="O189" s="52">
        <f>IF($B189="",0,$M189*$N189)</f>
        <v/>
      </c>
      <c r="P189" s="49">
        <f>IF($B189="","",$B189&amp;"|"&amp;$G189&amp;"|"&amp;$J189)</f>
        <v/>
      </c>
    </row>
    <row r="190" hidden="1" ht="14.25" customHeight="1">
      <c r="B190" s="51" t="n">
        <v>5</v>
      </c>
      <c r="C190" s="51" t="inlineStr">
        <is>
          <t>POD</t>
        </is>
      </c>
      <c r="D190" s="51" t="n">
        <v>3</v>
      </c>
      <c r="E190" s="51" t="n">
        <v>3</v>
      </c>
      <c r="F190" s="51" t="inlineStr">
        <is>
          <t>Pod lead / senior engineer</t>
        </is>
      </c>
      <c r="G190" s="51" t="inlineStr">
        <is>
          <t>DEV</t>
        </is>
      </c>
      <c r="H190" s="51" t="inlineStr">
        <is>
          <t>E3</t>
        </is>
      </c>
      <c r="I190" s="51" t="inlineStr">
        <is>
          <t>ON</t>
        </is>
      </c>
      <c r="J190" s="51" t="inlineStr">
        <is>
          <t>FTC</t>
        </is>
      </c>
      <c r="K190" s="51" t="n">
        <v>1</v>
      </c>
      <c r="L190" s="52">
        <f>IF($B190="",0,IF($C190="HZ",1,IFERROR(INDEX('Value Streams &amp; Delivery Mode'!$D$17:$M$22,MATCH($D190,'Value Streams &amp; Delivery Mode'!$B$17:$B$22,0),($B190-1)*2+IF($C190="POD",1,2)),0)))</f>
        <v/>
      </c>
      <c r="M190" s="53">
        <f>IF($B190="",0,$K190*$L190)</f>
        <v/>
      </c>
      <c r="N190" s="54">
        <f>IF($B190="",0,IFERROR(INDEX('Rates &amp; Tables'!$C$61:$G$63,MATCH($I190,'Rates &amp; Tables'!$J$61:$J$63,0),MATCH($H190,'Rates &amp; Tables'!$C$60:$G$60,0)),0))</f>
        <v/>
      </c>
      <c r="O190" s="52">
        <f>IF($B190="",0,$M190*$N190)</f>
        <v/>
      </c>
      <c r="P190" s="49">
        <f>IF($B190="","",$B190&amp;"|"&amp;$G190&amp;"|"&amp;$J190)</f>
        <v/>
      </c>
    </row>
    <row r="191" hidden="1" ht="14.25" customHeight="1">
      <c r="B191" s="51" t="n">
        <v>5</v>
      </c>
      <c r="C191" s="51" t="inlineStr">
        <is>
          <t>POD</t>
        </is>
      </c>
      <c r="D191" s="51" t="n">
        <v>3</v>
      </c>
      <c r="E191" s="51" t="n">
        <v>4</v>
      </c>
      <c r="F191" s="51" t="inlineStr">
        <is>
          <t>Junior Java Developer — offshore</t>
        </is>
      </c>
      <c r="G191" s="51" t="inlineStr">
        <is>
          <t>DEV</t>
        </is>
      </c>
      <c r="H191" s="51" t="inlineStr">
        <is>
          <t>E2</t>
        </is>
      </c>
      <c r="I191" s="51" t="inlineStr">
        <is>
          <t>OFF</t>
        </is>
      </c>
      <c r="J191" s="51" t="inlineStr">
        <is>
          <t>FTC</t>
        </is>
      </c>
      <c r="K191" s="51" t="n">
        <v>1.5</v>
      </c>
      <c r="L191" s="52">
        <f>IF($B191="",0,IF($C191="HZ",1,IFERROR(INDEX('Value Streams &amp; Delivery Mode'!$D$17:$M$22,MATCH($D191,'Value Streams &amp; Delivery Mode'!$B$17:$B$22,0),($B191-1)*2+IF($C191="POD",1,2)),0)))</f>
        <v/>
      </c>
      <c r="M191" s="53">
        <f>IF($B191="",0,$K191*$L191)</f>
        <v/>
      </c>
      <c r="N191" s="54">
        <f>IF($B191="",0,IFERROR(INDEX('Rates &amp; Tables'!$C$61:$G$63,MATCH($I191,'Rates &amp; Tables'!$J$61:$J$63,0),MATCH($H191,'Rates &amp; Tables'!$C$60:$G$60,0)),0))</f>
        <v/>
      </c>
      <c r="O191" s="52">
        <f>IF($B191="",0,$M191*$N191)</f>
        <v/>
      </c>
      <c r="P191" s="49">
        <f>IF($B191="","",$B191&amp;"|"&amp;$G191&amp;"|"&amp;$J191)</f>
        <v/>
      </c>
    </row>
    <row r="192" hidden="1" ht="14.25" customHeight="1">
      <c r="B192" s="51" t="n">
        <v>5</v>
      </c>
      <c r="C192" s="51" t="inlineStr">
        <is>
          <t>POD</t>
        </is>
      </c>
      <c r="D192" s="51" t="n">
        <v>3</v>
      </c>
      <c r="E192" s="51" t="n">
        <v>5</v>
      </c>
      <c r="F192" s="51" t="inlineStr">
        <is>
          <t>Quality Engineer (SDET) — offshore</t>
        </is>
      </c>
      <c r="G192" s="51" t="inlineStr">
        <is>
          <t>TEST</t>
        </is>
      </c>
      <c r="H192" s="51" t="inlineStr">
        <is>
          <t>E2</t>
        </is>
      </c>
      <c r="I192" s="51" t="inlineStr">
        <is>
          <t>OFF</t>
        </is>
      </c>
      <c r="J192" s="51" t="inlineStr">
        <is>
          <t>FTC</t>
        </is>
      </c>
      <c r="K192" s="51" t="n">
        <v>0.5</v>
      </c>
      <c r="L192" s="52">
        <f>IF($B192="",0,IF($C192="HZ",1,IFERROR(INDEX('Value Streams &amp; Delivery Mode'!$D$17:$M$22,MATCH($D192,'Value Streams &amp; Delivery Mode'!$B$17:$B$22,0),($B192-1)*2+IF($C192="POD",1,2)),0)))</f>
        <v/>
      </c>
      <c r="M192" s="53">
        <f>IF($B192="",0,$K192*$L192)</f>
        <v/>
      </c>
      <c r="N192" s="54">
        <f>IF($B192="",0,IFERROR(INDEX('Rates &amp; Tables'!$C$61:$G$63,MATCH($I192,'Rates &amp; Tables'!$J$61:$J$63,0),MATCH($H192,'Rates &amp; Tables'!$C$60:$G$60,0)),0))</f>
        <v/>
      </c>
      <c r="O192" s="52">
        <f>IF($B192="",0,$M192*$N192)</f>
        <v/>
      </c>
      <c r="P192" s="49">
        <f>IF($B192="","",$B192&amp;"|"&amp;$G192&amp;"|"&amp;$J192)</f>
        <v/>
      </c>
    </row>
    <row r="193" hidden="1" ht="14.25" customHeight="1">
      <c r="B193" s="51" t="n">
        <v>5</v>
      </c>
      <c r="C193" s="51" t="inlineStr">
        <is>
          <t>POD</t>
        </is>
      </c>
      <c r="D193" s="51" t="n">
        <v>3</v>
      </c>
      <c r="E193" s="51" t="n">
        <v>6</v>
      </c>
      <c r="F193" s="51" t="inlineStr">
        <is>
          <t>Junior Application Support — offshore</t>
        </is>
      </c>
      <c r="G193" s="51" t="inlineStr">
        <is>
          <t>MNT</t>
        </is>
      </c>
      <c r="H193" s="51" t="inlineStr">
        <is>
          <t>E1</t>
        </is>
      </c>
      <c r="I193" s="51" t="inlineStr">
        <is>
          <t>OFF</t>
        </is>
      </c>
      <c r="J193" s="51" t="inlineStr">
        <is>
          <t>FTC</t>
        </is>
      </c>
      <c r="K193" s="51" t="n">
        <v>0.5</v>
      </c>
      <c r="L193" s="52">
        <f>IF($B193="",0,IF($C193="HZ",1,IFERROR(INDEX('Value Streams &amp; Delivery Mode'!$D$17:$M$22,MATCH($D193,'Value Streams &amp; Delivery Mode'!$B$17:$B$22,0),($B193-1)*2+IF($C193="POD",1,2)),0)))</f>
        <v/>
      </c>
      <c r="M193" s="53">
        <f>IF($B193="",0,$K193*$L193)</f>
        <v/>
      </c>
      <c r="N193" s="54">
        <f>IF($B193="",0,IFERROR(INDEX('Rates &amp; Tables'!$C$61:$G$63,MATCH($I193,'Rates &amp; Tables'!$J$61:$J$63,0),MATCH($H193,'Rates &amp; Tables'!$C$60:$G$60,0)),0))</f>
        <v/>
      </c>
      <c r="O193" s="52">
        <f>IF($B193="",0,$M193*$N193)</f>
        <v/>
      </c>
      <c r="P193" s="49">
        <f>IF($B193="","",$B193&amp;"|"&amp;$G193&amp;"|"&amp;$J193)</f>
        <v/>
      </c>
    </row>
    <row r="194" hidden="1" ht="14.25" customHeight="1">
      <c r="B194" s="51" t="n">
        <v>5</v>
      </c>
      <c r="C194" s="51" t="inlineStr">
        <is>
          <t>POD</t>
        </is>
      </c>
      <c r="D194" s="51" t="n">
        <v>3</v>
      </c>
      <c r="E194" s="51" t="n">
        <v>7</v>
      </c>
      <c r="F194" s="51" t="inlineStr">
        <is>
          <t>MGCC Commission Engineer</t>
        </is>
      </c>
      <c r="G194" s="51" t="inlineStr">
        <is>
          <t>DEV</t>
        </is>
      </c>
      <c r="H194" s="51" t="inlineStr">
        <is>
          <t>E3</t>
        </is>
      </c>
      <c r="I194" s="51" t="inlineStr">
        <is>
          <t>OFF</t>
        </is>
      </c>
      <c r="J194" s="51" t="inlineStr">
        <is>
          <t>MGCC</t>
        </is>
      </c>
      <c r="K194" s="51" t="n">
        <v>0.5</v>
      </c>
      <c r="L194" s="52">
        <f>IF($B194="",0,IF($C194="HZ",1,IFERROR(INDEX('Value Streams &amp; Delivery Mode'!$D$17:$M$22,MATCH($D194,'Value Streams &amp; Delivery Mode'!$B$17:$B$22,0),($B194-1)*2+IF($C194="POD",1,2)),0)))</f>
        <v/>
      </c>
      <c r="M194" s="53">
        <f>IF($B194="",0,$K194*$L194)</f>
        <v/>
      </c>
      <c r="N194" s="54">
        <f>IF($B194="",0,IFERROR(INDEX('Rates &amp; Tables'!$C$61:$G$63,MATCH($I194,'Rates &amp; Tables'!$J$61:$J$63,0),MATCH($H194,'Rates &amp; Tables'!$C$60:$G$60,0)),0))</f>
        <v/>
      </c>
      <c r="O194" s="52">
        <f>IF($B194="",0,$M194*$N194)</f>
        <v/>
      </c>
      <c r="P194" s="49">
        <f>IF($B194="","",$B194&amp;"|"&amp;$G194&amp;"|"&amp;$J194)</f>
        <v/>
      </c>
    </row>
    <row r="195" hidden="1" ht="14.25" customHeight="1">
      <c r="B195" s="51" t="n">
        <v>5</v>
      </c>
      <c r="C195" s="51" t="inlineStr">
        <is>
          <t>POD</t>
        </is>
      </c>
      <c r="D195" s="51" t="n">
        <v>3</v>
      </c>
      <c r="E195" s="51" t="n">
        <v>8</v>
      </c>
      <c r="F195" s="51" t="inlineStr">
        <is>
          <t>MGCC Test Engineer</t>
        </is>
      </c>
      <c r="G195" s="51" t="inlineStr">
        <is>
          <t>TEST</t>
        </is>
      </c>
      <c r="H195" s="51" t="inlineStr">
        <is>
          <t>E2</t>
        </is>
      </c>
      <c r="I195" s="51" t="inlineStr">
        <is>
          <t>OFF</t>
        </is>
      </c>
      <c r="J195" s="51" t="inlineStr">
        <is>
          <t>MGCC</t>
        </is>
      </c>
      <c r="K195" s="51" t="n">
        <v>0.5</v>
      </c>
      <c r="L195" s="52">
        <f>IF($B195="",0,IF($C195="HZ",1,IFERROR(INDEX('Value Streams &amp; Delivery Mode'!$D$17:$M$22,MATCH($D195,'Value Streams &amp; Delivery Mode'!$B$17:$B$22,0),($B195-1)*2+IF($C195="POD",1,2)),0)))</f>
        <v/>
      </c>
      <c r="M195" s="53">
        <f>IF($B195="",0,$K195*$L195)</f>
        <v/>
      </c>
      <c r="N195" s="54">
        <f>IF($B195="",0,IFERROR(INDEX('Rates &amp; Tables'!$C$61:$G$63,MATCH($I195,'Rates &amp; Tables'!$J$61:$J$63,0),MATCH($H195,'Rates &amp; Tables'!$C$60:$G$60,0)),0))</f>
        <v/>
      </c>
      <c r="O195" s="52">
        <f>IF($B195="",0,$M195*$N195)</f>
        <v/>
      </c>
      <c r="P195" s="49">
        <f>IF($B195="","",$B195&amp;"|"&amp;$G195&amp;"|"&amp;$J195)</f>
        <v/>
      </c>
    </row>
    <row r="196" hidden="1" ht="14.25" customHeight="1">
      <c r="B196" s="51" t="n">
        <v>5</v>
      </c>
      <c r="C196" s="51" t="inlineStr">
        <is>
          <t>HZ</t>
        </is>
      </c>
      <c r="D196" s="51" t="inlineStr">
        <is>
          <t>H3</t>
        </is>
      </c>
      <c r="E196" s="51" t="n">
        <v>1</v>
      </c>
      <c r="F196" s="51" t="inlineStr">
        <is>
          <t>Domain Service Manager</t>
        </is>
      </c>
      <c r="G196" s="51" t="inlineStr">
        <is>
          <t>PM</t>
        </is>
      </c>
      <c r="H196" s="51" t="inlineStr">
        <is>
          <t>E5</t>
        </is>
      </c>
      <c r="I196" s="51" t="inlineStr">
        <is>
          <t>ON</t>
        </is>
      </c>
      <c r="J196" s="51" t="inlineStr">
        <is>
          <t>FTC</t>
        </is>
      </c>
      <c r="K196" s="51" t="n">
        <v>1</v>
      </c>
      <c r="L196" s="52">
        <f>IF($B196="",0,IF($C196="HZ",1,IFERROR(INDEX('Value Streams &amp; Delivery Mode'!$D$17:$M$22,MATCH($D196,'Value Streams &amp; Delivery Mode'!$B$17:$B$22,0),($B196-1)*2+IF($C196="POD",1,2)),0)))</f>
        <v/>
      </c>
      <c r="M196" s="53">
        <f>IF($B196="",0,$K196*$L196)</f>
        <v/>
      </c>
      <c r="N196" s="54">
        <f>IF($B196="",0,IFERROR(INDEX('Rates &amp; Tables'!$C$61:$G$63,MATCH($I196,'Rates &amp; Tables'!$J$61:$J$63,0),MATCH($H196,'Rates &amp; Tables'!$C$60:$G$60,0)),0))</f>
        <v/>
      </c>
      <c r="O196" s="52">
        <f>IF($B196="",0,$M196*$N196)</f>
        <v/>
      </c>
      <c r="P196" s="49">
        <f>IF($B196="","",$B196&amp;"|"&amp;$G196&amp;"|"&amp;$J196)</f>
        <v/>
      </c>
    </row>
    <row r="197" hidden="1" ht="14.25" customHeight="1">
      <c r="B197" s="51" t="n">
        <v>5</v>
      </c>
      <c r="C197" s="51" t="inlineStr">
        <is>
          <t>HZ</t>
        </is>
      </c>
      <c r="D197" s="51" t="inlineStr">
        <is>
          <t>H3</t>
        </is>
      </c>
      <c r="E197" s="51" t="n">
        <v>2</v>
      </c>
      <c r="F197" s="51" t="inlineStr">
        <is>
          <t>Lead BSA (bilingual)</t>
        </is>
      </c>
      <c r="G197" s="51" t="inlineStr">
        <is>
          <t>BSA</t>
        </is>
      </c>
      <c r="H197" s="51" t="inlineStr">
        <is>
          <t>E4</t>
        </is>
      </c>
      <c r="I197" s="51" t="inlineStr">
        <is>
          <t>ON</t>
        </is>
      </c>
      <c r="J197" s="51" t="inlineStr">
        <is>
          <t>FTC</t>
        </is>
      </c>
      <c r="K197" s="51" t="n">
        <v>1</v>
      </c>
      <c r="L197" s="52">
        <f>IF($B197="",0,IF($C197="HZ",1,IFERROR(INDEX('Value Streams &amp; Delivery Mode'!$D$17:$M$22,MATCH($D197,'Value Streams &amp; Delivery Mode'!$B$17:$B$22,0),($B197-1)*2+IF($C197="POD",1,2)),0)))</f>
        <v/>
      </c>
      <c r="M197" s="53">
        <f>IF($B197="",0,$K197*$L197)</f>
        <v/>
      </c>
      <c r="N197" s="54">
        <f>IF($B197="",0,IFERROR(INDEX('Rates &amp; Tables'!$C$61:$G$63,MATCH($I197,'Rates &amp; Tables'!$J$61:$J$63,0),MATCH($H197,'Rates &amp; Tables'!$C$60:$G$60,0)),0))</f>
        <v/>
      </c>
      <c r="O197" s="52">
        <f>IF($B197="",0,$M197*$N197)</f>
        <v/>
      </c>
      <c r="P197" s="49">
        <f>IF($B197="","",$B197&amp;"|"&amp;$G197&amp;"|"&amp;$J197)</f>
        <v/>
      </c>
    </row>
    <row r="198" hidden="1" ht="14.25" customHeight="1">
      <c r="B198" s="51" t="n">
        <v>5</v>
      </c>
      <c r="C198" s="51" t="inlineStr">
        <is>
          <t>HZ</t>
        </is>
      </c>
      <c r="D198" s="51" t="inlineStr">
        <is>
          <t>H3</t>
        </is>
      </c>
      <c r="E198" s="51" t="n">
        <v>3</v>
      </c>
      <c r="F198" s="51" t="inlineStr">
        <is>
          <t>Release &amp; Environments Lead</t>
        </is>
      </c>
      <c r="G198" s="51" t="inlineStr">
        <is>
          <t>OTH</t>
        </is>
      </c>
      <c r="H198" s="51" t="inlineStr">
        <is>
          <t>E3</t>
        </is>
      </c>
      <c r="I198" s="51" t="inlineStr">
        <is>
          <t>ON</t>
        </is>
      </c>
      <c r="J198" s="51" t="inlineStr">
        <is>
          <t>FTC</t>
        </is>
      </c>
      <c r="K198" s="51" t="n">
        <v>0.5</v>
      </c>
      <c r="L198" s="52">
        <f>IF($B198="",0,IF($C198="HZ",1,IFERROR(INDEX('Value Streams &amp; Delivery Mode'!$D$17:$M$22,MATCH($D198,'Value Streams &amp; Delivery Mode'!$B$17:$B$22,0),($B198-1)*2+IF($C198="POD",1,2)),0)))</f>
        <v/>
      </c>
      <c r="M198" s="53">
        <f>IF($B198="",0,$K198*$L198)</f>
        <v/>
      </c>
      <c r="N198" s="54">
        <f>IF($B198="",0,IFERROR(INDEX('Rates &amp; Tables'!$C$61:$G$63,MATCH($I198,'Rates &amp; Tables'!$J$61:$J$63,0),MATCH($H198,'Rates &amp; Tables'!$C$60:$G$60,0)),0))</f>
        <v/>
      </c>
      <c r="O198" s="52">
        <f>IF($B198="",0,$M198*$N198)</f>
        <v/>
      </c>
      <c r="P198" s="49">
        <f>IF($B198="","",$B198&amp;"|"&amp;$G198&amp;"|"&amp;$J198)</f>
        <v/>
      </c>
    </row>
    <row r="199" hidden="1" ht="14.25" customHeight="1">
      <c r="B199" s="51" t="n">
        <v>5</v>
      </c>
      <c r="C199" s="51" t="inlineStr">
        <is>
          <t>HZ</t>
        </is>
      </c>
      <c r="D199" s="51" t="inlineStr">
        <is>
          <t>H3</t>
        </is>
      </c>
      <c r="E199" s="51" t="n">
        <v>4</v>
      </c>
      <c r="F199" s="51" t="inlineStr">
        <is>
          <t>MetLife Regulatory Liaison</t>
        </is>
      </c>
      <c r="G199" s="51" t="inlineStr">
        <is>
          <t>BSA</t>
        </is>
      </c>
      <c r="H199" s="51" t="inlineStr">
        <is>
          <t>E4</t>
        </is>
      </c>
      <c r="I199" s="51" t="inlineStr">
        <is>
          <t>ON</t>
        </is>
      </c>
      <c r="J199" s="51" t="inlineStr">
        <is>
          <t>FTE</t>
        </is>
      </c>
      <c r="K199" s="51" t="n">
        <v>1</v>
      </c>
      <c r="L199" s="52">
        <f>IF($B199="",0,IF($C199="HZ",1,IFERROR(INDEX('Value Streams &amp; Delivery Mode'!$D$17:$M$22,MATCH($D199,'Value Streams &amp; Delivery Mode'!$B$17:$B$22,0),($B199-1)*2+IF($C199="POD",1,2)),0)))</f>
        <v/>
      </c>
      <c r="M199" s="53">
        <f>IF($B199="",0,$K199*$L199)</f>
        <v/>
      </c>
      <c r="N199" s="54">
        <f>IF($B199="",0,IFERROR(INDEX('Rates &amp; Tables'!$C$61:$G$63,MATCH($I199,'Rates &amp; Tables'!$J$61:$J$63,0),MATCH($H199,'Rates &amp; Tables'!$C$60:$G$60,0)),0))</f>
        <v/>
      </c>
      <c r="O199" s="52">
        <f>IF($B199="",0,$M199*$N199)</f>
        <v/>
      </c>
      <c r="P199" s="49">
        <f>IF($B199="","",$B199&amp;"|"&amp;$G199&amp;"|"&amp;$J199)</f>
        <v/>
      </c>
    </row>
    <row r="200" hidden="1" ht="14.25" customHeight="1">
      <c r="B200" s="51" t="n">
        <v>5</v>
      </c>
      <c r="C200" s="51" t="inlineStr">
        <is>
          <t>HZ</t>
        </is>
      </c>
      <c r="D200" s="51" t="inlineStr">
        <is>
          <t>H3</t>
        </is>
      </c>
      <c r="E200" s="51" t="n">
        <v>5</v>
      </c>
      <c r="F200" s="51" t="inlineStr">
        <is>
          <t>MetLife Domain Architect</t>
        </is>
      </c>
      <c r="G200" s="51" t="inlineStr">
        <is>
          <t>OTH</t>
        </is>
      </c>
      <c r="H200" s="51" t="inlineStr">
        <is>
          <t>E4</t>
        </is>
      </c>
      <c r="I200" s="51" t="inlineStr">
        <is>
          <t>ON</t>
        </is>
      </c>
      <c r="J200" s="51" t="inlineStr">
        <is>
          <t>FTE</t>
        </is>
      </c>
      <c r="K200" s="51" t="n">
        <v>1</v>
      </c>
      <c r="L200" s="52">
        <f>IF($B200="",0,IF($C200="HZ",1,IFERROR(INDEX('Value Streams &amp; Delivery Mode'!$D$17:$M$22,MATCH($D200,'Value Streams &amp; Delivery Mode'!$B$17:$B$22,0),($B200-1)*2+IF($C200="POD",1,2)),0)))</f>
        <v/>
      </c>
      <c r="M200" s="53">
        <f>IF($B200="",0,$K200*$L200)</f>
        <v/>
      </c>
      <c r="N200" s="54">
        <f>IF($B200="",0,IFERROR(INDEX('Rates &amp; Tables'!$C$61:$G$63,MATCH($I200,'Rates &amp; Tables'!$J$61:$J$63,0),MATCH($H200,'Rates &amp; Tables'!$C$60:$G$60,0)),0))</f>
        <v/>
      </c>
      <c r="O200" s="52">
        <f>IF($B200="",0,$M200*$N200)</f>
        <v/>
      </c>
      <c r="P200" s="49">
        <f>IF($B200="","",$B200&amp;"|"&amp;$G200&amp;"|"&amp;$J200)</f>
        <v/>
      </c>
    </row>
    <row r="201" hidden="1" ht="14.25" customHeight="1">
      <c r="B201" s="51" t="n">
        <v>5</v>
      </c>
      <c r="C201" s="51" t="inlineStr">
        <is>
          <t>HZ</t>
        </is>
      </c>
      <c r="D201" s="51" t="inlineStr">
        <is>
          <t>H1</t>
        </is>
      </c>
      <c r="E201" s="51" t="n">
        <v>6</v>
      </c>
      <c r="F201" s="51" t="inlineStr">
        <is>
          <t>AMS Team Lead</t>
        </is>
      </c>
      <c r="G201" s="51" t="inlineStr">
        <is>
          <t>MNT</t>
        </is>
      </c>
      <c r="H201" s="51" t="inlineStr">
        <is>
          <t>E3</t>
        </is>
      </c>
      <c r="I201" s="51" t="inlineStr">
        <is>
          <t>ON</t>
        </is>
      </c>
      <c r="J201" s="51" t="inlineStr">
        <is>
          <t>FTC</t>
        </is>
      </c>
      <c r="K201" s="51" t="n">
        <v>0.5</v>
      </c>
      <c r="L201" s="52">
        <f>IF($B201="",0,IF($C201="HZ",1,IFERROR(INDEX('Value Streams &amp; Delivery Mode'!$D$17:$M$22,MATCH($D201,'Value Streams &amp; Delivery Mode'!$B$17:$B$22,0),($B201-1)*2+IF($C201="POD",1,2)),0)))</f>
        <v/>
      </c>
      <c r="M201" s="53">
        <f>IF($B201="",0,$K201*$L201)</f>
        <v/>
      </c>
      <c r="N201" s="54">
        <f>IF($B201="",0,IFERROR(INDEX('Rates &amp; Tables'!$C$61:$G$63,MATCH($I201,'Rates &amp; Tables'!$J$61:$J$63,0),MATCH($H201,'Rates &amp; Tables'!$C$60:$G$60,0)),0))</f>
        <v/>
      </c>
      <c r="O201" s="52">
        <f>IF($B201="",0,$M201*$N201)</f>
        <v/>
      </c>
      <c r="P201" s="49">
        <f>IF($B201="","",$B201&amp;"|"&amp;$G201&amp;"|"&amp;$J201)</f>
        <v/>
      </c>
    </row>
    <row r="202" hidden="1" ht="14.25" customHeight="1">
      <c r="B202" s="51" t="n">
        <v>5</v>
      </c>
      <c r="C202" s="51" t="inlineStr">
        <is>
          <t>HZ</t>
        </is>
      </c>
      <c r="D202" s="51" t="inlineStr">
        <is>
          <t>H1</t>
        </is>
      </c>
      <c r="E202" s="51" t="n">
        <v>7</v>
      </c>
      <c r="F202" s="51" t="inlineStr">
        <is>
          <t>MetLife Operations Analyst</t>
        </is>
      </c>
      <c r="G202" s="51" t="inlineStr">
        <is>
          <t>MNT</t>
        </is>
      </c>
      <c r="H202" s="51" t="inlineStr">
        <is>
          <t>E3</t>
        </is>
      </c>
      <c r="I202" s="51" t="inlineStr">
        <is>
          <t>ON</t>
        </is>
      </c>
      <c r="J202" s="51" t="inlineStr">
        <is>
          <t>FTE</t>
        </is>
      </c>
      <c r="K202" s="51" t="n">
        <v>1.5</v>
      </c>
      <c r="L202" s="52">
        <f>IF($B202="",0,IF($C202="HZ",1,IFERROR(INDEX('Value Streams &amp; Delivery Mode'!$D$17:$M$22,MATCH($D202,'Value Streams &amp; Delivery Mode'!$B$17:$B$22,0),($B202-1)*2+IF($C202="POD",1,2)),0)))</f>
        <v/>
      </c>
      <c r="M202" s="53">
        <f>IF($B202="",0,$K202*$L202)</f>
        <v/>
      </c>
      <c r="N202" s="54">
        <f>IF($B202="",0,IFERROR(INDEX('Rates &amp; Tables'!$C$61:$G$63,MATCH($I202,'Rates &amp; Tables'!$J$61:$J$63,0),MATCH($H202,'Rates &amp; Tables'!$C$60:$G$60,0)),0))</f>
        <v/>
      </c>
      <c r="O202" s="52">
        <f>IF($B202="",0,$M202*$N202)</f>
        <v/>
      </c>
      <c r="P202" s="49">
        <f>IF($B202="","",$B202&amp;"|"&amp;$G202&amp;"|"&amp;$J202)</f>
        <v/>
      </c>
    </row>
    <row r="203" hidden="1" ht="14.25" customHeight="1">
      <c r="B203" s="51" t="n">
        <v>5</v>
      </c>
      <c r="C203" s="51" t="inlineStr">
        <is>
          <t>HZ</t>
        </is>
      </c>
      <c r="D203" s="51" t="inlineStr">
        <is>
          <t>H1</t>
        </is>
      </c>
      <c r="E203" s="51" t="n">
        <v>8</v>
      </c>
      <c r="F203" s="51" t="inlineStr">
        <is>
          <t>MGCC Application Support</t>
        </is>
      </c>
      <c r="G203" s="51" t="inlineStr">
        <is>
          <t>MNT</t>
        </is>
      </c>
      <c r="H203" s="51" t="inlineStr">
        <is>
          <t>E2</t>
        </is>
      </c>
      <c r="I203" s="51" t="inlineStr">
        <is>
          <t>OFF</t>
        </is>
      </c>
      <c r="J203" s="51" t="inlineStr">
        <is>
          <t>MGCC</t>
        </is>
      </c>
      <c r="K203" s="51" t="n">
        <v>0.5</v>
      </c>
      <c r="L203" s="52">
        <f>IF($B203="",0,IF($C203="HZ",1,IFERROR(INDEX('Value Streams &amp; Delivery Mode'!$D$17:$M$22,MATCH($D203,'Value Streams &amp; Delivery Mode'!$B$17:$B$22,0),($B203-1)*2+IF($C203="POD",1,2)),0)))</f>
        <v/>
      </c>
      <c r="M203" s="53">
        <f>IF($B203="",0,$K203*$L203)</f>
        <v/>
      </c>
      <c r="N203" s="54">
        <f>IF($B203="",0,IFERROR(INDEX('Rates &amp; Tables'!$C$61:$G$63,MATCH($I203,'Rates &amp; Tables'!$J$61:$J$63,0),MATCH($H203,'Rates &amp; Tables'!$C$60:$G$60,0)),0))</f>
        <v/>
      </c>
      <c r="O203" s="52">
        <f>IF($B203="",0,$M203*$N203)</f>
        <v/>
      </c>
      <c r="P203" s="49">
        <f>IF($B203="","",$B203&amp;"|"&amp;$G203&amp;"|"&amp;$J203)</f>
        <v/>
      </c>
    </row>
    <row r="204" hidden="1" ht="14.25" customHeight="1">
      <c r="B204" s="51" t="n">
        <v>5</v>
      </c>
      <c r="C204" s="51" t="inlineStr">
        <is>
          <t>HZ</t>
        </is>
      </c>
      <c r="D204" s="51" t="inlineStr">
        <is>
          <t>H2</t>
        </is>
      </c>
      <c r="E204" s="51" t="n">
        <v>9</v>
      </c>
      <c r="F204" s="51" t="inlineStr">
        <is>
          <t>Test Lead / QA Manager</t>
        </is>
      </c>
      <c r="G204" s="51" t="inlineStr">
        <is>
          <t>TEST</t>
        </is>
      </c>
      <c r="H204" s="51" t="inlineStr">
        <is>
          <t>E3</t>
        </is>
      </c>
      <c r="I204" s="51" t="inlineStr">
        <is>
          <t>ON</t>
        </is>
      </c>
      <c r="J204" s="51" t="inlineStr">
        <is>
          <t>FTC</t>
        </is>
      </c>
      <c r="K204" s="51" t="n">
        <v>0.5</v>
      </c>
      <c r="L204" s="52">
        <f>IF($B204="",0,IF($C204="HZ",1,IFERROR(INDEX('Value Streams &amp; Delivery Mode'!$D$17:$M$22,MATCH($D204,'Value Streams &amp; Delivery Mode'!$B$17:$B$22,0),($B204-1)*2+IF($C204="POD",1,2)),0)))</f>
        <v/>
      </c>
      <c r="M204" s="53">
        <f>IF($B204="",0,$K204*$L204)</f>
        <v/>
      </c>
      <c r="N204" s="54">
        <f>IF($B204="",0,IFERROR(INDEX('Rates &amp; Tables'!$C$61:$G$63,MATCH($I204,'Rates &amp; Tables'!$J$61:$J$63,0),MATCH($H204,'Rates &amp; Tables'!$C$60:$G$60,0)),0))</f>
        <v/>
      </c>
      <c r="O204" s="52">
        <f>IF($B204="",0,$M204*$N204)</f>
        <v/>
      </c>
      <c r="P204" s="49">
        <f>IF($B204="","",$B204&amp;"|"&amp;$G204&amp;"|"&amp;$J204)</f>
        <v/>
      </c>
    </row>
    <row r="205" hidden="1" ht="14.25" customHeight="1">
      <c r="B205" s="51" t="n">
        <v>5</v>
      </c>
      <c r="C205" s="51" t="inlineStr">
        <is>
          <t>HZ</t>
        </is>
      </c>
      <c r="D205" s="51" t="inlineStr">
        <is>
          <t>H2</t>
        </is>
      </c>
      <c r="E205" s="51" t="n">
        <v>10</v>
      </c>
      <c r="F205" s="51" t="inlineStr">
        <is>
          <t>MetLife Quality Lead</t>
        </is>
      </c>
      <c r="G205" s="51" t="inlineStr">
        <is>
          <t>TEST</t>
        </is>
      </c>
      <c r="H205" s="51" t="inlineStr">
        <is>
          <t>E3</t>
        </is>
      </c>
      <c r="I205" s="51" t="inlineStr">
        <is>
          <t>ON</t>
        </is>
      </c>
      <c r="J205" s="51" t="inlineStr">
        <is>
          <t>FTE</t>
        </is>
      </c>
      <c r="K205" s="51" t="n">
        <v>1.5</v>
      </c>
      <c r="L205" s="52">
        <f>IF($B205="",0,IF($C205="HZ",1,IFERROR(INDEX('Value Streams &amp; Delivery Mode'!$D$17:$M$22,MATCH($D205,'Value Streams &amp; Delivery Mode'!$B$17:$B$22,0),($B205-1)*2+IF($C205="POD",1,2)),0)))</f>
        <v/>
      </c>
      <c r="M205" s="53">
        <f>IF($B205="",0,$K205*$L205)</f>
        <v/>
      </c>
      <c r="N205" s="54">
        <f>IF($B205="",0,IFERROR(INDEX('Rates &amp; Tables'!$C$61:$G$63,MATCH($I205,'Rates &amp; Tables'!$J$61:$J$63,0),MATCH($H205,'Rates &amp; Tables'!$C$60:$G$60,0)),0))</f>
        <v/>
      </c>
      <c r="O205" s="52">
        <f>IF($B205="",0,$M205*$N205)</f>
        <v/>
      </c>
      <c r="P205" s="49">
        <f>IF($B205="","",$B205&amp;"|"&amp;$G205&amp;"|"&amp;$J205)</f>
        <v/>
      </c>
    </row>
    <row r="206" hidden="1" ht="14.25" customHeight="1">
      <c r="B206" s="51" t="n">
        <v>5</v>
      </c>
      <c r="C206" s="51" t="inlineStr">
        <is>
          <t>HZ</t>
        </is>
      </c>
      <c r="D206" s="51" t="inlineStr">
        <is>
          <t>H2</t>
        </is>
      </c>
      <c r="E206" s="51" t="n">
        <v>11</v>
      </c>
      <c r="F206" s="51" t="inlineStr">
        <is>
          <t>MGCC Test Engineer</t>
        </is>
      </c>
      <c r="G206" s="51" t="inlineStr">
        <is>
          <t>TEST</t>
        </is>
      </c>
      <c r="H206" s="51" t="inlineStr">
        <is>
          <t>E2</t>
        </is>
      </c>
      <c r="I206" s="51" t="inlineStr">
        <is>
          <t>OFF</t>
        </is>
      </c>
      <c r="J206" s="51" t="inlineStr">
        <is>
          <t>MGCC</t>
        </is>
      </c>
      <c r="K206" s="51" t="n">
        <v>0.5</v>
      </c>
      <c r="L206" s="52">
        <f>IF($B206="",0,IF($C206="HZ",1,IFERROR(INDEX('Value Streams &amp; Delivery Mode'!$D$17:$M$22,MATCH($D206,'Value Streams &amp; Delivery Mode'!$B$17:$B$22,0),($B206-1)*2+IF($C206="POD",1,2)),0)))</f>
        <v/>
      </c>
      <c r="M206" s="53">
        <f>IF($B206="",0,$K206*$L206)</f>
        <v/>
      </c>
      <c r="N206" s="54">
        <f>IF($B206="",0,IFERROR(INDEX('Rates &amp; Tables'!$C$61:$G$63,MATCH($I206,'Rates &amp; Tables'!$J$61:$J$63,0),MATCH($H206,'Rates &amp; Tables'!$C$60:$G$60,0)),0))</f>
        <v/>
      </c>
      <c r="O206" s="52">
        <f>IF($B206="",0,$M206*$N206)</f>
        <v/>
      </c>
      <c r="P206" s="49">
        <f>IF($B206="","",$B206&amp;"|"&amp;$G206&amp;"|"&amp;$J206)</f>
        <v/>
      </c>
    </row>
    <row r="207" hidden="1" ht="14.25" customHeight="1">
      <c r="B207" s="51" t="n">
        <v>4</v>
      </c>
      <c r="C207" s="51" t="inlineStr">
        <is>
          <t>HZ</t>
        </is>
      </c>
      <c r="D207" s="51" t="inlineStr">
        <is>
          <t>H1</t>
        </is>
      </c>
      <c r="E207" s="51" t="n">
        <v>5</v>
      </c>
      <c r="F207" s="51" t="inlineStr">
        <is>
          <t>MetLife Operations Analyst — transferred at the Year-3 exit</t>
        </is>
      </c>
      <c r="G207" s="51" t="inlineStr">
        <is>
          <t>MNT</t>
        </is>
      </c>
      <c r="H207" s="51" t="inlineStr">
        <is>
          <t>E3</t>
        </is>
      </c>
      <c r="I207" s="51" t="inlineStr">
        <is>
          <t>ON</t>
        </is>
      </c>
      <c r="J207" s="51" t="inlineStr">
        <is>
          <t>FTE</t>
        </is>
      </c>
      <c r="K207" s="51" t="n">
        <v>1</v>
      </c>
      <c r="L207" s="52">
        <f>IF($B207="",0,IF($C207="HZ",1,IFERROR(INDEX('Value Streams &amp; Delivery Mode'!$D$17:$M$22,MATCH($D207,'Value Streams &amp; Delivery Mode'!$B$17:$B$22,0),($B207-1)*2+IF($C207="POD",1,2)),0)))</f>
        <v/>
      </c>
      <c r="M207" s="53">
        <f>IF($B207="",0,$K207*$L207)</f>
        <v/>
      </c>
      <c r="N207" s="54">
        <f>IF($B207="",0,IFERROR(INDEX('Rates &amp; Tables'!$C$61:$G$63,MATCH($I207,'Rates &amp; Tables'!$J$61:$J$63,0),MATCH($H207,'Rates &amp; Tables'!$C$60:$G$60,0)),0))</f>
        <v/>
      </c>
      <c r="O207" s="52">
        <f>IF($B207="",0,$M207*$N207)</f>
        <v/>
      </c>
      <c r="P207" s="49">
        <f>IF($B207="","",$B207&amp;"|"&amp;$G207&amp;"|"&amp;$J207)</f>
        <v/>
      </c>
    </row>
    <row r="208" hidden="1" ht="14.25" customHeight="1">
      <c r="B208" s="51" t="n">
        <v>5</v>
      </c>
      <c r="C208" s="51" t="inlineStr">
        <is>
          <t>HZ</t>
        </is>
      </c>
      <c r="D208" s="51" t="inlineStr">
        <is>
          <t>H1</t>
        </is>
      </c>
      <c r="E208" s="51" t="n">
        <v>4</v>
      </c>
      <c r="F208" s="51" t="inlineStr">
        <is>
          <t>MetLife Operations Analyst — transferred at the Year-3 exit</t>
        </is>
      </c>
      <c r="G208" s="51" t="inlineStr">
        <is>
          <t>MNT</t>
        </is>
      </c>
      <c r="H208" s="51" t="inlineStr">
        <is>
          <t>E3</t>
        </is>
      </c>
      <c r="I208" s="51" t="inlineStr">
        <is>
          <t>ON</t>
        </is>
      </c>
      <c r="J208" s="51" t="inlineStr">
        <is>
          <t>FTE</t>
        </is>
      </c>
      <c r="K208" s="51" t="n">
        <v>0.5</v>
      </c>
      <c r="L208" s="52">
        <f>IF($B208="",0,IF($C208="HZ",1,IFERROR(INDEX('Value Streams &amp; Delivery Mode'!$D$17:$M$22,MATCH($D208,'Value Streams &amp; Delivery Mode'!$B$17:$B$22,0),($B208-1)*2+IF($C208="POD",1,2)),0)))</f>
        <v/>
      </c>
      <c r="M208" s="53">
        <f>IF($B208="",0,$K208*$L208)</f>
        <v/>
      </c>
      <c r="N208" s="54">
        <f>IF($B208="",0,IFERROR(INDEX('Rates &amp; Tables'!$C$61:$G$63,MATCH($I208,'Rates &amp; Tables'!$J$61:$J$63,0),MATCH($H208,'Rates &amp; Tables'!$C$60:$G$60,0)),0))</f>
        <v/>
      </c>
      <c r="O208" s="52">
        <f>IF($B208="",0,$M208*$N208)</f>
        <v/>
      </c>
      <c r="P208" s="49">
        <f>IF($B208="","",$B208&amp;"|"&amp;$G208&amp;"|"&amp;$J208)</f>
        <v/>
      </c>
    </row>
    <row r="209" hidden="1" ht="14.25" customHeight="1">
      <c r="B209" s="51" t="n">
        <v>4</v>
      </c>
      <c r="C209" s="51" t="inlineStr">
        <is>
          <t>HZ</t>
        </is>
      </c>
      <c r="D209" s="51" t="inlineStr">
        <is>
          <t>H1</t>
        </is>
      </c>
      <c r="E209" s="51" t="n">
        <v>6</v>
      </c>
      <c r="F209" s="51" t="inlineStr">
        <is>
          <t>MGCC Application Support — transfer absorption</t>
        </is>
      </c>
      <c r="G209" s="51" t="inlineStr">
        <is>
          <t>MNT</t>
        </is>
      </c>
      <c r="H209" s="51" t="inlineStr">
        <is>
          <t>E2</t>
        </is>
      </c>
      <c r="I209" s="51" t="inlineStr">
        <is>
          <t>OFF</t>
        </is>
      </c>
      <c r="J209" s="51" t="inlineStr">
        <is>
          <t>MGCC</t>
        </is>
      </c>
      <c r="K209" s="51" t="n">
        <v>0.5</v>
      </c>
      <c r="L209" s="52">
        <f>IF($B209="",0,IF($C209="HZ",1,IFERROR(INDEX('Value Streams &amp; Delivery Mode'!$D$17:$M$22,MATCH($D209,'Value Streams &amp; Delivery Mode'!$B$17:$B$22,0),($B209-1)*2+IF($C209="POD",1,2)),0)))</f>
        <v/>
      </c>
      <c r="M209" s="53">
        <f>IF($B209="",0,$K209*$L209)</f>
        <v/>
      </c>
      <c r="N209" s="54">
        <f>IF($B209="",0,IFERROR(INDEX('Rates &amp; Tables'!$C$61:$G$63,MATCH($I209,'Rates &amp; Tables'!$J$61:$J$63,0),MATCH($H209,'Rates &amp; Tables'!$C$60:$G$60,0)),0))</f>
        <v/>
      </c>
      <c r="O209" s="52">
        <f>IF($B209="",0,$M209*$N209)</f>
        <v/>
      </c>
      <c r="P209" s="49">
        <f>IF($B209="","",$B209&amp;"|"&amp;$G209&amp;"|"&amp;$J209)</f>
        <v/>
      </c>
    </row>
    <row r="210" hidden="1" ht="14.25" customHeight="1">
      <c r="B210" s="51" t="n"/>
      <c r="C210" s="51" t="n"/>
      <c r="D210" s="51" t="n"/>
      <c r="E210" s="51" t="n"/>
      <c r="F210" s="51" t="n"/>
      <c r="G210" s="51" t="n"/>
      <c r="H210" s="51" t="n"/>
      <c r="I210" s="51" t="n"/>
      <c r="J210" s="51" t="n"/>
      <c r="K210" s="51" t="n"/>
      <c r="L210" s="52">
        <f>IF($B210="",0,IF($C210="HZ",1,IFERROR(INDEX('Value Streams &amp; Delivery Mode'!$D$17:$M$22,MATCH($D210,'Value Streams &amp; Delivery Mode'!$B$17:$B$22,0),($B210-1)*2+IF($C210="POD",1,2)),0)))</f>
        <v/>
      </c>
      <c r="M210" s="53">
        <f>IF($B210="",0,$K210*$L210)</f>
        <v/>
      </c>
      <c r="N210" s="54">
        <f>IF($B210="",0,IFERROR(INDEX('Rates &amp; Tables'!$C$61:$G$63,MATCH($I210,'Rates &amp; Tables'!$J$61:$J$63,0),MATCH($H210,'Rates &amp; Tables'!$C$60:$G$60,0)),0))</f>
        <v/>
      </c>
      <c r="O210" s="52">
        <f>IF($B210="",0,$M210*$N210)</f>
        <v/>
      </c>
      <c r="P210" s="49">
        <f>IF($B210="","",$B210&amp;"|"&amp;$G210&amp;"|"&amp;$J210)</f>
        <v/>
      </c>
    </row>
    <row r="211" hidden="1" ht="14.25" customHeight="1">
      <c r="B211" s="51" t="n"/>
      <c r="C211" s="51" t="n"/>
      <c r="D211" s="51" t="n"/>
      <c r="E211" s="51" t="n"/>
      <c r="F211" s="51" t="n"/>
      <c r="G211" s="51" t="n"/>
      <c r="H211" s="51" t="n"/>
      <c r="I211" s="51" t="n"/>
      <c r="J211" s="51" t="n"/>
      <c r="K211" s="51" t="n"/>
      <c r="L211" s="52">
        <f>IF($B211="",0,IF($C211="HZ",1,IFERROR(INDEX('Value Streams &amp; Delivery Mode'!$D$17:$M$22,MATCH($D211,'Value Streams &amp; Delivery Mode'!$B$17:$B$22,0),($B211-1)*2+IF($C211="POD",1,2)),0)))</f>
        <v/>
      </c>
      <c r="M211" s="53">
        <f>IF($B211="",0,$K211*$L211)</f>
        <v/>
      </c>
      <c r="N211" s="54">
        <f>IF($B211="",0,IFERROR(INDEX('Rates &amp; Tables'!$C$61:$G$63,MATCH($I211,'Rates &amp; Tables'!$J$61:$J$63,0),MATCH($H211,'Rates &amp; Tables'!$C$60:$G$60,0)),0))</f>
        <v/>
      </c>
      <c r="O211" s="52">
        <f>IF($B211="",0,$M211*$N211)</f>
        <v/>
      </c>
      <c r="P211" s="49">
        <f>IF($B211="","",$B211&amp;"|"&amp;$G211&amp;"|"&amp;$J211)</f>
        <v/>
      </c>
    </row>
    <row r="212" hidden="1" ht="14.25" customHeight="1">
      <c r="B212" s="51" t="n"/>
      <c r="C212" s="51" t="n"/>
      <c r="D212" s="51" t="n"/>
      <c r="E212" s="51" t="n"/>
      <c r="F212" s="51" t="n"/>
      <c r="G212" s="51" t="n"/>
      <c r="H212" s="51" t="n"/>
      <c r="I212" s="51" t="n"/>
      <c r="J212" s="51" t="n"/>
      <c r="K212" s="51" t="n"/>
      <c r="L212" s="52">
        <f>IF($B212="",0,IF($C212="HZ",1,IFERROR(INDEX('Value Streams &amp; Delivery Mode'!$D$17:$M$22,MATCH($D212,'Value Streams &amp; Delivery Mode'!$B$17:$B$22,0),($B212-1)*2+IF($C212="POD",1,2)),0)))</f>
        <v/>
      </c>
      <c r="M212" s="53">
        <f>IF($B212="",0,$K212*$L212)</f>
        <v/>
      </c>
      <c r="N212" s="54">
        <f>IF($B212="",0,IFERROR(INDEX('Rates &amp; Tables'!$C$61:$G$63,MATCH($I212,'Rates &amp; Tables'!$J$61:$J$63,0),MATCH($H212,'Rates &amp; Tables'!$C$60:$G$60,0)),0))</f>
        <v/>
      </c>
      <c r="O212" s="52">
        <f>IF($B212="",0,$M212*$N212)</f>
        <v/>
      </c>
      <c r="P212" s="49">
        <f>IF($B212="","",$B212&amp;"|"&amp;$G212&amp;"|"&amp;$J212)</f>
        <v/>
      </c>
    </row>
    <row r="213" hidden="1" ht="14.25" customHeight="1">
      <c r="B213" s="51" t="n"/>
      <c r="C213" s="51" t="n"/>
      <c r="D213" s="51" t="n"/>
      <c r="E213" s="51" t="n"/>
      <c r="F213" s="51" t="n"/>
      <c r="G213" s="51" t="n"/>
      <c r="H213" s="51" t="n"/>
      <c r="I213" s="51" t="n"/>
      <c r="J213" s="51" t="n"/>
      <c r="K213" s="51" t="n"/>
      <c r="L213" s="52">
        <f>IF($B213="",0,IF($C213="HZ",1,IFERROR(INDEX('Value Streams &amp; Delivery Mode'!$D$17:$M$22,MATCH($D213,'Value Streams &amp; Delivery Mode'!$B$17:$B$22,0),($B213-1)*2+IF($C213="POD",1,2)),0)))</f>
        <v/>
      </c>
      <c r="M213" s="53">
        <f>IF($B213="",0,$K213*$L213)</f>
        <v/>
      </c>
      <c r="N213" s="54">
        <f>IF($B213="",0,IFERROR(INDEX('Rates &amp; Tables'!$C$61:$G$63,MATCH($I213,'Rates &amp; Tables'!$J$61:$J$63,0),MATCH($H213,'Rates &amp; Tables'!$C$60:$G$60,0)),0))</f>
        <v/>
      </c>
      <c r="O213" s="52">
        <f>IF($B213="",0,$M213*$N213)</f>
        <v/>
      </c>
      <c r="P213" s="49">
        <f>IF($B213="","",$B213&amp;"|"&amp;$G213&amp;"|"&amp;$J213)</f>
        <v/>
      </c>
    </row>
    <row r="214" hidden="1" ht="14.25" customHeight="1">
      <c r="B214" s="51" t="n"/>
      <c r="C214" s="51" t="n"/>
      <c r="D214" s="51" t="n"/>
      <c r="E214" s="51" t="n"/>
      <c r="F214" s="51" t="n"/>
      <c r="G214" s="51" t="n"/>
      <c r="H214" s="51" t="n"/>
      <c r="I214" s="51" t="n"/>
      <c r="J214" s="51" t="n"/>
      <c r="K214" s="51" t="n"/>
      <c r="L214" s="52">
        <f>IF($B214="",0,IF($C214="HZ",1,IFERROR(INDEX('Value Streams &amp; Delivery Mode'!$D$17:$M$22,MATCH($D214,'Value Streams &amp; Delivery Mode'!$B$17:$B$22,0),($B214-1)*2+IF($C214="POD",1,2)),0)))</f>
        <v/>
      </c>
      <c r="M214" s="53">
        <f>IF($B214="",0,$K214*$L214)</f>
        <v/>
      </c>
      <c r="N214" s="54">
        <f>IF($B214="",0,IFERROR(INDEX('Rates &amp; Tables'!$C$61:$G$63,MATCH($I214,'Rates &amp; Tables'!$J$61:$J$63,0),MATCH($H214,'Rates &amp; Tables'!$C$60:$G$60,0)),0))</f>
        <v/>
      </c>
      <c r="O214" s="52">
        <f>IF($B214="",0,$M214*$N214)</f>
        <v/>
      </c>
      <c r="P214" s="49">
        <f>IF($B214="","",$B214&amp;"|"&amp;$G214&amp;"|"&amp;$J214)</f>
        <v/>
      </c>
    </row>
    <row r="215" hidden="1" ht="14.25" customHeight="1">
      <c r="B215" s="51" t="n"/>
      <c r="C215" s="51" t="n"/>
      <c r="D215" s="51" t="n"/>
      <c r="E215" s="51" t="n"/>
      <c r="F215" s="51" t="n"/>
      <c r="G215" s="51" t="n"/>
      <c r="H215" s="51" t="n"/>
      <c r="I215" s="51" t="n"/>
      <c r="J215" s="51" t="n"/>
      <c r="K215" s="51" t="n"/>
      <c r="L215" s="52">
        <f>IF($B215="",0,IF($C215="HZ",1,IFERROR(INDEX('Value Streams &amp; Delivery Mode'!$D$17:$M$22,MATCH($D215,'Value Streams &amp; Delivery Mode'!$B$17:$B$22,0),($B215-1)*2+IF($C215="POD",1,2)),0)))</f>
        <v/>
      </c>
      <c r="M215" s="53">
        <f>IF($B215="",0,$K215*$L215)</f>
        <v/>
      </c>
      <c r="N215" s="54">
        <f>IF($B215="",0,IFERROR(INDEX('Rates &amp; Tables'!$C$61:$G$63,MATCH($I215,'Rates &amp; Tables'!$J$61:$J$63,0),MATCH($H215,'Rates &amp; Tables'!$C$60:$G$60,0)),0))</f>
        <v/>
      </c>
      <c r="O215" s="52">
        <f>IF($B215="",0,$M215*$N215)</f>
        <v/>
      </c>
      <c r="P215" s="49">
        <f>IF($B215="","",$B215&amp;"|"&amp;$G215&amp;"|"&amp;$J215)</f>
        <v/>
      </c>
    </row>
    <row r="216" hidden="1" ht="14.25" customHeight="1">
      <c r="B216" s="51" t="n"/>
      <c r="C216" s="51" t="n"/>
      <c r="D216" s="51" t="n"/>
      <c r="E216" s="51" t="n"/>
      <c r="F216" s="51" t="n"/>
      <c r="G216" s="51" t="n"/>
      <c r="H216" s="51" t="n"/>
      <c r="I216" s="51" t="n"/>
      <c r="J216" s="51" t="n"/>
      <c r="K216" s="51" t="n"/>
      <c r="L216" s="52">
        <f>IF($B216="",0,IF($C216="HZ",1,IFERROR(INDEX('Value Streams &amp; Delivery Mode'!$D$17:$M$22,MATCH($D216,'Value Streams &amp; Delivery Mode'!$B$17:$B$22,0),($B216-1)*2+IF($C216="POD",1,2)),0)))</f>
        <v/>
      </c>
      <c r="M216" s="53">
        <f>IF($B216="",0,$K216*$L216)</f>
        <v/>
      </c>
      <c r="N216" s="54">
        <f>IF($B216="",0,IFERROR(INDEX('Rates &amp; Tables'!$C$61:$G$63,MATCH($I216,'Rates &amp; Tables'!$J$61:$J$63,0),MATCH($H216,'Rates &amp; Tables'!$C$60:$G$60,0)),0))</f>
        <v/>
      </c>
      <c r="O216" s="52">
        <f>IF($B216="",0,$M216*$N216)</f>
        <v/>
      </c>
      <c r="P216" s="49">
        <f>IF($B216="","",$B216&amp;"|"&amp;$G216&amp;"|"&amp;$J216)</f>
        <v/>
      </c>
    </row>
    <row r="217" hidden="1" ht="14.25" customHeight="1">
      <c r="B217" s="51" t="n"/>
      <c r="C217" s="51" t="n"/>
      <c r="D217" s="51" t="n"/>
      <c r="E217" s="51" t="n"/>
      <c r="F217" s="51" t="n"/>
      <c r="G217" s="51" t="n"/>
      <c r="H217" s="51" t="n"/>
      <c r="I217" s="51" t="n"/>
      <c r="J217" s="51" t="n"/>
      <c r="K217" s="51" t="n"/>
      <c r="L217" s="52">
        <f>IF($B217="",0,IF($C217="HZ",1,IFERROR(INDEX('Value Streams &amp; Delivery Mode'!$D$17:$M$22,MATCH($D217,'Value Streams &amp; Delivery Mode'!$B$17:$B$22,0),($B217-1)*2+IF($C217="POD",1,2)),0)))</f>
        <v/>
      </c>
      <c r="M217" s="53">
        <f>IF($B217="",0,$K217*$L217)</f>
        <v/>
      </c>
      <c r="N217" s="54">
        <f>IF($B217="",0,IFERROR(INDEX('Rates &amp; Tables'!$C$61:$G$63,MATCH($I217,'Rates &amp; Tables'!$J$61:$J$63,0),MATCH($H217,'Rates &amp; Tables'!$C$60:$G$60,0)),0))</f>
        <v/>
      </c>
      <c r="O217" s="52">
        <f>IF($B217="",0,$M217*$N217)</f>
        <v/>
      </c>
      <c r="P217" s="49">
        <f>IF($B217="","",$B217&amp;"|"&amp;$G217&amp;"|"&amp;$J217)</f>
        <v/>
      </c>
    </row>
    <row r="218" hidden="1" ht="14.25" customHeight="1">
      <c r="B218" s="51" t="n"/>
      <c r="C218" s="51" t="n"/>
      <c r="D218" s="51" t="n"/>
      <c r="E218" s="51" t="n"/>
      <c r="F218" s="51" t="n"/>
      <c r="G218" s="51" t="n"/>
      <c r="H218" s="51" t="n"/>
      <c r="I218" s="51" t="n"/>
      <c r="J218" s="51" t="n"/>
      <c r="K218" s="51" t="n"/>
      <c r="L218" s="52">
        <f>IF($B218="",0,IF($C218="HZ",1,IFERROR(INDEX('Value Streams &amp; Delivery Mode'!$D$17:$M$22,MATCH($D218,'Value Streams &amp; Delivery Mode'!$B$17:$B$22,0),($B218-1)*2+IF($C218="POD",1,2)),0)))</f>
        <v/>
      </c>
      <c r="M218" s="53">
        <f>IF($B218="",0,$K218*$L218)</f>
        <v/>
      </c>
      <c r="N218" s="54">
        <f>IF($B218="",0,IFERROR(INDEX('Rates &amp; Tables'!$C$61:$G$63,MATCH($I218,'Rates &amp; Tables'!$J$61:$J$63,0),MATCH($H218,'Rates &amp; Tables'!$C$60:$G$60,0)),0))</f>
        <v/>
      </c>
      <c r="O218" s="52">
        <f>IF($B218="",0,$M218*$N218)</f>
        <v/>
      </c>
      <c r="P218" s="49">
        <f>IF($B218="","",$B218&amp;"|"&amp;$G218&amp;"|"&amp;$J218)</f>
        <v/>
      </c>
    </row>
    <row r="219" hidden="1" ht="14.25" customHeight="1">
      <c r="B219" s="51" t="n"/>
      <c r="C219" s="51" t="n"/>
      <c r="D219" s="51" t="n"/>
      <c r="E219" s="51" t="n"/>
      <c r="F219" s="51" t="n"/>
      <c r="G219" s="51" t="n"/>
      <c r="H219" s="51" t="n"/>
      <c r="I219" s="51" t="n"/>
      <c r="J219" s="51" t="n"/>
      <c r="K219" s="51" t="n"/>
      <c r="L219" s="52">
        <f>IF($B219="",0,IF($C219="HZ",1,IFERROR(INDEX('Value Streams &amp; Delivery Mode'!$D$17:$M$22,MATCH($D219,'Value Streams &amp; Delivery Mode'!$B$17:$B$22,0),($B219-1)*2+IF($C219="POD",1,2)),0)))</f>
        <v/>
      </c>
      <c r="M219" s="53">
        <f>IF($B219="",0,$K219*$L219)</f>
        <v/>
      </c>
      <c r="N219" s="54">
        <f>IF($B219="",0,IFERROR(INDEX('Rates &amp; Tables'!$C$61:$G$63,MATCH($I219,'Rates &amp; Tables'!$J$61:$J$63,0),MATCH($H219,'Rates &amp; Tables'!$C$60:$G$60,0)),0))</f>
        <v/>
      </c>
      <c r="O219" s="52">
        <f>IF($B219="",0,$M219*$N219)</f>
        <v/>
      </c>
      <c r="P219" s="49">
        <f>IF($B219="","",$B219&amp;"|"&amp;$G219&amp;"|"&amp;$J219)</f>
        <v/>
      </c>
    </row>
    <row r="220" hidden="1" ht="14.25" customHeight="1">
      <c r="B220" s="51" t="n"/>
      <c r="C220" s="51" t="n"/>
      <c r="D220" s="51" t="n"/>
      <c r="E220" s="51" t="n"/>
      <c r="F220" s="51" t="n"/>
      <c r="G220" s="51" t="n"/>
      <c r="H220" s="51" t="n"/>
      <c r="I220" s="51" t="n"/>
      <c r="J220" s="51" t="n"/>
      <c r="K220" s="51" t="n"/>
      <c r="L220" s="52">
        <f>IF($B220="",0,IF($C220="HZ",1,IFERROR(INDEX('Value Streams &amp; Delivery Mode'!$D$17:$M$22,MATCH($D220,'Value Streams &amp; Delivery Mode'!$B$17:$B$22,0),($B220-1)*2+IF($C220="POD",1,2)),0)))</f>
        <v/>
      </c>
      <c r="M220" s="53">
        <f>IF($B220="",0,$K220*$L220)</f>
        <v/>
      </c>
      <c r="N220" s="54">
        <f>IF($B220="",0,IFERROR(INDEX('Rates &amp; Tables'!$C$61:$G$63,MATCH($I220,'Rates &amp; Tables'!$J$61:$J$63,0),MATCH($H220,'Rates &amp; Tables'!$C$60:$G$60,0)),0))</f>
        <v/>
      </c>
      <c r="O220" s="52">
        <f>IF($B220="",0,$M220*$N220)</f>
        <v/>
      </c>
      <c r="P220" s="49">
        <f>IF($B220="","",$B220&amp;"|"&amp;$G220&amp;"|"&amp;$J220)</f>
        <v/>
      </c>
    </row>
    <row r="221" hidden="1" ht="14.25" customHeight="1">
      <c r="B221" s="51" t="n"/>
      <c r="C221" s="51" t="n"/>
      <c r="D221" s="51" t="n"/>
      <c r="E221" s="51" t="n"/>
      <c r="F221" s="51" t="n"/>
      <c r="G221" s="51" t="n"/>
      <c r="H221" s="51" t="n"/>
      <c r="I221" s="51" t="n"/>
      <c r="J221" s="51" t="n"/>
      <c r="K221" s="51" t="n"/>
      <c r="L221" s="52">
        <f>IF($B221="",0,IF($C221="HZ",1,IFERROR(INDEX('Value Streams &amp; Delivery Mode'!$D$17:$M$22,MATCH($D221,'Value Streams &amp; Delivery Mode'!$B$17:$B$22,0),($B221-1)*2+IF($C221="POD",1,2)),0)))</f>
        <v/>
      </c>
      <c r="M221" s="53">
        <f>IF($B221="",0,$K221*$L221)</f>
        <v/>
      </c>
      <c r="N221" s="54">
        <f>IF($B221="",0,IFERROR(INDEX('Rates &amp; Tables'!$C$61:$G$63,MATCH($I221,'Rates &amp; Tables'!$J$61:$J$63,0),MATCH($H221,'Rates &amp; Tables'!$C$60:$G$60,0)),0))</f>
        <v/>
      </c>
      <c r="O221" s="52">
        <f>IF($B221="",0,$M221*$N221)</f>
        <v/>
      </c>
      <c r="P221" s="49">
        <f>IF($B221="","",$B221&amp;"|"&amp;$G221&amp;"|"&amp;$J221)</f>
        <v/>
      </c>
    </row>
    <row r="222" hidden="1" ht="14.25" customHeight="1">
      <c r="B222" s="51" t="n"/>
      <c r="C222" s="51" t="n"/>
      <c r="D222" s="51" t="n"/>
      <c r="E222" s="51" t="n"/>
      <c r="F222" s="51" t="n"/>
      <c r="G222" s="51" t="n"/>
      <c r="H222" s="51" t="n"/>
      <c r="I222" s="51" t="n"/>
      <c r="J222" s="51" t="n"/>
      <c r="K222" s="51" t="n"/>
      <c r="L222" s="52">
        <f>IF($B222="",0,IF($C222="HZ",1,IFERROR(INDEX('Value Streams &amp; Delivery Mode'!$D$17:$M$22,MATCH($D222,'Value Streams &amp; Delivery Mode'!$B$17:$B$22,0),($B222-1)*2+IF($C222="POD",1,2)),0)))</f>
        <v/>
      </c>
      <c r="M222" s="53">
        <f>IF($B222="",0,$K222*$L222)</f>
        <v/>
      </c>
      <c r="N222" s="54">
        <f>IF($B222="",0,IFERROR(INDEX('Rates &amp; Tables'!$C$61:$G$63,MATCH($I222,'Rates &amp; Tables'!$J$61:$J$63,0),MATCH($H222,'Rates &amp; Tables'!$C$60:$G$60,0)),0))</f>
        <v/>
      </c>
      <c r="O222" s="52">
        <f>IF($B222="",0,$M222*$N222)</f>
        <v/>
      </c>
      <c r="P222" s="49">
        <f>IF($B222="","",$B222&amp;"|"&amp;$G222&amp;"|"&amp;$J222)</f>
        <v/>
      </c>
    </row>
    <row r="223" hidden="1" ht="14.25" customHeight="1">
      <c r="B223" s="51" t="n"/>
      <c r="C223" s="51" t="n"/>
      <c r="D223" s="51" t="n"/>
      <c r="E223" s="51" t="n"/>
      <c r="F223" s="51" t="n"/>
      <c r="G223" s="51" t="n"/>
      <c r="H223" s="51" t="n"/>
      <c r="I223" s="51" t="n"/>
      <c r="J223" s="51" t="n"/>
      <c r="K223" s="51" t="n"/>
      <c r="L223" s="52">
        <f>IF($B223="",0,IF($C223="HZ",1,IFERROR(INDEX('Value Streams &amp; Delivery Mode'!$D$17:$M$22,MATCH($D223,'Value Streams &amp; Delivery Mode'!$B$17:$B$22,0),($B223-1)*2+IF($C223="POD",1,2)),0)))</f>
        <v/>
      </c>
      <c r="M223" s="53">
        <f>IF($B223="",0,$K223*$L223)</f>
        <v/>
      </c>
      <c r="N223" s="54">
        <f>IF($B223="",0,IFERROR(INDEX('Rates &amp; Tables'!$C$61:$G$63,MATCH($I223,'Rates &amp; Tables'!$J$61:$J$63,0),MATCH($H223,'Rates &amp; Tables'!$C$60:$G$60,0)),0))</f>
        <v/>
      </c>
      <c r="O223" s="52">
        <f>IF($B223="",0,$M223*$N223)</f>
        <v/>
      </c>
      <c r="P223" s="49">
        <f>IF($B223="","",$B223&amp;"|"&amp;$G223&amp;"|"&amp;$J223)</f>
        <v/>
      </c>
    </row>
    <row r="224" hidden="1" ht="14.25" customHeight="1">
      <c r="B224" s="51" t="n"/>
      <c r="C224" s="51" t="n"/>
      <c r="D224" s="51" t="n"/>
      <c r="E224" s="51" t="n"/>
      <c r="F224" s="51" t="n"/>
      <c r="G224" s="51" t="n"/>
      <c r="H224" s="51" t="n"/>
      <c r="I224" s="51" t="n"/>
      <c r="J224" s="51" t="n"/>
      <c r="K224" s="51" t="n"/>
      <c r="L224" s="52">
        <f>IF($B224="",0,IF($C224="HZ",1,IFERROR(INDEX('Value Streams &amp; Delivery Mode'!$D$17:$M$22,MATCH($D224,'Value Streams &amp; Delivery Mode'!$B$17:$B$22,0),($B224-1)*2+IF($C224="POD",1,2)),0)))</f>
        <v/>
      </c>
      <c r="M224" s="53">
        <f>IF($B224="",0,$K224*$L224)</f>
        <v/>
      </c>
      <c r="N224" s="54">
        <f>IF($B224="",0,IFERROR(INDEX('Rates &amp; Tables'!$C$61:$G$63,MATCH($I224,'Rates &amp; Tables'!$J$61:$J$63,0),MATCH($H224,'Rates &amp; Tables'!$C$60:$G$60,0)),0))</f>
        <v/>
      </c>
      <c r="O224" s="52">
        <f>IF($B224="",0,$M224*$N224)</f>
        <v/>
      </c>
      <c r="P224" s="49">
        <f>IF($B224="","",$B224&amp;"|"&amp;$G224&amp;"|"&amp;$J224)</f>
        <v/>
      </c>
    </row>
    <row r="225" hidden="1" ht="14.25" customHeight="1">
      <c r="B225" s="51" t="n"/>
      <c r="C225" s="51" t="n"/>
      <c r="D225" s="51" t="n"/>
      <c r="E225" s="51" t="n"/>
      <c r="F225" s="51" t="n"/>
      <c r="G225" s="51" t="n"/>
      <c r="H225" s="51" t="n"/>
      <c r="I225" s="51" t="n"/>
      <c r="J225" s="51" t="n"/>
      <c r="K225" s="51" t="n"/>
      <c r="L225" s="52">
        <f>IF($B225="",0,IF($C225="HZ",1,IFERROR(INDEX('Value Streams &amp; Delivery Mode'!$D$17:$M$22,MATCH($D225,'Value Streams &amp; Delivery Mode'!$B$17:$B$22,0),($B225-1)*2+IF($C225="POD",1,2)),0)))</f>
        <v/>
      </c>
      <c r="M225" s="53">
        <f>IF($B225="",0,$K225*$L225)</f>
        <v/>
      </c>
      <c r="N225" s="54">
        <f>IF($B225="",0,IFERROR(INDEX('Rates &amp; Tables'!$C$61:$G$63,MATCH($I225,'Rates &amp; Tables'!$J$61:$J$63,0),MATCH($H225,'Rates &amp; Tables'!$C$60:$G$60,0)),0))</f>
        <v/>
      </c>
      <c r="O225" s="52">
        <f>IF($B225="",0,$M225*$N225)</f>
        <v/>
      </c>
      <c r="P225" s="49">
        <f>IF($B225="","",$B225&amp;"|"&amp;$G225&amp;"|"&amp;$J225)</f>
        <v/>
      </c>
    </row>
    <row r="226" hidden="1" ht="14.25" customHeight="1">
      <c r="B226" s="51" t="n"/>
      <c r="C226" s="51" t="n"/>
      <c r="D226" s="51" t="n"/>
      <c r="E226" s="51" t="n"/>
      <c r="F226" s="51" t="n"/>
      <c r="G226" s="51" t="n"/>
      <c r="H226" s="51" t="n"/>
      <c r="I226" s="51" t="n"/>
      <c r="J226" s="51" t="n"/>
      <c r="K226" s="51" t="n"/>
      <c r="L226" s="52">
        <f>IF($B226="",0,IF($C226="HZ",1,IFERROR(INDEX('Value Streams &amp; Delivery Mode'!$D$17:$M$22,MATCH($D226,'Value Streams &amp; Delivery Mode'!$B$17:$B$22,0),($B226-1)*2+IF($C226="POD",1,2)),0)))</f>
        <v/>
      </c>
      <c r="M226" s="53">
        <f>IF($B226="",0,$K226*$L226)</f>
        <v/>
      </c>
      <c r="N226" s="54">
        <f>IF($B226="",0,IFERROR(INDEX('Rates &amp; Tables'!$C$61:$G$63,MATCH($I226,'Rates &amp; Tables'!$J$61:$J$63,0),MATCH($H226,'Rates &amp; Tables'!$C$60:$G$60,0)),0))</f>
        <v/>
      </c>
      <c r="O226" s="52">
        <f>IF($B226="",0,$M226*$N226)</f>
        <v/>
      </c>
      <c r="P226" s="49">
        <f>IF($B226="","",$B226&amp;"|"&amp;$G226&amp;"|"&amp;$J226)</f>
        <v/>
      </c>
    </row>
    <row r="227" hidden="1" ht="14.25" customHeight="1">
      <c r="B227" s="51" t="n"/>
      <c r="C227" s="51" t="n"/>
      <c r="D227" s="51" t="n"/>
      <c r="E227" s="51" t="n"/>
      <c r="F227" s="51" t="n"/>
      <c r="G227" s="51" t="n"/>
      <c r="H227" s="51" t="n"/>
      <c r="I227" s="51" t="n"/>
      <c r="J227" s="51" t="n"/>
      <c r="K227" s="51" t="n"/>
      <c r="L227" s="52">
        <f>IF($B227="",0,IF($C227="HZ",1,IFERROR(INDEX('Value Streams &amp; Delivery Mode'!$D$17:$M$22,MATCH($D227,'Value Streams &amp; Delivery Mode'!$B$17:$B$22,0),($B227-1)*2+IF($C227="POD",1,2)),0)))</f>
        <v/>
      </c>
      <c r="M227" s="53">
        <f>IF($B227="",0,$K227*$L227)</f>
        <v/>
      </c>
      <c r="N227" s="54">
        <f>IF($B227="",0,IFERROR(INDEX('Rates &amp; Tables'!$C$61:$G$63,MATCH($I227,'Rates &amp; Tables'!$J$61:$J$63,0),MATCH($H227,'Rates &amp; Tables'!$C$60:$G$60,0)),0))</f>
        <v/>
      </c>
      <c r="O227" s="52">
        <f>IF($B227="",0,$M227*$N227)</f>
        <v/>
      </c>
      <c r="P227" s="49">
        <f>IF($B227="","",$B227&amp;"|"&amp;$G227&amp;"|"&amp;$J227)</f>
        <v/>
      </c>
    </row>
    <row r="228" hidden="1" ht="14.25" customHeight="1">
      <c r="B228" s="51" t="n"/>
      <c r="C228" s="51" t="n"/>
      <c r="D228" s="51" t="n"/>
      <c r="E228" s="51" t="n"/>
      <c r="F228" s="51" t="n"/>
      <c r="G228" s="51" t="n"/>
      <c r="H228" s="51" t="n"/>
      <c r="I228" s="51" t="n"/>
      <c r="J228" s="51" t="n"/>
      <c r="K228" s="51" t="n"/>
      <c r="L228" s="52">
        <f>IF($B228="",0,IF($C228="HZ",1,IFERROR(INDEX('Value Streams &amp; Delivery Mode'!$D$17:$M$22,MATCH($D228,'Value Streams &amp; Delivery Mode'!$B$17:$B$22,0),($B228-1)*2+IF($C228="POD",1,2)),0)))</f>
        <v/>
      </c>
      <c r="M228" s="53">
        <f>IF($B228="",0,$K228*$L228)</f>
        <v/>
      </c>
      <c r="N228" s="54">
        <f>IF($B228="",0,IFERROR(INDEX('Rates &amp; Tables'!$C$61:$G$63,MATCH($I228,'Rates &amp; Tables'!$J$61:$J$63,0),MATCH($H228,'Rates &amp; Tables'!$C$60:$G$60,0)),0))</f>
        <v/>
      </c>
      <c r="O228" s="52">
        <f>IF($B228="",0,$M228*$N228)</f>
        <v/>
      </c>
      <c r="P228" s="49">
        <f>IF($B228="","",$B228&amp;"|"&amp;$G228&amp;"|"&amp;$J228)</f>
        <v/>
      </c>
    </row>
    <row r="229" hidden="1" ht="14.25" customHeight="1">
      <c r="B229" s="51" t="n"/>
      <c r="C229" s="51" t="n"/>
      <c r="D229" s="51" t="n"/>
      <c r="E229" s="51" t="n"/>
      <c r="F229" s="51" t="n"/>
      <c r="G229" s="51" t="n"/>
      <c r="H229" s="51" t="n"/>
      <c r="I229" s="51" t="n"/>
      <c r="J229" s="51" t="n"/>
      <c r="K229" s="51" t="n"/>
      <c r="L229" s="52">
        <f>IF($B229="",0,IF($C229="HZ",1,IFERROR(INDEX('Value Streams &amp; Delivery Mode'!$D$17:$M$22,MATCH($D229,'Value Streams &amp; Delivery Mode'!$B$17:$B$22,0),($B229-1)*2+IF($C229="POD",1,2)),0)))</f>
        <v/>
      </c>
      <c r="M229" s="53">
        <f>IF($B229="",0,$K229*$L229)</f>
        <v/>
      </c>
      <c r="N229" s="54">
        <f>IF($B229="",0,IFERROR(INDEX('Rates &amp; Tables'!$C$61:$G$63,MATCH($I229,'Rates &amp; Tables'!$J$61:$J$63,0),MATCH($H229,'Rates &amp; Tables'!$C$60:$G$60,0)),0))</f>
        <v/>
      </c>
      <c r="O229" s="52">
        <f>IF($B229="",0,$M229*$N229)</f>
        <v/>
      </c>
      <c r="P229" s="49">
        <f>IF($B229="","",$B229&amp;"|"&amp;$G229&amp;"|"&amp;$J229)</f>
        <v/>
      </c>
    </row>
    <row r="230" hidden="1" ht="14.25" customHeight="1">
      <c r="B230" s="51" t="n"/>
      <c r="C230" s="51" t="n"/>
      <c r="D230" s="51" t="n"/>
      <c r="E230" s="51" t="n"/>
      <c r="F230" s="51" t="n"/>
      <c r="G230" s="51" t="n"/>
      <c r="H230" s="51" t="n"/>
      <c r="I230" s="51" t="n"/>
      <c r="J230" s="51" t="n"/>
      <c r="K230" s="51" t="n"/>
      <c r="L230" s="52">
        <f>IF($B230="",0,IF($C230="HZ",1,IFERROR(INDEX('Value Streams &amp; Delivery Mode'!$D$17:$M$22,MATCH($D230,'Value Streams &amp; Delivery Mode'!$B$17:$B$22,0),($B230-1)*2+IF($C230="POD",1,2)),0)))</f>
        <v/>
      </c>
      <c r="M230" s="53">
        <f>IF($B230="",0,$K230*$L230)</f>
        <v/>
      </c>
      <c r="N230" s="54">
        <f>IF($B230="",0,IFERROR(INDEX('Rates &amp; Tables'!$C$61:$G$63,MATCH($I230,'Rates &amp; Tables'!$J$61:$J$63,0),MATCH($H230,'Rates &amp; Tables'!$C$60:$G$60,0)),0))</f>
        <v/>
      </c>
      <c r="O230" s="52">
        <f>IF($B230="",0,$M230*$N230)</f>
        <v/>
      </c>
      <c r="P230" s="49">
        <f>IF($B230="","",$B230&amp;"|"&amp;$G230&amp;"|"&amp;$J230)</f>
        <v/>
      </c>
    </row>
    <row r="231" hidden="1" ht="14.25" customHeight="1">
      <c r="B231" s="51" t="n"/>
      <c r="C231" s="51" t="n"/>
      <c r="D231" s="51" t="n"/>
      <c r="E231" s="51" t="n"/>
      <c r="F231" s="51" t="n"/>
      <c r="G231" s="51" t="n"/>
      <c r="H231" s="51" t="n"/>
      <c r="I231" s="51" t="n"/>
      <c r="J231" s="51" t="n"/>
      <c r="K231" s="51" t="n"/>
      <c r="L231" s="52">
        <f>IF($B231="",0,IF($C231="HZ",1,IFERROR(INDEX('Value Streams &amp; Delivery Mode'!$D$17:$M$22,MATCH($D231,'Value Streams &amp; Delivery Mode'!$B$17:$B$22,0),($B231-1)*2+IF($C231="POD",1,2)),0)))</f>
        <v/>
      </c>
      <c r="M231" s="53">
        <f>IF($B231="",0,$K231*$L231)</f>
        <v/>
      </c>
      <c r="N231" s="54">
        <f>IF($B231="",0,IFERROR(INDEX('Rates &amp; Tables'!$C$61:$G$63,MATCH($I231,'Rates &amp; Tables'!$J$61:$J$63,0),MATCH($H231,'Rates &amp; Tables'!$C$60:$G$60,0)),0))</f>
        <v/>
      </c>
      <c r="O231" s="52">
        <f>IF($B231="",0,$M231*$N231)</f>
        <v/>
      </c>
      <c r="P231" s="49">
        <f>IF($B231="","",$B231&amp;"|"&amp;$G231&amp;"|"&amp;$J231)</f>
        <v/>
      </c>
    </row>
    <row r="232" hidden="1" ht="14.25" customHeight="1">
      <c r="B232" s="51" t="n"/>
      <c r="C232" s="51" t="n"/>
      <c r="D232" s="51" t="n"/>
      <c r="E232" s="51" t="n"/>
      <c r="F232" s="51" t="n"/>
      <c r="G232" s="51" t="n"/>
      <c r="H232" s="51" t="n"/>
      <c r="I232" s="51" t="n"/>
      <c r="J232" s="51" t="n"/>
      <c r="K232" s="51" t="n"/>
      <c r="L232" s="52">
        <f>IF($B232="",0,IF($C232="HZ",1,IFERROR(INDEX('Value Streams &amp; Delivery Mode'!$D$17:$M$22,MATCH($D232,'Value Streams &amp; Delivery Mode'!$B$17:$B$22,0),($B232-1)*2+IF($C232="POD",1,2)),0)))</f>
        <v/>
      </c>
      <c r="M232" s="53">
        <f>IF($B232="",0,$K232*$L232)</f>
        <v/>
      </c>
      <c r="N232" s="54">
        <f>IF($B232="",0,IFERROR(INDEX('Rates &amp; Tables'!$C$61:$G$63,MATCH($I232,'Rates &amp; Tables'!$J$61:$J$63,0),MATCH($H232,'Rates &amp; Tables'!$C$60:$G$60,0)),0))</f>
        <v/>
      </c>
      <c r="O232" s="52">
        <f>IF($B232="",0,$M232*$N232)</f>
        <v/>
      </c>
      <c r="P232" s="49">
        <f>IF($B232="","",$B232&amp;"|"&amp;$G232&amp;"|"&amp;$J232)</f>
        <v/>
      </c>
    </row>
    <row r="233" hidden="1" ht="14.25" customHeight="1">
      <c r="B233" s="51" t="n"/>
      <c r="C233" s="51" t="n"/>
      <c r="D233" s="51" t="n"/>
      <c r="E233" s="51" t="n"/>
      <c r="F233" s="51" t="n"/>
      <c r="G233" s="51" t="n"/>
      <c r="H233" s="51" t="n"/>
      <c r="I233" s="51" t="n"/>
      <c r="J233" s="51" t="n"/>
      <c r="K233" s="51" t="n"/>
      <c r="L233" s="52">
        <f>IF($B233="",0,IF($C233="HZ",1,IFERROR(INDEX('Value Streams &amp; Delivery Mode'!$D$17:$M$22,MATCH($D233,'Value Streams &amp; Delivery Mode'!$B$17:$B$22,0),($B233-1)*2+IF($C233="POD",1,2)),0)))</f>
        <v/>
      </c>
      <c r="M233" s="53">
        <f>IF($B233="",0,$K233*$L233)</f>
        <v/>
      </c>
      <c r="N233" s="54">
        <f>IF($B233="",0,IFERROR(INDEX('Rates &amp; Tables'!$C$61:$G$63,MATCH($I233,'Rates &amp; Tables'!$J$61:$J$63,0),MATCH($H233,'Rates &amp; Tables'!$C$60:$G$60,0)),0))</f>
        <v/>
      </c>
      <c r="O233" s="52">
        <f>IF($B233="",0,$M233*$N233)</f>
        <v/>
      </c>
      <c r="P233" s="49">
        <f>IF($B233="","",$B233&amp;"|"&amp;$G233&amp;"|"&amp;$J233)</f>
        <v/>
      </c>
    </row>
    <row r="234" hidden="1" ht="14.25" customHeight="1">
      <c r="B234" s="51" t="n"/>
      <c r="C234" s="51" t="n"/>
      <c r="D234" s="51" t="n"/>
      <c r="E234" s="51" t="n"/>
      <c r="F234" s="51" t="n"/>
      <c r="G234" s="51" t="n"/>
      <c r="H234" s="51" t="n"/>
      <c r="I234" s="51" t="n"/>
      <c r="J234" s="51" t="n"/>
      <c r="K234" s="51" t="n"/>
      <c r="L234" s="52">
        <f>IF($B234="",0,IF($C234="HZ",1,IFERROR(INDEX('Value Streams &amp; Delivery Mode'!$D$17:$M$22,MATCH($D234,'Value Streams &amp; Delivery Mode'!$B$17:$B$22,0),($B234-1)*2+IF($C234="POD",1,2)),0)))</f>
        <v/>
      </c>
      <c r="M234" s="53">
        <f>IF($B234="",0,$K234*$L234)</f>
        <v/>
      </c>
      <c r="N234" s="54">
        <f>IF($B234="",0,IFERROR(INDEX('Rates &amp; Tables'!$C$61:$G$63,MATCH($I234,'Rates &amp; Tables'!$J$61:$J$63,0),MATCH($H234,'Rates &amp; Tables'!$C$60:$G$60,0)),0))</f>
        <v/>
      </c>
      <c r="O234" s="52">
        <f>IF($B234="",0,$M234*$N234)</f>
        <v/>
      </c>
      <c r="P234" s="49">
        <f>IF($B234="","",$B234&amp;"|"&amp;$G234&amp;"|"&amp;$J234)</f>
        <v/>
      </c>
    </row>
    <row r="235" hidden="1" ht="14.25" customHeight="1">
      <c r="B235" s="51" t="n"/>
      <c r="C235" s="51" t="n"/>
      <c r="D235" s="51" t="n"/>
      <c r="E235" s="51" t="n"/>
      <c r="F235" s="51" t="n"/>
      <c r="G235" s="51" t="n"/>
      <c r="H235" s="51" t="n"/>
      <c r="I235" s="51" t="n"/>
      <c r="J235" s="51" t="n"/>
      <c r="K235" s="51" t="n"/>
      <c r="L235" s="52">
        <f>IF($B235="",0,IF($C235="HZ",1,IFERROR(INDEX('Value Streams &amp; Delivery Mode'!$D$17:$M$22,MATCH($D235,'Value Streams &amp; Delivery Mode'!$B$17:$B$22,0),($B235-1)*2+IF($C235="POD",1,2)),0)))</f>
        <v/>
      </c>
      <c r="M235" s="53">
        <f>IF($B235="",0,$K235*$L235)</f>
        <v/>
      </c>
      <c r="N235" s="54">
        <f>IF($B235="",0,IFERROR(INDEX('Rates &amp; Tables'!$C$61:$G$63,MATCH($I235,'Rates &amp; Tables'!$J$61:$J$63,0),MATCH($H235,'Rates &amp; Tables'!$C$60:$G$60,0)),0))</f>
        <v/>
      </c>
      <c r="O235" s="52">
        <f>IF($B235="",0,$M235*$N235)</f>
        <v/>
      </c>
      <c r="P235" s="49">
        <f>IF($B235="","",$B235&amp;"|"&amp;$G235&amp;"|"&amp;$J235)</f>
        <v/>
      </c>
    </row>
    <row r="236" hidden="1" ht="14.25" customHeight="1">
      <c r="B236" s="51" t="n"/>
      <c r="C236" s="51" t="n"/>
      <c r="D236" s="51" t="n"/>
      <c r="E236" s="51" t="n"/>
      <c r="F236" s="51" t="n"/>
      <c r="G236" s="51" t="n"/>
      <c r="H236" s="51" t="n"/>
      <c r="I236" s="51" t="n"/>
      <c r="J236" s="51" t="n"/>
      <c r="K236" s="51" t="n"/>
      <c r="L236" s="52">
        <f>IF($B236="",0,IF($C236="HZ",1,IFERROR(INDEX('Value Streams &amp; Delivery Mode'!$D$17:$M$22,MATCH($D236,'Value Streams &amp; Delivery Mode'!$B$17:$B$22,0),($B236-1)*2+IF($C236="POD",1,2)),0)))</f>
        <v/>
      </c>
      <c r="M236" s="53">
        <f>IF($B236="",0,$K236*$L236)</f>
        <v/>
      </c>
      <c r="N236" s="54">
        <f>IF($B236="",0,IFERROR(INDEX('Rates &amp; Tables'!$C$61:$G$63,MATCH($I236,'Rates &amp; Tables'!$J$61:$J$63,0),MATCH($H236,'Rates &amp; Tables'!$C$60:$G$60,0)),0))</f>
        <v/>
      </c>
      <c r="O236" s="52">
        <f>IF($B236="",0,$M236*$N236)</f>
        <v/>
      </c>
      <c r="P236" s="49">
        <f>IF($B236="","",$B236&amp;"|"&amp;$G236&amp;"|"&amp;$J236)</f>
        <v/>
      </c>
    </row>
    <row r="237" hidden="1" ht="14.25" customHeight="1">
      <c r="B237" s="51" t="n"/>
      <c r="C237" s="51" t="n"/>
      <c r="D237" s="51" t="n"/>
      <c r="E237" s="51" t="n"/>
      <c r="F237" s="51" t="n"/>
      <c r="G237" s="51" t="n"/>
      <c r="H237" s="51" t="n"/>
      <c r="I237" s="51" t="n"/>
      <c r="J237" s="51" t="n"/>
      <c r="K237" s="51" t="n"/>
      <c r="L237" s="52">
        <f>IF($B237="",0,IF($C237="HZ",1,IFERROR(INDEX('Value Streams &amp; Delivery Mode'!$D$17:$M$22,MATCH($D237,'Value Streams &amp; Delivery Mode'!$B$17:$B$22,0),($B237-1)*2+IF($C237="POD",1,2)),0)))</f>
        <v/>
      </c>
      <c r="M237" s="53">
        <f>IF($B237="",0,$K237*$L237)</f>
        <v/>
      </c>
      <c r="N237" s="54">
        <f>IF($B237="",0,IFERROR(INDEX('Rates &amp; Tables'!$C$61:$G$63,MATCH($I237,'Rates &amp; Tables'!$J$61:$J$63,0),MATCH($H237,'Rates &amp; Tables'!$C$60:$G$60,0)),0))</f>
        <v/>
      </c>
      <c r="O237" s="52">
        <f>IF($B237="",0,$M237*$N237)</f>
        <v/>
      </c>
      <c r="P237" s="49">
        <f>IF($B237="","",$B237&amp;"|"&amp;$G237&amp;"|"&amp;$J237)</f>
        <v/>
      </c>
    </row>
    <row r="238" hidden="1" ht="14.25" customHeight="1">
      <c r="B238" s="51" t="n"/>
      <c r="C238" s="51" t="n"/>
      <c r="D238" s="51" t="n"/>
      <c r="E238" s="51" t="n"/>
      <c r="F238" s="51" t="n"/>
      <c r="G238" s="51" t="n"/>
      <c r="H238" s="51" t="n"/>
      <c r="I238" s="51" t="n"/>
      <c r="J238" s="51" t="n"/>
      <c r="K238" s="51" t="n"/>
      <c r="L238" s="52">
        <f>IF($B238="",0,IF($C238="HZ",1,IFERROR(INDEX('Value Streams &amp; Delivery Mode'!$D$17:$M$22,MATCH($D238,'Value Streams &amp; Delivery Mode'!$B$17:$B$22,0),($B238-1)*2+IF($C238="POD",1,2)),0)))</f>
        <v/>
      </c>
      <c r="M238" s="53">
        <f>IF($B238="",0,$K238*$L238)</f>
        <v/>
      </c>
      <c r="N238" s="54">
        <f>IF($B238="",0,IFERROR(INDEX('Rates &amp; Tables'!$C$61:$G$63,MATCH($I238,'Rates &amp; Tables'!$J$61:$J$63,0),MATCH($H238,'Rates &amp; Tables'!$C$60:$G$60,0)),0))</f>
        <v/>
      </c>
      <c r="O238" s="52">
        <f>IF($B238="",0,$M238*$N238)</f>
        <v/>
      </c>
      <c r="P238" s="49">
        <f>IF($B238="","",$B238&amp;"|"&amp;$G238&amp;"|"&amp;$J238)</f>
        <v/>
      </c>
    </row>
    <row r="239" hidden="1" ht="14.25" customHeight="1">
      <c r="B239" s="51" t="n"/>
      <c r="C239" s="51" t="n"/>
      <c r="D239" s="51" t="n"/>
      <c r="E239" s="51" t="n"/>
      <c r="F239" s="51" t="n"/>
      <c r="G239" s="51" t="n"/>
      <c r="H239" s="51" t="n"/>
      <c r="I239" s="51" t="n"/>
      <c r="J239" s="51" t="n"/>
      <c r="K239" s="51" t="n"/>
      <c r="L239" s="52">
        <f>IF($B239="",0,IF($C239="HZ",1,IFERROR(INDEX('Value Streams &amp; Delivery Mode'!$D$17:$M$22,MATCH($D239,'Value Streams &amp; Delivery Mode'!$B$17:$B$22,0),($B239-1)*2+IF($C239="POD",1,2)),0)))</f>
        <v/>
      </c>
      <c r="M239" s="53">
        <f>IF($B239="",0,$K239*$L239)</f>
        <v/>
      </c>
      <c r="N239" s="54">
        <f>IF($B239="",0,IFERROR(INDEX('Rates &amp; Tables'!$C$61:$G$63,MATCH($I239,'Rates &amp; Tables'!$J$61:$J$63,0),MATCH($H239,'Rates &amp; Tables'!$C$60:$G$60,0)),0))</f>
        <v/>
      </c>
      <c r="O239" s="52">
        <f>IF($B239="",0,$M239*$N239)</f>
        <v/>
      </c>
      <c r="P239" s="49">
        <f>IF($B239="","",$B239&amp;"|"&amp;$G239&amp;"|"&amp;$J239)</f>
        <v/>
      </c>
    </row>
    <row r="240" hidden="1" ht="14.25" customHeight="1">
      <c r="B240" s="51" t="n"/>
      <c r="C240" s="51" t="n"/>
      <c r="D240" s="51" t="n"/>
      <c r="E240" s="51" t="n"/>
      <c r="F240" s="51" t="n"/>
      <c r="G240" s="51" t="n"/>
      <c r="H240" s="51" t="n"/>
      <c r="I240" s="51" t="n"/>
      <c r="J240" s="51" t="n"/>
      <c r="K240" s="51" t="n"/>
      <c r="L240" s="52">
        <f>IF($B240="",0,IF($C240="HZ",1,IFERROR(INDEX('Value Streams &amp; Delivery Mode'!$D$17:$M$22,MATCH($D240,'Value Streams &amp; Delivery Mode'!$B$17:$B$22,0),($B240-1)*2+IF($C240="POD",1,2)),0)))</f>
        <v/>
      </c>
      <c r="M240" s="53">
        <f>IF($B240="",0,$K240*$L240)</f>
        <v/>
      </c>
      <c r="N240" s="54">
        <f>IF($B240="",0,IFERROR(INDEX('Rates &amp; Tables'!$C$61:$G$63,MATCH($I240,'Rates &amp; Tables'!$J$61:$J$63,0),MATCH($H240,'Rates &amp; Tables'!$C$60:$G$60,0)),0))</f>
        <v/>
      </c>
      <c r="O240" s="52">
        <f>IF($B240="",0,$M240*$N240)</f>
        <v/>
      </c>
      <c r="P240" s="49">
        <f>IF($B240="","",$B240&amp;"|"&amp;$G240&amp;"|"&amp;$J240)</f>
        <v/>
      </c>
    </row>
    <row r="241" hidden="1" ht="14.25" customHeight="1">
      <c r="B241" s="51" t="n"/>
      <c r="C241" s="51" t="n"/>
      <c r="D241" s="51" t="n"/>
      <c r="E241" s="51" t="n"/>
      <c r="F241" s="51" t="n"/>
      <c r="G241" s="51" t="n"/>
      <c r="H241" s="51" t="n"/>
      <c r="I241" s="51" t="n"/>
      <c r="J241" s="51" t="n"/>
      <c r="K241" s="51" t="n"/>
      <c r="L241" s="52">
        <f>IF($B241="",0,IF($C241="HZ",1,IFERROR(INDEX('Value Streams &amp; Delivery Mode'!$D$17:$M$22,MATCH($D241,'Value Streams &amp; Delivery Mode'!$B$17:$B$22,0),($B241-1)*2+IF($C241="POD",1,2)),0)))</f>
        <v/>
      </c>
      <c r="M241" s="53">
        <f>IF($B241="",0,$K241*$L241)</f>
        <v/>
      </c>
      <c r="N241" s="54">
        <f>IF($B241="",0,IFERROR(INDEX('Rates &amp; Tables'!$C$61:$G$63,MATCH($I241,'Rates &amp; Tables'!$J$61:$J$63,0),MATCH($H241,'Rates &amp; Tables'!$C$60:$G$60,0)),0))</f>
        <v/>
      </c>
      <c r="O241" s="52">
        <f>IF($B241="",0,$M241*$N241)</f>
        <v/>
      </c>
      <c r="P241" s="49">
        <f>IF($B241="","",$B241&amp;"|"&amp;$G241&amp;"|"&amp;$J241)</f>
        <v/>
      </c>
    </row>
    <row r="242" hidden="1" ht="14.25" customHeight="1">
      <c r="B242" s="51" t="n"/>
      <c r="C242" s="51" t="n"/>
      <c r="D242" s="51" t="n"/>
      <c r="E242" s="51" t="n"/>
      <c r="F242" s="51" t="n"/>
      <c r="G242" s="51" t="n"/>
      <c r="H242" s="51" t="n"/>
      <c r="I242" s="51" t="n"/>
      <c r="J242" s="51" t="n"/>
      <c r="K242" s="51" t="n"/>
      <c r="L242" s="52">
        <f>IF($B242="",0,IF($C242="HZ",1,IFERROR(INDEX('Value Streams &amp; Delivery Mode'!$D$17:$M$22,MATCH($D242,'Value Streams &amp; Delivery Mode'!$B$17:$B$22,0),($B242-1)*2+IF($C242="POD",1,2)),0)))</f>
        <v/>
      </c>
      <c r="M242" s="53">
        <f>IF($B242="",0,$K242*$L242)</f>
        <v/>
      </c>
      <c r="N242" s="54">
        <f>IF($B242="",0,IFERROR(INDEX('Rates &amp; Tables'!$C$61:$G$63,MATCH($I242,'Rates &amp; Tables'!$J$61:$J$63,0),MATCH($H242,'Rates &amp; Tables'!$C$60:$G$60,0)),0))</f>
        <v/>
      </c>
      <c r="O242" s="52">
        <f>IF($B242="",0,$M242*$N242)</f>
        <v/>
      </c>
      <c r="P242" s="49">
        <f>IF($B242="","",$B242&amp;"|"&amp;$G242&amp;"|"&amp;$J242)</f>
        <v/>
      </c>
    </row>
    <row r="243" hidden="1" ht="14.25" customHeight="1">
      <c r="B243" s="51" t="n"/>
      <c r="C243" s="51" t="n"/>
      <c r="D243" s="51" t="n"/>
      <c r="E243" s="51" t="n"/>
      <c r="F243" s="51" t="n"/>
      <c r="G243" s="51" t="n"/>
      <c r="H243" s="51" t="n"/>
      <c r="I243" s="51" t="n"/>
      <c r="J243" s="51" t="n"/>
      <c r="K243" s="51" t="n"/>
      <c r="L243" s="52">
        <f>IF($B243="",0,IF($C243="HZ",1,IFERROR(INDEX('Value Streams &amp; Delivery Mode'!$D$17:$M$22,MATCH($D243,'Value Streams &amp; Delivery Mode'!$B$17:$B$22,0),($B243-1)*2+IF($C243="POD",1,2)),0)))</f>
        <v/>
      </c>
      <c r="M243" s="53">
        <f>IF($B243="",0,$K243*$L243)</f>
        <v/>
      </c>
      <c r="N243" s="54">
        <f>IF($B243="",0,IFERROR(INDEX('Rates &amp; Tables'!$C$61:$G$63,MATCH($I243,'Rates &amp; Tables'!$J$61:$J$63,0),MATCH($H243,'Rates &amp; Tables'!$C$60:$G$60,0)),0))</f>
        <v/>
      </c>
      <c r="O243" s="52">
        <f>IF($B243="",0,$M243*$N243)</f>
        <v/>
      </c>
      <c r="P243" s="49">
        <f>IF($B243="","",$B243&amp;"|"&amp;$G243&amp;"|"&amp;$J243)</f>
        <v/>
      </c>
    </row>
    <row r="244" hidden="1" ht="14.25" customHeight="1">
      <c r="B244" s="51" t="n"/>
      <c r="C244" s="51" t="n"/>
      <c r="D244" s="51" t="n"/>
      <c r="E244" s="51" t="n"/>
      <c r="F244" s="51" t="n"/>
      <c r="G244" s="51" t="n"/>
      <c r="H244" s="51" t="n"/>
      <c r="I244" s="51" t="n"/>
      <c r="J244" s="51" t="n"/>
      <c r="K244" s="51" t="n"/>
      <c r="L244" s="52">
        <f>IF($B244="",0,IF($C244="HZ",1,IFERROR(INDEX('Value Streams &amp; Delivery Mode'!$D$17:$M$22,MATCH($D244,'Value Streams &amp; Delivery Mode'!$B$17:$B$22,0),($B244-1)*2+IF($C244="POD",1,2)),0)))</f>
        <v/>
      </c>
      <c r="M244" s="53">
        <f>IF($B244="",0,$K244*$L244)</f>
        <v/>
      </c>
      <c r="N244" s="54">
        <f>IF($B244="",0,IFERROR(INDEX('Rates &amp; Tables'!$C$61:$G$63,MATCH($I244,'Rates &amp; Tables'!$J$61:$J$63,0),MATCH($H244,'Rates &amp; Tables'!$C$60:$G$60,0)),0))</f>
        <v/>
      </c>
      <c r="O244" s="52">
        <f>IF($B244="",0,$M244*$N244)</f>
        <v/>
      </c>
      <c r="P244" s="49">
        <f>IF($B244="","",$B244&amp;"|"&amp;$G244&amp;"|"&amp;$J244)</f>
        <v/>
      </c>
    </row>
    <row r="245" hidden="1" ht="14.25" customHeight="1">
      <c r="B245" s="51" t="n"/>
      <c r="C245" s="51" t="n"/>
      <c r="D245" s="51" t="n"/>
      <c r="E245" s="51" t="n"/>
      <c r="F245" s="51" t="n"/>
      <c r="G245" s="51" t="n"/>
      <c r="H245" s="51" t="n"/>
      <c r="I245" s="51" t="n"/>
      <c r="J245" s="51" t="n"/>
      <c r="K245" s="51" t="n"/>
      <c r="L245" s="52">
        <f>IF($B245="",0,IF($C245="HZ",1,IFERROR(INDEX('Value Streams &amp; Delivery Mode'!$D$17:$M$22,MATCH($D245,'Value Streams &amp; Delivery Mode'!$B$17:$B$22,0),($B245-1)*2+IF($C245="POD",1,2)),0)))</f>
        <v/>
      </c>
      <c r="M245" s="53">
        <f>IF($B245="",0,$K245*$L245)</f>
        <v/>
      </c>
      <c r="N245" s="54">
        <f>IF($B245="",0,IFERROR(INDEX('Rates &amp; Tables'!$C$61:$G$63,MATCH($I245,'Rates &amp; Tables'!$J$61:$J$63,0),MATCH($H245,'Rates &amp; Tables'!$C$60:$G$60,0)),0))</f>
        <v/>
      </c>
      <c r="O245" s="52">
        <f>IF($B245="",0,$M245*$N245)</f>
        <v/>
      </c>
      <c r="P245" s="49">
        <f>IF($B245="","",$B245&amp;"|"&amp;$G245&amp;"|"&amp;$J245)</f>
        <v/>
      </c>
    </row>
    <row r="246" hidden="1" ht="14.25" customHeight="1">
      <c r="B246" s="51" t="n"/>
      <c r="C246" s="51" t="n"/>
      <c r="D246" s="51" t="n"/>
      <c r="E246" s="51" t="n"/>
      <c r="F246" s="51" t="n"/>
      <c r="G246" s="51" t="n"/>
      <c r="H246" s="51" t="n"/>
      <c r="I246" s="51" t="n"/>
      <c r="J246" s="51" t="n"/>
      <c r="K246" s="51" t="n"/>
      <c r="L246" s="52">
        <f>IF($B246="",0,IF($C246="HZ",1,IFERROR(INDEX('Value Streams &amp; Delivery Mode'!$D$17:$M$22,MATCH($D246,'Value Streams &amp; Delivery Mode'!$B$17:$B$22,0),($B246-1)*2+IF($C246="POD",1,2)),0)))</f>
        <v/>
      </c>
      <c r="M246" s="53">
        <f>IF($B246="",0,$K246*$L246)</f>
        <v/>
      </c>
      <c r="N246" s="54">
        <f>IF($B246="",0,IFERROR(INDEX('Rates &amp; Tables'!$C$61:$G$63,MATCH($I246,'Rates &amp; Tables'!$J$61:$J$63,0),MATCH($H246,'Rates &amp; Tables'!$C$60:$G$60,0)),0))</f>
        <v/>
      </c>
      <c r="O246" s="52">
        <f>IF($B246="",0,$M246*$N246)</f>
        <v/>
      </c>
      <c r="P246" s="49">
        <f>IF($B246="","",$B246&amp;"|"&amp;$G246&amp;"|"&amp;$J246)</f>
        <v/>
      </c>
    </row>
    <row r="247" hidden="1" ht="14.25" customHeight="1">
      <c r="B247" s="51" t="n"/>
      <c r="C247" s="51" t="n"/>
      <c r="D247" s="51" t="n"/>
      <c r="E247" s="51" t="n"/>
      <c r="F247" s="51" t="n"/>
      <c r="G247" s="51" t="n"/>
      <c r="H247" s="51" t="n"/>
      <c r="I247" s="51" t="n"/>
      <c r="J247" s="51" t="n"/>
      <c r="K247" s="51" t="n"/>
      <c r="L247" s="52">
        <f>IF($B247="",0,IF($C247="HZ",1,IFERROR(INDEX('Value Streams &amp; Delivery Mode'!$D$17:$M$22,MATCH($D247,'Value Streams &amp; Delivery Mode'!$B$17:$B$22,0),($B247-1)*2+IF($C247="POD",1,2)),0)))</f>
        <v/>
      </c>
      <c r="M247" s="53">
        <f>IF($B247="",0,$K247*$L247)</f>
        <v/>
      </c>
      <c r="N247" s="54">
        <f>IF($B247="",0,IFERROR(INDEX('Rates &amp; Tables'!$C$61:$G$63,MATCH($I247,'Rates &amp; Tables'!$J$61:$J$63,0),MATCH($H247,'Rates &amp; Tables'!$C$60:$G$60,0)),0))</f>
        <v/>
      </c>
      <c r="O247" s="52">
        <f>IF($B247="",0,$M247*$N247)</f>
        <v/>
      </c>
      <c r="P247" s="49">
        <f>IF($B247="","",$B247&amp;"|"&amp;$G247&amp;"|"&amp;$J247)</f>
        <v/>
      </c>
    </row>
    <row r="248" hidden="1" ht="14.25" customHeight="1">
      <c r="B248" s="51" t="n"/>
      <c r="C248" s="51" t="n"/>
      <c r="D248" s="51" t="n"/>
      <c r="E248" s="51" t="n"/>
      <c r="F248" s="51" t="n"/>
      <c r="G248" s="51" t="n"/>
      <c r="H248" s="51" t="n"/>
      <c r="I248" s="51" t="n"/>
      <c r="J248" s="51" t="n"/>
      <c r="K248" s="51" t="n"/>
      <c r="L248" s="52">
        <f>IF($B248="",0,IF($C248="HZ",1,IFERROR(INDEX('Value Streams &amp; Delivery Mode'!$D$17:$M$22,MATCH($D248,'Value Streams &amp; Delivery Mode'!$B$17:$B$22,0),($B248-1)*2+IF($C248="POD",1,2)),0)))</f>
        <v/>
      </c>
      <c r="M248" s="53">
        <f>IF($B248="",0,$K248*$L248)</f>
        <v/>
      </c>
      <c r="N248" s="54">
        <f>IF($B248="",0,IFERROR(INDEX('Rates &amp; Tables'!$C$61:$G$63,MATCH($I248,'Rates &amp; Tables'!$J$61:$J$63,0),MATCH($H248,'Rates &amp; Tables'!$C$60:$G$60,0)),0))</f>
        <v/>
      </c>
      <c r="O248" s="52">
        <f>IF($B248="",0,$M248*$N248)</f>
        <v/>
      </c>
      <c r="P248" s="49">
        <f>IF($B248="","",$B248&amp;"|"&amp;$G248&amp;"|"&amp;$J248)</f>
        <v/>
      </c>
    </row>
    <row r="249" hidden="1" ht="14.25" customHeight="1">
      <c r="B249" s="51" t="n"/>
      <c r="C249" s="51" t="n"/>
      <c r="D249" s="51" t="n"/>
      <c r="E249" s="51" t="n"/>
      <c r="F249" s="51" t="n"/>
      <c r="G249" s="51" t="n"/>
      <c r="H249" s="51" t="n"/>
      <c r="I249" s="51" t="n"/>
      <c r="J249" s="51" t="n"/>
      <c r="K249" s="51" t="n"/>
      <c r="L249" s="52">
        <f>IF($B249="",0,IF($C249="HZ",1,IFERROR(INDEX('Value Streams &amp; Delivery Mode'!$D$17:$M$22,MATCH($D249,'Value Streams &amp; Delivery Mode'!$B$17:$B$22,0),($B249-1)*2+IF($C249="POD",1,2)),0)))</f>
        <v/>
      </c>
      <c r="M249" s="53">
        <f>IF($B249="",0,$K249*$L249)</f>
        <v/>
      </c>
      <c r="N249" s="54">
        <f>IF($B249="",0,IFERROR(INDEX('Rates &amp; Tables'!$C$61:$G$63,MATCH($I249,'Rates &amp; Tables'!$J$61:$J$63,0),MATCH($H249,'Rates &amp; Tables'!$C$60:$G$60,0)),0))</f>
        <v/>
      </c>
      <c r="O249" s="52">
        <f>IF($B249="",0,$M249*$N249)</f>
        <v/>
      </c>
      <c r="P249" s="49">
        <f>IF($B249="","",$B249&amp;"|"&amp;$G249&amp;"|"&amp;$J249)</f>
        <v/>
      </c>
    </row>
    <row r="250" hidden="1" ht="14.25" customHeight="1">
      <c r="B250" s="51" t="n"/>
      <c r="C250" s="51" t="n"/>
      <c r="D250" s="51" t="n"/>
      <c r="E250" s="51" t="n"/>
      <c r="F250" s="51" t="n"/>
      <c r="G250" s="51" t="n"/>
      <c r="H250" s="51" t="n"/>
      <c r="I250" s="51" t="n"/>
      <c r="J250" s="51" t="n"/>
      <c r="K250" s="51" t="n"/>
      <c r="L250" s="52">
        <f>IF($B250="",0,IF($C250="HZ",1,IFERROR(INDEX('Value Streams &amp; Delivery Mode'!$D$17:$M$22,MATCH($D250,'Value Streams &amp; Delivery Mode'!$B$17:$B$22,0),($B250-1)*2+IF($C250="POD",1,2)),0)))</f>
        <v/>
      </c>
      <c r="M250" s="53">
        <f>IF($B250="",0,$K250*$L250)</f>
        <v/>
      </c>
      <c r="N250" s="54">
        <f>IF($B250="",0,IFERROR(INDEX('Rates &amp; Tables'!$C$61:$G$63,MATCH($I250,'Rates &amp; Tables'!$J$61:$J$63,0),MATCH($H250,'Rates &amp; Tables'!$C$60:$G$60,0)),0))</f>
        <v/>
      </c>
      <c r="O250" s="52">
        <f>IF($B250="",0,$M250*$N250)</f>
        <v/>
      </c>
      <c r="P250" s="49">
        <f>IF($B250="","",$B250&amp;"|"&amp;$G250&amp;"|"&amp;$J250)</f>
        <v/>
      </c>
    </row>
    <row r="251" hidden="1" ht="14.25" customHeight="1">
      <c r="B251" s="51" t="n"/>
      <c r="C251" s="51" t="n"/>
      <c r="D251" s="51" t="n"/>
      <c r="E251" s="51" t="n"/>
      <c r="F251" s="51" t="n"/>
      <c r="G251" s="51" t="n"/>
      <c r="H251" s="51" t="n"/>
      <c r="I251" s="51" t="n"/>
      <c r="J251" s="51" t="n"/>
      <c r="K251" s="51" t="n"/>
      <c r="L251" s="52">
        <f>IF($B251="",0,IF($C251="HZ",1,IFERROR(INDEX('Value Streams &amp; Delivery Mode'!$D$17:$M$22,MATCH($D251,'Value Streams &amp; Delivery Mode'!$B$17:$B$22,0),($B251-1)*2+IF($C251="POD",1,2)),0)))</f>
        <v/>
      </c>
      <c r="M251" s="53">
        <f>IF($B251="",0,$K251*$L251)</f>
        <v/>
      </c>
      <c r="N251" s="54">
        <f>IF($B251="",0,IFERROR(INDEX('Rates &amp; Tables'!$C$61:$G$63,MATCH($I251,'Rates &amp; Tables'!$J$61:$J$63,0),MATCH($H251,'Rates &amp; Tables'!$C$60:$G$60,0)),0))</f>
        <v/>
      </c>
      <c r="O251" s="52">
        <f>IF($B251="",0,$M251*$N251)</f>
        <v/>
      </c>
      <c r="P251" s="49">
        <f>IF($B251="","",$B251&amp;"|"&amp;$G251&amp;"|"&amp;$J251)</f>
        <v/>
      </c>
    </row>
    <row r="252" hidden="1" ht="14.25" customHeight="1">
      <c r="B252" s="51" t="n"/>
      <c r="C252" s="51" t="n"/>
      <c r="D252" s="51" t="n"/>
      <c r="E252" s="51" t="n"/>
      <c r="F252" s="51" t="n"/>
      <c r="G252" s="51" t="n"/>
      <c r="H252" s="51" t="n"/>
      <c r="I252" s="51" t="n"/>
      <c r="J252" s="51" t="n"/>
      <c r="K252" s="51" t="n"/>
      <c r="L252" s="52">
        <f>IF($B252="",0,IF($C252="HZ",1,IFERROR(INDEX('Value Streams &amp; Delivery Mode'!$D$17:$M$22,MATCH($D252,'Value Streams &amp; Delivery Mode'!$B$17:$B$22,0),($B252-1)*2+IF($C252="POD",1,2)),0)))</f>
        <v/>
      </c>
      <c r="M252" s="53">
        <f>IF($B252="",0,$K252*$L252)</f>
        <v/>
      </c>
      <c r="N252" s="54">
        <f>IF($B252="",0,IFERROR(INDEX('Rates &amp; Tables'!$C$61:$G$63,MATCH($I252,'Rates &amp; Tables'!$J$61:$J$63,0),MATCH($H252,'Rates &amp; Tables'!$C$60:$G$60,0)),0))</f>
        <v/>
      </c>
      <c r="O252" s="52">
        <f>IF($B252="",0,$M252*$N252)</f>
        <v/>
      </c>
      <c r="P252" s="49">
        <f>IF($B252="","",$B252&amp;"|"&amp;$G252&amp;"|"&amp;$J252)</f>
        <v/>
      </c>
    </row>
    <row r="253" hidden="1" ht="14.25" customHeight="1">
      <c r="B253" s="51" t="n"/>
      <c r="C253" s="51" t="n"/>
      <c r="D253" s="51" t="n"/>
      <c r="E253" s="51" t="n"/>
      <c r="F253" s="51" t="n"/>
      <c r="G253" s="51" t="n"/>
      <c r="H253" s="51" t="n"/>
      <c r="I253" s="51" t="n"/>
      <c r="J253" s="51" t="n"/>
      <c r="K253" s="51" t="n"/>
      <c r="L253" s="52">
        <f>IF($B253="",0,IF($C253="HZ",1,IFERROR(INDEX('Value Streams &amp; Delivery Mode'!$D$17:$M$22,MATCH($D253,'Value Streams &amp; Delivery Mode'!$B$17:$B$22,0),($B253-1)*2+IF($C253="POD",1,2)),0)))</f>
        <v/>
      </c>
      <c r="M253" s="53">
        <f>IF($B253="",0,$K253*$L253)</f>
        <v/>
      </c>
      <c r="N253" s="54">
        <f>IF($B253="",0,IFERROR(INDEX('Rates &amp; Tables'!$C$61:$G$63,MATCH($I253,'Rates &amp; Tables'!$J$61:$J$63,0),MATCH($H253,'Rates &amp; Tables'!$C$60:$G$60,0)),0))</f>
        <v/>
      </c>
      <c r="O253" s="52">
        <f>IF($B253="",0,$M253*$N253)</f>
        <v/>
      </c>
      <c r="P253" s="49">
        <f>IF($B253="","",$B253&amp;"|"&amp;$G253&amp;"|"&amp;$J253)</f>
        <v/>
      </c>
    </row>
    <row r="254" hidden="1" ht="14.25" customHeight="1">
      <c r="B254" s="51" t="n"/>
      <c r="C254" s="51" t="n"/>
      <c r="D254" s="51" t="n"/>
      <c r="E254" s="51" t="n"/>
      <c r="F254" s="51" t="n"/>
      <c r="G254" s="51" t="n"/>
      <c r="H254" s="51" t="n"/>
      <c r="I254" s="51" t="n"/>
      <c r="J254" s="51" t="n"/>
      <c r="K254" s="51" t="n"/>
      <c r="L254" s="52">
        <f>IF($B254="",0,IF($C254="HZ",1,IFERROR(INDEX('Value Streams &amp; Delivery Mode'!$D$17:$M$22,MATCH($D254,'Value Streams &amp; Delivery Mode'!$B$17:$B$22,0),($B254-1)*2+IF($C254="POD",1,2)),0)))</f>
        <v/>
      </c>
      <c r="M254" s="53">
        <f>IF($B254="",0,$K254*$L254)</f>
        <v/>
      </c>
      <c r="N254" s="54">
        <f>IF($B254="",0,IFERROR(INDEX('Rates &amp; Tables'!$C$61:$G$63,MATCH($I254,'Rates &amp; Tables'!$J$61:$J$63,0),MATCH($H254,'Rates &amp; Tables'!$C$60:$G$60,0)),0))</f>
        <v/>
      </c>
      <c r="O254" s="52">
        <f>IF($B254="",0,$M254*$N254)</f>
        <v/>
      </c>
      <c r="P254" s="49">
        <f>IF($B254="","",$B254&amp;"|"&amp;$G254&amp;"|"&amp;$J254)</f>
        <v/>
      </c>
    </row>
    <row r="255" hidden="1" ht="14.25" customHeight="1">
      <c r="B255" s="51" t="n"/>
      <c r="C255" s="51" t="n"/>
      <c r="D255" s="51" t="n"/>
      <c r="E255" s="51" t="n"/>
      <c r="F255" s="51" t="n"/>
      <c r="G255" s="51" t="n"/>
      <c r="H255" s="51" t="n"/>
      <c r="I255" s="51" t="n"/>
      <c r="J255" s="51" t="n"/>
      <c r="K255" s="51" t="n"/>
      <c r="L255" s="52">
        <f>IF($B255="",0,IF($C255="HZ",1,IFERROR(INDEX('Value Streams &amp; Delivery Mode'!$D$17:$M$22,MATCH($D255,'Value Streams &amp; Delivery Mode'!$B$17:$B$22,0),($B255-1)*2+IF($C255="POD",1,2)),0)))</f>
        <v/>
      </c>
      <c r="M255" s="53">
        <f>IF($B255="",0,$K255*$L255)</f>
        <v/>
      </c>
      <c r="N255" s="54">
        <f>IF($B255="",0,IFERROR(INDEX('Rates &amp; Tables'!$C$61:$G$63,MATCH($I255,'Rates &amp; Tables'!$J$61:$J$63,0),MATCH($H255,'Rates &amp; Tables'!$C$60:$G$60,0)),0))</f>
        <v/>
      </c>
      <c r="O255" s="52">
        <f>IF($B255="",0,$M255*$N255)</f>
        <v/>
      </c>
      <c r="P255" s="49">
        <f>IF($B255="","",$B255&amp;"|"&amp;$G255&amp;"|"&amp;$J255)</f>
        <v/>
      </c>
    </row>
    <row r="256" hidden="1" ht="14.25" customHeight="1">
      <c r="B256" s="51" t="n"/>
      <c r="C256" s="51" t="n"/>
      <c r="D256" s="51" t="n"/>
      <c r="E256" s="51" t="n"/>
      <c r="F256" s="51" t="n"/>
      <c r="G256" s="51" t="n"/>
      <c r="H256" s="51" t="n"/>
      <c r="I256" s="51" t="n"/>
      <c r="J256" s="51" t="n"/>
      <c r="K256" s="51" t="n"/>
      <c r="L256" s="52">
        <f>IF($B256="",0,IF($C256="HZ",1,IFERROR(INDEX('Value Streams &amp; Delivery Mode'!$D$17:$M$22,MATCH($D256,'Value Streams &amp; Delivery Mode'!$B$17:$B$22,0),($B256-1)*2+IF($C256="POD",1,2)),0)))</f>
        <v/>
      </c>
      <c r="M256" s="53">
        <f>IF($B256="",0,$K256*$L256)</f>
        <v/>
      </c>
      <c r="N256" s="54">
        <f>IF($B256="",0,IFERROR(INDEX('Rates &amp; Tables'!$C$61:$G$63,MATCH($I256,'Rates &amp; Tables'!$J$61:$J$63,0),MATCH($H256,'Rates &amp; Tables'!$C$60:$G$60,0)),0))</f>
        <v/>
      </c>
      <c r="O256" s="52">
        <f>IF($B256="",0,$M256*$N256)</f>
        <v/>
      </c>
      <c r="P256" s="49">
        <f>IF($B256="","",$B256&amp;"|"&amp;$G256&amp;"|"&amp;$J256)</f>
        <v/>
      </c>
    </row>
    <row r="257" hidden="1" ht="14.25" customHeight="1">
      <c r="B257" s="51" t="n"/>
      <c r="C257" s="51" t="n"/>
      <c r="D257" s="51" t="n"/>
      <c r="E257" s="51" t="n"/>
      <c r="F257" s="51" t="n"/>
      <c r="G257" s="51" t="n"/>
      <c r="H257" s="51" t="n"/>
      <c r="I257" s="51" t="n"/>
      <c r="J257" s="51" t="n"/>
      <c r="K257" s="51" t="n"/>
      <c r="L257" s="52">
        <f>IF($B257="",0,IF($C257="HZ",1,IFERROR(INDEX('Value Streams &amp; Delivery Mode'!$D$17:$M$22,MATCH($D257,'Value Streams &amp; Delivery Mode'!$B$17:$B$22,0),($B257-1)*2+IF($C257="POD",1,2)),0)))</f>
        <v/>
      </c>
      <c r="M257" s="53">
        <f>IF($B257="",0,$K257*$L257)</f>
        <v/>
      </c>
      <c r="N257" s="54">
        <f>IF($B257="",0,IFERROR(INDEX('Rates &amp; Tables'!$C$61:$G$63,MATCH($I257,'Rates &amp; Tables'!$J$61:$J$63,0),MATCH($H257,'Rates &amp; Tables'!$C$60:$G$60,0)),0))</f>
        <v/>
      </c>
      <c r="O257" s="52">
        <f>IF($B257="",0,$M257*$N257)</f>
        <v/>
      </c>
      <c r="P257" s="49">
        <f>IF($B257="","",$B257&amp;"|"&amp;$G257&amp;"|"&amp;$J257)</f>
        <v/>
      </c>
    </row>
    <row r="258" hidden="1" ht="14.25" customHeight="1">
      <c r="B258" s="51" t="n"/>
      <c r="C258" s="51" t="n"/>
      <c r="D258" s="51" t="n"/>
      <c r="E258" s="51" t="n"/>
      <c r="F258" s="51" t="n"/>
      <c r="G258" s="51" t="n"/>
      <c r="H258" s="51" t="n"/>
      <c r="I258" s="51" t="n"/>
      <c r="J258" s="51" t="n"/>
      <c r="K258" s="51" t="n"/>
      <c r="L258" s="52">
        <f>IF($B258="",0,IF($C258="HZ",1,IFERROR(INDEX('Value Streams &amp; Delivery Mode'!$D$17:$M$22,MATCH($D258,'Value Streams &amp; Delivery Mode'!$B$17:$B$22,0),($B258-1)*2+IF($C258="POD",1,2)),0)))</f>
        <v/>
      </c>
      <c r="M258" s="53">
        <f>IF($B258="",0,$K258*$L258)</f>
        <v/>
      </c>
      <c r="N258" s="54">
        <f>IF($B258="",0,IFERROR(INDEX('Rates &amp; Tables'!$C$61:$G$63,MATCH($I258,'Rates &amp; Tables'!$J$61:$J$63,0),MATCH($H258,'Rates &amp; Tables'!$C$60:$G$60,0)),0))</f>
        <v/>
      </c>
      <c r="O258" s="52">
        <f>IF($B258="",0,$M258*$N258)</f>
        <v/>
      </c>
      <c r="P258" s="49">
        <f>IF($B258="","",$B258&amp;"|"&amp;$G258&amp;"|"&amp;$J258)</f>
        <v/>
      </c>
    </row>
    <row r="259" hidden="1" ht="14.25" customHeight="1">
      <c r="B259" s="51" t="n"/>
      <c r="C259" s="51" t="n"/>
      <c r="D259" s="51" t="n"/>
      <c r="E259" s="51" t="n"/>
      <c r="F259" s="51" t="n"/>
      <c r="G259" s="51" t="n"/>
      <c r="H259" s="51" t="n"/>
      <c r="I259" s="51" t="n"/>
      <c r="J259" s="51" t="n"/>
      <c r="K259" s="51" t="n"/>
      <c r="L259" s="52">
        <f>IF($B259="",0,IF($C259="HZ",1,IFERROR(INDEX('Value Streams &amp; Delivery Mode'!$D$17:$M$22,MATCH($D259,'Value Streams &amp; Delivery Mode'!$B$17:$B$22,0),($B259-1)*2+IF($C259="POD",1,2)),0)))</f>
        <v/>
      </c>
      <c r="M259" s="53">
        <f>IF($B259="",0,$K259*$L259)</f>
        <v/>
      </c>
      <c r="N259" s="54">
        <f>IF($B259="",0,IFERROR(INDEX('Rates &amp; Tables'!$C$61:$G$63,MATCH($I259,'Rates &amp; Tables'!$J$61:$J$63,0),MATCH($H259,'Rates &amp; Tables'!$C$60:$G$60,0)),0))</f>
        <v/>
      </c>
      <c r="O259" s="52">
        <f>IF($B259="",0,$M259*$N259)</f>
        <v/>
      </c>
      <c r="P259" s="49">
        <f>IF($B259="","",$B259&amp;"|"&amp;$G259&amp;"|"&amp;$J259)</f>
        <v/>
      </c>
    </row>
    <row r="260" hidden="1" ht="14.25" customHeight="1">
      <c r="B260" s="51" t="n"/>
      <c r="C260" s="51" t="n"/>
      <c r="D260" s="51" t="n"/>
      <c r="E260" s="51" t="n"/>
      <c r="F260" s="51" t="n"/>
      <c r="G260" s="51" t="n"/>
      <c r="H260" s="51" t="n"/>
      <c r="I260" s="51" t="n"/>
      <c r="J260" s="51" t="n"/>
      <c r="K260" s="51" t="n"/>
      <c r="L260" s="52">
        <f>IF($B260="",0,IF($C260="HZ",1,IFERROR(INDEX('Value Streams &amp; Delivery Mode'!$D$17:$M$22,MATCH($D260,'Value Streams &amp; Delivery Mode'!$B$17:$B$22,0),($B260-1)*2+IF($C260="POD",1,2)),0)))</f>
        <v/>
      </c>
      <c r="M260" s="53">
        <f>IF($B260="",0,$K260*$L260)</f>
        <v/>
      </c>
      <c r="N260" s="54">
        <f>IF($B260="",0,IFERROR(INDEX('Rates &amp; Tables'!$C$61:$G$63,MATCH($I260,'Rates &amp; Tables'!$J$61:$J$63,0),MATCH($H260,'Rates &amp; Tables'!$C$60:$G$60,0)),0))</f>
        <v/>
      </c>
      <c r="O260" s="52">
        <f>IF($B260="",0,$M260*$N260)</f>
        <v/>
      </c>
      <c r="P260" s="49">
        <f>IF($B260="","",$B260&amp;"|"&amp;$G260&amp;"|"&amp;$J260)</f>
        <v/>
      </c>
    </row>
    <row r="261" hidden="1" ht="14.25" customHeight="1">
      <c r="B261" s="51" t="n"/>
      <c r="C261" s="51" t="n"/>
      <c r="D261" s="51" t="n"/>
      <c r="E261" s="51" t="n"/>
      <c r="F261" s="51" t="n"/>
      <c r="G261" s="51" t="n"/>
      <c r="H261" s="51" t="n"/>
      <c r="I261" s="51" t="n"/>
      <c r="J261" s="51" t="n"/>
      <c r="K261" s="51" t="n"/>
      <c r="L261" s="52">
        <f>IF($B261="",0,IF($C261="HZ",1,IFERROR(INDEX('Value Streams &amp; Delivery Mode'!$D$17:$M$22,MATCH($D261,'Value Streams &amp; Delivery Mode'!$B$17:$B$22,0),($B261-1)*2+IF($C261="POD",1,2)),0)))</f>
        <v/>
      </c>
      <c r="M261" s="53">
        <f>IF($B261="",0,$K261*$L261)</f>
        <v/>
      </c>
      <c r="N261" s="54">
        <f>IF($B261="",0,IFERROR(INDEX('Rates &amp; Tables'!$C$61:$G$63,MATCH($I261,'Rates &amp; Tables'!$J$61:$J$63,0),MATCH($H261,'Rates &amp; Tables'!$C$60:$G$60,0)),0))</f>
        <v/>
      </c>
      <c r="O261" s="52">
        <f>IF($B261="",0,$M261*$N261)</f>
        <v/>
      </c>
      <c r="P261" s="49">
        <f>IF($B261="","",$B261&amp;"|"&amp;$G261&amp;"|"&amp;$J261)</f>
        <v/>
      </c>
    </row>
    <row r="262" hidden="1" ht="14.25" customHeight="1">
      <c r="B262" s="51" t="n"/>
      <c r="C262" s="51" t="n"/>
      <c r="D262" s="51" t="n"/>
      <c r="E262" s="51" t="n"/>
      <c r="F262" s="51" t="n"/>
      <c r="G262" s="51" t="n"/>
      <c r="H262" s="51" t="n"/>
      <c r="I262" s="51" t="n"/>
      <c r="J262" s="51" t="n"/>
      <c r="K262" s="51" t="n"/>
      <c r="L262" s="52">
        <f>IF($B262="",0,IF($C262="HZ",1,IFERROR(INDEX('Value Streams &amp; Delivery Mode'!$D$17:$M$22,MATCH($D262,'Value Streams &amp; Delivery Mode'!$B$17:$B$22,0),($B262-1)*2+IF($C262="POD",1,2)),0)))</f>
        <v/>
      </c>
      <c r="M262" s="53">
        <f>IF($B262="",0,$K262*$L262)</f>
        <v/>
      </c>
      <c r="N262" s="54">
        <f>IF($B262="",0,IFERROR(INDEX('Rates &amp; Tables'!$C$61:$G$63,MATCH($I262,'Rates &amp; Tables'!$J$61:$J$63,0),MATCH($H262,'Rates &amp; Tables'!$C$60:$G$60,0)),0))</f>
        <v/>
      </c>
      <c r="O262" s="52">
        <f>IF($B262="",0,$M262*$N262)</f>
        <v/>
      </c>
      <c r="P262" s="49">
        <f>IF($B262="","",$B262&amp;"|"&amp;$G262&amp;"|"&amp;$J262)</f>
        <v/>
      </c>
    </row>
    <row r="263" hidden="1" ht="14.25" customHeight="1">
      <c r="B263" s="51" t="n"/>
      <c r="C263" s="51" t="n"/>
      <c r="D263" s="51" t="n"/>
      <c r="E263" s="51" t="n"/>
      <c r="F263" s="51" t="n"/>
      <c r="G263" s="51" t="n"/>
      <c r="H263" s="51" t="n"/>
      <c r="I263" s="51" t="n"/>
      <c r="J263" s="51" t="n"/>
      <c r="K263" s="51" t="n"/>
      <c r="L263" s="52">
        <f>IF($B263="",0,IF($C263="HZ",1,IFERROR(INDEX('Value Streams &amp; Delivery Mode'!$D$17:$M$22,MATCH($D263,'Value Streams &amp; Delivery Mode'!$B$17:$B$22,0),($B263-1)*2+IF($C263="POD",1,2)),0)))</f>
        <v/>
      </c>
      <c r="M263" s="53">
        <f>IF($B263="",0,$K263*$L263)</f>
        <v/>
      </c>
      <c r="N263" s="54">
        <f>IF($B263="",0,IFERROR(INDEX('Rates &amp; Tables'!$C$61:$G$63,MATCH($I263,'Rates &amp; Tables'!$J$61:$J$63,0),MATCH($H263,'Rates &amp; Tables'!$C$60:$G$60,0)),0))</f>
        <v/>
      </c>
      <c r="O263" s="52">
        <f>IF($B263="",0,$M263*$N263)</f>
        <v/>
      </c>
      <c r="P263" s="49">
        <f>IF($B263="","",$B263&amp;"|"&amp;$G263&amp;"|"&amp;$J263)</f>
        <v/>
      </c>
    </row>
    <row r="264" hidden="1" ht="14.25" customHeight="1">
      <c r="B264" s="51" t="n"/>
      <c r="C264" s="51" t="n"/>
      <c r="D264" s="51" t="n"/>
      <c r="E264" s="51" t="n"/>
      <c r="F264" s="51" t="n"/>
      <c r="G264" s="51" t="n"/>
      <c r="H264" s="51" t="n"/>
      <c r="I264" s="51" t="n"/>
      <c r="J264" s="51" t="n"/>
      <c r="K264" s="51" t="n"/>
      <c r="L264" s="52">
        <f>IF($B264="",0,IF($C264="HZ",1,IFERROR(INDEX('Value Streams &amp; Delivery Mode'!$D$17:$M$22,MATCH($D264,'Value Streams &amp; Delivery Mode'!$B$17:$B$22,0),($B264-1)*2+IF($C264="POD",1,2)),0)))</f>
        <v/>
      </c>
      <c r="M264" s="53">
        <f>IF($B264="",0,$K264*$L264)</f>
        <v/>
      </c>
      <c r="N264" s="54">
        <f>IF($B264="",0,IFERROR(INDEX('Rates &amp; Tables'!$C$61:$G$63,MATCH($I264,'Rates &amp; Tables'!$J$61:$J$63,0),MATCH($H264,'Rates &amp; Tables'!$C$60:$G$60,0)),0))</f>
        <v/>
      </c>
      <c r="O264" s="52">
        <f>IF($B264="",0,$M264*$N264)</f>
        <v/>
      </c>
      <c r="P264" s="49">
        <f>IF($B264="","",$B264&amp;"|"&amp;$G264&amp;"|"&amp;$J264)</f>
        <v/>
      </c>
    </row>
    <row r="265" hidden="1" ht="14.25" customHeight="1">
      <c r="B265" s="51" t="n"/>
      <c r="C265" s="51" t="n"/>
      <c r="D265" s="51" t="n"/>
      <c r="E265" s="51" t="n"/>
      <c r="F265" s="51" t="n"/>
      <c r="G265" s="51" t="n"/>
      <c r="H265" s="51" t="n"/>
      <c r="I265" s="51" t="n"/>
      <c r="J265" s="51" t="n"/>
      <c r="K265" s="51" t="n"/>
      <c r="L265" s="52">
        <f>IF($B265="",0,IF($C265="HZ",1,IFERROR(INDEX('Value Streams &amp; Delivery Mode'!$D$17:$M$22,MATCH($D265,'Value Streams &amp; Delivery Mode'!$B$17:$B$22,0),($B265-1)*2+IF($C265="POD",1,2)),0)))</f>
        <v/>
      </c>
      <c r="M265" s="53">
        <f>IF($B265="",0,$K265*$L265)</f>
        <v/>
      </c>
      <c r="N265" s="54">
        <f>IF($B265="",0,IFERROR(INDEX('Rates &amp; Tables'!$C$61:$G$63,MATCH($I265,'Rates &amp; Tables'!$J$61:$J$63,0),MATCH($H265,'Rates &amp; Tables'!$C$60:$G$60,0)),0))</f>
        <v/>
      </c>
      <c r="O265" s="52">
        <f>IF($B265="",0,$M265*$N265)</f>
        <v/>
      </c>
      <c r="P265" s="49">
        <f>IF($B265="","",$B265&amp;"|"&amp;$G265&amp;"|"&amp;$J265)</f>
        <v/>
      </c>
    </row>
    <row r="266" hidden="1" ht="14.25" customHeight="1">
      <c r="B266" s="51" t="n"/>
      <c r="C266" s="51" t="n"/>
      <c r="D266" s="51" t="n"/>
      <c r="E266" s="51" t="n"/>
      <c r="F266" s="51" t="n"/>
      <c r="G266" s="51" t="n"/>
      <c r="H266" s="51" t="n"/>
      <c r="I266" s="51" t="n"/>
      <c r="J266" s="51" t="n"/>
      <c r="K266" s="51" t="n"/>
      <c r="L266" s="52">
        <f>IF($B266="",0,IF($C266="HZ",1,IFERROR(INDEX('Value Streams &amp; Delivery Mode'!$D$17:$M$22,MATCH($D266,'Value Streams &amp; Delivery Mode'!$B$17:$B$22,0),($B266-1)*2+IF($C266="POD",1,2)),0)))</f>
        <v/>
      </c>
      <c r="M266" s="53">
        <f>IF($B266="",0,$K266*$L266)</f>
        <v/>
      </c>
      <c r="N266" s="54">
        <f>IF($B266="",0,IFERROR(INDEX('Rates &amp; Tables'!$C$61:$G$63,MATCH($I266,'Rates &amp; Tables'!$J$61:$J$63,0),MATCH($H266,'Rates &amp; Tables'!$C$60:$G$60,0)),0))</f>
        <v/>
      </c>
      <c r="O266" s="52">
        <f>IF($B266="",0,$M266*$N266)</f>
        <v/>
      </c>
      <c r="P266" s="49">
        <f>IF($B266="","",$B266&amp;"|"&amp;$G266&amp;"|"&amp;$J266)</f>
        <v/>
      </c>
    </row>
    <row r="267" hidden="1" ht="14.25" customHeight="1">
      <c r="B267" s="51" t="n"/>
      <c r="C267" s="51" t="n"/>
      <c r="D267" s="51" t="n"/>
      <c r="E267" s="51" t="n"/>
      <c r="F267" s="51" t="n"/>
      <c r="G267" s="51" t="n"/>
      <c r="H267" s="51" t="n"/>
      <c r="I267" s="51" t="n"/>
      <c r="J267" s="51" t="n"/>
      <c r="K267" s="51" t="n"/>
      <c r="L267" s="52">
        <f>IF($B267="",0,IF($C267="HZ",1,IFERROR(INDEX('Value Streams &amp; Delivery Mode'!$D$17:$M$22,MATCH($D267,'Value Streams &amp; Delivery Mode'!$B$17:$B$22,0),($B267-1)*2+IF($C267="POD",1,2)),0)))</f>
        <v/>
      </c>
      <c r="M267" s="53">
        <f>IF($B267="",0,$K267*$L267)</f>
        <v/>
      </c>
      <c r="N267" s="54">
        <f>IF($B267="",0,IFERROR(INDEX('Rates &amp; Tables'!$C$61:$G$63,MATCH($I267,'Rates &amp; Tables'!$J$61:$J$63,0),MATCH($H267,'Rates &amp; Tables'!$C$60:$G$60,0)),0))</f>
        <v/>
      </c>
      <c r="O267" s="52">
        <f>IF($B267="",0,$M267*$N267)</f>
        <v/>
      </c>
      <c r="P267" s="49">
        <f>IF($B267="","",$B267&amp;"|"&amp;$G267&amp;"|"&amp;$J267)</f>
        <v/>
      </c>
    </row>
    <row r="268" hidden="1" ht="14.25" customHeight="1">
      <c r="B268" s="51" t="n"/>
      <c r="C268" s="51" t="n"/>
      <c r="D268" s="51" t="n"/>
      <c r="E268" s="51" t="n"/>
      <c r="F268" s="51" t="n"/>
      <c r="G268" s="51" t="n"/>
      <c r="H268" s="51" t="n"/>
      <c r="I268" s="51" t="n"/>
      <c r="J268" s="51" t="n"/>
      <c r="K268" s="51" t="n"/>
      <c r="L268" s="52">
        <f>IF($B268="",0,IF($C268="HZ",1,IFERROR(INDEX('Value Streams &amp; Delivery Mode'!$D$17:$M$22,MATCH($D268,'Value Streams &amp; Delivery Mode'!$B$17:$B$22,0),($B268-1)*2+IF($C268="POD",1,2)),0)))</f>
        <v/>
      </c>
      <c r="M268" s="53">
        <f>IF($B268="",0,$K268*$L268)</f>
        <v/>
      </c>
      <c r="N268" s="54">
        <f>IF($B268="",0,IFERROR(INDEX('Rates &amp; Tables'!$C$61:$G$63,MATCH($I268,'Rates &amp; Tables'!$J$61:$J$63,0),MATCH($H268,'Rates &amp; Tables'!$C$60:$G$60,0)),0))</f>
        <v/>
      </c>
      <c r="O268" s="52">
        <f>IF($B268="",0,$M268*$N268)</f>
        <v/>
      </c>
      <c r="P268" s="49">
        <f>IF($B268="","",$B268&amp;"|"&amp;$G268&amp;"|"&amp;$J268)</f>
        <v/>
      </c>
    </row>
    <row r="269" hidden="1" ht="14.25" customHeight="1">
      <c r="B269" s="51" t="n"/>
      <c r="C269" s="51" t="n"/>
      <c r="D269" s="51" t="n"/>
      <c r="E269" s="51" t="n"/>
      <c r="F269" s="51" t="n"/>
      <c r="G269" s="51" t="n"/>
      <c r="H269" s="51" t="n"/>
      <c r="I269" s="51" t="n"/>
      <c r="J269" s="51" t="n"/>
      <c r="K269" s="51" t="n"/>
      <c r="L269" s="52">
        <f>IF($B269="",0,IF($C269="HZ",1,IFERROR(INDEX('Value Streams &amp; Delivery Mode'!$D$17:$M$22,MATCH($D269,'Value Streams &amp; Delivery Mode'!$B$17:$B$22,0),($B269-1)*2+IF($C269="POD",1,2)),0)))</f>
        <v/>
      </c>
      <c r="M269" s="53">
        <f>IF($B269="",0,$K269*$L269)</f>
        <v/>
      </c>
      <c r="N269" s="54">
        <f>IF($B269="",0,IFERROR(INDEX('Rates &amp; Tables'!$C$61:$G$63,MATCH($I269,'Rates &amp; Tables'!$J$61:$J$63,0),MATCH($H269,'Rates &amp; Tables'!$C$60:$G$60,0)),0))</f>
        <v/>
      </c>
      <c r="O269" s="52">
        <f>IF($B269="",0,$M269*$N269)</f>
        <v/>
      </c>
      <c r="P269" s="49">
        <f>IF($B269="","",$B269&amp;"|"&amp;$G269&amp;"|"&amp;$J269)</f>
        <v/>
      </c>
    </row>
    <row r="270" hidden="1" ht="14.25" customHeight="1">
      <c r="B270" s="51" t="n"/>
      <c r="C270" s="51" t="n"/>
      <c r="D270" s="51" t="n"/>
      <c r="E270" s="51" t="n"/>
      <c r="F270" s="51" t="n"/>
      <c r="G270" s="51" t="n"/>
      <c r="H270" s="51" t="n"/>
      <c r="I270" s="51" t="n"/>
      <c r="J270" s="51" t="n"/>
      <c r="K270" s="51" t="n"/>
      <c r="L270" s="52">
        <f>IF($B270="",0,IF($C270="HZ",1,IFERROR(INDEX('Value Streams &amp; Delivery Mode'!$D$17:$M$22,MATCH($D270,'Value Streams &amp; Delivery Mode'!$B$17:$B$22,0),($B270-1)*2+IF($C270="POD",1,2)),0)))</f>
        <v/>
      </c>
      <c r="M270" s="53">
        <f>IF($B270="",0,$K270*$L270)</f>
        <v/>
      </c>
      <c r="N270" s="54">
        <f>IF($B270="",0,IFERROR(INDEX('Rates &amp; Tables'!$C$61:$G$63,MATCH($I270,'Rates &amp; Tables'!$J$61:$J$63,0),MATCH($H270,'Rates &amp; Tables'!$C$60:$G$60,0)),0))</f>
        <v/>
      </c>
      <c r="O270" s="52">
        <f>IF($B270="",0,$M270*$N270)</f>
        <v/>
      </c>
      <c r="P270" s="49">
        <f>IF($B270="","",$B270&amp;"|"&amp;$G270&amp;"|"&amp;$J270)</f>
        <v/>
      </c>
    </row>
    <row r="271" hidden="1" ht="14.25" customHeight="1">
      <c r="B271" s="51" t="n"/>
      <c r="C271" s="51" t="n"/>
      <c r="D271" s="51" t="n"/>
      <c r="E271" s="51" t="n"/>
      <c r="F271" s="51" t="n"/>
      <c r="G271" s="51" t="n"/>
      <c r="H271" s="51" t="n"/>
      <c r="I271" s="51" t="n"/>
      <c r="J271" s="51" t="n"/>
      <c r="K271" s="51" t="n"/>
      <c r="L271" s="52">
        <f>IF($B271="",0,IF($C271="HZ",1,IFERROR(INDEX('Value Streams &amp; Delivery Mode'!$D$17:$M$22,MATCH($D271,'Value Streams &amp; Delivery Mode'!$B$17:$B$22,0),($B271-1)*2+IF($C271="POD",1,2)),0)))</f>
        <v/>
      </c>
      <c r="M271" s="53">
        <f>IF($B271="",0,$K271*$L271)</f>
        <v/>
      </c>
      <c r="N271" s="54">
        <f>IF($B271="",0,IFERROR(INDEX('Rates &amp; Tables'!$C$61:$G$63,MATCH($I271,'Rates &amp; Tables'!$J$61:$J$63,0),MATCH($H271,'Rates &amp; Tables'!$C$60:$G$60,0)),0))</f>
        <v/>
      </c>
      <c r="O271" s="52">
        <f>IF($B271="",0,$M271*$N271)</f>
        <v/>
      </c>
      <c r="P271" s="49">
        <f>IF($B271="","",$B271&amp;"|"&amp;$G271&amp;"|"&amp;$J271)</f>
        <v/>
      </c>
    </row>
    <row r="272" hidden="1" ht="14.25" customHeight="1">
      <c r="B272" s="51" t="n"/>
      <c r="C272" s="51" t="n"/>
      <c r="D272" s="51" t="n"/>
      <c r="E272" s="51" t="n"/>
      <c r="F272" s="51" t="n"/>
      <c r="G272" s="51" t="n"/>
      <c r="H272" s="51" t="n"/>
      <c r="I272" s="51" t="n"/>
      <c r="J272" s="51" t="n"/>
      <c r="K272" s="51" t="n"/>
      <c r="L272" s="52">
        <f>IF($B272="",0,IF($C272="HZ",1,IFERROR(INDEX('Value Streams &amp; Delivery Mode'!$D$17:$M$22,MATCH($D272,'Value Streams &amp; Delivery Mode'!$B$17:$B$22,0),($B272-1)*2+IF($C272="POD",1,2)),0)))</f>
        <v/>
      </c>
      <c r="M272" s="53">
        <f>IF($B272="",0,$K272*$L272)</f>
        <v/>
      </c>
      <c r="N272" s="54">
        <f>IF($B272="",0,IFERROR(INDEX('Rates &amp; Tables'!$C$61:$G$63,MATCH($I272,'Rates &amp; Tables'!$J$61:$J$63,0),MATCH($H272,'Rates &amp; Tables'!$C$60:$G$60,0)),0))</f>
        <v/>
      </c>
      <c r="O272" s="52">
        <f>IF($B272="",0,$M272*$N272)</f>
        <v/>
      </c>
      <c r="P272" s="49">
        <f>IF($B272="","",$B272&amp;"|"&amp;$G272&amp;"|"&amp;$J272)</f>
        <v/>
      </c>
    </row>
    <row r="273" hidden="1" ht="14.25" customHeight="1">
      <c r="B273" s="51" t="n"/>
      <c r="C273" s="51" t="n"/>
      <c r="D273" s="51" t="n"/>
      <c r="E273" s="51" t="n"/>
      <c r="F273" s="51" t="n"/>
      <c r="G273" s="51" t="n"/>
      <c r="H273" s="51" t="n"/>
      <c r="I273" s="51" t="n"/>
      <c r="J273" s="51" t="n"/>
      <c r="K273" s="51" t="n"/>
      <c r="L273" s="52">
        <f>IF($B273="",0,IF($C273="HZ",1,IFERROR(INDEX('Value Streams &amp; Delivery Mode'!$D$17:$M$22,MATCH($D273,'Value Streams &amp; Delivery Mode'!$B$17:$B$22,0),($B273-1)*2+IF($C273="POD",1,2)),0)))</f>
        <v/>
      </c>
      <c r="M273" s="53">
        <f>IF($B273="",0,$K273*$L273)</f>
        <v/>
      </c>
      <c r="N273" s="54">
        <f>IF($B273="",0,IFERROR(INDEX('Rates &amp; Tables'!$C$61:$G$63,MATCH($I273,'Rates &amp; Tables'!$J$61:$J$63,0),MATCH($H273,'Rates &amp; Tables'!$C$60:$G$60,0)),0))</f>
        <v/>
      </c>
      <c r="O273" s="52">
        <f>IF($B273="",0,$M273*$N273)</f>
        <v/>
      </c>
      <c r="P273" s="49">
        <f>IF($B273="","",$B273&amp;"|"&amp;$G273&amp;"|"&amp;$J273)</f>
        <v/>
      </c>
    </row>
    <row r="274" hidden="1" ht="14.25" customHeight="1">
      <c r="B274" s="51" t="n"/>
      <c r="C274" s="51" t="n"/>
      <c r="D274" s="51" t="n"/>
      <c r="E274" s="51" t="n"/>
      <c r="F274" s="51" t="n"/>
      <c r="G274" s="51" t="n"/>
      <c r="H274" s="51" t="n"/>
      <c r="I274" s="51" t="n"/>
      <c r="J274" s="51" t="n"/>
      <c r="K274" s="51" t="n"/>
      <c r="L274" s="52">
        <f>IF($B274="",0,IF($C274="HZ",1,IFERROR(INDEX('Value Streams &amp; Delivery Mode'!$D$17:$M$22,MATCH($D274,'Value Streams &amp; Delivery Mode'!$B$17:$B$22,0),($B274-1)*2+IF($C274="POD",1,2)),0)))</f>
        <v/>
      </c>
      <c r="M274" s="53">
        <f>IF($B274="",0,$K274*$L274)</f>
        <v/>
      </c>
      <c r="N274" s="54">
        <f>IF($B274="",0,IFERROR(INDEX('Rates &amp; Tables'!$C$61:$G$63,MATCH($I274,'Rates &amp; Tables'!$J$61:$J$63,0),MATCH($H274,'Rates &amp; Tables'!$C$60:$G$60,0)),0))</f>
        <v/>
      </c>
      <c r="O274" s="52">
        <f>IF($B274="",0,$M274*$N274)</f>
        <v/>
      </c>
      <c r="P274" s="49">
        <f>IF($B274="","",$B274&amp;"|"&amp;$G274&amp;"|"&amp;$J274)</f>
        <v/>
      </c>
    </row>
    <row r="275" hidden="1" ht="14.25" customHeight="1">
      <c r="B275" s="51" t="n"/>
      <c r="C275" s="51" t="n"/>
      <c r="D275" s="51" t="n"/>
      <c r="E275" s="51" t="n"/>
      <c r="F275" s="51" t="n"/>
      <c r="G275" s="51" t="n"/>
      <c r="H275" s="51" t="n"/>
      <c r="I275" s="51" t="n"/>
      <c r="J275" s="51" t="n"/>
      <c r="K275" s="51" t="n"/>
      <c r="L275" s="52">
        <f>IF($B275="",0,IF($C275="HZ",1,IFERROR(INDEX('Value Streams &amp; Delivery Mode'!$D$17:$M$22,MATCH($D275,'Value Streams &amp; Delivery Mode'!$B$17:$B$22,0),($B275-1)*2+IF($C275="POD",1,2)),0)))</f>
        <v/>
      </c>
      <c r="M275" s="53">
        <f>IF($B275="",0,$K275*$L275)</f>
        <v/>
      </c>
      <c r="N275" s="54">
        <f>IF($B275="",0,IFERROR(INDEX('Rates &amp; Tables'!$C$61:$G$63,MATCH($I275,'Rates &amp; Tables'!$J$61:$J$63,0),MATCH($H275,'Rates &amp; Tables'!$C$60:$G$60,0)),0))</f>
        <v/>
      </c>
      <c r="O275" s="52">
        <f>IF($B275="",0,$M275*$N275)</f>
        <v/>
      </c>
      <c r="P275" s="49">
        <f>IF($B275="","",$B275&amp;"|"&amp;$G275&amp;"|"&amp;$J275)</f>
        <v/>
      </c>
    </row>
    <row r="276" hidden="1" ht="14.25" customHeight="1">
      <c r="B276" s="51" t="n"/>
      <c r="C276" s="51" t="n"/>
      <c r="D276" s="51" t="n"/>
      <c r="E276" s="51" t="n"/>
      <c r="F276" s="51" t="n"/>
      <c r="G276" s="51" t="n"/>
      <c r="H276" s="51" t="n"/>
      <c r="I276" s="51" t="n"/>
      <c r="J276" s="51" t="n"/>
      <c r="K276" s="51" t="n"/>
      <c r="L276" s="52">
        <f>IF($B276="",0,IF($C276="HZ",1,IFERROR(INDEX('Value Streams &amp; Delivery Mode'!$D$17:$M$22,MATCH($D276,'Value Streams &amp; Delivery Mode'!$B$17:$B$22,0),($B276-1)*2+IF($C276="POD",1,2)),0)))</f>
        <v/>
      </c>
      <c r="M276" s="53">
        <f>IF($B276="",0,$K276*$L276)</f>
        <v/>
      </c>
      <c r="N276" s="54">
        <f>IF($B276="",0,IFERROR(INDEX('Rates &amp; Tables'!$C$61:$G$63,MATCH($I276,'Rates &amp; Tables'!$J$61:$J$63,0),MATCH($H276,'Rates &amp; Tables'!$C$60:$G$60,0)),0))</f>
        <v/>
      </c>
      <c r="O276" s="52">
        <f>IF($B276="",0,$M276*$N276)</f>
        <v/>
      </c>
      <c r="P276" s="49">
        <f>IF($B276="","",$B276&amp;"|"&amp;$G276&amp;"|"&amp;$J276)</f>
        <v/>
      </c>
    </row>
    <row r="277" hidden="1" ht="14.25" customHeight="1">
      <c r="B277" s="51" t="n"/>
      <c r="C277" s="51" t="n"/>
      <c r="D277" s="51" t="n"/>
      <c r="E277" s="51" t="n"/>
      <c r="F277" s="51" t="n"/>
      <c r="G277" s="51" t="n"/>
      <c r="H277" s="51" t="n"/>
      <c r="I277" s="51" t="n"/>
      <c r="J277" s="51" t="n"/>
      <c r="K277" s="51" t="n"/>
      <c r="L277" s="52">
        <f>IF($B277="",0,IF($C277="HZ",1,IFERROR(INDEX('Value Streams &amp; Delivery Mode'!$D$17:$M$22,MATCH($D277,'Value Streams &amp; Delivery Mode'!$B$17:$B$22,0),($B277-1)*2+IF($C277="POD",1,2)),0)))</f>
        <v/>
      </c>
      <c r="M277" s="53">
        <f>IF($B277="",0,$K277*$L277)</f>
        <v/>
      </c>
      <c r="N277" s="54">
        <f>IF($B277="",0,IFERROR(INDEX('Rates &amp; Tables'!$C$61:$G$63,MATCH($I277,'Rates &amp; Tables'!$J$61:$J$63,0),MATCH($H277,'Rates &amp; Tables'!$C$60:$G$60,0)),0))</f>
        <v/>
      </c>
      <c r="O277" s="52">
        <f>IF($B277="",0,$M277*$N277)</f>
        <v/>
      </c>
      <c r="P277" s="49">
        <f>IF($B277="","",$B277&amp;"|"&amp;$G277&amp;"|"&amp;$J277)</f>
        <v/>
      </c>
    </row>
    <row r="278" hidden="1" ht="14.25" customHeight="1">
      <c r="B278" s="51" t="n"/>
      <c r="C278" s="51" t="n"/>
      <c r="D278" s="51" t="n"/>
      <c r="E278" s="51" t="n"/>
      <c r="F278" s="51" t="n"/>
      <c r="G278" s="51" t="n"/>
      <c r="H278" s="51" t="n"/>
      <c r="I278" s="51" t="n"/>
      <c r="J278" s="51" t="n"/>
      <c r="K278" s="51" t="n"/>
      <c r="L278" s="52">
        <f>IF($B278="",0,IF($C278="HZ",1,IFERROR(INDEX('Value Streams &amp; Delivery Mode'!$D$17:$M$22,MATCH($D278,'Value Streams &amp; Delivery Mode'!$B$17:$B$22,0),($B278-1)*2+IF($C278="POD",1,2)),0)))</f>
        <v/>
      </c>
      <c r="M278" s="53">
        <f>IF($B278="",0,$K278*$L278)</f>
        <v/>
      </c>
      <c r="N278" s="54">
        <f>IF($B278="",0,IFERROR(INDEX('Rates &amp; Tables'!$C$61:$G$63,MATCH($I278,'Rates &amp; Tables'!$J$61:$J$63,0),MATCH($H278,'Rates &amp; Tables'!$C$60:$G$60,0)),0))</f>
        <v/>
      </c>
      <c r="O278" s="52">
        <f>IF($B278="",0,$M278*$N278)</f>
        <v/>
      </c>
      <c r="P278" s="49">
        <f>IF($B278="","",$B278&amp;"|"&amp;$G278&amp;"|"&amp;$J278)</f>
        <v/>
      </c>
    </row>
    <row r="279" hidden="1" ht="14.25" customHeight="1">
      <c r="B279" s="51" t="n"/>
      <c r="C279" s="51" t="n"/>
      <c r="D279" s="51" t="n"/>
      <c r="E279" s="51" t="n"/>
      <c r="F279" s="51" t="n"/>
      <c r="G279" s="51" t="n"/>
      <c r="H279" s="51" t="n"/>
      <c r="I279" s="51" t="n"/>
      <c r="J279" s="51" t="n"/>
      <c r="K279" s="51" t="n"/>
      <c r="L279" s="52">
        <f>IF($B279="",0,IF($C279="HZ",1,IFERROR(INDEX('Value Streams &amp; Delivery Mode'!$D$17:$M$22,MATCH($D279,'Value Streams &amp; Delivery Mode'!$B$17:$B$22,0),($B279-1)*2+IF($C279="POD",1,2)),0)))</f>
        <v/>
      </c>
      <c r="M279" s="53">
        <f>IF($B279="",0,$K279*$L279)</f>
        <v/>
      </c>
      <c r="N279" s="54">
        <f>IF($B279="",0,IFERROR(INDEX('Rates &amp; Tables'!$C$61:$G$63,MATCH($I279,'Rates &amp; Tables'!$J$61:$J$63,0),MATCH($H279,'Rates &amp; Tables'!$C$60:$G$60,0)),0))</f>
        <v/>
      </c>
      <c r="O279" s="52">
        <f>IF($B279="",0,$M279*$N279)</f>
        <v/>
      </c>
      <c r="P279" s="49">
        <f>IF($B279="","",$B279&amp;"|"&amp;$G279&amp;"|"&amp;$J279)</f>
        <v/>
      </c>
    </row>
    <row r="280" hidden="1" ht="14.25" customHeight="1">
      <c r="B280" s="51" t="n"/>
      <c r="C280" s="51" t="n"/>
      <c r="D280" s="51" t="n"/>
      <c r="E280" s="51" t="n"/>
      <c r="F280" s="51" t="n"/>
      <c r="G280" s="51" t="n"/>
      <c r="H280" s="51" t="n"/>
      <c r="I280" s="51" t="n"/>
      <c r="J280" s="51" t="n"/>
      <c r="K280" s="51" t="n"/>
      <c r="L280" s="52">
        <f>IF($B280="",0,IF($C280="HZ",1,IFERROR(INDEX('Value Streams &amp; Delivery Mode'!$D$17:$M$22,MATCH($D280,'Value Streams &amp; Delivery Mode'!$B$17:$B$22,0),($B280-1)*2+IF($C280="POD",1,2)),0)))</f>
        <v/>
      </c>
      <c r="M280" s="53">
        <f>IF($B280="",0,$K280*$L280)</f>
        <v/>
      </c>
      <c r="N280" s="54">
        <f>IF($B280="",0,IFERROR(INDEX('Rates &amp; Tables'!$C$61:$G$63,MATCH($I280,'Rates &amp; Tables'!$J$61:$J$63,0),MATCH($H280,'Rates &amp; Tables'!$C$60:$G$60,0)),0))</f>
        <v/>
      </c>
      <c r="O280" s="52">
        <f>IF($B280="",0,$M280*$N280)</f>
        <v/>
      </c>
      <c r="P280" s="49">
        <f>IF($B280="","",$B280&amp;"|"&amp;$G280&amp;"|"&amp;$J280)</f>
        <v/>
      </c>
    </row>
    <row r="281" hidden="1" ht="14.25" customHeight="1">
      <c r="B281" s="51" t="n"/>
      <c r="C281" s="51" t="n"/>
      <c r="D281" s="51" t="n"/>
      <c r="E281" s="51" t="n"/>
      <c r="F281" s="51" t="n"/>
      <c r="G281" s="51" t="n"/>
      <c r="H281" s="51" t="n"/>
      <c r="I281" s="51" t="n"/>
      <c r="J281" s="51" t="n"/>
      <c r="K281" s="51" t="n"/>
      <c r="L281" s="52">
        <f>IF($B281="",0,IF($C281="HZ",1,IFERROR(INDEX('Value Streams &amp; Delivery Mode'!$D$17:$M$22,MATCH($D281,'Value Streams &amp; Delivery Mode'!$B$17:$B$22,0),($B281-1)*2+IF($C281="POD",1,2)),0)))</f>
        <v/>
      </c>
      <c r="M281" s="53">
        <f>IF($B281="",0,$K281*$L281)</f>
        <v/>
      </c>
      <c r="N281" s="54">
        <f>IF($B281="",0,IFERROR(INDEX('Rates &amp; Tables'!$C$61:$G$63,MATCH($I281,'Rates &amp; Tables'!$J$61:$J$63,0),MATCH($H281,'Rates &amp; Tables'!$C$60:$G$60,0)),0))</f>
        <v/>
      </c>
      <c r="O281" s="52">
        <f>IF($B281="",0,$M281*$N281)</f>
        <v/>
      </c>
      <c r="P281" s="49">
        <f>IF($B281="","",$B281&amp;"|"&amp;$G281&amp;"|"&amp;$J281)</f>
        <v/>
      </c>
    </row>
    <row r="282" hidden="1" ht="14.25" customHeight="1">
      <c r="B282" s="51" t="n"/>
      <c r="C282" s="51" t="n"/>
      <c r="D282" s="51" t="n"/>
      <c r="E282" s="51" t="n"/>
      <c r="F282" s="51" t="n"/>
      <c r="G282" s="51" t="n"/>
      <c r="H282" s="51" t="n"/>
      <c r="I282" s="51" t="n"/>
      <c r="J282" s="51" t="n"/>
      <c r="K282" s="51" t="n"/>
      <c r="L282" s="52">
        <f>IF($B282="",0,IF($C282="HZ",1,IFERROR(INDEX('Value Streams &amp; Delivery Mode'!$D$17:$M$22,MATCH($D282,'Value Streams &amp; Delivery Mode'!$B$17:$B$22,0),($B282-1)*2+IF($C282="POD",1,2)),0)))</f>
        <v/>
      </c>
      <c r="M282" s="53">
        <f>IF($B282="",0,$K282*$L282)</f>
        <v/>
      </c>
      <c r="N282" s="54">
        <f>IF($B282="",0,IFERROR(INDEX('Rates &amp; Tables'!$C$61:$G$63,MATCH($I282,'Rates &amp; Tables'!$J$61:$J$63,0),MATCH($H282,'Rates &amp; Tables'!$C$60:$G$60,0)),0))</f>
        <v/>
      </c>
      <c r="O282" s="52">
        <f>IF($B282="",0,$M282*$N282)</f>
        <v/>
      </c>
      <c r="P282" s="49">
        <f>IF($B282="","",$B282&amp;"|"&amp;$G282&amp;"|"&amp;$J282)</f>
        <v/>
      </c>
    </row>
    <row r="283" hidden="1" ht="14.25" customHeight="1">
      <c r="B283" s="51" t="n"/>
      <c r="C283" s="51" t="n"/>
      <c r="D283" s="51" t="n"/>
      <c r="E283" s="51" t="n"/>
      <c r="F283" s="51" t="n"/>
      <c r="G283" s="51" t="n"/>
      <c r="H283" s="51" t="n"/>
      <c r="I283" s="51" t="n"/>
      <c r="J283" s="51" t="n"/>
      <c r="K283" s="51" t="n"/>
      <c r="L283" s="52">
        <f>IF($B283="",0,IF($C283="HZ",1,IFERROR(INDEX('Value Streams &amp; Delivery Mode'!$D$17:$M$22,MATCH($D283,'Value Streams &amp; Delivery Mode'!$B$17:$B$22,0),($B283-1)*2+IF($C283="POD",1,2)),0)))</f>
        <v/>
      </c>
      <c r="M283" s="53">
        <f>IF($B283="",0,$K283*$L283)</f>
        <v/>
      </c>
      <c r="N283" s="54">
        <f>IF($B283="",0,IFERROR(INDEX('Rates &amp; Tables'!$C$61:$G$63,MATCH($I283,'Rates &amp; Tables'!$J$61:$J$63,0),MATCH($H283,'Rates &amp; Tables'!$C$60:$G$60,0)),0))</f>
        <v/>
      </c>
      <c r="O283" s="52">
        <f>IF($B283="",0,$M283*$N283)</f>
        <v/>
      </c>
      <c r="P283" s="49">
        <f>IF($B283="","",$B283&amp;"|"&amp;$G283&amp;"|"&amp;$J283)</f>
        <v/>
      </c>
    </row>
    <row r="284" hidden="1" ht="14.25" customHeight="1">
      <c r="B284" s="51" t="n"/>
      <c r="C284" s="51" t="n"/>
      <c r="D284" s="51" t="n"/>
      <c r="E284" s="51" t="n"/>
      <c r="F284" s="51" t="n"/>
      <c r="G284" s="51" t="n"/>
      <c r="H284" s="51" t="n"/>
      <c r="I284" s="51" t="n"/>
      <c r="J284" s="51" t="n"/>
      <c r="K284" s="51" t="n"/>
      <c r="L284" s="52">
        <f>IF($B284="",0,IF($C284="HZ",1,IFERROR(INDEX('Value Streams &amp; Delivery Mode'!$D$17:$M$22,MATCH($D284,'Value Streams &amp; Delivery Mode'!$B$17:$B$22,0),($B284-1)*2+IF($C284="POD",1,2)),0)))</f>
        <v/>
      </c>
      <c r="M284" s="53">
        <f>IF($B284="",0,$K284*$L284)</f>
        <v/>
      </c>
      <c r="N284" s="54">
        <f>IF($B284="",0,IFERROR(INDEX('Rates &amp; Tables'!$C$61:$G$63,MATCH($I284,'Rates &amp; Tables'!$J$61:$J$63,0),MATCH($H284,'Rates &amp; Tables'!$C$60:$G$60,0)),0))</f>
        <v/>
      </c>
      <c r="O284" s="52">
        <f>IF($B284="",0,$M284*$N284)</f>
        <v/>
      </c>
      <c r="P284" s="49">
        <f>IF($B284="","",$B284&amp;"|"&amp;$G284&amp;"|"&amp;$J284)</f>
        <v/>
      </c>
    </row>
    <row r="285" hidden="1" ht="14.25" customHeight="1">
      <c r="B285" s="51" t="n"/>
      <c r="C285" s="51" t="n"/>
      <c r="D285" s="51" t="n"/>
      <c r="E285" s="51" t="n"/>
      <c r="F285" s="51" t="n"/>
      <c r="G285" s="51" t="n"/>
      <c r="H285" s="51" t="n"/>
      <c r="I285" s="51" t="n"/>
      <c r="J285" s="51" t="n"/>
      <c r="K285" s="51" t="n"/>
      <c r="L285" s="52">
        <f>IF($B285="",0,IF($C285="HZ",1,IFERROR(INDEX('Value Streams &amp; Delivery Mode'!$D$17:$M$22,MATCH($D285,'Value Streams &amp; Delivery Mode'!$B$17:$B$22,0),($B285-1)*2+IF($C285="POD",1,2)),0)))</f>
        <v/>
      </c>
      <c r="M285" s="53">
        <f>IF($B285="",0,$K285*$L285)</f>
        <v/>
      </c>
      <c r="N285" s="54">
        <f>IF($B285="",0,IFERROR(INDEX('Rates &amp; Tables'!$C$61:$G$63,MATCH($I285,'Rates &amp; Tables'!$J$61:$J$63,0),MATCH($H285,'Rates &amp; Tables'!$C$60:$G$60,0)),0))</f>
        <v/>
      </c>
      <c r="O285" s="52">
        <f>IF($B285="",0,$M285*$N285)</f>
        <v/>
      </c>
      <c r="P285" s="49">
        <f>IF($B285="","",$B285&amp;"|"&amp;$G285&amp;"|"&amp;$J285)</f>
        <v/>
      </c>
    </row>
    <row r="286" hidden="1" ht="14.25" customHeight="1">
      <c r="B286" s="51" t="n"/>
      <c r="C286" s="51" t="n"/>
      <c r="D286" s="51" t="n"/>
      <c r="E286" s="51" t="n"/>
      <c r="F286" s="51" t="n"/>
      <c r="G286" s="51" t="n"/>
      <c r="H286" s="51" t="n"/>
      <c r="I286" s="51" t="n"/>
      <c r="J286" s="51" t="n"/>
      <c r="K286" s="51" t="n"/>
      <c r="L286" s="52">
        <f>IF($B286="",0,IF($C286="HZ",1,IFERROR(INDEX('Value Streams &amp; Delivery Mode'!$D$17:$M$22,MATCH($D286,'Value Streams &amp; Delivery Mode'!$B$17:$B$22,0),($B286-1)*2+IF($C286="POD",1,2)),0)))</f>
        <v/>
      </c>
      <c r="M286" s="53">
        <f>IF($B286="",0,$K286*$L286)</f>
        <v/>
      </c>
      <c r="N286" s="54">
        <f>IF($B286="",0,IFERROR(INDEX('Rates &amp; Tables'!$C$61:$G$63,MATCH($I286,'Rates &amp; Tables'!$J$61:$J$63,0),MATCH($H286,'Rates &amp; Tables'!$C$60:$G$60,0)),0))</f>
        <v/>
      </c>
      <c r="O286" s="52">
        <f>IF($B286="",0,$M286*$N286)</f>
        <v/>
      </c>
      <c r="P286" s="49">
        <f>IF($B286="","",$B286&amp;"|"&amp;$G286&amp;"|"&amp;$J286)</f>
        <v/>
      </c>
    </row>
    <row r="287" hidden="1" ht="14.25" customHeight="1">
      <c r="B287" s="51" t="n"/>
      <c r="C287" s="51" t="n"/>
      <c r="D287" s="51" t="n"/>
      <c r="E287" s="51" t="n"/>
      <c r="F287" s="51" t="n"/>
      <c r="G287" s="51" t="n"/>
      <c r="H287" s="51" t="n"/>
      <c r="I287" s="51" t="n"/>
      <c r="J287" s="51" t="n"/>
      <c r="K287" s="51" t="n"/>
      <c r="L287" s="52">
        <f>IF($B287="",0,IF($C287="HZ",1,IFERROR(INDEX('Value Streams &amp; Delivery Mode'!$D$17:$M$22,MATCH($D287,'Value Streams &amp; Delivery Mode'!$B$17:$B$22,0),($B287-1)*2+IF($C287="POD",1,2)),0)))</f>
        <v/>
      </c>
      <c r="M287" s="53">
        <f>IF($B287="",0,$K287*$L287)</f>
        <v/>
      </c>
      <c r="N287" s="54">
        <f>IF($B287="",0,IFERROR(INDEX('Rates &amp; Tables'!$C$61:$G$63,MATCH($I287,'Rates &amp; Tables'!$J$61:$J$63,0),MATCH($H287,'Rates &amp; Tables'!$C$60:$G$60,0)),0))</f>
        <v/>
      </c>
      <c r="O287" s="52">
        <f>IF($B287="",0,$M287*$N287)</f>
        <v/>
      </c>
      <c r="P287" s="49">
        <f>IF($B287="","",$B287&amp;"|"&amp;$G287&amp;"|"&amp;$J287)</f>
        <v/>
      </c>
    </row>
    <row r="288" hidden="1" ht="14.25" customHeight="1">
      <c r="B288" s="51" t="n"/>
      <c r="C288" s="51" t="n"/>
      <c r="D288" s="51" t="n"/>
      <c r="E288" s="51" t="n"/>
      <c r="F288" s="51" t="n"/>
      <c r="G288" s="51" t="n"/>
      <c r="H288" s="51" t="n"/>
      <c r="I288" s="51" t="n"/>
      <c r="J288" s="51" t="n"/>
      <c r="K288" s="51" t="n"/>
      <c r="L288" s="52">
        <f>IF($B288="",0,IF($C288="HZ",1,IFERROR(INDEX('Value Streams &amp; Delivery Mode'!$D$17:$M$22,MATCH($D288,'Value Streams &amp; Delivery Mode'!$B$17:$B$22,0),($B288-1)*2+IF($C288="POD",1,2)),0)))</f>
        <v/>
      </c>
      <c r="M288" s="53">
        <f>IF($B288="",0,$K288*$L288)</f>
        <v/>
      </c>
      <c r="N288" s="54">
        <f>IF($B288="",0,IFERROR(INDEX('Rates &amp; Tables'!$C$61:$G$63,MATCH($I288,'Rates &amp; Tables'!$J$61:$J$63,0),MATCH($H288,'Rates &amp; Tables'!$C$60:$G$60,0)),0))</f>
        <v/>
      </c>
      <c r="O288" s="52">
        <f>IF($B288="",0,$M288*$N288)</f>
        <v/>
      </c>
      <c r="P288" s="49">
        <f>IF($B288="","",$B288&amp;"|"&amp;$G288&amp;"|"&amp;$J288)</f>
        <v/>
      </c>
    </row>
    <row r="289" hidden="1" ht="14.25" customHeight="1">
      <c r="B289" s="51" t="n"/>
      <c r="C289" s="51" t="n"/>
      <c r="D289" s="51" t="n"/>
      <c r="E289" s="51" t="n"/>
      <c r="F289" s="51" t="n"/>
      <c r="G289" s="51" t="n"/>
      <c r="H289" s="51" t="n"/>
      <c r="I289" s="51" t="n"/>
      <c r="J289" s="51" t="n"/>
      <c r="K289" s="51" t="n"/>
      <c r="L289" s="52">
        <f>IF($B289="",0,IF($C289="HZ",1,IFERROR(INDEX('Value Streams &amp; Delivery Mode'!$D$17:$M$22,MATCH($D289,'Value Streams &amp; Delivery Mode'!$B$17:$B$22,0),($B289-1)*2+IF($C289="POD",1,2)),0)))</f>
        <v/>
      </c>
      <c r="M289" s="53">
        <f>IF($B289="",0,$K289*$L289)</f>
        <v/>
      </c>
      <c r="N289" s="54">
        <f>IF($B289="",0,IFERROR(INDEX('Rates &amp; Tables'!$C$61:$G$63,MATCH($I289,'Rates &amp; Tables'!$J$61:$J$63,0),MATCH($H289,'Rates &amp; Tables'!$C$60:$G$60,0)),0))</f>
        <v/>
      </c>
      <c r="O289" s="52">
        <f>IF($B289="",0,$M289*$N289)</f>
        <v/>
      </c>
      <c r="P289" s="49">
        <f>IF($B289="","",$B289&amp;"|"&amp;$G289&amp;"|"&amp;$J289)</f>
        <v/>
      </c>
    </row>
    <row r="290" hidden="1" ht="14.25" customHeight="1">
      <c r="B290" s="51" t="n"/>
      <c r="C290" s="51" t="n"/>
      <c r="D290" s="51" t="n"/>
      <c r="E290" s="51" t="n"/>
      <c r="F290" s="51" t="n"/>
      <c r="G290" s="51" t="n"/>
      <c r="H290" s="51" t="n"/>
      <c r="I290" s="51" t="n"/>
      <c r="J290" s="51" t="n"/>
      <c r="K290" s="51" t="n"/>
      <c r="L290" s="52">
        <f>IF($B290="",0,IF($C290="HZ",1,IFERROR(INDEX('Value Streams &amp; Delivery Mode'!$D$17:$M$22,MATCH($D290,'Value Streams &amp; Delivery Mode'!$B$17:$B$22,0),($B290-1)*2+IF($C290="POD",1,2)),0)))</f>
        <v/>
      </c>
      <c r="M290" s="53">
        <f>IF($B290="",0,$K290*$L290)</f>
        <v/>
      </c>
      <c r="N290" s="54">
        <f>IF($B290="",0,IFERROR(INDEX('Rates &amp; Tables'!$C$61:$G$63,MATCH($I290,'Rates &amp; Tables'!$J$61:$J$63,0),MATCH($H290,'Rates &amp; Tables'!$C$60:$G$60,0)),0))</f>
        <v/>
      </c>
      <c r="O290" s="52">
        <f>IF($B290="",0,$M290*$N290)</f>
        <v/>
      </c>
      <c r="P290" s="49">
        <f>IF($B290="","",$B290&amp;"|"&amp;$G290&amp;"|"&amp;$J290)</f>
        <v/>
      </c>
    </row>
    <row r="291" hidden="1" ht="14.25" customHeight="1">
      <c r="B291" s="51" t="n"/>
      <c r="C291" s="51" t="n"/>
      <c r="D291" s="51" t="n"/>
      <c r="E291" s="51" t="n"/>
      <c r="F291" s="51" t="n"/>
      <c r="G291" s="51" t="n"/>
      <c r="H291" s="51" t="n"/>
      <c r="I291" s="51" t="n"/>
      <c r="J291" s="51" t="n"/>
      <c r="K291" s="51" t="n"/>
      <c r="L291" s="52">
        <f>IF($B291="",0,IF($C291="HZ",1,IFERROR(INDEX('Value Streams &amp; Delivery Mode'!$D$17:$M$22,MATCH($D291,'Value Streams &amp; Delivery Mode'!$B$17:$B$22,0),($B291-1)*2+IF($C291="POD",1,2)),0)))</f>
        <v/>
      </c>
      <c r="M291" s="53">
        <f>IF($B291="",0,$K291*$L291)</f>
        <v/>
      </c>
      <c r="N291" s="54">
        <f>IF($B291="",0,IFERROR(INDEX('Rates &amp; Tables'!$C$61:$G$63,MATCH($I291,'Rates &amp; Tables'!$J$61:$J$63,0),MATCH($H291,'Rates &amp; Tables'!$C$60:$G$60,0)),0))</f>
        <v/>
      </c>
      <c r="O291" s="52">
        <f>IF($B291="",0,$M291*$N291)</f>
        <v/>
      </c>
      <c r="P291" s="49">
        <f>IF($B291="","",$B291&amp;"|"&amp;$G291&amp;"|"&amp;$J291)</f>
        <v/>
      </c>
    </row>
    <row r="292" hidden="1" ht="14.25" customHeight="1">
      <c r="B292" s="51" t="n"/>
      <c r="C292" s="51" t="n"/>
      <c r="D292" s="51" t="n"/>
      <c r="E292" s="51" t="n"/>
      <c r="F292" s="51" t="n"/>
      <c r="G292" s="51" t="n"/>
      <c r="H292" s="51" t="n"/>
      <c r="I292" s="51" t="n"/>
      <c r="J292" s="51" t="n"/>
      <c r="K292" s="51" t="n"/>
      <c r="L292" s="52">
        <f>IF($B292="",0,IF($C292="HZ",1,IFERROR(INDEX('Value Streams &amp; Delivery Mode'!$D$17:$M$22,MATCH($D292,'Value Streams &amp; Delivery Mode'!$B$17:$B$22,0),($B292-1)*2+IF($C292="POD",1,2)),0)))</f>
        <v/>
      </c>
      <c r="M292" s="53">
        <f>IF($B292="",0,$K292*$L292)</f>
        <v/>
      </c>
      <c r="N292" s="54">
        <f>IF($B292="",0,IFERROR(INDEX('Rates &amp; Tables'!$C$61:$G$63,MATCH($I292,'Rates &amp; Tables'!$J$61:$J$63,0),MATCH($H292,'Rates &amp; Tables'!$C$60:$G$60,0)),0))</f>
        <v/>
      </c>
      <c r="O292" s="52">
        <f>IF($B292="",0,$M292*$N292)</f>
        <v/>
      </c>
      <c r="P292" s="49">
        <f>IF($B292="","",$B292&amp;"|"&amp;$G292&amp;"|"&amp;$J292)</f>
        <v/>
      </c>
    </row>
    <row r="293" hidden="1" ht="14.25" customHeight="1">
      <c r="B293" s="51" t="n"/>
      <c r="C293" s="51" t="n"/>
      <c r="D293" s="51" t="n"/>
      <c r="E293" s="51" t="n"/>
      <c r="F293" s="51" t="n"/>
      <c r="G293" s="51" t="n"/>
      <c r="H293" s="51" t="n"/>
      <c r="I293" s="51" t="n"/>
      <c r="J293" s="51" t="n"/>
      <c r="K293" s="51" t="n"/>
      <c r="L293" s="52">
        <f>IF($B293="",0,IF($C293="HZ",1,IFERROR(INDEX('Value Streams &amp; Delivery Mode'!$D$17:$M$22,MATCH($D293,'Value Streams &amp; Delivery Mode'!$B$17:$B$22,0),($B293-1)*2+IF($C293="POD",1,2)),0)))</f>
        <v/>
      </c>
      <c r="M293" s="53">
        <f>IF($B293="",0,$K293*$L293)</f>
        <v/>
      </c>
      <c r="N293" s="54">
        <f>IF($B293="",0,IFERROR(INDEX('Rates &amp; Tables'!$C$61:$G$63,MATCH($I293,'Rates &amp; Tables'!$J$61:$J$63,0),MATCH($H293,'Rates &amp; Tables'!$C$60:$G$60,0)),0))</f>
        <v/>
      </c>
      <c r="O293" s="52">
        <f>IF($B293="",0,$M293*$N293)</f>
        <v/>
      </c>
      <c r="P293" s="49">
        <f>IF($B293="","",$B293&amp;"|"&amp;$G293&amp;"|"&amp;$J293)</f>
        <v/>
      </c>
    </row>
    <row r="294" hidden="1" ht="14.25" customHeight="1">
      <c r="B294" s="51" t="n"/>
      <c r="C294" s="51" t="n"/>
      <c r="D294" s="51" t="n"/>
      <c r="E294" s="51" t="n"/>
      <c r="F294" s="51" t="n"/>
      <c r="G294" s="51" t="n"/>
      <c r="H294" s="51" t="n"/>
      <c r="I294" s="51" t="n"/>
      <c r="J294" s="51" t="n"/>
      <c r="K294" s="51" t="n"/>
      <c r="L294" s="52">
        <f>IF($B294="",0,IF($C294="HZ",1,IFERROR(INDEX('Value Streams &amp; Delivery Mode'!$D$17:$M$22,MATCH($D294,'Value Streams &amp; Delivery Mode'!$B$17:$B$22,0),($B294-1)*2+IF($C294="POD",1,2)),0)))</f>
        <v/>
      </c>
      <c r="M294" s="53">
        <f>IF($B294="",0,$K294*$L294)</f>
        <v/>
      </c>
      <c r="N294" s="54">
        <f>IF($B294="",0,IFERROR(INDEX('Rates &amp; Tables'!$C$61:$G$63,MATCH($I294,'Rates &amp; Tables'!$J$61:$J$63,0),MATCH($H294,'Rates &amp; Tables'!$C$60:$G$60,0)),0))</f>
        <v/>
      </c>
      <c r="O294" s="52">
        <f>IF($B294="",0,$M294*$N294)</f>
        <v/>
      </c>
      <c r="P294" s="49">
        <f>IF($B294="","",$B294&amp;"|"&amp;$G294&amp;"|"&amp;$J294)</f>
        <v/>
      </c>
    </row>
    <row r="295" hidden="1" ht="14.25" customHeight="1">
      <c r="B295" s="51" t="n"/>
      <c r="C295" s="51" t="n"/>
      <c r="D295" s="51" t="n"/>
      <c r="E295" s="51" t="n"/>
      <c r="F295" s="51" t="n"/>
      <c r="G295" s="51" t="n"/>
      <c r="H295" s="51" t="n"/>
      <c r="I295" s="51" t="n"/>
      <c r="J295" s="51" t="n"/>
      <c r="K295" s="51" t="n"/>
      <c r="L295" s="52">
        <f>IF($B295="",0,IF($C295="HZ",1,IFERROR(INDEX('Value Streams &amp; Delivery Mode'!$D$17:$M$22,MATCH($D295,'Value Streams &amp; Delivery Mode'!$B$17:$B$22,0),($B295-1)*2+IF($C295="POD",1,2)),0)))</f>
        <v/>
      </c>
      <c r="M295" s="53">
        <f>IF($B295="",0,$K295*$L295)</f>
        <v/>
      </c>
      <c r="N295" s="54">
        <f>IF($B295="",0,IFERROR(INDEX('Rates &amp; Tables'!$C$61:$G$63,MATCH($I295,'Rates &amp; Tables'!$J$61:$J$63,0),MATCH($H295,'Rates &amp; Tables'!$C$60:$G$60,0)),0))</f>
        <v/>
      </c>
      <c r="O295" s="52">
        <f>IF($B295="",0,$M295*$N295)</f>
        <v/>
      </c>
      <c r="P295" s="49">
        <f>IF($B295="","",$B295&amp;"|"&amp;$G295&amp;"|"&amp;$J295)</f>
        <v/>
      </c>
    </row>
    <row r="296" hidden="1" ht="14.25" customHeight="1">
      <c r="B296" s="51" t="n"/>
      <c r="C296" s="51" t="n"/>
      <c r="D296" s="51" t="n"/>
      <c r="E296" s="51" t="n"/>
      <c r="F296" s="51" t="n"/>
      <c r="G296" s="51" t="n"/>
      <c r="H296" s="51" t="n"/>
      <c r="I296" s="51" t="n"/>
      <c r="J296" s="51" t="n"/>
      <c r="K296" s="51" t="n"/>
      <c r="L296" s="52">
        <f>IF($B296="",0,IF($C296="HZ",1,IFERROR(INDEX('Value Streams &amp; Delivery Mode'!$D$17:$M$22,MATCH($D296,'Value Streams &amp; Delivery Mode'!$B$17:$B$22,0),($B296-1)*2+IF($C296="POD",1,2)),0)))</f>
        <v/>
      </c>
      <c r="M296" s="53">
        <f>IF($B296="",0,$K296*$L296)</f>
        <v/>
      </c>
      <c r="N296" s="54">
        <f>IF($B296="",0,IFERROR(INDEX('Rates &amp; Tables'!$C$61:$G$63,MATCH($I296,'Rates &amp; Tables'!$J$61:$J$63,0),MATCH($H296,'Rates &amp; Tables'!$C$60:$G$60,0)),0))</f>
        <v/>
      </c>
      <c r="O296" s="52">
        <f>IF($B296="",0,$M296*$N296)</f>
        <v/>
      </c>
      <c r="P296" s="49">
        <f>IF($B296="","",$B296&amp;"|"&amp;$G296&amp;"|"&amp;$J296)</f>
        <v/>
      </c>
    </row>
    <row r="297" hidden="1" ht="14.25" customHeight="1">
      <c r="B297" s="51" t="n"/>
      <c r="C297" s="51" t="n"/>
      <c r="D297" s="51" t="n"/>
      <c r="E297" s="51" t="n"/>
      <c r="F297" s="51" t="n"/>
      <c r="G297" s="51" t="n"/>
      <c r="H297" s="51" t="n"/>
      <c r="I297" s="51" t="n"/>
      <c r="J297" s="51" t="n"/>
      <c r="K297" s="51" t="n"/>
      <c r="L297" s="52">
        <f>IF($B297="",0,IF($C297="HZ",1,IFERROR(INDEX('Value Streams &amp; Delivery Mode'!$D$17:$M$22,MATCH($D297,'Value Streams &amp; Delivery Mode'!$B$17:$B$22,0),($B297-1)*2+IF($C297="POD",1,2)),0)))</f>
        <v/>
      </c>
      <c r="M297" s="53">
        <f>IF($B297="",0,$K297*$L297)</f>
        <v/>
      </c>
      <c r="N297" s="54">
        <f>IF($B297="",0,IFERROR(INDEX('Rates &amp; Tables'!$C$61:$G$63,MATCH($I297,'Rates &amp; Tables'!$J$61:$J$63,0),MATCH($H297,'Rates &amp; Tables'!$C$60:$G$60,0)),0))</f>
        <v/>
      </c>
      <c r="O297" s="52">
        <f>IF($B297="",0,$M297*$N297)</f>
        <v/>
      </c>
      <c r="P297" s="49">
        <f>IF($B297="","",$B297&amp;"|"&amp;$G297&amp;"|"&amp;$J297)</f>
        <v/>
      </c>
    </row>
    <row r="298" hidden="1" ht="14.25" customHeight="1">
      <c r="B298" s="51" t="n"/>
      <c r="C298" s="51" t="n"/>
      <c r="D298" s="51" t="n"/>
      <c r="E298" s="51" t="n"/>
      <c r="F298" s="51" t="n"/>
      <c r="G298" s="51" t="n"/>
      <c r="H298" s="51" t="n"/>
      <c r="I298" s="51" t="n"/>
      <c r="J298" s="51" t="n"/>
      <c r="K298" s="51" t="n"/>
      <c r="L298" s="52">
        <f>IF($B298="",0,IF($C298="HZ",1,IFERROR(INDEX('Value Streams &amp; Delivery Mode'!$D$17:$M$22,MATCH($D298,'Value Streams &amp; Delivery Mode'!$B$17:$B$22,0),($B298-1)*2+IF($C298="POD",1,2)),0)))</f>
        <v/>
      </c>
      <c r="M298" s="53">
        <f>IF($B298="",0,$K298*$L298)</f>
        <v/>
      </c>
      <c r="N298" s="54">
        <f>IF($B298="",0,IFERROR(INDEX('Rates &amp; Tables'!$C$61:$G$63,MATCH($I298,'Rates &amp; Tables'!$J$61:$J$63,0),MATCH($H298,'Rates &amp; Tables'!$C$60:$G$60,0)),0))</f>
        <v/>
      </c>
      <c r="O298" s="52">
        <f>IF($B298="",0,$M298*$N298)</f>
        <v/>
      </c>
      <c r="P298" s="49">
        <f>IF($B298="","",$B298&amp;"|"&amp;$G298&amp;"|"&amp;$J298)</f>
        <v/>
      </c>
    </row>
    <row r="299" hidden="1" ht="14.25" customHeight="1">
      <c r="B299" s="51" t="n"/>
      <c r="C299" s="51" t="n"/>
      <c r="D299" s="51" t="n"/>
      <c r="E299" s="51" t="n"/>
      <c r="F299" s="51" t="n"/>
      <c r="G299" s="51" t="n"/>
      <c r="H299" s="51" t="n"/>
      <c r="I299" s="51" t="n"/>
      <c r="J299" s="51" t="n"/>
      <c r="K299" s="51" t="n"/>
      <c r="L299" s="52">
        <f>IF($B299="",0,IF($C299="HZ",1,IFERROR(INDEX('Value Streams &amp; Delivery Mode'!$D$17:$M$22,MATCH($D299,'Value Streams &amp; Delivery Mode'!$B$17:$B$22,0),($B299-1)*2+IF($C299="POD",1,2)),0)))</f>
        <v/>
      </c>
      <c r="M299" s="53">
        <f>IF($B299="",0,$K299*$L299)</f>
        <v/>
      </c>
      <c r="N299" s="54">
        <f>IF($B299="",0,IFERROR(INDEX('Rates &amp; Tables'!$C$61:$G$63,MATCH($I299,'Rates &amp; Tables'!$J$61:$J$63,0),MATCH($H299,'Rates &amp; Tables'!$C$60:$G$60,0)),0))</f>
        <v/>
      </c>
      <c r="O299" s="52">
        <f>IF($B299="",0,$M299*$N299)</f>
        <v/>
      </c>
      <c r="P299" s="49">
        <f>IF($B299="","",$B299&amp;"|"&amp;$G299&amp;"|"&amp;$J299)</f>
        <v/>
      </c>
    </row>
    <row r="300" hidden="1" ht="14.25" customHeight="1">
      <c r="B300" s="51" t="n"/>
      <c r="C300" s="51" t="n"/>
      <c r="D300" s="51" t="n"/>
      <c r="E300" s="51" t="n"/>
      <c r="F300" s="51" t="n"/>
      <c r="G300" s="51" t="n"/>
      <c r="H300" s="51" t="n"/>
      <c r="I300" s="51" t="n"/>
      <c r="J300" s="51" t="n"/>
      <c r="K300" s="51" t="n"/>
      <c r="L300" s="52">
        <f>IF($B300="",0,IF($C300="HZ",1,IFERROR(INDEX('Value Streams &amp; Delivery Mode'!$D$17:$M$22,MATCH($D300,'Value Streams &amp; Delivery Mode'!$B$17:$B$22,0),($B300-1)*2+IF($C300="POD",1,2)),0)))</f>
        <v/>
      </c>
      <c r="M300" s="53">
        <f>IF($B300="",0,$K300*$L300)</f>
        <v/>
      </c>
      <c r="N300" s="54">
        <f>IF($B300="",0,IFERROR(INDEX('Rates &amp; Tables'!$C$61:$G$63,MATCH($I300,'Rates &amp; Tables'!$J$61:$J$63,0),MATCH($H300,'Rates &amp; Tables'!$C$60:$G$60,0)),0))</f>
        <v/>
      </c>
      <c r="O300" s="52">
        <f>IF($B300="",0,$M300*$N300)</f>
        <v/>
      </c>
      <c r="P300" s="49">
        <f>IF($B300="","",$B300&amp;"|"&amp;$G300&amp;"|"&amp;$J300)</f>
        <v/>
      </c>
    </row>
    <row r="301" hidden="1" ht="14.25" customHeight="1">
      <c r="B301" s="51" t="n"/>
      <c r="C301" s="51" t="n"/>
      <c r="D301" s="51" t="n"/>
      <c r="E301" s="51" t="n"/>
      <c r="F301" s="51" t="n"/>
      <c r="G301" s="51" t="n"/>
      <c r="H301" s="51" t="n"/>
      <c r="I301" s="51" t="n"/>
      <c r="J301" s="51" t="n"/>
      <c r="K301" s="51" t="n"/>
      <c r="L301" s="52">
        <f>IF($B301="",0,IF($C301="HZ",1,IFERROR(INDEX('Value Streams &amp; Delivery Mode'!$D$17:$M$22,MATCH($D301,'Value Streams &amp; Delivery Mode'!$B$17:$B$22,0),($B301-1)*2+IF($C301="POD",1,2)),0)))</f>
        <v/>
      </c>
      <c r="M301" s="53">
        <f>IF($B301="",0,$K301*$L301)</f>
        <v/>
      </c>
      <c r="N301" s="54">
        <f>IF($B301="",0,IFERROR(INDEX('Rates &amp; Tables'!$C$61:$G$63,MATCH($I301,'Rates &amp; Tables'!$J$61:$J$63,0),MATCH($H301,'Rates &amp; Tables'!$C$60:$G$60,0)),0))</f>
        <v/>
      </c>
      <c r="O301" s="52">
        <f>IF($B301="",0,$M301*$N301)</f>
        <v/>
      </c>
      <c r="P301" s="49">
        <f>IF($B301="","",$B301&amp;"|"&amp;$G301&amp;"|"&amp;$J301)</f>
        <v/>
      </c>
    </row>
    <row r="302" hidden="1" ht="14.25" customHeight="1">
      <c r="B302" s="51" t="n"/>
      <c r="C302" s="51" t="n"/>
      <c r="D302" s="51" t="n"/>
      <c r="E302" s="51" t="n"/>
      <c r="F302" s="51" t="n"/>
      <c r="G302" s="51" t="n"/>
      <c r="H302" s="51" t="n"/>
      <c r="I302" s="51" t="n"/>
      <c r="J302" s="51" t="n"/>
      <c r="K302" s="51" t="n"/>
      <c r="L302" s="52">
        <f>IF($B302="",0,IF($C302="HZ",1,IFERROR(INDEX('Value Streams &amp; Delivery Mode'!$D$17:$M$22,MATCH($D302,'Value Streams &amp; Delivery Mode'!$B$17:$B$22,0),($B302-1)*2+IF($C302="POD",1,2)),0)))</f>
        <v/>
      </c>
      <c r="M302" s="53">
        <f>IF($B302="",0,$K302*$L302)</f>
        <v/>
      </c>
      <c r="N302" s="54">
        <f>IF($B302="",0,IFERROR(INDEX('Rates &amp; Tables'!$C$61:$G$63,MATCH($I302,'Rates &amp; Tables'!$J$61:$J$63,0),MATCH($H302,'Rates &amp; Tables'!$C$60:$G$60,0)),0))</f>
        <v/>
      </c>
      <c r="O302" s="52">
        <f>IF($B302="",0,$M302*$N302)</f>
        <v/>
      </c>
      <c r="P302" s="49">
        <f>IF($B302="","",$B302&amp;"|"&amp;$G302&amp;"|"&amp;$J302)</f>
        <v/>
      </c>
    </row>
    <row r="303" hidden="1" ht="14.25" customHeight="1">
      <c r="B303" s="51" t="n"/>
      <c r="C303" s="51" t="n"/>
      <c r="D303" s="51" t="n"/>
      <c r="E303" s="51" t="n"/>
      <c r="F303" s="51" t="n"/>
      <c r="G303" s="51" t="n"/>
      <c r="H303" s="51" t="n"/>
      <c r="I303" s="51" t="n"/>
      <c r="J303" s="51" t="n"/>
      <c r="K303" s="51" t="n"/>
      <c r="L303" s="52">
        <f>IF($B303="",0,IF($C303="HZ",1,IFERROR(INDEX('Value Streams &amp; Delivery Mode'!$D$17:$M$22,MATCH($D303,'Value Streams &amp; Delivery Mode'!$B$17:$B$22,0),($B303-1)*2+IF($C303="POD",1,2)),0)))</f>
        <v/>
      </c>
      <c r="M303" s="53">
        <f>IF($B303="",0,$K303*$L303)</f>
        <v/>
      </c>
      <c r="N303" s="54">
        <f>IF($B303="",0,IFERROR(INDEX('Rates &amp; Tables'!$C$61:$G$63,MATCH($I303,'Rates &amp; Tables'!$J$61:$J$63,0),MATCH($H303,'Rates &amp; Tables'!$C$60:$G$60,0)),0))</f>
        <v/>
      </c>
      <c r="O303" s="52">
        <f>IF($B303="",0,$M303*$N303)</f>
        <v/>
      </c>
      <c r="P303" s="49">
        <f>IF($B303="","",$B303&amp;"|"&amp;$G303&amp;"|"&amp;$J303)</f>
        <v/>
      </c>
    </row>
    <row r="304" hidden="1" ht="14.25" customHeight="1">
      <c r="B304" s="51" t="n"/>
      <c r="C304" s="51" t="n"/>
      <c r="D304" s="51" t="n"/>
      <c r="E304" s="51" t="n"/>
      <c r="F304" s="51" t="n"/>
      <c r="G304" s="51" t="n"/>
      <c r="H304" s="51" t="n"/>
      <c r="I304" s="51" t="n"/>
      <c r="J304" s="51" t="n"/>
      <c r="K304" s="51" t="n"/>
      <c r="L304" s="52">
        <f>IF($B304="",0,IF($C304="HZ",1,IFERROR(INDEX('Value Streams &amp; Delivery Mode'!$D$17:$M$22,MATCH($D304,'Value Streams &amp; Delivery Mode'!$B$17:$B$22,0),($B304-1)*2+IF($C304="POD",1,2)),0)))</f>
        <v/>
      </c>
      <c r="M304" s="53">
        <f>IF($B304="",0,$K304*$L304)</f>
        <v/>
      </c>
      <c r="N304" s="54">
        <f>IF($B304="",0,IFERROR(INDEX('Rates &amp; Tables'!$C$61:$G$63,MATCH($I304,'Rates &amp; Tables'!$J$61:$J$63,0),MATCH($H304,'Rates &amp; Tables'!$C$60:$G$60,0)),0))</f>
        <v/>
      </c>
      <c r="O304" s="52">
        <f>IF($B304="",0,$M304*$N304)</f>
        <v/>
      </c>
      <c r="P304" s="49">
        <f>IF($B304="","",$B304&amp;"|"&amp;$G304&amp;"|"&amp;$J304)</f>
        <v/>
      </c>
    </row>
    <row r="305" hidden="1" ht="14.25" customHeight="1">
      <c r="B305" s="51" t="n"/>
      <c r="C305" s="51" t="n"/>
      <c r="D305" s="51" t="n"/>
      <c r="E305" s="51" t="n"/>
      <c r="F305" s="51" t="n"/>
      <c r="G305" s="51" t="n"/>
      <c r="H305" s="51" t="n"/>
      <c r="I305" s="51" t="n"/>
      <c r="J305" s="51" t="n"/>
      <c r="K305" s="51" t="n"/>
      <c r="L305" s="52">
        <f>IF($B305="",0,IF($C305="HZ",1,IFERROR(INDEX('Value Streams &amp; Delivery Mode'!$D$17:$M$22,MATCH($D305,'Value Streams &amp; Delivery Mode'!$B$17:$B$22,0),($B305-1)*2+IF($C305="POD",1,2)),0)))</f>
        <v/>
      </c>
      <c r="M305" s="53">
        <f>IF($B305="",0,$K305*$L305)</f>
        <v/>
      </c>
      <c r="N305" s="54">
        <f>IF($B305="",0,IFERROR(INDEX('Rates &amp; Tables'!$C$61:$G$63,MATCH($I305,'Rates &amp; Tables'!$J$61:$J$63,0),MATCH($H305,'Rates &amp; Tables'!$C$60:$G$60,0)),0))</f>
        <v/>
      </c>
      <c r="O305" s="52">
        <f>IF($B305="",0,$M305*$N305)</f>
        <v/>
      </c>
      <c r="P305" s="49">
        <f>IF($B305="","",$B305&amp;"|"&amp;$G305&amp;"|"&amp;$J305)</f>
        <v/>
      </c>
    </row>
    <row r="306" hidden="1" ht="14.25" customHeight="1">
      <c r="B306" s="51" t="n"/>
      <c r="C306" s="51" t="n"/>
      <c r="D306" s="51" t="n"/>
      <c r="E306" s="51" t="n"/>
      <c r="F306" s="51" t="n"/>
      <c r="G306" s="51" t="n"/>
      <c r="H306" s="51" t="n"/>
      <c r="I306" s="51" t="n"/>
      <c r="J306" s="51" t="n"/>
      <c r="K306" s="51" t="n"/>
      <c r="L306" s="52">
        <f>IF($B306="",0,IF($C306="HZ",1,IFERROR(INDEX('Value Streams &amp; Delivery Mode'!$D$17:$M$22,MATCH($D306,'Value Streams &amp; Delivery Mode'!$B$17:$B$22,0),($B306-1)*2+IF($C306="POD",1,2)),0)))</f>
        <v/>
      </c>
      <c r="M306" s="53">
        <f>IF($B306="",0,$K306*$L306)</f>
        <v/>
      </c>
      <c r="N306" s="54">
        <f>IF($B306="",0,IFERROR(INDEX('Rates &amp; Tables'!$C$61:$G$63,MATCH($I306,'Rates &amp; Tables'!$J$61:$J$63,0),MATCH($H306,'Rates &amp; Tables'!$C$60:$G$60,0)),0))</f>
        <v/>
      </c>
      <c r="O306" s="52">
        <f>IF($B306="",0,$M306*$N306)</f>
        <v/>
      </c>
      <c r="P306" s="49">
        <f>IF($B306="","",$B306&amp;"|"&amp;$G306&amp;"|"&amp;$J306)</f>
        <v/>
      </c>
    </row>
    <row r="307" hidden="1" ht="14.25" customHeight="1">
      <c r="B307" s="51" t="n"/>
      <c r="C307" s="51" t="n"/>
      <c r="D307" s="51" t="n"/>
      <c r="E307" s="51" t="n"/>
      <c r="F307" s="51" t="n"/>
      <c r="G307" s="51" t="n"/>
      <c r="H307" s="51" t="n"/>
      <c r="I307" s="51" t="n"/>
      <c r="J307" s="51" t="n"/>
      <c r="K307" s="51" t="n"/>
      <c r="L307" s="52">
        <f>IF($B307="",0,IF($C307="HZ",1,IFERROR(INDEX('Value Streams &amp; Delivery Mode'!$D$17:$M$22,MATCH($D307,'Value Streams &amp; Delivery Mode'!$B$17:$B$22,0),($B307-1)*2+IF($C307="POD",1,2)),0)))</f>
        <v/>
      </c>
      <c r="M307" s="53">
        <f>IF($B307="",0,$K307*$L307)</f>
        <v/>
      </c>
      <c r="N307" s="54">
        <f>IF($B307="",0,IFERROR(INDEX('Rates &amp; Tables'!$C$61:$G$63,MATCH($I307,'Rates &amp; Tables'!$J$61:$J$63,0),MATCH($H307,'Rates &amp; Tables'!$C$60:$G$60,0)),0))</f>
        <v/>
      </c>
      <c r="O307" s="52">
        <f>IF($B307="",0,$M307*$N307)</f>
        <v/>
      </c>
      <c r="P307" s="49">
        <f>IF($B307="","",$B307&amp;"|"&amp;$G307&amp;"|"&amp;$J307)</f>
        <v/>
      </c>
    </row>
    <row r="308" hidden="1" ht="14.25" customHeight="1">
      <c r="B308" s="51" t="n"/>
      <c r="C308" s="51" t="n"/>
      <c r="D308" s="51" t="n"/>
      <c r="E308" s="51" t="n"/>
      <c r="F308" s="51" t="n"/>
      <c r="G308" s="51" t="n"/>
      <c r="H308" s="51" t="n"/>
      <c r="I308" s="51" t="n"/>
      <c r="J308" s="51" t="n"/>
      <c r="K308" s="51" t="n"/>
      <c r="L308" s="52">
        <f>IF($B308="",0,IF($C308="HZ",1,IFERROR(INDEX('Value Streams &amp; Delivery Mode'!$D$17:$M$22,MATCH($D308,'Value Streams &amp; Delivery Mode'!$B$17:$B$22,0),($B308-1)*2+IF($C308="POD",1,2)),0)))</f>
        <v/>
      </c>
      <c r="M308" s="53">
        <f>IF($B308="",0,$K308*$L308)</f>
        <v/>
      </c>
      <c r="N308" s="54">
        <f>IF($B308="",0,IFERROR(INDEX('Rates &amp; Tables'!$C$61:$G$63,MATCH($I308,'Rates &amp; Tables'!$J$61:$J$63,0),MATCH($H308,'Rates &amp; Tables'!$C$60:$G$60,0)),0))</f>
        <v/>
      </c>
      <c r="O308" s="52">
        <f>IF($B308="",0,$M308*$N308)</f>
        <v/>
      </c>
      <c r="P308" s="49">
        <f>IF($B308="","",$B308&amp;"|"&amp;$G308&amp;"|"&amp;$J308)</f>
        <v/>
      </c>
    </row>
    <row r="309" hidden="1" ht="14.25" customHeight="1">
      <c r="B309" s="51" t="n"/>
      <c r="C309" s="51" t="n"/>
      <c r="D309" s="51" t="n"/>
      <c r="E309" s="51" t="n"/>
      <c r="F309" s="51" t="n"/>
      <c r="G309" s="51" t="n"/>
      <c r="H309" s="51" t="n"/>
      <c r="I309" s="51" t="n"/>
      <c r="J309" s="51" t="n"/>
      <c r="K309" s="51" t="n"/>
      <c r="L309" s="52">
        <f>IF($B309="",0,IF($C309="HZ",1,IFERROR(INDEX('Value Streams &amp; Delivery Mode'!$D$17:$M$22,MATCH($D309,'Value Streams &amp; Delivery Mode'!$B$17:$B$22,0),($B309-1)*2+IF($C309="POD",1,2)),0)))</f>
        <v/>
      </c>
      <c r="M309" s="53">
        <f>IF($B309="",0,$K309*$L309)</f>
        <v/>
      </c>
      <c r="N309" s="54">
        <f>IF($B309="",0,IFERROR(INDEX('Rates &amp; Tables'!$C$61:$G$63,MATCH($I309,'Rates &amp; Tables'!$J$61:$J$63,0),MATCH($H309,'Rates &amp; Tables'!$C$60:$G$60,0)),0))</f>
        <v/>
      </c>
      <c r="O309" s="52">
        <f>IF($B309="",0,$M309*$N309)</f>
        <v/>
      </c>
      <c r="P309" s="49">
        <f>IF($B309="","",$B309&amp;"|"&amp;$G309&amp;"|"&amp;$J309)</f>
        <v/>
      </c>
    </row>
    <row r="310" hidden="1" ht="14.25" customHeight="1">
      <c r="B310" s="51" t="n"/>
      <c r="C310" s="51" t="n"/>
      <c r="D310" s="51" t="n"/>
      <c r="E310" s="51" t="n"/>
      <c r="F310" s="51" t="n"/>
      <c r="G310" s="51" t="n"/>
      <c r="H310" s="51" t="n"/>
      <c r="I310" s="51" t="n"/>
      <c r="J310" s="51" t="n"/>
      <c r="K310" s="51" t="n"/>
      <c r="L310" s="52">
        <f>IF($B310="",0,IF($C310="HZ",1,IFERROR(INDEX('Value Streams &amp; Delivery Mode'!$D$17:$M$22,MATCH($D310,'Value Streams &amp; Delivery Mode'!$B$17:$B$22,0),($B310-1)*2+IF($C310="POD",1,2)),0)))</f>
        <v/>
      </c>
      <c r="M310" s="53">
        <f>IF($B310="",0,$K310*$L310)</f>
        <v/>
      </c>
      <c r="N310" s="54">
        <f>IF($B310="",0,IFERROR(INDEX('Rates &amp; Tables'!$C$61:$G$63,MATCH($I310,'Rates &amp; Tables'!$J$61:$J$63,0),MATCH($H310,'Rates &amp; Tables'!$C$60:$G$60,0)),0))</f>
        <v/>
      </c>
      <c r="O310" s="52">
        <f>IF($B310="",0,$M310*$N310)</f>
        <v/>
      </c>
      <c r="P310" s="49">
        <f>IF($B310="","",$B310&amp;"|"&amp;$G310&amp;"|"&amp;$J310)</f>
        <v/>
      </c>
    </row>
    <row r="311" hidden="1" ht="14.25" customHeight="1">
      <c r="B311" s="51" t="n"/>
      <c r="C311" s="51" t="n"/>
      <c r="D311" s="51" t="n"/>
      <c r="E311" s="51" t="n"/>
      <c r="F311" s="51" t="n"/>
      <c r="G311" s="51" t="n"/>
      <c r="H311" s="51" t="n"/>
      <c r="I311" s="51" t="n"/>
      <c r="J311" s="51" t="n"/>
      <c r="K311" s="51" t="n"/>
      <c r="L311" s="52">
        <f>IF($B311="",0,IF($C311="HZ",1,IFERROR(INDEX('Value Streams &amp; Delivery Mode'!$D$17:$M$22,MATCH($D311,'Value Streams &amp; Delivery Mode'!$B$17:$B$22,0),($B311-1)*2+IF($C311="POD",1,2)),0)))</f>
        <v/>
      </c>
      <c r="M311" s="53">
        <f>IF($B311="",0,$K311*$L311)</f>
        <v/>
      </c>
      <c r="N311" s="54">
        <f>IF($B311="",0,IFERROR(INDEX('Rates &amp; Tables'!$C$61:$G$63,MATCH($I311,'Rates &amp; Tables'!$J$61:$J$63,0),MATCH($H311,'Rates &amp; Tables'!$C$60:$G$60,0)),0))</f>
        <v/>
      </c>
      <c r="O311" s="52">
        <f>IF($B311="",0,$M311*$N311)</f>
        <v/>
      </c>
      <c r="P311" s="49">
        <f>IF($B311="","",$B311&amp;"|"&amp;$G311&amp;"|"&amp;$J311)</f>
        <v/>
      </c>
    </row>
    <row r="312" hidden="1" ht="14.25" customHeight="1">
      <c r="B312" s="51" t="n"/>
      <c r="C312" s="51" t="n"/>
      <c r="D312" s="51" t="n"/>
      <c r="E312" s="51" t="n"/>
      <c r="F312" s="51" t="n"/>
      <c r="G312" s="51" t="n"/>
      <c r="H312" s="51" t="n"/>
      <c r="I312" s="51" t="n"/>
      <c r="J312" s="51" t="n"/>
      <c r="K312" s="51" t="n"/>
      <c r="L312" s="52">
        <f>IF($B312="",0,IF($C312="HZ",1,IFERROR(INDEX('Value Streams &amp; Delivery Mode'!$D$17:$M$22,MATCH($D312,'Value Streams &amp; Delivery Mode'!$B$17:$B$22,0),($B312-1)*2+IF($C312="POD",1,2)),0)))</f>
        <v/>
      </c>
      <c r="M312" s="53">
        <f>IF($B312="",0,$K312*$L312)</f>
        <v/>
      </c>
      <c r="N312" s="54">
        <f>IF($B312="",0,IFERROR(INDEX('Rates &amp; Tables'!$C$61:$G$63,MATCH($I312,'Rates &amp; Tables'!$J$61:$J$63,0),MATCH($H312,'Rates &amp; Tables'!$C$60:$G$60,0)),0))</f>
        <v/>
      </c>
      <c r="O312" s="52">
        <f>IF($B312="",0,$M312*$N312)</f>
        <v/>
      </c>
      <c r="P312" s="49">
        <f>IF($B312="","",$B312&amp;"|"&amp;$G312&amp;"|"&amp;$J312)</f>
        <v/>
      </c>
    </row>
    <row r="313" hidden="1" ht="14.25" customHeight="1">
      <c r="B313" s="51" t="n"/>
      <c r="C313" s="51" t="n"/>
      <c r="D313" s="51" t="n"/>
      <c r="E313" s="51" t="n"/>
      <c r="F313" s="51" t="n"/>
      <c r="G313" s="51" t="n"/>
      <c r="H313" s="51" t="n"/>
      <c r="I313" s="51" t="n"/>
      <c r="J313" s="51" t="n"/>
      <c r="K313" s="51" t="n"/>
      <c r="L313" s="52">
        <f>IF($B313="",0,IF($C313="HZ",1,IFERROR(INDEX('Value Streams &amp; Delivery Mode'!$D$17:$M$22,MATCH($D313,'Value Streams &amp; Delivery Mode'!$B$17:$B$22,0),($B313-1)*2+IF($C313="POD",1,2)),0)))</f>
        <v/>
      </c>
      <c r="M313" s="53">
        <f>IF($B313="",0,$K313*$L313)</f>
        <v/>
      </c>
      <c r="N313" s="54">
        <f>IF($B313="",0,IFERROR(INDEX('Rates &amp; Tables'!$C$61:$G$63,MATCH($I313,'Rates &amp; Tables'!$J$61:$J$63,0),MATCH($H313,'Rates &amp; Tables'!$C$60:$G$60,0)),0))</f>
        <v/>
      </c>
      <c r="O313" s="52">
        <f>IF($B313="",0,$M313*$N313)</f>
        <v/>
      </c>
      <c r="P313" s="49">
        <f>IF($B313="","",$B313&amp;"|"&amp;$G313&amp;"|"&amp;$J313)</f>
        <v/>
      </c>
    </row>
    <row r="314" hidden="1" ht="14.25" customHeight="1">
      <c r="B314" s="51" t="n"/>
      <c r="C314" s="51" t="n"/>
      <c r="D314" s="51" t="n"/>
      <c r="E314" s="51" t="n"/>
      <c r="F314" s="51" t="n"/>
      <c r="G314" s="51" t="n"/>
      <c r="H314" s="51" t="n"/>
      <c r="I314" s="51" t="n"/>
      <c r="J314" s="51" t="n"/>
      <c r="K314" s="51" t="n"/>
      <c r="L314" s="52">
        <f>IF($B314="",0,IF($C314="HZ",1,IFERROR(INDEX('Value Streams &amp; Delivery Mode'!$D$17:$M$22,MATCH($D314,'Value Streams &amp; Delivery Mode'!$B$17:$B$22,0),($B314-1)*2+IF($C314="POD",1,2)),0)))</f>
        <v/>
      </c>
      <c r="M314" s="53">
        <f>IF($B314="",0,$K314*$L314)</f>
        <v/>
      </c>
      <c r="N314" s="54">
        <f>IF($B314="",0,IFERROR(INDEX('Rates &amp; Tables'!$C$61:$G$63,MATCH($I314,'Rates &amp; Tables'!$J$61:$J$63,0),MATCH($H314,'Rates &amp; Tables'!$C$60:$G$60,0)),0))</f>
        <v/>
      </c>
      <c r="O314" s="52">
        <f>IF($B314="",0,$M314*$N314)</f>
        <v/>
      </c>
      <c r="P314" s="49">
        <f>IF($B314="","",$B314&amp;"|"&amp;$G314&amp;"|"&amp;$J314)</f>
        <v/>
      </c>
    </row>
    <row r="315" hidden="1" ht="14.25" customHeight="1">
      <c r="B315" s="51" t="n"/>
      <c r="C315" s="51" t="n"/>
      <c r="D315" s="51" t="n"/>
      <c r="E315" s="51" t="n"/>
      <c r="F315" s="51" t="n"/>
      <c r="G315" s="51" t="n"/>
      <c r="H315" s="51" t="n"/>
      <c r="I315" s="51" t="n"/>
      <c r="J315" s="51" t="n"/>
      <c r="K315" s="51" t="n"/>
      <c r="L315" s="52">
        <f>IF($B315="",0,IF($C315="HZ",1,IFERROR(INDEX('Value Streams &amp; Delivery Mode'!$D$17:$M$22,MATCH($D315,'Value Streams &amp; Delivery Mode'!$B$17:$B$22,0),($B315-1)*2+IF($C315="POD",1,2)),0)))</f>
        <v/>
      </c>
      <c r="M315" s="53">
        <f>IF($B315="",0,$K315*$L315)</f>
        <v/>
      </c>
      <c r="N315" s="54">
        <f>IF($B315="",0,IFERROR(INDEX('Rates &amp; Tables'!$C$61:$G$63,MATCH($I315,'Rates &amp; Tables'!$J$61:$J$63,0),MATCH($H315,'Rates &amp; Tables'!$C$60:$G$60,0)),0))</f>
        <v/>
      </c>
      <c r="O315" s="52">
        <f>IF($B315="",0,$M315*$N315)</f>
        <v/>
      </c>
      <c r="P315" s="49">
        <f>IF($B315="","",$B315&amp;"|"&amp;$G315&amp;"|"&amp;$J315)</f>
        <v/>
      </c>
    </row>
    <row r="316" hidden="1" ht="14.25" customHeight="1">
      <c r="B316" s="51" t="n"/>
      <c r="C316" s="51" t="n"/>
      <c r="D316" s="51" t="n"/>
      <c r="E316" s="51" t="n"/>
      <c r="F316" s="51" t="n"/>
      <c r="G316" s="51" t="n"/>
      <c r="H316" s="51" t="n"/>
      <c r="I316" s="51" t="n"/>
      <c r="J316" s="51" t="n"/>
      <c r="K316" s="51" t="n"/>
      <c r="L316" s="52">
        <f>IF($B316="",0,IF($C316="HZ",1,IFERROR(INDEX('Value Streams &amp; Delivery Mode'!$D$17:$M$22,MATCH($D316,'Value Streams &amp; Delivery Mode'!$B$17:$B$22,0),($B316-1)*2+IF($C316="POD",1,2)),0)))</f>
        <v/>
      </c>
      <c r="M316" s="53">
        <f>IF($B316="",0,$K316*$L316)</f>
        <v/>
      </c>
      <c r="N316" s="54">
        <f>IF($B316="",0,IFERROR(INDEX('Rates &amp; Tables'!$C$61:$G$63,MATCH($I316,'Rates &amp; Tables'!$J$61:$J$63,0),MATCH($H316,'Rates &amp; Tables'!$C$60:$G$60,0)),0))</f>
        <v/>
      </c>
      <c r="O316" s="52">
        <f>IF($B316="",0,$M316*$N316)</f>
        <v/>
      </c>
      <c r="P316" s="49">
        <f>IF($B316="","",$B316&amp;"|"&amp;$G316&amp;"|"&amp;$J316)</f>
        <v/>
      </c>
    </row>
    <row r="317" hidden="1" ht="14.25" customHeight="1">
      <c r="B317" s="51" t="n"/>
      <c r="C317" s="51" t="n"/>
      <c r="D317" s="51" t="n"/>
      <c r="E317" s="51" t="n"/>
      <c r="F317" s="51" t="n"/>
      <c r="G317" s="51" t="n"/>
      <c r="H317" s="51" t="n"/>
      <c r="I317" s="51" t="n"/>
      <c r="J317" s="51" t="n"/>
      <c r="K317" s="51" t="n"/>
      <c r="L317" s="52">
        <f>IF($B317="",0,IF($C317="HZ",1,IFERROR(INDEX('Value Streams &amp; Delivery Mode'!$D$17:$M$22,MATCH($D317,'Value Streams &amp; Delivery Mode'!$B$17:$B$22,0),($B317-1)*2+IF($C317="POD",1,2)),0)))</f>
        <v/>
      </c>
      <c r="M317" s="53">
        <f>IF($B317="",0,$K317*$L317)</f>
        <v/>
      </c>
      <c r="N317" s="54">
        <f>IF($B317="",0,IFERROR(INDEX('Rates &amp; Tables'!$C$61:$G$63,MATCH($I317,'Rates &amp; Tables'!$J$61:$J$63,0),MATCH($H317,'Rates &amp; Tables'!$C$60:$G$60,0)),0))</f>
        <v/>
      </c>
      <c r="O317" s="52">
        <f>IF($B317="",0,$M317*$N317)</f>
        <v/>
      </c>
      <c r="P317" s="49">
        <f>IF($B317="","",$B317&amp;"|"&amp;$G317&amp;"|"&amp;$J317)</f>
        <v/>
      </c>
    </row>
    <row r="318" hidden="1" ht="14.25" customHeight="1">
      <c r="B318" s="51" t="n"/>
      <c r="C318" s="51" t="n"/>
      <c r="D318" s="51" t="n"/>
      <c r="E318" s="51" t="n"/>
      <c r="F318" s="51" t="n"/>
      <c r="G318" s="51" t="n"/>
      <c r="H318" s="51" t="n"/>
      <c r="I318" s="51" t="n"/>
      <c r="J318" s="51" t="n"/>
      <c r="K318" s="51" t="n"/>
      <c r="L318" s="52">
        <f>IF($B318="",0,IF($C318="HZ",1,IFERROR(INDEX('Value Streams &amp; Delivery Mode'!$D$17:$M$22,MATCH($D318,'Value Streams &amp; Delivery Mode'!$B$17:$B$22,0),($B318-1)*2+IF($C318="POD",1,2)),0)))</f>
        <v/>
      </c>
      <c r="M318" s="53">
        <f>IF($B318="",0,$K318*$L318)</f>
        <v/>
      </c>
      <c r="N318" s="54">
        <f>IF($B318="",0,IFERROR(INDEX('Rates &amp; Tables'!$C$61:$G$63,MATCH($I318,'Rates &amp; Tables'!$J$61:$J$63,0),MATCH($H318,'Rates &amp; Tables'!$C$60:$G$60,0)),0))</f>
        <v/>
      </c>
      <c r="O318" s="52">
        <f>IF($B318="",0,$M318*$N318)</f>
        <v/>
      </c>
      <c r="P318" s="49">
        <f>IF($B318="","",$B318&amp;"|"&amp;$G318&amp;"|"&amp;$J318)</f>
        <v/>
      </c>
    </row>
    <row r="319" hidden="1" ht="14.25" customHeight="1">
      <c r="B319" s="51" t="n"/>
      <c r="C319" s="51" t="n"/>
      <c r="D319" s="51" t="n"/>
      <c r="E319" s="51" t="n"/>
      <c r="F319" s="51" t="n"/>
      <c r="G319" s="51" t="n"/>
      <c r="H319" s="51" t="n"/>
      <c r="I319" s="51" t="n"/>
      <c r="J319" s="51" t="n"/>
      <c r="K319" s="51" t="n"/>
      <c r="L319" s="52">
        <f>IF($B319="",0,IF($C319="HZ",1,IFERROR(INDEX('Value Streams &amp; Delivery Mode'!$D$17:$M$22,MATCH($D319,'Value Streams &amp; Delivery Mode'!$B$17:$B$22,0),($B319-1)*2+IF($C319="POD",1,2)),0)))</f>
        <v/>
      </c>
      <c r="M319" s="53">
        <f>IF($B319="",0,$K319*$L319)</f>
        <v/>
      </c>
      <c r="N319" s="54">
        <f>IF($B319="",0,IFERROR(INDEX('Rates &amp; Tables'!$C$61:$G$63,MATCH($I319,'Rates &amp; Tables'!$J$61:$J$63,0),MATCH($H319,'Rates &amp; Tables'!$C$60:$G$60,0)),0))</f>
        <v/>
      </c>
      <c r="O319" s="52">
        <f>IF($B319="",0,$M319*$N319)</f>
        <v/>
      </c>
      <c r="P319" s="49">
        <f>IF($B319="","",$B319&amp;"|"&amp;$G319&amp;"|"&amp;$J319)</f>
        <v/>
      </c>
    </row>
    <row r="320" hidden="1" ht="14.25" customHeight="1">
      <c r="B320" s="51" t="n"/>
      <c r="C320" s="51" t="n"/>
      <c r="D320" s="51" t="n"/>
      <c r="E320" s="51" t="n"/>
      <c r="F320" s="51" t="n"/>
      <c r="G320" s="51" t="n"/>
      <c r="H320" s="51" t="n"/>
      <c r="I320" s="51" t="n"/>
      <c r="J320" s="51" t="n"/>
      <c r="K320" s="51" t="n"/>
      <c r="L320" s="52">
        <f>IF($B320="",0,IF($C320="HZ",1,IFERROR(INDEX('Value Streams &amp; Delivery Mode'!$D$17:$M$22,MATCH($D320,'Value Streams &amp; Delivery Mode'!$B$17:$B$22,0),($B320-1)*2+IF($C320="POD",1,2)),0)))</f>
        <v/>
      </c>
      <c r="M320" s="53">
        <f>IF($B320="",0,$K320*$L320)</f>
        <v/>
      </c>
      <c r="N320" s="54">
        <f>IF($B320="",0,IFERROR(INDEX('Rates &amp; Tables'!$C$61:$G$63,MATCH($I320,'Rates &amp; Tables'!$J$61:$J$63,0),MATCH($H320,'Rates &amp; Tables'!$C$60:$G$60,0)),0))</f>
        <v/>
      </c>
      <c r="O320" s="52">
        <f>IF($B320="",0,$M320*$N320)</f>
        <v/>
      </c>
      <c r="P320" s="49">
        <f>IF($B320="","",$B320&amp;"|"&amp;$G320&amp;"|"&amp;$J320)</f>
        <v/>
      </c>
    </row>
    <row r="321" hidden="1" ht="14.25" customHeight="1">
      <c r="B321" s="51" t="n"/>
      <c r="C321" s="51" t="n"/>
      <c r="D321" s="51" t="n"/>
      <c r="E321" s="51" t="n"/>
      <c r="F321" s="51" t="n"/>
      <c r="G321" s="51" t="n"/>
      <c r="H321" s="51" t="n"/>
      <c r="I321" s="51" t="n"/>
      <c r="J321" s="51" t="n"/>
      <c r="K321" s="51" t="n"/>
      <c r="L321" s="52">
        <f>IF($B321="",0,IF($C321="HZ",1,IFERROR(INDEX('Value Streams &amp; Delivery Mode'!$D$17:$M$22,MATCH($D321,'Value Streams &amp; Delivery Mode'!$B$17:$B$22,0),($B321-1)*2+IF($C321="POD",1,2)),0)))</f>
        <v/>
      </c>
      <c r="M321" s="53">
        <f>IF($B321="",0,$K321*$L321)</f>
        <v/>
      </c>
      <c r="N321" s="54">
        <f>IF($B321="",0,IFERROR(INDEX('Rates &amp; Tables'!$C$61:$G$63,MATCH($I321,'Rates &amp; Tables'!$J$61:$J$63,0),MATCH($H321,'Rates &amp; Tables'!$C$60:$G$60,0)),0))</f>
        <v/>
      </c>
      <c r="O321" s="52">
        <f>IF($B321="",0,$M321*$N321)</f>
        <v/>
      </c>
      <c r="P321" s="49">
        <f>IF($B321="","",$B321&amp;"|"&amp;$G321&amp;"|"&amp;$J321)</f>
        <v/>
      </c>
    </row>
    <row r="322" hidden="1" ht="14.25" customHeight="1">
      <c r="B322" s="51" t="n"/>
      <c r="C322" s="51" t="n"/>
      <c r="D322" s="51" t="n"/>
      <c r="E322" s="51" t="n"/>
      <c r="F322" s="51" t="n"/>
      <c r="G322" s="51" t="n"/>
      <c r="H322" s="51" t="n"/>
      <c r="I322" s="51" t="n"/>
      <c r="J322" s="51" t="n"/>
      <c r="K322" s="51" t="n"/>
      <c r="L322" s="52">
        <f>IF($B322="",0,IF($C322="HZ",1,IFERROR(INDEX('Value Streams &amp; Delivery Mode'!$D$17:$M$22,MATCH($D322,'Value Streams &amp; Delivery Mode'!$B$17:$B$22,0),($B322-1)*2+IF($C322="POD",1,2)),0)))</f>
        <v/>
      </c>
      <c r="M322" s="53">
        <f>IF($B322="",0,$K322*$L322)</f>
        <v/>
      </c>
      <c r="N322" s="54">
        <f>IF($B322="",0,IFERROR(INDEX('Rates &amp; Tables'!$C$61:$G$63,MATCH($I322,'Rates &amp; Tables'!$J$61:$J$63,0),MATCH($H322,'Rates &amp; Tables'!$C$60:$G$60,0)),0))</f>
        <v/>
      </c>
      <c r="O322" s="52">
        <f>IF($B322="",0,$M322*$N322)</f>
        <v/>
      </c>
      <c r="P322" s="49">
        <f>IF($B322="","",$B322&amp;"|"&amp;$G322&amp;"|"&amp;$J322)</f>
        <v/>
      </c>
    </row>
    <row r="323" hidden="1" ht="14.25" customHeight="1">
      <c r="B323" s="51" t="n"/>
      <c r="C323" s="51" t="n"/>
      <c r="D323" s="51" t="n"/>
      <c r="E323" s="51" t="n"/>
      <c r="F323" s="51" t="n"/>
      <c r="G323" s="51" t="n"/>
      <c r="H323" s="51" t="n"/>
      <c r="I323" s="51" t="n"/>
      <c r="J323" s="51" t="n"/>
      <c r="K323" s="51" t="n"/>
      <c r="L323" s="52">
        <f>IF($B323="",0,IF($C323="HZ",1,IFERROR(INDEX('Value Streams &amp; Delivery Mode'!$D$17:$M$22,MATCH($D323,'Value Streams &amp; Delivery Mode'!$B$17:$B$22,0),($B323-1)*2+IF($C323="POD",1,2)),0)))</f>
        <v/>
      </c>
      <c r="M323" s="53">
        <f>IF($B323="",0,$K323*$L323)</f>
        <v/>
      </c>
      <c r="N323" s="54">
        <f>IF($B323="",0,IFERROR(INDEX('Rates &amp; Tables'!$C$61:$G$63,MATCH($I323,'Rates &amp; Tables'!$J$61:$J$63,0),MATCH($H323,'Rates &amp; Tables'!$C$60:$G$60,0)),0))</f>
        <v/>
      </c>
      <c r="O323" s="52">
        <f>IF($B323="",0,$M323*$N323)</f>
        <v/>
      </c>
      <c r="P323" s="49">
        <f>IF($B323="","",$B323&amp;"|"&amp;$G323&amp;"|"&amp;$J323)</f>
        <v/>
      </c>
    </row>
    <row r="324" hidden="1" ht="14.25" customHeight="1">
      <c r="B324" s="51" t="n"/>
      <c r="C324" s="51" t="n"/>
      <c r="D324" s="51" t="n"/>
      <c r="E324" s="51" t="n"/>
      <c r="F324" s="51" t="n"/>
      <c r="G324" s="51" t="n"/>
      <c r="H324" s="51" t="n"/>
      <c r="I324" s="51" t="n"/>
      <c r="J324" s="51" t="n"/>
      <c r="K324" s="51" t="n"/>
      <c r="L324" s="52">
        <f>IF($B324="",0,IF($C324="HZ",1,IFERROR(INDEX('Value Streams &amp; Delivery Mode'!$D$17:$M$22,MATCH($D324,'Value Streams &amp; Delivery Mode'!$B$17:$B$22,0),($B324-1)*2+IF($C324="POD",1,2)),0)))</f>
        <v/>
      </c>
      <c r="M324" s="53">
        <f>IF($B324="",0,$K324*$L324)</f>
        <v/>
      </c>
      <c r="N324" s="54">
        <f>IF($B324="",0,IFERROR(INDEX('Rates &amp; Tables'!$C$61:$G$63,MATCH($I324,'Rates &amp; Tables'!$J$61:$J$63,0),MATCH($H324,'Rates &amp; Tables'!$C$60:$G$60,0)),0))</f>
        <v/>
      </c>
      <c r="O324" s="52">
        <f>IF($B324="",0,$M324*$N324)</f>
        <v/>
      </c>
      <c r="P324" s="49">
        <f>IF($B324="","",$B324&amp;"|"&amp;$G324&amp;"|"&amp;$J324)</f>
        <v/>
      </c>
    </row>
    <row r="325" hidden="1" ht="14.25" customHeight="1">
      <c r="B325" s="51" t="n"/>
      <c r="C325" s="51" t="n"/>
      <c r="D325" s="51" t="n"/>
      <c r="E325" s="51" t="n"/>
      <c r="F325" s="51" t="n"/>
      <c r="G325" s="51" t="n"/>
      <c r="H325" s="51" t="n"/>
      <c r="I325" s="51" t="n"/>
      <c r="J325" s="51" t="n"/>
      <c r="K325" s="51" t="n"/>
      <c r="L325" s="52">
        <f>IF($B325="",0,IF($C325="HZ",1,IFERROR(INDEX('Value Streams &amp; Delivery Mode'!$D$17:$M$22,MATCH($D325,'Value Streams &amp; Delivery Mode'!$B$17:$B$22,0),($B325-1)*2+IF($C325="POD",1,2)),0)))</f>
        <v/>
      </c>
      <c r="M325" s="53">
        <f>IF($B325="",0,$K325*$L325)</f>
        <v/>
      </c>
      <c r="N325" s="54">
        <f>IF($B325="",0,IFERROR(INDEX('Rates &amp; Tables'!$C$61:$G$63,MATCH($I325,'Rates &amp; Tables'!$J$61:$J$63,0),MATCH($H325,'Rates &amp; Tables'!$C$60:$G$60,0)),0))</f>
        <v/>
      </c>
      <c r="O325" s="52">
        <f>IF($B325="",0,$M325*$N325)</f>
        <v/>
      </c>
      <c r="P325" s="49">
        <f>IF($B325="","",$B325&amp;"|"&amp;$G325&amp;"|"&amp;$J325)</f>
        <v/>
      </c>
    </row>
    <row r="326" hidden="1" ht="14.25" customHeight="1">
      <c r="B326" s="51" t="n"/>
      <c r="C326" s="51" t="n"/>
      <c r="D326" s="51" t="n"/>
      <c r="E326" s="51" t="n"/>
      <c r="F326" s="51" t="n"/>
      <c r="G326" s="51" t="n"/>
      <c r="H326" s="51" t="n"/>
      <c r="I326" s="51" t="n"/>
      <c r="J326" s="51" t="n"/>
      <c r="K326" s="51" t="n"/>
      <c r="L326" s="52">
        <f>IF($B326="",0,IF($C326="HZ",1,IFERROR(INDEX('Value Streams &amp; Delivery Mode'!$D$17:$M$22,MATCH($D326,'Value Streams &amp; Delivery Mode'!$B$17:$B$22,0),($B326-1)*2+IF($C326="POD",1,2)),0)))</f>
        <v/>
      </c>
      <c r="M326" s="53">
        <f>IF($B326="",0,$K326*$L326)</f>
        <v/>
      </c>
      <c r="N326" s="54">
        <f>IF($B326="",0,IFERROR(INDEX('Rates &amp; Tables'!$C$61:$G$63,MATCH($I326,'Rates &amp; Tables'!$J$61:$J$63,0),MATCH($H326,'Rates &amp; Tables'!$C$60:$G$60,0)),0))</f>
        <v/>
      </c>
      <c r="O326" s="52">
        <f>IF($B326="",0,$M326*$N326)</f>
        <v/>
      </c>
      <c r="P326" s="49">
        <f>IF($B326="","",$B326&amp;"|"&amp;$G326&amp;"|"&amp;$J326)</f>
        <v/>
      </c>
    </row>
    <row r="327" hidden="1" ht="14.25" customHeight="1">
      <c r="B327" s="51" t="n"/>
      <c r="C327" s="51" t="n"/>
      <c r="D327" s="51" t="n"/>
      <c r="E327" s="51" t="n"/>
      <c r="F327" s="51" t="n"/>
      <c r="G327" s="51" t="n"/>
      <c r="H327" s="51" t="n"/>
      <c r="I327" s="51" t="n"/>
      <c r="J327" s="51" t="n"/>
      <c r="K327" s="51" t="n"/>
      <c r="L327" s="52">
        <f>IF($B327="",0,IF($C327="HZ",1,IFERROR(INDEX('Value Streams &amp; Delivery Mode'!$D$17:$M$22,MATCH($D327,'Value Streams &amp; Delivery Mode'!$B$17:$B$22,0),($B327-1)*2+IF($C327="POD",1,2)),0)))</f>
        <v/>
      </c>
      <c r="M327" s="53">
        <f>IF($B327="",0,$K327*$L327)</f>
        <v/>
      </c>
      <c r="N327" s="54">
        <f>IF($B327="",0,IFERROR(INDEX('Rates &amp; Tables'!$C$61:$G$63,MATCH($I327,'Rates &amp; Tables'!$J$61:$J$63,0),MATCH($H327,'Rates &amp; Tables'!$C$60:$G$60,0)),0))</f>
        <v/>
      </c>
      <c r="O327" s="52">
        <f>IF($B327="",0,$M327*$N327)</f>
        <v/>
      </c>
      <c r="P327" s="49">
        <f>IF($B327="","",$B327&amp;"|"&amp;$G327&amp;"|"&amp;$J327)</f>
        <v/>
      </c>
    </row>
    <row r="328" hidden="1" ht="14.25" customHeight="1">
      <c r="B328" s="51" t="n"/>
      <c r="C328" s="51" t="n"/>
      <c r="D328" s="51" t="n"/>
      <c r="E328" s="51" t="n"/>
      <c r="F328" s="51" t="n"/>
      <c r="G328" s="51" t="n"/>
      <c r="H328" s="51" t="n"/>
      <c r="I328" s="51" t="n"/>
      <c r="J328" s="51" t="n"/>
      <c r="K328" s="51" t="n"/>
      <c r="L328" s="52">
        <f>IF($B328="",0,IF($C328="HZ",1,IFERROR(INDEX('Value Streams &amp; Delivery Mode'!$D$17:$M$22,MATCH($D328,'Value Streams &amp; Delivery Mode'!$B$17:$B$22,0),($B328-1)*2+IF($C328="POD",1,2)),0)))</f>
        <v/>
      </c>
      <c r="M328" s="53">
        <f>IF($B328="",0,$K328*$L328)</f>
        <v/>
      </c>
      <c r="N328" s="54">
        <f>IF($B328="",0,IFERROR(INDEX('Rates &amp; Tables'!$C$61:$G$63,MATCH($I328,'Rates &amp; Tables'!$J$61:$J$63,0),MATCH($H328,'Rates &amp; Tables'!$C$60:$G$60,0)),0))</f>
        <v/>
      </c>
      <c r="O328" s="52">
        <f>IF($B328="",0,$M328*$N328)</f>
        <v/>
      </c>
      <c r="P328" s="49">
        <f>IF($B328="","",$B328&amp;"|"&amp;$G328&amp;"|"&amp;$J328)</f>
        <v/>
      </c>
    </row>
    <row r="329" hidden="1" ht="14.25" customHeight="1">
      <c r="B329" s="51" t="n"/>
      <c r="C329" s="51" t="n"/>
      <c r="D329" s="51" t="n"/>
      <c r="E329" s="51" t="n"/>
      <c r="F329" s="51" t="n"/>
      <c r="G329" s="51" t="n"/>
      <c r="H329" s="51" t="n"/>
      <c r="I329" s="51" t="n"/>
      <c r="J329" s="51" t="n"/>
      <c r="K329" s="51" t="n"/>
      <c r="L329" s="52">
        <f>IF($B329="",0,IF($C329="HZ",1,IFERROR(INDEX('Value Streams &amp; Delivery Mode'!$D$17:$M$22,MATCH($D329,'Value Streams &amp; Delivery Mode'!$B$17:$B$22,0),($B329-1)*2+IF($C329="POD",1,2)),0)))</f>
        <v/>
      </c>
      <c r="M329" s="53">
        <f>IF($B329="",0,$K329*$L329)</f>
        <v/>
      </c>
      <c r="N329" s="54">
        <f>IF($B329="",0,IFERROR(INDEX('Rates &amp; Tables'!$C$61:$G$63,MATCH($I329,'Rates &amp; Tables'!$J$61:$J$63,0),MATCH($H329,'Rates &amp; Tables'!$C$60:$G$60,0)),0))</f>
        <v/>
      </c>
      <c r="O329" s="52">
        <f>IF($B329="",0,$M329*$N329)</f>
        <v/>
      </c>
      <c r="P329" s="49">
        <f>IF($B329="","",$B329&amp;"|"&amp;$G329&amp;"|"&amp;$J329)</f>
        <v/>
      </c>
    </row>
    <row r="330" hidden="1" ht="14.25" customHeight="1">
      <c r="B330" s="51" t="n"/>
      <c r="C330" s="51" t="n"/>
      <c r="D330" s="51" t="n"/>
      <c r="E330" s="51" t="n"/>
      <c r="F330" s="51" t="n"/>
      <c r="G330" s="51" t="n"/>
      <c r="H330" s="51" t="n"/>
      <c r="I330" s="51" t="n"/>
      <c r="J330" s="51" t="n"/>
      <c r="K330" s="51" t="n"/>
      <c r="L330" s="52">
        <f>IF($B330="",0,IF($C330="HZ",1,IFERROR(INDEX('Value Streams &amp; Delivery Mode'!$D$17:$M$22,MATCH($D330,'Value Streams &amp; Delivery Mode'!$B$17:$B$22,0),($B330-1)*2+IF($C330="POD",1,2)),0)))</f>
        <v/>
      </c>
      <c r="M330" s="53">
        <f>IF($B330="",0,$K330*$L330)</f>
        <v/>
      </c>
      <c r="N330" s="54">
        <f>IF($B330="",0,IFERROR(INDEX('Rates &amp; Tables'!$C$61:$G$63,MATCH($I330,'Rates &amp; Tables'!$J$61:$J$63,0),MATCH($H330,'Rates &amp; Tables'!$C$60:$G$60,0)),0))</f>
        <v/>
      </c>
      <c r="O330" s="52">
        <f>IF($B330="",0,$M330*$N330)</f>
        <v/>
      </c>
      <c r="P330" s="49">
        <f>IF($B330="","",$B330&amp;"|"&amp;$G330&amp;"|"&amp;$J330)</f>
        <v/>
      </c>
    </row>
    <row r="331" hidden="1" ht="14.25" customHeight="1">
      <c r="B331" s="51" t="n"/>
      <c r="C331" s="51" t="n"/>
      <c r="D331" s="51" t="n"/>
      <c r="E331" s="51" t="n"/>
      <c r="F331" s="51" t="n"/>
      <c r="G331" s="51" t="n"/>
      <c r="H331" s="51" t="n"/>
      <c r="I331" s="51" t="n"/>
      <c r="J331" s="51" t="n"/>
      <c r="K331" s="51" t="n"/>
      <c r="L331" s="52">
        <f>IF($B331="",0,IF($C331="HZ",1,IFERROR(INDEX('Value Streams &amp; Delivery Mode'!$D$17:$M$22,MATCH($D331,'Value Streams &amp; Delivery Mode'!$B$17:$B$22,0),($B331-1)*2+IF($C331="POD",1,2)),0)))</f>
        <v/>
      </c>
      <c r="M331" s="53">
        <f>IF($B331="",0,$K331*$L331)</f>
        <v/>
      </c>
      <c r="N331" s="54">
        <f>IF($B331="",0,IFERROR(INDEX('Rates &amp; Tables'!$C$61:$G$63,MATCH($I331,'Rates &amp; Tables'!$J$61:$J$63,0),MATCH($H331,'Rates &amp; Tables'!$C$60:$G$60,0)),0))</f>
        <v/>
      </c>
      <c r="O331" s="52">
        <f>IF($B331="",0,$M331*$N331)</f>
        <v/>
      </c>
      <c r="P331" s="49">
        <f>IF($B331="","",$B331&amp;"|"&amp;$G331&amp;"|"&amp;$J331)</f>
        <v/>
      </c>
    </row>
    <row r="332" hidden="1" ht="14.25" customHeight="1">
      <c r="B332" s="51" t="n"/>
      <c r="C332" s="51" t="n"/>
      <c r="D332" s="51" t="n"/>
      <c r="E332" s="51" t="n"/>
      <c r="F332" s="51" t="n"/>
      <c r="G332" s="51" t="n"/>
      <c r="H332" s="51" t="n"/>
      <c r="I332" s="51" t="n"/>
      <c r="J332" s="51" t="n"/>
      <c r="K332" s="51" t="n"/>
      <c r="L332" s="52">
        <f>IF($B332="",0,IF($C332="HZ",1,IFERROR(INDEX('Value Streams &amp; Delivery Mode'!$D$17:$M$22,MATCH($D332,'Value Streams &amp; Delivery Mode'!$B$17:$B$22,0),($B332-1)*2+IF($C332="POD",1,2)),0)))</f>
        <v/>
      </c>
      <c r="M332" s="53">
        <f>IF($B332="",0,$K332*$L332)</f>
        <v/>
      </c>
      <c r="N332" s="54">
        <f>IF($B332="",0,IFERROR(INDEX('Rates &amp; Tables'!$C$61:$G$63,MATCH($I332,'Rates &amp; Tables'!$J$61:$J$63,0),MATCH($H332,'Rates &amp; Tables'!$C$60:$G$60,0)),0))</f>
        <v/>
      </c>
      <c r="O332" s="52">
        <f>IF($B332="",0,$M332*$N332)</f>
        <v/>
      </c>
      <c r="P332" s="49">
        <f>IF($B332="","",$B332&amp;"|"&amp;$G332&amp;"|"&amp;$J332)</f>
        <v/>
      </c>
    </row>
    <row r="333" hidden="1" ht="14.25" customHeight="1">
      <c r="B333" s="51" t="n"/>
      <c r="C333" s="51" t="n"/>
      <c r="D333" s="51" t="n"/>
      <c r="E333" s="51" t="n"/>
      <c r="F333" s="51" t="n"/>
      <c r="G333" s="51" t="n"/>
      <c r="H333" s="51" t="n"/>
      <c r="I333" s="51" t="n"/>
      <c r="J333" s="51" t="n"/>
      <c r="K333" s="51" t="n"/>
      <c r="L333" s="52">
        <f>IF($B333="",0,IF($C333="HZ",1,IFERROR(INDEX('Value Streams &amp; Delivery Mode'!$D$17:$M$22,MATCH($D333,'Value Streams &amp; Delivery Mode'!$B$17:$B$22,0),($B333-1)*2+IF($C333="POD",1,2)),0)))</f>
        <v/>
      </c>
      <c r="M333" s="53">
        <f>IF($B333="",0,$K333*$L333)</f>
        <v/>
      </c>
      <c r="N333" s="54">
        <f>IF($B333="",0,IFERROR(INDEX('Rates &amp; Tables'!$C$61:$G$63,MATCH($I333,'Rates &amp; Tables'!$J$61:$J$63,0),MATCH($H333,'Rates &amp; Tables'!$C$60:$G$60,0)),0))</f>
        <v/>
      </c>
      <c r="O333" s="52">
        <f>IF($B333="",0,$M333*$N333)</f>
        <v/>
      </c>
      <c r="P333" s="49">
        <f>IF($B333="","",$B333&amp;"|"&amp;$G333&amp;"|"&amp;$J333)</f>
        <v/>
      </c>
    </row>
    <row r="334" hidden="1" ht="14.25" customHeight="1">
      <c r="B334" s="51" t="n"/>
      <c r="C334" s="51" t="n"/>
      <c r="D334" s="51" t="n"/>
      <c r="E334" s="51" t="n"/>
      <c r="F334" s="51" t="n"/>
      <c r="G334" s="51" t="n"/>
      <c r="H334" s="51" t="n"/>
      <c r="I334" s="51" t="n"/>
      <c r="J334" s="51" t="n"/>
      <c r="K334" s="51" t="n"/>
      <c r="L334" s="52">
        <f>IF($B334="",0,IF($C334="HZ",1,IFERROR(INDEX('Value Streams &amp; Delivery Mode'!$D$17:$M$22,MATCH($D334,'Value Streams &amp; Delivery Mode'!$B$17:$B$22,0),($B334-1)*2+IF($C334="POD",1,2)),0)))</f>
        <v/>
      </c>
      <c r="M334" s="53">
        <f>IF($B334="",0,$K334*$L334)</f>
        <v/>
      </c>
      <c r="N334" s="54">
        <f>IF($B334="",0,IFERROR(INDEX('Rates &amp; Tables'!$C$61:$G$63,MATCH($I334,'Rates &amp; Tables'!$J$61:$J$63,0),MATCH($H334,'Rates &amp; Tables'!$C$60:$G$60,0)),0))</f>
        <v/>
      </c>
      <c r="O334" s="52">
        <f>IF($B334="",0,$M334*$N334)</f>
        <v/>
      </c>
      <c r="P334" s="49">
        <f>IF($B334="","",$B334&amp;"|"&amp;$G334&amp;"|"&amp;$J334)</f>
        <v/>
      </c>
    </row>
    <row r="335" hidden="1" ht="14.25" customHeight="1">
      <c r="B335" s="51" t="n"/>
      <c r="C335" s="51" t="n"/>
      <c r="D335" s="51" t="n"/>
      <c r="E335" s="51" t="n"/>
      <c r="F335" s="51" t="n"/>
      <c r="G335" s="51" t="n"/>
      <c r="H335" s="51" t="n"/>
      <c r="I335" s="51" t="n"/>
      <c r="J335" s="51" t="n"/>
      <c r="K335" s="51" t="n"/>
      <c r="L335" s="52">
        <f>IF($B335="",0,IF($C335="HZ",1,IFERROR(INDEX('Value Streams &amp; Delivery Mode'!$D$17:$M$22,MATCH($D335,'Value Streams &amp; Delivery Mode'!$B$17:$B$22,0),($B335-1)*2+IF($C335="POD",1,2)),0)))</f>
        <v/>
      </c>
      <c r="M335" s="53">
        <f>IF($B335="",0,$K335*$L335)</f>
        <v/>
      </c>
      <c r="N335" s="54">
        <f>IF($B335="",0,IFERROR(INDEX('Rates &amp; Tables'!$C$61:$G$63,MATCH($I335,'Rates &amp; Tables'!$J$61:$J$63,0),MATCH($H335,'Rates &amp; Tables'!$C$60:$G$60,0)),0))</f>
        <v/>
      </c>
      <c r="O335" s="52">
        <f>IF($B335="",0,$M335*$N335)</f>
        <v/>
      </c>
      <c r="P335" s="49">
        <f>IF($B335="","",$B335&amp;"|"&amp;$G335&amp;"|"&amp;$J335)</f>
        <v/>
      </c>
    </row>
    <row r="336" hidden="1" ht="14.25" customHeight="1">
      <c r="B336" s="51" t="n"/>
      <c r="C336" s="51" t="n"/>
      <c r="D336" s="51" t="n"/>
      <c r="E336" s="51" t="n"/>
      <c r="F336" s="51" t="n"/>
      <c r="G336" s="51" t="n"/>
      <c r="H336" s="51" t="n"/>
      <c r="I336" s="51" t="n"/>
      <c r="J336" s="51" t="n"/>
      <c r="K336" s="51" t="n"/>
      <c r="L336" s="52">
        <f>IF($B336="",0,IF($C336="HZ",1,IFERROR(INDEX('Value Streams &amp; Delivery Mode'!$D$17:$M$22,MATCH($D336,'Value Streams &amp; Delivery Mode'!$B$17:$B$22,0),($B336-1)*2+IF($C336="POD",1,2)),0)))</f>
        <v/>
      </c>
      <c r="M336" s="53">
        <f>IF($B336="",0,$K336*$L336)</f>
        <v/>
      </c>
      <c r="N336" s="54">
        <f>IF($B336="",0,IFERROR(INDEX('Rates &amp; Tables'!$C$61:$G$63,MATCH($I336,'Rates &amp; Tables'!$J$61:$J$63,0),MATCH($H336,'Rates &amp; Tables'!$C$60:$G$60,0)),0))</f>
        <v/>
      </c>
      <c r="O336" s="52">
        <f>IF($B336="",0,$M336*$N336)</f>
        <v/>
      </c>
      <c r="P336" s="49">
        <f>IF($B336="","",$B336&amp;"|"&amp;$G336&amp;"|"&amp;$J336)</f>
        <v/>
      </c>
    </row>
    <row r="337" hidden="1" ht="14.25" customHeight="1">
      <c r="B337" s="51" t="n"/>
      <c r="C337" s="51" t="n"/>
      <c r="D337" s="51" t="n"/>
      <c r="E337" s="51" t="n"/>
      <c r="F337" s="51" t="n"/>
      <c r="G337" s="51" t="n"/>
      <c r="H337" s="51" t="n"/>
      <c r="I337" s="51" t="n"/>
      <c r="J337" s="51" t="n"/>
      <c r="K337" s="51" t="n"/>
      <c r="L337" s="52">
        <f>IF($B337="",0,IF($C337="HZ",1,IFERROR(INDEX('Value Streams &amp; Delivery Mode'!$D$17:$M$22,MATCH($D337,'Value Streams &amp; Delivery Mode'!$B$17:$B$22,0),($B337-1)*2+IF($C337="POD",1,2)),0)))</f>
        <v/>
      </c>
      <c r="M337" s="53">
        <f>IF($B337="",0,$K337*$L337)</f>
        <v/>
      </c>
      <c r="N337" s="54">
        <f>IF($B337="",0,IFERROR(INDEX('Rates &amp; Tables'!$C$61:$G$63,MATCH($I337,'Rates &amp; Tables'!$J$61:$J$63,0),MATCH($H337,'Rates &amp; Tables'!$C$60:$G$60,0)),0))</f>
        <v/>
      </c>
      <c r="O337" s="52">
        <f>IF($B337="",0,$M337*$N337)</f>
        <v/>
      </c>
      <c r="P337" s="49">
        <f>IF($B337="","",$B337&amp;"|"&amp;$G337&amp;"|"&amp;$J337)</f>
        <v/>
      </c>
    </row>
    <row r="338" hidden="1" ht="14.25" customHeight="1">
      <c r="B338" s="51" t="n"/>
      <c r="C338" s="51" t="n"/>
      <c r="D338" s="51" t="n"/>
      <c r="E338" s="51" t="n"/>
      <c r="F338" s="51" t="n"/>
      <c r="G338" s="51" t="n"/>
      <c r="H338" s="51" t="n"/>
      <c r="I338" s="51" t="n"/>
      <c r="J338" s="51" t="n"/>
      <c r="K338" s="51" t="n"/>
      <c r="L338" s="52">
        <f>IF($B338="",0,IF($C338="HZ",1,IFERROR(INDEX('Value Streams &amp; Delivery Mode'!$D$17:$M$22,MATCH($D338,'Value Streams &amp; Delivery Mode'!$B$17:$B$22,0),($B338-1)*2+IF($C338="POD",1,2)),0)))</f>
        <v/>
      </c>
      <c r="M338" s="53">
        <f>IF($B338="",0,$K338*$L338)</f>
        <v/>
      </c>
      <c r="N338" s="54">
        <f>IF($B338="",0,IFERROR(INDEX('Rates &amp; Tables'!$C$61:$G$63,MATCH($I338,'Rates &amp; Tables'!$J$61:$J$63,0),MATCH($H338,'Rates &amp; Tables'!$C$60:$G$60,0)),0))</f>
        <v/>
      </c>
      <c r="O338" s="52">
        <f>IF($B338="",0,$M338*$N338)</f>
        <v/>
      </c>
      <c r="P338" s="49">
        <f>IF($B338="","",$B338&amp;"|"&amp;$G338&amp;"|"&amp;$J338)</f>
        <v/>
      </c>
    </row>
    <row r="339" hidden="1" ht="14.25" customHeight="1">
      <c r="B339" s="51" t="n"/>
      <c r="C339" s="51" t="n"/>
      <c r="D339" s="51" t="n"/>
      <c r="E339" s="51" t="n"/>
      <c r="F339" s="51" t="n"/>
      <c r="G339" s="51" t="n"/>
      <c r="H339" s="51" t="n"/>
      <c r="I339" s="51" t="n"/>
      <c r="J339" s="51" t="n"/>
      <c r="K339" s="51" t="n"/>
      <c r="L339" s="52">
        <f>IF($B339="",0,IF($C339="HZ",1,IFERROR(INDEX('Value Streams &amp; Delivery Mode'!$D$17:$M$22,MATCH($D339,'Value Streams &amp; Delivery Mode'!$B$17:$B$22,0),($B339-1)*2+IF($C339="POD",1,2)),0)))</f>
        <v/>
      </c>
      <c r="M339" s="53">
        <f>IF($B339="",0,$K339*$L339)</f>
        <v/>
      </c>
      <c r="N339" s="54">
        <f>IF($B339="",0,IFERROR(INDEX('Rates &amp; Tables'!$C$61:$G$63,MATCH($I339,'Rates &amp; Tables'!$J$61:$J$63,0),MATCH($H339,'Rates &amp; Tables'!$C$60:$G$60,0)),0))</f>
        <v/>
      </c>
      <c r="O339" s="52">
        <f>IF($B339="",0,$M339*$N339)</f>
        <v/>
      </c>
      <c r="P339" s="49">
        <f>IF($B339="","",$B339&amp;"|"&amp;$G339&amp;"|"&amp;$J339)</f>
        <v/>
      </c>
    </row>
    <row r="340" hidden="1" ht="14.25" customHeight="1">
      <c r="B340" s="51" t="n"/>
      <c r="C340" s="51" t="n"/>
      <c r="D340" s="51" t="n"/>
      <c r="E340" s="51" t="n"/>
      <c r="F340" s="51" t="n"/>
      <c r="G340" s="51" t="n"/>
      <c r="H340" s="51" t="n"/>
      <c r="I340" s="51" t="n"/>
      <c r="J340" s="51" t="n"/>
      <c r="K340" s="51" t="n"/>
      <c r="L340" s="52">
        <f>IF($B340="",0,IF($C340="HZ",1,IFERROR(INDEX('Value Streams &amp; Delivery Mode'!$D$17:$M$22,MATCH($D340,'Value Streams &amp; Delivery Mode'!$B$17:$B$22,0),($B340-1)*2+IF($C340="POD",1,2)),0)))</f>
        <v/>
      </c>
      <c r="M340" s="53">
        <f>IF($B340="",0,$K340*$L340)</f>
        <v/>
      </c>
      <c r="N340" s="54">
        <f>IF($B340="",0,IFERROR(INDEX('Rates &amp; Tables'!$C$61:$G$63,MATCH($I340,'Rates &amp; Tables'!$J$61:$J$63,0),MATCH($H340,'Rates &amp; Tables'!$C$60:$G$60,0)),0))</f>
        <v/>
      </c>
      <c r="O340" s="52">
        <f>IF($B340="",0,$M340*$N340)</f>
        <v/>
      </c>
      <c r="P340" s="49">
        <f>IF($B340="","",$B340&amp;"|"&amp;$G340&amp;"|"&amp;$J340)</f>
        <v/>
      </c>
    </row>
    <row r="341" hidden="1" ht="14.25" customHeight="1">
      <c r="B341" s="51" t="n"/>
      <c r="C341" s="51" t="n"/>
      <c r="D341" s="51" t="n"/>
      <c r="E341" s="51" t="n"/>
      <c r="F341" s="51" t="n"/>
      <c r="G341" s="51" t="n"/>
      <c r="H341" s="51" t="n"/>
      <c r="I341" s="51" t="n"/>
      <c r="J341" s="51" t="n"/>
      <c r="K341" s="51" t="n"/>
      <c r="L341" s="52">
        <f>IF($B341="",0,IF($C341="HZ",1,IFERROR(INDEX('Value Streams &amp; Delivery Mode'!$D$17:$M$22,MATCH($D341,'Value Streams &amp; Delivery Mode'!$B$17:$B$22,0),($B341-1)*2+IF($C341="POD",1,2)),0)))</f>
        <v/>
      </c>
      <c r="M341" s="53">
        <f>IF($B341="",0,$K341*$L341)</f>
        <v/>
      </c>
      <c r="N341" s="54">
        <f>IF($B341="",0,IFERROR(INDEX('Rates &amp; Tables'!$C$61:$G$63,MATCH($I341,'Rates &amp; Tables'!$J$61:$J$63,0),MATCH($H341,'Rates &amp; Tables'!$C$60:$G$60,0)),0))</f>
        <v/>
      </c>
      <c r="O341" s="52">
        <f>IF($B341="",0,$M341*$N341)</f>
        <v/>
      </c>
      <c r="P341" s="49">
        <f>IF($B341="","",$B341&amp;"|"&amp;$G341&amp;"|"&amp;$J341)</f>
        <v/>
      </c>
    </row>
    <row r="342" hidden="1" ht="14.25" customHeight="1">
      <c r="B342" s="51" t="n"/>
      <c r="C342" s="51" t="n"/>
      <c r="D342" s="51" t="n"/>
      <c r="E342" s="51" t="n"/>
      <c r="F342" s="51" t="n"/>
      <c r="G342" s="51" t="n"/>
      <c r="H342" s="51" t="n"/>
      <c r="I342" s="51" t="n"/>
      <c r="J342" s="51" t="n"/>
      <c r="K342" s="51" t="n"/>
      <c r="L342" s="52">
        <f>IF($B342="",0,IF($C342="HZ",1,IFERROR(INDEX('Value Streams &amp; Delivery Mode'!$D$17:$M$22,MATCH($D342,'Value Streams &amp; Delivery Mode'!$B$17:$B$22,0),($B342-1)*2+IF($C342="POD",1,2)),0)))</f>
        <v/>
      </c>
      <c r="M342" s="53">
        <f>IF($B342="",0,$K342*$L342)</f>
        <v/>
      </c>
      <c r="N342" s="54">
        <f>IF($B342="",0,IFERROR(INDEX('Rates &amp; Tables'!$C$61:$G$63,MATCH($I342,'Rates &amp; Tables'!$J$61:$J$63,0),MATCH($H342,'Rates &amp; Tables'!$C$60:$G$60,0)),0))</f>
        <v/>
      </c>
      <c r="O342" s="52">
        <f>IF($B342="",0,$M342*$N342)</f>
        <v/>
      </c>
      <c r="P342" s="49">
        <f>IF($B342="","",$B342&amp;"|"&amp;$G342&amp;"|"&amp;$J342)</f>
        <v/>
      </c>
    </row>
    <row r="343" hidden="1" ht="14.25" customHeight="1">
      <c r="B343" s="51" t="n"/>
      <c r="C343" s="51" t="n"/>
      <c r="D343" s="51" t="n"/>
      <c r="E343" s="51" t="n"/>
      <c r="F343" s="51" t="n"/>
      <c r="G343" s="51" t="n"/>
      <c r="H343" s="51" t="n"/>
      <c r="I343" s="51" t="n"/>
      <c r="J343" s="51" t="n"/>
      <c r="K343" s="51" t="n"/>
      <c r="L343" s="52">
        <f>IF($B343="",0,IF($C343="HZ",1,IFERROR(INDEX('Value Streams &amp; Delivery Mode'!$D$17:$M$22,MATCH($D343,'Value Streams &amp; Delivery Mode'!$B$17:$B$22,0),($B343-1)*2+IF($C343="POD",1,2)),0)))</f>
        <v/>
      </c>
      <c r="M343" s="53">
        <f>IF($B343="",0,$K343*$L343)</f>
        <v/>
      </c>
      <c r="N343" s="54">
        <f>IF($B343="",0,IFERROR(INDEX('Rates &amp; Tables'!$C$61:$G$63,MATCH($I343,'Rates &amp; Tables'!$J$61:$J$63,0),MATCH($H343,'Rates &amp; Tables'!$C$60:$G$60,0)),0))</f>
        <v/>
      </c>
      <c r="O343" s="52">
        <f>IF($B343="",0,$M343*$N343)</f>
        <v/>
      </c>
      <c r="P343" s="49">
        <f>IF($B343="","",$B343&amp;"|"&amp;$G343&amp;"|"&amp;$J343)</f>
        <v/>
      </c>
    </row>
    <row r="344" hidden="1" ht="14.25" customHeight="1">
      <c r="B344" s="51" t="n"/>
      <c r="C344" s="51" t="n"/>
      <c r="D344" s="51" t="n"/>
      <c r="E344" s="51" t="n"/>
      <c r="F344" s="51" t="n"/>
      <c r="G344" s="51" t="n"/>
      <c r="H344" s="51" t="n"/>
      <c r="I344" s="51" t="n"/>
      <c r="J344" s="51" t="n"/>
      <c r="K344" s="51" t="n"/>
      <c r="L344" s="52">
        <f>IF($B344="",0,IF($C344="HZ",1,IFERROR(INDEX('Value Streams &amp; Delivery Mode'!$D$17:$M$22,MATCH($D344,'Value Streams &amp; Delivery Mode'!$B$17:$B$22,0),($B344-1)*2+IF($C344="POD",1,2)),0)))</f>
        <v/>
      </c>
      <c r="M344" s="53">
        <f>IF($B344="",0,$K344*$L344)</f>
        <v/>
      </c>
      <c r="N344" s="54">
        <f>IF($B344="",0,IFERROR(INDEX('Rates &amp; Tables'!$C$61:$G$63,MATCH($I344,'Rates &amp; Tables'!$J$61:$J$63,0),MATCH($H344,'Rates &amp; Tables'!$C$60:$G$60,0)),0))</f>
        <v/>
      </c>
      <c r="O344" s="52">
        <f>IF($B344="",0,$M344*$N344)</f>
        <v/>
      </c>
      <c r="P344" s="49">
        <f>IF($B344="","",$B344&amp;"|"&amp;$G344&amp;"|"&amp;$J344)</f>
        <v/>
      </c>
    </row>
    <row r="345" hidden="1" ht="14.25" customHeight="1">
      <c r="B345" s="51" t="n"/>
      <c r="C345" s="51" t="n"/>
      <c r="D345" s="51" t="n"/>
      <c r="E345" s="51" t="n"/>
      <c r="F345" s="51" t="n"/>
      <c r="G345" s="51" t="n"/>
      <c r="H345" s="51" t="n"/>
      <c r="I345" s="51" t="n"/>
      <c r="J345" s="51" t="n"/>
      <c r="K345" s="51" t="n"/>
      <c r="L345" s="52">
        <f>IF($B345="",0,IF($C345="HZ",1,IFERROR(INDEX('Value Streams &amp; Delivery Mode'!$D$17:$M$22,MATCH($D345,'Value Streams &amp; Delivery Mode'!$B$17:$B$22,0),($B345-1)*2+IF($C345="POD",1,2)),0)))</f>
        <v/>
      </c>
      <c r="M345" s="53">
        <f>IF($B345="",0,$K345*$L345)</f>
        <v/>
      </c>
      <c r="N345" s="54">
        <f>IF($B345="",0,IFERROR(INDEX('Rates &amp; Tables'!$C$61:$G$63,MATCH($I345,'Rates &amp; Tables'!$J$61:$J$63,0),MATCH($H345,'Rates &amp; Tables'!$C$60:$G$60,0)),0))</f>
        <v/>
      </c>
      <c r="O345" s="52">
        <f>IF($B345="",0,$M345*$N345)</f>
        <v/>
      </c>
      <c r="P345" s="49">
        <f>IF($B345="","",$B345&amp;"|"&amp;$G345&amp;"|"&amp;$J345)</f>
        <v/>
      </c>
    </row>
    <row r="346" hidden="1" ht="14.25" customHeight="1">
      <c r="B346" s="51" t="n"/>
      <c r="C346" s="51" t="n"/>
      <c r="D346" s="51" t="n"/>
      <c r="E346" s="51" t="n"/>
      <c r="F346" s="51" t="n"/>
      <c r="G346" s="51" t="n"/>
      <c r="H346" s="51" t="n"/>
      <c r="I346" s="51" t="n"/>
      <c r="J346" s="51" t="n"/>
      <c r="K346" s="51" t="n"/>
      <c r="L346" s="52">
        <f>IF($B346="",0,IF($C346="HZ",1,IFERROR(INDEX('Value Streams &amp; Delivery Mode'!$D$17:$M$22,MATCH($D346,'Value Streams &amp; Delivery Mode'!$B$17:$B$22,0),($B346-1)*2+IF($C346="POD",1,2)),0)))</f>
        <v/>
      </c>
      <c r="M346" s="53">
        <f>IF($B346="",0,$K346*$L346)</f>
        <v/>
      </c>
      <c r="N346" s="54">
        <f>IF($B346="",0,IFERROR(INDEX('Rates &amp; Tables'!$C$61:$G$63,MATCH($I346,'Rates &amp; Tables'!$J$61:$J$63,0),MATCH($H346,'Rates &amp; Tables'!$C$60:$G$60,0)),0))</f>
        <v/>
      </c>
      <c r="O346" s="52">
        <f>IF($B346="",0,$M346*$N346)</f>
        <v/>
      </c>
      <c r="P346" s="49">
        <f>IF($B346="","",$B346&amp;"|"&amp;$G346&amp;"|"&amp;$J346)</f>
        <v/>
      </c>
    </row>
    <row r="347" hidden="1" ht="14.25" customHeight="1">
      <c r="B347" s="51" t="n"/>
      <c r="C347" s="51" t="n"/>
      <c r="D347" s="51" t="n"/>
      <c r="E347" s="51" t="n"/>
      <c r="F347" s="51" t="n"/>
      <c r="G347" s="51" t="n"/>
      <c r="H347" s="51" t="n"/>
      <c r="I347" s="51" t="n"/>
      <c r="J347" s="51" t="n"/>
      <c r="K347" s="51" t="n"/>
      <c r="L347" s="52">
        <f>IF($B347="",0,IF($C347="HZ",1,IFERROR(INDEX('Value Streams &amp; Delivery Mode'!$D$17:$M$22,MATCH($D347,'Value Streams &amp; Delivery Mode'!$B$17:$B$22,0),($B347-1)*2+IF($C347="POD",1,2)),0)))</f>
        <v/>
      </c>
      <c r="M347" s="53">
        <f>IF($B347="",0,$K347*$L347)</f>
        <v/>
      </c>
      <c r="N347" s="54">
        <f>IF($B347="",0,IFERROR(INDEX('Rates &amp; Tables'!$C$61:$G$63,MATCH($I347,'Rates &amp; Tables'!$J$61:$J$63,0),MATCH($H347,'Rates &amp; Tables'!$C$60:$G$60,0)),0))</f>
        <v/>
      </c>
      <c r="O347" s="52">
        <f>IF($B347="",0,$M347*$N347)</f>
        <v/>
      </c>
      <c r="P347" s="49">
        <f>IF($B347="","",$B347&amp;"|"&amp;$G347&amp;"|"&amp;$J347)</f>
        <v/>
      </c>
    </row>
    <row r="348" hidden="1" ht="14.25" customHeight="1">
      <c r="B348" s="51" t="n"/>
      <c r="C348" s="51" t="n"/>
      <c r="D348" s="51" t="n"/>
      <c r="E348" s="51" t="n"/>
      <c r="F348" s="51" t="n"/>
      <c r="G348" s="51" t="n"/>
      <c r="H348" s="51" t="n"/>
      <c r="I348" s="51" t="n"/>
      <c r="J348" s="51" t="n"/>
      <c r="K348" s="51" t="n"/>
      <c r="L348" s="52">
        <f>IF($B348="",0,IF($C348="HZ",1,IFERROR(INDEX('Value Streams &amp; Delivery Mode'!$D$17:$M$22,MATCH($D348,'Value Streams &amp; Delivery Mode'!$B$17:$B$22,0),($B348-1)*2+IF($C348="POD",1,2)),0)))</f>
        <v/>
      </c>
      <c r="M348" s="53">
        <f>IF($B348="",0,$K348*$L348)</f>
        <v/>
      </c>
      <c r="N348" s="54">
        <f>IF($B348="",0,IFERROR(INDEX('Rates &amp; Tables'!$C$61:$G$63,MATCH($I348,'Rates &amp; Tables'!$J$61:$J$63,0),MATCH($H348,'Rates &amp; Tables'!$C$60:$G$60,0)),0))</f>
        <v/>
      </c>
      <c r="O348" s="52">
        <f>IF($B348="",0,$M348*$N348)</f>
        <v/>
      </c>
      <c r="P348" s="49">
        <f>IF($B348="","",$B348&amp;"|"&amp;$G348&amp;"|"&amp;$J348)</f>
        <v/>
      </c>
    </row>
    <row r="349" hidden="1" ht="14.25" customHeight="1">
      <c r="B349" s="51" t="n"/>
      <c r="C349" s="51" t="n"/>
      <c r="D349" s="51" t="n"/>
      <c r="E349" s="51" t="n"/>
      <c r="F349" s="51" t="n"/>
      <c r="G349" s="51" t="n"/>
      <c r="H349" s="51" t="n"/>
      <c r="I349" s="51" t="n"/>
      <c r="J349" s="51" t="n"/>
      <c r="K349" s="51" t="n"/>
      <c r="L349" s="52">
        <f>IF($B349="",0,IF($C349="HZ",1,IFERROR(INDEX('Value Streams &amp; Delivery Mode'!$D$17:$M$22,MATCH($D349,'Value Streams &amp; Delivery Mode'!$B$17:$B$22,0),($B349-1)*2+IF($C349="POD",1,2)),0)))</f>
        <v/>
      </c>
      <c r="M349" s="53">
        <f>IF($B349="",0,$K349*$L349)</f>
        <v/>
      </c>
      <c r="N349" s="54">
        <f>IF($B349="",0,IFERROR(INDEX('Rates &amp; Tables'!$C$61:$G$63,MATCH($I349,'Rates &amp; Tables'!$J$61:$J$63,0),MATCH($H349,'Rates &amp; Tables'!$C$60:$G$60,0)),0))</f>
        <v/>
      </c>
      <c r="O349" s="52">
        <f>IF($B349="",0,$M349*$N349)</f>
        <v/>
      </c>
      <c r="P349" s="49">
        <f>IF($B349="","",$B349&amp;"|"&amp;$G349&amp;"|"&amp;$J349)</f>
        <v/>
      </c>
    </row>
    <row r="350" hidden="1" ht="14.25" customHeight="1">
      <c r="B350" s="51" t="n"/>
      <c r="C350" s="51" t="n"/>
      <c r="D350" s="51" t="n"/>
      <c r="E350" s="51" t="n"/>
      <c r="F350" s="51" t="n"/>
      <c r="G350" s="51" t="n"/>
      <c r="H350" s="51" t="n"/>
      <c r="I350" s="51" t="n"/>
      <c r="J350" s="51" t="n"/>
      <c r="K350" s="51" t="n"/>
      <c r="L350" s="52">
        <f>IF($B350="",0,IF($C350="HZ",1,IFERROR(INDEX('Value Streams &amp; Delivery Mode'!$D$17:$M$22,MATCH($D350,'Value Streams &amp; Delivery Mode'!$B$17:$B$22,0),($B350-1)*2+IF($C350="POD",1,2)),0)))</f>
        <v/>
      </c>
      <c r="M350" s="53">
        <f>IF($B350="",0,$K350*$L350)</f>
        <v/>
      </c>
      <c r="N350" s="54">
        <f>IF($B350="",0,IFERROR(INDEX('Rates &amp; Tables'!$C$61:$G$63,MATCH($I350,'Rates &amp; Tables'!$J$61:$J$63,0),MATCH($H350,'Rates &amp; Tables'!$C$60:$G$60,0)),0))</f>
        <v/>
      </c>
      <c r="O350" s="52">
        <f>IF($B350="",0,$M350*$N350)</f>
        <v/>
      </c>
      <c r="P350" s="49">
        <f>IF($B350="","",$B350&amp;"|"&amp;$G350&amp;"|"&amp;$J350)</f>
        <v/>
      </c>
    </row>
    <row r="351" hidden="1" ht="14.25" customHeight="1">
      <c r="B351" s="51" t="n"/>
      <c r="C351" s="51" t="n"/>
      <c r="D351" s="51" t="n"/>
      <c r="E351" s="51" t="n"/>
      <c r="F351" s="51" t="n"/>
      <c r="G351" s="51" t="n"/>
      <c r="H351" s="51" t="n"/>
      <c r="I351" s="51" t="n"/>
      <c r="J351" s="51" t="n"/>
      <c r="K351" s="51" t="n"/>
      <c r="L351" s="52">
        <f>IF($B351="",0,IF($C351="HZ",1,IFERROR(INDEX('Value Streams &amp; Delivery Mode'!$D$17:$M$22,MATCH($D351,'Value Streams &amp; Delivery Mode'!$B$17:$B$22,0),($B351-1)*2+IF($C351="POD",1,2)),0)))</f>
        <v/>
      </c>
      <c r="M351" s="53">
        <f>IF($B351="",0,$K351*$L351)</f>
        <v/>
      </c>
      <c r="N351" s="54">
        <f>IF($B351="",0,IFERROR(INDEX('Rates &amp; Tables'!$C$61:$G$63,MATCH($I351,'Rates &amp; Tables'!$J$61:$J$63,0),MATCH($H351,'Rates &amp; Tables'!$C$60:$G$60,0)),0))</f>
        <v/>
      </c>
      <c r="O351" s="52">
        <f>IF($B351="",0,$M351*$N351)</f>
        <v/>
      </c>
      <c r="P351" s="49">
        <f>IF($B351="","",$B351&amp;"|"&amp;$G351&amp;"|"&amp;$J351)</f>
        <v/>
      </c>
    </row>
    <row r="352" hidden="1" ht="14.25" customHeight="1">
      <c r="B352" s="51" t="n"/>
      <c r="C352" s="51" t="n"/>
      <c r="D352" s="51" t="n"/>
      <c r="E352" s="51" t="n"/>
      <c r="F352" s="51" t="n"/>
      <c r="G352" s="51" t="n"/>
      <c r="H352" s="51" t="n"/>
      <c r="I352" s="51" t="n"/>
      <c r="J352" s="51" t="n"/>
      <c r="K352" s="51" t="n"/>
      <c r="L352" s="52">
        <f>IF($B352="",0,IF($C352="HZ",1,IFERROR(INDEX('Value Streams &amp; Delivery Mode'!$D$17:$M$22,MATCH($D352,'Value Streams &amp; Delivery Mode'!$B$17:$B$22,0),($B352-1)*2+IF($C352="POD",1,2)),0)))</f>
        <v/>
      </c>
      <c r="M352" s="53">
        <f>IF($B352="",0,$K352*$L352)</f>
        <v/>
      </c>
      <c r="N352" s="54">
        <f>IF($B352="",0,IFERROR(INDEX('Rates &amp; Tables'!$C$61:$G$63,MATCH($I352,'Rates &amp; Tables'!$J$61:$J$63,0),MATCH($H352,'Rates &amp; Tables'!$C$60:$G$60,0)),0))</f>
        <v/>
      </c>
      <c r="O352" s="52">
        <f>IF($B352="",0,$M352*$N352)</f>
        <v/>
      </c>
      <c r="P352" s="49">
        <f>IF($B352="","",$B352&amp;"|"&amp;$G352&amp;"|"&amp;$J352)</f>
        <v/>
      </c>
    </row>
    <row r="353" hidden="1" ht="14.25" customHeight="1">
      <c r="B353" s="51" t="n"/>
      <c r="C353" s="51" t="n"/>
      <c r="D353" s="51" t="n"/>
      <c r="E353" s="51" t="n"/>
      <c r="F353" s="51" t="n"/>
      <c r="G353" s="51" t="n"/>
      <c r="H353" s="51" t="n"/>
      <c r="I353" s="51" t="n"/>
      <c r="J353" s="51" t="n"/>
      <c r="K353" s="51" t="n"/>
      <c r="L353" s="52">
        <f>IF($B353="",0,IF($C353="HZ",1,IFERROR(INDEX('Value Streams &amp; Delivery Mode'!$D$17:$M$22,MATCH($D353,'Value Streams &amp; Delivery Mode'!$B$17:$B$22,0),($B353-1)*2+IF($C353="POD",1,2)),0)))</f>
        <v/>
      </c>
      <c r="M353" s="53">
        <f>IF($B353="",0,$K353*$L353)</f>
        <v/>
      </c>
      <c r="N353" s="54">
        <f>IF($B353="",0,IFERROR(INDEX('Rates &amp; Tables'!$C$61:$G$63,MATCH($I353,'Rates &amp; Tables'!$J$61:$J$63,0),MATCH($H353,'Rates &amp; Tables'!$C$60:$G$60,0)),0))</f>
        <v/>
      </c>
      <c r="O353" s="52">
        <f>IF($B353="",0,$M353*$N353)</f>
        <v/>
      </c>
      <c r="P353" s="49">
        <f>IF($B353="","",$B353&amp;"|"&amp;$G353&amp;"|"&amp;$J353)</f>
        <v/>
      </c>
    </row>
    <row r="354" hidden="1" ht="14.25" customHeight="1">
      <c r="B354" s="51" t="n"/>
      <c r="C354" s="51" t="n"/>
      <c r="D354" s="51" t="n"/>
      <c r="E354" s="51" t="n"/>
      <c r="F354" s="51" t="n"/>
      <c r="G354" s="51" t="n"/>
      <c r="H354" s="51" t="n"/>
      <c r="I354" s="51" t="n"/>
      <c r="J354" s="51" t="n"/>
      <c r="K354" s="51" t="n"/>
      <c r="L354" s="52">
        <f>IF($B354="",0,IF($C354="HZ",1,IFERROR(INDEX('Value Streams &amp; Delivery Mode'!$D$17:$M$22,MATCH($D354,'Value Streams &amp; Delivery Mode'!$B$17:$B$22,0),($B354-1)*2+IF($C354="POD",1,2)),0)))</f>
        <v/>
      </c>
      <c r="M354" s="53">
        <f>IF($B354="",0,$K354*$L354)</f>
        <v/>
      </c>
      <c r="N354" s="54">
        <f>IF($B354="",0,IFERROR(INDEX('Rates &amp; Tables'!$C$61:$G$63,MATCH($I354,'Rates &amp; Tables'!$J$61:$J$63,0),MATCH($H354,'Rates &amp; Tables'!$C$60:$G$60,0)),0))</f>
        <v/>
      </c>
      <c r="O354" s="52">
        <f>IF($B354="",0,$M354*$N354)</f>
        <v/>
      </c>
      <c r="P354" s="49">
        <f>IF($B354="","",$B354&amp;"|"&amp;$G354&amp;"|"&amp;$J354)</f>
        <v/>
      </c>
    </row>
    <row r="355" hidden="1" ht="14.25" customHeight="1">
      <c r="B355" s="51" t="n"/>
      <c r="C355" s="51" t="n"/>
      <c r="D355" s="51" t="n"/>
      <c r="E355" s="51" t="n"/>
      <c r="F355" s="51" t="n"/>
      <c r="G355" s="51" t="n"/>
      <c r="H355" s="51" t="n"/>
      <c r="I355" s="51" t="n"/>
      <c r="J355" s="51" t="n"/>
      <c r="K355" s="51" t="n"/>
      <c r="L355" s="52">
        <f>IF($B355="",0,IF($C355="HZ",1,IFERROR(INDEX('Value Streams &amp; Delivery Mode'!$D$17:$M$22,MATCH($D355,'Value Streams &amp; Delivery Mode'!$B$17:$B$22,0),($B355-1)*2+IF($C355="POD",1,2)),0)))</f>
        <v/>
      </c>
      <c r="M355" s="53">
        <f>IF($B355="",0,$K355*$L355)</f>
        <v/>
      </c>
      <c r="N355" s="54">
        <f>IF($B355="",0,IFERROR(INDEX('Rates &amp; Tables'!$C$61:$G$63,MATCH($I355,'Rates &amp; Tables'!$J$61:$J$63,0),MATCH($H355,'Rates &amp; Tables'!$C$60:$G$60,0)),0))</f>
        <v/>
      </c>
      <c r="O355" s="52">
        <f>IF($B355="",0,$M355*$N355)</f>
        <v/>
      </c>
      <c r="P355" s="49">
        <f>IF($B355="","",$B355&amp;"|"&amp;$G355&amp;"|"&amp;$J355)</f>
        <v/>
      </c>
    </row>
    <row r="356" hidden="1" ht="14.25" customHeight="1">
      <c r="B356" s="51" t="n"/>
      <c r="C356" s="51" t="n"/>
      <c r="D356" s="51" t="n"/>
      <c r="E356" s="51" t="n"/>
      <c r="F356" s="51" t="n"/>
      <c r="G356" s="51" t="n"/>
      <c r="H356" s="51" t="n"/>
      <c r="I356" s="51" t="n"/>
      <c r="J356" s="51" t="n"/>
      <c r="K356" s="51" t="n"/>
      <c r="L356" s="52">
        <f>IF($B356="",0,IF($C356="HZ",1,IFERROR(INDEX('Value Streams &amp; Delivery Mode'!$D$17:$M$22,MATCH($D356,'Value Streams &amp; Delivery Mode'!$B$17:$B$22,0),($B356-1)*2+IF($C356="POD",1,2)),0)))</f>
        <v/>
      </c>
      <c r="M356" s="53">
        <f>IF($B356="",0,$K356*$L356)</f>
        <v/>
      </c>
      <c r="N356" s="54">
        <f>IF($B356="",0,IFERROR(INDEX('Rates &amp; Tables'!$C$61:$G$63,MATCH($I356,'Rates &amp; Tables'!$J$61:$J$63,0),MATCH($H356,'Rates &amp; Tables'!$C$60:$G$60,0)),0))</f>
        <v/>
      </c>
      <c r="O356" s="52">
        <f>IF($B356="",0,$M356*$N356)</f>
        <v/>
      </c>
      <c r="P356" s="49">
        <f>IF($B356="","",$B356&amp;"|"&amp;$G356&amp;"|"&amp;$J356)</f>
        <v/>
      </c>
    </row>
    <row r="357" hidden="1" ht="14.25" customHeight="1">
      <c r="B357" s="51" t="n"/>
      <c r="C357" s="51" t="n"/>
      <c r="D357" s="51" t="n"/>
      <c r="E357" s="51" t="n"/>
      <c r="F357" s="51" t="n"/>
      <c r="G357" s="51" t="n"/>
      <c r="H357" s="51" t="n"/>
      <c r="I357" s="51" t="n"/>
      <c r="J357" s="51" t="n"/>
      <c r="K357" s="51" t="n"/>
      <c r="L357" s="52">
        <f>IF($B357="",0,IF($C357="HZ",1,IFERROR(INDEX('Value Streams &amp; Delivery Mode'!$D$17:$M$22,MATCH($D357,'Value Streams &amp; Delivery Mode'!$B$17:$B$22,0),($B357-1)*2+IF($C357="POD",1,2)),0)))</f>
        <v/>
      </c>
      <c r="M357" s="53">
        <f>IF($B357="",0,$K357*$L357)</f>
        <v/>
      </c>
      <c r="N357" s="54">
        <f>IF($B357="",0,IFERROR(INDEX('Rates &amp; Tables'!$C$61:$G$63,MATCH($I357,'Rates &amp; Tables'!$J$61:$J$63,0),MATCH($H357,'Rates &amp; Tables'!$C$60:$G$60,0)),0))</f>
        <v/>
      </c>
      <c r="O357" s="52">
        <f>IF($B357="",0,$M357*$N357)</f>
        <v/>
      </c>
      <c r="P357" s="49">
        <f>IF($B357="","",$B357&amp;"|"&amp;$G357&amp;"|"&amp;$J357)</f>
        <v/>
      </c>
    </row>
    <row r="358" hidden="1" ht="14.25" customHeight="1">
      <c r="B358" s="51" t="n"/>
      <c r="C358" s="51" t="n"/>
      <c r="D358" s="51" t="n"/>
      <c r="E358" s="51" t="n"/>
      <c r="F358" s="51" t="n"/>
      <c r="G358" s="51" t="n"/>
      <c r="H358" s="51" t="n"/>
      <c r="I358" s="51" t="n"/>
      <c r="J358" s="51" t="n"/>
      <c r="K358" s="51" t="n"/>
      <c r="L358" s="52">
        <f>IF($B358="",0,IF($C358="HZ",1,IFERROR(INDEX('Value Streams &amp; Delivery Mode'!$D$17:$M$22,MATCH($D358,'Value Streams &amp; Delivery Mode'!$B$17:$B$22,0),($B358-1)*2+IF($C358="POD",1,2)),0)))</f>
        <v/>
      </c>
      <c r="M358" s="53">
        <f>IF($B358="",0,$K358*$L358)</f>
        <v/>
      </c>
      <c r="N358" s="54">
        <f>IF($B358="",0,IFERROR(INDEX('Rates &amp; Tables'!$C$61:$G$63,MATCH($I358,'Rates &amp; Tables'!$J$61:$J$63,0),MATCH($H358,'Rates &amp; Tables'!$C$60:$G$60,0)),0))</f>
        <v/>
      </c>
      <c r="O358" s="52">
        <f>IF($B358="",0,$M358*$N358)</f>
        <v/>
      </c>
      <c r="P358" s="49">
        <f>IF($B358="","",$B358&amp;"|"&amp;$G358&amp;"|"&amp;$J358)</f>
        <v/>
      </c>
    </row>
    <row r="359" hidden="1" ht="14.25" customHeight="1">
      <c r="B359" s="51" t="n"/>
      <c r="C359" s="51" t="n"/>
      <c r="D359" s="51" t="n"/>
      <c r="E359" s="51" t="n"/>
      <c r="F359" s="51" t="n"/>
      <c r="G359" s="51" t="n"/>
      <c r="H359" s="51" t="n"/>
      <c r="I359" s="51" t="n"/>
      <c r="J359" s="51" t="n"/>
      <c r="K359" s="51" t="n"/>
      <c r="L359" s="52">
        <f>IF($B359="",0,IF($C359="HZ",1,IFERROR(INDEX('Value Streams &amp; Delivery Mode'!$D$17:$M$22,MATCH($D359,'Value Streams &amp; Delivery Mode'!$B$17:$B$22,0),($B359-1)*2+IF($C359="POD",1,2)),0)))</f>
        <v/>
      </c>
      <c r="M359" s="53">
        <f>IF($B359="",0,$K359*$L359)</f>
        <v/>
      </c>
      <c r="N359" s="54">
        <f>IF($B359="",0,IFERROR(INDEX('Rates &amp; Tables'!$C$61:$G$63,MATCH($I359,'Rates &amp; Tables'!$J$61:$J$63,0),MATCH($H359,'Rates &amp; Tables'!$C$60:$G$60,0)),0))</f>
        <v/>
      </c>
      <c r="O359" s="52">
        <f>IF($B359="",0,$M359*$N359)</f>
        <v/>
      </c>
      <c r="P359" s="49">
        <f>IF($B359="","",$B359&amp;"|"&amp;$G359&amp;"|"&amp;$J359)</f>
        <v/>
      </c>
    </row>
    <row r="360" hidden="1" ht="14.25" customHeight="1">
      <c r="B360" s="51" t="n"/>
      <c r="C360" s="51" t="n"/>
      <c r="D360" s="51" t="n"/>
      <c r="E360" s="51" t="n"/>
      <c r="F360" s="51" t="n"/>
      <c r="G360" s="51" t="n"/>
      <c r="H360" s="51" t="n"/>
      <c r="I360" s="51" t="n"/>
      <c r="J360" s="51" t="n"/>
      <c r="K360" s="51" t="n"/>
      <c r="L360" s="52">
        <f>IF($B360="",0,IF($C360="HZ",1,IFERROR(INDEX('Value Streams &amp; Delivery Mode'!$D$17:$M$22,MATCH($D360,'Value Streams &amp; Delivery Mode'!$B$17:$B$22,0),($B360-1)*2+IF($C360="POD",1,2)),0)))</f>
        <v/>
      </c>
      <c r="M360" s="53">
        <f>IF($B360="",0,$K360*$L360)</f>
        <v/>
      </c>
      <c r="N360" s="54">
        <f>IF($B360="",0,IFERROR(INDEX('Rates &amp; Tables'!$C$61:$G$63,MATCH($I360,'Rates &amp; Tables'!$J$61:$J$63,0),MATCH($H360,'Rates &amp; Tables'!$C$60:$G$60,0)),0))</f>
        <v/>
      </c>
      <c r="O360" s="52">
        <f>IF($B360="",0,$M360*$N360)</f>
        <v/>
      </c>
      <c r="P360" s="49">
        <f>IF($B360="","",$B360&amp;"|"&amp;$G360&amp;"|"&amp;$J360)</f>
        <v/>
      </c>
    </row>
    <row r="361" hidden="1" ht="14.25" customHeight="1">
      <c r="B361" s="51" t="n"/>
      <c r="C361" s="51" t="n"/>
      <c r="D361" s="51" t="n"/>
      <c r="E361" s="51" t="n"/>
      <c r="F361" s="51" t="n"/>
      <c r="G361" s="51" t="n"/>
      <c r="H361" s="51" t="n"/>
      <c r="I361" s="51" t="n"/>
      <c r="J361" s="51" t="n"/>
      <c r="K361" s="51" t="n"/>
      <c r="L361" s="52">
        <f>IF($B361="",0,IF($C361="HZ",1,IFERROR(INDEX('Value Streams &amp; Delivery Mode'!$D$17:$M$22,MATCH($D361,'Value Streams &amp; Delivery Mode'!$B$17:$B$22,0),($B361-1)*2+IF($C361="POD",1,2)),0)))</f>
        <v/>
      </c>
      <c r="M361" s="53">
        <f>IF($B361="",0,$K361*$L361)</f>
        <v/>
      </c>
      <c r="N361" s="54">
        <f>IF($B361="",0,IFERROR(INDEX('Rates &amp; Tables'!$C$61:$G$63,MATCH($I361,'Rates &amp; Tables'!$J$61:$J$63,0),MATCH($H361,'Rates &amp; Tables'!$C$60:$G$60,0)),0))</f>
        <v/>
      </c>
      <c r="O361" s="52">
        <f>IF($B361="",0,$M361*$N361)</f>
        <v/>
      </c>
      <c r="P361" s="49">
        <f>IF($B361="","",$B361&amp;"|"&amp;$G361&amp;"|"&amp;$J361)</f>
        <v/>
      </c>
    </row>
    <row r="362" hidden="1" ht="14.25" customHeight="1">
      <c r="B362" s="51" t="n"/>
      <c r="C362" s="51" t="n"/>
      <c r="D362" s="51" t="n"/>
      <c r="E362" s="51" t="n"/>
      <c r="F362" s="51" t="n"/>
      <c r="G362" s="51" t="n"/>
      <c r="H362" s="51" t="n"/>
      <c r="I362" s="51" t="n"/>
      <c r="J362" s="51" t="n"/>
      <c r="K362" s="51" t="n"/>
      <c r="L362" s="52">
        <f>IF($B362="",0,IF($C362="HZ",1,IFERROR(INDEX('Value Streams &amp; Delivery Mode'!$D$17:$M$22,MATCH($D362,'Value Streams &amp; Delivery Mode'!$B$17:$B$22,0),($B362-1)*2+IF($C362="POD",1,2)),0)))</f>
        <v/>
      </c>
      <c r="M362" s="53">
        <f>IF($B362="",0,$K362*$L362)</f>
        <v/>
      </c>
      <c r="N362" s="54">
        <f>IF($B362="",0,IFERROR(INDEX('Rates &amp; Tables'!$C$61:$G$63,MATCH($I362,'Rates &amp; Tables'!$J$61:$J$63,0),MATCH($H362,'Rates &amp; Tables'!$C$60:$G$60,0)),0))</f>
        <v/>
      </c>
      <c r="O362" s="52">
        <f>IF($B362="",0,$M362*$N362)</f>
        <v/>
      </c>
      <c r="P362" s="49">
        <f>IF($B362="","",$B362&amp;"|"&amp;$G362&amp;"|"&amp;$J362)</f>
        <v/>
      </c>
    </row>
    <row r="363" hidden="1" ht="14.25" customHeight="1">
      <c r="B363" s="51" t="n"/>
      <c r="C363" s="51" t="n"/>
      <c r="D363" s="51" t="n"/>
      <c r="E363" s="51" t="n"/>
      <c r="F363" s="51" t="n"/>
      <c r="G363" s="51" t="n"/>
      <c r="H363" s="51" t="n"/>
      <c r="I363" s="51" t="n"/>
      <c r="J363" s="51" t="n"/>
      <c r="K363" s="51" t="n"/>
      <c r="L363" s="52">
        <f>IF($B363="",0,IF($C363="HZ",1,IFERROR(INDEX('Value Streams &amp; Delivery Mode'!$D$17:$M$22,MATCH($D363,'Value Streams &amp; Delivery Mode'!$B$17:$B$22,0),($B363-1)*2+IF($C363="POD",1,2)),0)))</f>
        <v/>
      </c>
      <c r="M363" s="53">
        <f>IF($B363="",0,$K363*$L363)</f>
        <v/>
      </c>
      <c r="N363" s="54">
        <f>IF($B363="",0,IFERROR(INDEX('Rates &amp; Tables'!$C$61:$G$63,MATCH($I363,'Rates &amp; Tables'!$J$61:$J$63,0),MATCH($H363,'Rates &amp; Tables'!$C$60:$G$60,0)),0))</f>
        <v/>
      </c>
      <c r="O363" s="52">
        <f>IF($B363="",0,$M363*$N363)</f>
        <v/>
      </c>
      <c r="P363" s="49">
        <f>IF($B363="","",$B363&amp;"|"&amp;$G363&amp;"|"&amp;$J363)</f>
        <v/>
      </c>
    </row>
    <row r="364" hidden="1" ht="14.25" customHeight="1">
      <c r="B364" s="51" t="n"/>
      <c r="C364" s="51" t="n"/>
      <c r="D364" s="51" t="n"/>
      <c r="E364" s="51" t="n"/>
      <c r="F364" s="51" t="n"/>
      <c r="G364" s="51" t="n"/>
      <c r="H364" s="51" t="n"/>
      <c r="I364" s="51" t="n"/>
      <c r="J364" s="51" t="n"/>
      <c r="K364" s="51" t="n"/>
      <c r="L364" s="52">
        <f>IF($B364="",0,IF($C364="HZ",1,IFERROR(INDEX('Value Streams &amp; Delivery Mode'!$D$17:$M$22,MATCH($D364,'Value Streams &amp; Delivery Mode'!$B$17:$B$22,0),($B364-1)*2+IF($C364="POD",1,2)),0)))</f>
        <v/>
      </c>
      <c r="M364" s="53">
        <f>IF($B364="",0,$K364*$L364)</f>
        <v/>
      </c>
      <c r="N364" s="54">
        <f>IF($B364="",0,IFERROR(INDEX('Rates &amp; Tables'!$C$61:$G$63,MATCH($I364,'Rates &amp; Tables'!$J$61:$J$63,0),MATCH($H364,'Rates &amp; Tables'!$C$60:$G$60,0)),0))</f>
        <v/>
      </c>
      <c r="O364" s="52">
        <f>IF($B364="",0,$M364*$N364)</f>
        <v/>
      </c>
      <c r="P364" s="49">
        <f>IF($B364="","",$B364&amp;"|"&amp;$G364&amp;"|"&amp;$J364)</f>
        <v/>
      </c>
    </row>
    <row r="365" hidden="1" ht="14.25" customHeight="1">
      <c r="B365" s="51" t="n"/>
      <c r="C365" s="51" t="n"/>
      <c r="D365" s="51" t="n"/>
      <c r="E365" s="51" t="n"/>
      <c r="F365" s="51" t="n"/>
      <c r="G365" s="51" t="n"/>
      <c r="H365" s="51" t="n"/>
      <c r="I365" s="51" t="n"/>
      <c r="J365" s="51" t="n"/>
      <c r="K365" s="51" t="n"/>
      <c r="L365" s="52">
        <f>IF($B365="",0,IF($C365="HZ",1,IFERROR(INDEX('Value Streams &amp; Delivery Mode'!$D$17:$M$22,MATCH($D365,'Value Streams &amp; Delivery Mode'!$B$17:$B$22,0),($B365-1)*2+IF($C365="POD",1,2)),0)))</f>
        <v/>
      </c>
      <c r="M365" s="53">
        <f>IF($B365="",0,$K365*$L365)</f>
        <v/>
      </c>
      <c r="N365" s="54">
        <f>IF($B365="",0,IFERROR(INDEX('Rates &amp; Tables'!$C$61:$G$63,MATCH($I365,'Rates &amp; Tables'!$J$61:$J$63,0),MATCH($H365,'Rates &amp; Tables'!$C$60:$G$60,0)),0))</f>
        <v/>
      </c>
      <c r="O365" s="52">
        <f>IF($B365="",0,$M365*$N365)</f>
        <v/>
      </c>
      <c r="P365" s="49">
        <f>IF($B365="","",$B365&amp;"|"&amp;$G365&amp;"|"&amp;$J365)</f>
        <v/>
      </c>
    </row>
    <row r="366" hidden="1" ht="14.25" customHeight="1">
      <c r="B366" s="51" t="n"/>
      <c r="C366" s="51" t="n"/>
      <c r="D366" s="51" t="n"/>
      <c r="E366" s="51" t="n"/>
      <c r="F366" s="51" t="n"/>
      <c r="G366" s="51" t="n"/>
      <c r="H366" s="51" t="n"/>
      <c r="I366" s="51" t="n"/>
      <c r="J366" s="51" t="n"/>
      <c r="K366" s="51" t="n"/>
      <c r="L366" s="52">
        <f>IF($B366="",0,IF($C366="HZ",1,IFERROR(INDEX('Value Streams &amp; Delivery Mode'!$D$17:$M$22,MATCH($D366,'Value Streams &amp; Delivery Mode'!$B$17:$B$22,0),($B366-1)*2+IF($C366="POD",1,2)),0)))</f>
        <v/>
      </c>
      <c r="M366" s="53">
        <f>IF($B366="",0,$K366*$L366)</f>
        <v/>
      </c>
      <c r="N366" s="54">
        <f>IF($B366="",0,IFERROR(INDEX('Rates &amp; Tables'!$C$61:$G$63,MATCH($I366,'Rates &amp; Tables'!$J$61:$J$63,0),MATCH($H366,'Rates &amp; Tables'!$C$60:$G$60,0)),0))</f>
        <v/>
      </c>
      <c r="O366" s="52">
        <f>IF($B366="",0,$M366*$N366)</f>
        <v/>
      </c>
      <c r="P366" s="49">
        <f>IF($B366="","",$B366&amp;"|"&amp;$G366&amp;"|"&amp;$J366)</f>
        <v/>
      </c>
    </row>
    <row r="367" hidden="1" ht="14.25" customHeight="1">
      <c r="B367" s="51" t="n"/>
      <c r="C367" s="51" t="n"/>
      <c r="D367" s="51" t="n"/>
      <c r="E367" s="51" t="n"/>
      <c r="F367" s="51" t="n"/>
      <c r="G367" s="51" t="n"/>
      <c r="H367" s="51" t="n"/>
      <c r="I367" s="51" t="n"/>
      <c r="J367" s="51" t="n"/>
      <c r="K367" s="51" t="n"/>
      <c r="L367" s="52">
        <f>IF($B367="",0,IF($C367="HZ",1,IFERROR(INDEX('Value Streams &amp; Delivery Mode'!$D$17:$M$22,MATCH($D367,'Value Streams &amp; Delivery Mode'!$B$17:$B$22,0),($B367-1)*2+IF($C367="POD",1,2)),0)))</f>
        <v/>
      </c>
      <c r="M367" s="53">
        <f>IF($B367="",0,$K367*$L367)</f>
        <v/>
      </c>
      <c r="N367" s="54">
        <f>IF($B367="",0,IFERROR(INDEX('Rates &amp; Tables'!$C$61:$G$63,MATCH($I367,'Rates &amp; Tables'!$J$61:$J$63,0),MATCH($H367,'Rates &amp; Tables'!$C$60:$G$60,0)),0))</f>
        <v/>
      </c>
      <c r="O367" s="52">
        <f>IF($B367="",0,$M367*$N367)</f>
        <v/>
      </c>
      <c r="P367" s="49">
        <f>IF($B367="","",$B367&amp;"|"&amp;$G367&amp;"|"&amp;$J367)</f>
        <v/>
      </c>
    </row>
    <row r="368" hidden="1" ht="14.25" customHeight="1">
      <c r="B368" s="51" t="n"/>
      <c r="C368" s="51" t="n"/>
      <c r="D368" s="51" t="n"/>
      <c r="E368" s="51" t="n"/>
      <c r="F368" s="51" t="n"/>
      <c r="G368" s="51" t="n"/>
      <c r="H368" s="51" t="n"/>
      <c r="I368" s="51" t="n"/>
      <c r="J368" s="51" t="n"/>
      <c r="K368" s="51" t="n"/>
      <c r="L368" s="52">
        <f>IF($B368="",0,IF($C368="HZ",1,IFERROR(INDEX('Value Streams &amp; Delivery Mode'!$D$17:$M$22,MATCH($D368,'Value Streams &amp; Delivery Mode'!$B$17:$B$22,0),($B368-1)*2+IF($C368="POD",1,2)),0)))</f>
        <v/>
      </c>
      <c r="M368" s="53">
        <f>IF($B368="",0,$K368*$L368)</f>
        <v/>
      </c>
      <c r="N368" s="54">
        <f>IF($B368="",0,IFERROR(INDEX('Rates &amp; Tables'!$C$61:$G$63,MATCH($I368,'Rates &amp; Tables'!$J$61:$J$63,0),MATCH($H368,'Rates &amp; Tables'!$C$60:$G$60,0)),0))</f>
        <v/>
      </c>
      <c r="O368" s="52">
        <f>IF($B368="",0,$M368*$N368)</f>
        <v/>
      </c>
      <c r="P368" s="49">
        <f>IF($B368="","",$B368&amp;"|"&amp;$G368&amp;"|"&amp;$J368)</f>
        <v/>
      </c>
    </row>
    <row r="369" hidden="1" ht="14.25" customHeight="1">
      <c r="B369" s="51" t="n"/>
      <c r="C369" s="51" t="n"/>
      <c r="D369" s="51" t="n"/>
      <c r="E369" s="51" t="n"/>
      <c r="F369" s="51" t="n"/>
      <c r="G369" s="51" t="n"/>
      <c r="H369" s="51" t="n"/>
      <c r="I369" s="51" t="n"/>
      <c r="J369" s="51" t="n"/>
      <c r="K369" s="51" t="n"/>
      <c r="L369" s="52">
        <f>IF($B369="",0,IF($C369="HZ",1,IFERROR(INDEX('Value Streams &amp; Delivery Mode'!$D$17:$M$22,MATCH($D369,'Value Streams &amp; Delivery Mode'!$B$17:$B$22,0),($B369-1)*2+IF($C369="POD",1,2)),0)))</f>
        <v/>
      </c>
      <c r="M369" s="53">
        <f>IF($B369="",0,$K369*$L369)</f>
        <v/>
      </c>
      <c r="N369" s="54">
        <f>IF($B369="",0,IFERROR(INDEX('Rates &amp; Tables'!$C$61:$G$63,MATCH($I369,'Rates &amp; Tables'!$J$61:$J$63,0),MATCH($H369,'Rates &amp; Tables'!$C$60:$G$60,0)),0))</f>
        <v/>
      </c>
      <c r="O369" s="52">
        <f>IF($B369="",0,$M369*$N369)</f>
        <v/>
      </c>
      <c r="P369" s="49">
        <f>IF($B369="","",$B369&amp;"|"&amp;$G369&amp;"|"&amp;$J369)</f>
        <v/>
      </c>
    </row>
    <row r="370" hidden="1" ht="14.25" customHeight="1">
      <c r="B370" s="51" t="n"/>
      <c r="C370" s="51" t="n"/>
      <c r="D370" s="51" t="n"/>
      <c r="E370" s="51" t="n"/>
      <c r="F370" s="51" t="n"/>
      <c r="G370" s="51" t="n"/>
      <c r="H370" s="51" t="n"/>
      <c r="I370" s="51" t="n"/>
      <c r="J370" s="51" t="n"/>
      <c r="K370" s="51" t="n"/>
      <c r="L370" s="52">
        <f>IF($B370="",0,IF($C370="HZ",1,IFERROR(INDEX('Value Streams &amp; Delivery Mode'!$D$17:$M$22,MATCH($D370,'Value Streams &amp; Delivery Mode'!$B$17:$B$22,0),($B370-1)*2+IF($C370="POD",1,2)),0)))</f>
        <v/>
      </c>
      <c r="M370" s="53">
        <f>IF($B370="",0,$K370*$L370)</f>
        <v/>
      </c>
      <c r="N370" s="54">
        <f>IF($B370="",0,IFERROR(INDEX('Rates &amp; Tables'!$C$61:$G$63,MATCH($I370,'Rates &amp; Tables'!$J$61:$J$63,0),MATCH($H370,'Rates &amp; Tables'!$C$60:$G$60,0)),0))</f>
        <v/>
      </c>
      <c r="O370" s="52">
        <f>IF($B370="",0,$M370*$N370)</f>
        <v/>
      </c>
      <c r="P370" s="49">
        <f>IF($B370="","",$B370&amp;"|"&amp;$G370&amp;"|"&amp;$J370)</f>
        <v/>
      </c>
    </row>
    <row r="371" hidden="1" ht="14.25" customHeight="1">
      <c r="B371" s="51" t="n"/>
      <c r="C371" s="51" t="n"/>
      <c r="D371" s="51" t="n"/>
      <c r="E371" s="51" t="n"/>
      <c r="F371" s="51" t="n"/>
      <c r="G371" s="51" t="n"/>
      <c r="H371" s="51" t="n"/>
      <c r="I371" s="51" t="n"/>
      <c r="J371" s="51" t="n"/>
      <c r="K371" s="51" t="n"/>
      <c r="L371" s="52">
        <f>IF($B371="",0,IF($C371="HZ",1,IFERROR(INDEX('Value Streams &amp; Delivery Mode'!$D$17:$M$22,MATCH($D371,'Value Streams &amp; Delivery Mode'!$B$17:$B$22,0),($B371-1)*2+IF($C371="POD",1,2)),0)))</f>
        <v/>
      </c>
      <c r="M371" s="53">
        <f>IF($B371="",0,$K371*$L371)</f>
        <v/>
      </c>
      <c r="N371" s="54">
        <f>IF($B371="",0,IFERROR(INDEX('Rates &amp; Tables'!$C$61:$G$63,MATCH($I371,'Rates &amp; Tables'!$J$61:$J$63,0),MATCH($H371,'Rates &amp; Tables'!$C$60:$G$60,0)),0))</f>
        <v/>
      </c>
      <c r="O371" s="52">
        <f>IF($B371="",0,$M371*$N371)</f>
        <v/>
      </c>
      <c r="P371" s="49">
        <f>IF($B371="","",$B371&amp;"|"&amp;$G371&amp;"|"&amp;$J371)</f>
        <v/>
      </c>
    </row>
    <row r="372" hidden="1" ht="14.25" customHeight="1">
      <c r="B372" s="51" t="n"/>
      <c r="C372" s="51" t="n"/>
      <c r="D372" s="51" t="n"/>
      <c r="E372" s="51" t="n"/>
      <c r="F372" s="51" t="n"/>
      <c r="G372" s="51" t="n"/>
      <c r="H372" s="51" t="n"/>
      <c r="I372" s="51" t="n"/>
      <c r="J372" s="51" t="n"/>
      <c r="K372" s="51" t="n"/>
      <c r="L372" s="52">
        <f>IF($B372="",0,IF($C372="HZ",1,IFERROR(INDEX('Value Streams &amp; Delivery Mode'!$D$17:$M$22,MATCH($D372,'Value Streams &amp; Delivery Mode'!$B$17:$B$22,0),($B372-1)*2+IF($C372="POD",1,2)),0)))</f>
        <v/>
      </c>
      <c r="M372" s="53">
        <f>IF($B372="",0,$K372*$L372)</f>
        <v/>
      </c>
      <c r="N372" s="54">
        <f>IF($B372="",0,IFERROR(INDEX('Rates &amp; Tables'!$C$61:$G$63,MATCH($I372,'Rates &amp; Tables'!$J$61:$J$63,0),MATCH($H372,'Rates &amp; Tables'!$C$60:$G$60,0)),0))</f>
        <v/>
      </c>
      <c r="O372" s="52">
        <f>IF($B372="",0,$M372*$N372)</f>
        <v/>
      </c>
      <c r="P372" s="49">
        <f>IF($B372="","",$B372&amp;"|"&amp;$G372&amp;"|"&amp;$J372)</f>
        <v/>
      </c>
    </row>
    <row r="373" hidden="1" ht="14.25" customHeight="1">
      <c r="B373" s="51" t="n"/>
      <c r="C373" s="51" t="n"/>
      <c r="D373" s="51" t="n"/>
      <c r="E373" s="51" t="n"/>
      <c r="F373" s="51" t="n"/>
      <c r="G373" s="51" t="n"/>
      <c r="H373" s="51" t="n"/>
      <c r="I373" s="51" t="n"/>
      <c r="J373" s="51" t="n"/>
      <c r="K373" s="51" t="n"/>
      <c r="L373" s="52">
        <f>IF($B373="",0,IF($C373="HZ",1,IFERROR(INDEX('Value Streams &amp; Delivery Mode'!$D$17:$M$22,MATCH($D373,'Value Streams &amp; Delivery Mode'!$B$17:$B$22,0),($B373-1)*2+IF($C373="POD",1,2)),0)))</f>
        <v/>
      </c>
      <c r="M373" s="53">
        <f>IF($B373="",0,$K373*$L373)</f>
        <v/>
      </c>
      <c r="N373" s="54">
        <f>IF($B373="",0,IFERROR(INDEX('Rates &amp; Tables'!$C$61:$G$63,MATCH($I373,'Rates &amp; Tables'!$J$61:$J$63,0),MATCH($H373,'Rates &amp; Tables'!$C$60:$G$60,0)),0))</f>
        <v/>
      </c>
      <c r="O373" s="52">
        <f>IF($B373="",0,$M373*$N373)</f>
        <v/>
      </c>
      <c r="P373" s="49">
        <f>IF($B373="","",$B373&amp;"|"&amp;$G373&amp;"|"&amp;$J373)</f>
        <v/>
      </c>
    </row>
    <row r="374" hidden="1" ht="14.25" customHeight="1">
      <c r="B374" s="51" t="n"/>
      <c r="C374" s="51" t="n"/>
      <c r="D374" s="51" t="n"/>
      <c r="E374" s="51" t="n"/>
      <c r="F374" s="51" t="n"/>
      <c r="G374" s="51" t="n"/>
      <c r="H374" s="51" t="n"/>
      <c r="I374" s="51" t="n"/>
      <c r="J374" s="51" t="n"/>
      <c r="K374" s="51" t="n"/>
      <c r="L374" s="52">
        <f>IF($B374="",0,IF($C374="HZ",1,IFERROR(INDEX('Value Streams &amp; Delivery Mode'!$D$17:$M$22,MATCH($D374,'Value Streams &amp; Delivery Mode'!$B$17:$B$22,0),($B374-1)*2+IF($C374="POD",1,2)),0)))</f>
        <v/>
      </c>
      <c r="M374" s="53">
        <f>IF($B374="",0,$K374*$L374)</f>
        <v/>
      </c>
      <c r="N374" s="54">
        <f>IF($B374="",0,IFERROR(INDEX('Rates &amp; Tables'!$C$61:$G$63,MATCH($I374,'Rates &amp; Tables'!$J$61:$J$63,0),MATCH($H374,'Rates &amp; Tables'!$C$60:$G$60,0)),0))</f>
        <v/>
      </c>
      <c r="O374" s="52">
        <f>IF($B374="",0,$M374*$N374)</f>
        <v/>
      </c>
      <c r="P374" s="49">
        <f>IF($B374="","",$B374&amp;"|"&amp;$G374&amp;"|"&amp;$J374)</f>
        <v/>
      </c>
    </row>
    <row r="375" hidden="1" ht="14.25" customHeight="1">
      <c r="B375" s="51" t="n"/>
      <c r="C375" s="51" t="n"/>
      <c r="D375" s="51" t="n"/>
      <c r="E375" s="51" t="n"/>
      <c r="F375" s="51" t="n"/>
      <c r="G375" s="51" t="n"/>
      <c r="H375" s="51" t="n"/>
      <c r="I375" s="51" t="n"/>
      <c r="J375" s="51" t="n"/>
      <c r="K375" s="51" t="n"/>
      <c r="L375" s="52">
        <f>IF($B375="",0,IF($C375="HZ",1,IFERROR(INDEX('Value Streams &amp; Delivery Mode'!$D$17:$M$22,MATCH($D375,'Value Streams &amp; Delivery Mode'!$B$17:$B$22,0),($B375-1)*2+IF($C375="POD",1,2)),0)))</f>
        <v/>
      </c>
      <c r="M375" s="53">
        <f>IF($B375="",0,$K375*$L375)</f>
        <v/>
      </c>
      <c r="N375" s="54">
        <f>IF($B375="",0,IFERROR(INDEX('Rates &amp; Tables'!$C$61:$G$63,MATCH($I375,'Rates &amp; Tables'!$J$61:$J$63,0),MATCH($H375,'Rates &amp; Tables'!$C$60:$G$60,0)),0))</f>
        <v/>
      </c>
      <c r="O375" s="52">
        <f>IF($B375="",0,$M375*$N375)</f>
        <v/>
      </c>
      <c r="P375" s="49">
        <f>IF($B375="","",$B375&amp;"|"&amp;$G375&amp;"|"&amp;$J375)</f>
        <v/>
      </c>
    </row>
    <row r="376" hidden="1" ht="14.25" customHeight="1">
      <c r="B376" s="51" t="n"/>
      <c r="C376" s="51" t="n"/>
      <c r="D376" s="51" t="n"/>
      <c r="E376" s="51" t="n"/>
      <c r="F376" s="51" t="n"/>
      <c r="G376" s="51" t="n"/>
      <c r="H376" s="51" t="n"/>
      <c r="I376" s="51" t="n"/>
      <c r="J376" s="51" t="n"/>
      <c r="K376" s="51" t="n"/>
      <c r="L376" s="52">
        <f>IF($B376="",0,IF($C376="HZ",1,IFERROR(INDEX('Value Streams &amp; Delivery Mode'!$D$17:$M$22,MATCH($D376,'Value Streams &amp; Delivery Mode'!$B$17:$B$22,0),($B376-1)*2+IF($C376="POD",1,2)),0)))</f>
        <v/>
      </c>
      <c r="M376" s="53">
        <f>IF($B376="",0,$K376*$L376)</f>
        <v/>
      </c>
      <c r="N376" s="54">
        <f>IF($B376="",0,IFERROR(INDEX('Rates &amp; Tables'!$C$61:$G$63,MATCH($I376,'Rates &amp; Tables'!$J$61:$J$63,0),MATCH($H376,'Rates &amp; Tables'!$C$60:$G$60,0)),0))</f>
        <v/>
      </c>
      <c r="O376" s="52">
        <f>IF($B376="",0,$M376*$N376)</f>
        <v/>
      </c>
      <c r="P376" s="49">
        <f>IF($B376="","",$B376&amp;"|"&amp;$G376&amp;"|"&amp;$J376)</f>
        <v/>
      </c>
    </row>
    <row r="377" hidden="1" ht="14.25" customHeight="1">
      <c r="B377" s="51" t="n"/>
      <c r="C377" s="51" t="n"/>
      <c r="D377" s="51" t="n"/>
      <c r="E377" s="51" t="n"/>
      <c r="F377" s="51" t="n"/>
      <c r="G377" s="51" t="n"/>
      <c r="H377" s="51" t="n"/>
      <c r="I377" s="51" t="n"/>
      <c r="J377" s="51" t="n"/>
      <c r="K377" s="51" t="n"/>
      <c r="L377" s="52">
        <f>IF($B377="",0,IF($C377="HZ",1,IFERROR(INDEX('Value Streams &amp; Delivery Mode'!$D$17:$M$22,MATCH($D377,'Value Streams &amp; Delivery Mode'!$B$17:$B$22,0),($B377-1)*2+IF($C377="POD",1,2)),0)))</f>
        <v/>
      </c>
      <c r="M377" s="53">
        <f>IF($B377="",0,$K377*$L377)</f>
        <v/>
      </c>
      <c r="N377" s="54">
        <f>IF($B377="",0,IFERROR(INDEX('Rates &amp; Tables'!$C$61:$G$63,MATCH($I377,'Rates &amp; Tables'!$J$61:$J$63,0),MATCH($H377,'Rates &amp; Tables'!$C$60:$G$60,0)),0))</f>
        <v/>
      </c>
      <c r="O377" s="52">
        <f>IF($B377="",0,$M377*$N377)</f>
        <v/>
      </c>
      <c r="P377" s="49">
        <f>IF($B377="","",$B377&amp;"|"&amp;$G377&amp;"|"&amp;$J377)</f>
        <v/>
      </c>
    </row>
    <row r="378" hidden="1" ht="14.25" customHeight="1">
      <c r="B378" s="51" t="n"/>
      <c r="C378" s="51" t="n"/>
      <c r="D378" s="51" t="n"/>
      <c r="E378" s="51" t="n"/>
      <c r="F378" s="51" t="n"/>
      <c r="G378" s="51" t="n"/>
      <c r="H378" s="51" t="n"/>
      <c r="I378" s="51" t="n"/>
      <c r="J378" s="51" t="n"/>
      <c r="K378" s="51" t="n"/>
      <c r="L378" s="52">
        <f>IF($B378="",0,IF($C378="HZ",1,IFERROR(INDEX('Value Streams &amp; Delivery Mode'!$D$17:$M$22,MATCH($D378,'Value Streams &amp; Delivery Mode'!$B$17:$B$22,0),($B378-1)*2+IF($C378="POD",1,2)),0)))</f>
        <v/>
      </c>
      <c r="M378" s="53">
        <f>IF($B378="",0,$K378*$L378)</f>
        <v/>
      </c>
      <c r="N378" s="54">
        <f>IF($B378="",0,IFERROR(INDEX('Rates &amp; Tables'!$C$61:$G$63,MATCH($I378,'Rates &amp; Tables'!$J$61:$J$63,0),MATCH($H378,'Rates &amp; Tables'!$C$60:$G$60,0)),0))</f>
        <v/>
      </c>
      <c r="O378" s="52">
        <f>IF($B378="",0,$M378*$N378)</f>
        <v/>
      </c>
      <c r="P378" s="49">
        <f>IF($B378="","",$B378&amp;"|"&amp;$G378&amp;"|"&amp;$J378)</f>
        <v/>
      </c>
    </row>
    <row r="379" hidden="1" ht="14.25" customHeight="1">
      <c r="B379" s="51" t="n"/>
      <c r="C379" s="51" t="n"/>
      <c r="D379" s="51" t="n"/>
      <c r="E379" s="51" t="n"/>
      <c r="F379" s="51" t="n"/>
      <c r="G379" s="51" t="n"/>
      <c r="H379" s="51" t="n"/>
      <c r="I379" s="51" t="n"/>
      <c r="J379" s="51" t="n"/>
      <c r="K379" s="51" t="n"/>
      <c r="L379" s="52">
        <f>IF($B379="",0,IF($C379="HZ",1,IFERROR(INDEX('Value Streams &amp; Delivery Mode'!$D$17:$M$22,MATCH($D379,'Value Streams &amp; Delivery Mode'!$B$17:$B$22,0),($B379-1)*2+IF($C379="POD",1,2)),0)))</f>
        <v/>
      </c>
      <c r="M379" s="53">
        <f>IF($B379="",0,$K379*$L379)</f>
        <v/>
      </c>
      <c r="N379" s="54">
        <f>IF($B379="",0,IFERROR(INDEX('Rates &amp; Tables'!$C$61:$G$63,MATCH($I379,'Rates &amp; Tables'!$J$61:$J$63,0),MATCH($H379,'Rates &amp; Tables'!$C$60:$G$60,0)),0))</f>
        <v/>
      </c>
      <c r="O379" s="52">
        <f>IF($B379="",0,$M379*$N379)</f>
        <v/>
      </c>
      <c r="P379" s="49">
        <f>IF($B379="","",$B379&amp;"|"&amp;$G379&amp;"|"&amp;$J379)</f>
        <v/>
      </c>
    </row>
    <row r="380" hidden="1" ht="14.25" customHeight="1">
      <c r="B380" s="51" t="n"/>
      <c r="C380" s="51" t="n"/>
      <c r="D380" s="51" t="n"/>
      <c r="E380" s="51" t="n"/>
      <c r="F380" s="51" t="n"/>
      <c r="G380" s="51" t="n"/>
      <c r="H380" s="51" t="n"/>
      <c r="I380" s="51" t="n"/>
      <c r="J380" s="51" t="n"/>
      <c r="K380" s="51" t="n"/>
      <c r="L380" s="52">
        <f>IF($B380="",0,IF($C380="HZ",1,IFERROR(INDEX('Value Streams &amp; Delivery Mode'!$D$17:$M$22,MATCH($D380,'Value Streams &amp; Delivery Mode'!$B$17:$B$22,0),($B380-1)*2+IF($C380="POD",1,2)),0)))</f>
        <v/>
      </c>
      <c r="M380" s="53">
        <f>IF($B380="",0,$K380*$L380)</f>
        <v/>
      </c>
      <c r="N380" s="54">
        <f>IF($B380="",0,IFERROR(INDEX('Rates &amp; Tables'!$C$61:$G$63,MATCH($I380,'Rates &amp; Tables'!$J$61:$J$63,0),MATCH($H380,'Rates &amp; Tables'!$C$60:$G$60,0)),0))</f>
        <v/>
      </c>
      <c r="O380" s="52">
        <f>IF($B380="",0,$M380*$N380)</f>
        <v/>
      </c>
      <c r="P380" s="49">
        <f>IF($B380="","",$B380&amp;"|"&amp;$G380&amp;"|"&amp;$J380)</f>
        <v/>
      </c>
    </row>
    <row r="381" hidden="1" ht="14.25" customHeight="1">
      <c r="B381" s="51" t="n"/>
      <c r="C381" s="51" t="n"/>
      <c r="D381" s="51" t="n"/>
      <c r="E381" s="51" t="n"/>
      <c r="F381" s="51" t="n"/>
      <c r="G381" s="51" t="n"/>
      <c r="H381" s="51" t="n"/>
      <c r="I381" s="51" t="n"/>
      <c r="J381" s="51" t="n"/>
      <c r="K381" s="51" t="n"/>
      <c r="L381" s="52">
        <f>IF($B381="",0,IF($C381="HZ",1,IFERROR(INDEX('Value Streams &amp; Delivery Mode'!$D$17:$M$22,MATCH($D381,'Value Streams &amp; Delivery Mode'!$B$17:$B$22,0),($B381-1)*2+IF($C381="POD",1,2)),0)))</f>
        <v/>
      </c>
      <c r="M381" s="53">
        <f>IF($B381="",0,$K381*$L381)</f>
        <v/>
      </c>
      <c r="N381" s="54">
        <f>IF($B381="",0,IFERROR(INDEX('Rates &amp; Tables'!$C$61:$G$63,MATCH($I381,'Rates &amp; Tables'!$J$61:$J$63,0),MATCH($H381,'Rates &amp; Tables'!$C$60:$G$60,0)),0))</f>
        <v/>
      </c>
      <c r="O381" s="52">
        <f>IF($B381="",0,$M381*$N381)</f>
        <v/>
      </c>
      <c r="P381" s="49">
        <f>IF($B381="","",$B381&amp;"|"&amp;$G381&amp;"|"&amp;$J381)</f>
        <v/>
      </c>
    </row>
    <row r="382" hidden="1" ht="14.25" customHeight="1">
      <c r="B382" s="51" t="n"/>
      <c r="C382" s="51" t="n"/>
      <c r="D382" s="51" t="n"/>
      <c r="E382" s="51" t="n"/>
      <c r="F382" s="51" t="n"/>
      <c r="G382" s="51" t="n"/>
      <c r="H382" s="51" t="n"/>
      <c r="I382" s="51" t="n"/>
      <c r="J382" s="51" t="n"/>
      <c r="K382" s="51" t="n"/>
      <c r="L382" s="52">
        <f>IF($B382="",0,IF($C382="HZ",1,IFERROR(INDEX('Value Streams &amp; Delivery Mode'!$D$17:$M$22,MATCH($D382,'Value Streams &amp; Delivery Mode'!$B$17:$B$22,0),($B382-1)*2+IF($C382="POD",1,2)),0)))</f>
        <v/>
      </c>
      <c r="M382" s="53">
        <f>IF($B382="",0,$K382*$L382)</f>
        <v/>
      </c>
      <c r="N382" s="54">
        <f>IF($B382="",0,IFERROR(INDEX('Rates &amp; Tables'!$C$61:$G$63,MATCH($I382,'Rates &amp; Tables'!$J$61:$J$63,0),MATCH($H382,'Rates &amp; Tables'!$C$60:$G$60,0)),0))</f>
        <v/>
      </c>
      <c r="O382" s="52">
        <f>IF($B382="",0,$M382*$N382)</f>
        <v/>
      </c>
      <c r="P382" s="49">
        <f>IF($B382="","",$B382&amp;"|"&amp;$G382&amp;"|"&amp;$J382)</f>
        <v/>
      </c>
    </row>
    <row r="383" hidden="1" ht="14.25" customHeight="1">
      <c r="B383" s="51" t="n"/>
      <c r="C383" s="51" t="n"/>
      <c r="D383" s="51" t="n"/>
      <c r="E383" s="51" t="n"/>
      <c r="F383" s="51" t="n"/>
      <c r="G383" s="51" t="n"/>
      <c r="H383" s="51" t="n"/>
      <c r="I383" s="51" t="n"/>
      <c r="J383" s="51" t="n"/>
      <c r="K383" s="51" t="n"/>
      <c r="L383" s="52">
        <f>IF($B383="",0,IF($C383="HZ",1,IFERROR(INDEX('Value Streams &amp; Delivery Mode'!$D$17:$M$22,MATCH($D383,'Value Streams &amp; Delivery Mode'!$B$17:$B$22,0),($B383-1)*2+IF($C383="POD",1,2)),0)))</f>
        <v/>
      </c>
      <c r="M383" s="53">
        <f>IF($B383="",0,$K383*$L383)</f>
        <v/>
      </c>
      <c r="N383" s="54">
        <f>IF($B383="",0,IFERROR(INDEX('Rates &amp; Tables'!$C$61:$G$63,MATCH($I383,'Rates &amp; Tables'!$J$61:$J$63,0),MATCH($H383,'Rates &amp; Tables'!$C$60:$G$60,0)),0))</f>
        <v/>
      </c>
      <c r="O383" s="52">
        <f>IF($B383="",0,$M383*$N383)</f>
        <v/>
      </c>
      <c r="P383" s="49">
        <f>IF($B383="","",$B383&amp;"|"&amp;$G383&amp;"|"&amp;$J383)</f>
        <v/>
      </c>
    </row>
    <row r="384" hidden="1" ht="14.25" customHeight="1">
      <c r="B384" s="51" t="n"/>
      <c r="C384" s="51" t="n"/>
      <c r="D384" s="51" t="n"/>
      <c r="E384" s="51" t="n"/>
      <c r="F384" s="51" t="n"/>
      <c r="G384" s="51" t="n"/>
      <c r="H384" s="51" t="n"/>
      <c r="I384" s="51" t="n"/>
      <c r="J384" s="51" t="n"/>
      <c r="K384" s="51" t="n"/>
      <c r="L384" s="52">
        <f>IF($B384="",0,IF($C384="HZ",1,IFERROR(INDEX('Value Streams &amp; Delivery Mode'!$D$17:$M$22,MATCH($D384,'Value Streams &amp; Delivery Mode'!$B$17:$B$22,0),($B384-1)*2+IF($C384="POD",1,2)),0)))</f>
        <v/>
      </c>
      <c r="M384" s="53">
        <f>IF($B384="",0,$K384*$L384)</f>
        <v/>
      </c>
      <c r="N384" s="54">
        <f>IF($B384="",0,IFERROR(INDEX('Rates &amp; Tables'!$C$61:$G$63,MATCH($I384,'Rates &amp; Tables'!$J$61:$J$63,0),MATCH($H384,'Rates &amp; Tables'!$C$60:$G$60,0)),0))</f>
        <v/>
      </c>
      <c r="O384" s="52">
        <f>IF($B384="",0,$M384*$N384)</f>
        <v/>
      </c>
      <c r="P384" s="49">
        <f>IF($B384="","",$B384&amp;"|"&amp;$G384&amp;"|"&amp;$J384)</f>
        <v/>
      </c>
    </row>
    <row r="385" hidden="1" ht="14.25" customHeight="1">
      <c r="B385" s="51" t="n"/>
      <c r="C385" s="51" t="n"/>
      <c r="D385" s="51" t="n"/>
      <c r="E385" s="51" t="n"/>
      <c r="F385" s="51" t="n"/>
      <c r="G385" s="51" t="n"/>
      <c r="H385" s="51" t="n"/>
      <c r="I385" s="51" t="n"/>
      <c r="J385" s="51" t="n"/>
      <c r="K385" s="51" t="n"/>
      <c r="L385" s="52">
        <f>IF($B385="",0,IF($C385="HZ",1,IFERROR(INDEX('Value Streams &amp; Delivery Mode'!$D$17:$M$22,MATCH($D385,'Value Streams &amp; Delivery Mode'!$B$17:$B$22,0),($B385-1)*2+IF($C385="POD",1,2)),0)))</f>
        <v/>
      </c>
      <c r="M385" s="53">
        <f>IF($B385="",0,$K385*$L385)</f>
        <v/>
      </c>
      <c r="N385" s="54">
        <f>IF($B385="",0,IFERROR(INDEX('Rates &amp; Tables'!$C$61:$G$63,MATCH($I385,'Rates &amp; Tables'!$J$61:$J$63,0),MATCH($H385,'Rates &amp; Tables'!$C$60:$G$60,0)),0))</f>
        <v/>
      </c>
      <c r="O385" s="52">
        <f>IF($B385="",0,$M385*$N385)</f>
        <v/>
      </c>
      <c r="P385" s="49">
        <f>IF($B385="","",$B385&amp;"|"&amp;$G385&amp;"|"&amp;$J385)</f>
        <v/>
      </c>
    </row>
    <row r="386" hidden="1" ht="14.25" customHeight="1">
      <c r="B386" s="51" t="n"/>
      <c r="C386" s="51" t="n"/>
      <c r="D386" s="51" t="n"/>
      <c r="E386" s="51" t="n"/>
      <c r="F386" s="51" t="n"/>
      <c r="G386" s="51" t="n"/>
      <c r="H386" s="51" t="n"/>
      <c r="I386" s="51" t="n"/>
      <c r="J386" s="51" t="n"/>
      <c r="K386" s="51" t="n"/>
      <c r="L386" s="52">
        <f>IF($B386="",0,IF($C386="HZ",1,IFERROR(INDEX('Value Streams &amp; Delivery Mode'!$D$17:$M$22,MATCH($D386,'Value Streams &amp; Delivery Mode'!$B$17:$B$22,0),($B386-1)*2+IF($C386="POD",1,2)),0)))</f>
        <v/>
      </c>
      <c r="M386" s="53">
        <f>IF($B386="",0,$K386*$L386)</f>
        <v/>
      </c>
      <c r="N386" s="54">
        <f>IF($B386="",0,IFERROR(INDEX('Rates &amp; Tables'!$C$61:$G$63,MATCH($I386,'Rates &amp; Tables'!$J$61:$J$63,0),MATCH($H386,'Rates &amp; Tables'!$C$60:$G$60,0)),0))</f>
        <v/>
      </c>
      <c r="O386" s="52">
        <f>IF($B386="",0,$M386*$N386)</f>
        <v/>
      </c>
      <c r="P386" s="49">
        <f>IF($B386="","",$B386&amp;"|"&amp;$G386&amp;"|"&amp;$J386)</f>
        <v/>
      </c>
    </row>
    <row r="387" hidden="1" ht="14.25" customHeight="1">
      <c r="B387" s="51" t="n"/>
      <c r="C387" s="51" t="n"/>
      <c r="D387" s="51" t="n"/>
      <c r="E387" s="51" t="n"/>
      <c r="F387" s="51" t="n"/>
      <c r="G387" s="51" t="n"/>
      <c r="H387" s="51" t="n"/>
      <c r="I387" s="51" t="n"/>
      <c r="J387" s="51" t="n"/>
      <c r="K387" s="51" t="n"/>
      <c r="L387" s="52">
        <f>IF($B387="",0,IF($C387="HZ",1,IFERROR(INDEX('Value Streams &amp; Delivery Mode'!$D$17:$M$22,MATCH($D387,'Value Streams &amp; Delivery Mode'!$B$17:$B$22,0),($B387-1)*2+IF($C387="POD",1,2)),0)))</f>
        <v/>
      </c>
      <c r="M387" s="53">
        <f>IF($B387="",0,$K387*$L387)</f>
        <v/>
      </c>
      <c r="N387" s="54">
        <f>IF($B387="",0,IFERROR(INDEX('Rates &amp; Tables'!$C$61:$G$63,MATCH($I387,'Rates &amp; Tables'!$J$61:$J$63,0),MATCH($H387,'Rates &amp; Tables'!$C$60:$G$60,0)),0))</f>
        <v/>
      </c>
      <c r="O387" s="52">
        <f>IF($B387="",0,$M387*$N387)</f>
        <v/>
      </c>
      <c r="P387" s="49">
        <f>IF($B387="","",$B387&amp;"|"&amp;$G387&amp;"|"&amp;$J387)</f>
        <v/>
      </c>
    </row>
    <row r="388" hidden="1" ht="14.25" customHeight="1">
      <c r="B388" s="51" t="n"/>
      <c r="C388" s="51" t="n"/>
      <c r="D388" s="51" t="n"/>
      <c r="E388" s="51" t="n"/>
      <c r="F388" s="51" t="n"/>
      <c r="G388" s="51" t="n"/>
      <c r="H388" s="51" t="n"/>
      <c r="I388" s="51" t="n"/>
      <c r="J388" s="51" t="n"/>
      <c r="K388" s="51" t="n"/>
      <c r="L388" s="52">
        <f>IF($B388="",0,IF($C388="HZ",1,IFERROR(INDEX('Value Streams &amp; Delivery Mode'!$D$17:$M$22,MATCH($D388,'Value Streams &amp; Delivery Mode'!$B$17:$B$22,0),($B388-1)*2+IF($C388="POD",1,2)),0)))</f>
        <v/>
      </c>
      <c r="M388" s="53">
        <f>IF($B388="",0,$K388*$L388)</f>
        <v/>
      </c>
      <c r="N388" s="54">
        <f>IF($B388="",0,IFERROR(INDEX('Rates &amp; Tables'!$C$61:$G$63,MATCH($I388,'Rates &amp; Tables'!$J$61:$J$63,0),MATCH($H388,'Rates &amp; Tables'!$C$60:$G$60,0)),0))</f>
        <v/>
      </c>
      <c r="O388" s="52">
        <f>IF($B388="",0,$M388*$N388)</f>
        <v/>
      </c>
      <c r="P388" s="49">
        <f>IF($B388="","",$B388&amp;"|"&amp;$G388&amp;"|"&amp;$J388)</f>
        <v/>
      </c>
    </row>
    <row r="389" hidden="1" ht="14.25" customHeight="1">
      <c r="B389" s="51" t="n"/>
      <c r="C389" s="51" t="n"/>
      <c r="D389" s="51" t="n"/>
      <c r="E389" s="51" t="n"/>
      <c r="F389" s="51" t="n"/>
      <c r="G389" s="51" t="n"/>
      <c r="H389" s="51" t="n"/>
      <c r="I389" s="51" t="n"/>
      <c r="J389" s="51" t="n"/>
      <c r="K389" s="51" t="n"/>
      <c r="L389" s="52">
        <f>IF($B389="",0,IF($C389="HZ",1,IFERROR(INDEX('Value Streams &amp; Delivery Mode'!$D$17:$M$22,MATCH($D389,'Value Streams &amp; Delivery Mode'!$B$17:$B$22,0),($B389-1)*2+IF($C389="POD",1,2)),0)))</f>
        <v/>
      </c>
      <c r="M389" s="53">
        <f>IF($B389="",0,$K389*$L389)</f>
        <v/>
      </c>
      <c r="N389" s="54">
        <f>IF($B389="",0,IFERROR(INDEX('Rates &amp; Tables'!$C$61:$G$63,MATCH($I389,'Rates &amp; Tables'!$J$61:$J$63,0),MATCH($H389,'Rates &amp; Tables'!$C$60:$G$60,0)),0))</f>
        <v/>
      </c>
      <c r="O389" s="52">
        <f>IF($B389="",0,$M389*$N389)</f>
        <v/>
      </c>
      <c r="P389" s="49">
        <f>IF($B389="","",$B389&amp;"|"&amp;$G389&amp;"|"&amp;$J389)</f>
        <v/>
      </c>
    </row>
    <row r="390" hidden="1" ht="14.25" customHeight="1">
      <c r="B390" s="51" t="n"/>
      <c r="C390" s="51" t="n"/>
      <c r="D390" s="51" t="n"/>
      <c r="E390" s="51" t="n"/>
      <c r="F390" s="51" t="n"/>
      <c r="G390" s="51" t="n"/>
      <c r="H390" s="51" t="n"/>
      <c r="I390" s="51" t="n"/>
      <c r="J390" s="51" t="n"/>
      <c r="K390" s="51" t="n"/>
      <c r="L390" s="52">
        <f>IF($B390="",0,IF($C390="HZ",1,IFERROR(INDEX('Value Streams &amp; Delivery Mode'!$D$17:$M$22,MATCH($D390,'Value Streams &amp; Delivery Mode'!$B$17:$B$22,0),($B390-1)*2+IF($C390="POD",1,2)),0)))</f>
        <v/>
      </c>
      <c r="M390" s="53">
        <f>IF($B390="",0,$K390*$L390)</f>
        <v/>
      </c>
      <c r="N390" s="54">
        <f>IF($B390="",0,IFERROR(INDEX('Rates &amp; Tables'!$C$61:$G$63,MATCH($I390,'Rates &amp; Tables'!$J$61:$J$63,0),MATCH($H390,'Rates &amp; Tables'!$C$60:$G$60,0)),0))</f>
        <v/>
      </c>
      <c r="O390" s="52">
        <f>IF($B390="",0,$M390*$N390)</f>
        <v/>
      </c>
      <c r="P390" s="49">
        <f>IF($B390="","",$B390&amp;"|"&amp;$G390&amp;"|"&amp;$J390)</f>
        <v/>
      </c>
    </row>
    <row r="391" hidden="1" ht="14.25" customHeight="1">
      <c r="B391" s="51" t="n"/>
      <c r="C391" s="51" t="n"/>
      <c r="D391" s="51" t="n"/>
      <c r="E391" s="51" t="n"/>
      <c r="F391" s="51" t="n"/>
      <c r="G391" s="51" t="n"/>
      <c r="H391" s="51" t="n"/>
      <c r="I391" s="51" t="n"/>
      <c r="J391" s="51" t="n"/>
      <c r="K391" s="51" t="n"/>
      <c r="L391" s="52">
        <f>IF($B391="",0,IF($C391="HZ",1,IFERROR(INDEX('Value Streams &amp; Delivery Mode'!$D$17:$M$22,MATCH($D391,'Value Streams &amp; Delivery Mode'!$B$17:$B$22,0),($B391-1)*2+IF($C391="POD",1,2)),0)))</f>
        <v/>
      </c>
      <c r="M391" s="53">
        <f>IF($B391="",0,$K391*$L391)</f>
        <v/>
      </c>
      <c r="N391" s="54">
        <f>IF($B391="",0,IFERROR(INDEX('Rates &amp; Tables'!$C$61:$G$63,MATCH($I391,'Rates &amp; Tables'!$J$61:$J$63,0),MATCH($H391,'Rates &amp; Tables'!$C$60:$G$60,0)),0))</f>
        <v/>
      </c>
      <c r="O391" s="52">
        <f>IF($B391="",0,$M391*$N391)</f>
        <v/>
      </c>
      <c r="P391" s="49">
        <f>IF($B391="","",$B391&amp;"|"&amp;$G391&amp;"|"&amp;$J391)</f>
        <v/>
      </c>
    </row>
    <row r="392" hidden="1" ht="14.25" customHeight="1">
      <c r="B392" s="51" t="n"/>
      <c r="C392" s="51" t="n"/>
      <c r="D392" s="51" t="n"/>
      <c r="E392" s="51" t="n"/>
      <c r="F392" s="51" t="n"/>
      <c r="G392" s="51" t="n"/>
      <c r="H392" s="51" t="n"/>
      <c r="I392" s="51" t="n"/>
      <c r="J392" s="51" t="n"/>
      <c r="K392" s="51" t="n"/>
      <c r="L392" s="52">
        <f>IF($B392="",0,IF($C392="HZ",1,IFERROR(INDEX('Value Streams &amp; Delivery Mode'!$D$17:$M$22,MATCH($D392,'Value Streams &amp; Delivery Mode'!$B$17:$B$22,0),($B392-1)*2+IF($C392="POD",1,2)),0)))</f>
        <v/>
      </c>
      <c r="M392" s="53">
        <f>IF($B392="",0,$K392*$L392)</f>
        <v/>
      </c>
      <c r="N392" s="54">
        <f>IF($B392="",0,IFERROR(INDEX('Rates &amp; Tables'!$C$61:$G$63,MATCH($I392,'Rates &amp; Tables'!$J$61:$J$63,0),MATCH($H392,'Rates &amp; Tables'!$C$60:$G$60,0)),0))</f>
        <v/>
      </c>
      <c r="O392" s="52">
        <f>IF($B392="",0,$M392*$N392)</f>
        <v/>
      </c>
      <c r="P392" s="49">
        <f>IF($B392="","",$B392&amp;"|"&amp;$G392&amp;"|"&amp;$J392)</f>
        <v/>
      </c>
    </row>
    <row r="393" hidden="1" ht="14.25" customHeight="1">
      <c r="B393" s="51" t="n"/>
      <c r="C393" s="51" t="n"/>
      <c r="D393" s="51" t="n"/>
      <c r="E393" s="51" t="n"/>
      <c r="F393" s="51" t="n"/>
      <c r="G393" s="51" t="n"/>
      <c r="H393" s="51" t="n"/>
      <c r="I393" s="51" t="n"/>
      <c r="J393" s="51" t="n"/>
      <c r="K393" s="51" t="n"/>
      <c r="L393" s="52">
        <f>IF($B393="",0,IF($C393="HZ",1,IFERROR(INDEX('Value Streams &amp; Delivery Mode'!$D$17:$M$22,MATCH($D393,'Value Streams &amp; Delivery Mode'!$B$17:$B$22,0),($B393-1)*2+IF($C393="POD",1,2)),0)))</f>
        <v/>
      </c>
      <c r="M393" s="53">
        <f>IF($B393="",0,$K393*$L393)</f>
        <v/>
      </c>
      <c r="N393" s="54">
        <f>IF($B393="",0,IFERROR(INDEX('Rates &amp; Tables'!$C$61:$G$63,MATCH($I393,'Rates &amp; Tables'!$J$61:$J$63,0),MATCH($H393,'Rates &amp; Tables'!$C$60:$G$60,0)),0))</f>
        <v/>
      </c>
      <c r="O393" s="52">
        <f>IF($B393="",0,$M393*$N393)</f>
        <v/>
      </c>
      <c r="P393" s="49">
        <f>IF($B393="","",$B393&amp;"|"&amp;$G393&amp;"|"&amp;$J393)</f>
        <v/>
      </c>
    </row>
    <row r="394" hidden="1" ht="14.25" customHeight="1">
      <c r="B394" s="51" t="n"/>
      <c r="C394" s="51" t="n"/>
      <c r="D394" s="51" t="n"/>
      <c r="E394" s="51" t="n"/>
      <c r="F394" s="51" t="n"/>
      <c r="G394" s="51" t="n"/>
      <c r="H394" s="51" t="n"/>
      <c r="I394" s="51" t="n"/>
      <c r="J394" s="51" t="n"/>
      <c r="K394" s="51" t="n"/>
      <c r="L394" s="52">
        <f>IF($B394="",0,IF($C394="HZ",1,IFERROR(INDEX('Value Streams &amp; Delivery Mode'!$D$17:$M$22,MATCH($D394,'Value Streams &amp; Delivery Mode'!$B$17:$B$22,0),($B394-1)*2+IF($C394="POD",1,2)),0)))</f>
        <v/>
      </c>
      <c r="M394" s="53">
        <f>IF($B394="",0,$K394*$L394)</f>
        <v/>
      </c>
      <c r="N394" s="54">
        <f>IF($B394="",0,IFERROR(INDEX('Rates &amp; Tables'!$C$61:$G$63,MATCH($I394,'Rates &amp; Tables'!$J$61:$J$63,0),MATCH($H394,'Rates &amp; Tables'!$C$60:$G$60,0)),0))</f>
        <v/>
      </c>
      <c r="O394" s="52">
        <f>IF($B394="",0,$M394*$N394)</f>
        <v/>
      </c>
      <c r="P394" s="49">
        <f>IF($B394="","",$B394&amp;"|"&amp;$G394&amp;"|"&amp;$J394)</f>
        <v/>
      </c>
    </row>
    <row r="395" hidden="1" ht="14.25" customHeight="1">
      <c r="B395" s="51" t="n"/>
      <c r="C395" s="51" t="n"/>
      <c r="D395" s="51" t="n"/>
      <c r="E395" s="51" t="n"/>
      <c r="F395" s="51" t="n"/>
      <c r="G395" s="51" t="n"/>
      <c r="H395" s="51" t="n"/>
      <c r="I395" s="51" t="n"/>
      <c r="J395" s="51" t="n"/>
      <c r="K395" s="51" t="n"/>
      <c r="L395" s="52">
        <f>IF($B395="",0,IF($C395="HZ",1,IFERROR(INDEX('Value Streams &amp; Delivery Mode'!$D$17:$M$22,MATCH($D395,'Value Streams &amp; Delivery Mode'!$B$17:$B$22,0),($B395-1)*2+IF($C395="POD",1,2)),0)))</f>
        <v/>
      </c>
      <c r="M395" s="53">
        <f>IF($B395="",0,$K395*$L395)</f>
        <v/>
      </c>
      <c r="N395" s="54">
        <f>IF($B395="",0,IFERROR(INDEX('Rates &amp; Tables'!$C$61:$G$63,MATCH($I395,'Rates &amp; Tables'!$J$61:$J$63,0),MATCH($H395,'Rates &amp; Tables'!$C$60:$G$60,0)),0))</f>
        <v/>
      </c>
      <c r="O395" s="52">
        <f>IF($B395="",0,$M395*$N395)</f>
        <v/>
      </c>
      <c r="P395" s="49">
        <f>IF($B395="","",$B395&amp;"|"&amp;$G395&amp;"|"&amp;$J395)</f>
        <v/>
      </c>
    </row>
    <row r="396" hidden="1" ht="14.25" customHeight="1">
      <c r="B396" s="51" t="n"/>
      <c r="C396" s="51" t="n"/>
      <c r="D396" s="51" t="n"/>
      <c r="E396" s="51" t="n"/>
      <c r="F396" s="51" t="n"/>
      <c r="G396" s="51" t="n"/>
      <c r="H396" s="51" t="n"/>
      <c r="I396" s="51" t="n"/>
      <c r="J396" s="51" t="n"/>
      <c r="K396" s="51" t="n"/>
      <c r="L396" s="52">
        <f>IF($B396="",0,IF($C396="HZ",1,IFERROR(INDEX('Value Streams &amp; Delivery Mode'!$D$17:$M$22,MATCH($D396,'Value Streams &amp; Delivery Mode'!$B$17:$B$22,0),($B396-1)*2+IF($C396="POD",1,2)),0)))</f>
        <v/>
      </c>
      <c r="M396" s="53">
        <f>IF($B396="",0,$K396*$L396)</f>
        <v/>
      </c>
      <c r="N396" s="54">
        <f>IF($B396="",0,IFERROR(INDEX('Rates &amp; Tables'!$C$61:$G$63,MATCH($I396,'Rates &amp; Tables'!$J$61:$J$63,0),MATCH($H396,'Rates &amp; Tables'!$C$60:$G$60,0)),0))</f>
        <v/>
      </c>
      <c r="O396" s="52">
        <f>IF($B396="",0,$M396*$N396)</f>
        <v/>
      </c>
      <c r="P396" s="49">
        <f>IF($B396="","",$B396&amp;"|"&amp;$G396&amp;"|"&amp;$J396)</f>
        <v/>
      </c>
    </row>
    <row r="397" hidden="1" ht="14.25" customHeight="1">
      <c r="B397" s="51" t="n"/>
      <c r="C397" s="51" t="n"/>
      <c r="D397" s="51" t="n"/>
      <c r="E397" s="51" t="n"/>
      <c r="F397" s="51" t="n"/>
      <c r="G397" s="51" t="n"/>
      <c r="H397" s="51" t="n"/>
      <c r="I397" s="51" t="n"/>
      <c r="J397" s="51" t="n"/>
      <c r="K397" s="51" t="n"/>
      <c r="L397" s="52">
        <f>IF($B397="",0,IF($C397="HZ",1,IFERROR(INDEX('Value Streams &amp; Delivery Mode'!$D$17:$M$22,MATCH($D397,'Value Streams &amp; Delivery Mode'!$B$17:$B$22,0),($B397-1)*2+IF($C397="POD",1,2)),0)))</f>
        <v/>
      </c>
      <c r="M397" s="53">
        <f>IF($B397="",0,$K397*$L397)</f>
        <v/>
      </c>
      <c r="N397" s="54">
        <f>IF($B397="",0,IFERROR(INDEX('Rates &amp; Tables'!$C$61:$G$63,MATCH($I397,'Rates &amp; Tables'!$J$61:$J$63,0),MATCH($H397,'Rates &amp; Tables'!$C$60:$G$60,0)),0))</f>
        <v/>
      </c>
      <c r="O397" s="52">
        <f>IF($B397="",0,$M397*$N397)</f>
        <v/>
      </c>
      <c r="P397" s="49">
        <f>IF($B397="","",$B397&amp;"|"&amp;$G397&amp;"|"&amp;$J397)</f>
        <v/>
      </c>
    </row>
    <row r="398" hidden="1" ht="14.25" customHeight="1">
      <c r="B398" s="51" t="n"/>
      <c r="C398" s="51" t="n"/>
      <c r="D398" s="51" t="n"/>
      <c r="E398" s="51" t="n"/>
      <c r="F398" s="51" t="n"/>
      <c r="G398" s="51" t="n"/>
      <c r="H398" s="51" t="n"/>
      <c r="I398" s="51" t="n"/>
      <c r="J398" s="51" t="n"/>
      <c r="K398" s="51" t="n"/>
      <c r="L398" s="52">
        <f>IF($B398="",0,IF($C398="HZ",1,IFERROR(INDEX('Value Streams &amp; Delivery Mode'!$D$17:$M$22,MATCH($D398,'Value Streams &amp; Delivery Mode'!$B$17:$B$22,0),($B398-1)*2+IF($C398="POD",1,2)),0)))</f>
        <v/>
      </c>
      <c r="M398" s="53">
        <f>IF($B398="",0,$K398*$L398)</f>
        <v/>
      </c>
      <c r="N398" s="54">
        <f>IF($B398="",0,IFERROR(INDEX('Rates &amp; Tables'!$C$61:$G$63,MATCH($I398,'Rates &amp; Tables'!$J$61:$J$63,0),MATCH($H398,'Rates &amp; Tables'!$C$60:$G$60,0)),0))</f>
        <v/>
      </c>
      <c r="O398" s="52">
        <f>IF($B398="",0,$M398*$N398)</f>
        <v/>
      </c>
      <c r="P398" s="49">
        <f>IF($B398="","",$B398&amp;"|"&amp;$G398&amp;"|"&amp;$J398)</f>
        <v/>
      </c>
    </row>
    <row r="399" hidden="1" ht="14.25" customHeight="1">
      <c r="B399" s="51" t="n"/>
      <c r="C399" s="51" t="n"/>
      <c r="D399" s="51" t="n"/>
      <c r="E399" s="51" t="n"/>
      <c r="F399" s="51" t="n"/>
      <c r="G399" s="51" t="n"/>
      <c r="H399" s="51" t="n"/>
      <c r="I399" s="51" t="n"/>
      <c r="J399" s="51" t="n"/>
      <c r="K399" s="51" t="n"/>
      <c r="L399" s="52">
        <f>IF($B399="",0,IF($C399="HZ",1,IFERROR(INDEX('Value Streams &amp; Delivery Mode'!$D$17:$M$22,MATCH($D399,'Value Streams &amp; Delivery Mode'!$B$17:$B$22,0),($B399-1)*2+IF($C399="POD",1,2)),0)))</f>
        <v/>
      </c>
      <c r="M399" s="53">
        <f>IF($B399="",0,$K399*$L399)</f>
        <v/>
      </c>
      <c r="N399" s="54">
        <f>IF($B399="",0,IFERROR(INDEX('Rates &amp; Tables'!$C$61:$G$63,MATCH($I399,'Rates &amp; Tables'!$J$61:$J$63,0),MATCH($H399,'Rates &amp; Tables'!$C$60:$G$60,0)),0))</f>
        <v/>
      </c>
      <c r="O399" s="52">
        <f>IF($B399="",0,$M399*$N399)</f>
        <v/>
      </c>
      <c r="P399" s="49">
        <f>IF($B399="","",$B399&amp;"|"&amp;$G399&amp;"|"&amp;$J399)</f>
        <v/>
      </c>
    </row>
    <row r="400" hidden="1" ht="14.25" customHeight="1">
      <c r="B400" s="51" t="n"/>
      <c r="C400" s="51" t="n"/>
      <c r="D400" s="51" t="n"/>
      <c r="E400" s="51" t="n"/>
      <c r="F400" s="51" t="n"/>
      <c r="G400" s="51" t="n"/>
      <c r="H400" s="51" t="n"/>
      <c r="I400" s="51" t="n"/>
      <c r="J400" s="51" t="n"/>
      <c r="K400" s="51" t="n"/>
      <c r="L400" s="52">
        <f>IF($B400="",0,IF($C400="HZ",1,IFERROR(INDEX('Value Streams &amp; Delivery Mode'!$D$17:$M$22,MATCH($D400,'Value Streams &amp; Delivery Mode'!$B$17:$B$22,0),($B400-1)*2+IF($C400="POD",1,2)),0)))</f>
        <v/>
      </c>
      <c r="M400" s="53">
        <f>IF($B400="",0,$K400*$L400)</f>
        <v/>
      </c>
      <c r="N400" s="54">
        <f>IF($B400="",0,IFERROR(INDEX('Rates &amp; Tables'!$C$61:$G$63,MATCH($I400,'Rates &amp; Tables'!$J$61:$J$63,0),MATCH($H400,'Rates &amp; Tables'!$C$60:$G$60,0)),0))</f>
        <v/>
      </c>
      <c r="O400" s="52">
        <f>IF($B400="",0,$M400*$N400)</f>
        <v/>
      </c>
      <c r="P400" s="49">
        <f>IF($B400="","",$B400&amp;"|"&amp;$G400&amp;"|"&amp;$J400)</f>
        <v/>
      </c>
    </row>
    <row r="401" hidden="1" ht="14.25" customHeight="1">
      <c r="B401" s="51" t="n"/>
      <c r="C401" s="51" t="n"/>
      <c r="D401" s="51" t="n"/>
      <c r="E401" s="51" t="n"/>
      <c r="F401" s="51" t="n"/>
      <c r="G401" s="51" t="n"/>
      <c r="H401" s="51" t="n"/>
      <c r="I401" s="51" t="n"/>
      <c r="J401" s="51" t="n"/>
      <c r="K401" s="51" t="n"/>
      <c r="L401" s="52">
        <f>IF($B401="",0,IF($C401="HZ",1,IFERROR(INDEX('Value Streams &amp; Delivery Mode'!$D$17:$M$22,MATCH($D401,'Value Streams &amp; Delivery Mode'!$B$17:$B$22,0),($B401-1)*2+IF($C401="POD",1,2)),0)))</f>
        <v/>
      </c>
      <c r="M401" s="53">
        <f>IF($B401="",0,$K401*$L401)</f>
        <v/>
      </c>
      <c r="N401" s="54">
        <f>IF($B401="",0,IFERROR(INDEX('Rates &amp; Tables'!$C$61:$G$63,MATCH($I401,'Rates &amp; Tables'!$J$61:$J$63,0),MATCH($H401,'Rates &amp; Tables'!$C$60:$G$60,0)),0))</f>
        <v/>
      </c>
      <c r="O401" s="52">
        <f>IF($B401="",0,$M401*$N401)</f>
        <v/>
      </c>
      <c r="P401" s="49">
        <f>IF($B401="","",$B401&amp;"|"&amp;$G401&amp;"|"&amp;$J401)</f>
        <v/>
      </c>
    </row>
    <row r="402" hidden="1" ht="14.25" customHeight="1">
      <c r="B402" s="51" t="n"/>
      <c r="C402" s="51" t="n"/>
      <c r="D402" s="51" t="n"/>
      <c r="E402" s="51" t="n"/>
      <c r="F402" s="51" t="n"/>
      <c r="G402" s="51" t="n"/>
      <c r="H402" s="51" t="n"/>
      <c r="I402" s="51" t="n"/>
      <c r="J402" s="51" t="n"/>
      <c r="K402" s="51" t="n"/>
      <c r="L402" s="52">
        <f>IF($B402="",0,IF($C402="HZ",1,IFERROR(INDEX('Value Streams &amp; Delivery Mode'!$D$17:$M$22,MATCH($D402,'Value Streams &amp; Delivery Mode'!$B$17:$B$22,0),($B402-1)*2+IF($C402="POD",1,2)),0)))</f>
        <v/>
      </c>
      <c r="M402" s="53">
        <f>IF($B402="",0,$K402*$L402)</f>
        <v/>
      </c>
      <c r="N402" s="54">
        <f>IF($B402="",0,IFERROR(INDEX('Rates &amp; Tables'!$C$61:$G$63,MATCH($I402,'Rates &amp; Tables'!$J$61:$J$63,0),MATCH($H402,'Rates &amp; Tables'!$C$60:$G$60,0)),0))</f>
        <v/>
      </c>
      <c r="O402" s="52">
        <f>IF($B402="",0,$M402*$N402)</f>
        <v/>
      </c>
      <c r="P402" s="49">
        <f>IF($B402="","",$B402&amp;"|"&amp;$G402&amp;"|"&amp;$J402)</f>
        <v/>
      </c>
    </row>
    <row r="403" hidden="1" ht="14.25" customHeight="1">
      <c r="B403" s="51" t="n"/>
      <c r="C403" s="51" t="n"/>
      <c r="D403" s="51" t="n"/>
      <c r="E403" s="51" t="n"/>
      <c r="F403" s="51" t="n"/>
      <c r="G403" s="51" t="n"/>
      <c r="H403" s="51" t="n"/>
      <c r="I403" s="51" t="n"/>
      <c r="J403" s="51" t="n"/>
      <c r="K403" s="51" t="n"/>
      <c r="L403" s="52">
        <f>IF($B403="",0,IF($C403="HZ",1,IFERROR(INDEX('Value Streams &amp; Delivery Mode'!$D$17:$M$22,MATCH($D403,'Value Streams &amp; Delivery Mode'!$B$17:$B$22,0),($B403-1)*2+IF($C403="POD",1,2)),0)))</f>
        <v/>
      </c>
      <c r="M403" s="53">
        <f>IF($B403="",0,$K403*$L403)</f>
        <v/>
      </c>
      <c r="N403" s="54">
        <f>IF($B403="",0,IFERROR(INDEX('Rates &amp; Tables'!$C$61:$G$63,MATCH($I403,'Rates &amp; Tables'!$J$61:$J$63,0),MATCH($H403,'Rates &amp; Tables'!$C$60:$G$60,0)),0))</f>
        <v/>
      </c>
      <c r="O403" s="52">
        <f>IF($B403="",0,$M403*$N403)</f>
        <v/>
      </c>
      <c r="P403" s="49">
        <f>IF($B403="","",$B403&amp;"|"&amp;$G403&amp;"|"&amp;$J403)</f>
        <v/>
      </c>
    </row>
    <row r="404" hidden="1" ht="14.25" customHeight="1">
      <c r="B404" s="51" t="n"/>
      <c r="C404" s="51" t="n"/>
      <c r="D404" s="51" t="n"/>
      <c r="E404" s="51" t="n"/>
      <c r="F404" s="51" t="n"/>
      <c r="G404" s="51" t="n"/>
      <c r="H404" s="51" t="n"/>
      <c r="I404" s="51" t="n"/>
      <c r="J404" s="51" t="n"/>
      <c r="K404" s="51" t="n"/>
      <c r="L404" s="52">
        <f>IF($B404="",0,IF($C404="HZ",1,IFERROR(INDEX('Value Streams &amp; Delivery Mode'!$D$17:$M$22,MATCH($D404,'Value Streams &amp; Delivery Mode'!$B$17:$B$22,0),($B404-1)*2+IF($C404="POD",1,2)),0)))</f>
        <v/>
      </c>
      <c r="M404" s="53">
        <f>IF($B404="",0,$K404*$L404)</f>
        <v/>
      </c>
      <c r="N404" s="54">
        <f>IF($B404="",0,IFERROR(INDEX('Rates &amp; Tables'!$C$61:$G$63,MATCH($I404,'Rates &amp; Tables'!$J$61:$J$63,0),MATCH($H404,'Rates &amp; Tables'!$C$60:$G$60,0)),0))</f>
        <v/>
      </c>
      <c r="O404" s="52">
        <f>IF($B404="",0,$M404*$N404)</f>
        <v/>
      </c>
      <c r="P404" s="49">
        <f>IF($B404="","",$B404&amp;"|"&amp;$G404&amp;"|"&amp;$J404)</f>
        <v/>
      </c>
    </row>
    <row r="405" hidden="1" ht="14.25" customHeight="1">
      <c r="B405" s="51" t="n"/>
      <c r="C405" s="51" t="n"/>
      <c r="D405" s="51" t="n"/>
      <c r="E405" s="51" t="n"/>
      <c r="F405" s="51" t="n"/>
      <c r="G405" s="51" t="n"/>
      <c r="H405" s="51" t="n"/>
      <c r="I405" s="51" t="n"/>
      <c r="J405" s="51" t="n"/>
      <c r="K405" s="51" t="n"/>
      <c r="L405" s="52">
        <f>IF($B405="",0,IF($C405="HZ",1,IFERROR(INDEX('Value Streams &amp; Delivery Mode'!$D$17:$M$22,MATCH($D405,'Value Streams &amp; Delivery Mode'!$B$17:$B$22,0),($B405-1)*2+IF($C405="POD",1,2)),0)))</f>
        <v/>
      </c>
      <c r="M405" s="53">
        <f>IF($B405="",0,$K405*$L405)</f>
        <v/>
      </c>
      <c r="N405" s="54">
        <f>IF($B405="",0,IFERROR(INDEX('Rates &amp; Tables'!$C$61:$G$63,MATCH($I405,'Rates &amp; Tables'!$J$61:$J$63,0),MATCH($H405,'Rates &amp; Tables'!$C$60:$G$60,0)),0))</f>
        <v/>
      </c>
      <c r="O405" s="52">
        <f>IF($B405="",0,$M405*$N405)</f>
        <v/>
      </c>
      <c r="P405" s="49">
        <f>IF($B405="","",$B405&amp;"|"&amp;$G405&amp;"|"&amp;$J405)</f>
        <v/>
      </c>
    </row>
    <row r="406" hidden="1" ht="14.25" customHeight="1">
      <c r="B406" s="51" t="n"/>
      <c r="C406" s="51" t="n"/>
      <c r="D406" s="51" t="n"/>
      <c r="E406" s="51" t="n"/>
      <c r="F406" s="51" t="n"/>
      <c r="G406" s="51" t="n"/>
      <c r="H406" s="51" t="n"/>
      <c r="I406" s="51" t="n"/>
      <c r="J406" s="51" t="n"/>
      <c r="K406" s="51" t="n"/>
      <c r="L406" s="52">
        <f>IF($B406="",0,IF($C406="HZ",1,IFERROR(INDEX('Value Streams &amp; Delivery Mode'!$D$17:$M$22,MATCH($D406,'Value Streams &amp; Delivery Mode'!$B$17:$B$22,0),($B406-1)*2+IF($C406="POD",1,2)),0)))</f>
        <v/>
      </c>
      <c r="M406" s="53">
        <f>IF($B406="",0,$K406*$L406)</f>
        <v/>
      </c>
      <c r="N406" s="54">
        <f>IF($B406="",0,IFERROR(INDEX('Rates &amp; Tables'!$C$61:$G$63,MATCH($I406,'Rates &amp; Tables'!$J$61:$J$63,0),MATCH($H406,'Rates &amp; Tables'!$C$60:$G$60,0)),0))</f>
        <v/>
      </c>
      <c r="O406" s="52">
        <f>IF($B406="",0,$M406*$N406)</f>
        <v/>
      </c>
      <c r="P406" s="49">
        <f>IF($B406="","",$B406&amp;"|"&amp;$G406&amp;"|"&amp;$J406)</f>
        <v/>
      </c>
    </row>
    <row r="407" hidden="1" ht="14.25" customHeight="1">
      <c r="B407" s="51" t="n"/>
      <c r="C407" s="51" t="n"/>
      <c r="D407" s="51" t="n"/>
      <c r="E407" s="51" t="n"/>
      <c r="F407" s="51" t="n"/>
      <c r="G407" s="51" t="n"/>
      <c r="H407" s="51" t="n"/>
      <c r="I407" s="51" t="n"/>
      <c r="J407" s="51" t="n"/>
      <c r="K407" s="51" t="n"/>
      <c r="L407" s="52">
        <f>IF($B407="",0,IF($C407="HZ",1,IFERROR(INDEX('Value Streams &amp; Delivery Mode'!$D$17:$M$22,MATCH($D407,'Value Streams &amp; Delivery Mode'!$B$17:$B$22,0),($B407-1)*2+IF($C407="POD",1,2)),0)))</f>
        <v/>
      </c>
      <c r="M407" s="53">
        <f>IF($B407="",0,$K407*$L407)</f>
        <v/>
      </c>
      <c r="N407" s="54">
        <f>IF($B407="",0,IFERROR(INDEX('Rates &amp; Tables'!$C$61:$G$63,MATCH($I407,'Rates &amp; Tables'!$J$61:$J$63,0),MATCH($H407,'Rates &amp; Tables'!$C$60:$G$60,0)),0))</f>
        <v/>
      </c>
      <c r="O407" s="52">
        <f>IF($B407="",0,$M407*$N407)</f>
        <v/>
      </c>
      <c r="P407" s="49">
        <f>IF($B407="","",$B407&amp;"|"&amp;$G407&amp;"|"&amp;$J407)</f>
        <v/>
      </c>
    </row>
    <row r="408" hidden="1" ht="14.25" customHeight="1">
      <c r="B408" s="51" t="n"/>
      <c r="C408" s="51" t="n"/>
      <c r="D408" s="51" t="n"/>
      <c r="E408" s="51" t="n"/>
      <c r="F408" s="51" t="n"/>
      <c r="G408" s="51" t="n"/>
      <c r="H408" s="51" t="n"/>
      <c r="I408" s="51" t="n"/>
      <c r="J408" s="51" t="n"/>
      <c r="K408" s="51" t="n"/>
      <c r="L408" s="52">
        <f>IF($B408="",0,IF($C408="HZ",1,IFERROR(INDEX('Value Streams &amp; Delivery Mode'!$D$17:$M$22,MATCH($D408,'Value Streams &amp; Delivery Mode'!$B$17:$B$22,0),($B408-1)*2+IF($C408="POD",1,2)),0)))</f>
        <v/>
      </c>
      <c r="M408" s="53">
        <f>IF($B408="",0,$K408*$L408)</f>
        <v/>
      </c>
      <c r="N408" s="54">
        <f>IF($B408="",0,IFERROR(INDEX('Rates &amp; Tables'!$C$61:$G$63,MATCH($I408,'Rates &amp; Tables'!$J$61:$J$63,0),MATCH($H408,'Rates &amp; Tables'!$C$60:$G$60,0)),0))</f>
        <v/>
      </c>
      <c r="O408" s="52">
        <f>IF($B408="",0,$M408*$N408)</f>
        <v/>
      </c>
      <c r="P408" s="49">
        <f>IF($B408="","",$B408&amp;"|"&amp;$G408&amp;"|"&amp;$J408)</f>
        <v/>
      </c>
    </row>
    <row r="409" hidden="1" ht="14.25" customHeight="1">
      <c r="B409" s="51" t="n"/>
      <c r="C409" s="51" t="n"/>
      <c r="D409" s="51" t="n"/>
      <c r="E409" s="51" t="n"/>
      <c r="F409" s="51" t="n"/>
      <c r="G409" s="51" t="n"/>
      <c r="H409" s="51" t="n"/>
      <c r="I409" s="51" t="n"/>
      <c r="J409" s="51" t="n"/>
      <c r="K409" s="51" t="n"/>
      <c r="L409" s="52">
        <f>IF($B409="",0,IF($C409="HZ",1,IFERROR(INDEX('Value Streams &amp; Delivery Mode'!$D$17:$M$22,MATCH($D409,'Value Streams &amp; Delivery Mode'!$B$17:$B$22,0),($B409-1)*2+IF($C409="POD",1,2)),0)))</f>
        <v/>
      </c>
      <c r="M409" s="53">
        <f>IF($B409="",0,$K409*$L409)</f>
        <v/>
      </c>
      <c r="N409" s="54">
        <f>IF($B409="",0,IFERROR(INDEX('Rates &amp; Tables'!$C$61:$G$63,MATCH($I409,'Rates &amp; Tables'!$J$61:$J$63,0),MATCH($H409,'Rates &amp; Tables'!$C$60:$G$60,0)),0))</f>
        <v/>
      </c>
      <c r="O409" s="52">
        <f>IF($B409="",0,$M409*$N409)</f>
        <v/>
      </c>
      <c r="P409" s="49">
        <f>IF($B409="","",$B409&amp;"|"&amp;$G409&amp;"|"&amp;$J409)</f>
        <v/>
      </c>
    </row>
    <row r="410" hidden="1" ht="14.25" customHeight="1">
      <c r="B410" s="51" t="n"/>
      <c r="C410" s="51" t="n"/>
      <c r="D410" s="51" t="n"/>
      <c r="E410" s="51" t="n"/>
      <c r="F410" s="51" t="n"/>
      <c r="G410" s="51" t="n"/>
      <c r="H410" s="51" t="n"/>
      <c r="I410" s="51" t="n"/>
      <c r="J410" s="51" t="n"/>
      <c r="K410" s="51" t="n"/>
      <c r="L410" s="52">
        <f>IF($B410="",0,IF($C410="HZ",1,IFERROR(INDEX('Value Streams &amp; Delivery Mode'!$D$17:$M$22,MATCH($D410,'Value Streams &amp; Delivery Mode'!$B$17:$B$22,0),($B410-1)*2+IF($C410="POD",1,2)),0)))</f>
        <v/>
      </c>
      <c r="M410" s="53">
        <f>IF($B410="",0,$K410*$L410)</f>
        <v/>
      </c>
      <c r="N410" s="54">
        <f>IF($B410="",0,IFERROR(INDEX('Rates &amp; Tables'!$C$61:$G$63,MATCH($I410,'Rates &amp; Tables'!$J$61:$J$63,0),MATCH($H410,'Rates &amp; Tables'!$C$60:$G$60,0)),0))</f>
        <v/>
      </c>
      <c r="O410" s="52">
        <f>IF($B410="",0,$M410*$N410)</f>
        <v/>
      </c>
      <c r="P410" s="49">
        <f>IF($B410="","",$B410&amp;"|"&amp;$G410&amp;"|"&amp;$J410)</f>
        <v/>
      </c>
    </row>
    <row r="411" hidden="1" ht="14.25" customHeight="1">
      <c r="B411" s="51" t="n"/>
      <c r="C411" s="51" t="n"/>
      <c r="D411" s="51" t="n"/>
      <c r="E411" s="51" t="n"/>
      <c r="F411" s="51" t="n"/>
      <c r="G411" s="51" t="n"/>
      <c r="H411" s="51" t="n"/>
      <c r="I411" s="51" t="n"/>
      <c r="J411" s="51" t="n"/>
      <c r="K411" s="51" t="n"/>
      <c r="L411" s="52">
        <f>IF($B411="",0,IF($C411="HZ",1,IFERROR(INDEX('Value Streams &amp; Delivery Mode'!$D$17:$M$22,MATCH($D411,'Value Streams &amp; Delivery Mode'!$B$17:$B$22,0),($B411-1)*2+IF($C411="POD",1,2)),0)))</f>
        <v/>
      </c>
      <c r="M411" s="53">
        <f>IF($B411="",0,$K411*$L411)</f>
        <v/>
      </c>
      <c r="N411" s="54">
        <f>IF($B411="",0,IFERROR(INDEX('Rates &amp; Tables'!$C$61:$G$63,MATCH($I411,'Rates &amp; Tables'!$J$61:$J$63,0),MATCH($H411,'Rates &amp; Tables'!$C$60:$G$60,0)),0))</f>
        <v/>
      </c>
      <c r="O411" s="52">
        <f>IF($B411="",0,$M411*$N411)</f>
        <v/>
      </c>
      <c r="P411" s="49">
        <f>IF($B411="","",$B411&amp;"|"&amp;$G411&amp;"|"&amp;$J411)</f>
        <v/>
      </c>
    </row>
    <row r="412" hidden="1" ht="14.25" customHeight="1">
      <c r="B412" s="51" t="n"/>
      <c r="C412" s="51" t="n"/>
      <c r="D412" s="51" t="n"/>
      <c r="E412" s="51" t="n"/>
      <c r="F412" s="51" t="n"/>
      <c r="G412" s="51" t="n"/>
      <c r="H412" s="51" t="n"/>
      <c r="I412" s="51" t="n"/>
      <c r="J412" s="51" t="n"/>
      <c r="K412" s="51" t="n"/>
      <c r="L412" s="52">
        <f>IF($B412="",0,IF($C412="HZ",1,IFERROR(INDEX('Value Streams &amp; Delivery Mode'!$D$17:$M$22,MATCH($D412,'Value Streams &amp; Delivery Mode'!$B$17:$B$22,0),($B412-1)*2+IF($C412="POD",1,2)),0)))</f>
        <v/>
      </c>
      <c r="M412" s="53">
        <f>IF($B412="",0,$K412*$L412)</f>
        <v/>
      </c>
      <c r="N412" s="54">
        <f>IF($B412="",0,IFERROR(INDEX('Rates &amp; Tables'!$C$61:$G$63,MATCH($I412,'Rates &amp; Tables'!$J$61:$J$63,0),MATCH($H412,'Rates &amp; Tables'!$C$60:$G$60,0)),0))</f>
        <v/>
      </c>
      <c r="O412" s="52">
        <f>IF($B412="",0,$M412*$N412)</f>
        <v/>
      </c>
      <c r="P412" s="49">
        <f>IF($B412="","",$B412&amp;"|"&amp;$G412&amp;"|"&amp;$J412)</f>
        <v/>
      </c>
    </row>
    <row r="413" hidden="1" ht="14.25" customHeight="1">
      <c r="B413" s="51" t="n"/>
      <c r="C413" s="51" t="n"/>
      <c r="D413" s="51" t="n"/>
      <c r="E413" s="51" t="n"/>
      <c r="F413" s="51" t="n"/>
      <c r="G413" s="51" t="n"/>
      <c r="H413" s="51" t="n"/>
      <c r="I413" s="51" t="n"/>
      <c r="J413" s="51" t="n"/>
      <c r="K413" s="51" t="n"/>
      <c r="L413" s="52">
        <f>IF($B413="",0,IF($C413="HZ",1,IFERROR(INDEX('Value Streams &amp; Delivery Mode'!$D$17:$M$22,MATCH($D413,'Value Streams &amp; Delivery Mode'!$B$17:$B$22,0),($B413-1)*2+IF($C413="POD",1,2)),0)))</f>
        <v/>
      </c>
      <c r="M413" s="53">
        <f>IF($B413="",0,$K413*$L413)</f>
        <v/>
      </c>
      <c r="N413" s="54">
        <f>IF($B413="",0,IFERROR(INDEX('Rates &amp; Tables'!$C$61:$G$63,MATCH($I413,'Rates &amp; Tables'!$J$61:$J$63,0),MATCH($H413,'Rates &amp; Tables'!$C$60:$G$60,0)),0))</f>
        <v/>
      </c>
      <c r="O413" s="52">
        <f>IF($B413="",0,$M413*$N413)</f>
        <v/>
      </c>
      <c r="P413" s="49">
        <f>IF($B413="","",$B413&amp;"|"&amp;$G413&amp;"|"&amp;$J413)</f>
        <v/>
      </c>
    </row>
    <row r="414" hidden="1" ht="14.25" customHeight="1">
      <c r="B414" s="51" t="n"/>
      <c r="C414" s="51" t="n"/>
      <c r="D414" s="51" t="n"/>
      <c r="E414" s="51" t="n"/>
      <c r="F414" s="51" t="n"/>
      <c r="G414" s="51" t="n"/>
      <c r="H414" s="51" t="n"/>
      <c r="I414" s="51" t="n"/>
      <c r="J414" s="51" t="n"/>
      <c r="K414" s="51" t="n"/>
      <c r="L414" s="52">
        <f>IF($B414="",0,IF($C414="HZ",1,IFERROR(INDEX('Value Streams &amp; Delivery Mode'!$D$17:$M$22,MATCH($D414,'Value Streams &amp; Delivery Mode'!$B$17:$B$22,0),($B414-1)*2+IF($C414="POD",1,2)),0)))</f>
        <v/>
      </c>
      <c r="M414" s="53">
        <f>IF($B414="",0,$K414*$L414)</f>
        <v/>
      </c>
      <c r="N414" s="54">
        <f>IF($B414="",0,IFERROR(INDEX('Rates &amp; Tables'!$C$61:$G$63,MATCH($I414,'Rates &amp; Tables'!$J$61:$J$63,0),MATCH($H414,'Rates &amp; Tables'!$C$60:$G$60,0)),0))</f>
        <v/>
      </c>
      <c r="O414" s="52">
        <f>IF($B414="",0,$M414*$N414)</f>
        <v/>
      </c>
      <c r="P414" s="49">
        <f>IF($B414="","",$B414&amp;"|"&amp;$G414&amp;"|"&amp;$J414)</f>
        <v/>
      </c>
    </row>
    <row r="415" hidden="1" ht="14.25" customHeight="1">
      <c r="B415" s="51" t="n"/>
      <c r="C415" s="51" t="n"/>
      <c r="D415" s="51" t="n"/>
      <c r="E415" s="51" t="n"/>
      <c r="F415" s="51" t="n"/>
      <c r="G415" s="51" t="n"/>
      <c r="H415" s="51" t="n"/>
      <c r="I415" s="51" t="n"/>
      <c r="J415" s="51" t="n"/>
      <c r="K415" s="51" t="n"/>
      <c r="L415" s="52">
        <f>IF($B415="",0,IF($C415="HZ",1,IFERROR(INDEX('Value Streams &amp; Delivery Mode'!$D$17:$M$22,MATCH($D415,'Value Streams &amp; Delivery Mode'!$B$17:$B$22,0),($B415-1)*2+IF($C415="POD",1,2)),0)))</f>
        <v/>
      </c>
      <c r="M415" s="53">
        <f>IF($B415="",0,$K415*$L415)</f>
        <v/>
      </c>
      <c r="N415" s="54">
        <f>IF($B415="",0,IFERROR(INDEX('Rates &amp; Tables'!$C$61:$G$63,MATCH($I415,'Rates &amp; Tables'!$J$61:$J$63,0),MATCH($H415,'Rates &amp; Tables'!$C$60:$G$60,0)),0))</f>
        <v/>
      </c>
      <c r="O415" s="52">
        <f>IF($B415="",0,$M415*$N415)</f>
        <v/>
      </c>
      <c r="P415" s="49">
        <f>IF($B415="","",$B415&amp;"|"&amp;$G415&amp;"|"&amp;$J415)</f>
        <v/>
      </c>
    </row>
    <row r="416" hidden="1" ht="14.25" customHeight="1">
      <c r="B416" s="51" t="n"/>
      <c r="C416" s="51" t="n"/>
      <c r="D416" s="51" t="n"/>
      <c r="E416" s="51" t="n"/>
      <c r="F416" s="51" t="n"/>
      <c r="G416" s="51" t="n"/>
      <c r="H416" s="51" t="n"/>
      <c r="I416" s="51" t="n"/>
      <c r="J416" s="51" t="n"/>
      <c r="K416" s="51" t="n"/>
      <c r="L416" s="52">
        <f>IF($B416="",0,IF($C416="HZ",1,IFERROR(INDEX('Value Streams &amp; Delivery Mode'!$D$17:$M$22,MATCH($D416,'Value Streams &amp; Delivery Mode'!$B$17:$B$22,0),($B416-1)*2+IF($C416="POD",1,2)),0)))</f>
        <v/>
      </c>
      <c r="M416" s="53">
        <f>IF($B416="",0,$K416*$L416)</f>
        <v/>
      </c>
      <c r="N416" s="54">
        <f>IF($B416="",0,IFERROR(INDEX('Rates &amp; Tables'!$C$61:$G$63,MATCH($I416,'Rates &amp; Tables'!$J$61:$J$63,0),MATCH($H416,'Rates &amp; Tables'!$C$60:$G$60,0)),0))</f>
        <v/>
      </c>
      <c r="O416" s="52">
        <f>IF($B416="",0,$M416*$N416)</f>
        <v/>
      </c>
      <c r="P416" s="49">
        <f>IF($B416="","",$B416&amp;"|"&amp;$G416&amp;"|"&amp;$J416)</f>
        <v/>
      </c>
    </row>
    <row r="417" hidden="1" ht="14.25" customHeight="1">
      <c r="B417" s="51" t="n"/>
      <c r="C417" s="51" t="n"/>
      <c r="D417" s="51" t="n"/>
      <c r="E417" s="51" t="n"/>
      <c r="F417" s="51" t="n"/>
      <c r="G417" s="51" t="n"/>
      <c r="H417" s="51" t="n"/>
      <c r="I417" s="51" t="n"/>
      <c r="J417" s="51" t="n"/>
      <c r="K417" s="51" t="n"/>
      <c r="L417" s="52">
        <f>IF($B417="",0,IF($C417="HZ",1,IFERROR(INDEX('Value Streams &amp; Delivery Mode'!$D$17:$M$22,MATCH($D417,'Value Streams &amp; Delivery Mode'!$B$17:$B$22,0),($B417-1)*2+IF($C417="POD",1,2)),0)))</f>
        <v/>
      </c>
      <c r="M417" s="53">
        <f>IF($B417="",0,$K417*$L417)</f>
        <v/>
      </c>
      <c r="N417" s="54">
        <f>IF($B417="",0,IFERROR(INDEX('Rates &amp; Tables'!$C$61:$G$63,MATCH($I417,'Rates &amp; Tables'!$J$61:$J$63,0),MATCH($H417,'Rates &amp; Tables'!$C$60:$G$60,0)),0))</f>
        <v/>
      </c>
      <c r="O417" s="52">
        <f>IF($B417="",0,$M417*$N417)</f>
        <v/>
      </c>
      <c r="P417" s="49">
        <f>IF($B417="","",$B417&amp;"|"&amp;$G417&amp;"|"&amp;$J417)</f>
        <v/>
      </c>
    </row>
    <row r="418" hidden="1" ht="14.25" customHeight="1">
      <c r="B418" s="51" t="n"/>
      <c r="C418" s="51" t="n"/>
      <c r="D418" s="51" t="n"/>
      <c r="E418" s="51" t="n"/>
      <c r="F418" s="51" t="n"/>
      <c r="G418" s="51" t="n"/>
      <c r="H418" s="51" t="n"/>
      <c r="I418" s="51" t="n"/>
      <c r="J418" s="51" t="n"/>
      <c r="K418" s="51" t="n"/>
      <c r="L418" s="52">
        <f>IF($B418="",0,IF($C418="HZ",1,IFERROR(INDEX('Value Streams &amp; Delivery Mode'!$D$17:$M$22,MATCH($D418,'Value Streams &amp; Delivery Mode'!$B$17:$B$22,0),($B418-1)*2+IF($C418="POD",1,2)),0)))</f>
        <v/>
      </c>
      <c r="M418" s="53">
        <f>IF($B418="",0,$K418*$L418)</f>
        <v/>
      </c>
      <c r="N418" s="54">
        <f>IF($B418="",0,IFERROR(INDEX('Rates &amp; Tables'!$C$61:$G$63,MATCH($I418,'Rates &amp; Tables'!$J$61:$J$63,0),MATCH($H418,'Rates &amp; Tables'!$C$60:$G$60,0)),0))</f>
        <v/>
      </c>
      <c r="O418" s="52">
        <f>IF($B418="",0,$M418*$N418)</f>
        <v/>
      </c>
      <c r="P418" s="49">
        <f>IF($B418="","",$B418&amp;"|"&amp;$G418&amp;"|"&amp;$J418)</f>
        <v/>
      </c>
    </row>
    <row r="419" hidden="1" ht="14.25" customHeight="1">
      <c r="B419" s="51" t="n"/>
      <c r="C419" s="51" t="n"/>
      <c r="D419" s="51" t="n"/>
      <c r="E419" s="51" t="n"/>
      <c r="F419" s="51" t="n"/>
      <c r="G419" s="51" t="n"/>
      <c r="H419" s="51" t="n"/>
      <c r="I419" s="51" t="n"/>
      <c r="J419" s="51" t="n"/>
      <c r="K419" s="51" t="n"/>
      <c r="L419" s="52">
        <f>IF($B419="",0,IF($C419="HZ",1,IFERROR(INDEX('Value Streams &amp; Delivery Mode'!$D$17:$M$22,MATCH($D419,'Value Streams &amp; Delivery Mode'!$B$17:$B$22,0),($B419-1)*2+IF($C419="POD",1,2)),0)))</f>
        <v/>
      </c>
      <c r="M419" s="53">
        <f>IF($B419="",0,$K419*$L419)</f>
        <v/>
      </c>
      <c r="N419" s="54">
        <f>IF($B419="",0,IFERROR(INDEX('Rates &amp; Tables'!$C$61:$G$63,MATCH($I419,'Rates &amp; Tables'!$J$61:$J$63,0),MATCH($H419,'Rates &amp; Tables'!$C$60:$G$60,0)),0))</f>
        <v/>
      </c>
      <c r="O419" s="52">
        <f>IF($B419="",0,$M419*$N419)</f>
        <v/>
      </c>
      <c r="P419" s="49">
        <f>IF($B419="","",$B419&amp;"|"&amp;$G419&amp;"|"&amp;$J419)</f>
        <v/>
      </c>
    </row>
    <row r="420" hidden="1" ht="14.25" customHeight="1">
      <c r="B420" s="51" t="n"/>
      <c r="C420" s="51" t="n"/>
      <c r="D420" s="51" t="n"/>
      <c r="E420" s="51" t="n"/>
      <c r="F420" s="51" t="n"/>
      <c r="G420" s="51" t="n"/>
      <c r="H420" s="51" t="n"/>
      <c r="I420" s="51" t="n"/>
      <c r="J420" s="51" t="n"/>
      <c r="K420" s="51" t="n"/>
      <c r="L420" s="52">
        <f>IF($B420="",0,IF($C420="HZ",1,IFERROR(INDEX('Value Streams &amp; Delivery Mode'!$D$17:$M$22,MATCH($D420,'Value Streams &amp; Delivery Mode'!$B$17:$B$22,0),($B420-1)*2+IF($C420="POD",1,2)),0)))</f>
        <v/>
      </c>
      <c r="M420" s="53">
        <f>IF($B420="",0,$K420*$L420)</f>
        <v/>
      </c>
      <c r="N420" s="54">
        <f>IF($B420="",0,IFERROR(INDEX('Rates &amp; Tables'!$C$61:$G$63,MATCH($I420,'Rates &amp; Tables'!$J$61:$J$63,0),MATCH($H420,'Rates &amp; Tables'!$C$60:$G$60,0)),0))</f>
        <v/>
      </c>
      <c r="O420" s="52">
        <f>IF($B420="",0,$M420*$N420)</f>
        <v/>
      </c>
      <c r="P420" s="49">
        <f>IF($B420="","",$B420&amp;"|"&amp;$G420&amp;"|"&amp;$J420)</f>
        <v/>
      </c>
    </row>
    <row r="421" hidden="1" ht="14.25" customHeight="1">
      <c r="B421" s="51" t="n"/>
      <c r="C421" s="51" t="n"/>
      <c r="D421" s="51" t="n"/>
      <c r="E421" s="51" t="n"/>
      <c r="F421" s="51" t="n"/>
      <c r="G421" s="51" t="n"/>
      <c r="H421" s="51" t="n"/>
      <c r="I421" s="51" t="n"/>
      <c r="J421" s="51" t="n"/>
      <c r="K421" s="51" t="n"/>
      <c r="L421" s="52">
        <f>IF($B421="",0,IF($C421="HZ",1,IFERROR(INDEX('Value Streams &amp; Delivery Mode'!$D$17:$M$22,MATCH($D421,'Value Streams &amp; Delivery Mode'!$B$17:$B$22,0),($B421-1)*2+IF($C421="POD",1,2)),0)))</f>
        <v/>
      </c>
      <c r="M421" s="53">
        <f>IF($B421="",0,$K421*$L421)</f>
        <v/>
      </c>
      <c r="N421" s="54">
        <f>IF($B421="",0,IFERROR(INDEX('Rates &amp; Tables'!$C$61:$G$63,MATCH($I421,'Rates &amp; Tables'!$J$61:$J$63,0),MATCH($H421,'Rates &amp; Tables'!$C$60:$G$60,0)),0))</f>
        <v/>
      </c>
      <c r="O421" s="52">
        <f>IF($B421="",0,$M421*$N421)</f>
        <v/>
      </c>
      <c r="P421" s="49">
        <f>IF($B421="","",$B421&amp;"|"&amp;$G421&amp;"|"&amp;$J421)</f>
        <v/>
      </c>
    </row>
    <row r="422" hidden="1" ht="14.25" customHeight="1">
      <c r="B422" s="51" t="n"/>
      <c r="C422" s="51" t="n"/>
      <c r="D422" s="51" t="n"/>
      <c r="E422" s="51" t="n"/>
      <c r="F422" s="51" t="n"/>
      <c r="G422" s="51" t="n"/>
      <c r="H422" s="51" t="n"/>
      <c r="I422" s="51" t="n"/>
      <c r="J422" s="51" t="n"/>
      <c r="K422" s="51" t="n"/>
      <c r="L422" s="52">
        <f>IF($B422="",0,IF($C422="HZ",1,IFERROR(INDEX('Value Streams &amp; Delivery Mode'!$D$17:$M$22,MATCH($D422,'Value Streams &amp; Delivery Mode'!$B$17:$B$22,0),($B422-1)*2+IF($C422="POD",1,2)),0)))</f>
        <v/>
      </c>
      <c r="M422" s="53">
        <f>IF($B422="",0,$K422*$L422)</f>
        <v/>
      </c>
      <c r="N422" s="54">
        <f>IF($B422="",0,IFERROR(INDEX('Rates &amp; Tables'!$C$61:$G$63,MATCH($I422,'Rates &amp; Tables'!$J$61:$J$63,0),MATCH($H422,'Rates &amp; Tables'!$C$60:$G$60,0)),0))</f>
        <v/>
      </c>
      <c r="O422" s="52">
        <f>IF($B422="",0,$M422*$N422)</f>
        <v/>
      </c>
      <c r="P422" s="49">
        <f>IF($B422="","",$B422&amp;"|"&amp;$G422&amp;"|"&amp;$J422)</f>
        <v/>
      </c>
    </row>
    <row r="423" hidden="1" ht="14.25" customHeight="1">
      <c r="B423" s="51" t="n"/>
      <c r="C423" s="51" t="n"/>
      <c r="D423" s="51" t="n"/>
      <c r="E423" s="51" t="n"/>
      <c r="F423" s="51" t="n"/>
      <c r="G423" s="51" t="n"/>
      <c r="H423" s="51" t="n"/>
      <c r="I423" s="51" t="n"/>
      <c r="J423" s="51" t="n"/>
      <c r="K423" s="51" t="n"/>
      <c r="L423" s="52">
        <f>IF($B423="",0,IF($C423="HZ",1,IFERROR(INDEX('Value Streams &amp; Delivery Mode'!$D$17:$M$22,MATCH($D423,'Value Streams &amp; Delivery Mode'!$B$17:$B$22,0),($B423-1)*2+IF($C423="POD",1,2)),0)))</f>
        <v/>
      </c>
      <c r="M423" s="53">
        <f>IF($B423="",0,$K423*$L423)</f>
        <v/>
      </c>
      <c r="N423" s="54">
        <f>IF($B423="",0,IFERROR(INDEX('Rates &amp; Tables'!$C$61:$G$63,MATCH($I423,'Rates &amp; Tables'!$J$61:$J$63,0),MATCH($H423,'Rates &amp; Tables'!$C$60:$G$60,0)),0))</f>
        <v/>
      </c>
      <c r="O423" s="52">
        <f>IF($B423="",0,$M423*$N423)</f>
        <v/>
      </c>
      <c r="P423" s="49">
        <f>IF($B423="","",$B423&amp;"|"&amp;$G423&amp;"|"&amp;$J423)</f>
        <v/>
      </c>
    </row>
    <row r="424" hidden="1" ht="14.25" customHeight="1">
      <c r="B424" s="51" t="n"/>
      <c r="C424" s="51" t="n"/>
      <c r="D424" s="51" t="n"/>
      <c r="E424" s="51" t="n"/>
      <c r="F424" s="51" t="n"/>
      <c r="G424" s="51" t="n"/>
      <c r="H424" s="51" t="n"/>
      <c r="I424" s="51" t="n"/>
      <c r="J424" s="51" t="n"/>
      <c r="K424" s="51" t="n"/>
      <c r="L424" s="52">
        <f>IF($B424="",0,IF($C424="HZ",1,IFERROR(INDEX('Value Streams &amp; Delivery Mode'!$D$17:$M$22,MATCH($D424,'Value Streams &amp; Delivery Mode'!$B$17:$B$22,0),($B424-1)*2+IF($C424="POD",1,2)),0)))</f>
        <v/>
      </c>
      <c r="M424" s="53">
        <f>IF($B424="",0,$K424*$L424)</f>
        <v/>
      </c>
      <c r="N424" s="54">
        <f>IF($B424="",0,IFERROR(INDEX('Rates &amp; Tables'!$C$61:$G$63,MATCH($I424,'Rates &amp; Tables'!$J$61:$J$63,0),MATCH($H424,'Rates &amp; Tables'!$C$60:$G$60,0)),0))</f>
        <v/>
      </c>
      <c r="O424" s="52">
        <f>IF($B424="",0,$M424*$N424)</f>
        <v/>
      </c>
      <c r="P424" s="49">
        <f>IF($B424="","",$B424&amp;"|"&amp;$G424&amp;"|"&amp;$J424)</f>
        <v/>
      </c>
    </row>
  </sheetData>
  <autoFilter ref="B4:P424">
    <filterColumn colId="0" hiddenButton="0" showButton="1">
      <filters>
        <filter val="1"/>
      </filters>
    </filterColumn>
    <filterColumn colId="8" hiddenButton="0" showButton="1">
      <filters>
        <filter val="FTC"/>
        <filter val="PT"/>
      </filters>
    </filterColumn>
  </autoFilter>
  <mergeCells count="2">
    <mergeCell ref="A1:P1"/>
    <mergeCell ref="A2:P2"/>
  </mergeCells>
  <dataValidations count="5">
    <dataValidation sqref="G5:G424" showDropDown="0" showInputMessage="0" showErrorMessage="0" allowBlank="1" type="list">
      <formula1>"BSA,DEV,TEST,MNT,PM,OTH"</formula1>
      <formula2>0</formula2>
    </dataValidation>
    <dataValidation sqref="H5:H424" showDropDown="0" showInputMessage="0" showErrorMessage="0" allowBlank="1" type="list">
      <formula1>"E1,E2,E3,E4,E5"</formula1>
      <formula2>0</formula2>
    </dataValidation>
    <dataValidation sqref="I5:I424" showDropDown="0" showInputMessage="0" showErrorMessage="0" allowBlank="1" type="list">
      <formula1>"ON,OFF,NEAR"</formula1>
      <formula2>0</formula2>
    </dataValidation>
    <dataValidation sqref="J5:J424" showDropDown="0" showInputMessage="0" showErrorMessage="0" allowBlank="1" type="list">
      <formula1>"FTC,PT,FTE,MGCC"</formula1>
      <formula2>0</formula2>
    </dataValidation>
    <dataValidation sqref="C5:C424" showDropDown="0" showInputMessage="0" showErrorMessage="0" allowBlank="1" type="list">
      <formula1>"POD,TEAM,HZ"</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1"/>
  <sheetViews>
    <sheetView topLeftCell="A16" zoomScaleNormal="100" workbookViewId="0">
      <selection activeCell="A24" sqref="A24"/>
    </sheetView>
  </sheetViews>
  <sheetFormatPr baseColWidth="8" defaultColWidth="8.6328125" defaultRowHeight="14.5"/>
  <cols>
    <col width="2.453125" customWidth="1" min="1" max="1"/>
    <col width="30" customWidth="1" min="2" max="2"/>
    <col width="100" customWidth="1" min="3" max="3"/>
  </cols>
  <sheetData>
    <row r="1" ht="25.5" customHeight="1">
      <c r="A1" s="8" t="inlineStr">
        <is>
          <t>How to build the seat plan  —  and what good looks like</t>
        </is>
      </c>
    </row>
    <row r="2" ht="15" customHeight="1">
      <c r="A2" s="7" t="inlineStr">
        <is>
          <t>The model tells you how many people of each sourcing type you may have in each year. The anatomy decides who they are. That judgement is the practice team's, not the model's.</t>
        </is>
      </c>
    </row>
    <row r="4" ht="15" customHeight="1">
      <c r="A4" s="4" t="inlineStr">
        <is>
          <t>THE SHAPE OF A ROW</t>
        </is>
      </c>
    </row>
    <row r="5" ht="43.5" customHeight="1">
      <c r="B5" s="19" t="inlineStr">
        <is>
          <t>Year</t>
        </is>
      </c>
      <c r="C5" s="20" t="inlineStr">
        <is>
          <t>1 to 5. A seat that exists in every year needs five rows — the anatomy changes as pods shrink.</t>
        </is>
      </c>
    </row>
    <row r="6" ht="43.5" customHeight="1">
      <c r="B6" s="19" t="inlineStr">
        <is>
          <t>Unit</t>
        </is>
      </c>
      <c r="C6" s="20" t="inlineStr">
        <is>
          <t>POD, TEAM or HZ. POD and TEAM rows are multiplied by the unit counts on the Value Streams sheet. HZ rows are counted once — a horizontal function is not per-stream.</t>
        </is>
      </c>
    </row>
    <row r="7" ht="43.5" customHeight="1">
      <c r="B7" s="19" t="inlineStr">
        <is>
          <t>Stream</t>
        </is>
      </c>
      <c r="C7" s="20" t="inlineStr">
        <is>
          <t>For POD and TEAM rows, the stream number from the Value Streams sheet (1 to 6). For HZ rows put the function: H1 for run and support, H2 for quality and assurance, H3 for architecture, release and enablement.</t>
        </is>
      </c>
    </row>
    <row r="8" ht="43.5" customHeight="1">
      <c r="B8" s="19" t="inlineStr">
        <is>
          <t>Role</t>
        </is>
      </c>
      <c r="C8" s="20" t="inlineStr">
        <is>
          <t>MetLife's own taxonomy: BSA, DEV, TEST, MNT, PM, OTH. Use it exactly — every role-line reconciliation in this workbook depends on it.</t>
        </is>
      </c>
    </row>
    <row r="9" ht="43.5" customHeight="1">
      <c r="B9" s="19" t="inlineStr">
        <is>
          <t>Role detail</t>
        </is>
      </c>
      <c r="C9" s="20" t="inlineStr">
        <is>
          <t>Your name for the seat. 'Pod lead / senior engineer', 'MGCC Platform Engineer', 'MetLife Product Owner'. This is what the practice team and the resource manager read.</t>
        </is>
      </c>
    </row>
    <row r="10" ht="43.5" customHeight="1">
      <c r="B10" s="19" t="inlineStr">
        <is>
          <t>Exp · Loc · Sourcing</t>
        </is>
      </c>
      <c r="C10" s="20" t="inlineStr">
        <is>
          <t>E1 to E5 · ON, OFF or NEAR · FTC, PT, FTE or MGCC. Sourcing is the one that carries commercial consequence: only FTC can transfer at the end of Year 3.</t>
        </is>
      </c>
    </row>
    <row r="11" ht="43.5" customHeight="1">
      <c r="B11" s="19" t="inlineStr">
        <is>
          <t>Seats per unit</t>
        </is>
      </c>
      <c r="C11" s="20" t="inlineStr">
        <is>
          <t>The number you design. Columns L to P then derive units, deployed heads, cost index and cost. Do not type over them.</t>
        </is>
      </c>
    </row>
    <row r="12" ht="15" customHeight="1">
      <c r="A12" s="4" t="inlineStr">
        <is>
          <t>WHAT GOOD LOOKS LIKE</t>
        </is>
      </c>
    </row>
    <row r="13" ht="43.5" customHeight="1">
      <c r="B13" s="19" t="inlineStr">
        <is>
          <t>Deployed heads on a 0.5 grid</t>
        </is>
      </c>
      <c r="C13" s="20" t="inlineStr">
        <is>
          <t>Column M — seats × units — should land on whole numbers or halves. A seat ratio of 0.3214 across 28 teams is nine people, which is fine; a deployed head count of 0.094 is not a job. The Reconciliation sheet counts the offenders.</t>
        </is>
      </c>
    </row>
    <row r="14" ht="43.5" customHeight="1">
      <c r="B14" s="19" t="inlineStr">
        <is>
          <t>Sharing contained inside the 領域</t>
        </is>
      </c>
      <c r="C14" s="20" t="inlineStr">
        <is>
          <t>Where a half-head is genuinely warranted, share it inside this 領域. MetLife may award the eleven 領域 to two or three vendors, so a role shared across 領域 is a commitment we may not be able to keep.</t>
        </is>
      </c>
    </row>
    <row r="15" ht="43.5" customHeight="1">
      <c r="B15" s="19" t="inlineStr">
        <is>
          <t>Reference sizes from the five 領域 already modelled</t>
        </is>
      </c>
      <c r="C15" s="20" t="inlineStr">
        <is>
          <t>Year-1 pod 7.7 to 10.4 seats · Year-1 team 11.5 to 14.4 seats · Year-4 pod 5.1 to 8.6 seats. Pods shrink as testing collapses into SDET seats and the release train consolidates; teams do not, which is part of why converting them matters.</t>
        </is>
      </c>
    </row>
    <row r="16" ht="43.5" customHeight="1">
      <c r="B16" s="19" t="inlineStr">
        <is>
          <t>Horizontal functions</t>
        </is>
      </c>
      <c r="C16" s="20" t="inlineStr">
        <is>
          <t>Between 17 and 30 rows across the five 領域, totalling 15 to 62 units in Year 1. H1 is sized from the ticket load on the AMS sheet. Keep at least one seat in every horizontal role in every year — a design that lets the Release Manager go extinct in Year 4 is a design nobody can staff.</t>
        </is>
      </c>
    </row>
    <row r="17" ht="43.5" customHeight="1">
      <c r="B17" s="19" t="inlineStr">
        <is>
          <t>Capgemini majority inside every unit</t>
        </is>
      </c>
      <c r="C17" s="20" t="inlineStr">
        <is>
          <t>Not just in aggregate. A pod where Capgemini is a minority is a pod whose ways of working we do not set, which is exactly the thing the productivity commitment rests on.</t>
        </is>
      </c>
    </row>
    <row r="18" ht="15" customHeight="1">
      <c r="A18" s="4" t="inlineStr">
        <is>
          <t>THE ORDER TO WORK IN</t>
        </is>
      </c>
    </row>
    <row r="19" ht="43.5" customHeight="1">
      <c r="B19" s="19" t="inlineStr">
        <is>
          <t>1  ·  Year 1 first, and make it reconcile</t>
        </is>
      </c>
      <c r="C19" s="20" t="inlineStr">
        <is>
          <t>Year 1 is MEASURED, not designed. It is whatever Appendix 3 says: the same total, the same vendor / FTE / MGCC split, the same role lines, the same location split. Get it to zero variance before touching anything else.</t>
        </is>
      </c>
    </row>
    <row r="20" ht="43.5" customHeight="1">
      <c r="B20" s="19" t="inlineStr">
        <is>
          <t>2  ·  Then Year 3</t>
        </is>
      </c>
      <c r="C20" s="20" t="inlineStr">
        <is>
          <t>The year the transfer is struck and the year MetLife will look at hardest. Work back to Year 2 and forward to Years 4 and 5 from there.</t>
        </is>
      </c>
    </row>
    <row r="21" ht="43.5" customHeight="1">
      <c r="B21" s="19" t="inlineStr">
        <is>
          <t>3  ·  Then check, and expect to iterate</t>
        </is>
      </c>
      <c r="C21" s="20" t="inlineStr">
        <is>
          <t>The five built models took several passes. The Reconciliation sheet is the same set of tests those models were held to, so if it is green the anatomy is defensible.</t>
        </is>
      </c>
    </row>
  </sheetData>
  <mergeCells count="5">
    <mergeCell ref="A2:F2"/>
    <mergeCell ref="A1:F1"/>
    <mergeCell ref="A18:C18"/>
    <mergeCell ref="A12:C12"/>
    <mergeCell ref="A4:C4"/>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77"/>
  <sheetViews>
    <sheetView topLeftCell="A5" zoomScaleNormal="100" workbookViewId="0">
      <selection activeCell="A1" sqref="A1"/>
    </sheetView>
  </sheetViews>
  <sheetFormatPr baseColWidth="8" defaultColWidth="8.6328125" defaultRowHeight="14.5"/>
  <cols>
    <col width="2.453125" customWidth="1" min="1" max="1"/>
    <col width="46" customWidth="1" min="2" max="2"/>
    <col width="13" customWidth="1" min="3" max="8"/>
    <col width="3" customWidth="1" min="9" max="9"/>
    <col width="62" customWidth="1" min="10" max="10"/>
  </cols>
  <sheetData>
    <row r="1" ht="25.5" customHeight="1">
      <c r="A1" s="8" t="inlineStr">
        <is>
          <t>Reconciliation and checks  (auto)  —  the bar the five built models were held to</t>
        </is>
      </c>
    </row>
    <row r="2" ht="15" customHeight="1">
      <c r="A2" s="7" t="inlineStr">
        <is>
          <t>Every test here is a live formula over the Seat Planner. Green in every year is what a solution review should expect to see.</t>
        </is>
      </c>
    </row>
    <row r="4" ht="15" customHeight="1">
      <c r="A4" s="4" t="inlineStr">
        <is>
          <t>A.  YEAR 1 AGAINST APPENDIX 3 v5  —  Year 1 is measured, not designed</t>
        </is>
      </c>
    </row>
    <row r="5" ht="21.75" customHeight="1">
      <c r="B5" s="12" t="inlineStr">
        <is>
          <t>Measure</t>
        </is>
      </c>
      <c r="C5" s="12" t="inlineStr">
        <is>
          <t>Seat plan</t>
        </is>
      </c>
      <c r="D5" s="12" t="inlineStr">
        <is>
          <t>Appendix 3 v5</t>
        </is>
      </c>
      <c r="E5" s="12" t="inlineStr">
        <is>
          <t>Variance</t>
        </is>
      </c>
      <c r="F5" s="12" t="inlineStr">
        <is>
          <t>Status</t>
        </is>
      </c>
      <c r="G5" s="12" t="n"/>
      <c r="H5" s="12" t="n"/>
      <c r="I5" s="12" t="inlineStr">
        <is>
          <t>Note</t>
        </is>
      </c>
    </row>
    <row r="6" ht="24" customHeight="1">
      <c r="B6" s="13" t="inlineStr">
        <is>
          <t>Total people</t>
        </is>
      </c>
      <c r="C6" s="25">
        <f>SUMIFS('Seat Planner'!$M$5:$M$424,'Seat Planner'!$B$5:$B$424,1)</f>
        <v/>
      </c>
      <c r="D6" s="25">
        <f>'Logic Tree'!$C$7</f>
        <v/>
      </c>
      <c r="E6" s="17">
        <f>C6-D6</f>
        <v/>
      </c>
      <c r="F6" s="28">
        <f>IF(ABS(E6)&lt;=0.55,"OK","CHECK")</f>
        <v/>
      </c>
      <c r="J6" s="15" t="inlineStr">
        <is>
          <t>The frozen scope. Everything else is a split of this.</t>
        </is>
      </c>
    </row>
    <row r="7" ht="24" customHeight="1">
      <c r="B7" s="13" t="inlineStr">
        <is>
          <t>Vendor  (Capgemini + partner)</t>
        </is>
      </c>
      <c r="C7" s="25">
        <f>SUMIFS('Seat Planner'!$M$5:$M$424,'Seat Planner'!$B$5:$B$424,1,'Seat Planner'!$J$5:$J$424,"FTC")+SUMIFS('Seat Planner'!$M$5:$M$424,'Seat Planner'!$B$5:$B$424,1,'Seat Planner'!$J$5:$J$424,"PT")</f>
        <v/>
      </c>
      <c r="D7" s="25">
        <f>'Logic Tree'!$C$8</f>
        <v/>
      </c>
      <c r="E7" s="17">
        <f>C7-D7</f>
        <v/>
      </c>
      <c r="F7" s="28">
        <f>IF(ABS(E7)&lt;=0.55,"OK","CHECK")</f>
        <v/>
      </c>
      <c r="J7" s="15" t="inlineStr">
        <is>
          <t>Appendix 3 reports the two as one number. THE line that has to reconcile.</t>
        </is>
      </c>
    </row>
    <row r="8" ht="24" customHeight="1">
      <c r="B8" s="13" t="inlineStr">
        <is>
          <t xml:space="preserve">  — Capgemini payroll</t>
        </is>
      </c>
      <c r="C8" s="25">
        <f>SUMIFS('Seat Planner'!$M$5:$M$424,'Seat Planner'!$B$5:$B$424,1,'Seat Planner'!$J$5:$J$424,"FTC")</f>
        <v/>
      </c>
      <c r="D8" s="25">
        <f>'Logic Tree'!$C$63</f>
        <v/>
      </c>
      <c r="E8" s="17">
        <f>C8-D8</f>
        <v/>
      </c>
      <c r="F8" s="28">
        <f>IF(ABS(E8)&lt;=0.55,"OK","CHECK")</f>
        <v/>
      </c>
      <c r="J8" s="15" t="inlineStr">
        <is>
          <t>Transferable at the end of Year 3.</t>
        </is>
      </c>
    </row>
    <row r="9" ht="24" customHeight="1">
      <c r="B9" s="13" t="inlineStr">
        <is>
          <t xml:space="preserve">  — named sub-contractor</t>
        </is>
      </c>
      <c r="C9" s="25">
        <f>SUMIFS('Seat Planner'!$M$5:$M$424,'Seat Planner'!$B$5:$B$424,1,'Seat Planner'!$J$5:$J$424,"PT")</f>
        <v/>
      </c>
      <c r="D9" s="25">
        <f>'Logic Tree'!$C$57</f>
        <v/>
      </c>
      <c r="E9" s="17">
        <f>C9-D9</f>
        <v/>
      </c>
      <c r="F9" s="28">
        <f>IF(ABS(E9)&lt;=0.55,"OK","CHECK")</f>
        <v/>
      </c>
      <c r="J9" s="15" t="inlineStr">
        <is>
          <t>Never transferable.</t>
        </is>
      </c>
    </row>
    <row r="10" ht="24" customHeight="1">
      <c r="B10" s="13" t="inlineStr">
        <is>
          <t>MetLife Japan  (FTE)</t>
        </is>
      </c>
      <c r="C10" s="25">
        <f>SUMIFS('Seat Planner'!$M$5:$M$424,'Seat Planner'!$B$5:$B$424,1,'Seat Planner'!$J$5:$J$424,"FTE")</f>
        <v/>
      </c>
      <c r="D10" s="25">
        <f>'Logic Tree'!$C$9</f>
        <v/>
      </c>
      <c r="E10" s="17">
        <f>C10-D10</f>
        <v/>
      </c>
      <c r="F10" s="28">
        <f>IF(ABS(E10)&lt;=0.55,"OK","CHECK")</f>
        <v/>
      </c>
      <c r="J10" s="15" t="n"/>
    </row>
    <row r="11" ht="24" customHeight="1">
      <c r="B11" s="13" t="inlineStr">
        <is>
          <t>MetLife MGCC</t>
        </is>
      </c>
      <c r="C11" s="25">
        <f>SUMIFS('Seat Planner'!$M$5:$M$424,'Seat Planner'!$B$5:$B$424,1,'Seat Planner'!$J$5:$J$424,"MGCC")</f>
        <v/>
      </c>
      <c r="D11" s="25">
        <f>'Logic Tree'!$C$10</f>
        <v/>
      </c>
      <c r="E11" s="17">
        <f>C11-D11</f>
        <v/>
      </c>
      <c r="F11" s="28">
        <f>IF(ABS(E11)&lt;=0.55,"OK","CHECK")</f>
        <v/>
      </c>
      <c r="J11" s="15" t="n"/>
    </row>
    <row r="12" ht="24" customHeight="1">
      <c r="B12" s="13" t="inlineStr">
        <is>
          <t>Vendor onshore Tokyo</t>
        </is>
      </c>
      <c r="C12" s="25">
        <f>SUMIFS('Seat Planner'!$M$5:$M$424,'Seat Planner'!$B$5:$B$424,1,'Seat Planner'!$J$5:$J$424,"FTC",'Seat Planner'!$I$5:$I$424,"ON")+SUMIFS('Seat Planner'!$M$5:$M$424,'Seat Planner'!$B$5:$B$424,1,'Seat Planner'!$J$5:$J$424,"PT",'Seat Planner'!$I$5:$I$424,"ON")</f>
        <v/>
      </c>
      <c r="D12" s="25">
        <f>'Logic Tree'!$C$11</f>
        <v/>
      </c>
      <c r="E12" s="17">
        <f>C12-D12</f>
        <v/>
      </c>
      <c r="F12" s="28">
        <f>IF(ABS(E12)&lt;=0.55,"OK","CHECK")</f>
        <v/>
      </c>
      <c r="J12" s="15" t="inlineStr">
        <is>
          <t>MEASURED. The bilingual hiring risk is the gap between this and the Capgemini heads already in Japan.</t>
        </is>
      </c>
    </row>
    <row r="13" ht="24" customHeight="1">
      <c r="B13" s="13" t="inlineStr">
        <is>
          <t>Vendor offshore</t>
        </is>
      </c>
      <c r="C13" s="25">
        <f>SUMIFS('Seat Planner'!$M$5:$M$424,'Seat Planner'!$B$5:$B$424,1,'Seat Planner'!$J$5:$J$424,"FTC",'Seat Planner'!$I$5:$I$424,"OFF")+SUMIFS('Seat Planner'!$M$5:$M$424,'Seat Planner'!$B$5:$B$424,1,'Seat Planner'!$J$5:$J$424,"PT",'Seat Planner'!$I$5:$I$424,"OFF")</f>
        <v/>
      </c>
      <c r="D13" s="25">
        <f>'Logic Tree'!$C$12</f>
        <v/>
      </c>
      <c r="E13" s="17">
        <f>C13-D13</f>
        <v/>
      </c>
      <c r="F13" s="28">
        <f>IF(ABS(E13)&lt;=0.55,"OK","CHECK")</f>
        <v/>
      </c>
      <c r="J13" s="15" t="inlineStr">
        <is>
          <t>MGCC excluded — it is MetLife's.</t>
        </is>
      </c>
    </row>
    <row r="14" ht="24" customHeight="1">
      <c r="B14" s="13" t="inlineStr">
        <is>
          <t>Vendor nearshore</t>
        </is>
      </c>
      <c r="C14" s="25">
        <f>SUMIFS('Seat Planner'!$M$5:$M$424,'Seat Planner'!$B$5:$B$424,1,'Seat Planner'!$J$5:$J$424,"FTC",'Seat Planner'!$I$5:$I$424,"NEAR")+SUMIFS('Seat Planner'!$M$5:$M$424,'Seat Planner'!$B$5:$B$424,1,'Seat Planner'!$J$5:$J$424,"PT",'Seat Planner'!$I$5:$I$424,"NEAR")</f>
        <v/>
      </c>
      <c r="D14" s="25">
        <f>'Logic Tree'!$C$13</f>
        <v/>
      </c>
      <c r="E14" s="17">
        <f>C14-D14</f>
        <v/>
      </c>
      <c r="F14" s="28">
        <f>IF(ABS(E14)&lt;=0.55,"OK","CHECK")</f>
        <v/>
      </c>
      <c r="J14" s="15" t="n"/>
    </row>
    <row r="15" ht="24" customHeight="1">
      <c r="B15" s="13" t="inlineStr">
        <is>
          <t>Role — BSA  (vendor)</t>
        </is>
      </c>
      <c r="C15" s="25">
        <f>SUMIFS('Seat Planner'!$M$5:$M$424,'Seat Planner'!$B$5:$B$424,1,'Seat Planner'!$J$5:$J$424,"FTC",'Seat Planner'!$G$5:$G$424,"BSA")+SUMIFS('Seat Planner'!$M$5:$M$424,'Seat Planner'!$B$5:$B$424,1,'Seat Planner'!$J$5:$J$424,"PT",'Seat Planner'!$G$5:$G$424,"BSA")</f>
        <v/>
      </c>
      <c r="D15" s="25">
        <f>'Logic Tree'!$D$20</f>
        <v/>
      </c>
      <c r="E15" s="17">
        <f>C15-D15</f>
        <v/>
      </c>
      <c r="F15" s="28">
        <f>IF(ABS(E15)&lt;=0.55,"OK","CHECK")</f>
        <v/>
      </c>
      <c r="J15" s="15" t="inlineStr">
        <is>
          <t>Against the RESTATED line, not the reported one.</t>
        </is>
      </c>
    </row>
    <row r="16" ht="24" customHeight="1">
      <c r="B16" s="13" t="inlineStr">
        <is>
          <t>Role — Developer  (vendor)</t>
        </is>
      </c>
      <c r="C16" s="25">
        <f>SUMIFS('Seat Planner'!$M$5:$M$424,'Seat Planner'!$B$5:$B$424,1,'Seat Planner'!$J$5:$J$424,"FTC",'Seat Planner'!$G$5:$G$424,"DEV")+SUMIFS('Seat Planner'!$M$5:$M$424,'Seat Planner'!$B$5:$B$424,1,'Seat Planner'!$J$5:$J$424,"PT",'Seat Planner'!$G$5:$G$424,"DEV")</f>
        <v/>
      </c>
      <c r="D16" s="25">
        <f>'Logic Tree'!$D$21</f>
        <v/>
      </c>
      <c r="E16" s="17">
        <f>C16-D16</f>
        <v/>
      </c>
      <c r="F16" s="28">
        <f>IF(ABS(E16)&lt;=0.55,"OK","CHECK")</f>
        <v/>
      </c>
      <c r="J16" s="15" t="inlineStr">
        <is>
          <t>Against the RESTATED line, not the reported one.</t>
        </is>
      </c>
    </row>
    <row r="17" ht="24" customHeight="1">
      <c r="B17" s="13" t="inlineStr">
        <is>
          <t>Role — Tester  (vendor)</t>
        </is>
      </c>
      <c r="C17" s="25">
        <f>SUMIFS('Seat Planner'!$M$5:$M$424,'Seat Planner'!$B$5:$B$424,1,'Seat Planner'!$J$5:$J$424,"FTC",'Seat Planner'!$G$5:$G$424,"TEST")+SUMIFS('Seat Planner'!$M$5:$M$424,'Seat Planner'!$B$5:$B$424,1,'Seat Planner'!$J$5:$J$424,"PT",'Seat Planner'!$G$5:$G$424,"TEST")</f>
        <v/>
      </c>
      <c r="D17" s="25">
        <f>'Logic Tree'!$D$22</f>
        <v/>
      </c>
      <c r="E17" s="17">
        <f>C17-D17</f>
        <v/>
      </c>
      <c r="F17" s="28">
        <f>IF(ABS(E17)&lt;=0.55,"OK","CHECK")</f>
        <v/>
      </c>
      <c r="J17" s="15" t="inlineStr">
        <is>
          <t>Against the RESTATED line, not the reported one.</t>
        </is>
      </c>
    </row>
    <row r="18" ht="24" customHeight="1">
      <c r="B18" s="13" t="inlineStr">
        <is>
          <t>Role — Maintenance  (vendor)</t>
        </is>
      </c>
      <c r="C18" s="25">
        <f>SUMIFS('Seat Planner'!$M$5:$M$424,'Seat Planner'!$B$5:$B$424,1,'Seat Planner'!$J$5:$J$424,"FTC",'Seat Planner'!$G$5:$G$424,"MNT")+SUMIFS('Seat Planner'!$M$5:$M$424,'Seat Planner'!$B$5:$B$424,1,'Seat Planner'!$J$5:$J$424,"PT",'Seat Planner'!$G$5:$G$424,"MNT")</f>
        <v/>
      </c>
      <c r="D18" s="25">
        <f>'Logic Tree'!$D$23</f>
        <v/>
      </c>
      <c r="E18" s="17">
        <f>C18-D18</f>
        <v/>
      </c>
      <c r="F18" s="28">
        <f>IF(ABS(E18)&lt;=0.55,"OK","CHECK")</f>
        <v/>
      </c>
      <c r="J18" s="15" t="inlineStr">
        <is>
          <t>Against the RESTATED line, not the reported one.</t>
        </is>
      </c>
    </row>
    <row r="19" ht="24" customHeight="1">
      <c r="B19" s="13" t="inlineStr">
        <is>
          <t>Role — PM  (vendor)</t>
        </is>
      </c>
      <c r="C19" s="25">
        <f>SUMIFS('Seat Planner'!$M$5:$M$424,'Seat Planner'!$B$5:$B$424,1,'Seat Planner'!$J$5:$J$424,"FTC",'Seat Planner'!$G$5:$G$424,"PM")+SUMIFS('Seat Planner'!$M$5:$M$424,'Seat Planner'!$B$5:$B$424,1,'Seat Planner'!$J$5:$J$424,"PT",'Seat Planner'!$G$5:$G$424,"PM")</f>
        <v/>
      </c>
      <c r="D19" s="25">
        <f>'Logic Tree'!$D$24</f>
        <v/>
      </c>
      <c r="E19" s="17">
        <f>C19-D19</f>
        <v/>
      </c>
      <c r="F19" s="28">
        <f>IF(ABS(E19)&lt;=0.55,"OK","CHECK")</f>
        <v/>
      </c>
      <c r="J19" s="15" t="inlineStr">
        <is>
          <t>Against the RESTATED line, not the reported one.</t>
        </is>
      </c>
    </row>
    <row r="20" ht="24" customHeight="1">
      <c r="B20" s="13" t="inlineStr">
        <is>
          <t>Role — Other  (vendor)</t>
        </is>
      </c>
      <c r="C20" s="25">
        <f>SUMIFS('Seat Planner'!$M$5:$M$424,'Seat Planner'!$B$5:$B$424,1,'Seat Planner'!$J$5:$J$424,"FTC",'Seat Planner'!$G$5:$G$424,"OTH")+SUMIFS('Seat Planner'!$M$5:$M$424,'Seat Planner'!$B$5:$B$424,1,'Seat Planner'!$J$5:$J$424,"PT",'Seat Planner'!$G$5:$G$424,"OTH")</f>
        <v/>
      </c>
      <c r="D20" s="25">
        <f>'Logic Tree'!$D$25</f>
        <v/>
      </c>
      <c r="E20" s="17">
        <f>C20-D20</f>
        <v/>
      </c>
      <c r="F20" s="28">
        <f>IF(ABS(E20)&lt;=0.55,"OK","CHECK")</f>
        <v/>
      </c>
      <c r="J20" s="15" t="inlineStr">
        <is>
          <t>Against the RESTATED line, not the reported one.</t>
        </is>
      </c>
    </row>
    <row r="21" ht="21.75" customHeight="1">
      <c r="B21" s="19" t="inlineStr">
        <is>
          <t>Largest variance on any line</t>
        </is>
      </c>
      <c r="C21" s="35">
        <f>MAX(ABS(E6),ABS(E7),ABS(E8),ABS(E9),ABS(E10),ABS(E11),ABS(E12),ABS(E13),ABS(E14),ABS(E15),ABS(E16),ABS(E17),ABS(E18),ABS(E19),ABS(E20))</f>
        <v/>
      </c>
      <c r="J21" s="15" t="inlineStr">
        <is>
          <t>The five built models land inside 0.55 of a person on every line after head-grid quantisation. Anything materially above that is a Year-1 plan for a different 領域.</t>
        </is>
      </c>
    </row>
    <row r="23" ht="15" customHeight="1">
      <c r="A23" s="4" t="inlineStr">
        <is>
          <t>B.  EVERY YEAR AGAINST THE PLAN  —  Logic Tree section I</t>
        </is>
      </c>
    </row>
    <row r="24" ht="21.75" customHeight="1">
      <c r="B24" s="12" t="inlineStr">
        <is>
          <t>Measure</t>
        </is>
      </c>
      <c r="C24" s="12" t="inlineStr">
        <is>
          <t>Year 1</t>
        </is>
      </c>
      <c r="D24" s="12" t="inlineStr">
        <is>
          <t>Year 2</t>
        </is>
      </c>
      <c r="E24" s="12" t="inlineStr">
        <is>
          <t>Year 3</t>
        </is>
      </c>
      <c r="F24" s="12" t="inlineStr">
        <is>
          <t>Year 4</t>
        </is>
      </c>
      <c r="G24" s="12" t="inlineStr">
        <is>
          <t>Year 5</t>
        </is>
      </c>
      <c r="H24" s="12" t="n"/>
      <c r="I24" s="12" t="inlineStr">
        <is>
          <t>Note</t>
        </is>
      </c>
    </row>
    <row r="25" ht="21.75" customHeight="1">
      <c r="B25" s="13" t="inlineStr">
        <is>
          <t>Total people  —  seat plan</t>
        </is>
      </c>
      <c r="C25" s="25">
        <f>SUMIFS('Seat Planner'!$M$5:$M$424,'Seat Planner'!$B$5:$B$424,1)</f>
        <v/>
      </c>
      <c r="D25" s="25">
        <f>SUMIFS('Seat Planner'!$M$5:$M$424,'Seat Planner'!$B$5:$B$424,2)</f>
        <v/>
      </c>
      <c r="E25" s="25">
        <f>SUMIFS('Seat Planner'!$M$5:$M$424,'Seat Planner'!$B$5:$B$424,3)</f>
        <v/>
      </c>
      <c r="F25" s="25">
        <f>SUMIFS('Seat Planner'!$M$5:$M$424,'Seat Planner'!$B$5:$B$424,4)</f>
        <v/>
      </c>
      <c r="G25" s="25">
        <f>SUMIFS('Seat Planner'!$M$5:$M$424,'Seat Planner'!$B$5:$B$424,5)</f>
        <v/>
      </c>
      <c r="J25" s="15" t="inlineStr">
        <is>
          <t>Rows 121 to 125 of the Logic Tree are the target. Years 1 to 3 are the organic plan; Years 4 and 5 carry the transferred seats on MetLife's side.</t>
        </is>
      </c>
    </row>
    <row r="26" ht="14.25" customHeight="1">
      <c r="B26" s="20" t="inlineStr">
        <is>
          <t xml:space="preserve">    plan</t>
        </is>
      </c>
      <c r="C26" s="25">
        <f>'Logic Tree'!C125</f>
        <v/>
      </c>
      <c r="D26" s="25">
        <f>'Logic Tree'!D125</f>
        <v/>
      </c>
      <c r="E26" s="25">
        <f>'Logic Tree'!E125</f>
        <v/>
      </c>
      <c r="F26" s="25">
        <f>'Logic Tree'!F125</f>
        <v/>
      </c>
      <c r="G26" s="25">
        <f>'Logic Tree'!G125</f>
        <v/>
      </c>
    </row>
    <row r="27" ht="14.25" customHeight="1">
      <c r="B27" s="23" t="inlineStr">
        <is>
          <t xml:space="preserve">    variance</t>
        </is>
      </c>
      <c r="C27" s="17">
        <f>C25-C26</f>
        <v/>
      </c>
      <c r="D27" s="17">
        <f>D25-D26</f>
        <v/>
      </c>
      <c r="E27" s="17">
        <f>E25-E26</f>
        <v/>
      </c>
      <c r="F27" s="17">
        <f>F25-F26</f>
        <v/>
      </c>
      <c r="G27" s="17">
        <f>G25-G26</f>
        <v/>
      </c>
    </row>
    <row r="29" ht="21.75" customHeight="1">
      <c r="B29" s="13" t="inlineStr">
        <is>
          <t>Capgemini  (FTC)  —  seat plan</t>
        </is>
      </c>
      <c r="C29" s="25">
        <f>SUMIFS('Seat Planner'!$M$5:$M$424,'Seat Planner'!$B$5:$B$424,1,'Seat Planner'!$J$5:$J$424,"FTC")</f>
        <v/>
      </c>
      <c r="D29" s="25">
        <f>SUMIFS('Seat Planner'!$M$5:$M$424,'Seat Planner'!$B$5:$B$424,2,'Seat Planner'!$J$5:$J$424,"FTC")</f>
        <v/>
      </c>
      <c r="E29" s="25">
        <f>SUMIFS('Seat Planner'!$M$5:$M$424,'Seat Planner'!$B$5:$B$424,3,'Seat Planner'!$J$5:$J$424,"FTC")</f>
        <v/>
      </c>
      <c r="F29" s="25">
        <f>SUMIFS('Seat Planner'!$M$5:$M$424,'Seat Planner'!$B$5:$B$424,4,'Seat Planner'!$J$5:$J$424,"FTC")</f>
        <v/>
      </c>
      <c r="G29" s="25">
        <f>SUMIFS('Seat Planner'!$M$5:$M$424,'Seat Planner'!$B$5:$B$424,5,'Seat Planner'!$J$5:$J$424,"FTC")</f>
        <v/>
      </c>
      <c r="J29" s="15" t="inlineStr">
        <is>
          <t>If Capgemini is over plan and MetLife under, the anatomy is not shrinking the pools at their own rates — which is the whole mechanic that converges the ratio without a transfer.</t>
        </is>
      </c>
    </row>
    <row r="30" ht="14.25" customHeight="1">
      <c r="B30" s="20" t="inlineStr">
        <is>
          <t xml:space="preserve">    plan</t>
        </is>
      </c>
      <c r="C30" s="25">
        <f>'Logic Tree'!C124</f>
        <v/>
      </c>
      <c r="D30" s="25">
        <f>'Logic Tree'!D124</f>
        <v/>
      </c>
      <c r="E30" s="25">
        <f>'Logic Tree'!E124</f>
        <v/>
      </c>
      <c r="F30" s="25">
        <f>'Logic Tree'!F124</f>
        <v/>
      </c>
      <c r="G30" s="25">
        <f>'Logic Tree'!G124</f>
        <v/>
      </c>
    </row>
    <row r="31" ht="14.25" customHeight="1">
      <c r="B31" s="23" t="inlineStr">
        <is>
          <t xml:space="preserve">    variance</t>
        </is>
      </c>
      <c r="C31" s="17">
        <f>C29-C30</f>
        <v/>
      </c>
      <c r="D31" s="17">
        <f>D29-D30</f>
        <v/>
      </c>
      <c r="E31" s="17">
        <f>E29-E30</f>
        <v/>
      </c>
      <c r="F31" s="17">
        <f>F29-F30</f>
        <v/>
      </c>
      <c r="G31" s="17">
        <f>G29-G30</f>
        <v/>
      </c>
    </row>
    <row r="33" ht="14.25" customHeight="1">
      <c r="B33" s="13" t="inlineStr">
        <is>
          <t>Partner  (PT)  —  seat plan</t>
        </is>
      </c>
      <c r="C33" s="25">
        <f>SUMIFS('Seat Planner'!$M$5:$M$424,'Seat Planner'!$B$5:$B$424,1,'Seat Planner'!$J$5:$J$424,"PT")</f>
        <v/>
      </c>
      <c r="D33" s="25">
        <f>SUMIFS('Seat Planner'!$M$5:$M$424,'Seat Planner'!$B$5:$B$424,2,'Seat Planner'!$J$5:$J$424,"PT")</f>
        <v/>
      </c>
      <c r="E33" s="25">
        <f>SUMIFS('Seat Planner'!$M$5:$M$424,'Seat Planner'!$B$5:$B$424,3,'Seat Planner'!$J$5:$J$424,"PT")</f>
        <v/>
      </c>
      <c r="F33" s="25">
        <f>SUMIFS('Seat Planner'!$M$5:$M$424,'Seat Planner'!$B$5:$B$424,4,'Seat Planner'!$J$5:$J$424,"PT")</f>
        <v/>
      </c>
      <c r="G33" s="25">
        <f>SUMIFS('Seat Planner'!$M$5:$M$424,'Seat Planner'!$B$5:$B$424,5,'Seat Planner'!$J$5:$J$424,"PT")</f>
        <v/>
      </c>
    </row>
    <row r="34" ht="14.25" customHeight="1">
      <c r="B34" s="20" t="inlineStr">
        <is>
          <t xml:space="preserve">    plan</t>
        </is>
      </c>
      <c r="C34" s="25">
        <f>'Logic Tree'!C123</f>
        <v/>
      </c>
      <c r="D34" s="25">
        <f>'Logic Tree'!D123</f>
        <v/>
      </c>
      <c r="E34" s="25">
        <f>'Logic Tree'!E123</f>
        <v/>
      </c>
      <c r="F34" s="25">
        <f>'Logic Tree'!F123</f>
        <v/>
      </c>
      <c r="G34" s="25">
        <f>'Logic Tree'!G123</f>
        <v/>
      </c>
    </row>
    <row r="35" ht="14.25" customHeight="1">
      <c r="B35" s="23" t="inlineStr">
        <is>
          <t xml:space="preserve">    variance</t>
        </is>
      </c>
      <c r="C35" s="17">
        <f>C33-C34</f>
        <v/>
      </c>
      <c r="D35" s="17">
        <f>D33-D34</f>
        <v/>
      </c>
      <c r="E35" s="17">
        <f>E33-E34</f>
        <v/>
      </c>
      <c r="F35" s="17">
        <f>F33-F34</f>
        <v/>
      </c>
      <c r="G35" s="17">
        <f>G33-G34</f>
        <v/>
      </c>
    </row>
    <row r="37" ht="14.25" customHeight="1">
      <c r="B37" s="13" t="inlineStr">
        <is>
          <t>MetLife Japan  (FTE)  —  seat plan</t>
        </is>
      </c>
      <c r="C37" s="25">
        <f>SUMIFS('Seat Planner'!$M$5:$M$424,'Seat Planner'!$B$5:$B$424,1,'Seat Planner'!$J$5:$J$424,"FTE")</f>
        <v/>
      </c>
      <c r="D37" s="25">
        <f>SUMIFS('Seat Planner'!$M$5:$M$424,'Seat Planner'!$B$5:$B$424,2,'Seat Planner'!$J$5:$J$424,"FTE")</f>
        <v/>
      </c>
      <c r="E37" s="25">
        <f>SUMIFS('Seat Planner'!$M$5:$M$424,'Seat Planner'!$B$5:$B$424,3,'Seat Planner'!$J$5:$J$424,"FTE")</f>
        <v/>
      </c>
      <c r="F37" s="25">
        <f>SUMIFS('Seat Planner'!$M$5:$M$424,'Seat Planner'!$B$5:$B$424,4,'Seat Planner'!$J$5:$J$424,"FTE")</f>
        <v/>
      </c>
      <c r="G37" s="25">
        <f>SUMIFS('Seat Planner'!$M$5:$M$424,'Seat Planner'!$B$5:$B$424,5,'Seat Planner'!$J$5:$J$424,"FTE")</f>
        <v/>
      </c>
    </row>
    <row r="38" ht="14.25" customHeight="1">
      <c r="B38" s="20" t="inlineStr">
        <is>
          <t xml:space="preserve">    plan</t>
        </is>
      </c>
      <c r="C38" s="25">
        <f>'Logic Tree'!C121</f>
        <v/>
      </c>
      <c r="D38" s="25">
        <f>'Logic Tree'!D121</f>
        <v/>
      </c>
      <c r="E38" s="25">
        <f>'Logic Tree'!E121</f>
        <v/>
      </c>
      <c r="F38" s="25">
        <f>'Logic Tree'!F121</f>
        <v/>
      </c>
      <c r="G38" s="25">
        <f>'Logic Tree'!G121</f>
        <v/>
      </c>
    </row>
    <row r="39" ht="14.25" customHeight="1">
      <c r="B39" s="23" t="inlineStr">
        <is>
          <t xml:space="preserve">    variance</t>
        </is>
      </c>
      <c r="C39" s="17">
        <f>C37-C38</f>
        <v/>
      </c>
      <c r="D39" s="17">
        <f>D37-D38</f>
        <v/>
      </c>
      <c r="E39" s="17">
        <f>E37-E38</f>
        <v/>
      </c>
      <c r="F39" s="17">
        <f>F37-F38</f>
        <v/>
      </c>
      <c r="G39" s="17">
        <f>G37-G38</f>
        <v/>
      </c>
    </row>
    <row r="41" ht="14.25" customHeight="1">
      <c r="B41" s="13" t="inlineStr">
        <is>
          <t>MetLife MGCC  —  seat plan</t>
        </is>
      </c>
      <c r="C41" s="25">
        <f>SUMIFS('Seat Planner'!$M$5:$M$424,'Seat Planner'!$B$5:$B$424,1,'Seat Planner'!$J$5:$J$424,"MGCC")</f>
        <v/>
      </c>
      <c r="D41" s="25">
        <f>SUMIFS('Seat Planner'!$M$5:$M$424,'Seat Planner'!$B$5:$B$424,2,'Seat Planner'!$J$5:$J$424,"MGCC")</f>
        <v/>
      </c>
      <c r="E41" s="25">
        <f>SUMIFS('Seat Planner'!$M$5:$M$424,'Seat Planner'!$B$5:$B$424,3,'Seat Planner'!$J$5:$J$424,"MGCC")</f>
        <v/>
      </c>
      <c r="F41" s="25">
        <f>SUMIFS('Seat Planner'!$M$5:$M$424,'Seat Planner'!$B$5:$B$424,4,'Seat Planner'!$J$5:$J$424,"MGCC")</f>
        <v/>
      </c>
      <c r="G41" s="25">
        <f>SUMIFS('Seat Planner'!$M$5:$M$424,'Seat Planner'!$B$5:$B$424,5,'Seat Planner'!$J$5:$J$424,"MGCC")</f>
        <v/>
      </c>
    </row>
    <row r="42" ht="14.25" customHeight="1">
      <c r="B42" s="20" t="inlineStr">
        <is>
          <t xml:space="preserve">    plan</t>
        </is>
      </c>
      <c r="C42" s="25">
        <f>'Logic Tree'!C122</f>
        <v/>
      </c>
      <c r="D42" s="25">
        <f>'Logic Tree'!D122</f>
        <v/>
      </c>
      <c r="E42" s="25">
        <f>'Logic Tree'!E122</f>
        <v/>
      </c>
      <c r="F42" s="25">
        <f>'Logic Tree'!F122</f>
        <v/>
      </c>
      <c r="G42" s="25">
        <f>'Logic Tree'!G122</f>
        <v/>
      </c>
    </row>
    <row r="43" ht="14.25" customHeight="1">
      <c r="B43" s="23" t="inlineStr">
        <is>
          <t xml:space="preserve">    variance</t>
        </is>
      </c>
      <c r="C43" s="17">
        <f>C41-C42</f>
        <v/>
      </c>
      <c r="D43" s="17">
        <f>D41-D42</f>
        <v/>
      </c>
      <c r="E43" s="17">
        <f>E41-E42</f>
        <v/>
      </c>
      <c r="F43" s="17">
        <f>F41-F42</f>
        <v/>
      </c>
      <c r="G43" s="17">
        <f>G41-G42</f>
        <v/>
      </c>
    </row>
    <row r="45" ht="15" customHeight="1">
      <c r="A45" s="4" t="inlineStr">
        <is>
          <t>C.  GUARDRAILS</t>
        </is>
      </c>
    </row>
    <row r="46" ht="21.75" customHeight="1">
      <c r="B46" s="12" t="inlineStr">
        <is>
          <t>Test</t>
        </is>
      </c>
      <c r="C46" s="12" t="inlineStr">
        <is>
          <t>Year 1</t>
        </is>
      </c>
      <c r="D46" s="12" t="inlineStr">
        <is>
          <t>Year 2</t>
        </is>
      </c>
      <c r="E46" s="12" t="inlineStr">
        <is>
          <t>Year 3</t>
        </is>
      </c>
      <c r="F46" s="12" t="inlineStr">
        <is>
          <t>Year 4</t>
        </is>
      </c>
      <c r="G46" s="12" t="inlineStr">
        <is>
          <t>Year 5</t>
        </is>
      </c>
      <c r="H46" s="12" t="n"/>
      <c r="I46" s="12" t="inlineStr">
        <is>
          <t>Floor</t>
        </is>
      </c>
    </row>
    <row r="47" ht="39.75" customHeight="1">
      <c r="B47" s="13" t="inlineStr">
        <is>
          <t>Capgemini + partner share of the delivery population</t>
        </is>
      </c>
      <c r="C47" s="29">
        <f>IF(SUMIFS('Seat Planner'!$M$5:$M$424,'Seat Planner'!$B$5:$B$424,1)=0,0,(SUMIFS('Seat Planner'!$M$5:$M$424,'Seat Planner'!$B$5:$B$424,1,'Seat Planner'!$J$5:$J$424,"FTC")+SUMIFS('Seat Planner'!$M$5:$M$424,'Seat Planner'!$B$5:$B$424,1,'Seat Planner'!$J$5:$J$424,"PT"))/SUMIFS('Seat Planner'!$M$5:$M$424,'Seat Planner'!$B$5:$B$424,1))</f>
        <v/>
      </c>
      <c r="D47" s="29">
        <f>IF(SUMIFS('Seat Planner'!$M$5:$M$424,'Seat Planner'!$B$5:$B$424,2)=0,0,(SUMIFS('Seat Planner'!$M$5:$M$424,'Seat Planner'!$B$5:$B$424,2,'Seat Planner'!$J$5:$J$424,"FTC")+SUMIFS('Seat Planner'!$M$5:$M$424,'Seat Planner'!$B$5:$B$424,2,'Seat Planner'!$J$5:$J$424,"PT"))/SUMIFS('Seat Planner'!$M$5:$M$424,'Seat Planner'!$B$5:$B$424,2))</f>
        <v/>
      </c>
      <c r="E47" s="29">
        <f>IF(SUMIFS('Seat Planner'!$M$5:$M$424,'Seat Planner'!$B$5:$B$424,3)=0,0,(SUMIFS('Seat Planner'!$M$5:$M$424,'Seat Planner'!$B$5:$B$424,3,'Seat Planner'!$J$5:$J$424,"FTC")+SUMIFS('Seat Planner'!$M$5:$M$424,'Seat Planner'!$B$5:$B$424,3,'Seat Planner'!$J$5:$J$424,"PT"))/SUMIFS('Seat Planner'!$M$5:$M$424,'Seat Planner'!$B$5:$B$424,3))</f>
        <v/>
      </c>
      <c r="F47" s="29">
        <f>IF(SUMIFS('Seat Planner'!$M$5:$M$424,'Seat Planner'!$B$5:$B$424,4)=0,0,(SUMIFS('Seat Planner'!$M$5:$M$424,'Seat Planner'!$B$5:$B$424,4,'Seat Planner'!$J$5:$J$424,"FTC")+SUMIFS('Seat Planner'!$M$5:$M$424,'Seat Planner'!$B$5:$B$424,4,'Seat Planner'!$J$5:$J$424,"PT"))/SUMIFS('Seat Planner'!$M$5:$M$424,'Seat Planner'!$B$5:$B$424,4))</f>
        <v/>
      </c>
      <c r="G47" s="29">
        <f>IF(SUMIFS('Seat Planner'!$M$5:$M$424,'Seat Planner'!$B$5:$B$424,5)=0,0,(SUMIFS('Seat Planner'!$M$5:$M$424,'Seat Planner'!$B$5:$B$424,5,'Seat Planner'!$J$5:$J$424,"FTC")+SUMIFS('Seat Planner'!$M$5:$M$424,'Seat Planner'!$B$5:$B$424,5,'Seat Planner'!$J$5:$J$424,"PT"))/SUMIFS('Seat Planner'!$M$5:$M$424,'Seat Planner'!$B$5:$B$424,5))</f>
        <v/>
      </c>
      <c r="I47" s="55">
        <f>'Rates &amp; Tables'!$C$55</f>
        <v/>
      </c>
      <c r="J47" s="15" t="inlineStr">
        <is>
          <t>Where the Logic Tree says the floor does not apply — MetLife already held the majority on day one — this reads n/a rather than CHECK. A guardrail we cannot meet is not a guardrail; set your own floor on the Rates sheet and write the reason down.</t>
        </is>
      </c>
    </row>
    <row r="48" ht="34.5" customHeight="1">
      <c r="B48" s="13" t="inlineStr">
        <is>
          <t>Capgemini share of build and test seats</t>
        </is>
      </c>
      <c r="C48" s="29">
        <f>IF((SUMIFS('Seat Planner'!$M$5:$M$424,'Seat Planner'!$B$5:$B$424,1,'Seat Planner'!$G$5:$G$424,"DEV")+SUMIFS('Seat Planner'!$M$5:$M$424,'Seat Planner'!$B$5:$B$424,1,'Seat Planner'!$G$5:$G$424,"TEST"))=0,0,(SUMIFS('Seat Planner'!$M$5:$M$424,'Seat Planner'!$B$5:$B$424,1,'Seat Planner'!$G$5:$G$424,"DEV",'Seat Planner'!$J$5:$J$424,"FTC")+SUMIFS('Seat Planner'!$M$5:$M$424,'Seat Planner'!$B$5:$B$424,1,'Seat Planner'!$G$5:$G$424,"TEST",'Seat Planner'!$J$5:$J$424,"FTC")+SUMIFS('Seat Planner'!$M$5:$M$424,'Seat Planner'!$B$5:$B$424,1,'Seat Planner'!$G$5:$G$424,"DEV",'Seat Planner'!$J$5:$J$424,"PT")+SUMIFS('Seat Planner'!$M$5:$M$424,'Seat Planner'!$B$5:$B$424,1,'Seat Planner'!$G$5:$G$424,"TEST",'Seat Planner'!$J$5:$J$424,"PT"))/(SUMIFS('Seat Planner'!$M$5:$M$424,'Seat Planner'!$B$5:$B$424,1,'Seat Planner'!$G$5:$G$424,"DEV")+SUMIFS('Seat Planner'!$M$5:$M$424,'Seat Planner'!$B$5:$B$424,1,'Seat Planner'!$G$5:$G$424,"TEST")))</f>
        <v/>
      </c>
      <c r="D48" s="29">
        <f>IF((SUMIFS('Seat Planner'!$M$5:$M$424,'Seat Planner'!$B$5:$B$424,2,'Seat Planner'!$G$5:$G$424,"DEV")+SUMIFS('Seat Planner'!$M$5:$M$424,'Seat Planner'!$B$5:$B$424,2,'Seat Planner'!$G$5:$G$424,"TEST"))=0,0,(SUMIFS('Seat Planner'!$M$5:$M$424,'Seat Planner'!$B$5:$B$424,2,'Seat Planner'!$G$5:$G$424,"DEV",'Seat Planner'!$J$5:$J$424,"FTC")+SUMIFS('Seat Planner'!$M$5:$M$424,'Seat Planner'!$B$5:$B$424,2,'Seat Planner'!$G$5:$G$424,"TEST",'Seat Planner'!$J$5:$J$424,"FTC")+SUMIFS('Seat Planner'!$M$5:$M$424,'Seat Planner'!$B$5:$B$424,2,'Seat Planner'!$G$5:$G$424,"DEV",'Seat Planner'!$J$5:$J$424,"PT")+SUMIFS('Seat Planner'!$M$5:$M$424,'Seat Planner'!$B$5:$B$424,2,'Seat Planner'!$G$5:$G$424,"TEST",'Seat Planner'!$J$5:$J$424,"PT"))/(SUMIFS('Seat Planner'!$M$5:$M$424,'Seat Planner'!$B$5:$B$424,2,'Seat Planner'!$G$5:$G$424,"DEV")+SUMIFS('Seat Planner'!$M$5:$M$424,'Seat Planner'!$B$5:$B$424,2,'Seat Planner'!$G$5:$G$424,"TEST")))</f>
        <v/>
      </c>
      <c r="E48" s="29">
        <f>IF((SUMIFS('Seat Planner'!$M$5:$M$424,'Seat Planner'!$B$5:$B$424,3,'Seat Planner'!$G$5:$G$424,"DEV")+SUMIFS('Seat Planner'!$M$5:$M$424,'Seat Planner'!$B$5:$B$424,3,'Seat Planner'!$G$5:$G$424,"TEST"))=0,0,(SUMIFS('Seat Planner'!$M$5:$M$424,'Seat Planner'!$B$5:$B$424,3,'Seat Planner'!$G$5:$G$424,"DEV",'Seat Planner'!$J$5:$J$424,"FTC")+SUMIFS('Seat Planner'!$M$5:$M$424,'Seat Planner'!$B$5:$B$424,3,'Seat Planner'!$G$5:$G$424,"TEST",'Seat Planner'!$J$5:$J$424,"FTC")+SUMIFS('Seat Planner'!$M$5:$M$424,'Seat Planner'!$B$5:$B$424,3,'Seat Planner'!$G$5:$G$424,"DEV",'Seat Planner'!$J$5:$J$424,"PT")+SUMIFS('Seat Planner'!$M$5:$M$424,'Seat Planner'!$B$5:$B$424,3,'Seat Planner'!$G$5:$G$424,"TEST",'Seat Planner'!$J$5:$J$424,"PT"))/(SUMIFS('Seat Planner'!$M$5:$M$424,'Seat Planner'!$B$5:$B$424,3,'Seat Planner'!$G$5:$G$424,"DEV")+SUMIFS('Seat Planner'!$M$5:$M$424,'Seat Planner'!$B$5:$B$424,3,'Seat Planner'!$G$5:$G$424,"TEST")))</f>
        <v/>
      </c>
      <c r="F48" s="29">
        <f>IF((SUMIFS('Seat Planner'!$M$5:$M$424,'Seat Planner'!$B$5:$B$424,4,'Seat Planner'!$G$5:$G$424,"DEV")+SUMIFS('Seat Planner'!$M$5:$M$424,'Seat Planner'!$B$5:$B$424,4,'Seat Planner'!$G$5:$G$424,"TEST"))=0,0,(SUMIFS('Seat Planner'!$M$5:$M$424,'Seat Planner'!$B$5:$B$424,4,'Seat Planner'!$G$5:$G$424,"DEV",'Seat Planner'!$J$5:$J$424,"FTC")+SUMIFS('Seat Planner'!$M$5:$M$424,'Seat Planner'!$B$5:$B$424,4,'Seat Planner'!$G$5:$G$424,"TEST",'Seat Planner'!$J$5:$J$424,"FTC")+SUMIFS('Seat Planner'!$M$5:$M$424,'Seat Planner'!$B$5:$B$424,4,'Seat Planner'!$G$5:$G$424,"DEV",'Seat Planner'!$J$5:$J$424,"PT")+SUMIFS('Seat Planner'!$M$5:$M$424,'Seat Planner'!$B$5:$B$424,4,'Seat Planner'!$G$5:$G$424,"TEST",'Seat Planner'!$J$5:$J$424,"PT"))/(SUMIFS('Seat Planner'!$M$5:$M$424,'Seat Planner'!$B$5:$B$424,4,'Seat Planner'!$G$5:$G$424,"DEV")+SUMIFS('Seat Planner'!$M$5:$M$424,'Seat Planner'!$B$5:$B$424,4,'Seat Planner'!$G$5:$G$424,"TEST")))</f>
        <v/>
      </c>
      <c r="G48" s="29">
        <f>IF((SUMIFS('Seat Planner'!$M$5:$M$424,'Seat Planner'!$B$5:$B$424,5,'Seat Planner'!$G$5:$G$424,"DEV")+SUMIFS('Seat Planner'!$M$5:$M$424,'Seat Planner'!$B$5:$B$424,5,'Seat Planner'!$G$5:$G$424,"TEST"))=0,0,(SUMIFS('Seat Planner'!$M$5:$M$424,'Seat Planner'!$B$5:$B$424,5,'Seat Planner'!$G$5:$G$424,"DEV",'Seat Planner'!$J$5:$J$424,"FTC")+SUMIFS('Seat Planner'!$M$5:$M$424,'Seat Planner'!$B$5:$B$424,5,'Seat Planner'!$G$5:$G$424,"TEST",'Seat Planner'!$J$5:$J$424,"FTC")+SUMIFS('Seat Planner'!$M$5:$M$424,'Seat Planner'!$B$5:$B$424,5,'Seat Planner'!$G$5:$G$424,"DEV",'Seat Planner'!$J$5:$J$424,"PT")+SUMIFS('Seat Planner'!$M$5:$M$424,'Seat Planner'!$B$5:$B$424,5,'Seat Planner'!$G$5:$G$424,"TEST",'Seat Planner'!$J$5:$J$424,"PT"))/(SUMIFS('Seat Planner'!$M$5:$M$424,'Seat Planner'!$B$5:$B$424,5,'Seat Planner'!$G$5:$G$424,"DEV")+SUMIFS('Seat Planner'!$M$5:$M$424,'Seat Planner'!$B$5:$B$424,5,'Seat Planner'!$G$5:$G$424,"TEST")))</f>
        <v/>
      </c>
      <c r="I48" s="55">
        <f>'Rates &amp; Tables'!$C$56</f>
        <v/>
      </c>
    </row>
    <row r="49" ht="34.5" customHeight="1">
      <c r="B49" s="13" t="inlineStr">
        <is>
          <t>Offshore share of the whole team  (includes MGCC)</t>
        </is>
      </c>
      <c r="C49" s="29">
        <f>IF(SUMIFS('Seat Planner'!$M$5:$M$424,'Seat Planner'!$B$5:$B$424,1)=0,0,SUMIFS('Seat Planner'!$M$5:$M$424,'Seat Planner'!$B$5:$B$424,1,'Seat Planner'!$I$5:$I$424,"OFF")/SUMIFS('Seat Planner'!$M$5:$M$424,'Seat Planner'!$B$5:$B$424,1))</f>
        <v/>
      </c>
      <c r="D49" s="29">
        <f>IF(SUMIFS('Seat Planner'!$M$5:$M$424,'Seat Planner'!$B$5:$B$424,2)=0,0,SUMIFS('Seat Planner'!$M$5:$M$424,'Seat Planner'!$B$5:$B$424,2,'Seat Planner'!$I$5:$I$424,"OFF")/SUMIFS('Seat Planner'!$M$5:$M$424,'Seat Planner'!$B$5:$B$424,2))</f>
        <v/>
      </c>
      <c r="E49" s="29">
        <f>IF(SUMIFS('Seat Planner'!$M$5:$M$424,'Seat Planner'!$B$5:$B$424,3)=0,0,SUMIFS('Seat Planner'!$M$5:$M$424,'Seat Planner'!$B$5:$B$424,3,'Seat Planner'!$I$5:$I$424,"OFF")/SUMIFS('Seat Planner'!$M$5:$M$424,'Seat Planner'!$B$5:$B$424,3))</f>
        <v/>
      </c>
      <c r="F49" s="29">
        <f>IF(SUMIFS('Seat Planner'!$M$5:$M$424,'Seat Planner'!$B$5:$B$424,4)=0,0,SUMIFS('Seat Planner'!$M$5:$M$424,'Seat Planner'!$B$5:$B$424,4,'Seat Planner'!$I$5:$I$424,"OFF")/SUMIFS('Seat Planner'!$M$5:$M$424,'Seat Planner'!$B$5:$B$424,4))</f>
        <v/>
      </c>
      <c r="G49" s="29">
        <f>IF(SUMIFS('Seat Planner'!$M$5:$M$424,'Seat Planner'!$B$5:$B$424,5)=0,0,SUMIFS('Seat Planner'!$M$5:$M$424,'Seat Planner'!$B$5:$B$424,5,'Seat Planner'!$I$5:$I$424,"OFF")/SUMIFS('Seat Planner'!$M$5:$M$424,'Seat Planner'!$B$5:$B$424,5))</f>
        <v/>
      </c>
      <c r="I49" s="55">
        <f>'Logic Tree'!C134</f>
        <v/>
      </c>
    </row>
    <row r="50" ht="24" customHeight="1">
      <c r="B50" s="23" t="inlineStr">
        <is>
          <t>Guardrail status  —  from Year 2 onward, and only where the floor applies</t>
        </is>
      </c>
      <c r="C50" s="56">
        <f>IF('Logic Tree'!$D$68=0,"n/a","measured")</f>
        <v/>
      </c>
      <c r="D50" s="28">
        <f>IF('Logic Tree'!$D$68=0,"n/a",IF(AND(D47&gt;='Rates &amp; Tables'!$C$55-0.005,D48&gt;='Rates &amp; Tables'!$C$56-0.005),"OK","CHECK"))</f>
        <v/>
      </c>
      <c r="E50" s="28">
        <f>IF('Logic Tree'!$D$68=0,"n/a",IF(AND(E47&gt;='Rates &amp; Tables'!$C$55-0.005,E48&gt;='Rates &amp; Tables'!$C$56-0.005),"OK","CHECK"))</f>
        <v/>
      </c>
      <c r="F50" s="28">
        <f>IF('Logic Tree'!$D$68=0,"n/a",IF(AND(F47&gt;='Rates &amp; Tables'!$C$55-0.005,F48&gt;='Rates &amp; Tables'!$C$56-0.005),"OK","CHECK"))</f>
        <v/>
      </c>
      <c r="G50" s="28">
        <f>IF('Logic Tree'!$D$68=0,"n/a",IF(AND(G47&gt;='Rates &amp; Tables'!$C$55-0.005,G48&gt;='Rates &amp; Tables'!$C$56-0.005),"OK","CHECK"))</f>
        <v/>
      </c>
    </row>
    <row r="52" ht="15" customHeight="1">
      <c r="A52" s="4" t="inlineStr">
        <is>
          <t>D.  CAPGEMINI SHARE INSIDE EVERY SINGLE DELIVERY UNIT</t>
        </is>
      </c>
    </row>
    <row r="53" ht="21.75" customHeight="1">
      <c r="B53" s="12" t="inlineStr">
        <is>
          <t>Unit</t>
        </is>
      </c>
      <c r="C53" s="12" t="inlineStr">
        <is>
          <t>Year 1</t>
        </is>
      </c>
      <c r="D53" s="12" t="inlineStr">
        <is>
          <t>Year 2</t>
        </is>
      </c>
      <c r="E53" s="12" t="inlineStr">
        <is>
          <t>Year 3</t>
        </is>
      </c>
      <c r="F53" s="12" t="inlineStr">
        <is>
          <t>Year 4</t>
        </is>
      </c>
      <c r="G53" s="12" t="inlineStr">
        <is>
          <t>Year 5</t>
        </is>
      </c>
      <c r="H53" s="12" t="n"/>
      <c r="I53" s="12" t="inlineStr">
        <is>
          <t>Note</t>
        </is>
      </c>
    </row>
    <row r="54" ht="14.25" customHeight="1">
      <c r="B54" s="20" t="inlineStr">
        <is>
          <t>Stream 1  ·  POD</t>
        </is>
      </c>
      <c r="C54" s="29">
        <f>IF(SUMIFS('Seat Planner'!$M$5:$M$424,'Seat Planner'!$B$5:$B$424,1,'Seat Planner'!$C$5:$C$424,"POD",'Seat Planner'!$D$5:$D$424,1)=0,"",(SUMIFS('Seat Planner'!$M$5:$M$424,'Seat Planner'!$B$5:$B$424,1,'Seat Planner'!$C$5:$C$424,"POD",'Seat Planner'!$D$5:$D$424,1,'Seat Planner'!$J$5:$J$424,"FTC")+SUMIFS('Seat Planner'!$M$5:$M$424,'Seat Planner'!$B$5:$B$424,1,'Seat Planner'!$C$5:$C$424,"POD",'Seat Planner'!$D$5:$D$424,1,'Seat Planner'!$J$5:$J$424,"PT"))/SUMIFS('Seat Planner'!$M$5:$M$424,'Seat Planner'!$B$5:$B$424,1,'Seat Planner'!$C$5:$C$424,"POD",'Seat Planner'!$D$5:$D$424,1))</f>
        <v/>
      </c>
      <c r="D54" s="29">
        <f>IF(SUMIFS('Seat Planner'!$M$5:$M$424,'Seat Planner'!$B$5:$B$424,2,'Seat Planner'!$C$5:$C$424,"POD",'Seat Planner'!$D$5:$D$424,1)=0,"",(SUMIFS('Seat Planner'!$M$5:$M$424,'Seat Planner'!$B$5:$B$424,2,'Seat Planner'!$C$5:$C$424,"POD",'Seat Planner'!$D$5:$D$424,1,'Seat Planner'!$J$5:$J$424,"FTC")+SUMIFS('Seat Planner'!$M$5:$M$424,'Seat Planner'!$B$5:$B$424,2,'Seat Planner'!$C$5:$C$424,"POD",'Seat Planner'!$D$5:$D$424,1,'Seat Planner'!$J$5:$J$424,"PT"))/SUMIFS('Seat Planner'!$M$5:$M$424,'Seat Planner'!$B$5:$B$424,2,'Seat Planner'!$C$5:$C$424,"POD",'Seat Planner'!$D$5:$D$424,1))</f>
        <v/>
      </c>
      <c r="E54" s="29">
        <f>IF(SUMIFS('Seat Planner'!$M$5:$M$424,'Seat Planner'!$B$5:$B$424,3,'Seat Planner'!$C$5:$C$424,"POD",'Seat Planner'!$D$5:$D$424,1)=0,"",(SUMIFS('Seat Planner'!$M$5:$M$424,'Seat Planner'!$B$5:$B$424,3,'Seat Planner'!$C$5:$C$424,"POD",'Seat Planner'!$D$5:$D$424,1,'Seat Planner'!$J$5:$J$424,"FTC")+SUMIFS('Seat Planner'!$M$5:$M$424,'Seat Planner'!$B$5:$B$424,3,'Seat Planner'!$C$5:$C$424,"POD",'Seat Planner'!$D$5:$D$424,1,'Seat Planner'!$J$5:$J$424,"PT"))/SUMIFS('Seat Planner'!$M$5:$M$424,'Seat Planner'!$B$5:$B$424,3,'Seat Planner'!$C$5:$C$424,"POD",'Seat Planner'!$D$5:$D$424,1))</f>
        <v/>
      </c>
      <c r="F54" s="29">
        <f>IF(SUMIFS('Seat Planner'!$M$5:$M$424,'Seat Planner'!$B$5:$B$424,4,'Seat Planner'!$C$5:$C$424,"POD",'Seat Planner'!$D$5:$D$424,1)=0,"",(SUMIFS('Seat Planner'!$M$5:$M$424,'Seat Planner'!$B$5:$B$424,4,'Seat Planner'!$C$5:$C$424,"POD",'Seat Planner'!$D$5:$D$424,1,'Seat Planner'!$J$5:$J$424,"FTC")+SUMIFS('Seat Planner'!$M$5:$M$424,'Seat Planner'!$B$5:$B$424,4,'Seat Planner'!$C$5:$C$424,"POD",'Seat Planner'!$D$5:$D$424,1,'Seat Planner'!$J$5:$J$424,"PT"))/SUMIFS('Seat Planner'!$M$5:$M$424,'Seat Planner'!$B$5:$B$424,4,'Seat Planner'!$C$5:$C$424,"POD",'Seat Planner'!$D$5:$D$424,1))</f>
        <v/>
      </c>
      <c r="G54" s="29">
        <f>IF(SUMIFS('Seat Planner'!$M$5:$M$424,'Seat Planner'!$B$5:$B$424,5,'Seat Planner'!$C$5:$C$424,"POD",'Seat Planner'!$D$5:$D$424,1)=0,"",(SUMIFS('Seat Planner'!$M$5:$M$424,'Seat Planner'!$B$5:$B$424,5,'Seat Planner'!$C$5:$C$424,"POD",'Seat Planner'!$D$5:$D$424,1,'Seat Planner'!$J$5:$J$424,"FTC")+SUMIFS('Seat Planner'!$M$5:$M$424,'Seat Planner'!$B$5:$B$424,5,'Seat Planner'!$C$5:$C$424,"POD",'Seat Planner'!$D$5:$D$424,1,'Seat Planner'!$J$5:$J$424,"PT"))/SUMIFS('Seat Planner'!$M$5:$M$424,'Seat Planner'!$B$5:$B$424,5,'Seat Planner'!$C$5:$C$424,"POD",'Seat Planner'!$D$5:$D$424,1))</f>
        <v/>
      </c>
    </row>
    <row r="55" ht="14.25" customHeight="1">
      <c r="B55" s="20" t="inlineStr">
        <is>
          <t>Stream 1  ·  TEAM</t>
        </is>
      </c>
      <c r="C55" s="29">
        <f>IF(SUMIFS('Seat Planner'!$M$5:$M$424,'Seat Planner'!$B$5:$B$424,1,'Seat Planner'!$C$5:$C$424,"TEAM",'Seat Planner'!$D$5:$D$424,1)=0,"",(SUMIFS('Seat Planner'!$M$5:$M$424,'Seat Planner'!$B$5:$B$424,1,'Seat Planner'!$C$5:$C$424,"TEAM",'Seat Planner'!$D$5:$D$424,1,'Seat Planner'!$J$5:$J$424,"FTC")+SUMIFS('Seat Planner'!$M$5:$M$424,'Seat Planner'!$B$5:$B$424,1,'Seat Planner'!$C$5:$C$424,"TEAM",'Seat Planner'!$D$5:$D$424,1,'Seat Planner'!$J$5:$J$424,"PT"))/SUMIFS('Seat Planner'!$M$5:$M$424,'Seat Planner'!$B$5:$B$424,1,'Seat Planner'!$C$5:$C$424,"TEAM",'Seat Planner'!$D$5:$D$424,1))</f>
        <v/>
      </c>
      <c r="D55" s="29">
        <f>IF(SUMIFS('Seat Planner'!$M$5:$M$424,'Seat Planner'!$B$5:$B$424,2,'Seat Planner'!$C$5:$C$424,"TEAM",'Seat Planner'!$D$5:$D$424,1)=0,"",(SUMIFS('Seat Planner'!$M$5:$M$424,'Seat Planner'!$B$5:$B$424,2,'Seat Planner'!$C$5:$C$424,"TEAM",'Seat Planner'!$D$5:$D$424,1,'Seat Planner'!$J$5:$J$424,"FTC")+SUMIFS('Seat Planner'!$M$5:$M$424,'Seat Planner'!$B$5:$B$424,2,'Seat Planner'!$C$5:$C$424,"TEAM",'Seat Planner'!$D$5:$D$424,1,'Seat Planner'!$J$5:$J$424,"PT"))/SUMIFS('Seat Planner'!$M$5:$M$424,'Seat Planner'!$B$5:$B$424,2,'Seat Planner'!$C$5:$C$424,"TEAM",'Seat Planner'!$D$5:$D$424,1))</f>
        <v/>
      </c>
      <c r="E55" s="29">
        <f>IF(SUMIFS('Seat Planner'!$M$5:$M$424,'Seat Planner'!$B$5:$B$424,3,'Seat Planner'!$C$5:$C$424,"TEAM",'Seat Planner'!$D$5:$D$424,1)=0,"",(SUMIFS('Seat Planner'!$M$5:$M$424,'Seat Planner'!$B$5:$B$424,3,'Seat Planner'!$C$5:$C$424,"TEAM",'Seat Planner'!$D$5:$D$424,1,'Seat Planner'!$J$5:$J$424,"FTC")+SUMIFS('Seat Planner'!$M$5:$M$424,'Seat Planner'!$B$5:$B$424,3,'Seat Planner'!$C$5:$C$424,"TEAM",'Seat Planner'!$D$5:$D$424,1,'Seat Planner'!$J$5:$J$424,"PT"))/SUMIFS('Seat Planner'!$M$5:$M$424,'Seat Planner'!$B$5:$B$424,3,'Seat Planner'!$C$5:$C$424,"TEAM",'Seat Planner'!$D$5:$D$424,1))</f>
        <v/>
      </c>
      <c r="F55" s="29">
        <f>IF(SUMIFS('Seat Planner'!$M$5:$M$424,'Seat Planner'!$B$5:$B$424,4,'Seat Planner'!$C$5:$C$424,"TEAM",'Seat Planner'!$D$5:$D$424,1)=0,"",(SUMIFS('Seat Planner'!$M$5:$M$424,'Seat Planner'!$B$5:$B$424,4,'Seat Planner'!$C$5:$C$424,"TEAM",'Seat Planner'!$D$5:$D$424,1,'Seat Planner'!$J$5:$J$424,"FTC")+SUMIFS('Seat Planner'!$M$5:$M$424,'Seat Planner'!$B$5:$B$424,4,'Seat Planner'!$C$5:$C$424,"TEAM",'Seat Planner'!$D$5:$D$424,1,'Seat Planner'!$J$5:$J$424,"PT"))/SUMIFS('Seat Planner'!$M$5:$M$424,'Seat Planner'!$B$5:$B$424,4,'Seat Planner'!$C$5:$C$424,"TEAM",'Seat Planner'!$D$5:$D$424,1))</f>
        <v/>
      </c>
      <c r="G55" s="29">
        <f>IF(SUMIFS('Seat Planner'!$M$5:$M$424,'Seat Planner'!$B$5:$B$424,5,'Seat Planner'!$C$5:$C$424,"TEAM",'Seat Planner'!$D$5:$D$424,1)=0,"",(SUMIFS('Seat Planner'!$M$5:$M$424,'Seat Planner'!$B$5:$B$424,5,'Seat Planner'!$C$5:$C$424,"TEAM",'Seat Planner'!$D$5:$D$424,1,'Seat Planner'!$J$5:$J$424,"FTC")+SUMIFS('Seat Planner'!$M$5:$M$424,'Seat Planner'!$B$5:$B$424,5,'Seat Planner'!$C$5:$C$424,"TEAM",'Seat Planner'!$D$5:$D$424,1,'Seat Planner'!$J$5:$J$424,"PT"))/SUMIFS('Seat Planner'!$M$5:$M$424,'Seat Planner'!$B$5:$B$424,5,'Seat Planner'!$C$5:$C$424,"TEAM",'Seat Planner'!$D$5:$D$424,1))</f>
        <v/>
      </c>
    </row>
    <row r="56" ht="14.25" customHeight="1">
      <c r="B56" s="20" t="inlineStr">
        <is>
          <t>Stream 2  ·  POD</t>
        </is>
      </c>
      <c r="C56" s="29">
        <f>IF(SUMIFS('Seat Planner'!$M$5:$M$424,'Seat Planner'!$B$5:$B$424,1,'Seat Planner'!$C$5:$C$424,"POD",'Seat Planner'!$D$5:$D$424,2)=0,"",(SUMIFS('Seat Planner'!$M$5:$M$424,'Seat Planner'!$B$5:$B$424,1,'Seat Planner'!$C$5:$C$424,"POD",'Seat Planner'!$D$5:$D$424,2,'Seat Planner'!$J$5:$J$424,"FTC")+SUMIFS('Seat Planner'!$M$5:$M$424,'Seat Planner'!$B$5:$B$424,1,'Seat Planner'!$C$5:$C$424,"POD",'Seat Planner'!$D$5:$D$424,2,'Seat Planner'!$J$5:$J$424,"PT"))/SUMIFS('Seat Planner'!$M$5:$M$424,'Seat Planner'!$B$5:$B$424,1,'Seat Planner'!$C$5:$C$424,"POD",'Seat Planner'!$D$5:$D$424,2))</f>
        <v/>
      </c>
      <c r="D56" s="29">
        <f>IF(SUMIFS('Seat Planner'!$M$5:$M$424,'Seat Planner'!$B$5:$B$424,2,'Seat Planner'!$C$5:$C$424,"POD",'Seat Planner'!$D$5:$D$424,2)=0,"",(SUMIFS('Seat Planner'!$M$5:$M$424,'Seat Planner'!$B$5:$B$424,2,'Seat Planner'!$C$5:$C$424,"POD",'Seat Planner'!$D$5:$D$424,2,'Seat Planner'!$J$5:$J$424,"FTC")+SUMIFS('Seat Planner'!$M$5:$M$424,'Seat Planner'!$B$5:$B$424,2,'Seat Planner'!$C$5:$C$424,"POD",'Seat Planner'!$D$5:$D$424,2,'Seat Planner'!$J$5:$J$424,"PT"))/SUMIFS('Seat Planner'!$M$5:$M$424,'Seat Planner'!$B$5:$B$424,2,'Seat Planner'!$C$5:$C$424,"POD",'Seat Planner'!$D$5:$D$424,2))</f>
        <v/>
      </c>
      <c r="E56" s="29">
        <f>IF(SUMIFS('Seat Planner'!$M$5:$M$424,'Seat Planner'!$B$5:$B$424,3,'Seat Planner'!$C$5:$C$424,"POD",'Seat Planner'!$D$5:$D$424,2)=0,"",(SUMIFS('Seat Planner'!$M$5:$M$424,'Seat Planner'!$B$5:$B$424,3,'Seat Planner'!$C$5:$C$424,"POD",'Seat Planner'!$D$5:$D$424,2,'Seat Planner'!$J$5:$J$424,"FTC")+SUMIFS('Seat Planner'!$M$5:$M$424,'Seat Planner'!$B$5:$B$424,3,'Seat Planner'!$C$5:$C$424,"POD",'Seat Planner'!$D$5:$D$424,2,'Seat Planner'!$J$5:$J$424,"PT"))/SUMIFS('Seat Planner'!$M$5:$M$424,'Seat Planner'!$B$5:$B$424,3,'Seat Planner'!$C$5:$C$424,"POD",'Seat Planner'!$D$5:$D$424,2))</f>
        <v/>
      </c>
      <c r="F56" s="29">
        <f>IF(SUMIFS('Seat Planner'!$M$5:$M$424,'Seat Planner'!$B$5:$B$424,4,'Seat Planner'!$C$5:$C$424,"POD",'Seat Planner'!$D$5:$D$424,2)=0,"",(SUMIFS('Seat Planner'!$M$5:$M$424,'Seat Planner'!$B$5:$B$424,4,'Seat Planner'!$C$5:$C$424,"POD",'Seat Planner'!$D$5:$D$424,2,'Seat Planner'!$J$5:$J$424,"FTC")+SUMIFS('Seat Planner'!$M$5:$M$424,'Seat Planner'!$B$5:$B$424,4,'Seat Planner'!$C$5:$C$424,"POD",'Seat Planner'!$D$5:$D$424,2,'Seat Planner'!$J$5:$J$424,"PT"))/SUMIFS('Seat Planner'!$M$5:$M$424,'Seat Planner'!$B$5:$B$424,4,'Seat Planner'!$C$5:$C$424,"POD",'Seat Planner'!$D$5:$D$424,2))</f>
        <v/>
      </c>
      <c r="G56" s="29">
        <f>IF(SUMIFS('Seat Planner'!$M$5:$M$424,'Seat Planner'!$B$5:$B$424,5,'Seat Planner'!$C$5:$C$424,"POD",'Seat Planner'!$D$5:$D$424,2)=0,"",(SUMIFS('Seat Planner'!$M$5:$M$424,'Seat Planner'!$B$5:$B$424,5,'Seat Planner'!$C$5:$C$424,"POD",'Seat Planner'!$D$5:$D$424,2,'Seat Planner'!$J$5:$J$424,"FTC")+SUMIFS('Seat Planner'!$M$5:$M$424,'Seat Planner'!$B$5:$B$424,5,'Seat Planner'!$C$5:$C$424,"POD",'Seat Planner'!$D$5:$D$424,2,'Seat Planner'!$J$5:$J$424,"PT"))/SUMIFS('Seat Planner'!$M$5:$M$424,'Seat Planner'!$B$5:$B$424,5,'Seat Planner'!$C$5:$C$424,"POD",'Seat Planner'!$D$5:$D$424,2))</f>
        <v/>
      </c>
    </row>
    <row r="57" ht="14.25" customHeight="1">
      <c r="B57" s="20" t="inlineStr">
        <is>
          <t>Stream 2  ·  TEAM</t>
        </is>
      </c>
      <c r="C57" s="29">
        <f>IF(SUMIFS('Seat Planner'!$M$5:$M$424,'Seat Planner'!$B$5:$B$424,1,'Seat Planner'!$C$5:$C$424,"TEAM",'Seat Planner'!$D$5:$D$424,2)=0,"",(SUMIFS('Seat Planner'!$M$5:$M$424,'Seat Planner'!$B$5:$B$424,1,'Seat Planner'!$C$5:$C$424,"TEAM",'Seat Planner'!$D$5:$D$424,2,'Seat Planner'!$J$5:$J$424,"FTC")+SUMIFS('Seat Planner'!$M$5:$M$424,'Seat Planner'!$B$5:$B$424,1,'Seat Planner'!$C$5:$C$424,"TEAM",'Seat Planner'!$D$5:$D$424,2,'Seat Planner'!$J$5:$J$424,"PT"))/SUMIFS('Seat Planner'!$M$5:$M$424,'Seat Planner'!$B$5:$B$424,1,'Seat Planner'!$C$5:$C$424,"TEAM",'Seat Planner'!$D$5:$D$424,2))</f>
        <v/>
      </c>
      <c r="D57" s="29">
        <f>IF(SUMIFS('Seat Planner'!$M$5:$M$424,'Seat Planner'!$B$5:$B$424,2,'Seat Planner'!$C$5:$C$424,"TEAM",'Seat Planner'!$D$5:$D$424,2)=0,"",(SUMIFS('Seat Planner'!$M$5:$M$424,'Seat Planner'!$B$5:$B$424,2,'Seat Planner'!$C$5:$C$424,"TEAM",'Seat Planner'!$D$5:$D$424,2,'Seat Planner'!$J$5:$J$424,"FTC")+SUMIFS('Seat Planner'!$M$5:$M$424,'Seat Planner'!$B$5:$B$424,2,'Seat Planner'!$C$5:$C$424,"TEAM",'Seat Planner'!$D$5:$D$424,2,'Seat Planner'!$J$5:$J$424,"PT"))/SUMIFS('Seat Planner'!$M$5:$M$424,'Seat Planner'!$B$5:$B$424,2,'Seat Planner'!$C$5:$C$424,"TEAM",'Seat Planner'!$D$5:$D$424,2))</f>
        <v/>
      </c>
      <c r="E57" s="29">
        <f>IF(SUMIFS('Seat Planner'!$M$5:$M$424,'Seat Planner'!$B$5:$B$424,3,'Seat Planner'!$C$5:$C$424,"TEAM",'Seat Planner'!$D$5:$D$424,2)=0,"",(SUMIFS('Seat Planner'!$M$5:$M$424,'Seat Planner'!$B$5:$B$424,3,'Seat Planner'!$C$5:$C$424,"TEAM",'Seat Planner'!$D$5:$D$424,2,'Seat Planner'!$J$5:$J$424,"FTC")+SUMIFS('Seat Planner'!$M$5:$M$424,'Seat Planner'!$B$5:$B$424,3,'Seat Planner'!$C$5:$C$424,"TEAM",'Seat Planner'!$D$5:$D$424,2,'Seat Planner'!$J$5:$J$424,"PT"))/SUMIFS('Seat Planner'!$M$5:$M$424,'Seat Planner'!$B$5:$B$424,3,'Seat Planner'!$C$5:$C$424,"TEAM",'Seat Planner'!$D$5:$D$424,2))</f>
        <v/>
      </c>
      <c r="F57" s="29">
        <f>IF(SUMIFS('Seat Planner'!$M$5:$M$424,'Seat Planner'!$B$5:$B$424,4,'Seat Planner'!$C$5:$C$424,"TEAM",'Seat Planner'!$D$5:$D$424,2)=0,"",(SUMIFS('Seat Planner'!$M$5:$M$424,'Seat Planner'!$B$5:$B$424,4,'Seat Planner'!$C$5:$C$424,"TEAM",'Seat Planner'!$D$5:$D$424,2,'Seat Planner'!$J$5:$J$424,"FTC")+SUMIFS('Seat Planner'!$M$5:$M$424,'Seat Planner'!$B$5:$B$424,4,'Seat Planner'!$C$5:$C$424,"TEAM",'Seat Planner'!$D$5:$D$424,2,'Seat Planner'!$J$5:$J$424,"PT"))/SUMIFS('Seat Planner'!$M$5:$M$424,'Seat Planner'!$B$5:$B$424,4,'Seat Planner'!$C$5:$C$424,"TEAM",'Seat Planner'!$D$5:$D$424,2))</f>
        <v/>
      </c>
      <c r="G57" s="29">
        <f>IF(SUMIFS('Seat Planner'!$M$5:$M$424,'Seat Planner'!$B$5:$B$424,5,'Seat Planner'!$C$5:$C$424,"TEAM",'Seat Planner'!$D$5:$D$424,2)=0,"",(SUMIFS('Seat Planner'!$M$5:$M$424,'Seat Planner'!$B$5:$B$424,5,'Seat Planner'!$C$5:$C$424,"TEAM",'Seat Planner'!$D$5:$D$424,2,'Seat Planner'!$J$5:$J$424,"FTC")+SUMIFS('Seat Planner'!$M$5:$M$424,'Seat Planner'!$B$5:$B$424,5,'Seat Planner'!$C$5:$C$424,"TEAM",'Seat Planner'!$D$5:$D$424,2,'Seat Planner'!$J$5:$J$424,"PT"))/SUMIFS('Seat Planner'!$M$5:$M$424,'Seat Planner'!$B$5:$B$424,5,'Seat Planner'!$C$5:$C$424,"TEAM",'Seat Planner'!$D$5:$D$424,2))</f>
        <v/>
      </c>
    </row>
    <row r="58" ht="14.25" customHeight="1">
      <c r="B58" s="20" t="inlineStr">
        <is>
          <t>Stream 3  ·  POD</t>
        </is>
      </c>
      <c r="C58" s="29">
        <f>IF(SUMIFS('Seat Planner'!$M$5:$M$424,'Seat Planner'!$B$5:$B$424,1,'Seat Planner'!$C$5:$C$424,"POD",'Seat Planner'!$D$5:$D$424,3)=0,"",(SUMIFS('Seat Planner'!$M$5:$M$424,'Seat Planner'!$B$5:$B$424,1,'Seat Planner'!$C$5:$C$424,"POD",'Seat Planner'!$D$5:$D$424,3,'Seat Planner'!$J$5:$J$424,"FTC")+SUMIFS('Seat Planner'!$M$5:$M$424,'Seat Planner'!$B$5:$B$424,1,'Seat Planner'!$C$5:$C$424,"POD",'Seat Planner'!$D$5:$D$424,3,'Seat Planner'!$J$5:$J$424,"PT"))/SUMIFS('Seat Planner'!$M$5:$M$424,'Seat Planner'!$B$5:$B$424,1,'Seat Planner'!$C$5:$C$424,"POD",'Seat Planner'!$D$5:$D$424,3))</f>
        <v/>
      </c>
      <c r="D58" s="29">
        <f>IF(SUMIFS('Seat Planner'!$M$5:$M$424,'Seat Planner'!$B$5:$B$424,2,'Seat Planner'!$C$5:$C$424,"POD",'Seat Planner'!$D$5:$D$424,3)=0,"",(SUMIFS('Seat Planner'!$M$5:$M$424,'Seat Planner'!$B$5:$B$424,2,'Seat Planner'!$C$5:$C$424,"POD",'Seat Planner'!$D$5:$D$424,3,'Seat Planner'!$J$5:$J$424,"FTC")+SUMIFS('Seat Planner'!$M$5:$M$424,'Seat Planner'!$B$5:$B$424,2,'Seat Planner'!$C$5:$C$424,"POD",'Seat Planner'!$D$5:$D$424,3,'Seat Planner'!$J$5:$J$424,"PT"))/SUMIFS('Seat Planner'!$M$5:$M$424,'Seat Planner'!$B$5:$B$424,2,'Seat Planner'!$C$5:$C$424,"POD",'Seat Planner'!$D$5:$D$424,3))</f>
        <v/>
      </c>
      <c r="E58" s="29">
        <f>IF(SUMIFS('Seat Planner'!$M$5:$M$424,'Seat Planner'!$B$5:$B$424,3,'Seat Planner'!$C$5:$C$424,"POD",'Seat Planner'!$D$5:$D$424,3)=0,"",(SUMIFS('Seat Planner'!$M$5:$M$424,'Seat Planner'!$B$5:$B$424,3,'Seat Planner'!$C$5:$C$424,"POD",'Seat Planner'!$D$5:$D$424,3,'Seat Planner'!$J$5:$J$424,"FTC")+SUMIFS('Seat Planner'!$M$5:$M$424,'Seat Planner'!$B$5:$B$424,3,'Seat Planner'!$C$5:$C$424,"POD",'Seat Planner'!$D$5:$D$424,3,'Seat Planner'!$J$5:$J$424,"PT"))/SUMIFS('Seat Planner'!$M$5:$M$424,'Seat Planner'!$B$5:$B$424,3,'Seat Planner'!$C$5:$C$424,"POD",'Seat Planner'!$D$5:$D$424,3))</f>
        <v/>
      </c>
      <c r="F58" s="29">
        <f>IF(SUMIFS('Seat Planner'!$M$5:$M$424,'Seat Planner'!$B$5:$B$424,4,'Seat Planner'!$C$5:$C$424,"POD",'Seat Planner'!$D$5:$D$424,3)=0,"",(SUMIFS('Seat Planner'!$M$5:$M$424,'Seat Planner'!$B$5:$B$424,4,'Seat Planner'!$C$5:$C$424,"POD",'Seat Planner'!$D$5:$D$424,3,'Seat Planner'!$J$5:$J$424,"FTC")+SUMIFS('Seat Planner'!$M$5:$M$424,'Seat Planner'!$B$5:$B$424,4,'Seat Planner'!$C$5:$C$424,"POD",'Seat Planner'!$D$5:$D$424,3,'Seat Planner'!$J$5:$J$424,"PT"))/SUMIFS('Seat Planner'!$M$5:$M$424,'Seat Planner'!$B$5:$B$424,4,'Seat Planner'!$C$5:$C$424,"POD",'Seat Planner'!$D$5:$D$424,3))</f>
        <v/>
      </c>
      <c r="G58" s="29">
        <f>IF(SUMIFS('Seat Planner'!$M$5:$M$424,'Seat Planner'!$B$5:$B$424,5,'Seat Planner'!$C$5:$C$424,"POD",'Seat Planner'!$D$5:$D$424,3)=0,"",(SUMIFS('Seat Planner'!$M$5:$M$424,'Seat Planner'!$B$5:$B$424,5,'Seat Planner'!$C$5:$C$424,"POD",'Seat Planner'!$D$5:$D$424,3,'Seat Planner'!$J$5:$J$424,"FTC")+SUMIFS('Seat Planner'!$M$5:$M$424,'Seat Planner'!$B$5:$B$424,5,'Seat Planner'!$C$5:$C$424,"POD",'Seat Planner'!$D$5:$D$424,3,'Seat Planner'!$J$5:$J$424,"PT"))/SUMIFS('Seat Planner'!$M$5:$M$424,'Seat Planner'!$B$5:$B$424,5,'Seat Planner'!$C$5:$C$424,"POD",'Seat Planner'!$D$5:$D$424,3))</f>
        <v/>
      </c>
    </row>
    <row r="59" ht="14.25" customHeight="1">
      <c r="B59" s="20" t="inlineStr">
        <is>
          <t>Stream 3  ·  TEAM</t>
        </is>
      </c>
      <c r="C59" s="29">
        <f>IF(SUMIFS('Seat Planner'!$M$5:$M$424,'Seat Planner'!$B$5:$B$424,1,'Seat Planner'!$C$5:$C$424,"TEAM",'Seat Planner'!$D$5:$D$424,3)=0,"",(SUMIFS('Seat Planner'!$M$5:$M$424,'Seat Planner'!$B$5:$B$424,1,'Seat Planner'!$C$5:$C$424,"TEAM",'Seat Planner'!$D$5:$D$424,3,'Seat Planner'!$J$5:$J$424,"FTC")+SUMIFS('Seat Planner'!$M$5:$M$424,'Seat Planner'!$B$5:$B$424,1,'Seat Planner'!$C$5:$C$424,"TEAM",'Seat Planner'!$D$5:$D$424,3,'Seat Planner'!$J$5:$J$424,"PT"))/SUMIFS('Seat Planner'!$M$5:$M$424,'Seat Planner'!$B$5:$B$424,1,'Seat Planner'!$C$5:$C$424,"TEAM",'Seat Planner'!$D$5:$D$424,3))</f>
        <v/>
      </c>
      <c r="D59" s="29">
        <f>IF(SUMIFS('Seat Planner'!$M$5:$M$424,'Seat Planner'!$B$5:$B$424,2,'Seat Planner'!$C$5:$C$424,"TEAM",'Seat Planner'!$D$5:$D$424,3)=0,"",(SUMIFS('Seat Planner'!$M$5:$M$424,'Seat Planner'!$B$5:$B$424,2,'Seat Planner'!$C$5:$C$424,"TEAM",'Seat Planner'!$D$5:$D$424,3,'Seat Planner'!$J$5:$J$424,"FTC")+SUMIFS('Seat Planner'!$M$5:$M$424,'Seat Planner'!$B$5:$B$424,2,'Seat Planner'!$C$5:$C$424,"TEAM",'Seat Planner'!$D$5:$D$424,3,'Seat Planner'!$J$5:$J$424,"PT"))/SUMIFS('Seat Planner'!$M$5:$M$424,'Seat Planner'!$B$5:$B$424,2,'Seat Planner'!$C$5:$C$424,"TEAM",'Seat Planner'!$D$5:$D$424,3))</f>
        <v/>
      </c>
      <c r="E59" s="29">
        <f>IF(SUMIFS('Seat Planner'!$M$5:$M$424,'Seat Planner'!$B$5:$B$424,3,'Seat Planner'!$C$5:$C$424,"TEAM",'Seat Planner'!$D$5:$D$424,3)=0,"",(SUMIFS('Seat Planner'!$M$5:$M$424,'Seat Planner'!$B$5:$B$424,3,'Seat Planner'!$C$5:$C$424,"TEAM",'Seat Planner'!$D$5:$D$424,3,'Seat Planner'!$J$5:$J$424,"FTC")+SUMIFS('Seat Planner'!$M$5:$M$424,'Seat Planner'!$B$5:$B$424,3,'Seat Planner'!$C$5:$C$424,"TEAM",'Seat Planner'!$D$5:$D$424,3,'Seat Planner'!$J$5:$J$424,"PT"))/SUMIFS('Seat Planner'!$M$5:$M$424,'Seat Planner'!$B$5:$B$424,3,'Seat Planner'!$C$5:$C$424,"TEAM",'Seat Planner'!$D$5:$D$424,3))</f>
        <v/>
      </c>
      <c r="F59" s="29">
        <f>IF(SUMIFS('Seat Planner'!$M$5:$M$424,'Seat Planner'!$B$5:$B$424,4,'Seat Planner'!$C$5:$C$424,"TEAM",'Seat Planner'!$D$5:$D$424,3)=0,"",(SUMIFS('Seat Planner'!$M$5:$M$424,'Seat Planner'!$B$5:$B$424,4,'Seat Planner'!$C$5:$C$424,"TEAM",'Seat Planner'!$D$5:$D$424,3,'Seat Planner'!$J$5:$J$424,"FTC")+SUMIFS('Seat Planner'!$M$5:$M$424,'Seat Planner'!$B$5:$B$424,4,'Seat Planner'!$C$5:$C$424,"TEAM",'Seat Planner'!$D$5:$D$424,3,'Seat Planner'!$J$5:$J$424,"PT"))/SUMIFS('Seat Planner'!$M$5:$M$424,'Seat Planner'!$B$5:$B$424,4,'Seat Planner'!$C$5:$C$424,"TEAM",'Seat Planner'!$D$5:$D$424,3))</f>
        <v/>
      </c>
      <c r="G59" s="29">
        <f>IF(SUMIFS('Seat Planner'!$M$5:$M$424,'Seat Planner'!$B$5:$B$424,5,'Seat Planner'!$C$5:$C$424,"TEAM",'Seat Planner'!$D$5:$D$424,3)=0,"",(SUMIFS('Seat Planner'!$M$5:$M$424,'Seat Planner'!$B$5:$B$424,5,'Seat Planner'!$C$5:$C$424,"TEAM",'Seat Planner'!$D$5:$D$424,3,'Seat Planner'!$J$5:$J$424,"FTC")+SUMIFS('Seat Planner'!$M$5:$M$424,'Seat Planner'!$B$5:$B$424,5,'Seat Planner'!$C$5:$C$424,"TEAM",'Seat Planner'!$D$5:$D$424,3,'Seat Planner'!$J$5:$J$424,"PT"))/SUMIFS('Seat Planner'!$M$5:$M$424,'Seat Planner'!$B$5:$B$424,5,'Seat Planner'!$C$5:$C$424,"TEAM",'Seat Planner'!$D$5:$D$424,3))</f>
        <v/>
      </c>
    </row>
    <row r="60" ht="14.25" customHeight="1">
      <c r="B60" s="20" t="inlineStr">
        <is>
          <t>Stream 4  ·  POD</t>
        </is>
      </c>
      <c r="C60" s="29">
        <f>IF(SUMIFS('Seat Planner'!$M$5:$M$424,'Seat Planner'!$B$5:$B$424,1,'Seat Planner'!$C$5:$C$424,"POD",'Seat Planner'!$D$5:$D$424,4)=0,"",(SUMIFS('Seat Planner'!$M$5:$M$424,'Seat Planner'!$B$5:$B$424,1,'Seat Planner'!$C$5:$C$424,"POD",'Seat Planner'!$D$5:$D$424,4,'Seat Planner'!$J$5:$J$424,"FTC")+SUMIFS('Seat Planner'!$M$5:$M$424,'Seat Planner'!$B$5:$B$424,1,'Seat Planner'!$C$5:$C$424,"POD",'Seat Planner'!$D$5:$D$424,4,'Seat Planner'!$J$5:$J$424,"PT"))/SUMIFS('Seat Planner'!$M$5:$M$424,'Seat Planner'!$B$5:$B$424,1,'Seat Planner'!$C$5:$C$424,"POD",'Seat Planner'!$D$5:$D$424,4))</f>
        <v/>
      </c>
      <c r="D60" s="29">
        <f>IF(SUMIFS('Seat Planner'!$M$5:$M$424,'Seat Planner'!$B$5:$B$424,2,'Seat Planner'!$C$5:$C$424,"POD",'Seat Planner'!$D$5:$D$424,4)=0,"",(SUMIFS('Seat Planner'!$M$5:$M$424,'Seat Planner'!$B$5:$B$424,2,'Seat Planner'!$C$5:$C$424,"POD",'Seat Planner'!$D$5:$D$424,4,'Seat Planner'!$J$5:$J$424,"FTC")+SUMIFS('Seat Planner'!$M$5:$M$424,'Seat Planner'!$B$5:$B$424,2,'Seat Planner'!$C$5:$C$424,"POD",'Seat Planner'!$D$5:$D$424,4,'Seat Planner'!$J$5:$J$424,"PT"))/SUMIFS('Seat Planner'!$M$5:$M$424,'Seat Planner'!$B$5:$B$424,2,'Seat Planner'!$C$5:$C$424,"POD",'Seat Planner'!$D$5:$D$424,4))</f>
        <v/>
      </c>
      <c r="E60" s="29">
        <f>IF(SUMIFS('Seat Planner'!$M$5:$M$424,'Seat Planner'!$B$5:$B$424,3,'Seat Planner'!$C$5:$C$424,"POD",'Seat Planner'!$D$5:$D$424,4)=0,"",(SUMIFS('Seat Planner'!$M$5:$M$424,'Seat Planner'!$B$5:$B$424,3,'Seat Planner'!$C$5:$C$424,"POD",'Seat Planner'!$D$5:$D$424,4,'Seat Planner'!$J$5:$J$424,"FTC")+SUMIFS('Seat Planner'!$M$5:$M$424,'Seat Planner'!$B$5:$B$424,3,'Seat Planner'!$C$5:$C$424,"POD",'Seat Planner'!$D$5:$D$424,4,'Seat Planner'!$J$5:$J$424,"PT"))/SUMIFS('Seat Planner'!$M$5:$M$424,'Seat Planner'!$B$5:$B$424,3,'Seat Planner'!$C$5:$C$424,"POD",'Seat Planner'!$D$5:$D$424,4))</f>
        <v/>
      </c>
      <c r="F60" s="29">
        <f>IF(SUMIFS('Seat Planner'!$M$5:$M$424,'Seat Planner'!$B$5:$B$424,4,'Seat Planner'!$C$5:$C$424,"POD",'Seat Planner'!$D$5:$D$424,4)=0,"",(SUMIFS('Seat Planner'!$M$5:$M$424,'Seat Planner'!$B$5:$B$424,4,'Seat Planner'!$C$5:$C$424,"POD",'Seat Planner'!$D$5:$D$424,4,'Seat Planner'!$J$5:$J$424,"FTC")+SUMIFS('Seat Planner'!$M$5:$M$424,'Seat Planner'!$B$5:$B$424,4,'Seat Planner'!$C$5:$C$424,"POD",'Seat Planner'!$D$5:$D$424,4,'Seat Planner'!$J$5:$J$424,"PT"))/SUMIFS('Seat Planner'!$M$5:$M$424,'Seat Planner'!$B$5:$B$424,4,'Seat Planner'!$C$5:$C$424,"POD",'Seat Planner'!$D$5:$D$424,4))</f>
        <v/>
      </c>
      <c r="G60" s="29">
        <f>IF(SUMIFS('Seat Planner'!$M$5:$M$424,'Seat Planner'!$B$5:$B$424,5,'Seat Planner'!$C$5:$C$424,"POD",'Seat Planner'!$D$5:$D$424,4)=0,"",(SUMIFS('Seat Planner'!$M$5:$M$424,'Seat Planner'!$B$5:$B$424,5,'Seat Planner'!$C$5:$C$424,"POD",'Seat Planner'!$D$5:$D$424,4,'Seat Planner'!$J$5:$J$424,"FTC")+SUMIFS('Seat Planner'!$M$5:$M$424,'Seat Planner'!$B$5:$B$424,5,'Seat Planner'!$C$5:$C$424,"POD",'Seat Planner'!$D$5:$D$424,4,'Seat Planner'!$J$5:$J$424,"PT"))/SUMIFS('Seat Planner'!$M$5:$M$424,'Seat Planner'!$B$5:$B$424,5,'Seat Planner'!$C$5:$C$424,"POD",'Seat Planner'!$D$5:$D$424,4))</f>
        <v/>
      </c>
    </row>
    <row r="61" ht="14.25" customHeight="1">
      <c r="B61" s="20" t="inlineStr">
        <is>
          <t>Stream 4  ·  TEAM</t>
        </is>
      </c>
      <c r="C61" s="29">
        <f>IF(SUMIFS('Seat Planner'!$M$5:$M$424,'Seat Planner'!$B$5:$B$424,1,'Seat Planner'!$C$5:$C$424,"TEAM",'Seat Planner'!$D$5:$D$424,4)=0,"",(SUMIFS('Seat Planner'!$M$5:$M$424,'Seat Planner'!$B$5:$B$424,1,'Seat Planner'!$C$5:$C$424,"TEAM",'Seat Planner'!$D$5:$D$424,4,'Seat Planner'!$J$5:$J$424,"FTC")+SUMIFS('Seat Planner'!$M$5:$M$424,'Seat Planner'!$B$5:$B$424,1,'Seat Planner'!$C$5:$C$424,"TEAM",'Seat Planner'!$D$5:$D$424,4,'Seat Planner'!$J$5:$J$424,"PT"))/SUMIFS('Seat Planner'!$M$5:$M$424,'Seat Planner'!$B$5:$B$424,1,'Seat Planner'!$C$5:$C$424,"TEAM",'Seat Planner'!$D$5:$D$424,4))</f>
        <v/>
      </c>
      <c r="D61" s="29">
        <f>IF(SUMIFS('Seat Planner'!$M$5:$M$424,'Seat Planner'!$B$5:$B$424,2,'Seat Planner'!$C$5:$C$424,"TEAM",'Seat Planner'!$D$5:$D$424,4)=0,"",(SUMIFS('Seat Planner'!$M$5:$M$424,'Seat Planner'!$B$5:$B$424,2,'Seat Planner'!$C$5:$C$424,"TEAM",'Seat Planner'!$D$5:$D$424,4,'Seat Planner'!$J$5:$J$424,"FTC")+SUMIFS('Seat Planner'!$M$5:$M$424,'Seat Planner'!$B$5:$B$424,2,'Seat Planner'!$C$5:$C$424,"TEAM",'Seat Planner'!$D$5:$D$424,4,'Seat Planner'!$J$5:$J$424,"PT"))/SUMIFS('Seat Planner'!$M$5:$M$424,'Seat Planner'!$B$5:$B$424,2,'Seat Planner'!$C$5:$C$424,"TEAM",'Seat Planner'!$D$5:$D$424,4))</f>
        <v/>
      </c>
      <c r="E61" s="29">
        <f>IF(SUMIFS('Seat Planner'!$M$5:$M$424,'Seat Planner'!$B$5:$B$424,3,'Seat Planner'!$C$5:$C$424,"TEAM",'Seat Planner'!$D$5:$D$424,4)=0,"",(SUMIFS('Seat Planner'!$M$5:$M$424,'Seat Planner'!$B$5:$B$424,3,'Seat Planner'!$C$5:$C$424,"TEAM",'Seat Planner'!$D$5:$D$424,4,'Seat Planner'!$J$5:$J$424,"FTC")+SUMIFS('Seat Planner'!$M$5:$M$424,'Seat Planner'!$B$5:$B$424,3,'Seat Planner'!$C$5:$C$424,"TEAM",'Seat Planner'!$D$5:$D$424,4,'Seat Planner'!$J$5:$J$424,"PT"))/SUMIFS('Seat Planner'!$M$5:$M$424,'Seat Planner'!$B$5:$B$424,3,'Seat Planner'!$C$5:$C$424,"TEAM",'Seat Planner'!$D$5:$D$424,4))</f>
        <v/>
      </c>
      <c r="F61" s="29">
        <f>IF(SUMIFS('Seat Planner'!$M$5:$M$424,'Seat Planner'!$B$5:$B$424,4,'Seat Planner'!$C$5:$C$424,"TEAM",'Seat Planner'!$D$5:$D$424,4)=0,"",(SUMIFS('Seat Planner'!$M$5:$M$424,'Seat Planner'!$B$5:$B$424,4,'Seat Planner'!$C$5:$C$424,"TEAM",'Seat Planner'!$D$5:$D$424,4,'Seat Planner'!$J$5:$J$424,"FTC")+SUMIFS('Seat Planner'!$M$5:$M$424,'Seat Planner'!$B$5:$B$424,4,'Seat Planner'!$C$5:$C$424,"TEAM",'Seat Planner'!$D$5:$D$424,4,'Seat Planner'!$J$5:$J$424,"PT"))/SUMIFS('Seat Planner'!$M$5:$M$424,'Seat Planner'!$B$5:$B$424,4,'Seat Planner'!$C$5:$C$424,"TEAM",'Seat Planner'!$D$5:$D$424,4))</f>
        <v/>
      </c>
      <c r="G61" s="29">
        <f>IF(SUMIFS('Seat Planner'!$M$5:$M$424,'Seat Planner'!$B$5:$B$424,5,'Seat Planner'!$C$5:$C$424,"TEAM",'Seat Planner'!$D$5:$D$424,4)=0,"",(SUMIFS('Seat Planner'!$M$5:$M$424,'Seat Planner'!$B$5:$B$424,5,'Seat Planner'!$C$5:$C$424,"TEAM",'Seat Planner'!$D$5:$D$424,4,'Seat Planner'!$J$5:$J$424,"FTC")+SUMIFS('Seat Planner'!$M$5:$M$424,'Seat Planner'!$B$5:$B$424,5,'Seat Planner'!$C$5:$C$424,"TEAM",'Seat Planner'!$D$5:$D$424,4,'Seat Planner'!$J$5:$J$424,"PT"))/SUMIFS('Seat Planner'!$M$5:$M$424,'Seat Planner'!$B$5:$B$424,5,'Seat Planner'!$C$5:$C$424,"TEAM",'Seat Planner'!$D$5:$D$424,4))</f>
        <v/>
      </c>
    </row>
    <row r="62" ht="14.25" customHeight="1">
      <c r="B62" s="20" t="inlineStr">
        <is>
          <t>Stream 5  ·  POD</t>
        </is>
      </c>
      <c r="C62" s="29">
        <f>IF(SUMIFS('Seat Planner'!$M$5:$M$424,'Seat Planner'!$B$5:$B$424,1,'Seat Planner'!$C$5:$C$424,"POD",'Seat Planner'!$D$5:$D$424,5)=0,"",(SUMIFS('Seat Planner'!$M$5:$M$424,'Seat Planner'!$B$5:$B$424,1,'Seat Planner'!$C$5:$C$424,"POD",'Seat Planner'!$D$5:$D$424,5,'Seat Planner'!$J$5:$J$424,"FTC")+SUMIFS('Seat Planner'!$M$5:$M$424,'Seat Planner'!$B$5:$B$424,1,'Seat Planner'!$C$5:$C$424,"POD",'Seat Planner'!$D$5:$D$424,5,'Seat Planner'!$J$5:$J$424,"PT"))/SUMIFS('Seat Planner'!$M$5:$M$424,'Seat Planner'!$B$5:$B$424,1,'Seat Planner'!$C$5:$C$424,"POD",'Seat Planner'!$D$5:$D$424,5))</f>
        <v/>
      </c>
      <c r="D62" s="29">
        <f>IF(SUMIFS('Seat Planner'!$M$5:$M$424,'Seat Planner'!$B$5:$B$424,2,'Seat Planner'!$C$5:$C$424,"POD",'Seat Planner'!$D$5:$D$424,5)=0,"",(SUMIFS('Seat Planner'!$M$5:$M$424,'Seat Planner'!$B$5:$B$424,2,'Seat Planner'!$C$5:$C$424,"POD",'Seat Planner'!$D$5:$D$424,5,'Seat Planner'!$J$5:$J$424,"FTC")+SUMIFS('Seat Planner'!$M$5:$M$424,'Seat Planner'!$B$5:$B$424,2,'Seat Planner'!$C$5:$C$424,"POD",'Seat Planner'!$D$5:$D$424,5,'Seat Planner'!$J$5:$J$424,"PT"))/SUMIFS('Seat Planner'!$M$5:$M$424,'Seat Planner'!$B$5:$B$424,2,'Seat Planner'!$C$5:$C$424,"POD",'Seat Planner'!$D$5:$D$424,5))</f>
        <v/>
      </c>
      <c r="E62" s="29">
        <f>IF(SUMIFS('Seat Planner'!$M$5:$M$424,'Seat Planner'!$B$5:$B$424,3,'Seat Planner'!$C$5:$C$424,"POD",'Seat Planner'!$D$5:$D$424,5)=0,"",(SUMIFS('Seat Planner'!$M$5:$M$424,'Seat Planner'!$B$5:$B$424,3,'Seat Planner'!$C$5:$C$424,"POD",'Seat Planner'!$D$5:$D$424,5,'Seat Planner'!$J$5:$J$424,"FTC")+SUMIFS('Seat Planner'!$M$5:$M$424,'Seat Planner'!$B$5:$B$424,3,'Seat Planner'!$C$5:$C$424,"POD",'Seat Planner'!$D$5:$D$424,5,'Seat Planner'!$J$5:$J$424,"PT"))/SUMIFS('Seat Planner'!$M$5:$M$424,'Seat Planner'!$B$5:$B$424,3,'Seat Planner'!$C$5:$C$424,"POD",'Seat Planner'!$D$5:$D$424,5))</f>
        <v/>
      </c>
      <c r="F62" s="29">
        <f>IF(SUMIFS('Seat Planner'!$M$5:$M$424,'Seat Planner'!$B$5:$B$424,4,'Seat Planner'!$C$5:$C$424,"POD",'Seat Planner'!$D$5:$D$424,5)=0,"",(SUMIFS('Seat Planner'!$M$5:$M$424,'Seat Planner'!$B$5:$B$424,4,'Seat Planner'!$C$5:$C$424,"POD",'Seat Planner'!$D$5:$D$424,5,'Seat Planner'!$J$5:$J$424,"FTC")+SUMIFS('Seat Planner'!$M$5:$M$424,'Seat Planner'!$B$5:$B$424,4,'Seat Planner'!$C$5:$C$424,"POD",'Seat Planner'!$D$5:$D$424,5,'Seat Planner'!$J$5:$J$424,"PT"))/SUMIFS('Seat Planner'!$M$5:$M$424,'Seat Planner'!$B$5:$B$424,4,'Seat Planner'!$C$5:$C$424,"POD",'Seat Planner'!$D$5:$D$424,5))</f>
        <v/>
      </c>
      <c r="G62" s="29">
        <f>IF(SUMIFS('Seat Planner'!$M$5:$M$424,'Seat Planner'!$B$5:$B$424,5,'Seat Planner'!$C$5:$C$424,"POD",'Seat Planner'!$D$5:$D$424,5)=0,"",(SUMIFS('Seat Planner'!$M$5:$M$424,'Seat Planner'!$B$5:$B$424,5,'Seat Planner'!$C$5:$C$424,"POD",'Seat Planner'!$D$5:$D$424,5,'Seat Planner'!$J$5:$J$424,"FTC")+SUMIFS('Seat Planner'!$M$5:$M$424,'Seat Planner'!$B$5:$B$424,5,'Seat Planner'!$C$5:$C$424,"POD",'Seat Planner'!$D$5:$D$424,5,'Seat Planner'!$J$5:$J$424,"PT"))/SUMIFS('Seat Planner'!$M$5:$M$424,'Seat Planner'!$B$5:$B$424,5,'Seat Planner'!$C$5:$C$424,"POD",'Seat Planner'!$D$5:$D$424,5))</f>
        <v/>
      </c>
    </row>
    <row r="63" ht="14.25" customHeight="1">
      <c r="B63" s="20" t="inlineStr">
        <is>
          <t>Stream 5  ·  TEAM</t>
        </is>
      </c>
      <c r="C63" s="29">
        <f>IF(SUMIFS('Seat Planner'!$M$5:$M$424,'Seat Planner'!$B$5:$B$424,1,'Seat Planner'!$C$5:$C$424,"TEAM",'Seat Planner'!$D$5:$D$424,5)=0,"",(SUMIFS('Seat Planner'!$M$5:$M$424,'Seat Planner'!$B$5:$B$424,1,'Seat Planner'!$C$5:$C$424,"TEAM",'Seat Planner'!$D$5:$D$424,5,'Seat Planner'!$J$5:$J$424,"FTC")+SUMIFS('Seat Planner'!$M$5:$M$424,'Seat Planner'!$B$5:$B$424,1,'Seat Planner'!$C$5:$C$424,"TEAM",'Seat Planner'!$D$5:$D$424,5,'Seat Planner'!$J$5:$J$424,"PT"))/SUMIFS('Seat Planner'!$M$5:$M$424,'Seat Planner'!$B$5:$B$424,1,'Seat Planner'!$C$5:$C$424,"TEAM",'Seat Planner'!$D$5:$D$424,5))</f>
        <v/>
      </c>
      <c r="D63" s="29">
        <f>IF(SUMIFS('Seat Planner'!$M$5:$M$424,'Seat Planner'!$B$5:$B$424,2,'Seat Planner'!$C$5:$C$424,"TEAM",'Seat Planner'!$D$5:$D$424,5)=0,"",(SUMIFS('Seat Planner'!$M$5:$M$424,'Seat Planner'!$B$5:$B$424,2,'Seat Planner'!$C$5:$C$424,"TEAM",'Seat Planner'!$D$5:$D$424,5,'Seat Planner'!$J$5:$J$424,"FTC")+SUMIFS('Seat Planner'!$M$5:$M$424,'Seat Planner'!$B$5:$B$424,2,'Seat Planner'!$C$5:$C$424,"TEAM",'Seat Planner'!$D$5:$D$424,5,'Seat Planner'!$J$5:$J$424,"PT"))/SUMIFS('Seat Planner'!$M$5:$M$424,'Seat Planner'!$B$5:$B$424,2,'Seat Planner'!$C$5:$C$424,"TEAM",'Seat Planner'!$D$5:$D$424,5))</f>
        <v/>
      </c>
      <c r="E63" s="29">
        <f>IF(SUMIFS('Seat Planner'!$M$5:$M$424,'Seat Planner'!$B$5:$B$424,3,'Seat Planner'!$C$5:$C$424,"TEAM",'Seat Planner'!$D$5:$D$424,5)=0,"",(SUMIFS('Seat Planner'!$M$5:$M$424,'Seat Planner'!$B$5:$B$424,3,'Seat Planner'!$C$5:$C$424,"TEAM",'Seat Planner'!$D$5:$D$424,5,'Seat Planner'!$J$5:$J$424,"FTC")+SUMIFS('Seat Planner'!$M$5:$M$424,'Seat Planner'!$B$5:$B$424,3,'Seat Planner'!$C$5:$C$424,"TEAM",'Seat Planner'!$D$5:$D$424,5,'Seat Planner'!$J$5:$J$424,"PT"))/SUMIFS('Seat Planner'!$M$5:$M$424,'Seat Planner'!$B$5:$B$424,3,'Seat Planner'!$C$5:$C$424,"TEAM",'Seat Planner'!$D$5:$D$424,5))</f>
        <v/>
      </c>
      <c r="F63" s="29">
        <f>IF(SUMIFS('Seat Planner'!$M$5:$M$424,'Seat Planner'!$B$5:$B$424,4,'Seat Planner'!$C$5:$C$424,"TEAM",'Seat Planner'!$D$5:$D$424,5)=0,"",(SUMIFS('Seat Planner'!$M$5:$M$424,'Seat Planner'!$B$5:$B$424,4,'Seat Planner'!$C$5:$C$424,"TEAM",'Seat Planner'!$D$5:$D$424,5,'Seat Planner'!$J$5:$J$424,"FTC")+SUMIFS('Seat Planner'!$M$5:$M$424,'Seat Planner'!$B$5:$B$424,4,'Seat Planner'!$C$5:$C$424,"TEAM",'Seat Planner'!$D$5:$D$424,5,'Seat Planner'!$J$5:$J$424,"PT"))/SUMIFS('Seat Planner'!$M$5:$M$424,'Seat Planner'!$B$5:$B$424,4,'Seat Planner'!$C$5:$C$424,"TEAM",'Seat Planner'!$D$5:$D$424,5))</f>
        <v/>
      </c>
      <c r="G63" s="29">
        <f>IF(SUMIFS('Seat Planner'!$M$5:$M$424,'Seat Planner'!$B$5:$B$424,5,'Seat Planner'!$C$5:$C$424,"TEAM",'Seat Planner'!$D$5:$D$424,5)=0,"",(SUMIFS('Seat Planner'!$M$5:$M$424,'Seat Planner'!$B$5:$B$424,5,'Seat Planner'!$C$5:$C$424,"TEAM",'Seat Planner'!$D$5:$D$424,5,'Seat Planner'!$J$5:$J$424,"FTC")+SUMIFS('Seat Planner'!$M$5:$M$424,'Seat Planner'!$B$5:$B$424,5,'Seat Planner'!$C$5:$C$424,"TEAM",'Seat Planner'!$D$5:$D$424,5,'Seat Planner'!$J$5:$J$424,"PT"))/SUMIFS('Seat Planner'!$M$5:$M$424,'Seat Planner'!$B$5:$B$424,5,'Seat Planner'!$C$5:$C$424,"TEAM",'Seat Planner'!$D$5:$D$424,5))</f>
        <v/>
      </c>
    </row>
    <row r="64" ht="14.25" customHeight="1">
      <c r="B64" s="20" t="inlineStr">
        <is>
          <t>Stream 6  ·  POD</t>
        </is>
      </c>
      <c r="C64" s="29">
        <f>IF(SUMIFS('Seat Planner'!$M$5:$M$424,'Seat Planner'!$B$5:$B$424,1,'Seat Planner'!$C$5:$C$424,"POD",'Seat Planner'!$D$5:$D$424,6)=0,"",(SUMIFS('Seat Planner'!$M$5:$M$424,'Seat Planner'!$B$5:$B$424,1,'Seat Planner'!$C$5:$C$424,"POD",'Seat Planner'!$D$5:$D$424,6,'Seat Planner'!$J$5:$J$424,"FTC")+SUMIFS('Seat Planner'!$M$5:$M$424,'Seat Planner'!$B$5:$B$424,1,'Seat Planner'!$C$5:$C$424,"POD",'Seat Planner'!$D$5:$D$424,6,'Seat Planner'!$J$5:$J$424,"PT"))/SUMIFS('Seat Planner'!$M$5:$M$424,'Seat Planner'!$B$5:$B$424,1,'Seat Planner'!$C$5:$C$424,"POD",'Seat Planner'!$D$5:$D$424,6))</f>
        <v/>
      </c>
      <c r="D64" s="29">
        <f>IF(SUMIFS('Seat Planner'!$M$5:$M$424,'Seat Planner'!$B$5:$B$424,2,'Seat Planner'!$C$5:$C$424,"POD",'Seat Planner'!$D$5:$D$424,6)=0,"",(SUMIFS('Seat Planner'!$M$5:$M$424,'Seat Planner'!$B$5:$B$424,2,'Seat Planner'!$C$5:$C$424,"POD",'Seat Planner'!$D$5:$D$424,6,'Seat Planner'!$J$5:$J$424,"FTC")+SUMIFS('Seat Planner'!$M$5:$M$424,'Seat Planner'!$B$5:$B$424,2,'Seat Planner'!$C$5:$C$424,"POD",'Seat Planner'!$D$5:$D$424,6,'Seat Planner'!$J$5:$J$424,"PT"))/SUMIFS('Seat Planner'!$M$5:$M$424,'Seat Planner'!$B$5:$B$424,2,'Seat Planner'!$C$5:$C$424,"POD",'Seat Planner'!$D$5:$D$424,6))</f>
        <v/>
      </c>
      <c r="E64" s="29">
        <f>IF(SUMIFS('Seat Planner'!$M$5:$M$424,'Seat Planner'!$B$5:$B$424,3,'Seat Planner'!$C$5:$C$424,"POD",'Seat Planner'!$D$5:$D$424,6)=0,"",(SUMIFS('Seat Planner'!$M$5:$M$424,'Seat Planner'!$B$5:$B$424,3,'Seat Planner'!$C$5:$C$424,"POD",'Seat Planner'!$D$5:$D$424,6,'Seat Planner'!$J$5:$J$424,"FTC")+SUMIFS('Seat Planner'!$M$5:$M$424,'Seat Planner'!$B$5:$B$424,3,'Seat Planner'!$C$5:$C$424,"POD",'Seat Planner'!$D$5:$D$424,6,'Seat Planner'!$J$5:$J$424,"PT"))/SUMIFS('Seat Planner'!$M$5:$M$424,'Seat Planner'!$B$5:$B$424,3,'Seat Planner'!$C$5:$C$424,"POD",'Seat Planner'!$D$5:$D$424,6))</f>
        <v/>
      </c>
      <c r="F64" s="29">
        <f>IF(SUMIFS('Seat Planner'!$M$5:$M$424,'Seat Planner'!$B$5:$B$424,4,'Seat Planner'!$C$5:$C$424,"POD",'Seat Planner'!$D$5:$D$424,6)=0,"",(SUMIFS('Seat Planner'!$M$5:$M$424,'Seat Planner'!$B$5:$B$424,4,'Seat Planner'!$C$5:$C$424,"POD",'Seat Planner'!$D$5:$D$424,6,'Seat Planner'!$J$5:$J$424,"FTC")+SUMIFS('Seat Planner'!$M$5:$M$424,'Seat Planner'!$B$5:$B$424,4,'Seat Planner'!$C$5:$C$424,"POD",'Seat Planner'!$D$5:$D$424,6,'Seat Planner'!$J$5:$J$424,"PT"))/SUMIFS('Seat Planner'!$M$5:$M$424,'Seat Planner'!$B$5:$B$424,4,'Seat Planner'!$C$5:$C$424,"POD",'Seat Planner'!$D$5:$D$424,6))</f>
        <v/>
      </c>
      <c r="G64" s="29">
        <f>IF(SUMIFS('Seat Planner'!$M$5:$M$424,'Seat Planner'!$B$5:$B$424,5,'Seat Planner'!$C$5:$C$424,"POD",'Seat Planner'!$D$5:$D$424,6)=0,"",(SUMIFS('Seat Planner'!$M$5:$M$424,'Seat Planner'!$B$5:$B$424,5,'Seat Planner'!$C$5:$C$424,"POD",'Seat Planner'!$D$5:$D$424,6,'Seat Planner'!$J$5:$J$424,"FTC")+SUMIFS('Seat Planner'!$M$5:$M$424,'Seat Planner'!$B$5:$B$424,5,'Seat Planner'!$C$5:$C$424,"POD",'Seat Planner'!$D$5:$D$424,6,'Seat Planner'!$J$5:$J$424,"PT"))/SUMIFS('Seat Planner'!$M$5:$M$424,'Seat Planner'!$B$5:$B$424,5,'Seat Planner'!$C$5:$C$424,"POD",'Seat Planner'!$D$5:$D$424,6))</f>
        <v/>
      </c>
    </row>
    <row r="65" ht="14.25" customHeight="1">
      <c r="B65" s="20" t="inlineStr">
        <is>
          <t>Stream 6  ·  TEAM</t>
        </is>
      </c>
      <c r="C65" s="29">
        <f>IF(SUMIFS('Seat Planner'!$M$5:$M$424,'Seat Planner'!$B$5:$B$424,1,'Seat Planner'!$C$5:$C$424,"TEAM",'Seat Planner'!$D$5:$D$424,6)=0,"",(SUMIFS('Seat Planner'!$M$5:$M$424,'Seat Planner'!$B$5:$B$424,1,'Seat Planner'!$C$5:$C$424,"TEAM",'Seat Planner'!$D$5:$D$424,6,'Seat Planner'!$J$5:$J$424,"FTC")+SUMIFS('Seat Planner'!$M$5:$M$424,'Seat Planner'!$B$5:$B$424,1,'Seat Planner'!$C$5:$C$424,"TEAM",'Seat Planner'!$D$5:$D$424,6,'Seat Planner'!$J$5:$J$424,"PT"))/SUMIFS('Seat Planner'!$M$5:$M$424,'Seat Planner'!$B$5:$B$424,1,'Seat Planner'!$C$5:$C$424,"TEAM",'Seat Planner'!$D$5:$D$424,6))</f>
        <v/>
      </c>
      <c r="D65" s="29">
        <f>IF(SUMIFS('Seat Planner'!$M$5:$M$424,'Seat Planner'!$B$5:$B$424,2,'Seat Planner'!$C$5:$C$424,"TEAM",'Seat Planner'!$D$5:$D$424,6)=0,"",(SUMIFS('Seat Planner'!$M$5:$M$424,'Seat Planner'!$B$5:$B$424,2,'Seat Planner'!$C$5:$C$424,"TEAM",'Seat Planner'!$D$5:$D$424,6,'Seat Planner'!$J$5:$J$424,"FTC")+SUMIFS('Seat Planner'!$M$5:$M$424,'Seat Planner'!$B$5:$B$424,2,'Seat Planner'!$C$5:$C$424,"TEAM",'Seat Planner'!$D$5:$D$424,6,'Seat Planner'!$J$5:$J$424,"PT"))/SUMIFS('Seat Planner'!$M$5:$M$424,'Seat Planner'!$B$5:$B$424,2,'Seat Planner'!$C$5:$C$424,"TEAM",'Seat Planner'!$D$5:$D$424,6))</f>
        <v/>
      </c>
      <c r="E65" s="29">
        <f>IF(SUMIFS('Seat Planner'!$M$5:$M$424,'Seat Planner'!$B$5:$B$424,3,'Seat Planner'!$C$5:$C$424,"TEAM",'Seat Planner'!$D$5:$D$424,6)=0,"",(SUMIFS('Seat Planner'!$M$5:$M$424,'Seat Planner'!$B$5:$B$424,3,'Seat Planner'!$C$5:$C$424,"TEAM",'Seat Planner'!$D$5:$D$424,6,'Seat Planner'!$J$5:$J$424,"FTC")+SUMIFS('Seat Planner'!$M$5:$M$424,'Seat Planner'!$B$5:$B$424,3,'Seat Planner'!$C$5:$C$424,"TEAM",'Seat Planner'!$D$5:$D$424,6,'Seat Planner'!$J$5:$J$424,"PT"))/SUMIFS('Seat Planner'!$M$5:$M$424,'Seat Planner'!$B$5:$B$424,3,'Seat Planner'!$C$5:$C$424,"TEAM",'Seat Planner'!$D$5:$D$424,6))</f>
        <v/>
      </c>
      <c r="F65" s="29">
        <f>IF(SUMIFS('Seat Planner'!$M$5:$M$424,'Seat Planner'!$B$5:$B$424,4,'Seat Planner'!$C$5:$C$424,"TEAM",'Seat Planner'!$D$5:$D$424,6)=0,"",(SUMIFS('Seat Planner'!$M$5:$M$424,'Seat Planner'!$B$5:$B$424,4,'Seat Planner'!$C$5:$C$424,"TEAM",'Seat Planner'!$D$5:$D$424,6,'Seat Planner'!$J$5:$J$424,"FTC")+SUMIFS('Seat Planner'!$M$5:$M$424,'Seat Planner'!$B$5:$B$424,4,'Seat Planner'!$C$5:$C$424,"TEAM",'Seat Planner'!$D$5:$D$424,6,'Seat Planner'!$J$5:$J$424,"PT"))/SUMIFS('Seat Planner'!$M$5:$M$424,'Seat Planner'!$B$5:$B$424,4,'Seat Planner'!$C$5:$C$424,"TEAM",'Seat Planner'!$D$5:$D$424,6))</f>
        <v/>
      </c>
      <c r="G65" s="29">
        <f>IF(SUMIFS('Seat Planner'!$M$5:$M$424,'Seat Planner'!$B$5:$B$424,5,'Seat Planner'!$C$5:$C$424,"TEAM",'Seat Planner'!$D$5:$D$424,6)=0,"",(SUMIFS('Seat Planner'!$M$5:$M$424,'Seat Planner'!$B$5:$B$424,5,'Seat Planner'!$C$5:$C$424,"TEAM",'Seat Planner'!$D$5:$D$424,6,'Seat Planner'!$J$5:$J$424,"FTC")+SUMIFS('Seat Planner'!$M$5:$M$424,'Seat Planner'!$B$5:$B$424,5,'Seat Planner'!$C$5:$C$424,"TEAM",'Seat Planner'!$D$5:$D$424,6,'Seat Planner'!$J$5:$J$424,"PT"))/SUMIFS('Seat Planner'!$M$5:$M$424,'Seat Planner'!$B$5:$B$424,5,'Seat Planner'!$C$5:$C$424,"TEAM",'Seat Planner'!$D$5:$D$424,6))</f>
        <v/>
      </c>
    </row>
    <row r="66" ht="39.75" customHeight="1">
      <c r="B66" s="23" t="inlineStr">
        <is>
          <t>WORST UNIT IN THE YEAR</t>
        </is>
      </c>
      <c r="C66" s="18">
        <f>IF(COUNT(C54:C65)=0,"",MIN(C54:C65))</f>
        <v/>
      </c>
      <c r="D66" s="18">
        <f>IF(COUNT(D54:D65)=0,"",MIN(D54:D65))</f>
        <v/>
      </c>
      <c r="E66" s="18">
        <f>IF(COUNT(E54:E65)=0,"",MIN(E54:E65))</f>
        <v/>
      </c>
      <c r="F66" s="18">
        <f>IF(COUNT(F54:F65)=0,"",MIN(F54:F65))</f>
        <v/>
      </c>
      <c r="G66" s="18">
        <f>IF(COUNT(G54:G65)=0,"",MIN(G54:G65))</f>
        <v/>
      </c>
      <c r="J66" s="15" t="inlineStr">
        <is>
          <t>Blank means no unit of that type runs that year — normal once teams have converted. This is the test the aggregate guardrail hides: a 領域 can be 55% Capgemini overall while one pod is 30%, and that pod is one we do not really run.</t>
        </is>
      </c>
    </row>
    <row r="67" ht="14.25" customHeight="1">
      <c r="B67" s="13" t="inlineStr">
        <is>
          <t>Status against the per-unit floor</t>
        </is>
      </c>
      <c r="C67" s="28">
        <f>IF(C66="","",IF(C66&gt;='Rates &amp; Tables'!$C$57-0.005,"OK","CHECK"))</f>
        <v/>
      </c>
      <c r="D67" s="28">
        <f>IF(D66="","",IF(D66&gt;='Rates &amp; Tables'!$C$57-0.005,"OK","CHECK"))</f>
        <v/>
      </c>
      <c r="E67" s="28">
        <f>IF(E66="","",IF(E66&gt;='Rates &amp; Tables'!$C$57-0.005,"OK","CHECK"))</f>
        <v/>
      </c>
      <c r="F67" s="28">
        <f>IF(F66="","",IF(F66&gt;='Rates &amp; Tables'!$C$57-0.005,"OK","CHECK"))</f>
        <v/>
      </c>
      <c r="G67" s="28">
        <f>IF(G66="","",IF(G66&gt;='Rates &amp; Tables'!$C$57-0.005,"OK","CHECK"))</f>
        <v/>
      </c>
    </row>
    <row r="69" ht="15" customHeight="1">
      <c r="A69" s="4" t="inlineStr">
        <is>
          <t>E.  STAFFING FEASIBILITY  —  can these numbers be turned into people?</t>
        </is>
      </c>
    </row>
    <row r="70" ht="14.25" customHeight="1">
      <c r="B70" s="12" t="inlineStr">
        <is>
          <t>Test</t>
        </is>
      </c>
      <c r="C70" s="12" t="inlineStr">
        <is>
          <t>Result</t>
        </is>
      </c>
      <c r="D70" s="12" t="n"/>
      <c r="E70" s="12" t="n"/>
      <c r="F70" s="12" t="n"/>
      <c r="G70" s="12" t="n"/>
      <c r="H70" s="12" t="n"/>
      <c r="I70" s="12" t="n"/>
      <c r="J70" s="12" t="inlineStr">
        <is>
          <t>Note</t>
        </is>
      </c>
    </row>
    <row r="71" ht="25.5" customHeight="1">
      <c r="B71" s="13" t="inlineStr">
        <is>
          <t>Seat-plan rows in use</t>
        </is>
      </c>
      <c r="C71" s="14">
        <f>SUMPRODUCT(--('Seat Planner'!$B$5:$B$424&lt;&gt;""))</f>
        <v/>
      </c>
      <c r="J71" s="15" t="inlineStr">
        <is>
          <t>Each row is one seat type in one unit type in one year.</t>
        </is>
      </c>
    </row>
    <row r="72" ht="25.5" customHeight="1">
      <c r="B72" s="19" t="inlineStr">
        <is>
          <t>Deployed heads NOT on a 0.5 grid</t>
        </is>
      </c>
      <c r="C72" s="36">
        <f>SUMPRODUCT(--('Seat Planner'!$B$5:$B$424&lt;&gt;""),--(MOD(ROUND('Seat Planner'!$M$5:$M$424*2,2),1)&lt;&gt;0))</f>
        <v/>
      </c>
      <c r="J72" s="15" t="inlineStr">
        <is>
          <t>THE STAFFING TEST. A deployed head count of 1.38 is not a job. Whole numbers, or halves where sharing inside the 領域 is genuinely warranted.</t>
        </is>
      </c>
    </row>
    <row r="73" ht="25.5" customHeight="1">
      <c r="B73" s="13" t="inlineStr">
        <is>
          <t>Deployed heads below 0.5</t>
        </is>
      </c>
      <c r="C73" s="14">
        <f>SUMPRODUCT(--('Seat Planner'!$B$5:$B$424&lt;&gt;""),--('Seat Planner'!$M$5:$M$424&gt;0),--('Seat Planner'!$M$5:$M$424&lt;0.5))</f>
        <v/>
      </c>
      <c r="J73" s="15" t="inlineStr">
        <is>
          <t>Sub-half-person lines. Fold them into a neighbouring seat or into a horizontal function.</t>
        </is>
      </c>
    </row>
    <row r="74" ht="25.5" customHeight="1">
      <c r="B74" s="13" t="inlineStr">
        <is>
          <t>Capgemini roles present in Year 3 but extinct in Year 4</t>
        </is>
      </c>
      <c r="C74" s="14">
        <f>IF(AND(COUNTIF('Seat Planner'!$P$5:$P$424,"3|BSA|FTC")&gt;0,COUNTIF('Seat Planner'!$P$5:$P$424,"4|BSA|FTC")=0),1,0)+IF(AND(COUNTIF('Seat Planner'!$P$5:$P$424,"3|DEV|FTC")&gt;0,COUNTIF('Seat Planner'!$P$5:$P$424,"4|DEV|FTC")=0),1,0)+IF(AND(COUNTIF('Seat Planner'!$P$5:$P$424,"3|TEST|FTC")&gt;0,COUNTIF('Seat Planner'!$P$5:$P$424,"4|TEST|FTC")=0),1,0)+IF(AND(COUNTIF('Seat Planner'!$P$5:$P$424,"3|MNT|FTC")&gt;0,COUNTIF('Seat Planner'!$P$5:$P$424,"4|MNT|FTC")=0),1,0)+IF(AND(COUNTIF('Seat Planner'!$P$5:$P$424,"3|PM|FTC")&gt;0,COUNTIF('Seat Planner'!$P$5:$P$424,"4|PM|FTC")=0),1,0)+IF(AND(COUNTIF('Seat Planner'!$P$5:$P$424,"3|OTH|FTC")&gt;0,COUNTIF('Seat Planner'!$P$5:$P$424,"4|OTH|FTC")=0),1,0)</f>
        <v/>
      </c>
      <c r="J74" s="15" t="inlineStr">
        <is>
          <t>A design that lets a Capgemini role disappear between two years is a design nobody can staff. Should be zero.</t>
        </is>
      </c>
    </row>
    <row r="75" ht="25.5" customHeight="1">
      <c r="B75" s="13" t="inlineStr">
        <is>
          <t>Total cost index — Year 1</t>
        </is>
      </c>
      <c r="C75" s="57">
        <f>SUMIFS('Seat Planner'!$O$5:$O$424,'Seat Planner'!$B$5:$B$424,1)</f>
        <v/>
      </c>
      <c r="J75" s="15" t="inlineStr">
        <is>
          <t>Relative only, onshore Tokyo E2 = 1.00.</t>
        </is>
      </c>
    </row>
    <row r="76" ht="25.5" customHeight="1">
      <c r="B76" s="13" t="inlineStr">
        <is>
          <t>Total cost index — Year 5</t>
        </is>
      </c>
      <c r="C76" s="57">
        <f>SUMIFS('Seat Planner'!$O$5:$O$424,'Seat Planner'!$B$5:$B$424,5)</f>
        <v/>
      </c>
      <c r="J76" s="15" t="n"/>
    </row>
    <row r="77" ht="25.5" customHeight="1">
      <c r="B77" s="19" t="inlineStr">
        <is>
          <t>Unit cost reduction, Year 1 to Year 5</t>
        </is>
      </c>
      <c r="C77" s="55">
        <f>IF(C75=0,0,1-C76/C75)</f>
        <v/>
      </c>
      <c r="J77" s="15" t="inlineStr">
        <is>
          <t>The commercial headline, before the rate card. Compare it to the headcount reduction: if cost falls more slowly than headcount, the team is seniorising and the hiring plan needs to say so.</t>
        </is>
      </c>
    </row>
  </sheetData>
  <mergeCells count="7">
    <mergeCell ref="A45:J45"/>
    <mergeCell ref="A1:J1"/>
    <mergeCell ref="A23:J23"/>
    <mergeCell ref="A69:J69"/>
    <mergeCell ref="A4:J4"/>
    <mergeCell ref="A2:J2"/>
    <mergeCell ref="A52:J52"/>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J65"/>
  <sheetViews>
    <sheetView zoomScaleNormal="100" workbookViewId="0">
      <selection activeCell="A1" sqref="A1"/>
    </sheetView>
  </sheetViews>
  <sheetFormatPr baseColWidth="8" defaultColWidth="8.6328125" defaultRowHeight="14.5"/>
  <cols>
    <col width="2.453125" customWidth="1" min="1" max="1"/>
    <col width="34" customWidth="1" min="2" max="2"/>
    <col width="13" customWidth="1" min="3" max="8"/>
    <col width="14" customWidth="1" min="9" max="9"/>
    <col width="7" customWidth="1" min="10" max="10"/>
    <col width="78" customWidth="1" min="11" max="11"/>
  </cols>
  <sheetData>
    <row r="1" ht="25.5" customHeight="1">
      <c r="A1" s="8" t="inlineStr">
        <is>
          <t>Rates and tables  —  the solution position, not the client data</t>
        </is>
      </c>
    </row>
    <row r="2" ht="15" customHeight="1">
      <c r="A2" s="7" t="inlineStr">
        <is>
          <t>Every amber cell here is a Capgemini judgement. The defaults are the portfolio position used on all five 領域 modelled so far. Change them for your 領域 if you can say why, in one sentence, to MetLife.</t>
        </is>
      </c>
    </row>
    <row r="4" ht="15" customHeight="1">
      <c r="A4" s="4" t="inlineStr">
        <is>
          <t>A.  THE GOLDEN PHASE TABLE  —  how far AI can go, by archetype and delivery phase</t>
        </is>
      </c>
    </row>
    <row r="5" ht="14.25" customHeight="1">
      <c r="B5" s="12" t="inlineStr">
        <is>
          <t>Archetype</t>
        </is>
      </c>
      <c r="C5" s="12" t="inlineStr">
        <is>
          <t>Requirements</t>
        </is>
      </c>
      <c r="D5" s="12" t="inlineStr">
        <is>
          <t>Design</t>
        </is>
      </c>
      <c r="E5" s="12" t="inlineStr">
        <is>
          <t>Build</t>
        </is>
      </c>
      <c r="F5" s="12" t="inlineStr">
        <is>
          <t>Test</t>
        </is>
      </c>
      <c r="G5" s="12" t="inlineStr">
        <is>
          <t>Release</t>
        </is>
      </c>
      <c r="H5" s="12" t="inlineStr">
        <is>
          <t>Run</t>
        </is>
      </c>
      <c r="I5" s="12" t="inlineStr">
        <is>
          <t>Blended AI ceiling</t>
        </is>
      </c>
    </row>
    <row r="6" ht="14.25" customHeight="1">
      <c r="B6" s="13" t="inlineStr">
        <is>
          <t>M  ·  Mainframe-adjacent</t>
        </is>
      </c>
      <c r="C6" s="41" t="n">
        <v>0.35</v>
      </c>
      <c r="D6" s="41" t="n">
        <v>0.3</v>
      </c>
      <c r="E6" s="41" t="n">
        <v>0.5</v>
      </c>
      <c r="F6" s="41" t="n">
        <v>0.55</v>
      </c>
      <c r="G6" s="41" t="n">
        <v>0.45</v>
      </c>
      <c r="H6" s="41" t="n">
        <v>0.4</v>
      </c>
      <c r="I6" s="32">
        <f>SUMPRODUCT($C$12:$H$12,C6:H6)</f>
        <v/>
      </c>
    </row>
    <row r="7" ht="14.25" customHeight="1">
      <c r="B7" s="13" t="inlineStr">
        <is>
          <t>L  ·  Legacy core</t>
        </is>
      </c>
      <c r="C7" s="41" t="n">
        <v>0.35</v>
      </c>
      <c r="D7" s="41" t="n">
        <v>0.22</v>
      </c>
      <c r="E7" s="41" t="n">
        <v>0.2</v>
      </c>
      <c r="F7" s="41" t="n">
        <v>0.4</v>
      </c>
      <c r="G7" s="41" t="n">
        <v>0.25</v>
      </c>
      <c r="H7" s="41" t="n">
        <v>0.32</v>
      </c>
      <c r="I7" s="32">
        <f>SUMPRODUCT($C$12:$H$12,C7:H7)</f>
        <v/>
      </c>
    </row>
    <row r="8" ht="14.25" customHeight="1">
      <c r="B8" s="13" t="inlineStr">
        <is>
          <t>D  ·  Distributed-proven</t>
        </is>
      </c>
      <c r="C8" s="41" t="n">
        <v>0.35</v>
      </c>
      <c r="D8" s="41" t="n">
        <v>0.3</v>
      </c>
      <c r="E8" s="41" t="n">
        <v>0.55</v>
      </c>
      <c r="F8" s="41" t="n">
        <v>0.6</v>
      </c>
      <c r="G8" s="41" t="n">
        <v>0.5</v>
      </c>
      <c r="H8" s="41" t="n">
        <v>0.4</v>
      </c>
      <c r="I8" s="32">
        <f>SUMPRODUCT($C$12:$H$12,C8:H8)</f>
        <v/>
      </c>
    </row>
    <row r="9" ht="14.25" customHeight="1">
      <c r="B9" s="13" t="inlineStr">
        <is>
          <t>P  ·  Cloud-present</t>
        </is>
      </c>
      <c r="C9" s="41" t="n">
        <v>0.35</v>
      </c>
      <c r="D9" s="41" t="n">
        <v>0.3</v>
      </c>
      <c r="E9" s="41" t="n">
        <v>0.55</v>
      </c>
      <c r="F9" s="41" t="n">
        <v>0.6</v>
      </c>
      <c r="G9" s="41" t="n">
        <v>0.5</v>
      </c>
      <c r="H9" s="41" t="n">
        <v>0.4</v>
      </c>
      <c r="I9" s="32">
        <f>SUMPRODUCT($C$12:$H$12,C9:H9)</f>
        <v/>
      </c>
    </row>
    <row r="10" ht="14.25" customHeight="1">
      <c r="B10" s="13" t="inlineStr">
        <is>
          <t>J  ·  Japan-locked</t>
        </is>
      </c>
      <c r="C10" s="41" t="n">
        <v>0.22</v>
      </c>
      <c r="D10" s="41" t="n">
        <v>0.2</v>
      </c>
      <c r="E10" s="41" t="n">
        <v>0.32</v>
      </c>
      <c r="F10" s="41" t="n">
        <v>0.38</v>
      </c>
      <c r="G10" s="41" t="n">
        <v>0.3</v>
      </c>
      <c r="H10" s="41" t="n">
        <v>0.3</v>
      </c>
      <c r="I10" s="32">
        <f>SUMPRODUCT($C$12:$H$12,C10:H10)</f>
        <v/>
      </c>
    </row>
    <row r="11" ht="14.25" customHeight="1">
      <c r="B11" s="13" t="inlineStr">
        <is>
          <t>T  ·  Long tail</t>
        </is>
      </c>
      <c r="C11" s="41" t="n">
        <v>0.3</v>
      </c>
      <c r="D11" s="41" t="n">
        <v>0.25</v>
      </c>
      <c r="E11" s="41" t="n">
        <v>0.4</v>
      </c>
      <c r="F11" s="41" t="n">
        <v>0.45</v>
      </c>
      <c r="G11" s="41" t="n">
        <v>0.4</v>
      </c>
      <c r="H11" s="41" t="n">
        <v>0.45</v>
      </c>
      <c r="I11" s="32">
        <f>SUMPRODUCT($C$12:$H$12,C11:H11)</f>
        <v/>
      </c>
    </row>
    <row r="12" ht="24" customHeight="1">
      <c r="B12" s="13" t="inlineStr">
        <is>
          <t>Phase share of a typical application's effort</t>
        </is>
      </c>
      <c r="C12" s="41" t="n">
        <v>0.15</v>
      </c>
      <c r="D12" s="41" t="n">
        <v>0.1</v>
      </c>
      <c r="E12" s="41" t="n">
        <v>0.3</v>
      </c>
      <c r="F12" s="41" t="n">
        <v>0.25</v>
      </c>
      <c r="G12" s="41" t="n">
        <v>0.05</v>
      </c>
      <c r="H12" s="41" t="n">
        <v>0.15</v>
      </c>
      <c r="I12" s="58">
        <f>SUM(C12:H12)</f>
        <v/>
      </c>
    </row>
    <row r="13" ht="30" customHeight="1">
      <c r="B13" s="15" t="inlineStr">
        <is>
          <t>Column I is derived, not entered: it is the phase weights times that archetype's phase ceilings. That is where 45.25% for M and 30.4% for J come from, and it is why raising the Build ceiling on a mainframe estate does less than people expect — Build is only 30% of the effort.</t>
        </is>
      </c>
    </row>
    <row r="15" ht="15" customHeight="1">
      <c r="A15" s="4" t="inlineStr">
        <is>
          <t>B.  ROLE → PHASE  —  the bridge between MetLife's role taxonomy and the phase table</t>
        </is>
      </c>
    </row>
    <row r="16" ht="14.25" customHeight="1">
      <c r="B16" s="12" t="inlineStr">
        <is>
          <t>Client role</t>
        </is>
      </c>
      <c r="C16" s="12" t="inlineStr">
        <is>
          <t>Requirements</t>
        </is>
      </c>
      <c r="D16" s="12" t="inlineStr">
        <is>
          <t>Design</t>
        </is>
      </c>
      <c r="E16" s="12" t="inlineStr">
        <is>
          <t>Build</t>
        </is>
      </c>
      <c r="F16" s="12" t="inlineStr">
        <is>
          <t>Test</t>
        </is>
      </c>
      <c r="G16" s="12" t="inlineStr">
        <is>
          <t>Release</t>
        </is>
      </c>
      <c r="H16" s="12" t="inlineStr">
        <is>
          <t>Run</t>
        </is>
      </c>
      <c r="I16" s="12" t="inlineStr">
        <is>
          <t>Check</t>
        </is>
      </c>
    </row>
    <row r="17" ht="14.25" customHeight="1">
      <c r="B17" s="13" t="inlineStr">
        <is>
          <t>BSA</t>
        </is>
      </c>
      <c r="C17" s="41" t="n">
        <v>0.7</v>
      </c>
      <c r="D17" s="41" t="n">
        <v>0.2</v>
      </c>
      <c r="E17" s="41" t="n">
        <v>0</v>
      </c>
      <c r="F17" s="41" t="n">
        <v>0</v>
      </c>
      <c r="G17" s="41" t="n">
        <v>0</v>
      </c>
      <c r="H17" s="41" t="n">
        <v>0.1</v>
      </c>
      <c r="I17" s="47">
        <f>SUM(C17:H17)</f>
        <v/>
      </c>
    </row>
    <row r="18" ht="14.25" customHeight="1">
      <c r="B18" s="13" t="inlineStr">
        <is>
          <t>Developer</t>
        </is>
      </c>
      <c r="C18" s="41" t="n">
        <v>0</v>
      </c>
      <c r="D18" s="41" t="n">
        <v>0.15</v>
      </c>
      <c r="E18" s="41" t="n">
        <v>0.7</v>
      </c>
      <c r="F18" s="41" t="n">
        <v>0</v>
      </c>
      <c r="G18" s="41" t="n">
        <v>0.1</v>
      </c>
      <c r="H18" s="41" t="n">
        <v>0.05</v>
      </c>
      <c r="I18" s="47">
        <f>SUM(C18:H18)</f>
        <v/>
      </c>
    </row>
    <row r="19" ht="14.25" customHeight="1">
      <c r="B19" s="13" t="inlineStr">
        <is>
          <t>Tester</t>
        </is>
      </c>
      <c r="C19" s="41" t="n">
        <v>0</v>
      </c>
      <c r="D19" s="41" t="n">
        <v>0</v>
      </c>
      <c r="E19" s="41" t="n">
        <v>0</v>
      </c>
      <c r="F19" s="41" t="n">
        <v>0.9</v>
      </c>
      <c r="G19" s="41" t="n">
        <v>0.1</v>
      </c>
      <c r="H19" s="41" t="n">
        <v>0</v>
      </c>
      <c r="I19" s="47">
        <f>SUM(C19:H19)</f>
        <v/>
      </c>
    </row>
    <row r="20" ht="14.25" customHeight="1">
      <c r="B20" s="13" t="inlineStr">
        <is>
          <t>Maintenance</t>
        </is>
      </c>
      <c r="C20" s="41" t="n">
        <v>0</v>
      </c>
      <c r="D20" s="41" t="n">
        <v>0</v>
      </c>
      <c r="E20" s="41" t="n">
        <v>0.1</v>
      </c>
      <c r="F20" s="41" t="n">
        <v>0.1</v>
      </c>
      <c r="G20" s="41" t="n">
        <v>0</v>
      </c>
      <c r="H20" s="41" t="n">
        <v>0.8</v>
      </c>
      <c r="I20" s="47">
        <f>SUM(C20:H20)</f>
        <v/>
      </c>
    </row>
    <row r="21" ht="14.25" customHeight="1">
      <c r="B21" s="13" t="inlineStr">
        <is>
          <t>PM</t>
        </is>
      </c>
      <c r="C21" s="41" t="n">
        <v>0.2</v>
      </c>
      <c r="D21" s="41" t="n">
        <v>0</v>
      </c>
      <c r="E21" s="41" t="n">
        <v>0</v>
      </c>
      <c r="F21" s="41" t="n">
        <v>0</v>
      </c>
      <c r="G21" s="41" t="n">
        <v>0</v>
      </c>
      <c r="H21" s="41" t="n">
        <v>0.8</v>
      </c>
      <c r="I21" s="47">
        <f>SUM(C21:H21)</f>
        <v/>
      </c>
    </row>
    <row r="22" ht="14.25" customHeight="1">
      <c r="B22" s="13" t="inlineStr">
        <is>
          <t>Other</t>
        </is>
      </c>
      <c r="C22" s="41" t="n">
        <v>0</v>
      </c>
      <c r="D22" s="41" t="n">
        <v>0.55</v>
      </c>
      <c r="E22" s="41" t="n">
        <v>0</v>
      </c>
      <c r="F22" s="41" t="n">
        <v>0</v>
      </c>
      <c r="G22" s="41" t="n">
        <v>0.2</v>
      </c>
      <c r="H22" s="41" t="n">
        <v>0.25</v>
      </c>
      <c r="I22" s="47">
        <f>SUM(C22:H22)</f>
        <v/>
      </c>
    </row>
    <row r="23" ht="30" customHeight="1">
      <c r="B23" s="15" t="inlineStr">
        <is>
          <t>THE ASSUMPTION MOST WORTH CHALLENGING IN THE WHOLE MODEL. It says a Tester spends 90% of their time in Test, where the AI ceiling is highest, and a PM spends 80% in Run, where it is lowest. Change this and every per-sourcing ceiling moves — which is exactly the point: MGCC is 74% developers and MetLife Japan is 41% BSA and 39% PM, so they cannot carry the same commitment.</t>
        </is>
      </c>
    </row>
    <row r="25" ht="15" customHeight="1">
      <c r="A25" s="4" t="inlineStr">
        <is>
          <t>C.  OFFSHORE CEILING BY ARCHETYPE</t>
        </is>
      </c>
    </row>
    <row r="26" ht="14.25" customHeight="1">
      <c r="B26" s="12" t="inlineStr">
        <is>
          <t>Archetype</t>
        </is>
      </c>
      <c r="C26" s="12" t="inlineStr">
        <is>
          <t>Ceiling</t>
        </is>
      </c>
      <c r="D26" s="12" t="n"/>
      <c r="E26" s="12" t="n"/>
      <c r="F26" s="12" t="n"/>
      <c r="G26" s="12" t="n"/>
      <c r="H26" s="12" t="n"/>
      <c r="I26" s="12" t="inlineStr">
        <is>
          <t>Why</t>
        </is>
      </c>
    </row>
    <row r="27" ht="25.5" customHeight="1">
      <c r="B27" s="13" t="inlineStr">
        <is>
          <t>M  ·  Mainframe-adjacent</t>
        </is>
      </c>
      <c r="C27" s="41" t="n">
        <v>0.85</v>
      </c>
      <c r="I27" s="15" t="inlineStr">
        <is>
          <t>Mainframe-adjacent modernisation. English-capable interfaces, tooling-heavy work.</t>
        </is>
      </c>
    </row>
    <row r="28" ht="25.5" customHeight="1">
      <c r="B28" s="13" t="inlineStr">
        <is>
          <t>L  ·  Legacy core</t>
        </is>
      </c>
      <c r="C28" s="41" t="n">
        <v>0.45</v>
      </c>
      <c r="I28" s="15" t="inlineStr">
        <is>
          <t>Legacy core. Japanese business rules and regulator-facing process hold half of it onshore.</t>
        </is>
      </c>
    </row>
    <row r="29" ht="25.5" customHeight="1">
      <c r="B29" s="13" t="inlineStr">
        <is>
          <t>D  ·  Distributed-proven</t>
        </is>
      </c>
      <c r="C29" s="41" t="n">
        <v>0.78</v>
      </c>
      <c r="I29" s="15" t="inlineStr">
        <is>
          <t>Distributed-proven. Already partly offshore across the portfolio.</t>
        </is>
      </c>
    </row>
    <row r="30" ht="25.5" customHeight="1">
      <c r="B30" s="13" t="inlineStr">
        <is>
          <t>P  ·  Cloud-present</t>
        </is>
      </c>
      <c r="C30" s="41" t="n">
        <v>0.78</v>
      </c>
      <c r="I30" s="15" t="inlineStr">
        <is>
          <t>Cloud-present. Same shape as D; the substrate does not care where the engineer sits.</t>
        </is>
      </c>
    </row>
    <row r="31" ht="25.5" customHeight="1">
      <c r="B31" s="13" t="inlineStr">
        <is>
          <t>J  ·  Japan-locked</t>
        </is>
      </c>
      <c r="C31" s="41" t="n">
        <v>0.12</v>
      </c>
      <c r="I31" s="15" t="inlineStr">
        <is>
          <t>Japan-locked. Japanese specifications, Japanese operational interface, Japanese regulator. This is the number that caps whole 領域, and no amount of AI moves it.</t>
        </is>
      </c>
    </row>
    <row r="32" ht="25.5" customHeight="1">
      <c r="B32" s="13" t="inlineStr">
        <is>
          <t>T  ·  Long tail</t>
        </is>
      </c>
      <c r="C32" s="41" t="n">
        <v>0.55</v>
      </c>
      <c r="I32" s="15" t="inlineStr">
        <is>
          <t>Long tail. Small enough to move, too small to invest in moving.</t>
        </is>
      </c>
    </row>
    <row r="34" ht="15" customHeight="1">
      <c r="A34" s="4" t="inlineStr">
        <is>
          <t>D.  ADOPTION  —  the share of the AI ceiling each population can actually commit to</t>
        </is>
      </c>
    </row>
    <row r="35" ht="21.75" customHeight="1">
      <c r="B35" s="12" t="inlineStr">
        <is>
          <t>Sourcing type</t>
        </is>
      </c>
      <c r="C35" s="12" t="inlineStr">
        <is>
          <t>Adoption</t>
        </is>
      </c>
      <c r="D35" s="12" t="n"/>
      <c r="E35" s="12" t="n"/>
      <c r="F35" s="12" t="n"/>
      <c r="G35" s="12" t="n"/>
      <c r="H35" s="12" t="n"/>
      <c r="I35" s="12" t="inlineStr">
        <is>
          <t>What this is a judgement about</t>
        </is>
      </c>
    </row>
    <row r="36" ht="39.75" customHeight="1">
      <c r="B36" s="13" t="inlineStr">
        <is>
          <t>FTC  ·  Capgemini payroll</t>
        </is>
      </c>
      <c r="C36" s="41" t="n">
        <v>1</v>
      </c>
      <c r="I36" s="15" t="inlineStr">
        <is>
          <t>We build the substrate, we mandate the tooling, we set the ways of working. There is no discount to apply to ourselves.</t>
        </is>
      </c>
    </row>
    <row r="37" ht="39.75" customHeight="1">
      <c r="B37" s="13" t="inlineStr">
        <is>
          <t>PT  ·  named sub-contractor</t>
        </is>
      </c>
      <c r="C37" s="41" t="n">
        <v>0.85</v>
      </c>
      <c r="I37" s="15" t="inlineStr">
        <is>
          <t>Bound by a sub-contract and one management step removed. Capable, but we direct them through a contract rather than a line.</t>
        </is>
      </c>
    </row>
    <row r="38" ht="39.75" customHeight="1">
      <c r="B38" s="13" t="inlineStr">
        <is>
          <t>FTE  ·  MetLife Japan</t>
        </is>
      </c>
      <c r="C38" s="41" t="n">
        <v>0.55</v>
      </c>
      <c r="I38" s="15" t="inlineStr">
        <is>
          <t>Governance, domain ownership and product decisions: the least machine-addressable work in the estate, done by people whose redeployment is MetLife's call, not ours. Common Service Platform raises this to 0.72 because the work there is genuinely different.</t>
        </is>
      </c>
    </row>
    <row r="39" ht="39.75" customHeight="1">
      <c r="B39" s="13" t="inlineStr">
        <is>
          <t>MGCC  ·  MetLife captive centre</t>
        </is>
      </c>
      <c r="C39" s="41" t="n">
        <v>0.8</v>
      </c>
      <c r="I39" s="15" t="inlineStr">
        <is>
          <t>Build and test work, receptive to tooling, but it runs to its own utilisation targets and we do not manage it. Raise this on a modern agile estate — Common Service Platform uses 0.92 — and say why.</t>
        </is>
      </c>
    </row>
    <row r="41" ht="30" customHeight="1">
      <c r="B41" s="15" t="inlineStr">
        <is>
          <t>ADOPTION IS ABOUT AUTHORITY, NOT CAPABILITY. It is not a claim that MetLife's people are less able. It is a statement about who can mandate a change to how work is done — and it is the single most commercially consequential set of numbers in this workbook, because it decides how much of the productivity commitment sits on Capgemini's side of the contract.</t>
        </is>
      </c>
    </row>
    <row r="43" ht="15" customHeight="1">
      <c r="A43" s="4" t="inlineStr">
        <is>
          <t>E.  THE YEAR CURVES</t>
        </is>
      </c>
    </row>
    <row r="44" ht="14.25" customHeight="1">
      <c r="B44" s="12" t="inlineStr">
        <is>
          <t>Driver</t>
        </is>
      </c>
      <c r="C44" s="12" t="inlineStr">
        <is>
          <t>Year 1</t>
        </is>
      </c>
      <c r="D44" s="12" t="inlineStr">
        <is>
          <t>Year 2</t>
        </is>
      </c>
      <c r="E44" s="12" t="inlineStr">
        <is>
          <t>Year 3</t>
        </is>
      </c>
      <c r="F44" s="12" t="inlineStr">
        <is>
          <t>Year 4</t>
        </is>
      </c>
      <c r="G44" s="12" t="inlineStr">
        <is>
          <t>Year 5</t>
        </is>
      </c>
      <c r="H44" s="12" t="n"/>
      <c r="I44" s="12" t="inlineStr">
        <is>
          <t>Basis</t>
        </is>
      </c>
    </row>
    <row r="45" ht="30" customHeight="1">
      <c r="B45" s="13" t="inlineStr">
        <is>
          <t>AI realisation — share of the ceiling actually reached</t>
        </is>
      </c>
      <c r="C45" s="41" t="n">
        <v>0.25</v>
      </c>
      <c r="D45" s="41" t="n">
        <v>0.55</v>
      </c>
      <c r="E45" s="41" t="n">
        <v>0.75</v>
      </c>
      <c r="F45" s="41" t="n">
        <v>0.85</v>
      </c>
      <c r="G45" s="41" t="n">
        <v>0.9</v>
      </c>
      <c r="I45" s="15" t="inlineStr">
        <is>
          <t>Tooling, data access, guardrails and trust do not arrive on day one. Year 1 is a pilot year.</t>
        </is>
      </c>
    </row>
    <row r="46" ht="30" customHeight="1">
      <c r="B46" s="13" t="inlineStr">
        <is>
          <t>Classical ADM productivity</t>
        </is>
      </c>
      <c r="C46" s="41" t="n">
        <v>0.02</v>
      </c>
      <c r="D46" s="41" t="n">
        <v>0.05</v>
      </c>
      <c r="E46" s="41" t="n">
        <v>0.07000000000000001</v>
      </c>
      <c r="F46" s="41" t="n">
        <v>0.09</v>
      </c>
      <c r="G46" s="41" t="n">
        <v>0.11</v>
      </c>
      <c r="I46" s="15" t="inlineStr">
        <is>
          <t>Automation, shift-left, defect reduction, knowledge reuse. Attaches to the work, so it applies to every sourcing type equally.</t>
        </is>
      </c>
    </row>
    <row r="47" ht="30" customHeight="1">
      <c r="B47" s="13" t="inlineStr">
        <is>
          <t>Operating-model productivity — raw</t>
        </is>
      </c>
      <c r="C47" s="41" t="n">
        <v>0.03</v>
      </c>
      <c r="D47" s="41" t="n">
        <v>0.06</v>
      </c>
      <c r="E47" s="41" t="n">
        <v>0.08</v>
      </c>
      <c r="F47" s="41" t="n">
        <v>0.1</v>
      </c>
      <c r="G47" s="41" t="n">
        <v>0.12</v>
      </c>
      <c r="I47" s="15" t="inlineStr">
        <is>
          <t>Pod consolidation, one release train, span of control. Scaled by the agile share and by the partner drag before it is used.</t>
        </is>
      </c>
    </row>
    <row r="49" ht="15" customHeight="1">
      <c r="A49" s="4" t="inlineStr">
        <is>
          <t>F.  SCALARS</t>
        </is>
      </c>
    </row>
    <row r="50" ht="14.25" customHeight="1">
      <c r="B50" s="12" t="inlineStr">
        <is>
          <t>Parameter</t>
        </is>
      </c>
      <c r="C50" s="12" t="inlineStr">
        <is>
          <t>Value</t>
        </is>
      </c>
      <c r="D50" s="12" t="n"/>
      <c r="E50" s="12" t="n"/>
      <c r="F50" s="12" t="n"/>
      <c r="G50" s="12" t="n"/>
      <c r="H50" s="12" t="n"/>
      <c r="I50" s="12" t="inlineStr">
        <is>
          <t>Note</t>
        </is>
      </c>
    </row>
    <row r="51" ht="33.75" customHeight="1">
      <c r="B51" s="13" t="inlineStr">
        <is>
          <t>Glidepath pre-load</t>
        </is>
      </c>
      <c r="C51" s="41" t="n">
        <v>0.5</v>
      </c>
      <c r="I51" s="15" t="inlineStr">
        <is>
          <t>What share of this year's capability gain is taken this year. The rest carries into next year. 0.50 is deliberate prudence: capability earned in Q4 cannot fund a headcount reduction in Q1.</t>
        </is>
      </c>
    </row>
    <row r="52" ht="33.75" customHeight="1">
      <c r="B52" s="13" t="inlineStr">
        <is>
          <t>Partner drag</t>
        </is>
      </c>
      <c r="C52" s="41" t="n">
        <v>0.6</v>
      </c>
      <c r="I52" s="15" t="inlineStr">
        <is>
          <t>A partner seat returns 40% of the operating-model gain a Capgemini seat does. Two management chains, a contractual boundary on ways of working, slower standardisation.</t>
        </is>
      </c>
    </row>
    <row r="53" ht="33.75" customHeight="1">
      <c r="B53" s="13" t="inlineStr">
        <is>
          <t>Transfer cap — share of the Capgemini pool</t>
        </is>
      </c>
      <c r="C53" s="41" t="n">
        <v>0.7</v>
      </c>
      <c r="I53" s="15" t="inlineStr">
        <is>
          <t>The most of our own population we are willing to put through a transfer of employment at the end of Year 3.</t>
        </is>
      </c>
    </row>
    <row r="54" ht="33.75" customHeight="1">
      <c r="B54" s="13" t="inlineStr">
        <is>
          <t>Transfer split to MetLife Japan</t>
        </is>
      </c>
      <c r="C54" s="41" t="n">
        <v>0.35</v>
      </c>
      <c r="I54" s="15" t="inlineStr">
        <is>
          <t>The rest goes to MGCC. Onshore people to MetLife Japan, offshore people to MGCC.</t>
        </is>
      </c>
    </row>
    <row r="55" ht="33.75" customHeight="1">
      <c r="B55" s="13" t="inlineStr">
        <is>
          <t>Guardrail — minimum vendor share</t>
        </is>
      </c>
      <c r="C55" s="41" t="n">
        <v>0.5</v>
      </c>
      <c r="I55" s="15" t="inlineStr">
        <is>
          <t>Below this, Capgemini is a minority of its own delivery population. Lower it — with a written reason — only where MetLife already holds the majority on day one; Common Service Platform uses 0.38.</t>
        </is>
      </c>
    </row>
    <row r="56" ht="33.75" customHeight="1">
      <c r="B56" s="13" t="inlineStr">
        <is>
          <t>Guardrail — minimum Capgemini share of build and test</t>
        </is>
      </c>
      <c r="C56" s="41" t="n">
        <v>0.55</v>
      </c>
      <c r="I56" s="15" t="inlineStr">
        <is>
          <t>We are accountable for the delivery; we should hold the majority of the seats that do it.</t>
        </is>
      </c>
    </row>
    <row r="57" ht="33.75" customHeight="1">
      <c r="B57" s="13" t="inlineStr">
        <is>
          <t>Guardrail — minimum Capgemini share inside any one unit</t>
        </is>
      </c>
      <c r="C57" s="41" t="n">
        <v>0.55</v>
      </c>
      <c r="I57" s="15" t="inlineStr">
        <is>
          <t>A pod where Capgemini is a minority is a pod whose ways of working we do not set.</t>
        </is>
      </c>
    </row>
    <row r="59" ht="15" customHeight="1">
      <c r="A59" s="4" t="inlineStr">
        <is>
          <t>G.  COST INDEX  —  relative only, onshore Tokyo E2 = 1.00</t>
        </is>
      </c>
    </row>
    <row r="60" ht="14.25" customHeight="1">
      <c r="B60" s="12" t="inlineStr">
        <is>
          <t>Location</t>
        </is>
      </c>
      <c r="C60" s="12" t="inlineStr">
        <is>
          <t>E1</t>
        </is>
      </c>
      <c r="D60" s="12" t="inlineStr">
        <is>
          <t>E2</t>
        </is>
      </c>
      <c r="E60" s="12" t="inlineStr">
        <is>
          <t>E3</t>
        </is>
      </c>
      <c r="F60" s="12" t="inlineStr">
        <is>
          <t>E4</t>
        </is>
      </c>
      <c r="G60" s="12" t="inlineStr">
        <is>
          <t>E5</t>
        </is>
      </c>
    </row>
    <row r="61" ht="14.25" customHeight="1">
      <c r="B61" s="13" t="inlineStr">
        <is>
          <t>ON  ·  Onshore Tokyo</t>
        </is>
      </c>
      <c r="C61" s="59" t="n">
        <v>0.72</v>
      </c>
      <c r="D61" s="59" t="n">
        <v>1</v>
      </c>
      <c r="E61" s="59" t="n">
        <v>1.35</v>
      </c>
      <c r="F61" s="59" t="n">
        <v>1.85</v>
      </c>
      <c r="G61" s="59" t="n">
        <v>2.55</v>
      </c>
      <c r="J61" s="49" t="inlineStr">
        <is>
          <t>ON</t>
        </is>
      </c>
    </row>
    <row r="62" ht="14.25" customHeight="1">
      <c r="B62" s="13" t="inlineStr">
        <is>
          <t>OFF  ·  Offshore India</t>
        </is>
      </c>
      <c r="C62" s="59" t="n">
        <v>0.22</v>
      </c>
      <c r="D62" s="59" t="n">
        <v>0.3</v>
      </c>
      <c r="E62" s="59" t="n">
        <v>0.42</v>
      </c>
      <c r="F62" s="59" t="n">
        <v>0.6</v>
      </c>
      <c r="G62" s="59" t="n">
        <v>0.85</v>
      </c>
      <c r="J62" s="49" t="inlineStr">
        <is>
          <t>OFF</t>
        </is>
      </c>
    </row>
    <row r="63" ht="14.25" customHeight="1">
      <c r="B63" s="13" t="inlineStr">
        <is>
          <t>NEAR  ·  Nearshore</t>
        </is>
      </c>
      <c r="C63" s="59" t="n">
        <v>0.45</v>
      </c>
      <c r="D63" s="59" t="n">
        <v>0.62</v>
      </c>
      <c r="E63" s="59" t="n">
        <v>0.84</v>
      </c>
      <c r="F63" s="59" t="n">
        <v>1.15</v>
      </c>
      <c r="G63" s="59" t="n">
        <v>1.58</v>
      </c>
      <c r="J63" s="49" t="inlineStr">
        <is>
          <t>NEAR</t>
        </is>
      </c>
    </row>
    <row r="65" ht="24" customHeight="1">
      <c r="B65" s="15" t="inlineStr">
        <is>
          <t>Pending the rate card. Use it to see the SHAPE of the cost curve — what happens to cost per head as the team shrinks and seniorises — not to price anything.</t>
        </is>
      </c>
    </row>
  </sheetData>
  <mergeCells count="13">
    <mergeCell ref="A15:I15"/>
    <mergeCell ref="A59:I59"/>
    <mergeCell ref="A25:I25"/>
    <mergeCell ref="A43:I43"/>
    <mergeCell ref="B13:I13"/>
    <mergeCell ref="A2:I2"/>
    <mergeCell ref="A49:I49"/>
    <mergeCell ref="A1:I1"/>
    <mergeCell ref="B23:I23"/>
    <mergeCell ref="B41:I41"/>
    <mergeCell ref="A4:I4"/>
    <mergeCell ref="B65:I65"/>
    <mergeCell ref="A34:I3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AO149"/>
  <sheetViews>
    <sheetView zoomScaleNormal="100" workbookViewId="0">
      <pane xSplit="3" ySplit="4" topLeftCell="D5" activePane="bottomRight" state="frozen"/>
      <selection pane="topRight" activeCell="D1" sqref="D1"/>
      <selection pane="bottomLeft" activeCell="A5" sqref="A5"/>
      <selection pane="bottomRight" activeCell="A1" sqref="A1"/>
    </sheetView>
  </sheetViews>
  <sheetFormatPr baseColWidth="8" defaultColWidth="8.6328125" defaultRowHeight="14.5"/>
  <cols>
    <col width="2.453125" customWidth="1" min="1" max="1"/>
    <col width="9" customWidth="1" min="2" max="2"/>
    <col width="28" customWidth="1" min="3" max="3"/>
    <col width="30" customWidth="1" min="4" max="4"/>
    <col width="32" customWidth="1" min="5" max="5"/>
    <col width="8" customWidth="1" min="6" max="6"/>
    <col width="6" customWidth="1" min="7" max="7"/>
    <col width="18" customWidth="1" min="8" max="8"/>
    <col width="8" customWidth="1" min="9" max="9"/>
    <col width="11" customWidth="1" min="10" max="12"/>
    <col width="12" customWidth="1" min="13" max="13"/>
    <col width="10" customWidth="1" min="14" max="16"/>
    <col width="8" customWidth="1" min="17" max="17"/>
    <col width="10" customWidth="1" min="18" max="18"/>
    <col width="9" customWidth="1" min="19" max="19"/>
    <col width="11" customWidth="1" min="20" max="20"/>
    <col width="8" customWidth="1" min="21" max="22"/>
    <col width="9" customWidth="1" min="23" max="23"/>
    <col width="7" customWidth="1" min="24" max="24"/>
    <col width="8" customWidth="1" min="25" max="26"/>
    <col width="10" customWidth="1" min="27" max="27"/>
    <col width="9" customWidth="1" min="28" max="28"/>
    <col width="13" customWidth="1" min="29" max="29"/>
    <col width="9" customWidth="1" min="30" max="30"/>
    <col width="6" customWidth="1" min="31" max="32"/>
    <col width="7" customWidth="1" min="33" max="35"/>
    <col width="10" customWidth="1" min="36" max="36"/>
    <col width="9" customWidth="1" min="37" max="38"/>
    <col width="20" customWidth="1" min="39" max="39"/>
    <col width="13" customWidth="1" min="40" max="40"/>
    <col width="10" customWidth="1" min="41" max="41"/>
  </cols>
  <sheetData>
    <row r="1" ht="25.5" customHeight="1">
      <c r="A1" s="8" t="inlineStr">
        <is>
          <t>Appendix 3 v5  —  all 142 in-scope applications, all eleven 領域</t>
        </is>
      </c>
    </row>
    <row r="2" ht="15" customHeight="1">
      <c r="A2" s="7" t="inlineStr">
        <is>
          <t>Read-only. Commercial quantities and the archetype are carried from the Golden Application Inventory v4; the technical profile, ticket load and disposition columns are refreshed from Appendix 3 v5. Every (auto) figure in this workbook is a SUMIFS over this table.</t>
        </is>
      </c>
    </row>
    <row r="4" ht="14.25" customHeight="1">
      <c r="B4" s="12" t="inlineStr">
        <is>
          <t>EAI ID</t>
        </is>
      </c>
      <c r="C4" s="12" t="inlineStr">
        <is>
          <t>Application</t>
        </is>
      </c>
      <c r="D4" s="60" t="inlineStr">
        <is>
          <t>領域</t>
        </is>
      </c>
      <c r="E4" s="12" t="inlineStr">
        <is>
          <t>Value stream</t>
        </is>
      </c>
      <c r="F4" s="12" t="inlineStr">
        <is>
          <t>Vendor</t>
        </is>
      </c>
      <c r="G4" s="12" t="inlineStr">
        <is>
          <t>Arch</t>
        </is>
      </c>
      <c r="H4" s="12" t="inlineStr">
        <is>
          <t>Archetype name</t>
        </is>
      </c>
      <c r="I4" s="12" t="inlineStr">
        <is>
          <t>Rule</t>
        </is>
      </c>
      <c r="J4" s="12" t="inlineStr">
        <is>
          <t>Total effort</t>
        </is>
      </c>
      <c r="K4" s="12" t="inlineStr">
        <is>
          <t>Current FTC</t>
        </is>
      </c>
      <c r="L4" s="12" t="inlineStr">
        <is>
          <t>Current FTE</t>
        </is>
      </c>
      <c r="M4" s="12" t="inlineStr">
        <is>
          <t>Current MGCC</t>
        </is>
      </c>
      <c r="N4" s="12" t="inlineStr">
        <is>
          <t>Onshore</t>
        </is>
      </c>
      <c r="O4" s="12" t="inlineStr">
        <is>
          <t>Offshore</t>
        </is>
      </c>
      <c r="P4" s="12" t="inlineStr">
        <is>
          <t>Nearshore</t>
        </is>
      </c>
      <c r="Q4" s="12" t="inlineStr">
        <is>
          <t>BSA</t>
        </is>
      </c>
      <c r="R4" s="12" t="inlineStr">
        <is>
          <t>Developer</t>
        </is>
      </c>
      <c r="S4" s="12" t="inlineStr">
        <is>
          <t>Tester</t>
        </is>
      </c>
      <c r="T4" s="12" t="inlineStr">
        <is>
          <t>Maintenance</t>
        </is>
      </c>
      <c r="U4" s="12" t="inlineStr">
        <is>
          <t>PM</t>
        </is>
      </c>
      <c r="V4" s="12" t="inlineStr">
        <is>
          <t>Other</t>
        </is>
      </c>
      <c r="W4" s="12" t="inlineStr">
        <is>
          <t>% of PRJ</t>
        </is>
      </c>
      <c r="X4" s="12" t="inlineStr">
        <is>
          <t>Cloud</t>
        </is>
      </c>
      <c r="Y4" s="12" t="inlineStr">
        <is>
          <t>Priority</t>
        </is>
      </c>
      <c r="Z4" s="12" t="inlineStr">
        <is>
          <t>Critical</t>
        </is>
      </c>
      <c r="AA4" s="12" t="inlineStr">
        <is>
          <t>Dev method</t>
        </is>
      </c>
      <c r="AB4" s="12" t="inlineStr">
        <is>
          <t>Spec lang</t>
        </is>
      </c>
      <c r="AC4" s="12" t="inlineStr">
        <is>
          <t>Lines of code</t>
        </is>
      </c>
      <c r="AD4" s="12" t="inlineStr">
        <is>
          <t>Batches</t>
        </is>
      </c>
      <c r="AE4" s="12" t="inlineStr">
        <is>
          <t>P1</t>
        </is>
      </c>
      <c r="AF4" s="12" t="inlineStr">
        <is>
          <t>P2</t>
        </is>
      </c>
      <c r="AG4" s="12" t="inlineStr">
        <is>
          <t>P3</t>
        </is>
      </c>
      <c r="AH4" s="12" t="inlineStr">
        <is>
          <t>P4</t>
        </is>
      </c>
      <c r="AI4" s="12" t="inlineStr">
        <is>
          <t>P5</t>
        </is>
      </c>
      <c r="AJ4" s="12" t="inlineStr">
        <is>
          <t>Emergency</t>
        </is>
      </c>
      <c r="AK4" s="12" t="inlineStr">
        <is>
          <t>Normal</t>
        </is>
      </c>
      <c r="AL4" s="12" t="inlineStr">
        <is>
          <t>Standard</t>
        </is>
      </c>
      <c r="AM4" s="12" t="inlineStr">
        <is>
          <t>Disposition</t>
        </is>
      </c>
      <c r="AN4" s="12" t="inlineStr">
        <is>
          <t>CG heads today</t>
        </is>
      </c>
      <c r="AO4" s="12" t="inlineStr">
        <is>
          <t>Selected?</t>
        </is>
      </c>
    </row>
    <row r="5" ht="14.25" customHeight="1">
      <c r="B5" s="42" t="n">
        <v>13476</v>
      </c>
      <c r="C5" s="13" t="inlineStr">
        <is>
          <t>AppsPortal</t>
        </is>
      </c>
      <c r="D5" s="20" t="inlineStr">
        <is>
          <t>Common Service Platform</t>
        </is>
      </c>
      <c r="E5" s="20" t="inlineStr">
        <is>
          <t>Shared Platform Service</t>
        </is>
      </c>
      <c r="F5" s="61" t="inlineStr">
        <is>
          <t>CG</t>
        </is>
      </c>
      <c r="G5" s="61" t="inlineStr">
        <is>
          <t>M</t>
        </is>
      </c>
      <c r="H5" s="20" t="inlineStr">
        <is>
          <t>MGCC-destined</t>
        </is>
      </c>
      <c r="I5" s="61" t="inlineStr">
        <is>
          <t>Rule 1</t>
        </is>
      </c>
      <c r="J5" s="62" t="n">
        <v>122.538625</v>
      </c>
      <c r="K5" s="62" t="n">
        <v>57.149875</v>
      </c>
      <c r="L5" s="62" t="n">
        <v>23.3020833333333</v>
      </c>
      <c r="M5" s="62" t="n">
        <v>42.0866666666667</v>
      </c>
      <c r="N5" s="62" t="n">
        <v>28.7332083333333</v>
      </c>
      <c r="O5" s="62" t="n">
        <v>28.4166666666667</v>
      </c>
      <c r="P5" s="62" t="n">
        <v>0</v>
      </c>
      <c r="Q5" s="62" t="n">
        <v>5.62916666666667</v>
      </c>
      <c r="R5" s="62" t="n">
        <v>32.8957083333333</v>
      </c>
      <c r="S5" s="62" t="n">
        <v>16.2083333333333</v>
      </c>
      <c r="T5" s="62" t="n">
        <v>1.03333333333333</v>
      </c>
      <c r="U5" s="62" t="n">
        <v>1.3</v>
      </c>
      <c r="V5" s="62" t="n">
        <v>0.0833333333333333</v>
      </c>
      <c r="W5" s="63" t="n">
        <v>0.880779087682217</v>
      </c>
      <c r="X5" s="61" t="inlineStr">
        <is>
          <t>Yes</t>
        </is>
      </c>
      <c r="Y5" s="61" t="inlineStr">
        <is>
          <t>Y</t>
        </is>
      </c>
      <c r="Z5" s="61" t="inlineStr">
        <is>
          <t>N</t>
        </is>
      </c>
      <c r="AA5" s="61" t="n">
        <v>1</v>
      </c>
      <c r="AB5" s="61" t="n">
        <v>3</v>
      </c>
      <c r="AC5" s="42" t="n">
        <v>0</v>
      </c>
      <c r="AD5" s="42" t="n">
        <v>50</v>
      </c>
      <c r="AE5" s="42" t="n">
        <v>0</v>
      </c>
      <c r="AF5" s="42" t="n">
        <v>0</v>
      </c>
      <c r="AG5" s="42" t="n">
        <v>102</v>
      </c>
      <c r="AH5" s="42" t="n">
        <v>217</v>
      </c>
      <c r="AI5" s="42" t="n">
        <v>596</v>
      </c>
      <c r="AJ5" s="42" t="n">
        <v>66</v>
      </c>
      <c r="AK5" s="42" t="n">
        <v>33</v>
      </c>
      <c r="AL5" s="42" t="n">
        <v>966</v>
      </c>
      <c r="AM5" s="20" t="inlineStr">
        <is>
          <t>Maintain (Evolve)</t>
        </is>
      </c>
      <c r="AN5" s="62" t="n">
        <v>5</v>
      </c>
      <c r="AO5" s="64">
        <f>--($D5='START HERE'!$C$5)</f>
        <v/>
      </c>
    </row>
    <row r="6" ht="14.25" customHeight="1">
      <c r="B6" s="42" t="n">
        <v>12038</v>
      </c>
      <c r="C6" s="13" t="inlineStr">
        <is>
          <t>CMIAPI-JPN</t>
        </is>
      </c>
      <c r="D6" s="20" t="inlineStr">
        <is>
          <t>Common Service Platform</t>
        </is>
      </c>
      <c r="E6" s="20" t="inlineStr">
        <is>
          <t>API Management</t>
        </is>
      </c>
      <c r="F6" s="61" t="inlineStr">
        <is>
          <t>CG</t>
        </is>
      </c>
      <c r="G6" s="61" t="inlineStr">
        <is>
          <t>D</t>
        </is>
      </c>
      <c r="H6" s="20" t="inlineStr">
        <is>
          <t>Distributed-proven</t>
        </is>
      </c>
      <c r="I6" s="61" t="inlineStr">
        <is>
          <t>Rule 4</t>
        </is>
      </c>
      <c r="J6" s="62" t="n">
        <v>40.2904166666667</v>
      </c>
      <c r="K6" s="62" t="n">
        <v>19.2466666666667</v>
      </c>
      <c r="L6" s="62" t="n">
        <v>4.13333333333333</v>
      </c>
      <c r="M6" s="62" t="n">
        <v>16.9104166666667</v>
      </c>
      <c r="N6" s="62" t="n">
        <v>2.54666666666667</v>
      </c>
      <c r="O6" s="62" t="n">
        <v>16.7</v>
      </c>
      <c r="P6" s="62" t="n">
        <v>0</v>
      </c>
      <c r="Q6" s="62" t="n">
        <v>0</v>
      </c>
      <c r="R6" s="62" t="n">
        <v>13.3925</v>
      </c>
      <c r="S6" s="62" t="n">
        <v>5.85416666666667</v>
      </c>
      <c r="T6" s="62" t="n">
        <v>0</v>
      </c>
      <c r="U6" s="62" t="n">
        <v>0</v>
      </c>
      <c r="V6" s="62" t="n">
        <v>0</v>
      </c>
      <c r="W6" s="63" t="n">
        <v>0.948478236139694</v>
      </c>
      <c r="X6" s="61" t="inlineStr">
        <is>
          <t>Yes</t>
        </is>
      </c>
      <c r="Y6" s="61" t="inlineStr">
        <is>
          <t>N</t>
        </is>
      </c>
      <c r="Z6" s="61" t="inlineStr">
        <is>
          <t>N</t>
        </is>
      </c>
      <c r="AA6" s="61" t="n">
        <v>1</v>
      </c>
      <c r="AB6" s="61" t="n">
        <v>3</v>
      </c>
      <c r="AC6" s="42" t="n">
        <v>0</v>
      </c>
      <c r="AD6" s="42" t="n">
        <v>10</v>
      </c>
      <c r="AE6" s="42" t="n">
        <v>2</v>
      </c>
      <c r="AF6" s="42" t="n">
        <v>0</v>
      </c>
      <c r="AG6" s="42" t="n">
        <v>28</v>
      </c>
      <c r="AH6" s="42" t="n">
        <v>18</v>
      </c>
      <c r="AI6" s="42" t="n">
        <v>122</v>
      </c>
      <c r="AJ6" s="42" t="n">
        <v>28</v>
      </c>
      <c r="AK6" s="42" t="n">
        <v>98</v>
      </c>
      <c r="AL6" s="42" t="n">
        <v>540</v>
      </c>
      <c r="AM6" s="20" t="inlineStr">
        <is>
          <t>Maintain (Evolve)</t>
        </is>
      </c>
      <c r="AN6" s="62" t="n">
        <v>12.313</v>
      </c>
      <c r="AO6" s="64">
        <f>--($D6='START HERE'!$C$5)</f>
        <v/>
      </c>
    </row>
    <row r="7" ht="23.25" customHeight="1">
      <c r="B7" s="42" t="n">
        <v>13676</v>
      </c>
      <c r="C7" s="13" t="inlineStr">
        <is>
          <t>ODMoC</t>
        </is>
      </c>
      <c r="D7" s="20" t="inlineStr">
        <is>
          <t>Common Service Platform</t>
        </is>
      </c>
      <c r="E7" s="20" t="inlineStr">
        <is>
          <t>Shared Platform Service</t>
        </is>
      </c>
      <c r="F7" s="61" t="inlineStr">
        <is>
          <t>unnamed</t>
        </is>
      </c>
      <c r="G7" s="61" t="inlineStr">
        <is>
          <t>D</t>
        </is>
      </c>
      <c r="H7" s="20" t="inlineStr">
        <is>
          <t>Distributed-proven</t>
        </is>
      </c>
      <c r="I7" s="61" t="inlineStr">
        <is>
          <t>Rule 4</t>
        </is>
      </c>
      <c r="J7" s="62" t="n">
        <v>16.0416666666667</v>
      </c>
      <c r="K7" s="62" t="n">
        <v>11.5729166666667</v>
      </c>
      <c r="L7" s="62" t="n">
        <v>2.33333333333333</v>
      </c>
      <c r="M7" s="62" t="n">
        <v>2.13541666666667</v>
      </c>
      <c r="N7" s="62" t="n">
        <v>3.11875</v>
      </c>
      <c r="O7" s="62" t="n">
        <v>8.454166666666669</v>
      </c>
      <c r="P7" s="62" t="n">
        <v>0</v>
      </c>
      <c r="Q7" s="62" t="n">
        <v>2.7875</v>
      </c>
      <c r="R7" s="62" t="n">
        <v>7.00625</v>
      </c>
      <c r="S7" s="62" t="n">
        <v>1.77916666666667</v>
      </c>
      <c r="T7" s="62" t="n">
        <v>0</v>
      </c>
      <c r="U7" s="62" t="n">
        <v>0</v>
      </c>
      <c r="V7" s="62" t="n">
        <v>0</v>
      </c>
      <c r="W7" s="63" t="n">
        <v>0.937662337662338</v>
      </c>
      <c r="X7" s="61" t="inlineStr">
        <is>
          <t>Yes</t>
        </is>
      </c>
      <c r="Y7" s="61" t="inlineStr">
        <is>
          <t>N</t>
        </is>
      </c>
      <c r="Z7" s="61" t="inlineStr">
        <is>
          <t>N</t>
        </is>
      </c>
      <c r="AA7" s="61" t="n">
        <v>1</v>
      </c>
      <c r="AB7" s="61" t="n">
        <v>3</v>
      </c>
      <c r="AC7" s="42" t="n">
        <v>0</v>
      </c>
      <c r="AD7" s="42" t="n">
        <v>0</v>
      </c>
      <c r="AE7" s="42" t="n">
        <v>0</v>
      </c>
      <c r="AF7" s="42" t="n">
        <v>1</v>
      </c>
      <c r="AG7" s="42" t="n">
        <v>1</v>
      </c>
      <c r="AH7" s="42" t="n">
        <v>2</v>
      </c>
      <c r="AI7" s="42" t="n">
        <v>9</v>
      </c>
      <c r="AJ7" s="42" t="n">
        <v>1</v>
      </c>
      <c r="AK7" s="42" t="n">
        <v>0</v>
      </c>
      <c r="AL7" s="42" t="n">
        <v>62</v>
      </c>
      <c r="AM7" s="20" t="inlineStr">
        <is>
          <t>Maintain (Evolve)</t>
        </is>
      </c>
      <c r="AN7" s="62" t="n">
        <v>11.573</v>
      </c>
      <c r="AO7" s="64">
        <f>--($D7='START HERE'!$C$5)</f>
        <v/>
      </c>
    </row>
    <row r="8" ht="14.25" customHeight="1">
      <c r="B8" s="42" t="n">
        <v>9992</v>
      </c>
      <c r="C8" s="13" t="inlineStr">
        <is>
          <t>CMESB-JPN</t>
        </is>
      </c>
      <c r="D8" s="20" t="inlineStr">
        <is>
          <t>Common Service Platform</t>
        </is>
      </c>
      <c r="E8" s="20" t="inlineStr">
        <is>
          <t>API Management</t>
        </is>
      </c>
      <c r="F8" s="61" t="inlineStr">
        <is>
          <t>CG</t>
        </is>
      </c>
      <c r="G8" s="61" t="inlineStr">
        <is>
          <t>D</t>
        </is>
      </c>
      <c r="H8" s="20" t="inlineStr">
        <is>
          <t>Distributed-proven</t>
        </is>
      </c>
      <c r="I8" s="61" t="inlineStr">
        <is>
          <t>Rule 4</t>
        </is>
      </c>
      <c r="J8" s="62" t="n">
        <v>12.725</v>
      </c>
      <c r="K8" s="62" t="n">
        <v>7.20833333333333</v>
      </c>
      <c r="L8" s="62" t="n">
        <v>2.99583333333333</v>
      </c>
      <c r="M8" s="62" t="n">
        <v>2.52083333333333</v>
      </c>
      <c r="N8" s="62" t="n">
        <v>0.291666666666667</v>
      </c>
      <c r="O8" s="62" t="n">
        <v>6.91666666666667</v>
      </c>
      <c r="P8" s="62" t="n">
        <v>0</v>
      </c>
      <c r="Q8" s="62" t="n">
        <v>0</v>
      </c>
      <c r="R8" s="62" t="n">
        <v>7.125</v>
      </c>
      <c r="S8" s="62" t="n">
        <v>0.0833333333333333</v>
      </c>
      <c r="T8" s="62" t="n">
        <v>0</v>
      </c>
      <c r="U8" s="62" t="n">
        <v>0</v>
      </c>
      <c r="V8" s="62" t="n">
        <v>0</v>
      </c>
      <c r="W8" s="63" t="n">
        <v>0.937786509495743</v>
      </c>
      <c r="X8" s="61" t="inlineStr">
        <is>
          <t>No</t>
        </is>
      </c>
      <c r="Y8" s="61" t="inlineStr">
        <is>
          <t>N</t>
        </is>
      </c>
      <c r="Z8" s="61" t="inlineStr">
        <is>
          <t>N</t>
        </is>
      </c>
      <c r="AA8" s="61" t="n">
        <v>1</v>
      </c>
      <c r="AB8" s="61" t="n">
        <v>3</v>
      </c>
      <c r="AC8" s="42" t="n">
        <v>0</v>
      </c>
      <c r="AD8" s="42" t="n">
        <v>0</v>
      </c>
      <c r="AE8" s="42" t="n">
        <v>0</v>
      </c>
      <c r="AF8" s="42" t="n">
        <v>1</v>
      </c>
      <c r="AG8" s="42" t="n">
        <v>13</v>
      </c>
      <c r="AH8" s="42" t="n">
        <v>16</v>
      </c>
      <c r="AI8" s="42" t="n">
        <v>30</v>
      </c>
      <c r="AJ8" s="42" t="n">
        <v>18</v>
      </c>
      <c r="AK8" s="42" t="n">
        <v>62</v>
      </c>
      <c r="AL8" s="42" t="n">
        <v>316</v>
      </c>
      <c r="AM8" s="20" t="inlineStr">
        <is>
          <t>Maintain (Patch)</t>
        </is>
      </c>
      <c r="AN8" s="62" t="n">
        <v>7.208</v>
      </c>
      <c r="AO8" s="64">
        <f>--($D8='START HERE'!$C$5)</f>
        <v/>
      </c>
    </row>
    <row r="9" ht="14.25" customHeight="1">
      <c r="B9" s="42" t="n">
        <v>9928</v>
      </c>
      <c r="C9" s="13" t="inlineStr">
        <is>
          <t>W01MAS-JPN</t>
        </is>
      </c>
      <c r="D9" s="20" t="inlineStr">
        <is>
          <t>Common Service Platform</t>
        </is>
      </c>
      <c r="E9" s="20" t="inlineStr">
        <is>
          <t>Shared Platform Service</t>
        </is>
      </c>
      <c r="F9" s="61" t="inlineStr">
        <is>
          <t>NCD</t>
        </is>
      </c>
      <c r="G9" s="61" t="inlineStr">
        <is>
          <t>T</t>
        </is>
      </c>
      <c r="H9" s="20" t="inlineStr">
        <is>
          <t>Long tail</t>
        </is>
      </c>
      <c r="I9" s="61" t="inlineStr">
        <is>
          <t>Rule 3</t>
        </is>
      </c>
      <c r="J9" s="62" t="n">
        <v>2.39708333333333</v>
      </c>
      <c r="K9" s="62" t="n">
        <v>1.39708333333333</v>
      </c>
      <c r="L9" s="62" t="n">
        <v>1</v>
      </c>
      <c r="M9" s="62" t="n">
        <v>0</v>
      </c>
      <c r="N9" s="62" t="n">
        <v>1.39708333333333</v>
      </c>
      <c r="O9" s="62" t="n">
        <v>0</v>
      </c>
      <c r="P9" s="62" t="n">
        <v>0</v>
      </c>
      <c r="Q9" s="62" t="n">
        <v>0</v>
      </c>
      <c r="R9" s="62" t="n">
        <v>1.39708333333333</v>
      </c>
      <c r="S9" s="62" t="n">
        <v>0</v>
      </c>
      <c r="T9" s="62" t="n">
        <v>0</v>
      </c>
      <c r="U9" s="62" t="n">
        <v>0</v>
      </c>
      <c r="V9" s="62" t="n">
        <v>0</v>
      </c>
      <c r="W9" s="63" t="n">
        <v>0.86441856422736</v>
      </c>
      <c r="X9" s="61" t="inlineStr">
        <is>
          <t>Yes</t>
        </is>
      </c>
      <c r="Y9" s="61" t="inlineStr">
        <is>
          <t>N</t>
        </is>
      </c>
      <c r="Z9" s="61" t="inlineStr">
        <is>
          <t>N</t>
        </is>
      </c>
      <c r="AA9" s="61" t="n">
        <v>2</v>
      </c>
      <c r="AB9" s="61" t="n">
        <v>1</v>
      </c>
      <c r="AC9" s="42" t="n">
        <v>0</v>
      </c>
      <c r="AD9" s="42" t="n">
        <v>400</v>
      </c>
      <c r="AE9" s="42" t="n">
        <v>0</v>
      </c>
      <c r="AF9" s="42" t="n">
        <v>0</v>
      </c>
      <c r="AG9" s="42" t="n">
        <v>11</v>
      </c>
      <c r="AH9" s="42" t="n">
        <v>10</v>
      </c>
      <c r="AI9" s="42" t="n">
        <v>40</v>
      </c>
      <c r="AJ9" s="42" t="n">
        <v>15</v>
      </c>
      <c r="AK9" s="42" t="n">
        <v>13</v>
      </c>
      <c r="AL9" s="42" t="n">
        <v>171</v>
      </c>
      <c r="AM9" s="20" t="inlineStr">
        <is>
          <t>Maintain (Patch)</t>
        </is>
      </c>
      <c r="AN9" s="62" t="n">
        <v>0.894</v>
      </c>
      <c r="AO9" s="64">
        <f>--($D9='START HERE'!$C$5)</f>
        <v/>
      </c>
    </row>
    <row r="10" ht="23.25" customHeight="1">
      <c r="B10" s="42" t="n">
        <v>12607</v>
      </c>
      <c r="C10" s="13" t="inlineStr">
        <is>
          <t>JP-WCMAUT</t>
        </is>
      </c>
      <c r="D10" s="20" t="inlineStr">
        <is>
          <t>Common Service Platform</t>
        </is>
      </c>
      <c r="E10" s="20" t="inlineStr">
        <is>
          <t>Shared Platform Service</t>
        </is>
      </c>
      <c r="F10" s="61" t="inlineStr">
        <is>
          <t>unnamed</t>
        </is>
      </c>
      <c r="G10" s="61" t="inlineStr">
        <is>
          <t>T</t>
        </is>
      </c>
      <c r="H10" s="20" t="inlineStr">
        <is>
          <t>Long tail</t>
        </is>
      </c>
      <c r="I10" s="61" t="inlineStr">
        <is>
          <t>Rule 3</t>
        </is>
      </c>
      <c r="J10" s="62" t="n">
        <v>2.3375</v>
      </c>
      <c r="K10" s="62" t="n">
        <v>1.3375</v>
      </c>
      <c r="L10" s="62" t="n">
        <v>0</v>
      </c>
      <c r="M10" s="62" t="n">
        <v>1</v>
      </c>
      <c r="N10" s="62" t="n">
        <v>0.5</v>
      </c>
      <c r="O10" s="62" t="n">
        <v>0.8375</v>
      </c>
      <c r="P10" s="62" t="n">
        <v>0</v>
      </c>
      <c r="Q10" s="62" t="n">
        <v>0</v>
      </c>
      <c r="R10" s="62" t="n">
        <v>1.3375</v>
      </c>
      <c r="S10" s="62" t="n">
        <v>0</v>
      </c>
      <c r="T10" s="62" t="n">
        <v>0</v>
      </c>
      <c r="U10" s="62" t="n">
        <v>0</v>
      </c>
      <c r="V10" s="62" t="n">
        <v>0</v>
      </c>
      <c r="W10" s="63" t="n">
        <v>1</v>
      </c>
      <c r="X10" s="61" t="inlineStr">
        <is>
          <t>Yes</t>
        </is>
      </c>
      <c r="Y10" s="61" t="inlineStr">
        <is>
          <t>N</t>
        </is>
      </c>
      <c r="Z10" s="61" t="inlineStr">
        <is>
          <t>N</t>
        </is>
      </c>
      <c r="AA10" s="61" t="n">
        <v>1</v>
      </c>
      <c r="AB10" s="61" t="n">
        <v>3</v>
      </c>
      <c r="AC10" s="42" t="n">
        <v>0</v>
      </c>
      <c r="AD10" s="42" t="n">
        <v>0</v>
      </c>
      <c r="AE10" s="42" t="n">
        <v>0</v>
      </c>
      <c r="AF10" s="42" t="n">
        <v>0</v>
      </c>
      <c r="AG10" s="42" t="n">
        <v>8</v>
      </c>
      <c r="AH10" s="42" t="n">
        <v>2</v>
      </c>
      <c r="AI10" s="42" t="n">
        <v>4</v>
      </c>
      <c r="AJ10" s="42" t="n">
        <v>6</v>
      </c>
      <c r="AK10" s="42" t="n">
        <v>9</v>
      </c>
      <c r="AL10" s="42" t="n">
        <v>77</v>
      </c>
      <c r="AM10" s="20" t="inlineStr">
        <is>
          <t>Maintain (Evolve)</t>
        </is>
      </c>
      <c r="AN10" s="62" t="n">
        <v>0.856</v>
      </c>
      <c r="AO10" s="64">
        <f>--($D10='START HERE'!$C$5)</f>
        <v/>
      </c>
    </row>
    <row r="11" ht="23.25" customHeight="1">
      <c r="B11" s="42" t="n">
        <v>13139</v>
      </c>
      <c r="C11" s="13" t="inlineStr">
        <is>
          <t>PaymentService</t>
        </is>
      </c>
      <c r="D11" s="20" t="inlineStr">
        <is>
          <t>Common Service Platform</t>
        </is>
      </c>
      <c r="E11" s="20" t="inlineStr">
        <is>
          <t>API Management</t>
        </is>
      </c>
      <c r="F11" s="61" t="inlineStr">
        <is>
          <t>unnamed</t>
        </is>
      </c>
      <c r="G11" s="61" t="inlineStr">
        <is>
          <t>T</t>
        </is>
      </c>
      <c r="H11" s="20" t="inlineStr">
        <is>
          <t>Long tail</t>
        </is>
      </c>
      <c r="I11" s="61" t="inlineStr">
        <is>
          <t>Rule 3</t>
        </is>
      </c>
      <c r="J11" s="62" t="n">
        <v>1.99166666666667</v>
      </c>
      <c r="K11" s="62" t="n">
        <v>0</v>
      </c>
      <c r="L11" s="62" t="n">
        <v>1.3</v>
      </c>
      <c r="M11" s="62" t="n">
        <v>0.691666666666667</v>
      </c>
      <c r="N11" s="62" t="n">
        <v>0</v>
      </c>
      <c r="O11" s="62" t="n">
        <v>0</v>
      </c>
      <c r="P11" s="62" t="n">
        <v>0</v>
      </c>
      <c r="Q11" s="62" t="n">
        <v>0</v>
      </c>
      <c r="R11" s="62" t="n">
        <v>0</v>
      </c>
      <c r="S11" s="62" t="n">
        <v>0</v>
      </c>
      <c r="T11" s="62" t="n">
        <v>0</v>
      </c>
      <c r="U11" s="62" t="n">
        <v>0</v>
      </c>
      <c r="V11" s="62" t="n">
        <v>0</v>
      </c>
      <c r="W11" s="63" t="n">
        <v>1</v>
      </c>
      <c r="X11" s="61" t="inlineStr">
        <is>
          <t>Yes</t>
        </is>
      </c>
      <c r="Y11" s="61" t="inlineStr">
        <is>
          <t>N</t>
        </is>
      </c>
      <c r="Z11" s="61" t="inlineStr">
        <is>
          <t>N</t>
        </is>
      </c>
      <c r="AA11" s="61" t="n">
        <v>1</v>
      </c>
      <c r="AB11" s="61" t="n">
        <v>1</v>
      </c>
      <c r="AC11" s="42" t="n">
        <v>0</v>
      </c>
      <c r="AD11" s="42" t="n">
        <v>0</v>
      </c>
      <c r="AE11" s="42" t="n">
        <v>0</v>
      </c>
      <c r="AF11" s="42" t="n">
        <v>0</v>
      </c>
      <c r="AG11" s="42" t="n">
        <v>4</v>
      </c>
      <c r="AH11" s="42" t="n">
        <v>9</v>
      </c>
      <c r="AI11" s="42" t="n">
        <v>5</v>
      </c>
      <c r="AJ11" s="42" t="n">
        <v>4</v>
      </c>
      <c r="AK11" s="42" t="n">
        <v>2</v>
      </c>
      <c r="AL11" s="42" t="n">
        <v>63</v>
      </c>
      <c r="AM11" s="20" t="inlineStr">
        <is>
          <t>Maintain (Evolve)</t>
        </is>
      </c>
      <c r="AN11" s="62" t="n">
        <v>0</v>
      </c>
      <c r="AO11" s="64">
        <f>--($D11='START HERE'!$C$5)</f>
        <v/>
      </c>
    </row>
    <row r="12" ht="23.25" customHeight="1">
      <c r="B12" s="42" t="n">
        <v>12654</v>
      </c>
      <c r="C12" s="13" t="inlineStr">
        <is>
          <t>JP-QA Shared Service</t>
        </is>
      </c>
      <c r="D12" s="20" t="inlineStr">
        <is>
          <t>Common Service Platform</t>
        </is>
      </c>
      <c r="E12" s="20" t="inlineStr">
        <is>
          <t>Shared Platform Service</t>
        </is>
      </c>
      <c r="F12" s="61" t="inlineStr">
        <is>
          <t>unnamed</t>
        </is>
      </c>
      <c r="G12" s="61" t="inlineStr">
        <is>
          <t>T</t>
        </is>
      </c>
      <c r="H12" s="20" t="inlineStr">
        <is>
          <t>Long tail</t>
        </is>
      </c>
      <c r="I12" s="61" t="inlineStr">
        <is>
          <t>Rule 3</t>
        </is>
      </c>
      <c r="J12" s="62" t="n">
        <v>0.25</v>
      </c>
      <c r="K12" s="62" t="n">
        <v>0</v>
      </c>
      <c r="L12" s="62" t="n">
        <v>0.25</v>
      </c>
      <c r="M12" s="62" t="n">
        <v>0</v>
      </c>
      <c r="N12" s="62" t="n">
        <v>0</v>
      </c>
      <c r="O12" s="62" t="n">
        <v>0</v>
      </c>
      <c r="P12" s="62" t="n">
        <v>0</v>
      </c>
      <c r="Q12" s="62" t="n">
        <v>0</v>
      </c>
      <c r="R12" s="62" t="n">
        <v>0</v>
      </c>
      <c r="S12" s="62" t="n">
        <v>0</v>
      </c>
      <c r="T12" s="62" t="n">
        <v>0</v>
      </c>
      <c r="U12" s="62" t="n">
        <v>0</v>
      </c>
      <c r="V12" s="62" t="n">
        <v>0</v>
      </c>
      <c r="W12" s="63" t="n">
        <v>1</v>
      </c>
      <c r="X12" s="61" t="inlineStr">
        <is>
          <t>No</t>
        </is>
      </c>
      <c r="Y12" s="61" t="inlineStr">
        <is>
          <t>N</t>
        </is>
      </c>
      <c r="Z12" s="61" t="inlineStr">
        <is>
          <t>N</t>
        </is>
      </c>
      <c r="AA12" s="61" t="inlineStr">
        <is>
          <t>N/A</t>
        </is>
      </c>
      <c r="AB12" s="61" t="inlineStr">
        <is>
          <t>N/A</t>
        </is>
      </c>
      <c r="AC12" s="42" t="n">
        <v>0</v>
      </c>
      <c r="AD12" s="42" t="n">
        <v>0</v>
      </c>
      <c r="AE12" s="42" t="n">
        <v>0</v>
      </c>
      <c r="AF12" s="42" t="n">
        <v>0</v>
      </c>
      <c r="AG12" s="42" t="n">
        <v>0</v>
      </c>
      <c r="AH12" s="42" t="n">
        <v>0</v>
      </c>
      <c r="AI12" s="42" t="n">
        <v>0</v>
      </c>
      <c r="AJ12" s="42" t="n">
        <v>0</v>
      </c>
      <c r="AK12" s="42" t="n">
        <v>1</v>
      </c>
      <c r="AL12" s="42" t="n">
        <v>2</v>
      </c>
      <c r="AM12" s="20" t="inlineStr">
        <is>
          <t>Maintain (Patch)</t>
        </is>
      </c>
      <c r="AN12" s="62" t="n">
        <v>0</v>
      </c>
      <c r="AO12" s="64">
        <f>--($D12='START HERE'!$C$5)</f>
        <v/>
      </c>
    </row>
    <row r="13" ht="14.25" customHeight="1">
      <c r="B13" s="42" t="n">
        <v>12527</v>
      </c>
      <c r="C13" s="13" t="inlineStr">
        <is>
          <t>CMEAPI-JP</t>
        </is>
      </c>
      <c r="D13" s="20" t="inlineStr">
        <is>
          <t>Common Service Platform</t>
        </is>
      </c>
      <c r="E13" s="20" t="inlineStr">
        <is>
          <t>API Management</t>
        </is>
      </c>
      <c r="F13" s="61" t="inlineStr">
        <is>
          <t>CG</t>
        </is>
      </c>
      <c r="G13" s="61" t="inlineStr">
        <is>
          <t>T</t>
        </is>
      </c>
      <c r="H13" s="20" t="inlineStr">
        <is>
          <t>Long tail</t>
        </is>
      </c>
      <c r="I13" s="61" t="inlineStr">
        <is>
          <t>Rule 3</t>
        </is>
      </c>
      <c r="J13" s="62" t="n">
        <v>0.133333333333333</v>
      </c>
      <c r="K13" s="62" t="n">
        <v>0.108333333333333</v>
      </c>
      <c r="L13" s="62" t="n">
        <v>0</v>
      </c>
      <c r="M13" s="62" t="n">
        <v>0.025</v>
      </c>
      <c r="N13" s="62" t="n">
        <v>0</v>
      </c>
      <c r="O13" s="62" t="n">
        <v>0.108333333333333</v>
      </c>
      <c r="P13" s="62" t="n">
        <v>0</v>
      </c>
      <c r="Q13" s="62" t="n">
        <v>0</v>
      </c>
      <c r="R13" s="62" t="n">
        <v>0</v>
      </c>
      <c r="S13" s="62" t="n">
        <v>0.108333333333333</v>
      </c>
      <c r="T13" s="62" t="n">
        <v>0</v>
      </c>
      <c r="U13" s="62" t="n">
        <v>0</v>
      </c>
      <c r="V13" s="62" t="n">
        <v>0</v>
      </c>
      <c r="W13" s="63" t="n">
        <v>1</v>
      </c>
      <c r="X13" s="61" t="inlineStr">
        <is>
          <t>Yes</t>
        </is>
      </c>
      <c r="Y13" s="61" t="inlineStr">
        <is>
          <t>N</t>
        </is>
      </c>
      <c r="Z13" s="61" t="inlineStr">
        <is>
          <t>N</t>
        </is>
      </c>
      <c r="AA13" s="61" t="n">
        <v>1</v>
      </c>
      <c r="AB13" s="61" t="n">
        <v>3</v>
      </c>
      <c r="AC13" s="42" t="n">
        <v>0</v>
      </c>
      <c r="AD13" s="42" t="n">
        <v>0</v>
      </c>
      <c r="AE13" s="42" t="n">
        <v>0</v>
      </c>
      <c r="AF13" s="42" t="n">
        <v>0</v>
      </c>
      <c r="AG13" s="42" t="n">
        <v>2</v>
      </c>
      <c r="AH13" s="42" t="n">
        <v>0</v>
      </c>
      <c r="AI13" s="42" t="n">
        <v>0</v>
      </c>
      <c r="AJ13" s="42" t="n">
        <v>1</v>
      </c>
      <c r="AK13" s="42" t="n">
        <v>0</v>
      </c>
      <c r="AL13" s="42" t="n">
        <v>51</v>
      </c>
      <c r="AM13" s="20" t="inlineStr">
        <is>
          <t>Maintain (Evolve)</t>
        </is>
      </c>
      <c r="AN13" s="62" t="n">
        <v>0.108</v>
      </c>
      <c r="AO13" s="64">
        <f>--($D13='START HERE'!$C$5)</f>
        <v/>
      </c>
    </row>
    <row r="14" ht="23.25" customHeight="1">
      <c r="B14" s="42" t="n">
        <v>9926</v>
      </c>
      <c r="C14" s="13" t="inlineStr">
        <is>
          <t>W01LOI-JPN</t>
        </is>
      </c>
      <c r="D14" s="20" t="inlineStr">
        <is>
          <t>Common Service Platform</t>
        </is>
      </c>
      <c r="E14" s="20" t="inlineStr">
        <is>
          <t>Shared Platform Service</t>
        </is>
      </c>
      <c r="F14" s="61" t="inlineStr">
        <is>
          <t>unnamed</t>
        </is>
      </c>
      <c r="G14" s="61" t="inlineStr">
        <is>
          <t>T</t>
        </is>
      </c>
      <c r="H14" s="20" t="inlineStr">
        <is>
          <t>Long tail</t>
        </is>
      </c>
      <c r="I14" s="61" t="inlineStr">
        <is>
          <t>Rule 3</t>
        </is>
      </c>
      <c r="J14" s="62" t="n">
        <v>0.075</v>
      </c>
      <c r="K14" s="62" t="n">
        <v>0.075</v>
      </c>
      <c r="L14" s="62" t="n">
        <v>0</v>
      </c>
      <c r="M14" s="62" t="n">
        <v>0</v>
      </c>
      <c r="N14" s="62" t="n">
        <v>0.075</v>
      </c>
      <c r="O14" s="62" t="n">
        <v>0</v>
      </c>
      <c r="P14" s="62" t="n">
        <v>0</v>
      </c>
      <c r="Q14" s="62" t="n">
        <v>0</v>
      </c>
      <c r="R14" s="62" t="n">
        <v>0.075</v>
      </c>
      <c r="S14" s="62" t="n">
        <v>0</v>
      </c>
      <c r="T14" s="62" t="n">
        <v>0</v>
      </c>
      <c r="U14" s="62" t="n">
        <v>0</v>
      </c>
      <c r="V14" s="62" t="n">
        <v>0</v>
      </c>
      <c r="W14" s="63" t="n">
        <v>0</v>
      </c>
      <c r="X14" s="61" t="inlineStr">
        <is>
          <t>No</t>
        </is>
      </c>
      <c r="Y14" s="61" t="inlineStr">
        <is>
          <t>N</t>
        </is>
      </c>
      <c r="Z14" s="61" t="inlineStr">
        <is>
          <t>N</t>
        </is>
      </c>
      <c r="AA14" s="61" t="n">
        <v>2</v>
      </c>
      <c r="AB14" s="61" t="n">
        <v>1</v>
      </c>
      <c r="AC14" s="42" t="n">
        <v>0</v>
      </c>
      <c r="AD14" s="42" t="n">
        <v>0</v>
      </c>
      <c r="AE14" s="42" t="n">
        <v>0</v>
      </c>
      <c r="AF14" s="42" t="n">
        <v>0</v>
      </c>
      <c r="AG14" s="42" t="n">
        <v>2</v>
      </c>
      <c r="AH14" s="42" t="n">
        <v>7</v>
      </c>
      <c r="AI14" s="42" t="n">
        <v>36</v>
      </c>
      <c r="AJ14" s="42" t="n">
        <v>2</v>
      </c>
      <c r="AK14" s="42" t="n">
        <v>1</v>
      </c>
      <c r="AL14" s="42" t="n">
        <v>34</v>
      </c>
      <c r="AM14" s="20" t="inlineStr">
        <is>
          <t>Maintain (Patch)</t>
        </is>
      </c>
      <c r="AN14" s="62" t="n">
        <v>0.048</v>
      </c>
      <c r="AO14" s="64">
        <f>--($D14='START HERE'!$C$5)</f>
        <v/>
      </c>
    </row>
    <row r="15" ht="14.25" customHeight="1">
      <c r="B15" s="42" t="n">
        <v>9796</v>
      </c>
      <c r="C15" s="13" t="inlineStr">
        <is>
          <t>LC POSPMC MF-JPN</t>
        </is>
      </c>
      <c r="D15" s="20" t="inlineStr">
        <is>
          <t>Contract Management</t>
        </is>
      </c>
      <c r="E15" s="20" t="inlineStr">
        <is>
          <t>Mainframe Policy Management Cycle</t>
        </is>
      </c>
      <c r="F15" s="61" t="inlineStr">
        <is>
          <t>FSI</t>
        </is>
      </c>
      <c r="G15" s="61" t="inlineStr">
        <is>
          <t>L</t>
        </is>
      </c>
      <c r="H15" s="20" t="inlineStr">
        <is>
          <t>Legacy core</t>
        </is>
      </c>
      <c r="I15" s="61" t="inlineStr">
        <is>
          <t>Rule 2</t>
        </is>
      </c>
      <c r="J15" s="62" t="n">
        <v>67.313125</v>
      </c>
      <c r="K15" s="62" t="n">
        <v>59.5589583333334</v>
      </c>
      <c r="L15" s="62" t="n">
        <v>7.75416666666667</v>
      </c>
      <c r="M15" s="62" t="n">
        <v>0</v>
      </c>
      <c r="N15" s="62" t="n">
        <v>59.3922916666667</v>
      </c>
      <c r="O15" s="62" t="n">
        <v>0</v>
      </c>
      <c r="P15" s="62" t="n">
        <v>0.166666666666667</v>
      </c>
      <c r="Q15" s="62" t="n">
        <v>0.25</v>
      </c>
      <c r="R15" s="62" t="n">
        <v>59.3089583333334</v>
      </c>
      <c r="S15" s="62" t="n">
        <v>0</v>
      </c>
      <c r="T15" s="62" t="n">
        <v>0</v>
      </c>
      <c r="U15" s="62" t="n">
        <v>0</v>
      </c>
      <c r="V15" s="62" t="n">
        <v>0</v>
      </c>
      <c r="W15" s="63" t="n">
        <v>0.71176374097424</v>
      </c>
      <c r="X15" s="61" t="inlineStr">
        <is>
          <t>No</t>
        </is>
      </c>
      <c r="Y15" s="61" t="inlineStr">
        <is>
          <t>N</t>
        </is>
      </c>
      <c r="Z15" s="61" t="inlineStr">
        <is>
          <t>Y</t>
        </is>
      </c>
      <c r="AA15" s="61" t="n">
        <v>3</v>
      </c>
      <c r="AB15" s="61" t="n">
        <v>1</v>
      </c>
      <c r="AC15" s="42" t="n">
        <v>2621006</v>
      </c>
      <c r="AD15" s="42" t="n">
        <v>989</v>
      </c>
      <c r="AE15" s="42" t="n">
        <v>0</v>
      </c>
      <c r="AF15" s="42" t="n">
        <v>0</v>
      </c>
      <c r="AG15" s="42" t="n">
        <v>118</v>
      </c>
      <c r="AH15" s="42" t="n">
        <v>62</v>
      </c>
      <c r="AI15" s="42" t="n">
        <v>491</v>
      </c>
      <c r="AJ15" s="42" t="n">
        <v>62</v>
      </c>
      <c r="AK15" s="42" t="n">
        <v>72</v>
      </c>
      <c r="AL15" s="42" t="n">
        <v>602</v>
      </c>
      <c r="AM15" s="20" t="inlineStr">
        <is>
          <t>Maintain (Evolve)</t>
        </is>
      </c>
      <c r="AN15" s="62" t="n">
        <v>0</v>
      </c>
      <c r="AO15" s="64">
        <f>--($D15='START HERE'!$C$5)</f>
        <v/>
      </c>
    </row>
    <row r="16" ht="14.25" customHeight="1">
      <c r="B16" s="42" t="n">
        <v>9800</v>
      </c>
      <c r="C16" s="13" t="inlineStr">
        <is>
          <t>LC Billing MF-JPN</t>
        </is>
      </c>
      <c r="D16" s="20" t="inlineStr">
        <is>
          <t>Contract Management</t>
        </is>
      </c>
      <c r="E16" s="20" t="inlineStr">
        <is>
          <t>Mainframe Lifecomm Sub-systems</t>
        </is>
      </c>
      <c r="F16" s="61" t="inlineStr">
        <is>
          <t>FSI</t>
        </is>
      </c>
      <c r="G16" s="61" t="inlineStr">
        <is>
          <t>L</t>
        </is>
      </c>
      <c r="H16" s="20" t="inlineStr">
        <is>
          <t>Legacy core</t>
        </is>
      </c>
      <c r="I16" s="61" t="inlineStr">
        <is>
          <t>Rule 2</t>
        </is>
      </c>
      <c r="J16" s="62" t="n">
        <v>22.7459166666667</v>
      </c>
      <c r="K16" s="62" t="n">
        <v>20.8921666666667</v>
      </c>
      <c r="L16" s="62" t="n">
        <v>1.85375</v>
      </c>
      <c r="M16" s="62" t="n">
        <v>0</v>
      </c>
      <c r="N16" s="62" t="n">
        <v>20.1421666666667</v>
      </c>
      <c r="O16" s="62" t="n">
        <v>0</v>
      </c>
      <c r="P16" s="62" t="n">
        <v>0.75</v>
      </c>
      <c r="Q16" s="62" t="n">
        <v>0</v>
      </c>
      <c r="R16" s="62" t="n">
        <v>20.8921666666667</v>
      </c>
      <c r="S16" s="62" t="n">
        <v>0</v>
      </c>
      <c r="T16" s="62" t="n">
        <v>0</v>
      </c>
      <c r="U16" s="62" t="n">
        <v>0</v>
      </c>
      <c r="V16" s="62" t="n">
        <v>0</v>
      </c>
      <c r="W16" s="63" t="n">
        <v>0.942857875589392</v>
      </c>
      <c r="X16" s="61" t="inlineStr">
        <is>
          <t>No</t>
        </is>
      </c>
      <c r="Y16" s="61" t="inlineStr">
        <is>
          <t>N</t>
        </is>
      </c>
      <c r="Z16" s="61" t="inlineStr">
        <is>
          <t>Y</t>
        </is>
      </c>
      <c r="AA16" s="61" t="n">
        <v>3</v>
      </c>
      <c r="AB16" s="61" t="n">
        <v>1</v>
      </c>
      <c r="AC16" s="42" t="n">
        <v>1526471</v>
      </c>
      <c r="AD16" s="42" t="n">
        <v>838</v>
      </c>
      <c r="AE16" s="42" t="n">
        <v>0</v>
      </c>
      <c r="AF16" s="42" t="n">
        <v>0</v>
      </c>
      <c r="AG16" s="42" t="n">
        <v>66</v>
      </c>
      <c r="AH16" s="42" t="n">
        <v>14</v>
      </c>
      <c r="AI16" s="42" t="n">
        <v>80</v>
      </c>
      <c r="AJ16" s="42" t="n">
        <v>48</v>
      </c>
      <c r="AK16" s="42" t="n">
        <v>182</v>
      </c>
      <c r="AL16" s="42" t="n">
        <v>550</v>
      </c>
      <c r="AM16" s="20" t="inlineStr">
        <is>
          <t>Maintain (Evolve)</t>
        </is>
      </c>
      <c r="AN16" s="62" t="n">
        <v>0</v>
      </c>
      <c r="AO16" s="64">
        <f>--($D16='START HERE'!$C$5)</f>
        <v/>
      </c>
    </row>
    <row r="17" ht="23.25" customHeight="1">
      <c r="B17" s="42" t="n">
        <v>9802</v>
      </c>
      <c r="C17" s="13" t="inlineStr">
        <is>
          <t>LC Corresponding MF-JPN</t>
        </is>
      </c>
      <c r="D17" s="20" t="inlineStr">
        <is>
          <t>Contract Management</t>
        </is>
      </c>
      <c r="E17" s="20" t="inlineStr">
        <is>
          <t>Mainframe Reporting &amp; Tax</t>
        </is>
      </c>
      <c r="F17" s="61" t="inlineStr">
        <is>
          <t>unnamed</t>
        </is>
      </c>
      <c r="G17" s="61" t="inlineStr">
        <is>
          <t>L</t>
        </is>
      </c>
      <c r="H17" s="20" t="inlineStr">
        <is>
          <t>Legacy core</t>
        </is>
      </c>
      <c r="I17" s="61" t="inlineStr">
        <is>
          <t>Rule 2</t>
        </is>
      </c>
      <c r="J17" s="62" t="n">
        <v>17.6077916666667</v>
      </c>
      <c r="K17" s="62" t="n">
        <v>15.953625</v>
      </c>
      <c r="L17" s="62" t="n">
        <v>1.65416666666667</v>
      </c>
      <c r="M17" s="62" t="n">
        <v>0</v>
      </c>
      <c r="N17" s="62" t="n">
        <v>15.953625</v>
      </c>
      <c r="O17" s="62" t="n">
        <v>0</v>
      </c>
      <c r="P17" s="62" t="n">
        <v>0</v>
      </c>
      <c r="Q17" s="62" t="n">
        <v>0</v>
      </c>
      <c r="R17" s="62" t="n">
        <v>15.953625</v>
      </c>
      <c r="S17" s="62" t="n">
        <v>0</v>
      </c>
      <c r="T17" s="62" t="n">
        <v>0</v>
      </c>
      <c r="U17" s="62" t="n">
        <v>0</v>
      </c>
      <c r="V17" s="62" t="n">
        <v>0</v>
      </c>
      <c r="W17" s="63" t="n">
        <v>0.982872165968191</v>
      </c>
      <c r="X17" s="61" t="inlineStr">
        <is>
          <t>No</t>
        </is>
      </c>
      <c r="Y17" s="61" t="inlineStr">
        <is>
          <t>N</t>
        </is>
      </c>
      <c r="Z17" s="61" t="inlineStr">
        <is>
          <t>Y</t>
        </is>
      </c>
      <c r="AA17" s="61" t="n">
        <v>3</v>
      </c>
      <c r="AB17" s="61" t="n">
        <v>1</v>
      </c>
      <c r="AC17" s="42" t="n">
        <v>726045</v>
      </c>
      <c r="AD17" s="42" t="n">
        <v>187</v>
      </c>
      <c r="AE17" s="42" t="n">
        <v>0</v>
      </c>
      <c r="AF17" s="42" t="n">
        <v>0</v>
      </c>
      <c r="AG17" s="42" t="n">
        <v>32</v>
      </c>
      <c r="AH17" s="42" t="n">
        <v>7</v>
      </c>
      <c r="AI17" s="42" t="n">
        <v>30</v>
      </c>
      <c r="AJ17" s="42" t="n">
        <v>17</v>
      </c>
      <c r="AK17" s="42" t="n">
        <v>18</v>
      </c>
      <c r="AL17" s="42" t="n">
        <v>183</v>
      </c>
      <c r="AM17" s="20" t="inlineStr">
        <is>
          <t>Maintain (Evolve)</t>
        </is>
      </c>
      <c r="AN17" s="62" t="n">
        <v>0</v>
      </c>
      <c r="AO17" s="64">
        <f>--($D17='START HERE'!$C$5)</f>
        <v/>
      </c>
    </row>
    <row r="18" ht="14.25" customHeight="1">
      <c r="B18" s="42" t="n">
        <v>9808</v>
      </c>
      <c r="C18" s="13" t="inlineStr">
        <is>
          <t>LC AACOMP MF-JPN</t>
        </is>
      </c>
      <c r="D18" s="20" t="inlineStr">
        <is>
          <t>Contract Management</t>
        </is>
      </c>
      <c r="E18" s="20" t="inlineStr">
        <is>
          <t>Mainframe Commision</t>
        </is>
      </c>
      <c r="F18" s="61" t="inlineStr">
        <is>
          <t>NCS</t>
        </is>
      </c>
      <c r="G18" s="61" t="inlineStr">
        <is>
          <t>L</t>
        </is>
      </c>
      <c r="H18" s="20" t="inlineStr">
        <is>
          <t>Legacy core</t>
        </is>
      </c>
      <c r="I18" s="61" t="inlineStr">
        <is>
          <t>Rule 2</t>
        </is>
      </c>
      <c r="J18" s="62" t="n">
        <v>16.6894583333333</v>
      </c>
      <c r="K18" s="62" t="n">
        <v>13.5457083333333</v>
      </c>
      <c r="L18" s="62" t="n">
        <v>3.14375</v>
      </c>
      <c r="M18" s="62" t="n">
        <v>0</v>
      </c>
      <c r="N18" s="62" t="n">
        <v>13.5457083333333</v>
      </c>
      <c r="O18" s="62" t="n">
        <v>0</v>
      </c>
      <c r="P18" s="62" t="n">
        <v>0</v>
      </c>
      <c r="Q18" s="62" t="n">
        <v>0.4375</v>
      </c>
      <c r="R18" s="62" t="n">
        <v>13.1082083333333</v>
      </c>
      <c r="S18" s="62" t="n">
        <v>0</v>
      </c>
      <c r="T18" s="62" t="n">
        <v>0</v>
      </c>
      <c r="U18" s="62" t="n">
        <v>0</v>
      </c>
      <c r="V18" s="62" t="n">
        <v>0</v>
      </c>
      <c r="W18" s="63" t="n">
        <v>0.726623841896207</v>
      </c>
      <c r="X18" s="61" t="inlineStr">
        <is>
          <t>No</t>
        </is>
      </c>
      <c r="Y18" s="61" t="inlineStr">
        <is>
          <t>N</t>
        </is>
      </c>
      <c r="Z18" s="61" t="inlineStr">
        <is>
          <t>Y</t>
        </is>
      </c>
      <c r="AA18" s="61" t="n">
        <v>3</v>
      </c>
      <c r="AB18" s="61" t="n">
        <v>1</v>
      </c>
      <c r="AC18" s="42" t="n">
        <v>1954166</v>
      </c>
      <c r="AD18" s="42" t="n">
        <v>1335</v>
      </c>
      <c r="AE18" s="42" t="n">
        <v>0</v>
      </c>
      <c r="AF18" s="42" t="n">
        <v>0</v>
      </c>
      <c r="AG18" s="42" t="n">
        <v>135</v>
      </c>
      <c r="AH18" s="42" t="n">
        <v>13</v>
      </c>
      <c r="AI18" s="42" t="n">
        <v>67</v>
      </c>
      <c r="AJ18" s="42" t="n">
        <v>83</v>
      </c>
      <c r="AK18" s="42" t="n">
        <v>83</v>
      </c>
      <c r="AL18" s="42" t="n">
        <v>613</v>
      </c>
      <c r="AM18" s="20" t="inlineStr">
        <is>
          <t>Maintain (Evolve)</t>
        </is>
      </c>
      <c r="AN18" s="62" t="n">
        <v>0</v>
      </c>
      <c r="AO18" s="64">
        <f>--($D18='START HERE'!$C$5)</f>
        <v/>
      </c>
    </row>
    <row r="19" ht="14.25" customHeight="1">
      <c r="B19" s="42" t="n">
        <v>9980</v>
      </c>
      <c r="C19" s="13" t="inlineStr">
        <is>
          <t>Policy UWIBATCH MF-JPN</t>
        </is>
      </c>
      <c r="D19" s="20" t="inlineStr">
        <is>
          <t>Contract Management</t>
        </is>
      </c>
      <c r="E19" s="20" t="inlineStr">
        <is>
          <t>Mainframe Reporting &amp; Tax</t>
        </is>
      </c>
      <c r="F19" s="61" t="inlineStr">
        <is>
          <t>FSI</t>
        </is>
      </c>
      <c r="G19" s="61" t="inlineStr">
        <is>
          <t>L</t>
        </is>
      </c>
      <c r="H19" s="20" t="inlineStr">
        <is>
          <t>Legacy core</t>
        </is>
      </c>
      <c r="I19" s="61" t="inlineStr">
        <is>
          <t>Rule 2</t>
        </is>
      </c>
      <c r="J19" s="62" t="n">
        <v>13.7485416666667</v>
      </c>
      <c r="K19" s="62" t="n">
        <v>12.606875</v>
      </c>
      <c r="L19" s="62" t="n">
        <v>1.14166666666667</v>
      </c>
      <c r="M19" s="62" t="n">
        <v>0</v>
      </c>
      <c r="N19" s="62" t="n">
        <v>12.606875</v>
      </c>
      <c r="O19" s="62" t="n">
        <v>0</v>
      </c>
      <c r="P19" s="62" t="n">
        <v>0</v>
      </c>
      <c r="Q19" s="62" t="n">
        <v>0</v>
      </c>
      <c r="R19" s="62" t="n">
        <v>12.606875</v>
      </c>
      <c r="S19" s="62" t="n">
        <v>0</v>
      </c>
      <c r="T19" s="62" t="n">
        <v>0</v>
      </c>
      <c r="U19" s="62" t="n">
        <v>0</v>
      </c>
      <c r="V19" s="62" t="n">
        <v>0</v>
      </c>
      <c r="W19" s="63" t="n">
        <v>0.81496522358432</v>
      </c>
      <c r="X19" s="61" t="inlineStr">
        <is>
          <t>No</t>
        </is>
      </c>
      <c r="Y19" s="61" t="inlineStr">
        <is>
          <t>N</t>
        </is>
      </c>
      <c r="Z19" s="61" t="inlineStr">
        <is>
          <t>Y</t>
        </is>
      </c>
      <c r="AA19" s="61" t="n">
        <v>3</v>
      </c>
      <c r="AB19" s="61" t="n">
        <v>1</v>
      </c>
      <c r="AC19" s="42" t="n">
        <v>608760</v>
      </c>
      <c r="AD19" s="42" t="n">
        <v>296</v>
      </c>
      <c r="AE19" s="42" t="n">
        <v>0</v>
      </c>
      <c r="AF19" s="42" t="n">
        <v>0</v>
      </c>
      <c r="AG19" s="42" t="n">
        <v>28</v>
      </c>
      <c r="AH19" s="42" t="n">
        <v>9</v>
      </c>
      <c r="AI19" s="42" t="n">
        <v>16</v>
      </c>
      <c r="AJ19" s="42" t="n">
        <v>19</v>
      </c>
      <c r="AK19" s="42" t="n">
        <v>121</v>
      </c>
      <c r="AL19" s="42" t="n">
        <v>459</v>
      </c>
      <c r="AM19" s="20" t="inlineStr">
        <is>
          <t>Maintain (Evolve)</t>
        </is>
      </c>
      <c r="AN19" s="62" t="n">
        <v>0</v>
      </c>
      <c r="AO19" s="64">
        <f>--($D19='START HERE'!$C$5)</f>
        <v/>
      </c>
    </row>
    <row r="20" ht="24" customHeight="1">
      <c r="B20" s="42" t="n">
        <v>9948</v>
      </c>
      <c r="C20" s="13" t="inlineStr">
        <is>
          <t>Data Send System for BANC  MF-JP</t>
        </is>
      </c>
      <c r="D20" s="20" t="inlineStr">
        <is>
          <t>Contract Management</t>
        </is>
      </c>
      <c r="E20" s="20" t="inlineStr">
        <is>
          <t>Mainframe Commision</t>
        </is>
      </c>
      <c r="F20" s="61" t="inlineStr">
        <is>
          <t>NCD</t>
        </is>
      </c>
      <c r="G20" s="61" t="inlineStr">
        <is>
          <t>L</t>
        </is>
      </c>
      <c r="H20" s="20" t="inlineStr">
        <is>
          <t>Legacy core</t>
        </is>
      </c>
      <c r="I20" s="61" t="inlineStr">
        <is>
          <t>Rule 2</t>
        </is>
      </c>
      <c r="J20" s="62" t="n">
        <v>12.1155416666667</v>
      </c>
      <c r="K20" s="62" t="n">
        <v>9.26970833333333</v>
      </c>
      <c r="L20" s="62" t="n">
        <v>2.84583333333333</v>
      </c>
      <c r="M20" s="62" t="n">
        <v>0</v>
      </c>
      <c r="N20" s="62" t="n">
        <v>9.26970833333333</v>
      </c>
      <c r="O20" s="62" t="n">
        <v>0</v>
      </c>
      <c r="P20" s="62" t="n">
        <v>0</v>
      </c>
      <c r="Q20" s="62" t="n">
        <v>1</v>
      </c>
      <c r="R20" s="62" t="n">
        <v>8.26970833333333</v>
      </c>
      <c r="S20" s="62" t="n">
        <v>0</v>
      </c>
      <c r="T20" s="62" t="n">
        <v>0</v>
      </c>
      <c r="U20" s="62" t="n">
        <v>0</v>
      </c>
      <c r="V20" s="62" t="n">
        <v>0</v>
      </c>
      <c r="W20" s="63" t="n">
        <v>0.771299260935506</v>
      </c>
      <c r="X20" s="61" t="inlineStr">
        <is>
          <t>No</t>
        </is>
      </c>
      <c r="Y20" s="61" t="inlineStr">
        <is>
          <t>N</t>
        </is>
      </c>
      <c r="Z20" s="61" t="inlineStr">
        <is>
          <t>Y</t>
        </is>
      </c>
      <c r="AA20" s="61" t="n">
        <v>3</v>
      </c>
      <c r="AB20" s="61" t="n">
        <v>1</v>
      </c>
      <c r="AC20" s="42" t="n">
        <v>244574</v>
      </c>
      <c r="AD20" s="42" t="n">
        <v>257</v>
      </c>
      <c r="AE20" s="42" t="n">
        <v>0</v>
      </c>
      <c r="AF20" s="42" t="n">
        <v>0</v>
      </c>
      <c r="AG20" s="42" t="n">
        <v>112</v>
      </c>
      <c r="AH20" s="42" t="n">
        <v>10</v>
      </c>
      <c r="AI20" s="42" t="n">
        <v>27</v>
      </c>
      <c r="AJ20" s="42" t="n">
        <v>78</v>
      </c>
      <c r="AK20" s="42" t="n">
        <v>10</v>
      </c>
      <c r="AL20" s="42" t="n">
        <v>327</v>
      </c>
      <c r="AM20" s="20" t="inlineStr">
        <is>
          <t>Maintain (Evolve)</t>
        </is>
      </c>
      <c r="AN20" s="62" t="n">
        <v>0</v>
      </c>
      <c r="AO20" s="64">
        <f>--($D20='START HERE'!$C$5)</f>
        <v/>
      </c>
    </row>
    <row r="21" ht="14.25" customHeight="1">
      <c r="B21" s="42" t="n">
        <v>9804</v>
      </c>
      <c r="C21" s="13" t="inlineStr">
        <is>
          <t>LC AAPerf MF-JPN</t>
        </is>
      </c>
      <c r="D21" s="20" t="inlineStr">
        <is>
          <t>Contract Management</t>
        </is>
      </c>
      <c r="E21" s="20" t="inlineStr">
        <is>
          <t>Mainframe Commision</t>
        </is>
      </c>
      <c r="F21" s="61" t="inlineStr">
        <is>
          <t>FSI</t>
        </is>
      </c>
      <c r="G21" s="61" t="inlineStr">
        <is>
          <t>L</t>
        </is>
      </c>
      <c r="H21" s="20" t="inlineStr">
        <is>
          <t>Legacy core</t>
        </is>
      </c>
      <c r="I21" s="61" t="inlineStr">
        <is>
          <t>Rule 2</t>
        </is>
      </c>
      <c r="J21" s="62" t="n">
        <v>11.53</v>
      </c>
      <c r="K21" s="62" t="n">
        <v>10.7841666666667</v>
      </c>
      <c r="L21" s="62" t="n">
        <v>0.745833333333333</v>
      </c>
      <c r="M21" s="62" t="n">
        <v>0</v>
      </c>
      <c r="N21" s="62" t="n">
        <v>8.911250000000001</v>
      </c>
      <c r="O21" s="62" t="n">
        <v>0</v>
      </c>
      <c r="P21" s="62" t="n">
        <v>1.87291666666667</v>
      </c>
      <c r="Q21" s="62" t="n">
        <v>0</v>
      </c>
      <c r="R21" s="62" t="n">
        <v>10.7841666666667</v>
      </c>
      <c r="S21" s="62" t="n">
        <v>0</v>
      </c>
      <c r="T21" s="62" t="n">
        <v>0</v>
      </c>
      <c r="U21" s="62" t="n">
        <v>0</v>
      </c>
      <c r="V21" s="62" t="n">
        <v>0</v>
      </c>
      <c r="W21" s="63" t="n">
        <v>0.833044232437121</v>
      </c>
      <c r="X21" s="61" t="inlineStr">
        <is>
          <t>No</t>
        </is>
      </c>
      <c r="Y21" s="61" t="inlineStr">
        <is>
          <t>N</t>
        </is>
      </c>
      <c r="Z21" s="61" t="inlineStr">
        <is>
          <t>Y</t>
        </is>
      </c>
      <c r="AA21" s="61" t="n">
        <v>3</v>
      </c>
      <c r="AB21" s="61" t="n">
        <v>1</v>
      </c>
      <c r="AC21" s="42" t="n">
        <v>760605</v>
      </c>
      <c r="AD21" s="42" t="n">
        <v>356</v>
      </c>
      <c r="AE21" s="42" t="n">
        <v>0</v>
      </c>
      <c r="AF21" s="42" t="n">
        <v>0</v>
      </c>
      <c r="AG21" s="42" t="n">
        <v>20</v>
      </c>
      <c r="AH21" s="42" t="n">
        <v>8</v>
      </c>
      <c r="AI21" s="42" t="n">
        <v>37</v>
      </c>
      <c r="AJ21" s="42" t="n">
        <v>18</v>
      </c>
      <c r="AK21" s="42" t="n">
        <v>37</v>
      </c>
      <c r="AL21" s="42" t="n">
        <v>258</v>
      </c>
      <c r="AM21" s="20" t="inlineStr">
        <is>
          <t>Maintain (Evolve)</t>
        </is>
      </c>
      <c r="AN21" s="62" t="n">
        <v>0</v>
      </c>
      <c r="AO21" s="64">
        <f>--($D21='START HERE'!$C$5)</f>
        <v/>
      </c>
    </row>
    <row r="22" ht="14.25" customHeight="1">
      <c r="B22" s="42" t="n">
        <v>9807</v>
      </c>
      <c r="C22" s="13" t="inlineStr">
        <is>
          <t>LC Valuation MF-JPN</t>
        </is>
      </c>
      <c r="D22" s="20" t="inlineStr">
        <is>
          <t>Contract Management</t>
        </is>
      </c>
      <c r="E22" s="20" t="inlineStr">
        <is>
          <t>Mainframe Lifecomm Sub-systems</t>
        </is>
      </c>
      <c r="F22" s="61" t="inlineStr">
        <is>
          <t>FSI</t>
        </is>
      </c>
      <c r="G22" s="61" t="inlineStr">
        <is>
          <t>L</t>
        </is>
      </c>
      <c r="H22" s="20" t="inlineStr">
        <is>
          <t>Legacy core</t>
        </is>
      </c>
      <c r="I22" s="61" t="inlineStr">
        <is>
          <t>Rule 2</t>
        </is>
      </c>
      <c r="J22" s="62" t="n">
        <v>11.2520833333333</v>
      </c>
      <c r="K22" s="62" t="n">
        <v>9.768750000000001</v>
      </c>
      <c r="L22" s="62" t="n">
        <v>1.48333333333333</v>
      </c>
      <c r="M22" s="62" t="n">
        <v>0</v>
      </c>
      <c r="N22" s="62" t="n">
        <v>9.768750000000001</v>
      </c>
      <c r="O22" s="62" t="n">
        <v>0</v>
      </c>
      <c r="P22" s="62" t="n">
        <v>0</v>
      </c>
      <c r="Q22" s="62" t="n">
        <v>0</v>
      </c>
      <c r="R22" s="62" t="n">
        <v>9.768750000000001</v>
      </c>
      <c r="S22" s="62" t="n">
        <v>0</v>
      </c>
      <c r="T22" s="62" t="n">
        <v>0</v>
      </c>
      <c r="U22" s="62" t="n">
        <v>0</v>
      </c>
      <c r="V22" s="62" t="n">
        <v>0</v>
      </c>
      <c r="W22" s="63" t="n">
        <v>0.85632290316608</v>
      </c>
      <c r="X22" s="61" t="inlineStr">
        <is>
          <t>No</t>
        </is>
      </c>
      <c r="Y22" s="61" t="inlineStr">
        <is>
          <t>N</t>
        </is>
      </c>
      <c r="Z22" s="61" t="inlineStr">
        <is>
          <t>N</t>
        </is>
      </c>
      <c r="AA22" s="61" t="n">
        <v>3</v>
      </c>
      <c r="AB22" s="61" t="n">
        <v>1</v>
      </c>
      <c r="AC22" s="42" t="n">
        <v>1358360</v>
      </c>
      <c r="AD22" s="42" t="n">
        <v>775</v>
      </c>
      <c r="AE22" s="42" t="n">
        <v>0</v>
      </c>
      <c r="AF22" s="42" t="n">
        <v>0</v>
      </c>
      <c r="AG22" s="42" t="n">
        <v>79</v>
      </c>
      <c r="AH22" s="42" t="n">
        <v>11</v>
      </c>
      <c r="AI22" s="42" t="n">
        <v>33</v>
      </c>
      <c r="AJ22" s="42" t="n">
        <v>30</v>
      </c>
      <c r="AK22" s="42" t="n">
        <v>25</v>
      </c>
      <c r="AL22" s="42" t="n">
        <v>206</v>
      </c>
      <c r="AM22" s="20" t="inlineStr">
        <is>
          <t>Maintain (Evolve)</t>
        </is>
      </c>
      <c r="AN22" s="62" t="n">
        <v>0</v>
      </c>
      <c r="AO22" s="64">
        <f>--($D22='START HERE'!$C$5)</f>
        <v/>
      </c>
    </row>
    <row r="23" ht="14.25" customHeight="1">
      <c r="B23" s="42" t="n">
        <v>9803</v>
      </c>
      <c r="C23" s="13" t="inlineStr">
        <is>
          <t>LC UWI MF-JPN</t>
        </is>
      </c>
      <c r="D23" s="20" t="inlineStr">
        <is>
          <t>Contract Management</t>
        </is>
      </c>
      <c r="E23" s="20" t="inlineStr">
        <is>
          <t>Mainframe Lifecomm Sub-systems</t>
        </is>
      </c>
      <c r="F23" s="61" t="inlineStr">
        <is>
          <t>FSI</t>
        </is>
      </c>
      <c r="G23" s="61" t="inlineStr">
        <is>
          <t>L</t>
        </is>
      </c>
      <c r="H23" s="20" t="inlineStr">
        <is>
          <t>Legacy core</t>
        </is>
      </c>
      <c r="I23" s="61" t="inlineStr">
        <is>
          <t>Rule 2</t>
        </is>
      </c>
      <c r="J23" s="62" t="n">
        <v>9.65458333333333</v>
      </c>
      <c r="K23" s="62" t="n">
        <v>8.80458333333333</v>
      </c>
      <c r="L23" s="62" t="n">
        <v>0.85</v>
      </c>
      <c r="M23" s="62" t="n">
        <v>0</v>
      </c>
      <c r="N23" s="62" t="n">
        <v>8.80458333333333</v>
      </c>
      <c r="O23" s="62" t="n">
        <v>0</v>
      </c>
      <c r="P23" s="62" t="n">
        <v>0</v>
      </c>
      <c r="Q23" s="62" t="n">
        <v>0.25</v>
      </c>
      <c r="R23" s="62" t="n">
        <v>8.55458333333333</v>
      </c>
      <c r="S23" s="62" t="n">
        <v>0</v>
      </c>
      <c r="T23" s="62" t="n">
        <v>0</v>
      </c>
      <c r="U23" s="62" t="n">
        <v>0</v>
      </c>
      <c r="V23" s="62" t="n">
        <v>0</v>
      </c>
      <c r="W23" s="63" t="n">
        <v>0.948211125976436</v>
      </c>
      <c r="X23" s="61" t="inlineStr">
        <is>
          <t>No</t>
        </is>
      </c>
      <c r="Y23" s="61" t="inlineStr">
        <is>
          <t>N</t>
        </is>
      </c>
      <c r="Z23" s="61" t="inlineStr">
        <is>
          <t>Y</t>
        </is>
      </c>
      <c r="AA23" s="61" t="n">
        <v>3</v>
      </c>
      <c r="AB23" s="61" t="n">
        <v>1</v>
      </c>
      <c r="AC23" s="42" t="n">
        <v>794523</v>
      </c>
      <c r="AD23" s="42" t="n">
        <v>35</v>
      </c>
      <c r="AE23" s="42" t="n">
        <v>0</v>
      </c>
      <c r="AF23" s="42" t="n">
        <v>0</v>
      </c>
      <c r="AG23" s="42" t="n">
        <v>6</v>
      </c>
      <c r="AH23" s="42" t="n">
        <v>19</v>
      </c>
      <c r="AI23" s="42" t="n">
        <v>284</v>
      </c>
      <c r="AJ23" s="42" t="n">
        <v>3</v>
      </c>
      <c r="AK23" s="42" t="n">
        <v>75</v>
      </c>
      <c r="AL23" s="42" t="n">
        <v>128</v>
      </c>
      <c r="AM23" s="20" t="inlineStr">
        <is>
          <t>Maintain (Evolve)</t>
        </is>
      </c>
      <c r="AN23" s="62" t="n">
        <v>0</v>
      </c>
      <c r="AO23" s="64">
        <f>--($D23='START HERE'!$C$5)</f>
        <v/>
      </c>
    </row>
    <row r="24" ht="14.25" customHeight="1">
      <c r="B24" s="42" t="n">
        <v>9810</v>
      </c>
      <c r="C24" s="13" t="inlineStr">
        <is>
          <t>Processor-I MF-JPN</t>
        </is>
      </c>
      <c r="D24" s="20" t="inlineStr">
        <is>
          <t>Contract Management</t>
        </is>
      </c>
      <c r="E24" s="20" t="inlineStr">
        <is>
          <t>Mainframe Claim Administration</t>
        </is>
      </c>
      <c r="F24" s="61" t="inlineStr">
        <is>
          <t>NCD</t>
        </is>
      </c>
      <c r="G24" s="61" t="inlineStr">
        <is>
          <t>L</t>
        </is>
      </c>
      <c r="H24" s="20" t="inlineStr">
        <is>
          <t>Legacy core</t>
        </is>
      </c>
      <c r="I24" s="61" t="inlineStr">
        <is>
          <t>Rule 2</t>
        </is>
      </c>
      <c r="J24" s="62" t="n">
        <v>8.797499999999999</v>
      </c>
      <c r="K24" s="62" t="n">
        <v>7.66833333333333</v>
      </c>
      <c r="L24" s="62" t="n">
        <v>1.12916666666667</v>
      </c>
      <c r="M24" s="62" t="n">
        <v>0</v>
      </c>
      <c r="N24" s="62" t="n">
        <v>3.985</v>
      </c>
      <c r="O24" s="62" t="n">
        <v>0</v>
      </c>
      <c r="P24" s="62" t="n">
        <v>3.68333333333333</v>
      </c>
      <c r="Q24" s="62" t="n">
        <v>0</v>
      </c>
      <c r="R24" s="62" t="n">
        <v>7.66833333333333</v>
      </c>
      <c r="S24" s="62" t="n">
        <v>0</v>
      </c>
      <c r="T24" s="62" t="n">
        <v>0</v>
      </c>
      <c r="U24" s="62" t="n">
        <v>0</v>
      </c>
      <c r="V24" s="62" t="n">
        <v>0</v>
      </c>
      <c r="W24" s="63" t="n">
        <v>0.75561238988349</v>
      </c>
      <c r="X24" s="61" t="inlineStr">
        <is>
          <t>No</t>
        </is>
      </c>
      <c r="Y24" s="61" t="inlineStr">
        <is>
          <t>N</t>
        </is>
      </c>
      <c r="Z24" s="61" t="inlineStr">
        <is>
          <t>Y</t>
        </is>
      </c>
      <c r="AA24" s="61" t="n">
        <v>3</v>
      </c>
      <c r="AB24" s="61" t="n">
        <v>1</v>
      </c>
      <c r="AC24" s="42" t="n">
        <v>894522</v>
      </c>
      <c r="AD24" s="42" t="n">
        <v>334</v>
      </c>
      <c r="AE24" s="42" t="n">
        <v>0</v>
      </c>
      <c r="AF24" s="42" t="n">
        <v>0</v>
      </c>
      <c r="AG24" s="42" t="n">
        <v>26</v>
      </c>
      <c r="AH24" s="42" t="n">
        <v>10</v>
      </c>
      <c r="AI24" s="42" t="n">
        <v>44</v>
      </c>
      <c r="AJ24" s="42" t="n">
        <v>7</v>
      </c>
      <c r="AK24" s="42" t="n">
        <v>48</v>
      </c>
      <c r="AL24" s="42" t="n">
        <v>149</v>
      </c>
      <c r="AM24" s="20" t="inlineStr">
        <is>
          <t>Maintain (Evolve)</t>
        </is>
      </c>
      <c r="AN24" s="62" t="n">
        <v>0</v>
      </c>
      <c r="AO24" s="64">
        <f>--($D24='START HERE'!$C$5)</f>
        <v/>
      </c>
    </row>
    <row r="25" ht="23.25" customHeight="1">
      <c r="B25" s="42" t="n">
        <v>9823</v>
      </c>
      <c r="C25" s="13" t="inlineStr">
        <is>
          <t>ASP Bridge(H) MF-JPN</t>
        </is>
      </c>
      <c r="D25" s="20" t="inlineStr">
        <is>
          <t>Contract Management</t>
        </is>
      </c>
      <c r="E25" s="20" t="inlineStr">
        <is>
          <t>Mainframe Claim Administration</t>
        </is>
      </c>
      <c r="F25" s="61" t="inlineStr">
        <is>
          <t>unnamed</t>
        </is>
      </c>
      <c r="G25" s="61" t="inlineStr">
        <is>
          <t>L</t>
        </is>
      </c>
      <c r="H25" s="20" t="inlineStr">
        <is>
          <t>Legacy core</t>
        </is>
      </c>
      <c r="I25" s="61" t="inlineStr">
        <is>
          <t>Rule 2</t>
        </is>
      </c>
      <c r="J25" s="62" t="n">
        <v>8.18920833333334</v>
      </c>
      <c r="K25" s="62" t="n">
        <v>6.72670833333334</v>
      </c>
      <c r="L25" s="62" t="n">
        <v>1.4625</v>
      </c>
      <c r="M25" s="62" t="n">
        <v>0</v>
      </c>
      <c r="N25" s="62" t="n">
        <v>6.72670833333334</v>
      </c>
      <c r="O25" s="62" t="n">
        <v>0</v>
      </c>
      <c r="P25" s="62" t="n">
        <v>0</v>
      </c>
      <c r="Q25" s="62" t="n">
        <v>1</v>
      </c>
      <c r="R25" s="62" t="n">
        <v>5.72670833333334</v>
      </c>
      <c r="S25" s="62" t="n">
        <v>0</v>
      </c>
      <c r="T25" s="62" t="n">
        <v>0</v>
      </c>
      <c r="U25" s="62" t="n">
        <v>0</v>
      </c>
      <c r="V25" s="62" t="n">
        <v>0</v>
      </c>
      <c r="W25" s="63" t="n">
        <v>0.72808726932294</v>
      </c>
      <c r="X25" s="61" t="inlineStr">
        <is>
          <t>No</t>
        </is>
      </c>
      <c r="Y25" s="61" t="inlineStr">
        <is>
          <t>N</t>
        </is>
      </c>
      <c r="Z25" s="61" t="inlineStr">
        <is>
          <t>Y</t>
        </is>
      </c>
      <c r="AA25" s="61" t="n">
        <v>3</v>
      </c>
      <c r="AB25" s="61" t="n">
        <v>1</v>
      </c>
      <c r="AC25" s="42" t="n">
        <v>233631</v>
      </c>
      <c r="AD25" s="42" t="n">
        <v>242</v>
      </c>
      <c r="AE25" s="42" t="n">
        <v>0</v>
      </c>
      <c r="AF25" s="42" t="n">
        <v>1</v>
      </c>
      <c r="AG25" s="42" t="n">
        <v>24</v>
      </c>
      <c r="AH25" s="42" t="n">
        <v>6</v>
      </c>
      <c r="AI25" s="42" t="n">
        <v>48</v>
      </c>
      <c r="AJ25" s="42" t="n">
        <v>11</v>
      </c>
      <c r="AK25" s="42" t="n">
        <v>4</v>
      </c>
      <c r="AL25" s="42" t="n">
        <v>144</v>
      </c>
      <c r="AM25" s="20" t="inlineStr">
        <is>
          <t>Maintain (Evolve)</t>
        </is>
      </c>
      <c r="AN25" s="62" t="n">
        <v>0</v>
      </c>
      <c r="AO25" s="64">
        <f>--($D25='START HERE'!$C$5)</f>
        <v/>
      </c>
    </row>
    <row r="26" ht="14.25" customHeight="1">
      <c r="B26" s="42" t="n">
        <v>9806</v>
      </c>
      <c r="C26" s="13" t="inlineStr">
        <is>
          <t>LC GL/SC MF-JPN</t>
        </is>
      </c>
      <c r="D26" s="20" t="inlineStr">
        <is>
          <t>Contract Management</t>
        </is>
      </c>
      <c r="E26" s="20" t="inlineStr">
        <is>
          <t>Mainframe Lifecomm Sub-systems</t>
        </is>
      </c>
      <c r="F26" s="61" t="inlineStr">
        <is>
          <t>FSI</t>
        </is>
      </c>
      <c r="G26" s="61" t="inlineStr">
        <is>
          <t>L</t>
        </is>
      </c>
      <c r="H26" s="20" t="inlineStr">
        <is>
          <t>Legacy core</t>
        </is>
      </c>
      <c r="I26" s="61" t="inlineStr">
        <is>
          <t>Rule 2</t>
        </is>
      </c>
      <c r="J26" s="62" t="n">
        <v>6.31375</v>
      </c>
      <c r="K26" s="62" t="n">
        <v>5.28875</v>
      </c>
      <c r="L26" s="62" t="n">
        <v>1.025</v>
      </c>
      <c r="M26" s="62" t="n">
        <v>0</v>
      </c>
      <c r="N26" s="62" t="n">
        <v>5.28875</v>
      </c>
      <c r="O26" s="62" t="n">
        <v>0</v>
      </c>
      <c r="P26" s="62" t="n">
        <v>0</v>
      </c>
      <c r="Q26" s="62" t="n">
        <v>0</v>
      </c>
      <c r="R26" s="62" t="n">
        <v>5.28875</v>
      </c>
      <c r="S26" s="62" t="n">
        <v>0</v>
      </c>
      <c r="T26" s="62" t="n">
        <v>0</v>
      </c>
      <c r="U26" s="62" t="n">
        <v>0</v>
      </c>
      <c r="V26" s="62" t="n">
        <v>0</v>
      </c>
      <c r="W26" s="63" t="n">
        <v>0.837655909720848</v>
      </c>
      <c r="X26" s="61" t="inlineStr">
        <is>
          <t>No</t>
        </is>
      </c>
      <c r="Y26" s="61" t="inlineStr">
        <is>
          <t>N</t>
        </is>
      </c>
      <c r="Z26" s="61" t="inlineStr">
        <is>
          <t>Y</t>
        </is>
      </c>
      <c r="AA26" s="61" t="n">
        <v>3</v>
      </c>
      <c r="AB26" s="61" t="n">
        <v>1</v>
      </c>
      <c r="AC26" s="42" t="n">
        <v>473955</v>
      </c>
      <c r="AD26" s="42" t="n">
        <v>497</v>
      </c>
      <c r="AE26" s="42" t="n">
        <v>0</v>
      </c>
      <c r="AF26" s="42" t="n">
        <v>0</v>
      </c>
      <c r="AG26" s="42" t="n">
        <v>48</v>
      </c>
      <c r="AH26" s="42" t="n">
        <v>19</v>
      </c>
      <c r="AI26" s="42" t="n">
        <v>117</v>
      </c>
      <c r="AJ26" s="42" t="n">
        <v>15</v>
      </c>
      <c r="AK26" s="42" t="n">
        <v>47</v>
      </c>
      <c r="AL26" s="42" t="n">
        <v>212</v>
      </c>
      <c r="AM26" s="20" t="inlineStr">
        <is>
          <t>Maintain (Evolve)</t>
        </is>
      </c>
      <c r="AN26" s="62" t="n">
        <v>0</v>
      </c>
      <c r="AO26" s="64">
        <f>--($D26='START HERE'!$C$5)</f>
        <v/>
      </c>
    </row>
    <row r="27" ht="14.25" customHeight="1">
      <c r="B27" s="42" t="n">
        <v>9822</v>
      </c>
      <c r="C27" s="13" t="inlineStr">
        <is>
          <t>LC Reins MF-JPN</t>
        </is>
      </c>
      <c r="D27" s="20" t="inlineStr">
        <is>
          <t>Contract Management</t>
        </is>
      </c>
      <c r="E27" s="20" t="inlineStr">
        <is>
          <t>Mainframe Lifecomm Sub-systems</t>
        </is>
      </c>
      <c r="F27" s="61" t="inlineStr">
        <is>
          <t>FSI</t>
        </is>
      </c>
      <c r="G27" s="61" t="inlineStr">
        <is>
          <t>L</t>
        </is>
      </c>
      <c r="H27" s="20" t="inlineStr">
        <is>
          <t>Legacy core</t>
        </is>
      </c>
      <c r="I27" s="61" t="inlineStr">
        <is>
          <t>Rule 2</t>
        </is>
      </c>
      <c r="J27" s="62" t="n">
        <v>6.26708333333333</v>
      </c>
      <c r="K27" s="62" t="n">
        <v>6.01291666666667</v>
      </c>
      <c r="L27" s="62" t="n">
        <v>0.254166666666667</v>
      </c>
      <c r="M27" s="62" t="n">
        <v>0</v>
      </c>
      <c r="N27" s="62" t="n">
        <v>4.32458333333333</v>
      </c>
      <c r="O27" s="62" t="n">
        <v>0</v>
      </c>
      <c r="P27" s="62" t="n">
        <v>1.68833333333333</v>
      </c>
      <c r="Q27" s="62" t="n">
        <v>0.25</v>
      </c>
      <c r="R27" s="62" t="n">
        <v>5.76291666666667</v>
      </c>
      <c r="S27" s="62" t="n">
        <v>0</v>
      </c>
      <c r="T27" s="62" t="n">
        <v>0</v>
      </c>
      <c r="U27" s="62" t="n">
        <v>0</v>
      </c>
      <c r="V27" s="62" t="n">
        <v>0</v>
      </c>
      <c r="W27" s="63" t="n">
        <v>0.789907585931786</v>
      </c>
      <c r="X27" s="61" t="inlineStr">
        <is>
          <t>No</t>
        </is>
      </c>
      <c r="Y27" s="61" t="inlineStr">
        <is>
          <t>N</t>
        </is>
      </c>
      <c r="Z27" s="61" t="inlineStr">
        <is>
          <t>N</t>
        </is>
      </c>
      <c r="AA27" s="61" t="n">
        <v>3</v>
      </c>
      <c r="AB27" s="61" t="n">
        <v>1</v>
      </c>
      <c r="AC27" s="42" t="n">
        <v>624174</v>
      </c>
      <c r="AD27" s="42" t="n">
        <v>337</v>
      </c>
      <c r="AE27" s="42" t="n">
        <v>0</v>
      </c>
      <c r="AF27" s="42" t="n">
        <v>0</v>
      </c>
      <c r="AG27" s="42" t="n">
        <v>30</v>
      </c>
      <c r="AH27" s="42" t="n">
        <v>8</v>
      </c>
      <c r="AI27" s="42" t="n">
        <v>75</v>
      </c>
      <c r="AJ27" s="42" t="n">
        <v>23</v>
      </c>
      <c r="AK27" s="42" t="n">
        <v>39</v>
      </c>
      <c r="AL27" s="42" t="n">
        <v>177</v>
      </c>
      <c r="AM27" s="20" t="inlineStr">
        <is>
          <t>Maintain (Evolve)</t>
        </is>
      </c>
      <c r="AN27" s="62" t="n">
        <v>0</v>
      </c>
      <c r="AO27" s="64">
        <f>--($D27='START HERE'!$C$5)</f>
        <v/>
      </c>
    </row>
    <row r="28" ht="14.25" customHeight="1">
      <c r="B28" s="42" t="n">
        <v>9821</v>
      </c>
      <c r="C28" s="13" t="inlineStr">
        <is>
          <t>Maturity MF-JPN</t>
        </is>
      </c>
      <c r="D28" s="20" t="inlineStr">
        <is>
          <t>Contract Management</t>
        </is>
      </c>
      <c r="E28" s="20" t="inlineStr">
        <is>
          <t>Mainframe Claim Administration</t>
        </is>
      </c>
      <c r="F28" s="61" t="inlineStr">
        <is>
          <t>FSI</t>
        </is>
      </c>
      <c r="G28" s="61" t="inlineStr">
        <is>
          <t>L</t>
        </is>
      </c>
      <c r="H28" s="20" t="inlineStr">
        <is>
          <t>Legacy core</t>
        </is>
      </c>
      <c r="I28" s="61" t="inlineStr">
        <is>
          <t>Rule 2</t>
        </is>
      </c>
      <c r="J28" s="62" t="n">
        <v>5.34916666666667</v>
      </c>
      <c r="K28" s="62" t="n">
        <v>4.37833333333333</v>
      </c>
      <c r="L28" s="62" t="n">
        <v>0.970833333333333</v>
      </c>
      <c r="M28" s="62" t="n">
        <v>0</v>
      </c>
      <c r="N28" s="62" t="n">
        <v>3.65666666666667</v>
      </c>
      <c r="O28" s="62" t="n">
        <v>0</v>
      </c>
      <c r="P28" s="62" t="n">
        <v>0.721666666666667</v>
      </c>
      <c r="Q28" s="62" t="n">
        <v>0</v>
      </c>
      <c r="R28" s="62" t="n">
        <v>4.37833333333333</v>
      </c>
      <c r="S28" s="62" t="n">
        <v>0</v>
      </c>
      <c r="T28" s="62" t="n">
        <v>0</v>
      </c>
      <c r="U28" s="62" t="n">
        <v>0</v>
      </c>
      <c r="V28" s="62" t="n">
        <v>0</v>
      </c>
      <c r="W28" s="63" t="n">
        <v>0.626109985979125</v>
      </c>
      <c r="X28" s="61" t="inlineStr">
        <is>
          <t>No</t>
        </is>
      </c>
      <c r="Y28" s="61" t="inlineStr">
        <is>
          <t>N</t>
        </is>
      </c>
      <c r="Z28" s="61" t="inlineStr">
        <is>
          <t>Y</t>
        </is>
      </c>
      <c r="AA28" s="61" t="n">
        <v>3</v>
      </c>
      <c r="AB28" s="61" t="n">
        <v>1</v>
      </c>
      <c r="AC28" s="42" t="n">
        <v>0</v>
      </c>
      <c r="AD28" s="42" t="n">
        <v>140</v>
      </c>
      <c r="AE28" s="42" t="n">
        <v>0</v>
      </c>
      <c r="AF28" s="42" t="n">
        <v>0</v>
      </c>
      <c r="AG28" s="42" t="n">
        <v>11</v>
      </c>
      <c r="AH28" s="42" t="n">
        <v>0</v>
      </c>
      <c r="AI28" s="42" t="n">
        <v>36</v>
      </c>
      <c r="AJ28" s="42" t="n">
        <v>3</v>
      </c>
      <c r="AK28" s="42" t="n">
        <v>9</v>
      </c>
      <c r="AL28" s="42" t="n">
        <v>58</v>
      </c>
      <c r="AM28" s="20" t="inlineStr">
        <is>
          <t>Maintain (Evolve)</t>
        </is>
      </c>
      <c r="AN28" s="62" t="n">
        <v>0</v>
      </c>
      <c r="AO28" s="64">
        <f>--($D28='START HERE'!$C$5)</f>
        <v/>
      </c>
    </row>
    <row r="29" ht="14.25" customHeight="1">
      <c r="B29" s="42" t="n">
        <v>9805</v>
      </c>
      <c r="C29" s="13" t="inlineStr">
        <is>
          <t>LC Payment MF-JPN</t>
        </is>
      </c>
      <c r="D29" s="20" t="inlineStr">
        <is>
          <t>Contract Management</t>
        </is>
      </c>
      <c r="E29" s="20" t="inlineStr">
        <is>
          <t>Mainframe Lifecomm Sub-systems</t>
        </is>
      </c>
      <c r="F29" s="61" t="inlineStr">
        <is>
          <t>FSI</t>
        </is>
      </c>
      <c r="G29" s="61" t="inlineStr">
        <is>
          <t>L</t>
        </is>
      </c>
      <c r="H29" s="20" t="inlineStr">
        <is>
          <t>Legacy core</t>
        </is>
      </c>
      <c r="I29" s="61" t="inlineStr">
        <is>
          <t>Rule 2</t>
        </is>
      </c>
      <c r="J29" s="62" t="n">
        <v>2.92166666666667</v>
      </c>
      <c r="K29" s="62" t="n">
        <v>2.89666666666667</v>
      </c>
      <c r="L29" s="62" t="n">
        <v>0.025</v>
      </c>
      <c r="M29" s="62" t="n">
        <v>0</v>
      </c>
      <c r="N29" s="62" t="n">
        <v>2.89666666666667</v>
      </c>
      <c r="O29" s="62" t="n">
        <v>0</v>
      </c>
      <c r="P29" s="62" t="n">
        <v>0</v>
      </c>
      <c r="Q29" s="62" t="n">
        <v>0.25</v>
      </c>
      <c r="R29" s="62" t="n">
        <v>2.64666666666667</v>
      </c>
      <c r="S29" s="62" t="n">
        <v>0</v>
      </c>
      <c r="T29" s="62" t="n">
        <v>0</v>
      </c>
      <c r="U29" s="62" t="n">
        <v>0</v>
      </c>
      <c r="V29" s="62" t="n">
        <v>0</v>
      </c>
      <c r="W29" s="63" t="n">
        <v>0.905875641756988</v>
      </c>
      <c r="X29" s="61" t="inlineStr">
        <is>
          <t>No</t>
        </is>
      </c>
      <c r="Y29" s="61" t="inlineStr">
        <is>
          <t>N</t>
        </is>
      </c>
      <c r="Z29" s="61" t="inlineStr">
        <is>
          <t>Y</t>
        </is>
      </c>
      <c r="AA29" s="61" t="n">
        <v>3</v>
      </c>
      <c r="AB29" s="61" t="n">
        <v>1</v>
      </c>
      <c r="AC29" s="42" t="n">
        <v>315432</v>
      </c>
      <c r="AD29" s="42" t="n">
        <v>190</v>
      </c>
      <c r="AE29" s="42" t="n">
        <v>0</v>
      </c>
      <c r="AF29" s="42" t="n">
        <v>0</v>
      </c>
      <c r="AG29" s="42" t="n">
        <v>41</v>
      </c>
      <c r="AH29" s="42" t="n">
        <v>1</v>
      </c>
      <c r="AI29" s="42" t="n">
        <v>13</v>
      </c>
      <c r="AJ29" s="42" t="n">
        <v>20</v>
      </c>
      <c r="AK29" s="42" t="n">
        <v>15</v>
      </c>
      <c r="AL29" s="42" t="n">
        <v>89</v>
      </c>
      <c r="AM29" s="20" t="inlineStr">
        <is>
          <t>Maintain (Evolve)</t>
        </is>
      </c>
      <c r="AN29" s="62" t="n">
        <v>0</v>
      </c>
      <c r="AO29" s="64">
        <f>--($D29='START HERE'!$C$5)</f>
        <v/>
      </c>
    </row>
    <row r="30" ht="23.25" customHeight="1">
      <c r="B30" s="42" t="n">
        <v>9811</v>
      </c>
      <c r="C30" s="13" t="inlineStr">
        <is>
          <t>LC Submit MF-JPN</t>
        </is>
      </c>
      <c r="D30" s="20" t="inlineStr">
        <is>
          <t>Contract Management</t>
        </is>
      </c>
      <c r="E30" s="20" t="inlineStr">
        <is>
          <t>Mainframe Commision</t>
        </is>
      </c>
      <c r="F30" s="61" t="inlineStr">
        <is>
          <t>unnamed</t>
        </is>
      </c>
      <c r="G30" s="61" t="inlineStr">
        <is>
          <t>L</t>
        </is>
      </c>
      <c r="H30" s="20" t="inlineStr">
        <is>
          <t>Legacy core</t>
        </is>
      </c>
      <c r="I30" s="61" t="inlineStr">
        <is>
          <t>Rule 2</t>
        </is>
      </c>
      <c r="J30" s="62" t="n">
        <v>2.13291666666667</v>
      </c>
      <c r="K30" s="62" t="n">
        <v>1.96833333333333</v>
      </c>
      <c r="L30" s="62" t="n">
        <v>0.164583333333333</v>
      </c>
      <c r="M30" s="62" t="n">
        <v>0</v>
      </c>
      <c r="N30" s="62" t="n">
        <v>1.96833333333333</v>
      </c>
      <c r="O30" s="62" t="n">
        <v>0</v>
      </c>
      <c r="P30" s="62" t="n">
        <v>0</v>
      </c>
      <c r="Q30" s="62" t="n">
        <v>0</v>
      </c>
      <c r="R30" s="62" t="n">
        <v>1.96833333333333</v>
      </c>
      <c r="S30" s="62" t="n">
        <v>0</v>
      </c>
      <c r="T30" s="62" t="n">
        <v>0</v>
      </c>
      <c r="U30" s="62" t="n">
        <v>0</v>
      </c>
      <c r="V30" s="62" t="n">
        <v>0</v>
      </c>
      <c r="W30" s="63" t="n">
        <v>0.9531158429380741</v>
      </c>
      <c r="X30" s="61" t="inlineStr">
        <is>
          <t>No</t>
        </is>
      </c>
      <c r="Y30" s="61" t="inlineStr">
        <is>
          <t>N</t>
        </is>
      </c>
      <c r="Z30" s="61" t="inlineStr">
        <is>
          <t>Y</t>
        </is>
      </c>
      <c r="AA30" s="61" t="n">
        <v>3</v>
      </c>
      <c r="AB30" s="61" t="n">
        <v>1</v>
      </c>
      <c r="AC30" s="42" t="n">
        <v>162839</v>
      </c>
      <c r="AD30" s="42" t="n">
        <v>137</v>
      </c>
      <c r="AE30" s="42" t="n">
        <v>0</v>
      </c>
      <c r="AF30" s="42" t="n">
        <v>0</v>
      </c>
      <c r="AG30" s="42" t="n">
        <v>5</v>
      </c>
      <c r="AH30" s="42" t="n">
        <v>2</v>
      </c>
      <c r="AI30" s="42" t="n">
        <v>9</v>
      </c>
      <c r="AJ30" s="42" t="n">
        <v>5</v>
      </c>
      <c r="AK30" s="42" t="n">
        <v>14</v>
      </c>
      <c r="AL30" s="42" t="n">
        <v>51</v>
      </c>
      <c r="AM30" s="20" t="inlineStr">
        <is>
          <t>Refactor</t>
        </is>
      </c>
      <c r="AN30" s="62" t="n">
        <v>0</v>
      </c>
      <c r="AO30" s="64">
        <f>--($D30='START HERE'!$C$5)</f>
        <v/>
      </c>
    </row>
    <row r="31" ht="14.25" customHeight="1">
      <c r="B31" s="42" t="n">
        <v>9813</v>
      </c>
      <c r="C31" s="13" t="inlineStr">
        <is>
          <t>LC Micro MF-JPN</t>
        </is>
      </c>
      <c r="D31" s="20" t="inlineStr">
        <is>
          <t>Contract Management</t>
        </is>
      </c>
      <c r="E31" s="20" t="inlineStr">
        <is>
          <t>Mainframe Lifecomm Sub-systems</t>
        </is>
      </c>
      <c r="F31" s="61" t="inlineStr">
        <is>
          <t>FSI</t>
        </is>
      </c>
      <c r="G31" s="61" t="inlineStr">
        <is>
          <t>L</t>
        </is>
      </c>
      <c r="H31" s="20" t="inlineStr">
        <is>
          <t>Legacy core</t>
        </is>
      </c>
      <c r="I31" s="61" t="inlineStr">
        <is>
          <t>Rule 2</t>
        </is>
      </c>
      <c r="J31" s="62" t="n">
        <v>2.1175</v>
      </c>
      <c r="K31" s="62" t="n">
        <v>2.1175</v>
      </c>
      <c r="L31" s="62" t="n">
        <v>0</v>
      </c>
      <c r="M31" s="62" t="n">
        <v>0</v>
      </c>
      <c r="N31" s="62" t="n">
        <v>1.83708333333333</v>
      </c>
      <c r="O31" s="62" t="n">
        <v>0</v>
      </c>
      <c r="P31" s="62" t="n">
        <v>0.280416666666667</v>
      </c>
      <c r="Q31" s="62" t="n">
        <v>0</v>
      </c>
      <c r="R31" s="62" t="n">
        <v>2.1175</v>
      </c>
      <c r="S31" s="62" t="n">
        <v>0</v>
      </c>
      <c r="T31" s="62" t="n">
        <v>0</v>
      </c>
      <c r="U31" s="62" t="n">
        <v>0</v>
      </c>
      <c r="V31" s="62" t="n">
        <v>0</v>
      </c>
      <c r="W31" s="63" t="n">
        <v>0.645808736717828</v>
      </c>
      <c r="X31" s="61" t="inlineStr">
        <is>
          <t>No</t>
        </is>
      </c>
      <c r="Y31" s="61" t="inlineStr">
        <is>
          <t>N</t>
        </is>
      </c>
      <c r="Z31" s="61" t="inlineStr">
        <is>
          <t>Y</t>
        </is>
      </c>
      <c r="AA31" s="61" t="n">
        <v>3</v>
      </c>
      <c r="AB31" s="61" t="n">
        <v>1</v>
      </c>
      <c r="AC31" s="42" t="n">
        <v>63502</v>
      </c>
      <c r="AD31" s="42" t="n">
        <v>109</v>
      </c>
      <c r="AE31" s="42" t="n">
        <v>0</v>
      </c>
      <c r="AF31" s="42" t="n">
        <v>0</v>
      </c>
      <c r="AG31" s="42" t="n">
        <v>12</v>
      </c>
      <c r="AH31" s="42" t="n">
        <v>1</v>
      </c>
      <c r="AI31" s="42" t="n">
        <v>13</v>
      </c>
      <c r="AJ31" s="42" t="n">
        <v>6</v>
      </c>
      <c r="AK31" s="42" t="n">
        <v>3</v>
      </c>
      <c r="AL31" s="42" t="n">
        <v>81</v>
      </c>
      <c r="AM31" s="20" t="inlineStr">
        <is>
          <t>Maintain (Evolve)</t>
        </is>
      </c>
      <c r="AN31" s="62" t="n">
        <v>0</v>
      </c>
      <c r="AO31" s="64">
        <f>--($D31='START HERE'!$C$5)</f>
        <v/>
      </c>
    </row>
    <row r="32" ht="23.25" customHeight="1">
      <c r="B32" s="42" t="n">
        <v>9817</v>
      </c>
      <c r="C32" s="13" t="inlineStr">
        <is>
          <t>TaxCertification MF-JPN</t>
        </is>
      </c>
      <c r="D32" s="20" t="inlineStr">
        <is>
          <t>Contract Management</t>
        </is>
      </c>
      <c r="E32" s="20" t="inlineStr">
        <is>
          <t>Mainframe Reporting &amp; Tax</t>
        </is>
      </c>
      <c r="F32" s="61" t="inlineStr">
        <is>
          <t>unnamed</t>
        </is>
      </c>
      <c r="G32" s="61" t="inlineStr">
        <is>
          <t>L</t>
        </is>
      </c>
      <c r="H32" s="20" t="inlineStr">
        <is>
          <t>Legacy core</t>
        </is>
      </c>
      <c r="I32" s="61" t="inlineStr">
        <is>
          <t>Rule 2</t>
        </is>
      </c>
      <c r="J32" s="62" t="n">
        <v>1.664875</v>
      </c>
      <c r="K32" s="62" t="n">
        <v>1.664875</v>
      </c>
      <c r="L32" s="62" t="n">
        <v>0</v>
      </c>
      <c r="M32" s="62" t="n">
        <v>0</v>
      </c>
      <c r="N32" s="62" t="n">
        <v>1.664875</v>
      </c>
      <c r="O32" s="62" t="n">
        <v>0</v>
      </c>
      <c r="P32" s="62" t="n">
        <v>0</v>
      </c>
      <c r="Q32" s="62" t="n">
        <v>0</v>
      </c>
      <c r="R32" s="62" t="n">
        <v>1.664875</v>
      </c>
      <c r="S32" s="62" t="n">
        <v>0</v>
      </c>
      <c r="T32" s="62" t="n">
        <v>0</v>
      </c>
      <c r="U32" s="62" t="n">
        <v>0</v>
      </c>
      <c r="V32" s="62" t="n">
        <v>0</v>
      </c>
      <c r="W32" s="63" t="n">
        <v>0.407488049653377</v>
      </c>
      <c r="X32" s="61" t="inlineStr">
        <is>
          <t>No</t>
        </is>
      </c>
      <c r="Y32" s="61" t="inlineStr">
        <is>
          <t>N</t>
        </is>
      </c>
      <c r="Z32" s="61" t="inlineStr">
        <is>
          <t>N</t>
        </is>
      </c>
      <c r="AA32" s="61" t="n">
        <v>3</v>
      </c>
      <c r="AB32" s="61" t="n">
        <v>1</v>
      </c>
      <c r="AC32" s="42" t="n">
        <v>254359</v>
      </c>
      <c r="AD32" s="42" t="n">
        <v>347</v>
      </c>
      <c r="AE32" s="42" t="n">
        <v>0</v>
      </c>
      <c r="AF32" s="42" t="n">
        <v>0</v>
      </c>
      <c r="AG32" s="42" t="n">
        <v>11</v>
      </c>
      <c r="AH32" s="42" t="n">
        <v>1</v>
      </c>
      <c r="AI32" s="42" t="n">
        <v>6</v>
      </c>
      <c r="AJ32" s="42" t="n">
        <v>5</v>
      </c>
      <c r="AK32" s="42" t="n">
        <v>8</v>
      </c>
      <c r="AL32" s="42" t="n">
        <v>94</v>
      </c>
      <c r="AM32" s="20" t="inlineStr">
        <is>
          <t>Maintain (Evolve)</t>
        </is>
      </c>
      <c r="AN32" s="62" t="n">
        <v>0</v>
      </c>
      <c r="AO32" s="64">
        <f>--($D32='START HERE'!$C$5)</f>
        <v/>
      </c>
    </row>
    <row r="33" ht="14.25" customHeight="1">
      <c r="B33" s="42" t="n">
        <v>9824</v>
      </c>
      <c r="C33" s="13" t="inlineStr">
        <is>
          <t>CCA MF-JPN</t>
        </is>
      </c>
      <c r="D33" s="20" t="inlineStr">
        <is>
          <t>Contract Management</t>
        </is>
      </c>
      <c r="E33" s="20" t="inlineStr">
        <is>
          <t>Mainframe Reporting &amp; Tax</t>
        </is>
      </c>
      <c r="F33" s="61" t="inlineStr">
        <is>
          <t>FSI</t>
        </is>
      </c>
      <c r="G33" s="61" t="inlineStr">
        <is>
          <t>L</t>
        </is>
      </c>
      <c r="H33" s="20" t="inlineStr">
        <is>
          <t>Legacy core</t>
        </is>
      </c>
      <c r="I33" s="61" t="inlineStr">
        <is>
          <t>Rule 2</t>
        </is>
      </c>
      <c r="J33" s="62" t="n">
        <v>1.63083333333333</v>
      </c>
      <c r="K33" s="62" t="n">
        <v>1.63083333333333</v>
      </c>
      <c r="L33" s="62" t="n">
        <v>0</v>
      </c>
      <c r="M33" s="62" t="n">
        <v>0</v>
      </c>
      <c r="N33" s="62" t="n">
        <v>1.63083333333333</v>
      </c>
      <c r="O33" s="62" t="n">
        <v>0</v>
      </c>
      <c r="P33" s="62" t="n">
        <v>0</v>
      </c>
      <c r="Q33" s="62" t="n">
        <v>0</v>
      </c>
      <c r="R33" s="62" t="n">
        <v>1.63083333333333</v>
      </c>
      <c r="S33" s="62" t="n">
        <v>0</v>
      </c>
      <c r="T33" s="62" t="n">
        <v>0</v>
      </c>
      <c r="U33" s="62" t="n">
        <v>0</v>
      </c>
      <c r="V33" s="62" t="n">
        <v>0</v>
      </c>
      <c r="W33" s="63" t="n">
        <v>0.386816555952989</v>
      </c>
      <c r="X33" s="61" t="inlineStr">
        <is>
          <t>No</t>
        </is>
      </c>
      <c r="Y33" s="61" t="inlineStr">
        <is>
          <t>N</t>
        </is>
      </c>
      <c r="Z33" s="61" t="inlineStr">
        <is>
          <t>Y</t>
        </is>
      </c>
      <c r="AA33" s="61" t="n">
        <v>3</v>
      </c>
      <c r="AB33" s="61" t="n">
        <v>1</v>
      </c>
      <c r="AC33" s="42" t="n">
        <v>201829</v>
      </c>
      <c r="AD33" s="42" t="n">
        <v>184</v>
      </c>
      <c r="AE33" s="42" t="n">
        <v>0</v>
      </c>
      <c r="AF33" s="42" t="n">
        <v>0</v>
      </c>
      <c r="AG33" s="42" t="n">
        <v>22</v>
      </c>
      <c r="AH33" s="42" t="n">
        <v>5</v>
      </c>
      <c r="AI33" s="42" t="n">
        <v>17</v>
      </c>
      <c r="AJ33" s="42" t="n">
        <v>16</v>
      </c>
      <c r="AK33" s="42" t="n">
        <v>56</v>
      </c>
      <c r="AL33" s="42" t="n">
        <v>186</v>
      </c>
      <c r="AM33" s="20" t="inlineStr">
        <is>
          <t>Maintain (Evolve)</t>
        </is>
      </c>
      <c r="AN33" s="62" t="n">
        <v>0</v>
      </c>
      <c r="AO33" s="64">
        <f>--($D33='START HERE'!$C$5)</f>
        <v/>
      </c>
    </row>
    <row r="34" ht="14.25" customHeight="1">
      <c r="B34" s="42" t="n">
        <v>9999</v>
      </c>
      <c r="C34" s="13" t="inlineStr">
        <is>
          <t>LINC MF-JPN</t>
        </is>
      </c>
      <c r="D34" s="20" t="inlineStr">
        <is>
          <t>Contract Management</t>
        </is>
      </c>
      <c r="E34" s="20" t="inlineStr">
        <is>
          <t>Mainframe Reporting &amp; Tax</t>
        </is>
      </c>
      <c r="F34" s="61" t="inlineStr">
        <is>
          <t>CG</t>
        </is>
      </c>
      <c r="G34" s="61" t="inlineStr">
        <is>
          <t>L</t>
        </is>
      </c>
      <c r="H34" s="20" t="inlineStr">
        <is>
          <t>Legacy core</t>
        </is>
      </c>
      <c r="I34" s="61" t="inlineStr">
        <is>
          <t>Rule 2</t>
        </is>
      </c>
      <c r="J34" s="62" t="n">
        <v>1.02875</v>
      </c>
      <c r="K34" s="62" t="n">
        <v>1.02875</v>
      </c>
      <c r="L34" s="62" t="n">
        <v>0</v>
      </c>
      <c r="M34" s="62" t="n">
        <v>0</v>
      </c>
      <c r="N34" s="62" t="n">
        <v>1.02875</v>
      </c>
      <c r="O34" s="62" t="n">
        <v>0</v>
      </c>
      <c r="P34" s="62" t="n">
        <v>0</v>
      </c>
      <c r="Q34" s="62" t="n">
        <v>0</v>
      </c>
      <c r="R34" s="62" t="n">
        <v>1.02875</v>
      </c>
      <c r="S34" s="62" t="n">
        <v>0</v>
      </c>
      <c r="T34" s="62" t="n">
        <v>0</v>
      </c>
      <c r="U34" s="62" t="n">
        <v>0</v>
      </c>
      <c r="V34" s="62" t="n">
        <v>0</v>
      </c>
      <c r="W34" s="63" t="n">
        <v>0.129202106115836</v>
      </c>
      <c r="X34" s="61" t="inlineStr">
        <is>
          <t>No</t>
        </is>
      </c>
      <c r="Y34" s="61" t="inlineStr">
        <is>
          <t>N</t>
        </is>
      </c>
      <c r="Z34" s="61" t="inlineStr">
        <is>
          <t>Y</t>
        </is>
      </c>
      <c r="AA34" s="61" t="n">
        <v>3</v>
      </c>
      <c r="AB34" s="61" t="n">
        <v>1</v>
      </c>
      <c r="AC34" s="42" t="n">
        <v>44024</v>
      </c>
      <c r="AD34" s="42" t="n">
        <v>54</v>
      </c>
      <c r="AE34" s="42" t="n">
        <v>0</v>
      </c>
      <c r="AF34" s="42" t="n">
        <v>0</v>
      </c>
      <c r="AG34" s="42" t="n">
        <v>17</v>
      </c>
      <c r="AH34" s="42" t="n">
        <v>6</v>
      </c>
      <c r="AI34" s="42" t="n">
        <v>76</v>
      </c>
      <c r="AJ34" s="42" t="n">
        <v>9</v>
      </c>
      <c r="AK34" s="42" t="n">
        <v>0</v>
      </c>
      <c r="AL34" s="42" t="n">
        <v>54</v>
      </c>
      <c r="AM34" s="20" t="inlineStr">
        <is>
          <t>Refactor</t>
        </is>
      </c>
      <c r="AN34" s="62" t="n">
        <v>0</v>
      </c>
      <c r="AO34" s="64">
        <f>--($D34='START HERE'!$C$5)</f>
        <v/>
      </c>
    </row>
    <row r="35" ht="23.25" customHeight="1">
      <c r="B35" s="42" t="n">
        <v>14059</v>
      </c>
      <c r="C35" s="13" t="inlineStr">
        <is>
          <t>PDF Auto Loader Batch</t>
        </is>
      </c>
      <c r="D35" s="20" t="inlineStr">
        <is>
          <t>Contract Management</t>
        </is>
      </c>
      <c r="E35" s="20" t="inlineStr">
        <is>
          <t>Mainframe Lifecomm Sub-systems</t>
        </is>
      </c>
      <c r="F35" s="61" t="inlineStr">
        <is>
          <t>unnamed</t>
        </is>
      </c>
      <c r="G35" s="61" t="inlineStr">
        <is>
          <t>T</t>
        </is>
      </c>
      <c r="H35" s="20" t="inlineStr">
        <is>
          <t>Long tail</t>
        </is>
      </c>
      <c r="I35" s="61" t="inlineStr">
        <is>
          <t>Rule 3</t>
        </is>
      </c>
      <c r="J35" s="62" t="n">
        <v>1.02708333333333</v>
      </c>
      <c r="K35" s="62" t="n">
        <v>1.01666666666667</v>
      </c>
      <c r="L35" s="62" t="n">
        <v>0.0104166666666667</v>
      </c>
      <c r="M35" s="62" t="n">
        <v>0</v>
      </c>
      <c r="N35" s="62" t="n">
        <v>1.01666666666667</v>
      </c>
      <c r="O35" s="62" t="n">
        <v>0</v>
      </c>
      <c r="P35" s="62" t="n">
        <v>0</v>
      </c>
      <c r="Q35" s="62" t="n">
        <v>0</v>
      </c>
      <c r="R35" s="62" t="n">
        <v>1.01666666666667</v>
      </c>
      <c r="S35" s="62" t="n">
        <v>0</v>
      </c>
      <c r="T35" s="62" t="n">
        <v>0</v>
      </c>
      <c r="U35" s="62" t="n">
        <v>0</v>
      </c>
      <c r="V35" s="62" t="n">
        <v>0</v>
      </c>
      <c r="W35" s="63" t="n">
        <v>0.9026369168357</v>
      </c>
      <c r="X35" s="61" t="inlineStr">
        <is>
          <t>No</t>
        </is>
      </c>
      <c r="Y35" s="61" t="inlineStr">
        <is>
          <t>N</t>
        </is>
      </c>
      <c r="Z35" s="61" t="inlineStr">
        <is>
          <t>N</t>
        </is>
      </c>
      <c r="AA35" s="61" t="n">
        <v>3</v>
      </c>
      <c r="AB35" s="61" t="n">
        <v>1</v>
      </c>
      <c r="AC35" s="42" t="n">
        <v>10800</v>
      </c>
      <c r="AD35" s="42" t="n">
        <v>3</v>
      </c>
      <c r="AE35" s="42" t="n">
        <v>0</v>
      </c>
      <c r="AF35" s="42" t="n">
        <v>0</v>
      </c>
      <c r="AG35" s="42" t="n">
        <v>0</v>
      </c>
      <c r="AH35" s="42" t="n">
        <v>0</v>
      </c>
      <c r="AI35" s="42" t="n">
        <v>0</v>
      </c>
      <c r="AJ35" s="42" t="n">
        <v>0</v>
      </c>
      <c r="AK35" s="42" t="n">
        <v>0</v>
      </c>
      <c r="AL35" s="42" t="n">
        <v>5</v>
      </c>
      <c r="AM35" s="20" t="inlineStr">
        <is>
          <t>Maintain (Evolve)</t>
        </is>
      </c>
      <c r="AN35" s="62" t="n">
        <v>0</v>
      </c>
      <c r="AO35" s="64">
        <f>--($D35='START HERE'!$C$5)</f>
        <v/>
      </c>
    </row>
    <row r="36" ht="23.25" customHeight="1">
      <c r="B36" s="42" t="n">
        <v>9847</v>
      </c>
      <c r="C36" s="13" t="inlineStr">
        <is>
          <t>PinID tool_JPN</t>
        </is>
      </c>
      <c r="D36" s="20" t="inlineStr">
        <is>
          <t>Contract Management</t>
        </is>
      </c>
      <c r="E36" s="20" t="inlineStr">
        <is>
          <t>Mainframe Claim Administration</t>
        </is>
      </c>
      <c r="F36" s="61" t="inlineStr">
        <is>
          <t>unnamed</t>
        </is>
      </c>
      <c r="G36" s="61" t="inlineStr">
        <is>
          <t>T</t>
        </is>
      </c>
      <c r="H36" s="20" t="inlineStr">
        <is>
          <t>Long tail</t>
        </is>
      </c>
      <c r="I36" s="61" t="inlineStr">
        <is>
          <t>Rule 3</t>
        </is>
      </c>
      <c r="J36" s="62" t="n">
        <v>0.452625</v>
      </c>
      <c r="K36" s="62" t="n">
        <v>0.152625</v>
      </c>
      <c r="L36" s="62" t="n">
        <v>0.3</v>
      </c>
      <c r="M36" s="62" t="n">
        <v>0</v>
      </c>
      <c r="N36" s="62" t="n">
        <v>0.152625</v>
      </c>
      <c r="O36" s="62" t="n">
        <v>0</v>
      </c>
      <c r="P36" s="62" t="n">
        <v>0</v>
      </c>
      <c r="Q36" s="62" t="n">
        <v>0</v>
      </c>
      <c r="R36" s="62" t="n">
        <v>0.152625</v>
      </c>
      <c r="S36" s="62" t="n">
        <v>0</v>
      </c>
      <c r="T36" s="62" t="n">
        <v>0</v>
      </c>
      <c r="U36" s="62" t="n">
        <v>0</v>
      </c>
      <c r="V36" s="62" t="n">
        <v>0</v>
      </c>
      <c r="W36" s="63" t="n">
        <v>1</v>
      </c>
      <c r="X36" s="61" t="inlineStr">
        <is>
          <t>No</t>
        </is>
      </c>
      <c r="Y36" s="61" t="inlineStr">
        <is>
          <t>N</t>
        </is>
      </c>
      <c r="Z36" s="61" t="inlineStr">
        <is>
          <t>N</t>
        </is>
      </c>
      <c r="AA36" s="61" t="n">
        <v>3</v>
      </c>
      <c r="AB36" s="61" t="n">
        <v>1</v>
      </c>
      <c r="AC36" s="42" t="n">
        <v>41868</v>
      </c>
      <c r="AD36" s="42" t="n">
        <v>7</v>
      </c>
      <c r="AE36" s="42" t="n">
        <v>0</v>
      </c>
      <c r="AF36" s="42" t="n">
        <v>0</v>
      </c>
      <c r="AG36" s="42" t="n">
        <v>0</v>
      </c>
      <c r="AH36" s="42" t="n">
        <v>1</v>
      </c>
      <c r="AI36" s="42" t="n">
        <v>1</v>
      </c>
      <c r="AJ36" s="42" t="n">
        <v>0</v>
      </c>
      <c r="AK36" s="42" t="n">
        <v>0</v>
      </c>
      <c r="AL36" s="42" t="n">
        <v>4</v>
      </c>
      <c r="AM36" s="20" t="inlineStr">
        <is>
          <t>Retire</t>
        </is>
      </c>
      <c r="AN36" s="62" t="n">
        <v>0</v>
      </c>
      <c r="AO36" s="64">
        <f>--($D36='START HERE'!$C$5)</f>
        <v/>
      </c>
    </row>
    <row r="37" ht="14.25" customHeight="1">
      <c r="B37" s="42" t="n">
        <v>9816</v>
      </c>
      <c r="C37" s="13" t="inlineStr">
        <is>
          <t>CT Salary  MF-JPN</t>
        </is>
      </c>
      <c r="D37" s="20" t="inlineStr">
        <is>
          <t>Contract Management</t>
        </is>
      </c>
      <c r="E37" s="20" t="inlineStr">
        <is>
          <t>Mainframe Commision</t>
        </is>
      </c>
      <c r="F37" s="61" t="inlineStr">
        <is>
          <t>FSI</t>
        </is>
      </c>
      <c r="G37" s="61" t="inlineStr">
        <is>
          <t>L</t>
        </is>
      </c>
      <c r="H37" s="20" t="inlineStr">
        <is>
          <t>Legacy core</t>
        </is>
      </c>
      <c r="I37" s="61" t="inlineStr">
        <is>
          <t>Rule 2</t>
        </is>
      </c>
      <c r="J37" s="62" t="n">
        <v>0.2</v>
      </c>
      <c r="K37" s="62" t="n">
        <v>0.2</v>
      </c>
      <c r="L37" s="62" t="n">
        <v>0</v>
      </c>
      <c r="M37" s="62" t="n">
        <v>0</v>
      </c>
      <c r="N37" s="62" t="n">
        <v>0.2</v>
      </c>
      <c r="O37" s="62" t="n">
        <v>0</v>
      </c>
      <c r="P37" s="62" t="n">
        <v>0</v>
      </c>
      <c r="Q37" s="62" t="n">
        <v>0</v>
      </c>
      <c r="R37" s="62" t="n">
        <v>0.2</v>
      </c>
      <c r="S37" s="62" t="n">
        <v>0</v>
      </c>
      <c r="T37" s="62" t="n">
        <v>0</v>
      </c>
      <c r="U37" s="62" t="n">
        <v>0</v>
      </c>
      <c r="V37" s="62" t="n">
        <v>0</v>
      </c>
      <c r="W37" s="63" t="n">
        <v>0</v>
      </c>
      <c r="X37" s="61" t="inlineStr">
        <is>
          <t>No</t>
        </is>
      </c>
      <c r="Y37" s="61" t="inlineStr">
        <is>
          <t>N</t>
        </is>
      </c>
      <c r="Z37" s="61" t="inlineStr">
        <is>
          <t>Y</t>
        </is>
      </c>
      <c r="AA37" s="61" t="n">
        <v>3</v>
      </c>
      <c r="AB37" s="61" t="n">
        <v>1</v>
      </c>
      <c r="AC37" s="42" t="n">
        <v>347397</v>
      </c>
      <c r="AD37" s="42" t="n">
        <v>120</v>
      </c>
      <c r="AE37" s="42" t="n">
        <v>0</v>
      </c>
      <c r="AF37" s="42" t="n">
        <v>0</v>
      </c>
      <c r="AG37" s="42" t="n">
        <v>1</v>
      </c>
      <c r="AH37" s="42" t="n">
        <v>2</v>
      </c>
      <c r="AI37" s="42" t="n">
        <v>13</v>
      </c>
      <c r="AJ37" s="42" t="n">
        <v>1</v>
      </c>
      <c r="AK37" s="42" t="n">
        <v>0</v>
      </c>
      <c r="AL37" s="42" t="n">
        <v>12</v>
      </c>
      <c r="AM37" s="20" t="inlineStr">
        <is>
          <t>Maintain (Evolve)</t>
        </is>
      </c>
      <c r="AN37" s="62" t="n">
        <v>0</v>
      </c>
      <c r="AO37" s="64">
        <f>--($D37='START HERE'!$C$5)</f>
        <v/>
      </c>
    </row>
    <row r="38" ht="14.25" customHeight="1">
      <c r="B38" s="42" t="n">
        <v>9801</v>
      </c>
      <c r="C38" s="13" t="inlineStr">
        <is>
          <t>LC Collection MF-JPN</t>
        </is>
      </c>
      <c r="D38" s="20" t="inlineStr">
        <is>
          <t>Contract Management</t>
        </is>
      </c>
      <c r="E38" s="20" t="inlineStr">
        <is>
          <t>Mainframe Lifecomm Sub-systems</t>
        </is>
      </c>
      <c r="F38" s="61" t="inlineStr">
        <is>
          <t>FSI</t>
        </is>
      </c>
      <c r="G38" s="61" t="inlineStr">
        <is>
          <t>L</t>
        </is>
      </c>
      <c r="H38" s="20" t="inlineStr">
        <is>
          <t>Legacy core</t>
        </is>
      </c>
      <c r="I38" s="61" t="inlineStr">
        <is>
          <t>Rule 2</t>
        </is>
      </c>
      <c r="J38" s="62" t="n">
        <v>0</v>
      </c>
      <c r="K38" s="62" t="n">
        <v>0</v>
      </c>
      <c r="L38" s="62" t="n">
        <v>0</v>
      </c>
      <c r="M38" s="62" t="n">
        <v>0</v>
      </c>
      <c r="N38" s="62" t="n">
        <v>0</v>
      </c>
      <c r="O38" s="62" t="n">
        <v>0</v>
      </c>
      <c r="P38" s="62" t="n">
        <v>0</v>
      </c>
      <c r="Q38" s="62" t="n">
        <v>0</v>
      </c>
      <c r="R38" s="62" t="n">
        <v>0</v>
      </c>
      <c r="S38" s="62" t="n">
        <v>0</v>
      </c>
      <c r="T38" s="62" t="n">
        <v>0</v>
      </c>
      <c r="U38" s="62" t="n">
        <v>0</v>
      </c>
      <c r="V38" s="62" t="n">
        <v>0</v>
      </c>
      <c r="W38" s="63" t="n">
        <v>0</v>
      </c>
      <c r="X38" s="61" t="inlineStr">
        <is>
          <t>No</t>
        </is>
      </c>
      <c r="Y38" s="61" t="inlineStr">
        <is>
          <t>N</t>
        </is>
      </c>
      <c r="Z38" s="61" t="inlineStr">
        <is>
          <t>Y</t>
        </is>
      </c>
      <c r="AA38" s="61" t="n">
        <v>3</v>
      </c>
      <c r="AB38" s="61" t="n">
        <v>1</v>
      </c>
      <c r="AC38" s="42" t="n">
        <v>218706</v>
      </c>
      <c r="AD38" s="42" t="n">
        <v>0</v>
      </c>
      <c r="AE38" s="42" t="n">
        <v>0</v>
      </c>
      <c r="AF38" s="42" t="n">
        <v>0</v>
      </c>
      <c r="AG38" s="42" t="n">
        <v>4</v>
      </c>
      <c r="AH38" s="42" t="n">
        <v>3</v>
      </c>
      <c r="AI38" s="42" t="n">
        <v>8</v>
      </c>
      <c r="AJ38" s="42" t="n">
        <v>2</v>
      </c>
      <c r="AK38" s="42" t="n">
        <v>1</v>
      </c>
      <c r="AL38" s="42" t="n">
        <v>15</v>
      </c>
      <c r="AM38" s="20" t="inlineStr">
        <is>
          <t>Maintain (Evolve)</t>
        </is>
      </c>
      <c r="AN38" s="62" t="n">
        <v>0</v>
      </c>
      <c r="AO38" s="64">
        <f>--($D38='START HERE'!$C$5)</f>
        <v/>
      </c>
    </row>
    <row r="39" ht="23.25" customHeight="1">
      <c r="B39" s="42" t="n">
        <v>9814</v>
      </c>
      <c r="C39" s="13" t="inlineStr">
        <is>
          <t>Foreign MF-JPN</t>
        </is>
      </c>
      <c r="D39" s="20" t="inlineStr">
        <is>
          <t>Contract Management</t>
        </is>
      </c>
      <c r="E39" s="20" t="inlineStr">
        <is>
          <t>Mainframe Policy Management Cycle</t>
        </is>
      </c>
      <c r="F39" s="61" t="inlineStr">
        <is>
          <t>unnamed</t>
        </is>
      </c>
      <c r="G39" s="61" t="inlineStr">
        <is>
          <t>L</t>
        </is>
      </c>
      <c r="H39" s="20" t="inlineStr">
        <is>
          <t>Legacy core</t>
        </is>
      </c>
      <c r="I39" s="61" t="inlineStr">
        <is>
          <t>Rule 2</t>
        </is>
      </c>
      <c r="J39" s="62" t="n">
        <v>0</v>
      </c>
      <c r="K39" s="62" t="n">
        <v>0</v>
      </c>
      <c r="L39" s="62" t="n">
        <v>0</v>
      </c>
      <c r="M39" s="62" t="n">
        <v>0</v>
      </c>
      <c r="N39" s="62" t="n">
        <v>0</v>
      </c>
      <c r="O39" s="62" t="n">
        <v>0</v>
      </c>
      <c r="P39" s="62" t="n">
        <v>0</v>
      </c>
      <c r="Q39" s="62" t="n">
        <v>0</v>
      </c>
      <c r="R39" s="62" t="n">
        <v>0</v>
      </c>
      <c r="S39" s="62" t="n">
        <v>0</v>
      </c>
      <c r="T39" s="62" t="n">
        <v>0</v>
      </c>
      <c r="U39" s="62" t="n">
        <v>0</v>
      </c>
      <c r="V39" s="62" t="n">
        <v>0</v>
      </c>
      <c r="W39" s="63" t="n">
        <v>0</v>
      </c>
      <c r="X39" s="61" t="inlineStr">
        <is>
          <t>No</t>
        </is>
      </c>
      <c r="Y39" s="61" t="inlineStr">
        <is>
          <t>N</t>
        </is>
      </c>
      <c r="Z39" s="61" t="inlineStr">
        <is>
          <t>N</t>
        </is>
      </c>
      <c r="AA39" s="61" t="n">
        <v>3</v>
      </c>
      <c r="AB39" s="61" t="n">
        <v>1</v>
      </c>
      <c r="AC39" s="42" t="n">
        <v>2164</v>
      </c>
      <c r="AD39" s="42" t="n">
        <v>5</v>
      </c>
      <c r="AE39" s="42" t="n">
        <v>0</v>
      </c>
      <c r="AF39" s="42" t="n">
        <v>0</v>
      </c>
      <c r="AG39" s="42" t="n">
        <v>0</v>
      </c>
      <c r="AH39" s="42" t="n">
        <v>0</v>
      </c>
      <c r="AI39" s="42" t="n">
        <v>0</v>
      </c>
      <c r="AJ39" s="42" t="n">
        <v>0</v>
      </c>
      <c r="AK39" s="42" t="n">
        <v>0</v>
      </c>
      <c r="AL39" s="42" t="n">
        <v>0</v>
      </c>
      <c r="AM39" s="20" t="inlineStr">
        <is>
          <t>Maintain (Patch)</t>
        </is>
      </c>
      <c r="AN39" s="62" t="n">
        <v>0</v>
      </c>
      <c r="AO39" s="64">
        <f>--($D39='START HERE'!$C$5)</f>
        <v/>
      </c>
    </row>
    <row r="40" ht="23.25" customHeight="1">
      <c r="B40" s="42" t="n">
        <v>9818</v>
      </c>
      <c r="C40" s="13" t="inlineStr">
        <is>
          <t>SWINGMANAGER MF-JPN</t>
        </is>
      </c>
      <c r="D40" s="20" t="inlineStr">
        <is>
          <t>Contract Management</t>
        </is>
      </c>
      <c r="E40" s="20" t="inlineStr">
        <is>
          <t>Mainframe Policy Management Cycle</t>
        </is>
      </c>
      <c r="F40" s="61" t="inlineStr">
        <is>
          <t>unnamed</t>
        </is>
      </c>
      <c r="G40" s="61" t="inlineStr">
        <is>
          <t>L</t>
        </is>
      </c>
      <c r="H40" s="20" t="inlineStr">
        <is>
          <t>Legacy core</t>
        </is>
      </c>
      <c r="I40" s="61" t="inlineStr">
        <is>
          <t>Rule 2</t>
        </is>
      </c>
      <c r="J40" s="62" t="n">
        <v>0</v>
      </c>
      <c r="K40" s="62" t="n">
        <v>0</v>
      </c>
      <c r="L40" s="62" t="n">
        <v>0</v>
      </c>
      <c r="M40" s="62" t="n">
        <v>0</v>
      </c>
      <c r="N40" s="62" t="n">
        <v>0</v>
      </c>
      <c r="O40" s="62" t="n">
        <v>0</v>
      </c>
      <c r="P40" s="62" t="n">
        <v>0</v>
      </c>
      <c r="Q40" s="62" t="n">
        <v>0</v>
      </c>
      <c r="R40" s="62" t="n">
        <v>0</v>
      </c>
      <c r="S40" s="62" t="n">
        <v>0</v>
      </c>
      <c r="T40" s="62" t="n">
        <v>0</v>
      </c>
      <c r="U40" s="62" t="n">
        <v>0</v>
      </c>
      <c r="V40" s="62" t="n">
        <v>0</v>
      </c>
      <c r="W40" s="63" t="n">
        <v>0</v>
      </c>
      <c r="X40" s="61" t="inlineStr">
        <is>
          <t>No</t>
        </is>
      </c>
      <c r="Y40" s="61" t="inlineStr">
        <is>
          <t>N</t>
        </is>
      </c>
      <c r="Z40" s="61" t="inlineStr">
        <is>
          <t>N</t>
        </is>
      </c>
      <c r="AA40" s="61" t="n">
        <v>3</v>
      </c>
      <c r="AB40" s="61" t="n">
        <v>1</v>
      </c>
      <c r="AC40" s="42" t="n">
        <v>102166</v>
      </c>
      <c r="AD40" s="42" t="n">
        <v>58</v>
      </c>
      <c r="AE40" s="42" t="n">
        <v>0</v>
      </c>
      <c r="AF40" s="42" t="n">
        <v>0</v>
      </c>
      <c r="AG40" s="42" t="n">
        <v>0</v>
      </c>
      <c r="AH40" s="42" t="n">
        <v>0</v>
      </c>
      <c r="AI40" s="42" t="n">
        <v>0</v>
      </c>
      <c r="AJ40" s="42" t="n">
        <v>0</v>
      </c>
      <c r="AK40" s="42" t="n">
        <v>0</v>
      </c>
      <c r="AL40" s="42" t="n">
        <v>0</v>
      </c>
      <c r="AM40" s="20" t="inlineStr">
        <is>
          <t>Maintain (Patch)</t>
        </is>
      </c>
      <c r="AN40" s="62" t="n">
        <v>0</v>
      </c>
      <c r="AO40" s="64">
        <f>--($D40='START HERE'!$C$5)</f>
        <v/>
      </c>
    </row>
    <row r="41" ht="23.25" customHeight="1">
      <c r="B41" s="42" t="n">
        <v>9819</v>
      </c>
      <c r="C41" s="13" t="inlineStr">
        <is>
          <t>PremCollectDBMF-JPN</t>
        </is>
      </c>
      <c r="D41" s="20" t="inlineStr">
        <is>
          <t>Contract Management</t>
        </is>
      </c>
      <c r="E41" s="20" t="inlineStr">
        <is>
          <t>Mainframe Policy Management Cycle</t>
        </is>
      </c>
      <c r="F41" s="61" t="inlineStr">
        <is>
          <t>unnamed</t>
        </is>
      </c>
      <c r="G41" s="61" t="inlineStr">
        <is>
          <t>L</t>
        </is>
      </c>
      <c r="H41" s="20" t="inlineStr">
        <is>
          <t>Legacy core</t>
        </is>
      </c>
      <c r="I41" s="61" t="inlineStr">
        <is>
          <t>Rule 2</t>
        </is>
      </c>
      <c r="J41" s="62" t="n">
        <v>0</v>
      </c>
      <c r="K41" s="62" t="n">
        <v>0</v>
      </c>
      <c r="L41" s="62" t="n">
        <v>0</v>
      </c>
      <c r="M41" s="62" t="n">
        <v>0</v>
      </c>
      <c r="N41" s="62" t="n">
        <v>0</v>
      </c>
      <c r="O41" s="62" t="n">
        <v>0</v>
      </c>
      <c r="P41" s="62" t="n">
        <v>0</v>
      </c>
      <c r="Q41" s="62" t="n">
        <v>0</v>
      </c>
      <c r="R41" s="62" t="n">
        <v>0</v>
      </c>
      <c r="S41" s="62" t="n">
        <v>0</v>
      </c>
      <c r="T41" s="62" t="n">
        <v>0</v>
      </c>
      <c r="U41" s="62" t="n">
        <v>0</v>
      </c>
      <c r="V41" s="62" t="n">
        <v>0</v>
      </c>
      <c r="W41" s="63" t="n">
        <v>0</v>
      </c>
      <c r="X41" s="61" t="inlineStr">
        <is>
          <t>No</t>
        </is>
      </c>
      <c r="Y41" s="61" t="inlineStr">
        <is>
          <t>N</t>
        </is>
      </c>
      <c r="Z41" s="61" t="inlineStr">
        <is>
          <t>N</t>
        </is>
      </c>
      <c r="AA41" s="61" t="n">
        <v>3</v>
      </c>
      <c r="AB41" s="61" t="n">
        <v>1</v>
      </c>
      <c r="AC41" s="42" t="n">
        <v>14816</v>
      </c>
      <c r="AD41" s="42" t="n">
        <v>11</v>
      </c>
      <c r="AE41" s="42" t="n">
        <v>0</v>
      </c>
      <c r="AF41" s="42" t="n">
        <v>0</v>
      </c>
      <c r="AG41" s="42" t="n">
        <v>0</v>
      </c>
      <c r="AH41" s="42" t="n">
        <v>0</v>
      </c>
      <c r="AI41" s="42" t="n">
        <v>1</v>
      </c>
      <c r="AJ41" s="42" t="n">
        <v>0</v>
      </c>
      <c r="AK41" s="42" t="n">
        <v>0</v>
      </c>
      <c r="AL41" s="42" t="n">
        <v>0</v>
      </c>
      <c r="AM41" s="20" t="inlineStr">
        <is>
          <t>Maintain (Evolve)</t>
        </is>
      </c>
      <c r="AN41" s="62" t="n">
        <v>0</v>
      </c>
      <c r="AO41" s="64">
        <f>--($D41='START HERE'!$C$5)</f>
        <v/>
      </c>
    </row>
    <row r="42" ht="23.25" customHeight="1">
      <c r="B42" s="42" t="n">
        <v>9820</v>
      </c>
      <c r="C42" s="13" t="inlineStr">
        <is>
          <t>MCFA CP DB MF-JPN</t>
        </is>
      </c>
      <c r="D42" s="20" t="inlineStr">
        <is>
          <t>Contract Management</t>
        </is>
      </c>
      <c r="E42" s="20" t="inlineStr">
        <is>
          <t>Mainframe Policy Management Cycle</t>
        </is>
      </c>
      <c r="F42" s="61" t="inlineStr">
        <is>
          <t>unnamed</t>
        </is>
      </c>
      <c r="G42" s="61" t="inlineStr">
        <is>
          <t>L</t>
        </is>
      </c>
      <c r="H42" s="20" t="inlineStr">
        <is>
          <t>Legacy core</t>
        </is>
      </c>
      <c r="I42" s="61" t="inlineStr">
        <is>
          <t>Rule 2</t>
        </is>
      </c>
      <c r="J42" s="62" t="n">
        <v>0</v>
      </c>
      <c r="K42" s="62" t="n">
        <v>0</v>
      </c>
      <c r="L42" s="62" t="n">
        <v>0</v>
      </c>
      <c r="M42" s="62" t="n">
        <v>0</v>
      </c>
      <c r="N42" s="62" t="n">
        <v>0</v>
      </c>
      <c r="O42" s="62" t="n">
        <v>0</v>
      </c>
      <c r="P42" s="62" t="n">
        <v>0</v>
      </c>
      <c r="Q42" s="62" t="n">
        <v>0</v>
      </c>
      <c r="R42" s="62" t="n">
        <v>0</v>
      </c>
      <c r="S42" s="62" t="n">
        <v>0</v>
      </c>
      <c r="T42" s="62" t="n">
        <v>0</v>
      </c>
      <c r="U42" s="62" t="n">
        <v>0</v>
      </c>
      <c r="V42" s="62" t="n">
        <v>0</v>
      </c>
      <c r="W42" s="63" t="n">
        <v>0</v>
      </c>
      <c r="X42" s="61" t="inlineStr">
        <is>
          <t>No</t>
        </is>
      </c>
      <c r="Y42" s="61" t="inlineStr">
        <is>
          <t>N</t>
        </is>
      </c>
      <c r="Z42" s="61" t="inlineStr">
        <is>
          <t>Y</t>
        </is>
      </c>
      <c r="AA42" s="61" t="n">
        <v>3</v>
      </c>
      <c r="AB42" s="61" t="n">
        <v>1</v>
      </c>
      <c r="AC42" s="42" t="n">
        <v>45762</v>
      </c>
      <c r="AD42" s="42" t="n">
        <v>14</v>
      </c>
      <c r="AE42" s="42" t="n">
        <v>0</v>
      </c>
      <c r="AF42" s="42" t="n">
        <v>0</v>
      </c>
      <c r="AG42" s="42" t="n">
        <v>0</v>
      </c>
      <c r="AH42" s="42" t="n">
        <v>0</v>
      </c>
      <c r="AI42" s="42" t="n">
        <v>1</v>
      </c>
      <c r="AJ42" s="42" t="n">
        <v>0</v>
      </c>
      <c r="AK42" s="42" t="n">
        <v>0</v>
      </c>
      <c r="AL42" s="42" t="n">
        <v>0</v>
      </c>
      <c r="AM42" s="20" t="inlineStr">
        <is>
          <t>Maintain (Patch)</t>
        </is>
      </c>
      <c r="AN42" s="62" t="n">
        <v>0</v>
      </c>
      <c r="AO42" s="64">
        <f>--($D42='START HERE'!$C$5)</f>
        <v/>
      </c>
    </row>
    <row r="43" ht="14.25" customHeight="1">
      <c r="B43" s="42" t="n">
        <v>11011</v>
      </c>
      <c r="C43" s="13" t="inlineStr">
        <is>
          <t>WGLWLF-JPN</t>
        </is>
      </c>
      <c r="D43" s="20" t="inlineStr">
        <is>
          <t>Corporate Related</t>
        </is>
      </c>
      <c r="E43" s="20" t="inlineStr">
        <is>
          <t>Compliance &amp; Cooperate</t>
        </is>
      </c>
      <c r="F43" s="61" t="inlineStr">
        <is>
          <t>FSI</t>
        </is>
      </c>
      <c r="G43" s="61" t="inlineStr">
        <is>
          <t>J</t>
        </is>
      </c>
      <c r="H43" s="20" t="inlineStr">
        <is>
          <t>Japan-locked</t>
        </is>
      </c>
      <c r="I43" s="61" t="inlineStr">
        <is>
          <t>Rule 6</t>
        </is>
      </c>
      <c r="J43" s="62" t="n">
        <v>7.15</v>
      </c>
      <c r="K43" s="62" t="n">
        <v>6.07916666666667</v>
      </c>
      <c r="L43" s="62" t="n">
        <v>1.07083333333333</v>
      </c>
      <c r="M43" s="62" t="n">
        <v>0</v>
      </c>
      <c r="N43" s="62" t="n">
        <v>6.07916666666667</v>
      </c>
      <c r="O43" s="62" t="n">
        <v>0</v>
      </c>
      <c r="P43" s="62" t="n">
        <v>0</v>
      </c>
      <c r="Q43" s="62" t="n">
        <v>0</v>
      </c>
      <c r="R43" s="62" t="n">
        <v>6.07916666666667</v>
      </c>
      <c r="S43" s="62" t="n">
        <v>0</v>
      </c>
      <c r="T43" s="62" t="n">
        <v>0</v>
      </c>
      <c r="U43" s="62" t="n">
        <v>0</v>
      </c>
      <c r="V43" s="62" t="n">
        <v>0</v>
      </c>
      <c r="W43" s="63" t="n">
        <v>0.903846153846154</v>
      </c>
      <c r="X43" s="61" t="inlineStr">
        <is>
          <t>No</t>
        </is>
      </c>
      <c r="Y43" s="61" t="inlineStr">
        <is>
          <t>N</t>
        </is>
      </c>
      <c r="Z43" s="61" t="inlineStr">
        <is>
          <t>N</t>
        </is>
      </c>
      <c r="AA43" s="61" t="n">
        <v>3</v>
      </c>
      <c r="AB43" s="61" t="n">
        <v>1</v>
      </c>
      <c r="AC43" s="42" t="n">
        <v>100000</v>
      </c>
      <c r="AD43" s="42" t="n">
        <v>458</v>
      </c>
      <c r="AE43" s="42" t="n">
        <v>0</v>
      </c>
      <c r="AF43" s="42" t="n">
        <v>0</v>
      </c>
      <c r="AG43" s="42" t="n">
        <v>40</v>
      </c>
      <c r="AH43" s="42" t="n">
        <v>13</v>
      </c>
      <c r="AI43" s="42" t="n">
        <v>72</v>
      </c>
      <c r="AJ43" s="42" t="n">
        <v>31</v>
      </c>
      <c r="AK43" s="42" t="n">
        <v>18</v>
      </c>
      <c r="AL43" s="42" t="n">
        <v>166</v>
      </c>
      <c r="AM43" s="20" t="inlineStr">
        <is>
          <t>Maintain (Evolve)</t>
        </is>
      </c>
      <c r="AN43" s="62" t="n">
        <v>0</v>
      </c>
      <c r="AO43" s="64">
        <f>--($D43='START HERE'!$C$5)</f>
        <v/>
      </c>
    </row>
    <row r="44" ht="14.25" customHeight="1">
      <c r="B44" s="42" t="n">
        <v>10001</v>
      </c>
      <c r="C44" s="13" t="inlineStr">
        <is>
          <t>A06TOG-JPN</t>
        </is>
      </c>
      <c r="D44" s="20" t="inlineStr">
        <is>
          <t>Corporate Related</t>
        </is>
      </c>
      <c r="E44" s="20" t="inlineStr">
        <is>
          <t xml:space="preserve">Group Policy Management </t>
        </is>
      </c>
      <c r="F44" s="61" t="inlineStr">
        <is>
          <t>NCD</t>
        </is>
      </c>
      <c r="G44" s="61" t="inlineStr">
        <is>
          <t>L</t>
        </is>
      </c>
      <c r="H44" s="20" t="inlineStr">
        <is>
          <t>Legacy core</t>
        </is>
      </c>
      <c r="I44" s="61" t="inlineStr">
        <is>
          <t>Rule 2</t>
        </is>
      </c>
      <c r="J44" s="62" t="n">
        <v>5.75416666666667</v>
      </c>
      <c r="K44" s="62" t="n">
        <v>2.72916666666667</v>
      </c>
      <c r="L44" s="62" t="n">
        <v>3.025</v>
      </c>
      <c r="M44" s="62" t="n">
        <v>0</v>
      </c>
      <c r="N44" s="62" t="n">
        <v>2.72916666666667</v>
      </c>
      <c r="O44" s="62" t="n">
        <v>0</v>
      </c>
      <c r="P44" s="62" t="n">
        <v>0</v>
      </c>
      <c r="Q44" s="62" t="n">
        <v>0</v>
      </c>
      <c r="R44" s="62" t="n">
        <v>2.72916666666667</v>
      </c>
      <c r="S44" s="62" t="n">
        <v>0</v>
      </c>
      <c r="T44" s="62" t="n">
        <v>0</v>
      </c>
      <c r="U44" s="62" t="n">
        <v>0</v>
      </c>
      <c r="V44" s="62" t="n">
        <v>0</v>
      </c>
      <c r="W44" s="63" t="n">
        <v>0.3454018826937</v>
      </c>
      <c r="X44" s="61" t="inlineStr">
        <is>
          <t>No</t>
        </is>
      </c>
      <c r="Y44" s="61" t="inlineStr">
        <is>
          <t>N</t>
        </is>
      </c>
      <c r="Z44" s="61" t="inlineStr">
        <is>
          <t>Y</t>
        </is>
      </c>
      <c r="AA44" s="61" t="n">
        <v>3</v>
      </c>
      <c r="AB44" s="61" t="n">
        <v>1</v>
      </c>
      <c r="AC44" s="42" t="n">
        <v>0</v>
      </c>
      <c r="AD44" s="42" t="n">
        <v>489</v>
      </c>
      <c r="AE44" s="42" t="n">
        <v>0</v>
      </c>
      <c r="AF44" s="42" t="n">
        <v>0</v>
      </c>
      <c r="AG44" s="42" t="n">
        <v>11</v>
      </c>
      <c r="AH44" s="42" t="n">
        <v>8</v>
      </c>
      <c r="AI44" s="42" t="n">
        <v>74</v>
      </c>
      <c r="AJ44" s="42" t="n">
        <v>8</v>
      </c>
      <c r="AK44" s="42" t="n">
        <v>37</v>
      </c>
      <c r="AL44" s="42" t="n">
        <v>206</v>
      </c>
      <c r="AM44" s="20" t="inlineStr">
        <is>
          <t>Maintain (Patch)</t>
        </is>
      </c>
      <c r="AN44" s="62" t="n">
        <v>0</v>
      </c>
      <c r="AO44" s="64">
        <f>--($D44='START HERE'!$C$5)</f>
        <v/>
      </c>
    </row>
    <row r="45" ht="14.25" customHeight="1">
      <c r="B45" s="42" t="n">
        <v>13262</v>
      </c>
      <c r="C45" s="13" t="inlineStr">
        <is>
          <t>Business Content Management</t>
        </is>
      </c>
      <c r="D45" s="20" t="inlineStr">
        <is>
          <t>Corporate Related</t>
        </is>
      </c>
      <c r="E45" s="20" t="inlineStr">
        <is>
          <t>Cooperate, Performance</t>
        </is>
      </c>
      <c r="F45" s="61" t="inlineStr">
        <is>
          <t>CG</t>
        </is>
      </c>
      <c r="G45" s="61" t="inlineStr">
        <is>
          <t>D</t>
        </is>
      </c>
      <c r="H45" s="20" t="inlineStr">
        <is>
          <t>Distributed-proven</t>
        </is>
      </c>
      <c r="I45" s="61" t="inlineStr">
        <is>
          <t>Rule 4</t>
        </is>
      </c>
      <c r="J45" s="62" t="n">
        <v>3.76333333333333</v>
      </c>
      <c r="K45" s="62" t="n">
        <v>1.51333333333333</v>
      </c>
      <c r="L45" s="62" t="n">
        <v>1.75</v>
      </c>
      <c r="M45" s="62" t="n">
        <v>0.5</v>
      </c>
      <c r="N45" s="62" t="n">
        <v>0</v>
      </c>
      <c r="O45" s="62" t="n">
        <v>1.51333333333333</v>
      </c>
      <c r="P45" s="62" t="n">
        <v>0</v>
      </c>
      <c r="Q45" s="62" t="n">
        <v>0</v>
      </c>
      <c r="R45" s="62" t="n">
        <v>1.51333333333333</v>
      </c>
      <c r="S45" s="62" t="n">
        <v>0</v>
      </c>
      <c r="T45" s="62" t="n">
        <v>0</v>
      </c>
      <c r="U45" s="62" t="n">
        <v>0</v>
      </c>
      <c r="V45" s="62" t="n">
        <v>0</v>
      </c>
      <c r="W45" s="63" t="n">
        <v>0.211470327723649</v>
      </c>
      <c r="X45" s="61" t="inlineStr">
        <is>
          <t>Yes</t>
        </is>
      </c>
      <c r="Y45" s="61" t="inlineStr">
        <is>
          <t>N</t>
        </is>
      </c>
      <c r="Z45" s="61" t="inlineStr">
        <is>
          <t>N</t>
        </is>
      </c>
      <c r="AA45" s="61" t="n">
        <v>2</v>
      </c>
      <c r="AB45" s="61" t="n">
        <v>3</v>
      </c>
      <c r="AC45" s="42" t="n">
        <v>35809</v>
      </c>
      <c r="AD45" s="42" t="n">
        <v>0</v>
      </c>
      <c r="AE45" s="42" t="n">
        <v>0</v>
      </c>
      <c r="AF45" s="42" t="n">
        <v>0</v>
      </c>
      <c r="AG45" s="42" t="n">
        <v>9</v>
      </c>
      <c r="AH45" s="42" t="n">
        <v>4</v>
      </c>
      <c r="AI45" s="42" t="n">
        <v>121</v>
      </c>
      <c r="AJ45" s="42" t="n">
        <v>7</v>
      </c>
      <c r="AK45" s="42" t="n">
        <v>24</v>
      </c>
      <c r="AL45" s="42" t="n">
        <v>124</v>
      </c>
      <c r="AM45" s="20" t="inlineStr">
        <is>
          <t>Maintain (Evolve)</t>
        </is>
      </c>
      <c r="AN45" s="62" t="n">
        <v>0.5</v>
      </c>
      <c r="AO45" s="64">
        <f>--($D45='START HERE'!$C$5)</f>
        <v/>
      </c>
    </row>
    <row r="46" ht="14.25" customHeight="1">
      <c r="B46" s="42" t="n">
        <v>13812</v>
      </c>
      <c r="C46" s="13" t="inlineStr">
        <is>
          <t>Corporate Batch</t>
        </is>
      </c>
      <c r="D46" s="20" t="inlineStr">
        <is>
          <t>Corporate Related</t>
        </is>
      </c>
      <c r="E46" s="20" t="inlineStr">
        <is>
          <t>Compliance &amp; Cooperate</t>
        </is>
      </c>
      <c r="F46" s="61" t="inlineStr">
        <is>
          <t>NCD</t>
        </is>
      </c>
      <c r="G46" s="61" t="inlineStr">
        <is>
          <t>J</t>
        </is>
      </c>
      <c r="H46" s="20" t="inlineStr">
        <is>
          <t>Japan-locked</t>
        </is>
      </c>
      <c r="I46" s="61" t="inlineStr">
        <is>
          <t>Rule 6</t>
        </is>
      </c>
      <c r="J46" s="62" t="n">
        <v>3.74</v>
      </c>
      <c r="K46" s="62" t="n">
        <v>2.04</v>
      </c>
      <c r="L46" s="62" t="n">
        <v>1.7</v>
      </c>
      <c r="M46" s="62" t="n">
        <v>0</v>
      </c>
      <c r="N46" s="62" t="n">
        <v>2.04</v>
      </c>
      <c r="O46" s="62" t="n">
        <v>0</v>
      </c>
      <c r="P46" s="62" t="n">
        <v>0</v>
      </c>
      <c r="Q46" s="62" t="n">
        <v>0</v>
      </c>
      <c r="R46" s="62" t="n">
        <v>2.04</v>
      </c>
      <c r="S46" s="62" t="n">
        <v>0</v>
      </c>
      <c r="T46" s="62" t="n">
        <v>0</v>
      </c>
      <c r="U46" s="62" t="n">
        <v>0</v>
      </c>
      <c r="V46" s="62" t="n">
        <v>0</v>
      </c>
      <c r="W46" s="63" t="n">
        <v>0.308377896613191</v>
      </c>
      <c r="X46" s="61" t="inlineStr">
        <is>
          <t>No</t>
        </is>
      </c>
      <c r="Y46" s="61" t="inlineStr">
        <is>
          <t>N</t>
        </is>
      </c>
      <c r="Z46" s="61" t="inlineStr">
        <is>
          <t>N</t>
        </is>
      </c>
      <c r="AA46" s="61" t="n">
        <v>3</v>
      </c>
      <c r="AB46" s="61" t="n">
        <v>3</v>
      </c>
      <c r="AC46" s="42" t="n">
        <v>273418</v>
      </c>
      <c r="AD46" s="42" t="n">
        <v>54</v>
      </c>
      <c r="AE46" s="42" t="n">
        <v>0</v>
      </c>
      <c r="AF46" s="42" t="n">
        <v>0</v>
      </c>
      <c r="AG46" s="42" t="n">
        <v>10</v>
      </c>
      <c r="AH46" s="42" t="n">
        <v>26</v>
      </c>
      <c r="AI46" s="42" t="n">
        <v>66</v>
      </c>
      <c r="AJ46" s="42" t="n">
        <v>12</v>
      </c>
      <c r="AK46" s="42" t="n">
        <v>0</v>
      </c>
      <c r="AL46" s="42" t="n">
        <v>132</v>
      </c>
      <c r="AM46" s="20" t="inlineStr">
        <is>
          <t>Maintain (Patch)</t>
        </is>
      </c>
      <c r="AN46" s="62" t="n">
        <v>0</v>
      </c>
      <c r="AO46" s="64">
        <f>--($D46='START HERE'!$C$5)</f>
        <v/>
      </c>
    </row>
    <row r="47" ht="14.25" customHeight="1">
      <c r="B47" s="42" t="n">
        <v>9986</v>
      </c>
      <c r="C47" s="13" t="inlineStr">
        <is>
          <t>ZGLEST-JPN</t>
        </is>
      </c>
      <c r="D47" s="20" t="inlineStr">
        <is>
          <t>Corporate Related</t>
        </is>
      </c>
      <c r="E47" s="20" t="inlineStr">
        <is>
          <t>Compliance &amp; Cooperate</t>
        </is>
      </c>
      <c r="F47" s="61" t="inlineStr">
        <is>
          <t>FSI</t>
        </is>
      </c>
      <c r="G47" s="61" t="inlineStr">
        <is>
          <t>J</t>
        </is>
      </c>
      <c r="H47" s="20" t="inlineStr">
        <is>
          <t>Japan-locked</t>
        </is>
      </c>
      <c r="I47" s="61" t="inlineStr">
        <is>
          <t>Rule 6</t>
        </is>
      </c>
      <c r="J47" s="62" t="n">
        <v>3.0135</v>
      </c>
      <c r="K47" s="62" t="n">
        <v>2.44266666666667</v>
      </c>
      <c r="L47" s="62" t="n">
        <v>0.570833333333333</v>
      </c>
      <c r="M47" s="62" t="n">
        <v>0</v>
      </c>
      <c r="N47" s="62" t="n">
        <v>2.44266666666667</v>
      </c>
      <c r="O47" s="62" t="n">
        <v>0</v>
      </c>
      <c r="P47" s="62" t="n">
        <v>0</v>
      </c>
      <c r="Q47" s="62" t="n">
        <v>0</v>
      </c>
      <c r="R47" s="62" t="n">
        <v>2.44266666666667</v>
      </c>
      <c r="S47" s="62" t="n">
        <v>0</v>
      </c>
      <c r="T47" s="62" t="n">
        <v>0</v>
      </c>
      <c r="U47" s="62" t="n">
        <v>0</v>
      </c>
      <c r="V47" s="62" t="n">
        <v>0</v>
      </c>
      <c r="W47" s="63" t="n">
        <v>0.27515071069078</v>
      </c>
      <c r="X47" s="61" t="inlineStr">
        <is>
          <t>No</t>
        </is>
      </c>
      <c r="Y47" s="61" t="inlineStr">
        <is>
          <t>N</t>
        </is>
      </c>
      <c r="Z47" s="61" t="inlineStr">
        <is>
          <t>N</t>
        </is>
      </c>
      <c r="AA47" s="61" t="n">
        <v>3</v>
      </c>
      <c r="AB47" s="61" t="n">
        <v>1</v>
      </c>
      <c r="AC47" s="42" t="n">
        <v>274025</v>
      </c>
      <c r="AD47" s="42" t="n">
        <v>16</v>
      </c>
      <c r="AE47" s="42" t="n">
        <v>0</v>
      </c>
      <c r="AF47" s="42" t="n">
        <v>0</v>
      </c>
      <c r="AG47" s="42" t="n">
        <v>1</v>
      </c>
      <c r="AH47" s="42" t="n">
        <v>18</v>
      </c>
      <c r="AI47" s="42" t="n">
        <v>567</v>
      </c>
      <c r="AJ47" s="42" t="n">
        <v>1</v>
      </c>
      <c r="AK47" s="42" t="n">
        <v>25</v>
      </c>
      <c r="AL47" s="42" t="n">
        <v>94</v>
      </c>
      <c r="AM47" s="20" t="inlineStr">
        <is>
          <t>Maintain (Patch)</t>
        </is>
      </c>
      <c r="AN47" s="62" t="n">
        <v>0</v>
      </c>
      <c r="AO47" s="64">
        <f>--($D47='START HERE'!$C$5)</f>
        <v/>
      </c>
    </row>
    <row r="48" ht="14.25" customHeight="1">
      <c r="B48" s="42" t="n">
        <v>10032</v>
      </c>
      <c r="C48" s="13" t="inlineStr">
        <is>
          <t>W06TGR-JPN</t>
        </is>
      </c>
      <c r="D48" s="20" t="inlineStr">
        <is>
          <t>Corporate Related</t>
        </is>
      </c>
      <c r="E48" s="20" t="inlineStr">
        <is>
          <t xml:space="preserve">Group Policy Management </t>
        </is>
      </c>
      <c r="F48" s="61" t="inlineStr">
        <is>
          <t>CG</t>
        </is>
      </c>
      <c r="G48" s="61" t="inlineStr">
        <is>
          <t>T</t>
        </is>
      </c>
      <c r="H48" s="20" t="inlineStr">
        <is>
          <t>Long tail</t>
        </is>
      </c>
      <c r="I48" s="61" t="inlineStr">
        <is>
          <t>Rule 3</t>
        </is>
      </c>
      <c r="J48" s="62" t="n">
        <v>2.8</v>
      </c>
      <c r="K48" s="62" t="n">
        <v>1.85833333333333</v>
      </c>
      <c r="L48" s="62" t="n">
        <v>0.941666666666667</v>
      </c>
      <c r="M48" s="62" t="n">
        <v>0</v>
      </c>
      <c r="N48" s="62" t="n">
        <v>1.85833333333333</v>
      </c>
      <c r="O48" s="62" t="n">
        <v>0</v>
      </c>
      <c r="P48" s="62" t="n">
        <v>0</v>
      </c>
      <c r="Q48" s="62" t="n">
        <v>0</v>
      </c>
      <c r="R48" s="62" t="n">
        <v>1.85833333333333</v>
      </c>
      <c r="S48" s="62" t="n">
        <v>0</v>
      </c>
      <c r="T48" s="62" t="n">
        <v>0</v>
      </c>
      <c r="U48" s="62" t="n">
        <v>0</v>
      </c>
      <c r="V48" s="62" t="n">
        <v>0</v>
      </c>
      <c r="W48" s="63" t="n">
        <v>0.269345238095238</v>
      </c>
      <c r="X48" s="61" t="inlineStr">
        <is>
          <t>No</t>
        </is>
      </c>
      <c r="Y48" s="61" t="inlineStr">
        <is>
          <t>N</t>
        </is>
      </c>
      <c r="Z48" s="61" t="inlineStr">
        <is>
          <t>Y</t>
        </is>
      </c>
      <c r="AA48" s="61" t="n">
        <v>3</v>
      </c>
      <c r="AB48" s="61" t="n">
        <v>1</v>
      </c>
      <c r="AC48" s="42" t="n">
        <v>0</v>
      </c>
      <c r="AD48" s="42" t="n">
        <v>15</v>
      </c>
      <c r="AE48" s="42" t="n">
        <v>0</v>
      </c>
      <c r="AF48" s="42" t="n">
        <v>0</v>
      </c>
      <c r="AG48" s="42" t="n">
        <v>17</v>
      </c>
      <c r="AH48" s="42" t="n">
        <v>5</v>
      </c>
      <c r="AI48" s="42" t="n">
        <v>16</v>
      </c>
      <c r="AJ48" s="42" t="n">
        <v>9</v>
      </c>
      <c r="AK48" s="42" t="n">
        <v>4</v>
      </c>
      <c r="AL48" s="42" t="n">
        <v>96</v>
      </c>
      <c r="AM48" s="20" t="inlineStr">
        <is>
          <t>Maintain (Patch)</t>
        </is>
      </c>
      <c r="AN48" s="62" t="n">
        <v>0.5</v>
      </c>
      <c r="AO48" s="64">
        <f>--($D48='START HERE'!$C$5)</f>
        <v/>
      </c>
    </row>
    <row r="49" ht="14.25" customHeight="1">
      <c r="B49" s="42" t="n">
        <v>9930</v>
      </c>
      <c r="C49" s="13" t="inlineStr">
        <is>
          <t>A04MMP-JPN</t>
        </is>
      </c>
      <c r="D49" s="20" t="inlineStr">
        <is>
          <t>Corporate Related</t>
        </is>
      </c>
      <c r="E49" s="20" t="inlineStr">
        <is>
          <t xml:space="preserve">Group Policy Management </t>
        </is>
      </c>
      <c r="F49" s="61" t="inlineStr">
        <is>
          <t>NCD</t>
        </is>
      </c>
      <c r="G49" s="61" t="inlineStr">
        <is>
          <t>L</t>
        </is>
      </c>
      <c r="H49" s="20" t="inlineStr">
        <is>
          <t>Legacy core</t>
        </is>
      </c>
      <c r="I49" s="61" t="inlineStr">
        <is>
          <t>Rule 2</t>
        </is>
      </c>
      <c r="J49" s="62" t="n">
        <v>2.48333333333333</v>
      </c>
      <c r="K49" s="62" t="n">
        <v>2.40833333333333</v>
      </c>
      <c r="L49" s="62" t="n">
        <v>0.075</v>
      </c>
      <c r="M49" s="62" t="n">
        <v>0</v>
      </c>
      <c r="N49" s="62" t="n">
        <v>2.40833333333333</v>
      </c>
      <c r="O49" s="62" t="n">
        <v>0</v>
      </c>
      <c r="P49" s="62" t="n">
        <v>0</v>
      </c>
      <c r="Q49" s="62" t="n">
        <v>0</v>
      </c>
      <c r="R49" s="62" t="n">
        <v>2.40833333333333</v>
      </c>
      <c r="S49" s="62" t="n">
        <v>0</v>
      </c>
      <c r="T49" s="62" t="n">
        <v>0</v>
      </c>
      <c r="U49" s="62" t="n">
        <v>0</v>
      </c>
      <c r="V49" s="62" t="n">
        <v>0</v>
      </c>
      <c r="W49" s="63" t="n">
        <v>0.8993288590604031</v>
      </c>
      <c r="X49" s="61" t="inlineStr">
        <is>
          <t>No</t>
        </is>
      </c>
      <c r="Y49" s="61" t="inlineStr">
        <is>
          <t>N</t>
        </is>
      </c>
      <c r="Z49" s="61" t="inlineStr">
        <is>
          <t>Y</t>
        </is>
      </c>
      <c r="AA49" s="61" t="n">
        <v>3</v>
      </c>
      <c r="AB49" s="61" t="n">
        <v>1</v>
      </c>
      <c r="AC49" s="42" t="n">
        <v>0</v>
      </c>
      <c r="AD49" s="42" t="n">
        <v>378</v>
      </c>
      <c r="AE49" s="42" t="n">
        <v>0</v>
      </c>
      <c r="AF49" s="42" t="n">
        <v>0</v>
      </c>
      <c r="AG49" s="42" t="n">
        <v>8</v>
      </c>
      <c r="AH49" s="42" t="n">
        <v>24</v>
      </c>
      <c r="AI49" s="42" t="n">
        <v>207</v>
      </c>
      <c r="AJ49" s="42" t="n">
        <v>3</v>
      </c>
      <c r="AK49" s="42" t="n">
        <v>10</v>
      </c>
      <c r="AL49" s="42" t="n">
        <v>62</v>
      </c>
      <c r="AM49" s="20" t="inlineStr">
        <is>
          <t>Maintain (Patch)</t>
        </is>
      </c>
      <c r="AN49" s="62" t="n">
        <v>0</v>
      </c>
      <c r="AO49" s="64">
        <f>--($D49='START HERE'!$C$5)</f>
        <v/>
      </c>
    </row>
    <row r="50" ht="23.25" customHeight="1">
      <c r="B50" s="42" t="n">
        <v>9964</v>
      </c>
      <c r="C50" s="13" t="inlineStr">
        <is>
          <t>WAANSO-JPN</t>
        </is>
      </c>
      <c r="D50" s="20" t="inlineStr">
        <is>
          <t>Corporate Related</t>
        </is>
      </c>
      <c r="E50" s="20" t="inlineStr">
        <is>
          <t>Cooperate, Performance</t>
        </is>
      </c>
      <c r="F50" s="61" t="inlineStr">
        <is>
          <t>unnamed</t>
        </is>
      </c>
      <c r="G50" s="61" t="inlineStr">
        <is>
          <t>T</t>
        </is>
      </c>
      <c r="H50" s="20" t="inlineStr">
        <is>
          <t>Long tail</t>
        </is>
      </c>
      <c r="I50" s="61" t="inlineStr">
        <is>
          <t>Rule 3</t>
        </is>
      </c>
      <c r="J50" s="62" t="n">
        <v>2.31583333333333</v>
      </c>
      <c r="K50" s="62" t="n">
        <v>1.95333333333333</v>
      </c>
      <c r="L50" s="62" t="n">
        <v>0.3625</v>
      </c>
      <c r="M50" s="62" t="n">
        <v>0</v>
      </c>
      <c r="N50" s="62" t="n">
        <v>1.745</v>
      </c>
      <c r="O50" s="62" t="n">
        <v>0</v>
      </c>
      <c r="P50" s="62" t="n">
        <v>0</v>
      </c>
      <c r="Q50" s="62" t="n">
        <v>0</v>
      </c>
      <c r="R50" s="62" t="n">
        <v>1.95333333333333</v>
      </c>
      <c r="S50" s="62" t="n">
        <v>0</v>
      </c>
      <c r="T50" s="62" t="n">
        <v>0</v>
      </c>
      <c r="U50" s="62" t="n">
        <v>0</v>
      </c>
      <c r="V50" s="62" t="n">
        <v>0</v>
      </c>
      <c r="W50" s="63" t="n">
        <v>0.908240374235336</v>
      </c>
      <c r="X50" s="61" t="inlineStr">
        <is>
          <t>No</t>
        </is>
      </c>
      <c r="Y50" s="61" t="inlineStr">
        <is>
          <t>N</t>
        </is>
      </c>
      <c r="Z50" s="61" t="inlineStr">
        <is>
          <t>N</t>
        </is>
      </c>
      <c r="AA50" s="61" t="n">
        <v>3</v>
      </c>
      <c r="AB50" s="61" t="n">
        <v>1</v>
      </c>
      <c r="AC50" s="42" t="n">
        <v>0</v>
      </c>
      <c r="AD50" s="42" t="n">
        <v>3</v>
      </c>
      <c r="AE50" s="42" t="n">
        <v>0</v>
      </c>
      <c r="AF50" s="42" t="n">
        <v>0</v>
      </c>
      <c r="AG50" s="42" t="n">
        <v>1</v>
      </c>
      <c r="AH50" s="42" t="n">
        <v>1</v>
      </c>
      <c r="AI50" s="42" t="n">
        <v>18</v>
      </c>
      <c r="AJ50" s="42" t="n">
        <v>1</v>
      </c>
      <c r="AK50" s="42" t="n">
        <v>0</v>
      </c>
      <c r="AL50" s="42" t="n">
        <v>39</v>
      </c>
      <c r="AM50" s="20" t="inlineStr">
        <is>
          <t>Maintain (Evolve)</t>
        </is>
      </c>
      <c r="AN50" s="62" t="n">
        <v>0</v>
      </c>
      <c r="AO50" s="64">
        <f>--($D50='START HERE'!$C$5)</f>
        <v/>
      </c>
    </row>
    <row r="51" ht="23.25" customHeight="1">
      <c r="B51" s="42" t="n">
        <v>14930</v>
      </c>
      <c r="C51" s="13" t="inlineStr">
        <is>
          <t>Vcalc-JPN</t>
        </is>
      </c>
      <c r="D51" s="20" t="inlineStr">
        <is>
          <t>Corporate Related</t>
        </is>
      </c>
      <c r="E51" s="20" t="inlineStr">
        <is>
          <t xml:space="preserve">Group Policy Management </t>
        </is>
      </c>
      <c r="F51" s="61" t="inlineStr">
        <is>
          <t>unnamed</t>
        </is>
      </c>
      <c r="G51" s="61" t="inlineStr">
        <is>
          <t>T</t>
        </is>
      </c>
      <c r="H51" s="20" t="inlineStr">
        <is>
          <t>Long tail</t>
        </is>
      </c>
      <c r="I51" s="61" t="inlineStr">
        <is>
          <t>Rule 3</t>
        </is>
      </c>
      <c r="J51" s="62" t="n">
        <v>2</v>
      </c>
      <c r="K51" s="62" t="n">
        <v>1.5</v>
      </c>
      <c r="L51" s="62" t="n">
        <v>0.5</v>
      </c>
      <c r="M51" s="62" t="n">
        <v>0</v>
      </c>
      <c r="N51" s="62" t="n">
        <v>1.5</v>
      </c>
      <c r="O51" s="62" t="n">
        <v>0</v>
      </c>
      <c r="P51" s="62" t="n">
        <v>0</v>
      </c>
      <c r="Q51" s="62" t="n">
        <v>0</v>
      </c>
      <c r="R51" s="62" t="n">
        <v>1.5</v>
      </c>
      <c r="S51" s="62" t="n">
        <v>0</v>
      </c>
      <c r="T51" s="62" t="n">
        <v>0</v>
      </c>
      <c r="U51" s="62" t="n">
        <v>0</v>
      </c>
      <c r="V51" s="62" t="n">
        <v>0</v>
      </c>
      <c r="W51" s="63" t="n">
        <v>1</v>
      </c>
      <c r="X51" s="61" t="inlineStr">
        <is>
          <t>Yes</t>
        </is>
      </c>
      <c r="Y51" s="61" t="inlineStr">
        <is>
          <t>N</t>
        </is>
      </c>
      <c r="Z51" s="61" t="inlineStr">
        <is>
          <t>N</t>
        </is>
      </c>
      <c r="AA51" s="61" t="n">
        <v>3</v>
      </c>
      <c r="AB51" s="61" t="n">
        <v>1</v>
      </c>
      <c r="AC51" s="42" t="n">
        <v>0</v>
      </c>
      <c r="AD51" s="42" t="n">
        <v>1</v>
      </c>
      <c r="AE51" s="42" t="n">
        <v>0</v>
      </c>
      <c r="AF51" s="42" t="n">
        <v>0</v>
      </c>
      <c r="AG51" s="42" t="n">
        <v>0</v>
      </c>
      <c r="AH51" s="42" t="n">
        <v>0</v>
      </c>
      <c r="AI51" s="42" t="n">
        <v>2</v>
      </c>
      <c r="AJ51" s="42" t="n">
        <v>0</v>
      </c>
      <c r="AK51" s="42" t="n">
        <v>0</v>
      </c>
      <c r="AL51" s="42" t="n">
        <v>3</v>
      </c>
      <c r="AM51" s="20" t="inlineStr">
        <is>
          <t>n/a</t>
        </is>
      </c>
      <c r="AN51" s="62" t="n">
        <v>0</v>
      </c>
      <c r="AO51" s="64">
        <f>--($D51='START HERE'!$C$5)</f>
        <v/>
      </c>
    </row>
    <row r="52" ht="14.25" customHeight="1">
      <c r="B52" s="42" t="n">
        <v>11010</v>
      </c>
      <c r="C52" s="13" t="inlineStr">
        <is>
          <t>ZGLEDQ-JPN</t>
        </is>
      </c>
      <c r="D52" s="20" t="inlineStr">
        <is>
          <t>Corporate Related</t>
        </is>
      </c>
      <c r="E52" s="20" t="inlineStr">
        <is>
          <t>Compliance &amp; Cooperate</t>
        </is>
      </c>
      <c r="F52" s="61" t="inlineStr">
        <is>
          <t>FSI</t>
        </is>
      </c>
      <c r="G52" s="61" t="inlineStr">
        <is>
          <t>T</t>
        </is>
      </c>
      <c r="H52" s="20" t="inlineStr">
        <is>
          <t>Long tail</t>
        </is>
      </c>
      <c r="I52" s="61" t="inlineStr">
        <is>
          <t>Rule 3</t>
        </is>
      </c>
      <c r="J52" s="62" t="n">
        <v>1.7875</v>
      </c>
      <c r="K52" s="62" t="n">
        <v>1.25833333333333</v>
      </c>
      <c r="L52" s="62" t="n">
        <v>0.0291666666666667</v>
      </c>
      <c r="M52" s="62" t="n">
        <v>0.5</v>
      </c>
      <c r="N52" s="62" t="n">
        <v>1.25833333333333</v>
      </c>
      <c r="O52" s="62" t="n">
        <v>0</v>
      </c>
      <c r="P52" s="62" t="n">
        <v>0</v>
      </c>
      <c r="Q52" s="62" t="n">
        <v>0</v>
      </c>
      <c r="R52" s="62" t="n">
        <v>1.25833333333333</v>
      </c>
      <c r="S52" s="62" t="n">
        <v>0</v>
      </c>
      <c r="T52" s="62" t="n">
        <v>0</v>
      </c>
      <c r="U52" s="62" t="n">
        <v>0</v>
      </c>
      <c r="V52" s="62" t="n">
        <v>0</v>
      </c>
      <c r="W52" s="63" t="n">
        <v>0.557109557109557</v>
      </c>
      <c r="X52" s="61" t="inlineStr">
        <is>
          <t>Yes</t>
        </is>
      </c>
      <c r="Y52" s="61" t="inlineStr">
        <is>
          <t>N</t>
        </is>
      </c>
      <c r="Z52" s="61" t="inlineStr">
        <is>
          <t>N</t>
        </is>
      </c>
      <c r="AA52" s="61" t="n">
        <v>3</v>
      </c>
      <c r="AB52" s="61" t="n">
        <v>3</v>
      </c>
      <c r="AC52" s="42" t="n">
        <v>34000</v>
      </c>
      <c r="AD52" s="42" t="n">
        <v>102</v>
      </c>
      <c r="AE52" s="42" t="n">
        <v>0</v>
      </c>
      <c r="AF52" s="42" t="n">
        <v>0</v>
      </c>
      <c r="AG52" s="42" t="n">
        <v>3</v>
      </c>
      <c r="AH52" s="42" t="n">
        <v>3</v>
      </c>
      <c r="AI52" s="42" t="n">
        <v>73</v>
      </c>
      <c r="AJ52" s="42" t="n">
        <v>4</v>
      </c>
      <c r="AK52" s="42" t="n">
        <v>2</v>
      </c>
      <c r="AL52" s="42" t="n">
        <v>61</v>
      </c>
      <c r="AM52" s="20" t="inlineStr">
        <is>
          <t>Refactor</t>
        </is>
      </c>
      <c r="AN52" s="62" t="n">
        <v>0</v>
      </c>
      <c r="AO52" s="64">
        <f>--($D52='START HERE'!$C$5)</f>
        <v/>
      </c>
    </row>
    <row r="53" ht="23.25" customHeight="1">
      <c r="B53" s="42" t="n">
        <v>9899</v>
      </c>
      <c r="C53" s="13" t="inlineStr">
        <is>
          <t>W08CIS-JPN</t>
        </is>
      </c>
      <c r="D53" s="20" t="inlineStr">
        <is>
          <t>Corporate Related</t>
        </is>
      </c>
      <c r="E53" s="20" t="inlineStr">
        <is>
          <t>Cooperate, Performance</t>
        </is>
      </c>
      <c r="F53" s="61" t="inlineStr">
        <is>
          <t>unnamed</t>
        </is>
      </c>
      <c r="G53" s="61" t="inlineStr">
        <is>
          <t>T</t>
        </is>
      </c>
      <c r="H53" s="20" t="inlineStr">
        <is>
          <t>Long tail</t>
        </is>
      </c>
      <c r="I53" s="61" t="inlineStr">
        <is>
          <t>Rule 3</t>
        </is>
      </c>
      <c r="J53" s="62" t="n">
        <v>1.73329166666667</v>
      </c>
      <c r="K53" s="62" t="n">
        <v>1.204125</v>
      </c>
      <c r="L53" s="62" t="n">
        <v>0.529166666666667</v>
      </c>
      <c r="M53" s="62" t="n">
        <v>0</v>
      </c>
      <c r="N53" s="62" t="n">
        <v>1.204125</v>
      </c>
      <c r="O53" s="62" t="n">
        <v>0</v>
      </c>
      <c r="P53" s="62" t="n">
        <v>0</v>
      </c>
      <c r="Q53" s="62" t="n">
        <v>0</v>
      </c>
      <c r="R53" s="62" t="n">
        <v>1.204125</v>
      </c>
      <c r="S53" s="62" t="n">
        <v>0</v>
      </c>
      <c r="T53" s="62" t="n">
        <v>0</v>
      </c>
      <c r="U53" s="62" t="n">
        <v>0</v>
      </c>
      <c r="V53" s="62" t="n">
        <v>0</v>
      </c>
      <c r="W53" s="63" t="n">
        <v>0.8269189163201039</v>
      </c>
      <c r="X53" s="61" t="inlineStr">
        <is>
          <t>No</t>
        </is>
      </c>
      <c r="Y53" s="61" t="inlineStr">
        <is>
          <t>N</t>
        </is>
      </c>
      <c r="Z53" s="61" t="inlineStr">
        <is>
          <t>N</t>
        </is>
      </c>
      <c r="AA53" s="61" t="n">
        <v>3</v>
      </c>
      <c r="AB53" s="61" t="n">
        <v>1</v>
      </c>
      <c r="AC53" s="42" t="n">
        <v>0</v>
      </c>
      <c r="AD53" s="42" t="n">
        <v>23</v>
      </c>
      <c r="AE53" s="42" t="n">
        <v>0</v>
      </c>
      <c r="AF53" s="42" t="n">
        <v>0</v>
      </c>
      <c r="AG53" s="42" t="n">
        <v>0</v>
      </c>
      <c r="AH53" s="42" t="n">
        <v>3</v>
      </c>
      <c r="AI53" s="42" t="n">
        <v>33</v>
      </c>
      <c r="AJ53" s="42" t="n">
        <v>0</v>
      </c>
      <c r="AK53" s="42" t="n">
        <v>4</v>
      </c>
      <c r="AL53" s="42" t="n">
        <v>95</v>
      </c>
      <c r="AM53" s="20" t="inlineStr">
        <is>
          <t>Maintain (Evolve)</t>
        </is>
      </c>
      <c r="AN53" s="62" t="n">
        <v>0</v>
      </c>
      <c r="AO53" s="64">
        <f>--($D53='START HERE'!$C$5)</f>
        <v/>
      </c>
    </row>
    <row r="54" ht="23.25" customHeight="1">
      <c r="B54" s="42" t="n">
        <v>9890</v>
      </c>
      <c r="C54" s="13" t="inlineStr">
        <is>
          <t>W08HTN-JPN</t>
        </is>
      </c>
      <c r="D54" s="20" t="inlineStr">
        <is>
          <t>Corporate Related</t>
        </is>
      </c>
      <c r="E54" s="20" t="inlineStr">
        <is>
          <t>Cooperate, Performance</t>
        </is>
      </c>
      <c r="F54" s="61" t="inlineStr">
        <is>
          <t>unnamed</t>
        </is>
      </c>
      <c r="G54" s="61" t="inlineStr">
        <is>
          <t>T</t>
        </is>
      </c>
      <c r="H54" s="20" t="inlineStr">
        <is>
          <t>Long tail</t>
        </is>
      </c>
      <c r="I54" s="61" t="inlineStr">
        <is>
          <t>Rule 3</t>
        </is>
      </c>
      <c r="J54" s="62" t="n">
        <v>1.55129166666667</v>
      </c>
      <c r="K54" s="62" t="n">
        <v>1.50545833333333</v>
      </c>
      <c r="L54" s="62" t="n">
        <v>0.0458333333333333</v>
      </c>
      <c r="M54" s="62" t="n">
        <v>0</v>
      </c>
      <c r="N54" s="62" t="n">
        <v>1.50545833333333</v>
      </c>
      <c r="O54" s="62" t="n">
        <v>0</v>
      </c>
      <c r="P54" s="62" t="n">
        <v>0</v>
      </c>
      <c r="Q54" s="62" t="n">
        <v>0</v>
      </c>
      <c r="R54" s="62" t="n">
        <v>1.50545833333333</v>
      </c>
      <c r="S54" s="62" t="n">
        <v>0</v>
      </c>
      <c r="T54" s="62" t="n">
        <v>0</v>
      </c>
      <c r="U54" s="62" t="n">
        <v>0</v>
      </c>
      <c r="V54" s="62" t="n">
        <v>0</v>
      </c>
      <c r="W54" s="63" t="n">
        <v>0.0720098842362548</v>
      </c>
      <c r="X54" s="61" t="inlineStr">
        <is>
          <t>No</t>
        </is>
      </c>
      <c r="Y54" s="61" t="inlineStr">
        <is>
          <t>N</t>
        </is>
      </c>
      <c r="Z54" s="61" t="inlineStr">
        <is>
          <t>N</t>
        </is>
      </c>
      <c r="AA54" s="61" t="n">
        <v>3</v>
      </c>
      <c r="AB54" s="61" t="n">
        <v>1</v>
      </c>
      <c r="AC54" s="42" t="n">
        <v>0</v>
      </c>
      <c r="AD54" s="42" t="n">
        <v>1</v>
      </c>
      <c r="AE54" s="42" t="n">
        <v>0</v>
      </c>
      <c r="AF54" s="42" t="n">
        <v>0</v>
      </c>
      <c r="AG54" s="42" t="n">
        <v>0</v>
      </c>
      <c r="AH54" s="42" t="n">
        <v>0</v>
      </c>
      <c r="AI54" s="42" t="n">
        <v>14</v>
      </c>
      <c r="AJ54" s="42" t="n">
        <v>0</v>
      </c>
      <c r="AK54" s="42" t="n">
        <v>0</v>
      </c>
      <c r="AL54" s="42" t="n">
        <v>13</v>
      </c>
      <c r="AM54" s="20" t="inlineStr">
        <is>
          <t>Rehost</t>
        </is>
      </c>
      <c r="AN54" s="62" t="n">
        <v>0</v>
      </c>
      <c r="AO54" s="64">
        <f>--($D54='START HERE'!$C$5)</f>
        <v/>
      </c>
    </row>
    <row r="55" ht="23.25" customHeight="1">
      <c r="B55" s="42" t="n">
        <v>9906</v>
      </c>
      <c r="C55" s="13" t="inlineStr">
        <is>
          <t>W08NAR-JPN</t>
        </is>
      </c>
      <c r="D55" s="20" t="inlineStr">
        <is>
          <t>Corporate Related</t>
        </is>
      </c>
      <c r="E55" s="20" t="inlineStr">
        <is>
          <t>Cooperate, Performance</t>
        </is>
      </c>
      <c r="F55" s="61" t="inlineStr">
        <is>
          <t>unnamed</t>
        </is>
      </c>
      <c r="G55" s="61" t="inlineStr">
        <is>
          <t>T</t>
        </is>
      </c>
      <c r="H55" s="20" t="inlineStr">
        <is>
          <t>Long tail</t>
        </is>
      </c>
      <c r="I55" s="61" t="inlineStr">
        <is>
          <t>Rule 3</t>
        </is>
      </c>
      <c r="J55" s="62" t="n">
        <v>1.43145833333333</v>
      </c>
      <c r="K55" s="62" t="n">
        <v>1.28604166666667</v>
      </c>
      <c r="L55" s="62" t="n">
        <v>0.145416666666667</v>
      </c>
      <c r="M55" s="62" t="n">
        <v>0</v>
      </c>
      <c r="N55" s="62" t="n">
        <v>1.28604166666667</v>
      </c>
      <c r="O55" s="62" t="n">
        <v>0</v>
      </c>
      <c r="P55" s="62" t="n">
        <v>0</v>
      </c>
      <c r="Q55" s="62" t="n">
        <v>0.433333333333333</v>
      </c>
      <c r="R55" s="62" t="n">
        <v>0.852708333333333</v>
      </c>
      <c r="S55" s="62" t="n">
        <v>0</v>
      </c>
      <c r="T55" s="62" t="n">
        <v>0</v>
      </c>
      <c r="U55" s="62" t="n">
        <v>0</v>
      </c>
      <c r="V55" s="62" t="n">
        <v>0</v>
      </c>
      <c r="W55" s="63" t="n">
        <v>0.950516664241013</v>
      </c>
      <c r="X55" s="61" t="inlineStr">
        <is>
          <t>No</t>
        </is>
      </c>
      <c r="Y55" s="61" t="inlineStr">
        <is>
          <t>N</t>
        </is>
      </c>
      <c r="Z55" s="61" t="inlineStr">
        <is>
          <t>N</t>
        </is>
      </c>
      <c r="AA55" s="61" t="n">
        <v>3</v>
      </c>
      <c r="AB55" s="61" t="n">
        <v>1</v>
      </c>
      <c r="AC55" s="42" t="n">
        <v>0</v>
      </c>
      <c r="AD55" s="42" t="n">
        <v>58</v>
      </c>
      <c r="AE55" s="42" t="n">
        <v>0</v>
      </c>
      <c r="AF55" s="42" t="n">
        <v>0</v>
      </c>
      <c r="AG55" s="42" t="n">
        <v>2</v>
      </c>
      <c r="AH55" s="42" t="n">
        <v>4</v>
      </c>
      <c r="AI55" s="42" t="n">
        <v>17</v>
      </c>
      <c r="AJ55" s="42" t="n">
        <v>3</v>
      </c>
      <c r="AK55" s="42" t="n">
        <v>34</v>
      </c>
      <c r="AL55" s="42" t="n">
        <v>147</v>
      </c>
      <c r="AM55" s="20" t="inlineStr">
        <is>
          <t>Rehost</t>
        </is>
      </c>
      <c r="AN55" s="62" t="n">
        <v>0</v>
      </c>
      <c r="AO55" s="64">
        <f>--($D55='START HERE'!$C$5)</f>
        <v/>
      </c>
    </row>
    <row r="56" ht="14.25" customHeight="1">
      <c r="B56" s="42" t="n">
        <v>9844</v>
      </c>
      <c r="C56" s="13" t="inlineStr">
        <is>
          <t>C04VAS-JPN</t>
        </is>
      </c>
      <c r="D56" s="20" t="inlineStr">
        <is>
          <t>Corporate Related</t>
        </is>
      </c>
      <c r="E56" s="20" t="inlineStr">
        <is>
          <t xml:space="preserve">Group Policy Management </t>
        </is>
      </c>
      <c r="F56" s="61" t="inlineStr">
        <is>
          <t>NCD</t>
        </is>
      </c>
      <c r="G56" s="61" t="inlineStr">
        <is>
          <t>T</t>
        </is>
      </c>
      <c r="H56" s="20" t="inlineStr">
        <is>
          <t>Long tail</t>
        </is>
      </c>
      <c r="I56" s="61" t="inlineStr">
        <is>
          <t>Rule 3</t>
        </is>
      </c>
      <c r="J56" s="62" t="n">
        <v>1.35416666666667</v>
      </c>
      <c r="K56" s="62" t="n">
        <v>0.6708333333333329</v>
      </c>
      <c r="L56" s="62" t="n">
        <v>0.683333333333333</v>
      </c>
      <c r="M56" s="62" t="n">
        <v>0</v>
      </c>
      <c r="N56" s="62" t="n">
        <v>0.6708333333333329</v>
      </c>
      <c r="O56" s="62" t="n">
        <v>0</v>
      </c>
      <c r="P56" s="62" t="n">
        <v>0</v>
      </c>
      <c r="Q56" s="62" t="n">
        <v>0</v>
      </c>
      <c r="R56" s="62" t="n">
        <v>0.6708333333333329</v>
      </c>
      <c r="S56" s="62" t="n">
        <v>0</v>
      </c>
      <c r="T56" s="62" t="n">
        <v>0</v>
      </c>
      <c r="U56" s="62" t="n">
        <v>0</v>
      </c>
      <c r="V56" s="62" t="n">
        <v>0</v>
      </c>
      <c r="W56" s="63" t="n">
        <v>0.369230769230769</v>
      </c>
      <c r="X56" s="61" t="inlineStr">
        <is>
          <t>No</t>
        </is>
      </c>
      <c r="Y56" s="61" t="inlineStr">
        <is>
          <t>N</t>
        </is>
      </c>
      <c r="Z56" s="61" t="inlineStr">
        <is>
          <t>Y</t>
        </is>
      </c>
      <c r="AA56" s="61" t="n">
        <v>3</v>
      </c>
      <c r="AB56" s="61" t="n">
        <v>1</v>
      </c>
      <c r="AC56" s="42" t="n">
        <v>0</v>
      </c>
      <c r="AD56" s="42" t="n">
        <v>6</v>
      </c>
      <c r="AE56" s="42" t="n">
        <v>0</v>
      </c>
      <c r="AF56" s="42" t="n">
        <v>0</v>
      </c>
      <c r="AG56" s="42" t="n">
        <v>5</v>
      </c>
      <c r="AH56" s="42" t="n">
        <v>3</v>
      </c>
      <c r="AI56" s="42" t="n">
        <v>23</v>
      </c>
      <c r="AJ56" s="42" t="n">
        <v>7</v>
      </c>
      <c r="AK56" s="42" t="n">
        <v>0</v>
      </c>
      <c r="AL56" s="42" t="n">
        <v>17</v>
      </c>
      <c r="AM56" s="20" t="inlineStr">
        <is>
          <t>Refactor</t>
        </is>
      </c>
      <c r="AN56" s="62" t="n">
        <v>0</v>
      </c>
      <c r="AO56" s="64">
        <f>--($D56='START HERE'!$C$5)</f>
        <v/>
      </c>
    </row>
    <row r="57" ht="14.25" customHeight="1">
      <c r="B57" s="42" t="n">
        <v>12890</v>
      </c>
      <c r="C57" s="13" t="inlineStr">
        <is>
          <t>ASP B_O-JPN</t>
        </is>
      </c>
      <c r="D57" s="20" t="inlineStr">
        <is>
          <t>Corporate Related</t>
        </is>
      </c>
      <c r="E57" s="20" t="inlineStr">
        <is>
          <t>Cooperate, Performance</t>
        </is>
      </c>
      <c r="F57" s="61" t="inlineStr">
        <is>
          <t>NCD</t>
        </is>
      </c>
      <c r="G57" s="61" t="inlineStr">
        <is>
          <t>T</t>
        </is>
      </c>
      <c r="H57" s="20" t="inlineStr">
        <is>
          <t>Long tail</t>
        </is>
      </c>
      <c r="I57" s="61" t="inlineStr">
        <is>
          <t>Rule 3</t>
        </is>
      </c>
      <c r="J57" s="62" t="n">
        <v>1.297125</v>
      </c>
      <c r="K57" s="62" t="n">
        <v>1.234625</v>
      </c>
      <c r="L57" s="62" t="n">
        <v>0.0625</v>
      </c>
      <c r="M57" s="62" t="n">
        <v>0</v>
      </c>
      <c r="N57" s="62" t="n">
        <v>1.234625</v>
      </c>
      <c r="O57" s="62" t="n">
        <v>0</v>
      </c>
      <c r="P57" s="62" t="n">
        <v>0</v>
      </c>
      <c r="Q57" s="62" t="n">
        <v>0</v>
      </c>
      <c r="R57" s="62" t="n">
        <v>1.234625</v>
      </c>
      <c r="S57" s="62" t="n">
        <v>0</v>
      </c>
      <c r="T57" s="62" t="n">
        <v>0</v>
      </c>
      <c r="U57" s="62" t="n">
        <v>0</v>
      </c>
      <c r="V57" s="62" t="n">
        <v>0</v>
      </c>
      <c r="W57" s="63" t="n">
        <v>0.8506312036233979</v>
      </c>
      <c r="X57" s="61" t="inlineStr">
        <is>
          <t>No</t>
        </is>
      </c>
      <c r="Y57" s="61" t="inlineStr">
        <is>
          <t>N</t>
        </is>
      </c>
      <c r="Z57" s="61" t="inlineStr">
        <is>
          <t>Y</t>
        </is>
      </c>
      <c r="AA57" s="61" t="n">
        <v>3</v>
      </c>
      <c r="AB57" s="61" t="n">
        <v>1</v>
      </c>
      <c r="AC57" s="42" t="n">
        <v>0</v>
      </c>
      <c r="AD57" s="42" t="n">
        <v>14</v>
      </c>
      <c r="AE57" s="42" t="n">
        <v>0</v>
      </c>
      <c r="AF57" s="42" t="n">
        <v>0</v>
      </c>
      <c r="AG57" s="42" t="n">
        <v>13</v>
      </c>
      <c r="AH57" s="42" t="n">
        <v>8</v>
      </c>
      <c r="AI57" s="42" t="n">
        <v>11</v>
      </c>
      <c r="AJ57" s="42" t="n">
        <v>9</v>
      </c>
      <c r="AK57" s="42" t="n">
        <v>0</v>
      </c>
      <c r="AL57" s="42" t="n">
        <v>85</v>
      </c>
      <c r="AM57" s="20" t="inlineStr">
        <is>
          <t>Maintain (Evolve)</t>
        </is>
      </c>
      <c r="AN57" s="62" t="n">
        <v>0</v>
      </c>
      <c r="AO57" s="64">
        <f>--($D57='START HERE'!$C$5)</f>
        <v/>
      </c>
    </row>
    <row r="58" ht="23.25" customHeight="1">
      <c r="B58" s="42" t="n">
        <v>9896</v>
      </c>
      <c r="C58" s="13" t="inlineStr">
        <is>
          <t>W08SFE-JPN</t>
        </is>
      </c>
      <c r="D58" s="20" t="inlineStr">
        <is>
          <t>Corporate Related</t>
        </is>
      </c>
      <c r="E58" s="20" t="inlineStr">
        <is>
          <t>Cooperate, Performance</t>
        </is>
      </c>
      <c r="F58" s="61" t="inlineStr">
        <is>
          <t>unnamed</t>
        </is>
      </c>
      <c r="G58" s="61" t="inlineStr">
        <is>
          <t>T</t>
        </is>
      </c>
      <c r="H58" s="20" t="inlineStr">
        <is>
          <t>Long tail</t>
        </is>
      </c>
      <c r="I58" s="61" t="inlineStr">
        <is>
          <t>Rule 3</t>
        </is>
      </c>
      <c r="J58" s="62" t="n">
        <v>1.196375</v>
      </c>
      <c r="K58" s="62" t="n">
        <v>1.091375</v>
      </c>
      <c r="L58" s="62" t="n">
        <v>0.105</v>
      </c>
      <c r="M58" s="62" t="n">
        <v>0</v>
      </c>
      <c r="N58" s="62" t="n">
        <v>1.091375</v>
      </c>
      <c r="O58" s="62" t="n">
        <v>0</v>
      </c>
      <c r="P58" s="62" t="n">
        <v>0</v>
      </c>
      <c r="Q58" s="62" t="n">
        <v>0</v>
      </c>
      <c r="R58" s="62" t="n">
        <v>1.091375</v>
      </c>
      <c r="S58" s="62" t="n">
        <v>0</v>
      </c>
      <c r="T58" s="62" t="n">
        <v>0</v>
      </c>
      <c r="U58" s="62" t="n">
        <v>0</v>
      </c>
      <c r="V58" s="62" t="n">
        <v>0</v>
      </c>
      <c r="W58" s="63" t="n">
        <v>0.9895517709748201</v>
      </c>
      <c r="X58" s="61" t="inlineStr">
        <is>
          <t>No</t>
        </is>
      </c>
      <c r="Y58" s="61" t="inlineStr">
        <is>
          <t>N</t>
        </is>
      </c>
      <c r="Z58" s="61" t="inlineStr">
        <is>
          <t>N</t>
        </is>
      </c>
      <c r="AA58" s="61" t="n">
        <v>3</v>
      </c>
      <c r="AB58" s="61" t="n">
        <v>1</v>
      </c>
      <c r="AC58" s="42" t="n">
        <v>0</v>
      </c>
      <c r="AD58" s="42" t="n">
        <v>11</v>
      </c>
      <c r="AE58" s="42" t="n">
        <v>0</v>
      </c>
      <c r="AF58" s="42" t="n">
        <v>0</v>
      </c>
      <c r="AG58" s="42" t="n">
        <v>1</v>
      </c>
      <c r="AH58" s="42" t="n">
        <v>1</v>
      </c>
      <c r="AI58" s="42" t="n">
        <v>4</v>
      </c>
      <c r="AJ58" s="42" t="n">
        <v>1</v>
      </c>
      <c r="AK58" s="42" t="n">
        <v>0</v>
      </c>
      <c r="AL58" s="42" t="n">
        <v>25</v>
      </c>
      <c r="AM58" s="20" t="inlineStr">
        <is>
          <t>Refactor</t>
        </is>
      </c>
      <c r="AN58" s="62" t="n">
        <v>0</v>
      </c>
      <c r="AO58" s="64">
        <f>--($D58='START HERE'!$C$5)</f>
        <v/>
      </c>
    </row>
    <row r="59" ht="14.25" customHeight="1">
      <c r="B59" s="42" t="n">
        <v>9941</v>
      </c>
      <c r="C59" s="13" t="inlineStr">
        <is>
          <t>B13ITS-JPN</t>
        </is>
      </c>
      <c r="D59" s="20" t="inlineStr">
        <is>
          <t>Corporate Related</t>
        </is>
      </c>
      <c r="E59" s="20" t="inlineStr">
        <is>
          <t>Compliance &amp; Cooperate</t>
        </is>
      </c>
      <c r="F59" s="61" t="inlineStr">
        <is>
          <t>NCD</t>
        </is>
      </c>
      <c r="G59" s="61" t="inlineStr">
        <is>
          <t>T</t>
        </is>
      </c>
      <c r="H59" s="20" t="inlineStr">
        <is>
          <t>Long tail</t>
        </is>
      </c>
      <c r="I59" s="61" t="inlineStr">
        <is>
          <t>Rule 3</t>
        </is>
      </c>
      <c r="J59" s="62" t="n">
        <v>1.01666458333333</v>
      </c>
      <c r="K59" s="62" t="n">
        <v>0.929164583333333</v>
      </c>
      <c r="L59" s="62" t="n">
        <v>0.08749999999999999</v>
      </c>
      <c r="M59" s="62" t="n">
        <v>0</v>
      </c>
      <c r="N59" s="62" t="n">
        <v>0.929164583333333</v>
      </c>
      <c r="O59" s="62" t="n">
        <v>0</v>
      </c>
      <c r="P59" s="62" t="n">
        <v>0</v>
      </c>
      <c r="Q59" s="62" t="n">
        <v>0</v>
      </c>
      <c r="R59" s="62" t="n">
        <v>0.929164583333333</v>
      </c>
      <c r="S59" s="62" t="n">
        <v>0</v>
      </c>
      <c r="T59" s="62" t="n">
        <v>0</v>
      </c>
      <c r="U59" s="62" t="n">
        <v>0</v>
      </c>
      <c r="V59" s="62" t="n">
        <v>0</v>
      </c>
      <c r="W59" s="63" t="n">
        <v>0.413113551462196</v>
      </c>
      <c r="X59" s="61" t="inlineStr">
        <is>
          <t>Yes</t>
        </is>
      </c>
      <c r="Y59" s="61" t="inlineStr">
        <is>
          <t>N</t>
        </is>
      </c>
      <c r="Z59" s="61" t="inlineStr">
        <is>
          <t>N</t>
        </is>
      </c>
      <c r="AA59" s="61" t="n">
        <v>3</v>
      </c>
      <c r="AB59" s="61" t="n">
        <v>1</v>
      </c>
      <c r="AC59" s="42" t="n">
        <v>325915</v>
      </c>
      <c r="AD59" s="42" t="n">
        <v>6</v>
      </c>
      <c r="AE59" s="42" t="n">
        <v>0</v>
      </c>
      <c r="AF59" s="42" t="n">
        <v>0</v>
      </c>
      <c r="AG59" s="42" t="n">
        <v>5</v>
      </c>
      <c r="AH59" s="42" t="n">
        <v>2</v>
      </c>
      <c r="AI59" s="42" t="n">
        <v>10</v>
      </c>
      <c r="AJ59" s="42" t="n">
        <v>4</v>
      </c>
      <c r="AK59" s="42" t="n">
        <v>0</v>
      </c>
      <c r="AL59" s="42" t="n">
        <v>24</v>
      </c>
      <c r="AM59" s="20" t="inlineStr">
        <is>
          <t>Maintain (Patch)</t>
        </is>
      </c>
      <c r="AN59" s="62" t="n">
        <v>0</v>
      </c>
      <c r="AO59" s="64">
        <f>--($D59='START HERE'!$C$5)</f>
        <v/>
      </c>
    </row>
    <row r="60" ht="23.25" customHeight="1">
      <c r="B60" s="42" t="n">
        <v>11005</v>
      </c>
      <c r="C60" s="13" t="inlineStr">
        <is>
          <t>WAACPS-JPN</t>
        </is>
      </c>
      <c r="D60" s="20" t="inlineStr">
        <is>
          <t>Corporate Related</t>
        </is>
      </c>
      <c r="E60" s="20" t="inlineStr">
        <is>
          <t>Cooperate, Performance</t>
        </is>
      </c>
      <c r="F60" s="61" t="inlineStr">
        <is>
          <t>unnamed</t>
        </is>
      </c>
      <c r="G60" s="61" t="inlineStr">
        <is>
          <t>T</t>
        </is>
      </c>
      <c r="H60" s="20" t="inlineStr">
        <is>
          <t>Long tail</t>
        </is>
      </c>
      <c r="I60" s="61" t="inlineStr">
        <is>
          <t>Rule 3</t>
        </is>
      </c>
      <c r="J60" s="62" t="n">
        <v>0.904166666666667</v>
      </c>
      <c r="K60" s="62" t="n">
        <v>0.3625</v>
      </c>
      <c r="L60" s="62" t="n">
        <v>0.0416666666666667</v>
      </c>
      <c r="M60" s="62" t="n">
        <v>0.5</v>
      </c>
      <c r="N60" s="62" t="n">
        <v>0.3625</v>
      </c>
      <c r="O60" s="62" t="n">
        <v>0</v>
      </c>
      <c r="P60" s="62" t="n">
        <v>0</v>
      </c>
      <c r="Q60" s="62" t="n">
        <v>0</v>
      </c>
      <c r="R60" s="62" t="n">
        <v>0.3625</v>
      </c>
      <c r="S60" s="62" t="n">
        <v>0</v>
      </c>
      <c r="T60" s="62" t="n">
        <v>0</v>
      </c>
      <c r="U60" s="62" t="n">
        <v>0</v>
      </c>
      <c r="V60" s="62" t="n">
        <v>0</v>
      </c>
      <c r="W60" s="63" t="n">
        <v>0.447004608294931</v>
      </c>
      <c r="X60" s="61" t="inlineStr">
        <is>
          <t>Yes</t>
        </is>
      </c>
      <c r="Y60" s="61" t="inlineStr">
        <is>
          <t>N</t>
        </is>
      </c>
      <c r="Z60" s="61" t="inlineStr">
        <is>
          <t>N</t>
        </is>
      </c>
      <c r="AA60" s="61" t="n">
        <v>3</v>
      </c>
      <c r="AB60" s="61" t="n">
        <v>1</v>
      </c>
      <c r="AC60" s="42" t="n">
        <v>0</v>
      </c>
      <c r="AD60" s="42" t="n">
        <v>1</v>
      </c>
      <c r="AE60" s="42" t="n">
        <v>0</v>
      </c>
      <c r="AF60" s="42" t="n">
        <v>0</v>
      </c>
      <c r="AG60" s="42" t="n">
        <v>0</v>
      </c>
      <c r="AH60" s="42" t="n">
        <v>0</v>
      </c>
      <c r="AI60" s="42" t="n">
        <v>0</v>
      </c>
      <c r="AJ60" s="42" t="n">
        <v>0</v>
      </c>
      <c r="AK60" s="42" t="n">
        <v>0</v>
      </c>
      <c r="AL60" s="42" t="n">
        <v>10</v>
      </c>
      <c r="AM60" s="20" t="inlineStr">
        <is>
          <t>Refactor</t>
        </is>
      </c>
      <c r="AN60" s="62" t="n">
        <v>0</v>
      </c>
      <c r="AO60" s="64">
        <f>--($D60='START HERE'!$C$5)</f>
        <v/>
      </c>
    </row>
    <row r="61" ht="14.25" customHeight="1">
      <c r="B61" s="42" t="n">
        <v>9995</v>
      </c>
      <c r="C61" s="13" t="inlineStr">
        <is>
          <t>WCMPXS-JPN</t>
        </is>
      </c>
      <c r="D61" s="20" t="inlineStr">
        <is>
          <t>Corporate Related</t>
        </is>
      </c>
      <c r="E61" s="20" t="inlineStr">
        <is>
          <t>Compliance &amp; Cooperate</t>
        </is>
      </c>
      <c r="F61" s="61" t="inlineStr">
        <is>
          <t>FSI</t>
        </is>
      </c>
      <c r="G61" s="61" t="inlineStr">
        <is>
          <t>T</t>
        </is>
      </c>
      <c r="H61" s="20" t="inlineStr">
        <is>
          <t>Long tail</t>
        </is>
      </c>
      <c r="I61" s="61" t="inlineStr">
        <is>
          <t>Rule 3</t>
        </is>
      </c>
      <c r="J61" s="62" t="n">
        <v>0.779166666666667</v>
      </c>
      <c r="K61" s="62" t="n">
        <v>0.779166666666667</v>
      </c>
      <c r="L61" s="62" t="n">
        <v>0</v>
      </c>
      <c r="M61" s="62" t="n">
        <v>0</v>
      </c>
      <c r="N61" s="62" t="n">
        <v>0.779166666666667</v>
      </c>
      <c r="O61" s="62" t="n">
        <v>0</v>
      </c>
      <c r="P61" s="62" t="n">
        <v>0</v>
      </c>
      <c r="Q61" s="62" t="n">
        <v>0</v>
      </c>
      <c r="R61" s="62" t="n">
        <v>0.779166666666667</v>
      </c>
      <c r="S61" s="62" t="n">
        <v>0</v>
      </c>
      <c r="T61" s="62" t="n">
        <v>0</v>
      </c>
      <c r="U61" s="62" t="n">
        <v>0</v>
      </c>
      <c r="V61" s="62" t="n">
        <v>0</v>
      </c>
      <c r="W61" s="63" t="n">
        <v>0.679144385026738</v>
      </c>
      <c r="X61" s="61" t="inlineStr">
        <is>
          <t>No</t>
        </is>
      </c>
      <c r="Y61" s="61" t="inlineStr">
        <is>
          <t>N</t>
        </is>
      </c>
      <c r="Z61" s="61" t="inlineStr">
        <is>
          <t>N</t>
        </is>
      </c>
      <c r="AA61" s="61" t="n">
        <v>3</v>
      </c>
      <c r="AB61" s="61" t="n">
        <v>1</v>
      </c>
      <c r="AC61" s="42" t="n">
        <v>0</v>
      </c>
      <c r="AD61" s="42" t="n">
        <v>0</v>
      </c>
      <c r="AE61" s="42" t="n">
        <v>0</v>
      </c>
      <c r="AF61" s="42" t="n">
        <v>0</v>
      </c>
      <c r="AG61" s="42" t="n">
        <v>1</v>
      </c>
      <c r="AH61" s="42" t="n">
        <v>0</v>
      </c>
      <c r="AI61" s="42" t="n">
        <v>3</v>
      </c>
      <c r="AJ61" s="42" t="n">
        <v>1</v>
      </c>
      <c r="AK61" s="42" t="n">
        <v>3</v>
      </c>
      <c r="AL61" s="42" t="n">
        <v>49</v>
      </c>
      <c r="AM61" s="20" t="inlineStr">
        <is>
          <t>Maintain (Evolve)</t>
        </is>
      </c>
      <c r="AN61" s="62" t="n">
        <v>0</v>
      </c>
      <c r="AO61" s="64">
        <f>--($D61='START HERE'!$C$5)</f>
        <v/>
      </c>
    </row>
    <row r="62" ht="24" customHeight="1">
      <c r="B62" s="42" t="n">
        <v>14377</v>
      </c>
      <c r="C62" s="13" t="inlineStr">
        <is>
          <t>Commission System Support Tool</t>
        </is>
      </c>
      <c r="D62" s="20" t="inlineStr">
        <is>
          <t>Corporate Related</t>
        </is>
      </c>
      <c r="E62" s="20" t="inlineStr">
        <is>
          <t>Cooperate, Performance</t>
        </is>
      </c>
      <c r="F62" s="61" t="inlineStr">
        <is>
          <t>unnamed</t>
        </is>
      </c>
      <c r="G62" s="61" t="inlineStr">
        <is>
          <t>T</t>
        </is>
      </c>
      <c r="H62" s="20" t="inlineStr">
        <is>
          <t>Long tail</t>
        </is>
      </c>
      <c r="I62" s="61" t="inlineStr">
        <is>
          <t>Rule 3</t>
        </is>
      </c>
      <c r="J62" s="62" t="n">
        <v>0.72625</v>
      </c>
      <c r="K62" s="62" t="n">
        <v>0.597083333333333</v>
      </c>
      <c r="L62" s="62" t="n">
        <v>0.129166666666667</v>
      </c>
      <c r="M62" s="62" t="n">
        <v>0</v>
      </c>
      <c r="N62" s="62" t="n">
        <v>0.597083333333333</v>
      </c>
      <c r="O62" s="62" t="n">
        <v>0</v>
      </c>
      <c r="P62" s="62" t="n">
        <v>0</v>
      </c>
      <c r="Q62" s="62" t="n">
        <v>0</v>
      </c>
      <c r="R62" s="62" t="n">
        <v>0.597083333333333</v>
      </c>
      <c r="S62" s="62" t="n">
        <v>0</v>
      </c>
      <c r="T62" s="62" t="n">
        <v>0</v>
      </c>
      <c r="U62" s="62" t="n">
        <v>0</v>
      </c>
      <c r="V62" s="62" t="n">
        <v>0</v>
      </c>
      <c r="W62" s="63" t="n">
        <v>0.97991967871486</v>
      </c>
      <c r="X62" s="61" t="inlineStr">
        <is>
          <t>No</t>
        </is>
      </c>
      <c r="Y62" s="61" t="inlineStr">
        <is>
          <t>N</t>
        </is>
      </c>
      <c r="Z62" s="61" t="inlineStr">
        <is>
          <t>N</t>
        </is>
      </c>
      <c r="AA62" s="61" t="n">
        <v>3</v>
      </c>
      <c r="AB62" s="61" t="n">
        <v>1</v>
      </c>
      <c r="AC62" s="42" t="n">
        <v>0</v>
      </c>
      <c r="AD62" s="42" t="n">
        <v>73</v>
      </c>
      <c r="AE62" s="42" t="n">
        <v>0</v>
      </c>
      <c r="AF62" s="42" t="n">
        <v>0</v>
      </c>
      <c r="AG62" s="42" t="n">
        <v>0</v>
      </c>
      <c r="AH62" s="42" t="n">
        <v>0</v>
      </c>
      <c r="AI62" s="42" t="n">
        <v>5</v>
      </c>
      <c r="AJ62" s="42" t="n">
        <v>0</v>
      </c>
      <c r="AK62" s="42" t="n">
        <v>0</v>
      </c>
      <c r="AL62" s="42" t="n">
        <v>5</v>
      </c>
      <c r="AM62" s="20" t="inlineStr">
        <is>
          <t>Maintain (Patch)</t>
        </is>
      </c>
      <c r="AN62" s="62" t="n">
        <v>0</v>
      </c>
      <c r="AO62" s="64">
        <f>--($D62='START HERE'!$C$5)</f>
        <v/>
      </c>
    </row>
    <row r="63" ht="14.25" customHeight="1">
      <c r="B63" s="42" t="n">
        <v>11308</v>
      </c>
      <c r="C63" s="13" t="inlineStr">
        <is>
          <t>WGLBSR-JPN</t>
        </is>
      </c>
      <c r="D63" s="20" t="inlineStr">
        <is>
          <t>Corporate Related</t>
        </is>
      </c>
      <c r="E63" s="20" t="inlineStr">
        <is>
          <t>Compliance &amp; Cooperate</t>
        </is>
      </c>
      <c r="F63" s="61" t="inlineStr">
        <is>
          <t>NCD</t>
        </is>
      </c>
      <c r="G63" s="61" t="inlineStr">
        <is>
          <t>T</t>
        </is>
      </c>
      <c r="H63" s="20" t="inlineStr">
        <is>
          <t>Long tail</t>
        </is>
      </c>
      <c r="I63" s="61" t="inlineStr">
        <is>
          <t>Rule 3</t>
        </is>
      </c>
      <c r="J63" s="62" t="n">
        <v>0.54375</v>
      </c>
      <c r="K63" s="62" t="n">
        <v>0.48125</v>
      </c>
      <c r="L63" s="62" t="n">
        <v>0.0625</v>
      </c>
      <c r="M63" s="62" t="n">
        <v>0</v>
      </c>
      <c r="N63" s="62" t="n">
        <v>0.48125</v>
      </c>
      <c r="O63" s="62" t="n">
        <v>0</v>
      </c>
      <c r="P63" s="62" t="n">
        <v>0</v>
      </c>
      <c r="Q63" s="62" t="n">
        <v>0</v>
      </c>
      <c r="R63" s="62" t="n">
        <v>0.48125</v>
      </c>
      <c r="S63" s="62" t="n">
        <v>0</v>
      </c>
      <c r="T63" s="62" t="n">
        <v>0</v>
      </c>
      <c r="U63" s="62" t="n">
        <v>0</v>
      </c>
      <c r="V63" s="62" t="n">
        <v>0</v>
      </c>
      <c r="W63" s="63" t="n">
        <v>0.379310344827586</v>
      </c>
      <c r="X63" s="61" t="inlineStr">
        <is>
          <t>No</t>
        </is>
      </c>
      <c r="Y63" s="61" t="inlineStr">
        <is>
          <t>N</t>
        </is>
      </c>
      <c r="Z63" s="61" t="inlineStr">
        <is>
          <t>N</t>
        </is>
      </c>
      <c r="AA63" s="61" t="n">
        <v>3</v>
      </c>
      <c r="AB63" s="61" t="n">
        <v>1</v>
      </c>
      <c r="AC63" s="42" t="n">
        <v>219357</v>
      </c>
      <c r="AD63" s="42" t="n">
        <v>0</v>
      </c>
      <c r="AE63" s="42" t="n">
        <v>0</v>
      </c>
      <c r="AF63" s="42" t="n">
        <v>0</v>
      </c>
      <c r="AG63" s="42" t="n">
        <v>0</v>
      </c>
      <c r="AH63" s="42" t="n">
        <v>0</v>
      </c>
      <c r="AI63" s="42" t="n">
        <v>0</v>
      </c>
      <c r="AJ63" s="42" t="n">
        <v>0</v>
      </c>
      <c r="AK63" s="42" t="n">
        <v>6</v>
      </c>
      <c r="AL63" s="42" t="n">
        <v>15</v>
      </c>
      <c r="AM63" s="20" t="inlineStr">
        <is>
          <t>Maintain (Patch)</t>
        </is>
      </c>
      <c r="AN63" s="62" t="n">
        <v>0</v>
      </c>
      <c r="AO63" s="64">
        <f>--($D63='START HERE'!$C$5)</f>
        <v/>
      </c>
    </row>
    <row r="64" ht="14.25" customHeight="1">
      <c r="B64" s="42" t="n">
        <v>9852</v>
      </c>
      <c r="C64" s="13" t="inlineStr">
        <is>
          <t>C03APO-JPN</t>
        </is>
      </c>
      <c r="D64" s="20" t="inlineStr">
        <is>
          <t>Corporate Related</t>
        </is>
      </c>
      <c r="E64" s="20" t="inlineStr">
        <is>
          <t xml:space="preserve">Group Policy Management </t>
        </is>
      </c>
      <c r="F64" s="61" t="inlineStr">
        <is>
          <t>NCD</t>
        </is>
      </c>
      <c r="G64" s="61" t="inlineStr">
        <is>
          <t>T</t>
        </is>
      </c>
      <c r="H64" s="20" t="inlineStr">
        <is>
          <t>Long tail</t>
        </is>
      </c>
      <c r="I64" s="61" t="inlineStr">
        <is>
          <t>Rule 3</t>
        </is>
      </c>
      <c r="J64" s="62" t="n">
        <v>0.508333333333333</v>
      </c>
      <c r="K64" s="62" t="n">
        <v>0.508333333333333</v>
      </c>
      <c r="L64" s="62" t="n">
        <v>0</v>
      </c>
      <c r="M64" s="62" t="n">
        <v>0</v>
      </c>
      <c r="N64" s="62" t="n">
        <v>0.508333333333333</v>
      </c>
      <c r="O64" s="62" t="n">
        <v>0</v>
      </c>
      <c r="P64" s="62" t="n">
        <v>0</v>
      </c>
      <c r="Q64" s="62" t="n">
        <v>0</v>
      </c>
      <c r="R64" s="62" t="n">
        <v>0.508333333333333</v>
      </c>
      <c r="S64" s="62" t="n">
        <v>0</v>
      </c>
      <c r="T64" s="62" t="n">
        <v>0</v>
      </c>
      <c r="U64" s="62" t="n">
        <v>0</v>
      </c>
      <c r="V64" s="62" t="n">
        <v>0</v>
      </c>
      <c r="W64" s="63" t="n">
        <v>0.368852459016394</v>
      </c>
      <c r="X64" s="61" t="inlineStr">
        <is>
          <t>No</t>
        </is>
      </c>
      <c r="Y64" s="61" t="inlineStr">
        <is>
          <t>N</t>
        </is>
      </c>
      <c r="Z64" s="61" t="inlineStr">
        <is>
          <t>N</t>
        </is>
      </c>
      <c r="AA64" s="61" t="n">
        <v>3</v>
      </c>
      <c r="AB64" s="61" t="n">
        <v>3</v>
      </c>
      <c r="AC64" s="42" t="n">
        <v>0</v>
      </c>
      <c r="AD64" s="42" t="n">
        <v>20</v>
      </c>
      <c r="AE64" s="42" t="n">
        <v>0</v>
      </c>
      <c r="AF64" s="42" t="n">
        <v>0</v>
      </c>
      <c r="AG64" s="42" t="n">
        <v>5</v>
      </c>
      <c r="AH64" s="42" t="n">
        <v>8</v>
      </c>
      <c r="AI64" s="42" t="n">
        <v>79</v>
      </c>
      <c r="AJ64" s="42" t="n">
        <v>4</v>
      </c>
      <c r="AK64" s="42" t="n">
        <v>0</v>
      </c>
      <c r="AL64" s="42" t="n">
        <v>76</v>
      </c>
      <c r="AM64" s="20" t="inlineStr">
        <is>
          <t>Maintain (Patch)</t>
        </is>
      </c>
      <c r="AN64" s="62" t="n">
        <v>0</v>
      </c>
      <c r="AO64" s="64">
        <f>--($D64='START HERE'!$C$5)</f>
        <v/>
      </c>
    </row>
    <row r="65" ht="14.25" customHeight="1">
      <c r="B65" s="42" t="n">
        <v>9940</v>
      </c>
      <c r="C65" s="13" t="inlineStr">
        <is>
          <t>WPSC2S-JPN</t>
        </is>
      </c>
      <c r="D65" s="20" t="inlineStr">
        <is>
          <t>Corporate Related</t>
        </is>
      </c>
      <c r="E65" s="20" t="inlineStr">
        <is>
          <t>Compliance &amp; Cooperate</t>
        </is>
      </c>
      <c r="F65" s="61" t="inlineStr">
        <is>
          <t>FSI</t>
        </is>
      </c>
      <c r="G65" s="61" t="inlineStr">
        <is>
          <t>T</t>
        </is>
      </c>
      <c r="H65" s="20" t="inlineStr">
        <is>
          <t>Long tail</t>
        </is>
      </c>
      <c r="I65" s="61" t="inlineStr">
        <is>
          <t>Rule 3</t>
        </is>
      </c>
      <c r="J65" s="62" t="n">
        <v>0.4125</v>
      </c>
      <c r="K65" s="62" t="n">
        <v>0.3875</v>
      </c>
      <c r="L65" s="62" t="n">
        <v>0.025</v>
      </c>
      <c r="M65" s="62" t="n">
        <v>0</v>
      </c>
      <c r="N65" s="62" t="n">
        <v>0.3875</v>
      </c>
      <c r="O65" s="62" t="n">
        <v>0</v>
      </c>
      <c r="P65" s="62" t="n">
        <v>0</v>
      </c>
      <c r="Q65" s="62" t="n">
        <v>0</v>
      </c>
      <c r="R65" s="62" t="n">
        <v>0.3875</v>
      </c>
      <c r="S65" s="62" t="n">
        <v>0</v>
      </c>
      <c r="T65" s="62" t="n">
        <v>0</v>
      </c>
      <c r="U65" s="62" t="n">
        <v>0</v>
      </c>
      <c r="V65" s="62" t="n">
        <v>0</v>
      </c>
      <c r="W65" s="63" t="n">
        <v>0.818181818181818</v>
      </c>
      <c r="X65" s="61" t="inlineStr">
        <is>
          <t>No</t>
        </is>
      </c>
      <c r="Y65" s="61" t="inlineStr">
        <is>
          <t>N</t>
        </is>
      </c>
      <c r="Z65" s="61" t="inlineStr">
        <is>
          <t>N</t>
        </is>
      </c>
      <c r="AA65" s="61" t="n">
        <v>3</v>
      </c>
      <c r="AB65" s="61" t="n">
        <v>3</v>
      </c>
      <c r="AC65" s="42" t="n">
        <v>15634</v>
      </c>
      <c r="AD65" s="42" t="n">
        <v>30</v>
      </c>
      <c r="AE65" s="42" t="n">
        <v>0</v>
      </c>
      <c r="AF65" s="42" t="n">
        <v>0</v>
      </c>
      <c r="AG65" s="42" t="n">
        <v>0</v>
      </c>
      <c r="AH65" s="42" t="n">
        <v>4</v>
      </c>
      <c r="AI65" s="42" t="n">
        <v>8</v>
      </c>
      <c r="AJ65" s="42" t="n">
        <v>0</v>
      </c>
      <c r="AK65" s="42" t="n">
        <v>0</v>
      </c>
      <c r="AL65" s="42" t="n">
        <v>9</v>
      </c>
      <c r="AM65" s="20" t="inlineStr">
        <is>
          <t>Rehost</t>
        </is>
      </c>
      <c r="AN65" s="62" t="n">
        <v>0</v>
      </c>
      <c r="AO65" s="64">
        <f>--($D65='START HERE'!$C$5)</f>
        <v/>
      </c>
    </row>
    <row r="66" ht="14.25" customHeight="1">
      <c r="B66" s="42" t="n">
        <v>9851</v>
      </c>
      <c r="C66" s="13" t="inlineStr">
        <is>
          <t>W03FIC-JPN</t>
        </is>
      </c>
      <c r="D66" s="20" t="inlineStr">
        <is>
          <t>Corporate Related</t>
        </is>
      </c>
      <c r="E66" s="20" t="inlineStr">
        <is>
          <t>Compliance &amp; Cooperate</t>
        </is>
      </c>
      <c r="F66" s="61" t="inlineStr">
        <is>
          <t>FSI</t>
        </is>
      </c>
      <c r="G66" s="61" t="inlineStr">
        <is>
          <t>T</t>
        </is>
      </c>
      <c r="H66" s="20" t="inlineStr">
        <is>
          <t>Long tail</t>
        </is>
      </c>
      <c r="I66" s="61" t="inlineStr">
        <is>
          <t>Rule 3</t>
        </is>
      </c>
      <c r="J66" s="62" t="n">
        <v>0.408333333333333</v>
      </c>
      <c r="K66" s="62" t="n">
        <v>0.291666666666667</v>
      </c>
      <c r="L66" s="62" t="n">
        <v>0.116666666666667</v>
      </c>
      <c r="M66" s="62" t="n">
        <v>0</v>
      </c>
      <c r="N66" s="62" t="n">
        <v>0.291666666666667</v>
      </c>
      <c r="O66" s="62" t="n">
        <v>0</v>
      </c>
      <c r="P66" s="62" t="n">
        <v>0</v>
      </c>
      <c r="Q66" s="62" t="n">
        <v>0</v>
      </c>
      <c r="R66" s="62" t="n">
        <v>0.291666666666667</v>
      </c>
      <c r="S66" s="62" t="n">
        <v>0</v>
      </c>
      <c r="T66" s="62" t="n">
        <v>0</v>
      </c>
      <c r="U66" s="62" t="n">
        <v>0</v>
      </c>
      <c r="V66" s="62" t="n">
        <v>0</v>
      </c>
      <c r="W66" s="63" t="n">
        <v>0.826530612244898</v>
      </c>
      <c r="X66" s="61" t="inlineStr">
        <is>
          <t>Yes</t>
        </is>
      </c>
      <c r="Y66" s="61" t="inlineStr">
        <is>
          <t>N</t>
        </is>
      </c>
      <c r="Z66" s="61" t="inlineStr">
        <is>
          <t>N</t>
        </is>
      </c>
      <c r="AA66" s="61" t="n">
        <v>3</v>
      </c>
      <c r="AB66" s="61" t="n">
        <v>1</v>
      </c>
      <c r="AC66" s="42" t="n">
        <v>14000</v>
      </c>
      <c r="AD66" s="42" t="n">
        <v>18</v>
      </c>
      <c r="AE66" s="42" t="n">
        <v>0</v>
      </c>
      <c r="AF66" s="42" t="n">
        <v>0</v>
      </c>
      <c r="AG66" s="42" t="n">
        <v>0</v>
      </c>
      <c r="AH66" s="42" t="n">
        <v>0</v>
      </c>
      <c r="AI66" s="42" t="n">
        <v>3</v>
      </c>
      <c r="AJ66" s="42" t="n">
        <v>0</v>
      </c>
      <c r="AK66" s="42" t="n">
        <v>0</v>
      </c>
      <c r="AL66" s="42" t="n">
        <v>21</v>
      </c>
      <c r="AM66" s="20" t="inlineStr">
        <is>
          <t>Refactor</t>
        </is>
      </c>
      <c r="AN66" s="62" t="n">
        <v>0</v>
      </c>
      <c r="AO66" s="64">
        <f>--($D66='START HERE'!$C$5)</f>
        <v/>
      </c>
    </row>
    <row r="67" ht="14.25" customHeight="1">
      <c r="B67" s="42" t="n">
        <v>9907</v>
      </c>
      <c r="C67" s="13" t="inlineStr">
        <is>
          <t>W13WWF-JPN</t>
        </is>
      </c>
      <c r="D67" s="20" t="inlineStr">
        <is>
          <t>Corporate Related</t>
        </is>
      </c>
      <c r="E67" s="20" t="inlineStr">
        <is>
          <t>Compliance &amp; Cooperate</t>
        </is>
      </c>
      <c r="F67" s="61" t="inlineStr">
        <is>
          <t>FSI</t>
        </is>
      </c>
      <c r="G67" s="61" t="inlineStr">
        <is>
          <t>T</t>
        </is>
      </c>
      <c r="H67" s="20" t="inlineStr">
        <is>
          <t>Long tail</t>
        </is>
      </c>
      <c r="I67" s="61" t="inlineStr">
        <is>
          <t>Rule 3</t>
        </is>
      </c>
      <c r="J67" s="62" t="n">
        <v>0.385833333333333</v>
      </c>
      <c r="K67" s="62" t="n">
        <v>0.385833333333333</v>
      </c>
      <c r="L67" s="62" t="n">
        <v>0</v>
      </c>
      <c r="M67" s="62" t="n">
        <v>0</v>
      </c>
      <c r="N67" s="62" t="n">
        <v>0.385833333333333</v>
      </c>
      <c r="O67" s="62" t="n">
        <v>0</v>
      </c>
      <c r="P67" s="62" t="n">
        <v>0</v>
      </c>
      <c r="Q67" s="62" t="n">
        <v>0</v>
      </c>
      <c r="R67" s="62" t="n">
        <v>0.135833333333333</v>
      </c>
      <c r="S67" s="62" t="n">
        <v>0</v>
      </c>
      <c r="T67" s="62" t="n">
        <v>0.25</v>
      </c>
      <c r="U67" s="62" t="n">
        <v>0</v>
      </c>
      <c r="V67" s="62" t="n">
        <v>0</v>
      </c>
      <c r="W67" s="63" t="n">
        <v>0.352051835853132</v>
      </c>
      <c r="X67" s="61" t="inlineStr">
        <is>
          <t>No</t>
        </is>
      </c>
      <c r="Y67" s="61" t="inlineStr">
        <is>
          <t>N</t>
        </is>
      </c>
      <c r="Z67" s="61" t="inlineStr">
        <is>
          <t>N</t>
        </is>
      </c>
      <c r="AA67" s="61" t="n">
        <v>3</v>
      </c>
      <c r="AB67" s="61" t="n">
        <v>3</v>
      </c>
      <c r="AC67" s="42" t="n">
        <v>0</v>
      </c>
      <c r="AD67" s="42" t="n">
        <v>6</v>
      </c>
      <c r="AE67" s="42" t="n">
        <v>0</v>
      </c>
      <c r="AF67" s="42" t="n">
        <v>0</v>
      </c>
      <c r="AG67" s="42" t="n">
        <v>1</v>
      </c>
      <c r="AH67" s="42" t="n">
        <v>0</v>
      </c>
      <c r="AI67" s="42" t="n">
        <v>30</v>
      </c>
      <c r="AJ67" s="42" t="n">
        <v>1</v>
      </c>
      <c r="AK67" s="42" t="n">
        <v>14</v>
      </c>
      <c r="AL67" s="42" t="n">
        <v>37</v>
      </c>
      <c r="AM67" s="20" t="inlineStr">
        <is>
          <t>Refactor</t>
        </is>
      </c>
      <c r="AN67" s="62" t="n">
        <v>0</v>
      </c>
      <c r="AO67" s="64">
        <f>--($D67='START HERE'!$C$5)</f>
        <v/>
      </c>
    </row>
    <row r="68" ht="23.25" customHeight="1">
      <c r="B68" s="42" t="n">
        <v>9969</v>
      </c>
      <c r="C68" s="13" t="inlineStr">
        <is>
          <t>EAADRS-JPN</t>
        </is>
      </c>
      <c r="D68" s="20" t="inlineStr">
        <is>
          <t>Corporate Related</t>
        </is>
      </c>
      <c r="E68" s="20" t="inlineStr">
        <is>
          <t>Cooperate, Performance</t>
        </is>
      </c>
      <c r="F68" s="61" t="inlineStr">
        <is>
          <t>unnamed</t>
        </is>
      </c>
      <c r="G68" s="61" t="inlineStr">
        <is>
          <t>T</t>
        </is>
      </c>
      <c r="H68" s="20" t="inlineStr">
        <is>
          <t>Long tail</t>
        </is>
      </c>
      <c r="I68" s="61" t="inlineStr">
        <is>
          <t>Rule 3</t>
        </is>
      </c>
      <c r="J68" s="62" t="n">
        <v>0.337375</v>
      </c>
      <c r="K68" s="62" t="n">
        <v>0.312375</v>
      </c>
      <c r="L68" s="62" t="n">
        <v>0.025</v>
      </c>
      <c r="M68" s="62" t="n">
        <v>0</v>
      </c>
      <c r="N68" s="62" t="n">
        <v>0.312375</v>
      </c>
      <c r="O68" s="62" t="n">
        <v>0</v>
      </c>
      <c r="P68" s="62" t="n">
        <v>0</v>
      </c>
      <c r="Q68" s="62" t="n">
        <v>0</v>
      </c>
      <c r="R68" s="62" t="n">
        <v>0.312375</v>
      </c>
      <c r="S68" s="62" t="n">
        <v>0</v>
      </c>
      <c r="T68" s="62" t="n">
        <v>0</v>
      </c>
      <c r="U68" s="62" t="n">
        <v>0</v>
      </c>
      <c r="V68" s="62" t="n">
        <v>0</v>
      </c>
      <c r="W68" s="63" t="n">
        <v>0.675805854020007</v>
      </c>
      <c r="X68" s="61" t="inlineStr">
        <is>
          <t>No</t>
        </is>
      </c>
      <c r="Y68" s="61" t="inlineStr">
        <is>
          <t>N</t>
        </is>
      </c>
      <c r="Z68" s="61" t="inlineStr">
        <is>
          <t>N</t>
        </is>
      </c>
      <c r="AA68" s="61" t="n">
        <v>3</v>
      </c>
      <c r="AB68" s="61" t="n">
        <v>1</v>
      </c>
      <c r="AC68" s="42" t="n">
        <v>0</v>
      </c>
      <c r="AD68" s="42" t="n">
        <v>111</v>
      </c>
      <c r="AE68" s="42" t="n">
        <v>0</v>
      </c>
      <c r="AF68" s="42" t="n">
        <v>0</v>
      </c>
      <c r="AG68" s="42" t="n">
        <v>5</v>
      </c>
      <c r="AH68" s="42" t="n">
        <v>0</v>
      </c>
      <c r="AI68" s="42" t="n">
        <v>10</v>
      </c>
      <c r="AJ68" s="42" t="n">
        <v>3</v>
      </c>
      <c r="AK68" s="42" t="n">
        <v>0</v>
      </c>
      <c r="AL68" s="42" t="n">
        <v>14</v>
      </c>
      <c r="AM68" s="20" t="inlineStr">
        <is>
          <t>Maintain (Evolve)</t>
        </is>
      </c>
      <c r="AN68" s="62" t="n">
        <v>0</v>
      </c>
      <c r="AO68" s="64">
        <f>--($D68='START HERE'!$C$5)</f>
        <v/>
      </c>
    </row>
    <row r="69" ht="23.25" customHeight="1">
      <c r="B69" s="42" t="n">
        <v>11007</v>
      </c>
      <c r="C69" s="13" t="inlineStr">
        <is>
          <t>OMSIKN-JPN</t>
        </is>
      </c>
      <c r="D69" s="20" t="inlineStr">
        <is>
          <t>Corporate Related</t>
        </is>
      </c>
      <c r="E69" s="20" t="inlineStr">
        <is>
          <t>Cooperate, Performance</t>
        </is>
      </c>
      <c r="F69" s="61" t="inlineStr">
        <is>
          <t>unnamed</t>
        </is>
      </c>
      <c r="G69" s="61" t="inlineStr">
        <is>
          <t>T</t>
        </is>
      </c>
      <c r="H69" s="20" t="inlineStr">
        <is>
          <t>Long tail</t>
        </is>
      </c>
      <c r="I69" s="61" t="inlineStr">
        <is>
          <t>Rule 3</t>
        </is>
      </c>
      <c r="J69" s="62" t="n">
        <v>0.307833333333333</v>
      </c>
      <c r="K69" s="62" t="n">
        <v>0.234916666666667</v>
      </c>
      <c r="L69" s="62" t="n">
        <v>0.0729166666666667</v>
      </c>
      <c r="M69" s="62" t="n">
        <v>0</v>
      </c>
      <c r="N69" s="62" t="n">
        <v>0.234916666666667</v>
      </c>
      <c r="O69" s="62" t="n">
        <v>0</v>
      </c>
      <c r="P69" s="62" t="n">
        <v>0</v>
      </c>
      <c r="Q69" s="62" t="n">
        <v>0</v>
      </c>
      <c r="R69" s="62" t="n">
        <v>0.234916666666667</v>
      </c>
      <c r="S69" s="62" t="n">
        <v>0</v>
      </c>
      <c r="T69" s="62" t="n">
        <v>0</v>
      </c>
      <c r="U69" s="62" t="n">
        <v>0</v>
      </c>
      <c r="V69" s="62" t="n">
        <v>0</v>
      </c>
      <c r="W69" s="63" t="n">
        <v>0.959393611261505</v>
      </c>
      <c r="X69" s="61" t="inlineStr">
        <is>
          <t>No</t>
        </is>
      </c>
      <c r="Y69" s="61" t="inlineStr">
        <is>
          <t>N</t>
        </is>
      </c>
      <c r="Z69" s="61" t="inlineStr">
        <is>
          <t>N</t>
        </is>
      </c>
      <c r="AA69" s="61" t="n">
        <v>3</v>
      </c>
      <c r="AB69" s="61" t="n">
        <v>1</v>
      </c>
      <c r="AC69" s="42" t="n">
        <v>0</v>
      </c>
      <c r="AD69" s="42" t="n">
        <v>2</v>
      </c>
      <c r="AE69" s="42" t="n">
        <v>0</v>
      </c>
      <c r="AF69" s="42" t="n">
        <v>0</v>
      </c>
      <c r="AG69" s="42" t="n">
        <v>0</v>
      </c>
      <c r="AH69" s="42" t="n">
        <v>2</v>
      </c>
      <c r="AI69" s="42" t="n">
        <v>12</v>
      </c>
      <c r="AJ69" s="42" t="n">
        <v>0</v>
      </c>
      <c r="AK69" s="42" t="n">
        <v>0</v>
      </c>
      <c r="AL69" s="42" t="n">
        <v>3</v>
      </c>
      <c r="AM69" s="20" t="inlineStr">
        <is>
          <t>Retire</t>
        </is>
      </c>
      <c r="AN69" s="62" t="n">
        <v>0</v>
      </c>
      <c r="AO69" s="64">
        <f>--($D69='START HERE'!$C$5)</f>
        <v/>
      </c>
    </row>
    <row r="70" ht="23.25" customHeight="1">
      <c r="B70" s="42" t="n">
        <v>14376</v>
      </c>
      <c r="C70" s="13" t="inlineStr">
        <is>
          <t>RAPS</t>
        </is>
      </c>
      <c r="D70" s="20" t="inlineStr">
        <is>
          <t>Corporate Related</t>
        </is>
      </c>
      <c r="E70" s="20" t="inlineStr">
        <is>
          <t>Cooperate, Performance</t>
        </is>
      </c>
      <c r="F70" s="61" t="inlineStr">
        <is>
          <t>unnamed</t>
        </is>
      </c>
      <c r="G70" s="61" t="inlineStr">
        <is>
          <t>T</t>
        </is>
      </c>
      <c r="H70" s="20" t="inlineStr">
        <is>
          <t>Long tail</t>
        </is>
      </c>
      <c r="I70" s="61" t="inlineStr">
        <is>
          <t>Rule 3</t>
        </is>
      </c>
      <c r="J70" s="62" t="n">
        <v>0.274791666666667</v>
      </c>
      <c r="K70" s="62" t="n">
        <v>0.274791666666667</v>
      </c>
      <c r="L70" s="62" t="n">
        <v>0</v>
      </c>
      <c r="M70" s="62" t="n">
        <v>0</v>
      </c>
      <c r="N70" s="62" t="n">
        <v>0.274791666666667</v>
      </c>
      <c r="O70" s="62" t="n">
        <v>0</v>
      </c>
      <c r="P70" s="62" t="n">
        <v>0</v>
      </c>
      <c r="Q70" s="62" t="n">
        <v>0</v>
      </c>
      <c r="R70" s="62" t="n">
        <v>0.274791666666667</v>
      </c>
      <c r="S70" s="62" t="n">
        <v>0</v>
      </c>
      <c r="T70" s="62" t="n">
        <v>0</v>
      </c>
      <c r="U70" s="62" t="n">
        <v>0</v>
      </c>
      <c r="V70" s="62" t="n">
        <v>0</v>
      </c>
      <c r="W70" s="63" t="n">
        <v>0.772554965883245</v>
      </c>
      <c r="X70" s="61" t="inlineStr">
        <is>
          <t>No</t>
        </is>
      </c>
      <c r="Y70" s="61" t="inlineStr">
        <is>
          <t>N</t>
        </is>
      </c>
      <c r="Z70" s="61" t="inlineStr">
        <is>
          <t>N</t>
        </is>
      </c>
      <c r="AA70" s="61" t="n">
        <v>3</v>
      </c>
      <c r="AB70" s="61" t="n">
        <v>1</v>
      </c>
      <c r="AC70" s="42" t="n">
        <v>0</v>
      </c>
      <c r="AD70" s="42" t="n">
        <v>4</v>
      </c>
      <c r="AE70" s="42" t="n">
        <v>0</v>
      </c>
      <c r="AF70" s="42" t="n">
        <v>0</v>
      </c>
      <c r="AG70" s="42" t="n">
        <v>0</v>
      </c>
      <c r="AH70" s="42" t="n">
        <v>0</v>
      </c>
      <c r="AI70" s="42" t="n">
        <v>2</v>
      </c>
      <c r="AJ70" s="42" t="n">
        <v>0</v>
      </c>
      <c r="AK70" s="42" t="n">
        <v>0</v>
      </c>
      <c r="AL70" s="42" t="n">
        <v>1</v>
      </c>
      <c r="AM70" s="20" t="inlineStr">
        <is>
          <t>Maintain (Patch)</t>
        </is>
      </c>
      <c r="AN70" s="62" t="n">
        <v>0</v>
      </c>
      <c r="AO70" s="64">
        <f>--($D70='START HERE'!$C$5)</f>
        <v/>
      </c>
    </row>
    <row r="71" ht="23.25" customHeight="1">
      <c r="B71" s="42" t="n">
        <v>12721</v>
      </c>
      <c r="C71" s="13" t="inlineStr">
        <is>
          <t>JP-Payroll</t>
        </is>
      </c>
      <c r="D71" s="20" t="inlineStr">
        <is>
          <t>Corporate Related</t>
        </is>
      </c>
      <c r="E71" s="20" t="inlineStr">
        <is>
          <t>Compliance &amp; Cooperate</t>
        </is>
      </c>
      <c r="F71" s="61" t="inlineStr">
        <is>
          <t>unnamed</t>
        </is>
      </c>
      <c r="G71" s="61" t="inlineStr">
        <is>
          <t>T</t>
        </is>
      </c>
      <c r="H71" s="20" t="inlineStr">
        <is>
          <t>Long tail</t>
        </is>
      </c>
      <c r="I71" s="61" t="inlineStr">
        <is>
          <t>Rule 3</t>
        </is>
      </c>
      <c r="J71" s="62" t="n">
        <v>0.241666666666667</v>
      </c>
      <c r="K71" s="62" t="n">
        <v>0.241666666666667</v>
      </c>
      <c r="L71" s="62" t="n">
        <v>0</v>
      </c>
      <c r="M71" s="62" t="n">
        <v>0</v>
      </c>
      <c r="N71" s="62" t="n">
        <v>0.241666666666667</v>
      </c>
      <c r="O71" s="62" t="n">
        <v>0</v>
      </c>
      <c r="P71" s="62" t="n">
        <v>0</v>
      </c>
      <c r="Q71" s="62" t="n">
        <v>0</v>
      </c>
      <c r="R71" s="62" t="n">
        <v>0.241666666666667</v>
      </c>
      <c r="S71" s="62" t="n">
        <v>0</v>
      </c>
      <c r="T71" s="62" t="n">
        <v>0</v>
      </c>
      <c r="U71" s="62" t="n">
        <v>0</v>
      </c>
      <c r="V71" s="62" t="n">
        <v>0</v>
      </c>
      <c r="W71" s="63" t="n">
        <v>0.931034482758621</v>
      </c>
      <c r="X71" s="61" t="inlineStr">
        <is>
          <t>Yes</t>
        </is>
      </c>
      <c r="Y71" s="61" t="inlineStr">
        <is>
          <t>N</t>
        </is>
      </c>
      <c r="Z71" s="61" t="inlineStr">
        <is>
          <t>N</t>
        </is>
      </c>
      <c r="AA71" s="61" t="n">
        <v>3</v>
      </c>
      <c r="AB71" s="61" t="n">
        <v>1</v>
      </c>
      <c r="AC71" s="42" t="n">
        <v>2000</v>
      </c>
      <c r="AD71" s="42" t="n">
        <v>4</v>
      </c>
      <c r="AE71" s="42" t="n">
        <v>0</v>
      </c>
      <c r="AF71" s="42" t="n">
        <v>0</v>
      </c>
      <c r="AG71" s="42" t="n">
        <v>0</v>
      </c>
      <c r="AH71" s="42" t="n">
        <v>1</v>
      </c>
      <c r="AI71" s="42" t="n">
        <v>14</v>
      </c>
      <c r="AJ71" s="42" t="n">
        <v>0</v>
      </c>
      <c r="AK71" s="42" t="n">
        <v>0</v>
      </c>
      <c r="AL71" s="42" t="n">
        <v>7</v>
      </c>
      <c r="AM71" s="20" t="inlineStr">
        <is>
          <t>Maintain (Patch)</t>
        </is>
      </c>
      <c r="AN71" s="62" t="n">
        <v>0</v>
      </c>
      <c r="AO71" s="64">
        <f>--($D71='START HERE'!$C$5)</f>
        <v/>
      </c>
    </row>
    <row r="72" ht="14.25" customHeight="1">
      <c r="B72" s="42" t="n">
        <v>11288</v>
      </c>
      <c r="C72" s="13" t="inlineStr">
        <is>
          <t>CGLFJM-JPN</t>
        </is>
      </c>
      <c r="D72" s="20" t="inlineStr">
        <is>
          <t>Corporate Related</t>
        </is>
      </c>
      <c r="E72" s="20" t="inlineStr">
        <is>
          <t>Compliance &amp; Cooperate</t>
        </is>
      </c>
      <c r="F72" s="61" t="inlineStr">
        <is>
          <t>FSI</t>
        </is>
      </c>
      <c r="G72" s="61" t="inlineStr">
        <is>
          <t>T</t>
        </is>
      </c>
      <c r="H72" s="20" t="inlineStr">
        <is>
          <t>Long tail</t>
        </is>
      </c>
      <c r="I72" s="61" t="inlineStr">
        <is>
          <t>Rule 3</t>
        </is>
      </c>
      <c r="J72" s="62" t="n">
        <v>0.0916666666666667</v>
      </c>
      <c r="K72" s="62" t="n">
        <v>0.0916666666666667</v>
      </c>
      <c r="L72" s="62" t="n">
        <v>0</v>
      </c>
      <c r="M72" s="62" t="n">
        <v>0</v>
      </c>
      <c r="N72" s="62" t="n">
        <v>0.0916666666666667</v>
      </c>
      <c r="O72" s="62" t="n">
        <v>0</v>
      </c>
      <c r="P72" s="62" t="n">
        <v>0</v>
      </c>
      <c r="Q72" s="62" t="n">
        <v>0</v>
      </c>
      <c r="R72" s="62" t="n">
        <v>0.0916666666666667</v>
      </c>
      <c r="S72" s="62" t="n">
        <v>0</v>
      </c>
      <c r="T72" s="62" t="n">
        <v>0</v>
      </c>
      <c r="U72" s="62" t="n">
        <v>0</v>
      </c>
      <c r="V72" s="62" t="n">
        <v>0</v>
      </c>
      <c r="W72" s="63" t="n">
        <v>0.272727272727273</v>
      </c>
      <c r="X72" s="61" t="inlineStr">
        <is>
          <t>No</t>
        </is>
      </c>
      <c r="Y72" s="61" t="inlineStr">
        <is>
          <t>N</t>
        </is>
      </c>
      <c r="Z72" s="61" t="inlineStr">
        <is>
          <t>N</t>
        </is>
      </c>
      <c r="AA72" s="61" t="n">
        <v>3</v>
      </c>
      <c r="AB72" s="61" t="n">
        <v>1</v>
      </c>
      <c r="AC72" s="42" t="n">
        <v>130000</v>
      </c>
      <c r="AD72" s="42" t="n">
        <v>7</v>
      </c>
      <c r="AE72" s="42" t="n">
        <v>0</v>
      </c>
      <c r="AF72" s="42" t="n">
        <v>0</v>
      </c>
      <c r="AG72" s="42" t="n">
        <v>0</v>
      </c>
      <c r="AH72" s="42" t="n">
        <v>0</v>
      </c>
      <c r="AI72" s="42" t="n">
        <v>0</v>
      </c>
      <c r="AJ72" s="42" t="n">
        <v>0</v>
      </c>
      <c r="AK72" s="42" t="n">
        <v>0</v>
      </c>
      <c r="AL72" s="42" t="n">
        <v>12</v>
      </c>
      <c r="AM72" s="20" t="inlineStr">
        <is>
          <t>Maintain (Patch)</t>
        </is>
      </c>
      <c r="AN72" s="62" t="n">
        <v>0</v>
      </c>
      <c r="AO72" s="64">
        <f>--($D72='START HERE'!$C$5)</f>
        <v/>
      </c>
    </row>
    <row r="73" ht="14.25" customHeight="1">
      <c r="B73" s="42" t="n">
        <v>9949</v>
      </c>
      <c r="C73" s="13" t="inlineStr">
        <is>
          <t>CCMDNT-JPN</t>
        </is>
      </c>
      <c r="D73" s="20" t="inlineStr">
        <is>
          <t>Corporate Related</t>
        </is>
      </c>
      <c r="E73" s="20" t="inlineStr">
        <is>
          <t>Compliance &amp; Cooperate</t>
        </is>
      </c>
      <c r="F73" s="61" t="inlineStr">
        <is>
          <t>FSI</t>
        </is>
      </c>
      <c r="G73" s="61" t="inlineStr">
        <is>
          <t>T</t>
        </is>
      </c>
      <c r="H73" s="20" t="inlineStr">
        <is>
          <t>Long tail</t>
        </is>
      </c>
      <c r="I73" s="61" t="inlineStr">
        <is>
          <t>Rule 3</t>
        </is>
      </c>
      <c r="J73" s="62" t="n">
        <v>0.06666666666666669</v>
      </c>
      <c r="K73" s="62" t="n">
        <v>0.06666666666666669</v>
      </c>
      <c r="L73" s="62" t="n">
        <v>0</v>
      </c>
      <c r="M73" s="62" t="n">
        <v>0</v>
      </c>
      <c r="N73" s="62" t="n">
        <v>0.06666666666666669</v>
      </c>
      <c r="O73" s="62" t="n">
        <v>0</v>
      </c>
      <c r="P73" s="62" t="n">
        <v>0</v>
      </c>
      <c r="Q73" s="62" t="n">
        <v>0</v>
      </c>
      <c r="R73" s="62" t="n">
        <v>0.06666666666666669</v>
      </c>
      <c r="S73" s="62" t="n">
        <v>0</v>
      </c>
      <c r="T73" s="62" t="n">
        <v>0</v>
      </c>
      <c r="U73" s="62" t="n">
        <v>0</v>
      </c>
      <c r="V73" s="62" t="n">
        <v>0</v>
      </c>
      <c r="W73" s="63" t="n">
        <v>0</v>
      </c>
      <c r="X73" s="61" t="inlineStr">
        <is>
          <t>No</t>
        </is>
      </c>
      <c r="Y73" s="61" t="inlineStr">
        <is>
          <t>N</t>
        </is>
      </c>
      <c r="Z73" s="61" t="inlineStr">
        <is>
          <t>N</t>
        </is>
      </c>
      <c r="AA73" s="61" t="n">
        <v>3</v>
      </c>
      <c r="AB73" s="61" t="n">
        <v>1</v>
      </c>
      <c r="AC73" s="42" t="n">
        <v>140000</v>
      </c>
      <c r="AD73" s="42" t="n">
        <v>0</v>
      </c>
      <c r="AE73" s="42" t="n">
        <v>0</v>
      </c>
      <c r="AF73" s="42" t="n">
        <v>0</v>
      </c>
      <c r="AG73" s="42" t="n">
        <v>0</v>
      </c>
      <c r="AH73" s="42" t="n">
        <v>1</v>
      </c>
      <c r="AI73" s="42" t="n">
        <v>1</v>
      </c>
      <c r="AJ73" s="42" t="n">
        <v>0</v>
      </c>
      <c r="AK73" s="42" t="n">
        <v>0</v>
      </c>
      <c r="AL73" s="42" t="n">
        <v>16</v>
      </c>
      <c r="AM73" s="20" t="inlineStr">
        <is>
          <t>Maintain (Patch)</t>
        </is>
      </c>
      <c r="AN73" s="62" t="n">
        <v>0</v>
      </c>
      <c r="AO73" s="64">
        <f>--($D73='START HERE'!$C$5)</f>
        <v/>
      </c>
    </row>
    <row r="74" ht="14.25" customHeight="1">
      <c r="B74" s="42" t="n">
        <v>9965</v>
      </c>
      <c r="C74" s="13" t="inlineStr">
        <is>
          <t>WZZHYO-JPN</t>
        </is>
      </c>
      <c r="D74" s="20" t="inlineStr">
        <is>
          <t>Corporate Related</t>
        </is>
      </c>
      <c r="E74" s="20" t="inlineStr">
        <is>
          <t>Compliance &amp; Cooperate</t>
        </is>
      </c>
      <c r="F74" s="61" t="inlineStr">
        <is>
          <t>FSI</t>
        </is>
      </c>
      <c r="G74" s="61" t="inlineStr">
        <is>
          <t>T</t>
        </is>
      </c>
      <c r="H74" s="20" t="inlineStr">
        <is>
          <t>Long tail</t>
        </is>
      </c>
      <c r="I74" s="61" t="inlineStr">
        <is>
          <t>Rule 3</t>
        </is>
      </c>
      <c r="J74" s="62" t="n">
        <v>0.0625</v>
      </c>
      <c r="K74" s="62" t="n">
        <v>0.025</v>
      </c>
      <c r="L74" s="62" t="n">
        <v>0.0375</v>
      </c>
      <c r="M74" s="62" t="n">
        <v>0</v>
      </c>
      <c r="N74" s="62" t="n">
        <v>0.025</v>
      </c>
      <c r="O74" s="62" t="n">
        <v>0</v>
      </c>
      <c r="P74" s="62" t="n">
        <v>0</v>
      </c>
      <c r="Q74" s="62" t="n">
        <v>0</v>
      </c>
      <c r="R74" s="62" t="n">
        <v>0.025</v>
      </c>
      <c r="S74" s="62" t="n">
        <v>0</v>
      </c>
      <c r="T74" s="62" t="n">
        <v>0</v>
      </c>
      <c r="U74" s="62" t="n">
        <v>0</v>
      </c>
      <c r="V74" s="62" t="n">
        <v>0</v>
      </c>
      <c r="W74" s="63" t="n">
        <v>0.2</v>
      </c>
      <c r="X74" s="61" t="inlineStr">
        <is>
          <t>No</t>
        </is>
      </c>
      <c r="Y74" s="61" t="inlineStr">
        <is>
          <t>N</t>
        </is>
      </c>
      <c r="Z74" s="61" t="inlineStr">
        <is>
          <t>N</t>
        </is>
      </c>
      <c r="AA74" s="61" t="n">
        <v>3</v>
      </c>
      <c r="AB74" s="61" t="n">
        <v>1</v>
      </c>
      <c r="AC74" s="42" t="n">
        <v>65861</v>
      </c>
      <c r="AD74" s="42" t="n">
        <v>0</v>
      </c>
      <c r="AE74" s="42" t="n">
        <v>0</v>
      </c>
      <c r="AF74" s="42" t="n">
        <v>0</v>
      </c>
      <c r="AG74" s="42" t="n">
        <v>0</v>
      </c>
      <c r="AH74" s="42" t="n">
        <v>1</v>
      </c>
      <c r="AI74" s="42" t="n">
        <v>11</v>
      </c>
      <c r="AJ74" s="42" t="n">
        <v>0</v>
      </c>
      <c r="AK74" s="42" t="n">
        <v>0</v>
      </c>
      <c r="AL74" s="42" t="n">
        <v>5</v>
      </c>
      <c r="AM74" s="20" t="inlineStr">
        <is>
          <t>Maintain (Patch)</t>
        </is>
      </c>
      <c r="AN74" s="62" t="n">
        <v>0</v>
      </c>
      <c r="AO74" s="64">
        <f>--($D74='START HERE'!$C$5)</f>
        <v/>
      </c>
    </row>
    <row r="75" ht="23.25" customHeight="1">
      <c r="B75" s="42" t="n">
        <v>13405</v>
      </c>
      <c r="C75" s="13" t="inlineStr">
        <is>
          <t>Kintone-JPN</t>
        </is>
      </c>
      <c r="D75" s="20" t="inlineStr">
        <is>
          <t>Corporate Related</t>
        </is>
      </c>
      <c r="E75" s="20" t="inlineStr">
        <is>
          <t>Compliance &amp; Cooperate</t>
        </is>
      </c>
      <c r="F75" s="61" t="inlineStr">
        <is>
          <t>unnamed</t>
        </is>
      </c>
      <c r="G75" s="61" t="inlineStr">
        <is>
          <t>T</t>
        </is>
      </c>
      <c r="H75" s="20" t="inlineStr">
        <is>
          <t>Long tail</t>
        </is>
      </c>
      <c r="I75" s="61" t="inlineStr">
        <is>
          <t>Rule 3</t>
        </is>
      </c>
      <c r="J75" s="62" t="n">
        <v>0</v>
      </c>
      <c r="K75" s="62" t="n">
        <v>0</v>
      </c>
      <c r="L75" s="62" t="n">
        <v>0</v>
      </c>
      <c r="M75" s="62" t="n">
        <v>0</v>
      </c>
      <c r="N75" s="62" t="n">
        <v>0</v>
      </c>
      <c r="O75" s="62" t="n">
        <v>0</v>
      </c>
      <c r="P75" s="62" t="n">
        <v>0</v>
      </c>
      <c r="Q75" s="62" t="n">
        <v>0</v>
      </c>
      <c r="R75" s="62" t="n">
        <v>0</v>
      </c>
      <c r="S75" s="62" t="n">
        <v>0</v>
      </c>
      <c r="T75" s="62" t="n">
        <v>0</v>
      </c>
      <c r="U75" s="62" t="n">
        <v>0</v>
      </c>
      <c r="V75" s="62" t="n">
        <v>0</v>
      </c>
      <c r="W75" s="63" t="n">
        <v>0</v>
      </c>
      <c r="X75" s="61" t="inlineStr">
        <is>
          <t>Yes</t>
        </is>
      </c>
      <c r="Y75" s="61" t="inlineStr">
        <is>
          <t>N</t>
        </is>
      </c>
      <c r="Z75" s="61" t="inlineStr">
        <is>
          <t>N</t>
        </is>
      </c>
      <c r="AA75" s="61" t="n">
        <v>3</v>
      </c>
      <c r="AB75" s="61" t="n">
        <v>1</v>
      </c>
      <c r="AC75" s="42" t="n">
        <v>0</v>
      </c>
      <c r="AD75" s="42" t="n">
        <v>0</v>
      </c>
      <c r="AE75" s="42" t="n">
        <v>0</v>
      </c>
      <c r="AF75" s="42" t="n">
        <v>0</v>
      </c>
      <c r="AG75" s="42" t="n">
        <v>0</v>
      </c>
      <c r="AH75" s="42" t="n">
        <v>0</v>
      </c>
      <c r="AI75" s="42" t="n">
        <v>2</v>
      </c>
      <c r="AJ75" s="42" t="n">
        <v>0</v>
      </c>
      <c r="AK75" s="42" t="n">
        <v>0</v>
      </c>
      <c r="AL75" s="42" t="n">
        <v>0</v>
      </c>
      <c r="AM75" s="20" t="inlineStr">
        <is>
          <t>Maintain (Patch)</t>
        </is>
      </c>
      <c r="AN75" s="62" t="n">
        <v>0</v>
      </c>
      <c r="AO75" s="64">
        <f>--($D75='START HERE'!$C$5)</f>
        <v/>
      </c>
    </row>
    <row r="76" ht="14.25" customHeight="1">
      <c r="B76" s="42" t="n">
        <v>12932</v>
      </c>
      <c r="C76" s="13" t="inlineStr">
        <is>
          <t>Digital Portal</t>
        </is>
      </c>
      <c r="D76" s="20" t="inlineStr">
        <is>
          <t>Customer Care / Call Center</t>
        </is>
      </c>
      <c r="E76" s="20" t="inlineStr">
        <is>
          <t>Portal Services</t>
        </is>
      </c>
      <c r="F76" s="61" t="inlineStr">
        <is>
          <t>CG</t>
        </is>
      </c>
      <c r="G76" s="61" t="inlineStr">
        <is>
          <t>D</t>
        </is>
      </c>
      <c r="H76" s="20" t="inlineStr">
        <is>
          <t>Distributed-proven</t>
        </is>
      </c>
      <c r="I76" s="61" t="inlineStr">
        <is>
          <t>Rule 4</t>
        </is>
      </c>
      <c r="J76" s="62" t="n">
        <v>73.6862500000001</v>
      </c>
      <c r="K76" s="62" t="n">
        <v>35.8195833333333</v>
      </c>
      <c r="L76" s="62" t="n">
        <v>25.0000000000001</v>
      </c>
      <c r="M76" s="62" t="n">
        <v>12.8666666666667</v>
      </c>
      <c r="N76" s="62" t="n">
        <v>27.1695833333333</v>
      </c>
      <c r="O76" s="62" t="n">
        <v>8.65</v>
      </c>
      <c r="P76" s="62" t="n">
        <v>0</v>
      </c>
      <c r="Q76" s="62" t="n">
        <v>4.35833333333333</v>
      </c>
      <c r="R76" s="62" t="n">
        <v>10.2083333333333</v>
      </c>
      <c r="S76" s="62" t="n">
        <v>15.0666666666667</v>
      </c>
      <c r="T76" s="62" t="n">
        <v>4.875</v>
      </c>
      <c r="U76" s="62" t="n">
        <v>1</v>
      </c>
      <c r="V76" s="62" t="n">
        <v>0.31125</v>
      </c>
      <c r="W76" s="63" t="n">
        <v>0.911675063755676</v>
      </c>
      <c r="X76" s="61" t="inlineStr">
        <is>
          <t>Yes</t>
        </is>
      </c>
      <c r="Y76" s="61" t="inlineStr">
        <is>
          <t>N</t>
        </is>
      </c>
      <c r="Z76" s="61" t="inlineStr">
        <is>
          <t>N</t>
        </is>
      </c>
      <c r="AA76" s="61" t="n">
        <v>1</v>
      </c>
      <c r="AB76" s="61" t="n">
        <v>2</v>
      </c>
      <c r="AC76" s="42" t="n">
        <v>100000</v>
      </c>
      <c r="AD76" s="42" t="n">
        <v>10</v>
      </c>
      <c r="AE76" s="42" t="n">
        <v>1</v>
      </c>
      <c r="AF76" s="42" t="n">
        <v>0</v>
      </c>
      <c r="AG76" s="42" t="n">
        <v>82</v>
      </c>
      <c r="AH76" s="42" t="n">
        <v>242</v>
      </c>
      <c r="AI76" s="42" t="n">
        <v>720</v>
      </c>
      <c r="AJ76" s="42" t="n">
        <v>18</v>
      </c>
      <c r="AK76" s="42" t="n">
        <v>93</v>
      </c>
      <c r="AL76" s="42" t="n">
        <v>334</v>
      </c>
      <c r="AM76" s="20" t="inlineStr">
        <is>
          <t>Maintain (Evolve)</t>
        </is>
      </c>
      <c r="AN76" s="62" t="n">
        <v>9.465999999999999</v>
      </c>
      <c r="AO76" s="64">
        <f>--($D76='START HERE'!$C$5)</f>
        <v/>
      </c>
    </row>
    <row r="77" ht="14.25" customHeight="1">
      <c r="B77" s="42" t="n">
        <v>12646</v>
      </c>
      <c r="C77" s="13" t="inlineStr">
        <is>
          <t>Himawari</t>
        </is>
      </c>
      <c r="D77" s="20" t="inlineStr">
        <is>
          <t>Customer Care / Call Center</t>
        </is>
      </c>
      <c r="E77" s="20" t="inlineStr">
        <is>
          <t>Call Platform</t>
        </is>
      </c>
      <c r="F77" s="61" t="inlineStr">
        <is>
          <t>CG</t>
        </is>
      </c>
      <c r="G77" s="61" t="inlineStr">
        <is>
          <t>D</t>
        </is>
      </c>
      <c r="H77" s="20" t="inlineStr">
        <is>
          <t>Distributed-proven</t>
        </is>
      </c>
      <c r="I77" s="61" t="inlineStr">
        <is>
          <t>Rule 4</t>
        </is>
      </c>
      <c r="J77" s="62" t="n">
        <v>28.0041666666667</v>
      </c>
      <c r="K77" s="62" t="n">
        <v>9.58333333333333</v>
      </c>
      <c r="L77" s="62" t="n">
        <v>11.3375</v>
      </c>
      <c r="M77" s="62" t="n">
        <v>7.08333333333334</v>
      </c>
      <c r="N77" s="62" t="n">
        <v>4.75</v>
      </c>
      <c r="O77" s="62" t="n">
        <v>4.83333333333333</v>
      </c>
      <c r="P77" s="62" t="n">
        <v>0</v>
      </c>
      <c r="Q77" s="62" t="n">
        <v>1</v>
      </c>
      <c r="R77" s="62" t="n">
        <v>2.83333333333333</v>
      </c>
      <c r="S77" s="62" t="n">
        <v>4.125</v>
      </c>
      <c r="T77" s="62" t="n">
        <v>1</v>
      </c>
      <c r="U77" s="62" t="n">
        <v>0</v>
      </c>
      <c r="V77" s="62" t="n">
        <v>0.625</v>
      </c>
      <c r="W77" s="63" t="n">
        <v>0.812230322868621</v>
      </c>
      <c r="X77" s="61" t="inlineStr">
        <is>
          <t>Yes</t>
        </is>
      </c>
      <c r="Y77" s="61" t="inlineStr">
        <is>
          <t>N</t>
        </is>
      </c>
      <c r="Z77" s="61" t="inlineStr">
        <is>
          <t>Y</t>
        </is>
      </c>
      <c r="AA77" s="61" t="n">
        <v>1</v>
      </c>
      <c r="AB77" s="61" t="n">
        <v>3</v>
      </c>
      <c r="AC77" s="42" t="n">
        <v>0</v>
      </c>
      <c r="AD77" s="42" t="n">
        <v>15</v>
      </c>
      <c r="AE77" s="42" t="n">
        <v>0</v>
      </c>
      <c r="AF77" s="42" t="n">
        <v>1</v>
      </c>
      <c r="AG77" s="42" t="n">
        <v>14</v>
      </c>
      <c r="AH77" s="42" t="n">
        <v>9</v>
      </c>
      <c r="AI77" s="42" t="n">
        <v>47</v>
      </c>
      <c r="AJ77" s="42" t="n">
        <v>7</v>
      </c>
      <c r="AK77" s="42" t="n">
        <v>0</v>
      </c>
      <c r="AL77" s="42" t="n">
        <v>80</v>
      </c>
      <c r="AM77" s="20" t="inlineStr">
        <is>
          <t>Maintain (Evolve)</t>
        </is>
      </c>
      <c r="AN77" s="62" t="n">
        <v>5.42</v>
      </c>
      <c r="AO77" s="64">
        <f>--($D77='START HERE'!$C$5)</f>
        <v/>
      </c>
    </row>
    <row r="78" ht="14.25" customHeight="1">
      <c r="B78" s="42" t="n">
        <v>12894</v>
      </c>
      <c r="C78" s="13" t="inlineStr">
        <is>
          <t>WCMCCMJPN</t>
        </is>
      </c>
      <c r="D78" s="20" t="inlineStr">
        <is>
          <t>Customer Care / Call Center</t>
        </is>
      </c>
      <c r="E78" s="20" t="inlineStr">
        <is>
          <t>Call Backend Service</t>
        </is>
      </c>
      <c r="F78" s="61" t="inlineStr">
        <is>
          <t>CG</t>
        </is>
      </c>
      <c r="G78" s="61" t="inlineStr">
        <is>
          <t>D</t>
        </is>
      </c>
      <c r="H78" s="20" t="inlineStr">
        <is>
          <t>Distributed-proven</t>
        </is>
      </c>
      <c r="I78" s="61" t="inlineStr">
        <is>
          <t>Rule 4</t>
        </is>
      </c>
      <c r="J78" s="62" t="n">
        <v>8.331250000000001</v>
      </c>
      <c r="K78" s="62" t="n">
        <v>2.63333333333333</v>
      </c>
      <c r="L78" s="62" t="n">
        <v>2.77916666666667</v>
      </c>
      <c r="M78" s="62" t="n">
        <v>2.91875</v>
      </c>
      <c r="N78" s="62" t="n">
        <v>0.633333333333333</v>
      </c>
      <c r="O78" s="62" t="n">
        <v>2</v>
      </c>
      <c r="P78" s="62" t="n">
        <v>0</v>
      </c>
      <c r="Q78" s="62" t="n">
        <v>0</v>
      </c>
      <c r="R78" s="62" t="n">
        <v>2</v>
      </c>
      <c r="S78" s="62" t="n">
        <v>0.125</v>
      </c>
      <c r="T78" s="62" t="n">
        <v>0.5</v>
      </c>
      <c r="U78" s="62" t="n">
        <v>0</v>
      </c>
      <c r="V78" s="62" t="n">
        <v>0</v>
      </c>
      <c r="W78" s="63" t="n">
        <v>0.927481870467617</v>
      </c>
      <c r="X78" s="61" t="inlineStr">
        <is>
          <t>Yes</t>
        </is>
      </c>
      <c r="Y78" s="61" t="inlineStr">
        <is>
          <t>N</t>
        </is>
      </c>
      <c r="Z78" s="61" t="inlineStr">
        <is>
          <t>N</t>
        </is>
      </c>
      <c r="AA78" s="61" t="n">
        <v>1</v>
      </c>
      <c r="AB78" s="61" t="n">
        <v>3</v>
      </c>
      <c r="AC78" s="42" t="n">
        <v>0</v>
      </c>
      <c r="AD78" s="42" t="n">
        <v>0</v>
      </c>
      <c r="AE78" s="42" t="n">
        <v>0</v>
      </c>
      <c r="AF78" s="42" t="n">
        <v>0</v>
      </c>
      <c r="AG78" s="42" t="n">
        <v>2</v>
      </c>
      <c r="AH78" s="42" t="n">
        <v>44</v>
      </c>
      <c r="AI78" s="42" t="n">
        <v>15</v>
      </c>
      <c r="AJ78" s="42" t="n">
        <v>5</v>
      </c>
      <c r="AK78" s="42" t="n">
        <v>3</v>
      </c>
      <c r="AL78" s="42" t="n">
        <v>181</v>
      </c>
      <c r="AM78" s="20" t="inlineStr">
        <is>
          <t>Maintain (Evolve)</t>
        </is>
      </c>
      <c r="AN78" s="62" t="n">
        <v>2.633</v>
      </c>
      <c r="AO78" s="64">
        <f>--($D78='START HERE'!$C$5)</f>
        <v/>
      </c>
    </row>
    <row r="79" ht="14.25" customHeight="1">
      <c r="B79" s="42" t="n">
        <v>13856</v>
      </c>
      <c r="C79" s="13" t="inlineStr">
        <is>
          <t>Customer Care Batch</t>
        </is>
      </c>
      <c r="D79" s="20" t="inlineStr">
        <is>
          <t>Customer Care / Call Center</t>
        </is>
      </c>
      <c r="E79" s="20" t="inlineStr">
        <is>
          <t>Call Backend Service</t>
        </is>
      </c>
      <c r="F79" s="61" t="inlineStr">
        <is>
          <t>NCD</t>
        </is>
      </c>
      <c r="G79" s="61" t="inlineStr">
        <is>
          <t>D</t>
        </is>
      </c>
      <c r="H79" s="20" t="inlineStr">
        <is>
          <t>Distributed-proven</t>
        </is>
      </c>
      <c r="I79" s="61" t="inlineStr">
        <is>
          <t>Rule 4</t>
        </is>
      </c>
      <c r="J79" s="62" t="n">
        <v>6.4025</v>
      </c>
      <c r="K79" s="62" t="n">
        <v>4.4025</v>
      </c>
      <c r="L79" s="62" t="n">
        <v>1.95833333333333</v>
      </c>
      <c r="M79" s="62" t="n">
        <v>0.0416666666666667</v>
      </c>
      <c r="N79" s="62" t="n">
        <v>0.6525</v>
      </c>
      <c r="O79" s="62" t="n">
        <v>3.75</v>
      </c>
      <c r="P79" s="62" t="n">
        <v>0</v>
      </c>
      <c r="Q79" s="62" t="n">
        <v>0</v>
      </c>
      <c r="R79" s="62" t="n">
        <v>4.2775</v>
      </c>
      <c r="S79" s="62" t="n">
        <v>0</v>
      </c>
      <c r="T79" s="62" t="n">
        <v>0.125</v>
      </c>
      <c r="U79" s="62" t="n">
        <v>0</v>
      </c>
      <c r="V79" s="62" t="n">
        <v>0</v>
      </c>
      <c r="W79" s="63" t="n">
        <v>0.957698815566836</v>
      </c>
      <c r="X79" s="61" t="inlineStr">
        <is>
          <t>No</t>
        </is>
      </c>
      <c r="Y79" s="61" t="inlineStr">
        <is>
          <t>N</t>
        </is>
      </c>
      <c r="Z79" s="61" t="inlineStr">
        <is>
          <t>N</t>
        </is>
      </c>
      <c r="AA79" s="61" t="n">
        <v>3</v>
      </c>
      <c r="AB79" s="61" t="n">
        <v>1</v>
      </c>
      <c r="AC79" s="42" t="n">
        <v>0</v>
      </c>
      <c r="AD79" s="42" t="n">
        <v>29</v>
      </c>
      <c r="AE79" s="42" t="n">
        <v>0</v>
      </c>
      <c r="AF79" s="42" t="n">
        <v>0</v>
      </c>
      <c r="AG79" s="42" t="n">
        <v>19</v>
      </c>
      <c r="AH79" s="42" t="n">
        <v>13</v>
      </c>
      <c r="AI79" s="42" t="n">
        <v>71</v>
      </c>
      <c r="AJ79" s="42" t="n">
        <v>15</v>
      </c>
      <c r="AK79" s="42" t="n">
        <v>0</v>
      </c>
      <c r="AL79" s="42" t="n">
        <v>110</v>
      </c>
      <c r="AM79" s="20" t="inlineStr">
        <is>
          <t>Maintain (Patch)</t>
        </is>
      </c>
      <c r="AN79" s="62" t="n">
        <v>0.274</v>
      </c>
      <c r="AO79" s="64">
        <f>--($D79='START HERE'!$C$5)</f>
        <v/>
      </c>
    </row>
    <row r="80" ht="14.25" customHeight="1">
      <c r="B80" s="42" t="n">
        <v>13971</v>
      </c>
      <c r="C80" s="13" t="inlineStr">
        <is>
          <t>HIMAWARI backend apps</t>
        </is>
      </c>
      <c r="D80" s="20" t="inlineStr">
        <is>
          <t>Customer Care / Call Center</t>
        </is>
      </c>
      <c r="E80" s="20" t="inlineStr">
        <is>
          <t>Call Backend Service</t>
        </is>
      </c>
      <c r="F80" s="61" t="inlineStr">
        <is>
          <t>NCD</t>
        </is>
      </c>
      <c r="G80" s="61" t="inlineStr">
        <is>
          <t>T</t>
        </is>
      </c>
      <c r="H80" s="20" t="inlineStr">
        <is>
          <t>Long tail</t>
        </is>
      </c>
      <c r="I80" s="61" t="inlineStr">
        <is>
          <t>Rule 3</t>
        </is>
      </c>
      <c r="J80" s="62" t="n">
        <v>1.50416666666667</v>
      </c>
      <c r="K80" s="62" t="n">
        <v>0.9541666666666671</v>
      </c>
      <c r="L80" s="62" t="n">
        <v>0.55</v>
      </c>
      <c r="M80" s="62" t="n">
        <v>0</v>
      </c>
      <c r="N80" s="62" t="n">
        <v>0.9541666666666671</v>
      </c>
      <c r="O80" s="62" t="n">
        <v>0</v>
      </c>
      <c r="P80" s="62" t="n">
        <v>0</v>
      </c>
      <c r="Q80" s="62" t="n">
        <v>0</v>
      </c>
      <c r="R80" s="62" t="n">
        <v>0.9541666666666671</v>
      </c>
      <c r="S80" s="62" t="n">
        <v>0</v>
      </c>
      <c r="T80" s="62" t="n">
        <v>0</v>
      </c>
      <c r="U80" s="62" t="n">
        <v>0</v>
      </c>
      <c r="V80" s="62" t="n">
        <v>0</v>
      </c>
      <c r="W80" s="63" t="n">
        <v>0.293628808864266</v>
      </c>
      <c r="X80" s="61" t="inlineStr">
        <is>
          <t>No</t>
        </is>
      </c>
      <c r="Y80" s="61" t="inlineStr">
        <is>
          <t>N</t>
        </is>
      </c>
      <c r="Z80" s="61" t="inlineStr">
        <is>
          <t>N</t>
        </is>
      </c>
      <c r="AA80" s="61" t="n">
        <v>3</v>
      </c>
      <c r="AB80" s="61" t="n">
        <v>1</v>
      </c>
      <c r="AC80" s="42" t="n">
        <v>0</v>
      </c>
      <c r="AD80" s="42" t="n">
        <v>20</v>
      </c>
      <c r="AE80" s="42" t="n">
        <v>0</v>
      </c>
      <c r="AF80" s="42" t="n">
        <v>0</v>
      </c>
      <c r="AG80" s="42" t="n">
        <v>18</v>
      </c>
      <c r="AH80" s="42" t="n">
        <v>2</v>
      </c>
      <c r="AI80" s="42" t="n">
        <v>8</v>
      </c>
      <c r="AJ80" s="42" t="n">
        <v>6</v>
      </c>
      <c r="AK80" s="42" t="n">
        <v>0</v>
      </c>
      <c r="AL80" s="42" t="n">
        <v>80</v>
      </c>
      <c r="AM80" s="20" t="inlineStr">
        <is>
          <t>Maintain (Evolve)</t>
        </is>
      </c>
      <c r="AN80" s="62" t="n">
        <v>0.059</v>
      </c>
      <c r="AO80" s="64">
        <f>--($D80='START HERE'!$C$5)</f>
        <v/>
      </c>
    </row>
    <row r="81" ht="14.25" customHeight="1">
      <c r="B81" s="42" t="n">
        <v>9843</v>
      </c>
      <c r="C81" s="13" t="inlineStr">
        <is>
          <t>C10CSS-JPN</t>
        </is>
      </c>
      <c r="D81" s="20" t="inlineStr">
        <is>
          <t>Customer Care / Call Center</t>
        </is>
      </c>
      <c r="E81" s="20" t="inlineStr">
        <is>
          <t>Call Backend Service</t>
        </is>
      </c>
      <c r="F81" s="61" t="inlineStr">
        <is>
          <t>NCD</t>
        </is>
      </c>
      <c r="G81" s="61" t="inlineStr">
        <is>
          <t>T</t>
        </is>
      </c>
      <c r="H81" s="20" t="inlineStr">
        <is>
          <t>Long tail</t>
        </is>
      </c>
      <c r="I81" s="61" t="inlineStr">
        <is>
          <t>Rule 3</t>
        </is>
      </c>
      <c r="J81" s="62" t="n">
        <v>1.42041666666667</v>
      </c>
      <c r="K81" s="62" t="n">
        <v>1.21208333333333</v>
      </c>
      <c r="L81" s="62" t="n">
        <v>0.208333333333333</v>
      </c>
      <c r="M81" s="62" t="n">
        <v>0</v>
      </c>
      <c r="N81" s="62" t="n">
        <v>1.21208333333333</v>
      </c>
      <c r="O81" s="62" t="n">
        <v>0</v>
      </c>
      <c r="P81" s="62" t="n">
        <v>0</v>
      </c>
      <c r="Q81" s="62" t="n">
        <v>0</v>
      </c>
      <c r="R81" s="62" t="n">
        <v>1.21208333333333</v>
      </c>
      <c r="S81" s="62" t="n">
        <v>0</v>
      </c>
      <c r="T81" s="62" t="n">
        <v>0</v>
      </c>
      <c r="U81" s="62" t="n">
        <v>0</v>
      </c>
      <c r="V81" s="62" t="n">
        <v>0</v>
      </c>
      <c r="W81" s="63" t="n">
        <v>0.635963625696685</v>
      </c>
      <c r="X81" s="61" t="inlineStr">
        <is>
          <t>No</t>
        </is>
      </c>
      <c r="Y81" s="61" t="inlineStr">
        <is>
          <t>N</t>
        </is>
      </c>
      <c r="Z81" s="61" t="inlineStr">
        <is>
          <t>N</t>
        </is>
      </c>
      <c r="AA81" s="61" t="n">
        <v>3</v>
      </c>
      <c r="AB81" s="61" t="n">
        <v>1</v>
      </c>
      <c r="AC81" s="42" t="n">
        <v>0</v>
      </c>
      <c r="AD81" s="42" t="n">
        <v>8</v>
      </c>
      <c r="AE81" s="42" t="n">
        <v>0</v>
      </c>
      <c r="AF81" s="42" t="n">
        <v>0</v>
      </c>
      <c r="AG81" s="42" t="n">
        <v>5</v>
      </c>
      <c r="AH81" s="42" t="n">
        <v>4</v>
      </c>
      <c r="AI81" s="42" t="n">
        <v>25</v>
      </c>
      <c r="AJ81" s="42" t="n">
        <v>6</v>
      </c>
      <c r="AK81" s="42" t="n">
        <v>2</v>
      </c>
      <c r="AL81" s="42" t="n">
        <v>87</v>
      </c>
      <c r="AM81" s="20" t="inlineStr">
        <is>
          <t>Maintain (Evolve)</t>
        </is>
      </c>
      <c r="AN81" s="62" t="n">
        <v>0.076</v>
      </c>
      <c r="AO81" s="64">
        <f>--($D81='START HERE'!$C$5)</f>
        <v/>
      </c>
    </row>
    <row r="82" ht="14.25" customHeight="1">
      <c r="B82" s="42" t="n">
        <v>9975</v>
      </c>
      <c r="C82" s="13" t="inlineStr">
        <is>
          <t>WPMWCC-JPN</t>
        </is>
      </c>
      <c r="D82" s="20" t="inlineStr">
        <is>
          <t>Customer Care / Call Center</t>
        </is>
      </c>
      <c r="E82" s="20" t="inlineStr">
        <is>
          <t>Call Backend Service</t>
        </is>
      </c>
      <c r="F82" s="61" t="inlineStr">
        <is>
          <t>NCD</t>
        </is>
      </c>
      <c r="G82" s="61" t="inlineStr">
        <is>
          <t>T</t>
        </is>
      </c>
      <c r="H82" s="20" t="inlineStr">
        <is>
          <t>Long tail</t>
        </is>
      </c>
      <c r="I82" s="61" t="inlineStr">
        <is>
          <t>Rule 3</t>
        </is>
      </c>
      <c r="J82" s="62" t="n">
        <v>1.11166666666667</v>
      </c>
      <c r="K82" s="62" t="n">
        <v>1.11166666666667</v>
      </c>
      <c r="L82" s="62" t="n">
        <v>0</v>
      </c>
      <c r="M82" s="62" t="n">
        <v>0</v>
      </c>
      <c r="N82" s="62" t="n">
        <v>1.11166666666667</v>
      </c>
      <c r="O82" s="62" t="n">
        <v>0</v>
      </c>
      <c r="P82" s="62" t="n">
        <v>0</v>
      </c>
      <c r="Q82" s="62" t="n">
        <v>0</v>
      </c>
      <c r="R82" s="62" t="n">
        <v>0.861666666666667</v>
      </c>
      <c r="S82" s="62" t="n">
        <v>0</v>
      </c>
      <c r="T82" s="62" t="n">
        <v>0.25</v>
      </c>
      <c r="U82" s="62" t="n">
        <v>0</v>
      </c>
      <c r="V82" s="62" t="n">
        <v>0</v>
      </c>
      <c r="W82" s="63" t="n">
        <v>0.585082458770615</v>
      </c>
      <c r="X82" s="61" t="inlineStr">
        <is>
          <t>No</t>
        </is>
      </c>
      <c r="Y82" s="61" t="inlineStr">
        <is>
          <t>N</t>
        </is>
      </c>
      <c r="Z82" s="61" t="inlineStr">
        <is>
          <t>N</t>
        </is>
      </c>
      <c r="AA82" s="61" t="n">
        <v>3</v>
      </c>
      <c r="AB82" s="61" t="n">
        <v>1</v>
      </c>
      <c r="AC82" s="42" t="n">
        <v>0</v>
      </c>
      <c r="AD82" s="42" t="n">
        <v>10</v>
      </c>
      <c r="AE82" s="42" t="n">
        <v>0</v>
      </c>
      <c r="AF82" s="42" t="n">
        <v>0</v>
      </c>
      <c r="AG82" s="42" t="n">
        <v>0</v>
      </c>
      <c r="AH82" s="42" t="n">
        <v>0</v>
      </c>
      <c r="AI82" s="42" t="n">
        <v>21</v>
      </c>
      <c r="AJ82" s="42" t="n">
        <v>0</v>
      </c>
      <c r="AK82" s="42" t="n">
        <v>125</v>
      </c>
      <c r="AL82" s="42" t="n">
        <v>182</v>
      </c>
      <c r="AM82" s="20" t="inlineStr">
        <is>
          <t>Maintain (Evolve)</t>
        </is>
      </c>
      <c r="AN82" s="62" t="n">
        <v>0.06900000000000001</v>
      </c>
      <c r="AO82" s="64">
        <f>--($D82='START HERE'!$C$5)</f>
        <v/>
      </c>
    </row>
    <row r="83" ht="14.25" customHeight="1">
      <c r="B83" s="42" t="n">
        <v>9846</v>
      </c>
      <c r="C83" s="13" t="inlineStr">
        <is>
          <t>C03VSV-JPN</t>
        </is>
      </c>
      <c r="D83" s="20" t="inlineStr">
        <is>
          <t>Customer Care / Call Center</t>
        </is>
      </c>
      <c r="E83" s="20" t="inlineStr">
        <is>
          <t>Call Backend Service</t>
        </is>
      </c>
      <c r="F83" s="61" t="inlineStr">
        <is>
          <t>FSI</t>
        </is>
      </c>
      <c r="G83" s="61" t="inlineStr">
        <is>
          <t>T</t>
        </is>
      </c>
      <c r="H83" s="20" t="inlineStr">
        <is>
          <t>Long tail</t>
        </is>
      </c>
      <c r="I83" s="61" t="inlineStr">
        <is>
          <t>Rule 3</t>
        </is>
      </c>
      <c r="J83" s="62" t="n">
        <v>0.43125</v>
      </c>
      <c r="K83" s="62" t="n">
        <v>0.03125</v>
      </c>
      <c r="L83" s="62" t="n">
        <v>0.4</v>
      </c>
      <c r="M83" s="62" t="n">
        <v>0</v>
      </c>
      <c r="N83" s="62" t="n">
        <v>0.03125</v>
      </c>
      <c r="O83" s="62" t="n">
        <v>0</v>
      </c>
      <c r="P83" s="62" t="n">
        <v>0</v>
      </c>
      <c r="Q83" s="62" t="n">
        <v>0</v>
      </c>
      <c r="R83" s="62" t="n">
        <v>0</v>
      </c>
      <c r="S83" s="62" t="n">
        <v>0</v>
      </c>
      <c r="T83" s="62" t="n">
        <v>0.03125</v>
      </c>
      <c r="U83" s="62" t="n">
        <v>0</v>
      </c>
      <c r="V83" s="62" t="n">
        <v>0</v>
      </c>
      <c r="W83" s="63" t="n">
        <v>0.927536231884058</v>
      </c>
      <c r="X83" s="61" t="inlineStr">
        <is>
          <t>No</t>
        </is>
      </c>
      <c r="Y83" s="61" t="inlineStr">
        <is>
          <t>N</t>
        </is>
      </c>
      <c r="Z83" s="61" t="inlineStr">
        <is>
          <t>N</t>
        </is>
      </c>
      <c r="AA83" s="61" t="n">
        <v>3</v>
      </c>
      <c r="AB83" s="61" t="n">
        <v>1</v>
      </c>
      <c r="AC83" s="42" t="n">
        <v>0</v>
      </c>
      <c r="AD83" s="42" t="n">
        <v>5</v>
      </c>
      <c r="AE83" s="42" t="n">
        <v>0</v>
      </c>
      <c r="AF83" s="42" t="n">
        <v>0</v>
      </c>
      <c r="AG83" s="42" t="n">
        <v>0</v>
      </c>
      <c r="AH83" s="42" t="n">
        <v>4</v>
      </c>
      <c r="AI83" s="42" t="n">
        <v>51</v>
      </c>
      <c r="AJ83" s="42" t="n">
        <v>0</v>
      </c>
      <c r="AK83" s="42" t="n">
        <v>0</v>
      </c>
      <c r="AL83" s="42" t="n">
        <v>21</v>
      </c>
      <c r="AM83" s="20" t="inlineStr">
        <is>
          <t>Maintain (Patch)</t>
        </is>
      </c>
      <c r="AN83" s="62" t="n">
        <v>0.002</v>
      </c>
      <c r="AO83" s="64">
        <f>--($D83='START HERE'!$C$5)</f>
        <v/>
      </c>
    </row>
    <row r="84" ht="14.25" customHeight="1">
      <c r="B84" s="42" t="n">
        <v>13314</v>
      </c>
      <c r="C84" s="13" t="inlineStr">
        <is>
          <t>JDPREP</t>
        </is>
      </c>
      <c r="D84" s="20" t="inlineStr">
        <is>
          <t>Data Infrastructure</t>
        </is>
      </c>
      <c r="E84" s="20" t="inlineStr">
        <is>
          <t>Data Platform</t>
        </is>
      </c>
      <c r="F84" s="61" t="inlineStr">
        <is>
          <t>CG</t>
        </is>
      </c>
      <c r="G84" s="61" t="inlineStr">
        <is>
          <t>D</t>
        </is>
      </c>
      <c r="H84" s="20" t="inlineStr">
        <is>
          <t>Distributed-proven</t>
        </is>
      </c>
      <c r="I84" s="61" t="inlineStr">
        <is>
          <t>Rule 4</t>
        </is>
      </c>
      <c r="J84" s="62" t="n">
        <v>50.0650104166667</v>
      </c>
      <c r="K84" s="62" t="n">
        <v>28.6066770833333</v>
      </c>
      <c r="L84" s="62" t="n">
        <v>11</v>
      </c>
      <c r="M84" s="62" t="n">
        <v>9.14166666666666</v>
      </c>
      <c r="N84" s="62" t="n">
        <v>15.14725</v>
      </c>
      <c r="O84" s="62" t="n">
        <v>12.4958333333333</v>
      </c>
      <c r="P84" s="62" t="n">
        <v>0.96359375</v>
      </c>
      <c r="Q84" s="62" t="n">
        <v>1.34166666666667</v>
      </c>
      <c r="R84" s="62" t="n">
        <v>19.6045833333333</v>
      </c>
      <c r="S84" s="62" t="n">
        <v>0.583333333333333</v>
      </c>
      <c r="T84" s="62" t="n">
        <v>2.74166666666667</v>
      </c>
      <c r="U84" s="62" t="n">
        <v>1.446875</v>
      </c>
      <c r="V84" s="62" t="n">
        <v>2.88855208333333</v>
      </c>
      <c r="W84" s="63" t="n">
        <v>0.8626410951926879</v>
      </c>
      <c r="X84" s="61" t="inlineStr">
        <is>
          <t>Yes</t>
        </is>
      </c>
      <c r="Y84" s="61" t="inlineStr">
        <is>
          <t>N</t>
        </is>
      </c>
      <c r="Z84" s="61" t="inlineStr">
        <is>
          <t>N</t>
        </is>
      </c>
      <c r="AA84" s="61" t="n">
        <v>2</v>
      </c>
      <c r="AB84" s="61" t="n">
        <v>3</v>
      </c>
      <c r="AC84" s="42" t="n">
        <v>310367</v>
      </c>
      <c r="AD84" s="42" t="n">
        <v>3729</v>
      </c>
      <c r="AE84" s="42" t="n">
        <v>0</v>
      </c>
      <c r="AF84" s="42" t="n">
        <v>0</v>
      </c>
      <c r="AG84" s="42" t="n">
        <v>24</v>
      </c>
      <c r="AH84" s="42" t="n">
        <v>70</v>
      </c>
      <c r="AI84" s="42" t="n">
        <v>387</v>
      </c>
      <c r="AJ84" s="42" t="n">
        <v>20</v>
      </c>
      <c r="AK84" s="42" t="n">
        <v>91</v>
      </c>
      <c r="AL84" s="42" t="n">
        <v>683</v>
      </c>
      <c r="AM84" s="20" t="inlineStr">
        <is>
          <t>Refactor</t>
        </is>
      </c>
      <c r="AN84" s="62" t="n">
        <v>8.837</v>
      </c>
      <c r="AO84" s="64">
        <f>--($D84='START HERE'!$C$5)</f>
        <v/>
      </c>
    </row>
    <row r="85" ht="14.25" customHeight="1">
      <c r="B85" s="42" t="n">
        <v>11014</v>
      </c>
      <c r="C85" s="13" t="inlineStr">
        <is>
          <t>BCMETL-JPN</t>
        </is>
      </c>
      <c r="D85" s="20" t="inlineStr">
        <is>
          <t>Data Infrastructure</t>
        </is>
      </c>
      <c r="E85" s="20" t="inlineStr">
        <is>
          <t>Data Platform</t>
        </is>
      </c>
      <c r="F85" s="61" t="inlineStr">
        <is>
          <t>CG</t>
        </is>
      </c>
      <c r="G85" s="61" t="inlineStr">
        <is>
          <t>M</t>
        </is>
      </c>
      <c r="H85" s="20" t="inlineStr">
        <is>
          <t>MGCC-destined</t>
        </is>
      </c>
      <c r="I85" s="61" t="inlineStr">
        <is>
          <t>Rule 1</t>
        </is>
      </c>
      <c r="J85" s="62" t="n">
        <v>42.7729166666667</v>
      </c>
      <c r="K85" s="62" t="n">
        <v>29.0979166666667</v>
      </c>
      <c r="L85" s="62" t="n">
        <v>6.825</v>
      </c>
      <c r="M85" s="62" t="n">
        <v>6.85</v>
      </c>
      <c r="N85" s="62" t="n">
        <v>12.7279583333333</v>
      </c>
      <c r="O85" s="62" t="n">
        <v>16.3699583333333</v>
      </c>
      <c r="P85" s="62" t="n">
        <v>0</v>
      </c>
      <c r="Q85" s="62" t="n">
        <v>4.025</v>
      </c>
      <c r="R85" s="62" t="n">
        <v>17.57</v>
      </c>
      <c r="S85" s="62" t="n">
        <v>4.575</v>
      </c>
      <c r="T85" s="62" t="n">
        <v>2.92791666666667</v>
      </c>
      <c r="U85" s="62" t="n">
        <v>0</v>
      </c>
      <c r="V85" s="62" t="n">
        <v>0</v>
      </c>
      <c r="W85" s="63" t="n">
        <v>0.88284058253373</v>
      </c>
      <c r="X85" s="61" t="inlineStr">
        <is>
          <t>Yes</t>
        </is>
      </c>
      <c r="Y85" s="61" t="inlineStr">
        <is>
          <t>Y</t>
        </is>
      </c>
      <c r="Z85" s="61" t="inlineStr">
        <is>
          <t>N</t>
        </is>
      </c>
      <c r="AA85" s="61" t="n">
        <v>2</v>
      </c>
      <c r="AB85" s="61" t="n">
        <v>2</v>
      </c>
      <c r="AC85" s="42" t="n">
        <v>4952237</v>
      </c>
      <c r="AD85" s="42" t="n">
        <v>26742</v>
      </c>
      <c r="AE85" s="42" t="n">
        <v>0</v>
      </c>
      <c r="AF85" s="42" t="n">
        <v>0</v>
      </c>
      <c r="AG85" s="42" t="n">
        <v>31</v>
      </c>
      <c r="AH85" s="42" t="n">
        <v>77</v>
      </c>
      <c r="AI85" s="42" t="n">
        <v>98</v>
      </c>
      <c r="AJ85" s="42" t="n">
        <v>36</v>
      </c>
      <c r="AK85" s="42" t="n">
        <v>82</v>
      </c>
      <c r="AL85" s="42" t="n">
        <v>644</v>
      </c>
      <c r="AM85" s="20" t="inlineStr">
        <is>
          <t>Retire</t>
        </is>
      </c>
      <c r="AN85" s="62" t="n">
        <v>11.163</v>
      </c>
      <c r="AO85" s="64">
        <f>--($D85='START HERE'!$C$5)</f>
        <v/>
      </c>
    </row>
    <row r="86" ht="14.25" customHeight="1">
      <c r="B86" s="42" t="n">
        <v>9951</v>
      </c>
      <c r="C86" s="13" t="inlineStr">
        <is>
          <t>BCMHRP-JPN</t>
        </is>
      </c>
      <c r="D86" s="20" t="inlineStr">
        <is>
          <t>Data Infrastructure</t>
        </is>
      </c>
      <c r="E86" s="20" t="inlineStr">
        <is>
          <t>Data Platform</t>
        </is>
      </c>
      <c r="F86" s="61" t="inlineStr">
        <is>
          <t>FSI</t>
        </is>
      </c>
      <c r="G86" s="61" t="inlineStr">
        <is>
          <t>M</t>
        </is>
      </c>
      <c r="H86" s="20" t="inlineStr">
        <is>
          <t>MGCC-destined</t>
        </is>
      </c>
      <c r="I86" s="61" t="inlineStr">
        <is>
          <t>Rule 1</t>
        </is>
      </c>
      <c r="J86" s="62" t="n">
        <v>7.92704166666667</v>
      </c>
      <c r="K86" s="62" t="n">
        <v>7.67704166666667</v>
      </c>
      <c r="L86" s="62" t="n">
        <v>0.25</v>
      </c>
      <c r="M86" s="62" t="n">
        <v>0</v>
      </c>
      <c r="N86" s="62" t="n">
        <v>7.67704166666666</v>
      </c>
      <c r="O86" s="62" t="n">
        <v>0</v>
      </c>
      <c r="P86" s="62" t="n">
        <v>0</v>
      </c>
      <c r="Q86" s="62" t="n">
        <v>1.875</v>
      </c>
      <c r="R86" s="62" t="n">
        <v>5.80204166666667</v>
      </c>
      <c r="S86" s="62" t="n">
        <v>0</v>
      </c>
      <c r="T86" s="62" t="n">
        <v>0</v>
      </c>
      <c r="U86" s="62" t="n">
        <v>0</v>
      </c>
      <c r="V86" s="62" t="n">
        <v>0</v>
      </c>
      <c r="W86" s="63" t="n">
        <v>0.779236684555504</v>
      </c>
      <c r="X86" s="61" t="inlineStr">
        <is>
          <t>No</t>
        </is>
      </c>
      <c r="Y86" s="61" t="inlineStr">
        <is>
          <t>Y</t>
        </is>
      </c>
      <c r="Z86" s="61" t="inlineStr">
        <is>
          <t>N</t>
        </is>
      </c>
      <c r="AA86" s="61" t="n">
        <v>3</v>
      </c>
      <c r="AB86" s="61" t="n">
        <v>1</v>
      </c>
      <c r="AC86" s="42" t="n">
        <v>155486</v>
      </c>
      <c r="AD86" s="42" t="n">
        <v>1013</v>
      </c>
      <c r="AE86" s="42" t="n">
        <v>0</v>
      </c>
      <c r="AF86" s="42" t="n">
        <v>0</v>
      </c>
      <c r="AG86" s="42" t="n">
        <v>24</v>
      </c>
      <c r="AH86" s="42" t="n">
        <v>9</v>
      </c>
      <c r="AI86" s="42" t="n">
        <v>86</v>
      </c>
      <c r="AJ86" s="42" t="n">
        <v>19</v>
      </c>
      <c r="AK86" s="42" t="n">
        <v>21</v>
      </c>
      <c r="AL86" s="42" t="n">
        <v>134</v>
      </c>
      <c r="AM86" s="20" t="inlineStr">
        <is>
          <t>Maintain (Evolve)</t>
        </is>
      </c>
      <c r="AN86" s="62" t="n">
        <v>0</v>
      </c>
      <c r="AO86" s="64">
        <f>--($D86='START HERE'!$C$5)</f>
        <v/>
      </c>
    </row>
    <row r="87" ht="24" customHeight="1">
      <c r="B87" s="42" t="n">
        <v>11004</v>
      </c>
      <c r="C87" s="13" t="inlineStr">
        <is>
          <t>WAAICM-JPN</t>
        </is>
      </c>
      <c r="D87" s="20" t="inlineStr">
        <is>
          <t>Fee Management</t>
        </is>
      </c>
      <c r="E87" s="20" t="inlineStr">
        <is>
          <t>Commission Processing &amp; Management</t>
        </is>
      </c>
      <c r="F87" s="61" t="inlineStr">
        <is>
          <t>unnamed</t>
        </is>
      </c>
      <c r="G87" s="61" t="inlineStr">
        <is>
          <t>P</t>
        </is>
      </c>
      <c r="H87" s="20" t="inlineStr">
        <is>
          <t>Portable, not moved</t>
        </is>
      </c>
      <c r="I87" s="61" t="inlineStr">
        <is>
          <t>Rule 5</t>
        </is>
      </c>
      <c r="J87" s="62" t="n">
        <v>29.2352916666667</v>
      </c>
      <c r="K87" s="62" t="n">
        <v>21.506125</v>
      </c>
      <c r="L87" s="62" t="n">
        <v>7.72916666666666</v>
      </c>
      <c r="M87" s="62" t="n">
        <v>0</v>
      </c>
      <c r="N87" s="62" t="n">
        <v>21.256125</v>
      </c>
      <c r="O87" s="62" t="n">
        <v>0.25</v>
      </c>
      <c r="P87" s="62" t="n">
        <v>0</v>
      </c>
      <c r="Q87" s="62" t="n">
        <v>0</v>
      </c>
      <c r="R87" s="62" t="n">
        <v>21.0519583333333</v>
      </c>
      <c r="S87" s="62" t="n">
        <v>0.25</v>
      </c>
      <c r="T87" s="62" t="n">
        <v>0</v>
      </c>
      <c r="U87" s="62" t="n">
        <v>0</v>
      </c>
      <c r="V87" s="62" t="n">
        <v>0</v>
      </c>
      <c r="W87" s="63" t="n">
        <v>0.830969134051738</v>
      </c>
      <c r="X87" s="61" t="inlineStr">
        <is>
          <t>Yes</t>
        </is>
      </c>
      <c r="Y87" s="61" t="inlineStr">
        <is>
          <t>N</t>
        </is>
      </c>
      <c r="Z87" s="61" t="inlineStr">
        <is>
          <t>N</t>
        </is>
      </c>
      <c r="AA87" s="61" t="n">
        <v>3</v>
      </c>
      <c r="AB87" s="61" t="n">
        <v>1</v>
      </c>
      <c r="AC87" s="42" t="n">
        <v>0</v>
      </c>
      <c r="AD87" s="42" t="n">
        <v>0</v>
      </c>
      <c r="AE87" s="42" t="n">
        <v>0</v>
      </c>
      <c r="AF87" s="42" t="n">
        <v>0</v>
      </c>
      <c r="AG87" s="42" t="n">
        <v>43</v>
      </c>
      <c r="AH87" s="42" t="n">
        <v>133</v>
      </c>
      <c r="AI87" s="42" t="n">
        <v>111</v>
      </c>
      <c r="AJ87" s="42" t="n">
        <v>36</v>
      </c>
      <c r="AK87" s="42" t="n">
        <v>43</v>
      </c>
      <c r="AL87" s="42" t="n">
        <v>1046</v>
      </c>
      <c r="AM87" s="20" t="inlineStr">
        <is>
          <t>Maintain (Evolve)</t>
        </is>
      </c>
      <c r="AN87" s="62" t="n">
        <v>0.603</v>
      </c>
      <c r="AO87" s="64">
        <f>--($D87='START HERE'!$C$5)</f>
        <v/>
      </c>
    </row>
    <row r="88" ht="24" customHeight="1">
      <c r="B88" s="42" t="n">
        <v>14285</v>
      </c>
      <c r="C88" s="13" t="inlineStr">
        <is>
          <t>SCS</t>
        </is>
      </c>
      <c r="D88" s="20" t="inlineStr">
        <is>
          <t>Fee Management</t>
        </is>
      </c>
      <c r="E88" s="20" t="inlineStr">
        <is>
          <t>Commission Processing &amp; Management</t>
        </is>
      </c>
      <c r="F88" s="61" t="inlineStr">
        <is>
          <t>unnamed</t>
        </is>
      </c>
      <c r="G88" s="61" t="inlineStr">
        <is>
          <t>P</t>
        </is>
      </c>
      <c r="H88" s="20" t="inlineStr">
        <is>
          <t>Portable, not moved</t>
        </is>
      </c>
      <c r="I88" s="61" t="inlineStr">
        <is>
          <t>Rule 5</t>
        </is>
      </c>
      <c r="J88" s="62" t="n">
        <v>16.3166666666667</v>
      </c>
      <c r="K88" s="62" t="n">
        <v>14.975</v>
      </c>
      <c r="L88" s="62" t="n">
        <v>1.34166666666667</v>
      </c>
      <c r="M88" s="62" t="n">
        <v>0</v>
      </c>
      <c r="N88" s="62" t="n">
        <v>14.975</v>
      </c>
      <c r="O88" s="62" t="n">
        <v>0</v>
      </c>
      <c r="P88" s="62" t="n">
        <v>0</v>
      </c>
      <c r="Q88" s="62" t="n">
        <v>0</v>
      </c>
      <c r="R88" s="62" t="n">
        <v>14.975</v>
      </c>
      <c r="S88" s="62" t="n">
        <v>0</v>
      </c>
      <c r="T88" s="62" t="n">
        <v>0</v>
      </c>
      <c r="U88" s="62" t="n">
        <v>0</v>
      </c>
      <c r="V88" s="62" t="n">
        <v>0</v>
      </c>
      <c r="W88" s="63" t="n">
        <v>0.987742594484168</v>
      </c>
      <c r="X88" s="61" t="inlineStr">
        <is>
          <t>Yes</t>
        </is>
      </c>
      <c r="Y88" s="61" t="inlineStr">
        <is>
          <t>N</t>
        </is>
      </c>
      <c r="Z88" s="61" t="inlineStr">
        <is>
          <t>N</t>
        </is>
      </c>
      <c r="AA88" s="61" t="n">
        <v>3</v>
      </c>
      <c r="AB88" s="61" t="n">
        <v>1</v>
      </c>
      <c r="AC88" s="42" t="n">
        <v>0</v>
      </c>
      <c r="AD88" s="42" t="n">
        <v>0</v>
      </c>
      <c r="AE88" s="42" t="n">
        <v>0</v>
      </c>
      <c r="AF88" s="42" t="n">
        <v>0</v>
      </c>
      <c r="AG88" s="42" t="n">
        <v>0</v>
      </c>
      <c r="AH88" s="42" t="n">
        <v>0</v>
      </c>
      <c r="AI88" s="42" t="n">
        <v>0</v>
      </c>
      <c r="AJ88" s="42" t="n">
        <v>0</v>
      </c>
      <c r="AK88" s="42" t="n">
        <v>0</v>
      </c>
      <c r="AL88" s="42" t="n">
        <v>0</v>
      </c>
      <c r="AM88" s="20" t="inlineStr">
        <is>
          <t>Maintain (Evolve)</t>
        </is>
      </c>
      <c r="AN88" s="62" t="n">
        <v>0.336</v>
      </c>
      <c r="AO88" s="64">
        <f>--($D88='START HERE'!$C$5)</f>
        <v/>
      </c>
    </row>
    <row r="89" ht="24" customHeight="1">
      <c r="B89" s="42" t="n">
        <v>13721</v>
      </c>
      <c r="C89" s="13" t="inlineStr">
        <is>
          <t>External Portal</t>
        </is>
      </c>
      <c r="D89" s="20" t="inlineStr">
        <is>
          <t>Fee Management</t>
        </is>
      </c>
      <c r="E89" s="20" t="inlineStr">
        <is>
          <t>Commission Processing &amp; Management</t>
        </is>
      </c>
      <c r="F89" s="61" t="inlineStr">
        <is>
          <t>unnamed</t>
        </is>
      </c>
      <c r="G89" s="61" t="inlineStr">
        <is>
          <t>T</t>
        </is>
      </c>
      <c r="H89" s="20" t="inlineStr">
        <is>
          <t>Long tail</t>
        </is>
      </c>
      <c r="I89" s="61" t="inlineStr">
        <is>
          <t>Rule 3</t>
        </is>
      </c>
      <c r="J89" s="62" t="n">
        <v>2.95833333333333</v>
      </c>
      <c r="K89" s="62" t="n">
        <v>1.66666666666667</v>
      </c>
      <c r="L89" s="62" t="n">
        <v>0.708333333333333</v>
      </c>
      <c r="M89" s="62" t="n">
        <v>0.583333333333333</v>
      </c>
      <c r="N89" s="62" t="n">
        <v>0</v>
      </c>
      <c r="O89" s="62" t="n">
        <v>1.66666666666667</v>
      </c>
      <c r="P89" s="62" t="n">
        <v>0</v>
      </c>
      <c r="Q89" s="62" t="n">
        <v>0</v>
      </c>
      <c r="R89" s="62" t="n">
        <v>1.66666666666667</v>
      </c>
      <c r="S89" s="62" t="n">
        <v>0</v>
      </c>
      <c r="T89" s="62" t="n">
        <v>0</v>
      </c>
      <c r="U89" s="62" t="n">
        <v>0</v>
      </c>
      <c r="V89" s="62" t="n">
        <v>0</v>
      </c>
      <c r="W89" s="63" t="n">
        <v>0.915492957746479</v>
      </c>
      <c r="X89" s="61" t="inlineStr">
        <is>
          <t>Yes</t>
        </is>
      </c>
      <c r="Y89" s="61" t="inlineStr">
        <is>
          <t>N</t>
        </is>
      </c>
      <c r="Z89" s="61" t="inlineStr">
        <is>
          <t>N</t>
        </is>
      </c>
      <c r="AA89" s="61" t="n">
        <v>2</v>
      </c>
      <c r="AB89" s="61" t="n">
        <v>3</v>
      </c>
      <c r="AC89" s="42" t="n">
        <v>128561</v>
      </c>
      <c r="AD89" s="42" t="n">
        <v>0</v>
      </c>
      <c r="AE89" s="42" t="n">
        <v>0</v>
      </c>
      <c r="AF89" s="42" t="n">
        <v>0</v>
      </c>
      <c r="AG89" s="42" t="n">
        <v>0</v>
      </c>
      <c r="AH89" s="42" t="n">
        <v>4</v>
      </c>
      <c r="AI89" s="42" t="n">
        <v>125</v>
      </c>
      <c r="AJ89" s="42" t="n">
        <v>0</v>
      </c>
      <c r="AK89" s="42" t="n">
        <v>2</v>
      </c>
      <c r="AL89" s="42" t="n">
        <v>27</v>
      </c>
      <c r="AM89" s="20" t="inlineStr">
        <is>
          <t>Maintain (Evolve)</t>
        </is>
      </c>
      <c r="AN89" s="62" t="n">
        <v>0.061</v>
      </c>
      <c r="AO89" s="64">
        <f>--($D89='START HERE'!$C$5)</f>
        <v/>
      </c>
    </row>
    <row r="90" ht="24" customHeight="1">
      <c r="B90" s="42" t="n">
        <v>9629</v>
      </c>
      <c r="C90" s="13" t="inlineStr">
        <is>
          <t>Global Sales Comp - Japan</t>
        </is>
      </c>
      <c r="D90" s="20" t="inlineStr">
        <is>
          <t>Fee Management</t>
        </is>
      </c>
      <c r="E90" s="20" t="inlineStr">
        <is>
          <t>Commission Processing &amp; Management</t>
        </is>
      </c>
      <c r="F90" s="61" t="inlineStr">
        <is>
          <t>unnamed</t>
        </is>
      </c>
      <c r="G90" s="61" t="inlineStr">
        <is>
          <t>T</t>
        </is>
      </c>
      <c r="H90" s="20" t="inlineStr">
        <is>
          <t>Long tail</t>
        </is>
      </c>
      <c r="I90" s="61" t="inlineStr">
        <is>
          <t>Rule 3</t>
        </is>
      </c>
      <c r="J90" s="62" t="n">
        <v>0</v>
      </c>
      <c r="K90" s="62" t="n">
        <v>0</v>
      </c>
      <c r="L90" s="62" t="n">
        <v>0</v>
      </c>
      <c r="M90" s="62" t="n">
        <v>0</v>
      </c>
      <c r="N90" s="62" t="n">
        <v>0</v>
      </c>
      <c r="O90" s="62" t="n">
        <v>0</v>
      </c>
      <c r="P90" s="62" t="n">
        <v>0</v>
      </c>
      <c r="Q90" s="62" t="n">
        <v>0</v>
      </c>
      <c r="R90" s="62" t="n">
        <v>0</v>
      </c>
      <c r="S90" s="62" t="n">
        <v>0</v>
      </c>
      <c r="T90" s="62" t="n">
        <v>0</v>
      </c>
      <c r="U90" s="62" t="n">
        <v>0</v>
      </c>
      <c r="V90" s="62" t="n">
        <v>0</v>
      </c>
      <c r="W90" s="63" t="n">
        <v>0</v>
      </c>
      <c r="X90" s="61" t="inlineStr">
        <is>
          <t>Yes</t>
        </is>
      </c>
      <c r="Y90" s="61" t="inlineStr">
        <is>
          <t>N</t>
        </is>
      </c>
      <c r="Z90" s="61" t="inlineStr">
        <is>
          <t>N</t>
        </is>
      </c>
      <c r="AA90" s="61" t="n">
        <v>3</v>
      </c>
      <c r="AB90" s="61" t="n">
        <v>1</v>
      </c>
      <c r="AC90" s="42" t="n">
        <v>2500</v>
      </c>
      <c r="AD90" s="42" t="n">
        <v>850</v>
      </c>
      <c r="AE90" s="42" t="n">
        <v>0</v>
      </c>
      <c r="AF90" s="42" t="n">
        <v>0</v>
      </c>
      <c r="AG90" s="42" t="n">
        <v>3</v>
      </c>
      <c r="AH90" s="42" t="n">
        <v>6</v>
      </c>
      <c r="AI90" s="42" t="n">
        <v>8</v>
      </c>
      <c r="AJ90" s="42" t="n">
        <v>3</v>
      </c>
      <c r="AK90" s="42" t="n">
        <v>72</v>
      </c>
      <c r="AL90" s="42" t="n">
        <v>110</v>
      </c>
      <c r="AM90" s="20" t="inlineStr">
        <is>
          <t>Maintain (Evolve)</t>
        </is>
      </c>
      <c r="AN90" s="62" t="n">
        <v>0</v>
      </c>
      <c r="AO90" s="64">
        <f>--($D90='START HERE'!$C$5)</f>
        <v/>
      </c>
    </row>
    <row r="91" ht="24" customHeight="1">
      <c r="B91" s="42" t="n">
        <v>14701</v>
      </c>
      <c r="C91" s="13" t="inlineStr">
        <is>
          <t>Commission calculation</t>
        </is>
      </c>
      <c r="D91" s="20" t="inlineStr">
        <is>
          <t>Fee Management</t>
        </is>
      </c>
      <c r="E91" s="20" t="inlineStr">
        <is>
          <t>Commission Processing &amp; Management</t>
        </is>
      </c>
      <c r="F91" s="61" t="inlineStr">
        <is>
          <t>unnamed</t>
        </is>
      </c>
      <c r="G91" s="61" t="inlineStr">
        <is>
          <t>T</t>
        </is>
      </c>
      <c r="H91" s="20" t="inlineStr">
        <is>
          <t>Long tail</t>
        </is>
      </c>
      <c r="I91" s="61" t="inlineStr">
        <is>
          <t>Rule 3</t>
        </is>
      </c>
      <c r="J91" s="62" t="n">
        <v>0</v>
      </c>
      <c r="K91" s="62" t="n">
        <v>0</v>
      </c>
      <c r="L91" s="62" t="n">
        <v>0</v>
      </c>
      <c r="M91" s="62" t="n">
        <v>0</v>
      </c>
      <c r="N91" s="62" t="n">
        <v>0</v>
      </c>
      <c r="O91" s="62" t="n">
        <v>0</v>
      </c>
      <c r="P91" s="62" t="n">
        <v>0</v>
      </c>
      <c r="Q91" s="62" t="n">
        <v>0</v>
      </c>
      <c r="R91" s="62" t="n">
        <v>0</v>
      </c>
      <c r="S91" s="62" t="n">
        <v>0</v>
      </c>
      <c r="T91" s="62" t="n">
        <v>0</v>
      </c>
      <c r="U91" s="62" t="n">
        <v>0</v>
      </c>
      <c r="V91" s="62" t="n">
        <v>0</v>
      </c>
      <c r="W91" s="63" t="n">
        <v>0</v>
      </c>
      <c r="X91" s="61" t="inlineStr">
        <is>
          <t>Yes</t>
        </is>
      </c>
      <c r="Y91" s="61" t="inlineStr">
        <is>
          <t>N</t>
        </is>
      </c>
      <c r="Z91" s="61" t="inlineStr">
        <is>
          <t>N</t>
        </is>
      </c>
      <c r="AA91" s="61" t="n">
        <v>2</v>
      </c>
      <c r="AB91" s="61" t="n">
        <v>3</v>
      </c>
      <c r="AC91" s="42" t="n">
        <v>22930</v>
      </c>
      <c r="AD91" s="42" t="n">
        <v>0</v>
      </c>
      <c r="AE91" s="42" t="n">
        <v>0</v>
      </c>
      <c r="AF91" s="42" t="n">
        <v>0</v>
      </c>
      <c r="AG91" s="42" t="n">
        <v>0</v>
      </c>
      <c r="AH91" s="42" t="n">
        <v>0</v>
      </c>
      <c r="AI91" s="42" t="n">
        <v>0</v>
      </c>
      <c r="AJ91" s="42" t="n">
        <v>0</v>
      </c>
      <c r="AK91" s="42" t="n">
        <v>0</v>
      </c>
      <c r="AL91" s="42" t="n">
        <v>1</v>
      </c>
      <c r="AM91" s="20" t="inlineStr">
        <is>
          <t>n/a</t>
        </is>
      </c>
      <c r="AN91" s="62" t="n">
        <v>0</v>
      </c>
      <c r="AO91" s="64">
        <f>--($D91='START HERE'!$C$5)</f>
        <v/>
      </c>
    </row>
    <row r="92" ht="24" customHeight="1">
      <c r="B92" s="42" t="n">
        <v>13820</v>
      </c>
      <c r="C92" s="13" t="inlineStr">
        <is>
          <t>Claim Batch</t>
        </is>
      </c>
      <c r="D92" s="20" t="inlineStr">
        <is>
          <t>Insurance Claims and Benefits Payment Related</t>
        </is>
      </c>
      <c r="E92" s="20" t="inlineStr">
        <is>
          <t>Annuity＆Maturity Payment</t>
        </is>
      </c>
      <c r="F92" s="61" t="inlineStr">
        <is>
          <t>CG</t>
        </is>
      </c>
      <c r="G92" s="61" t="inlineStr">
        <is>
          <t>D</t>
        </is>
      </c>
      <c r="H92" s="20" t="inlineStr">
        <is>
          <t>Distributed-proven</t>
        </is>
      </c>
      <c r="I92" s="61" t="inlineStr">
        <is>
          <t>Rule 4</t>
        </is>
      </c>
      <c r="J92" s="62" t="n">
        <v>43.7820833333333</v>
      </c>
      <c r="K92" s="62" t="n">
        <v>20.5904166666667</v>
      </c>
      <c r="L92" s="62" t="n">
        <v>5.04583333333333</v>
      </c>
      <c r="M92" s="62" t="n">
        <v>18.1458333333333</v>
      </c>
      <c r="N92" s="62" t="n">
        <v>17.3570833333333</v>
      </c>
      <c r="O92" s="62" t="n">
        <v>3.23333333333333</v>
      </c>
      <c r="P92" s="62" t="n">
        <v>0</v>
      </c>
      <c r="Q92" s="62" t="n">
        <v>1.75</v>
      </c>
      <c r="R92" s="62" t="n">
        <v>12.24875</v>
      </c>
      <c r="S92" s="62" t="n">
        <v>4.81666666666667</v>
      </c>
      <c r="T92" s="62" t="n">
        <v>1</v>
      </c>
      <c r="U92" s="62" t="n">
        <v>0</v>
      </c>
      <c r="V92" s="62" t="n">
        <v>0.775</v>
      </c>
      <c r="W92" s="63" t="n">
        <v>0.983659602006148</v>
      </c>
      <c r="X92" s="61" t="inlineStr">
        <is>
          <t>Yes</t>
        </is>
      </c>
      <c r="Y92" s="61" t="inlineStr">
        <is>
          <t>N</t>
        </is>
      </c>
      <c r="Z92" s="61" t="inlineStr">
        <is>
          <t>N</t>
        </is>
      </c>
      <c r="AA92" s="61" t="n">
        <v>2</v>
      </c>
      <c r="AB92" s="61" t="n">
        <v>3</v>
      </c>
      <c r="AC92" s="42" t="n">
        <v>711101</v>
      </c>
      <c r="AD92" s="42" t="n">
        <v>27</v>
      </c>
      <c r="AE92" s="42" t="n">
        <v>0</v>
      </c>
      <c r="AF92" s="42" t="n">
        <v>0</v>
      </c>
      <c r="AG92" s="42" t="n">
        <v>4</v>
      </c>
      <c r="AH92" s="42" t="n">
        <v>20</v>
      </c>
      <c r="AI92" s="42" t="n">
        <v>22</v>
      </c>
      <c r="AJ92" s="42" t="n">
        <v>5</v>
      </c>
      <c r="AK92" s="42" t="n">
        <v>3</v>
      </c>
      <c r="AL92" s="42" t="n">
        <v>208</v>
      </c>
      <c r="AM92" s="20" t="inlineStr">
        <is>
          <t>Maintain (Evolve)</t>
        </is>
      </c>
      <c r="AN92" s="62" t="n">
        <v>6</v>
      </c>
      <c r="AO92" s="64">
        <f>--($D92='START HERE'!$C$5)</f>
        <v/>
      </c>
    </row>
    <row r="93" ht="24" customHeight="1">
      <c r="B93" s="42" t="n">
        <v>9835</v>
      </c>
      <c r="C93" s="13" t="inlineStr">
        <is>
          <t>C12WNC-JPN</t>
        </is>
      </c>
      <c r="D93" s="20" t="inlineStr">
        <is>
          <t>Insurance Claims and Benefits Payment Related</t>
        </is>
      </c>
      <c r="E93" s="20" t="inlineStr">
        <is>
          <t>Claims Processing &amp; Adjudication</t>
        </is>
      </c>
      <c r="F93" s="61" t="inlineStr">
        <is>
          <t>NCD</t>
        </is>
      </c>
      <c r="G93" s="61" t="inlineStr">
        <is>
          <t>D</t>
        </is>
      </c>
      <c r="H93" s="20" t="inlineStr">
        <is>
          <t>Distributed-proven</t>
        </is>
      </c>
      <c r="I93" s="61" t="inlineStr">
        <is>
          <t>Rule 4</t>
        </is>
      </c>
      <c r="J93" s="62" t="n">
        <v>34.9965416666667</v>
      </c>
      <c r="K93" s="62" t="n">
        <v>29.379875</v>
      </c>
      <c r="L93" s="62" t="n">
        <v>5.61666666666667</v>
      </c>
      <c r="M93" s="62" t="n">
        <v>0</v>
      </c>
      <c r="N93" s="62" t="n">
        <v>19.7908333333333</v>
      </c>
      <c r="O93" s="62" t="n">
        <v>0</v>
      </c>
      <c r="P93" s="62" t="n">
        <v>9.58904166666666</v>
      </c>
      <c r="Q93" s="62" t="n">
        <v>2</v>
      </c>
      <c r="R93" s="62" t="n">
        <v>27.379875</v>
      </c>
      <c r="S93" s="62" t="n">
        <v>0</v>
      </c>
      <c r="T93" s="62" t="n">
        <v>0</v>
      </c>
      <c r="U93" s="62" t="n">
        <v>0</v>
      </c>
      <c r="V93" s="62" t="n">
        <v>0</v>
      </c>
      <c r="W93" s="63" t="n">
        <v>0.905228730934128</v>
      </c>
      <c r="X93" s="61" t="inlineStr">
        <is>
          <t>No</t>
        </is>
      </c>
      <c r="Y93" s="61" t="inlineStr">
        <is>
          <t>N</t>
        </is>
      </c>
      <c r="Z93" s="61" t="inlineStr">
        <is>
          <t>Y</t>
        </is>
      </c>
      <c r="AA93" s="61" t="n">
        <v>3</v>
      </c>
      <c r="AB93" s="61" t="n">
        <v>1</v>
      </c>
      <c r="AC93" s="42" t="n">
        <v>0</v>
      </c>
      <c r="AD93" s="42" t="n">
        <v>170</v>
      </c>
      <c r="AE93" s="42" t="n">
        <v>0</v>
      </c>
      <c r="AF93" s="42" t="n">
        <v>1</v>
      </c>
      <c r="AG93" s="42" t="n">
        <v>68</v>
      </c>
      <c r="AH93" s="42" t="n">
        <v>97</v>
      </c>
      <c r="AI93" s="42" t="n">
        <v>415</v>
      </c>
      <c r="AJ93" s="42" t="n">
        <v>20</v>
      </c>
      <c r="AK93" s="42" t="n">
        <v>34</v>
      </c>
      <c r="AL93" s="42" t="n">
        <v>554</v>
      </c>
      <c r="AM93" s="20" t="inlineStr">
        <is>
          <t>Retire</t>
        </is>
      </c>
      <c r="AN93" s="62" t="n">
        <v>0</v>
      </c>
      <c r="AO93" s="64">
        <f>--($D93='START HERE'!$C$5)</f>
        <v/>
      </c>
    </row>
    <row r="94" ht="24" customHeight="1">
      <c r="B94" s="42" t="n">
        <v>9857</v>
      </c>
      <c r="C94" s="13" t="inlineStr">
        <is>
          <t>W05AMS-JPN</t>
        </is>
      </c>
      <c r="D94" s="20" t="inlineStr">
        <is>
          <t>Insurance Claims and Benefits Payment Related</t>
        </is>
      </c>
      <c r="E94" s="20" t="inlineStr">
        <is>
          <t>Annuity＆Maturity Payment</t>
        </is>
      </c>
      <c r="F94" s="61" t="inlineStr">
        <is>
          <t>NCD</t>
        </is>
      </c>
      <c r="G94" s="61" t="inlineStr">
        <is>
          <t>J</t>
        </is>
      </c>
      <c r="H94" s="20" t="inlineStr">
        <is>
          <t>Japan-locked</t>
        </is>
      </c>
      <c r="I94" s="61" t="inlineStr">
        <is>
          <t>Rule 6</t>
        </is>
      </c>
      <c r="J94" s="62" t="n">
        <v>22.0283333333333</v>
      </c>
      <c r="K94" s="62" t="n">
        <v>20.2116666666667</v>
      </c>
      <c r="L94" s="62" t="n">
        <v>1.81666666666667</v>
      </c>
      <c r="M94" s="62" t="n">
        <v>0</v>
      </c>
      <c r="N94" s="62" t="n">
        <v>20.2116666666667</v>
      </c>
      <c r="O94" s="62" t="n">
        <v>0</v>
      </c>
      <c r="P94" s="62" t="n">
        <v>0</v>
      </c>
      <c r="Q94" s="62" t="n">
        <v>1.91666666666667</v>
      </c>
      <c r="R94" s="62" t="n">
        <v>18.295</v>
      </c>
      <c r="S94" s="62" t="n">
        <v>0</v>
      </c>
      <c r="T94" s="62" t="n">
        <v>0</v>
      </c>
      <c r="U94" s="62" t="n">
        <v>0</v>
      </c>
      <c r="V94" s="62" t="n">
        <v>0</v>
      </c>
      <c r="W94" s="63" t="n">
        <v>0.925474767345086</v>
      </c>
      <c r="X94" s="61" t="inlineStr">
        <is>
          <t>No</t>
        </is>
      </c>
      <c r="Y94" s="61" t="inlineStr">
        <is>
          <t>N</t>
        </is>
      </c>
      <c r="Z94" s="61" t="inlineStr">
        <is>
          <t>Y</t>
        </is>
      </c>
      <c r="AA94" s="61" t="n">
        <v>3</v>
      </c>
      <c r="AB94" s="61" t="n">
        <v>1</v>
      </c>
      <c r="AC94" s="42" t="n">
        <v>0</v>
      </c>
      <c r="AD94" s="42" t="n">
        <v>186</v>
      </c>
      <c r="AE94" s="42" t="n">
        <v>0</v>
      </c>
      <c r="AF94" s="42" t="n">
        <v>0</v>
      </c>
      <c r="AG94" s="42" t="n">
        <v>16</v>
      </c>
      <c r="AH94" s="42" t="n">
        <v>25</v>
      </c>
      <c r="AI94" s="42" t="n">
        <v>45</v>
      </c>
      <c r="AJ94" s="42" t="n">
        <v>8</v>
      </c>
      <c r="AK94" s="42" t="n">
        <v>84</v>
      </c>
      <c r="AL94" s="42" t="n">
        <v>180</v>
      </c>
      <c r="AM94" s="20" t="inlineStr">
        <is>
          <t>Maintain (Patch)</t>
        </is>
      </c>
      <c r="AN94" s="62" t="n">
        <v>0</v>
      </c>
      <c r="AO94" s="64">
        <f>--($D94='START HERE'!$C$5)</f>
        <v/>
      </c>
    </row>
    <row r="95" ht="24" customHeight="1">
      <c r="B95" s="42" t="n">
        <v>14322</v>
      </c>
      <c r="C95" s="13" t="inlineStr">
        <is>
          <t>Pega for Claims</t>
        </is>
      </c>
      <c r="D95" s="20" t="inlineStr">
        <is>
          <t>Insurance Claims and Benefits Payment Related</t>
        </is>
      </c>
      <c r="E95" s="20" t="inlineStr">
        <is>
          <t>Claims Support Services</t>
        </is>
      </c>
      <c r="F95" s="61" t="inlineStr">
        <is>
          <t>unnamed</t>
        </is>
      </c>
      <c r="G95" s="61" t="inlineStr">
        <is>
          <t>D</t>
        </is>
      </c>
      <c r="H95" s="20" t="inlineStr">
        <is>
          <t>Distributed-proven</t>
        </is>
      </c>
      <c r="I95" s="61" t="inlineStr">
        <is>
          <t>Rule 4</t>
        </is>
      </c>
      <c r="J95" s="62" t="n">
        <v>16.7</v>
      </c>
      <c r="K95" s="62" t="n">
        <v>11.4916666666667</v>
      </c>
      <c r="L95" s="62" t="n">
        <v>0.708333333333333</v>
      </c>
      <c r="M95" s="62" t="n">
        <v>4.5</v>
      </c>
      <c r="N95" s="62" t="n">
        <v>10.4916666666667</v>
      </c>
      <c r="O95" s="62" t="n">
        <v>1</v>
      </c>
      <c r="P95" s="62" t="n">
        <v>0</v>
      </c>
      <c r="Q95" s="62" t="n">
        <v>0.291666666666667</v>
      </c>
      <c r="R95" s="62" t="n">
        <v>9.199999999999999</v>
      </c>
      <c r="S95" s="62" t="n">
        <v>2</v>
      </c>
      <c r="T95" s="62" t="n">
        <v>0</v>
      </c>
      <c r="U95" s="62" t="n">
        <v>0</v>
      </c>
      <c r="V95" s="62" t="n">
        <v>0</v>
      </c>
      <c r="W95" s="63" t="n">
        <v>0.987025948103793</v>
      </c>
      <c r="X95" s="61" t="inlineStr">
        <is>
          <t>Yes</t>
        </is>
      </c>
      <c r="Y95" s="61" t="inlineStr">
        <is>
          <t>N</t>
        </is>
      </c>
      <c r="Z95" s="61" t="inlineStr">
        <is>
          <t>N</t>
        </is>
      </c>
      <c r="AA95" s="61" t="n">
        <v>1</v>
      </c>
      <c r="AB95" s="61" t="n">
        <v>2</v>
      </c>
      <c r="AC95" s="42" t="n">
        <v>14772</v>
      </c>
      <c r="AD95" s="42" t="n">
        <v>1</v>
      </c>
      <c r="AE95" s="42" t="n">
        <v>0</v>
      </c>
      <c r="AF95" s="42" t="n">
        <v>0</v>
      </c>
      <c r="AG95" s="42" t="n">
        <v>1</v>
      </c>
      <c r="AH95" s="42" t="n">
        <v>0</v>
      </c>
      <c r="AI95" s="42" t="n">
        <v>4</v>
      </c>
      <c r="AJ95" s="42" t="n">
        <v>1</v>
      </c>
      <c r="AK95" s="42" t="n">
        <v>0</v>
      </c>
      <c r="AL95" s="42" t="n">
        <v>8</v>
      </c>
      <c r="AM95" s="20" t="inlineStr">
        <is>
          <t>Maintain (Evolve)</t>
        </is>
      </c>
      <c r="AN95" s="62" t="n">
        <v>0</v>
      </c>
      <c r="AO95" s="64">
        <f>--($D95='START HERE'!$C$5)</f>
        <v/>
      </c>
    </row>
    <row r="96" ht="24" customHeight="1">
      <c r="B96" s="42" t="n">
        <v>14423</v>
      </c>
      <c r="C96" s="13" t="inlineStr">
        <is>
          <t>MDRS</t>
        </is>
      </c>
      <c r="D96" s="20" t="inlineStr">
        <is>
          <t>Insurance Claims and Benefits Payment Related</t>
        </is>
      </c>
      <c r="E96" s="20" t="inlineStr">
        <is>
          <t>Claims Support Services</t>
        </is>
      </c>
      <c r="F96" s="61" t="inlineStr">
        <is>
          <t>unnamed</t>
        </is>
      </c>
      <c r="G96" s="61" t="inlineStr">
        <is>
          <t>T</t>
        </is>
      </c>
      <c r="H96" s="20" t="inlineStr">
        <is>
          <t>Long tail</t>
        </is>
      </c>
      <c r="I96" s="61" t="inlineStr">
        <is>
          <t>Rule 3</t>
        </is>
      </c>
      <c r="J96" s="62" t="n">
        <v>2.1225</v>
      </c>
      <c r="K96" s="62" t="n">
        <v>2.1225</v>
      </c>
      <c r="L96" s="62" t="n">
        <v>0</v>
      </c>
      <c r="M96" s="62" t="n">
        <v>0</v>
      </c>
      <c r="N96" s="62" t="n">
        <v>2.1225</v>
      </c>
      <c r="O96" s="62" t="n">
        <v>0</v>
      </c>
      <c r="P96" s="62" t="n">
        <v>0</v>
      </c>
      <c r="Q96" s="62" t="n">
        <v>0</v>
      </c>
      <c r="R96" s="62" t="n">
        <v>2.1225</v>
      </c>
      <c r="S96" s="62" t="n">
        <v>0</v>
      </c>
      <c r="T96" s="62" t="n">
        <v>0</v>
      </c>
      <c r="U96" s="62" t="n">
        <v>0</v>
      </c>
      <c r="V96" s="62" t="n">
        <v>0</v>
      </c>
      <c r="W96" s="63" t="n">
        <v>0.75068708284256</v>
      </c>
      <c r="X96" s="61" t="inlineStr">
        <is>
          <t>No</t>
        </is>
      </c>
      <c r="Y96" s="61" t="inlineStr">
        <is>
          <t>N</t>
        </is>
      </c>
      <c r="Z96" s="61" t="inlineStr">
        <is>
          <t>Y</t>
        </is>
      </c>
      <c r="AA96" s="61" t="n">
        <v>3</v>
      </c>
      <c r="AB96" s="61" t="n">
        <v>1</v>
      </c>
      <c r="AC96" s="42" t="n">
        <v>537636</v>
      </c>
      <c r="AD96" s="42" t="n">
        <v>38</v>
      </c>
      <c r="AE96" s="42" t="n">
        <v>0</v>
      </c>
      <c r="AF96" s="42" t="n">
        <v>0</v>
      </c>
      <c r="AG96" s="42" t="n">
        <v>0</v>
      </c>
      <c r="AH96" s="42" t="n">
        <v>0</v>
      </c>
      <c r="AI96" s="42" t="n">
        <v>4</v>
      </c>
      <c r="AJ96" s="42" t="n">
        <v>0</v>
      </c>
      <c r="AK96" s="42" t="n">
        <v>3</v>
      </c>
      <c r="AL96" s="42" t="n">
        <v>34</v>
      </c>
      <c r="AM96" s="20" t="inlineStr">
        <is>
          <t>Maintain (Patch)</t>
        </is>
      </c>
      <c r="AN96" s="62" t="n">
        <v>0</v>
      </c>
      <c r="AO96" s="64">
        <f>--($D96='START HERE'!$C$5)</f>
        <v/>
      </c>
    </row>
    <row r="97" ht="24" customHeight="1">
      <c r="B97" s="42" t="n">
        <v>11012</v>
      </c>
      <c r="C97" s="13" t="inlineStr">
        <is>
          <t>WZZMNB-JPN</t>
        </is>
      </c>
      <c r="D97" s="20" t="inlineStr">
        <is>
          <t>Insurance Claims and Benefits Payment Related</t>
        </is>
      </c>
      <c r="E97" s="20" t="inlineStr">
        <is>
          <t>Annuity＆Maturity Payment</t>
        </is>
      </c>
      <c r="F97" s="61" t="inlineStr">
        <is>
          <t>NCD</t>
        </is>
      </c>
      <c r="G97" s="61" t="inlineStr">
        <is>
          <t>T</t>
        </is>
      </c>
      <c r="H97" s="20" t="inlineStr">
        <is>
          <t>Long tail</t>
        </is>
      </c>
      <c r="I97" s="61" t="inlineStr">
        <is>
          <t>Rule 3</t>
        </is>
      </c>
      <c r="J97" s="62" t="n">
        <v>1.944</v>
      </c>
      <c r="K97" s="62" t="n">
        <v>1.65233333333333</v>
      </c>
      <c r="L97" s="62" t="n">
        <v>0.291666666666667</v>
      </c>
      <c r="M97" s="62" t="n">
        <v>0</v>
      </c>
      <c r="N97" s="62" t="n">
        <v>1.65233333333333</v>
      </c>
      <c r="O97" s="62" t="n">
        <v>0</v>
      </c>
      <c r="P97" s="62" t="n">
        <v>0</v>
      </c>
      <c r="Q97" s="62" t="n">
        <v>0</v>
      </c>
      <c r="R97" s="62" t="n">
        <v>1.65233333333333</v>
      </c>
      <c r="S97" s="62" t="n">
        <v>0</v>
      </c>
      <c r="T97" s="62" t="n">
        <v>0</v>
      </c>
      <c r="U97" s="62" t="n">
        <v>0</v>
      </c>
      <c r="V97" s="62" t="n">
        <v>0</v>
      </c>
      <c r="W97" s="63" t="n">
        <v>0.832175925925926</v>
      </c>
      <c r="X97" s="61" t="inlineStr">
        <is>
          <t>No</t>
        </is>
      </c>
      <c r="Y97" s="61" t="inlineStr">
        <is>
          <t>N</t>
        </is>
      </c>
      <c r="Z97" s="61" t="inlineStr">
        <is>
          <t>N</t>
        </is>
      </c>
      <c r="AA97" s="61" t="n">
        <v>3</v>
      </c>
      <c r="AB97" s="61" t="n">
        <v>1</v>
      </c>
      <c r="AC97" s="42" t="n">
        <v>0</v>
      </c>
      <c r="AD97" s="42" t="n">
        <v>17</v>
      </c>
      <c r="AE97" s="42" t="n">
        <v>0</v>
      </c>
      <c r="AF97" s="42" t="n">
        <v>0</v>
      </c>
      <c r="AG97" s="42" t="n">
        <v>0</v>
      </c>
      <c r="AH97" s="42" t="n">
        <v>1</v>
      </c>
      <c r="AI97" s="42" t="n">
        <v>9</v>
      </c>
      <c r="AJ97" s="42" t="n">
        <v>0</v>
      </c>
      <c r="AK97" s="42" t="n">
        <v>0</v>
      </c>
      <c r="AL97" s="42" t="n">
        <v>19</v>
      </c>
      <c r="AM97" s="20" t="inlineStr">
        <is>
          <t>Maintain (Evolve)</t>
        </is>
      </c>
      <c r="AN97" s="62" t="n">
        <v>0</v>
      </c>
      <c r="AO97" s="64">
        <f>--($D97='START HERE'!$C$5)</f>
        <v/>
      </c>
    </row>
    <row r="98" ht="14.25" customHeight="1">
      <c r="B98" s="42" t="n">
        <v>9920</v>
      </c>
      <c r="C98" s="13" t="inlineStr">
        <is>
          <t>WPSYEC-JPN</t>
        </is>
      </c>
      <c r="D98" s="20" t="inlineStr">
        <is>
          <t>Marketing / Direct Business</t>
        </is>
      </c>
      <c r="E98" s="20" t="inlineStr">
        <is>
          <t>Marketing Support</t>
        </is>
      </c>
      <c r="F98" s="61" t="inlineStr">
        <is>
          <t>CG</t>
        </is>
      </c>
      <c r="G98" s="61" t="inlineStr">
        <is>
          <t>D</t>
        </is>
      </c>
      <c r="H98" s="20" t="inlineStr">
        <is>
          <t>Distributed-proven</t>
        </is>
      </c>
      <c r="I98" s="61" t="inlineStr">
        <is>
          <t>Rule 4</t>
        </is>
      </c>
      <c r="J98" s="62" t="n">
        <v>19.0775</v>
      </c>
      <c r="K98" s="62" t="n">
        <v>10.3375</v>
      </c>
      <c r="L98" s="62" t="n">
        <v>3.55833333333333</v>
      </c>
      <c r="M98" s="62" t="n">
        <v>5.18166666666667</v>
      </c>
      <c r="N98" s="62" t="n">
        <v>9.89583333333333</v>
      </c>
      <c r="O98" s="62" t="n">
        <v>0.441666666666667</v>
      </c>
      <c r="P98" s="62" t="n">
        <v>0</v>
      </c>
      <c r="Q98" s="62" t="n">
        <v>1.7875</v>
      </c>
      <c r="R98" s="62" t="n">
        <v>5.13333333333333</v>
      </c>
      <c r="S98" s="62" t="n">
        <v>3.33333333333333</v>
      </c>
      <c r="T98" s="62" t="n">
        <v>0</v>
      </c>
      <c r="U98" s="62" t="n">
        <v>0.0833333333333333</v>
      </c>
      <c r="V98" s="62" t="n">
        <v>0</v>
      </c>
      <c r="W98" s="63" t="n">
        <v>0.93360415847639</v>
      </c>
      <c r="X98" s="61" t="inlineStr">
        <is>
          <t>No</t>
        </is>
      </c>
      <c r="Y98" s="61" t="inlineStr">
        <is>
          <t>N</t>
        </is>
      </c>
      <c r="Z98" s="61" t="inlineStr">
        <is>
          <t>N</t>
        </is>
      </c>
      <c r="AA98" s="61" t="n">
        <v>1</v>
      </c>
      <c r="AB98" s="61" t="n">
        <v>3</v>
      </c>
      <c r="AC98" s="42" t="n">
        <v>250000</v>
      </c>
      <c r="AD98" s="42" t="n">
        <v>20</v>
      </c>
      <c r="AE98" s="42" t="n">
        <v>0</v>
      </c>
      <c r="AF98" s="42" t="n">
        <v>0</v>
      </c>
      <c r="AG98" s="42" t="n">
        <v>11</v>
      </c>
      <c r="AH98" s="42" t="n">
        <v>3</v>
      </c>
      <c r="AI98" s="42" t="n">
        <v>23</v>
      </c>
      <c r="AJ98" s="42" t="n">
        <v>8</v>
      </c>
      <c r="AK98" s="42" t="n">
        <v>27</v>
      </c>
      <c r="AL98" s="42" t="n">
        <v>224</v>
      </c>
      <c r="AM98" s="20" t="inlineStr">
        <is>
          <t>Maintain (Evolve)</t>
        </is>
      </c>
      <c r="AN98" s="62" t="n">
        <v>2.667</v>
      </c>
      <c r="AO98" s="64">
        <f>--($D98='START HERE'!$C$5)</f>
        <v/>
      </c>
    </row>
    <row r="99" ht="14.25" customHeight="1">
      <c r="B99" s="42" t="n">
        <v>9962</v>
      </c>
      <c r="C99" s="13" t="inlineStr">
        <is>
          <t>WPSCUS-JPN</t>
        </is>
      </c>
      <c r="D99" s="20" t="inlineStr">
        <is>
          <t>Marketing / Direct Business</t>
        </is>
      </c>
      <c r="E99" s="20" t="inlineStr">
        <is>
          <t>Marketing Support</t>
        </is>
      </c>
      <c r="F99" s="61" t="inlineStr">
        <is>
          <t>CG</t>
        </is>
      </c>
      <c r="G99" s="61" t="inlineStr">
        <is>
          <t>P</t>
        </is>
      </c>
      <c r="H99" s="20" t="inlineStr">
        <is>
          <t>Portable, not moved</t>
        </is>
      </c>
      <c r="I99" s="61" t="inlineStr">
        <is>
          <t>Rule 5</t>
        </is>
      </c>
      <c r="J99" s="62" t="n">
        <v>12.8520833333333</v>
      </c>
      <c r="K99" s="62" t="n">
        <v>8.92166666666667</v>
      </c>
      <c r="L99" s="62" t="n">
        <v>2.41041666666667</v>
      </c>
      <c r="M99" s="62" t="n">
        <v>1.52</v>
      </c>
      <c r="N99" s="62" t="n">
        <v>8.92166666666667</v>
      </c>
      <c r="O99" s="62" t="n">
        <v>0</v>
      </c>
      <c r="P99" s="62" t="n">
        <v>0</v>
      </c>
      <c r="Q99" s="62" t="n">
        <v>1.97083333333333</v>
      </c>
      <c r="R99" s="62" t="n">
        <v>2.8675</v>
      </c>
      <c r="S99" s="62" t="n">
        <v>3</v>
      </c>
      <c r="T99" s="62" t="n">
        <v>0</v>
      </c>
      <c r="U99" s="62" t="n">
        <v>1.08333333333333</v>
      </c>
      <c r="V99" s="62" t="n">
        <v>0</v>
      </c>
      <c r="W99" s="63" t="n">
        <v>0.827395039714702</v>
      </c>
      <c r="X99" s="61" t="inlineStr">
        <is>
          <t>Yes</t>
        </is>
      </c>
      <c r="Y99" s="61" t="inlineStr">
        <is>
          <t>N</t>
        </is>
      </c>
      <c r="Z99" s="61" t="inlineStr">
        <is>
          <t>N</t>
        </is>
      </c>
      <c r="AA99" s="61" t="n">
        <v>2</v>
      </c>
      <c r="AB99" s="61" t="n">
        <v>3</v>
      </c>
      <c r="AC99" s="42" t="n">
        <v>120000</v>
      </c>
      <c r="AD99" s="42" t="n">
        <v>40</v>
      </c>
      <c r="AE99" s="42" t="n">
        <v>0</v>
      </c>
      <c r="AF99" s="42" t="n">
        <v>0</v>
      </c>
      <c r="AG99" s="42" t="n">
        <v>4</v>
      </c>
      <c r="AH99" s="42" t="n">
        <v>14</v>
      </c>
      <c r="AI99" s="42" t="n">
        <v>48</v>
      </c>
      <c r="AJ99" s="42" t="n">
        <v>4</v>
      </c>
      <c r="AK99" s="42" t="n">
        <v>53</v>
      </c>
      <c r="AL99" s="42" t="n">
        <v>185</v>
      </c>
      <c r="AM99" s="20" t="inlineStr">
        <is>
          <t>Maintain (Evolve)</t>
        </is>
      </c>
      <c r="AN99" s="62" t="n">
        <v>1.333</v>
      </c>
      <c r="AO99" s="64">
        <f>--($D99='START HERE'!$C$5)</f>
        <v/>
      </c>
    </row>
    <row r="100" ht="14.25" customHeight="1">
      <c r="B100" s="42" t="n">
        <v>9858</v>
      </c>
      <c r="C100" s="13" t="inlineStr">
        <is>
          <t>W02OPS-JPN</t>
        </is>
      </c>
      <c r="D100" s="20" t="inlineStr">
        <is>
          <t>Marketing / Direct Business</t>
        </is>
      </c>
      <c r="E100" s="20" t="inlineStr">
        <is>
          <t>Marketing Support</t>
        </is>
      </c>
      <c r="F100" s="61" t="inlineStr">
        <is>
          <t>NCD</t>
        </is>
      </c>
      <c r="G100" s="61" t="inlineStr">
        <is>
          <t>D</t>
        </is>
      </c>
      <c r="H100" s="20" t="inlineStr">
        <is>
          <t>Distributed-proven</t>
        </is>
      </c>
      <c r="I100" s="61" t="inlineStr">
        <is>
          <t>Rule 4</t>
        </is>
      </c>
      <c r="J100" s="62" t="n">
        <v>6.91666666666667</v>
      </c>
      <c r="K100" s="62" t="n">
        <v>4.83333333333333</v>
      </c>
      <c r="L100" s="62" t="n">
        <v>1</v>
      </c>
      <c r="M100" s="62" t="n">
        <v>1.08333333333333</v>
      </c>
      <c r="N100" s="62" t="n">
        <v>2.85416666666667</v>
      </c>
      <c r="O100" s="62" t="n">
        <v>1.97916666666667</v>
      </c>
      <c r="P100" s="62" t="n">
        <v>0</v>
      </c>
      <c r="Q100" s="62" t="n">
        <v>0.854166666666667</v>
      </c>
      <c r="R100" s="62" t="n">
        <v>2.89583333333333</v>
      </c>
      <c r="S100" s="62" t="n">
        <v>1.08333333333333</v>
      </c>
      <c r="T100" s="62" t="n">
        <v>0</v>
      </c>
      <c r="U100" s="62" t="n">
        <v>0</v>
      </c>
      <c r="V100" s="62" t="n">
        <v>0</v>
      </c>
      <c r="W100" s="63" t="n">
        <v>0.710843373493976</v>
      </c>
      <c r="X100" s="61" t="inlineStr">
        <is>
          <t>No</t>
        </is>
      </c>
      <c r="Y100" s="61" t="inlineStr">
        <is>
          <t>N</t>
        </is>
      </c>
      <c r="Z100" s="61" t="inlineStr">
        <is>
          <t>N</t>
        </is>
      </c>
      <c r="AA100" s="61" t="n">
        <v>2</v>
      </c>
      <c r="AB100" s="61" t="n">
        <v>1</v>
      </c>
      <c r="AC100" s="42" t="n">
        <v>150000</v>
      </c>
      <c r="AD100" s="42" t="n">
        <v>25</v>
      </c>
      <c r="AE100" s="42" t="n">
        <v>0</v>
      </c>
      <c r="AF100" s="42" t="n">
        <v>0</v>
      </c>
      <c r="AG100" s="42" t="n">
        <v>3</v>
      </c>
      <c r="AH100" s="42" t="n">
        <v>1</v>
      </c>
      <c r="AI100" s="42" t="n">
        <v>7</v>
      </c>
      <c r="AJ100" s="42" t="n">
        <v>2</v>
      </c>
      <c r="AK100" s="42" t="n">
        <v>1</v>
      </c>
      <c r="AL100" s="42" t="n">
        <v>37</v>
      </c>
      <c r="AM100" s="20" t="inlineStr">
        <is>
          <t>Maintain (Evolve)</t>
        </is>
      </c>
      <c r="AN100" s="62" t="n">
        <v>0</v>
      </c>
      <c r="AO100" s="64">
        <f>--($D100='START HERE'!$C$5)</f>
        <v/>
      </c>
    </row>
    <row r="101" ht="14.25" customHeight="1">
      <c r="B101" s="42" t="n">
        <v>13888</v>
      </c>
      <c r="C101" s="13" t="inlineStr">
        <is>
          <t>Distribution Marketing batches</t>
        </is>
      </c>
      <c r="D101" s="20" t="inlineStr">
        <is>
          <t>Marketing / Direct Business</t>
        </is>
      </c>
      <c r="E101" s="20" t="inlineStr">
        <is>
          <t>Marketing Support</t>
        </is>
      </c>
      <c r="F101" s="61" t="inlineStr">
        <is>
          <t>NCD</t>
        </is>
      </c>
      <c r="G101" s="61" t="inlineStr">
        <is>
          <t>J</t>
        </is>
      </c>
      <c r="H101" s="20" t="inlineStr">
        <is>
          <t>Japan-locked</t>
        </is>
      </c>
      <c r="I101" s="61" t="inlineStr">
        <is>
          <t>Rule 6</t>
        </is>
      </c>
      <c r="J101" s="62" t="n">
        <v>4.4475</v>
      </c>
      <c r="K101" s="62" t="n">
        <v>2.9475</v>
      </c>
      <c r="L101" s="62" t="n">
        <v>0.5</v>
      </c>
      <c r="M101" s="62" t="n">
        <v>1</v>
      </c>
      <c r="N101" s="62" t="n">
        <v>2.9475</v>
      </c>
      <c r="O101" s="62" t="n">
        <v>0</v>
      </c>
      <c r="P101" s="62" t="n">
        <v>0</v>
      </c>
      <c r="Q101" s="62" t="n">
        <v>0</v>
      </c>
      <c r="R101" s="62" t="n">
        <v>2.9475</v>
      </c>
      <c r="S101" s="62" t="n">
        <v>0</v>
      </c>
      <c r="T101" s="62" t="n">
        <v>0</v>
      </c>
      <c r="U101" s="62" t="n">
        <v>0</v>
      </c>
      <c r="V101" s="62" t="n">
        <v>0</v>
      </c>
      <c r="W101" s="63" t="n">
        <v>0.240771969271126</v>
      </c>
      <c r="X101" s="61" t="inlineStr">
        <is>
          <t>No</t>
        </is>
      </c>
      <c r="Y101" s="61" t="inlineStr">
        <is>
          <t>N</t>
        </is>
      </c>
      <c r="Z101" s="61" t="inlineStr">
        <is>
          <t>N</t>
        </is>
      </c>
      <c r="AA101" s="61" t="n">
        <v>2</v>
      </c>
      <c r="AB101" s="61" t="n">
        <v>1</v>
      </c>
      <c r="AC101" s="42" t="n">
        <v>35000</v>
      </c>
      <c r="AD101" s="42" t="n">
        <v>35</v>
      </c>
      <c r="AE101" s="42" t="n">
        <v>0</v>
      </c>
      <c r="AF101" s="42" t="n">
        <v>0</v>
      </c>
      <c r="AG101" s="42" t="n">
        <v>10</v>
      </c>
      <c r="AH101" s="42" t="n">
        <v>6</v>
      </c>
      <c r="AI101" s="42" t="n">
        <v>30</v>
      </c>
      <c r="AJ101" s="42" t="n">
        <v>17</v>
      </c>
      <c r="AK101" s="42" t="n">
        <v>0</v>
      </c>
      <c r="AL101" s="42" t="n">
        <v>127</v>
      </c>
      <c r="AM101" s="20" t="inlineStr">
        <is>
          <t>Maintain (Evolve)</t>
        </is>
      </c>
      <c r="AN101" s="62" t="n">
        <v>0</v>
      </c>
      <c r="AO101" s="64">
        <f>--($D101='START HERE'!$C$5)</f>
        <v/>
      </c>
    </row>
    <row r="102" ht="23.25" customHeight="1">
      <c r="B102" s="42" t="n">
        <v>12820</v>
      </c>
      <c r="C102" s="13" t="inlineStr">
        <is>
          <t>JP-OLB Batch</t>
        </is>
      </c>
      <c r="D102" s="20" t="inlineStr">
        <is>
          <t>Marketing / Direct Business</t>
        </is>
      </c>
      <c r="E102" s="20" t="inlineStr">
        <is>
          <t>Marketing Support</t>
        </is>
      </c>
      <c r="F102" s="61" t="inlineStr">
        <is>
          <t>unnamed</t>
        </is>
      </c>
      <c r="G102" s="61" t="inlineStr">
        <is>
          <t>T</t>
        </is>
      </c>
      <c r="H102" s="20" t="inlineStr">
        <is>
          <t>Long tail</t>
        </is>
      </c>
      <c r="I102" s="61" t="inlineStr">
        <is>
          <t>Rule 3</t>
        </is>
      </c>
      <c r="J102" s="62" t="n">
        <v>0.3625</v>
      </c>
      <c r="K102" s="62" t="n">
        <v>0.3625</v>
      </c>
      <c r="L102" s="62" t="n">
        <v>0</v>
      </c>
      <c r="M102" s="62" t="n">
        <v>0</v>
      </c>
      <c r="N102" s="62" t="n">
        <v>0.3625</v>
      </c>
      <c r="O102" s="62" t="n">
        <v>0</v>
      </c>
      <c r="P102" s="62" t="n">
        <v>0</v>
      </c>
      <c r="Q102" s="62" t="n">
        <v>0.1125</v>
      </c>
      <c r="R102" s="62" t="n">
        <v>0.25</v>
      </c>
      <c r="S102" s="62" t="n">
        <v>0</v>
      </c>
      <c r="T102" s="62" t="n">
        <v>0</v>
      </c>
      <c r="U102" s="62" t="n">
        <v>0</v>
      </c>
      <c r="V102" s="62" t="n">
        <v>0</v>
      </c>
      <c r="W102" s="63" t="n">
        <v>1</v>
      </c>
      <c r="X102" s="61" t="inlineStr">
        <is>
          <t>No</t>
        </is>
      </c>
      <c r="Y102" s="61" t="inlineStr">
        <is>
          <t>N</t>
        </is>
      </c>
      <c r="Z102" s="61" t="inlineStr">
        <is>
          <t>N</t>
        </is>
      </c>
      <c r="AA102" s="61" t="n">
        <v>1</v>
      </c>
      <c r="AB102" s="61" t="n">
        <v>3</v>
      </c>
      <c r="AC102" s="42" t="n">
        <v>15000</v>
      </c>
      <c r="AD102" s="42" t="n">
        <v>20</v>
      </c>
      <c r="AE102" s="42" t="n">
        <v>0</v>
      </c>
      <c r="AF102" s="42" t="n">
        <v>0</v>
      </c>
      <c r="AG102" s="42" t="n">
        <v>2</v>
      </c>
      <c r="AH102" s="42" t="n">
        <v>2</v>
      </c>
      <c r="AI102" s="42" t="n">
        <v>5</v>
      </c>
      <c r="AJ102" s="42" t="n">
        <v>2</v>
      </c>
      <c r="AK102" s="42" t="n">
        <v>1</v>
      </c>
      <c r="AL102" s="42" t="n">
        <v>28</v>
      </c>
      <c r="AM102" s="20" t="inlineStr">
        <is>
          <t>Maintain (Evolve)</t>
        </is>
      </c>
      <c r="AN102" s="62" t="n">
        <v>0</v>
      </c>
      <c r="AO102" s="64">
        <f>--($D102='START HERE'!$C$5)</f>
        <v/>
      </c>
    </row>
    <row r="103" ht="23.25" customHeight="1">
      <c r="B103" s="42" t="n">
        <v>9921</v>
      </c>
      <c r="C103" s="13" t="inlineStr">
        <is>
          <t>W07IPC-JPN</t>
        </is>
      </c>
      <c r="D103" s="20" t="inlineStr">
        <is>
          <t>Marketing / Direct Business</t>
        </is>
      </c>
      <c r="E103" s="20" t="inlineStr">
        <is>
          <t>Marketing Support</t>
        </is>
      </c>
      <c r="F103" s="61" t="inlineStr">
        <is>
          <t>unnamed</t>
        </is>
      </c>
      <c r="G103" s="61" t="inlineStr">
        <is>
          <t>T</t>
        </is>
      </c>
      <c r="H103" s="20" t="inlineStr">
        <is>
          <t>Long tail</t>
        </is>
      </c>
      <c r="I103" s="61" t="inlineStr">
        <is>
          <t>Rule 3</t>
        </is>
      </c>
      <c r="J103" s="62" t="n">
        <v>0.345833333333333</v>
      </c>
      <c r="K103" s="62" t="n">
        <v>0.304166666666667</v>
      </c>
      <c r="L103" s="62" t="n">
        <v>0.0416666666666667</v>
      </c>
      <c r="M103" s="62" t="n">
        <v>0</v>
      </c>
      <c r="N103" s="62" t="n">
        <v>0.304166666666667</v>
      </c>
      <c r="O103" s="62" t="n">
        <v>0</v>
      </c>
      <c r="P103" s="62" t="n">
        <v>0</v>
      </c>
      <c r="Q103" s="62" t="n">
        <v>0</v>
      </c>
      <c r="R103" s="62" t="n">
        <v>0</v>
      </c>
      <c r="S103" s="62" t="n">
        <v>0.304166666666667</v>
      </c>
      <c r="T103" s="62" t="n">
        <v>0</v>
      </c>
      <c r="U103" s="62" t="n">
        <v>0</v>
      </c>
      <c r="V103" s="62" t="n">
        <v>0</v>
      </c>
      <c r="W103" s="63" t="n">
        <v>1</v>
      </c>
      <c r="X103" s="61" t="inlineStr">
        <is>
          <t>Yes</t>
        </is>
      </c>
      <c r="Y103" s="61" t="inlineStr">
        <is>
          <t>N</t>
        </is>
      </c>
      <c r="Z103" s="61" t="inlineStr">
        <is>
          <t>N</t>
        </is>
      </c>
      <c r="AA103" s="61" t="n">
        <v>1</v>
      </c>
      <c r="AB103" s="61" t="n">
        <v>3</v>
      </c>
      <c r="AC103" s="42" t="n">
        <v>15000</v>
      </c>
      <c r="AD103" s="42" t="n">
        <v>5</v>
      </c>
      <c r="AE103" s="42" t="n">
        <v>0</v>
      </c>
      <c r="AF103" s="42" t="n">
        <v>0</v>
      </c>
      <c r="AG103" s="42" t="n">
        <v>3</v>
      </c>
      <c r="AH103" s="42" t="n">
        <v>1</v>
      </c>
      <c r="AI103" s="42" t="n">
        <v>2</v>
      </c>
      <c r="AJ103" s="42" t="n">
        <v>2</v>
      </c>
      <c r="AK103" s="42" t="n">
        <v>0</v>
      </c>
      <c r="AL103" s="42" t="n">
        <v>19</v>
      </c>
      <c r="AM103" s="20" t="inlineStr">
        <is>
          <t>Maintain (Evolve)</t>
        </is>
      </c>
      <c r="AN103" s="62" t="n">
        <v>0</v>
      </c>
      <c r="AO103" s="64">
        <f>--($D103='START HERE'!$C$5)</f>
        <v/>
      </c>
    </row>
    <row r="104" ht="14.25" customHeight="1">
      <c r="B104" s="42" t="n">
        <v>11008</v>
      </c>
      <c r="C104" s="13" t="inlineStr">
        <is>
          <t>OMSTAT-JPN</t>
        </is>
      </c>
      <c r="D104" s="20" t="inlineStr">
        <is>
          <t>Marketing / Direct Business</t>
        </is>
      </c>
      <c r="E104" s="20" t="inlineStr">
        <is>
          <t>Marketing Support</t>
        </is>
      </c>
      <c r="F104" s="61" t="inlineStr">
        <is>
          <t>NCD</t>
        </is>
      </c>
      <c r="G104" s="61" t="inlineStr">
        <is>
          <t>T</t>
        </is>
      </c>
      <c r="H104" s="20" t="inlineStr">
        <is>
          <t>Long tail</t>
        </is>
      </c>
      <c r="I104" s="61" t="inlineStr">
        <is>
          <t>Rule 3</t>
        </is>
      </c>
      <c r="J104" s="62" t="n">
        <v>0.152083333333333</v>
      </c>
      <c r="K104" s="62" t="n">
        <v>0.135416666666667</v>
      </c>
      <c r="L104" s="62" t="n">
        <v>0.0166666666666667</v>
      </c>
      <c r="M104" s="62" t="n">
        <v>0</v>
      </c>
      <c r="N104" s="62" t="n">
        <v>0.135416666666667</v>
      </c>
      <c r="O104" s="62" t="n">
        <v>0</v>
      </c>
      <c r="P104" s="62" t="n">
        <v>0</v>
      </c>
      <c r="Q104" s="62" t="n">
        <v>0</v>
      </c>
      <c r="R104" s="62" t="n">
        <v>0.135416666666667</v>
      </c>
      <c r="S104" s="62" t="n">
        <v>0</v>
      </c>
      <c r="T104" s="62" t="n">
        <v>0</v>
      </c>
      <c r="U104" s="62" t="n">
        <v>0</v>
      </c>
      <c r="V104" s="62" t="n">
        <v>0</v>
      </c>
      <c r="W104" s="63" t="n">
        <v>0.520547945205479</v>
      </c>
      <c r="X104" s="61" t="inlineStr">
        <is>
          <t>No</t>
        </is>
      </c>
      <c r="Y104" s="61" t="inlineStr">
        <is>
          <t>N</t>
        </is>
      </c>
      <c r="Z104" s="61" t="inlineStr">
        <is>
          <t>N</t>
        </is>
      </c>
      <c r="AA104" s="61" t="n">
        <v>3</v>
      </c>
      <c r="AB104" s="61" t="n">
        <v>1</v>
      </c>
      <c r="AC104" s="42" t="n">
        <v>20000</v>
      </c>
      <c r="AD104" s="42" t="n">
        <v>8</v>
      </c>
      <c r="AE104" s="42" t="n">
        <v>0</v>
      </c>
      <c r="AF104" s="42" t="n">
        <v>0</v>
      </c>
      <c r="AG104" s="42" t="n">
        <v>0</v>
      </c>
      <c r="AH104" s="42" t="n">
        <v>1</v>
      </c>
      <c r="AI104" s="42" t="n">
        <v>9</v>
      </c>
      <c r="AJ104" s="42" t="n">
        <v>0</v>
      </c>
      <c r="AK104" s="42" t="n">
        <v>0</v>
      </c>
      <c r="AL104" s="42" t="n">
        <v>7</v>
      </c>
      <c r="AM104" s="20" t="inlineStr">
        <is>
          <t>Rehost</t>
        </is>
      </c>
      <c r="AN104" s="62" t="n">
        <v>0</v>
      </c>
      <c r="AO104" s="64">
        <f>--($D104='START HERE'!$C$5)</f>
        <v/>
      </c>
    </row>
    <row r="105" ht="23.25" customHeight="1">
      <c r="B105" s="42" t="n">
        <v>12021</v>
      </c>
      <c r="C105" s="13" t="inlineStr">
        <is>
          <t>LPS-JPN(EUC081)</t>
        </is>
      </c>
      <c r="D105" s="20" t="inlineStr">
        <is>
          <t>Marketing / Direct Business</t>
        </is>
      </c>
      <c r="E105" s="20" t="inlineStr">
        <is>
          <t>Marketing Support</t>
        </is>
      </c>
      <c r="F105" s="61" t="inlineStr">
        <is>
          <t>unnamed</t>
        </is>
      </c>
      <c r="G105" s="61" t="inlineStr">
        <is>
          <t>T</t>
        </is>
      </c>
      <c r="H105" s="20" t="inlineStr">
        <is>
          <t>Long tail</t>
        </is>
      </c>
      <c r="I105" s="61" t="inlineStr">
        <is>
          <t>Rule 3</t>
        </is>
      </c>
      <c r="J105" s="62" t="n">
        <v>0</v>
      </c>
      <c r="K105" s="62" t="n">
        <v>0</v>
      </c>
      <c r="L105" s="62" t="n">
        <v>0</v>
      </c>
      <c r="M105" s="62" t="n">
        <v>0</v>
      </c>
      <c r="N105" s="62" t="n">
        <v>0</v>
      </c>
      <c r="O105" s="62" t="n">
        <v>0</v>
      </c>
      <c r="P105" s="62" t="n">
        <v>0</v>
      </c>
      <c r="Q105" s="62" t="n">
        <v>0</v>
      </c>
      <c r="R105" s="62" t="n">
        <v>0</v>
      </c>
      <c r="S105" s="62" t="n">
        <v>0</v>
      </c>
      <c r="T105" s="62" t="n">
        <v>0</v>
      </c>
      <c r="U105" s="62" t="n">
        <v>0</v>
      </c>
      <c r="V105" s="62" t="n">
        <v>0</v>
      </c>
      <c r="W105" s="63" t="n">
        <v>0</v>
      </c>
      <c r="X105" s="61" t="inlineStr">
        <is>
          <t>No</t>
        </is>
      </c>
      <c r="Y105" s="61" t="inlineStr">
        <is>
          <t>N</t>
        </is>
      </c>
      <c r="Z105" s="61" t="inlineStr">
        <is>
          <t>N</t>
        </is>
      </c>
      <c r="AA105" s="61" t="n">
        <v>3</v>
      </c>
      <c r="AB105" s="61" t="n">
        <v>1</v>
      </c>
      <c r="AC105" s="42" t="n">
        <v>0</v>
      </c>
      <c r="AD105" s="42" t="n">
        <v>3</v>
      </c>
      <c r="AE105" s="42" t="n">
        <v>0</v>
      </c>
      <c r="AF105" s="42" t="n">
        <v>0</v>
      </c>
      <c r="AG105" s="42" t="n">
        <v>0</v>
      </c>
      <c r="AH105" s="42" t="n">
        <v>0</v>
      </c>
      <c r="AI105" s="42" t="n">
        <v>1</v>
      </c>
      <c r="AJ105" s="42" t="n">
        <v>0</v>
      </c>
      <c r="AK105" s="42" t="n">
        <v>1</v>
      </c>
      <c r="AL105" s="42" t="n">
        <v>10</v>
      </c>
      <c r="AM105" s="20" t="inlineStr">
        <is>
          <t>Maintain (Patch)</t>
        </is>
      </c>
      <c r="AN105" s="62" t="n">
        <v>0</v>
      </c>
      <c r="AO105" s="64">
        <f>--($D105='START HERE'!$C$5)</f>
        <v/>
      </c>
    </row>
    <row r="106" ht="23.25" customHeight="1">
      <c r="B106" s="42" t="n">
        <v>12030</v>
      </c>
      <c r="C106" s="13" t="inlineStr">
        <is>
          <t>CIT-JPN(EUC082)</t>
        </is>
      </c>
      <c r="D106" s="20" t="inlineStr">
        <is>
          <t>Marketing / Direct Business</t>
        </is>
      </c>
      <c r="E106" s="20" t="inlineStr">
        <is>
          <t>Marketing Support</t>
        </is>
      </c>
      <c r="F106" s="61" t="inlineStr">
        <is>
          <t>unnamed</t>
        </is>
      </c>
      <c r="G106" s="61" t="inlineStr">
        <is>
          <t>T</t>
        </is>
      </c>
      <c r="H106" s="20" t="inlineStr">
        <is>
          <t>Long tail</t>
        </is>
      </c>
      <c r="I106" s="61" t="inlineStr">
        <is>
          <t>Rule 3</t>
        </is>
      </c>
      <c r="J106" s="62" t="n">
        <v>0</v>
      </c>
      <c r="K106" s="62" t="n">
        <v>0</v>
      </c>
      <c r="L106" s="62" t="n">
        <v>0</v>
      </c>
      <c r="M106" s="62" t="n">
        <v>0</v>
      </c>
      <c r="N106" s="62" t="n">
        <v>0</v>
      </c>
      <c r="O106" s="62" t="n">
        <v>0</v>
      </c>
      <c r="P106" s="62" t="n">
        <v>0</v>
      </c>
      <c r="Q106" s="62" t="n">
        <v>0</v>
      </c>
      <c r="R106" s="62" t="n">
        <v>0</v>
      </c>
      <c r="S106" s="62" t="n">
        <v>0</v>
      </c>
      <c r="T106" s="62" t="n">
        <v>0</v>
      </c>
      <c r="U106" s="62" t="n">
        <v>0</v>
      </c>
      <c r="V106" s="62" t="n">
        <v>0</v>
      </c>
      <c r="W106" s="63" t="n">
        <v>0</v>
      </c>
      <c r="X106" s="61" t="inlineStr">
        <is>
          <t>No</t>
        </is>
      </c>
      <c r="Y106" s="61" t="inlineStr">
        <is>
          <t>N</t>
        </is>
      </c>
      <c r="Z106" s="61" t="inlineStr">
        <is>
          <t>N</t>
        </is>
      </c>
      <c r="AA106" s="61" t="n">
        <v>3</v>
      </c>
      <c r="AB106" s="61" t="n">
        <v>1</v>
      </c>
      <c r="AC106" s="42" t="n">
        <v>0</v>
      </c>
      <c r="AD106" s="42" t="n">
        <v>2</v>
      </c>
      <c r="AE106" s="42" t="n">
        <v>0</v>
      </c>
      <c r="AF106" s="42" t="n">
        <v>0</v>
      </c>
      <c r="AG106" s="42" t="n">
        <v>0</v>
      </c>
      <c r="AH106" s="42" t="n">
        <v>0</v>
      </c>
      <c r="AI106" s="42" t="n">
        <v>0</v>
      </c>
      <c r="AJ106" s="42" t="n">
        <v>0</v>
      </c>
      <c r="AK106" s="42" t="n">
        <v>0</v>
      </c>
      <c r="AL106" s="42" t="n">
        <v>5</v>
      </c>
      <c r="AM106" s="20" t="inlineStr">
        <is>
          <t>Maintain (Patch)</t>
        </is>
      </c>
      <c r="AN106" s="62" t="n">
        <v>0</v>
      </c>
      <c r="AO106" s="64">
        <f>--($D106='START HERE'!$C$5)</f>
        <v/>
      </c>
    </row>
    <row r="107" ht="23.25" customHeight="1">
      <c r="B107" s="42" t="n">
        <v>14267</v>
      </c>
      <c r="C107" s="13" t="inlineStr">
        <is>
          <t>NBAPPS-JPN</t>
        </is>
      </c>
      <c r="D107" s="20" t="inlineStr">
        <is>
          <t>New Contract Related</t>
        </is>
      </c>
      <c r="E107" s="20" t="inlineStr">
        <is>
          <t>Non-F2F New Business</t>
        </is>
      </c>
      <c r="F107" s="61" t="inlineStr">
        <is>
          <t>unnamed</t>
        </is>
      </c>
      <c r="G107" s="61" t="inlineStr">
        <is>
          <t>J</t>
        </is>
      </c>
      <c r="H107" s="20" t="inlineStr">
        <is>
          <t>Japan-locked</t>
        </is>
      </c>
      <c r="I107" s="61" t="inlineStr">
        <is>
          <t>Rule 6</t>
        </is>
      </c>
      <c r="J107" s="62" t="n">
        <v>12.7566666666667</v>
      </c>
      <c r="K107" s="62" t="n">
        <v>12.2566666666667</v>
      </c>
      <c r="L107" s="62" t="n">
        <v>0.5</v>
      </c>
      <c r="M107" s="62" t="n">
        <v>0</v>
      </c>
      <c r="N107" s="62" t="n">
        <v>12.2566666666667</v>
      </c>
      <c r="O107" s="62" t="n">
        <v>0</v>
      </c>
      <c r="P107" s="62" t="n">
        <v>0</v>
      </c>
      <c r="Q107" s="62" t="n">
        <v>0</v>
      </c>
      <c r="R107" s="62" t="n">
        <v>10.7566666666667</v>
      </c>
      <c r="S107" s="62" t="n">
        <v>0</v>
      </c>
      <c r="T107" s="62" t="n">
        <v>1.5</v>
      </c>
      <c r="U107" s="62" t="n">
        <v>0</v>
      </c>
      <c r="V107" s="62" t="n">
        <v>0</v>
      </c>
      <c r="W107" s="63" t="n">
        <v>0.882414423830677</v>
      </c>
      <c r="X107" s="61" t="inlineStr">
        <is>
          <t>No</t>
        </is>
      </c>
      <c r="Y107" s="61" t="inlineStr">
        <is>
          <t>N</t>
        </is>
      </c>
      <c r="Z107" s="61" t="inlineStr">
        <is>
          <t>N</t>
        </is>
      </c>
      <c r="AA107" s="61" t="n">
        <v>3</v>
      </c>
      <c r="AB107" s="61" t="n">
        <v>1</v>
      </c>
      <c r="AC107" s="42" t="n">
        <v>0</v>
      </c>
      <c r="AD107" s="42" t="n">
        <v>0</v>
      </c>
      <c r="AE107" s="42" t="n">
        <v>0</v>
      </c>
      <c r="AF107" s="42" t="n">
        <v>0</v>
      </c>
      <c r="AG107" s="42" t="n">
        <v>13</v>
      </c>
      <c r="AH107" s="42" t="n">
        <v>29</v>
      </c>
      <c r="AI107" s="42" t="n">
        <v>78</v>
      </c>
      <c r="AJ107" s="42" t="n">
        <v>5</v>
      </c>
      <c r="AK107" s="42" t="n">
        <v>32</v>
      </c>
      <c r="AL107" s="42" t="n">
        <v>279</v>
      </c>
      <c r="AM107" s="20" t="inlineStr">
        <is>
          <t>Maintain (Evolve)</t>
        </is>
      </c>
      <c r="AN107" s="62" t="n">
        <v>1.26</v>
      </c>
      <c r="AO107" s="64">
        <f>--($D107='START HERE'!$C$5)</f>
        <v/>
      </c>
    </row>
    <row r="108" ht="14.25" customHeight="1">
      <c r="B108" s="42" t="n">
        <v>9833</v>
      </c>
      <c r="C108" s="13" t="inlineStr">
        <is>
          <t>C04NWC-JPN</t>
        </is>
      </c>
      <c r="D108" s="20" t="inlineStr">
        <is>
          <t>New Contract Related</t>
        </is>
      </c>
      <c r="E108" s="20" t="inlineStr">
        <is>
          <t>Underwriting &amp; Interfaces</t>
        </is>
      </c>
      <c r="F108" s="61" t="inlineStr">
        <is>
          <t>NCD</t>
        </is>
      </c>
      <c r="G108" s="61" t="inlineStr">
        <is>
          <t>J</t>
        </is>
      </c>
      <c r="H108" s="20" t="inlineStr">
        <is>
          <t>Japan-locked</t>
        </is>
      </c>
      <c r="I108" s="61" t="inlineStr">
        <is>
          <t>Rule 6</t>
        </is>
      </c>
      <c r="J108" s="62" t="n">
        <v>8.84208333333334</v>
      </c>
      <c r="K108" s="62" t="n">
        <v>8.731666666666669</v>
      </c>
      <c r="L108" s="62" t="n">
        <v>0.110416666666667</v>
      </c>
      <c r="M108" s="62" t="n">
        <v>0</v>
      </c>
      <c r="N108" s="62" t="n">
        <v>8.731666666666669</v>
      </c>
      <c r="O108" s="62" t="n">
        <v>0</v>
      </c>
      <c r="P108" s="62" t="n">
        <v>0</v>
      </c>
      <c r="Q108" s="62" t="n">
        <v>0</v>
      </c>
      <c r="R108" s="62" t="n">
        <v>8.331666666666671</v>
      </c>
      <c r="S108" s="62" t="n">
        <v>0</v>
      </c>
      <c r="T108" s="62" t="n">
        <v>0.4</v>
      </c>
      <c r="U108" s="62" t="n">
        <v>0</v>
      </c>
      <c r="V108" s="62" t="n">
        <v>0</v>
      </c>
      <c r="W108" s="63" t="n">
        <v>0.916874793836294</v>
      </c>
      <c r="X108" s="61" t="inlineStr">
        <is>
          <t>No</t>
        </is>
      </c>
      <c r="Y108" s="61" t="inlineStr">
        <is>
          <t>N</t>
        </is>
      </c>
      <c r="Z108" s="61" t="inlineStr">
        <is>
          <t>N</t>
        </is>
      </c>
      <c r="AA108" s="61" t="n">
        <v>3</v>
      </c>
      <c r="AB108" s="61" t="n">
        <v>1</v>
      </c>
      <c r="AC108" s="42" t="n">
        <v>675757</v>
      </c>
      <c r="AD108" s="42" t="n">
        <v>0</v>
      </c>
      <c r="AE108" s="42" t="n">
        <v>0</v>
      </c>
      <c r="AF108" s="42" t="n">
        <v>0</v>
      </c>
      <c r="AG108" s="42" t="n">
        <v>36</v>
      </c>
      <c r="AH108" s="42" t="n">
        <v>7</v>
      </c>
      <c r="AI108" s="42" t="n">
        <v>161</v>
      </c>
      <c r="AJ108" s="42" t="n">
        <v>21</v>
      </c>
      <c r="AK108" s="42" t="n">
        <v>7</v>
      </c>
      <c r="AL108" s="42" t="n">
        <v>142</v>
      </c>
      <c r="AM108" s="20" t="inlineStr">
        <is>
          <t>Maintain (Evolve)</t>
        </is>
      </c>
      <c r="AN108" s="62" t="n">
        <v>0.873</v>
      </c>
      <c r="AO108" s="64">
        <f>--($D108='START HERE'!$C$5)</f>
        <v/>
      </c>
    </row>
    <row r="109" ht="14.25" customHeight="1">
      <c r="B109" s="42" t="n">
        <v>9861</v>
      </c>
      <c r="C109" s="13" t="inlineStr">
        <is>
          <t>W04RRE-JPN</t>
        </is>
      </c>
      <c r="D109" s="20" t="inlineStr">
        <is>
          <t>New Contract Related</t>
        </is>
      </c>
      <c r="E109" s="20" t="inlineStr">
        <is>
          <t>Underwriting &amp; Interfaces</t>
        </is>
      </c>
      <c r="F109" s="61" t="inlineStr">
        <is>
          <t>FSI</t>
        </is>
      </c>
      <c r="G109" s="61" t="inlineStr">
        <is>
          <t>J</t>
        </is>
      </c>
      <c r="H109" s="20" t="inlineStr">
        <is>
          <t>Japan-locked</t>
        </is>
      </c>
      <c r="I109" s="61" t="inlineStr">
        <is>
          <t>Rule 6</t>
        </is>
      </c>
      <c r="J109" s="62" t="n">
        <v>6.31529166666667</v>
      </c>
      <c r="K109" s="62" t="n">
        <v>6.31529166666667</v>
      </c>
      <c r="L109" s="62" t="n">
        <v>0</v>
      </c>
      <c r="M109" s="62" t="n">
        <v>0</v>
      </c>
      <c r="N109" s="62" t="n">
        <v>6.31529166666667</v>
      </c>
      <c r="O109" s="62" t="n">
        <v>0</v>
      </c>
      <c r="P109" s="62" t="n">
        <v>0</v>
      </c>
      <c r="Q109" s="62" t="n">
        <v>0</v>
      </c>
      <c r="R109" s="62" t="n">
        <v>6.211125</v>
      </c>
      <c r="S109" s="62" t="n">
        <v>0</v>
      </c>
      <c r="T109" s="62" t="n">
        <v>0.104166666666667</v>
      </c>
      <c r="U109" s="62" t="n">
        <v>0</v>
      </c>
      <c r="V109" s="62" t="n">
        <v>0</v>
      </c>
      <c r="W109" s="63" t="n">
        <v>0.873257371327532</v>
      </c>
      <c r="X109" s="61" t="inlineStr">
        <is>
          <t>No</t>
        </is>
      </c>
      <c r="Y109" s="61" t="inlineStr">
        <is>
          <t>N</t>
        </is>
      </c>
      <c r="Z109" s="61" t="inlineStr">
        <is>
          <t>Y</t>
        </is>
      </c>
      <c r="AA109" s="61" t="n">
        <v>3</v>
      </c>
      <c r="AB109" s="61" t="n">
        <v>1</v>
      </c>
      <c r="AC109" s="42" t="n">
        <v>678710</v>
      </c>
      <c r="AD109" s="42" t="n">
        <v>3</v>
      </c>
      <c r="AE109" s="42" t="n">
        <v>0</v>
      </c>
      <c r="AF109" s="42" t="n">
        <v>0</v>
      </c>
      <c r="AG109" s="42" t="n">
        <v>2</v>
      </c>
      <c r="AH109" s="42" t="n">
        <v>1</v>
      </c>
      <c r="AI109" s="42" t="n">
        <v>8</v>
      </c>
      <c r="AJ109" s="42" t="n">
        <v>2</v>
      </c>
      <c r="AK109" s="42" t="n">
        <v>1</v>
      </c>
      <c r="AL109" s="42" t="n">
        <v>51</v>
      </c>
      <c r="AM109" s="20" t="inlineStr">
        <is>
          <t>Maintain (Evolve)</t>
        </is>
      </c>
      <c r="AN109" s="62" t="n">
        <v>0.624</v>
      </c>
      <c r="AO109" s="64">
        <f>--($D109='START HERE'!$C$5)</f>
        <v/>
      </c>
    </row>
    <row r="110" ht="14.25" customHeight="1">
      <c r="B110" s="42" t="n">
        <v>9849</v>
      </c>
      <c r="C110" s="13" t="inlineStr">
        <is>
          <t>C04OSI-JPN</t>
        </is>
      </c>
      <c r="D110" s="20" t="inlineStr">
        <is>
          <t>New Contract Related</t>
        </is>
      </c>
      <c r="E110" s="20" t="inlineStr">
        <is>
          <t>Underwriting &amp; Interfaces</t>
        </is>
      </c>
      <c r="F110" s="61" t="inlineStr">
        <is>
          <t>NCD</t>
        </is>
      </c>
      <c r="G110" s="61" t="inlineStr">
        <is>
          <t>L</t>
        </is>
      </c>
      <c r="H110" s="20" t="inlineStr">
        <is>
          <t>Legacy core</t>
        </is>
      </c>
      <c r="I110" s="61" t="inlineStr">
        <is>
          <t>Rule 2</t>
        </is>
      </c>
      <c r="J110" s="62" t="n">
        <v>5.56958333333333</v>
      </c>
      <c r="K110" s="62" t="n">
        <v>5.18625</v>
      </c>
      <c r="L110" s="62" t="n">
        <v>0.383333333333333</v>
      </c>
      <c r="M110" s="62" t="n">
        <v>0</v>
      </c>
      <c r="N110" s="62" t="n">
        <v>5.18625</v>
      </c>
      <c r="O110" s="62" t="n">
        <v>0</v>
      </c>
      <c r="P110" s="62" t="n">
        <v>0</v>
      </c>
      <c r="Q110" s="62" t="n">
        <v>0</v>
      </c>
      <c r="R110" s="62" t="n">
        <v>4.43625</v>
      </c>
      <c r="S110" s="62" t="n">
        <v>0</v>
      </c>
      <c r="T110" s="62" t="n">
        <v>0.75</v>
      </c>
      <c r="U110" s="62" t="n">
        <v>0</v>
      </c>
      <c r="V110" s="62" t="n">
        <v>0</v>
      </c>
      <c r="W110" s="63" t="n">
        <v>0.831525398369118</v>
      </c>
      <c r="X110" s="61" t="inlineStr">
        <is>
          <t>No</t>
        </is>
      </c>
      <c r="Y110" s="61" t="inlineStr">
        <is>
          <t>N</t>
        </is>
      </c>
      <c r="Z110" s="61" t="inlineStr">
        <is>
          <t>N</t>
        </is>
      </c>
      <c r="AA110" s="61" t="n">
        <v>3</v>
      </c>
      <c r="AB110" s="61" t="n">
        <v>1</v>
      </c>
      <c r="AC110" s="42" t="n">
        <v>637679</v>
      </c>
      <c r="AD110" s="42" t="n">
        <v>26</v>
      </c>
      <c r="AE110" s="42" t="n">
        <v>0</v>
      </c>
      <c r="AF110" s="42" t="n">
        <v>0</v>
      </c>
      <c r="AG110" s="42" t="n">
        <v>10</v>
      </c>
      <c r="AH110" s="42" t="n">
        <v>3</v>
      </c>
      <c r="AI110" s="42" t="n">
        <v>129</v>
      </c>
      <c r="AJ110" s="42" t="n">
        <v>14</v>
      </c>
      <c r="AK110" s="42" t="n">
        <v>0</v>
      </c>
      <c r="AL110" s="42" t="n">
        <v>70</v>
      </c>
      <c r="AM110" s="20" t="inlineStr">
        <is>
          <t>Maintain (Evolve)</t>
        </is>
      </c>
      <c r="AN110" s="62" t="n">
        <v>0.55</v>
      </c>
      <c r="AO110" s="64">
        <f>--($D110='START HERE'!$C$5)</f>
        <v/>
      </c>
    </row>
    <row r="111" ht="14.25" customHeight="1">
      <c r="B111" s="42" t="n">
        <v>9845</v>
      </c>
      <c r="C111" s="13" t="inlineStr">
        <is>
          <t>C04SYM-JPN</t>
        </is>
      </c>
      <c r="D111" s="20" t="inlineStr">
        <is>
          <t>New Contract Related</t>
        </is>
      </c>
      <c r="E111" s="20" t="inlineStr">
        <is>
          <t>Non-F2F New Business</t>
        </is>
      </c>
      <c r="F111" s="61" t="inlineStr">
        <is>
          <t>NCD</t>
        </is>
      </c>
      <c r="G111" s="61" t="inlineStr">
        <is>
          <t>J</t>
        </is>
      </c>
      <c r="H111" s="20" t="inlineStr">
        <is>
          <t>Japan-locked</t>
        </is>
      </c>
      <c r="I111" s="61" t="inlineStr">
        <is>
          <t>Rule 6</t>
        </is>
      </c>
      <c r="J111" s="62" t="n">
        <v>3.40491666666667</v>
      </c>
      <c r="K111" s="62" t="n">
        <v>3.40491666666667</v>
      </c>
      <c r="L111" s="62" t="n">
        <v>0</v>
      </c>
      <c r="M111" s="62" t="n">
        <v>0</v>
      </c>
      <c r="N111" s="62" t="n">
        <v>3.40491666666667</v>
      </c>
      <c r="O111" s="62" t="n">
        <v>0</v>
      </c>
      <c r="P111" s="62" t="n">
        <v>0</v>
      </c>
      <c r="Q111" s="62" t="n">
        <v>0</v>
      </c>
      <c r="R111" s="62" t="n">
        <v>2.86325</v>
      </c>
      <c r="S111" s="62" t="n">
        <v>0</v>
      </c>
      <c r="T111" s="62" t="n">
        <v>0.541666666666667</v>
      </c>
      <c r="U111" s="62" t="n">
        <v>0</v>
      </c>
      <c r="V111" s="62" t="n">
        <v>0</v>
      </c>
      <c r="W111" s="63" t="n">
        <v>0.840916321985364</v>
      </c>
      <c r="X111" s="61" t="inlineStr">
        <is>
          <t>No</t>
        </is>
      </c>
      <c r="Y111" s="61" t="inlineStr">
        <is>
          <t>N</t>
        </is>
      </c>
      <c r="Z111" s="61" t="inlineStr">
        <is>
          <t>N</t>
        </is>
      </c>
      <c r="AA111" s="61" t="n">
        <v>3</v>
      </c>
      <c r="AB111" s="61" t="n">
        <v>1</v>
      </c>
      <c r="AC111" s="42" t="n">
        <v>0</v>
      </c>
      <c r="AD111" s="42" t="n">
        <v>0</v>
      </c>
      <c r="AE111" s="42" t="n">
        <v>0</v>
      </c>
      <c r="AF111" s="42" t="n">
        <v>0</v>
      </c>
      <c r="AG111" s="42" t="n">
        <v>27</v>
      </c>
      <c r="AH111" s="42" t="n">
        <v>12</v>
      </c>
      <c r="AI111" s="42" t="n">
        <v>118</v>
      </c>
      <c r="AJ111" s="42" t="n">
        <v>28</v>
      </c>
      <c r="AK111" s="42" t="n">
        <v>2</v>
      </c>
      <c r="AL111" s="42" t="n">
        <v>274</v>
      </c>
      <c r="AM111" s="20" t="inlineStr">
        <is>
          <t>Maintain (Evolve)</t>
        </is>
      </c>
      <c r="AN111" s="62" t="n">
        <v>0.336</v>
      </c>
      <c r="AO111" s="64">
        <f>--($D111='START HERE'!$C$5)</f>
        <v/>
      </c>
    </row>
    <row r="112" ht="14.25" customHeight="1">
      <c r="B112" s="42" t="n">
        <v>9854</v>
      </c>
      <c r="C112" s="13" t="inlineStr">
        <is>
          <t>Z04IMA-JPN</t>
        </is>
      </c>
      <c r="D112" s="20" t="inlineStr">
        <is>
          <t>New Contract Related</t>
        </is>
      </c>
      <c r="E112" s="20" t="inlineStr">
        <is>
          <t>Underwriting &amp; Interfaces</t>
        </is>
      </c>
      <c r="F112" s="61" t="inlineStr">
        <is>
          <t>NCD</t>
        </is>
      </c>
      <c r="G112" s="61" t="inlineStr">
        <is>
          <t>T</t>
        </is>
      </c>
      <c r="H112" s="20" t="inlineStr">
        <is>
          <t>Long tail</t>
        </is>
      </c>
      <c r="I112" s="61" t="inlineStr">
        <is>
          <t>Rule 3</t>
        </is>
      </c>
      <c r="J112" s="62" t="n">
        <v>1.40041666666667</v>
      </c>
      <c r="K112" s="62" t="n">
        <v>1.40041666666667</v>
      </c>
      <c r="L112" s="62" t="n">
        <v>0</v>
      </c>
      <c r="M112" s="62" t="n">
        <v>0</v>
      </c>
      <c r="N112" s="62" t="n">
        <v>1.40041666666667</v>
      </c>
      <c r="O112" s="62" t="n">
        <v>0</v>
      </c>
      <c r="P112" s="62" t="n">
        <v>0</v>
      </c>
      <c r="Q112" s="62" t="n">
        <v>0</v>
      </c>
      <c r="R112" s="62" t="n">
        <v>1.30041666666667</v>
      </c>
      <c r="S112" s="62" t="n">
        <v>0</v>
      </c>
      <c r="T112" s="62" t="n">
        <v>0.1</v>
      </c>
      <c r="U112" s="62" t="n">
        <v>0</v>
      </c>
      <c r="V112" s="62" t="n">
        <v>0</v>
      </c>
      <c r="W112" s="63" t="n">
        <v>0.928592680749777</v>
      </c>
      <c r="X112" s="61" t="inlineStr">
        <is>
          <t>No</t>
        </is>
      </c>
      <c r="Y112" s="61" t="inlineStr">
        <is>
          <t>N</t>
        </is>
      </c>
      <c r="Z112" s="61" t="inlineStr">
        <is>
          <t>N</t>
        </is>
      </c>
      <c r="AA112" s="61" t="n">
        <v>3</v>
      </c>
      <c r="AB112" s="61" t="n">
        <v>1</v>
      </c>
      <c r="AC112" s="42" t="n">
        <v>0</v>
      </c>
      <c r="AD112" s="42" t="n">
        <v>0</v>
      </c>
      <c r="AE112" s="42" t="n">
        <v>0</v>
      </c>
      <c r="AF112" s="42" t="n">
        <v>0</v>
      </c>
      <c r="AG112" s="42" t="n">
        <v>13</v>
      </c>
      <c r="AH112" s="42" t="n">
        <v>6</v>
      </c>
      <c r="AI112" s="42" t="n">
        <v>146</v>
      </c>
      <c r="AJ112" s="42" t="n">
        <v>11</v>
      </c>
      <c r="AK112" s="42" t="n">
        <v>7</v>
      </c>
      <c r="AL112" s="42" t="n">
        <v>232</v>
      </c>
      <c r="AM112" s="20" t="inlineStr">
        <is>
          <t>Maintain (Evolve)</t>
        </is>
      </c>
      <c r="AN112" s="62" t="n">
        <v>0.138</v>
      </c>
      <c r="AO112" s="64">
        <f>--($D112='START HERE'!$C$5)</f>
        <v/>
      </c>
    </row>
    <row r="113" ht="23.25" customHeight="1">
      <c r="B113" s="42" t="n">
        <v>13982</v>
      </c>
      <c r="C113" s="13" t="inlineStr">
        <is>
          <t>New Business Batch</t>
        </is>
      </c>
      <c r="D113" s="20" t="inlineStr">
        <is>
          <t>New Contract Related</t>
        </is>
      </c>
      <c r="E113" s="20" t="inlineStr">
        <is>
          <t>Underwriting &amp; Interfaces</t>
        </is>
      </c>
      <c r="F113" s="61" t="inlineStr">
        <is>
          <t>unnamed</t>
        </is>
      </c>
      <c r="G113" s="61" t="inlineStr">
        <is>
          <t>T</t>
        </is>
      </c>
      <c r="H113" s="20" t="inlineStr">
        <is>
          <t>Long tail</t>
        </is>
      </c>
      <c r="I113" s="61" t="inlineStr">
        <is>
          <t>Rule 3</t>
        </is>
      </c>
      <c r="J113" s="62" t="n">
        <v>0.9025</v>
      </c>
      <c r="K113" s="62" t="n">
        <v>0.869166666666667</v>
      </c>
      <c r="L113" s="62" t="n">
        <v>0.0333333333333333</v>
      </c>
      <c r="M113" s="62" t="n">
        <v>0</v>
      </c>
      <c r="N113" s="62" t="n">
        <v>0.869166666666667</v>
      </c>
      <c r="O113" s="62" t="n">
        <v>0</v>
      </c>
      <c r="P113" s="62" t="n">
        <v>0</v>
      </c>
      <c r="Q113" s="62" t="n">
        <v>0</v>
      </c>
      <c r="R113" s="62" t="n">
        <v>0.869166666666667</v>
      </c>
      <c r="S113" s="62" t="n">
        <v>0</v>
      </c>
      <c r="T113" s="62" t="n">
        <v>0</v>
      </c>
      <c r="U113" s="62" t="n">
        <v>0</v>
      </c>
      <c r="V113" s="62" t="n">
        <v>0</v>
      </c>
      <c r="W113" s="63" t="n">
        <v>1</v>
      </c>
      <c r="X113" s="61" t="inlineStr">
        <is>
          <t>No</t>
        </is>
      </c>
      <c r="Y113" s="61" t="inlineStr">
        <is>
          <t>N</t>
        </is>
      </c>
      <c r="Z113" s="61" t="inlineStr">
        <is>
          <t>N</t>
        </is>
      </c>
      <c r="AA113" s="61" t="n">
        <v>3</v>
      </c>
      <c r="AB113" s="61" t="n">
        <v>1</v>
      </c>
      <c r="AC113" s="42" t="n">
        <v>0</v>
      </c>
      <c r="AD113" s="42" t="n">
        <v>0</v>
      </c>
      <c r="AE113" s="42" t="n">
        <v>0</v>
      </c>
      <c r="AF113" s="42" t="n">
        <v>0</v>
      </c>
      <c r="AG113" s="42" t="n">
        <v>2</v>
      </c>
      <c r="AH113" s="42" t="n">
        <v>0</v>
      </c>
      <c r="AI113" s="42" t="n">
        <v>2</v>
      </c>
      <c r="AJ113" s="42" t="n">
        <v>1</v>
      </c>
      <c r="AK113" s="42" t="n">
        <v>0</v>
      </c>
      <c r="AL113" s="42" t="n">
        <v>5</v>
      </c>
      <c r="AM113" s="20" t="inlineStr">
        <is>
          <t>Maintain (Patch)</t>
        </is>
      </c>
      <c r="AN113" s="62" t="n">
        <v>0.089</v>
      </c>
      <c r="AO113" s="64">
        <f>--($D113='START HERE'!$C$5)</f>
        <v/>
      </c>
    </row>
    <row r="114" ht="14.25" customHeight="1">
      <c r="B114" s="42" t="n">
        <v>9848</v>
      </c>
      <c r="C114" s="13" t="inlineStr">
        <is>
          <t>C11VCM-JPN</t>
        </is>
      </c>
      <c r="D114" s="20" t="inlineStr">
        <is>
          <t>New Contract Related</t>
        </is>
      </c>
      <c r="E114" s="20" t="inlineStr">
        <is>
          <t>Underwriting &amp; Interfaces</t>
        </is>
      </c>
      <c r="F114" s="61" t="inlineStr">
        <is>
          <t>NCD</t>
        </is>
      </c>
      <c r="G114" s="61" t="inlineStr">
        <is>
          <t>T</t>
        </is>
      </c>
      <c r="H114" s="20" t="inlineStr">
        <is>
          <t>Long tail</t>
        </is>
      </c>
      <c r="I114" s="61" t="inlineStr">
        <is>
          <t>Rule 3</t>
        </is>
      </c>
      <c r="J114" s="62" t="n">
        <v>0.885416666666667</v>
      </c>
      <c r="K114" s="62" t="n">
        <v>0.885416666666667</v>
      </c>
      <c r="L114" s="62" t="n">
        <v>0</v>
      </c>
      <c r="M114" s="62" t="n">
        <v>0</v>
      </c>
      <c r="N114" s="62" t="n">
        <v>0.885416666666667</v>
      </c>
      <c r="O114" s="62" t="n">
        <v>0</v>
      </c>
      <c r="P114" s="62" t="n">
        <v>0</v>
      </c>
      <c r="Q114" s="62" t="n">
        <v>0</v>
      </c>
      <c r="R114" s="62" t="n">
        <v>0.885416666666667</v>
      </c>
      <c r="S114" s="62" t="n">
        <v>0</v>
      </c>
      <c r="T114" s="62" t="n">
        <v>0</v>
      </c>
      <c r="U114" s="62" t="n">
        <v>0</v>
      </c>
      <c r="V114" s="62" t="n">
        <v>0</v>
      </c>
      <c r="W114" s="63" t="n">
        <v>0.830588235294118</v>
      </c>
      <c r="X114" s="61" t="inlineStr">
        <is>
          <t>No</t>
        </is>
      </c>
      <c r="Y114" s="61" t="inlineStr">
        <is>
          <t>N</t>
        </is>
      </c>
      <c r="Z114" s="61" t="inlineStr">
        <is>
          <t>N</t>
        </is>
      </c>
      <c r="AA114" s="61" t="n">
        <v>3</v>
      </c>
      <c r="AB114" s="61" t="n">
        <v>1</v>
      </c>
      <c r="AC114" s="42" t="n">
        <v>0</v>
      </c>
      <c r="AD114" s="42" t="n">
        <v>0</v>
      </c>
      <c r="AE114" s="42" t="n">
        <v>0</v>
      </c>
      <c r="AF114" s="42" t="n">
        <v>0</v>
      </c>
      <c r="AG114" s="42" t="n">
        <v>0</v>
      </c>
      <c r="AH114" s="42" t="n">
        <v>2</v>
      </c>
      <c r="AI114" s="42" t="n">
        <v>14</v>
      </c>
      <c r="AJ114" s="42" t="n">
        <v>1</v>
      </c>
      <c r="AK114" s="42" t="n">
        <v>0</v>
      </c>
      <c r="AL114" s="42" t="n">
        <v>34</v>
      </c>
      <c r="AM114" s="20" t="inlineStr">
        <is>
          <t>Maintain (Patch)</t>
        </is>
      </c>
      <c r="AN114" s="62" t="n">
        <v>0.08699999999999999</v>
      </c>
      <c r="AO114" s="64">
        <f>--($D114='START HERE'!$C$5)</f>
        <v/>
      </c>
    </row>
    <row r="115" ht="14.25" customHeight="1">
      <c r="B115" s="42" t="n">
        <v>9996</v>
      </c>
      <c r="C115" s="13" t="inlineStr">
        <is>
          <t>WUIURE-JPN</t>
        </is>
      </c>
      <c r="D115" s="20" t="inlineStr">
        <is>
          <t>New Contract Related</t>
        </is>
      </c>
      <c r="E115" s="20" t="inlineStr">
        <is>
          <t>Underwriting &amp; Interfaces</t>
        </is>
      </c>
      <c r="F115" s="61" t="inlineStr">
        <is>
          <t>NCD</t>
        </is>
      </c>
      <c r="G115" s="61" t="inlineStr">
        <is>
          <t>T</t>
        </is>
      </c>
      <c r="H115" s="20" t="inlineStr">
        <is>
          <t>Long tail</t>
        </is>
      </c>
      <c r="I115" s="61" t="inlineStr">
        <is>
          <t>Rule 3</t>
        </is>
      </c>
      <c r="J115" s="62" t="n">
        <v>0.22625</v>
      </c>
      <c r="K115" s="62" t="n">
        <v>0.22625</v>
      </c>
      <c r="L115" s="62" t="n">
        <v>0</v>
      </c>
      <c r="M115" s="62" t="n">
        <v>0</v>
      </c>
      <c r="N115" s="62" t="n">
        <v>0.22625</v>
      </c>
      <c r="O115" s="62" t="n">
        <v>0</v>
      </c>
      <c r="P115" s="62" t="n">
        <v>0</v>
      </c>
      <c r="Q115" s="62" t="n">
        <v>0</v>
      </c>
      <c r="R115" s="62" t="n">
        <v>0.07625</v>
      </c>
      <c r="S115" s="62" t="n">
        <v>0</v>
      </c>
      <c r="T115" s="62" t="n">
        <v>0.15</v>
      </c>
      <c r="U115" s="62" t="n">
        <v>0</v>
      </c>
      <c r="V115" s="62" t="n">
        <v>0</v>
      </c>
      <c r="W115" s="63" t="n">
        <v>0.337016574585635</v>
      </c>
      <c r="X115" s="61" t="inlineStr">
        <is>
          <t>No</t>
        </is>
      </c>
      <c r="Y115" s="61" t="inlineStr">
        <is>
          <t>N</t>
        </is>
      </c>
      <c r="Z115" s="61" t="inlineStr">
        <is>
          <t>N</t>
        </is>
      </c>
      <c r="AA115" s="61" t="n">
        <v>3</v>
      </c>
      <c r="AB115" s="61" t="n">
        <v>1</v>
      </c>
      <c r="AC115" s="42" t="n">
        <v>0</v>
      </c>
      <c r="AD115" s="42" t="n">
        <v>0</v>
      </c>
      <c r="AE115" s="42" t="n">
        <v>0</v>
      </c>
      <c r="AF115" s="42" t="n">
        <v>0</v>
      </c>
      <c r="AG115" s="42" t="n">
        <v>0</v>
      </c>
      <c r="AH115" s="42" t="n">
        <v>1</v>
      </c>
      <c r="AI115" s="42" t="n">
        <v>2</v>
      </c>
      <c r="AJ115" s="42" t="n">
        <v>0</v>
      </c>
      <c r="AK115" s="42" t="n">
        <v>1</v>
      </c>
      <c r="AL115" s="42" t="n">
        <v>9</v>
      </c>
      <c r="AM115" s="20" t="inlineStr">
        <is>
          <t>Rehost</t>
        </is>
      </c>
      <c r="AN115" s="62" t="n">
        <v>0.022</v>
      </c>
      <c r="AO115" s="64">
        <f>--($D115='START HERE'!$C$5)</f>
        <v/>
      </c>
    </row>
    <row r="116" ht="14.25" customHeight="1">
      <c r="B116" s="42" t="n">
        <v>12520</v>
      </c>
      <c r="C116" s="13" t="inlineStr">
        <is>
          <t>RBRARS-JPN</t>
        </is>
      </c>
      <c r="D116" s="20" t="inlineStr">
        <is>
          <t>New Contract Related</t>
        </is>
      </c>
      <c r="E116" s="20" t="inlineStr">
        <is>
          <t>Non-F2F New Business</t>
        </is>
      </c>
      <c r="F116" s="61" t="inlineStr">
        <is>
          <t>NCD</t>
        </is>
      </c>
      <c r="G116" s="61" t="inlineStr">
        <is>
          <t>T</t>
        </is>
      </c>
      <c r="H116" s="20" t="inlineStr">
        <is>
          <t>Long tail</t>
        </is>
      </c>
      <c r="I116" s="61" t="inlineStr">
        <is>
          <t>Rule 3</t>
        </is>
      </c>
      <c r="J116" s="62" t="n">
        <v>0.125</v>
      </c>
      <c r="K116" s="62" t="n">
        <v>0.125</v>
      </c>
      <c r="L116" s="62" t="n">
        <v>0</v>
      </c>
      <c r="M116" s="62" t="n">
        <v>0</v>
      </c>
      <c r="N116" s="62" t="n">
        <v>0.125</v>
      </c>
      <c r="O116" s="62" t="n">
        <v>0</v>
      </c>
      <c r="P116" s="62" t="n">
        <v>0</v>
      </c>
      <c r="Q116" s="62" t="n">
        <v>0</v>
      </c>
      <c r="R116" s="62" t="n">
        <v>0.125</v>
      </c>
      <c r="S116" s="62" t="n">
        <v>0</v>
      </c>
      <c r="T116" s="62" t="n">
        <v>0</v>
      </c>
      <c r="U116" s="62" t="n">
        <v>0</v>
      </c>
      <c r="V116" s="62" t="n">
        <v>0</v>
      </c>
      <c r="W116" s="63" t="n">
        <v>1</v>
      </c>
      <c r="X116" s="61" t="inlineStr">
        <is>
          <t>Yes</t>
        </is>
      </c>
      <c r="Y116" s="61" t="inlineStr">
        <is>
          <t>N</t>
        </is>
      </c>
      <c r="Z116" s="61" t="inlineStr">
        <is>
          <t>N</t>
        </is>
      </c>
      <c r="AA116" s="61" t="n">
        <v>3</v>
      </c>
      <c r="AB116" s="61" t="n">
        <v>1</v>
      </c>
      <c r="AC116" s="42" t="n">
        <v>0</v>
      </c>
      <c r="AD116" s="42" t="n">
        <v>0</v>
      </c>
      <c r="AE116" s="42" t="n">
        <v>0</v>
      </c>
      <c r="AF116" s="42" t="n">
        <v>0</v>
      </c>
      <c r="AG116" s="42" t="n">
        <v>0</v>
      </c>
      <c r="AH116" s="42" t="n">
        <v>0</v>
      </c>
      <c r="AI116" s="42" t="n">
        <v>4</v>
      </c>
      <c r="AJ116" s="42" t="n">
        <v>0</v>
      </c>
      <c r="AK116" s="42" t="n">
        <v>0</v>
      </c>
      <c r="AL116" s="42" t="n">
        <v>14</v>
      </c>
      <c r="AM116" s="20" t="inlineStr">
        <is>
          <t>Maintain (Patch)</t>
        </is>
      </c>
      <c r="AN116" s="62" t="n">
        <v>0.012</v>
      </c>
      <c r="AO116" s="64">
        <f>--($D116='START HERE'!$C$5)</f>
        <v/>
      </c>
    </row>
    <row r="117" ht="14.25" customHeight="1">
      <c r="B117" s="42" t="n">
        <v>9910</v>
      </c>
      <c r="C117" s="13" t="inlineStr">
        <is>
          <t>P08MMS-JPN</t>
        </is>
      </c>
      <c r="D117" s="20" t="inlineStr">
        <is>
          <t>New Contract Related</t>
        </is>
      </c>
      <c r="E117" s="20" t="inlineStr">
        <is>
          <t>Non-F2F New Business</t>
        </is>
      </c>
      <c r="F117" s="61" t="inlineStr">
        <is>
          <t>NCD</t>
        </is>
      </c>
      <c r="G117" s="61" t="inlineStr">
        <is>
          <t>T</t>
        </is>
      </c>
      <c r="H117" s="20" t="inlineStr">
        <is>
          <t>Long tail</t>
        </is>
      </c>
      <c r="I117" s="61" t="inlineStr">
        <is>
          <t>Rule 3</t>
        </is>
      </c>
      <c r="J117" s="62" t="n">
        <v>0.0625</v>
      </c>
      <c r="K117" s="62" t="n">
        <v>0.0625</v>
      </c>
      <c r="L117" s="62" t="n">
        <v>0</v>
      </c>
      <c r="M117" s="62" t="n">
        <v>0</v>
      </c>
      <c r="N117" s="62" t="n">
        <v>0.0625</v>
      </c>
      <c r="O117" s="62" t="n">
        <v>0</v>
      </c>
      <c r="P117" s="62" t="n">
        <v>0</v>
      </c>
      <c r="Q117" s="62" t="n">
        <v>0</v>
      </c>
      <c r="R117" s="62" t="n">
        <v>0.0625</v>
      </c>
      <c r="S117" s="62" t="n">
        <v>0</v>
      </c>
      <c r="T117" s="62" t="n">
        <v>0</v>
      </c>
      <c r="U117" s="62" t="n">
        <v>0</v>
      </c>
      <c r="V117" s="62" t="n">
        <v>0</v>
      </c>
      <c r="W117" s="63" t="n">
        <v>1</v>
      </c>
      <c r="X117" s="61" t="inlineStr">
        <is>
          <t>No</t>
        </is>
      </c>
      <c r="Y117" s="61" t="inlineStr">
        <is>
          <t>N</t>
        </is>
      </c>
      <c r="Z117" s="61" t="inlineStr">
        <is>
          <t>N</t>
        </is>
      </c>
      <c r="AA117" s="61" t="n">
        <v>3</v>
      </c>
      <c r="AB117" s="61" t="n">
        <v>1</v>
      </c>
      <c r="AC117" s="42" t="n">
        <v>0</v>
      </c>
      <c r="AD117" s="42" t="n">
        <v>0</v>
      </c>
      <c r="AE117" s="42" t="n">
        <v>0</v>
      </c>
      <c r="AF117" s="42" t="n">
        <v>0</v>
      </c>
      <c r="AG117" s="42" t="n">
        <v>0</v>
      </c>
      <c r="AH117" s="42" t="n">
        <v>0</v>
      </c>
      <c r="AI117" s="42" t="n">
        <v>4</v>
      </c>
      <c r="AJ117" s="42" t="n">
        <v>0</v>
      </c>
      <c r="AK117" s="42" t="n">
        <v>0</v>
      </c>
      <c r="AL117" s="42" t="n">
        <v>3</v>
      </c>
      <c r="AM117" s="20" t="inlineStr">
        <is>
          <t>Refactor</t>
        </is>
      </c>
      <c r="AN117" s="62" t="n">
        <v>0.006</v>
      </c>
      <c r="AO117" s="64">
        <f>--($D117='START HERE'!$C$5)</f>
        <v/>
      </c>
    </row>
    <row r="118" ht="23.25" customHeight="1">
      <c r="B118" s="42" t="n">
        <v>13863</v>
      </c>
      <c r="C118" s="13" t="inlineStr">
        <is>
          <t>AURA</t>
        </is>
      </c>
      <c r="D118" s="20" t="inlineStr">
        <is>
          <t>New Contract Related</t>
        </is>
      </c>
      <c r="E118" s="20" t="inlineStr">
        <is>
          <t>Underwriting &amp; Interfaces</t>
        </is>
      </c>
      <c r="F118" s="61" t="inlineStr">
        <is>
          <t>unnamed</t>
        </is>
      </c>
      <c r="G118" s="61" t="inlineStr">
        <is>
          <t>T</t>
        </is>
      </c>
      <c r="H118" s="20" t="inlineStr">
        <is>
          <t>Long tail</t>
        </is>
      </c>
      <c r="I118" s="61" t="inlineStr">
        <is>
          <t>Rule 3</t>
        </is>
      </c>
      <c r="J118" s="62" t="n">
        <v>0</v>
      </c>
      <c r="K118" s="62" t="n">
        <v>0</v>
      </c>
      <c r="L118" s="62" t="n">
        <v>0</v>
      </c>
      <c r="M118" s="62" t="n">
        <v>0</v>
      </c>
      <c r="N118" s="62" t="n">
        <v>0</v>
      </c>
      <c r="O118" s="62" t="n">
        <v>0</v>
      </c>
      <c r="P118" s="62" t="n">
        <v>0</v>
      </c>
      <c r="Q118" s="62" t="n">
        <v>0</v>
      </c>
      <c r="R118" s="62" t="n">
        <v>0</v>
      </c>
      <c r="S118" s="62" t="n">
        <v>0</v>
      </c>
      <c r="T118" s="62" t="n">
        <v>0</v>
      </c>
      <c r="U118" s="62" t="n">
        <v>0</v>
      </c>
      <c r="V118" s="62" t="n">
        <v>0</v>
      </c>
      <c r="W118" s="63" t="n">
        <v>0</v>
      </c>
      <c r="X118" s="61" t="inlineStr">
        <is>
          <t>Yes</t>
        </is>
      </c>
      <c r="Y118" s="61" t="inlineStr">
        <is>
          <t>N</t>
        </is>
      </c>
      <c r="Z118" s="61" t="inlineStr">
        <is>
          <t>N</t>
        </is>
      </c>
      <c r="AA118" s="61" t="n">
        <v>3</v>
      </c>
      <c r="AB118" s="61" t="n">
        <v>1</v>
      </c>
      <c r="AC118" s="42" t="n">
        <v>0</v>
      </c>
      <c r="AD118" s="42" t="n">
        <v>0</v>
      </c>
      <c r="AE118" s="42" t="n">
        <v>0</v>
      </c>
      <c r="AF118" s="42" t="n">
        <v>0</v>
      </c>
      <c r="AG118" s="42" t="n">
        <v>0</v>
      </c>
      <c r="AH118" s="42" t="n">
        <v>0</v>
      </c>
      <c r="AI118" s="42" t="n">
        <v>0</v>
      </c>
      <c r="AJ118" s="42" t="n">
        <v>0</v>
      </c>
      <c r="AK118" s="42" t="n">
        <v>0</v>
      </c>
      <c r="AL118" s="42" t="n">
        <v>1</v>
      </c>
      <c r="AM118" s="20" t="inlineStr">
        <is>
          <t>Maintain (Patch)</t>
        </is>
      </c>
      <c r="AN118" s="62" t="n">
        <v>0</v>
      </c>
      <c r="AO118" s="64">
        <f>--($D118='START HERE'!$C$5)</f>
        <v/>
      </c>
    </row>
    <row r="119" ht="14.25" customHeight="1">
      <c r="B119" s="42" t="n">
        <v>13197</v>
      </c>
      <c r="C119" s="13" t="inlineStr">
        <is>
          <t>JP-GSSP</t>
        </is>
      </c>
      <c r="D119" s="20" t="inlineStr">
        <is>
          <t>Sales / Insurance Recruitment</t>
        </is>
      </c>
      <c r="E119" s="20" t="inlineStr">
        <is>
          <t xml:space="preserve">F2F Illustlation </t>
        </is>
      </c>
      <c r="F119" s="61" t="inlineStr">
        <is>
          <t>CG</t>
        </is>
      </c>
      <c r="G119" s="61" t="inlineStr">
        <is>
          <t>M</t>
        </is>
      </c>
      <c r="H119" s="20" t="inlineStr">
        <is>
          <t>MGCC-destined</t>
        </is>
      </c>
      <c r="I119" s="61" t="inlineStr">
        <is>
          <t>Rule 1</t>
        </is>
      </c>
      <c r="J119" s="62" t="n">
        <v>229.9125</v>
      </c>
      <c r="K119" s="62" t="n">
        <v>151.770833333334</v>
      </c>
      <c r="L119" s="62" t="n">
        <v>30.9375</v>
      </c>
      <c r="M119" s="62" t="n">
        <v>47.2041666666667</v>
      </c>
      <c r="N119" s="62" t="n">
        <v>102.8125</v>
      </c>
      <c r="O119" s="62" t="n">
        <v>48.9583333333334</v>
      </c>
      <c r="P119" s="62" t="n">
        <v>0</v>
      </c>
      <c r="Q119" s="62" t="n">
        <v>23.7083333333334</v>
      </c>
      <c r="R119" s="62" t="n">
        <v>43.8333333333334</v>
      </c>
      <c r="S119" s="62" t="n">
        <v>67.8333333333334</v>
      </c>
      <c r="T119" s="62" t="n">
        <v>12.1458333333333</v>
      </c>
      <c r="U119" s="62" t="n">
        <v>3.75</v>
      </c>
      <c r="V119" s="62" t="n">
        <v>0.5</v>
      </c>
      <c r="W119" s="63" t="n">
        <v>0.947171931350695</v>
      </c>
      <c r="X119" s="61" t="inlineStr">
        <is>
          <t>Yes</t>
        </is>
      </c>
      <c r="Y119" s="61" t="inlineStr">
        <is>
          <t>Y</t>
        </is>
      </c>
      <c r="Z119" s="61" t="inlineStr">
        <is>
          <t>Y</t>
        </is>
      </c>
      <c r="AA119" s="61" t="n">
        <v>2</v>
      </c>
      <c r="AB119" s="61" t="n">
        <v>3</v>
      </c>
      <c r="AC119" s="42" t="n">
        <v>3233000</v>
      </c>
      <c r="AD119" s="42" t="n">
        <v>2</v>
      </c>
      <c r="AE119" s="42" t="n">
        <v>1</v>
      </c>
      <c r="AF119" s="42" t="n">
        <v>1</v>
      </c>
      <c r="AG119" s="42" t="n">
        <v>78</v>
      </c>
      <c r="AH119" s="42" t="n">
        <v>1780</v>
      </c>
      <c r="AI119" s="42" t="n">
        <v>113</v>
      </c>
      <c r="AJ119" s="42" t="n">
        <v>21</v>
      </c>
      <c r="AK119" s="42" t="n">
        <v>669</v>
      </c>
      <c r="AL119" s="42" t="n">
        <v>1004</v>
      </c>
      <c r="AM119" s="20" t="inlineStr">
        <is>
          <t>Maintain (Evolve)</t>
        </is>
      </c>
      <c r="AN119" s="62" t="n">
        <v>55.514</v>
      </c>
      <c r="AO119" s="64">
        <f>--($D119='START HERE'!$C$5)</f>
        <v/>
      </c>
    </row>
    <row r="120" ht="23.25" customHeight="1">
      <c r="B120" s="42" t="n">
        <v>14595</v>
      </c>
      <c r="C120" s="13" t="inlineStr">
        <is>
          <t>JP-BANCA</t>
        </is>
      </c>
      <c r="D120" s="20" t="inlineStr">
        <is>
          <t>Sales / Insurance Recruitment</t>
        </is>
      </c>
      <c r="E120" s="20" t="inlineStr">
        <is>
          <t xml:space="preserve">Banca Illustlation </t>
        </is>
      </c>
      <c r="F120" s="61" t="inlineStr">
        <is>
          <t>unnamed</t>
        </is>
      </c>
      <c r="G120" s="61" t="inlineStr">
        <is>
          <t>M</t>
        </is>
      </c>
      <c r="H120" s="20" t="inlineStr">
        <is>
          <t>MGCC-destined</t>
        </is>
      </c>
      <c r="I120" s="61" t="inlineStr">
        <is>
          <t>Rule 1</t>
        </is>
      </c>
      <c r="J120" s="62" t="n">
        <v>103.508333333333</v>
      </c>
      <c r="K120" s="62" t="n">
        <v>51.3</v>
      </c>
      <c r="L120" s="62" t="n">
        <v>27.2083333333333</v>
      </c>
      <c r="M120" s="62" t="n">
        <v>25</v>
      </c>
      <c r="N120" s="62" t="n">
        <v>21.4583333333333</v>
      </c>
      <c r="O120" s="62" t="n">
        <v>29.8416666666667</v>
      </c>
      <c r="P120" s="62" t="n">
        <v>0</v>
      </c>
      <c r="Q120" s="62" t="n">
        <v>12.6666666666667</v>
      </c>
      <c r="R120" s="62" t="n">
        <v>14.5916666666667</v>
      </c>
      <c r="S120" s="62" t="n">
        <v>22.75</v>
      </c>
      <c r="T120" s="62" t="n">
        <v>0</v>
      </c>
      <c r="U120" s="62" t="n">
        <v>0.0416666666666667</v>
      </c>
      <c r="V120" s="62" t="n">
        <v>1.25</v>
      </c>
      <c r="W120" s="63" t="n">
        <v>0.992429658914077</v>
      </c>
      <c r="X120" s="61" t="inlineStr">
        <is>
          <t>Yes</t>
        </is>
      </c>
      <c r="Y120" s="61" t="inlineStr">
        <is>
          <t>Y</t>
        </is>
      </c>
      <c r="Z120" s="61" t="inlineStr">
        <is>
          <t>N</t>
        </is>
      </c>
      <c r="AA120" s="61" t="n">
        <v>2</v>
      </c>
      <c r="AB120" s="61" t="n">
        <v>3</v>
      </c>
      <c r="AC120" s="42" t="n">
        <v>2800000</v>
      </c>
      <c r="AD120" s="42" t="n">
        <v>3</v>
      </c>
      <c r="AE120" s="42" t="n">
        <v>0</v>
      </c>
      <c r="AF120" s="42" t="n">
        <v>1</v>
      </c>
      <c r="AG120" s="42" t="n">
        <v>2</v>
      </c>
      <c r="AH120" s="42" t="n">
        <v>2</v>
      </c>
      <c r="AI120" s="42" t="n">
        <v>3</v>
      </c>
      <c r="AJ120" s="42" t="n">
        <v>0</v>
      </c>
      <c r="AK120" s="42" t="n">
        <v>2</v>
      </c>
      <c r="AL120" s="42" t="n">
        <v>13</v>
      </c>
      <c r="AM120" s="20" t="inlineStr">
        <is>
          <t>Maintain (Evolve)</t>
        </is>
      </c>
      <c r="AN120" s="62" t="n">
        <v>0</v>
      </c>
      <c r="AO120" s="64">
        <f>--($D120='START HERE'!$C$5)</f>
        <v/>
      </c>
    </row>
    <row r="121" ht="23.25" customHeight="1">
      <c r="B121" s="42" t="n">
        <v>11986</v>
      </c>
      <c r="C121" s="13" t="inlineStr">
        <is>
          <t>JP-Banca Report</t>
        </is>
      </c>
      <c r="D121" s="20" t="inlineStr">
        <is>
          <t>Sales / Insurance Recruitment</t>
        </is>
      </c>
      <c r="E121" s="20" t="inlineStr">
        <is>
          <t xml:space="preserve">Banca Illustlation </t>
        </is>
      </c>
      <c r="F121" s="61" t="inlineStr">
        <is>
          <t>unnamed</t>
        </is>
      </c>
      <c r="G121" s="61" t="inlineStr">
        <is>
          <t>D</t>
        </is>
      </c>
      <c r="H121" s="20" t="inlineStr">
        <is>
          <t>Distributed-proven</t>
        </is>
      </c>
      <c r="I121" s="61" t="inlineStr">
        <is>
          <t>Rule 4</t>
        </is>
      </c>
      <c r="J121" s="62" t="n">
        <v>48.6666666666667</v>
      </c>
      <c r="K121" s="62" t="n">
        <v>31.6875</v>
      </c>
      <c r="L121" s="62" t="n">
        <v>11.4</v>
      </c>
      <c r="M121" s="62" t="n">
        <v>5.57916666666667</v>
      </c>
      <c r="N121" s="62" t="n">
        <v>19</v>
      </c>
      <c r="O121" s="62" t="n">
        <v>12.6875</v>
      </c>
      <c r="P121" s="62" t="n">
        <v>0</v>
      </c>
      <c r="Q121" s="62" t="n">
        <v>7.08333333333333</v>
      </c>
      <c r="R121" s="62" t="n">
        <v>18.6041666666667</v>
      </c>
      <c r="S121" s="62" t="n">
        <v>6</v>
      </c>
      <c r="T121" s="62" t="n">
        <v>0</v>
      </c>
      <c r="U121" s="62" t="n">
        <v>0</v>
      </c>
      <c r="V121" s="62" t="n">
        <v>0</v>
      </c>
      <c r="W121" s="63" t="n">
        <v>1</v>
      </c>
      <c r="X121" s="61" t="inlineStr">
        <is>
          <t>Yes</t>
        </is>
      </c>
      <c r="Y121" s="61" t="inlineStr">
        <is>
          <t>N</t>
        </is>
      </c>
      <c r="Z121" s="61" t="inlineStr">
        <is>
          <t>N</t>
        </is>
      </c>
      <c r="AA121" s="61" t="n">
        <v>2</v>
      </c>
      <c r="AB121" s="61" t="n">
        <v>1</v>
      </c>
      <c r="AC121" s="42" t="n">
        <v>12193535</v>
      </c>
      <c r="AD121" s="42" t="n">
        <v>0</v>
      </c>
      <c r="AE121" s="42" t="n">
        <v>0</v>
      </c>
      <c r="AF121" s="42" t="n">
        <v>0</v>
      </c>
      <c r="AG121" s="42" t="n">
        <v>4</v>
      </c>
      <c r="AH121" s="42" t="n">
        <v>5</v>
      </c>
      <c r="AI121" s="42" t="n">
        <v>20</v>
      </c>
      <c r="AJ121" s="42" t="n">
        <v>2</v>
      </c>
      <c r="AK121" s="42" t="n">
        <v>4</v>
      </c>
      <c r="AL121" s="42" t="n">
        <v>96</v>
      </c>
      <c r="AM121" s="20" t="inlineStr">
        <is>
          <t>Refactor</t>
        </is>
      </c>
      <c r="AN121" s="62" t="n">
        <v>31.688</v>
      </c>
      <c r="AO121" s="64">
        <f>--($D121='START HERE'!$C$5)</f>
        <v/>
      </c>
    </row>
    <row r="122" ht="14.25" customHeight="1">
      <c r="B122" s="42" t="n">
        <v>11203</v>
      </c>
      <c r="C122" s="13" t="inlineStr">
        <is>
          <t>WPSCFC-JPN</t>
        </is>
      </c>
      <c r="D122" s="20" t="inlineStr">
        <is>
          <t>Sales / Insurance Recruitment</t>
        </is>
      </c>
      <c r="E122" s="20" t="inlineStr">
        <is>
          <t>F2F Agent Enablement</t>
        </is>
      </c>
      <c r="F122" s="61" t="inlineStr">
        <is>
          <t>CG</t>
        </is>
      </c>
      <c r="G122" s="61" t="inlineStr">
        <is>
          <t>M</t>
        </is>
      </c>
      <c r="H122" s="20" t="inlineStr">
        <is>
          <t>MGCC-destined</t>
        </is>
      </c>
      <c r="I122" s="61" t="inlineStr">
        <is>
          <t>Rule 1</t>
        </is>
      </c>
      <c r="J122" s="62" t="n">
        <v>43.5625</v>
      </c>
      <c r="K122" s="62" t="n">
        <v>20.8333333333333</v>
      </c>
      <c r="L122" s="62" t="n">
        <v>10.0041666666667</v>
      </c>
      <c r="M122" s="62" t="n">
        <v>12.725</v>
      </c>
      <c r="N122" s="62" t="n">
        <v>7.58333333333333</v>
      </c>
      <c r="O122" s="62" t="n">
        <v>13.25</v>
      </c>
      <c r="P122" s="62" t="n">
        <v>0</v>
      </c>
      <c r="Q122" s="62" t="n">
        <v>4.25</v>
      </c>
      <c r="R122" s="62" t="n">
        <v>9.583333333333339</v>
      </c>
      <c r="S122" s="62" t="n">
        <v>6</v>
      </c>
      <c r="T122" s="62" t="n">
        <v>1</v>
      </c>
      <c r="U122" s="62" t="n">
        <v>0</v>
      </c>
      <c r="V122" s="62" t="n">
        <v>0</v>
      </c>
      <c r="W122" s="63" t="n">
        <v>0.869153515064563</v>
      </c>
      <c r="X122" s="61" t="inlineStr">
        <is>
          <t>Yes</t>
        </is>
      </c>
      <c r="Y122" s="61" t="inlineStr">
        <is>
          <t>Y</t>
        </is>
      </c>
      <c r="Z122" s="61" t="inlineStr">
        <is>
          <t>N</t>
        </is>
      </c>
      <c r="AA122" s="61" t="n">
        <v>2</v>
      </c>
      <c r="AB122" s="61" t="n">
        <v>3</v>
      </c>
      <c r="AC122" s="42" t="n">
        <v>0</v>
      </c>
      <c r="AD122" s="42" t="n">
        <v>20</v>
      </c>
      <c r="AE122" s="42" t="n">
        <v>0</v>
      </c>
      <c r="AF122" s="42" t="n">
        <v>2</v>
      </c>
      <c r="AG122" s="42" t="n">
        <v>2</v>
      </c>
      <c r="AH122" s="42" t="n">
        <v>53</v>
      </c>
      <c r="AI122" s="42" t="n">
        <v>1368</v>
      </c>
      <c r="AJ122" s="42" t="n">
        <v>5</v>
      </c>
      <c r="AK122" s="42" t="n">
        <v>149</v>
      </c>
      <c r="AL122" s="42" t="n">
        <v>376</v>
      </c>
      <c r="AM122" s="20" t="inlineStr">
        <is>
          <t>Maintain (Patch)</t>
        </is>
      </c>
      <c r="AN122" s="62" t="n">
        <v>8.805999999999999</v>
      </c>
      <c r="AO122" s="64">
        <f>--($D122='START HERE'!$C$5)</f>
        <v/>
      </c>
    </row>
    <row r="123" ht="14.25" customHeight="1">
      <c r="B123" s="42" t="n">
        <v>9931</v>
      </c>
      <c r="C123" s="13" t="inlineStr">
        <is>
          <t>P02BKE-JPN</t>
        </is>
      </c>
      <c r="D123" s="20" t="inlineStr">
        <is>
          <t>Sales / Insurance Recruitment</t>
        </is>
      </c>
      <c r="E123" s="20" t="inlineStr">
        <is>
          <t xml:space="preserve">Banca Illustlation </t>
        </is>
      </c>
      <c r="F123" s="61" t="inlineStr">
        <is>
          <t>NCD</t>
        </is>
      </c>
      <c r="G123" s="61" t="inlineStr">
        <is>
          <t>J</t>
        </is>
      </c>
      <c r="H123" s="20" t="inlineStr">
        <is>
          <t>Japan-locked</t>
        </is>
      </c>
      <c r="I123" s="61" t="inlineStr">
        <is>
          <t>Rule 6</t>
        </is>
      </c>
      <c r="J123" s="62" t="n">
        <v>15.8583333333333</v>
      </c>
      <c r="K123" s="62" t="n">
        <v>13.5833333333333</v>
      </c>
      <c r="L123" s="62" t="n">
        <v>2.275</v>
      </c>
      <c r="M123" s="62" t="n">
        <v>0</v>
      </c>
      <c r="N123" s="62" t="n">
        <v>13.5833333333333</v>
      </c>
      <c r="O123" s="62" t="n">
        <v>0</v>
      </c>
      <c r="P123" s="62" t="n">
        <v>0</v>
      </c>
      <c r="Q123" s="62" t="n">
        <v>0</v>
      </c>
      <c r="R123" s="62" t="n">
        <v>13.5833333333333</v>
      </c>
      <c r="S123" s="62" t="n">
        <v>0</v>
      </c>
      <c r="T123" s="62" t="n">
        <v>0</v>
      </c>
      <c r="U123" s="62" t="n">
        <v>0</v>
      </c>
      <c r="V123" s="62" t="n">
        <v>0</v>
      </c>
      <c r="W123" s="63" t="n">
        <v>0.917288491854966</v>
      </c>
      <c r="X123" s="61" t="inlineStr">
        <is>
          <t>No</t>
        </is>
      </c>
      <c r="Y123" s="61" t="inlineStr">
        <is>
          <t>N</t>
        </is>
      </c>
      <c r="Z123" s="61" t="inlineStr">
        <is>
          <t>N</t>
        </is>
      </c>
      <c r="AA123" s="61" t="n">
        <v>3</v>
      </c>
      <c r="AB123" s="61" t="n">
        <v>1</v>
      </c>
      <c r="AC123" s="42" t="n">
        <v>0</v>
      </c>
      <c r="AD123" s="42" t="n">
        <v>0</v>
      </c>
      <c r="AE123" s="42" t="n">
        <v>0</v>
      </c>
      <c r="AF123" s="42" t="n">
        <v>0</v>
      </c>
      <c r="AG123" s="42" t="n">
        <v>1</v>
      </c>
      <c r="AH123" s="42" t="n">
        <v>0</v>
      </c>
      <c r="AI123" s="42" t="n">
        <v>1</v>
      </c>
      <c r="AJ123" s="42" t="n">
        <v>1</v>
      </c>
      <c r="AK123" s="42" t="n">
        <v>0</v>
      </c>
      <c r="AL123" s="42" t="n">
        <v>48</v>
      </c>
      <c r="AM123" s="20" t="inlineStr">
        <is>
          <t>Maintain (Evolve)</t>
        </is>
      </c>
      <c r="AN123" s="62" t="n">
        <v>0.295</v>
      </c>
      <c r="AO123" s="64">
        <f>--($D123='START HERE'!$C$5)</f>
        <v/>
      </c>
    </row>
    <row r="124" ht="14.25" customHeight="1">
      <c r="B124" s="42" t="n">
        <v>12991</v>
      </c>
      <c r="C124" s="13" t="inlineStr">
        <is>
          <t>JP - Remote Closing</t>
        </is>
      </c>
      <c r="D124" s="20" t="inlineStr">
        <is>
          <t>Sales / Insurance Recruitment</t>
        </is>
      </c>
      <c r="E124" s="20" t="inlineStr">
        <is>
          <t>F2F SalesSupport</t>
        </is>
      </c>
      <c r="F124" s="61" t="inlineStr">
        <is>
          <t>CG</t>
        </is>
      </c>
      <c r="G124" s="61" t="inlineStr">
        <is>
          <t>M</t>
        </is>
      </c>
      <c r="H124" s="20" t="inlineStr">
        <is>
          <t>MGCC-destined</t>
        </is>
      </c>
      <c r="I124" s="61" t="inlineStr">
        <is>
          <t>Rule 1</t>
        </is>
      </c>
      <c r="J124" s="62" t="n">
        <v>12.2083333333333</v>
      </c>
      <c r="K124" s="62" t="n">
        <v>4.64583333333333</v>
      </c>
      <c r="L124" s="62" t="n">
        <v>4.5625</v>
      </c>
      <c r="M124" s="62" t="n">
        <v>3</v>
      </c>
      <c r="N124" s="62" t="n">
        <v>2.625</v>
      </c>
      <c r="O124" s="62" t="n">
        <v>2.02083333333333</v>
      </c>
      <c r="P124" s="62" t="n">
        <v>0</v>
      </c>
      <c r="Q124" s="62" t="n">
        <v>0</v>
      </c>
      <c r="R124" s="62" t="n">
        <v>3.3125</v>
      </c>
      <c r="S124" s="62" t="n">
        <v>1.33333333333333</v>
      </c>
      <c r="T124" s="62" t="n">
        <v>0</v>
      </c>
      <c r="U124" s="62" t="n">
        <v>0</v>
      </c>
      <c r="V124" s="62" t="n">
        <v>0</v>
      </c>
      <c r="W124" s="63" t="n">
        <v>1</v>
      </c>
      <c r="X124" s="61" t="inlineStr">
        <is>
          <t>Yes</t>
        </is>
      </c>
      <c r="Y124" s="61" t="inlineStr">
        <is>
          <t>Y</t>
        </is>
      </c>
      <c r="Z124" s="61" t="inlineStr">
        <is>
          <t>N</t>
        </is>
      </c>
      <c r="AA124" s="61" t="n">
        <v>2</v>
      </c>
      <c r="AB124" s="61" t="n">
        <v>2</v>
      </c>
      <c r="AC124" s="42" t="n">
        <v>200000</v>
      </c>
      <c r="AD124" s="42" t="n">
        <v>0</v>
      </c>
      <c r="AE124" s="42" t="n">
        <v>0</v>
      </c>
      <c r="AF124" s="42" t="n">
        <v>1</v>
      </c>
      <c r="AG124" s="42" t="n">
        <v>10</v>
      </c>
      <c r="AH124" s="42" t="n">
        <v>40</v>
      </c>
      <c r="AI124" s="42" t="n">
        <v>120</v>
      </c>
      <c r="AJ124" s="42" t="n">
        <v>8</v>
      </c>
      <c r="AK124" s="42" t="n">
        <v>11</v>
      </c>
      <c r="AL124" s="42" t="n">
        <v>109</v>
      </c>
      <c r="AM124" s="20" t="inlineStr">
        <is>
          <t>Maintain (Evolve)</t>
        </is>
      </c>
      <c r="AN124" s="62" t="n">
        <v>2.68</v>
      </c>
      <c r="AO124" s="64">
        <f>--($D124='START HERE'!$C$5)</f>
        <v/>
      </c>
    </row>
    <row r="125" ht="14.25" customHeight="1">
      <c r="B125" s="42" t="n">
        <v>9983</v>
      </c>
      <c r="C125" s="13" t="inlineStr">
        <is>
          <t>WAAATF-JPN</t>
        </is>
      </c>
      <c r="D125" s="20" t="inlineStr">
        <is>
          <t>Sales / Insurance Recruitment</t>
        </is>
      </c>
      <c r="E125" s="20" t="inlineStr">
        <is>
          <t>F2F SalesSupport</t>
        </is>
      </c>
      <c r="F125" s="61" t="inlineStr">
        <is>
          <t>NCD</t>
        </is>
      </c>
      <c r="G125" s="61" t="inlineStr">
        <is>
          <t>P</t>
        </is>
      </c>
      <c r="H125" s="20" t="inlineStr">
        <is>
          <t>Portable, not moved</t>
        </is>
      </c>
      <c r="I125" s="61" t="inlineStr">
        <is>
          <t>Rule 5</t>
        </is>
      </c>
      <c r="J125" s="62" t="n">
        <v>7.26208333333333</v>
      </c>
      <c r="K125" s="62" t="n">
        <v>6.61416666666667</v>
      </c>
      <c r="L125" s="62" t="n">
        <v>0.647916666666667</v>
      </c>
      <c r="M125" s="62" t="n">
        <v>0</v>
      </c>
      <c r="N125" s="62" t="n">
        <v>6.61416666666667</v>
      </c>
      <c r="O125" s="62" t="n">
        <v>0</v>
      </c>
      <c r="P125" s="62" t="n">
        <v>0</v>
      </c>
      <c r="Q125" s="62" t="n">
        <v>0</v>
      </c>
      <c r="R125" s="62" t="n">
        <v>6.61416666666667</v>
      </c>
      <c r="S125" s="62" t="n">
        <v>0</v>
      </c>
      <c r="T125" s="62" t="n">
        <v>0</v>
      </c>
      <c r="U125" s="62" t="n">
        <v>0</v>
      </c>
      <c r="V125" s="62" t="n">
        <v>0</v>
      </c>
      <c r="W125" s="63" t="n">
        <v>0.939124447759481</v>
      </c>
      <c r="X125" s="61" t="inlineStr">
        <is>
          <t>Yes</t>
        </is>
      </c>
      <c r="Y125" s="61" t="inlineStr">
        <is>
          <t>N</t>
        </is>
      </c>
      <c r="Z125" s="61" t="inlineStr">
        <is>
          <t>N</t>
        </is>
      </c>
      <c r="AA125" s="61" t="n">
        <v>3</v>
      </c>
      <c r="AB125" s="61" t="n">
        <v>1</v>
      </c>
      <c r="AC125" s="42" t="n">
        <v>260000</v>
      </c>
      <c r="AD125" s="42" t="n">
        <v>14</v>
      </c>
      <c r="AE125" s="42" t="n">
        <v>0</v>
      </c>
      <c r="AF125" s="42" t="n">
        <v>0</v>
      </c>
      <c r="AG125" s="42" t="n">
        <v>0</v>
      </c>
      <c r="AH125" s="42" t="n">
        <v>19</v>
      </c>
      <c r="AI125" s="42" t="n">
        <v>25</v>
      </c>
      <c r="AJ125" s="42" t="n">
        <v>0</v>
      </c>
      <c r="AK125" s="42" t="n">
        <v>0</v>
      </c>
      <c r="AL125" s="42" t="n">
        <v>52</v>
      </c>
      <c r="AM125" s="20" t="inlineStr">
        <is>
          <t>Maintain (Evolve)</t>
        </is>
      </c>
      <c r="AN125" s="62" t="n">
        <v>0</v>
      </c>
      <c r="AO125" s="64">
        <f>--($D125='START HERE'!$C$5)</f>
        <v/>
      </c>
    </row>
    <row r="126" ht="14.25" customHeight="1">
      <c r="B126" s="42" t="n">
        <v>9894</v>
      </c>
      <c r="C126" s="13" t="inlineStr">
        <is>
          <t>W08NAV-JPN</t>
        </is>
      </c>
      <c r="D126" s="20" t="inlineStr">
        <is>
          <t>Sales / Insurance Recruitment</t>
        </is>
      </c>
      <c r="E126" s="20" t="inlineStr">
        <is>
          <t>F2F SalesSupport</t>
        </is>
      </c>
      <c r="F126" s="61" t="inlineStr">
        <is>
          <t>NCD</t>
        </is>
      </c>
      <c r="G126" s="61" t="inlineStr">
        <is>
          <t>J</t>
        </is>
      </c>
      <c r="H126" s="20" t="inlineStr">
        <is>
          <t>Japan-locked</t>
        </is>
      </c>
      <c r="I126" s="61" t="inlineStr">
        <is>
          <t>Rule 6</t>
        </is>
      </c>
      <c r="J126" s="62" t="n">
        <v>3.19395833333333</v>
      </c>
      <c r="K126" s="62" t="n">
        <v>2.841875</v>
      </c>
      <c r="L126" s="62" t="n">
        <v>0.352083333333333</v>
      </c>
      <c r="M126" s="62" t="n">
        <v>0</v>
      </c>
      <c r="N126" s="62" t="n">
        <v>2.841875</v>
      </c>
      <c r="O126" s="62" t="n">
        <v>0</v>
      </c>
      <c r="P126" s="62" t="n">
        <v>0</v>
      </c>
      <c r="Q126" s="62" t="n">
        <v>0</v>
      </c>
      <c r="R126" s="62" t="n">
        <v>2.841875</v>
      </c>
      <c r="S126" s="62" t="n">
        <v>0</v>
      </c>
      <c r="T126" s="62" t="n">
        <v>0</v>
      </c>
      <c r="U126" s="62" t="n">
        <v>0</v>
      </c>
      <c r="V126" s="62" t="n">
        <v>0</v>
      </c>
      <c r="W126" s="63" t="n">
        <v>0.791924858130585</v>
      </c>
      <c r="X126" s="61" t="inlineStr">
        <is>
          <t>No</t>
        </is>
      </c>
      <c r="Y126" s="61" t="inlineStr">
        <is>
          <t>N</t>
        </is>
      </c>
      <c r="Z126" s="61" t="inlineStr">
        <is>
          <t>N</t>
        </is>
      </c>
      <c r="AA126" s="61" t="n">
        <v>3</v>
      </c>
      <c r="AB126" s="61" t="n">
        <v>1</v>
      </c>
      <c r="AC126" s="42" t="n">
        <v>83000</v>
      </c>
      <c r="AD126" s="42" t="n">
        <v>50</v>
      </c>
      <c r="AE126" s="42" t="n">
        <v>0</v>
      </c>
      <c r="AF126" s="42" t="n">
        <v>0</v>
      </c>
      <c r="AG126" s="42" t="n">
        <v>1</v>
      </c>
      <c r="AH126" s="42" t="n">
        <v>1</v>
      </c>
      <c r="AI126" s="42" t="n">
        <v>11</v>
      </c>
      <c r="AJ126" s="42" t="n">
        <v>1</v>
      </c>
      <c r="AK126" s="42" t="n">
        <v>0</v>
      </c>
      <c r="AL126" s="42" t="n">
        <v>95</v>
      </c>
      <c r="AM126" s="20" t="inlineStr">
        <is>
          <t>Maintain (Evolve)</t>
        </is>
      </c>
      <c r="AN126" s="62" t="n">
        <v>0</v>
      </c>
      <c r="AO126" s="64">
        <f>--($D126='START HERE'!$C$5)</f>
        <v/>
      </c>
    </row>
    <row r="127" ht="14.25" customHeight="1">
      <c r="B127" s="42" t="n">
        <v>14217</v>
      </c>
      <c r="C127" s="13" t="inlineStr">
        <is>
          <t>W09WSD-JPN BIS</t>
        </is>
      </c>
      <c r="D127" s="20" t="inlineStr">
        <is>
          <t>Sales / Insurance Recruitment</t>
        </is>
      </c>
      <c r="E127" s="20" t="inlineStr">
        <is>
          <t xml:space="preserve">Banca Illustlation </t>
        </is>
      </c>
      <c r="F127" s="61" t="inlineStr">
        <is>
          <t>FSI</t>
        </is>
      </c>
      <c r="G127" s="61" t="inlineStr">
        <is>
          <t>T</t>
        </is>
      </c>
      <c r="H127" s="20" t="inlineStr">
        <is>
          <t>Long tail</t>
        </is>
      </c>
      <c r="I127" s="61" t="inlineStr">
        <is>
          <t>Rule 3</t>
        </is>
      </c>
      <c r="J127" s="62" t="n">
        <v>0.883333333333333</v>
      </c>
      <c r="K127" s="62" t="n">
        <v>0.808333333333333</v>
      </c>
      <c r="L127" s="62" t="n">
        <v>0.075</v>
      </c>
      <c r="M127" s="62" t="n">
        <v>0</v>
      </c>
      <c r="N127" s="62" t="n">
        <v>0.808333333333333</v>
      </c>
      <c r="O127" s="62" t="n">
        <v>0</v>
      </c>
      <c r="P127" s="62" t="n">
        <v>0</v>
      </c>
      <c r="Q127" s="62" t="n">
        <v>0</v>
      </c>
      <c r="R127" s="62" t="n">
        <v>0.808333333333333</v>
      </c>
      <c r="S127" s="62" t="n">
        <v>0</v>
      </c>
      <c r="T127" s="62" t="n">
        <v>0</v>
      </c>
      <c r="U127" s="62" t="n">
        <v>0</v>
      </c>
      <c r="V127" s="62" t="n">
        <v>0</v>
      </c>
      <c r="W127" s="63" t="n">
        <v>0.481132075471698</v>
      </c>
      <c r="X127" s="61" t="inlineStr">
        <is>
          <t>No</t>
        </is>
      </c>
      <c r="Y127" s="61" t="inlineStr">
        <is>
          <t>N</t>
        </is>
      </c>
      <c r="Z127" s="61" t="inlineStr">
        <is>
          <t>N</t>
        </is>
      </c>
      <c r="AA127" s="61" t="n">
        <v>3</v>
      </c>
      <c r="AB127" s="61" t="n">
        <v>1</v>
      </c>
      <c r="AC127" s="42" t="n">
        <v>100000</v>
      </c>
      <c r="AD127" s="42" t="n">
        <v>2</v>
      </c>
      <c r="AE127" s="42" t="n">
        <v>0</v>
      </c>
      <c r="AF127" s="42" t="n">
        <v>0</v>
      </c>
      <c r="AG127" s="42" t="n">
        <v>8</v>
      </c>
      <c r="AH127" s="42" t="n">
        <v>0</v>
      </c>
      <c r="AI127" s="42" t="n">
        <v>35</v>
      </c>
      <c r="AJ127" s="42" t="n">
        <v>7</v>
      </c>
      <c r="AK127" s="42" t="n">
        <v>63</v>
      </c>
      <c r="AL127" s="42" t="n">
        <v>134</v>
      </c>
      <c r="AM127" s="20" t="inlineStr">
        <is>
          <t>Maintain (Evolve)</t>
        </is>
      </c>
      <c r="AN127" s="62" t="n">
        <v>0.018</v>
      </c>
      <c r="AO127" s="64">
        <f>--($D127='START HERE'!$C$5)</f>
        <v/>
      </c>
    </row>
    <row r="128" ht="23.25" customHeight="1">
      <c r="B128" s="42" t="n">
        <v>13738</v>
      </c>
      <c r="C128" s="13" t="inlineStr">
        <is>
          <t>Distribution Systems - Internal</t>
        </is>
      </c>
      <c r="D128" s="20" t="inlineStr">
        <is>
          <t>Sales / Insurance Recruitment</t>
        </is>
      </c>
      <c r="E128" s="20" t="inlineStr">
        <is>
          <t xml:space="preserve">F2F Illustlation </t>
        </is>
      </c>
      <c r="F128" s="61" t="inlineStr">
        <is>
          <t>unnamed</t>
        </is>
      </c>
      <c r="G128" s="61" t="inlineStr">
        <is>
          <t>M</t>
        </is>
      </c>
      <c r="H128" s="20" t="inlineStr">
        <is>
          <t>MGCC-destined</t>
        </is>
      </c>
      <c r="I128" s="61" t="inlineStr">
        <is>
          <t>Rule 1</t>
        </is>
      </c>
      <c r="J128" s="62" t="n">
        <v>0.666666666666667</v>
      </c>
      <c r="K128" s="62" t="n">
        <v>0.333333333333333</v>
      </c>
      <c r="L128" s="62" t="n">
        <v>0.25</v>
      </c>
      <c r="M128" s="62" t="n">
        <v>0.0833333333333333</v>
      </c>
      <c r="N128" s="62" t="n">
        <v>0</v>
      </c>
      <c r="O128" s="62" t="n">
        <v>0.333333333333333</v>
      </c>
      <c r="P128" s="62" t="n">
        <v>0</v>
      </c>
      <c r="Q128" s="62" t="n">
        <v>0</v>
      </c>
      <c r="R128" s="62" t="n">
        <v>0.333333333333333</v>
      </c>
      <c r="S128" s="62" t="n">
        <v>0</v>
      </c>
      <c r="T128" s="62" t="n">
        <v>0</v>
      </c>
      <c r="U128" s="62" t="n">
        <v>0</v>
      </c>
      <c r="V128" s="62" t="n">
        <v>0</v>
      </c>
      <c r="W128" s="63" t="n">
        <v>1</v>
      </c>
      <c r="X128" s="61" t="inlineStr">
        <is>
          <t>Yes</t>
        </is>
      </c>
      <c r="Y128" s="61" t="inlineStr">
        <is>
          <t>Y</t>
        </is>
      </c>
      <c r="Z128" s="61" t="inlineStr">
        <is>
          <t>N</t>
        </is>
      </c>
      <c r="AA128" s="61" t="n">
        <v>2</v>
      </c>
      <c r="AB128" s="61" t="n">
        <v>2</v>
      </c>
      <c r="AC128" s="42" t="n">
        <v>200000</v>
      </c>
      <c r="AD128" s="42" t="n">
        <v>0</v>
      </c>
      <c r="AE128" s="42" t="n">
        <v>0</v>
      </c>
      <c r="AF128" s="42" t="n">
        <v>0</v>
      </c>
      <c r="AG128" s="42" t="n">
        <v>3</v>
      </c>
      <c r="AH128" s="42" t="n">
        <v>6</v>
      </c>
      <c r="AI128" s="42" t="n">
        <v>34</v>
      </c>
      <c r="AJ128" s="42" t="n">
        <v>2</v>
      </c>
      <c r="AK128" s="42" t="n">
        <v>3</v>
      </c>
      <c r="AL128" s="42" t="n">
        <v>51</v>
      </c>
      <c r="AM128" s="20" t="inlineStr">
        <is>
          <t>Maintain (Evolve)</t>
        </is>
      </c>
      <c r="AN128" s="62" t="n">
        <v>0</v>
      </c>
      <c r="AO128" s="64">
        <f>--($D128='START HERE'!$C$5)</f>
        <v/>
      </c>
    </row>
    <row r="129" ht="23.25" customHeight="1">
      <c r="B129" s="42" t="n">
        <v>9977</v>
      </c>
      <c r="C129" s="13" t="inlineStr">
        <is>
          <t>WGLRPC-JPN</t>
        </is>
      </c>
      <c r="D129" s="20" t="inlineStr">
        <is>
          <t>Sales / Insurance Recruitment</t>
        </is>
      </c>
      <c r="E129" s="20" t="inlineStr">
        <is>
          <t>F2F SalesSupport</t>
        </is>
      </c>
      <c r="F129" s="61" t="inlineStr">
        <is>
          <t>unnamed</t>
        </is>
      </c>
      <c r="G129" s="61" t="inlineStr">
        <is>
          <t>T</t>
        </is>
      </c>
      <c r="H129" s="20" t="inlineStr">
        <is>
          <t>Long tail</t>
        </is>
      </c>
      <c r="I129" s="61" t="inlineStr">
        <is>
          <t>Rule 3</t>
        </is>
      </c>
      <c r="J129" s="62" t="n">
        <v>0.457916666666667</v>
      </c>
      <c r="K129" s="62" t="n">
        <v>0.04125</v>
      </c>
      <c r="L129" s="62" t="n">
        <v>0.416666666666667</v>
      </c>
      <c r="M129" s="62" t="n">
        <v>0</v>
      </c>
      <c r="N129" s="62" t="n">
        <v>0.04125</v>
      </c>
      <c r="O129" s="62" t="n">
        <v>0</v>
      </c>
      <c r="P129" s="62" t="n">
        <v>0</v>
      </c>
      <c r="Q129" s="62" t="n">
        <v>0</v>
      </c>
      <c r="R129" s="62" t="n">
        <v>0.04125</v>
      </c>
      <c r="S129" s="62" t="n">
        <v>0</v>
      </c>
      <c r="T129" s="62" t="n">
        <v>0</v>
      </c>
      <c r="U129" s="62" t="n">
        <v>0</v>
      </c>
      <c r="V129" s="62" t="n">
        <v>0</v>
      </c>
      <c r="W129" s="63" t="n">
        <v>0</v>
      </c>
      <c r="X129" s="61" t="inlineStr">
        <is>
          <t>No</t>
        </is>
      </c>
      <c r="Y129" s="61" t="inlineStr">
        <is>
          <t>N</t>
        </is>
      </c>
      <c r="Z129" s="61" t="inlineStr">
        <is>
          <t>N</t>
        </is>
      </c>
      <c r="AA129" s="61" t="n">
        <v>3</v>
      </c>
      <c r="AB129" s="61" t="n">
        <v>1</v>
      </c>
      <c r="AC129" s="42" t="n">
        <v>0</v>
      </c>
      <c r="AD129" s="42" t="n">
        <v>1</v>
      </c>
      <c r="AE129" s="42" t="n">
        <v>0</v>
      </c>
      <c r="AF129" s="42" t="n">
        <v>0</v>
      </c>
      <c r="AG129" s="42" t="n">
        <v>2</v>
      </c>
      <c r="AH129" s="42" t="n">
        <v>1</v>
      </c>
      <c r="AI129" s="42" t="n">
        <v>15</v>
      </c>
      <c r="AJ129" s="42" t="n">
        <v>2</v>
      </c>
      <c r="AK129" s="42" t="n">
        <v>0</v>
      </c>
      <c r="AL129" s="42" t="n">
        <v>3</v>
      </c>
      <c r="AM129" s="20" t="inlineStr">
        <is>
          <t>Maintain (Patch)</t>
        </is>
      </c>
      <c r="AN129" s="62" t="n">
        <v>0</v>
      </c>
      <c r="AO129" s="64">
        <f>--($D129='START HERE'!$C$5)</f>
        <v/>
      </c>
    </row>
    <row r="130" ht="23.25" customHeight="1">
      <c r="B130" s="42" t="n">
        <v>14097</v>
      </c>
      <c r="C130" s="13" t="inlineStr">
        <is>
          <t>IVR Tekigosei</t>
        </is>
      </c>
      <c r="D130" s="20" t="inlineStr">
        <is>
          <t>Sales / Insurance Recruitment</t>
        </is>
      </c>
      <c r="E130" s="20" t="inlineStr">
        <is>
          <t xml:space="preserve">F2F Illustlation </t>
        </is>
      </c>
      <c r="F130" s="61" t="inlineStr">
        <is>
          <t>unnamed</t>
        </is>
      </c>
      <c r="G130" s="61" t="inlineStr">
        <is>
          <t>M</t>
        </is>
      </c>
      <c r="H130" s="20" t="inlineStr">
        <is>
          <t>MGCC-destined</t>
        </is>
      </c>
      <c r="I130" s="61" t="inlineStr">
        <is>
          <t>Rule 1</t>
        </is>
      </c>
      <c r="J130" s="62" t="n">
        <v>0.166666666666667</v>
      </c>
      <c r="K130" s="62" t="n">
        <v>0.0833333333333333</v>
      </c>
      <c r="L130" s="62" t="n">
        <v>0</v>
      </c>
      <c r="M130" s="62" t="n">
        <v>0.0833333333333333</v>
      </c>
      <c r="N130" s="62" t="n">
        <v>0</v>
      </c>
      <c r="O130" s="62" t="n">
        <v>0</v>
      </c>
      <c r="P130" s="62" t="n">
        <v>0</v>
      </c>
      <c r="Q130" s="62" t="n">
        <v>0</v>
      </c>
      <c r="R130" s="62" t="n">
        <v>0.0833333333333333</v>
      </c>
      <c r="S130" s="62" t="n">
        <v>0</v>
      </c>
      <c r="T130" s="62" t="n">
        <v>0</v>
      </c>
      <c r="U130" s="62" t="n">
        <v>0</v>
      </c>
      <c r="V130" s="62" t="n">
        <v>0</v>
      </c>
      <c r="W130" s="63" t="n">
        <v>1</v>
      </c>
      <c r="X130" s="61" t="inlineStr">
        <is>
          <t>Yes</t>
        </is>
      </c>
      <c r="Y130" s="61" t="inlineStr">
        <is>
          <t>Y</t>
        </is>
      </c>
      <c r="Z130" s="61" t="inlineStr">
        <is>
          <t>N</t>
        </is>
      </c>
      <c r="AA130" s="61" t="n">
        <v>2</v>
      </c>
      <c r="AB130" s="61" t="n">
        <v>3</v>
      </c>
      <c r="AC130" s="42" t="n">
        <v>200000</v>
      </c>
      <c r="AD130" s="42" t="n">
        <v>0</v>
      </c>
      <c r="AE130" s="42" t="n">
        <v>0</v>
      </c>
      <c r="AF130" s="42" t="n">
        <v>0</v>
      </c>
      <c r="AG130" s="42" t="n">
        <v>2</v>
      </c>
      <c r="AH130" s="42" t="n">
        <v>2</v>
      </c>
      <c r="AI130" s="42" t="n">
        <v>30</v>
      </c>
      <c r="AJ130" s="42" t="n">
        <v>0</v>
      </c>
      <c r="AK130" s="42" t="n">
        <v>0</v>
      </c>
      <c r="AL130" s="42" t="n">
        <v>5</v>
      </c>
      <c r="AM130" s="20" t="inlineStr">
        <is>
          <t>Maintain (Patch)</t>
        </is>
      </c>
      <c r="AN130" s="62" t="n">
        <v>0</v>
      </c>
      <c r="AO130" s="64">
        <f>--($D130='START HERE'!$C$5)</f>
        <v/>
      </c>
    </row>
    <row r="131" ht="23.25" customHeight="1">
      <c r="B131" s="42" t="n">
        <v>14049</v>
      </c>
      <c r="C131" s="13" t="inlineStr">
        <is>
          <t>WCC</t>
        </is>
      </c>
      <c r="D131" s="20" t="inlineStr">
        <is>
          <t>Sales / Insurance Recruitment</t>
        </is>
      </c>
      <c r="E131" s="20" t="inlineStr">
        <is>
          <t xml:space="preserve">F2F Illustlation </t>
        </is>
      </c>
      <c r="F131" s="61" t="inlineStr">
        <is>
          <t>unnamed</t>
        </is>
      </c>
      <c r="G131" s="61" t="inlineStr">
        <is>
          <t>M</t>
        </is>
      </c>
      <c r="H131" s="20" t="inlineStr">
        <is>
          <t>MGCC-destined</t>
        </is>
      </c>
      <c r="I131" s="61" t="inlineStr">
        <is>
          <t>Rule 1</t>
        </is>
      </c>
      <c r="J131" s="62" t="n">
        <v>0.125</v>
      </c>
      <c r="K131" s="62" t="n">
        <v>0</v>
      </c>
      <c r="L131" s="62" t="n">
        <v>0</v>
      </c>
      <c r="M131" s="62" t="n">
        <v>0.125</v>
      </c>
      <c r="N131" s="62" t="n">
        <v>0</v>
      </c>
      <c r="O131" s="62" t="n">
        <v>0</v>
      </c>
      <c r="P131" s="62" t="n">
        <v>0</v>
      </c>
      <c r="Q131" s="62" t="n">
        <v>0</v>
      </c>
      <c r="R131" s="62" t="n">
        <v>0</v>
      </c>
      <c r="S131" s="62" t="n">
        <v>0</v>
      </c>
      <c r="T131" s="62" t="n">
        <v>0</v>
      </c>
      <c r="U131" s="62" t="n">
        <v>0</v>
      </c>
      <c r="V131" s="62" t="n">
        <v>0</v>
      </c>
      <c r="W131" s="63" t="n">
        <v>1</v>
      </c>
      <c r="X131" s="61" t="inlineStr">
        <is>
          <t>Yes</t>
        </is>
      </c>
      <c r="Y131" s="61" t="inlineStr">
        <is>
          <t>Y</t>
        </is>
      </c>
      <c r="Z131" s="61" t="inlineStr">
        <is>
          <t>N</t>
        </is>
      </c>
      <c r="AA131" s="61" t="n">
        <v>2</v>
      </c>
      <c r="AB131" s="61" t="n">
        <v>3</v>
      </c>
      <c r="AC131" s="42" t="n">
        <v>200000</v>
      </c>
      <c r="AD131" s="42" t="n">
        <v>0</v>
      </c>
      <c r="AE131" s="42" t="n">
        <v>0</v>
      </c>
      <c r="AF131" s="42" t="n">
        <v>0</v>
      </c>
      <c r="AG131" s="42" t="n">
        <v>2</v>
      </c>
      <c r="AH131" s="42" t="n">
        <v>1</v>
      </c>
      <c r="AI131" s="42" t="n">
        <v>1</v>
      </c>
      <c r="AJ131" s="42" t="n">
        <v>1</v>
      </c>
      <c r="AK131" s="42" t="n">
        <v>0</v>
      </c>
      <c r="AL131" s="42" t="n">
        <v>42</v>
      </c>
      <c r="AM131" s="20" t="inlineStr">
        <is>
          <t>Maintain (Patch)</t>
        </is>
      </c>
      <c r="AN131" s="62" t="n">
        <v>0</v>
      </c>
      <c r="AO131" s="64">
        <f>--($D131='START HERE'!$C$5)</f>
        <v/>
      </c>
    </row>
    <row r="132" ht="14.25" customHeight="1">
      <c r="B132" s="42" t="n">
        <v>12117</v>
      </c>
      <c r="C132" s="13" t="inlineStr">
        <is>
          <t>K2</t>
        </is>
      </c>
      <c r="D132" s="20" t="inlineStr">
        <is>
          <t>Storage and Preservation Related</t>
        </is>
      </c>
      <c r="E132" s="20" t="inlineStr">
        <is>
          <t>Policy Owner Servicing Work Flow</t>
        </is>
      </c>
      <c r="F132" s="61" t="inlineStr">
        <is>
          <t>CG</t>
        </is>
      </c>
      <c r="G132" s="61" t="inlineStr">
        <is>
          <t>D</t>
        </is>
      </c>
      <c r="H132" s="20" t="inlineStr">
        <is>
          <t>Distributed-proven</t>
        </is>
      </c>
      <c r="I132" s="61" t="inlineStr">
        <is>
          <t>Rule 4</t>
        </is>
      </c>
      <c r="J132" s="62" t="n">
        <v>62.642375</v>
      </c>
      <c r="K132" s="62" t="n">
        <v>36.104875</v>
      </c>
      <c r="L132" s="62" t="n">
        <v>15.5375</v>
      </c>
      <c r="M132" s="62" t="n">
        <v>11</v>
      </c>
      <c r="N132" s="62" t="n">
        <v>29.9590416666667</v>
      </c>
      <c r="O132" s="62" t="n">
        <v>6.14583333333333</v>
      </c>
      <c r="P132" s="62" t="n">
        <v>0</v>
      </c>
      <c r="Q132" s="62" t="n">
        <v>8.64154166666667</v>
      </c>
      <c r="R132" s="62" t="n">
        <v>13.1091666666667</v>
      </c>
      <c r="S132" s="62" t="n">
        <v>11.7333333333333</v>
      </c>
      <c r="T132" s="62" t="n">
        <v>2.48333333333333</v>
      </c>
      <c r="U132" s="62" t="n">
        <v>0.1375</v>
      </c>
      <c r="V132" s="62" t="n">
        <v>0</v>
      </c>
      <c r="W132" s="63" t="n">
        <v>0.863198300937132</v>
      </c>
      <c r="X132" s="61" t="inlineStr">
        <is>
          <t>No</t>
        </is>
      </c>
      <c r="Y132" s="61" t="inlineStr">
        <is>
          <t>N</t>
        </is>
      </c>
      <c r="Z132" s="61" t="inlineStr">
        <is>
          <t>Y</t>
        </is>
      </c>
      <c r="AA132" s="61" t="n">
        <v>1</v>
      </c>
      <c r="AB132" s="61" t="n">
        <v>3</v>
      </c>
      <c r="AC132" s="42" t="n">
        <v>0</v>
      </c>
      <c r="AD132" s="42" t="n">
        <v>37</v>
      </c>
      <c r="AE132" s="42" t="n">
        <v>0</v>
      </c>
      <c r="AF132" s="42" t="n">
        <v>0</v>
      </c>
      <c r="AG132" s="42" t="n">
        <v>76</v>
      </c>
      <c r="AH132" s="42" t="n">
        <v>62</v>
      </c>
      <c r="AI132" s="42" t="n">
        <v>212</v>
      </c>
      <c r="AJ132" s="42" t="n">
        <v>56</v>
      </c>
      <c r="AK132" s="42" t="n">
        <v>95</v>
      </c>
      <c r="AL132" s="42" t="n">
        <v>643</v>
      </c>
      <c r="AM132" s="20" t="inlineStr">
        <is>
          <t>Maintain (Evolve)</t>
        </is>
      </c>
      <c r="AN132" s="62" t="n">
        <v>36.105</v>
      </c>
      <c r="AO132" s="64">
        <f>--($D132='START HERE'!$C$5)</f>
        <v/>
      </c>
    </row>
    <row r="133" ht="14.25" customHeight="1">
      <c r="B133" s="42" t="n">
        <v>13453</v>
      </c>
      <c r="C133" s="13" t="inlineStr">
        <is>
          <t>POS-IMS</t>
        </is>
      </c>
      <c r="D133" s="20" t="inlineStr">
        <is>
          <t>Storage and Preservation Related</t>
        </is>
      </c>
      <c r="E133" s="20" t="inlineStr">
        <is>
          <t>Policy Owner Servicing Work Flow</t>
        </is>
      </c>
      <c r="F133" s="61" t="inlineStr">
        <is>
          <t>FSI</t>
        </is>
      </c>
      <c r="G133" s="61" t="inlineStr">
        <is>
          <t>J</t>
        </is>
      </c>
      <c r="H133" s="20" t="inlineStr">
        <is>
          <t>Japan-locked</t>
        </is>
      </c>
      <c r="I133" s="61" t="inlineStr">
        <is>
          <t>Rule 6</t>
        </is>
      </c>
      <c r="J133" s="62" t="n">
        <v>9.9625</v>
      </c>
      <c r="K133" s="62" t="n">
        <v>9.6625</v>
      </c>
      <c r="L133" s="62" t="n">
        <v>0.3</v>
      </c>
      <c r="M133" s="62" t="n">
        <v>0</v>
      </c>
      <c r="N133" s="62" t="n">
        <v>9.6625</v>
      </c>
      <c r="O133" s="62" t="n">
        <v>0</v>
      </c>
      <c r="P133" s="62" t="n">
        <v>0</v>
      </c>
      <c r="Q133" s="62" t="n">
        <v>0</v>
      </c>
      <c r="R133" s="62" t="n">
        <v>8.862500000000001</v>
      </c>
      <c r="S133" s="62" t="n">
        <v>0</v>
      </c>
      <c r="T133" s="62" t="n">
        <v>0.8</v>
      </c>
      <c r="U133" s="62" t="n">
        <v>0</v>
      </c>
      <c r="V133" s="62" t="n">
        <v>0</v>
      </c>
      <c r="W133" s="63" t="n">
        <v>0.904402515723271</v>
      </c>
      <c r="X133" s="61" t="inlineStr">
        <is>
          <t>No</t>
        </is>
      </c>
      <c r="Y133" s="61" t="inlineStr">
        <is>
          <t>N</t>
        </is>
      </c>
      <c r="Z133" s="61" t="inlineStr">
        <is>
          <t>N</t>
        </is>
      </c>
      <c r="AA133" s="61" t="n">
        <v>3</v>
      </c>
      <c r="AB133" s="61" t="n">
        <v>1</v>
      </c>
      <c r="AC133" s="42" t="n">
        <v>1972920</v>
      </c>
      <c r="AD133" s="42" t="n">
        <v>57</v>
      </c>
      <c r="AE133" s="42" t="n">
        <v>0</v>
      </c>
      <c r="AF133" s="42" t="n">
        <v>0</v>
      </c>
      <c r="AG133" s="42" t="n">
        <v>8</v>
      </c>
      <c r="AH133" s="42" t="n">
        <v>5</v>
      </c>
      <c r="AI133" s="42" t="n">
        <v>111</v>
      </c>
      <c r="AJ133" s="42" t="n">
        <v>5</v>
      </c>
      <c r="AK133" s="42" t="n">
        <v>1</v>
      </c>
      <c r="AL133" s="42" t="n">
        <v>193</v>
      </c>
      <c r="AM133" s="20" t="inlineStr">
        <is>
          <t>Maintain (Patch)</t>
        </is>
      </c>
      <c r="AN133" s="62" t="n">
        <v>1.419</v>
      </c>
      <c r="AO133" s="64">
        <f>--($D133='START HERE'!$C$5)</f>
        <v/>
      </c>
    </row>
    <row r="134" ht="23.25" customHeight="1">
      <c r="B134" s="42" t="n">
        <v>11604</v>
      </c>
      <c r="C134" s="13" t="inlineStr">
        <is>
          <t>JP-RPASS</t>
        </is>
      </c>
      <c r="D134" s="20" t="inlineStr">
        <is>
          <t>Storage and Preservation Related</t>
        </is>
      </c>
      <c r="E134" s="20" t="inlineStr">
        <is>
          <t>Policy Owner Servicing Payment</t>
        </is>
      </c>
      <c r="F134" s="61" t="inlineStr">
        <is>
          <t>unnamed</t>
        </is>
      </c>
      <c r="G134" s="61" t="inlineStr">
        <is>
          <t>J</t>
        </is>
      </c>
      <c r="H134" s="20" t="inlineStr">
        <is>
          <t>Japan-locked</t>
        </is>
      </c>
      <c r="I134" s="61" t="inlineStr">
        <is>
          <t>Rule 6</t>
        </is>
      </c>
      <c r="J134" s="62" t="n">
        <v>9.737458333333331</v>
      </c>
      <c r="K134" s="62" t="n">
        <v>5.66245833333333</v>
      </c>
      <c r="L134" s="62" t="n">
        <v>4.075</v>
      </c>
      <c r="M134" s="62" t="n">
        <v>0</v>
      </c>
      <c r="N134" s="62" t="n">
        <v>5.66245833333333</v>
      </c>
      <c r="O134" s="62" t="n">
        <v>0</v>
      </c>
      <c r="P134" s="62" t="n">
        <v>0</v>
      </c>
      <c r="Q134" s="62" t="n">
        <v>0</v>
      </c>
      <c r="R134" s="62" t="n">
        <v>5.66245833333333</v>
      </c>
      <c r="S134" s="62" t="n">
        <v>0</v>
      </c>
      <c r="T134" s="62" t="n">
        <v>0</v>
      </c>
      <c r="U134" s="62" t="n">
        <v>0</v>
      </c>
      <c r="V134" s="62" t="n">
        <v>0</v>
      </c>
      <c r="W134" s="63" t="n">
        <v>0.897303796764214</v>
      </c>
      <c r="X134" s="61" t="inlineStr">
        <is>
          <t>No</t>
        </is>
      </c>
      <c r="Y134" s="61" t="inlineStr">
        <is>
          <t>N</t>
        </is>
      </c>
      <c r="Z134" s="61" t="inlineStr">
        <is>
          <t>N</t>
        </is>
      </c>
      <c r="AA134" s="61" t="n">
        <v>3</v>
      </c>
      <c r="AB134" s="61" t="n">
        <v>1</v>
      </c>
      <c r="AC134" s="42" t="n">
        <v>0</v>
      </c>
      <c r="AD134" s="42" t="n">
        <v>44</v>
      </c>
      <c r="AE134" s="42" t="n">
        <v>0</v>
      </c>
      <c r="AF134" s="42" t="n">
        <v>0</v>
      </c>
      <c r="AG134" s="42" t="n">
        <v>6</v>
      </c>
      <c r="AH134" s="42" t="n">
        <v>10</v>
      </c>
      <c r="AI134" s="42" t="n">
        <v>131</v>
      </c>
      <c r="AJ134" s="42" t="n">
        <v>3</v>
      </c>
      <c r="AK134" s="42" t="n">
        <v>107</v>
      </c>
      <c r="AL134" s="42" t="n">
        <v>144</v>
      </c>
      <c r="AM134" s="20" t="inlineStr">
        <is>
          <t>Maintain (Patch)</t>
        </is>
      </c>
      <c r="AN134" s="62" t="n">
        <v>0.832</v>
      </c>
      <c r="AO134" s="64">
        <f>--($D134='START HERE'!$C$5)</f>
        <v/>
      </c>
    </row>
    <row r="135" ht="14.25" customHeight="1">
      <c r="B135" s="42" t="n">
        <v>9947</v>
      </c>
      <c r="C135" s="13" t="inlineStr">
        <is>
          <t>W13WEP-JPN</t>
        </is>
      </c>
      <c r="D135" s="20" t="inlineStr">
        <is>
          <t>Storage and Preservation Related</t>
        </is>
      </c>
      <c r="E135" s="20" t="inlineStr">
        <is>
          <t>Policy Owner Servicing Payment</t>
        </is>
      </c>
      <c r="F135" s="61" t="inlineStr">
        <is>
          <t>NCD</t>
        </is>
      </c>
      <c r="G135" s="61" t="inlineStr">
        <is>
          <t>J</t>
        </is>
      </c>
      <c r="H135" s="20" t="inlineStr">
        <is>
          <t>Japan-locked</t>
        </is>
      </c>
      <c r="I135" s="61" t="inlineStr">
        <is>
          <t>Rule 6</t>
        </is>
      </c>
      <c r="J135" s="62" t="n">
        <v>7.18499166666667</v>
      </c>
      <c r="K135" s="62" t="n">
        <v>6.030825</v>
      </c>
      <c r="L135" s="62" t="n">
        <v>1.15416666666667</v>
      </c>
      <c r="M135" s="62" t="n">
        <v>0</v>
      </c>
      <c r="N135" s="62" t="n">
        <v>6.030825</v>
      </c>
      <c r="O135" s="62" t="n">
        <v>0</v>
      </c>
      <c r="P135" s="62" t="n">
        <v>0</v>
      </c>
      <c r="Q135" s="62" t="n">
        <v>0</v>
      </c>
      <c r="R135" s="62" t="n">
        <v>6.030825</v>
      </c>
      <c r="S135" s="62" t="n">
        <v>0</v>
      </c>
      <c r="T135" s="62" t="n">
        <v>0</v>
      </c>
      <c r="U135" s="62" t="n">
        <v>0</v>
      </c>
      <c r="V135" s="62" t="n">
        <v>0</v>
      </c>
      <c r="W135" s="63" t="n">
        <v>0.759046345449253</v>
      </c>
      <c r="X135" s="61" t="inlineStr">
        <is>
          <t>No</t>
        </is>
      </c>
      <c r="Y135" s="61" t="inlineStr">
        <is>
          <t>N</t>
        </is>
      </c>
      <c r="Z135" s="61" t="inlineStr">
        <is>
          <t>Y</t>
        </is>
      </c>
      <c r="AA135" s="61" t="n">
        <v>3</v>
      </c>
      <c r="AB135" s="61" t="n">
        <v>1</v>
      </c>
      <c r="AC135" s="42" t="n">
        <v>585527</v>
      </c>
      <c r="AD135" s="42" t="n">
        <v>57</v>
      </c>
      <c r="AE135" s="42" t="n">
        <v>0</v>
      </c>
      <c r="AF135" s="42" t="n">
        <v>0</v>
      </c>
      <c r="AG135" s="42" t="n">
        <v>50</v>
      </c>
      <c r="AH135" s="42" t="n">
        <v>34</v>
      </c>
      <c r="AI135" s="42" t="n">
        <v>132</v>
      </c>
      <c r="AJ135" s="42" t="n">
        <v>29</v>
      </c>
      <c r="AK135" s="42" t="n">
        <v>26</v>
      </c>
      <c r="AL135" s="42" t="n">
        <v>334</v>
      </c>
      <c r="AM135" s="20" t="inlineStr">
        <is>
          <t>Maintain (Patch)</t>
        </is>
      </c>
      <c r="AN135" s="62" t="n">
        <v>0.886</v>
      </c>
      <c r="AO135" s="64">
        <f>--($D135='START HERE'!$C$5)</f>
        <v/>
      </c>
    </row>
    <row r="136" ht="23.25" customHeight="1">
      <c r="B136" s="42" t="n">
        <v>13884</v>
      </c>
      <c r="C136" s="13" t="inlineStr">
        <is>
          <t>POS Batch</t>
        </is>
      </c>
      <c r="D136" s="20" t="inlineStr">
        <is>
          <t>Storage and Preservation Related</t>
        </is>
      </c>
      <c r="E136" s="20" t="inlineStr">
        <is>
          <t>Policy Owner Servicing Work Flow</t>
        </is>
      </c>
      <c r="F136" s="61" t="inlineStr">
        <is>
          <t>unnamed</t>
        </is>
      </c>
      <c r="G136" s="61" t="inlineStr">
        <is>
          <t>J</t>
        </is>
      </c>
      <c r="H136" s="20" t="inlineStr">
        <is>
          <t>Japan-locked</t>
        </is>
      </c>
      <c r="I136" s="61" t="inlineStr">
        <is>
          <t>Rule 6</t>
        </is>
      </c>
      <c r="J136" s="62" t="n">
        <v>4.27625</v>
      </c>
      <c r="K136" s="62" t="n">
        <v>4.02625</v>
      </c>
      <c r="L136" s="62" t="n">
        <v>0.25</v>
      </c>
      <c r="M136" s="62" t="n">
        <v>0</v>
      </c>
      <c r="N136" s="62" t="n">
        <v>3.25125</v>
      </c>
      <c r="O136" s="62" t="n">
        <v>0.775</v>
      </c>
      <c r="P136" s="62" t="n">
        <v>0</v>
      </c>
      <c r="Q136" s="62" t="n">
        <v>0</v>
      </c>
      <c r="R136" s="62" t="n">
        <v>4.02625</v>
      </c>
      <c r="S136" s="62" t="n">
        <v>0</v>
      </c>
      <c r="T136" s="62" t="n">
        <v>0</v>
      </c>
      <c r="U136" s="62" t="n">
        <v>0</v>
      </c>
      <c r="V136" s="62" t="n">
        <v>0</v>
      </c>
      <c r="W136" s="63" t="n">
        <v>0.9090909090909089</v>
      </c>
      <c r="X136" s="61" t="inlineStr">
        <is>
          <t>No</t>
        </is>
      </c>
      <c r="Y136" s="61" t="inlineStr">
        <is>
          <t>N</t>
        </is>
      </c>
      <c r="Z136" s="61" t="inlineStr">
        <is>
          <t>N</t>
        </is>
      </c>
      <c r="AA136" s="61" t="n">
        <v>3</v>
      </c>
      <c r="AB136" s="61" t="n">
        <v>3</v>
      </c>
      <c r="AC136" s="42" t="n">
        <v>0</v>
      </c>
      <c r="AD136" s="42" t="n">
        <v>0</v>
      </c>
      <c r="AE136" s="42" t="n">
        <v>0</v>
      </c>
      <c r="AF136" s="42" t="n">
        <v>0</v>
      </c>
      <c r="AG136" s="42" t="n">
        <v>0</v>
      </c>
      <c r="AH136" s="42" t="n">
        <v>1</v>
      </c>
      <c r="AI136" s="42" t="n">
        <v>7</v>
      </c>
      <c r="AJ136" s="42" t="n">
        <v>1</v>
      </c>
      <c r="AK136" s="42" t="n">
        <v>0</v>
      </c>
      <c r="AL136" s="42" t="n">
        <v>40</v>
      </c>
      <c r="AM136" s="20" t="inlineStr">
        <is>
          <t>n/a</t>
        </is>
      </c>
      <c r="AN136" s="62" t="n">
        <v>0.591</v>
      </c>
      <c r="AO136" s="64">
        <f>--($D136='START HERE'!$C$5)</f>
        <v/>
      </c>
    </row>
    <row r="137" ht="23.25" customHeight="1">
      <c r="B137" s="42" t="n">
        <v>12198</v>
      </c>
      <c r="C137" s="13" t="inlineStr">
        <is>
          <t>JP-PCI-RPASS</t>
        </is>
      </c>
      <c r="D137" s="20" t="inlineStr">
        <is>
          <t>Storage and Preservation Related</t>
        </is>
      </c>
      <c r="E137" s="20" t="inlineStr">
        <is>
          <t>Policy Owner Servicing Payment</t>
        </is>
      </c>
      <c r="F137" s="61" t="inlineStr">
        <is>
          <t>unnamed</t>
        </is>
      </c>
      <c r="G137" s="61" t="inlineStr">
        <is>
          <t>J</t>
        </is>
      </c>
      <c r="H137" s="20" t="inlineStr">
        <is>
          <t>Japan-locked</t>
        </is>
      </c>
      <c r="I137" s="61" t="inlineStr">
        <is>
          <t>Rule 6</t>
        </is>
      </c>
      <c r="J137" s="62" t="n">
        <v>3</v>
      </c>
      <c r="K137" s="62" t="n">
        <v>1</v>
      </c>
      <c r="L137" s="62" t="n">
        <v>2</v>
      </c>
      <c r="M137" s="62" t="n">
        <v>0</v>
      </c>
      <c r="N137" s="62" t="n">
        <v>1</v>
      </c>
      <c r="O137" s="62" t="n">
        <v>0</v>
      </c>
      <c r="P137" s="62" t="n">
        <v>0</v>
      </c>
      <c r="Q137" s="62" t="n">
        <v>0</v>
      </c>
      <c r="R137" s="62" t="n">
        <v>1</v>
      </c>
      <c r="S137" s="62" t="n">
        <v>0</v>
      </c>
      <c r="T137" s="62" t="n">
        <v>0</v>
      </c>
      <c r="U137" s="62" t="n">
        <v>0</v>
      </c>
      <c r="V137" s="62" t="n">
        <v>0</v>
      </c>
      <c r="W137" s="63" t="n">
        <v>0</v>
      </c>
      <c r="X137" s="61" t="inlineStr">
        <is>
          <t>No</t>
        </is>
      </c>
      <c r="Y137" s="61" t="inlineStr">
        <is>
          <t>N</t>
        </is>
      </c>
      <c r="Z137" s="61" t="inlineStr">
        <is>
          <t>N</t>
        </is>
      </c>
      <c r="AA137" s="61" t="n">
        <v>3</v>
      </c>
      <c r="AB137" s="61" t="n">
        <v>1</v>
      </c>
      <c r="AC137" s="42" t="n">
        <v>0</v>
      </c>
      <c r="AD137" s="42" t="n">
        <v>0</v>
      </c>
      <c r="AE137" s="42" t="n">
        <v>0</v>
      </c>
      <c r="AF137" s="42" t="n">
        <v>0</v>
      </c>
      <c r="AG137" s="42" t="n">
        <v>0</v>
      </c>
      <c r="AH137" s="42" t="n">
        <v>0</v>
      </c>
      <c r="AI137" s="42" t="n">
        <v>0</v>
      </c>
      <c r="AJ137" s="42" t="n">
        <v>0</v>
      </c>
      <c r="AK137" s="42" t="n">
        <v>0</v>
      </c>
      <c r="AL137" s="42" t="n">
        <v>3</v>
      </c>
      <c r="AM137" s="20" t="inlineStr">
        <is>
          <t>Retire</t>
        </is>
      </c>
      <c r="AN137" s="62" t="n">
        <v>0.147</v>
      </c>
      <c r="AO137" s="64">
        <f>--($D137='START HERE'!$C$5)</f>
        <v/>
      </c>
    </row>
    <row r="138" ht="14.25" customHeight="1">
      <c r="B138" s="42" t="n">
        <v>9842</v>
      </c>
      <c r="C138" s="13" t="inlineStr">
        <is>
          <t>C03PCA-JPN</t>
        </is>
      </c>
      <c r="D138" s="20" t="inlineStr">
        <is>
          <t>Storage and Preservation Related</t>
        </is>
      </c>
      <c r="E138" s="20" t="inlineStr">
        <is>
          <t>Policy Owner Servicing Work Flow</t>
        </is>
      </c>
      <c r="F138" s="61" t="inlineStr">
        <is>
          <t>NCD</t>
        </is>
      </c>
      <c r="G138" s="61" t="inlineStr">
        <is>
          <t>T</t>
        </is>
      </c>
      <c r="H138" s="20" t="inlineStr">
        <is>
          <t>Long tail</t>
        </is>
      </c>
      <c r="I138" s="61" t="inlineStr">
        <is>
          <t>Rule 3</t>
        </is>
      </c>
      <c r="J138" s="62" t="n">
        <v>2.88625</v>
      </c>
      <c r="K138" s="62" t="n">
        <v>2.63625</v>
      </c>
      <c r="L138" s="62" t="n">
        <v>0.25</v>
      </c>
      <c r="M138" s="62" t="n">
        <v>0</v>
      </c>
      <c r="N138" s="62" t="n">
        <v>2.63625</v>
      </c>
      <c r="O138" s="62" t="n">
        <v>0</v>
      </c>
      <c r="P138" s="62" t="n">
        <v>0</v>
      </c>
      <c r="Q138" s="62" t="n">
        <v>0</v>
      </c>
      <c r="R138" s="62" t="n">
        <v>2.63625</v>
      </c>
      <c r="S138" s="62" t="n">
        <v>0</v>
      </c>
      <c r="T138" s="62" t="n">
        <v>0</v>
      </c>
      <c r="U138" s="62" t="n">
        <v>0</v>
      </c>
      <c r="V138" s="62" t="n">
        <v>0</v>
      </c>
      <c r="W138" s="63" t="n">
        <v>0.902988306626245</v>
      </c>
      <c r="X138" s="61" t="inlineStr">
        <is>
          <t>No</t>
        </is>
      </c>
      <c r="Y138" s="61" t="inlineStr">
        <is>
          <t>N</t>
        </is>
      </c>
      <c r="Z138" s="61" t="inlineStr">
        <is>
          <t>N</t>
        </is>
      </c>
      <c r="AA138" s="61" t="n">
        <v>3</v>
      </c>
      <c r="AB138" s="61" t="n">
        <v>1</v>
      </c>
      <c r="AC138" s="42" t="n">
        <v>311649</v>
      </c>
      <c r="AD138" s="42" t="n">
        <v>9</v>
      </c>
      <c r="AE138" s="42" t="n">
        <v>0</v>
      </c>
      <c r="AF138" s="42" t="n">
        <v>0</v>
      </c>
      <c r="AG138" s="42" t="n">
        <v>10</v>
      </c>
      <c r="AH138" s="42" t="n">
        <v>0</v>
      </c>
      <c r="AI138" s="42" t="n">
        <v>35</v>
      </c>
      <c r="AJ138" s="42" t="n">
        <v>5</v>
      </c>
      <c r="AK138" s="42" t="n">
        <v>4</v>
      </c>
      <c r="AL138" s="42" t="n">
        <v>29</v>
      </c>
      <c r="AM138" s="20" t="inlineStr">
        <is>
          <t>Maintain (Evolve)</t>
        </is>
      </c>
      <c r="AN138" s="62" t="n">
        <v>0.387</v>
      </c>
      <c r="AO138" s="64">
        <f>--($D138='START HERE'!$C$5)</f>
        <v/>
      </c>
    </row>
    <row r="139" ht="14.25" customHeight="1">
      <c r="B139" s="42" t="n">
        <v>9836</v>
      </c>
      <c r="C139" s="13" t="inlineStr">
        <is>
          <t>C03WRD-JPN</t>
        </is>
      </c>
      <c r="D139" s="20" t="inlineStr">
        <is>
          <t>Storage and Preservation Related</t>
        </is>
      </c>
      <c r="E139" s="20" t="inlineStr">
        <is>
          <t>Policy Owner Servicing Work Flow</t>
        </is>
      </c>
      <c r="F139" s="61" t="inlineStr">
        <is>
          <t>FSI</t>
        </is>
      </c>
      <c r="G139" s="61" t="inlineStr">
        <is>
          <t>T</t>
        </is>
      </c>
      <c r="H139" s="20" t="inlineStr">
        <is>
          <t>Long tail</t>
        </is>
      </c>
      <c r="I139" s="61" t="inlineStr">
        <is>
          <t>Rule 3</t>
        </is>
      </c>
      <c r="J139" s="62" t="n">
        <v>2.52583333333333</v>
      </c>
      <c r="K139" s="62" t="n">
        <v>2.28833333333333</v>
      </c>
      <c r="L139" s="62" t="n">
        <v>0.2375</v>
      </c>
      <c r="M139" s="62" t="n">
        <v>0</v>
      </c>
      <c r="N139" s="62" t="n">
        <v>2.28833333333333</v>
      </c>
      <c r="O139" s="62" t="n">
        <v>0</v>
      </c>
      <c r="P139" s="62" t="n">
        <v>0</v>
      </c>
      <c r="Q139" s="62" t="n">
        <v>0</v>
      </c>
      <c r="R139" s="62" t="n">
        <v>2.18833333333333</v>
      </c>
      <c r="S139" s="62" t="n">
        <v>0</v>
      </c>
      <c r="T139" s="62" t="n">
        <v>0.1</v>
      </c>
      <c r="U139" s="62" t="n">
        <v>0</v>
      </c>
      <c r="V139" s="62" t="n">
        <v>0</v>
      </c>
      <c r="W139" s="63" t="n">
        <v>0.901022764764104</v>
      </c>
      <c r="X139" s="61" t="inlineStr">
        <is>
          <t>No</t>
        </is>
      </c>
      <c r="Y139" s="61" t="inlineStr">
        <is>
          <t>N</t>
        </is>
      </c>
      <c r="Z139" s="61" t="inlineStr">
        <is>
          <t>Y</t>
        </is>
      </c>
      <c r="AA139" s="61" t="n">
        <v>3</v>
      </c>
      <c r="AB139" s="61" t="n">
        <v>1</v>
      </c>
      <c r="AC139" s="42" t="n">
        <v>125022</v>
      </c>
      <c r="AD139" s="42" t="n">
        <v>0</v>
      </c>
      <c r="AE139" s="42" t="n">
        <v>0</v>
      </c>
      <c r="AF139" s="42" t="n">
        <v>0</v>
      </c>
      <c r="AG139" s="42" t="n">
        <v>2</v>
      </c>
      <c r="AH139" s="42" t="n">
        <v>6</v>
      </c>
      <c r="AI139" s="42" t="n">
        <v>50</v>
      </c>
      <c r="AJ139" s="42" t="n">
        <v>1</v>
      </c>
      <c r="AK139" s="42" t="n">
        <v>0</v>
      </c>
      <c r="AL139" s="42" t="n">
        <v>31</v>
      </c>
      <c r="AM139" s="20" t="inlineStr">
        <is>
          <t>Maintain (Evolve)</t>
        </is>
      </c>
      <c r="AN139" s="62" t="n">
        <v>0.336</v>
      </c>
      <c r="AO139" s="64">
        <f>--($D139='START HERE'!$C$5)</f>
        <v/>
      </c>
    </row>
    <row r="140" ht="14.25" customHeight="1">
      <c r="B140" s="42" t="n">
        <v>9994</v>
      </c>
      <c r="C140" s="13" t="inlineStr">
        <is>
          <t>WPMAUD-JPN</t>
        </is>
      </c>
      <c r="D140" s="20" t="inlineStr">
        <is>
          <t>Storage and Preservation Related</t>
        </is>
      </c>
      <c r="E140" s="20" t="inlineStr">
        <is>
          <t>Policy Owner Servicing Work Flow</t>
        </is>
      </c>
      <c r="F140" s="61" t="inlineStr">
        <is>
          <t>FSI</t>
        </is>
      </c>
      <c r="G140" s="61" t="inlineStr">
        <is>
          <t>T</t>
        </is>
      </c>
      <c r="H140" s="20" t="inlineStr">
        <is>
          <t>Long tail</t>
        </is>
      </c>
      <c r="I140" s="61" t="inlineStr">
        <is>
          <t>Rule 3</t>
        </is>
      </c>
      <c r="J140" s="62" t="n">
        <v>1.17291666666667</v>
      </c>
      <c r="K140" s="62" t="n">
        <v>1.02291666666667</v>
      </c>
      <c r="L140" s="62" t="n">
        <v>0.15</v>
      </c>
      <c r="M140" s="62" t="n">
        <v>0</v>
      </c>
      <c r="N140" s="62" t="n">
        <v>1.02291666666667</v>
      </c>
      <c r="O140" s="62" t="n">
        <v>0</v>
      </c>
      <c r="P140" s="62" t="n">
        <v>0</v>
      </c>
      <c r="Q140" s="62" t="n">
        <v>0</v>
      </c>
      <c r="R140" s="62" t="n">
        <v>1.02291666666667</v>
      </c>
      <c r="S140" s="62" t="n">
        <v>0</v>
      </c>
      <c r="T140" s="62" t="n">
        <v>0</v>
      </c>
      <c r="U140" s="62" t="n">
        <v>0</v>
      </c>
      <c r="V140" s="62" t="n">
        <v>0</v>
      </c>
      <c r="W140" s="63" t="n">
        <v>0.428063943161634</v>
      </c>
      <c r="X140" s="61" t="inlineStr">
        <is>
          <t>Yes</t>
        </is>
      </c>
      <c r="Y140" s="61" t="inlineStr">
        <is>
          <t>N</t>
        </is>
      </c>
      <c r="Z140" s="61" t="inlineStr">
        <is>
          <t>N</t>
        </is>
      </c>
      <c r="AA140" s="61" t="n">
        <v>3</v>
      </c>
      <c r="AB140" s="61" t="n">
        <v>1</v>
      </c>
      <c r="AC140" s="42" t="n">
        <v>649133</v>
      </c>
      <c r="AD140" s="42" t="n">
        <v>32</v>
      </c>
      <c r="AE140" s="42" t="n">
        <v>0</v>
      </c>
      <c r="AF140" s="42" t="n">
        <v>0</v>
      </c>
      <c r="AG140" s="42" t="n">
        <v>8</v>
      </c>
      <c r="AH140" s="42" t="n">
        <v>29</v>
      </c>
      <c r="AI140" s="42" t="n">
        <v>71</v>
      </c>
      <c r="AJ140" s="42" t="n">
        <v>6</v>
      </c>
      <c r="AK140" s="42" t="n">
        <v>0</v>
      </c>
      <c r="AL140" s="42" t="n">
        <v>190</v>
      </c>
      <c r="AM140" s="20" t="inlineStr">
        <is>
          <t>Maintain (Patch)</t>
        </is>
      </c>
      <c r="AN140" s="62" t="n">
        <v>0.15</v>
      </c>
      <c r="AO140" s="64">
        <f>--($D140='START HERE'!$C$5)</f>
        <v/>
      </c>
    </row>
    <row r="141" ht="23.25" customHeight="1">
      <c r="B141" s="42" t="n">
        <v>13274</v>
      </c>
      <c r="C141" s="13" t="inlineStr">
        <is>
          <t>DSP</t>
        </is>
      </c>
      <c r="D141" s="20" t="inlineStr">
        <is>
          <t>Storage and Preservation Related</t>
        </is>
      </c>
      <c r="E141" s="20" t="inlineStr">
        <is>
          <t>Policy Owner Servicing Work Flow</t>
        </is>
      </c>
      <c r="F141" s="61" t="inlineStr">
        <is>
          <t>unnamed</t>
        </is>
      </c>
      <c r="G141" s="61" t="inlineStr">
        <is>
          <t>T</t>
        </is>
      </c>
      <c r="H141" s="20" t="inlineStr">
        <is>
          <t>Long tail</t>
        </is>
      </c>
      <c r="I141" s="61" t="inlineStr">
        <is>
          <t>Rule 3</t>
        </is>
      </c>
      <c r="J141" s="62" t="n">
        <v>1</v>
      </c>
      <c r="K141" s="62" t="n">
        <v>0</v>
      </c>
      <c r="L141" s="62" t="n">
        <v>1</v>
      </c>
      <c r="M141" s="62" t="n">
        <v>0</v>
      </c>
      <c r="N141" s="62" t="n">
        <v>0</v>
      </c>
      <c r="O141" s="62" t="n">
        <v>0</v>
      </c>
      <c r="P141" s="62" t="n">
        <v>0</v>
      </c>
      <c r="Q141" s="62" t="n">
        <v>0</v>
      </c>
      <c r="R141" s="62" t="n">
        <v>0</v>
      </c>
      <c r="S141" s="62" t="n">
        <v>0</v>
      </c>
      <c r="T141" s="62" t="n">
        <v>0</v>
      </c>
      <c r="U141" s="62" t="n">
        <v>0</v>
      </c>
      <c r="V141" s="62" t="n">
        <v>0</v>
      </c>
      <c r="W141" s="63" t="n">
        <v>1</v>
      </c>
      <c r="X141" s="61" t="inlineStr">
        <is>
          <t>No</t>
        </is>
      </c>
      <c r="Y141" s="61" t="inlineStr">
        <is>
          <t>N</t>
        </is>
      </c>
      <c r="Z141" s="61" t="inlineStr">
        <is>
          <t>N</t>
        </is>
      </c>
      <c r="AA141" s="61" t="n">
        <v>1</v>
      </c>
      <c r="AB141" s="61" t="n">
        <v>3</v>
      </c>
      <c r="AC141" s="42" t="n">
        <v>0</v>
      </c>
      <c r="AD141" s="42" t="n">
        <v>0</v>
      </c>
      <c r="AE141" s="42" t="n">
        <v>0</v>
      </c>
      <c r="AF141" s="42" t="n">
        <v>0</v>
      </c>
      <c r="AG141" s="42" t="n">
        <v>1</v>
      </c>
      <c r="AH141" s="42" t="n">
        <v>0</v>
      </c>
      <c r="AI141" s="42" t="n">
        <v>0</v>
      </c>
      <c r="AJ141" s="42" t="n">
        <v>1</v>
      </c>
      <c r="AK141" s="42" t="n">
        <v>0</v>
      </c>
      <c r="AL141" s="42" t="n">
        <v>1</v>
      </c>
      <c r="AM141" s="20" t="inlineStr">
        <is>
          <t>Maintain (Patch)</t>
        </is>
      </c>
      <c r="AN141" s="62" t="n">
        <v>0</v>
      </c>
      <c r="AO141" s="64">
        <f>--($D141='START HERE'!$C$5)</f>
        <v/>
      </c>
    </row>
    <row r="142" ht="23.25" customHeight="1">
      <c r="B142" s="42" t="n">
        <v>13500</v>
      </c>
      <c r="C142" s="13" t="inlineStr">
        <is>
          <t>Scan Manager</t>
        </is>
      </c>
      <c r="D142" s="20" t="inlineStr">
        <is>
          <t>Storage and Preservation Related</t>
        </is>
      </c>
      <c r="E142" s="20" t="inlineStr">
        <is>
          <t>Policy Owner Servicing Work Flow</t>
        </is>
      </c>
      <c r="F142" s="61" t="inlineStr">
        <is>
          <t>unnamed</t>
        </is>
      </c>
      <c r="G142" s="61" t="inlineStr">
        <is>
          <t>T</t>
        </is>
      </c>
      <c r="H142" s="20" t="inlineStr">
        <is>
          <t>Long tail</t>
        </is>
      </c>
      <c r="I142" s="61" t="inlineStr">
        <is>
          <t>Rule 3</t>
        </is>
      </c>
      <c r="J142" s="62" t="n">
        <v>0.595833333333333</v>
      </c>
      <c r="K142" s="62" t="n">
        <v>0.395833333333333</v>
      </c>
      <c r="L142" s="62" t="n">
        <v>0.2</v>
      </c>
      <c r="M142" s="62" t="n">
        <v>0</v>
      </c>
      <c r="N142" s="62" t="n">
        <v>0.354166666666667</v>
      </c>
      <c r="O142" s="62" t="n">
        <v>0.0416666666666667</v>
      </c>
      <c r="P142" s="62" t="n">
        <v>0</v>
      </c>
      <c r="Q142" s="62" t="n">
        <v>0</v>
      </c>
      <c r="R142" s="62" t="n">
        <v>0.354166666666667</v>
      </c>
      <c r="S142" s="62" t="n">
        <v>0.0416666666666667</v>
      </c>
      <c r="T142" s="62" t="n">
        <v>0</v>
      </c>
      <c r="U142" s="62" t="n">
        <v>0</v>
      </c>
      <c r="V142" s="62" t="n">
        <v>0</v>
      </c>
      <c r="W142" s="63" t="n">
        <v>0.664335664335664</v>
      </c>
      <c r="X142" s="61" t="inlineStr">
        <is>
          <t>No</t>
        </is>
      </c>
      <c r="Y142" s="61" t="inlineStr">
        <is>
          <t>N</t>
        </is>
      </c>
      <c r="Z142" s="61" t="inlineStr">
        <is>
          <t>N</t>
        </is>
      </c>
      <c r="AA142" s="61" t="n">
        <v>3</v>
      </c>
      <c r="AB142" s="61" t="n">
        <v>1</v>
      </c>
      <c r="AC142" s="42" t="n">
        <v>16693</v>
      </c>
      <c r="AD142" s="42" t="n">
        <v>4</v>
      </c>
      <c r="AE142" s="42" t="n">
        <v>0</v>
      </c>
      <c r="AF142" s="42" t="n">
        <v>0</v>
      </c>
      <c r="AG142" s="42" t="n">
        <v>1</v>
      </c>
      <c r="AH142" s="42" t="n">
        <v>0</v>
      </c>
      <c r="AI142" s="42" t="n">
        <v>2</v>
      </c>
      <c r="AJ142" s="42" t="n">
        <v>1</v>
      </c>
      <c r="AK142" s="42" t="n">
        <v>0</v>
      </c>
      <c r="AL142" s="42" t="n">
        <v>6</v>
      </c>
      <c r="AM142" s="20" t="inlineStr">
        <is>
          <t>Refactor</t>
        </is>
      </c>
      <c r="AN142" s="62" t="n">
        <v>0.058</v>
      </c>
      <c r="AO142" s="64">
        <f>--($D142='START HERE'!$C$5)</f>
        <v/>
      </c>
    </row>
    <row r="143" ht="14.25" customHeight="1">
      <c r="B143" s="42" t="n">
        <v>11893</v>
      </c>
      <c r="C143" s="13" t="inlineStr">
        <is>
          <t>W03CCP-JPN</t>
        </is>
      </c>
      <c r="D143" s="20" t="inlineStr">
        <is>
          <t>Storage and Preservation Related</t>
        </is>
      </c>
      <c r="E143" s="20" t="inlineStr">
        <is>
          <t>Policy Owner Servicing Work Flow</t>
        </is>
      </c>
      <c r="F143" s="61" t="inlineStr">
        <is>
          <t>NCD</t>
        </is>
      </c>
      <c r="G143" s="61" t="inlineStr">
        <is>
          <t>T</t>
        </is>
      </c>
      <c r="H143" s="20" t="inlineStr">
        <is>
          <t>Long tail</t>
        </is>
      </c>
      <c r="I143" s="61" t="inlineStr">
        <is>
          <t>Rule 3</t>
        </is>
      </c>
      <c r="J143" s="62" t="n">
        <v>0.354166666666667</v>
      </c>
      <c r="K143" s="62" t="n">
        <v>0.254166666666667</v>
      </c>
      <c r="L143" s="62" t="n">
        <v>0.1</v>
      </c>
      <c r="M143" s="62" t="n">
        <v>0</v>
      </c>
      <c r="N143" s="62" t="n">
        <v>0.254166666666667</v>
      </c>
      <c r="O143" s="62" t="n">
        <v>0</v>
      </c>
      <c r="P143" s="62" t="n">
        <v>0</v>
      </c>
      <c r="Q143" s="62" t="n">
        <v>0</v>
      </c>
      <c r="R143" s="62" t="n">
        <v>0.254166666666667</v>
      </c>
      <c r="S143" s="62" t="n">
        <v>0</v>
      </c>
      <c r="T143" s="62" t="n">
        <v>0</v>
      </c>
      <c r="U143" s="62" t="n">
        <v>0</v>
      </c>
      <c r="V143" s="62" t="n">
        <v>0</v>
      </c>
      <c r="W143" s="63" t="n">
        <v>0.5647058823529409</v>
      </c>
      <c r="X143" s="61" t="inlineStr">
        <is>
          <t>Yes</t>
        </is>
      </c>
      <c r="Y143" s="61" t="inlineStr">
        <is>
          <t>N</t>
        </is>
      </c>
      <c r="Z143" s="61" t="inlineStr">
        <is>
          <t>N</t>
        </is>
      </c>
      <c r="AA143" s="61" t="n">
        <v>3</v>
      </c>
      <c r="AB143" s="61" t="n">
        <v>1</v>
      </c>
      <c r="AC143" s="42" t="n">
        <v>22000</v>
      </c>
      <c r="AD143" s="42" t="n">
        <v>7</v>
      </c>
      <c r="AE143" s="42" t="n">
        <v>0</v>
      </c>
      <c r="AF143" s="42" t="n">
        <v>0</v>
      </c>
      <c r="AG143" s="42" t="n">
        <v>1</v>
      </c>
      <c r="AH143" s="42" t="n">
        <v>2</v>
      </c>
      <c r="AI143" s="42" t="n">
        <v>1</v>
      </c>
      <c r="AJ143" s="42" t="n">
        <v>1</v>
      </c>
      <c r="AK143" s="42" t="n">
        <v>0</v>
      </c>
      <c r="AL143" s="42" t="n">
        <v>50</v>
      </c>
      <c r="AM143" s="20" t="inlineStr">
        <is>
          <t>Maintain (Patch)</t>
        </is>
      </c>
      <c r="AN143" s="62" t="n">
        <v>0.037</v>
      </c>
      <c r="AO143" s="64">
        <f>--($D143='START HERE'!$C$5)</f>
        <v/>
      </c>
    </row>
    <row r="144" ht="14.25" customHeight="1">
      <c r="B144" s="42" t="n">
        <v>9834</v>
      </c>
      <c r="C144" s="13" t="inlineStr">
        <is>
          <t>C03WRE-JPN</t>
        </is>
      </c>
      <c r="D144" s="20" t="inlineStr">
        <is>
          <t>Storage and Preservation Related</t>
        </is>
      </c>
      <c r="E144" s="20" t="inlineStr">
        <is>
          <t>Policy Owner Servicing Work Flow</t>
        </is>
      </c>
      <c r="F144" s="61" t="inlineStr">
        <is>
          <t>FSI</t>
        </is>
      </c>
      <c r="G144" s="61" t="inlineStr">
        <is>
          <t>T</t>
        </is>
      </c>
      <c r="H144" s="20" t="inlineStr">
        <is>
          <t>Long tail</t>
        </is>
      </c>
      <c r="I144" s="61" t="inlineStr">
        <is>
          <t>Rule 3</t>
        </is>
      </c>
      <c r="J144" s="62" t="n">
        <v>0.333333333333333</v>
      </c>
      <c r="K144" s="62" t="n">
        <v>0.133333333333333</v>
      </c>
      <c r="L144" s="62" t="n">
        <v>0.2</v>
      </c>
      <c r="M144" s="62" t="n">
        <v>0</v>
      </c>
      <c r="N144" s="62" t="n">
        <v>0.133333333333333</v>
      </c>
      <c r="O144" s="62" t="n">
        <v>0</v>
      </c>
      <c r="P144" s="62" t="n">
        <v>0</v>
      </c>
      <c r="Q144" s="62" t="n">
        <v>0</v>
      </c>
      <c r="R144" s="62" t="n">
        <v>0.0333333333333333</v>
      </c>
      <c r="S144" s="62" t="n">
        <v>0</v>
      </c>
      <c r="T144" s="62" t="n">
        <v>0.1</v>
      </c>
      <c r="U144" s="62" t="n">
        <v>0</v>
      </c>
      <c r="V144" s="62" t="n">
        <v>0</v>
      </c>
      <c r="W144" s="63" t="n">
        <v>0.325842696629213</v>
      </c>
      <c r="X144" s="61" t="inlineStr">
        <is>
          <t>No</t>
        </is>
      </c>
      <c r="Y144" s="61" t="inlineStr">
        <is>
          <t>N</t>
        </is>
      </c>
      <c r="Z144" s="61" t="inlineStr">
        <is>
          <t>Y</t>
        </is>
      </c>
      <c r="AA144" s="61" t="n">
        <v>3</v>
      </c>
      <c r="AB144" s="61" t="n">
        <v>1</v>
      </c>
      <c r="AC144" s="42" t="n">
        <v>183197</v>
      </c>
      <c r="AD144" s="42" t="n">
        <v>21</v>
      </c>
      <c r="AE144" s="42" t="n">
        <v>0</v>
      </c>
      <c r="AF144" s="42" t="n">
        <v>0</v>
      </c>
      <c r="AG144" s="42" t="n">
        <v>14</v>
      </c>
      <c r="AH144" s="42" t="n">
        <v>4</v>
      </c>
      <c r="AI144" s="42" t="n">
        <v>51</v>
      </c>
      <c r="AJ144" s="42" t="n">
        <v>6</v>
      </c>
      <c r="AK144" s="42" t="n">
        <v>0</v>
      </c>
      <c r="AL144" s="42" t="n">
        <v>37</v>
      </c>
      <c r="AM144" s="20" t="inlineStr">
        <is>
          <t>Retire</t>
        </is>
      </c>
      <c r="AN144" s="62" t="n">
        <v>0.02</v>
      </c>
      <c r="AO144" s="64">
        <f>--($D144='START HERE'!$C$5)</f>
        <v/>
      </c>
    </row>
    <row r="145" ht="14.25" customHeight="1">
      <c r="B145" s="42" t="n">
        <v>9879</v>
      </c>
      <c r="C145" s="13" t="inlineStr">
        <is>
          <t>W03PIU-JPN</t>
        </is>
      </c>
      <c r="D145" s="20" t="inlineStr">
        <is>
          <t>Storage and Preservation Related</t>
        </is>
      </c>
      <c r="E145" s="20" t="inlineStr">
        <is>
          <t>Policy Owner Servicing Work Flow</t>
        </is>
      </c>
      <c r="F145" s="61" t="inlineStr">
        <is>
          <t>NCD</t>
        </is>
      </c>
      <c r="G145" s="61" t="inlineStr">
        <is>
          <t>T</t>
        </is>
      </c>
      <c r="H145" s="20" t="inlineStr">
        <is>
          <t>Long tail</t>
        </is>
      </c>
      <c r="I145" s="61" t="inlineStr">
        <is>
          <t>Rule 3</t>
        </is>
      </c>
      <c r="J145" s="62" t="n">
        <v>0.308333333333333</v>
      </c>
      <c r="K145" s="62" t="n">
        <v>0.208333333333333</v>
      </c>
      <c r="L145" s="62" t="n">
        <v>0.1</v>
      </c>
      <c r="M145" s="62" t="n">
        <v>0</v>
      </c>
      <c r="N145" s="62" t="n">
        <v>0.208333333333333</v>
      </c>
      <c r="O145" s="62" t="n">
        <v>0</v>
      </c>
      <c r="P145" s="62" t="n">
        <v>0</v>
      </c>
      <c r="Q145" s="62" t="n">
        <v>0</v>
      </c>
      <c r="R145" s="62" t="n">
        <v>0.208333333333333</v>
      </c>
      <c r="S145" s="62" t="n">
        <v>0</v>
      </c>
      <c r="T145" s="62" t="n">
        <v>0</v>
      </c>
      <c r="U145" s="62" t="n">
        <v>0</v>
      </c>
      <c r="V145" s="62" t="n">
        <v>0</v>
      </c>
      <c r="W145" s="63" t="n">
        <v>0.675675675675676</v>
      </c>
      <c r="X145" s="61" t="inlineStr">
        <is>
          <t>No</t>
        </is>
      </c>
      <c r="Y145" s="61" t="inlineStr">
        <is>
          <t>N</t>
        </is>
      </c>
      <c r="Z145" s="61" t="inlineStr">
        <is>
          <t>N</t>
        </is>
      </c>
      <c r="AA145" s="61" t="n">
        <v>3</v>
      </c>
      <c r="AB145" s="61" t="n">
        <v>1</v>
      </c>
      <c r="AC145" s="42" t="n">
        <v>228784</v>
      </c>
      <c r="AD145" s="42" t="n">
        <v>1</v>
      </c>
      <c r="AE145" s="42" t="n">
        <v>0</v>
      </c>
      <c r="AF145" s="42" t="n">
        <v>0</v>
      </c>
      <c r="AG145" s="42" t="n">
        <v>2</v>
      </c>
      <c r="AH145" s="42" t="n">
        <v>0</v>
      </c>
      <c r="AI145" s="42" t="n">
        <v>10</v>
      </c>
      <c r="AJ145" s="42" t="n">
        <v>0</v>
      </c>
      <c r="AK145" s="42" t="n">
        <v>0</v>
      </c>
      <c r="AL145" s="42" t="n">
        <v>22</v>
      </c>
      <c r="AM145" s="20" t="inlineStr">
        <is>
          <t>Maintain (Evolve)</t>
        </is>
      </c>
      <c r="AN145" s="62" t="n">
        <v>0.031</v>
      </c>
      <c r="AO145" s="64">
        <f>--($D145='START HERE'!$C$5)</f>
        <v/>
      </c>
    </row>
    <row r="146" ht="23.25" customHeight="1">
      <c r="B146" s="42" t="n">
        <v>12675</v>
      </c>
      <c r="C146" s="13" t="inlineStr">
        <is>
          <t>JP-DB2-CONNECT</t>
        </is>
      </c>
      <c r="D146" s="20" t="inlineStr">
        <is>
          <t>Storage and Preservation Related</t>
        </is>
      </c>
      <c r="E146" s="20" t="inlineStr">
        <is>
          <t>Policy Owner Servicing Work Flow</t>
        </is>
      </c>
      <c r="F146" s="61" t="inlineStr">
        <is>
          <t>unnamed</t>
        </is>
      </c>
      <c r="G146" s="61" t="inlineStr">
        <is>
          <t>T</t>
        </is>
      </c>
      <c r="H146" s="20" t="inlineStr">
        <is>
          <t>Long tail</t>
        </is>
      </c>
      <c r="I146" s="61" t="inlineStr">
        <is>
          <t>Rule 3</t>
        </is>
      </c>
      <c r="J146" s="62" t="n">
        <v>0.1</v>
      </c>
      <c r="K146" s="62" t="n">
        <v>0</v>
      </c>
      <c r="L146" s="62" t="n">
        <v>0.1</v>
      </c>
      <c r="M146" s="62" t="n">
        <v>0</v>
      </c>
      <c r="N146" s="62" t="n">
        <v>0</v>
      </c>
      <c r="O146" s="62" t="n">
        <v>0</v>
      </c>
      <c r="P146" s="62" t="n">
        <v>0</v>
      </c>
      <c r="Q146" s="62" t="n">
        <v>0</v>
      </c>
      <c r="R146" s="62" t="n">
        <v>0</v>
      </c>
      <c r="S146" s="62" t="n">
        <v>0</v>
      </c>
      <c r="T146" s="62" t="n">
        <v>0</v>
      </c>
      <c r="U146" s="62" t="n">
        <v>0</v>
      </c>
      <c r="V146" s="62" t="n">
        <v>0</v>
      </c>
      <c r="W146" s="63" t="n">
        <v>0</v>
      </c>
      <c r="X146" s="61" t="inlineStr">
        <is>
          <t>No</t>
        </is>
      </c>
      <c r="Y146" s="61" t="inlineStr">
        <is>
          <t>N</t>
        </is>
      </c>
      <c r="Z146" s="61" t="inlineStr">
        <is>
          <t>N</t>
        </is>
      </c>
      <c r="AA146" s="61" t="inlineStr">
        <is>
          <t>N/A</t>
        </is>
      </c>
      <c r="AB146" s="61" t="inlineStr">
        <is>
          <t>N/A</t>
        </is>
      </c>
      <c r="AC146" s="42" t="n">
        <v>0</v>
      </c>
      <c r="AD146" s="42" t="n">
        <v>0</v>
      </c>
      <c r="AE146" s="42" t="n">
        <v>0</v>
      </c>
      <c r="AF146" s="42" t="n">
        <v>0</v>
      </c>
      <c r="AG146" s="42" t="n">
        <v>0</v>
      </c>
      <c r="AH146" s="42" t="n">
        <v>0</v>
      </c>
      <c r="AI146" s="42" t="n">
        <v>0</v>
      </c>
      <c r="AJ146" s="42" t="n">
        <v>0</v>
      </c>
      <c r="AK146" s="42" t="n">
        <v>0</v>
      </c>
      <c r="AL146" s="42" t="n">
        <v>0</v>
      </c>
      <c r="AM146" s="20" t="inlineStr">
        <is>
          <t>Maintain (Patch)</t>
        </is>
      </c>
      <c r="AN146" s="62" t="n">
        <v>0</v>
      </c>
      <c r="AO146" s="64">
        <f>--($D146='START HERE'!$C$5)</f>
        <v/>
      </c>
    </row>
    <row r="147" ht="36" customHeight="1">
      <c r="B147" s="23" t="inlineStr">
        <is>
          <t>PORTFOLIO TOTAL</t>
        </is>
      </c>
      <c r="J147" s="16">
        <f>SUM(J5:J146)</f>
        <v/>
      </c>
      <c r="K147" s="16">
        <f>SUM(K5:K146)</f>
        <v/>
      </c>
      <c r="L147" s="16">
        <f>SUM(L5:L146)</f>
        <v/>
      </c>
      <c r="M147" s="16">
        <f>SUM(M5:M146)</f>
        <v/>
      </c>
      <c r="N147" s="16">
        <f>SUM(N5:N146)</f>
        <v/>
      </c>
      <c r="O147" s="16">
        <f>SUM(O5:O146)</f>
        <v/>
      </c>
      <c r="P147" s="16">
        <f>SUM(P5:P146)</f>
        <v/>
      </c>
      <c r="Q147" s="16">
        <f>SUM(Q5:Q146)</f>
        <v/>
      </c>
      <c r="R147" s="16">
        <f>SUM(R5:R146)</f>
        <v/>
      </c>
      <c r="S147" s="16">
        <f>SUM(S5:S146)</f>
        <v/>
      </c>
      <c r="T147" s="16">
        <f>SUM(T5:T146)</f>
        <v/>
      </c>
      <c r="U147" s="16">
        <f>SUM(U5:U146)</f>
        <v/>
      </c>
      <c r="V147" s="16">
        <f>SUM(V5:V146)</f>
        <v/>
      </c>
      <c r="AD147" s="14">
        <f>SUM(AD5:AD146)</f>
        <v/>
      </c>
      <c r="AE147" s="14">
        <f>SUM(AE5:AE146)</f>
        <v/>
      </c>
      <c r="AF147" s="14">
        <f>SUM(AF5:AF146)</f>
        <v/>
      </c>
      <c r="AG147" s="14">
        <f>SUM(AG5:AG146)</f>
        <v/>
      </c>
      <c r="AH147" s="14">
        <f>SUM(AH5:AH146)</f>
        <v/>
      </c>
      <c r="AI147" s="14">
        <f>SUM(AI5:AI146)</f>
        <v/>
      </c>
      <c r="AJ147" s="14">
        <f>SUM(AJ5:AJ146)</f>
        <v/>
      </c>
      <c r="AK147" s="14">
        <f>SUM(AK5:AK146)</f>
        <v/>
      </c>
      <c r="AN147" s="16">
        <f>SUM(AN5:AN146)</f>
        <v/>
      </c>
      <c r="AO147" s="36">
        <f>SUM(AO5:AO146)</f>
        <v/>
      </c>
    </row>
    <row r="149" ht="30" customHeight="1">
      <c r="B149" s="15" t="inlineStr">
        <is>
          <t>142 applications, 1,528.907 units. The Contract Management 領域 is 28 applications and the Data Infrastructure 領域 is 3; the SUMIFS do not care. Archetype: M mainframe-adjacent modernisation candidate · L legacy core · D distributed-proven · P cloud-present · J Japan-locked · T long tail. The classifier is six ordered rules and lives in the Golden Application Inventory v4 workbook, column by column, if you need to audit a call.</t>
        </is>
      </c>
    </row>
  </sheetData>
  <mergeCells count="3">
    <mergeCell ref="A2:AO2"/>
    <mergeCell ref="A1:AO1"/>
    <mergeCell ref="B149:U149"/>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M34"/>
  <sheetViews>
    <sheetView zoomScaleNormal="100" workbookViewId="0">
      <selection activeCell="A1" sqref="A1"/>
    </sheetView>
  </sheetViews>
  <sheetFormatPr baseColWidth="8" defaultColWidth="8.6328125" defaultRowHeight="14.5"/>
  <cols>
    <col width="2.453125" customWidth="1" min="1" max="1"/>
    <col width="26" customWidth="1" min="2" max="2"/>
    <col width="30" customWidth="1" min="3" max="3"/>
    <col width="6" customWidth="1" min="4" max="4"/>
    <col width="34" customWidth="1" min="5" max="5"/>
    <col width="7" customWidth="1" min="6" max="6"/>
    <col width="11" customWidth="1" min="7" max="7"/>
    <col width="12" customWidth="1" min="8" max="8"/>
    <col width="11" customWidth="1" min="9" max="9"/>
    <col width="10" customWidth="1" min="10" max="12"/>
    <col width="13" customWidth="1" min="13" max="13"/>
    <col width="34" customWidth="1" min="14" max="14"/>
  </cols>
  <sheetData>
    <row r="1" ht="25.5" customHeight="1">
      <c r="A1" s="8" t="inlineStr">
        <is>
          <t>Value streams  —  every 領域, in the order the Value Streams sheet reads them</t>
        </is>
      </c>
    </row>
    <row r="2" ht="15" customHeight="1">
      <c r="A2" s="7" t="inlineStr">
        <is>
          <t>Read-only. Derived from Appendix 3 v5 by grouping the inventory on 領域 and value stream.</t>
        </is>
      </c>
    </row>
    <row r="4" ht="21.75" customHeight="1">
      <c r="B4" s="12" t="inlineStr">
        <is>
          <t>Key</t>
        </is>
      </c>
      <c r="C4" s="60" t="inlineStr">
        <is>
          <t>領域</t>
        </is>
      </c>
      <c r="D4" s="12" t="inlineStr">
        <is>
          <t>#</t>
        </is>
      </c>
      <c r="E4" s="12" t="inlineStr">
        <is>
          <t>Value stream</t>
        </is>
      </c>
      <c r="F4" s="12" t="inlineStr">
        <is>
          <t>Apps</t>
        </is>
      </c>
      <c r="G4" s="12" t="inlineStr">
        <is>
          <t>Effort</t>
        </is>
      </c>
      <c r="H4" s="12" t="inlineStr">
        <is>
          <t>Method today</t>
        </is>
      </c>
      <c r="I4" s="12" t="inlineStr">
        <is>
          <t>Current FTC</t>
        </is>
      </c>
      <c r="J4" s="12" t="inlineStr">
        <is>
          <t>FTE</t>
        </is>
      </c>
      <c r="K4" s="12" t="inlineStr">
        <is>
          <t>MGCC</t>
        </is>
      </c>
      <c r="L4" s="12" t="inlineStr">
        <is>
          <t>CG heads</t>
        </is>
      </c>
      <c r="M4" s="12" t="inlineStr">
        <is>
          <t>Vendor position today</t>
        </is>
      </c>
    </row>
    <row r="5" ht="24" customHeight="1">
      <c r="B5" s="49" t="inlineStr">
        <is>
          <t>Fee Management|1</t>
        </is>
      </c>
      <c r="C5" s="20" t="inlineStr">
        <is>
          <t>Fee Management</t>
        </is>
      </c>
      <c r="D5" s="42" t="n">
        <v>1</v>
      </c>
      <c r="E5" s="13" t="inlineStr">
        <is>
          <t>Commission Processing &amp; Management</t>
        </is>
      </c>
      <c r="F5" s="42" t="n">
        <v>5</v>
      </c>
      <c r="G5" s="62" t="n">
        <v>48.5103</v>
      </c>
      <c r="H5" s="61" t="inlineStr">
        <is>
          <t>Waterfall</t>
        </is>
      </c>
      <c r="I5" s="62" t="n">
        <v>38.1478</v>
      </c>
      <c r="J5" s="62" t="n">
        <v>9.779199999999999</v>
      </c>
      <c r="K5" s="62" t="n">
        <v>0.5833</v>
      </c>
      <c r="L5" s="65" t="n">
        <v>1</v>
      </c>
      <c r="M5" s="66" t="inlineStr">
        <is>
          <t>none named</t>
        </is>
      </c>
    </row>
    <row r="6" ht="14.25" customHeight="1">
      <c r="B6" s="49" t="inlineStr">
        <is>
          <t>Contract Management|1</t>
        </is>
      </c>
      <c r="C6" s="20" t="inlineStr">
        <is>
          <t>Contract Management</t>
        </is>
      </c>
      <c r="D6" s="42" t="n">
        <v>1</v>
      </c>
      <c r="E6" s="13" t="inlineStr">
        <is>
          <t>Mainframe Policy Management Cycle</t>
        </is>
      </c>
      <c r="F6" s="42" t="n">
        <v>5</v>
      </c>
      <c r="G6" s="62" t="n">
        <v>67.31310000000001</v>
      </c>
      <c r="H6" s="61" t="inlineStr">
        <is>
          <t>Waterfall</t>
        </is>
      </c>
      <c r="I6" s="62" t="n">
        <v>59.559</v>
      </c>
      <c r="J6" s="62" t="n">
        <v>7.7542</v>
      </c>
      <c r="K6" s="62" t="n">
        <v>0</v>
      </c>
      <c r="L6" s="65" t="n">
        <v>0</v>
      </c>
      <c r="M6" s="66" t="inlineStr">
        <is>
          <t>FSI 59.6</t>
        </is>
      </c>
    </row>
    <row r="7" ht="14.25" customHeight="1">
      <c r="B7" s="49" t="inlineStr">
        <is>
          <t>Contract Management|2</t>
        </is>
      </c>
      <c r="C7" s="20" t="inlineStr">
        <is>
          <t>Contract Management</t>
        </is>
      </c>
      <c r="D7" s="42" t="n">
        <v>2</v>
      </c>
      <c r="E7" s="13" t="inlineStr">
        <is>
          <t>Mainframe Lifecomm Sub-systems</t>
        </is>
      </c>
      <c r="F7" s="42" t="n">
        <v>9</v>
      </c>
      <c r="G7" s="62" t="n">
        <v>62.2997</v>
      </c>
      <c r="H7" s="61" t="inlineStr">
        <is>
          <t>Waterfall</t>
        </is>
      </c>
      <c r="I7" s="62" t="n">
        <v>56.798</v>
      </c>
      <c r="J7" s="62" t="n">
        <v>5.5017</v>
      </c>
      <c r="K7" s="62" t="n">
        <v>0</v>
      </c>
      <c r="L7" s="65" t="n">
        <v>0</v>
      </c>
      <c r="M7" s="66" t="inlineStr">
        <is>
          <t>FSI 55.8</t>
        </is>
      </c>
    </row>
    <row r="8" ht="14.25" customHeight="1">
      <c r="B8" s="49" t="inlineStr">
        <is>
          <t>Contract Management|3</t>
        </is>
      </c>
      <c r="C8" s="20" t="inlineStr">
        <is>
          <t>Contract Management</t>
        </is>
      </c>
      <c r="D8" s="42" t="n">
        <v>3</v>
      </c>
      <c r="E8" s="13" t="inlineStr">
        <is>
          <t>Mainframe Reporting &amp; Tax</t>
        </is>
      </c>
      <c r="F8" s="42" t="n">
        <v>5</v>
      </c>
      <c r="G8" s="62" t="n">
        <v>35.6808</v>
      </c>
      <c r="H8" s="61" t="inlineStr">
        <is>
          <t>Waterfall</t>
        </is>
      </c>
      <c r="I8" s="62" t="n">
        <v>32.885</v>
      </c>
      <c r="J8" s="62" t="n">
        <v>2.7958</v>
      </c>
      <c r="K8" s="62" t="n">
        <v>0</v>
      </c>
      <c r="L8" s="65" t="n">
        <v>0</v>
      </c>
      <c r="M8" s="66" t="inlineStr">
        <is>
          <t>FSI 14.2 · CG 1.0</t>
        </is>
      </c>
    </row>
    <row r="9" ht="21.75" customHeight="1">
      <c r="B9" s="49" t="inlineStr">
        <is>
          <t>Contract Management|4</t>
        </is>
      </c>
      <c r="C9" s="20" t="inlineStr">
        <is>
          <t>Contract Management</t>
        </is>
      </c>
      <c r="D9" s="42" t="n">
        <v>4</v>
      </c>
      <c r="E9" s="13" t="inlineStr">
        <is>
          <t>Mainframe Commision</t>
        </is>
      </c>
      <c r="F9" s="42" t="n">
        <v>5</v>
      </c>
      <c r="G9" s="62" t="n">
        <v>42.6679</v>
      </c>
      <c r="H9" s="61" t="inlineStr">
        <is>
          <t>Waterfall</t>
        </is>
      </c>
      <c r="I9" s="62" t="n">
        <v>35.7679</v>
      </c>
      <c r="J9" s="62" t="n">
        <v>6.9</v>
      </c>
      <c r="K9" s="62" t="n">
        <v>0</v>
      </c>
      <c r="L9" s="65" t="n">
        <v>0</v>
      </c>
      <c r="M9" s="66" t="inlineStr">
        <is>
          <t>NCS 13.5 · FSI 11.0 · NCD 9.3</t>
        </is>
      </c>
    </row>
    <row r="10" ht="14.25" customHeight="1">
      <c r="B10" s="49" t="inlineStr">
        <is>
          <t>Contract Management|5</t>
        </is>
      </c>
      <c r="C10" s="20" t="inlineStr">
        <is>
          <t>Contract Management</t>
        </is>
      </c>
      <c r="D10" s="42" t="n">
        <v>5</v>
      </c>
      <c r="E10" s="13" t="inlineStr">
        <is>
          <t>Mainframe Claim Administration</t>
        </is>
      </c>
      <c r="F10" s="42" t="n">
        <v>4</v>
      </c>
      <c r="G10" s="62" t="n">
        <v>22.7885</v>
      </c>
      <c r="H10" s="61" t="inlineStr">
        <is>
          <t>Waterfall</t>
        </is>
      </c>
      <c r="I10" s="62" t="n">
        <v>18.926</v>
      </c>
      <c r="J10" s="62" t="n">
        <v>3.8625</v>
      </c>
      <c r="K10" s="62" t="n">
        <v>0</v>
      </c>
      <c r="L10" s="65" t="n">
        <v>0</v>
      </c>
      <c r="M10" s="66" t="inlineStr">
        <is>
          <t>NCD 7.7 · FSI 4.4</t>
        </is>
      </c>
    </row>
    <row r="11" ht="21.75" customHeight="1">
      <c r="B11" s="49" t="inlineStr">
        <is>
          <t>New Contract Related|1</t>
        </is>
      </c>
      <c r="C11" s="20" t="inlineStr">
        <is>
          <t>New Contract Related</t>
        </is>
      </c>
      <c r="D11" s="42" t="n">
        <v>1</v>
      </c>
      <c r="E11" s="13" t="inlineStr">
        <is>
          <t>Underwriting &amp; Interfaces</t>
        </is>
      </c>
      <c r="F11" s="42" t="n">
        <v>8</v>
      </c>
      <c r="G11" s="62" t="n">
        <v>24.1415</v>
      </c>
      <c r="H11" s="61" t="inlineStr">
        <is>
          <t>Waterfall</t>
        </is>
      </c>
      <c r="I11" s="62" t="n">
        <v>23.6145</v>
      </c>
      <c r="J11" s="62" t="n">
        <v>0.5271</v>
      </c>
      <c r="K11" s="62" t="n">
        <v>0</v>
      </c>
      <c r="L11" s="65" t="n">
        <v>2.38</v>
      </c>
      <c r="M11" s="66" t="inlineStr">
        <is>
          <t>NCD 16.4 · FSI 6.3</t>
        </is>
      </c>
    </row>
    <row r="12" ht="21.75" customHeight="1">
      <c r="B12" s="49" t="inlineStr">
        <is>
          <t>Storage and Preservation Related|1</t>
        </is>
      </c>
      <c r="C12" s="20" t="inlineStr">
        <is>
          <t>Storage and Preservation Related</t>
        </is>
      </c>
      <c r="D12" s="42" t="n">
        <v>1</v>
      </c>
      <c r="E12" s="13" t="inlineStr">
        <is>
          <t>Policy Owner Servicing Work Flow</t>
        </is>
      </c>
      <c r="F12" s="42" t="n">
        <v>12</v>
      </c>
      <c r="G12" s="62" t="n">
        <v>86.15779999999999</v>
      </c>
      <c r="H12" s="61" t="inlineStr">
        <is>
          <t>Agile</t>
        </is>
      </c>
      <c r="I12" s="62" t="n">
        <v>56.7328</v>
      </c>
      <c r="J12" s="62" t="n">
        <v>18.425</v>
      </c>
      <c r="K12" s="62" t="n">
        <v>11</v>
      </c>
      <c r="L12" s="65" t="n">
        <v>39.13</v>
      </c>
      <c r="M12" s="66" t="inlineStr">
        <is>
          <t>CG 36.1 · FSI 13.1 · NCD 3.1</t>
        </is>
      </c>
    </row>
    <row r="13" ht="24" customHeight="1">
      <c r="B13" s="49" t="inlineStr">
        <is>
          <t>Insurance Claims and Benefits Payment Related|1</t>
        </is>
      </c>
      <c r="C13" s="20" t="inlineStr">
        <is>
          <t>Insurance Claims and Benefits Payment Related</t>
        </is>
      </c>
      <c r="D13" s="42" t="n">
        <v>1</v>
      </c>
      <c r="E13" s="13" t="inlineStr">
        <is>
          <t>Claims Processing &amp; Adjudication</t>
        </is>
      </c>
      <c r="F13" s="42" t="n">
        <v>1</v>
      </c>
      <c r="G13" s="62" t="n">
        <v>34.9965</v>
      </c>
      <c r="H13" s="61" t="inlineStr">
        <is>
          <t>Waterfall</t>
        </is>
      </c>
      <c r="I13" s="62" t="n">
        <v>29.3799</v>
      </c>
      <c r="J13" s="62" t="n">
        <v>5.6167</v>
      </c>
      <c r="K13" s="62" t="n">
        <v>0</v>
      </c>
      <c r="L13" s="65" t="n">
        <v>0</v>
      </c>
      <c r="M13" s="66" t="inlineStr">
        <is>
          <t>NCD 29.4</t>
        </is>
      </c>
    </row>
    <row r="14" ht="21.75" customHeight="1">
      <c r="B14" s="49" t="inlineStr">
        <is>
          <t>Customer Care / Call Center|1</t>
        </is>
      </c>
      <c r="C14" s="20" t="inlineStr">
        <is>
          <t>Customer Care / Call Center</t>
        </is>
      </c>
      <c r="D14" s="42" t="n">
        <v>1</v>
      </c>
      <c r="E14" s="13" t="inlineStr">
        <is>
          <t>Call Backend Service</t>
        </is>
      </c>
      <c r="F14" s="42" t="n">
        <v>6</v>
      </c>
      <c r="G14" s="62" t="n">
        <v>19.2013</v>
      </c>
      <c r="H14" s="61" t="inlineStr">
        <is>
          <t>Waterfall</t>
        </is>
      </c>
      <c r="I14" s="62" t="n">
        <v>10.345</v>
      </c>
      <c r="J14" s="62" t="n">
        <v>5.8958</v>
      </c>
      <c r="K14" s="62" t="n">
        <v>2.9604</v>
      </c>
      <c r="L14" s="65" t="n">
        <v>3.11</v>
      </c>
      <c r="M14" s="66" t="inlineStr">
        <is>
          <t>NCD 7.7 · CG 2.6 · FSI 0.0</t>
        </is>
      </c>
    </row>
    <row r="15" ht="14.25" customHeight="1">
      <c r="B15" s="49" t="inlineStr">
        <is>
          <t>Corporate Related|1</t>
        </is>
      </c>
      <c r="C15" s="20" t="inlineStr">
        <is>
          <t>Corporate Related</t>
        </is>
      </c>
      <c r="D15" s="42" t="n">
        <v>1</v>
      </c>
      <c r="E15" s="13" t="inlineStr">
        <is>
          <t xml:space="preserve">Group Policy Management </t>
        </is>
      </c>
      <c r="F15" s="42" t="n">
        <v>6</v>
      </c>
      <c r="G15" s="62" t="n">
        <v>14.9</v>
      </c>
      <c r="H15" s="61" t="inlineStr">
        <is>
          <t>Waterfall</t>
        </is>
      </c>
      <c r="I15" s="62" t="n">
        <v>9.675000000000001</v>
      </c>
      <c r="J15" s="62" t="n">
        <v>5.225</v>
      </c>
      <c r="K15" s="62" t="n">
        <v>0</v>
      </c>
      <c r="L15" s="65" t="n">
        <v>0.5</v>
      </c>
      <c r="M15" s="66" t="inlineStr">
        <is>
          <t>NCD 6.3 · CG 1.9</t>
        </is>
      </c>
    </row>
    <row r="16" ht="14.25" customHeight="1">
      <c r="B16" s="49" t="inlineStr">
        <is>
          <t>New Contract Related|2</t>
        </is>
      </c>
      <c r="C16" s="20" t="inlineStr">
        <is>
          <t>New Contract Related</t>
        </is>
      </c>
      <c r="D16" s="42" t="n">
        <v>2</v>
      </c>
      <c r="E16" s="13" t="inlineStr">
        <is>
          <t>Non-F2F New Business</t>
        </is>
      </c>
      <c r="F16" s="42" t="n">
        <v>4</v>
      </c>
      <c r="G16" s="62" t="n">
        <v>16.3491</v>
      </c>
      <c r="H16" s="61" t="inlineStr">
        <is>
          <t>Waterfall</t>
        </is>
      </c>
      <c r="I16" s="62" t="n">
        <v>15.8491</v>
      </c>
      <c r="J16" s="62" t="n">
        <v>0.5</v>
      </c>
      <c r="K16" s="62" t="n">
        <v>0</v>
      </c>
      <c r="L16" s="65" t="n">
        <v>1.61</v>
      </c>
      <c r="M16" s="66" t="inlineStr">
        <is>
          <t>NCD 3.6</t>
        </is>
      </c>
    </row>
    <row r="17" ht="21.75" customHeight="1">
      <c r="B17" s="49" t="inlineStr">
        <is>
          <t>Corporate Related|2</t>
        </is>
      </c>
      <c r="C17" s="20" t="inlineStr">
        <is>
          <t>Corporate Related</t>
        </is>
      </c>
      <c r="D17" s="42" t="n">
        <v>2</v>
      </c>
      <c r="E17" s="13" t="inlineStr">
        <is>
          <t>Compliance &amp; Cooperate</t>
        </is>
      </c>
      <c r="F17" s="42" t="n">
        <v>15</v>
      </c>
      <c r="G17" s="62" t="n">
        <v>19.6997</v>
      </c>
      <c r="H17" s="61" t="inlineStr">
        <is>
          <t>Waterfall</t>
        </is>
      </c>
      <c r="I17" s="62" t="n">
        <v>15.4997</v>
      </c>
      <c r="J17" s="62" t="n">
        <v>3.7</v>
      </c>
      <c r="K17" s="62" t="n">
        <v>0.5</v>
      </c>
      <c r="L17" s="65" t="n">
        <v>0</v>
      </c>
      <c r="M17" s="66" t="inlineStr">
        <is>
          <t>FSI 11.8 · NCD 3.5</t>
        </is>
      </c>
    </row>
    <row r="18" ht="24" customHeight="1">
      <c r="B18" s="49" t="inlineStr">
        <is>
          <t>Insurance Claims and Benefits Payment Related|2</t>
        </is>
      </c>
      <c r="C18" s="20" t="inlineStr">
        <is>
          <t>Insurance Claims and Benefits Payment Related</t>
        </is>
      </c>
      <c r="D18" s="42" t="n">
        <v>2</v>
      </c>
      <c r="E18" s="13" t="inlineStr">
        <is>
          <t>Annuity＆Maturity Payment</t>
        </is>
      </c>
      <c r="F18" s="42" t="n">
        <v>3</v>
      </c>
      <c r="G18" s="62" t="n">
        <v>67.7544</v>
      </c>
      <c r="H18" s="61" t="inlineStr">
        <is>
          <t>Hybrid</t>
        </is>
      </c>
      <c r="I18" s="62" t="n">
        <v>42.4544</v>
      </c>
      <c r="J18" s="62" t="n">
        <v>7.1542</v>
      </c>
      <c r="K18" s="62" t="n">
        <v>18.1458</v>
      </c>
      <c r="L18" s="65" t="n">
        <v>6</v>
      </c>
      <c r="M18" s="66" t="inlineStr">
        <is>
          <t>NCD 21.9 · CG 20.6</t>
        </is>
      </c>
    </row>
    <row r="19" ht="21.75" customHeight="1">
      <c r="B19" s="49" t="inlineStr">
        <is>
          <t>Marketing / Direct Business|1</t>
        </is>
      </c>
      <c r="C19" s="20" t="inlineStr">
        <is>
          <t>Marketing / Direct Business</t>
        </is>
      </c>
      <c r="D19" s="42" t="n">
        <v>1</v>
      </c>
      <c r="E19" s="13" t="inlineStr">
        <is>
          <t>Marketing Support</t>
        </is>
      </c>
      <c r="F19" s="42" t="n">
        <v>9</v>
      </c>
      <c r="G19" s="62" t="n">
        <v>44.1542</v>
      </c>
      <c r="H19" s="61" t="inlineStr">
        <is>
          <t>Hybrid</t>
        </is>
      </c>
      <c r="I19" s="62" t="n">
        <v>27.8421</v>
      </c>
      <c r="J19" s="62" t="n">
        <v>7.5271</v>
      </c>
      <c r="K19" s="62" t="n">
        <v>8.785</v>
      </c>
      <c r="L19" s="65" t="n">
        <v>4</v>
      </c>
      <c r="M19" s="66" t="inlineStr">
        <is>
          <t>CG 19.3 · NCD 7.9</t>
        </is>
      </c>
    </row>
    <row r="20" ht="14.25" customHeight="1">
      <c r="B20" s="49" t="inlineStr">
        <is>
          <t>Corporate Related|3</t>
        </is>
      </c>
      <c r="C20" s="20" t="inlineStr">
        <is>
          <t>Corporate Related</t>
        </is>
      </c>
      <c r="D20" s="42" t="n">
        <v>3</v>
      </c>
      <c r="E20" s="13" t="inlineStr">
        <is>
          <t>Cooperate, Performance</t>
        </is>
      </c>
      <c r="F20" s="42" t="n">
        <v>12</v>
      </c>
      <c r="G20" s="62" t="n">
        <v>15.8391</v>
      </c>
      <c r="H20" s="61" t="inlineStr">
        <is>
          <t>Waterfall</t>
        </is>
      </c>
      <c r="I20" s="62" t="n">
        <v>11.57</v>
      </c>
      <c r="J20" s="62" t="n">
        <v>3.2692</v>
      </c>
      <c r="K20" s="62" t="n">
        <v>1</v>
      </c>
      <c r="L20" s="65" t="n">
        <v>0.5</v>
      </c>
      <c r="M20" s="66" t="inlineStr">
        <is>
          <t>CG 1.5 · NCD 1.2</t>
        </is>
      </c>
    </row>
    <row r="21" ht="14.25" customHeight="1">
      <c r="B21" s="49" t="inlineStr">
        <is>
          <t>Sales / Insurance Recruitment|1</t>
        </is>
      </c>
      <c r="C21" s="20" t="inlineStr">
        <is>
          <t>Sales / Insurance Recruitment</t>
        </is>
      </c>
      <c r="D21" s="42" t="n">
        <v>1</v>
      </c>
      <c r="E21" s="13" t="inlineStr">
        <is>
          <t>F2F SalesSupport</t>
        </is>
      </c>
      <c r="F21" s="42" t="n">
        <v>4</v>
      </c>
      <c r="G21" s="62" t="n">
        <v>23.1223</v>
      </c>
      <c r="H21" s="61" t="inlineStr">
        <is>
          <t>Hybrid</t>
        </is>
      </c>
      <c r="I21" s="62" t="n">
        <v>14.1431</v>
      </c>
      <c r="J21" s="62" t="n">
        <v>5.9792</v>
      </c>
      <c r="K21" s="62" t="n">
        <v>3</v>
      </c>
      <c r="L21" s="65" t="n">
        <v>2.68</v>
      </c>
      <c r="M21" s="66" t="inlineStr">
        <is>
          <t>NCD 9.5 · CG 4.6</t>
        </is>
      </c>
    </row>
    <row r="22" ht="21.75" customHeight="1">
      <c r="B22" s="49" t="inlineStr">
        <is>
          <t>Common Service Platform|1</t>
        </is>
      </c>
      <c r="C22" s="20" t="inlineStr">
        <is>
          <t>Common Service Platform</t>
        </is>
      </c>
      <c r="D22" s="42" t="n">
        <v>1</v>
      </c>
      <c r="E22" s="13" t="inlineStr">
        <is>
          <t>Shared Platform Service</t>
        </is>
      </c>
      <c r="F22" s="42" t="n">
        <v>6</v>
      </c>
      <c r="G22" s="62" t="n">
        <v>143.6399</v>
      </c>
      <c r="H22" s="61" t="inlineStr">
        <is>
          <t>Agile</t>
        </is>
      </c>
      <c r="I22" s="62" t="n">
        <v>71.5324</v>
      </c>
      <c r="J22" s="62" t="n">
        <v>26.8854</v>
      </c>
      <c r="K22" s="62" t="n">
        <v>45.2221</v>
      </c>
      <c r="L22" s="65" t="n">
        <v>18.37</v>
      </c>
      <c r="M22" s="66" t="inlineStr">
        <is>
          <t>CG 57.1 · NCD 1.4</t>
        </is>
      </c>
    </row>
    <row r="23" ht="21.75" customHeight="1">
      <c r="B23" s="49" t="inlineStr">
        <is>
          <t>Sales / Insurance Recruitment|2</t>
        </is>
      </c>
      <c r="C23" s="20" t="inlineStr">
        <is>
          <t>Sales / Insurance Recruitment</t>
        </is>
      </c>
      <c r="D23" s="42" t="n">
        <v>2</v>
      </c>
      <c r="E23" s="13" t="inlineStr">
        <is>
          <t xml:space="preserve">Banca Illustlation </t>
        </is>
      </c>
      <c r="F23" s="42" t="n">
        <v>4</v>
      </c>
      <c r="G23" s="62" t="n">
        <v>168.9167</v>
      </c>
      <c r="H23" s="61" t="inlineStr">
        <is>
          <t>Hybrid</t>
        </is>
      </c>
      <c r="I23" s="62" t="n">
        <v>97.3792</v>
      </c>
      <c r="J23" s="62" t="n">
        <v>40.9583</v>
      </c>
      <c r="K23" s="62" t="n">
        <v>30.5792</v>
      </c>
      <c r="L23" s="65" t="n">
        <v>32</v>
      </c>
      <c r="M23" s="66" t="inlineStr">
        <is>
          <t>NCD 13.6 · FSI 0.8</t>
        </is>
      </c>
    </row>
    <row r="24" ht="14.25" customHeight="1">
      <c r="B24" s="49" t="inlineStr">
        <is>
          <t>Storage and Preservation Related|2</t>
        </is>
      </c>
      <c r="C24" s="20" t="inlineStr">
        <is>
          <t>Storage and Preservation Related</t>
        </is>
      </c>
      <c r="D24" s="42" t="n">
        <v>2</v>
      </c>
      <c r="E24" s="13" t="inlineStr">
        <is>
          <t>Policy Owner Servicing Payment</t>
        </is>
      </c>
      <c r="F24" s="42" t="n">
        <v>3</v>
      </c>
      <c r="G24" s="62" t="n">
        <v>19.9225</v>
      </c>
      <c r="H24" s="61" t="inlineStr">
        <is>
          <t>Waterfall</t>
        </is>
      </c>
      <c r="I24" s="62" t="n">
        <v>12.6933</v>
      </c>
      <c r="J24" s="62" t="n">
        <v>7.2292</v>
      </c>
      <c r="K24" s="62" t="n">
        <v>0</v>
      </c>
      <c r="L24" s="65" t="n">
        <v>1.86</v>
      </c>
      <c r="M24" s="66" t="inlineStr">
        <is>
          <t>NCD 6.0</t>
        </is>
      </c>
    </row>
    <row r="25" ht="14.25" customHeight="1">
      <c r="B25" s="49" t="inlineStr">
        <is>
          <t>Data Infrastructure|1</t>
        </is>
      </c>
      <c r="C25" s="20" t="inlineStr">
        <is>
          <t>Data Infrastructure</t>
        </is>
      </c>
      <c r="D25" s="42" t="n">
        <v>1</v>
      </c>
      <c r="E25" s="13" t="inlineStr">
        <is>
          <t>Data Platform</t>
        </is>
      </c>
      <c r="F25" s="42" t="n">
        <v>3</v>
      </c>
      <c r="G25" s="62" t="n">
        <v>100.765</v>
      </c>
      <c r="H25" s="61" t="inlineStr">
        <is>
          <t>Hybrid</t>
        </is>
      </c>
      <c r="I25" s="62" t="n">
        <v>65.38160000000001</v>
      </c>
      <c r="J25" s="62" t="n">
        <v>18.075</v>
      </c>
      <c r="K25" s="62" t="n">
        <v>15.9917</v>
      </c>
      <c r="L25" s="65" t="n">
        <v>20</v>
      </c>
      <c r="M25" s="66" t="inlineStr">
        <is>
          <t>CG 57.7 · FSI 7.7</t>
        </is>
      </c>
    </row>
    <row r="26" ht="14.25" customHeight="1">
      <c r="B26" s="49" t="inlineStr">
        <is>
          <t>Common Service Platform|2</t>
        </is>
      </c>
      <c r="C26" s="20" t="inlineStr">
        <is>
          <t>Common Service Platform</t>
        </is>
      </c>
      <c r="D26" s="42" t="n">
        <v>2</v>
      </c>
      <c r="E26" s="13" t="inlineStr">
        <is>
          <t>API Management</t>
        </is>
      </c>
      <c r="F26" s="42" t="n">
        <v>4</v>
      </c>
      <c r="G26" s="62" t="n">
        <v>55.1404</v>
      </c>
      <c r="H26" s="61" t="inlineStr">
        <is>
          <t>Agile</t>
        </is>
      </c>
      <c r="I26" s="62" t="n">
        <v>26.5633</v>
      </c>
      <c r="J26" s="62" t="n">
        <v>8.4292</v>
      </c>
      <c r="K26" s="62" t="n">
        <v>20.1479</v>
      </c>
      <c r="L26" s="65" t="n">
        <v>19.63</v>
      </c>
      <c r="M26" s="66" t="inlineStr">
        <is>
          <t>CG 26.6</t>
        </is>
      </c>
    </row>
    <row r="27" ht="14.25" customHeight="1">
      <c r="B27" s="49" t="inlineStr">
        <is>
          <t>Sales / Insurance Recruitment|3</t>
        </is>
      </c>
      <c r="C27" s="20" t="inlineStr">
        <is>
          <t>Sales / Insurance Recruitment</t>
        </is>
      </c>
      <c r="D27" s="42" t="n">
        <v>3</v>
      </c>
      <c r="E27" s="13" t="inlineStr">
        <is>
          <t>F2F Agent Enablement</t>
        </is>
      </c>
      <c r="F27" s="42" t="n">
        <v>1</v>
      </c>
      <c r="G27" s="62" t="n">
        <v>43.5625</v>
      </c>
      <c r="H27" s="61" t="inlineStr">
        <is>
          <t>Hybrid</t>
        </is>
      </c>
      <c r="I27" s="62" t="n">
        <v>20.8333</v>
      </c>
      <c r="J27" s="62" t="n">
        <v>10.0042</v>
      </c>
      <c r="K27" s="62" t="n">
        <v>12.725</v>
      </c>
      <c r="L27" s="65" t="n">
        <v>8.81</v>
      </c>
      <c r="M27" s="66" t="inlineStr">
        <is>
          <t>CG 20.8</t>
        </is>
      </c>
    </row>
    <row r="28" ht="14.25" customHeight="1">
      <c r="B28" s="49" t="inlineStr">
        <is>
          <t>Customer Care / Call Center|2</t>
        </is>
      </c>
      <c r="C28" s="20" t="inlineStr">
        <is>
          <t>Customer Care / Call Center</t>
        </is>
      </c>
      <c r="D28" s="42" t="n">
        <v>2</v>
      </c>
      <c r="E28" s="13" t="inlineStr">
        <is>
          <t>Call Platform</t>
        </is>
      </c>
      <c r="F28" s="42" t="n">
        <v>1</v>
      </c>
      <c r="G28" s="62" t="n">
        <v>28.0042</v>
      </c>
      <c r="H28" s="61" t="inlineStr">
        <is>
          <t>Agile</t>
        </is>
      </c>
      <c r="I28" s="62" t="n">
        <v>9.583299999999999</v>
      </c>
      <c r="J28" s="62" t="n">
        <v>11.3375</v>
      </c>
      <c r="K28" s="62" t="n">
        <v>7.0833</v>
      </c>
      <c r="L28" s="65" t="n">
        <v>5.42</v>
      </c>
      <c r="M28" s="66" t="inlineStr">
        <is>
          <t>CG 9.6</t>
        </is>
      </c>
    </row>
    <row r="29" ht="14.25" customHeight="1">
      <c r="B29" s="49" t="inlineStr">
        <is>
          <t>Customer Care / Call Center|3</t>
        </is>
      </c>
      <c r="C29" s="20" t="inlineStr">
        <is>
          <t>Customer Care / Call Center</t>
        </is>
      </c>
      <c r="D29" s="42" t="n">
        <v>3</v>
      </c>
      <c r="E29" s="13" t="inlineStr">
        <is>
          <t>Portal Services</t>
        </is>
      </c>
      <c r="F29" s="42" t="n">
        <v>1</v>
      </c>
      <c r="G29" s="62" t="n">
        <v>73.6863</v>
      </c>
      <c r="H29" s="61" t="inlineStr">
        <is>
          <t>Agile</t>
        </is>
      </c>
      <c r="I29" s="62" t="n">
        <v>35.8196</v>
      </c>
      <c r="J29" s="62" t="n">
        <v>25</v>
      </c>
      <c r="K29" s="62" t="n">
        <v>12.8667</v>
      </c>
      <c r="L29" s="65" t="n">
        <v>9.470000000000001</v>
      </c>
      <c r="M29" s="66" t="inlineStr">
        <is>
          <t>CG 35.8</t>
        </is>
      </c>
    </row>
    <row r="30" ht="14.25" customHeight="1">
      <c r="B30" s="49" t="inlineStr">
        <is>
          <t>Sales / Insurance Recruitment|4</t>
        </is>
      </c>
      <c r="C30" s="20" t="inlineStr">
        <is>
          <t>Sales / Insurance Recruitment</t>
        </is>
      </c>
      <c r="D30" s="42" t="n">
        <v>4</v>
      </c>
      <c r="E30" s="13" t="inlineStr">
        <is>
          <t xml:space="preserve">F2F Illustlation </t>
        </is>
      </c>
      <c r="F30" s="42" t="n">
        <v>4</v>
      </c>
      <c r="G30" s="62" t="n">
        <v>230.8708</v>
      </c>
      <c r="H30" s="61" t="inlineStr">
        <is>
          <t>Hybrid</t>
        </is>
      </c>
      <c r="I30" s="62" t="n">
        <v>152.1875</v>
      </c>
      <c r="J30" s="62" t="n">
        <v>31.1875</v>
      </c>
      <c r="K30" s="62" t="n">
        <v>47.4958</v>
      </c>
      <c r="L30" s="65" t="n">
        <v>55.51</v>
      </c>
      <c r="M30" s="66" t="inlineStr">
        <is>
          <t>CG 151.8</t>
        </is>
      </c>
    </row>
    <row r="31" ht="24" customHeight="1">
      <c r="B31" s="49" t="inlineStr">
        <is>
          <t>Insurance Claims and Benefits Payment Related|3</t>
        </is>
      </c>
      <c r="C31" s="20" t="inlineStr">
        <is>
          <t>Insurance Claims and Benefits Payment Related</t>
        </is>
      </c>
      <c r="D31" s="42" t="n">
        <v>3</v>
      </c>
      <c r="E31" s="13" t="inlineStr">
        <is>
          <t>Claims Support Services</t>
        </is>
      </c>
      <c r="F31" s="42" t="n">
        <v>2</v>
      </c>
      <c r="G31" s="62" t="n">
        <v>18.8225</v>
      </c>
      <c r="H31" s="61" t="inlineStr">
        <is>
          <t>Agile</t>
        </is>
      </c>
      <c r="I31" s="62" t="n">
        <v>13.6142</v>
      </c>
      <c r="J31" s="62" t="n">
        <v>0.7083</v>
      </c>
      <c r="K31" s="62" t="n">
        <v>4.5</v>
      </c>
      <c r="L31" s="65" t="n">
        <v>0</v>
      </c>
      <c r="M31" s="66" t="inlineStr">
        <is>
          <t>none named</t>
        </is>
      </c>
    </row>
    <row r="34" ht="30" customHeight="1">
      <c r="B34" s="15" t="inlineStr">
        <is>
          <t>'Method today' is the effort-weighted majority development method across the stream's applications, from Appendix 3 v5. Where a 領域 records only one value stream, the Value Streams sheet will show one row — which means the conversion has no granularity and you should say so rather than invent streams.</t>
        </is>
      </c>
    </row>
  </sheetData>
  <mergeCells count="3">
    <mergeCell ref="B34:L34"/>
    <mergeCell ref="A2:L2"/>
    <mergeCell ref="A1:L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D27"/>
  <sheetViews>
    <sheetView topLeftCell="A20" zoomScaleNormal="100" workbookViewId="0">
      <selection activeCell="A1" sqref="A1"/>
    </sheetView>
  </sheetViews>
  <sheetFormatPr baseColWidth="8" defaultColWidth="8.6328125" defaultRowHeight="14.5"/>
  <cols>
    <col width="2.453125" customWidth="1" min="1" max="1"/>
    <col width="30" customWidth="1" min="2" max="2"/>
    <col width="104" customWidth="1" min="3" max="3"/>
  </cols>
  <sheetData>
    <row r="1" ht="25.5" customHeight="1">
      <c r="A1" s="8" t="inlineStr">
        <is>
          <t>Method  —  what this model claims, and what it does not</t>
        </is>
      </c>
    </row>
    <row r="2" ht="15" customHeight="1">
      <c r="A2" s="7" t="inlineStr">
        <is>
          <t>Read this before defending any number in the workbook to MetLife.</t>
        </is>
      </c>
    </row>
    <row r="4" ht="15" customHeight="1">
      <c r="A4" s="4" t="inlineStr">
        <is>
          <t>THE FOUR GATES</t>
        </is>
      </c>
    </row>
    <row r="5" ht="51.75" customHeight="1">
      <c r="B5" s="19" t="inlineStr">
        <is>
          <t>AI-attributable</t>
        </is>
      </c>
      <c r="C5" s="20" t="inlineStr">
        <is>
          <t>An archetype-specific ceiling, run through each role's phase distribution, then multiplied by a realisation curve that starts at 25% and reaches 90%, then multiplied again by an adoption factor that differs by sourcing type. The ceiling is what the work would support. Realisation is how fast we get there. Adoption is who has the authority to commit.</t>
        </is>
      </c>
    </row>
    <row r="6" ht="51.75" customHeight="1">
      <c r="B6" s="19" t="inlineStr">
        <is>
          <t>Classical ADM</t>
        </is>
      </c>
      <c r="C6" s="20" t="inlineStr">
        <is>
          <t>Automation, shift-left, defect reduction, knowledge reuse. 2% rising to 11%. It attaches to the work rather than the person, so it applies to every sourcing type equally.</t>
        </is>
      </c>
    </row>
    <row r="7" ht="51.75" customHeight="1">
      <c r="B7" s="19" t="inlineStr">
        <is>
          <t>Operating model</t>
        </is>
      </c>
      <c r="C7" s="20" t="inlineStr">
        <is>
          <t>Pod consolidation, one release train, span of control. 3% rising to 12%, scaled by the share of the 領域 that actually runs as pods and discounted again for any sub-contracted population.</t>
        </is>
      </c>
    </row>
    <row r="8" ht="51.75" customHeight="1">
      <c r="B8" s="19" t="inlineStr">
        <is>
          <t>Compounding, not adding</t>
        </is>
      </c>
      <c r="C8" s="20" t="inlineStr">
        <is>
          <t>1 − (1 − a)(1 − b)(1 − c). Three gates of 10% give 27%, not 30%. Adding them is the most common way these models overstate.</t>
        </is>
      </c>
    </row>
    <row r="9" ht="15" customHeight="1">
      <c r="A9" s="4" t="inlineStr">
        <is>
          <t>THE TWO RULES THAT KEEP IT HONEST</t>
        </is>
      </c>
    </row>
    <row r="10" ht="51.75" customHeight="1">
      <c r="B10" s="19" t="inlineStr">
        <is>
          <t>Scope is frozen</t>
        </is>
      </c>
      <c r="C10" s="20" t="inlineStr">
        <is>
          <t>Total effort never changes across the five years. Productivity shows up as fewer people doing the same work — never as work quietly leaving the model.</t>
        </is>
      </c>
    </row>
    <row r="11" ht="51.75" customHeight="1">
      <c r="B11" s="19" t="inlineStr">
        <is>
          <t>Year 1 applies nothing</t>
        </is>
      </c>
      <c r="C11" s="20" t="inlineStr">
        <is>
          <t>The glidepath carries forward: this year's applied figure is last year's full capability plus half of this year's gain. Capability earned in Q4 cannot fund a reduction in Q1, and a Year-1 roster that does not reconcile to Appendix 3 is not credible to anybody.</t>
        </is>
      </c>
    </row>
    <row r="12" ht="15" customHeight="1">
      <c r="A12" s="4" t="inlineStr">
        <is>
          <t>WHAT PRODUCTIVITY CANNOT DO</t>
        </is>
      </c>
    </row>
    <row r="13" ht="51.75" customHeight="1">
      <c r="B13" s="19" t="inlineStr">
        <is>
          <t>It cannot move the ratio on its own</t>
        </is>
      </c>
      <c r="C13" s="20" t="inlineStr">
        <is>
          <t>If every population shrinks at the same rate, the 50:50 does not move a single point. Only differential shrinkage or a transfer of employment moves it. That is why the per-sourcing engine exists, and it is the single most useful thing to explain to MetLife.</t>
        </is>
      </c>
    </row>
    <row r="14" ht="51.75" customHeight="1">
      <c r="B14" s="19" t="inlineStr">
        <is>
          <t>It cannot move a Japan-locked application offshore</t>
        </is>
      </c>
      <c r="C14" s="20" t="inlineStr">
        <is>
          <t>Archetype J caps at a 12% offshore ceiling. Japanese specifications, Japanese operational interface, Japanese regulator. No tooling changes that, and a 領域 built of J applications should not be promised an offshore case.</t>
        </is>
      </c>
    </row>
    <row r="15" ht="51.75" customHeight="1">
      <c r="B15" s="19" t="inlineStr">
        <is>
          <t>It cannot shrink Capgemini past the point of control</t>
        </is>
      </c>
      <c r="C15" s="20" t="inlineStr">
        <is>
          <t>Below a Capgemini majority of the delivery population — and of the build-and-test seats inside it — the productivity commitment stops being ours to make. That is what the guardrails protect, and it is a commercial argument, not a modelling one.</t>
        </is>
      </c>
    </row>
    <row r="16" ht="15" customHeight="1">
      <c r="A16" s="4" t="inlineStr">
        <is>
          <t>THE THINGS MOST WORTH CHALLENGING</t>
        </is>
      </c>
    </row>
    <row r="17" ht="51.75" customHeight="1">
      <c r="B17" s="19" t="inlineStr">
        <is>
          <t>The role → phase table</t>
        </is>
      </c>
      <c r="C17" s="20" t="inlineStr">
        <is>
          <t>Rates &amp; Tables section B. It decides every per-sourcing ceiling in the model, and it is a judgement rather than a measurement.</t>
        </is>
      </c>
    </row>
    <row r="18" ht="51.75" customHeight="1">
      <c r="B18" s="19" t="inlineStr">
        <is>
          <t>The adoption factors</t>
        </is>
      </c>
      <c r="C18" s="20" t="inlineStr">
        <is>
          <t>Rates &amp; Tables section D. How much of the ceiling MetLife's own people and MGCC can realistically commit to. Raising them shifts commitment away from Capgemini; lowering them concentrates it on us. Both are defensible; neither is automatic.</t>
        </is>
      </c>
    </row>
    <row r="19" ht="51.75" customHeight="1">
      <c r="B19" s="19" t="inlineStr">
        <is>
          <t>The conversion quarters</t>
        </is>
      </c>
      <c r="C19" s="20" t="inlineStr">
        <is>
          <t>Value Streams sheet. When each stream starts running as a pod. Slipping one stream by two quarters costs about a point of Year-1 capability, which is small — but it changes the whole transition narrative.</t>
        </is>
      </c>
    </row>
    <row r="20" ht="51.75" customHeight="1">
      <c r="B20" s="19" t="inlineStr">
        <is>
          <t>The restatements</t>
        </is>
      </c>
      <c r="C20" s="20" t="inlineStr">
        <is>
          <t>Logic Tree section B. Where MetLife's own role line is internally impossible we restate it, arithmetically neutral, and put the question back to them. We do not silently re-price their data, and we do not pretend one person can run a thousand incidents.</t>
        </is>
      </c>
    </row>
    <row r="21" ht="15" customHeight="1">
      <c r="A21" s="4" t="inlineStr">
        <is>
          <t>PROVENANCE</t>
        </is>
      </c>
    </row>
    <row r="22" ht="51.75" customHeight="1">
      <c r="B22" s="19" t="inlineStr">
        <is>
          <t>Appendix 3 v5</t>
        </is>
      </c>
      <c r="C22" s="20" t="inlineStr">
        <is>
          <t>142 in-scope applications, 1,528.907 units. Commercial quantities are unchanged from v3; v5 completed the technical profile and added four disposition columns.</t>
        </is>
      </c>
    </row>
    <row r="23" ht="51.75" customHeight="1">
      <c r="B23" s="19" t="inlineStr">
        <is>
          <t>Golden Application Inventory v4</t>
        </is>
      </c>
      <c r="C23" s="20" t="inlineStr">
        <is>
          <t>The six-rule archetype classifier, the value-stream grouping, the named-vendor tags and the application-level Capgemini headcount, reconciled from the billing, staff mapping and EAI files.</t>
        </is>
      </c>
    </row>
    <row r="24" ht="51.75" customHeight="1">
      <c r="B24" s="19" t="inlineStr">
        <is>
          <t>The five built models</t>
        </is>
      </c>
      <c r="C24" s="20" t="inlineStr">
        <is>
          <t>Sales / Insurance, Contract Management, Data Infrastructure, Common Service Platform and Storage &amp; Preservation. The role × sourcing matrix and the reference pod sizes in this template are observed from their Year-1 rosters — 1,102 units of seat plan.</t>
        </is>
      </c>
    </row>
    <row r="26">
      <c r="A26" t="inlineStr">
        <is>
          <t>COMPOSITION CORRECTION  —  seat plan only, no number moved</t>
        </is>
      </c>
    </row>
    <row r="27">
      <c r="B27" t="inlineStr">
        <is>
          <t>The seat plan was audited against the composition rules used on Storage and Preservation v3 and corrected. Eight blocks carried the same Role detail twice, distinguishable only by grade or location — renamed by grade (Graduate / Junior / Senior) and with an explicit “— offshore” or “— Tokyo” suffix. Three seats were re-banded across years (L2/L3 Application Support E1↔E2 in H1 and in stream 3, Release / DevOps engineer E2→E3); a grade is now fixed for the life of a seat, and the E3 release owner is a separate named seat from Year 4. Six seats moved between Tokyo and offshore silently in the Loc column; the move is now visible in the seat name. The pod lead carried three different names across the five years (“senior engineer”, “AI-assisted engineer”, “AI orchestrator”) and is now one seat throughout. The FSI senior developer no longer dips in Year 3 and recovers in Year 4: stream 1 holds 2.0 in every year and stream 2 tapers 2.0 / 1.5 / 1.0 / 1.0 / 1.0. The people arriving from the Year-3 transfer now sit in their own named seats, so the base MetLife Operations Analyst and MGCC Application Support lines taper monotonically instead of bouncing in Year 4. Headcount, sourcing mix, location mix, role mix, experience mix, every guardrail and the cost index are unchanged: 50.5 / 40.5 / 34.0 / 30.5 / 28.0 people, Year-1 cost index 63.43 and Year-5 34.385.</t>
        </is>
      </c>
    </row>
  </sheetData>
  <mergeCells count="7">
    <mergeCell ref="A1:D1"/>
    <mergeCell ref="A9:C9"/>
    <mergeCell ref="A21:C21"/>
    <mergeCell ref="A2:D2"/>
    <mergeCell ref="A12:C12"/>
    <mergeCell ref="A4:C4"/>
    <mergeCell ref="A16:C16"/>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N123"/>
  <sheetViews>
    <sheetView zoomScaleNormal="100" workbookViewId="0">
      <selection activeCell="K5" sqref="K5"/>
    </sheetView>
  </sheetViews>
  <sheetFormatPr baseColWidth="8" defaultColWidth="8.6328125" defaultRowHeight="14.5"/>
  <cols>
    <col width="2.453125" customWidth="1" min="1" max="1"/>
    <col width="6" customWidth="1" min="2" max="2"/>
    <col width="8" customWidth="1" min="3" max="3"/>
    <col width="7" customWidth="1" min="4" max="4"/>
    <col width="34" customWidth="1" min="5" max="5"/>
    <col width="7" customWidth="1" min="6" max="7"/>
    <col width="8" customWidth="1" min="8" max="8"/>
    <col width="9" customWidth="1" min="9" max="9"/>
    <col width="9" customWidth="1" style="67" min="10" max="10"/>
    <col width="13" customWidth="1" min="11" max="11"/>
  </cols>
  <sheetData>
    <row r="1" ht="25.5" customHeight="1">
      <c r="A1" s="8" t="inlineStr">
        <is>
          <t>Pod library  —  every seat, with MetLife's own role taxonomy and four sourcing types</t>
        </is>
      </c>
    </row>
    <row r="2" ht="15" customHeight="1">
      <c r="A2" s="7" t="inlineStr">
        <is>
          <t>INPUT. Sourcing FTC = Capgemini payroll · PT = FSI, the named incumbent on four applications · FTE = MetLife Japan · MGCC. Only FTC can transfer at the end of Year 3.</t>
        </is>
      </c>
    </row>
    <row r="4" ht="15" customHeight="1">
      <c r="B4" s="12" t="inlineStr">
        <is>
          <t>Year</t>
        </is>
      </c>
      <c r="C4" s="12" t="inlineStr">
        <is>
          <t>Unit</t>
        </is>
      </c>
      <c r="D4" s="12" t="inlineStr">
        <is>
          <t>Seat</t>
        </is>
      </c>
      <c r="E4" s="12" t="inlineStr">
        <is>
          <t>Role detail</t>
        </is>
      </c>
      <c r="F4" s="12" t="inlineStr">
        <is>
          <t>Role</t>
        </is>
      </c>
      <c r="G4" s="12" t="inlineStr">
        <is>
          <t>Exp</t>
        </is>
      </c>
      <c r="H4" s="12" t="inlineStr">
        <is>
          <t>Loc</t>
        </is>
      </c>
      <c r="I4" s="12" t="inlineStr">
        <is>
          <t>Sourcing</t>
        </is>
      </c>
      <c r="J4" s="68" t="inlineStr">
        <is>
          <t>Count</t>
        </is>
      </c>
      <c r="K4" s="12" t="inlineStr">
        <is>
          <t>People in the block</t>
        </is>
      </c>
    </row>
    <row r="5" ht="15" customHeight="1">
      <c r="B5" s="42" t="n">
        <v>1</v>
      </c>
      <c r="C5" s="21" t="inlineStr">
        <is>
          <t>POD</t>
        </is>
      </c>
      <c r="D5" s="42" t="n">
        <v>1</v>
      </c>
      <c r="E5" s="20" t="inlineStr">
        <is>
          <t>MetLife Product Owner</t>
        </is>
      </c>
      <c r="F5" s="21" t="inlineStr">
        <is>
          <t>PM</t>
        </is>
      </c>
      <c r="G5" s="61" t="inlineStr">
        <is>
          <t>E4</t>
        </is>
      </c>
      <c r="H5" s="61" t="inlineStr">
        <is>
          <t>ON</t>
        </is>
      </c>
      <c r="I5" s="61" t="inlineStr">
        <is>
          <t>FTE</t>
        </is>
      </c>
      <c r="J5" s="69" t="n">
        <v>0.875</v>
      </c>
      <c r="K5" s="70">
        <f>J5*4</f>
        <v/>
      </c>
    </row>
    <row r="6" ht="15" customHeight="1">
      <c r="B6" s="42" t="n">
        <v>1</v>
      </c>
      <c r="C6" s="21" t="inlineStr">
        <is>
          <t>POD</t>
        </is>
      </c>
      <c r="D6" s="42" t="n">
        <v>2</v>
      </c>
      <c r="E6" s="20" t="inlineStr">
        <is>
          <t>MetLife Servicing SME</t>
        </is>
      </c>
      <c r="F6" s="21" t="inlineStr">
        <is>
          <t>BSA</t>
        </is>
      </c>
      <c r="G6" s="61" t="inlineStr">
        <is>
          <t>E4</t>
        </is>
      </c>
      <c r="H6" s="61" t="inlineStr">
        <is>
          <t>ON</t>
        </is>
      </c>
      <c r="I6" s="61" t="inlineStr">
        <is>
          <t>FTE</t>
        </is>
      </c>
      <c r="J6" s="69" t="n">
        <v>0.75</v>
      </c>
      <c r="K6" s="70">
        <f>J6*4</f>
        <v/>
      </c>
    </row>
    <row r="7" ht="15" customHeight="1">
      <c r="B7" s="42" t="n">
        <v>1</v>
      </c>
      <c r="C7" s="21" t="inlineStr">
        <is>
          <t>POD</t>
        </is>
      </c>
      <c r="D7" s="42" t="n">
        <v>3</v>
      </c>
      <c r="E7" s="20" t="inlineStr">
        <is>
          <t>MGCC Workflow Engineer</t>
        </is>
      </c>
      <c r="F7" s="21" t="inlineStr">
        <is>
          <t>DEV</t>
        </is>
      </c>
      <c r="G7" s="61" t="inlineStr">
        <is>
          <t>E3</t>
        </is>
      </c>
      <c r="H7" s="61" t="inlineStr">
        <is>
          <t>OFF</t>
        </is>
      </c>
      <c r="I7" s="61" t="inlineStr">
        <is>
          <t>MGCC</t>
        </is>
      </c>
      <c r="J7" s="69" t="n">
        <v>2</v>
      </c>
      <c r="K7" s="70">
        <f>J7*4</f>
        <v/>
      </c>
    </row>
    <row r="8" ht="15" customHeight="1">
      <c r="B8" s="42" t="n">
        <v>1</v>
      </c>
      <c r="C8" s="21" t="inlineStr">
        <is>
          <t>POD</t>
        </is>
      </c>
      <c r="D8" s="42" t="n">
        <v>4</v>
      </c>
      <c r="E8" s="20" t="inlineStr">
        <is>
          <t>Business Analyst (bilingual)</t>
        </is>
      </c>
      <c r="F8" s="21" t="inlineStr">
        <is>
          <t>BSA</t>
        </is>
      </c>
      <c r="G8" s="61" t="inlineStr">
        <is>
          <t>E3</t>
        </is>
      </c>
      <c r="H8" s="61" t="inlineStr">
        <is>
          <t>ON</t>
        </is>
      </c>
      <c r="I8" s="61" t="inlineStr">
        <is>
          <t>FTC</t>
        </is>
      </c>
      <c r="J8" s="69" t="n">
        <v>0.875</v>
      </c>
      <c r="K8" s="70">
        <f>J8*4</f>
        <v/>
      </c>
    </row>
    <row r="9" ht="15" customHeight="1">
      <c r="B9" s="42" t="n">
        <v>1</v>
      </c>
      <c r="C9" s="21" t="inlineStr">
        <is>
          <t>POD</t>
        </is>
      </c>
      <c r="D9" s="42" t="n">
        <v>5</v>
      </c>
      <c r="E9" s="20" t="inlineStr">
        <is>
          <t>Pod lead / senior engineer</t>
        </is>
      </c>
      <c r="F9" s="21" t="inlineStr">
        <is>
          <t>DEV</t>
        </is>
      </c>
      <c r="G9" s="61" t="inlineStr">
        <is>
          <t>E4</t>
        </is>
      </c>
      <c r="H9" s="61" t="inlineStr">
        <is>
          <t>ON</t>
        </is>
      </c>
      <c r="I9" s="61" t="inlineStr">
        <is>
          <t>FTC</t>
        </is>
      </c>
      <c r="J9" s="69" t="n">
        <v>1.5</v>
      </c>
      <c r="K9" s="70">
        <f>J9*4</f>
        <v/>
      </c>
    </row>
    <row r="10" ht="15" customHeight="1">
      <c r="B10" s="42" t="n">
        <v>1</v>
      </c>
      <c r="C10" s="21" t="inlineStr">
        <is>
          <t>POD</t>
        </is>
      </c>
      <c r="D10" s="42" t="n">
        <v>6</v>
      </c>
      <c r="E10" s="20" t="inlineStr">
        <is>
          <t>K2 Workflow Engineer</t>
        </is>
      </c>
      <c r="F10" s="21" t="inlineStr">
        <is>
          <t>DEV</t>
        </is>
      </c>
      <c r="G10" s="61" t="inlineStr">
        <is>
          <t>E3</t>
        </is>
      </c>
      <c r="H10" s="61" t="inlineStr">
        <is>
          <t>ON</t>
        </is>
      </c>
      <c r="I10" s="61" t="inlineStr">
        <is>
          <t>FTC</t>
        </is>
      </c>
      <c r="J10" s="69" t="n">
        <v>0.5</v>
      </c>
      <c r="K10" s="70">
        <f>J10*4</f>
        <v/>
      </c>
    </row>
    <row r="11" ht="15" customHeight="1">
      <c r="B11" s="42" t="n">
        <v>1</v>
      </c>
      <c r="C11" s="21" t="inlineStr">
        <is>
          <t>POD</t>
        </is>
      </c>
      <c r="D11" s="42" t="n">
        <v>7</v>
      </c>
      <c r="E11" s="20" t="inlineStr">
        <is>
          <t>K2 Workflow Engineer</t>
        </is>
      </c>
      <c r="F11" s="21" t="inlineStr">
        <is>
          <t>DEV</t>
        </is>
      </c>
      <c r="G11" s="61" t="inlineStr">
        <is>
          <t>E3</t>
        </is>
      </c>
      <c r="H11" s="61" t="inlineStr">
        <is>
          <t>OFF</t>
        </is>
      </c>
      <c r="I11" s="61" t="inlineStr">
        <is>
          <t>FTC</t>
        </is>
      </c>
      <c r="J11" s="69" t="n">
        <v>0.25</v>
      </c>
      <c r="K11" s="70">
        <f>J11*4</f>
        <v/>
      </c>
    </row>
    <row r="12" ht="15" customHeight="1">
      <c r="B12" s="42" t="n">
        <v>1</v>
      </c>
      <c r="C12" s="21" t="inlineStr">
        <is>
          <t>POD</t>
        </is>
      </c>
      <c r="D12" s="42" t="n">
        <v>8</v>
      </c>
      <c r="E12" s="20" t="inlineStr">
        <is>
          <t>K2 Workflow Engineer</t>
        </is>
      </c>
      <c r="F12" s="21" t="inlineStr">
        <is>
          <t>DEV</t>
        </is>
      </c>
      <c r="G12" s="61" t="inlineStr">
        <is>
          <t>E2</t>
        </is>
      </c>
      <c r="H12" s="61" t="inlineStr">
        <is>
          <t>OFF</t>
        </is>
      </c>
      <c r="I12" s="61" t="inlineStr">
        <is>
          <t>FTC</t>
        </is>
      </c>
      <c r="J12" s="69" t="n">
        <v>0.25</v>
      </c>
      <c r="K12" s="70">
        <f>J12*4</f>
        <v/>
      </c>
    </row>
    <row r="13" ht="15" customHeight="1">
      <c r="B13" s="42" t="n">
        <v>1</v>
      </c>
      <c r="C13" s="21" t="inlineStr">
        <is>
          <t>POD</t>
        </is>
      </c>
      <c r="D13" s="42" t="n">
        <v>9</v>
      </c>
      <c r="E13" s="20" t="inlineStr">
        <is>
          <t>K2 Workflow Engineer</t>
        </is>
      </c>
      <c r="F13" s="21" t="inlineStr">
        <is>
          <t>DEV</t>
        </is>
      </c>
      <c r="G13" s="61" t="inlineStr">
        <is>
          <t>E1</t>
        </is>
      </c>
      <c r="H13" s="61" t="inlineStr">
        <is>
          <t>OFF</t>
        </is>
      </c>
      <c r="I13" s="61" t="inlineStr">
        <is>
          <t>FTC</t>
        </is>
      </c>
      <c r="J13" s="69" t="n">
        <v>0</v>
      </c>
      <c r="K13" s="70">
        <f>J13*4</f>
        <v/>
      </c>
    </row>
    <row r="14" ht="15" customHeight="1">
      <c r="B14" s="42" t="n">
        <v>1</v>
      </c>
      <c r="C14" s="21" t="inlineStr">
        <is>
          <t>POD</t>
        </is>
      </c>
      <c r="D14" s="42" t="n">
        <v>10</v>
      </c>
      <c r="E14" s="20" t="inlineStr">
        <is>
          <t>Quality Engineer (SDET)</t>
        </is>
      </c>
      <c r="F14" s="21" t="inlineStr">
        <is>
          <t>TEST</t>
        </is>
      </c>
      <c r="G14" s="61" t="inlineStr">
        <is>
          <t>E2</t>
        </is>
      </c>
      <c r="H14" s="61" t="inlineStr">
        <is>
          <t>OFF</t>
        </is>
      </c>
      <c r="I14" s="61" t="inlineStr">
        <is>
          <t>FTC</t>
        </is>
      </c>
      <c r="J14" s="69" t="n">
        <v>0.5</v>
      </c>
      <c r="K14" s="70">
        <f>J14*4</f>
        <v/>
      </c>
    </row>
    <row r="15" ht="15" customHeight="1">
      <c r="B15" s="42" t="n">
        <v>1</v>
      </c>
      <c r="C15" s="21" t="inlineStr">
        <is>
          <t>POD</t>
        </is>
      </c>
      <c r="D15" s="42" t="n">
        <v>11</v>
      </c>
      <c r="E15" s="20" t="inlineStr">
        <is>
          <t>Application Support</t>
        </is>
      </c>
      <c r="F15" s="21" t="inlineStr">
        <is>
          <t>MNT</t>
        </is>
      </c>
      <c r="G15" s="61" t="inlineStr">
        <is>
          <t>E2</t>
        </is>
      </c>
      <c r="H15" s="61" t="inlineStr">
        <is>
          <t>OFF</t>
        </is>
      </c>
      <c r="I15" s="61" t="inlineStr">
        <is>
          <t>FTC</t>
        </is>
      </c>
      <c r="J15" s="69" t="n">
        <v>0.25</v>
      </c>
      <c r="K15" s="70">
        <f>J15*4</f>
        <v/>
      </c>
    </row>
    <row r="16" ht="15" customHeight="1">
      <c r="B16" s="42" t="n">
        <v>1</v>
      </c>
      <c r="C16" s="21" t="inlineStr">
        <is>
          <t>POD</t>
        </is>
      </c>
      <c r="D16" s="42" t="n">
        <v>12</v>
      </c>
      <c r="E16" s="20" t="inlineStr">
        <is>
          <t>Solution Architect</t>
        </is>
      </c>
      <c r="F16" s="21" t="inlineStr">
        <is>
          <t>OTH</t>
        </is>
      </c>
      <c r="G16" s="61" t="inlineStr">
        <is>
          <t>E4</t>
        </is>
      </c>
      <c r="H16" s="61" t="inlineStr">
        <is>
          <t>ON</t>
        </is>
      </c>
      <c r="I16" s="61" t="inlineStr">
        <is>
          <t>FTC</t>
        </is>
      </c>
      <c r="J16" s="69" t="n">
        <v>0.5</v>
      </c>
      <c r="K16" s="70">
        <f>J16*4</f>
        <v/>
      </c>
    </row>
    <row r="17" ht="34.5" customHeight="1">
      <c r="D17" s="23" t="inlineStr">
        <is>
          <t>POD size — Year 1</t>
        </is>
      </c>
      <c r="J17" s="71">
        <f>SUM(J5:J16)</f>
        <v/>
      </c>
    </row>
    <row r="19" ht="15" customHeight="1">
      <c r="B19" s="42" t="n">
        <v>1</v>
      </c>
      <c r="C19" s="21" t="inlineStr">
        <is>
          <t>TEAM</t>
        </is>
      </c>
      <c r="D19" s="42" t="n">
        <v>1</v>
      </c>
      <c r="E19" s="20" t="inlineStr">
        <is>
          <t>MetLife Product Owner</t>
        </is>
      </c>
      <c r="F19" s="21" t="inlineStr">
        <is>
          <t>PM</t>
        </is>
      </c>
      <c r="G19" s="61" t="inlineStr">
        <is>
          <t>E4</t>
        </is>
      </c>
      <c r="H19" s="61" t="inlineStr">
        <is>
          <t>ON</t>
        </is>
      </c>
      <c r="I19" s="61" t="inlineStr">
        <is>
          <t>FTE</t>
        </is>
      </c>
      <c r="J19" s="69" t="n">
        <v>1.2</v>
      </c>
      <c r="K19" s="70">
        <f>J19*5</f>
        <v/>
      </c>
    </row>
    <row r="20" ht="15" customHeight="1">
      <c r="B20" s="42" t="n">
        <v>1</v>
      </c>
      <c r="C20" s="21" t="inlineStr">
        <is>
          <t>TEAM</t>
        </is>
      </c>
      <c r="D20" s="42" t="n">
        <v>2</v>
      </c>
      <c r="E20" s="20" t="inlineStr">
        <is>
          <t>MetLife Servicing SME</t>
        </is>
      </c>
      <c r="F20" s="21" t="inlineStr">
        <is>
          <t>BSA</t>
        </is>
      </c>
      <c r="G20" s="61" t="inlineStr">
        <is>
          <t>E4</t>
        </is>
      </c>
      <c r="H20" s="61" t="inlineStr">
        <is>
          <t>ON</t>
        </is>
      </c>
      <c r="I20" s="61" t="inlineStr">
        <is>
          <t>FTE</t>
        </is>
      </c>
      <c r="J20" s="69" t="n">
        <v>0.9</v>
      </c>
      <c r="K20" s="70">
        <f>J20*5</f>
        <v/>
      </c>
    </row>
    <row r="21" ht="15" customHeight="1">
      <c r="B21" s="42" t="n">
        <v>1</v>
      </c>
      <c r="C21" s="21" t="inlineStr">
        <is>
          <t>TEAM</t>
        </is>
      </c>
      <c r="D21" s="42" t="n">
        <v>3</v>
      </c>
      <c r="E21" s="20" t="inlineStr">
        <is>
          <t>MetLife Operations Analyst</t>
        </is>
      </c>
      <c r="F21" s="21" t="inlineStr">
        <is>
          <t>MNT</t>
        </is>
      </c>
      <c r="G21" s="61" t="inlineStr">
        <is>
          <t>E3</t>
        </is>
      </c>
      <c r="H21" s="61" t="inlineStr">
        <is>
          <t>ON</t>
        </is>
      </c>
      <c r="I21" s="61" t="inlineStr">
        <is>
          <t>FTE</t>
        </is>
      </c>
      <c r="J21" s="69" t="n">
        <v>0.9</v>
      </c>
      <c r="K21" s="70">
        <f>J21*5</f>
        <v/>
      </c>
    </row>
    <row r="22" ht="15" customHeight="1">
      <c r="B22" s="42" t="n">
        <v>1</v>
      </c>
      <c r="C22" s="21" t="inlineStr">
        <is>
          <t>TEAM</t>
        </is>
      </c>
      <c r="D22" s="42" t="n">
        <v>4</v>
      </c>
      <c r="E22" s="20" t="inlineStr">
        <is>
          <t>FSI Senior Developer (JP)</t>
        </is>
      </c>
      <c r="F22" s="21" t="inlineStr">
        <is>
          <t>DEV</t>
        </is>
      </c>
      <c r="G22" s="61" t="inlineStr">
        <is>
          <t>E3</t>
        </is>
      </c>
      <c r="H22" s="61" t="inlineStr">
        <is>
          <t>ON</t>
        </is>
      </c>
      <c r="I22" s="61" t="inlineStr">
        <is>
          <t>PT</t>
        </is>
      </c>
      <c r="J22" s="69" t="n">
        <v>1.8</v>
      </c>
      <c r="K22" s="70">
        <f>J22*5</f>
        <v/>
      </c>
    </row>
    <row r="23" ht="15" customHeight="1">
      <c r="B23" s="42" t="n">
        <v>1</v>
      </c>
      <c r="C23" s="21" t="inlineStr">
        <is>
          <t>TEAM</t>
        </is>
      </c>
      <c r="D23" s="42" t="n">
        <v>5</v>
      </c>
      <c r="E23" s="20" t="inlineStr">
        <is>
          <t>FSI Business Analyst (JP)</t>
        </is>
      </c>
      <c r="F23" s="21" t="inlineStr">
        <is>
          <t>BSA</t>
        </is>
      </c>
      <c r="G23" s="61" t="inlineStr">
        <is>
          <t>E3</t>
        </is>
      </c>
      <c r="H23" s="61" t="inlineStr">
        <is>
          <t>ON</t>
        </is>
      </c>
      <c r="I23" s="61" t="inlineStr">
        <is>
          <t>PT</t>
        </is>
      </c>
      <c r="J23" s="69" t="n">
        <v>0.6</v>
      </c>
      <c r="K23" s="70">
        <f>J23*5</f>
        <v/>
      </c>
    </row>
    <row r="24" ht="15" customHeight="1">
      <c r="B24" s="42" t="n">
        <v>1</v>
      </c>
      <c r="C24" s="21" t="inlineStr">
        <is>
          <t>TEAM</t>
        </is>
      </c>
      <c r="D24" s="42" t="n">
        <v>6</v>
      </c>
      <c r="E24" s="20" t="inlineStr">
        <is>
          <t>Business Analyst (bilingual)</t>
        </is>
      </c>
      <c r="F24" s="21" t="inlineStr">
        <is>
          <t>BSA</t>
        </is>
      </c>
      <c r="G24" s="61" t="inlineStr">
        <is>
          <t>E3</t>
        </is>
      </c>
      <c r="H24" s="61" t="inlineStr">
        <is>
          <t>ON</t>
        </is>
      </c>
      <c r="I24" s="61" t="inlineStr">
        <is>
          <t>FTC</t>
        </is>
      </c>
      <c r="J24" s="69" t="n">
        <v>0.5</v>
      </c>
      <c r="K24" s="70">
        <f>J24*5</f>
        <v/>
      </c>
    </row>
    <row r="25" ht="15" customHeight="1">
      <c r="B25" s="42" t="n">
        <v>1</v>
      </c>
      <c r="C25" s="21" t="inlineStr">
        <is>
          <t>TEAM</t>
        </is>
      </c>
      <c r="D25" s="42" t="n">
        <v>7</v>
      </c>
      <c r="E25" s="20" t="inlineStr">
        <is>
          <t>Team lead / technical lead</t>
        </is>
      </c>
      <c r="F25" s="21" t="inlineStr">
        <is>
          <t>DEV</t>
        </is>
      </c>
      <c r="G25" s="61" t="inlineStr">
        <is>
          <t>E4</t>
        </is>
      </c>
      <c r="H25" s="61" t="inlineStr">
        <is>
          <t>ON</t>
        </is>
      </c>
      <c r="I25" s="61" t="inlineStr">
        <is>
          <t>FTC</t>
        </is>
      </c>
      <c r="J25" s="69" t="n">
        <v>0.5</v>
      </c>
      <c r="K25" s="70">
        <f>J25*5</f>
        <v/>
      </c>
    </row>
    <row r="26" ht="15" customHeight="1">
      <c r="B26" s="42" t="n">
        <v>1</v>
      </c>
      <c r="C26" s="21" t="inlineStr">
        <is>
          <t>TEAM</t>
        </is>
      </c>
      <c r="D26" s="42" t="n">
        <v>8</v>
      </c>
      <c r="E26" s="20" t="inlineStr">
        <is>
          <t>Workflow Developer</t>
        </is>
      </c>
      <c r="F26" s="21" t="inlineStr">
        <is>
          <t>DEV</t>
        </is>
      </c>
      <c r="G26" s="61" t="inlineStr">
        <is>
          <t>E3</t>
        </is>
      </c>
      <c r="H26" s="61" t="inlineStr">
        <is>
          <t>ON</t>
        </is>
      </c>
      <c r="I26" s="61" t="inlineStr">
        <is>
          <t>FTC</t>
        </is>
      </c>
      <c r="J26" s="69" t="n">
        <v>1.8</v>
      </c>
      <c r="K26" s="70">
        <f>J26*5</f>
        <v/>
      </c>
    </row>
    <row r="27" ht="15" customHeight="1">
      <c r="B27" s="42" t="n">
        <v>1</v>
      </c>
      <c r="C27" s="21" t="inlineStr">
        <is>
          <t>TEAM</t>
        </is>
      </c>
      <c r="D27" s="42" t="n">
        <v>9</v>
      </c>
      <c r="E27" s="20" t="inlineStr">
        <is>
          <t>Workflow Developer</t>
        </is>
      </c>
      <c r="F27" s="21" t="inlineStr">
        <is>
          <t>DEV</t>
        </is>
      </c>
      <c r="G27" s="61" t="inlineStr">
        <is>
          <t>E2</t>
        </is>
      </c>
      <c r="H27" s="61" t="inlineStr">
        <is>
          <t>ON</t>
        </is>
      </c>
      <c r="I27" s="61" t="inlineStr">
        <is>
          <t>FTC</t>
        </is>
      </c>
      <c r="J27" s="69" t="n">
        <v>1.1</v>
      </c>
      <c r="K27" s="70">
        <f>J27*5</f>
        <v/>
      </c>
    </row>
    <row r="28" ht="15" customHeight="1">
      <c r="B28" s="42" t="n">
        <v>1</v>
      </c>
      <c r="C28" s="21" t="inlineStr">
        <is>
          <t>TEAM</t>
        </is>
      </c>
      <c r="D28" s="42" t="n">
        <v>10</v>
      </c>
      <c r="E28" s="20" t="inlineStr">
        <is>
          <t>Workflow Developer</t>
        </is>
      </c>
      <c r="F28" s="21" t="inlineStr">
        <is>
          <t>DEV</t>
        </is>
      </c>
      <c r="G28" s="61" t="inlineStr">
        <is>
          <t>E3</t>
        </is>
      </c>
      <c r="H28" s="61" t="inlineStr">
        <is>
          <t>OFF</t>
        </is>
      </c>
      <c r="I28" s="61" t="inlineStr">
        <is>
          <t>FTC</t>
        </is>
      </c>
      <c r="J28" s="69" t="n">
        <v>0.2</v>
      </c>
      <c r="K28" s="70">
        <f>J28*5</f>
        <v/>
      </c>
    </row>
    <row r="29" ht="15" customHeight="1">
      <c r="B29" s="42" t="n">
        <v>1</v>
      </c>
      <c r="C29" s="21" t="inlineStr">
        <is>
          <t>TEAM</t>
        </is>
      </c>
      <c r="D29" s="42" t="n">
        <v>11</v>
      </c>
      <c r="E29" s="20" t="inlineStr">
        <is>
          <t>Test Engineer</t>
        </is>
      </c>
      <c r="F29" s="21" t="inlineStr">
        <is>
          <t>TEST</t>
        </is>
      </c>
      <c r="G29" s="61" t="inlineStr">
        <is>
          <t>E2</t>
        </is>
      </c>
      <c r="H29" s="61" t="inlineStr">
        <is>
          <t>ON</t>
        </is>
      </c>
      <c r="I29" s="61" t="inlineStr">
        <is>
          <t>FTC</t>
        </is>
      </c>
      <c r="J29" s="69" t="n">
        <v>1.5</v>
      </c>
      <c r="K29" s="70">
        <f>J29*5</f>
        <v/>
      </c>
    </row>
    <row r="30" ht="15" customHeight="1">
      <c r="B30" s="42" t="n">
        <v>1</v>
      </c>
      <c r="C30" s="21" t="inlineStr">
        <is>
          <t>TEAM</t>
        </is>
      </c>
      <c r="D30" s="42" t="n">
        <v>12</v>
      </c>
      <c r="E30" s="20" t="inlineStr">
        <is>
          <t>Test Engineer</t>
        </is>
      </c>
      <c r="F30" s="21" t="inlineStr">
        <is>
          <t>TEST</t>
        </is>
      </c>
      <c r="G30" s="61" t="inlineStr">
        <is>
          <t>E2</t>
        </is>
      </c>
      <c r="H30" s="61" t="inlineStr">
        <is>
          <t>OFF</t>
        </is>
      </c>
      <c r="I30" s="61" t="inlineStr">
        <is>
          <t>FTC</t>
        </is>
      </c>
      <c r="J30" s="69" t="n">
        <v>0</v>
      </c>
      <c r="K30" s="70">
        <f>J30*5</f>
        <v/>
      </c>
    </row>
    <row r="31" ht="15" customHeight="1">
      <c r="B31" s="42" t="n">
        <v>1</v>
      </c>
      <c r="C31" s="21" t="inlineStr">
        <is>
          <t>TEAM</t>
        </is>
      </c>
      <c r="D31" s="42" t="n">
        <v>13</v>
      </c>
      <c r="E31" s="20" t="inlineStr">
        <is>
          <t>Application Support</t>
        </is>
      </c>
      <c r="F31" s="21" t="inlineStr">
        <is>
          <t>MNT</t>
        </is>
      </c>
      <c r="G31" s="61" t="inlineStr">
        <is>
          <t>E2</t>
        </is>
      </c>
      <c r="H31" s="61" t="inlineStr">
        <is>
          <t>ON</t>
        </is>
      </c>
      <c r="I31" s="61" t="inlineStr">
        <is>
          <t>FTC</t>
        </is>
      </c>
      <c r="J31" s="69" t="n">
        <v>0</v>
      </c>
      <c r="K31" s="70">
        <f>J31*5</f>
        <v/>
      </c>
    </row>
    <row r="32" ht="15" customHeight="1">
      <c r="B32" s="42" t="n">
        <v>1</v>
      </c>
      <c r="C32" s="21" t="inlineStr">
        <is>
          <t>TEAM</t>
        </is>
      </c>
      <c r="D32" s="42" t="n">
        <v>14</v>
      </c>
      <c r="E32" s="20" t="inlineStr">
        <is>
          <t>Solution Architect</t>
        </is>
      </c>
      <c r="F32" s="21" t="inlineStr">
        <is>
          <t>OTH</t>
        </is>
      </c>
      <c r="G32" s="61" t="inlineStr">
        <is>
          <t>E4</t>
        </is>
      </c>
      <c r="H32" s="61" t="inlineStr">
        <is>
          <t>ON</t>
        </is>
      </c>
      <c r="I32" s="61" t="inlineStr">
        <is>
          <t>FTC</t>
        </is>
      </c>
      <c r="J32" s="69" t="n">
        <v>0</v>
      </c>
      <c r="K32" s="70">
        <f>J32*5</f>
        <v/>
      </c>
    </row>
    <row r="33" ht="34.5" customHeight="1">
      <c r="D33" s="23" t="inlineStr">
        <is>
          <t>TEAM size — Year 1</t>
        </is>
      </c>
      <c r="J33" s="71">
        <f>SUM(J19:J32)</f>
        <v/>
      </c>
    </row>
    <row r="34" ht="34.5" customHeight="1">
      <c r="D34" s="72" t="n"/>
      <c r="J34" s="73" t="n"/>
    </row>
    <row r="35" ht="21.75" customHeight="1">
      <c r="B35" s="12" t="inlineStr">
        <is>
          <t>Year</t>
        </is>
      </c>
      <c r="C35" s="12" t="inlineStr">
        <is>
          <t>Unit</t>
        </is>
      </c>
      <c r="D35" s="12" t="inlineStr">
        <is>
          <t>Seat</t>
        </is>
      </c>
      <c r="E35" s="12" t="inlineStr">
        <is>
          <t>Role detail</t>
        </is>
      </c>
      <c r="F35" s="12" t="inlineStr">
        <is>
          <t>Role</t>
        </is>
      </c>
      <c r="G35" s="12" t="inlineStr">
        <is>
          <t>Exp</t>
        </is>
      </c>
      <c r="H35" s="12" t="inlineStr">
        <is>
          <t>Loc</t>
        </is>
      </c>
      <c r="I35" s="12" t="inlineStr">
        <is>
          <t>Sourcing</t>
        </is>
      </c>
      <c r="J35" s="68" t="inlineStr">
        <is>
          <t>Count</t>
        </is>
      </c>
      <c r="K35" s="12" t="inlineStr">
        <is>
          <t>People in the block</t>
        </is>
      </c>
    </row>
    <row r="36" ht="15" customHeight="1">
      <c r="B36" s="42" t="n">
        <v>2</v>
      </c>
      <c r="C36" s="21" t="inlineStr">
        <is>
          <t>POD</t>
        </is>
      </c>
      <c r="D36" s="42" t="n">
        <v>1</v>
      </c>
      <c r="E36" s="20" t="inlineStr">
        <is>
          <t>MetLife Product Owner</t>
        </is>
      </c>
      <c r="F36" s="21" t="inlineStr">
        <is>
          <t>PM</t>
        </is>
      </c>
      <c r="G36" s="61" t="inlineStr">
        <is>
          <t>E4</t>
        </is>
      </c>
      <c r="H36" s="61" t="inlineStr">
        <is>
          <t>ON</t>
        </is>
      </c>
      <c r="I36" s="61" t="inlineStr">
        <is>
          <t>FTE</t>
        </is>
      </c>
      <c r="J36" s="69" t="n">
        <v>1.08</v>
      </c>
      <c r="K36" s="70">
        <f>J36*6</f>
        <v/>
      </c>
    </row>
    <row r="37" ht="15" customHeight="1">
      <c r="B37" s="42" t="n">
        <v>2</v>
      </c>
      <c r="C37" s="21" t="inlineStr">
        <is>
          <t>POD</t>
        </is>
      </c>
      <c r="D37" s="42" t="n">
        <v>2</v>
      </c>
      <c r="E37" s="20" t="inlineStr">
        <is>
          <t>MetLife Servicing SME</t>
        </is>
      </c>
      <c r="F37" s="21" t="inlineStr">
        <is>
          <t>BSA</t>
        </is>
      </c>
      <c r="G37" s="61" t="inlineStr">
        <is>
          <t>E4</t>
        </is>
      </c>
      <c r="H37" s="61" t="inlineStr">
        <is>
          <t>ON</t>
        </is>
      </c>
      <c r="I37" s="61" t="inlineStr">
        <is>
          <t>FTE</t>
        </is>
      </c>
      <c r="J37" s="69" t="n">
        <v>0.916666667</v>
      </c>
      <c r="K37" s="70">
        <f>J37*6</f>
        <v/>
      </c>
    </row>
    <row r="38" ht="15" customHeight="1">
      <c r="B38" s="42" t="n">
        <v>2</v>
      </c>
      <c r="C38" s="21" t="inlineStr">
        <is>
          <t>POD</t>
        </is>
      </c>
      <c r="D38" s="42" t="n">
        <v>3</v>
      </c>
      <c r="E38" s="20" t="inlineStr">
        <is>
          <t>MGCC Workflow Engineer</t>
        </is>
      </c>
      <c r="F38" s="21" t="inlineStr">
        <is>
          <t>DEV</t>
        </is>
      </c>
      <c r="G38" s="61" t="inlineStr">
        <is>
          <t>E3</t>
        </is>
      </c>
      <c r="H38" s="61" t="inlineStr">
        <is>
          <t>OFF</t>
        </is>
      </c>
      <c r="I38" s="61" t="inlineStr">
        <is>
          <t>MGCC</t>
        </is>
      </c>
      <c r="J38" s="69" t="n">
        <v>1.17</v>
      </c>
      <c r="K38" s="70">
        <f>J38*6</f>
        <v/>
      </c>
    </row>
    <row r="39" ht="15" customHeight="1">
      <c r="B39" s="42" t="n">
        <v>2</v>
      </c>
      <c r="C39" s="21" t="inlineStr">
        <is>
          <t>POD</t>
        </is>
      </c>
      <c r="D39" s="42" t="n">
        <v>4</v>
      </c>
      <c r="E39" s="20" t="inlineStr">
        <is>
          <t>Business Analyst (bilingual)</t>
        </is>
      </c>
      <c r="F39" s="21" t="inlineStr">
        <is>
          <t>BSA</t>
        </is>
      </c>
      <c r="G39" s="61" t="inlineStr">
        <is>
          <t>E3</t>
        </is>
      </c>
      <c r="H39" s="61" t="inlineStr">
        <is>
          <t>ON</t>
        </is>
      </c>
      <c r="I39" s="61" t="inlineStr">
        <is>
          <t>FTC</t>
        </is>
      </c>
      <c r="J39" s="69" t="n">
        <v>1</v>
      </c>
      <c r="K39" s="70">
        <f>J39*6</f>
        <v/>
      </c>
    </row>
    <row r="40" ht="15" customHeight="1">
      <c r="B40" s="42" t="n">
        <v>2</v>
      </c>
      <c r="C40" s="21" t="inlineStr">
        <is>
          <t>POD</t>
        </is>
      </c>
      <c r="D40" s="42" t="n">
        <v>5</v>
      </c>
      <c r="E40" s="20" t="inlineStr">
        <is>
          <t>Pod lead / senior engineer</t>
        </is>
      </c>
      <c r="F40" s="21" t="inlineStr">
        <is>
          <t>DEV</t>
        </is>
      </c>
      <c r="G40" s="61" t="inlineStr">
        <is>
          <t>E4</t>
        </is>
      </c>
      <c r="H40" s="74" t="inlineStr">
        <is>
          <t>OFF</t>
        </is>
      </c>
      <c r="I40" s="61" t="inlineStr">
        <is>
          <t>FTC</t>
        </is>
      </c>
      <c r="J40" s="69" t="n">
        <v>0.5</v>
      </c>
      <c r="K40" s="70">
        <f>J40*6</f>
        <v/>
      </c>
    </row>
    <row r="41" ht="15" customHeight="1">
      <c r="B41" s="42" t="n">
        <v>2</v>
      </c>
      <c r="C41" s="21" t="inlineStr">
        <is>
          <t>POD</t>
        </is>
      </c>
      <c r="D41" s="42" t="n">
        <v>6</v>
      </c>
      <c r="E41" s="20" t="inlineStr">
        <is>
          <t>AI-assisted Workflow Engineer</t>
        </is>
      </c>
      <c r="F41" s="21" t="inlineStr">
        <is>
          <t>DEV</t>
        </is>
      </c>
      <c r="G41" s="61" t="inlineStr">
        <is>
          <t>E3</t>
        </is>
      </c>
      <c r="H41" s="61" t="inlineStr">
        <is>
          <t>OFF</t>
        </is>
      </c>
      <c r="I41" s="61" t="inlineStr">
        <is>
          <t>FTC</t>
        </is>
      </c>
      <c r="J41" s="69" t="n">
        <v>0.5</v>
      </c>
      <c r="K41" s="70">
        <f>J41*6</f>
        <v/>
      </c>
    </row>
    <row r="42" ht="15" customHeight="1">
      <c r="B42" s="42" t="n">
        <v>2</v>
      </c>
      <c r="C42" s="21" t="inlineStr">
        <is>
          <t>POD</t>
        </is>
      </c>
      <c r="D42" s="42" t="n">
        <v>7</v>
      </c>
      <c r="E42" s="20" t="inlineStr">
        <is>
          <t>Workflow Engineer</t>
        </is>
      </c>
      <c r="F42" s="21" t="inlineStr">
        <is>
          <t>DEV</t>
        </is>
      </c>
      <c r="G42" s="61" t="inlineStr">
        <is>
          <t>E2</t>
        </is>
      </c>
      <c r="H42" s="61" t="inlineStr">
        <is>
          <t>OFF</t>
        </is>
      </c>
      <c r="I42" s="61" t="inlineStr">
        <is>
          <t>FTC</t>
        </is>
      </c>
      <c r="J42" s="69" t="n">
        <v>0.5</v>
      </c>
      <c r="K42" s="70">
        <f>J42*6</f>
        <v/>
      </c>
    </row>
    <row r="43" ht="15" customHeight="1">
      <c r="B43" s="42" t="n">
        <v>2</v>
      </c>
      <c r="C43" s="21" t="inlineStr">
        <is>
          <t>POD</t>
        </is>
      </c>
      <c r="D43" s="42" t="n">
        <v>8</v>
      </c>
      <c r="E43" s="20" t="inlineStr">
        <is>
          <t>Workflow Engineer</t>
        </is>
      </c>
      <c r="F43" s="21" t="inlineStr">
        <is>
          <t>DEV</t>
        </is>
      </c>
      <c r="G43" s="61" t="inlineStr">
        <is>
          <t>E1</t>
        </is>
      </c>
      <c r="H43" s="61" t="inlineStr">
        <is>
          <t>OFF</t>
        </is>
      </c>
      <c r="I43" s="61" t="inlineStr">
        <is>
          <t>FTC</t>
        </is>
      </c>
      <c r="J43" s="69" t="n">
        <v>0</v>
      </c>
      <c r="K43" s="70">
        <f>J43*6</f>
        <v/>
      </c>
    </row>
    <row r="44" ht="15" customHeight="1">
      <c r="B44" s="42" t="n">
        <v>2</v>
      </c>
      <c r="C44" s="21" t="inlineStr">
        <is>
          <t>POD</t>
        </is>
      </c>
      <c r="D44" s="42" t="n">
        <v>9</v>
      </c>
      <c r="E44" s="20" t="inlineStr">
        <is>
          <t>Quality Engineer (SDET)</t>
        </is>
      </c>
      <c r="F44" s="21" t="inlineStr">
        <is>
          <t>TEST</t>
        </is>
      </c>
      <c r="G44" s="61" t="inlineStr">
        <is>
          <t>E3</t>
        </is>
      </c>
      <c r="H44" s="61" t="inlineStr">
        <is>
          <t>OFF</t>
        </is>
      </c>
      <c r="I44" s="61" t="inlineStr">
        <is>
          <t>FTC</t>
        </is>
      </c>
      <c r="J44" s="69" t="n">
        <v>1.5</v>
      </c>
      <c r="K44" s="70">
        <f>J44*6</f>
        <v/>
      </c>
    </row>
    <row r="45" ht="15" customHeight="1">
      <c r="B45" s="42" t="n">
        <v>2</v>
      </c>
      <c r="C45" s="21" t="inlineStr">
        <is>
          <t>POD</t>
        </is>
      </c>
      <c r="D45" s="42" t="n">
        <v>10</v>
      </c>
      <c r="E45" s="20" t="inlineStr">
        <is>
          <t>Application Support</t>
        </is>
      </c>
      <c r="F45" s="21" t="inlineStr">
        <is>
          <t>MNT</t>
        </is>
      </c>
      <c r="G45" s="61" t="inlineStr">
        <is>
          <t>E2</t>
        </is>
      </c>
      <c r="H45" s="61" t="inlineStr">
        <is>
          <t>OFF</t>
        </is>
      </c>
      <c r="I45" s="61" t="inlineStr">
        <is>
          <t>FTC</t>
        </is>
      </c>
      <c r="J45" s="69" t="n">
        <v>0.3333333</v>
      </c>
      <c r="K45" s="70">
        <f>J45*6</f>
        <v/>
      </c>
    </row>
    <row r="46" ht="15" customHeight="1">
      <c r="B46" s="42" t="n">
        <v>2</v>
      </c>
      <c r="C46" s="21" t="inlineStr">
        <is>
          <t>POD</t>
        </is>
      </c>
      <c r="D46" s="42" t="n">
        <v>11</v>
      </c>
      <c r="E46" s="20" t="inlineStr">
        <is>
          <t>Solution Architect</t>
        </is>
      </c>
      <c r="F46" s="21" t="inlineStr">
        <is>
          <t>OTH</t>
        </is>
      </c>
      <c r="G46" s="61" t="inlineStr">
        <is>
          <t>E4</t>
        </is>
      </c>
      <c r="H46" s="61" t="inlineStr">
        <is>
          <t>ON</t>
        </is>
      </c>
      <c r="I46" s="61" t="inlineStr">
        <is>
          <t>FTC</t>
        </is>
      </c>
      <c r="J46" s="69" t="n">
        <v>0</v>
      </c>
      <c r="K46" s="70">
        <f>J46*6</f>
        <v/>
      </c>
    </row>
    <row r="47" ht="34.5" customHeight="1">
      <c r="D47" s="23" t="inlineStr">
        <is>
          <t>POD size — Year 2</t>
        </is>
      </c>
      <c r="J47" s="71">
        <f>SUM(J36:J46)</f>
        <v/>
      </c>
      <c r="K47" s="71">
        <f>SUM(K36:K46)</f>
        <v/>
      </c>
      <c r="L47" t="n">
        <v>7.25</v>
      </c>
      <c r="M47" t="n">
        <v>43.5</v>
      </c>
    </row>
    <row r="48" ht="34.5" customHeight="1">
      <c r="D48" s="72" t="n"/>
      <c r="J48" s="73" t="n"/>
    </row>
    <row r="50" ht="15" customHeight="1">
      <c r="B50" s="42" t="n">
        <v>2</v>
      </c>
      <c r="C50" s="21" t="inlineStr">
        <is>
          <t>TEAM</t>
        </is>
      </c>
      <c r="D50" s="42" t="n">
        <v>1</v>
      </c>
      <c r="E50" s="20" t="inlineStr">
        <is>
          <t>MetLife Product Owner</t>
        </is>
      </c>
      <c r="F50" s="21" t="inlineStr">
        <is>
          <t>PM</t>
        </is>
      </c>
      <c r="G50" s="61" t="inlineStr">
        <is>
          <t>E4</t>
        </is>
      </c>
      <c r="H50" s="61" t="inlineStr">
        <is>
          <t>ON</t>
        </is>
      </c>
      <c r="I50" s="61" t="inlineStr">
        <is>
          <t>FTE</t>
        </is>
      </c>
      <c r="J50" s="69" t="n">
        <v>0.75</v>
      </c>
      <c r="K50" s="70">
        <f>J50*2</f>
        <v/>
      </c>
    </row>
    <row r="51" ht="15" customHeight="1">
      <c r="B51" s="42" t="n">
        <v>2</v>
      </c>
      <c r="C51" s="21" t="inlineStr">
        <is>
          <t>TEAM</t>
        </is>
      </c>
      <c r="D51" s="42" t="n">
        <v>2</v>
      </c>
      <c r="E51" s="20" t="inlineStr">
        <is>
          <t>MetLife Servicing SME</t>
        </is>
      </c>
      <c r="F51" s="21" t="inlineStr">
        <is>
          <t>BSA</t>
        </is>
      </c>
      <c r="G51" s="61" t="inlineStr">
        <is>
          <t>E4</t>
        </is>
      </c>
      <c r="H51" s="61" t="inlineStr">
        <is>
          <t>ON</t>
        </is>
      </c>
      <c r="I51" s="61" t="inlineStr">
        <is>
          <t>FTE</t>
        </is>
      </c>
      <c r="J51" s="69" t="n">
        <v>1</v>
      </c>
      <c r="K51" s="70">
        <f>J51*2</f>
        <v/>
      </c>
    </row>
    <row r="52" ht="15" customHeight="1">
      <c r="B52" s="42" t="n">
        <v>2</v>
      </c>
      <c r="C52" s="21" t="inlineStr">
        <is>
          <t>TEAM</t>
        </is>
      </c>
      <c r="D52" s="42" t="n">
        <v>3</v>
      </c>
      <c r="E52" s="20" t="inlineStr">
        <is>
          <t>FSI Senior Developer (JP)</t>
        </is>
      </c>
      <c r="F52" s="21" t="inlineStr">
        <is>
          <t>DEV</t>
        </is>
      </c>
      <c r="G52" s="61" t="inlineStr">
        <is>
          <t>E3</t>
        </is>
      </c>
      <c r="H52" s="61" t="inlineStr">
        <is>
          <t>ON</t>
        </is>
      </c>
      <c r="I52" s="61" t="inlineStr">
        <is>
          <t>PT</t>
        </is>
      </c>
      <c r="J52" s="69" t="n">
        <v>2.75</v>
      </c>
      <c r="K52" s="70">
        <f>J52*2</f>
        <v/>
      </c>
    </row>
    <row r="53" ht="15" customHeight="1">
      <c r="B53" s="42" t="n">
        <v>2</v>
      </c>
      <c r="C53" s="21" t="inlineStr">
        <is>
          <t>TEAM</t>
        </is>
      </c>
      <c r="D53" s="42" t="n">
        <v>4</v>
      </c>
      <c r="E53" s="20" t="inlineStr">
        <is>
          <t>FSI Business Analyst (JP)</t>
        </is>
      </c>
      <c r="F53" s="21" t="inlineStr">
        <is>
          <t>BSA</t>
        </is>
      </c>
      <c r="G53" s="61" t="inlineStr">
        <is>
          <t>E3</t>
        </is>
      </c>
      <c r="H53" s="61" t="inlineStr">
        <is>
          <t>ON</t>
        </is>
      </c>
      <c r="I53" s="61" t="inlineStr">
        <is>
          <t>PT</t>
        </is>
      </c>
      <c r="J53" s="69" t="n">
        <v>1.5</v>
      </c>
      <c r="K53" s="70">
        <f>J53*2</f>
        <v/>
      </c>
    </row>
    <row r="54" ht="15" customHeight="1">
      <c r="B54" s="42" t="n">
        <v>2</v>
      </c>
      <c r="C54" s="21" t="inlineStr">
        <is>
          <t>TEAM</t>
        </is>
      </c>
      <c r="D54" s="42" t="n">
        <v>5</v>
      </c>
      <c r="E54" s="20" t="inlineStr">
        <is>
          <t>Business Analyst (bilingual)</t>
        </is>
      </c>
      <c r="F54" s="21" t="inlineStr">
        <is>
          <t>BSA</t>
        </is>
      </c>
      <c r="G54" s="61" t="inlineStr">
        <is>
          <t>E3</t>
        </is>
      </c>
      <c r="H54" s="61" t="inlineStr">
        <is>
          <t>ON</t>
        </is>
      </c>
      <c r="I54" s="61" t="inlineStr">
        <is>
          <t>FTC</t>
        </is>
      </c>
      <c r="J54" s="69" t="n">
        <v>0.5</v>
      </c>
      <c r="K54" s="70">
        <f>J54*2</f>
        <v/>
      </c>
    </row>
    <row r="55" ht="15" customHeight="1">
      <c r="B55" s="42" t="n">
        <v>2</v>
      </c>
      <c r="C55" s="21" t="inlineStr">
        <is>
          <t>TEAM</t>
        </is>
      </c>
      <c r="D55" s="42" t="n">
        <v>6</v>
      </c>
      <c r="E55" s="20" t="inlineStr">
        <is>
          <t>Team lead / technical lead</t>
        </is>
      </c>
      <c r="F55" s="21" t="inlineStr">
        <is>
          <t>DEV</t>
        </is>
      </c>
      <c r="G55" s="61" t="inlineStr">
        <is>
          <t>E4</t>
        </is>
      </c>
      <c r="H55" s="61" t="inlineStr">
        <is>
          <t>ON</t>
        </is>
      </c>
      <c r="I55" s="61" t="inlineStr">
        <is>
          <t>FTC</t>
        </is>
      </c>
      <c r="J55" s="69" t="n">
        <v>0.5</v>
      </c>
      <c r="K55" s="70">
        <f>J55*2</f>
        <v/>
      </c>
    </row>
    <row r="56" ht="15" customHeight="1">
      <c r="B56" s="42" t="n">
        <v>2</v>
      </c>
      <c r="C56" s="21" t="inlineStr">
        <is>
          <t>TEAM</t>
        </is>
      </c>
      <c r="D56" s="42" t="n">
        <v>7</v>
      </c>
      <c r="E56" s="20" t="inlineStr">
        <is>
          <t>Workflow Developer</t>
        </is>
      </c>
      <c r="F56" s="21" t="inlineStr">
        <is>
          <t>DEV</t>
        </is>
      </c>
      <c r="G56" s="61" t="inlineStr">
        <is>
          <t>E3</t>
        </is>
      </c>
      <c r="H56" s="61" t="inlineStr">
        <is>
          <t>ON</t>
        </is>
      </c>
      <c r="I56" s="61" t="inlineStr">
        <is>
          <t>FTC</t>
        </is>
      </c>
      <c r="J56" s="69" t="n">
        <v>0.75</v>
      </c>
      <c r="K56" s="70">
        <f>J56*2</f>
        <v/>
      </c>
    </row>
    <row r="57" ht="15" customHeight="1">
      <c r="B57" s="42" t="n">
        <v>2</v>
      </c>
      <c r="C57" s="21" t="inlineStr">
        <is>
          <t>TEAM</t>
        </is>
      </c>
      <c r="D57" s="42" t="n">
        <v>8</v>
      </c>
      <c r="E57" s="20" t="inlineStr">
        <is>
          <t>Workflow Developer</t>
        </is>
      </c>
      <c r="F57" s="21" t="inlineStr">
        <is>
          <t>DEV</t>
        </is>
      </c>
      <c r="G57" s="61" t="inlineStr">
        <is>
          <t>E3</t>
        </is>
      </c>
      <c r="H57" s="61" t="inlineStr">
        <is>
          <t>OFF</t>
        </is>
      </c>
      <c r="I57" s="61" t="inlineStr">
        <is>
          <t>FTC</t>
        </is>
      </c>
      <c r="J57" s="69" t="n">
        <v>0</v>
      </c>
      <c r="K57" s="70">
        <f>J57*2</f>
        <v/>
      </c>
    </row>
    <row r="58" ht="15" customHeight="1">
      <c r="B58" s="42" t="n">
        <v>2</v>
      </c>
      <c r="C58" s="21" t="inlineStr">
        <is>
          <t>TEAM</t>
        </is>
      </c>
      <c r="D58" s="42" t="n">
        <v>9</v>
      </c>
      <c r="E58" s="20" t="inlineStr">
        <is>
          <t>Workflow Developer</t>
        </is>
      </c>
      <c r="F58" s="21" t="inlineStr">
        <is>
          <t>DEV</t>
        </is>
      </c>
      <c r="G58" s="61" t="inlineStr">
        <is>
          <t>E2</t>
        </is>
      </c>
      <c r="H58" s="61" t="inlineStr">
        <is>
          <t>OFF</t>
        </is>
      </c>
      <c r="I58" s="61" t="inlineStr">
        <is>
          <t>FTC</t>
        </is>
      </c>
      <c r="J58" s="69" t="n">
        <v>1</v>
      </c>
      <c r="K58" s="70">
        <f>J58*2</f>
        <v/>
      </c>
    </row>
    <row r="59" ht="15" customHeight="1">
      <c r="B59" s="42" t="n">
        <v>2</v>
      </c>
      <c r="C59" s="21" t="inlineStr">
        <is>
          <t>TEAM</t>
        </is>
      </c>
      <c r="D59" s="42" t="n">
        <v>10</v>
      </c>
      <c r="E59" s="20" t="inlineStr">
        <is>
          <t>Test Engineer (SDET)</t>
        </is>
      </c>
      <c r="F59" s="21" t="inlineStr">
        <is>
          <t>TEST</t>
        </is>
      </c>
      <c r="G59" s="61" t="inlineStr">
        <is>
          <t>E3</t>
        </is>
      </c>
      <c r="H59" s="61" t="inlineStr">
        <is>
          <t>OFF</t>
        </is>
      </c>
      <c r="I59" s="61" t="inlineStr">
        <is>
          <t>FTC</t>
        </is>
      </c>
      <c r="J59" s="69" t="n">
        <v>0</v>
      </c>
      <c r="K59" s="70">
        <f>J59*2</f>
        <v/>
      </c>
    </row>
    <row r="60" ht="15" customHeight="1">
      <c r="B60" s="42" t="n">
        <v>2</v>
      </c>
      <c r="C60" s="21" t="inlineStr">
        <is>
          <t>TEAM</t>
        </is>
      </c>
      <c r="D60" s="42" t="n">
        <v>11</v>
      </c>
      <c r="E60" s="20" t="inlineStr">
        <is>
          <t>Application Support</t>
        </is>
      </c>
      <c r="F60" s="21" t="inlineStr">
        <is>
          <t>MNT</t>
        </is>
      </c>
      <c r="G60" s="61" t="inlineStr">
        <is>
          <t>E2</t>
        </is>
      </c>
      <c r="H60" s="61" t="inlineStr">
        <is>
          <t>OFF</t>
        </is>
      </c>
      <c r="I60" s="61" t="inlineStr">
        <is>
          <t>FTC</t>
        </is>
      </c>
      <c r="J60" s="69" t="n">
        <v>0</v>
      </c>
      <c r="K60" s="70">
        <f>J60*2</f>
        <v/>
      </c>
    </row>
    <row r="61" ht="15" customHeight="1">
      <c r="B61" s="42" t="n">
        <v>2</v>
      </c>
      <c r="C61" s="21" t="inlineStr">
        <is>
          <t>TEAM</t>
        </is>
      </c>
      <c r="D61" s="42" t="n">
        <v>12</v>
      </c>
      <c r="E61" s="20" t="inlineStr">
        <is>
          <t>Solution Architect</t>
        </is>
      </c>
      <c r="F61" s="21" t="inlineStr">
        <is>
          <t>OTH</t>
        </is>
      </c>
      <c r="G61" s="61" t="inlineStr">
        <is>
          <t>E4</t>
        </is>
      </c>
      <c r="H61" s="61" t="inlineStr">
        <is>
          <t>ON</t>
        </is>
      </c>
      <c r="I61" s="61" t="inlineStr">
        <is>
          <t>FTC</t>
        </is>
      </c>
      <c r="J61" s="69" t="n">
        <v>0.5</v>
      </c>
      <c r="K61" s="70">
        <f>J61*2</f>
        <v/>
      </c>
    </row>
    <row r="62" ht="34.5" customHeight="1">
      <c r="D62" s="23" t="inlineStr">
        <is>
          <t>TEAM size — Year 2</t>
        </is>
      </c>
      <c r="J62" s="71">
        <f>SUM(J50:J61)</f>
        <v/>
      </c>
    </row>
    <row r="63" ht="34.5" customHeight="1">
      <c r="D63" s="72" t="n"/>
      <c r="J63" s="73" t="n"/>
    </row>
    <row r="64" ht="21.75" customHeight="1">
      <c r="B64" s="12" t="inlineStr">
        <is>
          <t>Year</t>
        </is>
      </c>
      <c r="C64" s="12" t="inlineStr">
        <is>
          <t>Unit</t>
        </is>
      </c>
      <c r="D64" s="12" t="inlineStr">
        <is>
          <t>Seat</t>
        </is>
      </c>
      <c r="E64" s="12" t="inlineStr">
        <is>
          <t>Role detail</t>
        </is>
      </c>
      <c r="F64" s="12" t="inlineStr">
        <is>
          <t>Role</t>
        </is>
      </c>
      <c r="G64" s="12" t="inlineStr">
        <is>
          <t>Exp</t>
        </is>
      </c>
      <c r="H64" s="12" t="inlineStr">
        <is>
          <t>Loc</t>
        </is>
      </c>
      <c r="I64" s="12" t="inlineStr">
        <is>
          <t>Sourcing</t>
        </is>
      </c>
      <c r="J64" s="68" t="inlineStr">
        <is>
          <t>Count</t>
        </is>
      </c>
      <c r="K64" s="12" t="inlineStr">
        <is>
          <t>People in the block</t>
        </is>
      </c>
    </row>
    <row r="65" ht="15" customHeight="1">
      <c r="B65" s="42" t="n">
        <v>3</v>
      </c>
      <c r="C65" s="21" t="inlineStr">
        <is>
          <t>POD</t>
        </is>
      </c>
      <c r="D65" s="42" t="n">
        <v>1</v>
      </c>
      <c r="E65" s="20" t="inlineStr">
        <is>
          <t>MetLife Product Owner</t>
        </is>
      </c>
      <c r="F65" s="21" t="inlineStr">
        <is>
          <t>PM</t>
        </is>
      </c>
      <c r="G65" s="61" t="inlineStr">
        <is>
          <t>E4</t>
        </is>
      </c>
      <c r="H65" s="61" t="inlineStr">
        <is>
          <t>ON</t>
        </is>
      </c>
      <c r="I65" s="61" t="inlineStr">
        <is>
          <t>FTE</t>
        </is>
      </c>
      <c r="J65" s="75" t="n">
        <v>1.21</v>
      </c>
      <c r="K65" s="70">
        <f>J65*7</f>
        <v/>
      </c>
      <c r="M65" s="75" t="n">
        <v>1.21</v>
      </c>
      <c r="N65" s="70">
        <f>M65*7</f>
        <v/>
      </c>
    </row>
    <row r="66" ht="15" customHeight="1">
      <c r="B66" s="42" t="n">
        <v>3</v>
      </c>
      <c r="C66" s="21" t="inlineStr">
        <is>
          <t>POD</t>
        </is>
      </c>
      <c r="D66" s="42" t="n">
        <v>2</v>
      </c>
      <c r="E66" s="20" t="inlineStr">
        <is>
          <t>MetLife Servicing SME</t>
        </is>
      </c>
      <c r="F66" s="21" t="inlineStr">
        <is>
          <t>BSA</t>
        </is>
      </c>
      <c r="G66" s="61" t="inlineStr">
        <is>
          <t>E4</t>
        </is>
      </c>
      <c r="H66" s="61" t="inlineStr">
        <is>
          <t>ON</t>
        </is>
      </c>
      <c r="I66" s="61" t="inlineStr">
        <is>
          <t>FTE</t>
        </is>
      </c>
      <c r="J66" s="75" t="n">
        <v>1</v>
      </c>
      <c r="K66" s="70">
        <f>J66*7</f>
        <v/>
      </c>
      <c r="M66" s="75" t="n">
        <v>1</v>
      </c>
      <c r="N66" s="70">
        <f>M66*7</f>
        <v/>
      </c>
    </row>
    <row r="67" ht="15" customHeight="1">
      <c r="B67" s="42" t="n">
        <v>3</v>
      </c>
      <c r="C67" s="21" t="inlineStr">
        <is>
          <t>POD</t>
        </is>
      </c>
      <c r="D67" s="42" t="n">
        <v>3</v>
      </c>
      <c r="E67" s="20" t="inlineStr">
        <is>
          <t>MGCC Workflow Engineer</t>
        </is>
      </c>
      <c r="F67" s="21" t="inlineStr">
        <is>
          <t>DEV</t>
        </is>
      </c>
      <c r="G67" s="61" t="inlineStr">
        <is>
          <t>E3</t>
        </is>
      </c>
      <c r="H67" s="61" t="inlineStr">
        <is>
          <t>OFF</t>
        </is>
      </c>
      <c r="I67" s="61" t="inlineStr">
        <is>
          <t>MGCC</t>
        </is>
      </c>
      <c r="J67" s="75" t="n">
        <v>0.71</v>
      </c>
      <c r="K67" s="70">
        <f>J67*7</f>
        <v/>
      </c>
      <c r="M67" s="75" t="n">
        <v>0.71</v>
      </c>
      <c r="N67" s="70">
        <f>M67*7</f>
        <v/>
      </c>
    </row>
    <row r="68" ht="15" customHeight="1">
      <c r="B68" s="42" t="n">
        <v>3</v>
      </c>
      <c r="C68" s="21" t="inlineStr">
        <is>
          <t>POD</t>
        </is>
      </c>
      <c r="D68" s="42" t="n">
        <v>4</v>
      </c>
      <c r="E68" s="20" t="inlineStr">
        <is>
          <t>Business Analyst (bilingual)</t>
        </is>
      </c>
      <c r="F68" s="21" t="inlineStr">
        <is>
          <t>BSA</t>
        </is>
      </c>
      <c r="G68" s="61" t="inlineStr">
        <is>
          <t>E3</t>
        </is>
      </c>
      <c r="H68" s="61" t="inlineStr">
        <is>
          <t>ON</t>
        </is>
      </c>
      <c r="I68" s="61" t="inlineStr">
        <is>
          <t>FTC</t>
        </is>
      </c>
      <c r="J68" s="75" t="n">
        <v>1</v>
      </c>
      <c r="K68" s="70">
        <f>J68*7</f>
        <v/>
      </c>
      <c r="M68" s="75" t="n">
        <v>0.64</v>
      </c>
      <c r="N68" s="70">
        <f>M68*7</f>
        <v/>
      </c>
    </row>
    <row r="69" ht="15" customHeight="1">
      <c r="B69" s="42" t="n">
        <v>3</v>
      </c>
      <c r="C69" s="21" t="inlineStr">
        <is>
          <t>POD</t>
        </is>
      </c>
      <c r="D69" s="42" t="n">
        <v>5</v>
      </c>
      <c r="E69" s="76" t="inlineStr">
        <is>
          <t>Pod lead</t>
        </is>
      </c>
      <c r="F69" s="21" t="inlineStr">
        <is>
          <t>DEV</t>
        </is>
      </c>
      <c r="G69" s="61" t="inlineStr">
        <is>
          <t>E4</t>
        </is>
      </c>
      <c r="H69" s="74" t="inlineStr">
        <is>
          <t>OFF</t>
        </is>
      </c>
      <c r="I69" s="61" t="inlineStr">
        <is>
          <t>FTC</t>
        </is>
      </c>
      <c r="J69" s="75" t="n">
        <v>0</v>
      </c>
      <c r="K69" s="70">
        <f>J69*7</f>
        <v/>
      </c>
      <c r="M69" s="75" t="n">
        <v>0.29</v>
      </c>
      <c r="N69" s="70">
        <f>M69*7</f>
        <v/>
      </c>
    </row>
    <row r="70" ht="15" customHeight="1">
      <c r="B70" s="42" t="n">
        <v>3</v>
      </c>
      <c r="C70" s="21" t="inlineStr">
        <is>
          <t>POD</t>
        </is>
      </c>
      <c r="D70" s="42" t="n">
        <v>6</v>
      </c>
      <c r="E70" s="20" t="inlineStr">
        <is>
          <t>Pod lead / senior engineer</t>
        </is>
      </c>
      <c r="F70" s="21" t="inlineStr">
        <is>
          <t>DEV</t>
        </is>
      </c>
      <c r="G70" s="61" t="inlineStr">
        <is>
          <t>E4</t>
        </is>
      </c>
      <c r="H70" s="61" t="inlineStr">
        <is>
          <t>OFF</t>
        </is>
      </c>
      <c r="I70" s="61" t="inlineStr">
        <is>
          <t>FTC</t>
        </is>
      </c>
      <c r="J70" s="75" t="n">
        <v>0.5</v>
      </c>
      <c r="K70" s="70">
        <f>J70*7</f>
        <v/>
      </c>
      <c r="M70" s="75" t="n">
        <v>0.14</v>
      </c>
      <c r="N70" s="70">
        <f>M70*7</f>
        <v/>
      </c>
    </row>
    <row r="71" ht="15" customHeight="1">
      <c r="B71" s="42" t="n">
        <v>3</v>
      </c>
      <c r="C71" s="21" t="inlineStr">
        <is>
          <t>POD</t>
        </is>
      </c>
      <c r="D71" s="42" t="n">
        <v>7</v>
      </c>
      <c r="E71" s="20" t="inlineStr">
        <is>
          <t>AI-assisted Workflow Engineer</t>
        </is>
      </c>
      <c r="F71" s="21" t="inlineStr">
        <is>
          <t>DEV</t>
        </is>
      </c>
      <c r="G71" s="61" t="inlineStr">
        <is>
          <t>E3</t>
        </is>
      </c>
      <c r="H71" s="61" t="inlineStr">
        <is>
          <t>OFF</t>
        </is>
      </c>
      <c r="I71" s="61" t="inlineStr">
        <is>
          <t>FTC</t>
        </is>
      </c>
      <c r="J71" s="75" t="n">
        <v>0.5</v>
      </c>
      <c r="K71" s="70">
        <f>J71*7</f>
        <v/>
      </c>
      <c r="M71" s="75" t="n">
        <v>1.07</v>
      </c>
      <c r="N71" s="70">
        <f>M71*7</f>
        <v/>
      </c>
    </row>
    <row r="72" ht="15" customHeight="1">
      <c r="B72" s="42" t="n">
        <v>3</v>
      </c>
      <c r="C72" s="21" t="inlineStr">
        <is>
          <t>POD</t>
        </is>
      </c>
      <c r="D72" s="42" t="n">
        <v>8</v>
      </c>
      <c r="E72" s="20" t="inlineStr">
        <is>
          <t>Workflow Engineer</t>
        </is>
      </c>
      <c r="F72" s="21" t="inlineStr">
        <is>
          <t>DEV</t>
        </is>
      </c>
      <c r="G72" s="61" t="inlineStr">
        <is>
          <t>E2</t>
        </is>
      </c>
      <c r="H72" s="61" t="inlineStr">
        <is>
          <t>OFF</t>
        </is>
      </c>
      <c r="I72" s="61" t="inlineStr">
        <is>
          <t>FTC</t>
        </is>
      </c>
      <c r="J72" s="75" t="n">
        <v>0.5</v>
      </c>
      <c r="K72" s="70">
        <f>J72*7</f>
        <v/>
      </c>
      <c r="M72" s="75" t="n">
        <v>0.5</v>
      </c>
      <c r="N72" s="70">
        <f>M72*7</f>
        <v/>
      </c>
    </row>
    <row r="73" ht="15" customHeight="1">
      <c r="B73" s="42" t="n">
        <v>3</v>
      </c>
      <c r="C73" s="21" t="inlineStr">
        <is>
          <t>POD</t>
        </is>
      </c>
      <c r="D73" s="42" t="n">
        <v>9</v>
      </c>
      <c r="E73" s="20" t="inlineStr">
        <is>
          <t>Quality Engineer (SDET)</t>
        </is>
      </c>
      <c r="F73" s="21" t="inlineStr">
        <is>
          <t>TEST</t>
        </is>
      </c>
      <c r="G73" s="61" t="inlineStr">
        <is>
          <t>E3</t>
        </is>
      </c>
      <c r="H73" s="61" t="inlineStr">
        <is>
          <t>OFF</t>
        </is>
      </c>
      <c r="I73" s="61" t="inlineStr">
        <is>
          <t>FTC</t>
        </is>
      </c>
      <c r="J73" s="75" t="n">
        <v>1</v>
      </c>
      <c r="K73" s="70">
        <f>J73*7</f>
        <v/>
      </c>
      <c r="M73" s="75" t="n">
        <v>0.43</v>
      </c>
      <c r="N73" s="70">
        <f>M73*7</f>
        <v/>
      </c>
    </row>
    <row r="74" ht="15" customHeight="1">
      <c r="B74" s="42" t="n">
        <v>3</v>
      </c>
      <c r="C74" s="21" t="inlineStr">
        <is>
          <t>POD</t>
        </is>
      </c>
      <c r="D74" s="42" t="n">
        <v>10</v>
      </c>
      <c r="E74" s="20" t="inlineStr">
        <is>
          <t>Application Support</t>
        </is>
      </c>
      <c r="F74" s="21" t="inlineStr">
        <is>
          <t>MNT</t>
        </is>
      </c>
      <c r="G74" s="61" t="inlineStr">
        <is>
          <t>E2</t>
        </is>
      </c>
      <c r="H74" s="61" t="inlineStr">
        <is>
          <t>OFF</t>
        </is>
      </c>
      <c r="I74" s="61" t="inlineStr">
        <is>
          <t>FTC</t>
        </is>
      </c>
      <c r="J74" s="75" t="n">
        <v>0.5</v>
      </c>
      <c r="K74" s="70">
        <f>J74*7</f>
        <v/>
      </c>
      <c r="M74" s="75" t="n">
        <v>0.14</v>
      </c>
      <c r="N74" s="70">
        <f>M74*7</f>
        <v/>
      </c>
    </row>
    <row r="75" ht="15" customHeight="1">
      <c r="B75" s="42" t="n">
        <v>3</v>
      </c>
      <c r="C75" s="21" t="inlineStr">
        <is>
          <t>POD</t>
        </is>
      </c>
      <c r="D75" s="42" t="n">
        <v>11</v>
      </c>
      <c r="E75" s="20" t="inlineStr">
        <is>
          <t>Solution Architect</t>
        </is>
      </c>
      <c r="F75" s="21" t="inlineStr">
        <is>
          <t>OTH</t>
        </is>
      </c>
      <c r="G75" s="61" t="inlineStr">
        <is>
          <t>E4</t>
        </is>
      </c>
      <c r="H75" s="61" t="inlineStr">
        <is>
          <t>ON</t>
        </is>
      </c>
      <c r="I75" s="61" t="inlineStr">
        <is>
          <t>FTC</t>
        </is>
      </c>
      <c r="J75" s="75" t="n">
        <v>0</v>
      </c>
      <c r="K75" s="70">
        <f>J75*7</f>
        <v/>
      </c>
      <c r="M75" s="75" t="n">
        <v>0.57</v>
      </c>
      <c r="N75" s="70">
        <f>M75*7</f>
        <v/>
      </c>
    </row>
    <row r="76" ht="34.5" customHeight="1">
      <c r="D76" s="23" t="inlineStr">
        <is>
          <t>POD size — Year 3</t>
        </is>
      </c>
      <c r="J76" s="71">
        <f>SUM(J65:J75)</f>
        <v/>
      </c>
      <c r="K76" s="71">
        <f>SUM(K65:K75)</f>
        <v/>
      </c>
      <c r="M76" s="71">
        <f>SUM(M65:M75)</f>
        <v/>
      </c>
      <c r="N76" s="71">
        <f>SUM(N65:N75)</f>
        <v/>
      </c>
    </row>
    <row r="77" ht="34.5" customHeight="1">
      <c r="D77" s="72" t="n"/>
      <c r="J77" s="73" t="n"/>
    </row>
    <row r="79" ht="15" customHeight="1">
      <c r="B79" s="42" t="n">
        <v>3</v>
      </c>
      <c r="C79" s="21" t="inlineStr">
        <is>
          <t>TEAM</t>
        </is>
      </c>
      <c r="D79" s="42" t="n">
        <v>1</v>
      </c>
      <c r="E79" s="20" t="inlineStr">
        <is>
          <t>MetLife Product Owner</t>
        </is>
      </c>
      <c r="F79" s="21" t="inlineStr">
        <is>
          <t>PM</t>
        </is>
      </c>
      <c r="G79" s="61" t="inlineStr">
        <is>
          <t>E4</t>
        </is>
      </c>
      <c r="H79" s="61" t="inlineStr">
        <is>
          <t>ON</t>
        </is>
      </c>
      <c r="I79" s="61" t="inlineStr">
        <is>
          <t>FTE</t>
        </is>
      </c>
      <c r="J79" s="69" t="n">
        <v>0</v>
      </c>
      <c r="K79" s="70">
        <f>J79*0</f>
        <v/>
      </c>
    </row>
    <row r="80" ht="15" customHeight="1">
      <c r="B80" s="42" t="n">
        <v>3</v>
      </c>
      <c r="C80" s="21" t="inlineStr">
        <is>
          <t>TEAM</t>
        </is>
      </c>
      <c r="D80" s="42" t="n">
        <v>2</v>
      </c>
      <c r="E80" s="20" t="inlineStr">
        <is>
          <t>MetLife Servicing SME</t>
        </is>
      </c>
      <c r="F80" s="21" t="inlineStr">
        <is>
          <t>BSA</t>
        </is>
      </c>
      <c r="G80" s="61" t="inlineStr">
        <is>
          <t>E4</t>
        </is>
      </c>
      <c r="H80" s="61" t="inlineStr">
        <is>
          <t>ON</t>
        </is>
      </c>
      <c r="I80" s="61" t="inlineStr">
        <is>
          <t>FTE</t>
        </is>
      </c>
      <c r="J80" s="69" t="n">
        <v>0</v>
      </c>
      <c r="K80" s="70">
        <f>J80*0</f>
        <v/>
      </c>
    </row>
    <row r="81" ht="15" customHeight="1">
      <c r="B81" s="42" t="n">
        <v>3</v>
      </c>
      <c r="C81" s="21" t="inlineStr">
        <is>
          <t>TEAM</t>
        </is>
      </c>
      <c r="D81" s="42" t="n">
        <v>3</v>
      </c>
      <c r="E81" s="20" t="inlineStr">
        <is>
          <t>FSI Senior Developer (JP)</t>
        </is>
      </c>
      <c r="F81" s="21" t="inlineStr">
        <is>
          <t>DEV</t>
        </is>
      </c>
      <c r="G81" s="61" t="inlineStr">
        <is>
          <t>E3</t>
        </is>
      </c>
      <c r="H81" s="61" t="inlineStr">
        <is>
          <t>ON</t>
        </is>
      </c>
      <c r="I81" s="61" t="inlineStr">
        <is>
          <t>PT</t>
        </is>
      </c>
      <c r="J81" s="69" t="n">
        <v>0</v>
      </c>
      <c r="K81" s="70">
        <f>J81*0</f>
        <v/>
      </c>
    </row>
    <row r="82" ht="15" customHeight="1">
      <c r="B82" s="42" t="n">
        <v>3</v>
      </c>
      <c r="C82" s="21" t="inlineStr">
        <is>
          <t>TEAM</t>
        </is>
      </c>
      <c r="D82" s="42" t="n">
        <v>4</v>
      </c>
      <c r="E82" s="20" t="inlineStr">
        <is>
          <t>FSI Business Analyst (JP)</t>
        </is>
      </c>
      <c r="F82" s="21" t="inlineStr">
        <is>
          <t>BSA</t>
        </is>
      </c>
      <c r="G82" s="61" t="inlineStr">
        <is>
          <t>E3</t>
        </is>
      </c>
      <c r="H82" s="61" t="inlineStr">
        <is>
          <t>ON</t>
        </is>
      </c>
      <c r="I82" s="61" t="inlineStr">
        <is>
          <t>PT</t>
        </is>
      </c>
      <c r="J82" s="69" t="n">
        <v>0</v>
      </c>
      <c r="K82" s="70">
        <f>J82*0</f>
        <v/>
      </c>
    </row>
    <row r="83" ht="15" customHeight="1">
      <c r="B83" s="42" t="n">
        <v>3</v>
      </c>
      <c r="C83" s="21" t="inlineStr">
        <is>
          <t>TEAM</t>
        </is>
      </c>
      <c r="D83" s="42" t="n">
        <v>5</v>
      </c>
      <c r="E83" s="20" t="inlineStr">
        <is>
          <t>Business Analyst (bilingual)</t>
        </is>
      </c>
      <c r="F83" s="21" t="inlineStr">
        <is>
          <t>BSA</t>
        </is>
      </c>
      <c r="G83" s="61" t="inlineStr">
        <is>
          <t>E3</t>
        </is>
      </c>
      <c r="H83" s="61" t="inlineStr">
        <is>
          <t>ON</t>
        </is>
      </c>
      <c r="I83" s="61" t="inlineStr">
        <is>
          <t>FTC</t>
        </is>
      </c>
      <c r="J83" s="69" t="n">
        <v>0</v>
      </c>
      <c r="K83" s="70">
        <f>J83*0</f>
        <v/>
      </c>
    </row>
    <row r="84" ht="15" customHeight="1">
      <c r="B84" s="42" t="n">
        <v>3</v>
      </c>
      <c r="C84" s="21" t="inlineStr">
        <is>
          <t>TEAM</t>
        </is>
      </c>
      <c r="D84" s="42" t="n">
        <v>6</v>
      </c>
      <c r="E84" s="20" t="inlineStr">
        <is>
          <t>Team lead / technical lead</t>
        </is>
      </c>
      <c r="F84" s="21" t="inlineStr">
        <is>
          <t>DEV</t>
        </is>
      </c>
      <c r="G84" s="61" t="inlineStr">
        <is>
          <t>E4</t>
        </is>
      </c>
      <c r="H84" s="61" t="inlineStr">
        <is>
          <t>ON</t>
        </is>
      </c>
      <c r="I84" s="61" t="inlineStr">
        <is>
          <t>FTC</t>
        </is>
      </c>
      <c r="J84" s="69" t="n">
        <v>0</v>
      </c>
      <c r="K84" s="70">
        <f>J84*0</f>
        <v/>
      </c>
    </row>
    <row r="85" ht="15" customHeight="1">
      <c r="B85" s="42" t="n">
        <v>3</v>
      </c>
      <c r="C85" s="21" t="inlineStr">
        <is>
          <t>TEAM</t>
        </is>
      </c>
      <c r="D85" s="42" t="n">
        <v>7</v>
      </c>
      <c r="E85" s="20" t="inlineStr">
        <is>
          <t>Workflow Developer</t>
        </is>
      </c>
      <c r="F85" s="21" t="inlineStr">
        <is>
          <t>DEV</t>
        </is>
      </c>
      <c r="G85" s="61" t="inlineStr">
        <is>
          <t>E3</t>
        </is>
      </c>
      <c r="H85" s="61" t="inlineStr">
        <is>
          <t>ON</t>
        </is>
      </c>
      <c r="I85" s="61" t="inlineStr">
        <is>
          <t>FTC</t>
        </is>
      </c>
      <c r="J85" s="69" t="n">
        <v>0</v>
      </c>
      <c r="K85" s="70">
        <f>J85*0</f>
        <v/>
      </c>
    </row>
    <row r="86" ht="15" customHeight="1">
      <c r="B86" s="42" t="n">
        <v>3</v>
      </c>
      <c r="C86" s="21" t="inlineStr">
        <is>
          <t>TEAM</t>
        </is>
      </c>
      <c r="D86" s="42" t="n">
        <v>8</v>
      </c>
      <c r="E86" s="20" t="inlineStr">
        <is>
          <t>Workflow Developer</t>
        </is>
      </c>
      <c r="F86" s="21" t="inlineStr">
        <is>
          <t>DEV</t>
        </is>
      </c>
      <c r="G86" s="61" t="inlineStr">
        <is>
          <t>E3</t>
        </is>
      </c>
      <c r="H86" s="61" t="inlineStr">
        <is>
          <t>OFF</t>
        </is>
      </c>
      <c r="I86" s="61" t="inlineStr">
        <is>
          <t>FTC</t>
        </is>
      </c>
      <c r="J86" s="69" t="n">
        <v>0</v>
      </c>
      <c r="K86" s="70">
        <f>J86*0</f>
        <v/>
      </c>
    </row>
    <row r="87" ht="15" customHeight="1">
      <c r="B87" s="42" t="n">
        <v>3</v>
      </c>
      <c r="C87" s="21" t="inlineStr">
        <is>
          <t>TEAM</t>
        </is>
      </c>
      <c r="D87" s="42" t="n">
        <v>9</v>
      </c>
      <c r="E87" s="20" t="inlineStr">
        <is>
          <t>Workflow Developer</t>
        </is>
      </c>
      <c r="F87" s="21" t="inlineStr">
        <is>
          <t>DEV</t>
        </is>
      </c>
      <c r="G87" s="61" t="inlineStr">
        <is>
          <t>E2</t>
        </is>
      </c>
      <c r="H87" s="61" t="inlineStr">
        <is>
          <t>OFF</t>
        </is>
      </c>
      <c r="I87" s="61" t="inlineStr">
        <is>
          <t>FTC</t>
        </is>
      </c>
      <c r="J87" s="69" t="n">
        <v>0</v>
      </c>
      <c r="K87" s="70">
        <f>J87*0</f>
        <v/>
      </c>
    </row>
    <row r="88" ht="15" customHeight="1">
      <c r="B88" s="42" t="n">
        <v>3</v>
      </c>
      <c r="C88" s="21" t="inlineStr">
        <is>
          <t>TEAM</t>
        </is>
      </c>
      <c r="D88" s="42" t="n">
        <v>10</v>
      </c>
      <c r="E88" s="20" t="inlineStr">
        <is>
          <t>Test Engineer (SDET)</t>
        </is>
      </c>
      <c r="F88" s="21" t="inlineStr">
        <is>
          <t>TEST</t>
        </is>
      </c>
      <c r="G88" s="61" t="inlineStr">
        <is>
          <t>E3</t>
        </is>
      </c>
      <c r="H88" s="61" t="inlineStr">
        <is>
          <t>OFF</t>
        </is>
      </c>
      <c r="I88" s="61" t="inlineStr">
        <is>
          <t>FTC</t>
        </is>
      </c>
      <c r="J88" s="69" t="n">
        <v>0</v>
      </c>
      <c r="K88" s="70">
        <f>J88*0</f>
        <v/>
      </c>
    </row>
    <row r="89" ht="15" customHeight="1">
      <c r="B89" s="42" t="n">
        <v>3</v>
      </c>
      <c r="C89" s="21" t="inlineStr">
        <is>
          <t>TEAM</t>
        </is>
      </c>
      <c r="D89" s="42" t="n">
        <v>11</v>
      </c>
      <c r="E89" s="20" t="inlineStr">
        <is>
          <t>Application Support</t>
        </is>
      </c>
      <c r="F89" s="21" t="inlineStr">
        <is>
          <t>MNT</t>
        </is>
      </c>
      <c r="G89" s="61" t="inlineStr">
        <is>
          <t>E2</t>
        </is>
      </c>
      <c r="H89" s="61" t="inlineStr">
        <is>
          <t>OFF</t>
        </is>
      </c>
      <c r="I89" s="61" t="inlineStr">
        <is>
          <t>FTC</t>
        </is>
      </c>
      <c r="J89" s="69" t="n">
        <v>0</v>
      </c>
      <c r="K89" s="70">
        <f>J89*0</f>
        <v/>
      </c>
    </row>
    <row r="90" ht="15" customHeight="1">
      <c r="B90" s="42" t="n">
        <v>3</v>
      </c>
      <c r="C90" s="21" t="inlineStr">
        <is>
          <t>TEAM</t>
        </is>
      </c>
      <c r="D90" s="42" t="n">
        <v>12</v>
      </c>
      <c r="E90" s="20" t="inlineStr">
        <is>
          <t>Solution Architect</t>
        </is>
      </c>
      <c r="F90" s="21" t="inlineStr">
        <is>
          <t>OTH</t>
        </is>
      </c>
      <c r="G90" s="61" t="inlineStr">
        <is>
          <t>E4</t>
        </is>
      </c>
      <c r="H90" s="61" t="inlineStr">
        <is>
          <t>ON</t>
        </is>
      </c>
      <c r="I90" s="61" t="inlineStr">
        <is>
          <t>FTC</t>
        </is>
      </c>
      <c r="J90" s="69" t="n">
        <v>0</v>
      </c>
      <c r="K90" s="70">
        <f>J90*0</f>
        <v/>
      </c>
    </row>
    <row r="91" ht="34.5" customHeight="1">
      <c r="D91" s="23" t="inlineStr">
        <is>
          <t>TEAM size — Year 3</t>
        </is>
      </c>
      <c r="J91" s="71">
        <f>SUM(J79:J90)</f>
        <v/>
      </c>
    </row>
    <row r="92" ht="34.5" customHeight="1">
      <c r="D92" s="72" t="n"/>
      <c r="J92" s="73" t="n"/>
    </row>
    <row r="93" ht="21.75" customHeight="1">
      <c r="B93" s="12" t="inlineStr">
        <is>
          <t>Year</t>
        </is>
      </c>
      <c r="C93" s="12" t="inlineStr">
        <is>
          <t>Unit</t>
        </is>
      </c>
      <c r="D93" s="12" t="inlineStr">
        <is>
          <t>Seat</t>
        </is>
      </c>
      <c r="E93" s="12" t="inlineStr">
        <is>
          <t>Role detail</t>
        </is>
      </c>
      <c r="F93" s="12" t="inlineStr">
        <is>
          <t>Role</t>
        </is>
      </c>
      <c r="G93" s="12" t="inlineStr">
        <is>
          <t>Exp</t>
        </is>
      </c>
      <c r="H93" s="12" t="inlineStr">
        <is>
          <t>Loc</t>
        </is>
      </c>
      <c r="I93" s="12" t="inlineStr">
        <is>
          <t>Sourcing</t>
        </is>
      </c>
      <c r="J93" s="68" t="inlineStr">
        <is>
          <t>Count</t>
        </is>
      </c>
      <c r="K93" s="12" t="inlineStr">
        <is>
          <t>People in the block</t>
        </is>
      </c>
    </row>
    <row r="94" ht="15" customHeight="1">
      <c r="B94" s="42" t="n">
        <v>4</v>
      </c>
      <c r="C94" s="21" t="inlineStr">
        <is>
          <t>POD</t>
        </is>
      </c>
      <c r="D94" s="42" t="n">
        <v>1</v>
      </c>
      <c r="E94" s="20" t="inlineStr">
        <is>
          <t>MetLife Product Owner</t>
        </is>
      </c>
      <c r="F94" s="21" t="inlineStr">
        <is>
          <t>PM</t>
        </is>
      </c>
      <c r="G94" s="61" t="inlineStr">
        <is>
          <t>E4</t>
        </is>
      </c>
      <c r="H94" s="61" t="inlineStr">
        <is>
          <t>ON</t>
        </is>
      </c>
      <c r="I94" s="61" t="inlineStr">
        <is>
          <t>FTE</t>
        </is>
      </c>
      <c r="J94" s="69" t="n">
        <v>0.642857142857143</v>
      </c>
      <c r="K94" s="70">
        <f>J94*7</f>
        <v/>
      </c>
      <c r="M94" s="69" t="n">
        <v>0.642857142857143</v>
      </c>
      <c r="N94" s="70">
        <f>M94*7</f>
        <v/>
      </c>
    </row>
    <row r="95" ht="15" customHeight="1">
      <c r="B95" s="42" t="n">
        <v>4</v>
      </c>
      <c r="C95" s="21" t="inlineStr">
        <is>
          <t>POD</t>
        </is>
      </c>
      <c r="D95" s="42" t="n">
        <v>2</v>
      </c>
      <c r="E95" s="20" t="inlineStr">
        <is>
          <t>MetLife Servicing SME (transferred)</t>
        </is>
      </c>
      <c r="F95" s="21" t="inlineStr">
        <is>
          <t>BSA</t>
        </is>
      </c>
      <c r="G95" s="61" t="inlineStr">
        <is>
          <t>E3</t>
        </is>
      </c>
      <c r="H95" s="61" t="inlineStr">
        <is>
          <t>ON</t>
        </is>
      </c>
      <c r="I95" s="61" t="inlineStr">
        <is>
          <t>FTE</t>
        </is>
      </c>
      <c r="J95" s="69" t="n">
        <v>0.714285714285714</v>
      </c>
      <c r="K95" s="70">
        <f>J95*7</f>
        <v/>
      </c>
      <c r="M95" s="69" t="n">
        <v>0.714285714285714</v>
      </c>
      <c r="N95" s="70">
        <f>M95*7</f>
        <v/>
      </c>
    </row>
    <row r="96" ht="15" customHeight="1">
      <c r="B96" s="42" t="n">
        <v>4</v>
      </c>
      <c r="C96" s="21" t="inlineStr">
        <is>
          <t>POD</t>
        </is>
      </c>
      <c r="D96" s="42" t="n">
        <v>3</v>
      </c>
      <c r="E96" s="20" t="inlineStr">
        <is>
          <t>MGCC Workflow Engineer</t>
        </is>
      </c>
      <c r="F96" s="21" t="inlineStr">
        <is>
          <t>DEV</t>
        </is>
      </c>
      <c r="G96" s="61" t="inlineStr">
        <is>
          <t>E3</t>
        </is>
      </c>
      <c r="H96" s="61" t="inlineStr">
        <is>
          <t>OFF</t>
        </is>
      </c>
      <c r="I96" s="61" t="inlineStr">
        <is>
          <t>MGCC</t>
        </is>
      </c>
      <c r="J96" s="69" t="n">
        <v>0.357142857142857</v>
      </c>
      <c r="K96" s="70">
        <f>J96*7</f>
        <v/>
      </c>
      <c r="M96" s="69" t="n">
        <v>0.357142857142857</v>
      </c>
      <c r="N96" s="70">
        <f>M96*7</f>
        <v/>
      </c>
    </row>
    <row r="97" ht="15" customHeight="1">
      <c r="B97" s="42" t="n">
        <v>4</v>
      </c>
      <c r="C97" s="21" t="inlineStr">
        <is>
          <t>POD</t>
        </is>
      </c>
      <c r="D97" s="42" t="n">
        <v>4</v>
      </c>
      <c r="E97" s="20" t="inlineStr">
        <is>
          <t>MGCC Engineer (transferred)</t>
        </is>
      </c>
      <c r="F97" s="21" t="inlineStr">
        <is>
          <t>DEV</t>
        </is>
      </c>
      <c r="G97" s="61" t="inlineStr">
        <is>
          <t>E4</t>
        </is>
      </c>
      <c r="H97" s="61" t="inlineStr">
        <is>
          <t>OFF</t>
        </is>
      </c>
      <c r="I97" s="61" t="inlineStr">
        <is>
          <t>MGCC</t>
        </is>
      </c>
      <c r="J97" s="69" t="n">
        <v>0.428571428571429</v>
      </c>
      <c r="K97" s="70">
        <f>J97*7</f>
        <v/>
      </c>
      <c r="M97" s="69" t="n">
        <v>0.428571428571429</v>
      </c>
      <c r="N97" s="70">
        <f>M97*7</f>
        <v/>
      </c>
    </row>
    <row r="98" ht="15" customHeight="1">
      <c r="B98" s="42" t="n">
        <v>4</v>
      </c>
      <c r="C98" s="21" t="inlineStr">
        <is>
          <t>POD</t>
        </is>
      </c>
      <c r="D98" s="42" t="n">
        <v>5</v>
      </c>
      <c r="E98" s="20" t="inlineStr">
        <is>
          <t>Business Analyst (bilingual)</t>
        </is>
      </c>
      <c r="F98" s="21" t="inlineStr">
        <is>
          <t>BSA</t>
        </is>
      </c>
      <c r="G98" s="61" t="inlineStr">
        <is>
          <t>E3</t>
        </is>
      </c>
      <c r="H98" s="61" t="inlineStr">
        <is>
          <t>ON</t>
        </is>
      </c>
      <c r="I98" s="61" t="inlineStr">
        <is>
          <t>FTC</t>
        </is>
      </c>
      <c r="J98" s="69" t="n">
        <v>0.5</v>
      </c>
      <c r="K98" s="70">
        <f>J98*7</f>
        <v/>
      </c>
      <c r="M98" s="69" t="n">
        <v>0</v>
      </c>
      <c r="N98" s="70">
        <f>M98*7</f>
        <v/>
      </c>
    </row>
    <row r="99" ht="15" customHeight="1">
      <c r="B99" s="42" t="n">
        <v>4</v>
      </c>
      <c r="C99" s="21" t="inlineStr">
        <is>
          <t>POD</t>
        </is>
      </c>
      <c r="D99" s="42" t="n">
        <v>6</v>
      </c>
      <c r="E99" s="20" t="inlineStr">
        <is>
          <t>Pod lead</t>
        </is>
      </c>
      <c r="F99" s="21" t="inlineStr">
        <is>
          <t>DEV</t>
        </is>
      </c>
      <c r="G99" s="61" t="inlineStr">
        <is>
          <t>E4</t>
        </is>
      </c>
      <c r="H99" s="61" t="inlineStr">
        <is>
          <t>OFF</t>
        </is>
      </c>
      <c r="I99" s="61" t="inlineStr">
        <is>
          <t>FTC</t>
        </is>
      </c>
      <c r="J99" s="69" t="n">
        <v>0.5</v>
      </c>
      <c r="K99" s="70">
        <f>J99*7</f>
        <v/>
      </c>
      <c r="M99" s="69" t="n">
        <v>0.214285714285714</v>
      </c>
      <c r="N99" s="70">
        <f>M99*7</f>
        <v/>
      </c>
    </row>
    <row r="100" ht="15" customHeight="1">
      <c r="B100" s="42" t="n">
        <v>4</v>
      </c>
      <c r="C100" s="21" t="inlineStr">
        <is>
          <t>POD</t>
        </is>
      </c>
      <c r="D100" s="42" t="n">
        <v>7</v>
      </c>
      <c r="E100" s="20" t="inlineStr">
        <is>
          <t>Agent engineer</t>
        </is>
      </c>
      <c r="F100" s="21" t="inlineStr">
        <is>
          <t>DEV</t>
        </is>
      </c>
      <c r="G100" s="61" t="inlineStr">
        <is>
          <t>E4</t>
        </is>
      </c>
      <c r="H100" s="61" t="inlineStr">
        <is>
          <t>OFF</t>
        </is>
      </c>
      <c r="I100" s="61" t="inlineStr">
        <is>
          <t>FTC</t>
        </is>
      </c>
      <c r="J100" s="69" t="n">
        <v>0.5</v>
      </c>
      <c r="K100" s="70">
        <f>J100*7</f>
        <v/>
      </c>
      <c r="M100" s="69" t="n">
        <v>1</v>
      </c>
      <c r="N100" s="70">
        <f>M100*7</f>
        <v/>
      </c>
    </row>
    <row r="101" ht="15" customHeight="1">
      <c r="B101" s="42" t="n">
        <v>4</v>
      </c>
      <c r="C101" s="21" t="inlineStr">
        <is>
          <t>POD</t>
        </is>
      </c>
      <c r="D101" s="42" t="n">
        <v>8</v>
      </c>
      <c r="E101" s="20" t="inlineStr">
        <is>
          <t>AI-assisted Workflow Engineer</t>
        </is>
      </c>
      <c r="F101" s="21" t="inlineStr">
        <is>
          <t>DEV</t>
        </is>
      </c>
      <c r="G101" s="61" t="inlineStr">
        <is>
          <t>E3</t>
        </is>
      </c>
      <c r="H101" s="61" t="inlineStr">
        <is>
          <t>OFF</t>
        </is>
      </c>
      <c r="I101" s="61" t="inlineStr">
        <is>
          <t>FTC</t>
        </is>
      </c>
      <c r="J101" s="69" t="n">
        <v>0.5</v>
      </c>
      <c r="K101" s="70">
        <f>J101*7</f>
        <v/>
      </c>
      <c r="M101" s="69" t="n">
        <v>0.785714285714286</v>
      </c>
      <c r="N101" s="70">
        <f>M101*7</f>
        <v/>
      </c>
    </row>
    <row r="102" ht="15" customHeight="1">
      <c r="B102" s="42" t="n">
        <v>4</v>
      </c>
      <c r="C102" s="21" t="inlineStr">
        <is>
          <t>POD</t>
        </is>
      </c>
      <c r="D102" s="42" t="n">
        <v>9</v>
      </c>
      <c r="E102" s="20" t="inlineStr">
        <is>
          <t>Quality Engineer (SDET)</t>
        </is>
      </c>
      <c r="F102" s="21" t="inlineStr">
        <is>
          <t>TEST</t>
        </is>
      </c>
      <c r="G102" s="61" t="inlineStr">
        <is>
          <t>E3</t>
        </is>
      </c>
      <c r="H102" s="61" t="inlineStr">
        <is>
          <t>OFF</t>
        </is>
      </c>
      <c r="I102" s="61" t="inlineStr">
        <is>
          <t>FTC</t>
        </is>
      </c>
      <c r="J102" s="69" t="n">
        <v>1</v>
      </c>
      <c r="K102" s="70">
        <f>J102*7</f>
        <v/>
      </c>
      <c r="M102" s="69" t="n">
        <v>0.214285714285714</v>
      </c>
      <c r="N102" s="70">
        <f>M102*7</f>
        <v/>
      </c>
    </row>
    <row r="103" ht="15" customHeight="1">
      <c r="B103" s="42" t="n">
        <v>4</v>
      </c>
      <c r="C103" s="21" t="inlineStr">
        <is>
          <t>POD</t>
        </is>
      </c>
      <c r="D103" s="42" t="n">
        <v>10</v>
      </c>
      <c r="E103" s="20" t="inlineStr">
        <is>
          <t>Application Support</t>
        </is>
      </c>
      <c r="F103" s="21" t="inlineStr">
        <is>
          <t>MNT</t>
        </is>
      </c>
      <c r="G103" s="61" t="inlineStr">
        <is>
          <t>E2</t>
        </is>
      </c>
      <c r="H103" s="61" t="inlineStr">
        <is>
          <t>OFF</t>
        </is>
      </c>
      <c r="I103" s="61" t="inlineStr">
        <is>
          <t>FTC</t>
        </is>
      </c>
      <c r="J103" s="69" t="n">
        <v>0</v>
      </c>
      <c r="K103" s="70">
        <f>J103*7</f>
        <v/>
      </c>
      <c r="M103" s="69" t="n">
        <v>0.142857142857143</v>
      </c>
      <c r="N103" s="70">
        <f>M103*7</f>
        <v/>
      </c>
    </row>
    <row r="104" ht="15" customHeight="1">
      <c r="B104" s="42" t="n">
        <v>4</v>
      </c>
      <c r="C104" s="21" t="inlineStr">
        <is>
          <t>POD</t>
        </is>
      </c>
      <c r="D104" s="42" t="n">
        <v>11</v>
      </c>
      <c r="E104" s="20" t="inlineStr">
        <is>
          <t>Solution Architect</t>
        </is>
      </c>
      <c r="F104" s="21" t="inlineStr">
        <is>
          <t>OTH</t>
        </is>
      </c>
      <c r="G104" s="61" t="inlineStr">
        <is>
          <t>E4</t>
        </is>
      </c>
      <c r="H104" s="61" t="inlineStr">
        <is>
          <t>ON</t>
        </is>
      </c>
      <c r="I104" s="61" t="inlineStr">
        <is>
          <t>FTC</t>
        </is>
      </c>
      <c r="J104" s="69" t="n">
        <v>0</v>
      </c>
      <c r="K104" s="70">
        <f>J104*7</f>
        <v/>
      </c>
      <c r="M104" s="69" t="n">
        <v>0.428571428571429</v>
      </c>
      <c r="N104" s="70">
        <f>M104*7</f>
        <v/>
      </c>
    </row>
    <row r="105" ht="34.5" customHeight="1">
      <c r="D105" s="23" t="inlineStr">
        <is>
          <t>POD size — Year 4</t>
        </is>
      </c>
      <c r="J105" s="71">
        <f>SUM(J94:J104)</f>
        <v/>
      </c>
      <c r="K105" s="71">
        <f>SUM(K94:K104)</f>
        <v/>
      </c>
      <c r="M105" s="71">
        <f>SUM(M94:M104)</f>
        <v/>
      </c>
      <c r="N105" s="71">
        <f>SUM(N94:N104)</f>
        <v/>
      </c>
    </row>
    <row r="106" ht="34.5" customHeight="1">
      <c r="D106" s="72" t="n"/>
      <c r="J106" s="73" t="n"/>
    </row>
    <row r="107" ht="21.75" customHeight="1">
      <c r="B107" s="12" t="inlineStr">
        <is>
          <t>Year</t>
        </is>
      </c>
      <c r="C107" s="12" t="inlineStr">
        <is>
          <t>Unit</t>
        </is>
      </c>
      <c r="D107" s="12" t="inlineStr">
        <is>
          <t>Seat</t>
        </is>
      </c>
      <c r="E107" s="12" t="inlineStr">
        <is>
          <t>Role detail</t>
        </is>
      </c>
      <c r="F107" s="12" t="inlineStr">
        <is>
          <t>Role</t>
        </is>
      </c>
      <c r="G107" s="12" t="inlineStr">
        <is>
          <t>Exp</t>
        </is>
      </c>
      <c r="H107" s="12" t="inlineStr">
        <is>
          <t>Loc</t>
        </is>
      </c>
      <c r="I107" s="12" t="inlineStr">
        <is>
          <t>Sourcing</t>
        </is>
      </c>
      <c r="J107" s="68" t="inlineStr">
        <is>
          <t>Count</t>
        </is>
      </c>
      <c r="K107" s="12" t="inlineStr">
        <is>
          <t>People in the block</t>
        </is>
      </c>
    </row>
    <row r="108" ht="15" customHeight="1">
      <c r="B108" s="42" t="n">
        <v>5</v>
      </c>
      <c r="C108" s="21" t="inlineStr">
        <is>
          <t>POD</t>
        </is>
      </c>
      <c r="D108" s="42" t="n">
        <v>1</v>
      </c>
      <c r="E108" s="20" t="inlineStr">
        <is>
          <t>MetLife Product Owner</t>
        </is>
      </c>
      <c r="F108" s="21" t="inlineStr">
        <is>
          <t>PM</t>
        </is>
      </c>
      <c r="G108" s="61" t="inlineStr">
        <is>
          <t>E4</t>
        </is>
      </c>
      <c r="H108" s="61" t="inlineStr">
        <is>
          <t>ON</t>
        </is>
      </c>
      <c r="I108" s="61" t="inlineStr">
        <is>
          <t>FTE</t>
        </is>
      </c>
      <c r="J108" s="69" t="n">
        <v>0.833333333333333</v>
      </c>
      <c r="K108" s="70">
        <f>J108*6</f>
        <v/>
      </c>
      <c r="M108" s="69" t="n">
        <v>0.833333333333333</v>
      </c>
      <c r="N108" s="70">
        <f>M108*6</f>
        <v/>
      </c>
    </row>
    <row r="109" ht="15" customHeight="1">
      <c r="B109" s="42" t="n">
        <v>5</v>
      </c>
      <c r="C109" s="21" t="inlineStr">
        <is>
          <t>POD</t>
        </is>
      </c>
      <c r="D109" s="42" t="n">
        <v>2</v>
      </c>
      <c r="E109" s="20" t="inlineStr">
        <is>
          <t>MetLife Servicing SME (transferred)</t>
        </is>
      </c>
      <c r="F109" s="21" t="inlineStr">
        <is>
          <t>BSA</t>
        </is>
      </c>
      <c r="G109" s="61" t="inlineStr">
        <is>
          <t>E3</t>
        </is>
      </c>
      <c r="H109" s="61" t="inlineStr">
        <is>
          <t>ON</t>
        </is>
      </c>
      <c r="I109" s="61" t="inlineStr">
        <is>
          <t>FTE</t>
        </is>
      </c>
      <c r="J109" s="69" t="n">
        <v>0.666666666666667</v>
      </c>
      <c r="K109" s="70">
        <f>J109*6</f>
        <v/>
      </c>
      <c r="M109" s="69" t="n">
        <v>0.666666666666667</v>
      </c>
      <c r="N109" s="70">
        <f>M109*6</f>
        <v/>
      </c>
    </row>
    <row r="110" ht="15" customHeight="1">
      <c r="B110" s="42" t="n">
        <v>5</v>
      </c>
      <c r="C110" s="21" t="inlineStr">
        <is>
          <t>POD</t>
        </is>
      </c>
      <c r="D110" s="42" t="n">
        <v>3</v>
      </c>
      <c r="E110" s="20" t="inlineStr">
        <is>
          <t>MGCC Workflow Engineer</t>
        </is>
      </c>
      <c r="F110" s="21" t="inlineStr">
        <is>
          <t>DEV</t>
        </is>
      </c>
      <c r="G110" s="61" t="inlineStr">
        <is>
          <t>E3</t>
        </is>
      </c>
      <c r="H110" s="61" t="inlineStr">
        <is>
          <t>OFF</t>
        </is>
      </c>
      <c r="I110" s="61" t="inlineStr">
        <is>
          <t>MGCC</t>
        </is>
      </c>
      <c r="J110" s="69" t="n">
        <v>0.333333333333333</v>
      </c>
      <c r="K110" s="70">
        <f>J110*6</f>
        <v/>
      </c>
      <c r="M110" s="69" t="n">
        <v>0.333333333333333</v>
      </c>
      <c r="N110" s="70">
        <f>M110*6</f>
        <v/>
      </c>
    </row>
    <row r="111" ht="15" customHeight="1">
      <c r="B111" s="42" t="n">
        <v>5</v>
      </c>
      <c r="C111" s="21" t="inlineStr">
        <is>
          <t>POD</t>
        </is>
      </c>
      <c r="D111" s="42" t="n">
        <v>4</v>
      </c>
      <c r="E111" s="20" t="inlineStr">
        <is>
          <t>MGCC Engineer (transferred)</t>
        </is>
      </c>
      <c r="F111" s="21" t="inlineStr">
        <is>
          <t>DEV</t>
        </is>
      </c>
      <c r="G111" s="61" t="inlineStr">
        <is>
          <t>E4</t>
        </is>
      </c>
      <c r="H111" s="61" t="inlineStr">
        <is>
          <t>OFF</t>
        </is>
      </c>
      <c r="I111" s="61" t="inlineStr">
        <is>
          <t>MGCC</t>
        </is>
      </c>
      <c r="J111" s="69" t="n">
        <v>0.5</v>
      </c>
      <c r="K111" s="70">
        <f>J111*6</f>
        <v/>
      </c>
      <c r="M111" s="69" t="n">
        <v>0.5</v>
      </c>
      <c r="N111" s="70">
        <f>M111*6</f>
        <v/>
      </c>
    </row>
    <row r="112" ht="15" customHeight="1">
      <c r="B112" s="42" t="n">
        <v>5</v>
      </c>
      <c r="C112" s="21" t="inlineStr">
        <is>
          <t>POD</t>
        </is>
      </c>
      <c r="D112" s="42" t="n">
        <v>5</v>
      </c>
      <c r="E112" s="20" t="inlineStr">
        <is>
          <t>Business Analyst (bilingual)</t>
        </is>
      </c>
      <c r="F112" s="21" t="inlineStr">
        <is>
          <t>BSA</t>
        </is>
      </c>
      <c r="G112" s="61" t="inlineStr">
        <is>
          <t>E3</t>
        </is>
      </c>
      <c r="H112" s="61" t="inlineStr">
        <is>
          <t>ON</t>
        </is>
      </c>
      <c r="I112" s="61" t="inlineStr">
        <is>
          <t>FTC</t>
        </is>
      </c>
      <c r="J112" s="69" t="n">
        <v>0.5</v>
      </c>
      <c r="K112" s="70">
        <f>J112*6</f>
        <v/>
      </c>
      <c r="M112" s="69" t="n">
        <v>0</v>
      </c>
      <c r="N112" s="70">
        <f>M112*6</f>
        <v/>
      </c>
    </row>
    <row r="113" ht="15" customHeight="1">
      <c r="B113" s="42" t="n">
        <v>5</v>
      </c>
      <c r="C113" s="21" t="inlineStr">
        <is>
          <t>POD</t>
        </is>
      </c>
      <c r="D113" s="42" t="n">
        <v>6</v>
      </c>
      <c r="E113" s="20" t="inlineStr">
        <is>
          <t>Pod lead</t>
        </is>
      </c>
      <c r="F113" s="21" t="inlineStr">
        <is>
          <t>DEV</t>
        </is>
      </c>
      <c r="G113" s="61" t="inlineStr">
        <is>
          <t>E4</t>
        </is>
      </c>
      <c r="H113" s="61" t="inlineStr">
        <is>
          <t>ON</t>
        </is>
      </c>
      <c r="I113" s="61" t="inlineStr">
        <is>
          <t>FTC</t>
        </is>
      </c>
      <c r="J113" s="69" t="n">
        <v>0.5</v>
      </c>
      <c r="K113" s="70">
        <f>J113*6</f>
        <v/>
      </c>
      <c r="M113" s="69" t="n">
        <v>0.416666666666667</v>
      </c>
      <c r="N113" s="70">
        <f>M113*6</f>
        <v/>
      </c>
    </row>
    <row r="114" ht="15" customHeight="1">
      <c r="B114" s="42" t="n">
        <v>5</v>
      </c>
      <c r="C114" s="21" t="inlineStr">
        <is>
          <t>POD</t>
        </is>
      </c>
      <c r="D114" s="42" t="n">
        <v>7</v>
      </c>
      <c r="E114" s="20" t="inlineStr">
        <is>
          <t>Agent engineer</t>
        </is>
      </c>
      <c r="F114" s="21" t="inlineStr">
        <is>
          <t>DEV</t>
        </is>
      </c>
      <c r="G114" s="61" t="inlineStr">
        <is>
          <t>E4</t>
        </is>
      </c>
      <c r="H114" s="61" t="inlineStr">
        <is>
          <t>OFF</t>
        </is>
      </c>
      <c r="I114" s="61" t="inlineStr">
        <is>
          <t>FTC</t>
        </is>
      </c>
      <c r="J114" s="69" t="n">
        <v>0.5</v>
      </c>
      <c r="K114" s="70">
        <f>J114*6</f>
        <v/>
      </c>
      <c r="M114" s="69" t="n">
        <v>1.08333333333333</v>
      </c>
      <c r="N114" s="70">
        <f>M114*6</f>
        <v/>
      </c>
    </row>
    <row r="115" ht="15" customHeight="1">
      <c r="B115" s="42" t="n">
        <v>5</v>
      </c>
      <c r="C115" s="21" t="inlineStr">
        <is>
          <t>POD</t>
        </is>
      </c>
      <c r="D115" s="42" t="n">
        <v>8</v>
      </c>
      <c r="E115" s="20" t="inlineStr">
        <is>
          <t>AI-assisted Workflow Engineer</t>
        </is>
      </c>
      <c r="F115" s="21" t="inlineStr">
        <is>
          <t>DEV</t>
        </is>
      </c>
      <c r="G115" s="61" t="inlineStr">
        <is>
          <t>E3</t>
        </is>
      </c>
      <c r="H115" s="61" t="inlineStr">
        <is>
          <t>OFF</t>
        </is>
      </c>
      <c r="I115" s="61" t="inlineStr">
        <is>
          <t>FTC</t>
        </is>
      </c>
      <c r="J115" s="69" t="n">
        <v>0.5</v>
      </c>
      <c r="K115" s="70">
        <f>J115*6</f>
        <v/>
      </c>
      <c r="M115" s="69" t="n">
        <v>0.833333333333333</v>
      </c>
      <c r="N115" s="70">
        <f>M115*6</f>
        <v/>
      </c>
    </row>
    <row r="116" ht="15" customHeight="1">
      <c r="B116" s="42" t="n">
        <v>5</v>
      </c>
      <c r="C116" s="21" t="inlineStr">
        <is>
          <t>POD</t>
        </is>
      </c>
      <c r="D116" s="42" t="n">
        <v>9</v>
      </c>
      <c r="E116" s="20" t="inlineStr">
        <is>
          <t>Quality Engineer (SDET)</t>
        </is>
      </c>
      <c r="F116" s="21" t="inlineStr">
        <is>
          <t>TEST</t>
        </is>
      </c>
      <c r="G116" s="61" t="inlineStr">
        <is>
          <t>E3</t>
        </is>
      </c>
      <c r="H116" s="61" t="inlineStr">
        <is>
          <t>OFF</t>
        </is>
      </c>
      <c r="I116" s="61" t="inlineStr">
        <is>
          <t>FTC</t>
        </is>
      </c>
      <c r="J116" s="69" t="n">
        <v>1</v>
      </c>
      <c r="K116" s="70">
        <f>J116*6</f>
        <v/>
      </c>
      <c r="M116" s="69" t="n">
        <v>0.666666666666667</v>
      </c>
      <c r="N116" s="70">
        <f>M116*6</f>
        <v/>
      </c>
    </row>
    <row r="117" ht="15" customHeight="1">
      <c r="B117" s="42" t="n">
        <v>5</v>
      </c>
      <c r="C117" s="21" t="inlineStr">
        <is>
          <t>POD</t>
        </is>
      </c>
      <c r="D117" s="42" t="n">
        <v>10</v>
      </c>
      <c r="E117" s="20" t="inlineStr">
        <is>
          <t>Application Support</t>
        </is>
      </c>
      <c r="F117" s="21" t="inlineStr">
        <is>
          <t>MNT</t>
        </is>
      </c>
      <c r="G117" s="61" t="inlineStr">
        <is>
          <t>E2</t>
        </is>
      </c>
      <c r="H117" s="61" t="inlineStr">
        <is>
          <t>OFF</t>
        </is>
      </c>
      <c r="I117" s="61" t="inlineStr">
        <is>
          <t>FTC</t>
        </is>
      </c>
      <c r="J117" s="69" t="n">
        <v>0</v>
      </c>
      <c r="K117" s="70">
        <f>J117*6</f>
        <v/>
      </c>
      <c r="M117" s="69" t="n">
        <v>0</v>
      </c>
      <c r="N117" s="70">
        <f>M117*6</f>
        <v/>
      </c>
    </row>
    <row r="118" ht="15" customHeight="1">
      <c r="B118" s="42" t="n">
        <v>5</v>
      </c>
      <c r="C118" s="21" t="inlineStr">
        <is>
          <t>POD</t>
        </is>
      </c>
      <c r="D118" s="42" t="n">
        <v>11</v>
      </c>
      <c r="E118" s="20" t="inlineStr">
        <is>
          <t>Solution Architect</t>
        </is>
      </c>
      <c r="F118" s="21" t="inlineStr">
        <is>
          <t>OTH</t>
        </is>
      </c>
      <c r="G118" s="61" t="inlineStr">
        <is>
          <t>E4</t>
        </is>
      </c>
      <c r="H118" s="61" t="inlineStr">
        <is>
          <t>ON</t>
        </is>
      </c>
      <c r="I118" s="61" t="inlineStr">
        <is>
          <t>FTC</t>
        </is>
      </c>
      <c r="J118" s="69" t="n">
        <v>0</v>
      </c>
      <c r="K118" s="70">
        <f>J118*6</f>
        <v/>
      </c>
      <c r="M118" s="69" t="n">
        <v>0</v>
      </c>
      <c r="N118" s="70">
        <f>M118*6</f>
        <v/>
      </c>
    </row>
    <row r="119" ht="34.5" customHeight="1">
      <c r="D119" s="23" t="inlineStr">
        <is>
          <t>POD size — Year 5</t>
        </is>
      </c>
      <c r="J119" s="71">
        <f>SUM(J108:J118)</f>
        <v/>
      </c>
      <c r="K119" s="71">
        <f>SUM(K108:K118)</f>
        <v/>
      </c>
      <c r="M119" s="71">
        <f>SUM(M108:M118)</f>
        <v/>
      </c>
    </row>
    <row r="121" ht="409.5" customHeight="1">
      <c r="B121" s="15" t="inlineStr">
        <is>
          <t>Year 1 runs 4 pods on the K2-led Work Flow stream and 5 delivery teams covering the waterfall satellites. From Year 4 the pod anatomy CONTAINS the transferred MetLife and MGCC seats — that is what makes the Year-3 transfer show up in the Year-4 ratio rather than only in the Glidepath solve.</t>
        </is>
      </c>
    </row>
    <row r="123" ht="39.75" customHeight="1">
      <c r="B123" s="1" t="inlineStr">
        <is>
          <t>The seat ratio in column J is the modelling quantity — the share of one unit's establishment this role holds. Column K is what you hire: the ratio multiplied by the number of units that year. Every value in column K is a whole number of people, or a half where one person covers two units inside this domain.</t>
        </is>
      </c>
    </row>
  </sheetData>
  <mergeCells count="3">
    <mergeCell ref="A1:J1"/>
    <mergeCell ref="B123:K123"/>
    <mergeCell ref="A2:J2"/>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2026-09-14T04:34:23Z</dcterms:created>
  <dcterms:modified xmlns:dcterms="http://purl.org/dc/terms/" xmlns:xsi="http://www.w3.org/2001/XMLSchema-instance" xsi:type="dcterms:W3CDTF">2026-09-18T03:09:58Z</dcterms:modified>
  <cp:lastModifiedBy>Mukesh Kumar Prasad</cp:lastModifiedBy>
  <cp:revision>0</cp:revision>
</cp:coreProperties>
</file>