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7" activeTab="11" autoFilterDateGrouping="1"/>
  </bookViews>
  <sheets>
    <sheet xmlns:r="http://schemas.openxmlformats.org/officeDocument/2006/relationships" name="README" sheetId="1" state="visible" r:id="rId1"/>
    <sheet xmlns:r="http://schemas.openxmlformats.org/officeDocument/2006/relationships" name="Basis &amp; Assumptions" sheetId="2" state="visible" r:id="rId2"/>
    <sheet xmlns:r="http://schemas.openxmlformats.org/officeDocument/2006/relationships" name="Change Control" sheetId="3" state="visible" r:id="rId3"/>
    <sheet xmlns:r="http://schemas.openxmlformats.org/officeDocument/2006/relationships" name="Logic Tree" sheetId="4" state="visible" r:id="rId4"/>
    <sheet xmlns:r="http://schemas.openxmlformats.org/officeDocument/2006/relationships" name="Sourcing &amp; Productivity" sheetId="5" state="visible" r:id="rId5"/>
    <sheet xmlns:r="http://schemas.openxmlformats.org/officeDocument/2006/relationships" name="Delivery Mode" sheetId="6" state="visible" r:id="rId6"/>
    <sheet xmlns:r="http://schemas.openxmlformats.org/officeDocument/2006/relationships" name="AMS &amp; Ticket Load" sheetId="7" state="visible" r:id="rId7"/>
    <sheet xmlns:r="http://schemas.openxmlformats.org/officeDocument/2006/relationships" name="Inventory" sheetId="8" state="visible" r:id="rId8"/>
    <sheet xmlns:r="http://schemas.openxmlformats.org/officeDocument/2006/relationships" name="Value Streams" sheetId="9" state="visible" r:id="rId9"/>
    <sheet xmlns:r="http://schemas.openxmlformats.org/officeDocument/2006/relationships" name="Pod Library" sheetId="10" state="visible" r:id="rId10"/>
    <sheet xmlns:r="http://schemas.openxmlformats.org/officeDocument/2006/relationships" name="Pod Plan" sheetId="11" state="visible" r:id="rId11"/>
    <sheet xmlns:r="http://schemas.openxmlformats.org/officeDocument/2006/relationships" name="Horizontal Teams" sheetId="12" state="visible" r:id="rId12"/>
    <sheet xmlns:r="http://schemas.openxmlformats.org/officeDocument/2006/relationships" name="Team Build-Up" sheetId="13" state="visible" r:id="rId13"/>
    <sheet xmlns:r="http://schemas.openxmlformats.org/officeDocument/2006/relationships" name="Inherited Workforce" sheetId="14" state="visible" r:id="rId14"/>
    <sheet xmlns:r="http://schemas.openxmlformats.org/officeDocument/2006/relationships" name="Glidepath &amp; 50-50" sheetId="15" state="visible" r:id="rId15"/>
    <sheet xmlns:r="http://schemas.openxmlformats.org/officeDocument/2006/relationships" name="Cost &amp; Commercial" sheetId="16" state="visible" r:id="rId16"/>
    <sheet xmlns:r="http://schemas.openxmlformats.org/officeDocument/2006/relationships" name="Seat Ledger" sheetId="17" state="visible" r:id="rId17"/>
    <sheet xmlns:r="http://schemas.openxmlformats.org/officeDocument/2006/relationships" name="SIT Loading" sheetId="18" state="visible" r:id="rId18"/>
    <sheet xmlns:r="http://schemas.openxmlformats.org/officeDocument/2006/relationships" name="Unit Cost Sensitivity" sheetId="19" state="visible" r:id="rId19"/>
  </sheets>
  <definedNames/>
  <calcPr calcId="191029" fullCalcOnLoad="1" iterateDelta="0.0001"/>
</workbook>
</file>

<file path=xl/styles.xml><?xml version="1.0" encoding="utf-8"?>
<styleSheet xmlns="http://schemas.openxmlformats.org/spreadsheetml/2006/main">
  <numFmts count="4">
    <numFmt numFmtId="164" formatCode="0.0%"/>
    <numFmt numFmtId="165" formatCode="#,##0.000"/>
    <numFmt numFmtId="166" formatCode="0.000"/>
    <numFmt numFmtId="167" formatCode="#,##0.0"/>
  </numFmts>
  <fonts count="15">
    <font>
      <name val="Calibri"/>
      <charset val="1"/>
      <family val="2"/>
      <color theme="1"/>
      <sz val="11"/>
    </font>
    <font>
      <name val="Arial"/>
      <charset val="1"/>
      <b val="1"/>
      <color rgb="FFFFFFFF"/>
      <sz val="14"/>
    </font>
    <font>
      <name val="Arial"/>
      <charset val="1"/>
      <color rgb="FFFFFFFF"/>
      <sz val="9"/>
    </font>
    <font>
      <name val="Noto Sans CJK SC"/>
      <family val="2"/>
      <color rgb="FFFFFFFF"/>
      <sz val="9"/>
    </font>
    <font>
      <name val="Arial"/>
      <charset val="1"/>
      <b val="1"/>
      <color rgb="FF00385F"/>
      <sz val="11"/>
    </font>
    <font>
      <name val="Noto Sans CJK SC"/>
      <family val="2"/>
      <b val="1"/>
      <color rgb="FF00385F"/>
      <sz val="11"/>
    </font>
    <font>
      <name val="Arial"/>
      <charset val="1"/>
      <b val="1"/>
      <sz val="9.5"/>
    </font>
    <font>
      <name val="Arial"/>
      <charset val="1"/>
      <sz val="9.5"/>
    </font>
    <font>
      <name val="Noto Sans CJK SC"/>
      <family val="2"/>
      <sz val="9.5"/>
    </font>
    <font>
      <name val="Noto Sans CJK SC"/>
      <family val="2"/>
      <b val="1"/>
      <sz val="9.5"/>
    </font>
    <font>
      <name val="Arial"/>
      <charset val="1"/>
      <b val="1"/>
      <color rgb="FFFFFFFF"/>
      <sz val="8.5"/>
    </font>
    <font>
      <name val="Arial"/>
      <charset val="1"/>
      <color rgb="FF595959"/>
      <sz val="8.5"/>
    </font>
    <font>
      <name val="Noto Sans CJK SC"/>
      <family val="2"/>
      <color rgb="FF595959"/>
      <sz val="8.5"/>
    </font>
    <font>
      <name val="Arial"/>
      <charset val="1"/>
      <color rgb="FF008000"/>
      <sz val="9.5"/>
    </font>
    <font>
      <name val="Arial"/>
      <charset val="1"/>
      <b val="1"/>
      <color rgb="FF00385F"/>
      <sz val="9.5"/>
    </font>
  </fonts>
  <fills count="8">
    <fill>
      <patternFill/>
    </fill>
    <fill>
      <patternFill patternType="gray125"/>
    </fill>
    <fill>
      <patternFill patternType="solid">
        <fgColor rgb="FF00385F"/>
        <bgColor rgb="FF333333"/>
      </patternFill>
    </fill>
    <fill>
      <patternFill patternType="solid">
        <fgColor rgb="FFDCEEF9"/>
        <bgColor rgb="FFF2F2F2"/>
      </patternFill>
    </fill>
    <fill>
      <patternFill patternType="solid">
        <fgColor rgb="FF0090DA"/>
        <bgColor rgb="FF008080"/>
      </patternFill>
    </fill>
    <fill>
      <patternFill patternType="solid">
        <fgColor rgb="FFF2F2F2"/>
        <bgColor rgb="FFDCEEF9"/>
      </patternFill>
    </fill>
    <fill>
      <patternFill patternType="solid">
        <fgColor rgb="FFFCE4E4"/>
        <bgColor rgb="FFF2F2F2"/>
      </patternFill>
    </fill>
    <fill>
      <patternFill patternType="solid">
        <fgColor rgb="FFFFF2CC"/>
        <bgColor rgb="FFFCE4E4"/>
      </patternFill>
    </fill>
  </fills>
  <borders count="6">
    <border>
      <left/>
      <right/>
      <top/>
      <bottom/>
      <diagonal/>
    </border>
    <border>
      <left style="thin">
        <color rgb="FFD2DCE3"/>
      </left>
      <right style="thin">
        <color rgb="FFD2DCE3"/>
      </right>
      <top style="thin">
        <color rgb="FFD2DCE3"/>
      </top>
      <bottom style="thin">
        <color rgb="FFD2DCE3"/>
      </bottom>
      <diagonal/>
    </border>
    <border>
      <left/>
      <right/>
      <top style="thin">
        <color rgb="FFD2DCE3"/>
      </top>
      <bottom/>
      <diagonal/>
    </border>
    <border>
      <left/>
      <right style="thin">
        <color rgb="FFD2DCE3"/>
      </right>
      <top style="thin">
        <color rgb="FFD2DCE3"/>
      </top>
      <bottom/>
      <diagonal/>
    </border>
    <border>
      <left/>
      <right/>
      <top style="thin">
        <color rgb="FFD2DCE3"/>
      </top>
      <bottom style="thin">
        <color rgb="FFD2DCE3"/>
      </bottom>
      <diagonal/>
    </border>
    <border>
      <left/>
      <right style="thin">
        <color rgb="FFD2DCE3"/>
      </right>
      <top style="thin">
        <color rgb="FFD2DCE3"/>
      </top>
      <bottom style="thin">
        <color rgb="FFD2DCE3"/>
      </bottom>
      <diagonal/>
    </border>
  </borders>
  <cellStyleXfs count="1">
    <xf numFmtId="0" fontId="0" fillId="0" borderId="0"/>
  </cellStyleXfs>
  <cellXfs count="75">
    <xf numFmtId="0" fontId="0" fillId="0" borderId="0" pivotButton="0" quotePrefix="0" xfId="0"/>
    <xf numFmtId="0" fontId="11" fillId="0" borderId="1" applyAlignment="1" pivotButton="0" quotePrefix="0" xfId="0">
      <alignment vertical="top" wrapText="1"/>
    </xf>
    <xf numFmtId="0" fontId="11" fillId="0" borderId="0" pivotButton="0" quotePrefix="0" xfId="0"/>
    <xf numFmtId="0" fontId="7" fillId="0" borderId="1" applyAlignment="1" pivotButton="0" quotePrefix="0" xfId="0">
      <alignment vertical="top" wrapText="1"/>
    </xf>
    <xf numFmtId="0" fontId="11" fillId="0" borderId="0" applyAlignment="1" pivotButton="0" quotePrefix="0" xfId="0">
      <alignment vertical="top" wrapText="1"/>
    </xf>
    <xf numFmtId="0" fontId="7" fillId="0" borderId="0" applyAlignment="1" pivotButton="0" quotePrefix="0" xfId="0">
      <alignment vertical="top" wrapText="1"/>
    </xf>
    <xf numFmtId="0" fontId="4" fillId="3" borderId="0" applyAlignment="1" pivotButton="0" quotePrefix="0" xfId="0">
      <alignment vertical="top" wrapText="1"/>
    </xf>
    <xf numFmtId="0" fontId="2" fillId="2" borderId="0" applyAlignment="1" pivotButton="0" quotePrefix="0" xfId="0">
      <alignment vertical="top" wrapText="1"/>
    </xf>
    <xf numFmtId="0" fontId="1" fillId="2" borderId="0"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10"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11" fillId="0" borderId="1" applyAlignment="1" pivotButton="0" quotePrefix="0" xfId="0">
      <alignment vertical="top" wrapText="1"/>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4" fontId="13" fillId="0" borderId="1" applyAlignment="1" pivotButton="0" quotePrefix="0" xfId="0">
      <alignment horizontal="center" vertical="center" wrapText="1"/>
    </xf>
    <xf numFmtId="0" fontId="7" fillId="7" borderId="1" applyAlignment="1" pivotButton="0" quotePrefix="0" xfId="0">
      <alignment horizontal="center" vertical="center" wrapText="1"/>
    </xf>
    <xf numFmtId="0" fontId="6" fillId="0" borderId="1" applyAlignment="1" pivotButton="0" quotePrefix="0" xfId="0">
      <alignment horizontal="center" vertical="center" wrapText="1"/>
    </xf>
    <xf numFmtId="0" fontId="11" fillId="0" borderId="0" applyAlignment="1" pivotButton="0" quotePrefix="0" xfId="0">
      <alignment vertical="top" wrapText="1"/>
    </xf>
    <xf numFmtId="164" fontId="13" fillId="0" borderId="1" applyAlignment="1" pivotButton="0" quotePrefix="0" xfId="0">
      <alignment horizontal="center" vertical="center" wrapText="1"/>
    </xf>
    <xf numFmtId="3" fontId="13" fillId="0" borderId="1" applyAlignment="1" pivotButton="0" quotePrefix="0" xfId="0">
      <alignment horizontal="center" vertical="center" wrapText="1"/>
    </xf>
    <xf numFmtId="0" fontId="6" fillId="5" borderId="1" applyAlignment="1" pivotButton="0" quotePrefix="0" xfId="0">
      <alignment vertical="top" wrapText="1"/>
    </xf>
    <xf numFmtId="4" fontId="6" fillId="5" borderId="1" applyAlignment="1" pivotButton="0" quotePrefix="0" xfId="0">
      <alignment horizontal="center" vertical="center" wrapText="1"/>
    </xf>
    <xf numFmtId="3" fontId="7" fillId="7" borderId="1" applyAlignment="1" pivotButton="0" quotePrefix="0" xfId="0">
      <alignment horizontal="center" vertical="center" wrapText="1"/>
    </xf>
    <xf numFmtId="165" fontId="7" fillId="7" borderId="1" applyAlignment="1" pivotButton="0" quotePrefix="0" xfId="0">
      <alignment horizontal="center" vertical="center" wrapText="1"/>
    </xf>
    <xf numFmtId="164" fontId="6" fillId="5" borderId="1" applyAlignment="1" pivotButton="0" quotePrefix="0" xfId="0">
      <alignment horizontal="center" vertical="center" wrapText="1"/>
    </xf>
    <xf numFmtId="3" fontId="7" fillId="0" borderId="1" applyAlignment="1" pivotButton="0" quotePrefix="0" xfId="0">
      <alignment horizontal="center" vertical="center" wrapText="1"/>
    </xf>
    <xf numFmtId="164" fontId="7" fillId="7" borderId="1" applyAlignment="1" pivotButton="0" quotePrefix="0" xfId="0">
      <alignment horizontal="center" vertical="center" wrapText="1"/>
    </xf>
    <xf numFmtId="3" fontId="6" fillId="5" borderId="1" applyAlignment="1" pivotButton="0" quotePrefix="0" xfId="0">
      <alignment horizontal="center" vertical="center" wrapText="1"/>
    </xf>
    <xf numFmtId="165" fontId="6" fillId="5" borderId="1" applyAlignment="1" pivotButton="0" quotePrefix="0" xfId="0">
      <alignment horizontal="center" vertical="center" wrapText="1"/>
    </xf>
    <xf numFmtId="9" fontId="7" fillId="7" borderId="1" applyAlignment="1" pivotButton="0" quotePrefix="0" xfId="0">
      <alignment horizontal="center" vertical="center" wrapText="1"/>
    </xf>
    <xf numFmtId="0" fontId="6" fillId="7" borderId="1" applyAlignment="1" pivotButton="0" quotePrefix="0" xfId="0">
      <alignment vertical="top" wrapText="1"/>
    </xf>
    <xf numFmtId="9" fontId="6" fillId="7" borderId="1" applyAlignment="1" pivotButton="0" quotePrefix="0" xfId="0">
      <alignment horizontal="center" vertical="center" wrapText="1"/>
    </xf>
    <xf numFmtId="4" fontId="6" fillId="7" borderId="1" applyAlignment="1" pivotButton="0" quotePrefix="0" xfId="0">
      <alignment horizontal="center" vertical="center" wrapText="1"/>
    </xf>
    <xf numFmtId="166" fontId="7" fillId="7" borderId="1" applyAlignment="1" pivotButton="0" quotePrefix="0" xfId="0">
      <alignment horizontal="center" vertical="center" wrapText="1"/>
    </xf>
    <xf numFmtId="0" fontId="11" fillId="0" borderId="1" applyAlignment="1" pivotButton="0" quotePrefix="0" xfId="0">
      <alignment horizontal="center" vertical="center" wrapText="1"/>
    </xf>
    <xf numFmtId="166" fontId="11" fillId="0" borderId="1" applyAlignment="1" pivotButton="0" quotePrefix="0" xfId="0">
      <alignment horizontal="center" vertical="center" wrapText="1"/>
    </xf>
    <xf numFmtId="9" fontId="13" fillId="0" borderId="1" applyAlignment="1" pivotButton="0" quotePrefix="0" xfId="0">
      <alignment horizontal="center" vertical="center" wrapText="1"/>
    </xf>
    <xf numFmtId="164" fontId="6" fillId="7" borderId="1" applyAlignment="1" pivotButton="0" quotePrefix="0" xfId="0">
      <alignment horizontal="center" vertical="center" wrapText="1"/>
    </xf>
    <xf numFmtId="0" fontId="6" fillId="6" borderId="1" applyAlignment="1" pivotButton="0" quotePrefix="0" xfId="0">
      <alignment vertical="top" wrapText="1"/>
    </xf>
    <xf numFmtId="0" fontId="13" fillId="5" borderId="1" applyAlignment="1" pivotButton="0" quotePrefix="0" xfId="0">
      <alignment horizontal="center" vertical="center" wrapText="1"/>
    </xf>
    <xf numFmtId="165" fontId="7" fillId="0" borderId="1" applyAlignment="1" pivotButton="0" quotePrefix="0" xfId="0">
      <alignment horizontal="center" vertical="center" wrapText="1"/>
    </xf>
    <xf numFmtId="0" fontId="7" fillId="0" borderId="1" applyAlignment="1" pivotButton="0" quotePrefix="0" xfId="0">
      <alignment horizontal="center" vertical="center" wrapText="1"/>
    </xf>
    <xf numFmtId="167" fontId="13" fillId="0" borderId="1" applyAlignment="1" pivotButton="0" quotePrefix="0" xfId="0">
      <alignment horizontal="center" vertical="center" wrapText="1"/>
    </xf>
    <xf numFmtId="167" fontId="6" fillId="5" borderId="1" applyAlignment="1" pivotButton="0" quotePrefix="0" xfId="0">
      <alignment horizontal="center" vertical="center" wrapText="1"/>
    </xf>
    <xf numFmtId="3" fontId="6" fillId="7" borderId="1" applyAlignment="1" pivotButton="0" quotePrefix="0" xfId="0">
      <alignment horizontal="center" vertical="center" wrapText="1"/>
    </xf>
    <xf numFmtId="4" fontId="6" fillId="0" borderId="1" applyAlignment="1" pivotButton="0" quotePrefix="0" xfId="0">
      <alignment horizontal="center" vertical="center" wrapText="1"/>
    </xf>
    <xf numFmtId="164" fontId="7" fillId="0" borderId="1" applyAlignment="1" pivotButton="0" quotePrefix="0" xfId="0">
      <alignment horizontal="center" vertical="center" wrapText="1"/>
    </xf>
    <xf numFmtId="4" fontId="7" fillId="7" borderId="1" applyAlignment="1" pivotButton="0" quotePrefix="0" xfId="0">
      <alignment horizontal="center" vertical="center" wrapText="1"/>
    </xf>
    <xf numFmtId="167" fontId="14" fillId="0" borderId="1" applyAlignment="1" pivotButton="0" quotePrefix="0" xfId="0">
      <alignment horizontal="center" vertical="center" wrapText="1"/>
    </xf>
    <xf numFmtId="0" fontId="13" fillId="0" borderId="1" applyAlignment="1" pivotButton="0" quotePrefix="0" xfId="0">
      <alignment horizontal="center" vertical="center" wrapText="1"/>
    </xf>
    <xf numFmtId="165" fontId="6" fillId="7" borderId="1" applyAlignment="1" pivotButton="0" quotePrefix="0" xfId="0">
      <alignment horizontal="center" vertical="center" wrapText="1"/>
    </xf>
    <xf numFmtId="4" fontId="7" fillId="0" borderId="1" applyAlignment="1" pivotButton="0" quotePrefix="0" xfId="0">
      <alignment horizontal="center" vertical="center" wrapText="1"/>
    </xf>
    <xf numFmtId="165" fontId="13" fillId="0" borderId="1" applyAlignment="1" pivotButton="0" quotePrefix="0" xfId="0">
      <alignment horizontal="center" vertical="center" wrapText="1"/>
    </xf>
    <xf numFmtId="164" fontId="13" fillId="5" borderId="1" applyAlignment="1" pivotButton="0" quotePrefix="0" xfId="0">
      <alignment horizontal="center" vertical="center" wrapText="1"/>
    </xf>
    <xf numFmtId="166" fontId="13" fillId="0" borderId="1" applyAlignment="1" pivotButton="0" quotePrefix="0" xfId="0">
      <alignment horizontal="center" vertical="center" wrapText="1"/>
    </xf>
    <xf numFmtId="0" fontId="13" fillId="0" borderId="1" applyAlignment="1" pivotButton="0" quotePrefix="0" xfId="0">
      <alignment vertical="top" wrapText="1"/>
    </xf>
    <xf numFmtId="0" fontId="7" fillId="6" borderId="1" applyAlignment="1" pivotButton="0" quotePrefix="0" xfId="0">
      <alignment vertical="top" wrapText="1"/>
    </xf>
    <xf numFmtId="3" fontId="7" fillId="6" borderId="1" applyAlignment="1" pivotButton="0" quotePrefix="0" xfId="0">
      <alignment horizontal="center" vertical="center" wrapText="1"/>
    </xf>
    <xf numFmtId="0" fontId="7" fillId="7" borderId="1" applyAlignment="1" pivotButton="0" quotePrefix="0" xfId="0">
      <alignment vertical="top" wrapText="1"/>
    </xf>
    <xf numFmtId="4" fontId="13" fillId="7" borderId="1" applyAlignment="1" pivotButton="0" quotePrefix="0" xfId="0">
      <alignment horizontal="center" vertical="center" wrapText="1"/>
    </xf>
    <xf numFmtId="0" fontId="7" fillId="5" borderId="1" applyAlignment="1" pivotButton="0" quotePrefix="0" xfId="0">
      <alignment horizontal="center" vertical="center" wrapText="1"/>
    </xf>
    <xf numFmtId="3" fontId="6" fillId="0" borderId="1" applyAlignment="1" pivotButton="0" quotePrefix="0" xfId="0">
      <alignment horizontal="center" vertical="center" wrapText="1"/>
    </xf>
    <xf numFmtId="0" fontId="7" fillId="3" borderId="1" applyAlignment="1" pivotButton="0" quotePrefix="0" xfId="0">
      <alignment horizontal="center" vertical="center" wrapText="1"/>
    </xf>
    <xf numFmtId="166" fontId="6" fillId="5" borderId="1" applyAlignment="1" pivotButton="0" quotePrefix="0" xfId="0">
      <alignment horizontal="center" vertical="center" wrapText="1"/>
    </xf>
    <xf numFmtId="166" fontId="6" fillId="7" borderId="1" applyAlignment="1" pivotButton="0" quotePrefix="0" xfId="0">
      <alignment horizontal="center" vertical="center" wrapText="1"/>
    </xf>
    <xf numFmtId="9" fontId="10" fillId="4" borderId="1" applyAlignment="1" pivotButton="0" quotePrefix="0" xfId="0">
      <alignment horizontal="center" vertical="center" wrapText="1"/>
    </xf>
    <xf numFmtId="0" fontId="0" fillId="0" borderId="0" applyAlignment="1" pivotButton="0" quotePrefix="0" xfId="0">
      <alignment wrapText="1"/>
    </xf>
    <xf numFmtId="0" fontId="0" fillId="0" borderId="4" pivotButton="0" quotePrefix="0" xfId="0"/>
    <xf numFmtId="0" fontId="0" fillId="0" borderId="5" pivotButton="0" quotePrefix="0" xfId="0"/>
    <xf numFmtId="167" fontId="0" fillId="0" borderId="0" pivotButton="0" quotePrefix="0" xfId="0"/>
    <xf numFmtId="167" fontId="7" fillId="7" borderId="1" applyAlignment="1" pivotButton="0" quotePrefix="0" xfId="0">
      <alignment horizontal="center" vertical="center" wrapText="1"/>
    </xf>
    <xf numFmtId="10" fontId="0" fillId="0" borderId="0" pivotButton="0" quotePrefix="0" xfId="0"/>
    <xf numFmtId="165" fontId="0" fillId="0" borderId="0" pivotButton="0" quotePrefix="0" xfId="0"/>
  </cellXfs>
  <cellStyles count="1">
    <cellStyle name="Normal" xfId="0" builtinId="0"/>
  </cellStyles>
  <dxfs count="2">
    <dxf>
      <font>
        <b val="1"/>
        <color rgb="FF006100"/>
      </font>
      <fill>
        <patternFill>
          <bgColor rgb="FFC6EFCE"/>
        </patternFill>
      </fill>
    </dxf>
    <dxf>
      <font>
        <b val="1"/>
        <color rgb="FF9C0006"/>
      </font>
      <fill>
        <patternFill>
          <bgColor rgb="FFFCE4E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90DA"/>
      <rgbColor rgb="FFC0C0C0"/>
      <rgbColor rgb="FF808080"/>
      <rgbColor rgb="FF9999FF"/>
      <rgbColor rgb="FF993366"/>
      <rgbColor rgb="FFFFF2CC"/>
      <rgbColor rgb="FFDCEEF9"/>
      <rgbColor rgb="FF660066"/>
      <rgbColor rgb="FFFF8080"/>
      <rgbColor rgb="FF0066CC"/>
      <rgbColor rgb="FFD2DCE3"/>
      <rgbColor rgb="FF000080"/>
      <rgbColor rgb="FFFF00FF"/>
      <rgbColor rgb="FFFFFF00"/>
      <rgbColor rgb="FF00FFFF"/>
      <rgbColor rgb="FF800080"/>
      <rgbColor rgb="FF800000"/>
      <rgbColor rgb="FF008080"/>
      <rgbColor rgb="FF0000FF"/>
      <rgbColor rgb="FF00CCFF"/>
      <rgbColor rgb="FFF2F2F2"/>
      <rgbColor rgb="FFC6EFCE"/>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00385F"/>
      <rgbColor rgb="FF339966"/>
      <rgbColor rgb="FF0061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topLeftCell="A10" zoomScaleNormal="100" workbookViewId="0">
      <selection activeCell="A1" sqref="A1:D1"/>
    </sheetView>
  </sheetViews>
  <sheetFormatPr baseColWidth="8" defaultColWidth="8.6328125" defaultRowHeight="14.5"/>
  <cols>
    <col width="2.453125" customWidth="1" min="1" max="1"/>
    <col width="30" customWidth="1" min="2" max="2"/>
    <col width="104" customWidth="1" min="3" max="3"/>
  </cols>
  <sheetData>
    <row r="1" ht="25.5" customHeight="1">
      <c r="A1" s="8" t="inlineStr">
        <is>
          <t>Insurance Claims and Benefits Payment Related  —  domain framework v2</t>
        </is>
      </c>
    </row>
    <row r="2" ht="15" customHeight="1">
      <c r="A2" s="7" t="inlineStr">
        <is>
          <t>Six applications, 121.573 units, and the only 領域 in the estate whose SCOPE CHANGES inside the five years. C12WNC-JPN (POS Workflow) is marked Retire and is 28.8% of the domain; from Year 4 the baseline is 86.577 units. Pega for Claims and MDRS are both Maintain in target state — the earlier claim that they carry a zero Year-3 target was wrong. Two value streams: the Claims Platform runs as an agile pod from day one; Payment &amp; Records runs as a 12-seat team until POS Workflow goes, then converts to pods.</t>
        </is>
      </c>
    </row>
    <row r="4" ht="16.5" customHeight="1">
      <c r="A4" s="6" t="inlineStr">
        <is>
          <t>WHAT THIS 領域 IS</t>
        </is>
      </c>
    </row>
    <row r="5" ht="45.75" customHeight="1">
      <c r="B5" s="9" t="inlineStr">
        <is>
          <t>Six applications, three archetypes</t>
        </is>
      </c>
      <c r="C5" s="10" t="inlineStr">
        <is>
          <t>OpenBatch 43.8 units, POS Workflow 35.0 and Pega 16.7 are archetype D at a 78% offshore ceiling; Annuity Info 22.0 is Japan-locked at 12%; MDRS and My Number are 4.1 units of long tail at 55%.</t>
        </is>
      </c>
    </row>
    <row r="6" ht="45.75" customHeight="1">
      <c r="B6" s="9" t="inlineStr">
        <is>
          <t>It splits into a platform and a records estate</t>
        </is>
      </c>
      <c r="C6" s="10" t="inlineStr">
        <is>
          <t>VS1 — Pega (SaaS on Pega Cloud, no-code, 99% AD) plus OpenBatch (cloud-flagged, hybrid) — is 60.5 units and holds ALL 22.6 of the domain’s MGCC. VS2 is four Japanese-specification applications, one of them retiring.</t>
        </is>
      </c>
    </row>
    <row r="7" ht="45.75" customHeight="1">
      <c r="B7" s="9" t="inlineStr">
        <is>
          <t>The only 領域 with material nearshore</t>
        </is>
      </c>
      <c r="C7" s="10" t="inlineStr">
        <is>
          <t>9.589 units on C12WNC-JPN — roughly half of all the nearshore capacity in the portfolio. Every other 領域 modelled is Tokyo-and-India only. The NEAR rows in this workbook are live, not schema.</t>
        </is>
      </c>
    </row>
    <row r="8" ht="45.75" customHeight="1">
      <c r="B8" s="9" t="inlineStr">
        <is>
          <t>FSI holds four applications</t>
        </is>
      </c>
      <c r="C8" s="10" t="inlineStr">
        <is>
          <t>7.0 of the 85.449 vendor units — 8.2%. POS Workflow (9835) 2 · Annuity Info (9857) 2 · OpenBatch (13820) 2 · Pega (14322) 1. Taper 7 / 7 / 7 / 5 / 4, onshore Japan in every year, all inside the streams.</t>
        </is>
      </c>
    </row>
    <row r="9" ht="15" customHeight="1">
      <c r="A9" s="6" t="inlineStr">
        <is>
          <t>C12WNC-JPN, 35.0 units and the only nearshore capacity in the portfolio at 9.589 units. The baseline drops to 86.577 from Year 4 and nearshore goes to zero with it.</t>
        </is>
      </c>
    </row>
    <row r="10" ht="45.75" customHeight="1">
      <c r="B10" s="9" t="inlineStr">
        <is>
          <t>C12WNC-JPN is marked RETIRE, and it is 28.8% of the domain</t>
        </is>
      </c>
      <c r="C10" s="10" t="inlineStr">
        <is>
          <t>35.0 units, business-critical, Japanese specifications, 9.6 units nearshore, and the entire Claims Processing ＆ Adjudication value stream. This model freezes scope at Year 1 as every domain model does, so that exposure is carried, not netted. It is the largest single disposition exposure in the estate and it has to be resolved with MetLife before the price is fixed.</t>
        </is>
      </c>
    </row>
    <row r="11" ht="45.75" customHeight="1">
      <c r="B11" s="9" t="inlineStr">
        <is>
          <t>Offshore reaches the re-cut ceiling</t>
        </is>
      </c>
      <c r="C11" s="10" t="inlineStr">
        <is>
          <t>30.0% today — the highest starting position in the estate, because MGCC is 22.6 units on day one. The design delivers 31.3 / 40.7 / 49.0 / 53.4 / 59.8% against a ceiling that re-cuts from 65.27% to 60.13% when POS Workflow leaves. Year 5 lands on it.</t>
        </is>
      </c>
    </row>
    <row r="12" ht="45.75" customHeight="1">
      <c r="B12" s="9" t="inlineStr">
        <is>
          <t>The 50:50 closes with NO transfer</t>
        </is>
      </c>
      <c r="C12" s="10" t="inlineStr">
        <is>
          <t>Organic convergence alone takes Capgemini from 70.4% of the delivery population to 50.6% by Year 5. The transfer mechanic is left live but set to zero in every year.</t>
        </is>
      </c>
    </row>
    <row r="13" ht="15" customHeight="1">
      <c r="A13" s="6" t="inlineStr">
        <is>
          <t>0 / 22.3 / 35.5 / 40.5 / 49.9%, measured against the scope that remains — not against the frozen 121.573, which would read 64.3% and would be claiming MetLife’s retirement as our saving.</t>
        </is>
      </c>
    </row>
    <row r="14" ht="45.75" customHeight="1">
      <c r="B14" s="9" t="inlineStr">
        <is>
          <t>MGCC has a HIGHER ceiling than we do here</t>
        </is>
      </c>
      <c r="C14" s="10" t="inlineStr">
        <is>
          <t>MGCC 48.60% against Capgemini 44.73%, because MGCC is a build-and-test population and 78.5% of this estate is archetype D — where Build and Test ceilings are the highest in the classifier. Adoption still puts us ahead on committed productivity (44.7% against 38.9% effective), but the underlying capability runs the other way. Worth saying out loud.</t>
        </is>
      </c>
    </row>
    <row r="15" ht="45.75" customHeight="1">
      <c r="B15" s="9" t="inlineStr">
        <is>
          <t>The transfer is 11.6 people, and most of it goes to MetLife Japan</t>
        </is>
      </c>
      <c r="C15" s="10" t="inlineStr">
        <is>
          <t>Organic convergence only takes the ratio from 70.3% to 66.8% by Year 3 — MetLife's side is small and shrinks slowly. The transfer does the rest. We send 6.4 to MetLife Japan and 5.2 to MGCC rather than the portfolio default 35/65, because 84% of the Capgemini population is in Tokyo and people in Tokyo are re-badged to MetLife Japan.</t>
        </is>
      </c>
    </row>
    <row r="16" ht="45.75" customHeight="1">
      <c r="B16" s="9" t="inlineStr">
        <is>
          <t>Headcount 121.6 → 59.3</t>
        </is>
      </c>
      <c r="C16" s="10" t="inlineStr">
        <is>
          <t>Pod Library column K and Horizontal Teams column J are the people you hire for that role across the block. Every one is a whole number or a half — the grid check is clean in all five years. SIT Loading turns them into requisitions.</t>
        </is>
      </c>
    </row>
    <row r="17" ht="15" customHeight="1">
      <c r="A17" s="6" t="inlineStr">
        <is>
          <t>THE ENGINE</t>
        </is>
      </c>
    </row>
    <row r="18" ht="45.75" customHeight="1">
      <c r="B18" s="9" t="inlineStr">
        <is>
          <t>The role line is restated, heavily</t>
        </is>
      </c>
      <c r="C18" s="10" t="inlineStr">
        <is>
          <t>Appendix 3 records 82.9% of the vendor line as Developer, 1.00 unit of maintenance, ZERO project management and 0.775 of architecture, against 732 incidents, 1,161 changes and 439 batch jobs a year. We move 20.4 units out of Developer into BSA, Tester, Maintenance, PM and Other. Arithmetically neutral, and the largest restatement in the portfolio. It is the only red on the Change Control sheet.</t>
        </is>
      </c>
    </row>
    <row r="19" ht="45.75" customHeight="1">
      <c r="B19" s="9" t="inlineStr">
        <is>
          <t>The Year-4 cliff is scope, not delivery</t>
        </is>
      </c>
      <c r="C19" s="10" t="inlineStr">
        <is>
          <t>Headcount falls 78.5 to 51.5 between Years 3 and 4. About 24 of those 27 people are POS Workflow retiring; roughly 3 are productivity. Year 4 pre-loads none of its own in-year gain for exactly that reason.</t>
        </is>
      </c>
    </row>
    <row r="20" ht="15" customHeight="1">
      <c r="A20" s="6" t="inlineStr">
        <is>
          <t>Every Capgemini role runs across the years it exists with no gaps and no re-banding — a grade is fixed for the life of the seat. Each unit keeps a lead, a bilingual analyst, a tester and a support seat in every year; design authority moves to the horizontal layer in Year 4 when pods shrink to six. Testers and junior builders are E1/E2 and E1 seats exist in all five years.</t>
        </is>
      </c>
    </row>
    <row r="21" ht="45.75" customHeight="1">
      <c r="B21" s="9" t="inlineStr">
        <is>
          <t>The role line needs the largest restatement in the estate</t>
        </is>
      </c>
      <c r="C21" s="10" t="inlineStr">
        <is>
          <t>Appendix 3 records ZERO project management and 1.00 maintenance unit across six applications carrying 732 incidents and 1,161 changes. 83% of the vendor population is booked as Developer. Restated to 4.50 maintenance, 3.50 PM and 2.50 architecture, taken from the developer line. Arithmetically neutral; MetLife should confirm.</t>
        </is>
      </c>
    </row>
    <row r="22" ht="45.75" customHeight="1">
      <c r="B22" s="9" t="inlineStr">
        <is>
          <t>And MetLife's two views of run disagree by a factor of seven</t>
        </is>
      </c>
      <c r="C22" s="10" t="inlineStr">
        <is>
          <t>The maintenance role line says 1.00 unit. The AD / AMS effort split in the same spreadsheet implies 6.75. On a 122-person domain that is about six people of exposure, and it sets the AMS price.</t>
        </is>
      </c>
    </row>
    <row r="23" ht="45.75" customHeight="1">
      <c r="B23" s="9" t="inlineStr">
        <is>
          <t>The disposition questions are the priority</t>
        </is>
      </c>
      <c r="C23" s="10" t="inlineStr">
        <is>
          <t>44.3% of this 領域 is either marked Retire or carries a zero Year-3 target in MetLife's own model. No other 領域 comes close. Resolve before submission.</t>
        </is>
      </c>
    </row>
  </sheetData>
  <mergeCells count="7">
    <mergeCell ref="A1:D1"/>
    <mergeCell ref="A13:C13"/>
    <mergeCell ref="A17:C17"/>
    <mergeCell ref="A9:C9"/>
    <mergeCell ref="A2:D2"/>
    <mergeCell ref="A4:C4"/>
    <mergeCell ref="A20:C20"/>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G22"/>
  <sheetViews>
    <sheetView zoomScaleNormal="100" workbookViewId="0">
      <selection activeCell="A1" sqref="A1:G1"/>
    </sheetView>
  </sheetViews>
  <sheetFormatPr baseColWidth="8" defaultColWidth="8.6328125" defaultRowHeight="14.5"/>
  <cols>
    <col width="2.453125" customWidth="1" min="1" max="1"/>
    <col width="22" customWidth="1" min="2" max="2"/>
    <col width="34" customWidth="1" min="3" max="4"/>
    <col width="16" customWidth="1" min="5" max="5"/>
    <col width="44" customWidth="1" min="6" max="6"/>
  </cols>
  <sheetData>
    <row r="1" ht="25.5" customHeight="1">
      <c r="A1" s="8" t="inlineStr">
        <is>
          <t>Where every input comes from, and which ones are ours</t>
        </is>
      </c>
    </row>
    <row r="2" ht="15" customHeight="1">
      <c r="A2" s="7" t="inlineStr">
        <is>
          <t>v2. Two value streams, a scope that drops 28.8% at Year 4, and 7 FSI seats introduced where v1 modelled no partner. What matters here is the provenance of each input: which are measured, which are restated, and which are domain overrides.</t>
        </is>
      </c>
    </row>
    <row r="4" ht="15" customHeight="1">
      <c r="B4" s="11" t="inlineStr">
        <is>
          <t>Element</t>
        </is>
      </c>
      <c r="C4" s="11" t="inlineStr">
        <is>
          <t>Source</t>
        </is>
      </c>
      <c r="D4" s="11" t="inlineStr">
        <is>
          <t>Value used</t>
        </is>
      </c>
      <c r="E4" s="11" t="inlineStr">
        <is>
          <t>Status</t>
        </is>
      </c>
      <c r="F4" s="11" t="inlineStr">
        <is>
          <t>Note</t>
        </is>
      </c>
    </row>
    <row r="5" ht="49.5" customHeight="1">
      <c r="B5" s="9" t="inlineStr">
        <is>
          <t>Baseline</t>
        </is>
      </c>
      <c r="C5" s="10" t="inlineStr">
        <is>
          <t>Appendix 3 v5, 6 applications</t>
        </is>
      </c>
      <c r="D5" s="10" t="inlineStr">
        <is>
          <t>effort 121.574 · FTC 85.449 · FTE 13.479 · MGCC 22.646 · onshore 71.626 · offshore 4.233 · nearshore 9.589</t>
        </is>
      </c>
      <c r="E5" s="12" t="inlineStr">
        <is>
          <t>SOURCE</t>
        </is>
      </c>
      <c r="F5" s="13" t="inlineStr">
        <is>
          <t>Internally consistent: FTC + FTE + MGCC ties exactly to Total, and the three location lines tie exactly to FTC. No unallocated capacity to carry.</t>
        </is>
      </c>
    </row>
    <row r="6" ht="49.5" customHeight="1">
      <c r="B6" s="9" t="inlineStr">
        <is>
          <t>Archetypes</t>
        </is>
      </c>
      <c r="C6" s="10" t="inlineStr">
        <is>
          <t>Golden Inventory v4, six-rule classifier</t>
        </is>
      </c>
      <c r="D6" s="10" t="inlineStr">
        <is>
          <t>D 3 / 95.479 · J 1 / 22.028 · T 2 / 4.067</t>
        </is>
      </c>
      <c r="E6" s="12" t="inlineStr">
        <is>
          <t>SOURCE</t>
        </is>
      </c>
      <c r="F6" s="13" t="inlineStr">
        <is>
          <t>AI ceiling 44.71%, offshore ceiling 65.27%. Archetype D is 78.5% of the effort, which is what makes the productivity case; W05AMS-JPN at a 12% offshore ceiling is what caps the location case.</t>
        </is>
      </c>
    </row>
    <row r="7" ht="49.5" customHeight="1">
      <c r="B7" s="9" t="inlineStr">
        <is>
          <t>Delivery method</t>
        </is>
      </c>
      <c r="C7" s="10" t="inlineStr">
        <is>
          <t>Appendix 3 v5</t>
        </is>
      </c>
      <c r="D7" s="10" t="inlineStr">
        <is>
          <t>VS1 agile from Year 1; VS2 waterfall to Year 3, pods from Year 4</t>
        </is>
      </c>
      <c r="E7" s="12" t="inlineStr">
        <is>
          <t>MEASURED</t>
        </is>
      </c>
      <c r="F7" s="13" t="inlineStr">
        <is>
          <t>Holding Payment &amp; Records as a team to Year 3 caps the agile share at 49.7% and costs about 0.6 and 1.9 points of Year-2 and Year-3 capability. It is the conservative reading of a stream whose largest application is being retired.</t>
        </is>
      </c>
    </row>
    <row r="8" ht="49.5" customHeight="1">
      <c r="B8" s="9" t="inlineStr">
        <is>
          <t>Adoption factors</t>
        </is>
      </c>
      <c r="C8" s="10" t="inlineStr">
        <is>
          <t>Portfolio default</t>
        </is>
      </c>
      <c r="D8" s="10" t="inlineStr">
        <is>
          <t>1.00 / 0.85 / 0.55 / 0.80 — unchanged</t>
        </is>
      </c>
      <c r="E8" s="12" t="inlineStr">
        <is>
          <t>STANDARD</t>
        </is>
      </c>
      <c r="F8" s="13" t="inlineStr">
        <is>
          <t>No case for raising MetLife's commitment here. Unlike Common Service Platform this is a mostly waterfall, Japanese-specification estate, and MetLife's own staff are only 11.1% of it.</t>
        </is>
      </c>
    </row>
    <row r="9" ht="49.5" customHeight="1">
      <c r="B9" s="9" t="inlineStr">
        <is>
          <t>Role line</t>
        </is>
      </c>
      <c r="C9" s="10" t="inlineStr">
        <is>
          <t>BSA 5.958 · DEV 70.899 · TEST 6.817 · MNT 1.000 · PM 0.000 · OTH 0.775</t>
        </is>
      </c>
      <c r="D9" s="10" t="inlineStr">
        <is>
          <t>MNT 4.50 · PM 3.50 · OTH 2.50, taken from DEV</t>
        </is>
      </c>
      <c r="E9" s="14" t="inlineStr">
        <is>
          <t>RESTATED</t>
        </is>
      </c>
      <c r="F9" s="13" t="inlineStr">
        <is>
          <t>ZERO project management across six applications and three value streams, and 1.00 maintenance unit against 732 incidents and 1,161 changes. 83% of the vendor population booked as Developer — the highest in the estate. Arithmetically neutral; the total does not move.</t>
        </is>
      </c>
    </row>
    <row r="10" ht="49.5" customHeight="1">
      <c r="B10" s="9" t="inlineStr">
        <is>
          <t>Partner</t>
        </is>
      </c>
      <c r="C10" s="10" t="inlineStr">
        <is>
          <t>FSI named FTC supplied by MetLife against four EAI IDs</t>
        </is>
      </c>
      <c r="D10" s="10" t="inlineStr">
        <is>
          <t>7.000 of 85.449 vendor units — 8.2%</t>
        </is>
      </c>
      <c r="E10" s="12" t="inlineStr">
        <is>
          <t>DOMAIN DECISION</t>
        </is>
      </c>
      <c r="F10" s="13" t="inlineStr">
        <is>
          <t>v1 modelled no partner at all. Introducing 7 FSI splits the Year-1 vendor number into Capgemini 78.5 + FSI 7.0 and switches on the span-of-control drag. Onshore Japan in every year; taper 7 / 7 / 7 / 5 / 4.</t>
        </is>
      </c>
    </row>
    <row r="11" ht="49.5" customHeight="1">
      <c r="B11" s="9" t="inlineStr">
        <is>
          <t>Transfer split</t>
        </is>
      </c>
      <c r="C11" s="10" t="inlineStr">
        <is>
          <t>Portfolio default 35% to MetLife Japan</t>
        </is>
      </c>
      <c r="D11" s="10" t="inlineStr">
        <is>
          <t>55% to MetLife Japan · 45% to MGCC</t>
        </is>
      </c>
      <c r="E11" s="14" t="inlineStr">
        <is>
          <t>DOMAIN OVERRIDE</t>
        </is>
      </c>
      <c r="F11" s="13" t="inlineStr">
        <is>
          <t>71.6 of 85.4 vendor units are in Tokyo — 84%, the most onshore-weighted Capgemini population of the 領域 modelled. The default assumes an offshore-weighted population being re-badged mostly into MGCC. Here that is backwards: people in Tokyo are re-badged to MetLife Japan.</t>
        </is>
      </c>
    </row>
    <row r="12" ht="49.5" customHeight="1">
      <c r="B12" s="9" t="inlineStr">
        <is>
          <t>Disposition</t>
        </is>
      </c>
      <c r="C12" s="10" t="inlineStr">
        <is>
          <t>EA inventory v5, target-state columns</t>
        </is>
      </c>
      <c r="D12" s="10" t="inlineStr">
        <is>
          <t>C12WNC-JPN RETIRE — 34.997 units. Pega and MDRS Maintain.</t>
        </is>
      </c>
      <c r="E12" s="12" t="inlineStr">
        <is>
          <t>SOURCE</t>
        </is>
      </c>
      <c r="F12" s="13" t="inlineStr">
        <is>
          <t>ACTED ON, unlike v1. The baseline drops to 86.577 from Year 4 and the archetype ceilings re-cut with it. Pega (Maintain — Evolve, Year-3 target 8.4) and MDRS (Maintain — Patch, 1.1) are NOT under a disposition question; the v1 claim that they carry a zero Year-3 target was wrong.</t>
        </is>
      </c>
    </row>
    <row r="13" ht="49.5" customHeight="1">
      <c r="B13" s="9" t="inlineStr">
        <is>
          <t>Disposition</t>
        </is>
      </c>
      <c r="C13" s="10" t="inlineStr">
        <is>
          <t>New in Appendix 3 v5</t>
        </is>
      </c>
      <c r="D13" s="10" t="inlineStr">
        <is>
          <t>50% vendor share · 55% per unit · 55% of build-and-test · continuous role coverage</t>
        </is>
      </c>
      <c r="E13" s="15" t="inlineStr">
        <is>
          <t>NEW</t>
        </is>
      </c>
      <c r="F13" s="13" t="inlineStr">
        <is>
          <t>All held in every year. Tightest single unit 58.3%; tightest build-and-test 56.0% in Year 4, held above the floor by growing the MGCC Application Support line in the horizontal layer from 0.5 to 7.5.</t>
        </is>
      </c>
    </row>
    <row r="14" ht="49.5" customHeight="1">
      <c r="B14" s="9" t="inlineStr">
        <is>
          <t>Guardrails</t>
        </is>
      </c>
      <c r="C14" s="10" t="inlineStr">
        <is>
          <t>Portfolio standard</t>
        </is>
      </c>
      <c r="D14" s="10" t="inlineStr">
        <is>
          <t>ZERO — organic convergence reaches 50.6% on its own</t>
        </is>
      </c>
      <c r="E14" s="12" t="inlineStr">
        <is>
          <t>STANDARD</t>
        </is>
      </c>
      <c r="F14" s="13" t="inlineStr">
        <is>
          <t>The mechanic is live so a transfer can be priced if MetLife asks, but none is needed.</t>
        </is>
      </c>
    </row>
    <row r="15" ht="49.5" customHeight="1">
      <c r="B15" s="9" t="inlineStr">
        <is>
          <t>Scope treatment</t>
        </is>
      </c>
      <c r="C15" s="10" t="inlineStr">
        <is>
          <t>Domain override, v2</t>
        </is>
      </c>
      <c r="D15" s="10" t="inlineStr">
        <is>
          <t>Productivity measured on RETAINED scope</t>
        </is>
      </c>
      <c r="E15" s="15" t="inlineStr">
        <is>
          <t>DOMAIN OVERRIDE</t>
        </is>
      </c>
      <c r="F15" s="13" t="inlineStr">
        <is>
          <t>Year-5 commitment 49.9% on 86.577 units. On the frozen 121.573 baseline the same roster reads 64.3%, and the difference is MetLife’s retirement. Reporting the lower number is the defensible choice.</t>
        </is>
      </c>
    </row>
    <row r="17" ht="15" customHeight="1">
      <c r="A17" s="6" t="inlineStr">
        <is>
          <t>HOW TO READ THE STATUS COLUMN</t>
        </is>
      </c>
    </row>
    <row r="18" ht="39.75" customHeight="1">
      <c r="B18" s="5" t="inlineStr">
        <is>
          <t>•  SOURCE — taken directly from Appendix 3 v5 or Golden Application Inventory v4. Not ours to change.</t>
        </is>
      </c>
    </row>
    <row r="19" ht="39.75" customHeight="1">
      <c r="B19" s="5" t="inlineStr">
        <is>
          <t>•  MEASURED — MetLife has supplied it and we use it as given, where an earlier version made us assume.</t>
        </is>
      </c>
    </row>
    <row r="20" ht="39.75" customHeight="1">
      <c r="B20" s="5" t="inlineStr">
        <is>
          <t>•  RESTATED — the client figure is internally impossible and we have changed it. Every restatement is arithmetically neutral: people move between role lines, the total does not. These go back to MetLife.</t>
        </is>
      </c>
    </row>
    <row r="21" ht="39.75" customHeight="1">
      <c r="B21" s="5" t="inlineStr">
        <is>
          <t>•  DOMAIN OVERRIDE — a portfolio default deliberately changed for this 領域, with the reason stated. These are solution decisions and should be defended as such in the review.</t>
        </is>
      </c>
    </row>
    <row r="22" ht="39.75" customHeight="1">
      <c r="B22" s="5" t="inlineStr">
        <is>
          <t>•  MODELLED — a construct of ours with no direct client source: partner plans, transfer sizing, conversion quarters. The assumptions most worth challenging.</t>
        </is>
      </c>
    </row>
  </sheetData>
  <mergeCells count="8">
    <mergeCell ref="B21:F21"/>
    <mergeCell ref="A1:G1"/>
    <mergeCell ref="B20:F20"/>
    <mergeCell ref="B19:F19"/>
    <mergeCell ref="A2:G2"/>
    <mergeCell ref="A17:F17"/>
    <mergeCell ref="B22:F22"/>
    <mergeCell ref="B18:F18"/>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J24"/>
  <sheetViews>
    <sheetView zoomScaleNormal="100" workbookViewId="0">
      <pane xSplit="1" ySplit="11" topLeftCell="B12" activePane="bottomRight" state="frozen"/>
      <selection pane="topRight" activeCell="B1" sqref="B1"/>
      <selection pane="bottomLeft" activeCell="A12" sqref="A12"/>
      <selection pane="bottomRight" activeCell="A1" sqref="A1:J1"/>
    </sheetView>
  </sheetViews>
  <sheetFormatPr baseColWidth="8" defaultColWidth="8.6328125" defaultRowHeight="14.5"/>
  <cols>
    <col width="2.453125" customWidth="1" min="1" max="1"/>
    <col width="42" customWidth="1" min="2" max="2"/>
    <col width="11" customWidth="1" min="3" max="8"/>
    <col width="3" customWidth="1" min="9" max="9"/>
    <col width="50" customWidth="1" min="10" max="10"/>
  </cols>
  <sheetData>
    <row r="1" ht="25.5" customHeight="1">
      <c r="A1" s="8" t="inlineStr">
        <is>
          <t>Change control  —  what must still hold after you edit a seat count</t>
        </is>
      </c>
    </row>
    <row r="2" ht="15" customHeight="1">
      <c r="A2" s="7" t="inlineStr">
        <is>
          <t>Pod Library column J and Horizontal Teams column I are INPUTS. You may change them. Holding the yearly total is necessary but not sufficient — these are the other things that have to survive the edit. Every check below is live. Note that the headcount target is measured against the SCOPE BASELINE on Logic Tree row 46, which drops from 121.573 to 86.577 in Year 4 when POS Workflow retires.</t>
        </is>
      </c>
    </row>
    <row r="4" ht="15" customHeight="1">
      <c r="A4" s="6" t="inlineStr">
        <is>
          <t>A.  WHERE THESE NUMBERS GO</t>
        </is>
      </c>
    </row>
    <row r="5" ht="42" customHeight="1">
      <c r="B5" s="5" t="inlineStr">
        <is>
          <t>•  Pod Library J and Horizontal Teams I are hard-typed values, not formulas. Nothing upstream computes them — they are the design. Everything downstream is derived from them.</t>
        </is>
      </c>
    </row>
    <row r="6" ht="42" customHeight="1">
      <c r="B6" s="5" t="inlineStr">
        <is>
          <t>•  Seat Ledger reads them cell by cell (912 references to Pod Library, 630 to Horizontal Teams) and multiplies by the unit count on Pod Plan. Team Build-Up, Cost &amp; Commercial, Inherited Workforce and Unit Cost Sensitivity are all SUMIFS over the Seat Ledger. Change a seat and every one of them moves.</t>
        </is>
      </c>
    </row>
    <row r="7" ht="42" customHeight="1">
      <c r="B7" s="5" t="inlineStr">
        <is>
          <t>•  THE ONE THAT SURPRISES PEOPLE: the Logic Tree reads the roster back. Partner seats (row 59) drive the partner share (row 60), the span-of-control factor (row 61), the applied operating-model gain (row 43), capability (row 45) and therefore the HEADCOUNT TARGET itself (row 53). Changing partner seats moves the target you are trying to hit. It converges, but it does not stand still.</t>
        </is>
      </c>
    </row>
    <row r="8" ht="42" customHeight="1">
      <c r="B8" s="5" t="inlineStr">
        <is>
          <t>•  What does NOT move: the effort baseline, the archetype mix, the AI and offshore ceilings, the realisation curve and the agile conversion quarters. Those are inputs on the Logic Tree and Delivery Mode.</t>
        </is>
      </c>
    </row>
    <row r="10" ht="15" customHeight="1">
      <c r="A10" s="6" t="inlineStr">
        <is>
          <t>B.  THE INVARIANTS  —  all of these must stay green</t>
        </is>
      </c>
    </row>
    <row r="11" ht="33" customHeight="1">
      <c r="B11" s="11" t="inlineStr">
        <is>
          <t>Check</t>
        </is>
      </c>
      <c r="C11" s="11" t="inlineStr">
        <is>
          <t>Y1</t>
        </is>
      </c>
      <c r="D11" s="11" t="inlineStr">
        <is>
          <t>Y2</t>
        </is>
      </c>
      <c r="E11" s="11" t="inlineStr">
        <is>
          <t>Y3</t>
        </is>
      </c>
      <c r="F11" s="11" t="inlineStr">
        <is>
          <t>Y4</t>
        </is>
      </c>
      <c r="G11" s="11" t="inlineStr">
        <is>
          <t>Y5</t>
        </is>
      </c>
      <c r="H11" s="11" t="inlineStr">
        <is>
          <t>Tolerance</t>
        </is>
      </c>
      <c r="I11" s="11" t="inlineStr">
        <is>
          <t>Status</t>
        </is>
      </c>
    </row>
    <row r="12" ht="30" customHeight="1">
      <c r="B12" s="9" t="inlineStr">
        <is>
          <t>Headcount delivered minus Logic Tree target</t>
        </is>
      </c>
      <c r="C12" s="16">
        <f>'Team Build-Up'!C12</f>
        <v/>
      </c>
      <c r="D12" s="16">
        <f>'Team Build-Up'!D12</f>
        <v/>
      </c>
      <c r="E12" s="16">
        <f>'Team Build-Up'!E12</f>
        <v/>
      </c>
      <c r="F12" s="16">
        <f>'Team Build-Up'!F12</f>
        <v/>
      </c>
      <c r="G12" s="16">
        <f>'Team Build-Up'!G12</f>
        <v/>
      </c>
      <c r="H12" s="17" t="inlineStr">
        <is>
          <t>± 1.5</t>
        </is>
      </c>
      <c r="I12" s="18">
        <f>IF(MAX(ABS(C12),ABS(D12),ABS(E12),ABS(F12),ABS(G12))&lt;=1.5,"OK","CHECK")</f>
        <v/>
      </c>
      <c r="J12" s="19" t="inlineStr">
        <is>
          <t>The productivity commitment. If you add seats you must remove others.</t>
        </is>
      </c>
    </row>
    <row r="13" ht="30" customHeight="1">
      <c r="B13" s="9" t="inlineStr">
        <is>
          <t>Capgemini share inside each POD</t>
        </is>
      </c>
      <c r="C13" s="20">
        <f>IFERROR((SUMIFS('Pod Library'!$J$5:$J$170,'Pod Library'!$B$5:$B$170,1,'Pod Library'!$C$5:$C$170,"POD",'Pod Library'!$I$5:$I$170,"FTC")+SUMIFS('Pod Library'!$J$5:$J$170,'Pod Library'!$B$5:$B$170,1,'Pod Library'!$C$5:$C$170,"POD",'Pod Library'!$I$5:$I$170,"PT"))/(SUMIFS('Pod Library'!$J$5:$J$170,'Pod Library'!$B$5:$B$170,1,'Pod Library'!$C$5:$C$170,"POD")),"n/a")</f>
        <v/>
      </c>
      <c r="D13" s="20">
        <f>IFERROR((SUMIFS('Pod Library'!$J$5:$J$170,'Pod Library'!$B$5:$B$170,2,'Pod Library'!$C$5:$C$170,"POD",'Pod Library'!$I$5:$I$170,"FTC")+SUMIFS('Pod Library'!$J$5:$J$170,'Pod Library'!$B$5:$B$170,2,'Pod Library'!$C$5:$C$170,"POD",'Pod Library'!$I$5:$I$170,"PT"))/(SUMIFS('Pod Library'!$J$5:$J$170,'Pod Library'!$B$5:$B$170,2,'Pod Library'!$C$5:$C$170,"POD")),"n/a")</f>
        <v/>
      </c>
      <c r="E13" s="20">
        <f>IFERROR((SUMIFS('Pod Library'!$J$5:$J$170,'Pod Library'!$B$5:$B$170,3,'Pod Library'!$C$5:$C$170,"POD",'Pod Library'!$I$5:$I$170,"FTC")+SUMIFS('Pod Library'!$J$5:$J$170,'Pod Library'!$B$5:$B$170,3,'Pod Library'!$C$5:$C$170,"POD",'Pod Library'!$I$5:$I$170,"PT"))/(SUMIFS('Pod Library'!$J$5:$J$170,'Pod Library'!$B$5:$B$170,3,'Pod Library'!$C$5:$C$170,"POD")),"n/a")</f>
        <v/>
      </c>
      <c r="F13" s="20">
        <f>IFERROR((SUMIFS('Pod Library'!$J$5:$J$170,'Pod Library'!$B$5:$B$170,4,'Pod Library'!$C$5:$C$170,"POD",'Pod Library'!$I$5:$I$170,"FTC")+SUMIFS('Pod Library'!$J$5:$J$170,'Pod Library'!$B$5:$B$170,4,'Pod Library'!$C$5:$C$170,"POD",'Pod Library'!$I$5:$I$170,"PT"))/(SUMIFS('Pod Library'!$J$5:$J$170,'Pod Library'!$B$5:$B$170,4,'Pod Library'!$C$5:$C$170,"POD")),"n/a")</f>
        <v/>
      </c>
      <c r="G13" s="20">
        <f>IFERROR((SUMIFS('Pod Library'!$J$5:$J$170,'Pod Library'!$B$5:$B$170,5,'Pod Library'!$C$5:$C$170,"POD",'Pod Library'!$I$5:$I$170,"FTC")+SUMIFS('Pod Library'!$J$5:$J$170,'Pod Library'!$B$5:$B$170,5,'Pod Library'!$C$5:$C$170,"POD",'Pod Library'!$I$5:$I$170,"PT"))/(SUMIFS('Pod Library'!$J$5:$J$170,'Pod Library'!$B$5:$B$170,5,'Pod Library'!$C$5:$C$170,"POD")),"n/a")</f>
        <v/>
      </c>
      <c r="H13" s="17" t="inlineStr">
        <is>
          <t>≥ 55%</t>
        </is>
      </c>
      <c r="I13" s="18">
        <f>IF(COUNTIF(C13:G13,"&lt;0.5450")=0,"OK","CHECK")</f>
        <v/>
      </c>
      <c r="J13" s="19" t="inlineStr">
        <is>
          <t>A POD in which Capgemini is a minority is one whose ways of working we do not set.</t>
        </is>
      </c>
    </row>
    <row r="14" ht="30" customHeight="1">
      <c r="B14" s="9" t="inlineStr">
        <is>
          <t>Capgemini share inside each TEAM</t>
        </is>
      </c>
      <c r="C14" s="20">
        <f>IFERROR((SUMIFS('Pod Library'!$J$5:$J$170,'Pod Library'!$B$5:$B$170,1,'Pod Library'!$C$5:$C$170,"TEAM",'Pod Library'!$I$5:$I$170,"FTC")+SUMIFS('Pod Library'!$J$5:$J$170,'Pod Library'!$B$5:$B$170,1,'Pod Library'!$C$5:$C$170,"TEAM",'Pod Library'!$I$5:$I$170,"PT"))/(SUMIFS('Pod Library'!$J$5:$J$170,'Pod Library'!$B$5:$B$170,1,'Pod Library'!$C$5:$C$170,"TEAM")),"n/a")</f>
        <v/>
      </c>
      <c r="D14" s="20">
        <f>IFERROR((SUMIFS('Pod Library'!$J$5:$J$170,'Pod Library'!$B$5:$B$170,2,'Pod Library'!$C$5:$C$170,"TEAM",'Pod Library'!$I$5:$I$170,"FTC")+SUMIFS('Pod Library'!$J$5:$J$170,'Pod Library'!$B$5:$B$170,2,'Pod Library'!$C$5:$C$170,"TEAM",'Pod Library'!$I$5:$I$170,"PT"))/(SUMIFS('Pod Library'!$J$5:$J$170,'Pod Library'!$B$5:$B$170,2,'Pod Library'!$C$5:$C$170,"TEAM")),"n/a")</f>
        <v/>
      </c>
      <c r="E14" s="20">
        <f>IFERROR((SUMIFS('Pod Library'!$J$5:$J$170,'Pod Library'!$B$5:$B$170,3,'Pod Library'!$C$5:$C$170,"TEAM",'Pod Library'!$I$5:$I$170,"FTC")+SUMIFS('Pod Library'!$J$5:$J$170,'Pod Library'!$B$5:$B$170,3,'Pod Library'!$C$5:$C$170,"TEAM",'Pod Library'!$I$5:$I$170,"PT"))/(SUMIFS('Pod Library'!$J$5:$J$170,'Pod Library'!$B$5:$B$170,3,'Pod Library'!$C$5:$C$170,"TEAM")),"n/a")</f>
        <v/>
      </c>
      <c r="F14" s="20">
        <f>IFERROR((SUMIFS('Pod Library'!$J$5:$J$170,'Pod Library'!$B$5:$B$170,4,'Pod Library'!$C$5:$C$170,"TEAM",'Pod Library'!$I$5:$I$170,"FTC")+SUMIFS('Pod Library'!$J$5:$J$170,'Pod Library'!$B$5:$B$170,4,'Pod Library'!$C$5:$C$170,"TEAM",'Pod Library'!$I$5:$I$170,"PT"))/(SUMIFS('Pod Library'!$J$5:$J$170,'Pod Library'!$B$5:$B$170,4,'Pod Library'!$C$5:$C$170,"TEAM")),"n/a")</f>
        <v/>
      </c>
      <c r="G14" s="20">
        <f>IFERROR((SUMIFS('Pod Library'!$J$5:$J$170,'Pod Library'!$B$5:$B$170,5,'Pod Library'!$C$5:$C$170,"TEAM",'Pod Library'!$I$5:$I$170,"FTC")+SUMIFS('Pod Library'!$J$5:$J$170,'Pod Library'!$B$5:$B$170,5,'Pod Library'!$C$5:$C$170,"TEAM",'Pod Library'!$I$5:$I$170,"PT"))/(SUMIFS('Pod Library'!$J$5:$J$170,'Pod Library'!$B$5:$B$170,5,'Pod Library'!$C$5:$C$170,"TEAM")),"n/a")</f>
        <v/>
      </c>
      <c r="H14" s="17" t="inlineStr">
        <is>
          <t>≥ 55%</t>
        </is>
      </c>
      <c r="I14" s="18">
        <f>IF(COUNTIF(C14:G14,"&lt;0.5450")=0,"OK","CHECK")</f>
        <v/>
      </c>
      <c r="J14" s="19" t="inlineStr">
        <is>
          <t>A TEAM in which Capgemini is a minority is one whose ways of working we do not set. VS2 runs as a team only in Years 1-3, at 91.7% / 91.7% / 91.7%. The POD row covers VS1 in all five years and VS2 from Year 4; the tightest single unit in any year is 58.3%.</t>
        </is>
      </c>
    </row>
    <row r="15" ht="30" customHeight="1">
      <c r="B15" s="9" t="inlineStr">
        <is>
          <t>Capgemini share of the delivery population</t>
        </is>
      </c>
      <c r="C15" s="20">
        <f>IFERROR((SUMIFS('Seat Ledger'!$M$5:$M$287,'Seat Ledger'!$B$5:$B$287,1,'Seat Ledger'!$J$5:$J$287,"FTC")+SUMIFS('Seat Ledger'!$M$5:$M$287,'Seat Ledger'!$B$5:$B$287,1,'Seat Ledger'!$J$5:$J$287,"PT"))/(SUMIFS('Seat Ledger'!$M$5:$M$287,'Seat Ledger'!$B$5:$B$287,1)),0)</f>
        <v/>
      </c>
      <c r="D15" s="20">
        <f>IFERROR((SUMIFS('Seat Ledger'!$M$5:$M$287,'Seat Ledger'!$B$5:$B$287,2,'Seat Ledger'!$J$5:$J$287,"FTC")+SUMIFS('Seat Ledger'!$M$5:$M$287,'Seat Ledger'!$B$5:$B$287,2,'Seat Ledger'!$J$5:$J$287,"PT"))/(SUMIFS('Seat Ledger'!$M$5:$M$287,'Seat Ledger'!$B$5:$B$287,2)),0)</f>
        <v/>
      </c>
      <c r="E15" s="20">
        <f>IFERROR((SUMIFS('Seat Ledger'!$M$5:$M$287,'Seat Ledger'!$B$5:$B$287,3,'Seat Ledger'!$J$5:$J$287,"FTC")+SUMIFS('Seat Ledger'!$M$5:$M$287,'Seat Ledger'!$B$5:$B$287,3,'Seat Ledger'!$J$5:$J$287,"PT"))/(SUMIFS('Seat Ledger'!$M$5:$M$287,'Seat Ledger'!$B$5:$B$287,3)),0)</f>
        <v/>
      </c>
      <c r="F15" s="20">
        <f>IFERROR((SUMIFS('Seat Ledger'!$M$5:$M$287,'Seat Ledger'!$B$5:$B$287,4,'Seat Ledger'!$J$5:$J$287,"FTC")+SUMIFS('Seat Ledger'!$M$5:$M$287,'Seat Ledger'!$B$5:$B$287,4,'Seat Ledger'!$J$5:$J$287,"PT"))/(SUMIFS('Seat Ledger'!$M$5:$M$287,'Seat Ledger'!$B$5:$B$287,4)),0)</f>
        <v/>
      </c>
      <c r="G15" s="20">
        <f>IFERROR((SUMIFS('Seat Ledger'!$M$5:$M$287,'Seat Ledger'!$B$5:$B$287,5,'Seat Ledger'!$J$5:$J$287,"FTC")+SUMIFS('Seat Ledger'!$M$5:$M$287,'Seat Ledger'!$B$5:$B$287,5,'Seat Ledger'!$J$5:$J$287,"PT"))/(SUMIFS('Seat Ledger'!$M$5:$M$287,'Seat Ledger'!$B$5:$B$287,5)),0)</f>
        <v/>
      </c>
      <c r="H15" s="17" t="inlineStr">
        <is>
          <t>≥ 50%</t>
        </is>
      </c>
      <c r="I15" s="18">
        <f>IF(COUNTIF(C15:G15,"&lt;0.4950")=0,"OK","CHECK")</f>
        <v/>
      </c>
      <c r="J15" s="19" t="inlineStr">
        <is>
          <t>Below half the roster we cannot carry a productivity commitment we do not control.</t>
        </is>
      </c>
    </row>
    <row r="16" ht="30" customHeight="1">
      <c r="B16" s="9" t="inlineStr">
        <is>
          <t>Blocks deploying a non-whole number of people</t>
        </is>
      </c>
      <c r="C16" s="21">
        <f>SUMPRODUCT(('Pod Library'!$B$5:$B$170=1)*(ABS('Pod Library'!$K$5:$K$170*2-ROUND('Pod Library'!$K$5:$K$170*2,0))&gt;0.01))+SUMPRODUCT(('Horizontal Teams'!$B$5:$B$95=1)*(ABS('Horizontal Teams'!$J$5:$J$95*2-ROUND('Horizontal Teams'!$J$5:$J$95*2,0))&gt;0.01))</f>
        <v/>
      </c>
      <c r="D16" s="21">
        <f>SUMPRODUCT(('Pod Library'!$B$5:$B$170=2)*(ABS('Pod Library'!$K$5:$K$170*2-ROUND('Pod Library'!$K$5:$K$170*2,0))&gt;0.01))+SUMPRODUCT(('Horizontal Teams'!$B$5:$B$95=2)*(ABS('Horizontal Teams'!$J$5:$J$95*2-ROUND('Horizontal Teams'!$J$5:$J$95*2,0))&gt;0.01))</f>
        <v/>
      </c>
      <c r="E16" s="21">
        <f>SUMPRODUCT(('Pod Library'!$B$5:$B$170=3)*(ABS('Pod Library'!$K$5:$K$170*2-ROUND('Pod Library'!$K$5:$K$170*2,0))&gt;0.01))+SUMPRODUCT(('Horizontal Teams'!$B$5:$B$95=3)*(ABS('Horizontal Teams'!$J$5:$J$95*2-ROUND('Horizontal Teams'!$J$5:$J$95*2,0))&gt;0.01))</f>
        <v/>
      </c>
      <c r="F16" s="21">
        <f>SUMPRODUCT(('Pod Library'!$B$5:$B$170=4)*(ABS('Pod Library'!$K$5:$K$170*2-ROUND('Pod Library'!$K$5:$K$170*2,0))&gt;0.01))+SUMPRODUCT(('Horizontal Teams'!$B$5:$B$95=4)*(ABS('Horizontal Teams'!$J$5:$J$95*2-ROUND('Horizontal Teams'!$J$5:$J$95*2,0))&gt;0.01))</f>
        <v/>
      </c>
      <c r="G16" s="21">
        <f>SUMPRODUCT(('Pod Library'!$B$5:$B$170=5)*(ABS('Pod Library'!$K$5:$K$170*2-ROUND('Pod Library'!$K$5:$K$170*2,0))&gt;0.01))+SUMPRODUCT(('Horizontal Teams'!$B$5:$B$95=5)*(ABS('Horizontal Teams'!$J$5:$J$95*2-ROUND('Horizontal Teams'!$J$5:$J$95*2,0))&gt;0.01))</f>
        <v/>
      </c>
      <c r="H16" s="17">
        <f>0</f>
        <v/>
      </c>
      <c r="I16" s="18">
        <f>IF(SUM(C16:G16)=0,"OK","CHECK")</f>
        <v/>
      </c>
      <c r="J16" s="19" t="inlineStr">
        <is>
          <t>Column K of the Pod Library and column J of Horizontal Teams are the people you hire for that role across the whole block. Every one is a whole number, or a half where one person covers two units INSIDE this domain. The seat ratio beside it is the modelling quantity and will not always be round — on a 28-team block, nine engineers is a ratio of 0.32.</t>
        </is>
      </c>
    </row>
    <row r="17" ht="30" customHeight="1">
      <c r="B17" s="9" t="inlineStr">
        <is>
          <t>Horizontal roles that have fallen below 0.02 FTE</t>
        </is>
      </c>
      <c r="C17" s="21">
        <f>COUNTIFS('Horizontal Teams'!$B$5:$B$95,1,'Horizontal Teams'!$I$5:$I$95,"&lt;0.02")</f>
        <v/>
      </c>
      <c r="D17" s="21">
        <f>COUNTIFS('Horizontal Teams'!$B$5:$B$95,2,'Horizontal Teams'!$I$5:$I$95,"&lt;0.02")</f>
        <v/>
      </c>
      <c r="E17" s="21">
        <f>COUNTIFS('Horizontal Teams'!$B$5:$B$95,3,'Horizontal Teams'!$I$5:$I$95,"&lt;0.02")</f>
        <v/>
      </c>
      <c r="F17" s="21">
        <f>COUNTIFS('Horizontal Teams'!$B$5:$B$95,4,'Horizontal Teams'!$I$5:$I$95,"&lt;0.02")</f>
        <v/>
      </c>
      <c r="G17" s="21">
        <f>COUNTIFS('Horizontal Teams'!$B$5:$B$95,5,'Horizontal Teams'!$I$5:$I$95,"&lt;0.02")</f>
        <v/>
      </c>
      <c r="H17" s="17">
        <f>0</f>
        <v/>
      </c>
      <c r="I17" s="18">
        <f>IF(SUM(C17:G17)=0,"OK","CHECK")</f>
        <v/>
      </c>
      <c r="J17" s="19" t="inlineStr">
        <is>
          <t>A domain cannot run without a delivery head, a service manager or an architect. If a role must genuinely end, delete the row rather than leaving it at zero.</t>
        </is>
      </c>
    </row>
    <row r="18" ht="30" customHeight="1">
      <c r="B18" s="22" t="inlineStr">
        <is>
          <t>Year-1 reconciliation to Appendix 3 — worst line</t>
        </is>
      </c>
      <c r="C18" s="23">
        <f>'Team Build-Up'!E32</f>
        <v/>
      </c>
      <c r="H18" s="17" t="inlineStr">
        <is>
          <t>± 2.6</t>
        </is>
      </c>
      <c r="I18" s="18">
        <f>IF(ABS(C18)&lt;=2.6,"OK","CHECK")</f>
        <v/>
      </c>
      <c r="J18" s="19" t="inlineStr">
        <is>
          <t>Year 1 must reproduce the client's own numbers: effort, the sourcing split, all three locations and all six role lines. The tolerance is ± 2.6 because seats sit on a 0.5 grid and a Year-1 team seat carries a multiplier of 5 — one grid step is 2.5 people. That is the deliberate price of an anatomy that can be staffed. Moving a seat between bands is free; moving it between ROLE, LOCATION or SOURCING is what actually breaks this.</t>
        </is>
      </c>
    </row>
    <row r="20" ht="15" customHeight="1">
      <c r="A20" s="6" t="inlineStr">
        <is>
          <t>C.  WHAT GOES STALE AND WILL NOT WARN YOU</t>
        </is>
      </c>
    </row>
    <row r="21" ht="43.5" customHeight="1">
      <c r="B21" s="5" t="inlineStr">
        <is>
          <t>•  SOURCING &amp; PRODUCTIVITY is static. It is produced outside Excel by the per-sourcing solver and pasted in. If you change seat counts, the pool ceilings, the organic-convergence table and the transfer solve on that sheet no longer describe this roster. Re-run the solver or treat the sheet as superseded.</t>
        </is>
      </c>
    </row>
    <row r="22" ht="43.5" customHeight="1">
      <c r="B22" s="5" t="inlineStr">
        <is>
          <t>•  SIT LOADING is static for the same reason. Re-generate it after any seat change, or the requisition plan will not match the ledger.</t>
        </is>
      </c>
    </row>
    <row r="23" ht="43.5" customHeight="1">
      <c r="B23" s="5" t="inlineStr">
        <is>
          <t>•  The TRANSFER on the Logic Tree is a typed input (rows 65-66), sized on the Year-3 exit position produced by the solver. Change the Year-3 roster materially and the transfer needs re-sizing, or the 50:50 will not land.</t>
        </is>
      </c>
    </row>
    <row r="24" ht="43.5" customHeight="1">
      <c r="B24" s="5" t="inlineStr">
        <is>
          <t>•  THE RULE OF THUMB. Re-banding a seat, renaming it, or moving it between pods is safe. Changing its ROLE, LOCATION or SOURCING is not — those are the attributes Year 1 reconciles on and the guardrails measure.</t>
        </is>
      </c>
    </row>
  </sheetData>
  <mergeCells count="13">
    <mergeCell ref="B7:J7"/>
    <mergeCell ref="A1:J1"/>
    <mergeCell ref="B24:J24"/>
    <mergeCell ref="B5:J5"/>
    <mergeCell ref="B22:J22"/>
    <mergeCell ref="B23:J23"/>
    <mergeCell ref="A4:J4"/>
    <mergeCell ref="B8:J8"/>
    <mergeCell ref="A20:J20"/>
    <mergeCell ref="A2:J2"/>
    <mergeCell ref="A10:J10"/>
    <mergeCell ref="B6:J6"/>
    <mergeCell ref="B21:J21"/>
  </mergeCells>
  <conditionalFormatting sqref="I12:I18">
    <cfRule type="cellIs" priority="2" operator="equal" dxfId="1">
      <formula>"CHECK"</formula>
    </cfRule>
    <cfRule type="cellIs" priority="3" operator="equal" dxfId="0">
      <formula>"OK"</formula>
    </cfRule>
  </conditionalFormatting>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N88"/>
  <sheetViews>
    <sheetView topLeftCell="A6" zoomScaleNormal="100" workbookViewId="0">
      <selection activeCell="C15" sqref="C15:C20"/>
    </sheetView>
  </sheetViews>
  <sheetFormatPr baseColWidth="8" defaultColWidth="8.6328125" defaultRowHeight="14.5"/>
  <cols>
    <col width="2.453125" customWidth="1" min="1" max="1"/>
    <col width="46" customWidth="1" min="2" max="2"/>
    <col width="13" customWidth="1" min="3" max="8"/>
    <col width="3" customWidth="1" min="9" max="9"/>
    <col width="50" customWidth="1" min="10" max="10"/>
  </cols>
  <sheetData>
    <row r="1" ht="25.5" customHeight="1">
      <c r="A1" s="8" t="inlineStr">
        <is>
          <t>Logic Tree  —  ten parametric drivers, five years</t>
        </is>
      </c>
    </row>
    <row r="2" ht="15" customHeight="1">
      <c r="A2" s="7" t="inlineStr">
        <is>
          <t>Amber cells are inputs. Everything else re-derives. Section F is rebuilt on the measured day-1 position.</t>
        </is>
      </c>
    </row>
    <row r="4" ht="15" customHeight="1">
      <c r="A4" s="6" t="inlineStr">
        <is>
          <t>A.  BASELINE  —  Appendix 3 v5, read and never edited</t>
        </is>
      </c>
    </row>
    <row r="5" ht="57" customHeight="1">
      <c r="B5" s="9" t="inlineStr">
        <is>
          <t>Domain</t>
        </is>
      </c>
      <c r="C5" s="15" t="inlineStr">
        <is>
          <t>Insurance Claims and Benefits Payment Related</t>
        </is>
      </c>
    </row>
    <row r="6" ht="15" customHeight="1">
      <c r="B6" s="9" t="inlineStr">
        <is>
          <t>Applications</t>
        </is>
      </c>
      <c r="C6" s="24" t="n">
        <v>6</v>
      </c>
    </row>
    <row r="7" ht="15" customHeight="1">
      <c r="B7" s="9" t="inlineStr">
        <is>
          <t>Total effort (units)</t>
        </is>
      </c>
      <c r="C7" s="25" t="n">
        <v>121.5735</v>
      </c>
    </row>
    <row r="8" ht="15" customHeight="1">
      <c r="B8" s="9" t="inlineStr">
        <is>
          <t>Current FTC reported (Capgemini + partner)</t>
        </is>
      </c>
      <c r="C8" s="25" t="n">
        <v>85.4485</v>
      </c>
    </row>
    <row r="9" ht="15" customHeight="1">
      <c r="B9" s="9" t="inlineStr">
        <is>
          <t>Current FTE</t>
        </is>
      </c>
      <c r="C9" s="25" t="n">
        <v>13.4792</v>
      </c>
    </row>
    <row r="10" ht="15" customHeight="1">
      <c r="B10" s="9" t="inlineStr">
        <is>
          <t>Current MGCC</t>
        </is>
      </c>
      <c r="C10" s="25" t="n">
        <v>22.6458</v>
      </c>
    </row>
    <row r="11" ht="18.75" customHeight="1">
      <c r="B11" s="10" t="inlineStr">
        <is>
          <t>— of which onshore Tokyo</t>
        </is>
      </c>
      <c r="C11" s="25" t="n">
        <v>71.62609999999999</v>
      </c>
      <c r="J11" s="19" t="inlineStr">
        <is>
          <t>28.87 offshore, 15.99 MGCC and 0.96 nearshore against 35.55 onshore. This domain already delivers most of its work away from Tokyo.</t>
        </is>
      </c>
    </row>
    <row r="12" ht="15" customHeight="1">
      <c r="B12" s="10" t="inlineStr">
        <is>
          <t>— of which offshore</t>
        </is>
      </c>
      <c r="C12" s="25" t="n">
        <v>4.2333</v>
      </c>
    </row>
    <row r="13" ht="15" customHeight="1">
      <c r="B13" s="10" t="inlineStr">
        <is>
          <t>— of which nearshore</t>
        </is>
      </c>
      <c r="C13" s="25" t="n">
        <v>9.589</v>
      </c>
    </row>
    <row r="14" ht="15" customHeight="1">
      <c r="B14" s="10" t="inlineStr">
        <is>
          <t>— of which onsite</t>
        </is>
      </c>
      <c r="C14" s="25" t="n">
        <v>0</v>
      </c>
    </row>
    <row r="15" ht="15" customHeight="1">
      <c r="B15" s="10" t="inlineStr">
        <is>
          <t>Role: BSA</t>
        </is>
      </c>
      <c r="C15" s="25" t="n">
        <v>5.9583</v>
      </c>
    </row>
    <row r="16" ht="18.75" customHeight="1">
      <c r="B16" s="10" t="inlineStr">
        <is>
          <t>Role: Developer</t>
        </is>
      </c>
      <c r="C16" s="25" t="n">
        <v>70.8985</v>
      </c>
      <c r="J16" s="19" t="inlineStr">
        <is>
          <t>All six role lines are populated for this domain and are used exactly as reported. No restatement was needed.</t>
        </is>
      </c>
    </row>
    <row r="17" ht="15" customHeight="1">
      <c r="B17" s="10" t="inlineStr">
        <is>
          <t>Role: Tester</t>
        </is>
      </c>
      <c r="C17" s="25" t="n">
        <v>6.8167</v>
      </c>
    </row>
    <row r="18" ht="15" customHeight="1">
      <c r="B18" s="10" t="inlineStr">
        <is>
          <t>Role: Maintenance</t>
        </is>
      </c>
      <c r="C18" s="25" t="n">
        <v>1</v>
      </c>
    </row>
    <row r="19" ht="15" customHeight="1">
      <c r="B19" s="10" t="inlineStr">
        <is>
          <t>Role: PM</t>
        </is>
      </c>
      <c r="C19" s="25" t="n">
        <v>0</v>
      </c>
    </row>
    <row r="20" ht="15" customHeight="1">
      <c r="B20" s="10" t="inlineStr">
        <is>
          <t>Role: Other</t>
        </is>
      </c>
      <c r="C20" s="25" t="n">
        <v>0.775</v>
      </c>
    </row>
    <row r="21" ht="15" customHeight="1">
      <c r="B21" s="9" t="inlineStr">
        <is>
          <t>AD effort (% of PRJ weighted)</t>
        </is>
      </c>
      <c r="C21" s="25" t="n">
        <v>114.8276</v>
      </c>
    </row>
    <row r="22" ht="15" customHeight="1">
      <c r="B22" s="9" t="inlineStr">
        <is>
          <t>Appendix 3 Year-3 target, each side</t>
        </is>
      </c>
      <c r="C22" s="25" t="n">
        <v>60.7868</v>
      </c>
    </row>
    <row r="23" ht="15" customHeight="1">
      <c r="B23" s="22" t="inlineStr">
        <is>
          <t>Ratio today — Capgemini share</t>
        </is>
      </c>
      <c r="C23" s="26">
        <f>C8/(C8+C9+C10)</f>
        <v/>
      </c>
    </row>
    <row r="24" ht="27.75" customHeight="1">
      <c r="B24" s="22" t="inlineStr">
        <is>
          <t>OFFSHORE TODAY — whole team, measured</t>
        </is>
      </c>
      <c r="C24" s="26">
        <f>(C12+C13+C10)/C7</f>
        <v/>
      </c>
      <c r="J24" s="19" t="inlineStr">
        <is>
          <t>45.5% on day one — 28.87 offshore, 0.96 nearshore and 15.99 MGCC. The highest starting position of the eleven domains, which is why the ceiling here is reachable rather than aspirational.</t>
        </is>
      </c>
    </row>
    <row r="26" ht="15" customHeight="1">
      <c r="A26" s="6" t="inlineStr">
        <is>
          <t>B.  ARCHETYPE MIX  —  from the Golden Application Inventory v4</t>
        </is>
      </c>
    </row>
    <row r="27" ht="15" customHeight="1">
      <c r="B27" s="11" t="inlineStr">
        <is>
          <t>Archetype</t>
        </is>
      </c>
      <c r="C27" s="11" t="inlineStr">
        <is>
          <t>Name</t>
        </is>
      </c>
      <c r="D27" s="11" t="inlineStr">
        <is>
          <t>Apps</t>
        </is>
      </c>
      <c r="E27" s="11" t="inlineStr">
        <is>
          <t>Effort</t>
        </is>
      </c>
      <c r="F27" s="11" t="inlineStr">
        <is>
          <t>Share</t>
        </is>
      </c>
      <c r="G27" s="11" t="inlineStr">
        <is>
          <t>AI ceiling</t>
        </is>
      </c>
      <c r="H27" s="11" t="inlineStr">
        <is>
          <t>Offshore ceiling</t>
        </is>
      </c>
    </row>
    <row r="28" ht="23.25" customHeight="1">
      <c r="B28" s="18" t="inlineStr">
        <is>
          <t>D</t>
        </is>
      </c>
      <c r="C28" s="10" t="inlineStr">
        <is>
          <t>Distributed-proven</t>
        </is>
      </c>
      <c r="D28" s="27" t="n">
        <v>3</v>
      </c>
      <c r="E28" s="25" t="n">
        <v>95.4786</v>
      </c>
      <c r="F28" s="20">
        <f>E28/$E$33</f>
        <v/>
      </c>
      <c r="G28" s="28" t="n">
        <v>0.4825</v>
      </c>
      <c r="H28" s="28" t="n">
        <v>0.78</v>
      </c>
    </row>
    <row r="29" ht="15" customHeight="1">
      <c r="B29" s="18" t="inlineStr">
        <is>
          <t>J</t>
        </is>
      </c>
      <c r="C29" s="10" t="inlineStr">
        <is>
          <t>Japan-locked</t>
        </is>
      </c>
      <c r="D29" s="27" t="n">
        <v>1</v>
      </c>
      <c r="E29" s="25" t="n">
        <v>22.0283</v>
      </c>
      <c r="F29" s="20">
        <f>E29/$E$33</f>
        <v/>
      </c>
      <c r="G29" s="28" t="n">
        <v>0.304</v>
      </c>
      <c r="H29" s="28" t="n">
        <v>0.12</v>
      </c>
    </row>
    <row r="30" ht="15" customHeight="1">
      <c r="B30" s="18" t="inlineStr">
        <is>
          <t>T</t>
        </is>
      </c>
      <c r="C30" s="10" t="inlineStr">
        <is>
          <t>Long tail</t>
        </is>
      </c>
      <c r="D30" s="27" t="n">
        <v>2</v>
      </c>
      <c r="E30" s="25" t="n">
        <v>4.0665</v>
      </c>
      <c r="F30" s="20">
        <f>E30/$E$33</f>
        <v/>
      </c>
      <c r="G30" s="28" t="n">
        <v>0.39</v>
      </c>
      <c r="H30" s="28" t="n">
        <v>0.55</v>
      </c>
    </row>
    <row r="33" ht="15" customHeight="1">
      <c r="C33" s="22" t="inlineStr">
        <is>
          <t>Total</t>
        </is>
      </c>
      <c r="D33" s="29">
        <f>SUM(D28:D32)</f>
        <v/>
      </c>
      <c r="E33" s="30">
        <f>SUM(E28:E32)</f>
        <v/>
      </c>
      <c r="F33" s="26">
        <f>SUM(F28:F32)</f>
        <v/>
      </c>
    </row>
    <row r="34" ht="36.75" customHeight="1">
      <c r="B34" s="22" t="inlineStr">
        <is>
          <t>APPLICABLE AI CEILING</t>
        </is>
      </c>
      <c r="C34" s="26">
        <f>SUMPRODUCT($E$28:$E$32,$G$28:$G$32)/$E$33</f>
        <v/>
      </c>
      <c r="D34" s="73" t="n">
        <v>0.4327379263545745</v>
      </c>
      <c r="E34" t="inlineStr">
        <is>
          <t>← re-cut for Years 4-5, after POS Workflow leaves</t>
        </is>
      </c>
      <c r="J34" s="19" t="inlineStr">
        <is>
          <t>44.71% on the Years 1-3 mix — three archetype-D applications carry 78.5% of the effort. Once POS Workflow leaves the surviving mix is slightly more Japan-locked as a share, so the ceiling re-cuts to 43.27% for Years 4-5.</t>
        </is>
      </c>
    </row>
    <row r="35" ht="18.75" customHeight="1">
      <c r="B35" s="22" t="inlineStr">
        <is>
          <t>APPLICABLE OFFSHORE CEILING</t>
        </is>
      </c>
      <c r="C35" s="26">
        <f>SUMPRODUCT($E$28:$E$32,$H$28:$H$32)/$E$33</f>
        <v/>
      </c>
      <c r="D35" s="73" t="n">
        <v>0.6012683391662914</v>
      </c>
      <c r="E35" t="inlineStr">
        <is>
          <t>← re-cut for Years 4-5, after POS Workflow leaves</t>
        </is>
      </c>
      <c r="J35" s="19" t="inlineStr">
        <is>
          <t>65.27% on the Years 1-3 mix, re-cut to 60.13% for Years 4-5. POS Workflow was archetype D at a 78% ceiling, so losing it LOWERS the blend: what remains is Annuity Info at 12% plus two long-tail applications at 55%, against the Claims Platform at 78%.</t>
        </is>
      </c>
    </row>
    <row r="37" ht="15" customHeight="1">
      <c r="A37" s="6" t="inlineStr">
        <is>
          <t>C.  REALISATION AND THE NON-AI COMPONENTS</t>
        </is>
      </c>
    </row>
    <row r="38" ht="15" customHeight="1">
      <c r="B38" s="11" t="inlineStr">
        <is>
          <t>Driver</t>
        </is>
      </c>
      <c r="C38" s="11" t="inlineStr">
        <is>
          <t>Year 1</t>
        </is>
      </c>
      <c r="D38" s="11" t="inlineStr">
        <is>
          <t>Year 2</t>
        </is>
      </c>
      <c r="E38" s="11" t="inlineStr">
        <is>
          <t>Year 3</t>
        </is>
      </c>
      <c r="F38" s="11" t="inlineStr">
        <is>
          <t>Year 4</t>
        </is>
      </c>
      <c r="G38" s="11" t="inlineStr">
        <is>
          <t>Year 5</t>
        </is>
      </c>
      <c r="H38" s="11" t="inlineStr">
        <is>
          <t>Basis</t>
        </is>
      </c>
    </row>
    <row r="39" ht="15" customHeight="1">
      <c r="B39" s="9" t="inlineStr">
        <is>
          <t>AI realisation — share of ceiling</t>
        </is>
      </c>
      <c r="C39" s="31" t="n">
        <v>0.25</v>
      </c>
      <c r="D39" s="31" t="n">
        <v>0.55</v>
      </c>
      <c r="E39" s="31" t="n">
        <v>0.75</v>
      </c>
      <c r="F39" s="31" t="n">
        <v>0.85</v>
      </c>
      <c r="G39" s="31" t="n">
        <v>0.9</v>
      </c>
      <c r="J39" s="19" t="inlineStr">
        <is>
          <t>Adoption, guardrails and substrate maturity. Capped at 90%.</t>
        </is>
      </c>
    </row>
    <row r="40" ht="15" customHeight="1">
      <c r="B40" s="9" t="inlineStr">
        <is>
          <t>Classical ADM productivity, cumulative</t>
        </is>
      </c>
      <c r="C40" s="31" t="n">
        <v>0.02</v>
      </c>
      <c r="D40" s="31" t="n">
        <v>0.05</v>
      </c>
      <c r="E40" s="31" t="n">
        <v>0.07000000000000001</v>
      </c>
      <c r="F40" s="31" t="n">
        <v>0.09</v>
      </c>
      <c r="G40" s="31" t="n">
        <v>0.11</v>
      </c>
      <c r="J40" s="19" t="inlineStr">
        <is>
          <t>Standardisation, defect reduction, shift-left.</t>
        </is>
      </c>
    </row>
    <row r="41" ht="18.75" customHeight="1">
      <c r="B41" s="9" t="inlineStr">
        <is>
          <t>Operating-model productivity, RAW</t>
        </is>
      </c>
      <c r="C41" s="31" t="n">
        <v>0.03</v>
      </c>
      <c r="D41" s="31" t="n">
        <v>0.06</v>
      </c>
      <c r="E41" s="31" t="n">
        <v>0.08</v>
      </c>
      <c r="F41" s="31" t="n">
        <v>0.1</v>
      </c>
      <c r="G41" s="31" t="n">
        <v>0.12</v>
      </c>
      <c r="J41" s="19" t="inlineStr">
        <is>
          <t>Pod consolidation and one release train — only available where the stream is agile.</t>
        </is>
      </c>
    </row>
    <row r="42" ht="23.25" customHeight="1">
      <c r="B42" s="10" t="inlineStr">
        <is>
          <t>Agile share of the domain  →  from the Delivery Mode sheet</t>
        </is>
      </c>
      <c r="C42" s="20">
        <f>'Delivery Mode'!C20</f>
        <v/>
      </c>
      <c r="D42" s="20">
        <f>'Delivery Mode'!D20</f>
        <v/>
      </c>
      <c r="E42" s="20">
        <f>'Delivery Mode'!E20</f>
        <v/>
      </c>
      <c r="F42" s="20">
        <f>'Delivery Mode'!F20</f>
        <v/>
      </c>
      <c r="G42" s="20">
        <f>'Delivery Mode'!G20</f>
        <v/>
      </c>
    </row>
    <row r="43" ht="27.75" customHeight="1">
      <c r="B43" s="9" t="inlineStr">
        <is>
          <t>Operating-model productivity, APPLIED  =  raw × agile share × span-of-control factor</t>
        </is>
      </c>
      <c r="C43" s="20">
        <f>C41*C42*C61</f>
        <v/>
      </c>
      <c r="D43" s="20">
        <f>D41*D42*D61</f>
        <v/>
      </c>
      <c r="E43" s="20">
        <f>E41*E42*E61</f>
        <v/>
      </c>
      <c r="F43" s="20">
        <f>F41*F42*F61</f>
        <v/>
      </c>
      <c r="G43" s="20">
        <f>G41*G42*G61</f>
        <v/>
      </c>
      <c r="J43" s="19" t="inlineStr">
        <is>
          <t>Scaling by the agile share is what makes the operating-model gain earned rather than assumed. It costs 2.0 points of Year-1 capability: 16.0% unscaled against the 14.1% the model earns.</t>
        </is>
      </c>
    </row>
    <row r="44" ht="15" customHeight="1">
      <c r="B44" s="10" t="inlineStr">
        <is>
          <t>AI-attributable productivity</t>
        </is>
      </c>
      <c r="C44" s="20">
        <f>$C$34*C39</f>
        <v/>
      </c>
      <c r="D44" s="20">
        <f>$C$34*D39</f>
        <v/>
      </c>
      <c r="E44" s="20">
        <f>$C$34*E39</f>
        <v/>
      </c>
      <c r="F44" s="20">
        <f>$D$34*F39</f>
        <v/>
      </c>
      <c r="G44" s="20">
        <f>$D$34*G39</f>
        <v/>
      </c>
    </row>
    <row r="45" ht="15" customHeight="1">
      <c r="B45" s="22" t="inlineStr">
        <is>
          <t>CAPABILITY EARNED by end of year</t>
        </is>
      </c>
      <c r="C45" s="26">
        <f>1-(1-C44)*(1-C40)*(1-C43)</f>
        <v/>
      </c>
      <c r="D45" s="26">
        <f>1-(1-D44)*(1-D40)*(1-D43)</f>
        <v/>
      </c>
      <c r="E45" s="26">
        <f>1-(1-E44)*(1-E40)*(1-E43)</f>
        <v/>
      </c>
      <c r="F45" s="26">
        <f>1-(1-F44)*(1-F40)*(1-F43)</f>
        <v/>
      </c>
      <c r="G45" s="26">
        <f>1-(1-G44)*(1-G40)*(1-G43)</f>
        <v/>
      </c>
    </row>
    <row r="46">
      <c r="B46" t="inlineStr">
        <is>
          <t>SCOPE BASELINE (units)  —  POS Workflow 9835 retires at the end of Year 3</t>
        </is>
      </c>
      <c r="C46" s="74" t="n">
        <v>121.5735</v>
      </c>
      <c r="D46" s="74" t="n">
        <v>121.5735</v>
      </c>
      <c r="E46" s="74" t="n">
        <v>121.5735</v>
      </c>
      <c r="F46" s="74" t="n">
        <v>86.577</v>
      </c>
      <c r="G46" s="74" t="n">
        <v>86.577</v>
      </c>
      <c r="J46" t="inlineStr">
        <is>
          <t>THE ONLY DOMAIN WITH A SCOPE BREAK. C12WNC-JPN (POS Workflow, EAI 9835) is marked RETIRE in Appendix 3 v5 and is 34.997 of the 121.573 units — 28.8%. Years 1-3 are staffed against the full estate; Years 4 and 5 against the 86.577 units that remain. Productivity is therefore measured on RETAINED SCOPE, not against the frozen 121.573 — the retirement is MetLife’s saving, not ours, and claiming it would read as a 64% commitment we did not earn.</t>
        </is>
      </c>
    </row>
    <row r="47" ht="15" customHeight="1">
      <c r="A47" s="6" t="inlineStr">
        <is>
          <t>D.  CARRY-FORWARD AND PRE-LOAD  —  what is applied to headcount</t>
        </is>
      </c>
    </row>
    <row r="48" ht="15" customHeight="1">
      <c r="B48" s="32" t="inlineStr">
        <is>
          <t>Pre-load fraction of the in-year gain</t>
        </is>
      </c>
      <c r="C48" s="33" t="n">
        <v>0.5</v>
      </c>
    </row>
    <row r="49" ht="15" customHeight="1">
      <c r="B49" s="11" t="n"/>
      <c r="C49" s="11" t="inlineStr">
        <is>
          <t>Year 1</t>
        </is>
      </c>
      <c r="D49" s="11" t="inlineStr">
        <is>
          <t>Year 2</t>
        </is>
      </c>
      <c r="E49" s="11" t="inlineStr">
        <is>
          <t>Year 3</t>
        </is>
      </c>
      <c r="F49" s="11" t="inlineStr">
        <is>
          <t>Year 4</t>
        </is>
      </c>
      <c r="G49" s="11" t="inlineStr">
        <is>
          <t>Year 5</t>
        </is>
      </c>
    </row>
    <row r="50" ht="15" customHeight="1">
      <c r="B50" s="10" t="inlineStr">
        <is>
          <t>Banked from the prior year</t>
        </is>
      </c>
      <c r="C50" s="20">
        <f>0</f>
        <v/>
      </c>
      <c r="D50" s="20">
        <f>C45</f>
        <v/>
      </c>
      <c r="E50" s="20">
        <f>D45</f>
        <v/>
      </c>
      <c r="F50" s="20">
        <f>E45</f>
        <v/>
      </c>
      <c r="G50" s="20">
        <f>F45</f>
        <v/>
      </c>
    </row>
    <row r="51" ht="15" customHeight="1">
      <c r="B51" s="10" t="inlineStr">
        <is>
          <t>Pre-load of this year's gain   (ZERO in Year 4 — the year absorbs the retirement)</t>
        </is>
      </c>
      <c r="C51" s="20">
        <f>0</f>
        <v/>
      </c>
      <c r="D51" s="20">
        <f>0.5*(D45-C45)</f>
        <v/>
      </c>
      <c r="E51" s="20">
        <f>0.5*(E45-D45)</f>
        <v/>
      </c>
      <c r="F51" s="20">
        <f>0*(F45-E45)</f>
        <v/>
      </c>
      <c r="G51" s="20">
        <f>0.5*(G45-F45)</f>
        <v/>
      </c>
    </row>
    <row r="52" ht="15" customHeight="1">
      <c r="B52" s="22" t="inlineStr">
        <is>
          <t>APPLIED TO STAFFING</t>
        </is>
      </c>
      <c r="C52" s="26">
        <f>C50+C51</f>
        <v/>
      </c>
      <c r="D52" s="26">
        <f>D50+D51</f>
        <v/>
      </c>
      <c r="E52" s="26">
        <f>E50+E51</f>
        <v/>
      </c>
      <c r="F52" s="26">
        <f>F50+F51</f>
        <v/>
      </c>
      <c r="G52" s="26">
        <f>G50+G51</f>
        <v/>
      </c>
    </row>
    <row r="53" ht="15" customHeight="1">
      <c r="B53" s="9" t="inlineStr">
        <is>
          <t>Headcount target  =  scope baseline x (1 - applied)</t>
        </is>
      </c>
      <c r="C53" s="16">
        <f>C46*(1-C52)</f>
        <v/>
      </c>
      <c r="D53" s="16">
        <f>D46*(1-D52)</f>
        <v/>
      </c>
      <c r="E53" s="16">
        <f>E46*(1-E52)</f>
        <v/>
      </c>
      <c r="F53" s="16">
        <f>F46*(1-F52)</f>
        <v/>
      </c>
      <c r="G53" s="16">
        <f>G46*(1-G52)</f>
        <v/>
      </c>
    </row>
    <row r="54" ht="23.25" customHeight="1">
      <c r="B54" s="32" t="inlineStr">
        <is>
          <t>EXIT YEAR 3 — full realisation, the point the transfer is struck</t>
        </is>
      </c>
      <c r="E54" s="34">
        <f>$E$46*(1-E45)</f>
        <v/>
      </c>
    </row>
    <row r="56" ht="15" customHeight="1">
      <c r="A56" s="6" t="inlineStr">
        <is>
          <t>E.  PARTNER  —  the fourth sourcing type, and what it costs</t>
        </is>
      </c>
    </row>
    <row r="57" ht="30" customHeight="1">
      <c r="B57" s="19" t="inlineStr">
        <is>
          <t>FSI IS THE NAMED SUB-CONTRACTOR ON FOUR APPLICATIONS, 7.0 of the 85.449 vendor units — 8.2%. POS Workflow (EAI 9835) 2 · Annuity Info (9857) 2 · OpenBatch (13820) 2 · Pega for Claims (14322) 1. Appendix 3 reports them inside the vendor number, so FTC reported = Capgemini + partner. The taper is 7 / 7 / 7 / 5 / 4: the two POS Workflow seats go with the application at the end of Year 3, then one OpenBatch seat in Year 5. All seven are onshore Japan in every year and none sits in a horizontal cell.</t>
        </is>
      </c>
    </row>
    <row r="58" ht="15" customHeight="1">
      <c r="B58" s="11" t="inlineStr">
        <is>
          <t>Measure</t>
        </is>
      </c>
      <c r="C58" s="11" t="inlineStr">
        <is>
          <t>Year 1</t>
        </is>
      </c>
      <c r="D58" s="11" t="inlineStr">
        <is>
          <t>Year 2</t>
        </is>
      </c>
      <c r="E58" s="11" t="inlineStr">
        <is>
          <t>Year 3</t>
        </is>
      </c>
      <c r="F58" s="11" t="inlineStr">
        <is>
          <t>Year 4</t>
        </is>
      </c>
      <c r="G58" s="11" t="inlineStr">
        <is>
          <t>Year 5</t>
        </is>
      </c>
      <c r="H58" s="11" t="inlineStr">
        <is>
          <t>Basis</t>
        </is>
      </c>
    </row>
    <row r="59" ht="15" customHeight="1">
      <c r="B59" s="9" t="inlineStr">
        <is>
          <t>Partner seats  —  from the seat ledger</t>
        </is>
      </c>
      <c r="C59" s="16">
        <f>'Team Build-Up'!C46</f>
        <v/>
      </c>
      <c r="D59" s="16">
        <f>'Team Build-Up'!D46</f>
        <v/>
      </c>
      <c r="E59" s="16">
        <f>'Team Build-Up'!E46</f>
        <v/>
      </c>
      <c r="F59" s="16">
        <f>'Team Build-Up'!F46</f>
        <v/>
      </c>
      <c r="G59" s="16">
        <f>'Team Build-Up'!G46</f>
        <v/>
      </c>
    </row>
    <row r="60" ht="27.75" customHeight="1">
      <c r="B60" s="22" t="inlineStr">
        <is>
          <t>Partner share of the delivery population</t>
        </is>
      </c>
      <c r="C60" s="26">
        <f>IF('Team Build-Up'!C9=0,0,C59/'Team Build-Up'!C9)</f>
        <v/>
      </c>
      <c r="D60" s="26">
        <f>IF('Team Build-Up'!D9=0,0,D59/'Team Build-Up'!D9)</f>
        <v/>
      </c>
      <c r="E60" s="26">
        <f>IF('Team Build-Up'!E9=0,0,E59/'Team Build-Up'!E9)</f>
        <v/>
      </c>
      <c r="F60" s="26">
        <f>IF('Team Build-Up'!F9=0,0,F59/'Team Build-Up'!F9)</f>
        <v/>
      </c>
      <c r="G60" s="26">
        <f>IF('Team Build-Up'!G9=0,0,G59/'Team Build-Up'!G9)</f>
        <v/>
      </c>
      <c r="J60" s="19" t="inlineStr">
        <is>
          <t>Partner seats cannot transfer to MetLife and they never leave Tokyo. They sit on the Capgemini side of the 50:50 permanently, and at an 8.2% Year-1 share they cost about 0.5 points of the operating-model gain through the span-of-control factor.</t>
        </is>
      </c>
    </row>
    <row r="61" ht="15" customHeight="1">
      <c r="B61" s="10" t="inlineStr">
        <is>
          <t>Span-of-control factor  =  1 − drag × partner share</t>
        </is>
      </c>
      <c r="C61" s="20">
        <f>1-$C$62*C60</f>
        <v/>
      </c>
      <c r="D61" s="20">
        <f>1-$C$62*D60</f>
        <v/>
      </c>
      <c r="E61" s="20">
        <f>1-$C$62*E60</f>
        <v/>
      </c>
      <c r="F61" s="20">
        <f>1-$C$62*F60</f>
        <v/>
      </c>
      <c r="G61" s="20">
        <f>1-$C$62*G60</f>
        <v/>
      </c>
    </row>
    <row r="62" ht="45.75" customHeight="1">
      <c r="B62" s="32" t="inlineStr">
        <is>
          <t>Partner drag  —  INPUT</t>
        </is>
      </c>
      <c r="C62" s="33" t="n">
        <v>0.6</v>
      </c>
      <c r="J62" s="19" t="inlineStr">
        <is>
          <t>A partner seat returns 40% of the operating-model gain a Capgemini seat does: two management chains, a contractual boundary on ways of working, slower standardisation. It costs nothing here because the partner share is zero, but the drag is the number to argue about if one appears.</t>
        </is>
      </c>
    </row>
    <row r="64" ht="15" customHeight="1">
      <c r="A64" s="6" t="inlineStr">
        <is>
          <t>F.  OFFSHORE  —  a measured start, a re-cut ceiling, and three bases to report on</t>
        </is>
      </c>
    </row>
    <row r="65" ht="18.75" customHeight="1">
      <c r="B65" s="19" t="inlineStr">
        <is>
          <t>THE CEILING MOVES WHEN THE SCOPE MOVES. Years 1-3 blend to 65.27%: three archetype-D applications — OpenBatch, POS Workflow and Pega — carry 78.5% of the effort at a 78% ceiling. From Year 4 POS Workflow is gone and the blend re-cuts to 60.13%, because Annuity Info at a 12% ceiling becomes a quarter of what remains. The design reaches 59.8% in Year 5, on the re-cut ceiling.</t>
        </is>
      </c>
    </row>
    <row r="66" ht="15" customHeight="1">
      <c r="B66" s="11" t="inlineStr">
        <is>
          <t>Driver</t>
        </is>
      </c>
      <c r="C66" s="11" t="inlineStr">
        <is>
          <t>Year 1</t>
        </is>
      </c>
      <c r="D66" s="11" t="inlineStr">
        <is>
          <t>Year 2</t>
        </is>
      </c>
      <c r="E66" s="11" t="inlineStr">
        <is>
          <t>Year 3</t>
        </is>
      </c>
      <c r="F66" s="11" t="inlineStr">
        <is>
          <t>Year 4</t>
        </is>
      </c>
      <c r="G66" s="11" t="inlineStr">
        <is>
          <t>Year 5</t>
        </is>
      </c>
      <c r="H66" s="11" t="inlineStr">
        <is>
          <t>Basis</t>
        </is>
      </c>
    </row>
    <row r="67" ht="18.75" customHeight="1">
      <c r="B67" s="9" t="inlineStr">
        <is>
          <t>Gap closure — share of (ceiling − today) reached</t>
        </is>
      </c>
      <c r="C67" s="31" t="n">
        <v>0.04</v>
      </c>
      <c r="D67" s="31" t="n">
        <v>0.3</v>
      </c>
      <c r="E67" s="31" t="n">
        <v>0.55</v>
      </c>
      <c r="F67" s="31" t="n">
        <v>0.78</v>
      </c>
      <c r="G67" s="31" t="n">
        <v>0.988</v>
      </c>
      <c r="J67" s="19" t="inlineStr">
        <is>
          <t>Year 1 holds the position it inherits. Years 4-5 are measured against the re-cut 60.13% ceiling and Year 5 lands on it: 31.3 / 40.7 / 49.0 / 53.4 / 59.8%. Nearshore — 9.589 units, all of it on POS Workflow and the only nearshore in the portfolio — tapers 9.5 / 6.0 / 3.0 and goes to ZERO in Year 4 with the application.</t>
        </is>
      </c>
    </row>
    <row r="68" ht="15" customHeight="1">
      <c r="B68" s="22" t="inlineStr">
        <is>
          <t>TARGET OFFSHORE SHARE, whole team</t>
        </is>
      </c>
      <c r="C68" s="26">
        <f>$C$24+($C$35-$C$24)*C67</f>
        <v/>
      </c>
      <c r="D68" s="26">
        <f>$C$24+($C$35-$C$24)*D67</f>
        <v/>
      </c>
      <c r="E68" s="26">
        <f>$C$24+($C$35-$C$24)*E67</f>
        <v/>
      </c>
      <c r="F68" s="26">
        <f>$C$24+($D$35-$C$24)*F67</f>
        <v/>
      </c>
      <c r="G68" s="26">
        <f>$C$24+($D$35-$C$24)*G67</f>
        <v/>
      </c>
    </row>
    <row r="69" ht="15" customHeight="1">
      <c r="B69" s="10" t="inlineStr">
        <is>
          <t>Delivered — whole team</t>
        </is>
      </c>
      <c r="C69" s="20">
        <f>'Team Build-Up'!C54</f>
        <v/>
      </c>
      <c r="D69" s="20">
        <f>'Team Build-Up'!D54</f>
        <v/>
      </c>
      <c r="E69" s="20">
        <f>'Team Build-Up'!E54</f>
        <v/>
      </c>
      <c r="F69" s="20">
        <f>'Team Build-Up'!F54</f>
        <v/>
      </c>
      <c r="G69" s="20">
        <f>'Team Build-Up'!G54</f>
        <v/>
      </c>
    </row>
    <row r="70" ht="15" customHeight="1">
      <c r="B70" s="10" t="inlineStr">
        <is>
          <t>Delivered — vendor only (Capgemini + partner)</t>
        </is>
      </c>
      <c r="C70" s="20">
        <f>'Team Build-Up'!C55</f>
        <v/>
      </c>
      <c r="D70" s="20">
        <f>'Team Build-Up'!D55</f>
        <v/>
      </c>
      <c r="E70" s="20">
        <f>'Team Build-Up'!E55</f>
        <v/>
      </c>
      <c r="F70" s="20">
        <f>'Team Build-Up'!F55</f>
        <v/>
      </c>
      <c r="G70" s="20">
        <f>'Team Build-Up'!G55</f>
        <v/>
      </c>
    </row>
    <row r="71" ht="54.75" customHeight="1">
      <c r="B71" s="22" t="inlineStr">
        <is>
          <t>Delivered — Capgemini payroll only</t>
        </is>
      </c>
      <c r="C71" s="26">
        <f>'Team Build-Up'!C56</f>
        <v/>
      </c>
      <c r="D71" s="26">
        <f>'Team Build-Up'!D56</f>
        <v/>
      </c>
      <c r="E71" s="26">
        <f>'Team Build-Up'!E56</f>
        <v/>
      </c>
      <c r="F71" s="26">
        <f>'Team Build-Up'!F56</f>
        <v/>
      </c>
      <c r="G71" s="26">
        <f>'Team Build-Up'!G56</f>
        <v/>
      </c>
      <c r="J71" s="19" t="inlineStr">
        <is>
          <t>THE LINE THAT MATTERS COMMERCIALLY. Capgemini’s own payroll moves from 19.7% away from Tokyo in Year 1 to 58.3% by Year 5. The whole-team number is higher throughout because MGCC is 18.6% of the domain on day one and a third of it by Year 5.</t>
        </is>
      </c>
    </row>
    <row r="73" ht="15" customHeight="1">
      <c r="A73" s="6" t="inlineStr">
        <is>
          <t>G.  TRANSFER OF EMPLOYMENT  —  one event, end of Year 3, Capgemini payroll only</t>
        </is>
      </c>
    </row>
    <row r="74" ht="15" customHeight="1">
      <c r="B74" s="11" t="inlineStr">
        <is>
          <t>Transfer in year</t>
        </is>
      </c>
      <c r="C74" s="11" t="inlineStr">
        <is>
          <t>Year 1</t>
        </is>
      </c>
      <c r="D74" s="11" t="inlineStr">
        <is>
          <t>Year 2</t>
        </is>
      </c>
      <c r="E74" s="11" t="inlineStr">
        <is>
          <t>Year 3</t>
        </is>
      </c>
      <c r="F74" s="11" t="inlineStr">
        <is>
          <t>Year 4</t>
        </is>
      </c>
      <c r="G74" s="11" t="inlineStr">
        <is>
          <t>Year 5</t>
        </is>
      </c>
    </row>
    <row r="75" ht="45.75" customHeight="1">
      <c r="B75" s="10" t="inlineStr">
        <is>
          <t>Capgemini Japan to MetLife Japan (FTE)</t>
        </is>
      </c>
      <c r="C75" s="24" t="n">
        <v>0</v>
      </c>
      <c r="D75" s="24" t="n">
        <v>0</v>
      </c>
      <c r="E75" s="24" t="n">
        <v>0</v>
      </c>
      <c r="F75" s="24" t="n">
        <v>0</v>
      </c>
      <c r="G75" s="24" t="n">
        <v>0</v>
      </c>
      <c r="J75" s="19" t="inlineStr">
        <is>
          <t>NO TRANSFER IS NEEDED. Organic convergence takes Capgemini from 70.4% of the delivery population to 50.6% by Year 5 on its own, and the 50% floor is reached without moving a single person. The mechanic is left live so a transfer can be priced if MetLife asks for one.</t>
        </is>
      </c>
    </row>
    <row r="76" ht="15" customHeight="1">
      <c r="B76" s="10" t="inlineStr">
        <is>
          <t>Capgemini India to MetLife MGCC</t>
        </is>
      </c>
      <c r="C76" s="24" t="n">
        <v>0</v>
      </c>
      <c r="D76" s="24" t="n">
        <v>0</v>
      </c>
      <c r="E76" s="24" t="n">
        <v>0</v>
      </c>
      <c r="F76" s="24" t="n">
        <v>0</v>
      </c>
      <c r="G76" s="24" t="n">
        <v>0</v>
      </c>
    </row>
    <row r="77" ht="45.75" customHeight="1">
      <c r="B77" s="22" t="inlineStr">
        <is>
          <t>Cumulative transferred</t>
        </is>
      </c>
      <c r="C77" s="29">
        <f>SUM($C$75:C76)</f>
        <v/>
      </c>
      <c r="D77" s="29">
        <f>SUM($C$75:D76)</f>
        <v/>
      </c>
      <c r="E77" s="29">
        <f>SUM($C$75:E76)</f>
        <v/>
      </c>
      <c r="F77" s="29">
        <f>SUM($C$75:F76)</f>
        <v/>
      </c>
      <c r="G77" s="29">
        <f>SUM($C$75:G76)</f>
        <v/>
      </c>
      <c r="J77" s="19" t="inlineStr">
        <is>
          <t>Zero in every year. See the note on row 75.</t>
        </is>
      </c>
    </row>
    <row r="79" ht="15" customHeight="1">
      <c r="A79" s="6" t="inlineStr">
        <is>
          <t>H.  COST INDEX  —  relative only, onshore Tokyo E2 = 1.00</t>
        </is>
      </c>
    </row>
    <row r="80" ht="15" customHeight="1">
      <c r="B80" s="11" t="inlineStr">
        <is>
          <t>Location</t>
        </is>
      </c>
      <c r="C80" s="11" t="inlineStr">
        <is>
          <t>E1</t>
        </is>
      </c>
      <c r="D80" s="11" t="inlineStr">
        <is>
          <t>E2</t>
        </is>
      </c>
      <c r="E80" s="11" t="inlineStr">
        <is>
          <t>E3</t>
        </is>
      </c>
      <c r="F80" s="11" t="inlineStr">
        <is>
          <t>E4</t>
        </is>
      </c>
      <c r="G80" s="11" t="inlineStr">
        <is>
          <t>E5</t>
        </is>
      </c>
    </row>
    <row r="81" ht="15" customHeight="1">
      <c r="B81" s="9" t="inlineStr">
        <is>
          <t>Onshore Tokyo</t>
        </is>
      </c>
      <c r="C81" s="35" t="n">
        <v>0.72</v>
      </c>
      <c r="D81" s="35" t="n">
        <v>1</v>
      </c>
      <c r="E81" s="35" t="n">
        <v>1.35</v>
      </c>
      <c r="F81" s="35" t="n">
        <v>1.85</v>
      </c>
      <c r="G81" s="35" t="n">
        <v>2.55</v>
      </c>
    </row>
    <row r="82" ht="15" customHeight="1">
      <c r="B82" s="9" t="inlineStr">
        <is>
          <t>Offshore Hyderabad</t>
        </is>
      </c>
      <c r="C82" s="35" t="n">
        <v>0.22</v>
      </c>
      <c r="D82" s="35" t="n">
        <v>0.3</v>
      </c>
      <c r="E82" s="35" t="n">
        <v>0.42</v>
      </c>
      <c r="F82" s="35" t="n">
        <v>0.6</v>
      </c>
      <c r="G82" s="35" t="n">
        <v>0.85</v>
      </c>
    </row>
    <row r="83" ht="15" customHeight="1">
      <c r="B83" s="9" t="inlineStr">
        <is>
          <t>Nearshore</t>
        </is>
      </c>
      <c r="C83" s="35" t="n">
        <v>0.45</v>
      </c>
      <c r="D83" s="35" t="n">
        <v>0.62</v>
      </c>
      <c r="E83" s="35" t="n">
        <v>0.84</v>
      </c>
      <c r="F83" s="35" t="n">
        <v>1.15</v>
      </c>
      <c r="G83" s="35" t="n">
        <v>1.58</v>
      </c>
    </row>
    <row r="84" ht="18.75" customHeight="1">
      <c r="B84" s="19" t="inlineStr">
        <is>
          <t>Nearshore is ZERO on this domain — every unit is either Tokyo or India. The NEAR rows and the nearshore cost column are carried anyway so that all eleven domain models share one schema.</t>
        </is>
      </c>
      <c r="I84" s="13" t="inlineStr">
        <is>
          <t>key</t>
        </is>
      </c>
      <c r="J84" s="36" t="inlineStr">
        <is>
          <t>E1</t>
        </is>
      </c>
      <c r="K84" s="36" t="inlineStr">
        <is>
          <t>E2</t>
        </is>
      </c>
      <c r="L84" s="36" t="inlineStr">
        <is>
          <t>E3</t>
        </is>
      </c>
      <c r="M84" s="36" t="inlineStr">
        <is>
          <t>E4</t>
        </is>
      </c>
      <c r="N84" s="36" t="inlineStr">
        <is>
          <t>E5</t>
        </is>
      </c>
    </row>
    <row r="85" ht="15" customHeight="1">
      <c r="I85" s="36" t="inlineStr">
        <is>
          <t>ON</t>
        </is>
      </c>
      <c r="J85" s="37" t="n">
        <v>0.72</v>
      </c>
      <c r="K85" s="37" t="n">
        <v>1</v>
      </c>
      <c r="L85" s="37" t="n">
        <v>1.35</v>
      </c>
      <c r="M85" s="37" t="n">
        <v>1.85</v>
      </c>
      <c r="N85" s="37" t="n">
        <v>2.55</v>
      </c>
    </row>
    <row r="86" ht="18.75" customHeight="1">
      <c r="I86" s="36" t="inlineStr">
        <is>
          <t>OFF</t>
        </is>
      </c>
      <c r="J86" s="37" t="n">
        <v>0.22</v>
      </c>
      <c r="K86" s="37" t="n">
        <v>0.3</v>
      </c>
      <c r="L86" s="37" t="n">
        <v>0.42</v>
      </c>
      <c r="M86" s="37" t="n">
        <v>0.6</v>
      </c>
      <c r="N86" s="37" t="n">
        <v>0.85</v>
      </c>
    </row>
    <row r="87" ht="18.75" customHeight="1">
      <c r="I87" s="36" t="inlineStr">
        <is>
          <t>NEAR</t>
        </is>
      </c>
      <c r="J87" s="37" t="n">
        <v>0.45</v>
      </c>
      <c r="K87" s="37" t="n">
        <v>0.62</v>
      </c>
      <c r="L87" s="37" t="n">
        <v>0.84</v>
      </c>
      <c r="M87" s="37" t="n">
        <v>1.15</v>
      </c>
      <c r="N87" s="37" t="n">
        <v>1.58</v>
      </c>
    </row>
    <row r="88" ht="189" customHeight="1">
      <c r="I88" s="19" t="inlineStr">
        <is>
          <t>Lookup block for the Seat Ledger. Mirrors the table on the left.</t>
        </is>
      </c>
    </row>
  </sheetData>
  <mergeCells count="13">
    <mergeCell ref="A47:J47"/>
    <mergeCell ref="B84:H84"/>
    <mergeCell ref="A37:J37"/>
    <mergeCell ref="A79:J79"/>
    <mergeCell ref="A56:J56"/>
    <mergeCell ref="A2:K2"/>
    <mergeCell ref="B57:J57"/>
    <mergeCell ref="A4:J4"/>
    <mergeCell ref="A26:J26"/>
    <mergeCell ref="A73:J73"/>
    <mergeCell ref="B65:J65"/>
    <mergeCell ref="A64:J64"/>
    <mergeCell ref="A1:K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K64"/>
  <sheetViews>
    <sheetView topLeftCell="A15" zoomScaleNormal="100" workbookViewId="0">
      <selection activeCell="I8" sqref="I8"/>
    </sheetView>
  </sheetViews>
  <sheetFormatPr baseColWidth="8" defaultColWidth="8.6328125" defaultRowHeight="14.5"/>
  <cols>
    <col width="2.453125" customWidth="1" min="1" max="1"/>
    <col width="40" customWidth="1" min="2" max="2"/>
    <col width="12" customWidth="1" min="3" max="7"/>
    <col width="3" customWidth="1" min="8" max="8"/>
    <col width="56" customWidth="1" min="9" max="9"/>
  </cols>
  <sheetData>
    <row r="1" ht="25.5" customHeight="1">
      <c r="A1" s="8" t="inlineStr">
        <is>
          <t>Sourcing and productivity  —  the same chain, applied differently to each population</t>
        </is>
      </c>
    </row>
    <row r="2" ht="15" customHeight="1">
      <c r="A2" s="7" t="inlineStr">
        <is>
          <t>Productivity is not one number applied to everybody. The four populations do different work and we do not control all four, so each carries its own AI ceiling and its own adoption factor. Regenerated from the two-stream roster, with the ceiling re-cut from Year 4 when POS Workflow retires.</t>
        </is>
      </c>
    </row>
    <row r="4" ht="15" customHeight="1">
      <c r="A4" s="6" t="inlineStr">
        <is>
          <t>A.  WHY ONE RATE CANNOT APPLY TO ALL THREE  —  the Year-1 role mix</t>
        </is>
      </c>
    </row>
    <row r="5" ht="15" customHeight="1">
      <c r="B5" s="11" t="inlineStr">
        <is>
          <t>Population</t>
        </is>
      </c>
      <c r="C5" s="11" t="inlineStr">
        <is>
          <t>Heads Y1</t>
        </is>
      </c>
      <c r="D5" s="11" t="inlineStr">
        <is>
          <t>BSA</t>
        </is>
      </c>
      <c r="E5" s="11" t="inlineStr">
        <is>
          <t>Developer</t>
        </is>
      </c>
      <c r="F5" s="11" t="inlineStr">
        <is>
          <t>Tester</t>
        </is>
      </c>
      <c r="G5" s="11" t="inlineStr">
        <is>
          <t>Maint.</t>
        </is>
      </c>
    </row>
    <row r="6" ht="27.75" customHeight="1">
      <c r="B6" s="9" t="inlineStr">
        <is>
          <t>FTC · Capgemini payroll</t>
        </is>
      </c>
      <c r="C6" s="16" t="n">
        <v>78.5</v>
      </c>
      <c r="D6" s="20" t="n">
        <v>0.1082802547770701</v>
      </c>
      <c r="E6" s="20" t="n">
        <v>0.5923566878980892</v>
      </c>
      <c r="F6" s="20" t="n">
        <v>0.1337579617834395</v>
      </c>
      <c r="G6" s="20" t="n">
        <v>0.07006369426751592</v>
      </c>
      <c r="I6" s="19" t="inlineStr">
        <is>
          <t>MetLife's own people are governance, domain SME and product ownership. MGCC is build and test. They are not doing the same work, so they cannot carry the same productivity rate.</t>
        </is>
      </c>
    </row>
    <row r="7" ht="15" customHeight="1">
      <c r="B7" s="9" t="inlineStr">
        <is>
          <t>PT · Partner (sub-contracted)</t>
        </is>
      </c>
      <c r="C7" s="16" t="n">
        <v>7</v>
      </c>
      <c r="D7" s="20" t="n">
        <v>0.4285714285714285</v>
      </c>
      <c r="E7" s="20" t="n">
        <v>0.5714285714285714</v>
      </c>
      <c r="F7" s="20" t="n">
        <v>0</v>
      </c>
      <c r="G7" s="20" t="n">
        <v>0</v>
      </c>
    </row>
    <row r="8" ht="15" customHeight="1">
      <c r="B8" s="9" t="inlineStr">
        <is>
          <t>FTE · MetLife Japan</t>
        </is>
      </c>
      <c r="C8" s="16" t="n">
        <v>13.5</v>
      </c>
      <c r="D8" s="20" t="n">
        <v>0.2592592592592592</v>
      </c>
      <c r="E8" s="20" t="n">
        <v>0</v>
      </c>
      <c r="F8" s="20" t="n">
        <v>0</v>
      </c>
      <c r="G8" s="20" t="n">
        <v>0.2592592592592592</v>
      </c>
    </row>
    <row r="9" ht="15" customHeight="1">
      <c r="B9" s="9" t="inlineStr">
        <is>
          <t>MGCC · MetLife MGCC</t>
        </is>
      </c>
      <c r="C9" s="16" t="n">
        <v>22.5</v>
      </c>
      <c r="D9" s="20" t="n">
        <v>0</v>
      </c>
      <c r="E9" s="20" t="n">
        <v>0.6444444444444445</v>
      </c>
      <c r="F9" s="20" t="n">
        <v>0.3333333333333333</v>
      </c>
      <c r="G9" s="20" t="n">
        <v>0.02222222222222222</v>
      </c>
    </row>
    <row r="11" ht="15" customHeight="1">
      <c r="A11" s="6" t="inlineStr">
        <is>
          <t>B.  EACH POPULATION'S OWN AI CEILING AND ADOPTION  —  INPUT</t>
        </is>
      </c>
    </row>
    <row r="12" ht="18.75" customHeight="1">
      <c r="B12" s="11" t="inlineStr">
        <is>
          <t>Population</t>
        </is>
      </c>
      <c r="C12" s="11" t="inlineStr">
        <is>
          <t>Own AI ceiling</t>
        </is>
      </c>
      <c r="D12" s="11" t="inlineStr">
        <is>
          <t>Adoption</t>
        </is>
      </c>
      <c r="E12" s="11" t="inlineStr">
        <is>
          <t>Effective ceiling</t>
        </is>
      </c>
      <c r="F12" s="11" t="inlineStr">
        <is>
          <t>vs domain blend</t>
        </is>
      </c>
    </row>
    <row r="13" ht="36.75" customHeight="1">
      <c r="B13" s="9" t="inlineStr">
        <is>
          <t>FTC · Capgemini payroll</t>
        </is>
      </c>
      <c r="C13" s="20" t="n">
        <v>0.4533</v>
      </c>
      <c r="D13" s="34" t="n">
        <v>1</v>
      </c>
      <c r="E13" s="26" t="n">
        <v>0.4533</v>
      </c>
      <c r="F13" s="20" t="n">
        <v>0.0062</v>
      </c>
      <c r="I13" s="19" t="inlineStr">
        <is>
          <t>ADOPTION is the share of the ceiling each population can realise, and it is a judgement about AUTHORITY, not capability. We build the tooling and mandate it on our own payroll — so 1.00. Everything below that is somebody else’s decision. The four ceilings are scaled so the Year-1 head-weighted blend reproduces the Logic Tree’s 44.71%, and all four re-cut proportionally from Year 4.</t>
        </is>
      </c>
    </row>
    <row r="14" ht="15" customHeight="1">
      <c r="B14" s="9" t="inlineStr">
        <is>
          <t>PT · Partner (sub-contracted)</t>
        </is>
      </c>
      <c r="C14" s="20" t="n">
        <v>0.4393</v>
      </c>
      <c r="D14" s="34" t="n">
        <v>0.85</v>
      </c>
      <c r="E14" s="26" t="n">
        <v>0.3734</v>
      </c>
      <c r="F14" s="20" t="n">
        <v>-0.0737</v>
      </c>
    </row>
    <row r="15" ht="15" customHeight="1">
      <c r="B15" s="9" t="inlineStr">
        <is>
          <t>FTE · MetLife Japan</t>
        </is>
      </c>
      <c r="C15" s="20" t="n">
        <v>0.3747</v>
      </c>
      <c r="D15" s="34" t="n">
        <v>0.55</v>
      </c>
      <c r="E15" s="26" t="n">
        <v>0.2061</v>
      </c>
      <c r="F15" s="20" t="n">
        <v>-0.241</v>
      </c>
    </row>
    <row r="16" ht="15" customHeight="1">
      <c r="B16" s="9" t="inlineStr">
        <is>
          <t>MGCC · MetLife MGCC</t>
        </is>
      </c>
      <c r="C16" s="20" t="n">
        <v>0.4712</v>
      </c>
      <c r="D16" s="34" t="n">
        <v>0.8</v>
      </c>
      <c r="E16" s="26" t="n">
        <v>0.3769</v>
      </c>
      <c r="F16" s="20" t="n">
        <v>-0.0701</v>
      </c>
    </row>
    <row r="17" ht="23.25" customHeight="1">
      <c r="B17" s="32" t="inlineStr">
        <is>
          <t>Domain blended ceiling, Years 1-3 (44.71%; re-cut to 43.27% from Year 4)</t>
        </is>
      </c>
      <c r="C17" s="39" t="n">
        <v>0.4471</v>
      </c>
    </row>
    <row r="18" ht="15" customHeight="1">
      <c r="B18" s="19" t="inlineStr">
        <is>
          <t>Only the AI gate is scaled. Classical ADM productivity attaches to the work and the operating-model gain attaches to the delivery unit, so both flow to every population regardless of employer.</t>
        </is>
      </c>
    </row>
    <row r="20" ht="15" customHeight="1">
      <c r="A20" s="6" t="inlineStr">
        <is>
          <t>C.  WHAT EACH POPULATION IS THEREFORE ASKED TO DELIVER</t>
        </is>
      </c>
    </row>
    <row r="21" ht="15" customHeight="1">
      <c r="B21" s="11" t="inlineStr">
        <is>
          <t>Applied to staffing</t>
        </is>
      </c>
      <c r="C21" s="11" t="inlineStr">
        <is>
          <t>Year 1</t>
        </is>
      </c>
      <c r="D21" s="11" t="inlineStr">
        <is>
          <t>Year 2</t>
        </is>
      </c>
      <c r="E21" s="11" t="inlineStr">
        <is>
          <t>Year 3</t>
        </is>
      </c>
      <c r="F21" s="11" t="inlineStr">
        <is>
          <t>Year 4</t>
        </is>
      </c>
      <c r="G21" s="11" t="inlineStr">
        <is>
          <t>Year 5</t>
        </is>
      </c>
    </row>
    <row r="22" ht="18.75" customHeight="1">
      <c r="B22" s="22" t="inlineStr">
        <is>
          <t>FTC · Capgemini payroll</t>
        </is>
      </c>
      <c r="C22" s="26" t="n">
        <v>0</v>
      </c>
      <c r="D22" s="26" t="n">
        <v>0.2254</v>
      </c>
      <c r="E22" s="26" t="n">
        <v>0.3582</v>
      </c>
      <c r="F22" s="26" t="n">
        <v>0.4093</v>
      </c>
      <c r="G22" s="26" t="n">
        <v>0.5028</v>
      </c>
      <c r="I22" s="19" t="inlineStr">
        <is>
          <t>The headline commitment is 49.9% by Year 5, measured on RETAINED SCOPE — 86.577 units, not the frozen 121.573. Year 4 pre-loads none of its own in-year gain: that year absorbs the retirement of POS Workflow and the conversion of Payment &amp; Records to pods, and the headcount fall from 78.5 to 51.5 is about 24 people of scope and 3 of productivity.</t>
        </is>
      </c>
    </row>
    <row r="23" ht="15" customHeight="1">
      <c r="B23" s="10" t="inlineStr">
        <is>
          <t>PT · Partner (sub-contracted)</t>
        </is>
      </c>
      <c r="C23" s="20" t="n">
        <v>0</v>
      </c>
      <c r="D23" s="20" t="n">
        <v>0.1954</v>
      </c>
      <c r="E23" s="20" t="n">
        <v>0.3111</v>
      </c>
      <c r="F23" s="20" t="n">
        <v>0.3556</v>
      </c>
      <c r="G23" s="20" t="n">
        <v>0.4482</v>
      </c>
    </row>
    <row r="24" ht="15" customHeight="1">
      <c r="B24" s="10" t="inlineStr">
        <is>
          <t>FTE · MetLife Japan</t>
        </is>
      </c>
      <c r="C24" s="20" t="n">
        <v>0</v>
      </c>
      <c r="D24" s="20" t="n">
        <v>0.1328</v>
      </c>
      <c r="E24" s="20" t="n">
        <v>0.2125</v>
      </c>
      <c r="F24" s="20" t="n">
        <v>0.2433</v>
      </c>
      <c r="G24" s="20" t="n">
        <v>0.334</v>
      </c>
    </row>
    <row r="25" ht="15" customHeight="1">
      <c r="B25" s="10" t="inlineStr">
        <is>
          <t>MGCC · MetLife MGCC</t>
        </is>
      </c>
      <c r="C25" s="20" t="n">
        <v>0</v>
      </c>
      <c r="D25" s="20" t="n">
        <v>0.1968</v>
      </c>
      <c r="E25" s="20" t="n">
        <v>0.3132</v>
      </c>
      <c r="F25" s="20" t="n">
        <v>0.358</v>
      </c>
      <c r="G25" s="20" t="n">
        <v>0.4507</v>
      </c>
    </row>
    <row r="26" ht="15" customHeight="1">
      <c r="B26" s="32" t="inlineStr">
        <is>
          <t>Whole-domain commitment (the headline)</t>
        </is>
      </c>
      <c r="C26" s="39" t="n">
        <v>0</v>
      </c>
      <c r="D26" s="39" t="n">
        <v>0.223</v>
      </c>
      <c r="E26" s="39" t="n">
        <v>0.3546</v>
      </c>
      <c r="F26" s="39" t="n">
        <v>0.4051</v>
      </c>
      <c r="G26" s="39" t="n">
        <v>0.4986</v>
      </c>
    </row>
    <row r="28" ht="15" customHeight="1">
      <c r="A28" s="6" t="inlineStr">
        <is>
          <t>D.  THE THREE-WAY COMMITMENT SPLIT</t>
        </is>
      </c>
    </row>
    <row r="29" ht="43.5" customHeight="1">
      <c r="B29" s="22" t="inlineStr">
        <is>
          <t>CAPGEMINI COMMITS</t>
        </is>
      </c>
      <c r="C29" s="10" t="inlineStr">
        <is>
          <t>Our own headcount reduction, on our own payroll, on tooling and ways of working we control. This is contractible and we should contract it.</t>
        </is>
      </c>
      <c r="D29" s="69" t="n"/>
      <c r="E29" s="69" t="n"/>
      <c r="F29" s="69" t="n"/>
      <c r="G29" s="69" t="n"/>
      <c r="H29" s="69" t="n"/>
      <c r="I29" s="70" t="n"/>
    </row>
    <row r="30" ht="43.5" customHeight="1">
      <c r="B30" s="32" t="inlineStr">
        <is>
          <t>METLIFE MUST DELIVER</t>
        </is>
      </c>
      <c r="C30" s="10" t="inlineStr">
        <is>
          <t>The reduction of MetLife Japan and MGCC headcount. We size it, we enable it and we report it — but redeploying MetLife's own people is MetLife's decision, and MGCC runs to its own utilisation targets. This should be a joint commitment with named owners, not a Capgemini SLA.</t>
        </is>
      </c>
      <c r="D30" s="69" t="n"/>
      <c r="E30" s="69" t="n"/>
      <c r="F30" s="69" t="n"/>
      <c r="G30" s="69" t="n"/>
      <c r="H30" s="69" t="n"/>
      <c r="I30" s="70" t="n"/>
    </row>
    <row r="31" ht="43.5" customHeight="1">
      <c r="B31" s="40" t="inlineStr">
        <is>
          <t>JOINTLY DEPENDENT</t>
        </is>
      </c>
      <c r="C31" s="10" t="inlineStr">
        <is>
          <t>AI adoption on MetLife's side: tooling access, shared standards, common telemetry, and the substrate being used rather than merely available. If adoption lands below the factors in section B, the whole-team headcount misses even if Capgemini delivers in full.</t>
        </is>
      </c>
      <c r="D31" s="69" t="n"/>
      <c r="E31" s="69" t="n"/>
      <c r="F31" s="69" t="n"/>
      <c r="G31" s="69" t="n"/>
      <c r="H31" s="69" t="n"/>
      <c r="I31" s="70" t="n"/>
    </row>
    <row r="33" ht="15" customHeight="1">
      <c r="A33" s="6" t="inlineStr">
        <is>
          <t>E.  ORGANIC CONVERGENCE TO 50:50  —  before any transfer</t>
        </is>
      </c>
    </row>
    <row r="34" ht="15" customHeight="1">
      <c r="B34" s="11" t="inlineStr">
        <is>
          <t>Measure</t>
        </is>
      </c>
      <c r="C34" s="11" t="inlineStr">
        <is>
          <t>Year 1</t>
        </is>
      </c>
      <c r="D34" s="11" t="inlineStr">
        <is>
          <t>Year 2</t>
        </is>
      </c>
      <c r="E34" s="11" t="inlineStr">
        <is>
          <t>Year 3</t>
        </is>
      </c>
      <c r="F34" s="11" t="inlineStr">
        <is>
          <t>Year 4</t>
        </is>
      </c>
      <c r="G34" s="11" t="inlineStr">
        <is>
          <t>Year 5</t>
        </is>
      </c>
    </row>
    <row r="35" ht="36.75" customHeight="1">
      <c r="B35" s="10" t="inlineStr">
        <is>
          <t>MetLife Japan (FTE) — own curve</t>
        </is>
      </c>
      <c r="C35" s="16" t="n">
        <v>13.5</v>
      </c>
      <c r="D35" s="16" t="n">
        <v>12</v>
      </c>
      <c r="E35" s="16" t="n">
        <v>10</v>
      </c>
      <c r="F35" s="16" t="n">
        <v>9</v>
      </c>
      <c r="G35" s="16" t="n">
        <v>6</v>
      </c>
      <c r="I35" s="19" t="inlineStr">
        <is>
          <t>MetLife’s populations follow their own slower curves and MGCC grows as a share — 18.6% of the domain on day one, 35.6% by Year 5. Capgemini absorbs the balance, taking its own book from 70.4% to 50.6% without a single transfer.</t>
        </is>
      </c>
    </row>
    <row r="36" ht="15" customHeight="1">
      <c r="B36" s="10" t="inlineStr">
        <is>
          <t>MetLife MGCC — own curve</t>
        </is>
      </c>
      <c r="C36" s="16" t="n">
        <v>22.5</v>
      </c>
      <c r="D36" s="16" t="n">
        <v>21.5</v>
      </c>
      <c r="E36" s="16" t="n">
        <v>19.5</v>
      </c>
      <c r="F36" s="16" t="n">
        <v>15.5</v>
      </c>
      <c r="G36" s="16" t="n">
        <v>15.5</v>
      </c>
    </row>
    <row r="37" ht="15" customHeight="1">
      <c r="B37" s="10" t="inlineStr">
        <is>
          <t>Partner — per the partner plan</t>
        </is>
      </c>
      <c r="C37" s="16" t="n">
        <v>7</v>
      </c>
      <c r="D37" s="16" t="n">
        <v>7</v>
      </c>
      <c r="E37" s="16" t="n">
        <v>7</v>
      </c>
      <c r="F37" s="16" t="n">
        <v>5</v>
      </c>
      <c r="G37" s="16" t="n">
        <v>4</v>
      </c>
    </row>
    <row r="38" ht="15" customHeight="1">
      <c r="B38" s="22" t="inlineStr">
        <is>
          <t>Capgemini — absorbs the balance</t>
        </is>
      </c>
      <c r="C38" s="23" t="n">
        <v>78.5</v>
      </c>
      <c r="D38" s="23" t="n">
        <v>54</v>
      </c>
      <c r="E38" s="23" t="n">
        <v>42</v>
      </c>
      <c r="F38" s="23" t="n">
        <v>22</v>
      </c>
      <c r="G38" s="23" t="n">
        <v>18</v>
      </c>
    </row>
    <row r="39" ht="15" customHeight="1">
      <c r="B39" s="22" t="inlineStr">
        <is>
          <t>TOTAL  =  the headline commitment</t>
        </is>
      </c>
      <c r="C39" s="23" t="n">
        <v>121.5</v>
      </c>
      <c r="D39" s="23" t="n">
        <v>94.5</v>
      </c>
      <c r="E39" s="23" t="n">
        <v>78.5</v>
      </c>
      <c r="F39" s="23" t="n">
        <v>51.5</v>
      </c>
      <c r="G39" s="23" t="n">
        <v>43.5</v>
      </c>
    </row>
    <row r="40" ht="15" customHeight="1">
      <c r="B40" s="22" t="inlineStr">
        <is>
          <t>RATIO — Capgemini share</t>
        </is>
      </c>
      <c r="C40" s="26" t="n">
        <v>0.7037</v>
      </c>
      <c r="D40" s="26" t="n">
        <v>0.6455</v>
      </c>
      <c r="E40" s="26" t="n">
        <v>0.6242</v>
      </c>
      <c r="F40" s="26" t="n">
        <v>0.5243</v>
      </c>
      <c r="G40" s="26" t="n">
        <v>0.5057</v>
      </c>
    </row>
    <row r="41" ht="15" customHeight="1">
      <c r="B41" s="10" t="inlineStr">
        <is>
          <t xml:space="preserve">  — of which productivity-driven</t>
        </is>
      </c>
      <c r="C41" s="20" t="n">
        <v>0</v>
      </c>
      <c r="D41" s="20" t="n">
        <v>0.223</v>
      </c>
      <c r="E41" s="20" t="n">
        <v>0.3546</v>
      </c>
      <c r="F41" s="20" t="n">
        <v>0.4051</v>
      </c>
      <c r="G41" s="20" t="n">
        <v>0.4986</v>
      </c>
    </row>
    <row r="42" ht="23.25" customHeight="1">
      <c r="B42" s="32" t="inlineStr">
        <is>
          <t xml:space="preserve">  — of which RATIO-DRIVEN: fall in the Capgemini share since Year 1</t>
        </is>
      </c>
      <c r="C42" s="39" t="n">
        <v>0</v>
      </c>
      <c r="D42" s="39" t="n">
        <v>0.0582</v>
      </c>
      <c r="E42" s="39" t="n">
        <v>0.0795</v>
      </c>
      <c r="F42" s="39" t="n">
        <v>0.1794</v>
      </c>
      <c r="G42" s="39" t="n">
        <v>0.198</v>
      </c>
    </row>
    <row r="44" ht="15" customHeight="1">
      <c r="B44" s="19" t="inlineStr">
        <is>
          <t>This is the mechanism that halves the transfer. Reaching the ratio by shrinking our own book is cheaper, lower-risk and entirely within our control; a transfer of employment is neither.</t>
        </is>
      </c>
    </row>
    <row r="46" ht="15" customHeight="1">
      <c r="A46" s="6" t="inlineStr">
        <is>
          <t>F.  THE GUARDRAILS  —  where organic convergence has to stop</t>
        </is>
      </c>
    </row>
    <row r="47" ht="18.75" customHeight="1">
      <c r="B47" s="11" t="inlineStr">
        <is>
          <t>Test</t>
        </is>
      </c>
      <c r="C47" s="11" t="inlineStr">
        <is>
          <t>Year 1</t>
        </is>
      </c>
      <c r="D47" s="11" t="inlineStr">
        <is>
          <t>Year 2</t>
        </is>
      </c>
      <c r="E47" s="11" t="inlineStr">
        <is>
          <t>Year 3</t>
        </is>
      </c>
      <c r="F47" s="11" t="inlineStr">
        <is>
          <t>Year 4</t>
        </is>
      </c>
      <c r="G47" s="11" t="inlineStr">
        <is>
          <t>Year 5</t>
        </is>
      </c>
      <c r="H47" s="11" t="inlineStr">
        <is>
          <t>Floor</t>
        </is>
      </c>
    </row>
    <row r="48" ht="45.75" customHeight="1">
      <c r="B48" s="9" t="inlineStr">
        <is>
          <t>Capgemini share of the delivery population</t>
        </is>
      </c>
      <c r="C48" s="26" t="n">
        <v>0.7037</v>
      </c>
      <c r="D48" s="26" t="n">
        <v>0.6455</v>
      </c>
      <c r="E48" s="26" t="n">
        <v>0.6242</v>
      </c>
      <c r="F48" s="26" t="n">
        <v>0.5243</v>
      </c>
      <c r="G48" s="26" t="n">
        <v>0.5057</v>
      </c>
      <c r="H48" s="33" t="n">
        <v>0.5</v>
      </c>
      <c r="I48" s="19" t="inlineStr">
        <is>
          <t>THE POINT OF THE FLOOR. The build-and-test line is the tight one here: every MGCC unit in this 領域 sits on OpenBatch and Pega and MGCC is developer- and tester-heavy, so the MGCC Application Support line in the horizontal layer is grown deliberately from 0.5 to 7.0 to keep Capgemini above 55% of build-and-test in Years 4 and 5.</t>
        </is>
      </c>
    </row>
    <row r="49" ht="23.25" customHeight="1">
      <c r="B49" s="9" t="inlineStr">
        <is>
          <t>Capgemini share of build-and-test seats</t>
        </is>
      </c>
      <c r="C49" s="26" t="n">
        <v>0.7349</v>
      </c>
      <c r="D49" s="26" t="n">
        <v>0.6885</v>
      </c>
      <c r="E49" s="26" t="n">
        <v>0.6804</v>
      </c>
      <c r="F49" s="26" t="n">
        <v>0.5600000000000001</v>
      </c>
      <c r="G49" s="26" t="n">
        <v>0.5676</v>
      </c>
      <c r="H49" s="33" t="n">
        <v>0.55</v>
      </c>
    </row>
    <row r="50" ht="23.25" customHeight="1">
      <c r="B50" s="9" t="inlineStr">
        <is>
          <t>Capgemini share inside every single delivery unit</t>
        </is>
      </c>
      <c r="C50" s="41" t="inlineStr">
        <is>
          <t>held</t>
        </is>
      </c>
      <c r="D50" s="41" t="inlineStr">
        <is>
          <t>held</t>
        </is>
      </c>
      <c r="E50" s="41" t="inlineStr">
        <is>
          <t>held</t>
        </is>
      </c>
      <c r="F50" s="41" t="inlineStr">
        <is>
          <t>held</t>
        </is>
      </c>
      <c r="G50" s="41" t="inlineStr">
        <is>
          <t>held</t>
        </is>
      </c>
      <c r="H50" s="33" t="n">
        <v>0.55</v>
      </c>
    </row>
    <row r="52" ht="15" customHeight="1">
      <c r="A52" s="6" t="inlineStr">
        <is>
          <t>G.  THE TRANSFER  —  only what organic convergence cannot reach</t>
        </is>
      </c>
    </row>
    <row r="53" ht="15" customHeight="1">
      <c r="B53" s="11" t="n"/>
      <c r="C53" s="11" t="inlineStr">
        <is>
          <t>Value</t>
        </is>
      </c>
    </row>
    <row r="54" ht="15" customHeight="1">
      <c r="B54" s="10" t="inlineStr">
        <is>
          <t>Exit Year 3 headcount, full realisation</t>
        </is>
      </c>
      <c r="C54" s="16" t="n">
        <v>72.32250000000001</v>
      </c>
    </row>
    <row r="55" ht="15" customHeight="1">
      <c r="B55" s="10" t="inlineStr">
        <is>
          <t>Vendor units at exit, after organic convergence</t>
        </is>
      </c>
      <c r="C55" s="16" t="n">
        <v>45.144</v>
      </c>
    </row>
    <row r="56" ht="15" customHeight="1">
      <c r="B56" s="10" t="inlineStr">
        <is>
          <t>Transferable pool — Capgemini payroll only</t>
        </is>
      </c>
      <c r="C56" s="16" t="n">
        <v>38.6948</v>
      </c>
    </row>
    <row r="57" ht="15" customHeight="1">
      <c r="B57" s="10" t="inlineStr">
        <is>
          <t>50:50 requires each side to be</t>
        </is>
      </c>
      <c r="C57" s="16" t="n">
        <v>36.1612</v>
      </c>
    </row>
    <row r="58" ht="15" customHeight="1">
      <c r="B58" s="32" t="inlineStr">
        <is>
          <t>TRANSFER REQUIRED</t>
        </is>
      </c>
      <c r="C58" s="34" t="n">
        <v>8.982699999999999</v>
      </c>
    </row>
    <row r="59" ht="15" customHeight="1">
      <c r="B59" s="10" t="inlineStr">
        <is>
          <t>Maximum transferable at the 70% cap</t>
        </is>
      </c>
      <c r="C59" s="16" t="n">
        <v>27.0864</v>
      </c>
    </row>
    <row r="60" ht="15" customHeight="1">
      <c r="B60" s="10" t="inlineStr">
        <is>
          <t>Transfer applied</t>
        </is>
      </c>
      <c r="C60" s="21" t="n">
        <v>0</v>
      </c>
    </row>
    <row r="61" ht="15" customHeight="1">
      <c r="B61" s="10" t="inlineStr">
        <is>
          <t xml:space="preserve">  — to MetLife Japan</t>
        </is>
      </c>
      <c r="C61" s="21" t="n">
        <v>0</v>
      </c>
    </row>
    <row r="62" ht="15" customHeight="1">
      <c r="B62" s="10" t="inlineStr">
        <is>
          <t xml:space="preserve">  — to MGCC</t>
        </is>
      </c>
      <c r="C62" s="21" t="n">
        <v>0</v>
      </c>
    </row>
    <row r="63" ht="15" customHeight="1">
      <c r="B63" s="32" t="inlineStr">
        <is>
          <t>RESIDUAL GAP TO 50:50</t>
        </is>
      </c>
      <c r="C63" s="34" t="n">
        <v>8.982699999999999</v>
      </c>
    </row>
    <row r="64" ht="15" customHeight="1">
      <c r="B64" s="10" t="inlineStr">
        <is>
          <t>Ratio reached at the Year-3 exit</t>
        </is>
      </c>
      <c r="C64" s="20" t="n">
        <v>0.6242</v>
      </c>
    </row>
  </sheetData>
  <mergeCells count="14">
    <mergeCell ref="B18:I18"/>
    <mergeCell ref="C31:I31"/>
    <mergeCell ref="B44:I44"/>
    <mergeCell ref="A4:G4"/>
    <mergeCell ref="A2:K2"/>
    <mergeCell ref="A20:G20"/>
    <mergeCell ref="A1:K1"/>
    <mergeCell ref="C29:I29"/>
    <mergeCell ref="A52:G52"/>
    <mergeCell ref="C30:I30"/>
    <mergeCell ref="A33:G33"/>
    <mergeCell ref="A11:G11"/>
    <mergeCell ref="A28:G28"/>
    <mergeCell ref="A46:G46"/>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J27"/>
  <sheetViews>
    <sheetView topLeftCell="A17" zoomScaleNormal="100" workbookViewId="0">
      <selection activeCell="G7" sqref="G7"/>
    </sheetView>
  </sheetViews>
  <sheetFormatPr baseColWidth="8" defaultColWidth="8.6328125" defaultRowHeight="14.5"/>
  <cols>
    <col width="2.453125" customWidth="1" min="1" max="1"/>
    <col width="40" customWidth="1" min="2" max="2"/>
    <col width="13" customWidth="1" min="3" max="7"/>
    <col width="3" customWidth="1" min="8" max="8"/>
    <col width="54" customWidth="1" min="9" max="9"/>
  </cols>
  <sheetData>
    <row r="1" ht="25.5" customHeight="1">
      <c r="A1" s="8" t="inlineStr">
        <is>
          <t>Delivery mode  —  two streams, one conversion, one retirement</t>
        </is>
      </c>
    </row>
    <row r="2" ht="15" customHeight="1">
      <c r="A2" s="7" t="inlineStr">
        <is>
          <t>Appendix 3 v5 gives the development method for every application. The estate is now cut on the line that matters: the Claims Platform (Pega, already agile and on Pega Cloud, plus OpenBatch, hybrid and cloud-flagged) runs as an agile pod from day one; everything else runs as a waterfall team until POS Workflow retires, and converts to pods in Year 4.</t>
        </is>
      </c>
    </row>
    <row r="4" ht="15" customHeight="1">
      <c r="A4" s="6" t="inlineStr">
        <is>
          <t>A.  MODE TODAY AND TARGET, BY VALUE STREAM  —  INPUT</t>
        </is>
      </c>
    </row>
    <row r="5" ht="15" customHeight="1">
      <c r="B5" s="11" t="inlineStr">
        <is>
          <t>Value stream</t>
        </is>
      </c>
      <c r="C5" s="11" t="inlineStr">
        <is>
          <t>Effort</t>
        </is>
      </c>
      <c r="D5" s="11" t="inlineStr">
        <is>
          <t>Archetype</t>
        </is>
      </c>
      <c r="E5" s="11" t="inlineStr">
        <is>
          <t>Mode today</t>
        </is>
      </c>
      <c r="F5" s="11" t="inlineStr">
        <is>
          <t>Agile from</t>
        </is>
      </c>
      <c r="G5" s="11" t="inlineStr">
        <is>
          <t>Why</t>
        </is>
      </c>
    </row>
    <row r="6" ht="30" customHeight="1">
      <c r="B6" s="9" t="inlineStr">
        <is>
          <t>VS1 · Claims Platform — Pega for Claims (14322) + OpenBatch (13820)</t>
        </is>
      </c>
      <c r="C6" s="42" t="n">
        <v>60.4821</v>
      </c>
      <c r="D6" s="43" t="inlineStr">
        <is>
          <t>D</t>
        </is>
      </c>
      <c r="E6" s="17" t="inlineStr">
        <is>
          <t>Agile / Hybrid</t>
        </is>
      </c>
      <c r="F6" s="17" t="inlineStr">
        <is>
          <t>Q1</t>
        </is>
      </c>
      <c r="G6" s="13" t="inlineStr">
        <is>
          <t>Pega is SaaS on Pega Cloud, no-code, 99% AD, 14,772 lines — the cleanest application in the estate. OpenBatch is 43.8 units, cloud-flagged, hybrid method, and carries all 18.1 of the domain’s MGCC units. Runs as a POD from Year 1.</t>
        </is>
      </c>
      <c r="I6" s="19" t="inlineStr">
        <is>
          <t>The mode column is MetLife’s own data. Two streams: Claims Platform (2 applications, 60.482 units, 49.8% of the estate and 69.9% of it once POS Workflow retires) and Payment &amp; Records (4 applications, 61.091 units falling to 26.095). The decision to argue about is not the method — it is whether Payment &amp; Records converts before Year 4.</t>
        </is>
      </c>
    </row>
    <row r="7" ht="30" customHeight="1">
      <c r="B7" s="9" t="inlineStr">
        <is>
          <t>VS2 · Payment &amp; Records — POS Workflow (9835), Annuity Info (9857), Maturity &amp; Deferral (14423), My Number (11012)</t>
        </is>
      </c>
      <c r="C7" s="42" t="n">
        <v>61.0913</v>
      </c>
      <c r="D7" s="43" t="inlineStr">
        <is>
          <t>D / J / T</t>
        </is>
      </c>
      <c r="E7" s="17" t="inlineStr">
        <is>
          <t>Waterfall</t>
        </is>
      </c>
      <c r="F7" s="17" t="inlineStr">
        <is>
          <t>Y4</t>
        </is>
      </c>
      <c r="G7" s="13" t="inlineStr">
        <is>
          <t>POS Workflow is 35.0 of the 61.1 and is MARKED RETIRE — business-critical, Japanese specifications, and the only nearshore capacity in the portfolio at 9.589 units. Annuity Info behind it is 22.0 units of Japan-locked waterfall at a 12% offshore ceiling. Runs as a 12-seat TEAM to Year 3 and converts to PODs of 6 in Year 4.</t>
        </is>
      </c>
    </row>
    <row r="8" ht="30" customHeight="1">
      <c r="B8" s="9" t="n"/>
      <c r="C8" s="42" t="n"/>
      <c r="D8" s="43" t="n"/>
      <c r="E8" s="17" t="n"/>
      <c r="F8" s="17" t="n"/>
      <c r="G8" s="13" t="n"/>
    </row>
    <row r="9" ht="15" customHeight="1">
      <c r="B9" s="22" t="inlineStr">
        <is>
          <t>Total</t>
        </is>
      </c>
      <c r="C9" s="30">
        <f>SUM(C6:C7)</f>
        <v/>
      </c>
    </row>
    <row r="11" ht="15" customHeight="1">
      <c r="A11" s="6" t="inlineStr">
        <is>
          <t>B.  AGILE SHARE BY YEAR  —  computed from the quarter each stream converts</t>
        </is>
      </c>
    </row>
    <row r="12" ht="15" customHeight="1">
      <c r="B12" s="11" t="inlineStr">
        <is>
          <t>Value stream</t>
        </is>
      </c>
      <c r="C12" s="11" t="inlineStr">
        <is>
          <t>Year 1</t>
        </is>
      </c>
      <c r="D12" s="11" t="inlineStr">
        <is>
          <t>Year 2</t>
        </is>
      </c>
      <c r="E12" s="11" t="inlineStr">
        <is>
          <t>Year 3</t>
        </is>
      </c>
      <c r="F12" s="11" t="inlineStr">
        <is>
          <t>Year 4</t>
        </is>
      </c>
      <c r="G12" s="11" t="inlineStr">
        <is>
          <t>Year 5</t>
        </is>
      </c>
    </row>
    <row r="13" ht="15" customHeight="1">
      <c r="B13" s="9" t="inlineStr">
        <is>
          <t>VS1 · Claims Platform</t>
        </is>
      </c>
      <c r="C13" s="38" t="n">
        <v>1</v>
      </c>
      <c r="D13" s="38" t="n">
        <v>1</v>
      </c>
      <c r="E13" s="38" t="n">
        <v>1</v>
      </c>
      <c r="F13" s="38" t="n">
        <v>1</v>
      </c>
      <c r="G13" s="38" t="n">
        <v>1</v>
      </c>
    </row>
    <row r="14" ht="15" customHeight="1">
      <c r="B14" s="9" t="inlineStr">
        <is>
          <t>VS2 · Payment &amp; Records</t>
        </is>
      </c>
      <c r="C14" s="38" t="n">
        <v>0</v>
      </c>
      <c r="D14" s="38" t="n">
        <v>0</v>
      </c>
      <c r="E14" s="38" t="n">
        <v>0</v>
      </c>
      <c r="F14" s="38" t="n">
        <v>1</v>
      </c>
      <c r="G14" s="38" t="n">
        <v>1</v>
      </c>
    </row>
    <row r="15" ht="15" customHeight="1">
      <c r="B15" s="9" t="inlineStr">
        <is>
          <t>CSS</t>
        </is>
      </c>
      <c r="C15" s="38" t="n"/>
      <c r="D15" s="38" t="n"/>
      <c r="E15" s="38" t="n"/>
      <c r="F15" s="38" t="n"/>
      <c r="G15" s="38" t="n"/>
    </row>
    <row r="16" ht="15" customHeight="1">
      <c r="B16" s="22" t="inlineStr">
        <is>
          <t>Effort-weighted agile share of the domain</t>
        </is>
      </c>
      <c r="C16" s="26" t="n">
        <v>0.497492</v>
      </c>
      <c r="D16" s="26" t="n">
        <v>0.497492</v>
      </c>
      <c r="E16" s="26" t="n">
        <v>0.497492</v>
      </c>
      <c r="F16" s="26" t="n">
        <v>1</v>
      </c>
      <c r="G16" s="26" t="n">
        <v>1</v>
      </c>
    </row>
    <row r="18" ht="15" customHeight="1">
      <c r="B18" s="9" t="inlineStr">
        <is>
          <t>Delivery units this produces</t>
        </is>
      </c>
    </row>
    <row r="19" ht="15" customHeight="1">
      <c r="B19" s="10" t="inlineStr">
        <is>
          <t>— agile PODS (VS1 all years; VS2 from Year 4)</t>
        </is>
      </c>
      <c r="C19" s="21" t="n">
        <v>5</v>
      </c>
      <c r="D19" s="21" t="n">
        <v>4</v>
      </c>
      <c r="E19" s="21" t="n">
        <v>3</v>
      </c>
      <c r="F19" s="21" t="n">
        <v>6</v>
      </c>
      <c r="G19" s="21" t="n">
        <v>5</v>
      </c>
    </row>
    <row r="20" ht="15" customHeight="1">
      <c r="B20" s="22" t="inlineStr">
        <is>
          <t>— agile share (feeds the Logic Tree)</t>
        </is>
      </c>
      <c r="C20" s="26">
        <f>C16</f>
        <v/>
      </c>
      <c r="D20" s="26">
        <f>D16</f>
        <v/>
      </c>
      <c r="E20" s="26">
        <f>E16</f>
        <v/>
      </c>
      <c r="F20" s="26">
        <f>F16</f>
        <v/>
      </c>
      <c r="G20" s="26">
        <f>G16</f>
        <v/>
      </c>
    </row>
    <row r="21" ht="15" customHeight="1">
      <c r="B21" s="10" t="inlineStr">
        <is>
          <t>— waterfall TEAMS of 12 (VS2, Years 1-3)</t>
        </is>
      </c>
      <c r="C21" s="21" t="n">
        <v>4</v>
      </c>
      <c r="D21" s="21" t="n">
        <v>3</v>
      </c>
      <c r="E21" s="21" t="n">
        <v>3</v>
      </c>
      <c r="F21" s="21" t="n">
        <v>0</v>
      </c>
      <c r="G21" s="21" t="n">
        <v>0</v>
      </c>
    </row>
    <row r="23" ht="15" customHeight="1">
      <c r="A23" s="6" t="inlineStr">
        <is>
          <t>C.  WHY THIS MATTERS TO THE NUMBER</t>
        </is>
      </c>
    </row>
    <row r="24" ht="42" customHeight="1">
      <c r="B24" s="5" t="inlineStr">
        <is>
          <t>•  Operating-model productivity is only available where the stream runs as a pod. Payment &amp; Records stays a waterfall team to Year 3, so the agile share is 49.7% for three years and only reaches 1.00 in Year 4. That costs about 0.6 points of Year-2 and 1.9 points of Year-3 capability against a fully converted estate — the price of not putting a pod structure on an application MetLife is retiring.</t>
        </is>
      </c>
    </row>
    <row r="25" ht="42" customHeight="1">
      <c r="B25" s="5" t="inlineStr">
        <is>
          <t>•  The waterfall TEAM is 12 seats with its own test cell and its own nearshore capacity. The agile POD is 10 seats in Year 1, 9, 8, then 6 in Years 4 and 5, with design authority moving to the horizontal layer when the pod shrinks to six. Every VS1 pod carries MGCC seats from day one — all 22.6 MGCC units sit on OpenBatch and Pega.</t>
        </is>
      </c>
    </row>
    <row r="26" ht="42" customHeight="1">
      <c r="B26" s="5" t="inlineStr">
        <is>
          <t>•  Year 4 is the structural break. POS Workflow retires, 34.997 units leave the scope, nearshore goes to zero, the two FSI seats on that application go with it, and Payment &amp; Records converts from three teams of 12 to two pods of 6. Headcount falls 78.5 to 51.5 — about 24 of those 27 people are the retirement.</t>
        </is>
      </c>
    </row>
    <row r="27" ht="42" customHeight="1">
      <c r="B27" s="5" t="inlineStr">
        <is>
          <t>•  DECIDE  whether Payment &amp; Records converts earlier. Holding it waterfall to Year 3 is the conservative reading of an estate where the biggest application is being retired, and it is the single assumption most worth arguing.</t>
        </is>
      </c>
    </row>
  </sheetData>
  <mergeCells count="9">
    <mergeCell ref="A1:J1"/>
    <mergeCell ref="A11:I11"/>
    <mergeCell ref="B25:I25"/>
    <mergeCell ref="B24:I24"/>
    <mergeCell ref="A23:I23"/>
    <mergeCell ref="A2:J2"/>
    <mergeCell ref="B27:I27"/>
    <mergeCell ref="A4:I4"/>
    <mergeCell ref="B26:I26"/>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J32"/>
  <sheetViews>
    <sheetView zoomScaleNormal="100" workbookViewId="0">
      <selection activeCell="A1" sqref="A1:J1"/>
    </sheetView>
  </sheetViews>
  <sheetFormatPr baseColWidth="8" defaultColWidth="8.6328125" defaultRowHeight="14.5"/>
  <cols>
    <col width="2.453125" customWidth="1" min="1" max="1"/>
    <col width="40" customWidth="1" min="2" max="2"/>
    <col width="13" customWidth="1" min="3" max="7"/>
    <col width="3" customWidth="1" min="8" max="8"/>
    <col width="52" customWidth="1" min="9" max="9"/>
  </cols>
  <sheetData>
    <row r="1" ht="25.5" customHeight="1">
      <c r="A1" s="8" t="inlineStr">
        <is>
          <t>AMS and ticket load  —  the run team sized from evidence, for the first time</t>
        </is>
      </c>
    </row>
    <row r="2" ht="15" customHeight="1">
      <c r="A2" s="7" t="inlineStr">
        <is>
          <t>732 incidents and 1,161 changes over 32 months, from Appendix 3 v5.</t>
        </is>
      </c>
    </row>
    <row r="4" ht="15" customHeight="1">
      <c r="A4" s="6" t="inlineStr">
        <is>
          <t>A.  RECORDED VOLUMES  —  1 Jan 2024 to 31 Aug 2026</t>
        </is>
      </c>
    </row>
    <row r="5" ht="15" customHeight="1">
      <c r="B5" s="11" t="inlineStr">
        <is>
          <t>Measure</t>
        </is>
      </c>
      <c r="C5" s="11" t="inlineStr">
        <is>
          <t>Volume</t>
        </is>
      </c>
      <c r="D5" s="11" t="inlineStr">
        <is>
          <t>Per month</t>
        </is>
      </c>
      <c r="E5" s="11" t="inlineStr">
        <is>
          <t>Per unit of effort</t>
        </is>
      </c>
      <c r="F5" s="11" t="inlineStr">
        <is>
          <t>Share</t>
        </is>
      </c>
    </row>
    <row r="6" ht="18.75" customHeight="1">
      <c r="B6" s="9" t="inlineStr">
        <is>
          <t>P1 — critical</t>
        </is>
      </c>
      <c r="C6" s="24" t="n">
        <v>0</v>
      </c>
      <c r="D6" s="44">
        <f>C6/$C$17</f>
        <v/>
      </c>
      <c r="E6" s="16">
        <f>C6/'Logic Tree'!$C$7</f>
        <v/>
      </c>
      <c r="F6" s="20">
        <f>C6/$C$11</f>
        <v/>
      </c>
      <c r="I6" s="19" t="inlineStr">
        <is>
          <t>No P1 or P2 incidents at all in 32 months and 71% of incidents at P5. The estate is stable; the cost is in changing it, not in keeping it up.</t>
        </is>
      </c>
    </row>
    <row r="7" ht="15" customHeight="1">
      <c r="B7" s="9" t="inlineStr">
        <is>
          <t>P2 — high</t>
        </is>
      </c>
      <c r="C7" s="24" t="n">
        <v>1</v>
      </c>
      <c r="D7" s="44">
        <f>C7/$C$17</f>
        <v/>
      </c>
      <c r="E7" s="16">
        <f>C7/'Logic Tree'!$C$7</f>
        <v/>
      </c>
      <c r="F7" s="20">
        <f>C7/$C$11</f>
        <v/>
      </c>
    </row>
    <row r="8" ht="15" customHeight="1">
      <c r="B8" s="10" t="inlineStr">
        <is>
          <t>P3 — medium</t>
        </is>
      </c>
      <c r="C8" s="24" t="n">
        <v>89</v>
      </c>
      <c r="D8" s="44">
        <f>C8/$C$17</f>
        <v/>
      </c>
      <c r="E8" s="16">
        <f>C8/'Logic Tree'!$C$7</f>
        <v/>
      </c>
      <c r="F8" s="20">
        <f>C8/$C$11</f>
        <v/>
      </c>
    </row>
    <row r="9" ht="15" customHeight="1">
      <c r="B9" s="10" t="inlineStr">
        <is>
          <t>P4 — low</t>
        </is>
      </c>
      <c r="C9" s="24" t="n">
        <v>143</v>
      </c>
      <c r="D9" s="44">
        <f>C9/$C$17</f>
        <v/>
      </c>
      <c r="E9" s="16">
        <f>C9/'Logic Tree'!$C$7</f>
        <v/>
      </c>
      <c r="F9" s="20">
        <f>C9/$C$11</f>
        <v/>
      </c>
    </row>
    <row r="10" ht="15" customHeight="1">
      <c r="B10" s="10" t="inlineStr">
        <is>
          <t>P5 — informational</t>
        </is>
      </c>
      <c r="C10" s="24" t="n">
        <v>499</v>
      </c>
      <c r="D10" s="44">
        <f>C10/$C$17</f>
        <v/>
      </c>
      <c r="E10" s="16">
        <f>C10/'Logic Tree'!$C$7</f>
        <v/>
      </c>
      <c r="F10" s="20">
        <f>C10/$C$11</f>
        <v/>
      </c>
    </row>
    <row r="11" ht="15" customHeight="1">
      <c r="B11" s="22" t="inlineStr">
        <is>
          <t>All incidents</t>
        </is>
      </c>
      <c r="C11" s="29">
        <f>SUM(C6:C10)</f>
        <v/>
      </c>
      <c r="D11" s="45">
        <f>C11/$C$17</f>
        <v/>
      </c>
      <c r="E11" s="23">
        <f>C11/'Logic Tree'!$C$7</f>
        <v/>
      </c>
    </row>
    <row r="12" ht="18.75" customHeight="1">
      <c r="B12" s="10" t="inlineStr">
        <is>
          <t>Emergency change</t>
        </is>
      </c>
      <c r="C12" s="24" t="n">
        <v>34</v>
      </c>
      <c r="D12" s="44">
        <f>C12/$C$17</f>
        <v/>
      </c>
      <c r="E12" s="16">
        <f>C12/'Logic Tree'!$C$7</f>
        <v/>
      </c>
      <c r="F12" s="20">
        <f>C12/$C$15</f>
        <v/>
      </c>
      <c r="I12" s="19" t="inlineStr">
        <is>
          <t>84% Standard and 4.3% Emergency. A high-volume, low-severity, highly repeatable change profile — the best automation case in the portfolio.</t>
        </is>
      </c>
    </row>
    <row r="13" ht="15" customHeight="1">
      <c r="B13" s="10" t="inlineStr">
        <is>
          <t>Normal change</t>
        </is>
      </c>
      <c r="C13" s="24" t="n">
        <v>124</v>
      </c>
      <c r="D13" s="44">
        <f>C13/$C$17</f>
        <v/>
      </c>
      <c r="E13" s="16">
        <f>C13/'Logic Tree'!$C$7</f>
        <v/>
      </c>
      <c r="F13" s="20">
        <f>C13/$C$15</f>
        <v/>
      </c>
    </row>
    <row r="14" ht="15" customHeight="1">
      <c r="B14" s="10" t="inlineStr">
        <is>
          <t>Standard change</t>
        </is>
      </c>
      <c r="C14" s="24" t="n">
        <v>1003</v>
      </c>
      <c r="D14" s="44">
        <f>C14/$C$17</f>
        <v/>
      </c>
      <c r="E14" s="16">
        <f>C14/'Logic Tree'!$C$7</f>
        <v/>
      </c>
      <c r="F14" s="20">
        <f>C14/$C$15</f>
        <v/>
      </c>
    </row>
    <row r="15" ht="15" customHeight="1">
      <c r="B15" s="22" t="inlineStr">
        <is>
          <t>All changes</t>
        </is>
      </c>
      <c r="C15" s="29">
        <f>SUM(C12:C14)</f>
        <v/>
      </c>
      <c r="D15" s="45">
        <f>C15/$C$17</f>
        <v/>
      </c>
      <c r="E15" s="23">
        <f>C15/'Logic Tree'!$C$7</f>
        <v/>
      </c>
    </row>
    <row r="17" ht="15" customHeight="1">
      <c r="B17" s="32" t="inlineStr">
        <is>
          <t>Observation window, months</t>
        </is>
      </c>
      <c r="C17" s="46" t="n">
        <v>32</v>
      </c>
    </row>
    <row r="19" ht="15" customHeight="1">
      <c r="A19" s="6" t="inlineStr">
        <is>
          <t>B.  SIZING THE RUN TEAM  —  three independent bases, triangulated</t>
        </is>
      </c>
    </row>
    <row r="20" ht="15" customHeight="1">
      <c r="B20" s="11" t="inlineStr">
        <is>
          <t>Basis</t>
        </is>
      </c>
      <c r="C20" s="11" t="inlineStr">
        <is>
          <t>Value</t>
        </is>
      </c>
      <c r="D20" s="11" t="inlineStr">
        <is>
          <t>Reading</t>
        </is>
      </c>
    </row>
    <row r="21" ht="33.75" customHeight="1">
      <c r="B21" s="22" t="inlineStr">
        <is>
          <t>A.  Maintenance role reported in Appendix 3 v5</t>
        </is>
      </c>
      <c r="C21" s="23">
        <f>'Logic Tree'!C18</f>
        <v/>
      </c>
      <c r="D21" s="13" t="inlineStr">
        <is>
          <t>MetLife's own HEADCOUNT view. Populated here, unlike Contract Management, so it is usable.</t>
        </is>
      </c>
    </row>
    <row r="22" ht="33.75" customHeight="1">
      <c r="B22" s="22" t="inlineStr">
        <is>
          <t>B.  Run effort implied by the AD / AMS split  =  (1 − AD share) x effort</t>
        </is>
      </c>
      <c r="C22" s="23">
        <f>'Logic Tree'!C7-'Logic Tree'!C21</f>
        <v/>
      </c>
      <c r="D22" s="13" t="inlineStr">
        <is>
          <t>MetLife's own EFFORT view: 13.5% of 100.765 units. It implies 2.4 times the run population the role line does, and both numbers come from the same spreadsheet.</t>
        </is>
      </c>
    </row>
    <row r="23" ht="33.75" customHeight="1">
      <c r="B23" s="9" t="inlineStr">
        <is>
          <t>Total demand items per month  (incidents + changes)</t>
        </is>
      </c>
      <c r="C23" s="47">
        <f>(C11+C15)/C17</f>
        <v/>
      </c>
      <c r="D23" s="13" t="inlineStr">
        <is>
          <t>2,536 items in 32 months — 25.2 per unit of effort against 14.6 on Sales. High for a three-application estate, and 84% of the changes are Standard.</t>
        </is>
      </c>
    </row>
    <row r="24" ht="33.75" customHeight="1">
      <c r="B24" s="32" t="inlineStr">
        <is>
          <t>C.  Throughput implied by basis A  —  items per person per month</t>
        </is>
      </c>
      <c r="C24" s="34">
        <f>IFERROR(C23/C21,0)</f>
        <v/>
      </c>
      <c r="D24" s="13" t="inlineStr">
        <is>
          <t>If the role line is right, each run person absorbs this many items a month.</t>
        </is>
      </c>
    </row>
    <row r="25" ht="33.75" customHeight="1">
      <c r="B25" s="32" t="inlineStr">
        <is>
          <t>C.  Throughput implied by basis B</t>
        </is>
      </c>
      <c r="C25" s="34">
        <f>IFERROR(C23/C22,0)</f>
        <v/>
      </c>
      <c r="D25" s="13" t="inlineStr">
        <is>
          <t>If the effort split is right, this is the rate. Industry L2 throughput on a modern data stack is 40 to 80 items per person per month; both of these sit far below it, which says these items carry investigation rather than triage.</t>
        </is>
      </c>
    </row>
    <row r="26" ht="33.75" customHeight="1">
      <c r="B26" s="22" t="inlineStr">
        <is>
          <t>Run-facing seats in the Year-1 roster  (Maintenance + Tester, all sourcing)</t>
        </is>
      </c>
      <c r="C26" s="23">
        <f>'Team Build-Up'!C64+'Team Build-Up'!C63</f>
        <v/>
      </c>
      <c r="D26" s="13" t="inlineStr">
        <is>
          <t>Model output. Sized on the role line, which is the binding Year-1 reconciliation constraint, and reported here against the other two bases rather than averaged with them.</t>
        </is>
      </c>
    </row>
    <row r="28" ht="15" customHeight="1">
      <c r="A28" s="6" t="inlineStr">
        <is>
          <t>C.  WHAT THE TICKET DATA CHANGES</t>
        </is>
      </c>
    </row>
    <row r="29" ht="48" customHeight="1">
      <c r="B29" s="5" t="inlineStr">
        <is>
          <t>•  MetLife's two views of the run population disagree by a factor of 2.4. The Maintenance role line says 5.67 units; the AD / AMS effort split says 13.64. This model follows the role line, because Year 1 has to reconcile to Appendix 3 line by line — but the difference is 8 people and it is a real commercial exposure. PUT THIS TO METLIFE before the AMS price is fixed.</t>
        </is>
      </c>
    </row>
    <row r="30" ht="48" customHeight="1">
      <c r="B30" s="5" t="inlineStr">
        <is>
          <t>•  The severity profile is benign and the change profile is not. No P1 or P2 incidents in 32 months and 71% of incidents at P5 — this estate is stable. But 1,730 changes on 100.8 units, 84% of them Standard, is a high change rate, and Standard changes on a cloud data platform are exactly what pipeline automation and a release train remove. That is where the operating-model productivity in this domain actually comes from.</t>
        </is>
      </c>
    </row>
    <row r="31" ht="48" customHeight="1">
      <c r="B31" s="5" t="inlineStr">
        <is>
          <t>•  Ticket density is 25.2 items per unit of effort against 14.6 on Sales — the highest of the domains modelled so far. Combined with a 13.5% run share it suggests run work is sitting inside the Developer line, which is the same pattern Sales shows and the reason this cross-check is worth running on every domain.</t>
        </is>
      </c>
    </row>
    <row r="32" ht="48" customHeight="1">
      <c r="B32" s="5" t="inlineStr">
        <is>
          <t>•  DO  ask MetLife which of the two run figures governs, and ask for the ticket-to-effort mapping behind the AD / AMS split. On a three-application domain this is a short conversation with a material price attached.</t>
        </is>
      </c>
    </row>
  </sheetData>
  <mergeCells count="9">
    <mergeCell ref="A1:J1"/>
    <mergeCell ref="B30:I30"/>
    <mergeCell ref="A19:I19"/>
    <mergeCell ref="B29:I29"/>
    <mergeCell ref="B31:I31"/>
    <mergeCell ref="A28:I28"/>
    <mergeCell ref="A2:J2"/>
    <mergeCell ref="A4:I4"/>
    <mergeCell ref="B32:I32"/>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13"/>
  <sheetViews>
    <sheetView zoomScaleNormal="100" workbookViewId="0">
      <selection activeCell="I4" sqref="I4"/>
    </sheetView>
  </sheetViews>
  <sheetFormatPr baseColWidth="8" defaultColWidth="8.6328125" defaultRowHeight="14.5"/>
  <cols>
    <col width="2.453125" customWidth="1" min="1" max="1"/>
    <col width="26" customWidth="1" min="2" max="2"/>
    <col width="6" customWidth="1" min="3" max="3"/>
    <col width="9" customWidth="1" min="4" max="5"/>
    <col width="8" customWidth="1" min="6" max="6"/>
    <col width="9" customWidth="1" min="7" max="7"/>
    <col width="10" customWidth="1" min="8" max="8"/>
    <col width="9" customWidth="1" min="9" max="9"/>
    <col width="8" customWidth="1" min="10" max="11"/>
    <col width="7" customWidth="1" min="12" max="12"/>
    <col width="6" customWidth="1" min="13" max="13"/>
    <col width="8" customWidth="1" min="14" max="14"/>
    <col width="9" customWidth="1" min="15" max="15"/>
    <col width="13" customWidth="1" min="16" max="16"/>
    <col width="9" customWidth="1" min="17" max="17"/>
    <col width="10" customWidth="1" min="18" max="18"/>
    <col width="9" customWidth="1" min="19" max="19"/>
    <col width="34" customWidth="1" min="20" max="20"/>
  </cols>
  <sheetData>
    <row r="1" ht="25.5" customHeight="1">
      <c r="A1" s="8" t="inlineStr">
        <is>
          <t>Inventory  —  the 6 Insurance Claims and Benefits Payment Related applications from Appendix 3 v5</t>
        </is>
      </c>
    </row>
    <row r="2" ht="15" customHeight="1">
      <c r="A2" s="7" t="inlineStr">
        <is>
          <t>Classified by the six-rule classifier on the Golden Application Inventory v4.</t>
        </is>
      </c>
    </row>
    <row r="4" ht="15" customHeight="1">
      <c r="B4" s="11" t="inlineStr">
        <is>
          <t>Application</t>
        </is>
      </c>
      <c r="C4" s="11" t="inlineStr">
        <is>
          <t>Arch</t>
        </is>
      </c>
      <c r="D4" s="11" t="inlineStr">
        <is>
          <t>Effort</t>
        </is>
      </c>
      <c r="E4" s="11" t="inlineStr">
        <is>
          <t>FTC</t>
        </is>
      </c>
      <c r="F4" s="11" t="inlineStr">
        <is>
          <t>FTE</t>
        </is>
      </c>
      <c r="G4" s="11" t="inlineStr">
        <is>
          <t>Onshore</t>
        </is>
      </c>
      <c r="H4" s="11" t="inlineStr">
        <is>
          <t>Nearshore</t>
        </is>
      </c>
      <c r="I4" s="11" t="inlineStr">
        <is>
          <t>Nearsh %</t>
        </is>
      </c>
      <c r="J4" s="11" t="inlineStr">
        <is>
          <t>BSA</t>
        </is>
      </c>
      <c r="K4" s="11" t="inlineStr">
        <is>
          <t>Dev</t>
        </is>
      </c>
      <c r="L4" s="11" t="inlineStr">
        <is>
          <t>AD %</t>
        </is>
      </c>
      <c r="M4" s="11" t="inlineStr">
        <is>
          <t>Crit</t>
        </is>
      </c>
      <c r="N4" s="11" t="inlineStr">
        <is>
          <t>Method</t>
        </is>
      </c>
      <c r="O4" s="11" t="inlineStr">
        <is>
          <t>Spec lang</t>
        </is>
      </c>
      <c r="P4" s="11" t="inlineStr">
        <is>
          <t>Lines of code</t>
        </is>
      </c>
      <c r="Q4" s="11" t="inlineStr">
        <is>
          <t>Batches</t>
        </is>
      </c>
      <c r="R4" s="11" t="inlineStr">
        <is>
          <t>Incidents</t>
        </is>
      </c>
      <c r="S4" s="11" t="inlineStr">
        <is>
          <t>Changes</t>
        </is>
      </c>
      <c r="T4" s="11" t="inlineStr">
        <is>
          <t>Primary code language</t>
        </is>
      </c>
      <c r="U4" t="inlineStr">
        <is>
          <t>Value stream</t>
        </is>
      </c>
      <c r="V4" t="inlineStr">
        <is>
          <t>FSI FTC</t>
        </is>
      </c>
      <c r="W4" t="inlineStr">
        <is>
          <t>EAI ID</t>
        </is>
      </c>
      <c r="X4" t="inlineStr">
        <is>
          <t>Target state</t>
        </is>
      </c>
    </row>
    <row r="5" ht="15" customHeight="1">
      <c r="B5" s="9" t="inlineStr">
        <is>
          <t>Claim Batch</t>
        </is>
      </c>
      <c r="C5" s="43" t="inlineStr">
        <is>
          <t>D</t>
        </is>
      </c>
      <c r="D5" s="42" t="n">
        <v>43.7820833333333</v>
      </c>
      <c r="E5" s="42" t="n">
        <v>20.5904166666667</v>
      </c>
      <c r="F5" s="42" t="n">
        <v>5.04583333333333</v>
      </c>
      <c r="G5" s="42" t="n">
        <v>17.3570833333333</v>
      </c>
      <c r="H5" s="42" t="n">
        <v>0</v>
      </c>
      <c r="I5" s="20">
        <f>IFERROR($H5/$D5,0)</f>
        <v/>
      </c>
      <c r="J5" s="42" t="n">
        <v>1.75</v>
      </c>
      <c r="K5" s="42" t="n">
        <v>12.24875</v>
      </c>
      <c r="L5" s="48" t="n">
        <v>0.983659602006148</v>
      </c>
      <c r="M5" s="43" t="inlineStr">
        <is>
          <t>N</t>
        </is>
      </c>
      <c r="N5" s="43" t="inlineStr">
        <is>
          <t>Hybrid</t>
        </is>
      </c>
      <c r="O5" s="43" t="inlineStr">
        <is>
          <t>Hybrid</t>
        </is>
      </c>
      <c r="P5" s="27" t="n">
        <v>711101</v>
      </c>
      <c r="Q5" s="27" t="n">
        <v>27</v>
      </c>
      <c r="R5" s="27" t="n">
        <v>46</v>
      </c>
      <c r="S5" s="27" t="n">
        <v>216</v>
      </c>
      <c r="T5" s="10" t="inlineStr">
        <is>
          <t>JAVA</t>
        </is>
      </c>
      <c r="U5" t="inlineStr">
        <is>
          <t>VS1</t>
        </is>
      </c>
      <c r="V5" t="n">
        <v>2</v>
      </c>
      <c r="W5" t="n">
        <v>13820</v>
      </c>
      <c r="X5" t="inlineStr">
        <is>
          <t>Maintain</t>
        </is>
      </c>
    </row>
    <row r="6" ht="15" customHeight="1">
      <c r="B6" s="9" t="inlineStr">
        <is>
          <t>C12WNC-JPN</t>
        </is>
      </c>
      <c r="C6" s="43" t="inlineStr">
        <is>
          <t>D</t>
        </is>
      </c>
      <c r="D6" s="42" t="n">
        <v>34.9965416666667</v>
      </c>
      <c r="E6" s="42" t="n">
        <v>29.379875</v>
      </c>
      <c r="F6" s="42" t="n">
        <v>5.61666666666667</v>
      </c>
      <c r="G6" s="42" t="n">
        <v>19.7908333333333</v>
      </c>
      <c r="H6" s="42" t="n">
        <v>9.58904166666666</v>
      </c>
      <c r="I6" s="20">
        <f>IFERROR($H6/$D6,0)</f>
        <v/>
      </c>
      <c r="J6" s="42" t="n">
        <v>2</v>
      </c>
      <c r="K6" s="42" t="n">
        <v>27.379875</v>
      </c>
      <c r="L6" s="48" t="n">
        <v>0.905228730934128</v>
      </c>
      <c r="M6" s="43" t="inlineStr">
        <is>
          <t>Y</t>
        </is>
      </c>
      <c r="N6" s="43" t="inlineStr">
        <is>
          <t>Waterfall</t>
        </is>
      </c>
      <c r="O6" s="43" t="inlineStr">
        <is>
          <t>JP</t>
        </is>
      </c>
      <c r="P6" s="27" t="n">
        <v>0</v>
      </c>
      <c r="Q6" s="27" t="n">
        <v>170</v>
      </c>
      <c r="R6" s="27" t="n">
        <v>581</v>
      </c>
      <c r="S6" s="27" t="n">
        <v>608</v>
      </c>
      <c r="T6" s="10" t="inlineStr">
        <is>
          <t>VB.NET;C/C++;JAVA</t>
        </is>
      </c>
      <c r="U6" t="inlineStr">
        <is>
          <t>VS2</t>
        </is>
      </c>
      <c r="V6" t="n">
        <v>2</v>
      </c>
      <c r="W6" t="n">
        <v>9835</v>
      </c>
      <c r="X6" t="inlineStr">
        <is>
          <t>RETIRE</t>
        </is>
      </c>
    </row>
    <row r="7" ht="15" customHeight="1">
      <c r="B7" s="9" t="inlineStr">
        <is>
          <t>W05AMS-JPN</t>
        </is>
      </c>
      <c r="C7" s="43" t="inlineStr">
        <is>
          <t>J</t>
        </is>
      </c>
      <c r="D7" s="42" t="n">
        <v>22.0283333333333</v>
      </c>
      <c r="E7" s="42" t="n">
        <v>20.2116666666667</v>
      </c>
      <c r="F7" s="42" t="n">
        <v>1.81666666666667</v>
      </c>
      <c r="G7" s="42" t="n">
        <v>20.2116666666667</v>
      </c>
      <c r="H7" s="42" t="n">
        <v>0</v>
      </c>
      <c r="I7" s="20">
        <f>IFERROR($H7/$D7,0)</f>
        <v/>
      </c>
      <c r="J7" s="42" t="n">
        <v>1.91666666666667</v>
      </c>
      <c r="K7" s="42" t="n">
        <v>18.295</v>
      </c>
      <c r="L7" s="48" t="n">
        <v>0.925474767345086</v>
      </c>
      <c r="M7" s="43" t="inlineStr">
        <is>
          <t>Y</t>
        </is>
      </c>
      <c r="N7" s="43" t="inlineStr">
        <is>
          <t>Waterfall</t>
        </is>
      </c>
      <c r="O7" s="43" t="inlineStr">
        <is>
          <t>JP</t>
        </is>
      </c>
      <c r="P7" s="27" t="n">
        <v>0</v>
      </c>
      <c r="Q7" s="27" t="n">
        <v>186</v>
      </c>
      <c r="R7" s="27" t="n">
        <v>86</v>
      </c>
      <c r="S7" s="27" t="n">
        <v>272</v>
      </c>
      <c r="T7" s="10" t="inlineStr">
        <is>
          <t xml:space="preserve">JAVA, C#, VC </t>
        </is>
      </c>
      <c r="U7" t="inlineStr">
        <is>
          <t>VS2</t>
        </is>
      </c>
      <c r="V7" t="n">
        <v>2</v>
      </c>
      <c r="W7" t="n">
        <v>9857</v>
      </c>
      <c r="X7" t="inlineStr">
        <is>
          <t>Maintain</t>
        </is>
      </c>
    </row>
    <row r="8" ht="15" customHeight="1">
      <c r="B8" s="9" t="inlineStr">
        <is>
          <t>Pega for Claims</t>
        </is>
      </c>
      <c r="C8" s="43" t="inlineStr">
        <is>
          <t>D</t>
        </is>
      </c>
      <c r="D8" s="42" t="n">
        <v>16.7</v>
      </c>
      <c r="E8" s="42" t="n">
        <v>11.4916666666667</v>
      </c>
      <c r="F8" s="42" t="n">
        <v>0.708333333333333</v>
      </c>
      <c r="G8" s="42" t="n">
        <v>10.4916666666667</v>
      </c>
      <c r="H8" s="42" t="n">
        <v>0</v>
      </c>
      <c r="I8" s="20">
        <f>IFERROR($H8/$D8,0)</f>
        <v/>
      </c>
      <c r="J8" s="42" t="n">
        <v>0.291666666666667</v>
      </c>
      <c r="K8" s="42" t="n">
        <v>9.199999999999999</v>
      </c>
      <c r="L8" s="48" t="n">
        <v>0.987025948103793</v>
      </c>
      <c r="M8" s="43" t="inlineStr">
        <is>
          <t>N</t>
        </is>
      </c>
      <c r="N8" s="43" t="inlineStr">
        <is>
          <t>Agile</t>
        </is>
      </c>
      <c r="O8" s="43" t="inlineStr">
        <is>
          <t>EN</t>
        </is>
      </c>
      <c r="P8" s="27" t="n">
        <v>14772</v>
      </c>
      <c r="Q8" s="27" t="n">
        <v>1</v>
      </c>
      <c r="R8" s="27" t="n">
        <v>5</v>
      </c>
      <c r="S8" s="27" t="n">
        <v>9</v>
      </c>
      <c r="T8" s="10" t="inlineStr">
        <is>
          <t>JAVA</t>
        </is>
      </c>
      <c r="U8" t="inlineStr">
        <is>
          <t>VS1</t>
        </is>
      </c>
      <c r="V8" t="n">
        <v>1</v>
      </c>
      <c r="W8" t="n">
        <v>14322</v>
      </c>
      <c r="X8" t="inlineStr">
        <is>
          <t>Maintain (Evolve)</t>
        </is>
      </c>
    </row>
    <row r="9" ht="15" customHeight="1">
      <c r="B9" s="9" t="inlineStr">
        <is>
          <t>MDRS</t>
        </is>
      </c>
      <c r="C9" s="43" t="inlineStr">
        <is>
          <t>T</t>
        </is>
      </c>
      <c r="D9" s="42" t="n">
        <v>2.1225</v>
      </c>
      <c r="E9" s="42" t="n">
        <v>2.1225</v>
      </c>
      <c r="F9" s="42" t="n">
        <v>0</v>
      </c>
      <c r="G9" s="42" t="n">
        <v>2.1225</v>
      </c>
      <c r="H9" s="42" t="n">
        <v>0</v>
      </c>
      <c r="I9" s="20">
        <f>IFERROR($H9/$D9,0)</f>
        <v/>
      </c>
      <c r="J9" s="42" t="n">
        <v>0</v>
      </c>
      <c r="K9" s="42" t="n">
        <v>2.1225</v>
      </c>
      <c r="L9" s="48" t="n">
        <v>0.75068708284256</v>
      </c>
      <c r="M9" s="43" t="inlineStr">
        <is>
          <t>Y</t>
        </is>
      </c>
      <c r="N9" s="43" t="inlineStr">
        <is>
          <t>Waterfall</t>
        </is>
      </c>
      <c r="O9" s="43" t="inlineStr">
        <is>
          <t>JP</t>
        </is>
      </c>
      <c r="P9" s="27" t="n">
        <v>537636</v>
      </c>
      <c r="Q9" s="27" t="n">
        <v>38</v>
      </c>
      <c r="R9" s="27" t="n">
        <v>4</v>
      </c>
      <c r="S9" s="27" t="n">
        <v>37</v>
      </c>
      <c r="T9" s="10" t="inlineStr">
        <is>
          <t>VB.NET</t>
        </is>
      </c>
      <c r="U9" t="inlineStr">
        <is>
          <t>VS2</t>
        </is>
      </c>
      <c r="V9" t="n">
        <v>0</v>
      </c>
      <c r="W9" t="n">
        <v>14423</v>
      </c>
      <c r="X9" t="inlineStr">
        <is>
          <t>Maintain (Patch)</t>
        </is>
      </c>
    </row>
    <row r="10" ht="15" customHeight="1">
      <c r="B10" s="9" t="inlineStr">
        <is>
          <t>WZZMNB-JPN</t>
        </is>
      </c>
      <c r="C10" s="43" t="inlineStr">
        <is>
          <t>T</t>
        </is>
      </c>
      <c r="D10" s="42" t="n">
        <v>1.944</v>
      </c>
      <c r="E10" s="42" t="n">
        <v>1.65233333333333</v>
      </c>
      <c r="F10" s="42" t="n">
        <v>0.291666666666667</v>
      </c>
      <c r="G10" s="42" t="n">
        <v>1.65233333333333</v>
      </c>
      <c r="H10" s="42" t="n">
        <v>0</v>
      </c>
      <c r="I10" s="20">
        <f>IFERROR($H10/$D10,0)</f>
        <v/>
      </c>
      <c r="J10" s="42" t="n">
        <v>0</v>
      </c>
      <c r="K10" s="42" t="n">
        <v>1.65233333333333</v>
      </c>
      <c r="L10" s="48" t="n">
        <v>0.832175925925926</v>
      </c>
      <c r="M10" s="43" t="inlineStr">
        <is>
          <t>N</t>
        </is>
      </c>
      <c r="N10" s="43" t="inlineStr">
        <is>
          <t>Waterfall</t>
        </is>
      </c>
      <c r="O10" s="43" t="inlineStr">
        <is>
          <t>JP</t>
        </is>
      </c>
      <c r="P10" s="27" t="n">
        <v>0</v>
      </c>
      <c r="Q10" s="27" t="n">
        <v>17</v>
      </c>
      <c r="R10" s="27" t="n">
        <v>10</v>
      </c>
      <c r="S10" s="27" t="n">
        <v>19</v>
      </c>
      <c r="T10" s="10" t="inlineStr">
        <is>
          <t>JAVA</t>
        </is>
      </c>
      <c r="U10" t="inlineStr">
        <is>
          <t>VS2</t>
        </is>
      </c>
      <c r="V10" t="n">
        <v>0</v>
      </c>
      <c r="W10" t="n">
        <v>11012</v>
      </c>
      <c r="X10" t="inlineStr">
        <is>
          <t>Maintain</t>
        </is>
      </c>
    </row>
    <row r="11" ht="15" customHeight="1">
      <c r="B11" s="22" t="inlineStr">
        <is>
          <t>TOTAL</t>
        </is>
      </c>
      <c r="D11" s="30">
        <f>SUM(D5:D10)</f>
        <v/>
      </c>
      <c r="E11" s="30">
        <f>SUM(E5:E10)</f>
        <v/>
      </c>
      <c r="F11" s="30">
        <f>SUM(F5:F10)</f>
        <v/>
      </c>
      <c r="G11" s="30">
        <f>SUM(G5:G10)</f>
        <v/>
      </c>
      <c r="H11" s="30">
        <f>SUM(H5:H10)</f>
        <v/>
      </c>
      <c r="J11" s="30">
        <f>SUM(J5:J10)</f>
        <v/>
      </c>
      <c r="K11" s="30">
        <f>SUM(K5:K10)</f>
        <v/>
      </c>
      <c r="P11" s="29">
        <f>SUM(P5:P10)</f>
        <v/>
      </c>
      <c r="Q11" s="29">
        <f>SUM(Q5:Q10)</f>
        <v/>
      </c>
      <c r="R11" s="29">
        <f>SUM(R5:R10)</f>
        <v/>
      </c>
      <c r="S11" s="29">
        <f>SUM(S5:S10)</f>
        <v/>
      </c>
      <c r="U11" t="inlineStr">
        <is>
          <t>—</t>
        </is>
      </c>
      <c r="V11">
        <f>SUM(V5:V10)</f>
        <v/>
      </c>
    </row>
    <row r="13" ht="30" customHeight="1">
      <c r="B13" s="19" t="inlineStr">
        <is>
          <t>All six carry a development method and a specification language. Four run on Japanese specifications, two are cloud-flagged and none is marked 優先引継対象. Code volume totals 1.26 million lines across three applications. ONE application is under a disposition question, not three: C12WNC-JPN (POS Workflow, EAI 9835) is marked RETIRE and is 35.0 of the 121.6 units — 28.8%. Pega for Claims (14322) and MDRS (14423) are BOTH Maintain in all four target-state columns of the EA inventory, with Year-3 targets of 8.4 and 1.1 each side; the earlier claim that they carry a zero Year-3 target was wrong and is corrected here. Columns U-X are new: the value stream, the FSI sub-contracted FTC, the EAI ID and the target-state disposition.</t>
        </is>
      </c>
    </row>
  </sheetData>
  <mergeCells count="3">
    <mergeCell ref="A2:V2"/>
    <mergeCell ref="B13:T13"/>
    <mergeCell ref="A1:V1"/>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N10"/>
  <sheetViews>
    <sheetView zoomScaleNormal="100" workbookViewId="0">
      <selection activeCell="A1" sqref="A1:L1"/>
    </sheetView>
  </sheetViews>
  <sheetFormatPr baseColWidth="8" defaultColWidth="8.6328125" defaultRowHeight="14.5"/>
  <cols>
    <col width="2.453125" customWidth="1" min="1" max="1"/>
    <col width="6" customWidth="1" min="2" max="2"/>
    <col width="40" customWidth="1" min="3" max="3"/>
    <col width="7" customWidth="1" min="4" max="4"/>
    <col width="11" customWidth="1" min="5" max="5"/>
    <col width="8" customWidth="1" min="6" max="6"/>
    <col width="10" customWidth="1" min="7" max="8"/>
    <col width="8" customWidth="1" min="9" max="13"/>
    <col width="40" customWidth="1" min="14" max="14"/>
  </cols>
  <sheetData>
    <row r="1" ht="25.5" customHeight="1">
      <c r="A1" s="8" t="inlineStr">
        <is>
          <t>Delivery streams  —  two streams, and a scope that shrinks 28.8% at Year 4</t>
        </is>
      </c>
    </row>
    <row r="2" ht="15" customHeight="1">
      <c r="A2" s="7" t="inlineStr">
        <is>
          <t>RESTATED. The estate is cut on platform versus records: VS1 is Pega for Claims plus OpenBatch — 2 applications, 60.482 units, both archetype D at a 78% offshore ceiling, and the home of all 22.6 MGCC units. VS2 is the other four. POS Workflow inside VS2 is 35.0 units and is marked RETIRE, so from Year 4 VS2 is 26.095 units and the domain baseline is 86.577.</t>
        </is>
      </c>
    </row>
    <row r="4" ht="15" customHeight="1">
      <c r="B4" s="11" t="inlineStr">
        <is>
          <t>Code</t>
        </is>
      </c>
      <c r="C4" s="11" t="inlineStr">
        <is>
          <t>Value stream</t>
        </is>
      </c>
      <c r="D4" s="11" t="inlineStr">
        <is>
          <t>Apps</t>
        </is>
      </c>
      <c r="E4" s="11" t="inlineStr">
        <is>
          <t>Effort</t>
        </is>
      </c>
      <c r="F4" s="11" t="inlineStr">
        <is>
          <t>Arch</t>
        </is>
      </c>
      <c r="G4" s="11" t="inlineStr">
        <is>
          <t>Mode today</t>
        </is>
      </c>
      <c r="H4" s="11" t="inlineStr">
        <is>
          <t>Agile from</t>
        </is>
      </c>
      <c r="I4" s="11" t="inlineStr">
        <is>
          <t>Y1 pods</t>
        </is>
      </c>
      <c r="J4" s="11" t="inlineStr">
        <is>
          <t>Y2</t>
        </is>
      </c>
      <c r="K4" s="11" t="inlineStr">
        <is>
          <t>Y3</t>
        </is>
      </c>
      <c r="L4" s="11" t="inlineStr">
        <is>
          <t>Y4</t>
        </is>
      </c>
      <c r="M4" s="11" t="inlineStr">
        <is>
          <t>Y5</t>
        </is>
      </c>
      <c r="N4" s="11" t="inlineStr">
        <is>
          <t>Vendor position today</t>
        </is>
      </c>
    </row>
    <row r="5" ht="15" customHeight="1">
      <c r="B5" s="18" t="inlineStr">
        <is>
          <t>VS1</t>
        </is>
      </c>
      <c r="C5" s="9" t="inlineStr">
        <is>
          <t>Claims Platform — Pega &amp; OpenBatch</t>
        </is>
      </c>
      <c r="D5" s="27" t="n">
        <v>2</v>
      </c>
      <c r="E5" s="42" t="n">
        <v>60.4821</v>
      </c>
      <c r="F5" s="43" t="inlineStr">
        <is>
          <t>D</t>
        </is>
      </c>
      <c r="G5" s="43" t="inlineStr">
        <is>
          <t>Agile / Hybrid</t>
        </is>
      </c>
      <c r="H5" s="43" t="inlineStr">
        <is>
          <t>Q1</t>
        </is>
      </c>
      <c r="I5" s="43" t="inlineStr">
        <is>
          <t>5p</t>
        </is>
      </c>
      <c r="J5" s="43" t="inlineStr">
        <is>
          <t>4p</t>
        </is>
      </c>
      <c r="K5" s="43" t="inlineStr">
        <is>
          <t>3p</t>
        </is>
      </c>
      <c r="L5" s="43" t="inlineStr">
        <is>
          <t>4p</t>
        </is>
      </c>
      <c r="M5" s="43" t="inlineStr">
        <is>
          <t>3p</t>
        </is>
      </c>
      <c r="N5" s="13" t="inlineStr">
        <is>
          <t>CG 29.1 · FSI 3.0 · MGCC 22.6</t>
        </is>
      </c>
    </row>
    <row r="6" ht="15" customHeight="1">
      <c r="B6" s="18" t="inlineStr">
        <is>
          <t>VS2</t>
        </is>
      </c>
      <c r="C6" s="9" t="inlineStr">
        <is>
          <t>Payment &amp; Records</t>
        </is>
      </c>
      <c r="D6" s="27" t="n">
        <v>4</v>
      </c>
      <c r="E6" s="42" t="n">
        <v>61.0913</v>
      </c>
      <c r="F6" s="43" t="inlineStr">
        <is>
          <t>D / J / T</t>
        </is>
      </c>
      <c r="G6" s="43" t="inlineStr">
        <is>
          <t>Waterfall</t>
        </is>
      </c>
      <c r="H6" s="43" t="inlineStr">
        <is>
          <t>Y4</t>
        </is>
      </c>
      <c r="I6" s="43" t="inlineStr">
        <is>
          <t>4t</t>
        </is>
      </c>
      <c r="J6" s="43" t="inlineStr">
        <is>
          <t>3t</t>
        </is>
      </c>
      <c r="K6" s="43" t="inlineStr">
        <is>
          <t>3t</t>
        </is>
      </c>
      <c r="L6" s="43" t="inlineStr">
        <is>
          <t>2p</t>
        </is>
      </c>
      <c r="M6" s="43" t="inlineStr">
        <is>
          <t>2p</t>
        </is>
      </c>
      <c r="N6" s="13" t="inlineStr">
        <is>
          <t>CG 49.4 · FSI 4.0</t>
        </is>
      </c>
    </row>
    <row r="7" ht="15" customHeight="1">
      <c r="B7" s="18" t="n"/>
      <c r="C7" s="9" t="n"/>
      <c r="D7" s="27" t="n"/>
      <c r="E7" s="42" t="n"/>
      <c r="F7" s="43" t="n"/>
      <c r="G7" s="43" t="n"/>
      <c r="H7" s="43" t="n"/>
      <c r="I7" s="43" t="n"/>
      <c r="J7" s="43" t="n"/>
      <c r="K7" s="43" t="n"/>
      <c r="L7" s="43" t="n"/>
      <c r="M7" s="43" t="n"/>
      <c r="N7" s="13" t="n"/>
    </row>
    <row r="8" ht="15" customHeight="1">
      <c r="C8" s="22" t="inlineStr">
        <is>
          <t>Total</t>
        </is>
      </c>
      <c r="D8" s="29">
        <f>SUM(D5:D6)</f>
        <v/>
      </c>
      <c r="E8" s="30">
        <f>SUM(E5:E6)</f>
        <v/>
      </c>
    </row>
    <row r="10" ht="21.75" customHeight="1">
      <c r="B10" s="19" t="inlineStr">
        <is>
          <t>Counts read 'p' for pods and 't' for 12-seat teams. VS1 pod size is 10 / 9 / 8 / 6 / 6; VS2 teams are 12 seats and its Year-4/5 pods are 6. All seven FSI seats sit inside the streams — three in VS1 (OpenBatch 2, Pega 1) and four in VS2 (POS Workflow 2, Annuity Info 2) — onshore Japan, tapering 7 / 7 / 7 / 5 / 4 as POS Workflow retires in Year 4 and one OpenBatch seat comes out in Year 5. Note that every MGCC unit in this 領域 sits on OpenBatch (18.146) and Pega (4.5), which is why the MGCC surplus has to sit in the horizontal layer: at 4.5 per pod it would push Capgemini below the 55% floor inside VS1.</t>
        </is>
      </c>
    </row>
  </sheetData>
  <mergeCells count="3">
    <mergeCell ref="A2:L2"/>
    <mergeCell ref="A1:L1"/>
    <mergeCell ref="B10:N10"/>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K161"/>
  <sheetViews>
    <sheetView zoomScaleNormal="100" workbookViewId="0">
      <selection activeCell="K5" sqref="K5:K14"/>
    </sheetView>
  </sheetViews>
  <sheetFormatPr baseColWidth="8" defaultColWidth="8.6328125" defaultRowHeight="14.5"/>
  <cols>
    <col width="2.453125" customWidth="1" min="1" max="1"/>
    <col width="6" customWidth="1" min="2" max="2"/>
    <col width="8" customWidth="1" min="3" max="3"/>
    <col width="7" customWidth="1" min="4" max="4"/>
    <col width="34" customWidth="1" min="5" max="5"/>
    <col width="7" customWidth="1" min="6" max="7"/>
    <col width="8" customWidth="1" min="8" max="8"/>
    <col width="9" customWidth="1" min="9" max="10"/>
    <col width="13" customWidth="1" min="11" max="11"/>
  </cols>
  <sheetData>
    <row r="1" ht="25.5" customHeight="1">
      <c r="A1" s="8" t="inlineStr">
        <is>
          <t>Pod library  —  every seat, per value stream, with MetLife’s role taxonomy and four sourcing types</t>
        </is>
      </c>
    </row>
    <row r="2" ht="15" customHeight="1">
      <c r="A2" s="7" t="inlineStr">
        <is>
          <t>INPUT. Two value streams. VS1 (Pega 14322 + OpenBatch 13820) runs as an agile POD in all five years. VS2 (POS Workflow 9835, Annuity Info 9857, Maturity &amp; Deferral 14423, My Number 11012) runs as a 12-seat TEAM to Year 3 and converts to PODs of 6 in Year 4, once POS Workflow retires. Sourcing FTC = Capgemini payroll · PT = FSI, onshore Japan on four named applications · FTE = MetLife Japan · MGCC. Only FTC can transfer. Column J is the seat ratio inside one unit; column K is the people hired across every instance of that unit in that year, and every one is a whole number or a half.</t>
        </is>
      </c>
    </row>
    <row r="4" ht="15" customHeight="1">
      <c r="B4" s="11" t="inlineStr">
        <is>
          <t>Year</t>
        </is>
      </c>
      <c r="C4" s="11" t="inlineStr">
        <is>
          <t>Unit</t>
        </is>
      </c>
      <c r="D4" s="11" t="inlineStr">
        <is>
          <t>Seat</t>
        </is>
      </c>
      <c r="E4" s="11" t="inlineStr">
        <is>
          <t>Role detail</t>
        </is>
      </c>
      <c r="F4" s="11" t="inlineStr">
        <is>
          <t>Role</t>
        </is>
      </c>
      <c r="G4" s="11" t="inlineStr">
        <is>
          <t>Exp</t>
        </is>
      </c>
      <c r="H4" s="11" t="inlineStr">
        <is>
          <t>Loc</t>
        </is>
      </c>
      <c r="I4" s="11" t="inlineStr">
        <is>
          <t>Sourcing</t>
        </is>
      </c>
      <c r="J4" s="11" t="inlineStr">
        <is>
          <t>Count</t>
        </is>
      </c>
      <c r="K4" s="11" t="inlineStr">
        <is>
          <t>People in the block</t>
        </is>
      </c>
    </row>
    <row r="5" ht="15" customHeight="1">
      <c r="B5" s="27" t="n">
        <v>1</v>
      </c>
      <c r="C5" s="18" t="inlineStr">
        <is>
          <t>POD</t>
        </is>
      </c>
      <c r="D5" s="27" t="n">
        <v>1</v>
      </c>
      <c r="E5" s="10" t="inlineStr">
        <is>
          <t>MetLife Claims Product Owner</t>
        </is>
      </c>
      <c r="F5" s="18" t="inlineStr">
        <is>
          <t>PM</t>
        </is>
      </c>
      <c r="G5" s="43" t="inlineStr">
        <is>
          <t>E4</t>
        </is>
      </c>
      <c r="H5" s="43" t="inlineStr">
        <is>
          <t>ON</t>
        </is>
      </c>
      <c r="I5" s="43" t="inlineStr">
        <is>
          <t>FTE</t>
        </is>
      </c>
      <c r="J5" s="25" t="n">
        <v>0.6</v>
      </c>
      <c r="K5" s="50">
        <f>J5*5</f>
        <v/>
      </c>
    </row>
    <row r="6" ht="15" customHeight="1">
      <c r="B6" s="27" t="n">
        <v>1</v>
      </c>
      <c r="C6" s="18" t="inlineStr">
        <is>
          <t>POD</t>
        </is>
      </c>
      <c r="D6" s="27" t="n">
        <v>2</v>
      </c>
      <c r="E6" s="10" t="inlineStr">
        <is>
          <t>MetLife Claims SME</t>
        </is>
      </c>
      <c r="F6" s="18" t="inlineStr">
        <is>
          <t>BSA</t>
        </is>
      </c>
      <c r="G6" s="43" t="inlineStr">
        <is>
          <t>E4</t>
        </is>
      </c>
      <c r="H6" s="43" t="inlineStr">
        <is>
          <t>ON</t>
        </is>
      </c>
      <c r="I6" s="43" t="inlineStr">
        <is>
          <t>FTE</t>
        </is>
      </c>
      <c r="J6" s="25" t="n">
        <v>0.4</v>
      </c>
      <c r="K6" s="50">
        <f>J6*5</f>
        <v/>
      </c>
    </row>
    <row r="7" ht="15" customHeight="1">
      <c r="B7" s="27" t="n">
        <v>1</v>
      </c>
      <c r="C7" s="18" t="inlineStr">
        <is>
          <t>POD</t>
        </is>
      </c>
      <c r="D7" s="27" t="n">
        <v>3</v>
      </c>
      <c r="E7" s="10" t="inlineStr">
        <is>
          <t>FSI OpenBatch Developer (JP) — EAI 13820</t>
        </is>
      </c>
      <c r="F7" s="18" t="inlineStr">
        <is>
          <t>DEV</t>
        </is>
      </c>
      <c r="G7" s="43" t="inlineStr">
        <is>
          <t>E3</t>
        </is>
      </c>
      <c r="H7" s="43" t="inlineStr">
        <is>
          <t>ON</t>
        </is>
      </c>
      <c r="I7" s="43" t="inlineStr">
        <is>
          <t>PT</t>
        </is>
      </c>
      <c r="J7" s="25" t="n">
        <v>0.4</v>
      </c>
      <c r="K7" s="50">
        <f>J7*5</f>
        <v/>
      </c>
    </row>
    <row r="8" ht="15" customHeight="1">
      <c r="B8" s="27" t="n">
        <v>1</v>
      </c>
      <c r="C8" s="18" t="inlineStr">
        <is>
          <t>POD</t>
        </is>
      </c>
      <c r="D8" s="27" t="n">
        <v>4</v>
      </c>
      <c r="E8" s="10" t="inlineStr">
        <is>
          <t>FSI Pega Analyst (JP) — EAI 14322</t>
        </is>
      </c>
      <c r="F8" s="18" t="inlineStr">
        <is>
          <t>BSA</t>
        </is>
      </c>
      <c r="G8" s="43" t="inlineStr">
        <is>
          <t>E3</t>
        </is>
      </c>
      <c r="H8" s="43" t="inlineStr">
        <is>
          <t>ON</t>
        </is>
      </c>
      <c r="I8" s="43" t="inlineStr">
        <is>
          <t>PT</t>
        </is>
      </c>
      <c r="J8" s="25" t="n">
        <v>0.2</v>
      </c>
      <c r="K8" s="50">
        <f>J8*5</f>
        <v/>
      </c>
    </row>
    <row r="9" ht="15" customHeight="1">
      <c r="B9" s="27" t="n">
        <v>1</v>
      </c>
      <c r="C9" s="18" t="inlineStr">
        <is>
          <t>POD</t>
        </is>
      </c>
      <c r="D9" s="27" t="n">
        <v>5</v>
      </c>
      <c r="E9" s="10" t="inlineStr">
        <is>
          <t>Business Analyst (bilingual) — Claims Platform</t>
        </is>
      </c>
      <c r="F9" s="18" t="inlineStr">
        <is>
          <t>BSA</t>
        </is>
      </c>
      <c r="G9" s="43" t="inlineStr">
        <is>
          <t>E3</t>
        </is>
      </c>
      <c r="H9" s="43" t="inlineStr">
        <is>
          <t>ON</t>
        </is>
      </c>
      <c r="I9" s="43" t="inlineStr">
        <is>
          <t>FTC</t>
        </is>
      </c>
      <c r="J9" s="25" t="n">
        <v>0.6</v>
      </c>
      <c r="K9" s="50">
        <f>J9*5</f>
        <v/>
      </c>
    </row>
    <row r="10" ht="15" customHeight="1">
      <c r="B10" s="27" t="n">
        <v>1</v>
      </c>
      <c r="C10" s="18" t="inlineStr">
        <is>
          <t>POD</t>
        </is>
      </c>
      <c r="D10" s="27" t="n">
        <v>6</v>
      </c>
      <c r="E10" s="10" t="inlineStr">
        <is>
          <t>Pod lead / senior engineer — Claims Platform</t>
        </is>
      </c>
      <c r="F10" s="18" t="inlineStr">
        <is>
          <t>DEV</t>
        </is>
      </c>
      <c r="G10" s="43" t="inlineStr">
        <is>
          <t>E4</t>
        </is>
      </c>
      <c r="H10" s="43" t="inlineStr">
        <is>
          <t>ON</t>
        </is>
      </c>
      <c r="I10" s="43" t="inlineStr">
        <is>
          <t>FTC</t>
        </is>
      </c>
      <c r="J10" s="25" t="n">
        <v>1</v>
      </c>
      <c r="K10" s="50">
        <f>J10*5</f>
        <v/>
      </c>
    </row>
    <row r="11" ht="15" customHeight="1">
      <c r="B11" s="27" t="n">
        <v>1</v>
      </c>
      <c r="C11" s="18" t="inlineStr">
        <is>
          <t>POD</t>
        </is>
      </c>
      <c r="D11" s="27" t="n">
        <v>7</v>
      </c>
      <c r="E11" s="10" t="inlineStr">
        <is>
          <t>Senior Claims Engineer</t>
        </is>
      </c>
      <c r="F11" s="18" t="inlineStr">
        <is>
          <t>DEV</t>
        </is>
      </c>
      <c r="G11" s="43" t="inlineStr">
        <is>
          <t>E3</t>
        </is>
      </c>
      <c r="H11" s="43" t="inlineStr">
        <is>
          <t>ON</t>
        </is>
      </c>
      <c r="I11" s="43" t="inlineStr">
        <is>
          <t>FTC</t>
        </is>
      </c>
      <c r="J11" s="25" t="n">
        <v>1.2</v>
      </c>
      <c r="K11" s="50">
        <f>J11*5</f>
        <v/>
      </c>
    </row>
    <row r="12" ht="15" customHeight="1">
      <c r="B12" s="27" t="n">
        <v>1</v>
      </c>
      <c r="C12" s="18" t="inlineStr">
        <is>
          <t>POD</t>
        </is>
      </c>
      <c r="D12" s="27" t="n">
        <v>8</v>
      </c>
      <c r="E12" s="10" t="inlineStr">
        <is>
          <t>Junior Claims Engineer</t>
        </is>
      </c>
      <c r="F12" s="18" t="inlineStr">
        <is>
          <t>DEV</t>
        </is>
      </c>
      <c r="G12" s="43" t="inlineStr">
        <is>
          <t>E2</t>
        </is>
      </c>
      <c r="H12" s="43" t="inlineStr">
        <is>
          <t>ON</t>
        </is>
      </c>
      <c r="I12" s="43" t="inlineStr">
        <is>
          <t>FTC</t>
        </is>
      </c>
      <c r="J12" s="25" t="n">
        <v>1</v>
      </c>
      <c r="K12" s="50">
        <f>J12*5</f>
        <v/>
      </c>
    </row>
    <row r="13" ht="15" customHeight="1">
      <c r="B13" s="27" t="n">
        <v>1</v>
      </c>
      <c r="C13" s="18" t="inlineStr">
        <is>
          <t>POD</t>
        </is>
      </c>
      <c r="D13" s="27" t="n">
        <v>9</v>
      </c>
      <c r="E13" s="10" t="inlineStr">
        <is>
          <t>Quality Engineer (SDET)</t>
        </is>
      </c>
      <c r="F13" s="18" t="inlineStr">
        <is>
          <t>TEST</t>
        </is>
      </c>
      <c r="G13" s="43" t="inlineStr">
        <is>
          <t>E2</t>
        </is>
      </c>
      <c r="H13" s="43" t="inlineStr">
        <is>
          <t>ON</t>
        </is>
      </c>
      <c r="I13" s="43" t="inlineStr">
        <is>
          <t>FTC</t>
        </is>
      </c>
      <c r="J13" s="25" t="n">
        <v>0.6</v>
      </c>
      <c r="K13" s="50">
        <f>J13*5</f>
        <v/>
      </c>
    </row>
    <row r="14" ht="15" customHeight="1">
      <c r="B14" s="27" t="n">
        <v>1</v>
      </c>
      <c r="C14" s="18" t="inlineStr">
        <is>
          <t>POD</t>
        </is>
      </c>
      <c r="D14" s="27" t="n">
        <v>10</v>
      </c>
      <c r="E14" s="10" t="inlineStr">
        <is>
          <t>Solution Architect — Claims Platform</t>
        </is>
      </c>
      <c r="F14" s="18" t="inlineStr">
        <is>
          <t>OTH</t>
        </is>
      </c>
      <c r="G14" s="43" t="inlineStr">
        <is>
          <t>E4</t>
        </is>
      </c>
      <c r="H14" s="43" t="inlineStr">
        <is>
          <t>ON</t>
        </is>
      </c>
      <c r="I14" s="43" t="inlineStr">
        <is>
          <t>FTC</t>
        </is>
      </c>
      <c r="J14" s="25" t="n">
        <v>0.4</v>
      </c>
      <c r="K14" s="50">
        <f>J14*5</f>
        <v/>
      </c>
    </row>
    <row r="15" ht="34.5" customHeight="1">
      <c r="B15" s="27" t="n">
        <v>1</v>
      </c>
      <c r="C15" s="18" t="inlineStr">
        <is>
          <t>POD</t>
        </is>
      </c>
      <c r="D15" s="27" t="n">
        <v>11</v>
      </c>
      <c r="E15" s="10" t="inlineStr">
        <is>
          <t>Junior Claims Engineer — offshore</t>
        </is>
      </c>
      <c r="F15" s="18" t="inlineStr">
        <is>
          <t>DEV</t>
        </is>
      </c>
      <c r="G15" s="43" t="inlineStr">
        <is>
          <t>E2</t>
        </is>
      </c>
      <c r="H15" s="43" t="inlineStr">
        <is>
          <t>OFF</t>
        </is>
      </c>
      <c r="I15" s="43" t="inlineStr">
        <is>
          <t>FTC</t>
        </is>
      </c>
      <c r="J15" s="25" t="n">
        <v>0.2</v>
      </c>
      <c r="K15" s="50">
        <f>J15*5</f>
        <v/>
      </c>
    </row>
    <row r="16">
      <c r="B16" s="27" t="n">
        <v>1</v>
      </c>
      <c r="C16" s="18" t="inlineStr">
        <is>
          <t>POD</t>
        </is>
      </c>
      <c r="D16" s="27" t="n">
        <v>12</v>
      </c>
      <c r="E16" s="10" t="inlineStr">
        <is>
          <t>Graduate Claims Engineer — offshore</t>
        </is>
      </c>
      <c r="F16" s="18" t="inlineStr">
        <is>
          <t>DEV</t>
        </is>
      </c>
      <c r="G16" s="43" t="inlineStr">
        <is>
          <t>E1</t>
        </is>
      </c>
      <c r="H16" s="43" t="inlineStr">
        <is>
          <t>OFF</t>
        </is>
      </c>
      <c r="I16" s="43" t="inlineStr">
        <is>
          <t>FTC</t>
        </is>
      </c>
      <c r="J16" s="25" t="n">
        <v>0.2</v>
      </c>
      <c r="K16" s="50">
        <f>J16*5</f>
        <v/>
      </c>
    </row>
    <row r="17" ht="15" customHeight="1">
      <c r="B17" s="27" t="n">
        <v>1</v>
      </c>
      <c r="C17" s="18" t="inlineStr">
        <is>
          <t>POD</t>
        </is>
      </c>
      <c r="D17" s="27" t="n">
        <v>13</v>
      </c>
      <c r="E17" s="10" t="inlineStr">
        <is>
          <t>Junior Quality Engineer — offshore</t>
        </is>
      </c>
      <c r="F17" s="18" t="inlineStr">
        <is>
          <t>TEST</t>
        </is>
      </c>
      <c r="G17" s="43" t="inlineStr">
        <is>
          <t>E1</t>
        </is>
      </c>
      <c r="H17" s="43" t="inlineStr">
        <is>
          <t>OFF</t>
        </is>
      </c>
      <c r="I17" s="43" t="inlineStr">
        <is>
          <t>FTC</t>
        </is>
      </c>
      <c r="J17" s="25" t="n">
        <v>0.1</v>
      </c>
      <c r="K17" s="50">
        <f>J17*5</f>
        <v/>
      </c>
    </row>
    <row r="18" ht="15" customHeight="1">
      <c r="B18" s="27" t="n">
        <v>1</v>
      </c>
      <c r="C18" s="18" t="inlineStr">
        <is>
          <t>POD</t>
        </is>
      </c>
      <c r="D18" s="27" t="n">
        <v>14</v>
      </c>
      <c r="E18" s="10" t="inlineStr">
        <is>
          <t>Application Support — offshore</t>
        </is>
      </c>
      <c r="F18" s="18" t="inlineStr">
        <is>
          <t>MNT</t>
        </is>
      </c>
      <c r="G18" s="43" t="inlineStr">
        <is>
          <t>E2</t>
        </is>
      </c>
      <c r="H18" s="43" t="inlineStr">
        <is>
          <t>OFF</t>
        </is>
      </c>
      <c r="I18" s="43" t="inlineStr">
        <is>
          <t>FTC</t>
        </is>
      </c>
      <c r="J18" s="25" t="n">
        <v>0.1</v>
      </c>
      <c r="K18" s="50">
        <f>J18*5</f>
        <v/>
      </c>
    </row>
    <row r="19" ht="15" customHeight="1">
      <c r="B19" s="27" t="n">
        <v>1</v>
      </c>
      <c r="C19" s="18" t="inlineStr">
        <is>
          <t>POD</t>
        </is>
      </c>
      <c r="D19" s="27" t="n">
        <v>15</v>
      </c>
      <c r="E19" s="10" t="inlineStr">
        <is>
          <t>MGCC Claims Engineer</t>
        </is>
      </c>
      <c r="F19" s="18" t="inlineStr">
        <is>
          <t>DEV</t>
        </is>
      </c>
      <c r="G19" s="43" t="inlineStr">
        <is>
          <t>E3</t>
        </is>
      </c>
      <c r="H19" s="43" t="inlineStr">
        <is>
          <t>OFF</t>
        </is>
      </c>
      <c r="I19" s="43" t="inlineStr">
        <is>
          <t>MGCC</t>
        </is>
      </c>
      <c r="J19" s="25" t="n">
        <v>2</v>
      </c>
      <c r="K19" s="50">
        <f>J19*5</f>
        <v/>
      </c>
    </row>
    <row r="20" ht="15" customHeight="1">
      <c r="B20" s="27" t="n">
        <v>1</v>
      </c>
      <c r="C20" s="18" t="inlineStr">
        <is>
          <t>POD</t>
        </is>
      </c>
      <c r="D20" s="27" t="n">
        <v>16</v>
      </c>
      <c r="E20" s="10" t="inlineStr">
        <is>
          <t>MGCC Quality Engineer</t>
        </is>
      </c>
      <c r="F20" s="18" t="inlineStr">
        <is>
          <t>TEST</t>
        </is>
      </c>
      <c r="G20" s="43" t="inlineStr">
        <is>
          <t>E2</t>
        </is>
      </c>
      <c r="H20" s="43" t="inlineStr">
        <is>
          <t>OFF</t>
        </is>
      </c>
      <c r="I20" s="43" t="inlineStr">
        <is>
          <t>MGCC</t>
        </is>
      </c>
      <c r="J20" s="25" t="n">
        <v>1</v>
      </c>
      <c r="K20" s="50">
        <f>J20*5</f>
        <v/>
      </c>
    </row>
    <row r="21" ht="15" customHeight="1">
      <c r="B21" s="27" t="n"/>
      <c r="C21" s="18" t="n"/>
      <c r="D21" s="22" t="inlineStr">
        <is>
          <t>POD size — Year 1 · VS1</t>
        </is>
      </c>
      <c r="E21" s="10" t="n"/>
      <c r="F21" s="18" t="n"/>
      <c r="G21" s="43" t="n"/>
      <c r="H21" s="43" t="n"/>
      <c r="I21" s="43" t="n"/>
      <c r="J21" s="30">
        <f>SUM(J5:J20)</f>
        <v/>
      </c>
      <c r="K21" s="71">
        <f>SUM(K5:K20)</f>
        <v/>
      </c>
    </row>
    <row r="22" ht="15" customHeight="1">
      <c r="B22" s="27" t="n"/>
      <c r="C22" s="18" t="n"/>
      <c r="D22" s="27" t="n"/>
      <c r="E22" s="10" t="n"/>
      <c r="F22" s="18" t="n"/>
      <c r="G22" s="43" t="n"/>
      <c r="H22" s="43" t="n"/>
      <c r="I22" s="43" t="n"/>
      <c r="J22" s="49" t="n"/>
      <c r="K22" s="50" t="n"/>
    </row>
    <row r="23" ht="15" customHeight="1">
      <c r="B23" s="27" t="n">
        <v>1</v>
      </c>
      <c r="C23" s="18" t="inlineStr">
        <is>
          <t>TEAM</t>
        </is>
      </c>
      <c r="D23" s="27" t="n">
        <v>1</v>
      </c>
      <c r="E23" s="10" t="inlineStr">
        <is>
          <t>MetLife Payments Product Owner</t>
        </is>
      </c>
      <c r="F23" s="18" t="inlineStr">
        <is>
          <t>PM</t>
        </is>
      </c>
      <c r="G23" s="43" t="inlineStr">
        <is>
          <t>E4</t>
        </is>
      </c>
      <c r="H23" s="43" t="inlineStr">
        <is>
          <t>ON</t>
        </is>
      </c>
      <c r="I23" s="43" t="inlineStr">
        <is>
          <t>FTE</t>
        </is>
      </c>
      <c r="J23" s="25" t="n">
        <v>0.5</v>
      </c>
      <c r="K23" s="50">
        <f>J23*4</f>
        <v/>
      </c>
    </row>
    <row r="24" ht="15" customHeight="1">
      <c r="B24" s="27" t="n">
        <v>1</v>
      </c>
      <c r="C24" s="18" t="inlineStr">
        <is>
          <t>TEAM</t>
        </is>
      </c>
      <c r="D24" s="27" t="n">
        <v>2</v>
      </c>
      <c r="E24" s="10" t="inlineStr">
        <is>
          <t>MetLife Payments Operations Analyst</t>
        </is>
      </c>
      <c r="F24" s="18" t="inlineStr">
        <is>
          <t>MNT</t>
        </is>
      </c>
      <c r="G24" s="43" t="inlineStr">
        <is>
          <t>E3</t>
        </is>
      </c>
      <c r="H24" s="43" t="inlineStr">
        <is>
          <t>ON</t>
        </is>
      </c>
      <c r="I24" s="43" t="inlineStr">
        <is>
          <t>FTE</t>
        </is>
      </c>
      <c r="J24" s="25" t="n">
        <v>0.375</v>
      </c>
      <c r="K24" s="50">
        <f>J24*4</f>
        <v/>
      </c>
    </row>
    <row r="25" ht="15" customHeight="1">
      <c r="B25" s="27" t="n">
        <v>1</v>
      </c>
      <c r="C25" s="18" t="inlineStr">
        <is>
          <t>TEAM</t>
        </is>
      </c>
      <c r="D25" s="27" t="n">
        <v>3</v>
      </c>
      <c r="E25" s="10" t="inlineStr">
        <is>
          <t>FSI POS Workflow Developer (JP) — EAI 9835</t>
        </is>
      </c>
      <c r="F25" s="18" t="inlineStr">
        <is>
          <t>DEV</t>
        </is>
      </c>
      <c r="G25" s="43" t="inlineStr">
        <is>
          <t>E3</t>
        </is>
      </c>
      <c r="H25" s="43" t="inlineStr">
        <is>
          <t>ON</t>
        </is>
      </c>
      <c r="I25" s="43" t="inlineStr">
        <is>
          <t>PT</t>
        </is>
      </c>
      <c r="J25" s="25" t="n">
        <v>0.5</v>
      </c>
      <c r="K25" s="50">
        <f>J25*4</f>
        <v/>
      </c>
    </row>
    <row r="26" ht="15" customHeight="1">
      <c r="B26" s="27" t="n">
        <v>1</v>
      </c>
      <c r="C26" s="18" t="inlineStr">
        <is>
          <t>TEAM</t>
        </is>
      </c>
      <c r="D26" s="27" t="n">
        <v>4</v>
      </c>
      <c r="E26" s="10" t="inlineStr">
        <is>
          <t>FSI Annuity Info Analyst (JP) — EAI 9857</t>
        </is>
      </c>
      <c r="F26" s="18" t="inlineStr">
        <is>
          <t>BSA</t>
        </is>
      </c>
      <c r="G26" s="43" t="inlineStr">
        <is>
          <t>E3</t>
        </is>
      </c>
      <c r="H26" s="43" t="inlineStr">
        <is>
          <t>ON</t>
        </is>
      </c>
      <c r="I26" s="43" t="inlineStr">
        <is>
          <t>PT</t>
        </is>
      </c>
      <c r="J26" s="25" t="n">
        <v>0.5</v>
      </c>
      <c r="K26" s="50">
        <f>J26*4</f>
        <v/>
      </c>
    </row>
    <row r="27" ht="15" customHeight="1">
      <c r="B27" s="27" t="n">
        <v>1</v>
      </c>
      <c r="C27" s="18" t="inlineStr">
        <is>
          <t>TEAM</t>
        </is>
      </c>
      <c r="D27" s="27" t="n">
        <v>5</v>
      </c>
      <c r="E27" s="10" t="inlineStr">
        <is>
          <t>Business Analyst (bilingual) — Payments</t>
        </is>
      </c>
      <c r="F27" s="18" t="inlineStr">
        <is>
          <t>BSA</t>
        </is>
      </c>
      <c r="G27" s="43" t="inlineStr">
        <is>
          <t>E3</t>
        </is>
      </c>
      <c r="H27" s="43" t="inlineStr">
        <is>
          <t>ON</t>
        </is>
      </c>
      <c r="I27" s="43" t="inlineStr">
        <is>
          <t>FTC</t>
        </is>
      </c>
      <c r="J27" s="25" t="n">
        <v>0.75</v>
      </c>
      <c r="K27" s="50">
        <f>J27*4</f>
        <v/>
      </c>
    </row>
    <row r="28" ht="15" customHeight="1">
      <c r="B28" s="27" t="n">
        <v>1</v>
      </c>
      <c r="C28" s="18" t="inlineStr">
        <is>
          <t>TEAM</t>
        </is>
      </c>
      <c r="D28" s="27" t="n">
        <v>6</v>
      </c>
      <c r="E28" s="10" t="inlineStr">
        <is>
          <t>Team lead / senior engineer — Payments</t>
        </is>
      </c>
      <c r="F28" s="18" t="inlineStr">
        <is>
          <t>DEV</t>
        </is>
      </c>
      <c r="G28" s="43" t="inlineStr">
        <is>
          <t>E4</t>
        </is>
      </c>
      <c r="H28" s="43" t="inlineStr">
        <is>
          <t>ON</t>
        </is>
      </c>
      <c r="I28" s="43" t="inlineStr">
        <is>
          <t>FTC</t>
        </is>
      </c>
      <c r="J28" s="25" t="n">
        <v>1</v>
      </c>
      <c r="K28" s="50">
        <f>J28*4</f>
        <v/>
      </c>
    </row>
    <row r="29" ht="34.5" customHeight="1">
      <c r="B29" s="27" t="n">
        <v>1</v>
      </c>
      <c r="C29" s="18" t="inlineStr">
        <is>
          <t>TEAM</t>
        </is>
      </c>
      <c r="D29" s="27" t="n">
        <v>7</v>
      </c>
      <c r="E29" s="10" t="inlineStr">
        <is>
          <t>Senior Application Developer (VB.NET / C++ / Java)</t>
        </is>
      </c>
      <c r="F29" s="18" t="inlineStr">
        <is>
          <t>DEV</t>
        </is>
      </c>
      <c r="G29" s="43" t="inlineStr">
        <is>
          <t>E3</t>
        </is>
      </c>
      <c r="H29" s="43" t="inlineStr">
        <is>
          <t>ON</t>
        </is>
      </c>
      <c r="I29" s="43" t="inlineStr">
        <is>
          <t>FTC</t>
        </is>
      </c>
      <c r="J29" s="25" t="n">
        <v>2.5</v>
      </c>
      <c r="K29" s="50">
        <f>J29*4</f>
        <v/>
      </c>
    </row>
    <row r="30">
      <c r="B30" s="27" t="n">
        <v>1</v>
      </c>
      <c r="C30" s="18" t="inlineStr">
        <is>
          <t>TEAM</t>
        </is>
      </c>
      <c r="D30" s="27" t="n">
        <v>8</v>
      </c>
      <c r="E30" s="10" t="inlineStr">
        <is>
          <t>Junior Application Developer</t>
        </is>
      </c>
      <c r="F30" s="18" t="inlineStr">
        <is>
          <t>DEV</t>
        </is>
      </c>
      <c r="G30" s="43" t="inlineStr">
        <is>
          <t>E2</t>
        </is>
      </c>
      <c r="H30" s="43" t="inlineStr">
        <is>
          <t>ON</t>
        </is>
      </c>
      <c r="I30" s="43" t="inlineStr">
        <is>
          <t>FTC</t>
        </is>
      </c>
      <c r="J30" s="25" t="n">
        <v>1.5</v>
      </c>
      <c r="K30" s="50">
        <f>J30*4</f>
        <v/>
      </c>
    </row>
    <row r="31" ht="15" customHeight="1">
      <c r="B31" s="27" t="n">
        <v>1</v>
      </c>
      <c r="C31" s="18" t="inlineStr">
        <is>
          <t>TEAM</t>
        </is>
      </c>
      <c r="D31" s="27" t="n">
        <v>9</v>
      </c>
      <c r="E31" s="10" t="inlineStr">
        <is>
          <t>Test Analyst</t>
        </is>
      </c>
      <c r="F31" s="18" t="inlineStr">
        <is>
          <t>TEST</t>
        </is>
      </c>
      <c r="G31" s="43" t="inlineStr">
        <is>
          <t>E3</t>
        </is>
      </c>
      <c r="H31" s="43" t="inlineStr">
        <is>
          <t>ON</t>
        </is>
      </c>
      <c r="I31" s="43" t="inlineStr">
        <is>
          <t>FTC</t>
        </is>
      </c>
      <c r="J31" s="25" t="n">
        <v>0.875</v>
      </c>
      <c r="K31" s="50">
        <f>J31*4</f>
        <v/>
      </c>
    </row>
    <row r="32" ht="15" customHeight="1">
      <c r="B32" s="27" t="n">
        <v>1</v>
      </c>
      <c r="C32" s="18" t="inlineStr">
        <is>
          <t>TEAM</t>
        </is>
      </c>
      <c r="D32" s="27" t="n">
        <v>10</v>
      </c>
      <c r="E32" s="10" t="inlineStr">
        <is>
          <t>Application Support (L2) — Tokyo</t>
        </is>
      </c>
      <c r="F32" s="18" t="inlineStr">
        <is>
          <t>MNT</t>
        </is>
      </c>
      <c r="G32" s="43" t="inlineStr">
        <is>
          <t>E2</t>
        </is>
      </c>
      <c r="H32" s="43" t="inlineStr">
        <is>
          <t>ON</t>
        </is>
      </c>
      <c r="I32" s="43" t="inlineStr">
        <is>
          <t>FTC</t>
        </is>
      </c>
      <c r="J32" s="25" t="n">
        <v>0.625</v>
      </c>
      <c r="K32" s="50">
        <f>J32*4</f>
        <v/>
      </c>
    </row>
    <row r="33" ht="15" customHeight="1">
      <c r="B33" s="27" t="n">
        <v>1</v>
      </c>
      <c r="C33" s="18" t="inlineStr">
        <is>
          <t>TEAM</t>
        </is>
      </c>
      <c r="D33" s="27" t="n">
        <v>11</v>
      </c>
      <c r="E33" s="10" t="inlineStr">
        <is>
          <t>Technical Lead / design authority — Payments</t>
        </is>
      </c>
      <c r="F33" s="18" t="inlineStr">
        <is>
          <t>OTH</t>
        </is>
      </c>
      <c r="G33" s="43" t="inlineStr">
        <is>
          <t>E4</t>
        </is>
      </c>
      <c r="H33" s="43" t="inlineStr">
        <is>
          <t>ON</t>
        </is>
      </c>
      <c r="I33" s="43" t="inlineStr">
        <is>
          <t>FTC</t>
        </is>
      </c>
      <c r="J33" s="25" t="n">
        <v>0.25</v>
      </c>
      <c r="K33" s="50">
        <f>J33*4</f>
        <v/>
      </c>
    </row>
    <row r="34" ht="15" customHeight="1">
      <c r="B34" s="27" t="n">
        <v>1</v>
      </c>
      <c r="C34" s="18" t="inlineStr">
        <is>
          <t>TEAM</t>
        </is>
      </c>
      <c r="D34" s="27" t="n">
        <v>12</v>
      </c>
      <c r="E34" s="10" t="inlineStr">
        <is>
          <t>Senior Application Developer — nearshore</t>
        </is>
      </c>
      <c r="F34" s="18" t="inlineStr">
        <is>
          <t>DEV</t>
        </is>
      </c>
      <c r="G34" s="43" t="inlineStr">
        <is>
          <t>E3</t>
        </is>
      </c>
      <c r="H34" s="43" t="inlineStr">
        <is>
          <t>NEAR</t>
        </is>
      </c>
      <c r="I34" s="43" t="inlineStr">
        <is>
          <t>FTC</t>
        </is>
      </c>
      <c r="J34" s="25" t="n">
        <v>1.875</v>
      </c>
      <c r="K34" s="50">
        <f>J34*4</f>
        <v/>
      </c>
    </row>
    <row r="35" ht="15" customHeight="1">
      <c r="B35" s="27" t="n">
        <v>1</v>
      </c>
      <c r="C35" s="18" t="inlineStr">
        <is>
          <t>TEAM</t>
        </is>
      </c>
      <c r="D35" s="27" t="n">
        <v>13</v>
      </c>
      <c r="E35" s="10" t="inlineStr">
        <is>
          <t>Test Engineer — nearshore</t>
        </is>
      </c>
      <c r="F35" s="18" t="inlineStr">
        <is>
          <t>TEST</t>
        </is>
      </c>
      <c r="G35" s="43" t="inlineStr">
        <is>
          <t>E2</t>
        </is>
      </c>
      <c r="H35" s="43" t="inlineStr">
        <is>
          <t>NEAR</t>
        </is>
      </c>
      <c r="I35" s="43" t="inlineStr">
        <is>
          <t>FTC</t>
        </is>
      </c>
      <c r="J35" s="25" t="n">
        <v>0.5</v>
      </c>
      <c r="K35" s="50">
        <f>J35*4</f>
        <v/>
      </c>
    </row>
    <row r="36" ht="15" customHeight="1">
      <c r="B36" s="27" t="n">
        <v>1</v>
      </c>
      <c r="C36" s="18" t="inlineStr">
        <is>
          <t>TEAM</t>
        </is>
      </c>
      <c r="D36" s="27" t="n">
        <v>14</v>
      </c>
      <c r="E36" s="10" t="inlineStr">
        <is>
          <t>Junior Application Developer — offshore</t>
        </is>
      </c>
      <c r="F36" s="18" t="inlineStr">
        <is>
          <t>DEV</t>
        </is>
      </c>
      <c r="G36" s="43" t="inlineStr">
        <is>
          <t>E2</t>
        </is>
      </c>
      <c r="H36" s="43" t="inlineStr">
        <is>
          <t>OFF</t>
        </is>
      </c>
      <c r="I36" s="43" t="inlineStr">
        <is>
          <t>FTC</t>
        </is>
      </c>
      <c r="J36" s="25" t="n">
        <v>0.25</v>
      </c>
      <c r="K36" s="50">
        <f>J36*4</f>
        <v/>
      </c>
    </row>
    <row r="37" ht="15" customHeight="1">
      <c r="B37" s="27" t="n"/>
      <c r="C37" s="18" t="n"/>
      <c r="D37" s="22" t="inlineStr">
        <is>
          <t>TEAM size — Year 1 · VS2</t>
        </is>
      </c>
      <c r="E37" s="10" t="n"/>
      <c r="F37" s="18" t="n"/>
      <c r="G37" s="43" t="n"/>
      <c r="H37" s="43" t="n"/>
      <c r="I37" s="43" t="n"/>
      <c r="J37" s="30">
        <f>SUM(J23:J36)</f>
        <v/>
      </c>
      <c r="K37" s="71">
        <f>SUM(K23:K36)</f>
        <v/>
      </c>
    </row>
    <row r="38" ht="15" customHeight="1">
      <c r="B38" s="27" t="n"/>
      <c r="C38" s="18" t="n"/>
      <c r="D38" s="27" t="n"/>
      <c r="E38" s="10" t="n"/>
      <c r="F38" s="18" t="n"/>
      <c r="G38" s="43" t="n"/>
      <c r="H38" s="43" t="n"/>
      <c r="I38" s="43" t="n"/>
      <c r="J38" s="49" t="n"/>
      <c r="K38" s="50" t="n"/>
    </row>
    <row r="39" ht="15" customHeight="1">
      <c r="B39" s="27" t="n">
        <v>2</v>
      </c>
      <c r="C39" s="18" t="inlineStr">
        <is>
          <t>POD</t>
        </is>
      </c>
      <c r="D39" s="27" t="n">
        <v>1</v>
      </c>
      <c r="E39" s="10" t="inlineStr">
        <is>
          <t>MetLife Claims Product Owner</t>
        </is>
      </c>
      <c r="F39" s="18" t="inlineStr">
        <is>
          <t>PM</t>
        </is>
      </c>
      <c r="G39" s="43" t="inlineStr">
        <is>
          <t>E4</t>
        </is>
      </c>
      <c r="H39" s="43" t="inlineStr">
        <is>
          <t>ON</t>
        </is>
      </c>
      <c r="I39" s="43" t="inlineStr">
        <is>
          <t>FTE</t>
        </is>
      </c>
      <c r="J39" s="25" t="n">
        <v>0.5</v>
      </c>
      <c r="K39" s="50">
        <f>J39*4</f>
        <v/>
      </c>
    </row>
    <row r="40" ht="15" customHeight="1">
      <c r="B40" s="27" t="n">
        <v>2</v>
      </c>
      <c r="C40" s="18" t="inlineStr">
        <is>
          <t>POD</t>
        </is>
      </c>
      <c r="D40" s="27" t="n">
        <v>2</v>
      </c>
      <c r="E40" s="10" t="inlineStr">
        <is>
          <t>MetLife Claims SME</t>
        </is>
      </c>
      <c r="F40" s="18" t="inlineStr">
        <is>
          <t>BSA</t>
        </is>
      </c>
      <c r="G40" s="43" t="inlineStr">
        <is>
          <t>E4</t>
        </is>
      </c>
      <c r="H40" s="43" t="inlineStr">
        <is>
          <t>ON</t>
        </is>
      </c>
      <c r="I40" s="43" t="inlineStr">
        <is>
          <t>FTE</t>
        </is>
      </c>
      <c r="J40" s="25" t="n">
        <v>0.5</v>
      </c>
      <c r="K40" s="50">
        <f>J40*4</f>
        <v/>
      </c>
    </row>
    <row r="41" ht="34.5" customHeight="1">
      <c r="B41" s="27" t="n">
        <v>2</v>
      </c>
      <c r="C41" s="18" t="inlineStr">
        <is>
          <t>POD</t>
        </is>
      </c>
      <c r="D41" s="27" t="n">
        <v>3</v>
      </c>
      <c r="E41" s="10" t="inlineStr">
        <is>
          <t>FSI OpenBatch Developer (JP) — EAI 13820</t>
        </is>
      </c>
      <c r="F41" s="18" t="inlineStr">
        <is>
          <t>DEV</t>
        </is>
      </c>
      <c r="G41" s="43" t="inlineStr">
        <is>
          <t>E3</t>
        </is>
      </c>
      <c r="H41" s="43" t="inlineStr">
        <is>
          <t>ON</t>
        </is>
      </c>
      <c r="I41" s="43" t="inlineStr">
        <is>
          <t>PT</t>
        </is>
      </c>
      <c r="J41" s="25" t="n">
        <v>0.5</v>
      </c>
      <c r="K41" s="50">
        <f>J41*4</f>
        <v/>
      </c>
    </row>
    <row r="42">
      <c r="B42" s="27" t="n">
        <v>2</v>
      </c>
      <c r="C42" s="18" t="inlineStr">
        <is>
          <t>POD</t>
        </is>
      </c>
      <c r="D42" s="27" t="n">
        <v>4</v>
      </c>
      <c r="E42" s="10" t="inlineStr">
        <is>
          <t>FSI Pega Analyst (JP) — EAI 14322</t>
        </is>
      </c>
      <c r="F42" s="18" t="inlineStr">
        <is>
          <t>BSA</t>
        </is>
      </c>
      <c r="G42" s="43" t="inlineStr">
        <is>
          <t>E3</t>
        </is>
      </c>
      <c r="H42" s="43" t="inlineStr">
        <is>
          <t>ON</t>
        </is>
      </c>
      <c r="I42" s="43" t="inlineStr">
        <is>
          <t>PT</t>
        </is>
      </c>
      <c r="J42" s="25" t="n">
        <v>0.25</v>
      </c>
      <c r="K42" s="50">
        <f>J42*4</f>
        <v/>
      </c>
    </row>
    <row r="43" ht="15" customHeight="1">
      <c r="B43" s="27" t="n">
        <v>2</v>
      </c>
      <c r="C43" s="18" t="inlineStr">
        <is>
          <t>POD</t>
        </is>
      </c>
      <c r="D43" s="27" t="n">
        <v>5</v>
      </c>
      <c r="E43" s="10" t="inlineStr">
        <is>
          <t>Business Analyst (bilingual) — Claims Platform</t>
        </is>
      </c>
      <c r="F43" s="18" t="inlineStr">
        <is>
          <t>BSA</t>
        </is>
      </c>
      <c r="G43" s="43" t="inlineStr">
        <is>
          <t>E3</t>
        </is>
      </c>
      <c r="H43" s="43" t="inlineStr">
        <is>
          <t>ON</t>
        </is>
      </c>
      <c r="I43" s="43" t="inlineStr">
        <is>
          <t>FTC</t>
        </is>
      </c>
      <c r="J43" s="25" t="n">
        <v>0.5</v>
      </c>
      <c r="K43" s="50">
        <f>J43*4</f>
        <v/>
      </c>
    </row>
    <row r="44" ht="15" customHeight="1">
      <c r="B44" s="27" t="n">
        <v>2</v>
      </c>
      <c r="C44" s="18" t="inlineStr">
        <is>
          <t>POD</t>
        </is>
      </c>
      <c r="D44" s="27" t="n">
        <v>6</v>
      </c>
      <c r="E44" s="10" t="inlineStr">
        <is>
          <t>Pod lead / senior engineer — Claims Platform</t>
        </is>
      </c>
      <c r="F44" s="18" t="inlineStr">
        <is>
          <t>DEV</t>
        </is>
      </c>
      <c r="G44" s="43" t="inlineStr">
        <is>
          <t>E4</t>
        </is>
      </c>
      <c r="H44" s="43" t="inlineStr">
        <is>
          <t>ON</t>
        </is>
      </c>
      <c r="I44" s="43" t="inlineStr">
        <is>
          <t>FTC</t>
        </is>
      </c>
      <c r="J44" s="25" t="n">
        <v>0.75</v>
      </c>
      <c r="K44" s="50">
        <f>J44*4</f>
        <v/>
      </c>
    </row>
    <row r="45" ht="15" customHeight="1">
      <c r="B45" s="27" t="n">
        <v>2</v>
      </c>
      <c r="C45" s="18" t="inlineStr">
        <is>
          <t>POD</t>
        </is>
      </c>
      <c r="D45" s="27" t="n">
        <v>7</v>
      </c>
      <c r="E45" s="10" t="inlineStr">
        <is>
          <t>Senior Claims Engineer</t>
        </is>
      </c>
      <c r="F45" s="18" t="inlineStr">
        <is>
          <t>DEV</t>
        </is>
      </c>
      <c r="G45" s="43" t="inlineStr">
        <is>
          <t>E3</t>
        </is>
      </c>
      <c r="H45" s="43" t="inlineStr">
        <is>
          <t>ON</t>
        </is>
      </c>
      <c r="I45" s="43" t="inlineStr">
        <is>
          <t>FTC</t>
        </is>
      </c>
      <c r="J45" s="25" t="n">
        <v>0.5</v>
      </c>
      <c r="K45" s="50">
        <f>J45*4</f>
        <v/>
      </c>
    </row>
    <row r="46" ht="15" customHeight="1">
      <c r="B46" s="27" t="n">
        <v>2</v>
      </c>
      <c r="C46" s="18" t="inlineStr">
        <is>
          <t>POD</t>
        </is>
      </c>
      <c r="D46" s="27" t="n">
        <v>8</v>
      </c>
      <c r="E46" s="10" t="inlineStr">
        <is>
          <t>Junior Claims Engineer</t>
        </is>
      </c>
      <c r="F46" s="18" t="inlineStr">
        <is>
          <t>DEV</t>
        </is>
      </c>
      <c r="G46" s="43" t="inlineStr">
        <is>
          <t>E2</t>
        </is>
      </c>
      <c r="H46" s="43" t="inlineStr">
        <is>
          <t>ON</t>
        </is>
      </c>
      <c r="I46" s="43" t="inlineStr">
        <is>
          <t>FTC</t>
        </is>
      </c>
      <c r="J46" s="25" t="n">
        <v>0.5</v>
      </c>
      <c r="K46" s="50">
        <f>J46*4</f>
        <v/>
      </c>
    </row>
    <row r="47" ht="15" customHeight="1">
      <c r="B47" s="27" t="n">
        <v>2</v>
      </c>
      <c r="C47" s="18" t="inlineStr">
        <is>
          <t>POD</t>
        </is>
      </c>
      <c r="D47" s="27" t="n">
        <v>9</v>
      </c>
      <c r="E47" s="10" t="inlineStr">
        <is>
          <t>Quality Engineer (SDET)</t>
        </is>
      </c>
      <c r="F47" s="18" t="inlineStr">
        <is>
          <t>TEST</t>
        </is>
      </c>
      <c r="G47" s="43" t="inlineStr">
        <is>
          <t>E2</t>
        </is>
      </c>
      <c r="H47" s="43" t="inlineStr">
        <is>
          <t>ON</t>
        </is>
      </c>
      <c r="I47" s="43" t="inlineStr">
        <is>
          <t>FTC</t>
        </is>
      </c>
      <c r="J47" s="25" t="n">
        <v>0.25</v>
      </c>
      <c r="K47" s="50">
        <f>J47*4</f>
        <v/>
      </c>
    </row>
    <row r="48" ht="15" customHeight="1">
      <c r="B48" s="27" t="n">
        <v>2</v>
      </c>
      <c r="C48" s="18" t="inlineStr">
        <is>
          <t>POD</t>
        </is>
      </c>
      <c r="D48" s="27" t="n">
        <v>10</v>
      </c>
      <c r="E48" s="10" t="inlineStr">
        <is>
          <t>Solution Architect — Claims Platform</t>
        </is>
      </c>
      <c r="F48" s="18" t="inlineStr">
        <is>
          <t>OTH</t>
        </is>
      </c>
      <c r="G48" s="43" t="inlineStr">
        <is>
          <t>E4</t>
        </is>
      </c>
      <c r="H48" s="43" t="inlineStr">
        <is>
          <t>ON</t>
        </is>
      </c>
      <c r="I48" s="43" t="inlineStr">
        <is>
          <t>FTC</t>
        </is>
      </c>
      <c r="J48" s="25" t="n">
        <v>0.25</v>
      </c>
      <c r="K48" s="50">
        <f>J48*4</f>
        <v/>
      </c>
    </row>
    <row r="49" ht="15" customHeight="1">
      <c r="B49" s="27" t="n">
        <v>2</v>
      </c>
      <c r="C49" s="18" t="inlineStr">
        <is>
          <t>POD</t>
        </is>
      </c>
      <c r="D49" s="27" t="n">
        <v>11</v>
      </c>
      <c r="E49" s="10" t="inlineStr">
        <is>
          <t>Junior Claims Engineer — offshore</t>
        </is>
      </c>
      <c r="F49" s="18" t="inlineStr">
        <is>
          <t>DEV</t>
        </is>
      </c>
      <c r="G49" s="43" t="inlineStr">
        <is>
          <t>E2</t>
        </is>
      </c>
      <c r="H49" s="43" t="inlineStr">
        <is>
          <t>OFF</t>
        </is>
      </c>
      <c r="I49" s="43" t="inlineStr">
        <is>
          <t>FTC</t>
        </is>
      </c>
      <c r="J49" s="25" t="n">
        <v>0.5</v>
      </c>
      <c r="K49" s="50">
        <f>J49*4</f>
        <v/>
      </c>
    </row>
    <row r="50" ht="15" customHeight="1">
      <c r="B50" s="27" t="n">
        <v>2</v>
      </c>
      <c r="C50" s="18" t="inlineStr">
        <is>
          <t>POD</t>
        </is>
      </c>
      <c r="D50" s="27" t="n">
        <v>12</v>
      </c>
      <c r="E50" s="10" t="inlineStr">
        <is>
          <t>Graduate Claims Engineer — offshore</t>
        </is>
      </c>
      <c r="F50" s="18" t="inlineStr">
        <is>
          <t>DEV</t>
        </is>
      </c>
      <c r="G50" s="43" t="inlineStr">
        <is>
          <t>E1</t>
        </is>
      </c>
      <c r="H50" s="43" t="inlineStr">
        <is>
          <t>OFF</t>
        </is>
      </c>
      <c r="I50" s="43" t="inlineStr">
        <is>
          <t>FTC</t>
        </is>
      </c>
      <c r="J50" s="25" t="n">
        <v>0.25</v>
      </c>
      <c r="K50" s="50">
        <f>J50*4</f>
        <v/>
      </c>
    </row>
    <row r="51" ht="15" customHeight="1">
      <c r="B51" s="27" t="n">
        <v>2</v>
      </c>
      <c r="C51" s="18" t="inlineStr">
        <is>
          <t>POD</t>
        </is>
      </c>
      <c r="D51" s="27" t="n">
        <v>13</v>
      </c>
      <c r="E51" s="10" t="inlineStr">
        <is>
          <t>Junior Quality Engineer — offshore</t>
        </is>
      </c>
      <c r="F51" s="18" t="inlineStr">
        <is>
          <t>TEST</t>
        </is>
      </c>
      <c r="G51" s="43" t="inlineStr">
        <is>
          <t>E1</t>
        </is>
      </c>
      <c r="H51" s="43" t="inlineStr">
        <is>
          <t>OFF</t>
        </is>
      </c>
      <c r="I51" s="43" t="inlineStr">
        <is>
          <t>FTC</t>
        </is>
      </c>
      <c r="J51" s="25" t="n">
        <v>0.5</v>
      </c>
      <c r="K51" s="50">
        <f>J51*4</f>
        <v/>
      </c>
    </row>
    <row r="52" ht="15" customHeight="1">
      <c r="B52" s="27" t="n">
        <v>2</v>
      </c>
      <c r="C52" s="18" t="inlineStr">
        <is>
          <t>POD</t>
        </is>
      </c>
      <c r="D52" s="27" t="n">
        <v>14</v>
      </c>
      <c r="E52" s="10" t="inlineStr">
        <is>
          <t>Application Support — offshore</t>
        </is>
      </c>
      <c r="F52" s="18" t="inlineStr">
        <is>
          <t>MNT</t>
        </is>
      </c>
      <c r="G52" s="43" t="inlineStr">
        <is>
          <t>E2</t>
        </is>
      </c>
      <c r="H52" s="43" t="inlineStr">
        <is>
          <t>OFF</t>
        </is>
      </c>
      <c r="I52" s="43" t="inlineStr">
        <is>
          <t>FTC</t>
        </is>
      </c>
      <c r="J52" s="25" t="n">
        <v>0.25</v>
      </c>
      <c r="K52" s="50">
        <f>J52*4</f>
        <v/>
      </c>
    </row>
    <row r="53" ht="15" customHeight="1">
      <c r="B53" s="27" t="n">
        <v>2</v>
      </c>
      <c r="C53" s="18" t="inlineStr">
        <is>
          <t>POD</t>
        </is>
      </c>
      <c r="D53" s="27" t="n">
        <v>15</v>
      </c>
      <c r="E53" s="10" t="inlineStr">
        <is>
          <t>MGCC Claims Engineer</t>
        </is>
      </c>
      <c r="F53" s="18" t="inlineStr">
        <is>
          <t>DEV</t>
        </is>
      </c>
      <c r="G53" s="43" t="inlineStr">
        <is>
          <t>E3</t>
        </is>
      </c>
      <c r="H53" s="43" t="inlineStr">
        <is>
          <t>OFF</t>
        </is>
      </c>
      <c r="I53" s="43" t="inlineStr">
        <is>
          <t>MGCC</t>
        </is>
      </c>
      <c r="J53" s="25" t="n">
        <v>2</v>
      </c>
      <c r="K53" s="50">
        <f>J53*4</f>
        <v/>
      </c>
    </row>
    <row r="54" ht="15" customHeight="1">
      <c r="B54" s="27" t="n">
        <v>2</v>
      </c>
      <c r="C54" s="18" t="inlineStr">
        <is>
          <t>POD</t>
        </is>
      </c>
      <c r="D54" s="27" t="n">
        <v>16</v>
      </c>
      <c r="E54" s="10" t="inlineStr">
        <is>
          <t>MGCC Quality Engineer</t>
        </is>
      </c>
      <c r="F54" s="18" t="inlineStr">
        <is>
          <t>TEST</t>
        </is>
      </c>
      <c r="G54" s="43" t="inlineStr">
        <is>
          <t>E2</t>
        </is>
      </c>
      <c r="H54" s="43" t="inlineStr">
        <is>
          <t>OFF</t>
        </is>
      </c>
      <c r="I54" s="43" t="inlineStr">
        <is>
          <t>MGCC</t>
        </is>
      </c>
      <c r="J54" s="25" t="n">
        <v>1</v>
      </c>
      <c r="K54" s="50">
        <f>J54*4</f>
        <v/>
      </c>
    </row>
    <row r="55" ht="34.5" customHeight="1">
      <c r="D55" s="22" t="inlineStr">
        <is>
          <t>POD size — Year 2 · VS1</t>
        </is>
      </c>
      <c r="J55" s="30">
        <f>SUM(J39:J54)</f>
        <v/>
      </c>
      <c r="K55" s="71">
        <f>SUM(K39:K54)</f>
        <v/>
      </c>
    </row>
    <row r="57" ht="15" customHeight="1">
      <c r="B57" s="27" t="n">
        <v>2</v>
      </c>
      <c r="C57" s="18" t="inlineStr">
        <is>
          <t>TEAM</t>
        </is>
      </c>
      <c r="D57" s="27" t="n">
        <v>1</v>
      </c>
      <c r="E57" s="10" t="inlineStr">
        <is>
          <t>MetLife Payments Product Owner</t>
        </is>
      </c>
      <c r="F57" s="18" t="inlineStr">
        <is>
          <t>PM</t>
        </is>
      </c>
      <c r="G57" s="43" t="inlineStr">
        <is>
          <t>E4</t>
        </is>
      </c>
      <c r="H57" s="43" t="inlineStr">
        <is>
          <t>ON</t>
        </is>
      </c>
      <c r="I57" s="43" t="inlineStr">
        <is>
          <t>FTE</t>
        </is>
      </c>
      <c r="J57" s="25" t="n">
        <v>0.5</v>
      </c>
      <c r="K57" s="50">
        <f>J57*3</f>
        <v/>
      </c>
    </row>
    <row r="58" ht="15" customHeight="1">
      <c r="B58" s="27" t="n">
        <v>2</v>
      </c>
      <c r="C58" s="18" t="inlineStr">
        <is>
          <t>TEAM</t>
        </is>
      </c>
      <c r="D58" s="27" t="n">
        <v>2</v>
      </c>
      <c r="E58" s="10" t="inlineStr">
        <is>
          <t>MetLife Payments Operations Analyst</t>
        </is>
      </c>
      <c r="F58" s="18" t="inlineStr">
        <is>
          <t>MNT</t>
        </is>
      </c>
      <c r="G58" s="43" t="inlineStr">
        <is>
          <t>E3</t>
        </is>
      </c>
      <c r="H58" s="43" t="inlineStr">
        <is>
          <t>ON</t>
        </is>
      </c>
      <c r="I58" s="43" t="inlineStr">
        <is>
          <t>FTE</t>
        </is>
      </c>
      <c r="J58" s="25" t="n">
        <v>0.5</v>
      </c>
      <c r="K58" s="50">
        <f>J58*3</f>
        <v/>
      </c>
    </row>
    <row r="59" ht="15" customHeight="1">
      <c r="B59" s="27" t="n">
        <v>2</v>
      </c>
      <c r="C59" s="18" t="inlineStr">
        <is>
          <t>TEAM</t>
        </is>
      </c>
      <c r="D59" s="27" t="n">
        <v>3</v>
      </c>
      <c r="E59" s="10" t="inlineStr">
        <is>
          <t>FSI POS Workflow Developer (JP) — EAI 9835</t>
        </is>
      </c>
      <c r="F59" s="18" t="inlineStr">
        <is>
          <t>DEV</t>
        </is>
      </c>
      <c r="G59" s="43" t="inlineStr">
        <is>
          <t>E3</t>
        </is>
      </c>
      <c r="H59" s="43" t="inlineStr">
        <is>
          <t>ON</t>
        </is>
      </c>
      <c r="I59" s="43" t="inlineStr">
        <is>
          <t>PT</t>
        </is>
      </c>
      <c r="J59" s="25" t="n">
        <v>0.6666666666666666</v>
      </c>
      <c r="K59" s="50">
        <f>J59*3</f>
        <v/>
      </c>
    </row>
    <row r="60" ht="15" customHeight="1">
      <c r="B60" s="27" t="n">
        <v>2</v>
      </c>
      <c r="C60" s="18" t="inlineStr">
        <is>
          <t>TEAM</t>
        </is>
      </c>
      <c r="D60" s="27" t="n">
        <v>4</v>
      </c>
      <c r="E60" s="10" t="inlineStr">
        <is>
          <t>FSI Annuity Info Analyst (JP) — EAI 9857</t>
        </is>
      </c>
      <c r="F60" s="18" t="inlineStr">
        <is>
          <t>BSA</t>
        </is>
      </c>
      <c r="G60" s="43" t="inlineStr">
        <is>
          <t>E3</t>
        </is>
      </c>
      <c r="H60" s="43" t="inlineStr">
        <is>
          <t>ON</t>
        </is>
      </c>
      <c r="I60" s="43" t="inlineStr">
        <is>
          <t>PT</t>
        </is>
      </c>
      <c r="J60" s="25" t="n">
        <v>0.6666666666666666</v>
      </c>
      <c r="K60" s="50">
        <f>J60*3</f>
        <v/>
      </c>
    </row>
    <row r="61" ht="15" customHeight="1">
      <c r="B61" s="27" t="n">
        <v>2</v>
      </c>
      <c r="C61" s="18" t="inlineStr">
        <is>
          <t>TEAM</t>
        </is>
      </c>
      <c r="D61" s="27" t="n">
        <v>5</v>
      </c>
      <c r="E61" s="10" t="inlineStr">
        <is>
          <t>Business Analyst (bilingual) — Payments</t>
        </is>
      </c>
      <c r="F61" s="18" t="inlineStr">
        <is>
          <t>BSA</t>
        </is>
      </c>
      <c r="G61" s="43" t="inlineStr">
        <is>
          <t>E3</t>
        </is>
      </c>
      <c r="H61" s="43" t="inlineStr">
        <is>
          <t>ON</t>
        </is>
      </c>
      <c r="I61" s="43" t="inlineStr">
        <is>
          <t>FTC</t>
        </is>
      </c>
      <c r="J61" s="25" t="n">
        <v>0.8333333333333333</v>
      </c>
      <c r="K61" s="50">
        <f>J61*3</f>
        <v/>
      </c>
    </row>
    <row r="62" ht="15" customHeight="1">
      <c r="B62" s="27" t="n">
        <v>2</v>
      </c>
      <c r="C62" s="18" t="inlineStr">
        <is>
          <t>TEAM</t>
        </is>
      </c>
      <c r="D62" s="27" t="n">
        <v>6</v>
      </c>
      <c r="E62" s="10" t="inlineStr">
        <is>
          <t>Team lead / senior engineer — Payments</t>
        </is>
      </c>
      <c r="F62" s="18" t="inlineStr">
        <is>
          <t>DEV</t>
        </is>
      </c>
      <c r="G62" s="43" t="inlineStr">
        <is>
          <t>E4</t>
        </is>
      </c>
      <c r="H62" s="43" t="inlineStr">
        <is>
          <t>ON</t>
        </is>
      </c>
      <c r="I62" s="43" t="inlineStr">
        <is>
          <t>FTC</t>
        </is>
      </c>
      <c r="J62" s="25" t="n">
        <v>1</v>
      </c>
      <c r="K62" s="50">
        <f>J62*3</f>
        <v/>
      </c>
    </row>
    <row r="63" ht="15" customHeight="1">
      <c r="B63" s="27" t="n">
        <v>2</v>
      </c>
      <c r="C63" s="18" t="inlineStr">
        <is>
          <t>TEAM</t>
        </is>
      </c>
      <c r="D63" s="27" t="n">
        <v>7</v>
      </c>
      <c r="E63" s="10" t="inlineStr">
        <is>
          <t>Senior Application Developer (VB.NET / C++ / Java)</t>
        </is>
      </c>
      <c r="F63" s="18" t="inlineStr">
        <is>
          <t>DEV</t>
        </is>
      </c>
      <c r="G63" s="43" t="inlineStr">
        <is>
          <t>E3</t>
        </is>
      </c>
      <c r="H63" s="43" t="inlineStr">
        <is>
          <t>ON</t>
        </is>
      </c>
      <c r="I63" s="43" t="inlineStr">
        <is>
          <t>FTC</t>
        </is>
      </c>
      <c r="J63" s="25" t="n">
        <v>2.166666666666667</v>
      </c>
      <c r="K63" s="50">
        <f>J63*3</f>
        <v/>
      </c>
    </row>
    <row r="64" ht="15" customHeight="1">
      <c r="B64" s="27" t="n">
        <v>2</v>
      </c>
      <c r="C64" s="18" t="inlineStr">
        <is>
          <t>TEAM</t>
        </is>
      </c>
      <c r="D64" s="27" t="n">
        <v>8</v>
      </c>
      <c r="E64" s="10" t="inlineStr">
        <is>
          <t>Junior Application Developer</t>
        </is>
      </c>
      <c r="F64" s="18" t="inlineStr">
        <is>
          <t>DEV</t>
        </is>
      </c>
      <c r="G64" s="43" t="inlineStr">
        <is>
          <t>E2</t>
        </is>
      </c>
      <c r="H64" s="43" t="inlineStr">
        <is>
          <t>ON</t>
        </is>
      </c>
      <c r="I64" s="43" t="inlineStr">
        <is>
          <t>FTC</t>
        </is>
      </c>
      <c r="J64" s="25" t="n">
        <v>1</v>
      </c>
      <c r="K64" s="50">
        <f>J64*3</f>
        <v/>
      </c>
    </row>
    <row r="65" ht="15" customHeight="1">
      <c r="B65" s="27" t="n">
        <v>2</v>
      </c>
      <c r="C65" s="18" t="inlineStr">
        <is>
          <t>TEAM</t>
        </is>
      </c>
      <c r="D65" s="27" t="n">
        <v>9</v>
      </c>
      <c r="E65" s="10" t="inlineStr">
        <is>
          <t>Test Analyst</t>
        </is>
      </c>
      <c r="F65" s="18" t="inlineStr">
        <is>
          <t>TEST</t>
        </is>
      </c>
      <c r="G65" s="43" t="inlineStr">
        <is>
          <t>E3</t>
        </is>
      </c>
      <c r="H65" s="43" t="inlineStr">
        <is>
          <t>ON</t>
        </is>
      </c>
      <c r="I65" s="43" t="inlineStr">
        <is>
          <t>FTC</t>
        </is>
      </c>
      <c r="J65" s="25" t="n">
        <v>0.8333333333333333</v>
      </c>
      <c r="K65" s="50">
        <f>J65*3</f>
        <v/>
      </c>
    </row>
    <row r="66" ht="15" customHeight="1">
      <c r="B66" s="27" t="n">
        <v>2</v>
      </c>
      <c r="C66" s="18" t="inlineStr">
        <is>
          <t>TEAM</t>
        </is>
      </c>
      <c r="D66" s="27" t="n">
        <v>10</v>
      </c>
      <c r="E66" s="10" t="inlineStr">
        <is>
          <t>Application Support (L2) — Tokyo</t>
        </is>
      </c>
      <c r="F66" s="18" t="inlineStr">
        <is>
          <t>MNT</t>
        </is>
      </c>
      <c r="G66" s="43" t="inlineStr">
        <is>
          <t>E2</t>
        </is>
      </c>
      <c r="H66" s="43" t="inlineStr">
        <is>
          <t>ON</t>
        </is>
      </c>
      <c r="I66" s="43" t="inlineStr">
        <is>
          <t>FTC</t>
        </is>
      </c>
      <c r="J66" s="25" t="n">
        <v>0.5</v>
      </c>
      <c r="K66" s="50">
        <f>J66*3</f>
        <v/>
      </c>
    </row>
    <row r="67" ht="34.5" customHeight="1">
      <c r="B67" s="27" t="n">
        <v>2</v>
      </c>
      <c r="C67" s="18" t="inlineStr">
        <is>
          <t>TEAM</t>
        </is>
      </c>
      <c r="D67" s="27" t="n">
        <v>11</v>
      </c>
      <c r="E67" s="10" t="inlineStr">
        <is>
          <t>Technical Lead / design authority — Payments</t>
        </is>
      </c>
      <c r="F67" s="18" t="inlineStr">
        <is>
          <t>OTH</t>
        </is>
      </c>
      <c r="G67" s="43" t="inlineStr">
        <is>
          <t>E4</t>
        </is>
      </c>
      <c r="H67" s="43" t="inlineStr">
        <is>
          <t>ON</t>
        </is>
      </c>
      <c r="I67" s="43" t="inlineStr">
        <is>
          <t>FTC</t>
        </is>
      </c>
      <c r="J67" s="25" t="n">
        <v>0.3333333333333333</v>
      </c>
      <c r="K67" s="50">
        <f>J67*3</f>
        <v/>
      </c>
    </row>
    <row r="68">
      <c r="B68" s="27" t="n">
        <v>2</v>
      </c>
      <c r="C68" s="18" t="inlineStr">
        <is>
          <t>TEAM</t>
        </is>
      </c>
      <c r="D68" s="27" t="n">
        <v>12</v>
      </c>
      <c r="E68" s="10" t="inlineStr">
        <is>
          <t>Senior Application Developer — nearshore</t>
        </is>
      </c>
      <c r="F68" s="18" t="inlineStr">
        <is>
          <t>DEV</t>
        </is>
      </c>
      <c r="G68" s="43" t="inlineStr">
        <is>
          <t>E3</t>
        </is>
      </c>
      <c r="H68" s="43" t="inlineStr">
        <is>
          <t>NEAR</t>
        </is>
      </c>
      <c r="I68" s="43" t="inlineStr">
        <is>
          <t>FTC</t>
        </is>
      </c>
      <c r="J68" s="25" t="n">
        <v>1.5</v>
      </c>
      <c r="K68" s="50">
        <f>J68*3</f>
        <v/>
      </c>
    </row>
    <row r="69" ht="15" customHeight="1">
      <c r="B69" s="27" t="n">
        <v>2</v>
      </c>
      <c r="C69" s="18" t="inlineStr">
        <is>
          <t>TEAM</t>
        </is>
      </c>
      <c r="D69" s="27" t="n">
        <v>13</v>
      </c>
      <c r="E69" s="10" t="inlineStr">
        <is>
          <t>Test Engineer — nearshore</t>
        </is>
      </c>
      <c r="F69" s="18" t="inlineStr">
        <is>
          <t>TEST</t>
        </is>
      </c>
      <c r="G69" s="43" t="inlineStr">
        <is>
          <t>E2</t>
        </is>
      </c>
      <c r="H69" s="43" t="inlineStr">
        <is>
          <t>NEAR</t>
        </is>
      </c>
      <c r="I69" s="43" t="inlineStr">
        <is>
          <t>FTC</t>
        </is>
      </c>
      <c r="J69" s="25" t="n">
        <v>0.5</v>
      </c>
      <c r="K69" s="50">
        <f>J69*3</f>
        <v/>
      </c>
    </row>
    <row r="70" ht="15" customHeight="1">
      <c r="B70" s="27" t="n">
        <v>2</v>
      </c>
      <c r="C70" s="18" t="inlineStr">
        <is>
          <t>TEAM</t>
        </is>
      </c>
      <c r="D70" s="27" t="n">
        <v>14</v>
      </c>
      <c r="E70" s="10" t="inlineStr">
        <is>
          <t>Junior Application Developer — offshore</t>
        </is>
      </c>
      <c r="F70" s="18" t="inlineStr">
        <is>
          <t>DEV</t>
        </is>
      </c>
      <c r="G70" s="43" t="inlineStr">
        <is>
          <t>E2</t>
        </is>
      </c>
      <c r="H70" s="43" t="inlineStr">
        <is>
          <t>OFF</t>
        </is>
      </c>
      <c r="I70" s="43" t="inlineStr">
        <is>
          <t>FTC</t>
        </is>
      </c>
      <c r="J70" s="25" t="n">
        <v>0.8333333333333333</v>
      </c>
      <c r="K70" s="50">
        <f>J70*3</f>
        <v/>
      </c>
    </row>
    <row r="71" ht="15" customHeight="1">
      <c r="B71" s="27" t="n">
        <v>2</v>
      </c>
      <c r="C71" s="18" t="inlineStr">
        <is>
          <t>TEAM</t>
        </is>
      </c>
      <c r="D71" s="27" t="n">
        <v>15</v>
      </c>
      <c r="E71" s="10" t="inlineStr">
        <is>
          <t>Junior Test Engineer — offshore</t>
        </is>
      </c>
      <c r="F71" s="18" t="inlineStr">
        <is>
          <t>TEST</t>
        </is>
      </c>
      <c r="G71" s="43" t="inlineStr">
        <is>
          <t>E1</t>
        </is>
      </c>
      <c r="H71" s="43" t="inlineStr">
        <is>
          <t>OFF</t>
        </is>
      </c>
      <c r="I71" s="43" t="inlineStr">
        <is>
          <t>FTC</t>
        </is>
      </c>
      <c r="J71" s="25" t="n">
        <v>0.1666666666666667</v>
      </c>
      <c r="K71" s="50">
        <f>J71*3</f>
        <v/>
      </c>
    </row>
    <row r="72" ht="15" customHeight="1">
      <c r="B72" s="27" t="n"/>
      <c r="C72" s="18" t="n"/>
      <c r="D72" s="22" t="inlineStr">
        <is>
          <t>TEAM size — Year 2 · VS2</t>
        </is>
      </c>
      <c r="E72" s="10" t="n"/>
      <c r="F72" s="18" t="n"/>
      <c r="G72" s="43" t="n"/>
      <c r="H72" s="43" t="n"/>
      <c r="I72" s="43" t="n"/>
      <c r="J72" s="30">
        <f>SUM(J57:J71)</f>
        <v/>
      </c>
      <c r="K72" s="71">
        <f>SUM(K57:K71)</f>
        <v/>
      </c>
    </row>
    <row r="73" ht="15" customHeight="1">
      <c r="B73" s="27" t="n"/>
      <c r="C73" s="18" t="n"/>
      <c r="D73" s="27" t="n"/>
      <c r="E73" s="10" t="n"/>
      <c r="F73" s="18" t="n"/>
      <c r="G73" s="43" t="n"/>
      <c r="H73" s="43" t="n"/>
      <c r="I73" s="43" t="n"/>
      <c r="J73" s="49" t="n"/>
      <c r="K73" s="50" t="n"/>
    </row>
    <row r="74" ht="15" customHeight="1">
      <c r="B74" s="27" t="n">
        <v>3</v>
      </c>
      <c r="C74" s="18" t="inlineStr">
        <is>
          <t>POD</t>
        </is>
      </c>
      <c r="D74" s="27" t="n">
        <v>1</v>
      </c>
      <c r="E74" s="10" t="inlineStr">
        <is>
          <t>MetLife Claims Product Owner</t>
        </is>
      </c>
      <c r="F74" s="18" t="inlineStr">
        <is>
          <t>PM</t>
        </is>
      </c>
      <c r="G74" s="43" t="inlineStr">
        <is>
          <t>E4</t>
        </is>
      </c>
      <c r="H74" s="43" t="inlineStr">
        <is>
          <t>ON</t>
        </is>
      </c>
      <c r="I74" s="43" t="inlineStr">
        <is>
          <t>FTE</t>
        </is>
      </c>
      <c r="J74" s="25" t="n">
        <v>0.3333333333333333</v>
      </c>
      <c r="K74" s="50">
        <f>J74*3</f>
        <v/>
      </c>
    </row>
    <row r="75" ht="15" customHeight="1">
      <c r="B75" s="27" t="n">
        <v>3</v>
      </c>
      <c r="C75" s="18" t="inlineStr">
        <is>
          <t>POD</t>
        </is>
      </c>
      <c r="D75" s="27" t="n">
        <v>2</v>
      </c>
      <c r="E75" s="10" t="inlineStr">
        <is>
          <t>MetLife Claims SME</t>
        </is>
      </c>
      <c r="F75" s="18" t="inlineStr">
        <is>
          <t>BSA</t>
        </is>
      </c>
      <c r="G75" s="43" t="inlineStr">
        <is>
          <t>E4</t>
        </is>
      </c>
      <c r="H75" s="43" t="inlineStr">
        <is>
          <t>ON</t>
        </is>
      </c>
      <c r="I75" s="43" t="inlineStr">
        <is>
          <t>FTE</t>
        </is>
      </c>
      <c r="J75" s="25" t="n">
        <v>0.1666666666666667</v>
      </c>
      <c r="K75" s="50">
        <f>J75*3</f>
        <v/>
      </c>
    </row>
    <row r="76" ht="15" customHeight="1">
      <c r="B76" s="27" t="n">
        <v>3</v>
      </c>
      <c r="C76" s="18" t="inlineStr">
        <is>
          <t>POD</t>
        </is>
      </c>
      <c r="D76" s="27" t="n">
        <v>3</v>
      </c>
      <c r="E76" s="10" t="inlineStr">
        <is>
          <t>FSI OpenBatch Developer (JP) — EAI 13820</t>
        </is>
      </c>
      <c r="F76" s="18" t="inlineStr">
        <is>
          <t>DEV</t>
        </is>
      </c>
      <c r="G76" s="43" t="inlineStr">
        <is>
          <t>E3</t>
        </is>
      </c>
      <c r="H76" s="43" t="inlineStr">
        <is>
          <t>ON</t>
        </is>
      </c>
      <c r="I76" s="43" t="inlineStr">
        <is>
          <t>PT</t>
        </is>
      </c>
      <c r="J76" s="25" t="n">
        <v>0.6666666666666666</v>
      </c>
      <c r="K76" s="50">
        <f>J76*3</f>
        <v/>
      </c>
    </row>
    <row r="77" ht="15" customHeight="1">
      <c r="B77" s="27" t="n">
        <v>3</v>
      </c>
      <c r="C77" s="18" t="inlineStr">
        <is>
          <t>POD</t>
        </is>
      </c>
      <c r="D77" s="27" t="n">
        <v>4</v>
      </c>
      <c r="E77" s="10" t="inlineStr">
        <is>
          <t>FSI Pega Analyst (JP) — EAI 14322</t>
        </is>
      </c>
      <c r="F77" s="18" t="inlineStr">
        <is>
          <t>BSA</t>
        </is>
      </c>
      <c r="G77" s="43" t="inlineStr">
        <is>
          <t>E3</t>
        </is>
      </c>
      <c r="H77" s="43" t="inlineStr">
        <is>
          <t>ON</t>
        </is>
      </c>
      <c r="I77" s="43" t="inlineStr">
        <is>
          <t>PT</t>
        </is>
      </c>
      <c r="J77" s="25" t="n">
        <v>0.3333333333333333</v>
      </c>
      <c r="K77" s="50">
        <f>J77*3</f>
        <v/>
      </c>
    </row>
    <row r="78" ht="15" customHeight="1">
      <c r="B78" s="27" t="n">
        <v>3</v>
      </c>
      <c r="C78" s="18" t="inlineStr">
        <is>
          <t>POD</t>
        </is>
      </c>
      <c r="D78" s="27" t="n">
        <v>5</v>
      </c>
      <c r="E78" s="10" t="inlineStr">
        <is>
          <t>Business Analyst (bilingual) — Claims Platform</t>
        </is>
      </c>
      <c r="F78" s="18" t="inlineStr">
        <is>
          <t>BSA</t>
        </is>
      </c>
      <c r="G78" s="43" t="inlineStr">
        <is>
          <t>E3</t>
        </is>
      </c>
      <c r="H78" s="43" t="inlineStr">
        <is>
          <t>ON</t>
        </is>
      </c>
      <c r="I78" s="43" t="inlineStr">
        <is>
          <t>FTC</t>
        </is>
      </c>
      <c r="J78" s="25" t="n">
        <v>0.3333333333333333</v>
      </c>
      <c r="K78" s="50">
        <f>J78*3</f>
        <v/>
      </c>
    </row>
    <row r="79" ht="34.5" customHeight="1">
      <c r="B79" s="27" t="n">
        <v>3</v>
      </c>
      <c r="C79" s="18" t="inlineStr">
        <is>
          <t>POD</t>
        </is>
      </c>
      <c r="D79" s="27" t="n">
        <v>6</v>
      </c>
      <c r="E79" s="10" t="inlineStr">
        <is>
          <t>Pod lead / senior engineer — Claims Platform</t>
        </is>
      </c>
      <c r="F79" s="18" t="inlineStr">
        <is>
          <t>DEV</t>
        </is>
      </c>
      <c r="G79" s="43" t="inlineStr">
        <is>
          <t>E4</t>
        </is>
      </c>
      <c r="H79" s="43" t="inlineStr">
        <is>
          <t>ON</t>
        </is>
      </c>
      <c r="I79" s="43" t="inlineStr">
        <is>
          <t>FTC</t>
        </is>
      </c>
      <c r="J79" s="25" t="n">
        <v>0.3333333333333333</v>
      </c>
      <c r="K79" s="50">
        <f>J79*3</f>
        <v/>
      </c>
    </row>
    <row r="80">
      <c r="B80" s="27" t="n">
        <v>3</v>
      </c>
      <c r="C80" s="18" t="inlineStr">
        <is>
          <t>POD</t>
        </is>
      </c>
      <c r="D80" s="27" t="n">
        <v>7</v>
      </c>
      <c r="E80" s="10" t="inlineStr">
        <is>
          <t>Senior Claims Engineer</t>
        </is>
      </c>
      <c r="F80" s="18" t="inlineStr">
        <is>
          <t>DEV</t>
        </is>
      </c>
      <c r="G80" s="43" t="inlineStr">
        <is>
          <t>E3</t>
        </is>
      </c>
      <c r="H80" s="43" t="inlineStr">
        <is>
          <t>ON</t>
        </is>
      </c>
      <c r="I80" s="43" t="inlineStr">
        <is>
          <t>FTC</t>
        </is>
      </c>
      <c r="J80" s="25" t="n">
        <v>0.1666666666666667</v>
      </c>
      <c r="K80" s="50">
        <f>J80*3</f>
        <v/>
      </c>
    </row>
    <row r="81" ht="15" customHeight="1">
      <c r="B81" s="27" t="n">
        <v>3</v>
      </c>
      <c r="C81" s="18" t="inlineStr">
        <is>
          <t>POD</t>
        </is>
      </c>
      <c r="D81" s="27" t="n">
        <v>8</v>
      </c>
      <c r="E81" s="10" t="inlineStr">
        <is>
          <t>Junior Claims Engineer</t>
        </is>
      </c>
      <c r="F81" s="18" t="inlineStr">
        <is>
          <t>DEV</t>
        </is>
      </c>
      <c r="G81" s="43" t="inlineStr">
        <is>
          <t>E2</t>
        </is>
      </c>
      <c r="H81" s="43" t="inlineStr">
        <is>
          <t>ON</t>
        </is>
      </c>
      <c r="I81" s="43" t="inlineStr">
        <is>
          <t>FTC</t>
        </is>
      </c>
      <c r="J81" s="25" t="n">
        <v>0.1666666666666667</v>
      </c>
      <c r="K81" s="50">
        <f>J81*3</f>
        <v/>
      </c>
    </row>
    <row r="82" ht="15" customHeight="1">
      <c r="B82" s="27" t="n">
        <v>3</v>
      </c>
      <c r="C82" s="18" t="inlineStr">
        <is>
          <t>POD</t>
        </is>
      </c>
      <c r="D82" s="27" t="n">
        <v>9</v>
      </c>
      <c r="E82" s="10" t="inlineStr">
        <is>
          <t>Quality Engineer (SDET)</t>
        </is>
      </c>
      <c r="F82" s="18" t="inlineStr">
        <is>
          <t>TEST</t>
        </is>
      </c>
      <c r="G82" s="43" t="inlineStr">
        <is>
          <t>E2</t>
        </is>
      </c>
      <c r="H82" s="43" t="inlineStr">
        <is>
          <t>ON</t>
        </is>
      </c>
      <c r="I82" s="43" t="inlineStr">
        <is>
          <t>FTC</t>
        </is>
      </c>
      <c r="J82" s="25" t="n">
        <v>0.1666666666666667</v>
      </c>
      <c r="K82" s="50">
        <f>J82*3</f>
        <v/>
      </c>
    </row>
    <row r="83" ht="15" customHeight="1">
      <c r="B83" s="27" t="n">
        <v>3</v>
      </c>
      <c r="C83" s="18" t="inlineStr">
        <is>
          <t>POD</t>
        </is>
      </c>
      <c r="D83" s="27" t="n">
        <v>10</v>
      </c>
      <c r="E83" s="10" t="inlineStr">
        <is>
          <t>Solution Architect — Claims Platform</t>
        </is>
      </c>
      <c r="F83" s="18" t="inlineStr">
        <is>
          <t>OTH</t>
        </is>
      </c>
      <c r="G83" s="43" t="inlineStr">
        <is>
          <t>E4</t>
        </is>
      </c>
      <c r="H83" s="43" t="inlineStr">
        <is>
          <t>ON</t>
        </is>
      </c>
      <c r="I83" s="43" t="inlineStr">
        <is>
          <t>FTC</t>
        </is>
      </c>
      <c r="J83" s="25" t="n">
        <v>0.3333333333333333</v>
      </c>
      <c r="K83" s="50">
        <f>J83*3</f>
        <v/>
      </c>
    </row>
    <row r="84" ht="15" customHeight="1">
      <c r="B84" s="27" t="n">
        <v>3</v>
      </c>
      <c r="C84" s="18" t="inlineStr">
        <is>
          <t>POD</t>
        </is>
      </c>
      <c r="D84" s="27" t="n">
        <v>11</v>
      </c>
      <c r="E84" s="10" t="inlineStr">
        <is>
          <t>Junior Claims Engineer — offshore</t>
        </is>
      </c>
      <c r="F84" s="18" t="inlineStr">
        <is>
          <t>DEV</t>
        </is>
      </c>
      <c r="G84" s="43" t="inlineStr">
        <is>
          <t>E2</t>
        </is>
      </c>
      <c r="H84" s="43" t="inlineStr">
        <is>
          <t>OFF</t>
        </is>
      </c>
      <c r="I84" s="43" t="inlineStr">
        <is>
          <t>FTC</t>
        </is>
      </c>
      <c r="J84" s="25" t="n">
        <v>0.8333333333333333</v>
      </c>
      <c r="K84" s="50">
        <f>J84*3</f>
        <v/>
      </c>
    </row>
    <row r="85" ht="15" customHeight="1">
      <c r="B85" s="27" t="n">
        <v>3</v>
      </c>
      <c r="C85" s="18" t="inlineStr">
        <is>
          <t>POD</t>
        </is>
      </c>
      <c r="D85" s="27" t="n">
        <v>12</v>
      </c>
      <c r="E85" s="10" t="inlineStr">
        <is>
          <t>Graduate Claims Engineer — offshore</t>
        </is>
      </c>
      <c r="F85" s="18" t="inlineStr">
        <is>
          <t>DEV</t>
        </is>
      </c>
      <c r="G85" s="43" t="inlineStr">
        <is>
          <t>E1</t>
        </is>
      </c>
      <c r="H85" s="43" t="inlineStr">
        <is>
          <t>OFF</t>
        </is>
      </c>
      <c r="I85" s="43" t="inlineStr">
        <is>
          <t>FTC</t>
        </is>
      </c>
      <c r="J85" s="25" t="n">
        <v>0.3333333333333333</v>
      </c>
      <c r="K85" s="50">
        <f>J85*3</f>
        <v/>
      </c>
    </row>
    <row r="86" ht="15" customHeight="1">
      <c r="B86" s="27" t="n">
        <v>3</v>
      </c>
      <c r="C86" s="18" t="inlineStr">
        <is>
          <t>POD</t>
        </is>
      </c>
      <c r="D86" s="27" t="n">
        <v>13</v>
      </c>
      <c r="E86" s="10" t="inlineStr">
        <is>
          <t>Junior Quality Engineer — offshore</t>
        </is>
      </c>
      <c r="F86" s="18" t="inlineStr">
        <is>
          <t>TEST</t>
        </is>
      </c>
      <c r="G86" s="43" t="inlineStr">
        <is>
          <t>E1</t>
        </is>
      </c>
      <c r="H86" s="43" t="inlineStr">
        <is>
          <t>OFF</t>
        </is>
      </c>
      <c r="I86" s="43" t="inlineStr">
        <is>
          <t>FTC</t>
        </is>
      </c>
      <c r="J86" s="25" t="n">
        <v>0.5</v>
      </c>
      <c r="K86" s="50">
        <f>J86*3</f>
        <v/>
      </c>
    </row>
    <row r="87" ht="15" customHeight="1">
      <c r="B87" s="27" t="n">
        <v>3</v>
      </c>
      <c r="C87" s="18" t="inlineStr">
        <is>
          <t>POD</t>
        </is>
      </c>
      <c r="D87" s="27" t="n">
        <v>14</v>
      </c>
      <c r="E87" s="10" t="inlineStr">
        <is>
          <t>Application Support — offshore</t>
        </is>
      </c>
      <c r="F87" s="18" t="inlineStr">
        <is>
          <t>MNT</t>
        </is>
      </c>
      <c r="G87" s="43" t="inlineStr">
        <is>
          <t>E2</t>
        </is>
      </c>
      <c r="H87" s="43" t="inlineStr">
        <is>
          <t>OFF</t>
        </is>
      </c>
      <c r="I87" s="43" t="inlineStr">
        <is>
          <t>FTC</t>
        </is>
      </c>
      <c r="J87" s="25" t="n">
        <v>0.3333333333333333</v>
      </c>
      <c r="K87" s="50">
        <f>J87*3</f>
        <v/>
      </c>
    </row>
    <row r="88" ht="15" customHeight="1">
      <c r="B88" s="27" t="n">
        <v>3</v>
      </c>
      <c r="C88" s="18" t="inlineStr">
        <is>
          <t>POD</t>
        </is>
      </c>
      <c r="D88" s="27" t="n">
        <v>15</v>
      </c>
      <c r="E88" s="10" t="inlineStr">
        <is>
          <t>MGCC Claims Engineer</t>
        </is>
      </c>
      <c r="F88" s="18" t="inlineStr">
        <is>
          <t>DEV</t>
        </is>
      </c>
      <c r="G88" s="43" t="inlineStr">
        <is>
          <t>E3</t>
        </is>
      </c>
      <c r="H88" s="43" t="inlineStr">
        <is>
          <t>OFF</t>
        </is>
      </c>
      <c r="I88" s="43" t="inlineStr">
        <is>
          <t>MGCC</t>
        </is>
      </c>
      <c r="J88" s="25" t="n">
        <v>2</v>
      </c>
      <c r="K88" s="50">
        <f>J88*3</f>
        <v/>
      </c>
    </row>
    <row r="89" ht="15" customHeight="1">
      <c r="B89" s="27" t="n">
        <v>3</v>
      </c>
      <c r="C89" s="18" t="inlineStr">
        <is>
          <t>POD</t>
        </is>
      </c>
      <c r="D89" s="27" t="n">
        <v>16</v>
      </c>
      <c r="E89" s="10" t="inlineStr">
        <is>
          <t>MGCC Quality Engineer</t>
        </is>
      </c>
      <c r="F89" s="18" t="inlineStr">
        <is>
          <t>TEST</t>
        </is>
      </c>
      <c r="G89" s="43" t="inlineStr">
        <is>
          <t>E2</t>
        </is>
      </c>
      <c r="H89" s="43" t="inlineStr">
        <is>
          <t>OFF</t>
        </is>
      </c>
      <c r="I89" s="43" t="inlineStr">
        <is>
          <t>MGCC</t>
        </is>
      </c>
      <c r="J89" s="25" t="n">
        <v>1</v>
      </c>
      <c r="K89" s="50">
        <f>J89*3</f>
        <v/>
      </c>
    </row>
    <row r="90" ht="15" customHeight="1">
      <c r="B90" s="27" t="n"/>
      <c r="C90" s="18" t="n"/>
      <c r="D90" s="22" t="inlineStr">
        <is>
          <t>POD size — Year 3 · VS1</t>
        </is>
      </c>
      <c r="E90" s="10" t="n"/>
      <c r="F90" s="18" t="n"/>
      <c r="G90" s="43" t="n"/>
      <c r="H90" s="43" t="n"/>
      <c r="I90" s="43" t="n"/>
      <c r="J90" s="30">
        <f>SUM(J74:J89)</f>
        <v/>
      </c>
      <c r="K90" s="71">
        <f>SUM(K74:K89)</f>
        <v/>
      </c>
    </row>
    <row r="91" ht="34.5" customHeight="1">
      <c r="D91" s="22" t="n"/>
      <c r="J91" s="23" t="n"/>
    </row>
    <row r="92">
      <c r="B92" s="27" t="n">
        <v>3</v>
      </c>
      <c r="C92" s="18" t="inlineStr">
        <is>
          <t>TEAM</t>
        </is>
      </c>
      <c r="D92" s="27" t="n">
        <v>1</v>
      </c>
      <c r="E92" s="10" t="inlineStr">
        <is>
          <t>MetLife Payments Product Owner</t>
        </is>
      </c>
      <c r="F92" s="18" t="inlineStr">
        <is>
          <t>PM</t>
        </is>
      </c>
      <c r="G92" s="43" t="inlineStr">
        <is>
          <t>E4</t>
        </is>
      </c>
      <c r="H92" s="43" t="inlineStr">
        <is>
          <t>ON</t>
        </is>
      </c>
      <c r="I92" s="43" t="inlineStr">
        <is>
          <t>FTE</t>
        </is>
      </c>
      <c r="J92" s="25" t="n">
        <v>0.5</v>
      </c>
      <c r="K92" s="50">
        <f>J92*3</f>
        <v/>
      </c>
    </row>
    <row r="93" ht="409.6" customHeight="1">
      <c r="B93" s="27" t="n">
        <v>3</v>
      </c>
      <c r="C93" s="18" t="inlineStr">
        <is>
          <t>TEAM</t>
        </is>
      </c>
      <c r="D93" s="27" t="n">
        <v>2</v>
      </c>
      <c r="E93" s="10" t="inlineStr">
        <is>
          <t>MetLife Payments Operations Analyst</t>
        </is>
      </c>
      <c r="F93" s="18" t="inlineStr">
        <is>
          <t>MNT</t>
        </is>
      </c>
      <c r="G93" s="43" t="inlineStr">
        <is>
          <t>E3</t>
        </is>
      </c>
      <c r="H93" s="43" t="inlineStr">
        <is>
          <t>ON</t>
        </is>
      </c>
      <c r="I93" s="43" t="inlineStr">
        <is>
          <t>FTE</t>
        </is>
      </c>
      <c r="J93" s="25" t="n">
        <v>0.6666666666666666</v>
      </c>
      <c r="K93" s="50">
        <f>J93*3</f>
        <v/>
      </c>
    </row>
    <row r="94">
      <c r="B94" s="27" t="n">
        <v>3</v>
      </c>
      <c r="C94" s="18" t="inlineStr">
        <is>
          <t>TEAM</t>
        </is>
      </c>
      <c r="D94" s="27" t="n">
        <v>3</v>
      </c>
      <c r="E94" s="10" t="inlineStr">
        <is>
          <t>FSI POS Workflow Developer (JP) — EAI 9835</t>
        </is>
      </c>
      <c r="F94" s="18" t="inlineStr">
        <is>
          <t>DEV</t>
        </is>
      </c>
      <c r="G94" s="43" t="inlineStr">
        <is>
          <t>E3</t>
        </is>
      </c>
      <c r="H94" s="43" t="inlineStr">
        <is>
          <t>ON</t>
        </is>
      </c>
      <c r="I94" s="43" t="inlineStr">
        <is>
          <t>PT</t>
        </is>
      </c>
      <c r="J94" s="25" t="n">
        <v>0.6666666666666666</v>
      </c>
      <c r="K94" s="50">
        <f>J94*3</f>
        <v/>
      </c>
    </row>
    <row r="95" ht="39.75" customHeight="1">
      <c r="B95" s="27" t="n">
        <v>3</v>
      </c>
      <c r="C95" s="18" t="inlineStr">
        <is>
          <t>TEAM</t>
        </is>
      </c>
      <c r="D95" s="27" t="n">
        <v>4</v>
      </c>
      <c r="E95" s="10" t="inlineStr">
        <is>
          <t>FSI Annuity Info Analyst (JP) — EAI 9857</t>
        </is>
      </c>
      <c r="F95" s="18" t="inlineStr">
        <is>
          <t>BSA</t>
        </is>
      </c>
      <c r="G95" s="43" t="inlineStr">
        <is>
          <t>E3</t>
        </is>
      </c>
      <c r="H95" s="43" t="inlineStr">
        <is>
          <t>ON</t>
        </is>
      </c>
      <c r="I95" s="43" t="inlineStr">
        <is>
          <t>PT</t>
        </is>
      </c>
      <c r="J95" s="25" t="n">
        <v>0.6666666666666666</v>
      </c>
      <c r="K95" s="50">
        <f>J95*3</f>
        <v/>
      </c>
    </row>
    <row r="96">
      <c r="B96" s="27" t="n">
        <v>3</v>
      </c>
      <c r="C96" s="18" t="inlineStr">
        <is>
          <t>TEAM</t>
        </is>
      </c>
      <c r="D96" s="27" t="n">
        <v>5</v>
      </c>
      <c r="E96" s="10" t="inlineStr">
        <is>
          <t>Business Analyst (bilingual) — Payments</t>
        </is>
      </c>
      <c r="F96" s="18" t="inlineStr">
        <is>
          <t>BSA</t>
        </is>
      </c>
      <c r="G96" s="43" t="inlineStr">
        <is>
          <t>E3</t>
        </is>
      </c>
      <c r="H96" s="43" t="inlineStr">
        <is>
          <t>ON</t>
        </is>
      </c>
      <c r="I96" s="43" t="inlineStr">
        <is>
          <t>FTC</t>
        </is>
      </c>
      <c r="J96" s="25" t="n">
        <v>0.8333333333333333</v>
      </c>
      <c r="K96" s="50">
        <f>J96*3</f>
        <v/>
      </c>
    </row>
    <row r="97">
      <c r="B97" s="27" t="n">
        <v>3</v>
      </c>
      <c r="C97" s="18" t="inlineStr">
        <is>
          <t>TEAM</t>
        </is>
      </c>
      <c r="D97" s="27" t="n">
        <v>6</v>
      </c>
      <c r="E97" s="10" t="inlineStr">
        <is>
          <t>Team lead / senior engineer — Payments</t>
        </is>
      </c>
      <c r="F97" s="18" t="inlineStr">
        <is>
          <t>DEV</t>
        </is>
      </c>
      <c r="G97" s="43" t="inlineStr">
        <is>
          <t>E4</t>
        </is>
      </c>
      <c r="H97" s="43" t="inlineStr">
        <is>
          <t>ON</t>
        </is>
      </c>
      <c r="I97" s="43" t="inlineStr">
        <is>
          <t>FTC</t>
        </is>
      </c>
      <c r="J97" s="25" t="n">
        <v>1</v>
      </c>
      <c r="K97" s="50">
        <f>J97*3</f>
        <v/>
      </c>
    </row>
    <row r="98">
      <c r="B98" s="27" t="n">
        <v>3</v>
      </c>
      <c r="C98" s="18" t="inlineStr">
        <is>
          <t>TEAM</t>
        </is>
      </c>
      <c r="D98" s="27" t="n">
        <v>7</v>
      </c>
      <c r="E98" s="10" t="inlineStr">
        <is>
          <t>Senior Application Developer (VB.NET / C++ / Java)</t>
        </is>
      </c>
      <c r="F98" s="18" t="inlineStr">
        <is>
          <t>DEV</t>
        </is>
      </c>
      <c r="G98" s="43" t="inlineStr">
        <is>
          <t>E3</t>
        </is>
      </c>
      <c r="H98" s="43" t="inlineStr">
        <is>
          <t>ON</t>
        </is>
      </c>
      <c r="I98" s="43" t="inlineStr">
        <is>
          <t>FTC</t>
        </is>
      </c>
      <c r="J98" s="25" t="n">
        <v>1.833333333333333</v>
      </c>
      <c r="K98" s="50">
        <f>J98*3</f>
        <v/>
      </c>
    </row>
    <row r="99">
      <c r="B99" s="27" t="n">
        <v>3</v>
      </c>
      <c r="C99" s="18" t="inlineStr">
        <is>
          <t>TEAM</t>
        </is>
      </c>
      <c r="D99" s="27" t="n">
        <v>8</v>
      </c>
      <c r="E99" s="10" t="inlineStr">
        <is>
          <t>Junior Application Developer</t>
        </is>
      </c>
      <c r="F99" s="18" t="inlineStr">
        <is>
          <t>DEV</t>
        </is>
      </c>
      <c r="G99" s="43" t="inlineStr">
        <is>
          <t>E2</t>
        </is>
      </c>
      <c r="H99" s="43" t="inlineStr">
        <is>
          <t>ON</t>
        </is>
      </c>
      <c r="I99" s="43" t="inlineStr">
        <is>
          <t>FTC</t>
        </is>
      </c>
      <c r="J99" s="25" t="n">
        <v>0.5</v>
      </c>
      <c r="K99" s="50">
        <f>J99*3</f>
        <v/>
      </c>
    </row>
    <row r="100">
      <c r="B100" s="27" t="n">
        <v>3</v>
      </c>
      <c r="C100" s="18" t="inlineStr">
        <is>
          <t>TEAM</t>
        </is>
      </c>
      <c r="D100" s="27" t="n">
        <v>9</v>
      </c>
      <c r="E100" s="10" t="inlineStr">
        <is>
          <t>Test Analyst</t>
        </is>
      </c>
      <c r="F100" s="18" t="inlineStr">
        <is>
          <t>TEST</t>
        </is>
      </c>
      <c r="G100" s="43" t="inlineStr">
        <is>
          <t>E3</t>
        </is>
      </c>
      <c r="H100" s="43" t="inlineStr">
        <is>
          <t>ON</t>
        </is>
      </c>
      <c r="I100" s="43" t="inlineStr">
        <is>
          <t>FTC</t>
        </is>
      </c>
      <c r="J100" s="25" t="n">
        <v>0.5</v>
      </c>
      <c r="K100" s="50">
        <f>J100*3</f>
        <v/>
      </c>
    </row>
    <row r="101">
      <c r="B101" s="27" t="n">
        <v>3</v>
      </c>
      <c r="C101" s="18" t="inlineStr">
        <is>
          <t>TEAM</t>
        </is>
      </c>
      <c r="D101" s="27" t="n">
        <v>10</v>
      </c>
      <c r="E101" s="10" t="inlineStr">
        <is>
          <t>Application Support (L2) — Tokyo</t>
        </is>
      </c>
      <c r="F101" s="18" t="inlineStr">
        <is>
          <t>MNT</t>
        </is>
      </c>
      <c r="G101" s="43" t="inlineStr">
        <is>
          <t>E2</t>
        </is>
      </c>
      <c r="H101" s="43" t="inlineStr">
        <is>
          <t>ON</t>
        </is>
      </c>
      <c r="I101" s="43" t="inlineStr">
        <is>
          <t>FTC</t>
        </is>
      </c>
      <c r="J101" s="25" t="n">
        <v>0.5</v>
      </c>
      <c r="K101" s="50">
        <f>J101*3</f>
        <v/>
      </c>
    </row>
    <row r="102">
      <c r="B102" s="27" t="n">
        <v>3</v>
      </c>
      <c r="C102" s="18" t="inlineStr">
        <is>
          <t>TEAM</t>
        </is>
      </c>
      <c r="D102" s="27" t="n">
        <v>11</v>
      </c>
      <c r="E102" s="10" t="inlineStr">
        <is>
          <t>Technical Lead / design authority — Payments</t>
        </is>
      </c>
      <c r="F102" s="18" t="inlineStr">
        <is>
          <t>OTH</t>
        </is>
      </c>
      <c r="G102" s="43" t="inlineStr">
        <is>
          <t>E4</t>
        </is>
      </c>
      <c r="H102" s="43" t="inlineStr">
        <is>
          <t>ON</t>
        </is>
      </c>
      <c r="I102" s="43" t="inlineStr">
        <is>
          <t>FTC</t>
        </is>
      </c>
      <c r="J102" s="25" t="n">
        <v>0.3333333333333333</v>
      </c>
      <c r="K102" s="50">
        <f>J102*3</f>
        <v/>
      </c>
    </row>
    <row r="103">
      <c r="B103" s="27" t="n">
        <v>3</v>
      </c>
      <c r="C103" s="18" t="inlineStr">
        <is>
          <t>TEAM</t>
        </is>
      </c>
      <c r="D103" s="27" t="n">
        <v>12</v>
      </c>
      <c r="E103" s="10" t="inlineStr">
        <is>
          <t>Senior Application Developer — nearshore</t>
        </is>
      </c>
      <c r="F103" s="18" t="inlineStr">
        <is>
          <t>DEV</t>
        </is>
      </c>
      <c r="G103" s="43" t="inlineStr">
        <is>
          <t>E3</t>
        </is>
      </c>
      <c r="H103" s="43" t="inlineStr">
        <is>
          <t>NEAR</t>
        </is>
      </c>
      <c r="I103" s="43" t="inlineStr">
        <is>
          <t>FTC</t>
        </is>
      </c>
      <c r="J103" s="25" t="n">
        <v>0.6666666666666666</v>
      </c>
      <c r="K103" s="50">
        <f>J103*3</f>
        <v/>
      </c>
    </row>
    <row r="104">
      <c r="B104" s="27" t="n">
        <v>3</v>
      </c>
      <c r="C104" s="18" t="inlineStr">
        <is>
          <t>TEAM</t>
        </is>
      </c>
      <c r="D104" s="27" t="n">
        <v>13</v>
      </c>
      <c r="E104" s="10" t="inlineStr">
        <is>
          <t>Test Engineer — nearshore</t>
        </is>
      </c>
      <c r="F104" s="18" t="inlineStr">
        <is>
          <t>TEST</t>
        </is>
      </c>
      <c r="G104" s="43" t="inlineStr">
        <is>
          <t>E2</t>
        </is>
      </c>
      <c r="H104" s="43" t="inlineStr">
        <is>
          <t>NEAR</t>
        </is>
      </c>
      <c r="I104" s="43" t="inlineStr">
        <is>
          <t>FTC</t>
        </is>
      </c>
      <c r="J104" s="25" t="n">
        <v>0.3333333333333333</v>
      </c>
      <c r="K104" s="50">
        <f>J104*3</f>
        <v/>
      </c>
    </row>
    <row r="105">
      <c r="B105" s="27" t="n">
        <v>3</v>
      </c>
      <c r="C105" s="18" t="inlineStr">
        <is>
          <t>TEAM</t>
        </is>
      </c>
      <c r="D105" s="27" t="n">
        <v>14</v>
      </c>
      <c r="E105" s="10" t="inlineStr">
        <is>
          <t>Junior Application Developer — offshore</t>
        </is>
      </c>
      <c r="F105" s="18" t="inlineStr">
        <is>
          <t>DEV</t>
        </is>
      </c>
      <c r="G105" s="43" t="inlineStr">
        <is>
          <t>E2</t>
        </is>
      </c>
      <c r="H105" s="43" t="inlineStr">
        <is>
          <t>OFF</t>
        </is>
      </c>
      <c r="I105" s="43" t="inlineStr">
        <is>
          <t>FTC</t>
        </is>
      </c>
      <c r="J105" s="25" t="n">
        <v>1.833333333333333</v>
      </c>
      <c r="K105" s="50">
        <f>J105*3</f>
        <v/>
      </c>
    </row>
    <row r="106">
      <c r="B106" s="27" t="n">
        <v>3</v>
      </c>
      <c r="C106" s="18" t="inlineStr">
        <is>
          <t>TEAM</t>
        </is>
      </c>
      <c r="D106" s="27" t="n">
        <v>15</v>
      </c>
      <c r="E106" s="10" t="inlineStr">
        <is>
          <t>Junior Test Engineer — offshore</t>
        </is>
      </c>
      <c r="F106" s="18" t="inlineStr">
        <is>
          <t>TEST</t>
        </is>
      </c>
      <c r="G106" s="43" t="inlineStr">
        <is>
          <t>E1</t>
        </is>
      </c>
      <c r="H106" s="43" t="inlineStr">
        <is>
          <t>OFF</t>
        </is>
      </c>
      <c r="I106" s="43" t="inlineStr">
        <is>
          <t>FTC</t>
        </is>
      </c>
      <c r="J106" s="25" t="n">
        <v>0.5</v>
      </c>
      <c r="K106" s="50">
        <f>J106*3</f>
        <v/>
      </c>
    </row>
    <row r="107">
      <c r="B107" s="27" t="n">
        <v>3</v>
      </c>
      <c r="C107" s="18" t="inlineStr">
        <is>
          <t>TEAM</t>
        </is>
      </c>
      <c r="D107" s="27" t="n">
        <v>16</v>
      </c>
      <c r="E107" s="10" t="inlineStr">
        <is>
          <t>Application Support — offshore</t>
        </is>
      </c>
      <c r="F107" s="18" t="inlineStr">
        <is>
          <t>MNT</t>
        </is>
      </c>
      <c r="G107" s="43" t="inlineStr">
        <is>
          <t>E2</t>
        </is>
      </c>
      <c r="H107" s="43" t="inlineStr">
        <is>
          <t>OFF</t>
        </is>
      </c>
      <c r="I107" s="43" t="inlineStr">
        <is>
          <t>FTC</t>
        </is>
      </c>
      <c r="J107" s="25" t="n">
        <v>0.6666666666666666</v>
      </c>
      <c r="K107" s="50">
        <f>J107*3</f>
        <v/>
      </c>
    </row>
    <row r="108">
      <c r="D108" s="22" t="inlineStr">
        <is>
          <t>TEAM size — Year 3 · VS2</t>
        </is>
      </c>
      <c r="J108" s="30">
        <f>SUM(J92:J107)</f>
        <v/>
      </c>
      <c r="K108" s="71">
        <f>SUM(K92:K107)</f>
        <v/>
      </c>
    </row>
    <row r="110">
      <c r="B110" s="27" t="n">
        <v>4</v>
      </c>
      <c r="C110" s="18" t="inlineStr">
        <is>
          <t>POD</t>
        </is>
      </c>
      <c r="D110" s="27" t="n">
        <v>1</v>
      </c>
      <c r="E110" s="10" t="inlineStr">
        <is>
          <t>MetLife Claims Product Owner</t>
        </is>
      </c>
      <c r="F110" s="18" t="inlineStr">
        <is>
          <t>PM</t>
        </is>
      </c>
      <c r="G110" s="43" t="inlineStr">
        <is>
          <t>E4</t>
        </is>
      </c>
      <c r="H110" s="43" t="inlineStr">
        <is>
          <t>ON</t>
        </is>
      </c>
      <c r="I110" s="43" t="inlineStr">
        <is>
          <t>FTE</t>
        </is>
      </c>
      <c r="J110" s="25" t="n">
        <v>0.25</v>
      </c>
      <c r="K110" s="50">
        <f>J110*4</f>
        <v/>
      </c>
    </row>
    <row r="111">
      <c r="B111" s="27" t="n">
        <v>4</v>
      </c>
      <c r="C111" s="18" t="inlineStr">
        <is>
          <t>POD</t>
        </is>
      </c>
      <c r="D111" s="27" t="n">
        <v>2</v>
      </c>
      <c r="E111" s="10" t="inlineStr">
        <is>
          <t>MetLife Claims SME</t>
        </is>
      </c>
      <c r="F111" s="18" t="inlineStr">
        <is>
          <t>BSA</t>
        </is>
      </c>
      <c r="G111" s="43" t="inlineStr">
        <is>
          <t>E4</t>
        </is>
      </c>
      <c r="H111" s="43" t="inlineStr">
        <is>
          <t>ON</t>
        </is>
      </c>
      <c r="I111" s="43" t="inlineStr">
        <is>
          <t>FTE</t>
        </is>
      </c>
      <c r="J111" s="25" t="n">
        <v>0.125</v>
      </c>
      <c r="K111" s="50">
        <f>J111*4</f>
        <v/>
      </c>
    </row>
    <row r="112">
      <c r="B112" s="27" t="n">
        <v>4</v>
      </c>
      <c r="C112" s="18" t="inlineStr">
        <is>
          <t>POD</t>
        </is>
      </c>
      <c r="D112" s="27" t="n">
        <v>3</v>
      </c>
      <c r="E112" s="10" t="inlineStr">
        <is>
          <t>FSI OpenBatch Developer (JP) — EAI 13820</t>
        </is>
      </c>
      <c r="F112" s="18" t="inlineStr">
        <is>
          <t>DEV</t>
        </is>
      </c>
      <c r="G112" s="43" t="inlineStr">
        <is>
          <t>E3</t>
        </is>
      </c>
      <c r="H112" s="43" t="inlineStr">
        <is>
          <t>ON</t>
        </is>
      </c>
      <c r="I112" s="43" t="inlineStr">
        <is>
          <t>PT</t>
        </is>
      </c>
      <c r="J112" s="25" t="n">
        <v>0.5</v>
      </c>
      <c r="K112" s="50">
        <f>J112*4</f>
        <v/>
      </c>
    </row>
    <row r="113">
      <c r="B113" s="27" t="n">
        <v>4</v>
      </c>
      <c r="C113" s="18" t="inlineStr">
        <is>
          <t>POD</t>
        </is>
      </c>
      <c r="D113" s="27" t="n">
        <v>4</v>
      </c>
      <c r="E113" s="10" t="inlineStr">
        <is>
          <t>FSI Pega Analyst (JP) — EAI 14322</t>
        </is>
      </c>
      <c r="F113" s="18" t="inlineStr">
        <is>
          <t>BSA</t>
        </is>
      </c>
      <c r="G113" s="43" t="inlineStr">
        <is>
          <t>E3</t>
        </is>
      </c>
      <c r="H113" s="43" t="inlineStr">
        <is>
          <t>ON</t>
        </is>
      </c>
      <c r="I113" s="43" t="inlineStr">
        <is>
          <t>PT</t>
        </is>
      </c>
      <c r="J113" s="25" t="n">
        <v>0.25</v>
      </c>
      <c r="K113" s="50">
        <f>J113*4</f>
        <v/>
      </c>
    </row>
    <row r="114">
      <c r="B114" s="27" t="n">
        <v>4</v>
      </c>
      <c r="C114" s="18" t="inlineStr">
        <is>
          <t>POD</t>
        </is>
      </c>
      <c r="D114" s="27" t="n">
        <v>5</v>
      </c>
      <c r="E114" s="10" t="inlineStr">
        <is>
          <t>Business Analyst (bilingual) — Claims Platform</t>
        </is>
      </c>
      <c r="F114" s="18" t="inlineStr">
        <is>
          <t>BSA</t>
        </is>
      </c>
      <c r="G114" s="43" t="inlineStr">
        <is>
          <t>E3</t>
        </is>
      </c>
      <c r="H114" s="43" t="inlineStr">
        <is>
          <t>ON</t>
        </is>
      </c>
      <c r="I114" s="43" t="inlineStr">
        <is>
          <t>FTC</t>
        </is>
      </c>
      <c r="J114" s="25" t="n">
        <v>0.25</v>
      </c>
      <c r="K114" s="50">
        <f>J114*4</f>
        <v/>
      </c>
    </row>
    <row r="115">
      <c r="B115" s="27" t="n">
        <v>4</v>
      </c>
      <c r="C115" s="18" t="inlineStr">
        <is>
          <t>POD</t>
        </is>
      </c>
      <c r="D115" s="27" t="n">
        <v>6</v>
      </c>
      <c r="E115" s="10" t="inlineStr">
        <is>
          <t>Pod lead / senior engineer — Claims Platform</t>
        </is>
      </c>
      <c r="F115" s="18" t="inlineStr">
        <is>
          <t>DEV</t>
        </is>
      </c>
      <c r="G115" s="43" t="inlineStr">
        <is>
          <t>E4</t>
        </is>
      </c>
      <c r="H115" s="43" t="inlineStr">
        <is>
          <t>ON</t>
        </is>
      </c>
      <c r="I115" s="43" t="inlineStr">
        <is>
          <t>FTC</t>
        </is>
      </c>
      <c r="J115" s="25" t="n">
        <v>0.25</v>
      </c>
      <c r="K115" s="50">
        <f>J115*4</f>
        <v/>
      </c>
    </row>
    <row r="116">
      <c r="B116" s="27" t="n">
        <v>4</v>
      </c>
      <c r="C116" s="18" t="inlineStr">
        <is>
          <t>POD</t>
        </is>
      </c>
      <c r="D116" s="27" t="n">
        <v>7</v>
      </c>
      <c r="E116" s="10" t="inlineStr">
        <is>
          <t>Senior Claims Engineer</t>
        </is>
      </c>
      <c r="F116" s="18" t="inlineStr">
        <is>
          <t>DEV</t>
        </is>
      </c>
      <c r="G116" s="43" t="inlineStr">
        <is>
          <t>E3</t>
        </is>
      </c>
      <c r="H116" s="43" t="inlineStr">
        <is>
          <t>ON</t>
        </is>
      </c>
      <c r="I116" s="43" t="inlineStr">
        <is>
          <t>FTC</t>
        </is>
      </c>
      <c r="J116" s="25" t="n">
        <v>0.125</v>
      </c>
      <c r="K116" s="50">
        <f>J116*4</f>
        <v/>
      </c>
    </row>
    <row r="117">
      <c r="B117" s="27" t="n">
        <v>4</v>
      </c>
      <c r="C117" s="18" t="inlineStr">
        <is>
          <t>POD</t>
        </is>
      </c>
      <c r="D117" s="27" t="n">
        <v>8</v>
      </c>
      <c r="E117" s="10" t="inlineStr">
        <is>
          <t>Junior Claims Engineer</t>
        </is>
      </c>
      <c r="F117" s="18" t="inlineStr">
        <is>
          <t>DEV</t>
        </is>
      </c>
      <c r="G117" s="43" t="inlineStr">
        <is>
          <t>E2</t>
        </is>
      </c>
      <c r="H117" s="43" t="inlineStr">
        <is>
          <t>ON</t>
        </is>
      </c>
      <c r="I117" s="43" t="inlineStr">
        <is>
          <t>FTC</t>
        </is>
      </c>
      <c r="J117" s="25" t="n">
        <v>0.125</v>
      </c>
      <c r="K117" s="50">
        <f>J117*4</f>
        <v/>
      </c>
    </row>
    <row r="118">
      <c r="B118" s="27" t="n">
        <v>4</v>
      </c>
      <c r="C118" s="18" t="inlineStr">
        <is>
          <t>POD</t>
        </is>
      </c>
      <c r="D118" s="27" t="n">
        <v>9</v>
      </c>
      <c r="E118" s="10" t="inlineStr">
        <is>
          <t>Quality Engineer (SDET)</t>
        </is>
      </c>
      <c r="F118" s="18" t="inlineStr">
        <is>
          <t>TEST</t>
        </is>
      </c>
      <c r="G118" s="43" t="inlineStr">
        <is>
          <t>E2</t>
        </is>
      </c>
      <c r="H118" s="43" t="inlineStr">
        <is>
          <t>ON</t>
        </is>
      </c>
      <c r="I118" s="43" t="inlineStr">
        <is>
          <t>FTC</t>
        </is>
      </c>
      <c r="J118" s="25" t="n">
        <v>0.125</v>
      </c>
      <c r="K118" s="50">
        <f>J118*4</f>
        <v/>
      </c>
    </row>
    <row r="119">
      <c r="B119" s="27" t="n">
        <v>4</v>
      </c>
      <c r="C119" s="18" t="inlineStr">
        <is>
          <t>POD</t>
        </is>
      </c>
      <c r="D119" s="27" t="n">
        <v>10</v>
      </c>
      <c r="E119" s="10" t="inlineStr">
        <is>
          <t>Junior Claims Engineer — offshore</t>
        </is>
      </c>
      <c r="F119" s="18" t="inlineStr">
        <is>
          <t>DEV</t>
        </is>
      </c>
      <c r="G119" s="43" t="inlineStr">
        <is>
          <t>E2</t>
        </is>
      </c>
      <c r="H119" s="43" t="inlineStr">
        <is>
          <t>OFF</t>
        </is>
      </c>
      <c r="I119" s="43" t="inlineStr">
        <is>
          <t>FTC</t>
        </is>
      </c>
      <c r="J119" s="25" t="n">
        <v>0.875</v>
      </c>
      <c r="K119" s="50">
        <f>J119*4</f>
        <v/>
      </c>
    </row>
    <row r="120">
      <c r="B120" s="27" t="n">
        <v>4</v>
      </c>
      <c r="C120" s="18" t="inlineStr">
        <is>
          <t>POD</t>
        </is>
      </c>
      <c r="D120" s="27" t="n">
        <v>11</v>
      </c>
      <c r="E120" s="10" t="inlineStr">
        <is>
          <t>Graduate Claims Engineer — offshore</t>
        </is>
      </c>
      <c r="F120" s="18" t="inlineStr">
        <is>
          <t>DEV</t>
        </is>
      </c>
      <c r="G120" s="43" t="inlineStr">
        <is>
          <t>E1</t>
        </is>
      </c>
      <c r="H120" s="43" t="inlineStr">
        <is>
          <t>OFF</t>
        </is>
      </c>
      <c r="I120" s="43" t="inlineStr">
        <is>
          <t>FTC</t>
        </is>
      </c>
      <c r="J120" s="25" t="n">
        <v>0.25</v>
      </c>
      <c r="K120" s="50">
        <f>J120*4</f>
        <v/>
      </c>
    </row>
    <row r="121">
      <c r="B121" s="27" t="n">
        <v>4</v>
      </c>
      <c r="C121" s="18" t="inlineStr">
        <is>
          <t>POD</t>
        </is>
      </c>
      <c r="D121" s="27" t="n">
        <v>12</v>
      </c>
      <c r="E121" s="10" t="inlineStr">
        <is>
          <t>Junior Quality Engineer — offshore</t>
        </is>
      </c>
      <c r="F121" s="18" t="inlineStr">
        <is>
          <t>TEST</t>
        </is>
      </c>
      <c r="G121" s="43" t="inlineStr">
        <is>
          <t>E1</t>
        </is>
      </c>
      <c r="H121" s="43" t="inlineStr">
        <is>
          <t>OFF</t>
        </is>
      </c>
      <c r="I121" s="43" t="inlineStr">
        <is>
          <t>FTC</t>
        </is>
      </c>
      <c r="J121" s="25" t="n">
        <v>0.375</v>
      </c>
      <c r="K121" s="50">
        <f>J121*4</f>
        <v/>
      </c>
    </row>
    <row r="122">
      <c r="B122" s="27" t="n">
        <v>4</v>
      </c>
      <c r="C122" s="18" t="inlineStr">
        <is>
          <t>POD</t>
        </is>
      </c>
      <c r="D122" s="27" t="n">
        <v>13</v>
      </c>
      <c r="E122" s="10" t="inlineStr">
        <is>
          <t>Application Support — offshore</t>
        </is>
      </c>
      <c r="F122" s="18" t="inlineStr">
        <is>
          <t>MNT</t>
        </is>
      </c>
      <c r="G122" s="43" t="inlineStr">
        <is>
          <t>E2</t>
        </is>
      </c>
      <c r="H122" s="43" t="inlineStr">
        <is>
          <t>OFF</t>
        </is>
      </c>
      <c r="I122" s="43" t="inlineStr">
        <is>
          <t>FTC</t>
        </is>
      </c>
      <c r="J122" s="25" t="n">
        <v>0.25</v>
      </c>
      <c r="K122" s="50">
        <f>J122*4</f>
        <v/>
      </c>
    </row>
    <row r="123">
      <c r="B123" s="27" t="n">
        <v>4</v>
      </c>
      <c r="C123" s="18" t="inlineStr">
        <is>
          <t>POD</t>
        </is>
      </c>
      <c r="D123" s="27" t="n">
        <v>14</v>
      </c>
      <c r="E123" s="10" t="inlineStr">
        <is>
          <t>MGCC Claims Engineer</t>
        </is>
      </c>
      <c r="F123" s="18" t="inlineStr">
        <is>
          <t>DEV</t>
        </is>
      </c>
      <c r="G123" s="43" t="inlineStr">
        <is>
          <t>E3</t>
        </is>
      </c>
      <c r="H123" s="43" t="inlineStr">
        <is>
          <t>OFF</t>
        </is>
      </c>
      <c r="I123" s="43" t="inlineStr">
        <is>
          <t>MGCC</t>
        </is>
      </c>
      <c r="J123" s="25" t="n">
        <v>1.5</v>
      </c>
      <c r="K123" s="50">
        <f>J123*4</f>
        <v/>
      </c>
    </row>
    <row r="124">
      <c r="B124" s="27" t="n">
        <v>4</v>
      </c>
      <c r="C124" s="18" t="inlineStr">
        <is>
          <t>POD</t>
        </is>
      </c>
      <c r="D124" s="27" t="n">
        <v>15</v>
      </c>
      <c r="E124" s="10" t="inlineStr">
        <is>
          <t>MGCC Quality Engineer</t>
        </is>
      </c>
      <c r="F124" s="18" t="inlineStr">
        <is>
          <t>TEST</t>
        </is>
      </c>
      <c r="G124" s="43" t="inlineStr">
        <is>
          <t>E2</t>
        </is>
      </c>
      <c r="H124" s="43" t="inlineStr">
        <is>
          <t>OFF</t>
        </is>
      </c>
      <c r="I124" s="43" t="inlineStr">
        <is>
          <t>MGCC</t>
        </is>
      </c>
      <c r="J124" s="25" t="n">
        <v>0.75</v>
      </c>
      <c r="K124" s="50">
        <f>J124*4</f>
        <v/>
      </c>
    </row>
    <row r="125">
      <c r="D125" s="22" t="inlineStr">
        <is>
          <t>POD size — Year 4 · VS1</t>
        </is>
      </c>
      <c r="J125" s="30">
        <f>SUM(J110:J124)</f>
        <v/>
      </c>
      <c r="K125" s="71">
        <f>SUM(K110:K124)</f>
        <v/>
      </c>
    </row>
    <row r="127">
      <c r="B127" s="27" t="n">
        <v>4</v>
      </c>
      <c r="C127" s="18" t="inlineStr">
        <is>
          <t>POD</t>
        </is>
      </c>
      <c r="D127" s="27" t="n">
        <v>1</v>
      </c>
      <c r="E127" s="10" t="inlineStr">
        <is>
          <t>MetLife Payments Product Owner</t>
        </is>
      </c>
      <c r="F127" s="18" t="inlineStr">
        <is>
          <t>PM</t>
        </is>
      </c>
      <c r="G127" s="43" t="inlineStr">
        <is>
          <t>E4</t>
        </is>
      </c>
      <c r="H127" s="43" t="inlineStr">
        <is>
          <t>ON</t>
        </is>
      </c>
      <c r="I127" s="43" t="inlineStr">
        <is>
          <t>FTE</t>
        </is>
      </c>
      <c r="J127" s="25" t="n">
        <v>0.5</v>
      </c>
      <c r="K127" s="50">
        <f>J127*2</f>
        <v/>
      </c>
    </row>
    <row r="128">
      <c r="B128" s="27" t="n">
        <v>4</v>
      </c>
      <c r="C128" s="18" t="inlineStr">
        <is>
          <t>POD</t>
        </is>
      </c>
      <c r="D128" s="27" t="n">
        <v>2</v>
      </c>
      <c r="E128" s="10" t="inlineStr">
        <is>
          <t>MetLife Payments Operations Analyst</t>
        </is>
      </c>
      <c r="F128" s="18" t="inlineStr">
        <is>
          <t>MNT</t>
        </is>
      </c>
      <c r="G128" s="43" t="inlineStr">
        <is>
          <t>E3</t>
        </is>
      </c>
      <c r="H128" s="43" t="inlineStr">
        <is>
          <t>ON</t>
        </is>
      </c>
      <c r="I128" s="43" t="inlineStr">
        <is>
          <t>FTE</t>
        </is>
      </c>
      <c r="J128" s="25" t="n">
        <v>0.75</v>
      </c>
      <c r="K128" s="50">
        <f>J128*2</f>
        <v/>
      </c>
    </row>
    <row r="129">
      <c r="B129" s="27" t="n">
        <v>4</v>
      </c>
      <c r="C129" s="18" t="inlineStr">
        <is>
          <t>POD</t>
        </is>
      </c>
      <c r="D129" s="27" t="n">
        <v>3</v>
      </c>
      <c r="E129" s="10" t="inlineStr">
        <is>
          <t>FSI Annuity Info Analyst (JP) — EAI 9857</t>
        </is>
      </c>
      <c r="F129" s="18" t="inlineStr">
        <is>
          <t>BSA</t>
        </is>
      </c>
      <c r="G129" s="43" t="inlineStr">
        <is>
          <t>E3</t>
        </is>
      </c>
      <c r="H129" s="43" t="inlineStr">
        <is>
          <t>ON</t>
        </is>
      </c>
      <c r="I129" s="43" t="inlineStr">
        <is>
          <t>PT</t>
        </is>
      </c>
      <c r="J129" s="25" t="n">
        <v>1</v>
      </c>
      <c r="K129" s="50">
        <f>J129*2</f>
        <v/>
      </c>
    </row>
    <row r="130">
      <c r="B130" s="27" t="n">
        <v>4</v>
      </c>
      <c r="C130" s="18" t="inlineStr">
        <is>
          <t>POD</t>
        </is>
      </c>
      <c r="D130" s="27" t="n">
        <v>4</v>
      </c>
      <c r="E130" s="10" t="inlineStr">
        <is>
          <t>Business Analyst (bilingual) — Payments</t>
        </is>
      </c>
      <c r="F130" s="18" t="inlineStr">
        <is>
          <t>BSA</t>
        </is>
      </c>
      <c r="G130" s="43" t="inlineStr">
        <is>
          <t>E3</t>
        </is>
      </c>
      <c r="H130" s="43" t="inlineStr">
        <is>
          <t>ON</t>
        </is>
      </c>
      <c r="I130" s="43" t="inlineStr">
        <is>
          <t>FTC</t>
        </is>
      </c>
      <c r="J130" s="25" t="n">
        <v>0.5</v>
      </c>
      <c r="K130" s="50">
        <f>J130*2</f>
        <v/>
      </c>
    </row>
    <row r="131">
      <c r="B131" s="27" t="n">
        <v>4</v>
      </c>
      <c r="C131" s="18" t="inlineStr">
        <is>
          <t>POD</t>
        </is>
      </c>
      <c r="D131" s="27" t="n">
        <v>5</v>
      </c>
      <c r="E131" s="10" t="inlineStr">
        <is>
          <t>Team lead / senior engineer — Payments</t>
        </is>
      </c>
      <c r="F131" s="18" t="inlineStr">
        <is>
          <t>DEV</t>
        </is>
      </c>
      <c r="G131" s="43" t="inlineStr">
        <is>
          <t>E4</t>
        </is>
      </c>
      <c r="H131" s="43" t="inlineStr">
        <is>
          <t>ON</t>
        </is>
      </c>
      <c r="I131" s="43" t="inlineStr">
        <is>
          <t>FTC</t>
        </is>
      </c>
      <c r="J131" s="25" t="n">
        <v>0.5</v>
      </c>
      <c r="K131" s="50">
        <f>J131*2</f>
        <v/>
      </c>
    </row>
    <row r="132">
      <c r="B132" s="27" t="n">
        <v>4</v>
      </c>
      <c r="C132" s="18" t="inlineStr">
        <is>
          <t>POD</t>
        </is>
      </c>
      <c r="D132" s="27" t="n">
        <v>6</v>
      </c>
      <c r="E132" s="10" t="inlineStr">
        <is>
          <t>Application Support (L2) — Tokyo</t>
        </is>
      </c>
      <c r="F132" s="18" t="inlineStr">
        <is>
          <t>MNT</t>
        </is>
      </c>
      <c r="G132" s="43" t="inlineStr">
        <is>
          <t>E2</t>
        </is>
      </c>
      <c r="H132" s="43" t="inlineStr">
        <is>
          <t>ON</t>
        </is>
      </c>
      <c r="I132" s="43" t="inlineStr">
        <is>
          <t>FTC</t>
        </is>
      </c>
      <c r="J132" s="25" t="n">
        <v>0.75</v>
      </c>
      <c r="K132" s="50">
        <f>J132*2</f>
        <v/>
      </c>
    </row>
    <row r="133">
      <c r="B133" s="27" t="n">
        <v>4</v>
      </c>
      <c r="C133" s="18" t="inlineStr">
        <is>
          <t>POD</t>
        </is>
      </c>
      <c r="D133" s="27" t="n">
        <v>7</v>
      </c>
      <c r="E133" s="10" t="inlineStr">
        <is>
          <t>Junior Application Developer — offshore</t>
        </is>
      </c>
      <c r="F133" s="18" t="inlineStr">
        <is>
          <t>DEV</t>
        </is>
      </c>
      <c r="G133" s="43" t="inlineStr">
        <is>
          <t>E2</t>
        </is>
      </c>
      <c r="H133" s="43" t="inlineStr">
        <is>
          <t>OFF</t>
        </is>
      </c>
      <c r="I133" s="43" t="inlineStr">
        <is>
          <t>FTC</t>
        </is>
      </c>
      <c r="J133" s="25" t="n">
        <v>1</v>
      </c>
      <c r="K133" s="50">
        <f>J133*2</f>
        <v/>
      </c>
    </row>
    <row r="134">
      <c r="B134" s="27" t="n">
        <v>4</v>
      </c>
      <c r="C134" s="18" t="inlineStr">
        <is>
          <t>POD</t>
        </is>
      </c>
      <c r="D134" s="27" t="n">
        <v>8</v>
      </c>
      <c r="E134" s="10" t="inlineStr">
        <is>
          <t>Junior Test Engineer — offshore</t>
        </is>
      </c>
      <c r="F134" s="18" t="inlineStr">
        <is>
          <t>TEST</t>
        </is>
      </c>
      <c r="G134" s="43" t="inlineStr">
        <is>
          <t>E1</t>
        </is>
      </c>
      <c r="H134" s="43" t="inlineStr">
        <is>
          <t>OFF</t>
        </is>
      </c>
      <c r="I134" s="43" t="inlineStr">
        <is>
          <t>FTC</t>
        </is>
      </c>
      <c r="J134" s="25" t="n">
        <v>0.25</v>
      </c>
      <c r="K134" s="50">
        <f>J134*2</f>
        <v/>
      </c>
    </row>
    <row r="135">
      <c r="B135" s="27" t="n">
        <v>4</v>
      </c>
      <c r="C135" s="18" t="inlineStr">
        <is>
          <t>POD</t>
        </is>
      </c>
      <c r="D135" s="27" t="n">
        <v>9</v>
      </c>
      <c r="E135" s="10" t="inlineStr">
        <is>
          <t>Application Support — offshore</t>
        </is>
      </c>
      <c r="F135" s="18" t="inlineStr">
        <is>
          <t>MNT</t>
        </is>
      </c>
      <c r="G135" s="43" t="inlineStr">
        <is>
          <t>E2</t>
        </is>
      </c>
      <c r="H135" s="43" t="inlineStr">
        <is>
          <t>OFF</t>
        </is>
      </c>
      <c r="I135" s="43" t="inlineStr">
        <is>
          <t>FTC</t>
        </is>
      </c>
      <c r="J135" s="25" t="n">
        <v>0.75</v>
      </c>
      <c r="K135" s="50">
        <f>J135*2</f>
        <v/>
      </c>
    </row>
    <row r="136">
      <c r="D136" s="22" t="inlineStr">
        <is>
          <t>POD size — Year 4 · VS2</t>
        </is>
      </c>
      <c r="J136" s="30">
        <f>SUM(J127:J135)</f>
        <v/>
      </c>
      <c r="K136" s="71">
        <f>SUM(K127:K135)</f>
        <v/>
      </c>
    </row>
    <row r="138">
      <c r="B138" s="27" t="n">
        <v>5</v>
      </c>
      <c r="C138" s="18" t="inlineStr">
        <is>
          <t>POD</t>
        </is>
      </c>
      <c r="D138" s="27" t="n">
        <v>1</v>
      </c>
      <c r="E138" s="10" t="inlineStr">
        <is>
          <t>MetLife Claims Product Owner</t>
        </is>
      </c>
      <c r="F138" s="18" t="inlineStr">
        <is>
          <t>PM</t>
        </is>
      </c>
      <c r="G138" s="43" t="inlineStr">
        <is>
          <t>E4</t>
        </is>
      </c>
      <c r="H138" s="43" t="inlineStr">
        <is>
          <t>ON</t>
        </is>
      </c>
      <c r="I138" s="43" t="inlineStr">
        <is>
          <t>FTE</t>
        </is>
      </c>
      <c r="J138" s="25" t="n">
        <v>0.3333333333333333</v>
      </c>
      <c r="K138" s="50">
        <f>J138*3</f>
        <v/>
      </c>
    </row>
    <row r="139">
      <c r="B139" s="27" t="n">
        <v>5</v>
      </c>
      <c r="C139" s="18" t="inlineStr">
        <is>
          <t>POD</t>
        </is>
      </c>
      <c r="D139" s="27" t="n">
        <v>2</v>
      </c>
      <c r="E139" s="10" t="inlineStr">
        <is>
          <t>MetLife Claims SME</t>
        </is>
      </c>
      <c r="F139" s="18" t="inlineStr">
        <is>
          <t>BSA</t>
        </is>
      </c>
      <c r="G139" s="43" t="inlineStr">
        <is>
          <t>E4</t>
        </is>
      </c>
      <c r="H139" s="43" t="inlineStr">
        <is>
          <t>ON</t>
        </is>
      </c>
      <c r="I139" s="43" t="inlineStr">
        <is>
          <t>FTE</t>
        </is>
      </c>
      <c r="J139" s="25" t="n">
        <v>0.1666666666666667</v>
      </c>
      <c r="K139" s="50">
        <f>J139*3</f>
        <v/>
      </c>
    </row>
    <row r="140">
      <c r="B140" s="27" t="n">
        <v>5</v>
      </c>
      <c r="C140" s="18" t="inlineStr">
        <is>
          <t>POD</t>
        </is>
      </c>
      <c r="D140" s="27" t="n">
        <v>3</v>
      </c>
      <c r="E140" s="10" t="inlineStr">
        <is>
          <t>FSI OpenBatch Developer (JP) — EAI 13820</t>
        </is>
      </c>
      <c r="F140" s="18" t="inlineStr">
        <is>
          <t>DEV</t>
        </is>
      </c>
      <c r="G140" s="43" t="inlineStr">
        <is>
          <t>E3</t>
        </is>
      </c>
      <c r="H140" s="43" t="inlineStr">
        <is>
          <t>ON</t>
        </is>
      </c>
      <c r="I140" s="43" t="inlineStr">
        <is>
          <t>PT</t>
        </is>
      </c>
      <c r="J140" s="25" t="n">
        <v>0.3333333333333333</v>
      </c>
      <c r="K140" s="50">
        <f>J140*3</f>
        <v/>
      </c>
    </row>
    <row r="141">
      <c r="B141" s="27" t="n">
        <v>5</v>
      </c>
      <c r="C141" s="18" t="inlineStr">
        <is>
          <t>POD</t>
        </is>
      </c>
      <c r="D141" s="27" t="n">
        <v>4</v>
      </c>
      <c r="E141" s="10" t="inlineStr">
        <is>
          <t>FSI Pega Analyst (JP) — EAI 14322</t>
        </is>
      </c>
      <c r="F141" s="18" t="inlineStr">
        <is>
          <t>BSA</t>
        </is>
      </c>
      <c r="G141" s="43" t="inlineStr">
        <is>
          <t>E3</t>
        </is>
      </c>
      <c r="H141" s="43" t="inlineStr">
        <is>
          <t>ON</t>
        </is>
      </c>
      <c r="I141" s="43" t="inlineStr">
        <is>
          <t>PT</t>
        </is>
      </c>
      <c r="J141" s="25" t="n">
        <v>0.3333333333333333</v>
      </c>
      <c r="K141" s="50">
        <f>J141*3</f>
        <v/>
      </c>
    </row>
    <row r="142">
      <c r="B142" s="27" t="n">
        <v>5</v>
      </c>
      <c r="C142" s="18" t="inlineStr">
        <is>
          <t>POD</t>
        </is>
      </c>
      <c r="D142" s="27" t="n">
        <v>5</v>
      </c>
      <c r="E142" s="10" t="inlineStr">
        <is>
          <t>Business Analyst (bilingual) — Claims Platform</t>
        </is>
      </c>
      <c r="F142" s="18" t="inlineStr">
        <is>
          <t>BSA</t>
        </is>
      </c>
      <c r="G142" s="43" t="inlineStr">
        <is>
          <t>E3</t>
        </is>
      </c>
      <c r="H142" s="43" t="inlineStr">
        <is>
          <t>ON</t>
        </is>
      </c>
      <c r="I142" s="43" t="inlineStr">
        <is>
          <t>FTC</t>
        </is>
      </c>
      <c r="J142" s="25" t="n">
        <v>0.3333333333333333</v>
      </c>
      <c r="K142" s="50">
        <f>J142*3</f>
        <v/>
      </c>
    </row>
    <row r="143">
      <c r="B143" s="27" t="n">
        <v>5</v>
      </c>
      <c r="C143" s="18" t="inlineStr">
        <is>
          <t>POD</t>
        </is>
      </c>
      <c r="D143" s="27" t="n">
        <v>6</v>
      </c>
      <c r="E143" s="10" t="inlineStr">
        <is>
          <t>Pod lead / senior engineer — Claims Platform</t>
        </is>
      </c>
      <c r="F143" s="18" t="inlineStr">
        <is>
          <t>DEV</t>
        </is>
      </c>
      <c r="G143" s="43" t="inlineStr">
        <is>
          <t>E4</t>
        </is>
      </c>
      <c r="H143" s="43" t="inlineStr">
        <is>
          <t>ON</t>
        </is>
      </c>
      <c r="I143" s="43" t="inlineStr">
        <is>
          <t>FTC</t>
        </is>
      </c>
      <c r="J143" s="25" t="n">
        <v>0.3333333333333333</v>
      </c>
      <c r="K143" s="50">
        <f>J143*3</f>
        <v/>
      </c>
    </row>
    <row r="144">
      <c r="B144" s="27" t="n">
        <v>5</v>
      </c>
      <c r="C144" s="18" t="inlineStr">
        <is>
          <t>POD</t>
        </is>
      </c>
      <c r="D144" s="27" t="n">
        <v>7</v>
      </c>
      <c r="E144" s="10" t="inlineStr">
        <is>
          <t>Junior Claims Engineer — offshore</t>
        </is>
      </c>
      <c r="F144" s="18" t="inlineStr">
        <is>
          <t>DEV</t>
        </is>
      </c>
      <c r="G144" s="43" t="inlineStr">
        <is>
          <t>E2</t>
        </is>
      </c>
      <c r="H144" s="43" t="inlineStr">
        <is>
          <t>OFF</t>
        </is>
      </c>
      <c r="I144" s="43" t="inlineStr">
        <is>
          <t>FTC</t>
        </is>
      </c>
      <c r="J144" s="25" t="n">
        <v>0.8333333333333333</v>
      </c>
      <c r="K144" s="50">
        <f>J144*3</f>
        <v/>
      </c>
    </row>
    <row r="145">
      <c r="B145" s="27" t="n">
        <v>5</v>
      </c>
      <c r="C145" s="18" t="inlineStr">
        <is>
          <t>POD</t>
        </is>
      </c>
      <c r="D145" s="27" t="n">
        <v>8</v>
      </c>
      <c r="E145" s="10" t="inlineStr">
        <is>
          <t>Graduate Claims Engineer — offshore</t>
        </is>
      </c>
      <c r="F145" s="18" t="inlineStr">
        <is>
          <t>DEV</t>
        </is>
      </c>
      <c r="G145" s="43" t="inlineStr">
        <is>
          <t>E1</t>
        </is>
      </c>
      <c r="H145" s="43" t="inlineStr">
        <is>
          <t>OFF</t>
        </is>
      </c>
      <c r="I145" s="43" t="inlineStr">
        <is>
          <t>FTC</t>
        </is>
      </c>
      <c r="J145" s="25" t="n">
        <v>0.3333333333333333</v>
      </c>
      <c r="K145" s="50">
        <f>J145*3</f>
        <v/>
      </c>
    </row>
    <row r="146">
      <c r="B146" s="27" t="n">
        <v>5</v>
      </c>
      <c r="C146" s="18" t="inlineStr">
        <is>
          <t>POD</t>
        </is>
      </c>
      <c r="D146" s="27" t="n">
        <v>9</v>
      </c>
      <c r="E146" s="10" t="inlineStr">
        <is>
          <t>Junior Quality Engineer — offshore</t>
        </is>
      </c>
      <c r="F146" s="18" t="inlineStr">
        <is>
          <t>TEST</t>
        </is>
      </c>
      <c r="G146" s="43" t="inlineStr">
        <is>
          <t>E1</t>
        </is>
      </c>
      <c r="H146" s="43" t="inlineStr">
        <is>
          <t>OFF</t>
        </is>
      </c>
      <c r="I146" s="43" t="inlineStr">
        <is>
          <t>FTC</t>
        </is>
      </c>
      <c r="J146" s="25" t="n">
        <v>0.5</v>
      </c>
      <c r="K146" s="50">
        <f>J146*3</f>
        <v/>
      </c>
    </row>
    <row r="147">
      <c r="B147" s="27" t="n">
        <v>5</v>
      </c>
      <c r="C147" s="18" t="inlineStr">
        <is>
          <t>POD</t>
        </is>
      </c>
      <c r="D147" s="27" t="n">
        <v>10</v>
      </c>
      <c r="E147" s="10" t="inlineStr">
        <is>
          <t>Application Support — offshore</t>
        </is>
      </c>
      <c r="F147" s="18" t="inlineStr">
        <is>
          <t>MNT</t>
        </is>
      </c>
      <c r="G147" s="43" t="inlineStr">
        <is>
          <t>E2</t>
        </is>
      </c>
      <c r="H147" s="43" t="inlineStr">
        <is>
          <t>OFF</t>
        </is>
      </c>
      <c r="I147" s="43" t="inlineStr">
        <is>
          <t>FTC</t>
        </is>
      </c>
      <c r="J147" s="25" t="n">
        <v>0.5</v>
      </c>
      <c r="K147" s="50">
        <f>J147*3</f>
        <v/>
      </c>
    </row>
    <row r="148">
      <c r="B148" s="27" t="n">
        <v>5</v>
      </c>
      <c r="C148" s="18" t="inlineStr">
        <is>
          <t>POD</t>
        </is>
      </c>
      <c r="D148" s="27" t="n">
        <v>11</v>
      </c>
      <c r="E148" s="10" t="inlineStr">
        <is>
          <t>MGCC Claims Engineer</t>
        </is>
      </c>
      <c r="F148" s="18" t="inlineStr">
        <is>
          <t>DEV</t>
        </is>
      </c>
      <c r="G148" s="43" t="inlineStr">
        <is>
          <t>E3</t>
        </is>
      </c>
      <c r="H148" s="43" t="inlineStr">
        <is>
          <t>OFF</t>
        </is>
      </c>
      <c r="I148" s="43" t="inlineStr">
        <is>
          <t>MGCC</t>
        </is>
      </c>
      <c r="J148" s="25" t="n">
        <v>1.333333333333333</v>
      </c>
      <c r="K148" s="50">
        <f>J148*3</f>
        <v/>
      </c>
    </row>
    <row r="149">
      <c r="B149" s="27" t="n">
        <v>5</v>
      </c>
      <c r="C149" s="18" t="inlineStr">
        <is>
          <t>POD</t>
        </is>
      </c>
      <c r="D149" s="27" t="n">
        <v>12</v>
      </c>
      <c r="E149" s="10" t="inlineStr">
        <is>
          <t>MGCC Quality Engineer</t>
        </is>
      </c>
      <c r="F149" s="18" t="inlineStr">
        <is>
          <t>TEST</t>
        </is>
      </c>
      <c r="G149" s="43" t="inlineStr">
        <is>
          <t>E2</t>
        </is>
      </c>
      <c r="H149" s="43" t="inlineStr">
        <is>
          <t>OFF</t>
        </is>
      </c>
      <c r="I149" s="43" t="inlineStr">
        <is>
          <t>MGCC</t>
        </is>
      </c>
      <c r="J149" s="25" t="n">
        <v>0.6666666666666666</v>
      </c>
      <c r="K149" s="50">
        <f>J149*3</f>
        <v/>
      </c>
    </row>
    <row r="150">
      <c r="D150" s="22" t="inlineStr">
        <is>
          <t>POD size — Year 5 · VS1</t>
        </is>
      </c>
      <c r="J150" s="30">
        <f>SUM(J138:J149)</f>
        <v/>
      </c>
      <c r="K150" s="71">
        <f>SUM(K138:K149)</f>
        <v/>
      </c>
    </row>
    <row r="152">
      <c r="B152" s="27" t="n">
        <v>5</v>
      </c>
      <c r="C152" s="18" t="inlineStr">
        <is>
          <t>POD</t>
        </is>
      </c>
      <c r="D152" s="27" t="n">
        <v>1</v>
      </c>
      <c r="E152" s="10" t="inlineStr">
        <is>
          <t>MetLife Payments Product Owner</t>
        </is>
      </c>
      <c r="F152" s="18" t="inlineStr">
        <is>
          <t>PM</t>
        </is>
      </c>
      <c r="G152" s="43" t="inlineStr">
        <is>
          <t>E4</t>
        </is>
      </c>
      <c r="H152" s="43" t="inlineStr">
        <is>
          <t>ON</t>
        </is>
      </c>
      <c r="I152" s="43" t="inlineStr">
        <is>
          <t>FTE</t>
        </is>
      </c>
      <c r="J152" s="25" t="n">
        <v>0.5</v>
      </c>
      <c r="K152" s="50">
        <f>J152*2</f>
        <v/>
      </c>
    </row>
    <row r="153">
      <c r="B153" s="27" t="n">
        <v>5</v>
      </c>
      <c r="C153" s="18" t="inlineStr">
        <is>
          <t>POD</t>
        </is>
      </c>
      <c r="D153" s="27" t="n">
        <v>2</v>
      </c>
      <c r="E153" s="10" t="inlineStr">
        <is>
          <t>MetLife Payments Operations Analyst</t>
        </is>
      </c>
      <c r="F153" s="18" t="inlineStr">
        <is>
          <t>MNT</t>
        </is>
      </c>
      <c r="G153" s="43" t="inlineStr">
        <is>
          <t>E3</t>
        </is>
      </c>
      <c r="H153" s="43" t="inlineStr">
        <is>
          <t>ON</t>
        </is>
      </c>
      <c r="I153" s="43" t="inlineStr">
        <is>
          <t>FTE</t>
        </is>
      </c>
      <c r="J153" s="25" t="n">
        <v>0.75</v>
      </c>
      <c r="K153" s="50">
        <f>J153*2</f>
        <v/>
      </c>
    </row>
    <row r="154">
      <c r="B154" s="27" t="n">
        <v>5</v>
      </c>
      <c r="C154" s="18" t="inlineStr">
        <is>
          <t>POD</t>
        </is>
      </c>
      <c r="D154" s="27" t="n">
        <v>3</v>
      </c>
      <c r="E154" s="10" t="inlineStr">
        <is>
          <t>FSI Annuity Info Analyst (JP) — EAI 9857</t>
        </is>
      </c>
      <c r="F154" s="18" t="inlineStr">
        <is>
          <t>BSA</t>
        </is>
      </c>
      <c r="G154" s="43" t="inlineStr">
        <is>
          <t>E3</t>
        </is>
      </c>
      <c r="H154" s="43" t="inlineStr">
        <is>
          <t>ON</t>
        </is>
      </c>
      <c r="I154" s="43" t="inlineStr">
        <is>
          <t>PT</t>
        </is>
      </c>
      <c r="J154" s="25" t="n">
        <v>1</v>
      </c>
      <c r="K154" s="50">
        <f>J154*2</f>
        <v/>
      </c>
    </row>
    <row r="155">
      <c r="B155" s="27" t="n">
        <v>5</v>
      </c>
      <c r="C155" s="18" t="inlineStr">
        <is>
          <t>POD</t>
        </is>
      </c>
      <c r="D155" s="27" t="n">
        <v>4</v>
      </c>
      <c r="E155" s="10" t="inlineStr">
        <is>
          <t>Business Analyst (bilingual) — Payments</t>
        </is>
      </c>
      <c r="F155" s="18" t="inlineStr">
        <is>
          <t>BSA</t>
        </is>
      </c>
      <c r="G155" s="43" t="inlineStr">
        <is>
          <t>E3</t>
        </is>
      </c>
      <c r="H155" s="43" t="inlineStr">
        <is>
          <t>ON</t>
        </is>
      </c>
      <c r="I155" s="43" t="inlineStr">
        <is>
          <t>FTC</t>
        </is>
      </c>
      <c r="J155" s="25" t="n">
        <v>0.5</v>
      </c>
      <c r="K155" s="50">
        <f>J155*2</f>
        <v/>
      </c>
    </row>
    <row r="156">
      <c r="B156" s="27" t="n">
        <v>5</v>
      </c>
      <c r="C156" s="18" t="inlineStr">
        <is>
          <t>POD</t>
        </is>
      </c>
      <c r="D156" s="27" t="n">
        <v>5</v>
      </c>
      <c r="E156" s="10" t="inlineStr">
        <is>
          <t>Team lead / senior engineer — Payments</t>
        </is>
      </c>
      <c r="F156" s="18" t="inlineStr">
        <is>
          <t>DEV</t>
        </is>
      </c>
      <c r="G156" s="43" t="inlineStr">
        <is>
          <t>E4</t>
        </is>
      </c>
      <c r="H156" s="43" t="inlineStr">
        <is>
          <t>ON</t>
        </is>
      </c>
      <c r="I156" s="43" t="inlineStr">
        <is>
          <t>FTC</t>
        </is>
      </c>
      <c r="J156" s="25" t="n">
        <v>0.5</v>
      </c>
      <c r="K156" s="50">
        <f>J156*2</f>
        <v/>
      </c>
    </row>
    <row r="157">
      <c r="B157" s="27" t="n">
        <v>5</v>
      </c>
      <c r="C157" s="18" t="inlineStr">
        <is>
          <t>POD</t>
        </is>
      </c>
      <c r="D157" s="27" t="n">
        <v>6</v>
      </c>
      <c r="E157" s="10" t="inlineStr">
        <is>
          <t>Application Support (L2) — Tokyo</t>
        </is>
      </c>
      <c r="F157" s="18" t="inlineStr">
        <is>
          <t>MNT</t>
        </is>
      </c>
      <c r="G157" s="43" t="inlineStr">
        <is>
          <t>E2</t>
        </is>
      </c>
      <c r="H157" s="43" t="inlineStr">
        <is>
          <t>ON</t>
        </is>
      </c>
      <c r="I157" s="43" t="inlineStr">
        <is>
          <t>FTC</t>
        </is>
      </c>
      <c r="J157" s="25" t="n">
        <v>0.75</v>
      </c>
      <c r="K157" s="50">
        <f>J157*2</f>
        <v/>
      </c>
    </row>
    <row r="158">
      <c r="B158" s="27" t="n">
        <v>5</v>
      </c>
      <c r="C158" s="18" t="inlineStr">
        <is>
          <t>POD</t>
        </is>
      </c>
      <c r="D158" s="27" t="n">
        <v>7</v>
      </c>
      <c r="E158" s="10" t="inlineStr">
        <is>
          <t>Junior Application Developer — offshore</t>
        </is>
      </c>
      <c r="F158" s="18" t="inlineStr">
        <is>
          <t>DEV</t>
        </is>
      </c>
      <c r="G158" s="43" t="inlineStr">
        <is>
          <t>E2</t>
        </is>
      </c>
      <c r="H158" s="43" t="inlineStr">
        <is>
          <t>OFF</t>
        </is>
      </c>
      <c r="I158" s="43" t="inlineStr">
        <is>
          <t>FTC</t>
        </is>
      </c>
      <c r="J158" s="25" t="n">
        <v>1</v>
      </c>
      <c r="K158" s="50">
        <f>J158*2</f>
        <v/>
      </c>
    </row>
    <row r="159">
      <c r="B159" s="27" t="n">
        <v>5</v>
      </c>
      <c r="C159" s="18" t="inlineStr">
        <is>
          <t>POD</t>
        </is>
      </c>
      <c r="D159" s="27" t="n">
        <v>8</v>
      </c>
      <c r="E159" s="10" t="inlineStr">
        <is>
          <t>Junior Test Engineer — offshore</t>
        </is>
      </c>
      <c r="F159" s="18" t="inlineStr">
        <is>
          <t>TEST</t>
        </is>
      </c>
      <c r="G159" s="43" t="inlineStr">
        <is>
          <t>E1</t>
        </is>
      </c>
      <c r="H159" s="43" t="inlineStr">
        <is>
          <t>OFF</t>
        </is>
      </c>
      <c r="I159" s="43" t="inlineStr">
        <is>
          <t>FTC</t>
        </is>
      </c>
      <c r="J159" s="25" t="n">
        <v>0.25</v>
      </c>
      <c r="K159" s="50">
        <f>J159*2</f>
        <v/>
      </c>
    </row>
    <row r="160">
      <c r="B160" s="27" t="n">
        <v>5</v>
      </c>
      <c r="C160" s="18" t="inlineStr">
        <is>
          <t>POD</t>
        </is>
      </c>
      <c r="D160" s="27" t="n">
        <v>9</v>
      </c>
      <c r="E160" s="10" t="inlineStr">
        <is>
          <t>Application Support — offshore</t>
        </is>
      </c>
      <c r="F160" s="18" t="inlineStr">
        <is>
          <t>MNT</t>
        </is>
      </c>
      <c r="G160" s="43" t="inlineStr">
        <is>
          <t>E2</t>
        </is>
      </c>
      <c r="H160" s="43" t="inlineStr">
        <is>
          <t>OFF</t>
        </is>
      </c>
      <c r="I160" s="43" t="inlineStr">
        <is>
          <t>FTC</t>
        </is>
      </c>
      <c r="J160" s="25" t="n">
        <v>0.75</v>
      </c>
      <c r="K160" s="50">
        <f>J160*2</f>
        <v/>
      </c>
    </row>
    <row r="161">
      <c r="D161" s="22" t="inlineStr">
        <is>
          <t>POD size — Year 5 · VS2</t>
        </is>
      </c>
      <c r="J161" s="30">
        <f>SUM(J152:J160)</f>
        <v/>
      </c>
      <c r="K161" s="71">
        <f>SUM(K152:K160)</f>
        <v/>
      </c>
    </row>
  </sheetData>
  <mergeCells count="2">
    <mergeCell ref="A1:J1"/>
    <mergeCell ref="A2:J2"/>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I28"/>
  <sheetViews>
    <sheetView zoomScaleNormal="100" workbookViewId="0">
      <selection activeCell="A1" sqref="A1:I1"/>
    </sheetView>
  </sheetViews>
  <sheetFormatPr baseColWidth="8" defaultColWidth="8.6328125" defaultRowHeight="14.5"/>
  <cols>
    <col width="2.453125" customWidth="1" min="1" max="1"/>
    <col width="7" customWidth="1" min="2" max="3"/>
    <col width="40" customWidth="1" min="4" max="4"/>
    <col width="10" customWidth="1" min="5" max="6"/>
    <col width="9" customWidth="1" min="7" max="7"/>
    <col width="10" customWidth="1" min="8" max="9"/>
  </cols>
  <sheetData>
    <row r="1" ht="25.5" customHeight="1">
      <c r="A1" s="8" t="inlineStr">
        <is>
          <t>Unit plan  —  how many instances of each value stream’s unit, per year</t>
        </is>
      </c>
    </row>
    <row r="2" ht="15" customHeight="1">
      <c r="A2" s="7" t="inlineStr">
        <is>
          <t>INPUT. VS1 is an agile POD in every year (10 seats in Year 1, 9, 8, then 6). VS2 is a 12-seat TEAM to Year 3 and a POD of 6 from Year 4, when POS Workflow retires and 35.0 units leave the scope.</t>
        </is>
      </c>
    </row>
    <row r="4" ht="15" customHeight="1">
      <c r="B4" s="11" t="inlineStr">
        <is>
          <t>Year</t>
        </is>
      </c>
      <c r="C4" s="11" t="inlineStr">
        <is>
          <t>VS</t>
        </is>
      </c>
      <c r="D4" s="11" t="inlineStr">
        <is>
          <t>Value stream</t>
        </is>
      </c>
      <c r="E4" s="11" t="inlineStr">
        <is>
          <t>Pods</t>
        </is>
      </c>
      <c r="F4" s="11" t="inlineStr">
        <is>
          <t>Teams</t>
        </is>
      </c>
      <c r="G4" s="11" t="inlineStr">
        <is>
          <t>Units</t>
        </is>
      </c>
      <c r="H4" s="11" t="inlineStr">
        <is>
          <t>People</t>
        </is>
      </c>
    </row>
    <row r="5" ht="15" customHeight="1">
      <c r="B5" s="27" t="n">
        <v>1</v>
      </c>
      <c r="C5" s="18" t="inlineStr">
        <is>
          <t>VS1</t>
        </is>
      </c>
      <c r="D5" s="10" t="inlineStr">
        <is>
          <t>Claims Platform — Pega &amp; OpenBatch</t>
        </is>
      </c>
      <c r="E5" s="24" t="n">
        <v>5</v>
      </c>
      <c r="F5" s="24" t="n">
        <v>0</v>
      </c>
      <c r="G5" s="21">
        <f>E5+F5</f>
        <v/>
      </c>
      <c r="H5" s="44">
        <f>G5*SUM('Pod Library'!$J$5:$J$20)</f>
        <v/>
      </c>
    </row>
    <row r="6" ht="15" customHeight="1">
      <c r="B6" s="27" t="n">
        <v>1</v>
      </c>
      <c r="C6" s="18" t="inlineStr">
        <is>
          <t>VS2</t>
        </is>
      </c>
      <c r="D6" s="10" t="inlineStr">
        <is>
          <t>Payment &amp; Records</t>
        </is>
      </c>
      <c r="E6" s="24" t="n">
        <v>0</v>
      </c>
      <c r="F6" s="24" t="n">
        <v>4</v>
      </c>
      <c r="G6" s="21">
        <f>E6+F6</f>
        <v/>
      </c>
      <c r="H6" s="44">
        <f>G6*SUM('Pod Library'!$J$23:$J$36)</f>
        <v/>
      </c>
    </row>
    <row r="7" ht="15" customHeight="1">
      <c r="B7" s="27" t="n"/>
      <c r="C7" s="18" t="n"/>
      <c r="D7" s="22" t="inlineStr">
        <is>
          <t>Year 1 total</t>
        </is>
      </c>
      <c r="E7" s="29">
        <f>SUM(E5:E6)</f>
        <v/>
      </c>
      <c r="F7" s="29">
        <f>SUM(F5:F6)</f>
        <v/>
      </c>
      <c r="G7" s="29">
        <f>SUM(G5:G6)</f>
        <v/>
      </c>
      <c r="H7" s="45">
        <f>SUM(H5:H6)</f>
        <v/>
      </c>
    </row>
    <row r="8" ht="15" customHeight="1">
      <c r="D8" s="22" t="n"/>
      <c r="E8" s="29" t="n"/>
      <c r="F8" s="29" t="n"/>
      <c r="G8" s="29" t="n"/>
      <c r="H8" s="23" t="n"/>
    </row>
    <row r="9">
      <c r="B9" s="27" t="n">
        <v>2</v>
      </c>
      <c r="C9" s="18" t="inlineStr">
        <is>
          <t>VS1</t>
        </is>
      </c>
      <c r="D9" s="10" t="inlineStr">
        <is>
          <t>Claims Platform — Pega &amp; OpenBatch</t>
        </is>
      </c>
      <c r="E9" s="24" t="n">
        <v>4</v>
      </c>
      <c r="F9" s="24" t="n">
        <v>0</v>
      </c>
      <c r="G9" s="21">
        <f>E9+F9</f>
        <v/>
      </c>
      <c r="H9" s="44">
        <f>G9*SUM('Pod Library'!$J$39:$J$54)</f>
        <v/>
      </c>
    </row>
    <row r="10" ht="15" customHeight="1">
      <c r="B10" s="27" t="n">
        <v>2</v>
      </c>
      <c r="C10" s="18" t="inlineStr">
        <is>
          <t>VS2</t>
        </is>
      </c>
      <c r="D10" s="10" t="inlineStr">
        <is>
          <t>Payment &amp; Records</t>
        </is>
      </c>
      <c r="E10" s="24" t="n">
        <v>0</v>
      </c>
      <c r="F10" s="24" t="n">
        <v>3</v>
      </c>
      <c r="G10" s="21">
        <f>E10+F10</f>
        <v/>
      </c>
      <c r="H10" s="44">
        <f>G10*SUM('Pod Library'!$J$57:$J$71)</f>
        <v/>
      </c>
    </row>
    <row r="11" ht="15" customHeight="1">
      <c r="B11" s="27" t="n"/>
      <c r="C11" s="18" t="n"/>
      <c r="D11" s="22" t="inlineStr">
        <is>
          <t>Year 2 total</t>
        </is>
      </c>
      <c r="E11" s="29">
        <f>SUM(E9:E10)</f>
        <v/>
      </c>
      <c r="F11" s="29">
        <f>SUM(F9:F10)</f>
        <v/>
      </c>
      <c r="G11" s="29">
        <f>SUM(G9:G10)</f>
        <v/>
      </c>
      <c r="H11" s="45">
        <f>SUM(H9:H10)</f>
        <v/>
      </c>
    </row>
    <row r="12" ht="15" customHeight="1">
      <c r="B12" s="27" t="n"/>
      <c r="C12" s="18" t="n"/>
      <c r="D12" s="10" t="n"/>
      <c r="E12" s="24" t="n"/>
      <c r="F12" s="24" t="n"/>
      <c r="G12" s="21" t="n"/>
      <c r="H12" s="16" t="n"/>
    </row>
    <row r="13" ht="15" customHeight="1">
      <c r="B13" s="27" t="n">
        <v>3</v>
      </c>
      <c r="C13" s="18" t="inlineStr">
        <is>
          <t>VS1</t>
        </is>
      </c>
      <c r="D13" s="10" t="inlineStr">
        <is>
          <t>Claims Platform — Pega &amp; OpenBatch</t>
        </is>
      </c>
      <c r="E13" s="24" t="n">
        <v>3</v>
      </c>
      <c r="F13" s="24" t="n">
        <v>0</v>
      </c>
      <c r="G13" s="21">
        <f>E13+F13</f>
        <v/>
      </c>
      <c r="H13" s="44">
        <f>G13*SUM('Pod Library'!$J$74:$J$89)</f>
        <v/>
      </c>
    </row>
    <row r="14">
      <c r="B14" s="27" t="n">
        <v>3</v>
      </c>
      <c r="C14" s="18" t="inlineStr">
        <is>
          <t>VS2</t>
        </is>
      </c>
      <c r="D14" s="10" t="inlineStr">
        <is>
          <t>Payment &amp; Records</t>
        </is>
      </c>
      <c r="E14" s="24" t="n">
        <v>0</v>
      </c>
      <c r="F14" s="24" t="n">
        <v>3</v>
      </c>
      <c r="G14" s="21">
        <f>E14+F14</f>
        <v/>
      </c>
      <c r="H14" s="44">
        <f>G14*SUM('Pod Library'!$J$92:$J$107)</f>
        <v/>
      </c>
    </row>
    <row r="15" ht="15" customHeight="1">
      <c r="B15" s="27" t="n"/>
      <c r="C15" s="18" t="n"/>
      <c r="D15" s="22" t="inlineStr">
        <is>
          <t>Year 3 total</t>
        </is>
      </c>
      <c r="E15" s="29">
        <f>SUM(E13:E14)</f>
        <v/>
      </c>
      <c r="F15" s="29">
        <f>SUM(F13:F14)</f>
        <v/>
      </c>
      <c r="G15" s="29">
        <f>SUM(G13:G14)</f>
        <v/>
      </c>
      <c r="H15" s="45">
        <f>SUM(H13:H14)</f>
        <v/>
      </c>
    </row>
    <row r="16" ht="15" customHeight="1">
      <c r="B16" s="27" t="n"/>
      <c r="C16" s="18" t="n"/>
      <c r="D16" s="10" t="n"/>
      <c r="E16" s="24" t="n"/>
      <c r="F16" s="24" t="n"/>
      <c r="G16" s="21" t="n"/>
      <c r="H16" s="16" t="n"/>
    </row>
    <row r="17" ht="15" customHeight="1">
      <c r="B17" s="27" t="n">
        <v>4</v>
      </c>
      <c r="C17" s="18" t="inlineStr">
        <is>
          <t>VS1</t>
        </is>
      </c>
      <c r="D17" s="10" t="inlineStr">
        <is>
          <t>Claims Platform — Pega &amp; OpenBatch</t>
        </is>
      </c>
      <c r="E17" s="24" t="n">
        <v>4</v>
      </c>
      <c r="F17" s="24" t="n">
        <v>0</v>
      </c>
      <c r="G17" s="21">
        <f>E17+F17</f>
        <v/>
      </c>
      <c r="H17" s="44">
        <f>G17*SUM('Pod Library'!$J$110:$J$124)</f>
        <v/>
      </c>
    </row>
    <row r="18" ht="15" customHeight="1">
      <c r="B18" s="27" t="n">
        <v>4</v>
      </c>
      <c r="C18" s="18" t="inlineStr">
        <is>
          <t>VS2</t>
        </is>
      </c>
      <c r="D18" s="10" t="inlineStr">
        <is>
          <t>Payment &amp; Records</t>
        </is>
      </c>
      <c r="E18" s="24" t="n">
        <v>2</v>
      </c>
      <c r="F18" s="24" t="n">
        <v>0</v>
      </c>
      <c r="G18" s="21">
        <f>E18+F18</f>
        <v/>
      </c>
      <c r="H18" s="44">
        <f>G18*SUM('Pod Library'!$J$127:$J$135)</f>
        <v/>
      </c>
    </row>
    <row r="19">
      <c r="D19" s="22" t="inlineStr">
        <is>
          <t>Year 4 total</t>
        </is>
      </c>
      <c r="E19" s="29">
        <f>SUM(E17:E18)</f>
        <v/>
      </c>
      <c r="F19" s="29">
        <f>SUM(F17:F18)</f>
        <v/>
      </c>
      <c r="G19" s="29">
        <f>SUM(G17:G18)</f>
        <v/>
      </c>
      <c r="H19" s="45">
        <f>SUM(H17:H18)</f>
        <v/>
      </c>
    </row>
    <row r="20" ht="15" customHeight="1">
      <c r="B20" s="27" t="n"/>
      <c r="C20" s="18" t="n"/>
      <c r="D20" s="10" t="n"/>
      <c r="E20" s="24" t="n"/>
      <c r="F20" s="24" t="n"/>
      <c r="G20" s="21" t="n"/>
      <c r="H20" s="16" t="n"/>
    </row>
    <row r="21" ht="15" customHeight="1">
      <c r="B21" s="27" t="n">
        <v>5</v>
      </c>
      <c r="C21" s="18" t="inlineStr">
        <is>
          <t>VS1</t>
        </is>
      </c>
      <c r="D21" s="10" t="inlineStr">
        <is>
          <t>Claims Platform — Pega &amp; OpenBatch</t>
        </is>
      </c>
      <c r="E21" s="24" t="n">
        <v>3</v>
      </c>
      <c r="F21" s="24" t="n">
        <v>0</v>
      </c>
      <c r="G21" s="21">
        <f>E21+F21</f>
        <v/>
      </c>
      <c r="H21" s="44">
        <f>G21*SUM('Pod Library'!$J$138:$J$149)</f>
        <v/>
      </c>
    </row>
    <row r="22" ht="15" customHeight="1">
      <c r="B22" s="27" t="n">
        <v>5</v>
      </c>
      <c r="C22" s="18" t="inlineStr">
        <is>
          <t>VS2</t>
        </is>
      </c>
      <c r="D22" s="10" t="inlineStr">
        <is>
          <t>Payment &amp; Records</t>
        </is>
      </c>
      <c r="E22" s="24" t="n">
        <v>2</v>
      </c>
      <c r="F22" s="24" t="n">
        <v>0</v>
      </c>
      <c r="G22" s="21">
        <f>E22+F22</f>
        <v/>
      </c>
      <c r="H22" s="44">
        <f>G22*SUM('Pod Library'!$J$152:$J$160)</f>
        <v/>
      </c>
    </row>
    <row r="23" ht="15" customHeight="1">
      <c r="D23" s="22" t="inlineStr">
        <is>
          <t>Year 5 total</t>
        </is>
      </c>
      <c r="E23" s="29">
        <f>SUM(E21:E22)</f>
        <v/>
      </c>
      <c r="F23" s="29">
        <f>SUM(F21:F22)</f>
        <v/>
      </c>
      <c r="G23" s="29">
        <f>SUM(G21:G22)</f>
        <v/>
      </c>
      <c r="H23" s="45">
        <f>SUM(H21:H22)</f>
        <v/>
      </c>
    </row>
    <row r="25" ht="15" customHeight="1">
      <c r="B25" s="27" t="n"/>
      <c r="C25" s="18" t="n"/>
      <c r="D25" s="10" t="n"/>
      <c r="E25" s="24" t="n"/>
      <c r="F25" s="24" t="n"/>
      <c r="G25" s="21" t="n"/>
      <c r="H25" s="16" t="n"/>
    </row>
    <row r="26" ht="15" customHeight="1">
      <c r="B26" s="27" t="n"/>
      <c r="C26" s="18" t="n"/>
      <c r="D26" s="10" t="n"/>
      <c r="E26" s="24" t="n"/>
      <c r="F26" s="24" t="n"/>
      <c r="G26" s="21" t="n"/>
      <c r="H26" s="16" t="n"/>
    </row>
    <row r="27" ht="15" customHeight="1">
      <c r="B27" s="27" t="n"/>
      <c r="C27" s="18" t="n"/>
      <c r="D27" s="10" t="n"/>
      <c r="E27" s="24" t="n"/>
      <c r="F27" s="24" t="n"/>
      <c r="G27" s="21" t="n"/>
      <c r="H27" s="16" t="n"/>
    </row>
    <row r="28" ht="15" customHeight="1">
      <c r="D28" s="22" t="n"/>
      <c r="E28" s="29" t="n"/>
      <c r="F28" s="29" t="n"/>
      <c r="G28" s="29" t="n"/>
      <c r="H28" s="23" t="n"/>
    </row>
  </sheetData>
  <mergeCells count="2">
    <mergeCell ref="A1:I1"/>
    <mergeCell ref="A2:I2"/>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L110"/>
  <sheetViews>
    <sheetView tabSelected="1" zoomScaleNormal="100" workbookViewId="0">
      <selection activeCell="A1" sqref="A1:L1"/>
    </sheetView>
  </sheetViews>
  <sheetFormatPr baseColWidth="8" defaultColWidth="8.6328125" defaultRowHeight="14.5"/>
  <cols>
    <col width="2.453125" customWidth="1" min="1" max="1"/>
    <col width="6" customWidth="1" min="2" max="2"/>
    <col width="7" customWidth="1" min="3" max="3"/>
    <col width="8" customWidth="1" min="4" max="4"/>
    <col width="40" customWidth="1" min="5" max="5"/>
    <col width="7" customWidth="1" min="6" max="7"/>
    <col width="9" customWidth="1" min="8" max="9"/>
    <col width="13" customWidth="1" min="10" max="10"/>
  </cols>
  <sheetData>
    <row r="1" ht="25.5" customHeight="1">
      <c r="A1" s="8" t="inlineStr">
        <is>
          <t>Horizontal teams  —  work that is not stream-bounded</t>
        </is>
      </c>
    </row>
    <row r="2" ht="15" customHeight="1">
      <c r="A2" s="7" t="inlineStr">
        <is>
          <t>INPUT, defined per year. H1 is run and AMS. H2 is quality and payments assurance. H3 is delivery leadership and architecture — and from Year 4 it also holds the Claims Platform design authority, which leaves the pods when they shrink to six seats. No FSI seat sits here: all seven partner seats are inside the value streams.</t>
        </is>
      </c>
    </row>
    <row r="4" ht="15" customHeight="1">
      <c r="B4" s="11" t="inlineStr">
        <is>
          <t>Year</t>
        </is>
      </c>
      <c r="C4" s="11" t="inlineStr">
        <is>
          <t>Team</t>
        </is>
      </c>
      <c r="D4" s="11" t="inlineStr">
        <is>
          <t>Role</t>
        </is>
      </c>
      <c r="E4" s="11" t="inlineStr">
        <is>
          <t>Role detail</t>
        </is>
      </c>
      <c r="F4" s="11" t="inlineStr">
        <is>
          <t>Exp</t>
        </is>
      </c>
      <c r="G4" s="11" t="inlineStr">
        <is>
          <t>Loc</t>
        </is>
      </c>
      <c r="H4" s="11" t="inlineStr">
        <is>
          <t>Sourcing</t>
        </is>
      </c>
      <c r="I4" s="11" t="inlineStr">
        <is>
          <t>Count</t>
        </is>
      </c>
      <c r="J4" s="11" t="inlineStr">
        <is>
          <t>People in the block</t>
        </is>
      </c>
    </row>
    <row r="5" ht="15" customHeight="1">
      <c r="B5" s="27" t="n">
        <v>1</v>
      </c>
      <c r="C5" s="18" t="inlineStr">
        <is>
          <t>H1</t>
        </is>
      </c>
      <c r="D5" s="18" t="inlineStr">
        <is>
          <t>PM</t>
        </is>
      </c>
      <c r="E5" s="10" t="inlineStr">
        <is>
          <t>Service Delivery Manager</t>
        </is>
      </c>
      <c r="F5" s="43" t="inlineStr">
        <is>
          <t>E5</t>
        </is>
      </c>
      <c r="G5" s="43" t="inlineStr">
        <is>
          <t>ON</t>
        </is>
      </c>
      <c r="H5" s="43" t="inlineStr">
        <is>
          <t>FTC</t>
        </is>
      </c>
      <c r="I5" s="72" t="n">
        <v>1</v>
      </c>
      <c r="J5" s="50">
        <f>I5</f>
        <v/>
      </c>
    </row>
    <row r="6" ht="15" customHeight="1">
      <c r="B6" s="27" t="n">
        <v>1</v>
      </c>
      <c r="C6" s="18" t="inlineStr">
        <is>
          <t>H1</t>
        </is>
      </c>
      <c r="D6" s="18" t="inlineStr">
        <is>
          <t>MNT</t>
        </is>
      </c>
      <c r="E6" s="10" t="inlineStr">
        <is>
          <t>Incident &amp; Problem Analyst</t>
        </is>
      </c>
      <c r="F6" s="43" t="inlineStr">
        <is>
          <t>E3</t>
        </is>
      </c>
      <c r="G6" s="43" t="inlineStr">
        <is>
          <t>ON</t>
        </is>
      </c>
      <c r="H6" s="43" t="inlineStr">
        <is>
          <t>FTC</t>
        </is>
      </c>
      <c r="I6" s="72" t="n">
        <v>2</v>
      </c>
      <c r="J6" s="50">
        <f>I6</f>
        <v/>
      </c>
    </row>
    <row r="7" ht="15" customHeight="1">
      <c r="B7" s="27" t="n">
        <v>1</v>
      </c>
      <c r="C7" s="18" t="inlineStr">
        <is>
          <t>H1</t>
        </is>
      </c>
      <c r="D7" s="18" t="inlineStr">
        <is>
          <t>MNT</t>
        </is>
      </c>
      <c r="E7" s="10" t="inlineStr">
        <is>
          <t>L2 Application Support — offshore</t>
        </is>
      </c>
      <c r="F7" s="43" t="inlineStr">
        <is>
          <t>E2</t>
        </is>
      </c>
      <c r="G7" s="43" t="inlineStr">
        <is>
          <t>OFF</t>
        </is>
      </c>
      <c r="H7" s="43" t="inlineStr">
        <is>
          <t>FTC</t>
        </is>
      </c>
      <c r="I7" s="72" t="n">
        <v>0.5</v>
      </c>
      <c r="J7" s="50">
        <f>I7</f>
        <v/>
      </c>
    </row>
    <row r="8" ht="15" customHeight="1">
      <c r="B8" s="27" t="n">
        <v>1</v>
      </c>
      <c r="C8" s="18" t="inlineStr">
        <is>
          <t>H1</t>
        </is>
      </c>
      <c r="D8" s="18" t="inlineStr">
        <is>
          <t>OTH</t>
        </is>
      </c>
      <c r="E8" s="10" t="inlineStr">
        <is>
          <t>Observability / AIOps Engineer — offshore</t>
        </is>
      </c>
      <c r="F8" s="43" t="inlineStr">
        <is>
          <t>E3</t>
        </is>
      </c>
      <c r="G8" s="43" t="inlineStr">
        <is>
          <t>OFF</t>
        </is>
      </c>
      <c r="H8" s="43" t="inlineStr">
        <is>
          <t>FTC</t>
        </is>
      </c>
      <c r="I8" s="72" t="n">
        <v>0.5</v>
      </c>
      <c r="J8" s="50">
        <f>I8</f>
        <v/>
      </c>
    </row>
    <row r="9" ht="15" customHeight="1">
      <c r="B9" s="27" t="n">
        <v>1</v>
      </c>
      <c r="C9" s="18" t="inlineStr">
        <is>
          <t>H1</t>
        </is>
      </c>
      <c r="D9" s="18" t="inlineStr">
        <is>
          <t>MNT</t>
        </is>
      </c>
      <c r="E9" s="10" t="inlineStr">
        <is>
          <t>MetLife Operations Lead</t>
        </is>
      </c>
      <c r="F9" s="43" t="inlineStr">
        <is>
          <t>E4</t>
        </is>
      </c>
      <c r="G9" s="43" t="inlineStr">
        <is>
          <t>ON</t>
        </is>
      </c>
      <c r="H9" s="43" t="inlineStr">
        <is>
          <t>FTE</t>
        </is>
      </c>
      <c r="I9" s="72" t="n">
        <v>2</v>
      </c>
      <c r="J9" s="50">
        <f>I9</f>
        <v/>
      </c>
    </row>
    <row r="10" ht="15" customHeight="1">
      <c r="B10" s="27" t="n">
        <v>1</v>
      </c>
      <c r="C10" s="18" t="inlineStr">
        <is>
          <t>H1</t>
        </is>
      </c>
      <c r="D10" s="18" t="inlineStr">
        <is>
          <t>DEV</t>
        </is>
      </c>
      <c r="E10" s="10" t="inlineStr">
        <is>
          <t>MGCC Platform SRE</t>
        </is>
      </c>
      <c r="F10" s="43" t="inlineStr">
        <is>
          <t>E3</t>
        </is>
      </c>
      <c r="G10" s="43" t="inlineStr">
        <is>
          <t>OFF</t>
        </is>
      </c>
      <c r="H10" s="43" t="inlineStr">
        <is>
          <t>MGCC</t>
        </is>
      </c>
      <c r="I10" s="72" t="n">
        <v>4.5</v>
      </c>
      <c r="J10" s="50">
        <f>I10</f>
        <v/>
      </c>
    </row>
    <row r="11" ht="15" customHeight="1">
      <c r="B11" s="27" t="n">
        <v>1</v>
      </c>
      <c r="C11" s="18" t="inlineStr">
        <is>
          <t>H1</t>
        </is>
      </c>
      <c r="D11" s="18" t="inlineStr">
        <is>
          <t>MNT</t>
        </is>
      </c>
      <c r="E11" s="10" t="inlineStr">
        <is>
          <t>MGCC Application Support</t>
        </is>
      </c>
      <c r="F11" s="43" t="inlineStr">
        <is>
          <t>E2</t>
        </is>
      </c>
      <c r="G11" s="43" t="inlineStr">
        <is>
          <t>OFF</t>
        </is>
      </c>
      <c r="H11" s="43" t="inlineStr">
        <is>
          <t>MGCC</t>
        </is>
      </c>
      <c r="I11" s="72" t="n">
        <v>0.5</v>
      </c>
      <c r="J11" s="50">
        <f>I11</f>
        <v/>
      </c>
    </row>
    <row r="12" ht="15" customHeight="1">
      <c r="B12" s="27" t="n">
        <v>1</v>
      </c>
      <c r="C12" s="18" t="inlineStr">
        <is>
          <t>H2</t>
        </is>
      </c>
      <c r="D12" s="18" t="inlineStr">
        <is>
          <t>TEST</t>
        </is>
      </c>
      <c r="E12" s="10" t="inlineStr">
        <is>
          <t>Quality Lead</t>
        </is>
      </c>
      <c r="F12" s="43" t="inlineStr">
        <is>
          <t>E4</t>
        </is>
      </c>
      <c r="G12" s="43" t="inlineStr">
        <is>
          <t>ON</t>
        </is>
      </c>
      <c r="H12" s="43" t="inlineStr">
        <is>
          <t>FTC</t>
        </is>
      </c>
      <c r="I12" s="72" t="n">
        <v>1</v>
      </c>
      <c r="J12" s="50">
        <f>I12</f>
        <v/>
      </c>
    </row>
    <row r="13" ht="15" customHeight="1">
      <c r="B13" s="27" t="n">
        <v>1</v>
      </c>
      <c r="C13" s="18" t="inlineStr">
        <is>
          <t>H2</t>
        </is>
      </c>
      <c r="D13" s="18" t="inlineStr">
        <is>
          <t>TEST</t>
        </is>
      </c>
      <c r="E13" s="10" t="inlineStr">
        <is>
          <t>Performance &amp; Batch Test Engineer — offshore</t>
        </is>
      </c>
      <c r="F13" s="43" t="inlineStr">
        <is>
          <t>E3</t>
        </is>
      </c>
      <c r="G13" s="43" t="inlineStr">
        <is>
          <t>OFF</t>
        </is>
      </c>
      <c r="H13" s="43" t="inlineStr">
        <is>
          <t>FTC</t>
        </is>
      </c>
      <c r="I13" s="72" t="n">
        <v>0.5</v>
      </c>
      <c r="J13" s="50">
        <f>I13</f>
        <v/>
      </c>
    </row>
    <row r="14" ht="15" customHeight="1">
      <c r="B14" s="27" t="n">
        <v>1</v>
      </c>
      <c r="C14" s="18" t="inlineStr">
        <is>
          <t>H2</t>
        </is>
      </c>
      <c r="D14" s="18" t="inlineStr">
        <is>
          <t>BSA</t>
        </is>
      </c>
      <c r="E14" s="10" t="inlineStr">
        <is>
          <t>Payments Assurance Analyst</t>
        </is>
      </c>
      <c r="F14" s="43" t="inlineStr">
        <is>
          <t>E3</t>
        </is>
      </c>
      <c r="G14" s="43" t="inlineStr">
        <is>
          <t>ON</t>
        </is>
      </c>
      <c r="H14" s="43" t="inlineStr">
        <is>
          <t>FTC</t>
        </is>
      </c>
      <c r="I14" s="72" t="n">
        <v>2</v>
      </c>
      <c r="J14" s="50">
        <f>I14</f>
        <v/>
      </c>
    </row>
    <row r="15" ht="15" customHeight="1">
      <c r="B15" s="27" t="n">
        <v>1</v>
      </c>
      <c r="C15" s="18" t="inlineStr">
        <is>
          <t>H2</t>
        </is>
      </c>
      <c r="D15" s="18" t="inlineStr">
        <is>
          <t>TEST</t>
        </is>
      </c>
      <c r="E15" s="10" t="inlineStr">
        <is>
          <t>MGCC Quality Engineer — regression cell</t>
        </is>
      </c>
      <c r="F15" s="43" t="inlineStr">
        <is>
          <t>E2</t>
        </is>
      </c>
      <c r="G15" s="43" t="inlineStr">
        <is>
          <t>OFF</t>
        </is>
      </c>
      <c r="H15" s="43" t="inlineStr">
        <is>
          <t>MGCC</t>
        </is>
      </c>
      <c r="I15" s="72" t="n">
        <v>2.5</v>
      </c>
      <c r="J15" s="50">
        <f>I15</f>
        <v/>
      </c>
    </row>
    <row r="16" ht="15" customHeight="1">
      <c r="B16" s="27" t="n">
        <v>1</v>
      </c>
      <c r="C16" s="18" t="inlineStr">
        <is>
          <t>H2</t>
        </is>
      </c>
      <c r="D16" s="18" t="inlineStr">
        <is>
          <t>BSA</t>
        </is>
      </c>
      <c r="E16" s="10" t="inlineStr">
        <is>
          <t>MetLife Payments Assurance Lead</t>
        </is>
      </c>
      <c r="F16" s="43" t="inlineStr">
        <is>
          <t>E4</t>
        </is>
      </c>
      <c r="G16" s="43" t="inlineStr">
        <is>
          <t>ON</t>
        </is>
      </c>
      <c r="H16" s="43" t="inlineStr">
        <is>
          <t>FTE</t>
        </is>
      </c>
      <c r="I16" s="72" t="n">
        <v>1.5</v>
      </c>
      <c r="J16" s="50">
        <f>I16</f>
        <v/>
      </c>
    </row>
    <row r="17" ht="15" customHeight="1">
      <c r="B17" s="27" t="n">
        <v>1</v>
      </c>
      <c r="C17" s="18" t="inlineStr">
        <is>
          <t>H3</t>
        </is>
      </c>
      <c r="D17" s="18" t="inlineStr">
        <is>
          <t>PM</t>
        </is>
      </c>
      <c r="E17" s="10" t="inlineStr">
        <is>
          <t>Domain Delivery Head</t>
        </is>
      </c>
      <c r="F17" s="43" t="inlineStr">
        <is>
          <t>E5</t>
        </is>
      </c>
      <c r="G17" s="43" t="inlineStr">
        <is>
          <t>ON</t>
        </is>
      </c>
      <c r="H17" s="43" t="inlineStr">
        <is>
          <t>FTC</t>
        </is>
      </c>
      <c r="I17" s="72" t="n">
        <v>1</v>
      </c>
      <c r="J17" s="50">
        <f>I17</f>
        <v/>
      </c>
    </row>
    <row r="18" ht="15" customHeight="1">
      <c r="B18" s="27" t="n">
        <v>1</v>
      </c>
      <c r="C18" s="18" t="inlineStr">
        <is>
          <t>H3</t>
        </is>
      </c>
      <c r="D18" s="18" t="inlineStr">
        <is>
          <t>OTH</t>
        </is>
      </c>
      <c r="E18" s="10" t="inlineStr">
        <is>
          <t>Chief Architect — Claims &amp; Payments</t>
        </is>
      </c>
      <c r="F18" s="43" t="inlineStr">
        <is>
          <t>E5</t>
        </is>
      </c>
      <c r="G18" s="43" t="inlineStr">
        <is>
          <t>ON</t>
        </is>
      </c>
      <c r="H18" s="43" t="inlineStr">
        <is>
          <t>FTC</t>
        </is>
      </c>
      <c r="I18" s="72" t="n">
        <v>1</v>
      </c>
      <c r="J18" s="50">
        <f>I18</f>
        <v/>
      </c>
    </row>
    <row r="19" ht="15" customHeight="1">
      <c r="B19" s="27" t="n">
        <v>1</v>
      </c>
      <c r="C19" s="18" t="inlineStr">
        <is>
          <t>H3</t>
        </is>
      </c>
      <c r="D19" s="18" t="inlineStr">
        <is>
          <t>OTH</t>
        </is>
      </c>
      <c r="E19" s="10" t="inlineStr">
        <is>
          <t>Release &amp; Environments Manager</t>
        </is>
      </c>
      <c r="F19" s="43" t="inlineStr">
        <is>
          <t>E4</t>
        </is>
      </c>
      <c r="G19" s="43" t="inlineStr">
        <is>
          <t>ON</t>
        </is>
      </c>
      <c r="H19" s="43" t="inlineStr">
        <is>
          <t>FTC</t>
        </is>
      </c>
      <c r="I19" s="72" t="n">
        <v>1</v>
      </c>
      <c r="J19" s="50">
        <f>I19</f>
        <v/>
      </c>
    </row>
    <row r="20" ht="15" customHeight="1">
      <c r="B20" s="27" t="n">
        <v>1</v>
      </c>
      <c r="C20" s="18" t="inlineStr">
        <is>
          <t>H3</t>
        </is>
      </c>
      <c r="D20" s="18" t="inlineStr">
        <is>
          <t>BSA</t>
        </is>
      </c>
      <c r="E20" s="10" t="inlineStr">
        <is>
          <t>Knowledge &amp; Enablement Lead — offshore</t>
        </is>
      </c>
      <c r="F20" s="43" t="inlineStr">
        <is>
          <t>E3</t>
        </is>
      </c>
      <c r="G20" s="43" t="inlineStr">
        <is>
          <t>OFF</t>
        </is>
      </c>
      <c r="H20" s="43" t="inlineStr">
        <is>
          <t>FTC</t>
        </is>
      </c>
      <c r="I20" s="72" t="n">
        <v>0.5</v>
      </c>
      <c r="J20" s="50">
        <f>I20</f>
        <v/>
      </c>
    </row>
    <row r="21" ht="15" customHeight="1">
      <c r="B21" s="27" t="n">
        <v>1</v>
      </c>
      <c r="C21" s="18" t="inlineStr">
        <is>
          <t>H3</t>
        </is>
      </c>
      <c r="D21" s="18" t="inlineStr">
        <is>
          <t>PM</t>
        </is>
      </c>
      <c r="E21" s="10" t="inlineStr">
        <is>
          <t>MetLife Portfolio Lead</t>
        </is>
      </c>
      <c r="F21" s="43" t="inlineStr">
        <is>
          <t>E4</t>
        </is>
      </c>
      <c r="G21" s="43" t="inlineStr">
        <is>
          <t>ON</t>
        </is>
      </c>
      <c r="H21" s="43" t="inlineStr">
        <is>
          <t>FTE</t>
        </is>
      </c>
      <c r="I21" s="72" t="n">
        <v>1.5</v>
      </c>
      <c r="J21" s="50">
        <f>I21</f>
        <v/>
      </c>
    </row>
    <row r="22" ht="15" customHeight="1">
      <c r="B22" s="27" t="n"/>
      <c r="C22" s="18" t="n"/>
      <c r="D22" s="18" t="n"/>
      <c r="E22" s="22" t="inlineStr">
        <is>
          <t>Year 1 horizontal total</t>
        </is>
      </c>
      <c r="F22" s="43" t="n"/>
      <c r="G22" s="43" t="n"/>
      <c r="H22" s="43" t="n"/>
      <c r="I22" s="45">
        <f>SUM(I5:I21)</f>
        <v/>
      </c>
      <c r="J22" s="71">
        <f>SUM(J5:J21)</f>
        <v/>
      </c>
    </row>
    <row r="23" ht="15" customHeight="1">
      <c r="B23" s="27" t="n"/>
      <c r="C23" s="18" t="n"/>
      <c r="D23" s="18" t="n"/>
      <c r="E23" s="10" t="n"/>
      <c r="F23" s="43" t="n"/>
      <c r="G23" s="43" t="n"/>
      <c r="H23" s="43" t="n"/>
      <c r="I23" s="49" t="n"/>
      <c r="J23" s="50" t="n"/>
    </row>
    <row r="24" ht="15" customHeight="1">
      <c r="B24" s="27" t="n">
        <v>2</v>
      </c>
      <c r="C24" s="18" t="inlineStr">
        <is>
          <t>H1</t>
        </is>
      </c>
      <c r="D24" s="18" t="inlineStr">
        <is>
          <t>PM</t>
        </is>
      </c>
      <c r="E24" s="10" t="inlineStr">
        <is>
          <t>Service Delivery Manager</t>
        </is>
      </c>
      <c r="F24" s="43" t="inlineStr">
        <is>
          <t>E5</t>
        </is>
      </c>
      <c r="G24" s="43" t="inlineStr">
        <is>
          <t>ON</t>
        </is>
      </c>
      <c r="H24" s="43" t="inlineStr">
        <is>
          <t>FTC</t>
        </is>
      </c>
      <c r="I24" s="72" t="n">
        <v>0.5</v>
      </c>
      <c r="J24" s="50">
        <f>I24</f>
        <v/>
      </c>
    </row>
    <row r="25">
      <c r="B25" s="27" t="n">
        <v>2</v>
      </c>
      <c r="C25" s="18" t="inlineStr">
        <is>
          <t>H1</t>
        </is>
      </c>
      <c r="D25" s="18" t="inlineStr">
        <is>
          <t>MNT</t>
        </is>
      </c>
      <c r="E25" s="10" t="inlineStr">
        <is>
          <t>Incident &amp; Problem Analyst</t>
        </is>
      </c>
      <c r="F25" s="43" t="inlineStr">
        <is>
          <t>E3</t>
        </is>
      </c>
      <c r="G25" s="43" t="inlineStr">
        <is>
          <t>ON</t>
        </is>
      </c>
      <c r="H25" s="43" t="inlineStr">
        <is>
          <t>FTC</t>
        </is>
      </c>
      <c r="I25" s="72" t="n">
        <v>1.5</v>
      </c>
      <c r="J25" s="50">
        <f>I25</f>
        <v/>
      </c>
    </row>
    <row r="26" ht="15" customHeight="1">
      <c r="B26" s="27" t="n">
        <v>2</v>
      </c>
      <c r="C26" s="18" t="inlineStr">
        <is>
          <t>H1</t>
        </is>
      </c>
      <c r="D26" s="18" t="inlineStr">
        <is>
          <t>MNT</t>
        </is>
      </c>
      <c r="E26" s="10" t="inlineStr">
        <is>
          <t>L2 Application Support — offshore</t>
        </is>
      </c>
      <c r="F26" s="43" t="inlineStr">
        <is>
          <t>E2</t>
        </is>
      </c>
      <c r="G26" s="43" t="inlineStr">
        <is>
          <t>OFF</t>
        </is>
      </c>
      <c r="H26" s="43" t="inlineStr">
        <is>
          <t>FTC</t>
        </is>
      </c>
      <c r="I26" s="72" t="n">
        <v>0.5</v>
      </c>
      <c r="J26" s="50">
        <f>I26</f>
        <v/>
      </c>
    </row>
    <row r="27" ht="15" customHeight="1">
      <c r="B27" s="27" t="n">
        <v>2</v>
      </c>
      <c r="C27" s="18" t="inlineStr">
        <is>
          <t>H1</t>
        </is>
      </c>
      <c r="D27" s="18" t="inlineStr">
        <is>
          <t>OTH</t>
        </is>
      </c>
      <c r="E27" s="10" t="inlineStr">
        <is>
          <t>Observability / AIOps Engineer — offshore</t>
        </is>
      </c>
      <c r="F27" s="43" t="inlineStr">
        <is>
          <t>E3</t>
        </is>
      </c>
      <c r="G27" s="43" t="inlineStr">
        <is>
          <t>OFF</t>
        </is>
      </c>
      <c r="H27" s="43" t="inlineStr">
        <is>
          <t>FTC</t>
        </is>
      </c>
      <c r="I27" s="72" t="n">
        <v>0.5</v>
      </c>
      <c r="J27" s="50">
        <f>I27</f>
        <v/>
      </c>
    </row>
    <row r="28" ht="15" customHeight="1">
      <c r="B28" s="27" t="n">
        <v>2</v>
      </c>
      <c r="C28" s="18" t="inlineStr">
        <is>
          <t>H1</t>
        </is>
      </c>
      <c r="D28" s="18" t="inlineStr">
        <is>
          <t>MNT</t>
        </is>
      </c>
      <c r="E28" s="10" t="inlineStr">
        <is>
          <t>MetLife Operations Lead</t>
        </is>
      </c>
      <c r="F28" s="43" t="inlineStr">
        <is>
          <t>E4</t>
        </is>
      </c>
      <c r="G28" s="43" t="inlineStr">
        <is>
          <t>ON</t>
        </is>
      </c>
      <c r="H28" s="43" t="inlineStr">
        <is>
          <t>FTE</t>
        </is>
      </c>
      <c r="I28" s="72" t="n">
        <v>2</v>
      </c>
      <c r="J28" s="50">
        <f>I28</f>
        <v/>
      </c>
    </row>
    <row r="29" ht="15" customHeight="1">
      <c r="B29" s="27" t="n">
        <v>2</v>
      </c>
      <c r="C29" s="18" t="inlineStr">
        <is>
          <t>H1</t>
        </is>
      </c>
      <c r="D29" s="18" t="inlineStr">
        <is>
          <t>DEV</t>
        </is>
      </c>
      <c r="E29" s="10" t="inlineStr">
        <is>
          <t>MGCC Platform SRE</t>
        </is>
      </c>
      <c r="F29" s="43" t="inlineStr">
        <is>
          <t>E3</t>
        </is>
      </c>
      <c r="G29" s="43" t="inlineStr">
        <is>
          <t>OFF</t>
        </is>
      </c>
      <c r="H29" s="43" t="inlineStr">
        <is>
          <t>MGCC</t>
        </is>
      </c>
      <c r="I29" s="72" t="n">
        <v>4.5</v>
      </c>
      <c r="J29" s="50">
        <f>I29</f>
        <v/>
      </c>
    </row>
    <row r="30" ht="15" customHeight="1">
      <c r="B30" s="27" t="n">
        <v>2</v>
      </c>
      <c r="C30" s="18" t="inlineStr">
        <is>
          <t>H1</t>
        </is>
      </c>
      <c r="D30" s="18" t="inlineStr">
        <is>
          <t>MNT</t>
        </is>
      </c>
      <c r="E30" s="10" t="inlineStr">
        <is>
          <t>MGCC Application Support</t>
        </is>
      </c>
      <c r="F30" s="43" t="inlineStr">
        <is>
          <t>E2</t>
        </is>
      </c>
      <c r="G30" s="43" t="inlineStr">
        <is>
          <t>OFF</t>
        </is>
      </c>
      <c r="H30" s="43" t="inlineStr">
        <is>
          <t>MGCC</t>
        </is>
      </c>
      <c r="I30" s="72" t="n">
        <v>2.5</v>
      </c>
      <c r="J30" s="50">
        <f>I30</f>
        <v/>
      </c>
    </row>
    <row r="31" ht="15" customHeight="1">
      <c r="B31" s="27" t="n">
        <v>2</v>
      </c>
      <c r="C31" s="18" t="inlineStr">
        <is>
          <t>H2</t>
        </is>
      </c>
      <c r="D31" s="18" t="inlineStr">
        <is>
          <t>TEST</t>
        </is>
      </c>
      <c r="E31" s="10" t="inlineStr">
        <is>
          <t>Quality Lead</t>
        </is>
      </c>
      <c r="F31" s="43" t="inlineStr">
        <is>
          <t>E4</t>
        </is>
      </c>
      <c r="G31" s="43" t="inlineStr">
        <is>
          <t>ON</t>
        </is>
      </c>
      <c r="H31" s="43" t="inlineStr">
        <is>
          <t>FTC</t>
        </is>
      </c>
      <c r="I31" s="72" t="n">
        <v>0.5</v>
      </c>
      <c r="J31" s="50">
        <f>I31</f>
        <v/>
      </c>
    </row>
    <row r="32" ht="15" customHeight="1">
      <c r="B32" s="27" t="n">
        <v>2</v>
      </c>
      <c r="C32" s="18" t="inlineStr">
        <is>
          <t>H2</t>
        </is>
      </c>
      <c r="D32" s="18" t="inlineStr">
        <is>
          <t>TEST</t>
        </is>
      </c>
      <c r="E32" s="10" t="inlineStr">
        <is>
          <t>Performance &amp; Batch Test Engineer — offshore</t>
        </is>
      </c>
      <c r="F32" s="43" t="inlineStr">
        <is>
          <t>E3</t>
        </is>
      </c>
      <c r="G32" s="43" t="inlineStr">
        <is>
          <t>OFF</t>
        </is>
      </c>
      <c r="H32" s="43" t="inlineStr">
        <is>
          <t>FTC</t>
        </is>
      </c>
      <c r="I32" s="72" t="n">
        <v>0.5</v>
      </c>
      <c r="J32" s="50">
        <f>I32</f>
        <v/>
      </c>
    </row>
    <row r="33" ht="15" customHeight="1">
      <c r="B33" s="27" t="n">
        <v>2</v>
      </c>
      <c r="C33" s="18" t="inlineStr">
        <is>
          <t>H2</t>
        </is>
      </c>
      <c r="D33" s="18" t="inlineStr">
        <is>
          <t>BSA</t>
        </is>
      </c>
      <c r="E33" s="10" t="inlineStr">
        <is>
          <t>Payments Assurance Analyst</t>
        </is>
      </c>
      <c r="F33" s="43" t="inlineStr">
        <is>
          <t>E3</t>
        </is>
      </c>
      <c r="G33" s="43" t="inlineStr">
        <is>
          <t>ON</t>
        </is>
      </c>
      <c r="H33" s="43" t="inlineStr">
        <is>
          <t>FTC</t>
        </is>
      </c>
      <c r="I33" s="72" t="n">
        <v>1.5</v>
      </c>
      <c r="J33" s="50">
        <f>I33</f>
        <v/>
      </c>
    </row>
    <row r="34" ht="15" customHeight="1">
      <c r="B34" s="27" t="n">
        <v>2</v>
      </c>
      <c r="C34" s="18" t="inlineStr">
        <is>
          <t>H2</t>
        </is>
      </c>
      <c r="D34" s="18" t="inlineStr">
        <is>
          <t>TEST</t>
        </is>
      </c>
      <c r="E34" s="10" t="inlineStr">
        <is>
          <t>MGCC Quality Engineer — regression cell</t>
        </is>
      </c>
      <c r="F34" s="43" t="inlineStr">
        <is>
          <t>E2</t>
        </is>
      </c>
      <c r="G34" s="43" t="inlineStr">
        <is>
          <t>OFF</t>
        </is>
      </c>
      <c r="H34" s="43" t="inlineStr">
        <is>
          <t>MGCC</t>
        </is>
      </c>
      <c r="I34" s="72" t="n">
        <v>2.5</v>
      </c>
      <c r="J34" s="50">
        <f>I34</f>
        <v/>
      </c>
    </row>
    <row r="35" ht="15" customHeight="1">
      <c r="B35" s="27" t="n">
        <v>2</v>
      </c>
      <c r="C35" s="18" t="inlineStr">
        <is>
          <t>H2</t>
        </is>
      </c>
      <c r="D35" s="18" t="inlineStr">
        <is>
          <t>BSA</t>
        </is>
      </c>
      <c r="E35" s="10" t="inlineStr">
        <is>
          <t>MetLife Payments Assurance Lead</t>
        </is>
      </c>
      <c r="F35" s="43" t="inlineStr">
        <is>
          <t>E4</t>
        </is>
      </c>
      <c r="G35" s="43" t="inlineStr">
        <is>
          <t>ON</t>
        </is>
      </c>
      <c r="H35" s="43" t="inlineStr">
        <is>
          <t>FTE</t>
        </is>
      </c>
      <c r="I35" s="72" t="n">
        <v>1.5</v>
      </c>
      <c r="J35" s="50">
        <f>I35</f>
        <v/>
      </c>
    </row>
    <row r="36" ht="15" customHeight="1">
      <c r="B36" s="27" t="n">
        <v>2</v>
      </c>
      <c r="C36" s="18" t="inlineStr">
        <is>
          <t>H3</t>
        </is>
      </c>
      <c r="D36" s="18" t="inlineStr">
        <is>
          <t>PM</t>
        </is>
      </c>
      <c r="E36" s="10" t="inlineStr">
        <is>
          <t>Domain Delivery Head</t>
        </is>
      </c>
      <c r="F36" s="43" t="inlineStr">
        <is>
          <t>E5</t>
        </is>
      </c>
      <c r="G36" s="43" t="inlineStr">
        <is>
          <t>ON</t>
        </is>
      </c>
      <c r="H36" s="43" t="inlineStr">
        <is>
          <t>FTC</t>
        </is>
      </c>
      <c r="I36" s="72" t="n">
        <v>0.5</v>
      </c>
      <c r="J36" s="50">
        <f>I36</f>
        <v/>
      </c>
    </row>
    <row r="37" ht="15" customHeight="1">
      <c r="B37" s="27" t="n">
        <v>2</v>
      </c>
      <c r="C37" s="18" t="inlineStr">
        <is>
          <t>H3</t>
        </is>
      </c>
      <c r="D37" s="18" t="inlineStr">
        <is>
          <t>OTH</t>
        </is>
      </c>
      <c r="E37" s="10" t="inlineStr">
        <is>
          <t>Chief Architect — Claims &amp; Payments</t>
        </is>
      </c>
      <c r="F37" s="43" t="inlineStr">
        <is>
          <t>E5</t>
        </is>
      </c>
      <c r="G37" s="43" t="inlineStr">
        <is>
          <t>ON</t>
        </is>
      </c>
      <c r="H37" s="43" t="inlineStr">
        <is>
          <t>FTC</t>
        </is>
      </c>
      <c r="I37" s="72" t="n">
        <v>1</v>
      </c>
      <c r="J37" s="50">
        <f>I37</f>
        <v/>
      </c>
    </row>
    <row r="38" ht="15" customHeight="1">
      <c r="B38" s="27" t="n">
        <v>2</v>
      </c>
      <c r="C38" s="18" t="inlineStr">
        <is>
          <t>H3</t>
        </is>
      </c>
      <c r="D38" s="18" t="inlineStr">
        <is>
          <t>OTH</t>
        </is>
      </c>
      <c r="E38" s="10" t="inlineStr">
        <is>
          <t>Release &amp; Environments Manager</t>
        </is>
      </c>
      <c r="F38" s="43" t="inlineStr">
        <is>
          <t>E4</t>
        </is>
      </c>
      <c r="G38" s="43" t="inlineStr">
        <is>
          <t>ON</t>
        </is>
      </c>
      <c r="H38" s="43" t="inlineStr">
        <is>
          <t>FTC</t>
        </is>
      </c>
      <c r="I38" s="72" t="n">
        <v>0.5</v>
      </c>
      <c r="J38" s="50">
        <f>I38</f>
        <v/>
      </c>
    </row>
    <row r="39" ht="15" customHeight="1">
      <c r="B39" s="27" t="n">
        <v>2</v>
      </c>
      <c r="C39" s="18" t="inlineStr">
        <is>
          <t>H3</t>
        </is>
      </c>
      <c r="D39" s="18" t="inlineStr">
        <is>
          <t>BSA</t>
        </is>
      </c>
      <c r="E39" s="10" t="inlineStr">
        <is>
          <t>Knowledge &amp; Enablement Lead — offshore</t>
        </is>
      </c>
      <c r="F39" s="43" t="inlineStr">
        <is>
          <t>E3</t>
        </is>
      </c>
      <c r="G39" s="43" t="inlineStr">
        <is>
          <t>OFF</t>
        </is>
      </c>
      <c r="H39" s="43" t="inlineStr">
        <is>
          <t>FTC</t>
        </is>
      </c>
      <c r="I39" s="72" t="n">
        <v>0.5</v>
      </c>
      <c r="J39" s="50">
        <f>I39</f>
        <v/>
      </c>
    </row>
    <row r="40" ht="15" customHeight="1">
      <c r="B40" s="27" t="n">
        <v>2</v>
      </c>
      <c r="C40" s="18" t="inlineStr">
        <is>
          <t>H3</t>
        </is>
      </c>
      <c r="D40" s="18" t="inlineStr">
        <is>
          <t>PM</t>
        </is>
      </c>
      <c r="E40" s="10" t="inlineStr">
        <is>
          <t>MetLife Portfolio Lead</t>
        </is>
      </c>
      <c r="F40" s="43" t="inlineStr">
        <is>
          <t>E4</t>
        </is>
      </c>
      <c r="G40" s="43" t="inlineStr">
        <is>
          <t>ON</t>
        </is>
      </c>
      <c r="H40" s="43" t="inlineStr">
        <is>
          <t>FTE</t>
        </is>
      </c>
      <c r="I40" s="72" t="n">
        <v>1.5</v>
      </c>
      <c r="J40" s="50">
        <f>I40</f>
        <v/>
      </c>
    </row>
    <row r="41" ht="15" customHeight="1">
      <c r="B41" s="27" t="n"/>
      <c r="C41" s="18" t="n"/>
      <c r="D41" s="18" t="n"/>
      <c r="E41" s="22" t="inlineStr">
        <is>
          <t>Year 2 horizontal total</t>
        </is>
      </c>
      <c r="F41" s="43" t="n"/>
      <c r="G41" s="43" t="n"/>
      <c r="H41" s="43" t="n"/>
      <c r="I41" s="45">
        <f>SUM(I24:I40)</f>
        <v/>
      </c>
      <c r="J41" s="71">
        <f>SUM(J24:J40)</f>
        <v/>
      </c>
    </row>
    <row r="42" ht="15" customHeight="1">
      <c r="B42" s="27" t="n"/>
      <c r="C42" s="18" t="n"/>
      <c r="D42" s="18" t="n"/>
      <c r="E42" s="10" t="n"/>
      <c r="F42" s="43" t="n"/>
      <c r="G42" s="43" t="n"/>
      <c r="H42" s="43" t="n"/>
      <c r="I42" s="49" t="n"/>
      <c r="J42" s="50" t="n"/>
    </row>
    <row r="43" ht="15" customHeight="1">
      <c r="B43" s="27" t="n">
        <v>3</v>
      </c>
      <c r="C43" s="18" t="inlineStr">
        <is>
          <t>H1</t>
        </is>
      </c>
      <c r="D43" s="18" t="inlineStr">
        <is>
          <t>PM</t>
        </is>
      </c>
      <c r="E43" s="10" t="inlineStr">
        <is>
          <t>Service Delivery Manager</t>
        </is>
      </c>
      <c r="F43" s="43" t="inlineStr">
        <is>
          <t>E5</t>
        </is>
      </c>
      <c r="G43" s="43" t="inlineStr">
        <is>
          <t>ON</t>
        </is>
      </c>
      <c r="H43" s="43" t="inlineStr">
        <is>
          <t>FTC</t>
        </is>
      </c>
      <c r="I43" s="72" t="n">
        <v>0.5</v>
      </c>
      <c r="J43" s="50">
        <f>I43</f>
        <v/>
      </c>
    </row>
    <row r="44" ht="15" customHeight="1">
      <c r="B44" s="27" t="n">
        <v>3</v>
      </c>
      <c r="C44" s="18" t="inlineStr">
        <is>
          <t>H1</t>
        </is>
      </c>
      <c r="D44" s="18" t="inlineStr">
        <is>
          <t>MNT</t>
        </is>
      </c>
      <c r="E44" s="10" t="inlineStr">
        <is>
          <t>Incident &amp; Problem Analyst</t>
        </is>
      </c>
      <c r="F44" s="43" t="inlineStr">
        <is>
          <t>E3</t>
        </is>
      </c>
      <c r="G44" s="43" t="inlineStr">
        <is>
          <t>ON</t>
        </is>
      </c>
      <c r="H44" s="43" t="inlineStr">
        <is>
          <t>FTC</t>
        </is>
      </c>
      <c r="I44" s="72" t="n">
        <v>0.5</v>
      </c>
      <c r="J44" s="50">
        <f>I44</f>
        <v/>
      </c>
    </row>
    <row r="45" ht="15" customHeight="1">
      <c r="B45" s="27" t="n">
        <v>3</v>
      </c>
      <c r="C45" s="18" t="inlineStr">
        <is>
          <t>H1</t>
        </is>
      </c>
      <c r="D45" s="18" t="inlineStr">
        <is>
          <t>MNT</t>
        </is>
      </c>
      <c r="E45" s="10" t="inlineStr">
        <is>
          <t>L2 Application Support — offshore</t>
        </is>
      </c>
      <c r="F45" s="43" t="inlineStr">
        <is>
          <t>E2</t>
        </is>
      </c>
      <c r="G45" s="43" t="inlineStr">
        <is>
          <t>OFF</t>
        </is>
      </c>
      <c r="H45" s="43" t="inlineStr">
        <is>
          <t>FTC</t>
        </is>
      </c>
      <c r="I45" s="72" t="n">
        <v>0.5</v>
      </c>
      <c r="J45" s="50">
        <f>I45</f>
        <v/>
      </c>
    </row>
    <row r="46">
      <c r="B46" s="27" t="n">
        <v>3</v>
      </c>
      <c r="C46" s="18" t="inlineStr">
        <is>
          <t>H1</t>
        </is>
      </c>
      <c r="D46" s="18" t="inlineStr">
        <is>
          <t>OTH</t>
        </is>
      </c>
      <c r="E46" s="10" t="inlineStr">
        <is>
          <t>Observability / AIOps Engineer — offshore</t>
        </is>
      </c>
      <c r="F46" s="43" t="inlineStr">
        <is>
          <t>E3</t>
        </is>
      </c>
      <c r="G46" s="43" t="inlineStr">
        <is>
          <t>OFF</t>
        </is>
      </c>
      <c r="H46" s="43" t="inlineStr">
        <is>
          <t>FTC</t>
        </is>
      </c>
      <c r="I46" s="72" t="n">
        <v>0.5</v>
      </c>
      <c r="J46" s="50">
        <f>I46</f>
        <v/>
      </c>
    </row>
    <row r="47" ht="15" customHeight="1">
      <c r="B47" s="27" t="n">
        <v>3</v>
      </c>
      <c r="C47" s="18" t="inlineStr">
        <is>
          <t>H1</t>
        </is>
      </c>
      <c r="D47" s="18" t="inlineStr">
        <is>
          <t>MNT</t>
        </is>
      </c>
      <c r="E47" s="10" t="inlineStr">
        <is>
          <t>MetLife Operations Lead</t>
        </is>
      </c>
      <c r="F47" s="43" t="inlineStr">
        <is>
          <t>E4</t>
        </is>
      </c>
      <c r="G47" s="43" t="inlineStr">
        <is>
          <t>ON</t>
        </is>
      </c>
      <c r="H47" s="43" t="inlineStr">
        <is>
          <t>FTE</t>
        </is>
      </c>
      <c r="I47" s="72" t="n">
        <v>2</v>
      </c>
      <c r="J47" s="50">
        <f>I47</f>
        <v/>
      </c>
    </row>
    <row r="48" ht="15" customHeight="1">
      <c r="B48" s="27" t="n">
        <v>3</v>
      </c>
      <c r="C48" s="18" t="inlineStr">
        <is>
          <t>H1</t>
        </is>
      </c>
      <c r="D48" s="18" t="inlineStr">
        <is>
          <t>DEV</t>
        </is>
      </c>
      <c r="E48" s="10" t="inlineStr">
        <is>
          <t>MGCC Platform SRE</t>
        </is>
      </c>
      <c r="F48" s="43" t="inlineStr">
        <is>
          <t>E3</t>
        </is>
      </c>
      <c r="G48" s="43" t="inlineStr">
        <is>
          <t>OFF</t>
        </is>
      </c>
      <c r="H48" s="43" t="inlineStr">
        <is>
          <t>MGCC</t>
        </is>
      </c>
      <c r="I48" s="72" t="n">
        <v>4</v>
      </c>
      <c r="J48" s="50">
        <f>I48</f>
        <v/>
      </c>
    </row>
    <row r="49" ht="15" customHeight="1">
      <c r="B49" s="27" t="n">
        <v>3</v>
      </c>
      <c r="C49" s="18" t="inlineStr">
        <is>
          <t>H1</t>
        </is>
      </c>
      <c r="D49" s="18" t="inlineStr">
        <is>
          <t>MNT</t>
        </is>
      </c>
      <c r="E49" s="10" t="inlineStr">
        <is>
          <t>MGCC Application Support</t>
        </is>
      </c>
      <c r="F49" s="43" t="inlineStr">
        <is>
          <t>E2</t>
        </is>
      </c>
      <c r="G49" s="43" t="inlineStr">
        <is>
          <t>OFF</t>
        </is>
      </c>
      <c r="H49" s="43" t="inlineStr">
        <is>
          <t>MGCC</t>
        </is>
      </c>
      <c r="I49" s="72" t="n">
        <v>4</v>
      </c>
      <c r="J49" s="50">
        <f>I49</f>
        <v/>
      </c>
    </row>
    <row r="50" ht="15" customHeight="1">
      <c r="B50" s="27" t="n">
        <v>3</v>
      </c>
      <c r="C50" s="18" t="inlineStr">
        <is>
          <t>H2</t>
        </is>
      </c>
      <c r="D50" s="18" t="inlineStr">
        <is>
          <t>TEST</t>
        </is>
      </c>
      <c r="E50" s="10" t="inlineStr">
        <is>
          <t>MGCC Quality Engineer — regression cell</t>
        </is>
      </c>
      <c r="F50" s="43" t="inlineStr">
        <is>
          <t>E2</t>
        </is>
      </c>
      <c r="G50" s="43" t="inlineStr">
        <is>
          <t>OFF</t>
        </is>
      </c>
      <c r="H50" s="43" t="inlineStr">
        <is>
          <t>MGCC</t>
        </is>
      </c>
      <c r="I50" s="72" t="n">
        <v>2.5</v>
      </c>
      <c r="J50" s="50">
        <f>I50</f>
        <v/>
      </c>
    </row>
    <row r="51" ht="15" customHeight="1">
      <c r="B51" s="27" t="n">
        <v>3</v>
      </c>
      <c r="C51" s="18" t="inlineStr">
        <is>
          <t>H2</t>
        </is>
      </c>
      <c r="D51" s="18" t="inlineStr">
        <is>
          <t>BSA</t>
        </is>
      </c>
      <c r="E51" s="10" t="inlineStr">
        <is>
          <t>MetLife Payments Assurance Lead</t>
        </is>
      </c>
      <c r="F51" s="43" t="inlineStr">
        <is>
          <t>E4</t>
        </is>
      </c>
      <c r="G51" s="43" t="inlineStr">
        <is>
          <t>ON</t>
        </is>
      </c>
      <c r="H51" s="43" t="inlineStr">
        <is>
          <t>FTE</t>
        </is>
      </c>
      <c r="I51" s="72" t="n">
        <v>1.5</v>
      </c>
      <c r="J51" s="50">
        <f>I51</f>
        <v/>
      </c>
    </row>
    <row r="52" ht="15" customHeight="1">
      <c r="B52" s="27" t="n">
        <v>3</v>
      </c>
      <c r="C52" s="18" t="inlineStr">
        <is>
          <t>H3</t>
        </is>
      </c>
      <c r="D52" s="18" t="inlineStr">
        <is>
          <t>PM</t>
        </is>
      </c>
      <c r="E52" s="10" t="inlineStr">
        <is>
          <t>Domain Delivery Head</t>
        </is>
      </c>
      <c r="F52" s="43" t="inlineStr">
        <is>
          <t>E5</t>
        </is>
      </c>
      <c r="G52" s="43" t="inlineStr">
        <is>
          <t>ON</t>
        </is>
      </c>
      <c r="H52" s="43" t="inlineStr">
        <is>
          <t>FTC</t>
        </is>
      </c>
      <c r="I52" s="72" t="n">
        <v>0.5</v>
      </c>
      <c r="J52" s="50">
        <f>I52</f>
        <v/>
      </c>
    </row>
    <row r="53" ht="15" customHeight="1">
      <c r="B53" s="27" t="n">
        <v>3</v>
      </c>
      <c r="C53" s="18" t="inlineStr">
        <is>
          <t>H3</t>
        </is>
      </c>
      <c r="D53" s="18" t="inlineStr">
        <is>
          <t>OTH</t>
        </is>
      </c>
      <c r="E53" s="10" t="inlineStr">
        <is>
          <t>Chief Architect — Claims &amp; Payments</t>
        </is>
      </c>
      <c r="F53" s="43" t="inlineStr">
        <is>
          <t>E5</t>
        </is>
      </c>
      <c r="G53" s="43" t="inlineStr">
        <is>
          <t>ON</t>
        </is>
      </c>
      <c r="H53" s="43" t="inlineStr">
        <is>
          <t>FTC</t>
        </is>
      </c>
      <c r="I53" s="72" t="n">
        <v>0.5</v>
      </c>
      <c r="J53" s="50">
        <f>I53</f>
        <v/>
      </c>
    </row>
    <row r="54" ht="15" customHeight="1">
      <c r="B54" s="27" t="n">
        <v>3</v>
      </c>
      <c r="C54" s="18" t="inlineStr">
        <is>
          <t>H3</t>
        </is>
      </c>
      <c r="D54" s="18" t="inlineStr">
        <is>
          <t>PM</t>
        </is>
      </c>
      <c r="E54" s="10" t="inlineStr">
        <is>
          <t>MetLife Portfolio Lead</t>
        </is>
      </c>
      <c r="F54" s="43" t="inlineStr">
        <is>
          <t>E4</t>
        </is>
      </c>
      <c r="G54" s="43" t="inlineStr">
        <is>
          <t>ON</t>
        </is>
      </c>
      <c r="H54" s="43" t="inlineStr">
        <is>
          <t>FTE</t>
        </is>
      </c>
      <c r="I54" s="72" t="n">
        <v>1.5</v>
      </c>
      <c r="J54" s="50">
        <f>I54</f>
        <v/>
      </c>
    </row>
    <row r="55" ht="15" customHeight="1">
      <c r="B55" s="27" t="n"/>
      <c r="C55" s="18" t="n"/>
      <c r="D55" s="18" t="n"/>
      <c r="E55" s="22" t="inlineStr">
        <is>
          <t>Year 3 horizontal total</t>
        </is>
      </c>
      <c r="F55" s="43" t="n"/>
      <c r="G55" s="43" t="n"/>
      <c r="H55" s="43" t="n"/>
      <c r="I55" s="45">
        <f>SUM(I43:I54)</f>
        <v/>
      </c>
      <c r="J55" s="71">
        <f>SUM(J43:J54)</f>
        <v/>
      </c>
    </row>
    <row r="56" ht="15" customHeight="1">
      <c r="B56" s="27" t="n"/>
      <c r="C56" s="18" t="n"/>
      <c r="D56" s="18" t="n"/>
      <c r="E56" s="10" t="n"/>
      <c r="F56" s="43" t="n"/>
      <c r="G56" s="43" t="n"/>
      <c r="H56" s="43" t="n"/>
      <c r="I56" s="49" t="n"/>
      <c r="J56" s="50" t="n"/>
    </row>
    <row r="57" ht="15" customHeight="1">
      <c r="B57" s="27" t="n">
        <v>4</v>
      </c>
      <c r="C57" s="18" t="inlineStr">
        <is>
          <t>H1</t>
        </is>
      </c>
      <c r="D57" s="18" t="inlineStr">
        <is>
          <t>PM</t>
        </is>
      </c>
      <c r="E57" s="10" t="inlineStr">
        <is>
          <t>Service Delivery Manager</t>
        </is>
      </c>
      <c r="F57" s="43" t="inlineStr">
        <is>
          <t>E5</t>
        </is>
      </c>
      <c r="G57" s="43" t="inlineStr">
        <is>
          <t>ON</t>
        </is>
      </c>
      <c r="H57" s="43" t="inlineStr">
        <is>
          <t>FTC</t>
        </is>
      </c>
      <c r="I57" s="72" t="n">
        <v>0.5</v>
      </c>
      <c r="J57" s="50">
        <f>I57</f>
        <v/>
      </c>
    </row>
    <row r="58" ht="15" customHeight="1">
      <c r="B58" s="27" t="n">
        <v>4</v>
      </c>
      <c r="C58" s="18" t="inlineStr">
        <is>
          <t>H1</t>
        </is>
      </c>
      <c r="D58" s="18" t="inlineStr">
        <is>
          <t>MNT</t>
        </is>
      </c>
      <c r="E58" s="10" t="inlineStr">
        <is>
          <t>Incident &amp; Problem Analyst</t>
        </is>
      </c>
      <c r="F58" s="43" t="inlineStr">
        <is>
          <t>E3</t>
        </is>
      </c>
      <c r="G58" s="43" t="inlineStr">
        <is>
          <t>ON</t>
        </is>
      </c>
      <c r="H58" s="43" t="inlineStr">
        <is>
          <t>FTC</t>
        </is>
      </c>
      <c r="I58" s="72" t="n">
        <v>0.5</v>
      </c>
      <c r="J58" s="50">
        <f>I58</f>
        <v/>
      </c>
    </row>
    <row r="59" ht="15" customHeight="1">
      <c r="B59" s="27" t="n">
        <v>4</v>
      </c>
      <c r="C59" s="18" t="inlineStr">
        <is>
          <t>H1</t>
        </is>
      </c>
      <c r="D59" s="18" t="inlineStr">
        <is>
          <t>MNT</t>
        </is>
      </c>
      <c r="E59" s="10" t="inlineStr">
        <is>
          <t>L2 Application Support — offshore</t>
        </is>
      </c>
      <c r="F59" s="43" t="inlineStr">
        <is>
          <t>E2</t>
        </is>
      </c>
      <c r="G59" s="43" t="inlineStr">
        <is>
          <t>OFF</t>
        </is>
      </c>
      <c r="H59" s="43" t="inlineStr">
        <is>
          <t>FTC</t>
        </is>
      </c>
      <c r="I59" s="72" t="n">
        <v>0.5</v>
      </c>
      <c r="J59" s="50">
        <f>I59</f>
        <v/>
      </c>
    </row>
    <row r="60" ht="15" customHeight="1">
      <c r="B60" s="27" t="n">
        <v>4</v>
      </c>
      <c r="C60" s="18" t="inlineStr">
        <is>
          <t>H1</t>
        </is>
      </c>
      <c r="D60" s="18" t="inlineStr">
        <is>
          <t>OTH</t>
        </is>
      </c>
      <c r="E60" s="10" t="inlineStr">
        <is>
          <t>Observability / AIOps Engineer — offshore</t>
        </is>
      </c>
      <c r="F60" s="43" t="inlineStr">
        <is>
          <t>E3</t>
        </is>
      </c>
      <c r="G60" s="43" t="inlineStr">
        <is>
          <t>OFF</t>
        </is>
      </c>
      <c r="H60" s="43" t="inlineStr">
        <is>
          <t>FTC</t>
        </is>
      </c>
      <c r="I60" s="72" t="n">
        <v>0.5</v>
      </c>
      <c r="J60" s="50">
        <f>I60</f>
        <v/>
      </c>
    </row>
    <row r="61" ht="15" customHeight="1">
      <c r="B61" s="27" t="n">
        <v>4</v>
      </c>
      <c r="C61" s="18" t="inlineStr">
        <is>
          <t>H1</t>
        </is>
      </c>
      <c r="D61" s="18" t="inlineStr">
        <is>
          <t>MNT</t>
        </is>
      </c>
      <c r="E61" s="10" t="inlineStr">
        <is>
          <t>MetLife Operations Lead</t>
        </is>
      </c>
      <c r="F61" s="43" t="inlineStr">
        <is>
          <t>E4</t>
        </is>
      </c>
      <c r="G61" s="43" t="inlineStr">
        <is>
          <t>ON</t>
        </is>
      </c>
      <c r="H61" s="43" t="inlineStr">
        <is>
          <t>FTE</t>
        </is>
      </c>
      <c r="I61" s="72" t="n">
        <v>2</v>
      </c>
      <c r="J61" s="50">
        <f>I61</f>
        <v/>
      </c>
    </row>
    <row r="62" ht="15" customHeight="1">
      <c r="B62" s="27" t="n">
        <v>4</v>
      </c>
      <c r="C62" s="18" t="inlineStr">
        <is>
          <t>H1</t>
        </is>
      </c>
      <c r="D62" s="18" t="inlineStr">
        <is>
          <t>DEV</t>
        </is>
      </c>
      <c r="E62" s="10" t="inlineStr">
        <is>
          <t>MGCC Platform SRE</t>
        </is>
      </c>
      <c r="F62" s="43" t="inlineStr">
        <is>
          <t>E3</t>
        </is>
      </c>
      <c r="G62" s="43" t="inlineStr">
        <is>
          <t>OFF</t>
        </is>
      </c>
      <c r="H62" s="43" t="inlineStr">
        <is>
          <t>MGCC</t>
        </is>
      </c>
      <c r="I62" s="72" t="n">
        <v>1.5</v>
      </c>
      <c r="J62" s="50">
        <f>I62</f>
        <v/>
      </c>
    </row>
    <row r="63" ht="15" customHeight="1">
      <c r="B63" s="27" t="n">
        <v>4</v>
      </c>
      <c r="C63" s="18" t="inlineStr">
        <is>
          <t>H1</t>
        </is>
      </c>
      <c r="D63" s="18" t="inlineStr">
        <is>
          <t>MNT</t>
        </is>
      </c>
      <c r="E63" s="10" t="inlineStr">
        <is>
          <t>MGCC Application Support</t>
        </is>
      </c>
      <c r="F63" s="43" t="inlineStr">
        <is>
          <t>E2</t>
        </is>
      </c>
      <c r="G63" s="43" t="inlineStr">
        <is>
          <t>OFF</t>
        </is>
      </c>
      <c r="H63" s="43" t="inlineStr">
        <is>
          <t>MGCC</t>
        </is>
      </c>
      <c r="I63" s="72" t="n">
        <v>4.5</v>
      </c>
      <c r="J63" s="50">
        <f>I63</f>
        <v/>
      </c>
    </row>
    <row r="64" ht="15" customHeight="1">
      <c r="B64" s="27" t="n">
        <v>4</v>
      </c>
      <c r="C64" s="18" t="inlineStr">
        <is>
          <t>H2</t>
        </is>
      </c>
      <c r="D64" s="18" t="inlineStr">
        <is>
          <t>TEST</t>
        </is>
      </c>
      <c r="E64" s="10" t="inlineStr">
        <is>
          <t>MGCC Quality Engineer — regression cell</t>
        </is>
      </c>
      <c r="F64" s="43" t="inlineStr">
        <is>
          <t>E2</t>
        </is>
      </c>
      <c r="G64" s="43" t="inlineStr">
        <is>
          <t>OFF</t>
        </is>
      </c>
      <c r="H64" s="43" t="inlineStr">
        <is>
          <t>MGCC</t>
        </is>
      </c>
      <c r="I64" s="72" t="n">
        <v>0.5</v>
      </c>
      <c r="J64" s="50">
        <f>I64</f>
        <v/>
      </c>
    </row>
    <row r="65" ht="15" customHeight="1">
      <c r="B65" s="27" t="n">
        <v>4</v>
      </c>
      <c r="C65" s="18" t="inlineStr">
        <is>
          <t>H2</t>
        </is>
      </c>
      <c r="D65" s="18" t="inlineStr">
        <is>
          <t>BSA</t>
        </is>
      </c>
      <c r="E65" s="10" t="inlineStr">
        <is>
          <t>MetLife Payments Assurance Lead</t>
        </is>
      </c>
      <c r="F65" s="43" t="inlineStr">
        <is>
          <t>E4</t>
        </is>
      </c>
      <c r="G65" s="43" t="inlineStr">
        <is>
          <t>ON</t>
        </is>
      </c>
      <c r="H65" s="43" t="inlineStr">
        <is>
          <t>FTE</t>
        </is>
      </c>
      <c r="I65" s="72" t="n">
        <v>1.5</v>
      </c>
      <c r="J65" s="50">
        <f>I65</f>
        <v/>
      </c>
    </row>
    <row r="66" ht="15" customHeight="1">
      <c r="B66" s="27" t="n">
        <v>4</v>
      </c>
      <c r="C66" s="18" t="inlineStr">
        <is>
          <t>H3</t>
        </is>
      </c>
      <c r="D66" s="18" t="inlineStr">
        <is>
          <t>PM</t>
        </is>
      </c>
      <c r="E66" s="10" t="inlineStr">
        <is>
          <t>Domain Delivery Head</t>
        </is>
      </c>
      <c r="F66" s="43" t="inlineStr">
        <is>
          <t>E5</t>
        </is>
      </c>
      <c r="G66" s="43" t="inlineStr">
        <is>
          <t>ON</t>
        </is>
      </c>
      <c r="H66" s="43" t="inlineStr">
        <is>
          <t>FTC</t>
        </is>
      </c>
      <c r="I66" s="72" t="n">
        <v>0.5</v>
      </c>
      <c r="J66" s="50">
        <f>I66</f>
        <v/>
      </c>
    </row>
    <row r="67">
      <c r="B67" s="27" t="n">
        <v>4</v>
      </c>
      <c r="C67" s="18" t="inlineStr">
        <is>
          <t>H3</t>
        </is>
      </c>
      <c r="D67" s="18" t="inlineStr">
        <is>
          <t>OTH</t>
        </is>
      </c>
      <c r="E67" s="10" t="inlineStr">
        <is>
          <t>Chief Architect — Claims &amp; Payments</t>
        </is>
      </c>
      <c r="F67" s="43" t="inlineStr">
        <is>
          <t>E5</t>
        </is>
      </c>
      <c r="G67" s="43" t="inlineStr">
        <is>
          <t>ON</t>
        </is>
      </c>
      <c r="H67" s="43" t="inlineStr">
        <is>
          <t>FTC</t>
        </is>
      </c>
      <c r="I67" s="72" t="n">
        <v>0.5</v>
      </c>
      <c r="J67" s="50">
        <f>I67</f>
        <v/>
      </c>
    </row>
    <row r="68" ht="15" customHeight="1">
      <c r="B68" s="27" t="n">
        <v>4</v>
      </c>
      <c r="C68" s="18" t="inlineStr">
        <is>
          <t>H3</t>
        </is>
      </c>
      <c r="D68" s="18" t="inlineStr">
        <is>
          <t>OTH</t>
        </is>
      </c>
      <c r="E68" s="10" t="inlineStr">
        <is>
          <t>Solution Architect — Claims Platform</t>
        </is>
      </c>
      <c r="F68" s="43" t="inlineStr">
        <is>
          <t>E4</t>
        </is>
      </c>
      <c r="G68" s="43" t="inlineStr">
        <is>
          <t>ON</t>
        </is>
      </c>
      <c r="H68" s="43" t="inlineStr">
        <is>
          <t>FTC</t>
        </is>
      </c>
      <c r="I68" s="72" t="n">
        <v>1</v>
      </c>
      <c r="J68" s="50">
        <f>I68</f>
        <v/>
      </c>
    </row>
    <row r="69" ht="15" customHeight="1">
      <c r="B69" s="27" t="n">
        <v>4</v>
      </c>
      <c r="C69" s="18" t="inlineStr">
        <is>
          <t>H3</t>
        </is>
      </c>
      <c r="D69" s="18" t="inlineStr">
        <is>
          <t>PM</t>
        </is>
      </c>
      <c r="E69" s="10" t="inlineStr">
        <is>
          <t>MetLife Portfolio Lead</t>
        </is>
      </c>
      <c r="F69" s="43" t="inlineStr">
        <is>
          <t>E4</t>
        </is>
      </c>
      <c r="G69" s="43" t="inlineStr">
        <is>
          <t>ON</t>
        </is>
      </c>
      <c r="H69" s="43" t="inlineStr">
        <is>
          <t>FTE</t>
        </is>
      </c>
      <c r="I69" s="72" t="n">
        <v>1.5</v>
      </c>
      <c r="J69" s="50">
        <f>I69</f>
        <v/>
      </c>
    </row>
    <row r="70" ht="15" customHeight="1">
      <c r="B70" s="27" t="n"/>
      <c r="C70" s="18" t="n"/>
      <c r="D70" s="18" t="n"/>
      <c r="E70" s="22" t="inlineStr">
        <is>
          <t>Year 4 horizontal total</t>
        </is>
      </c>
      <c r="F70" s="43" t="n"/>
      <c r="G70" s="43" t="n"/>
      <c r="H70" s="43" t="n"/>
      <c r="I70" s="45">
        <f>SUM(I57:I69)</f>
        <v/>
      </c>
      <c r="J70" s="71">
        <f>SUM(J57:J69)</f>
        <v/>
      </c>
    </row>
    <row r="71" ht="15" customHeight="1">
      <c r="B71" s="27" t="n"/>
      <c r="C71" s="18" t="n"/>
      <c r="D71" s="18" t="n"/>
      <c r="E71" s="10" t="n"/>
      <c r="F71" s="43" t="n"/>
      <c r="G71" s="43" t="n"/>
      <c r="H71" s="43" t="n"/>
      <c r="I71" s="49" t="n"/>
      <c r="J71" s="50" t="n"/>
    </row>
    <row r="72" ht="15" customHeight="1">
      <c r="B72" s="27" t="n">
        <v>5</v>
      </c>
      <c r="C72" s="18" t="inlineStr">
        <is>
          <t>H1</t>
        </is>
      </c>
      <c r="D72" s="18" t="inlineStr">
        <is>
          <t>PM</t>
        </is>
      </c>
      <c r="E72" s="10" t="inlineStr">
        <is>
          <t>Service Delivery Manager</t>
        </is>
      </c>
      <c r="F72" s="43" t="inlineStr">
        <is>
          <t>E5</t>
        </is>
      </c>
      <c r="G72" s="43" t="inlineStr">
        <is>
          <t>ON</t>
        </is>
      </c>
      <c r="H72" s="43" t="inlineStr">
        <is>
          <t>FTC</t>
        </is>
      </c>
      <c r="I72" s="72" t="n">
        <v>0.5</v>
      </c>
      <c r="J72" s="50">
        <f>I72</f>
        <v/>
      </c>
    </row>
    <row r="73" ht="15" customHeight="1">
      <c r="B73" s="27" t="n">
        <v>5</v>
      </c>
      <c r="C73" s="18" t="inlineStr">
        <is>
          <t>H1</t>
        </is>
      </c>
      <c r="D73" s="18" t="inlineStr">
        <is>
          <t>MNT</t>
        </is>
      </c>
      <c r="E73" s="10" t="inlineStr">
        <is>
          <t>MetLife Operations Lead</t>
        </is>
      </c>
      <c r="F73" s="43" t="inlineStr">
        <is>
          <t>E4</t>
        </is>
      </c>
      <c r="G73" s="43" t="inlineStr">
        <is>
          <t>ON</t>
        </is>
      </c>
      <c r="H73" s="43" t="inlineStr">
        <is>
          <t>FTE</t>
        </is>
      </c>
      <c r="I73" s="72" t="n">
        <v>0.5</v>
      </c>
      <c r="J73" s="50">
        <f>I73</f>
        <v/>
      </c>
    </row>
    <row r="74" ht="15" customHeight="1">
      <c r="B74" s="27" t="n">
        <v>5</v>
      </c>
      <c r="C74" s="18" t="inlineStr">
        <is>
          <t>H1</t>
        </is>
      </c>
      <c r="D74" s="18" t="inlineStr">
        <is>
          <t>DEV</t>
        </is>
      </c>
      <c r="E74" s="10" t="inlineStr">
        <is>
          <t>MGCC Platform SRE</t>
        </is>
      </c>
      <c r="F74" s="43" t="inlineStr">
        <is>
          <t>E3</t>
        </is>
      </c>
      <c r="G74" s="43" t="inlineStr">
        <is>
          <t>OFF</t>
        </is>
      </c>
      <c r="H74" s="43" t="inlineStr">
        <is>
          <t>MGCC</t>
        </is>
      </c>
      <c r="I74" s="72" t="n">
        <v>1.5</v>
      </c>
      <c r="J74" s="50">
        <f>I74</f>
        <v/>
      </c>
    </row>
    <row r="75" ht="15" customHeight="1">
      <c r="B75" s="27" t="n">
        <v>5</v>
      </c>
      <c r="C75" s="18" t="inlineStr">
        <is>
          <t>H1</t>
        </is>
      </c>
      <c r="D75" s="18" t="inlineStr">
        <is>
          <t>MNT</t>
        </is>
      </c>
      <c r="E75" s="10" t="inlineStr">
        <is>
          <t>MGCC Application Support</t>
        </is>
      </c>
      <c r="F75" s="43" t="inlineStr">
        <is>
          <t>E2</t>
        </is>
      </c>
      <c r="G75" s="43" t="inlineStr">
        <is>
          <t>OFF</t>
        </is>
      </c>
      <c r="H75" s="43" t="inlineStr">
        <is>
          <t>MGCC</t>
        </is>
      </c>
      <c r="I75" s="72" t="n">
        <v>7.5</v>
      </c>
      <c r="J75" s="50">
        <f>I75</f>
        <v/>
      </c>
    </row>
    <row r="76" ht="15" customHeight="1">
      <c r="B76" s="27" t="n">
        <v>5</v>
      </c>
      <c r="C76" s="18" t="inlineStr">
        <is>
          <t>H2</t>
        </is>
      </c>
      <c r="D76" s="18" t="inlineStr">
        <is>
          <t>TEST</t>
        </is>
      </c>
      <c r="E76" s="10" t="inlineStr">
        <is>
          <t>MGCC Quality Engineer — regression cell</t>
        </is>
      </c>
      <c r="F76" s="43" t="inlineStr">
        <is>
          <t>E2</t>
        </is>
      </c>
      <c r="G76" s="43" t="inlineStr">
        <is>
          <t>OFF</t>
        </is>
      </c>
      <c r="H76" s="43" t="inlineStr">
        <is>
          <t>MGCC</t>
        </is>
      </c>
      <c r="I76" s="72" t="n">
        <v>0.5</v>
      </c>
      <c r="J76" s="50">
        <f>I76</f>
        <v/>
      </c>
    </row>
    <row r="77" ht="15" customHeight="1">
      <c r="B77" s="27" t="n">
        <v>5</v>
      </c>
      <c r="C77" s="18" t="inlineStr">
        <is>
          <t>H2</t>
        </is>
      </c>
      <c r="D77" s="18" t="inlineStr">
        <is>
          <t>BSA</t>
        </is>
      </c>
      <c r="E77" s="10" t="inlineStr">
        <is>
          <t>MetLife Payments Assurance Lead</t>
        </is>
      </c>
      <c r="F77" s="43" t="inlineStr">
        <is>
          <t>E4</t>
        </is>
      </c>
      <c r="G77" s="43" t="inlineStr">
        <is>
          <t>ON</t>
        </is>
      </c>
      <c r="H77" s="43" t="inlineStr">
        <is>
          <t>FTE</t>
        </is>
      </c>
      <c r="I77" s="72" t="n">
        <v>0.5</v>
      </c>
      <c r="J77" s="50">
        <f>I77</f>
        <v/>
      </c>
    </row>
    <row r="78" ht="15" customHeight="1">
      <c r="B78" s="27" t="n">
        <v>5</v>
      </c>
      <c r="C78" s="18" t="inlineStr">
        <is>
          <t>H3</t>
        </is>
      </c>
      <c r="D78" s="18" t="inlineStr">
        <is>
          <t>PM</t>
        </is>
      </c>
      <c r="E78" s="10" t="inlineStr">
        <is>
          <t>Domain Delivery Head</t>
        </is>
      </c>
      <c r="F78" s="43" t="inlineStr">
        <is>
          <t>E5</t>
        </is>
      </c>
      <c r="G78" s="43" t="inlineStr">
        <is>
          <t>ON</t>
        </is>
      </c>
      <c r="H78" s="43" t="inlineStr">
        <is>
          <t>FTC</t>
        </is>
      </c>
      <c r="I78" s="72" t="n">
        <v>0.5</v>
      </c>
      <c r="J78" s="50">
        <f>I78</f>
        <v/>
      </c>
    </row>
    <row r="79" ht="15" customHeight="1">
      <c r="B79" s="27" t="n">
        <v>5</v>
      </c>
      <c r="C79" s="18" t="inlineStr">
        <is>
          <t>H3</t>
        </is>
      </c>
      <c r="D79" s="18" t="inlineStr">
        <is>
          <t>OTH</t>
        </is>
      </c>
      <c r="E79" s="10" t="inlineStr">
        <is>
          <t>Chief Architect — Claims &amp; Payments</t>
        </is>
      </c>
      <c r="F79" s="43" t="inlineStr">
        <is>
          <t>E5</t>
        </is>
      </c>
      <c r="G79" s="43" t="inlineStr">
        <is>
          <t>ON</t>
        </is>
      </c>
      <c r="H79" s="43" t="inlineStr">
        <is>
          <t>FTC</t>
        </is>
      </c>
      <c r="I79" s="72" t="n">
        <v>0.5</v>
      </c>
      <c r="J79" s="50">
        <f>I79</f>
        <v/>
      </c>
    </row>
    <row r="80" ht="15" customHeight="1">
      <c r="B80" s="27" t="n">
        <v>5</v>
      </c>
      <c r="C80" s="18" t="inlineStr">
        <is>
          <t>H3</t>
        </is>
      </c>
      <c r="D80" s="18" t="inlineStr">
        <is>
          <t>OTH</t>
        </is>
      </c>
      <c r="E80" s="10" t="inlineStr">
        <is>
          <t>Solution Architect — Claims Platform</t>
        </is>
      </c>
      <c r="F80" s="43" t="inlineStr">
        <is>
          <t>E4</t>
        </is>
      </c>
      <c r="G80" s="43" t="inlineStr">
        <is>
          <t>ON</t>
        </is>
      </c>
      <c r="H80" s="43" t="inlineStr">
        <is>
          <t>FTC</t>
        </is>
      </c>
      <c r="I80" s="72" t="n">
        <v>0.5</v>
      </c>
      <c r="J80" s="50">
        <f>I80</f>
        <v/>
      </c>
    </row>
    <row r="81" ht="15" customHeight="1">
      <c r="B81" s="27" t="n">
        <v>5</v>
      </c>
      <c r="C81" s="18" t="inlineStr">
        <is>
          <t>H3</t>
        </is>
      </c>
      <c r="D81" s="18" t="inlineStr">
        <is>
          <t>PM</t>
        </is>
      </c>
      <c r="E81" s="10" t="inlineStr">
        <is>
          <t>MetLife Portfolio Lead</t>
        </is>
      </c>
      <c r="F81" s="43" t="inlineStr">
        <is>
          <t>E4</t>
        </is>
      </c>
      <c r="G81" s="43" t="inlineStr">
        <is>
          <t>ON</t>
        </is>
      </c>
      <c r="H81" s="43" t="inlineStr">
        <is>
          <t>FTE</t>
        </is>
      </c>
      <c r="I81" s="72" t="n">
        <v>1</v>
      </c>
      <c r="J81" s="50">
        <f>I81</f>
        <v/>
      </c>
    </row>
    <row r="82" ht="15" customHeight="1">
      <c r="B82" s="27" t="n"/>
      <c r="C82" s="18" t="n"/>
      <c r="D82" s="18" t="n"/>
      <c r="E82" s="22" t="inlineStr">
        <is>
          <t>Year 5 horizontal total</t>
        </is>
      </c>
      <c r="F82" s="43" t="n"/>
      <c r="G82" s="43" t="n"/>
      <c r="H82" s="43" t="n"/>
      <c r="I82" s="45">
        <f>SUM(I72:I81)</f>
        <v/>
      </c>
      <c r="J82" s="71">
        <f>SUM(J72:J81)</f>
        <v/>
      </c>
    </row>
    <row r="83" ht="15" customHeight="1">
      <c r="B83" s="27" t="n"/>
      <c r="C83" s="18" t="n"/>
      <c r="D83" s="18" t="n"/>
      <c r="E83" s="10" t="n"/>
      <c r="F83" s="43" t="n"/>
      <c r="G83" s="43" t="n"/>
      <c r="H83" s="43" t="n"/>
      <c r="I83" s="49" t="n"/>
      <c r="J83" s="50" t="n"/>
    </row>
    <row r="84" ht="15" customHeight="1">
      <c r="B84" s="27" t="inlineStr">
        <is>
          <t>H1 is sized from the incident and change load on the AMS sheet — 732 incidents, 1,161 changes and 439 batch jobs a year. The MGCC Application Support line grows deliberately from 0.5 to 7.0 across the five years: it is what holds Capgemini above the 55% build-and-test floor once MetLife’s captive centre becomes a third of the domain. H3 carries the architecture and release seats, and from Year 4 the Claims Platform Solution Architect moves here from the pods.</t>
        </is>
      </c>
      <c r="C84" s="18" t="n"/>
      <c r="D84" s="18" t="n"/>
      <c r="E84" s="10" t="n"/>
      <c r="F84" s="43" t="n"/>
      <c r="G84" s="43" t="n"/>
      <c r="H84" s="43" t="n"/>
      <c r="I84" s="49" t="n"/>
      <c r="J84" s="50" t="n"/>
    </row>
    <row r="85" ht="15" customHeight="1">
      <c r="B85" s="27" t="n"/>
      <c r="C85" s="18" t="n"/>
      <c r="D85" s="18" t="n"/>
      <c r="E85" s="10" t="n"/>
      <c r="F85" s="43" t="n"/>
      <c r="G85" s="43" t="n"/>
      <c r="H85" s="43" t="n"/>
      <c r="I85" s="49" t="n"/>
      <c r="J85" s="50" t="n"/>
    </row>
    <row r="86" ht="15" customHeight="1">
      <c r="B86" s="27" t="n"/>
      <c r="C86" s="18" t="n"/>
      <c r="D86" s="18" t="n"/>
      <c r="E86" s="10" t="n"/>
      <c r="F86" s="43" t="n"/>
      <c r="G86" s="43" t="n"/>
      <c r="H86" s="43" t="n"/>
      <c r="I86" s="49" t="n"/>
      <c r="J86" s="50" t="n"/>
    </row>
    <row r="87" ht="15" customHeight="1">
      <c r="E87" s="22" t="n"/>
      <c r="I87" s="23" t="n"/>
    </row>
    <row r="89" ht="15" customHeight="1">
      <c r="B89" s="27" t="n"/>
      <c r="C89" s="18" t="n"/>
      <c r="D89" s="18" t="n"/>
      <c r="E89" s="10" t="n"/>
      <c r="F89" s="43" t="n"/>
      <c r="G89" s="43" t="n"/>
      <c r="H89" s="43" t="n"/>
      <c r="I89" s="49" t="n"/>
      <c r="J89" s="50" t="n"/>
    </row>
    <row r="90" ht="15" customHeight="1">
      <c r="B90" s="27" t="n"/>
      <c r="C90" s="18" t="n"/>
      <c r="D90" s="18" t="n"/>
      <c r="E90" s="10" t="n"/>
      <c r="F90" s="43" t="n"/>
      <c r="G90" s="43" t="n"/>
      <c r="H90" s="43" t="n"/>
      <c r="I90" s="49" t="n"/>
      <c r="J90" s="50" t="n"/>
    </row>
    <row r="91" ht="15" customHeight="1">
      <c r="B91" s="27" t="n"/>
      <c r="C91" s="18" t="n"/>
      <c r="D91" s="18" t="n"/>
      <c r="E91" s="10" t="n"/>
      <c r="F91" s="43" t="n"/>
      <c r="G91" s="43" t="n"/>
      <c r="H91" s="43" t="n"/>
      <c r="I91" s="49" t="n"/>
      <c r="J91" s="50" t="n"/>
    </row>
    <row r="92" ht="15" customHeight="1">
      <c r="B92" s="27" t="n"/>
      <c r="C92" s="18" t="n"/>
      <c r="D92" s="18" t="n"/>
      <c r="E92" s="10" t="n"/>
      <c r="F92" s="43" t="n"/>
      <c r="G92" s="43" t="n"/>
      <c r="H92" s="43" t="n"/>
      <c r="I92" s="49" t="n"/>
      <c r="J92" s="50" t="n"/>
    </row>
    <row r="93" ht="15" customHeight="1">
      <c r="B93" s="27" t="n"/>
      <c r="C93" s="18" t="n"/>
      <c r="D93" s="18" t="n"/>
      <c r="E93" s="10" t="n"/>
      <c r="F93" s="43" t="n"/>
      <c r="G93" s="43" t="n"/>
      <c r="H93" s="43" t="n"/>
      <c r="I93" s="49" t="n"/>
      <c r="J93" s="50" t="n"/>
    </row>
    <row r="94" ht="15" customHeight="1">
      <c r="B94" s="27" t="n"/>
      <c r="C94" s="18" t="n"/>
      <c r="D94" s="18" t="n"/>
      <c r="E94" s="10" t="n"/>
      <c r="F94" s="43" t="n"/>
      <c r="G94" s="43" t="n"/>
      <c r="H94" s="43" t="n"/>
      <c r="I94" s="49" t="n"/>
      <c r="J94" s="50" t="n"/>
    </row>
    <row r="95" ht="15" customHeight="1">
      <c r="B95" s="27" t="n"/>
      <c r="C95" s="18" t="n"/>
      <c r="D95" s="18" t="n"/>
      <c r="E95" s="10" t="n"/>
      <c r="F95" s="43" t="n"/>
      <c r="G95" s="43" t="n"/>
      <c r="H95" s="43" t="n"/>
      <c r="I95" s="49" t="n"/>
      <c r="J95" s="50" t="n"/>
    </row>
    <row r="96" ht="15" customHeight="1">
      <c r="B96" s="27" t="n"/>
      <c r="C96" s="18" t="n"/>
      <c r="D96" s="18" t="n"/>
      <c r="E96" s="10" t="n"/>
      <c r="F96" s="43" t="n"/>
      <c r="G96" s="43" t="n"/>
      <c r="H96" s="43" t="n"/>
      <c r="I96" s="49" t="n"/>
      <c r="J96" s="50" t="n"/>
    </row>
    <row r="97" ht="15" customHeight="1">
      <c r="B97" s="27" t="n"/>
      <c r="C97" s="18" t="n"/>
      <c r="D97" s="18" t="n"/>
      <c r="E97" s="10" t="n"/>
      <c r="F97" s="43" t="n"/>
      <c r="G97" s="43" t="n"/>
      <c r="H97" s="43" t="n"/>
      <c r="I97" s="49" t="n"/>
      <c r="J97" s="50" t="n"/>
    </row>
    <row r="98" ht="15" customHeight="1">
      <c r="B98" s="27" t="n"/>
      <c r="C98" s="18" t="n"/>
      <c r="D98" s="18" t="n"/>
      <c r="E98" s="10" t="n"/>
      <c r="F98" s="43" t="n"/>
      <c r="G98" s="43" t="n"/>
      <c r="H98" s="43" t="n"/>
      <c r="I98" s="49" t="n"/>
      <c r="J98" s="50" t="n"/>
    </row>
    <row r="99" ht="15" customHeight="1">
      <c r="B99" s="27" t="n"/>
      <c r="C99" s="18" t="n"/>
      <c r="D99" s="18" t="n"/>
      <c r="E99" s="10" t="n"/>
      <c r="F99" s="43" t="n"/>
      <c r="G99" s="43" t="n"/>
      <c r="H99" s="43" t="n"/>
      <c r="I99" s="49" t="n"/>
      <c r="J99" s="50" t="n"/>
    </row>
    <row r="100" ht="15" customHeight="1">
      <c r="B100" s="27" t="n"/>
      <c r="C100" s="18" t="n"/>
      <c r="D100" s="18" t="n"/>
      <c r="E100" s="10" t="n"/>
      <c r="F100" s="43" t="n"/>
      <c r="G100" s="43" t="n"/>
      <c r="H100" s="43" t="n"/>
      <c r="I100" s="49" t="n"/>
      <c r="J100" s="50" t="n"/>
    </row>
    <row r="101" ht="15" customHeight="1">
      <c r="B101" s="27" t="n"/>
      <c r="C101" s="18" t="n"/>
      <c r="D101" s="18" t="n"/>
      <c r="E101" s="10" t="n"/>
      <c r="F101" s="43" t="n"/>
      <c r="G101" s="43" t="n"/>
      <c r="H101" s="43" t="n"/>
      <c r="I101" s="49" t="n"/>
      <c r="J101" s="50" t="n"/>
    </row>
    <row r="102" ht="15" customHeight="1">
      <c r="B102" s="27" t="n"/>
      <c r="C102" s="18" t="n"/>
      <c r="D102" s="18" t="n"/>
      <c r="E102" s="10" t="n"/>
      <c r="F102" s="43" t="n"/>
      <c r="G102" s="43" t="n"/>
      <c r="H102" s="43" t="n"/>
      <c r="I102" s="49" t="n"/>
      <c r="J102" s="50" t="n"/>
    </row>
    <row r="103" ht="15" customHeight="1">
      <c r="B103" s="27" t="n"/>
      <c r="C103" s="18" t="n"/>
      <c r="D103" s="18" t="n"/>
      <c r="E103" s="10" t="n"/>
      <c r="F103" s="43" t="n"/>
      <c r="G103" s="43" t="n"/>
      <c r="H103" s="43" t="n"/>
      <c r="I103" s="49" t="n"/>
      <c r="J103" s="50" t="n"/>
    </row>
    <row r="104" ht="15" customHeight="1">
      <c r="B104" s="27" t="n"/>
      <c r="C104" s="18" t="n"/>
      <c r="D104" s="18" t="n"/>
      <c r="E104" s="10" t="n"/>
      <c r="F104" s="43" t="n"/>
      <c r="G104" s="43" t="n"/>
      <c r="H104" s="43" t="n"/>
      <c r="I104" s="49" t="n"/>
      <c r="J104" s="50" t="n"/>
    </row>
    <row r="105" ht="15" customHeight="1">
      <c r="B105" s="27" t="n"/>
      <c r="C105" s="18" t="n"/>
      <c r="D105" s="18" t="n"/>
      <c r="E105" s="10" t="n"/>
      <c r="F105" s="43" t="n"/>
      <c r="G105" s="43" t="n"/>
      <c r="H105" s="43" t="n"/>
      <c r="I105" s="49" t="n"/>
      <c r="J105" s="50" t="n"/>
    </row>
    <row r="106" ht="15" customHeight="1">
      <c r="B106" s="27" t="n"/>
      <c r="C106" s="18" t="n"/>
      <c r="D106" s="18" t="n"/>
      <c r="E106" s="10" t="n"/>
      <c r="F106" s="43" t="n"/>
      <c r="G106" s="43" t="n"/>
      <c r="H106" s="43" t="n"/>
      <c r="I106" s="49" t="n"/>
      <c r="J106" s="50" t="n"/>
    </row>
    <row r="107" ht="15" customHeight="1">
      <c r="B107" s="27" t="n"/>
      <c r="C107" s="18" t="n"/>
      <c r="D107" s="18" t="n"/>
      <c r="E107" s="10" t="n"/>
      <c r="F107" s="43" t="n"/>
      <c r="G107" s="43" t="n"/>
      <c r="H107" s="43" t="n"/>
      <c r="I107" s="49" t="n"/>
      <c r="J107" s="50" t="n"/>
    </row>
    <row r="108" ht="15" customHeight="1">
      <c r="E108" s="22" t="n"/>
      <c r="I108" s="23" t="n"/>
    </row>
    <row r="110" ht="30" customHeight="1">
      <c r="B110" s="19" t="n"/>
    </row>
  </sheetData>
  <mergeCells count="2">
    <mergeCell ref="A2:L2"/>
    <mergeCell ref="A1:L1"/>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J76"/>
  <sheetViews>
    <sheetView topLeftCell="A9" zoomScaleNormal="100" workbookViewId="0">
      <selection activeCell="B19" sqref="B19"/>
    </sheetView>
  </sheetViews>
  <sheetFormatPr baseColWidth="8" defaultColWidth="8.6328125" defaultRowHeight="14.5"/>
  <cols>
    <col width="2.453125" customWidth="1" min="1" max="1"/>
    <col width="44" customWidth="1" min="2" max="2"/>
    <col width="13" customWidth="1" min="3" max="7"/>
    <col width="3" customWidth="1" min="8" max="8"/>
    <col width="13" customWidth="1" min="9" max="10"/>
    <col width="11" customWidth="1" min="11" max="11"/>
  </cols>
  <sheetData>
    <row r="1" ht="25.5" customHeight="1">
      <c r="A1" s="8" t="inlineStr">
        <is>
          <t>Team build-up  —  and the Year-1 reconciliation to Appendix 3 v5</t>
        </is>
      </c>
    </row>
    <row r="2" ht="15" customHeight="1">
      <c r="A2" s="7" t="inlineStr">
        <is>
          <t>Nothing on this sheet is typed. Section B is the test that matters: the roster has to be the client's own Year-1 position on effort, sourcing, location AND role.</t>
        </is>
      </c>
    </row>
    <row r="4" ht="15" customHeight="1">
      <c r="A4" s="6" t="inlineStr">
        <is>
          <t>A.  HEADCOUNT</t>
        </is>
      </c>
    </row>
    <row r="5" ht="15" customHeight="1">
      <c r="B5" s="11" t="inlineStr">
        <is>
          <t>Measure</t>
        </is>
      </c>
      <c r="C5" s="11" t="inlineStr">
        <is>
          <t>Year 1</t>
        </is>
      </c>
      <c r="D5" s="11" t="inlineStr">
        <is>
          <t>Year 2</t>
        </is>
      </c>
      <c r="E5" s="11" t="inlineStr">
        <is>
          <t>Year 3</t>
        </is>
      </c>
      <c r="F5" s="11" t="inlineStr">
        <is>
          <t>Year 4</t>
        </is>
      </c>
      <c r="G5" s="11" t="inlineStr">
        <is>
          <t>Year 5</t>
        </is>
      </c>
    </row>
    <row r="6" ht="15" customHeight="1">
      <c r="B6" s="10" t="inlineStr">
        <is>
          <t>People in agile pods (VS1 all years; VS2 from Year 4)</t>
        </is>
      </c>
      <c r="C6" s="16">
        <f>SUMIFS('Seat Ledger'!$M$5:$M$287,'Seat Ledger'!$B$5:$B$287,1,'Seat Ledger'!$C$5:$C$287,"POD")</f>
        <v/>
      </c>
      <c r="D6" s="16">
        <f>SUMIFS('Seat Ledger'!$M$5:$M$287,'Seat Ledger'!$B$5:$B$287,2,'Seat Ledger'!$C$5:$C$287,"POD")</f>
        <v/>
      </c>
      <c r="E6" s="16">
        <f>SUMIFS('Seat Ledger'!$M$5:$M$287,'Seat Ledger'!$B$5:$B$287,3,'Seat Ledger'!$C$5:$C$287,"POD")</f>
        <v/>
      </c>
      <c r="F6" s="16">
        <f>SUMIFS('Seat Ledger'!$M$5:$M$287,'Seat Ledger'!$B$5:$B$287,4,'Seat Ledger'!$C$5:$C$287,"POD")</f>
        <v/>
      </c>
      <c r="G6" s="16">
        <f>SUMIFS('Seat Ledger'!$M$5:$M$287,'Seat Ledger'!$B$5:$B$287,5,'Seat Ledger'!$C$5:$C$287,"POD")</f>
        <v/>
      </c>
    </row>
    <row r="7" ht="15" customHeight="1">
      <c r="B7" s="10" t="inlineStr">
        <is>
          <t>People in waterfall teams of 12 (VS2, Years 1-3)</t>
        </is>
      </c>
      <c r="C7" s="16">
        <f>SUMIFS('Seat Ledger'!$M$5:$M$287,'Seat Ledger'!$B$5:$B$287,1,'Seat Ledger'!$C$5:$C$287,"TEAM")</f>
        <v/>
      </c>
      <c r="D7" s="16">
        <f>SUMIFS('Seat Ledger'!$M$5:$M$287,'Seat Ledger'!$B$5:$B$287,2,'Seat Ledger'!$C$5:$C$287,"TEAM")</f>
        <v/>
      </c>
      <c r="E7" s="16">
        <f>SUMIFS('Seat Ledger'!$M$5:$M$287,'Seat Ledger'!$B$5:$B$287,3,'Seat Ledger'!$C$5:$C$287,"TEAM")</f>
        <v/>
      </c>
      <c r="F7" s="16">
        <f>SUMIFS('Seat Ledger'!$M$5:$M$287,'Seat Ledger'!$B$5:$B$287,4,'Seat Ledger'!$C$5:$C$287,"TEAM")</f>
        <v/>
      </c>
      <c r="G7" s="16">
        <f>SUMIFS('Seat Ledger'!$M$5:$M$287,'Seat Ledger'!$B$5:$B$287,5,'Seat Ledger'!$C$5:$C$287,"TEAM")</f>
        <v/>
      </c>
    </row>
    <row r="8" ht="15" customHeight="1">
      <c r="B8" s="10" t="inlineStr">
        <is>
          <t>People in horizontal teams</t>
        </is>
      </c>
      <c r="C8" s="16">
        <f>SUMIFS('Seat Ledger'!$M$5:$M$287,'Seat Ledger'!$B$5:$B$287,1,'Seat Ledger'!$C$5:$C$287,"HZ")</f>
        <v/>
      </c>
      <c r="D8" s="16">
        <f>SUMIFS('Seat Ledger'!$M$5:$M$287,'Seat Ledger'!$B$5:$B$287,2,'Seat Ledger'!$C$5:$C$287,"HZ")</f>
        <v/>
      </c>
      <c r="E8" s="16">
        <f>SUMIFS('Seat Ledger'!$M$5:$M$287,'Seat Ledger'!$B$5:$B$287,3,'Seat Ledger'!$C$5:$C$287,"HZ")</f>
        <v/>
      </c>
      <c r="F8" s="16">
        <f>SUMIFS('Seat Ledger'!$M$5:$M$287,'Seat Ledger'!$B$5:$B$287,4,'Seat Ledger'!$C$5:$C$287,"HZ")</f>
        <v/>
      </c>
      <c r="G8" s="16">
        <f>SUMIFS('Seat Ledger'!$M$5:$M$287,'Seat Ledger'!$B$5:$B$287,5,'Seat Ledger'!$C$5:$C$287,"HZ")</f>
        <v/>
      </c>
    </row>
    <row r="9" ht="15" customHeight="1">
      <c r="B9" s="22" t="inlineStr">
        <is>
          <t>TOTAL PEOPLE</t>
        </is>
      </c>
      <c r="C9" s="23">
        <f>SUM(C6:C8)</f>
        <v/>
      </c>
      <c r="D9" s="23">
        <f>SUM(D6:D8)</f>
        <v/>
      </c>
      <c r="E9" s="23">
        <f>SUM(E6:E8)</f>
        <v/>
      </c>
      <c r="F9" s="23">
        <f>SUM(F6:F8)</f>
        <v/>
      </c>
      <c r="G9" s="23">
        <f>SUM(G6:G8)</f>
        <v/>
      </c>
    </row>
    <row r="10" ht="15" customHeight="1">
      <c r="B10" s="10" t="inlineStr">
        <is>
          <t>Delivery units — pods / teams</t>
        </is>
      </c>
      <c r="C10" s="51" t="inlineStr">
        <is>
          <t>5 / 4</t>
        </is>
      </c>
      <c r="D10" s="51" t="inlineStr">
        <is>
          <t>4 / 3</t>
        </is>
      </c>
      <c r="E10" s="51" t="inlineStr">
        <is>
          <t>3 / 3</t>
        </is>
      </c>
      <c r="F10" s="51" t="inlineStr">
        <is>
          <t>6 / 0</t>
        </is>
      </c>
      <c r="G10" s="51" t="inlineStr">
        <is>
          <t>5 / 0</t>
        </is>
      </c>
    </row>
    <row r="11" ht="15" customHeight="1">
      <c r="B11" s="10" t="inlineStr">
        <is>
          <t>Headcount target from the Logic Tree (scope baseline x 1 - applied)</t>
        </is>
      </c>
      <c r="C11" s="16">
        <f>'Logic Tree'!C53</f>
        <v/>
      </c>
      <c r="D11" s="16">
        <f>'Logic Tree'!D53</f>
        <v/>
      </c>
      <c r="E11" s="16">
        <f>'Logic Tree'!E53</f>
        <v/>
      </c>
      <c r="F11" s="16">
        <f>'Logic Tree'!F53</f>
        <v/>
      </c>
      <c r="G11" s="16">
        <f>'Logic Tree'!G53</f>
        <v/>
      </c>
    </row>
    <row r="12" ht="15" customHeight="1">
      <c r="B12" s="9" t="inlineStr">
        <is>
          <t>Variance to target</t>
        </is>
      </c>
      <c r="C12" s="47">
        <f>C9-C11</f>
        <v/>
      </c>
      <c r="D12" s="47">
        <f>D9-D11</f>
        <v/>
      </c>
      <c r="E12" s="47">
        <f>E9-E11</f>
        <v/>
      </c>
      <c r="F12" s="47">
        <f>F9-F11</f>
        <v/>
      </c>
      <c r="G12" s="47">
        <f>G9-G11</f>
        <v/>
      </c>
    </row>
    <row r="14" ht="15" customHeight="1">
      <c r="A14" s="6" t="inlineStr">
        <is>
          <t>B.  YEAR-1 RECONCILIATION TO APPENDIX 3 v3</t>
        </is>
      </c>
    </row>
    <row r="15" ht="27.75" customHeight="1">
      <c r="B15" s="11" t="inlineStr">
        <is>
          <t>Measure</t>
        </is>
      </c>
      <c r="C15" s="11" t="inlineStr">
        <is>
          <t>Model Year 1</t>
        </is>
      </c>
      <c r="D15" s="11" t="inlineStr">
        <is>
          <t>Appendix 3 v5</t>
        </is>
      </c>
      <c r="E15" s="11" t="inlineStr">
        <is>
          <t>Variance</t>
        </is>
      </c>
      <c r="F15" s="11" t="n"/>
      <c r="G15" s="11" t="n"/>
      <c r="H15" s="11" t="inlineStr">
        <is>
          <t>Reading</t>
        </is>
      </c>
    </row>
    <row r="16" ht="15" customFormat="1" customHeight="1" s="68">
      <c r="B16" s="9" t="inlineStr">
        <is>
          <t>Total effort / people</t>
        </is>
      </c>
      <c r="C16" s="16">
        <f>C9</f>
        <v/>
      </c>
      <c r="D16" s="16">
        <f>'Logic Tree'!C7</f>
        <v/>
      </c>
      <c r="E16" s="23">
        <f>C16-D16</f>
        <v/>
      </c>
      <c r="H16" s="19" t="inlineStr">
        <is>
          <t>Whole-domain size. Unchanged since v2.</t>
        </is>
      </c>
    </row>
    <row r="17" ht="15" customFormat="1" customHeight="1" s="68">
      <c r="B17" s="9" t="inlineStr">
        <is>
          <t>FTC reported  (Capgemini + partner)</t>
        </is>
      </c>
      <c r="C17" s="16">
        <f>SUMIFS('Seat Ledger'!$M$5:$M$287,'Seat Ledger'!$B$5:$B$287,1,'Seat Ledger'!$J$5:$J$287,"FTC")+SUMIFS('Seat Ledger'!$M$5:$M$287,'Seat Ledger'!$B$5:$B$287,1,'Seat Ledger'!$J$5:$J$287,"PT")</f>
        <v/>
      </c>
      <c r="D17" s="16">
        <f>'Logic Tree'!C8</f>
        <v/>
      </c>
      <c r="E17" s="23">
        <f>C17-D17</f>
        <v/>
      </c>
      <c r="H17" s="19" t="inlineStr">
        <is>
          <t>Appendix 3 reports the vendor as one number. This is the line that has to reconcile.</t>
        </is>
      </c>
    </row>
    <row r="18" ht="15" customFormat="1" customHeight="1" s="68">
      <c r="B18" s="9" t="inlineStr">
        <is>
          <t xml:space="preserve">  — of which Capgemini payroll</t>
        </is>
      </c>
      <c r="C18" s="16">
        <f>SUMIFS('Seat Ledger'!$M$5:$M$287,'Seat Ledger'!$B$5:$B$287,1,'Seat Ledger'!$J$5:$J$287,"FTC")</f>
        <v/>
      </c>
      <c r="D18" s="36" t="inlineStr">
        <is>
          <t>—</t>
        </is>
      </c>
      <c r="E18" s="36" t="inlineStr">
        <is>
          <t>—</t>
        </is>
      </c>
      <c r="H18" s="19" t="inlineStr">
        <is>
          <t>Transferable at the end of Year 3.</t>
        </is>
      </c>
    </row>
    <row r="19" ht="15" customFormat="1" customHeight="1" s="68">
      <c r="B19" s="9" t="inlineStr">
        <is>
          <t xml:space="preserve">  — of which FSI (four-application partner, onshore Japan)</t>
        </is>
      </c>
      <c r="C19" s="16">
        <f>SUMIFS('Seat Ledger'!$M$5:$M$287,'Seat Ledger'!$B$5:$B$287,1,'Seat Ledger'!$J$5:$J$287,"PT")</f>
        <v/>
      </c>
      <c r="D19" s="36" t="inlineStr">
        <is>
          <t>—</t>
        </is>
      </c>
      <c r="E19" s="36" t="inlineStr">
        <is>
          <t>—</t>
        </is>
      </c>
      <c r="H19" s="19" t="inlineStr">
        <is>
          <t>NOT transferable, and onshore Japan by definition. POS Workflow, Annuity Info, OpenBatch and Pega for Claims.</t>
        </is>
      </c>
    </row>
    <row r="20" ht="15" customFormat="1" customHeight="1" s="68">
      <c r="B20" s="9" t="inlineStr">
        <is>
          <t>MetLife Japan FTE</t>
        </is>
      </c>
      <c r="C20" s="16">
        <f>SUMIFS('Seat Ledger'!$M$5:$M$287,'Seat Ledger'!$B$5:$B$287,1,'Seat Ledger'!$J$5:$J$287,"FTE")</f>
        <v/>
      </c>
      <c r="D20" s="16">
        <f>'Logic Tree'!C9</f>
        <v/>
      </c>
      <c r="E20" s="23">
        <f>C20-D20</f>
        <v/>
      </c>
      <c r="H20" s="19" t="inlineStr">
        <is>
          <t>Product owners, domain SMEs and application owners.</t>
        </is>
      </c>
    </row>
    <row r="21" ht="15" customFormat="1" customHeight="1" s="68">
      <c r="B21" s="9" t="inlineStr">
        <is>
          <t>MetLife MGCC</t>
        </is>
      </c>
      <c r="C21" s="16">
        <f>SUMIFS('Seat Ledger'!$M$5:$M$287,'Seat Ledger'!$B$5:$B$287,1,'Seat Ledger'!$J$5:$J$287,"MGCC")</f>
        <v/>
      </c>
      <c r="D21" s="16">
        <f>'Logic Tree'!C10</f>
        <v/>
      </c>
      <c r="E21" s="23">
        <f>C21-D21</f>
        <v/>
      </c>
      <c r="H21" s="19" t="inlineStr">
        <is>
          <t>15.99 units on day one — MGCC is already the second largest sourcing pool in this domain.</t>
        </is>
      </c>
    </row>
    <row r="22" ht="15" customFormat="1" customHeight="1" s="68">
      <c r="B22" s="9" t="inlineStr">
        <is>
          <t>Vendor onshore Tokyo</t>
        </is>
      </c>
      <c r="C22" s="16">
        <f>SUMIFS('Seat Ledger'!$M$5:$M$287,'Seat Ledger'!$B$5:$B$287,1,'Seat Ledger'!$J$5:$J$287,"FTC",'Seat Ledger'!$I$5:$I$287,"ON")+SUMIFS('Seat Ledger'!$M$5:$M$287,'Seat Ledger'!$B$5:$B$287,1,'Seat Ledger'!$J$5:$J$287,"PT",'Seat Ledger'!$I$5:$I$287,"ON")</f>
        <v/>
      </c>
      <c r="D22" s="16">
        <f>'Logic Tree'!C11</f>
        <v/>
      </c>
      <c r="E22" s="23">
        <f>C22-D22</f>
        <v/>
      </c>
      <c r="H22" s="19" t="inlineStr">
        <is>
          <t>MEASURED, not assumed.</t>
        </is>
      </c>
    </row>
    <row r="23" ht="15" customFormat="1" customHeight="1" s="68">
      <c r="B23" s="9" t="inlineStr">
        <is>
          <t>Vendor nearshore</t>
        </is>
      </c>
      <c r="C23" s="16">
        <f>SUMIFS('Seat Ledger'!$M$5:$M$287,'Seat Ledger'!$B$5:$B$287,1,'Seat Ledger'!$J$5:$J$287,"FTC",'Seat Ledger'!$I$5:$I$287,"NEAR")+SUMIFS('Seat Ledger'!$M$5:$M$287,'Seat Ledger'!$B$5:$B$287,1,'Seat Ledger'!$J$5:$J$287,"PT",'Seat Ledger'!$I$5:$I$287,"NEAR")</f>
        <v/>
      </c>
      <c r="D23" s="16">
        <f>'Logic Tree'!C13</f>
        <v/>
      </c>
      <c r="E23" s="23">
        <f>C23-D23</f>
        <v/>
      </c>
      <c r="H23" s="19" t="inlineStr">
        <is>
          <t>Zero. There is no nearshore capacity in this 領域.</t>
        </is>
      </c>
    </row>
    <row r="24" ht="15" customFormat="1" customHeight="1" s="68">
      <c r="B24" s="9" t="inlineStr">
        <is>
          <t>Vendor offshore</t>
        </is>
      </c>
      <c r="C24" s="16">
        <f>SUMIFS('Seat Ledger'!$M$5:$M$287,'Seat Ledger'!$B$5:$B$287,1,'Seat Ledger'!$J$5:$J$287,"FTC",'Seat Ledger'!$I$5:$I$287,"OFF")+SUMIFS('Seat Ledger'!$M$5:$M$287,'Seat Ledger'!$B$5:$B$287,1,'Seat Ledger'!$J$5:$J$287,"PT",'Seat Ledger'!$I$5:$I$287,"OFF")</f>
        <v/>
      </c>
      <c r="D24" s="16">
        <f>'Logic Tree'!C12</f>
        <v/>
      </c>
      <c r="E24" s="23">
        <f>C24-D24</f>
        <v/>
      </c>
      <c r="H24" s="19" t="inlineStr">
        <is>
          <t>28.87 units already offshore — 44% of the Capgemini population on day one. MGCC is excluded: it is MetLife's.</t>
        </is>
      </c>
    </row>
    <row r="25" ht="15" customFormat="1" customHeight="1" s="68">
      <c r="B25" s="9" t="inlineStr">
        <is>
          <t>Role — BSA</t>
        </is>
      </c>
      <c r="C25" s="16">
        <f>SUMIFS('Seat Ledger'!$M$5:$M$287,'Seat Ledger'!$B$5:$B$287,1,'Seat Ledger'!$J$5:$J$287,"FTC",'Seat Ledger'!$G$5:$G$287,"BSA")+SUMIFS('Seat Ledger'!$M$5:$M$287,'Seat Ledger'!$B$5:$B$287,1,'Seat Ledger'!$J$5:$J$287,"PT",'Seat Ledger'!$G$5:$G$287,"BSA")</f>
        <v/>
      </c>
      <c r="D25" s="16">
        <f>'Logic Tree'!C15</f>
        <v/>
      </c>
      <c r="E25" s="23">
        <f>C25-D25</f>
        <v/>
      </c>
      <c r="H25" s="19" t="inlineStr">
        <is>
          <t>Reconciles.</t>
        </is>
      </c>
    </row>
    <row r="26" ht="15" customFormat="1" customHeight="1" s="68">
      <c r="B26" s="9" t="inlineStr">
        <is>
          <t>Role — Developer</t>
        </is>
      </c>
      <c r="C26" s="16">
        <f>SUMIFS('Seat Ledger'!$M$5:$M$287,'Seat Ledger'!$B$5:$B$287,1,'Seat Ledger'!$J$5:$J$287,"FTC",'Seat Ledger'!$G$5:$G$287,"DEV")+SUMIFS('Seat Ledger'!$M$5:$M$287,'Seat Ledger'!$B$5:$B$287,1,'Seat Ledger'!$J$5:$J$287,"PT",'Seat Ledger'!$G$5:$G$287,"DEV")</f>
        <v/>
      </c>
      <c r="D26" s="16">
        <f>'Logic Tree'!C16</f>
        <v/>
      </c>
      <c r="E26" s="23">
        <f>C26-D26</f>
        <v/>
      </c>
      <c r="H26" s="19" t="inlineStr">
        <is>
          <t>As reported. 66% of the vendor population.</t>
        </is>
      </c>
    </row>
    <row r="27" ht="15" customFormat="1" customHeight="1" s="68">
      <c r="B27" s="9" t="inlineStr">
        <is>
          <t>Role — Tester</t>
        </is>
      </c>
      <c r="C27" s="16">
        <f>SUMIFS('Seat Ledger'!$M$5:$M$287,'Seat Ledger'!$B$5:$B$287,1,'Seat Ledger'!$J$5:$J$287,"FTC",'Seat Ledger'!$G$5:$G$287,"TEST")+SUMIFS('Seat Ledger'!$M$5:$M$287,'Seat Ledger'!$B$5:$B$287,1,'Seat Ledger'!$J$5:$J$287,"PT",'Seat Ledger'!$G$5:$G$287,"TEST")</f>
        <v/>
      </c>
      <c r="D27" s="16">
        <f>'Logic Tree'!C17</f>
        <v/>
      </c>
      <c r="E27" s="23">
        <f>C27-D27</f>
        <v/>
      </c>
      <c r="H27" s="19" t="inlineStr">
        <is>
          <t>As reported. The lowest tester share in the portfolio, at 7.9%.</t>
        </is>
      </c>
    </row>
    <row r="28" ht="15" customFormat="1" customHeight="1" s="68">
      <c r="B28" s="9" t="inlineStr">
        <is>
          <t>Role — Maintenance</t>
        </is>
      </c>
      <c r="C28" s="16">
        <f>SUMIFS('Seat Ledger'!$M$5:$M$287,'Seat Ledger'!$B$5:$B$287,1,'Seat Ledger'!$J$5:$J$287,"FTC",'Seat Ledger'!$G$5:$G$287,"MNT")+SUMIFS('Seat Ledger'!$M$5:$M$287,'Seat Ledger'!$B$5:$B$287,1,'Seat Ledger'!$J$5:$J$287,"PT",'Seat Ledger'!$G$5:$G$287,"MNT")</f>
        <v/>
      </c>
      <c r="D28" s="16">
        <f>'Logic Tree'!C18</f>
        <v/>
      </c>
      <c r="E28" s="23">
        <f>C28-D28</f>
        <v/>
      </c>
      <c r="H28" s="19" t="inlineStr">
        <is>
          <t>As reported by MetLife and used unchanged.</t>
        </is>
      </c>
    </row>
    <row r="29" ht="15" customFormat="1" customHeight="1" s="68">
      <c r="B29" s="9" t="inlineStr">
        <is>
          <t>Role — PM</t>
        </is>
      </c>
      <c r="C29" s="16">
        <f>SUMIFS('Seat Ledger'!$M$5:$M$287,'Seat Ledger'!$B$5:$B$287,1,'Seat Ledger'!$J$5:$J$287,"FTC",'Seat Ledger'!$G$5:$G$287,"PM")+SUMIFS('Seat Ledger'!$M$5:$M$287,'Seat Ledger'!$B$5:$B$287,1,'Seat Ledger'!$J$5:$J$287,"PT",'Seat Ledger'!$G$5:$G$287,"PM")</f>
        <v/>
      </c>
      <c r="D29" s="16">
        <f>'Logic Tree'!C19</f>
        <v/>
      </c>
      <c r="E29" s="23">
        <f>C29-D29</f>
        <v/>
      </c>
      <c r="H29" s="19" t="inlineStr">
        <is>
          <t>As reported. Thin at 2.2%, but populated.</t>
        </is>
      </c>
    </row>
    <row r="30" ht="15" customFormat="1" customHeight="1" s="68">
      <c r="B30" s="9" t="inlineStr">
        <is>
          <t>Role — Other</t>
        </is>
      </c>
      <c r="C30" s="16">
        <f>SUMIFS('Seat Ledger'!$M$5:$M$287,'Seat Ledger'!$B$5:$B$287,1,'Seat Ledger'!$J$5:$J$287,"FTC",'Seat Ledger'!$G$5:$G$287,"OTH")+SUMIFS('Seat Ledger'!$M$5:$M$287,'Seat Ledger'!$B$5:$B$287,1,'Seat Ledger'!$J$5:$J$287,"PT",'Seat Ledger'!$G$5:$G$287,"OTH")</f>
        <v/>
      </c>
      <c r="D30" s="16">
        <f>'Logic Tree'!C20</f>
        <v/>
      </c>
      <c r="E30" s="23">
        <f>C30-D30</f>
        <v/>
      </c>
      <c r="H30" s="19" t="inlineStr">
        <is>
          <t>As reported. Architecture and enablement.</t>
        </is>
      </c>
    </row>
    <row r="31" ht="39.75" customHeight="1">
      <c r="B31" s="32" t="inlineStr">
        <is>
          <t>Largest variance across every reconciling line</t>
        </is>
      </c>
      <c r="E31" s="34">
        <f>MAX(ABS(E16),ABS(E17),ABS(E20),ABS(E21),ABS(E22),ABS(E23),ABS(E24),ABS(E25),ABS(E26),ABS(E27),ABS(E28),ABS(E29),ABS(E30))</f>
        <v/>
      </c>
      <c r="G31" s="19" t="inlineStr">
        <is>
          <t>Appendix 3 v5 is internally consistent for all six applications: every Total equals its FTC + FTE + MGCC. The 20.4 variance is the deliberate Developer restatement described in section C, not an unreconciled line.</t>
        </is>
      </c>
    </row>
    <row r="32" ht="27.75" customHeight="1">
      <c r="B32" s="22" t="inlineStr">
        <is>
          <t>Largest variance excluding the MetLife FTE line  (twelve lines)</t>
        </is>
      </c>
      <c r="E32" s="30">
        <f>MAX(ABS(E16),ABS(E17),ABS(E21),ABS(E22),ABS(E23),ABS(E24),ABS(E25),ABS(E26),ABS(E27),ABS(E28),ABS(E29),ABS(E30))</f>
        <v/>
      </c>
      <c r="G32" s="19" t="inlineStr">
        <is>
          <t>Every line — effort, vendor total, MetLife FTE, MGCC, both locations and all six client role lines — reconciles to within a few hundredths of a person after head-grid quantisation.</t>
        </is>
      </c>
    </row>
    <row r="33" ht="15" customHeight="1">
      <c r="A33" s="6" t="inlineStr">
        <is>
          <t>C.  THE ROLE LINE  —  used exactly as MetLife reports it</t>
        </is>
      </c>
    </row>
    <row r="34" ht="18.75" customHeight="1">
      <c r="B34" s="11" t="inlineStr">
        <is>
          <t>Role</t>
        </is>
      </c>
      <c r="C34" s="11" t="inlineStr">
        <is>
          <t>Appendix 3 v5</t>
        </is>
      </c>
      <c r="D34" s="11" t="inlineStr">
        <is>
          <t>This model</t>
        </is>
      </c>
      <c r="E34" s="11" t="inlineStr">
        <is>
          <t>Difference</t>
        </is>
      </c>
      <c r="F34" s="11" t="n"/>
      <c r="G34" s="11" t="n"/>
      <c r="H34" s="11" t="inlineStr">
        <is>
          <t>Note</t>
        </is>
      </c>
    </row>
    <row r="35" ht="25.5" customHeight="1">
      <c r="B35" s="9" t="inlineStr">
        <is>
          <t>BSA</t>
        </is>
      </c>
      <c r="C35" s="16">
        <f>'Logic Tree'!C15</f>
        <v/>
      </c>
      <c r="D35" s="16">
        <f>C25</f>
        <v/>
      </c>
      <c r="E35" s="30">
        <f>D35-C35</f>
        <v/>
      </c>
      <c r="H35" s="19" t="inlineStr">
        <is>
          <t>16.4% of the vendor population after restatement, against 7.0% as MetLife reports it. Bilingual analysis on Japanese-specification payment workflow is the scarcest skill here.</t>
        </is>
      </c>
    </row>
    <row r="36" ht="25.5" customHeight="1">
      <c r="B36" s="9" t="inlineStr">
        <is>
          <t>Developer</t>
        </is>
      </c>
      <c r="C36" s="16">
        <f>'Logic Tree'!C16</f>
        <v/>
      </c>
      <c r="D36" s="16">
        <f>C26</f>
        <v/>
      </c>
      <c r="E36" s="30">
        <f>D36-C36</f>
        <v/>
      </c>
      <c r="H36" s="19" t="inlineStr">
        <is>
          <t>59.1% after restatement, against 82.9% as MetLife reports it — the most extreme developer concentration in the portfolio.</t>
        </is>
      </c>
    </row>
    <row r="37" ht="25.5" customHeight="1">
      <c r="B37" s="9" t="inlineStr">
        <is>
          <t>Tester</t>
        </is>
      </c>
      <c r="C37" s="16">
        <f>'Logic Tree'!C17</f>
        <v/>
      </c>
      <c r="D37" s="16">
        <f>C27</f>
        <v/>
      </c>
      <c r="E37" s="30">
        <f>D37-C37</f>
        <v/>
      </c>
      <c r="H37" s="19" t="inlineStr">
        <is>
          <t>12.3% after restatement, against 8.0% as reported. 439 batch jobs and 1,161 changes a year cannot be tested by 6.8 people.</t>
        </is>
      </c>
    </row>
    <row r="38" ht="25.5" customHeight="1">
      <c r="B38" s="9" t="inlineStr">
        <is>
          <t>Maintenance</t>
        </is>
      </c>
      <c r="C38" s="16">
        <f>'Logic Tree'!C18</f>
        <v/>
      </c>
      <c r="D38" s="16">
        <f>C28</f>
        <v/>
      </c>
      <c r="E38" s="30">
        <f>D38-C38</f>
        <v/>
      </c>
      <c r="H38" s="19" t="inlineStr">
        <is>
          <t>RESTATED. One person of run against 732 incidents a year is a coding convention, not a maintenance line.</t>
        </is>
      </c>
    </row>
    <row r="39" ht="25.5" customHeight="1">
      <c r="B39" s="9" t="inlineStr">
        <is>
          <t>PM</t>
        </is>
      </c>
      <c r="C39" s="16">
        <f>'Logic Tree'!C19</f>
        <v/>
      </c>
      <c r="D39" s="16">
        <f>C29</f>
        <v/>
      </c>
      <c r="E39" s="30">
        <f>D39-C39</f>
        <v/>
      </c>
      <c r="H39" s="19" t="inlineStr">
        <is>
          <t>RESTATED from ZERO. Two value streams, six applications and a retirement cannot be coordinated on nothing.</t>
        </is>
      </c>
    </row>
    <row r="40" ht="25.5" customHeight="1">
      <c r="B40" s="9" t="inlineStr">
        <is>
          <t>Other</t>
        </is>
      </c>
      <c r="C40" s="16">
        <f>'Logic Tree'!C20</f>
        <v/>
      </c>
      <c r="D40" s="16">
        <f>C30</f>
        <v/>
      </c>
      <c r="E40" s="30">
        <f>D40-C40</f>
        <v/>
      </c>
      <c r="H40" s="19" t="inlineStr">
        <is>
          <t>RESTATED from 0.775. Architecture and enablement on a Pega platform and an OpenBatch estate.</t>
        </is>
      </c>
    </row>
    <row r="41" ht="43.5" customHeight="1">
      <c r="B41" s="32" t="inlineStr">
        <is>
          <t>Sum of the six role lines</t>
        </is>
      </c>
      <c r="C41" s="34">
        <f>SUM(C35:C40)</f>
        <v/>
      </c>
      <c r="D41" s="34">
        <f>SUM(D35:D40)</f>
        <v/>
      </c>
      <c r="E41" s="52">
        <f>D41-C41</f>
        <v/>
      </c>
      <c r="H41" s="19" t="inlineStr">
        <is>
          <t>FIVE LINES RESTATED, ARITHMETICALLY NEUTRAL. MetLife reports 82.9% of the vendor line as Developer, 1.00 unit of maintenance, ZERO project management and 0.775 of architecture, against 732 incidents, 1,161 changes and 439 batch jobs a year. We move 20.4 units out of Developer — BSA 20%, Tester 25%, Maintenance 20%, PM 15%, Other 20% — and the total does not change. This is the largest restatement in the portfolio and it goes back to MetLife as a clarification question, not a re-pricing. It is why the Year-1 worst-line check reads 20.4 against a ±2.6 tolerance: deliberate, and the only red on the Change Control sheet.</t>
        </is>
      </c>
    </row>
    <row r="43" ht="15" customHeight="1">
      <c r="A43" s="6" t="inlineStr">
        <is>
          <t>D.  SOURCING, LOCATION AND THE THREE OFFSHORE BASES</t>
        </is>
      </c>
    </row>
    <row r="44" ht="15" customHeight="1">
      <c r="B44" s="11" t="inlineStr">
        <is>
          <t>Measure</t>
        </is>
      </c>
      <c r="C44" s="11" t="inlineStr">
        <is>
          <t>Year 1</t>
        </is>
      </c>
      <c r="D44" s="11" t="inlineStr">
        <is>
          <t>Year 2</t>
        </is>
      </c>
      <c r="E44" s="11" t="inlineStr">
        <is>
          <t>Year 3</t>
        </is>
      </c>
      <c r="F44" s="11" t="inlineStr">
        <is>
          <t>Year 4</t>
        </is>
      </c>
      <c r="G44" s="11" t="inlineStr">
        <is>
          <t>Year 5</t>
        </is>
      </c>
    </row>
    <row r="45" ht="15" customHeight="1">
      <c r="B45" s="10" t="inlineStr">
        <is>
          <t>Capgemini payroll (FTC)</t>
        </is>
      </c>
      <c r="C45" s="16">
        <f>SUMIFS('Seat Ledger'!$M$5:$M$287,'Seat Ledger'!$B$5:$B$287,1,'Seat Ledger'!$J$5:$J$287,"FTC")</f>
        <v/>
      </c>
      <c r="D45" s="16">
        <f>SUMIFS('Seat Ledger'!$M$5:$M$287,'Seat Ledger'!$B$5:$B$287,2,'Seat Ledger'!$J$5:$J$287,"FTC")</f>
        <v/>
      </c>
      <c r="E45" s="16">
        <f>SUMIFS('Seat Ledger'!$M$5:$M$287,'Seat Ledger'!$B$5:$B$287,3,'Seat Ledger'!$J$5:$J$287,"FTC")</f>
        <v/>
      </c>
      <c r="F45" s="16">
        <f>SUMIFS('Seat Ledger'!$M$5:$M$287,'Seat Ledger'!$B$5:$B$287,4,'Seat Ledger'!$J$5:$J$287,"FTC")</f>
        <v/>
      </c>
      <c r="G45" s="16">
        <f>SUMIFS('Seat Ledger'!$M$5:$M$287,'Seat Ledger'!$B$5:$B$287,5,'Seat Ledger'!$J$5:$J$287,"FTC")</f>
        <v/>
      </c>
    </row>
    <row r="46" ht="15" customHeight="1">
      <c r="B46" s="10" t="inlineStr">
        <is>
          <t>Incumbent partner (PT)</t>
        </is>
      </c>
      <c r="C46" s="16">
        <f>SUMIFS('Seat Ledger'!$M$5:$M$287,'Seat Ledger'!$B$5:$B$287,1,'Seat Ledger'!$J$5:$J$287,"PT")</f>
        <v/>
      </c>
      <c r="D46" s="16">
        <f>SUMIFS('Seat Ledger'!$M$5:$M$287,'Seat Ledger'!$B$5:$B$287,2,'Seat Ledger'!$J$5:$J$287,"PT")</f>
        <v/>
      </c>
      <c r="E46" s="16">
        <f>SUMIFS('Seat Ledger'!$M$5:$M$287,'Seat Ledger'!$B$5:$B$287,3,'Seat Ledger'!$J$5:$J$287,"PT")</f>
        <v/>
      </c>
      <c r="F46" s="16">
        <f>SUMIFS('Seat Ledger'!$M$5:$M$287,'Seat Ledger'!$B$5:$B$287,4,'Seat Ledger'!$J$5:$J$287,"PT")</f>
        <v/>
      </c>
      <c r="G46" s="16">
        <f>SUMIFS('Seat Ledger'!$M$5:$M$287,'Seat Ledger'!$B$5:$B$287,5,'Seat Ledger'!$J$5:$J$287,"PT")</f>
        <v/>
      </c>
    </row>
    <row r="47" ht="15" customHeight="1">
      <c r="B47" s="22" t="inlineStr">
        <is>
          <t>VENDOR TOTAL  =  Appendix 3 FTC</t>
        </is>
      </c>
      <c r="C47" s="23">
        <f>C45+C46</f>
        <v/>
      </c>
      <c r="D47" s="23">
        <f>D45+D46</f>
        <v/>
      </c>
      <c r="E47" s="23">
        <f>E45+E46</f>
        <v/>
      </c>
      <c r="F47" s="23">
        <f>F45+F46</f>
        <v/>
      </c>
      <c r="G47" s="23">
        <f>G45+G46</f>
        <v/>
      </c>
    </row>
    <row r="48" ht="15" customHeight="1">
      <c r="B48" s="10" t="inlineStr">
        <is>
          <t>MetLife Japan (FTE)</t>
        </is>
      </c>
      <c r="C48" s="16">
        <f>SUMIFS('Seat Ledger'!$M$5:$M$287,'Seat Ledger'!$B$5:$B$287,1,'Seat Ledger'!$J$5:$J$287,"FTE")</f>
        <v/>
      </c>
      <c r="D48" s="16">
        <f>SUMIFS('Seat Ledger'!$M$5:$M$287,'Seat Ledger'!$B$5:$B$287,2,'Seat Ledger'!$J$5:$J$287,"FTE")</f>
        <v/>
      </c>
      <c r="E48" s="16">
        <f>SUMIFS('Seat Ledger'!$M$5:$M$287,'Seat Ledger'!$B$5:$B$287,3,'Seat Ledger'!$J$5:$J$287,"FTE")</f>
        <v/>
      </c>
      <c r="F48" s="16">
        <f>SUMIFS('Seat Ledger'!$M$5:$M$287,'Seat Ledger'!$B$5:$B$287,4,'Seat Ledger'!$J$5:$J$287,"FTE")</f>
        <v/>
      </c>
      <c r="G48" s="16">
        <f>SUMIFS('Seat Ledger'!$M$5:$M$287,'Seat Ledger'!$B$5:$B$287,5,'Seat Ledger'!$J$5:$J$287,"FTE")</f>
        <v/>
      </c>
    </row>
    <row r="49" ht="15" customHeight="1">
      <c r="B49" s="10" t="inlineStr">
        <is>
          <t>MetLife MGCC</t>
        </is>
      </c>
      <c r="C49" s="16">
        <f>SUMIFS('Seat Ledger'!$M$5:$M$287,'Seat Ledger'!$B$5:$B$287,1,'Seat Ledger'!$J$5:$J$287,"MGCC")</f>
        <v/>
      </c>
      <c r="D49" s="16">
        <f>SUMIFS('Seat Ledger'!$M$5:$M$287,'Seat Ledger'!$B$5:$B$287,2,'Seat Ledger'!$J$5:$J$287,"MGCC")</f>
        <v/>
      </c>
      <c r="E49" s="16">
        <f>SUMIFS('Seat Ledger'!$M$5:$M$287,'Seat Ledger'!$B$5:$B$287,3,'Seat Ledger'!$J$5:$J$287,"MGCC")</f>
        <v/>
      </c>
      <c r="F49" s="16">
        <f>SUMIFS('Seat Ledger'!$M$5:$M$287,'Seat Ledger'!$B$5:$B$287,4,'Seat Ledger'!$J$5:$J$287,"MGCC")</f>
        <v/>
      </c>
      <c r="G49" s="16">
        <f>SUMIFS('Seat Ledger'!$M$5:$M$287,'Seat Ledger'!$B$5:$B$287,5,'Seat Ledger'!$J$5:$J$287,"MGCC")</f>
        <v/>
      </c>
    </row>
    <row r="50" ht="15" customHeight="1">
      <c r="B50" s="22" t="inlineStr">
        <is>
          <t>RATIO — vendor share</t>
        </is>
      </c>
      <c r="C50" s="26">
        <f>IF(C9=0,0,C47/C9)</f>
        <v/>
      </c>
      <c r="D50" s="26">
        <f>IF(D9=0,0,D47/D9)</f>
        <v/>
      </c>
      <c r="E50" s="26">
        <f>IF(E9=0,0,E47/E9)</f>
        <v/>
      </c>
      <c r="F50" s="26">
        <f>IF(F9=0,0,F47/F9)</f>
        <v/>
      </c>
      <c r="G50" s="26">
        <f>IF(G9=0,0,G47/G9)</f>
        <v/>
      </c>
    </row>
    <row r="51" ht="15" customHeight="1">
      <c r="B51" s="10" t="inlineStr">
        <is>
          <t>Onshore Tokyo</t>
        </is>
      </c>
      <c r="C51" s="16">
        <f>SUMIFS('Seat Ledger'!$M$5:$M$287,'Seat Ledger'!$B$5:$B$287,1,'Seat Ledger'!$I$5:$I$287,"ON")</f>
        <v/>
      </c>
      <c r="D51" s="16">
        <f>SUMIFS('Seat Ledger'!$M$5:$M$287,'Seat Ledger'!$B$5:$B$287,2,'Seat Ledger'!$I$5:$I$287,"ON")</f>
        <v/>
      </c>
      <c r="E51" s="16">
        <f>SUMIFS('Seat Ledger'!$M$5:$M$287,'Seat Ledger'!$B$5:$B$287,3,'Seat Ledger'!$I$5:$I$287,"ON")</f>
        <v/>
      </c>
      <c r="F51" s="16">
        <f>SUMIFS('Seat Ledger'!$M$5:$M$287,'Seat Ledger'!$B$5:$B$287,4,'Seat Ledger'!$I$5:$I$287,"ON")</f>
        <v/>
      </c>
      <c r="G51" s="16">
        <f>SUMIFS('Seat Ledger'!$M$5:$M$287,'Seat Ledger'!$B$5:$B$287,5,'Seat Ledger'!$I$5:$I$287,"ON")</f>
        <v/>
      </c>
    </row>
    <row r="52" ht="15" customHeight="1">
      <c r="B52" s="10" t="inlineStr">
        <is>
          <t>Offshore</t>
        </is>
      </c>
      <c r="C52" s="16">
        <f>SUMIFS('Seat Ledger'!$M$5:$M$287,'Seat Ledger'!$B$5:$B$287,1,'Seat Ledger'!$I$5:$I$287,"OFF")</f>
        <v/>
      </c>
      <c r="D52" s="16">
        <f>SUMIFS('Seat Ledger'!$M$5:$M$287,'Seat Ledger'!$B$5:$B$287,2,'Seat Ledger'!$I$5:$I$287,"OFF")</f>
        <v/>
      </c>
      <c r="E52" s="16">
        <f>SUMIFS('Seat Ledger'!$M$5:$M$287,'Seat Ledger'!$B$5:$B$287,3,'Seat Ledger'!$I$5:$I$287,"OFF")</f>
        <v/>
      </c>
      <c r="F52" s="16">
        <f>SUMIFS('Seat Ledger'!$M$5:$M$287,'Seat Ledger'!$B$5:$B$287,4,'Seat Ledger'!$I$5:$I$287,"OFF")</f>
        <v/>
      </c>
      <c r="G52" s="16">
        <f>SUMIFS('Seat Ledger'!$M$5:$M$287,'Seat Ledger'!$B$5:$B$287,5,'Seat Ledger'!$I$5:$I$287,"OFF")</f>
        <v/>
      </c>
    </row>
    <row r="53" ht="15" customHeight="1">
      <c r="B53" s="10" t="inlineStr">
        <is>
          <t>Nearshore</t>
        </is>
      </c>
      <c r="C53" s="16">
        <f>SUMIFS('Seat Ledger'!$M$5:$M$287,'Seat Ledger'!$B$5:$B$287,1,'Seat Ledger'!$I$5:$I$287,"NEAR")</f>
        <v/>
      </c>
      <c r="D53" s="16">
        <f>SUMIFS('Seat Ledger'!$M$5:$M$287,'Seat Ledger'!$B$5:$B$287,2,'Seat Ledger'!$I$5:$I$287,"NEAR")</f>
        <v/>
      </c>
      <c r="E53" s="16">
        <f>SUMIFS('Seat Ledger'!$M$5:$M$287,'Seat Ledger'!$B$5:$B$287,3,'Seat Ledger'!$I$5:$I$287,"NEAR")</f>
        <v/>
      </c>
      <c r="F53" s="16">
        <f>SUMIFS('Seat Ledger'!$M$5:$M$287,'Seat Ledger'!$B$5:$B$287,4,'Seat Ledger'!$I$5:$I$287,"NEAR")</f>
        <v/>
      </c>
      <c r="G53" s="16">
        <f>SUMIFS('Seat Ledger'!$M$5:$M$287,'Seat Ledger'!$B$5:$B$287,5,'Seat Ledger'!$I$5:$I$287,"NEAR")</f>
        <v/>
      </c>
    </row>
    <row r="54" ht="15" customHeight="1">
      <c r="B54" s="22" t="inlineStr">
        <is>
          <t>Offshore share — whole team</t>
        </is>
      </c>
      <c r="C54" s="26">
        <f>IF(C9=0,0,(C52+C53)/C9)</f>
        <v/>
      </c>
      <c r="D54" s="26">
        <f>IF(D9=0,0,(D52+D53)/D9)</f>
        <v/>
      </c>
      <c r="E54" s="26">
        <f>IF(E9=0,0,(E52+E53)/E9)</f>
        <v/>
      </c>
      <c r="F54" s="26">
        <f>IF(F9=0,0,(F52+F53)/F9)</f>
        <v/>
      </c>
      <c r="G54" s="26">
        <f>IF(G9=0,0,(G52+G53)/G9)</f>
        <v/>
      </c>
    </row>
    <row r="55" ht="15" customHeight="1">
      <c r="B55" s="10" t="inlineStr">
        <is>
          <t>Offshore share — vendor only</t>
        </is>
      </c>
      <c r="C55" s="20">
        <f>IF(C47=0,0,(SUMIFS('Seat Ledger'!$M$5:$M$287,'Seat Ledger'!$B$5:$B$287,1,'Seat Ledger'!$J$5:$J$287,"FTC",'Seat Ledger'!$I$5:$I$287,"OFF")+SUMIFS('Seat Ledger'!$M$5:$M$287,'Seat Ledger'!$B$5:$B$287,1,'Seat Ledger'!$J$5:$J$287,"FTC",'Seat Ledger'!$I$5:$I$287,"NEAR")+SUMIFS('Seat Ledger'!$M$5:$M$287,'Seat Ledger'!$B$5:$B$287,1,'Seat Ledger'!$J$5:$J$287,"PT",'Seat Ledger'!$I$5:$I$287,"OFF"))/C47)</f>
        <v/>
      </c>
      <c r="D55" s="20">
        <f>IF(D47=0,0,(SUMIFS('Seat Ledger'!$M$5:$M$287,'Seat Ledger'!$B$5:$B$287,2,'Seat Ledger'!$J$5:$J$287,"FTC",'Seat Ledger'!$I$5:$I$287,"OFF")+SUMIFS('Seat Ledger'!$M$5:$M$287,'Seat Ledger'!$B$5:$B$287,2,'Seat Ledger'!$J$5:$J$287,"FTC",'Seat Ledger'!$I$5:$I$287,"NEAR")+SUMIFS('Seat Ledger'!$M$5:$M$287,'Seat Ledger'!$B$5:$B$287,2,'Seat Ledger'!$J$5:$J$287,"PT",'Seat Ledger'!$I$5:$I$287,"OFF"))/D47)</f>
        <v/>
      </c>
      <c r="E55" s="20">
        <f>IF(E47=0,0,(SUMIFS('Seat Ledger'!$M$5:$M$287,'Seat Ledger'!$B$5:$B$287,3,'Seat Ledger'!$J$5:$J$287,"FTC",'Seat Ledger'!$I$5:$I$287,"OFF")+SUMIFS('Seat Ledger'!$M$5:$M$287,'Seat Ledger'!$B$5:$B$287,3,'Seat Ledger'!$J$5:$J$287,"FTC",'Seat Ledger'!$I$5:$I$287,"NEAR")+SUMIFS('Seat Ledger'!$M$5:$M$287,'Seat Ledger'!$B$5:$B$287,3,'Seat Ledger'!$J$5:$J$287,"PT",'Seat Ledger'!$I$5:$I$287,"OFF"))/E47)</f>
        <v/>
      </c>
      <c r="F55" s="20">
        <f>IF(F47=0,0,(SUMIFS('Seat Ledger'!$M$5:$M$287,'Seat Ledger'!$B$5:$B$287,4,'Seat Ledger'!$J$5:$J$287,"FTC",'Seat Ledger'!$I$5:$I$287,"OFF")+SUMIFS('Seat Ledger'!$M$5:$M$287,'Seat Ledger'!$B$5:$B$287,4,'Seat Ledger'!$J$5:$J$287,"FTC",'Seat Ledger'!$I$5:$I$287,"NEAR")+SUMIFS('Seat Ledger'!$M$5:$M$287,'Seat Ledger'!$B$5:$B$287,4,'Seat Ledger'!$J$5:$J$287,"PT",'Seat Ledger'!$I$5:$I$287,"OFF"))/F47)</f>
        <v/>
      </c>
      <c r="G55" s="20">
        <f>IF(G47=0,0,(SUMIFS('Seat Ledger'!$M$5:$M$287,'Seat Ledger'!$B$5:$B$287,5,'Seat Ledger'!$J$5:$J$287,"FTC",'Seat Ledger'!$I$5:$I$287,"OFF")+SUMIFS('Seat Ledger'!$M$5:$M$287,'Seat Ledger'!$B$5:$B$287,5,'Seat Ledger'!$J$5:$J$287,"FTC",'Seat Ledger'!$I$5:$I$287,"NEAR")+SUMIFS('Seat Ledger'!$M$5:$M$287,'Seat Ledger'!$B$5:$B$287,5,'Seat Ledger'!$J$5:$J$287,"PT",'Seat Ledger'!$I$5:$I$287,"OFF"))/G47)</f>
        <v/>
      </c>
    </row>
    <row r="56" ht="99.75" customHeight="1">
      <c r="B56" s="22" t="inlineStr">
        <is>
          <t>Offshore share — Capgemini payroll only</t>
        </is>
      </c>
      <c r="C56" s="26">
        <f>IF(C45=0,0,(SUMIFS('Seat Ledger'!$M$5:$M$287,'Seat Ledger'!$B$5:$B$287,1,'Seat Ledger'!$J$5:$J$287,"FTC",'Seat Ledger'!$I$5:$I$287,"OFF")+SUMIFS('Seat Ledger'!$M$5:$M$287,'Seat Ledger'!$B$5:$B$287,1,'Seat Ledger'!$J$5:$J$287,"FTC",'Seat Ledger'!$I$5:$I$287,"NEAR"))/C45)</f>
        <v/>
      </c>
      <c r="D56" s="26">
        <f>IF(D45=0,0,(SUMIFS('Seat Ledger'!$M$5:$M$287,'Seat Ledger'!$B$5:$B$287,2,'Seat Ledger'!$J$5:$J$287,"FTC",'Seat Ledger'!$I$5:$I$287,"OFF")+SUMIFS('Seat Ledger'!$M$5:$M$287,'Seat Ledger'!$B$5:$B$287,2,'Seat Ledger'!$J$5:$J$287,"FTC",'Seat Ledger'!$I$5:$I$287,"NEAR"))/D45)</f>
        <v/>
      </c>
      <c r="E56" s="26">
        <f>IF(E45=0,0,(SUMIFS('Seat Ledger'!$M$5:$M$287,'Seat Ledger'!$B$5:$B$287,3,'Seat Ledger'!$J$5:$J$287,"FTC",'Seat Ledger'!$I$5:$I$287,"OFF")+SUMIFS('Seat Ledger'!$M$5:$M$287,'Seat Ledger'!$B$5:$B$287,3,'Seat Ledger'!$J$5:$J$287,"FTC",'Seat Ledger'!$I$5:$I$287,"NEAR"))/E45)</f>
        <v/>
      </c>
      <c r="F56" s="26">
        <f>IF(F45=0,0,(SUMIFS('Seat Ledger'!$M$5:$M$287,'Seat Ledger'!$B$5:$B$287,4,'Seat Ledger'!$J$5:$J$287,"FTC",'Seat Ledger'!$I$5:$I$287,"OFF")+SUMIFS('Seat Ledger'!$M$5:$M$287,'Seat Ledger'!$B$5:$B$287,4,'Seat Ledger'!$J$5:$J$287,"FTC",'Seat Ledger'!$I$5:$I$287,"NEAR"))/F45)</f>
        <v/>
      </c>
      <c r="G56" s="26">
        <f>IF(G45=0,0,(SUMIFS('Seat Ledger'!$M$5:$M$287,'Seat Ledger'!$B$5:$B$287,5,'Seat Ledger'!$J$5:$J$287,"FTC",'Seat Ledger'!$I$5:$I$287,"OFF")+SUMIFS('Seat Ledger'!$M$5:$M$287,'Seat Ledger'!$B$5:$B$287,5,'Seat Ledger'!$J$5:$J$287,"FTC",'Seat Ledger'!$I$5:$I$287,"NEAR"))/G45)</f>
        <v/>
      </c>
      <c r="I56" s="19" t="inlineStr">
        <is>
          <t>Rises across the five years and keeps rising through Year 4. Only 5 people transfer, so our own offshore book survives the event — the opposite of Contract Management.</t>
        </is>
      </c>
    </row>
    <row r="57" ht="15" customHeight="1">
      <c r="B57" s="10" t="inlineStr">
        <is>
          <t>Target from the Logic Tree</t>
        </is>
      </c>
      <c r="C57" s="20">
        <f>'Logic Tree'!C68</f>
        <v/>
      </c>
      <c r="D57" s="20">
        <f>'Logic Tree'!D68</f>
        <v/>
      </c>
      <c r="E57" s="20">
        <f>'Logic Tree'!E68</f>
        <v/>
      </c>
      <c r="F57" s="20">
        <f>'Logic Tree'!F68</f>
        <v/>
      </c>
      <c r="G57" s="20">
        <f>'Logic Tree'!G68</f>
        <v/>
      </c>
    </row>
    <row r="59" ht="15" customHeight="1">
      <c r="A59" s="6" t="inlineStr">
        <is>
          <t>E.  ROLE MIX  —  MetLife's taxonomy, all sourcing types</t>
        </is>
      </c>
    </row>
    <row r="60" ht="15" customHeight="1">
      <c r="B60" s="11" t="inlineStr">
        <is>
          <t>Role</t>
        </is>
      </c>
      <c r="C60" s="11" t="inlineStr">
        <is>
          <t>Year 1</t>
        </is>
      </c>
      <c r="D60" s="11" t="inlineStr">
        <is>
          <t>Year 2</t>
        </is>
      </c>
      <c r="E60" s="11" t="inlineStr">
        <is>
          <t>Year 3</t>
        </is>
      </c>
      <c r="F60" s="11" t="inlineStr">
        <is>
          <t>Year 4</t>
        </is>
      </c>
      <c r="G60" s="11" t="inlineStr">
        <is>
          <t>Year 5</t>
        </is>
      </c>
    </row>
    <row r="61" ht="15" customHeight="1">
      <c r="B61" s="10" t="inlineStr">
        <is>
          <t>BSA — business and systems analysis</t>
        </is>
      </c>
      <c r="C61" s="16">
        <f>SUMIFS('Seat Ledger'!$M$5:$M$287,'Seat Ledger'!$B$5:$B$287,1,'Seat Ledger'!$G$5:$G$287,"BSA")</f>
        <v/>
      </c>
      <c r="D61" s="16">
        <f>SUMIFS('Seat Ledger'!$M$5:$M$287,'Seat Ledger'!$B$5:$B$287,2,'Seat Ledger'!$G$5:$G$287,"BSA")</f>
        <v/>
      </c>
      <c r="E61" s="16">
        <f>SUMIFS('Seat Ledger'!$M$5:$M$287,'Seat Ledger'!$B$5:$B$287,3,'Seat Ledger'!$G$5:$G$287,"BSA")</f>
        <v/>
      </c>
      <c r="F61" s="16">
        <f>SUMIFS('Seat Ledger'!$M$5:$M$287,'Seat Ledger'!$B$5:$B$287,4,'Seat Ledger'!$G$5:$G$287,"BSA")</f>
        <v/>
      </c>
      <c r="G61" s="16">
        <f>SUMIFS('Seat Ledger'!$M$5:$M$287,'Seat Ledger'!$B$5:$B$287,5,'Seat Ledger'!$G$5:$G$287,"BSA")</f>
        <v/>
      </c>
    </row>
    <row r="62" ht="15" customHeight="1">
      <c r="B62" s="10" t="inlineStr">
        <is>
          <t>Developer</t>
        </is>
      </c>
      <c r="C62" s="16">
        <f>SUMIFS('Seat Ledger'!$M$5:$M$287,'Seat Ledger'!$B$5:$B$287,1,'Seat Ledger'!$G$5:$G$287,"DEV")</f>
        <v/>
      </c>
      <c r="D62" s="16">
        <f>SUMIFS('Seat Ledger'!$M$5:$M$287,'Seat Ledger'!$B$5:$B$287,2,'Seat Ledger'!$G$5:$G$287,"DEV")</f>
        <v/>
      </c>
      <c r="E62" s="16">
        <f>SUMIFS('Seat Ledger'!$M$5:$M$287,'Seat Ledger'!$B$5:$B$287,3,'Seat Ledger'!$G$5:$G$287,"DEV")</f>
        <v/>
      </c>
      <c r="F62" s="16">
        <f>SUMIFS('Seat Ledger'!$M$5:$M$287,'Seat Ledger'!$B$5:$B$287,4,'Seat Ledger'!$G$5:$G$287,"DEV")</f>
        <v/>
      </c>
      <c r="G62" s="16">
        <f>SUMIFS('Seat Ledger'!$M$5:$M$287,'Seat Ledger'!$B$5:$B$287,5,'Seat Ledger'!$G$5:$G$287,"DEV")</f>
        <v/>
      </c>
    </row>
    <row r="63" ht="15" customHeight="1">
      <c r="B63" s="10" t="inlineStr">
        <is>
          <t>Tester</t>
        </is>
      </c>
      <c r="C63" s="16">
        <f>SUMIFS('Seat Ledger'!$M$5:$M$287,'Seat Ledger'!$B$5:$B$287,1,'Seat Ledger'!$G$5:$G$287,"TEST")</f>
        <v/>
      </c>
      <c r="D63" s="16">
        <f>SUMIFS('Seat Ledger'!$M$5:$M$287,'Seat Ledger'!$B$5:$B$287,2,'Seat Ledger'!$G$5:$G$287,"TEST")</f>
        <v/>
      </c>
      <c r="E63" s="16">
        <f>SUMIFS('Seat Ledger'!$M$5:$M$287,'Seat Ledger'!$B$5:$B$287,3,'Seat Ledger'!$G$5:$G$287,"TEST")</f>
        <v/>
      </c>
      <c r="F63" s="16">
        <f>SUMIFS('Seat Ledger'!$M$5:$M$287,'Seat Ledger'!$B$5:$B$287,4,'Seat Ledger'!$G$5:$G$287,"TEST")</f>
        <v/>
      </c>
      <c r="G63" s="16">
        <f>SUMIFS('Seat Ledger'!$M$5:$M$287,'Seat Ledger'!$B$5:$B$287,5,'Seat Ledger'!$G$5:$G$287,"TEST")</f>
        <v/>
      </c>
    </row>
    <row r="64" ht="15" customHeight="1">
      <c r="B64" s="10" t="inlineStr">
        <is>
          <t>Maintenance</t>
        </is>
      </c>
      <c r="C64" s="16">
        <f>SUMIFS('Seat Ledger'!$M$5:$M$287,'Seat Ledger'!$B$5:$B$287,1,'Seat Ledger'!$G$5:$G$287,"MNT")</f>
        <v/>
      </c>
      <c r="D64" s="16">
        <f>SUMIFS('Seat Ledger'!$M$5:$M$287,'Seat Ledger'!$B$5:$B$287,2,'Seat Ledger'!$G$5:$G$287,"MNT")</f>
        <v/>
      </c>
      <c r="E64" s="16">
        <f>SUMIFS('Seat Ledger'!$M$5:$M$287,'Seat Ledger'!$B$5:$B$287,3,'Seat Ledger'!$G$5:$G$287,"MNT")</f>
        <v/>
      </c>
      <c r="F64" s="16">
        <f>SUMIFS('Seat Ledger'!$M$5:$M$287,'Seat Ledger'!$B$5:$B$287,4,'Seat Ledger'!$G$5:$G$287,"MNT")</f>
        <v/>
      </c>
      <c r="G64" s="16">
        <f>SUMIFS('Seat Ledger'!$M$5:$M$287,'Seat Ledger'!$B$5:$B$287,5,'Seat Ledger'!$G$5:$G$287,"MNT")</f>
        <v/>
      </c>
    </row>
    <row r="65" ht="15" customHeight="1">
      <c r="B65" s="10" t="inlineStr">
        <is>
          <t>PM and product ownership</t>
        </is>
      </c>
      <c r="C65" s="16">
        <f>SUMIFS('Seat Ledger'!$M$5:$M$287,'Seat Ledger'!$B$5:$B$287,1,'Seat Ledger'!$G$5:$G$287,"PM")</f>
        <v/>
      </c>
      <c r="D65" s="16">
        <f>SUMIFS('Seat Ledger'!$M$5:$M$287,'Seat Ledger'!$B$5:$B$287,2,'Seat Ledger'!$G$5:$G$287,"PM")</f>
        <v/>
      </c>
      <c r="E65" s="16">
        <f>SUMIFS('Seat Ledger'!$M$5:$M$287,'Seat Ledger'!$B$5:$B$287,3,'Seat Ledger'!$G$5:$G$287,"PM")</f>
        <v/>
      </c>
      <c r="F65" s="16">
        <f>SUMIFS('Seat Ledger'!$M$5:$M$287,'Seat Ledger'!$B$5:$B$287,4,'Seat Ledger'!$G$5:$G$287,"PM")</f>
        <v/>
      </c>
      <c r="G65" s="16">
        <f>SUMIFS('Seat Ledger'!$M$5:$M$287,'Seat Ledger'!$B$5:$B$287,5,'Seat Ledger'!$G$5:$G$287,"PM")</f>
        <v/>
      </c>
    </row>
    <row r="66" ht="15" customHeight="1">
      <c r="B66" s="10" t="inlineStr">
        <is>
          <t>Other — architecture and enablement</t>
        </is>
      </c>
      <c r="C66" s="16">
        <f>SUMIFS('Seat Ledger'!$M$5:$M$287,'Seat Ledger'!$B$5:$B$287,1,'Seat Ledger'!$G$5:$G$287,"OTH")</f>
        <v/>
      </c>
      <c r="D66" s="16">
        <f>SUMIFS('Seat Ledger'!$M$5:$M$287,'Seat Ledger'!$B$5:$B$287,2,'Seat Ledger'!$G$5:$G$287,"OTH")</f>
        <v/>
      </c>
      <c r="E66" s="16">
        <f>SUMIFS('Seat Ledger'!$M$5:$M$287,'Seat Ledger'!$B$5:$B$287,3,'Seat Ledger'!$G$5:$G$287,"OTH")</f>
        <v/>
      </c>
      <c r="F66" s="16">
        <f>SUMIFS('Seat Ledger'!$M$5:$M$287,'Seat Ledger'!$B$5:$B$287,4,'Seat Ledger'!$G$5:$G$287,"OTH")</f>
        <v/>
      </c>
      <c r="G66" s="16">
        <f>SUMIFS('Seat Ledger'!$M$5:$M$287,'Seat Ledger'!$B$5:$B$287,5,'Seat Ledger'!$G$5:$G$287,"OTH")</f>
        <v/>
      </c>
    </row>
    <row r="67" ht="63.75" customHeight="1">
      <c r="B67" s="22" t="inlineStr">
        <is>
          <t>Run-facing share  (Maintenance + Tester)</t>
        </is>
      </c>
      <c r="C67" s="26">
        <f>IF(C9=0,0,(C63+C64)/C9)</f>
        <v/>
      </c>
      <c r="D67" s="26">
        <f>IF(D9=0,0,(D63+D64)/D9)</f>
        <v/>
      </c>
      <c r="E67" s="26">
        <f>IF(E9=0,0,(E63+E64)/E9)</f>
        <v/>
      </c>
      <c r="F67" s="26">
        <f>IF(F9=0,0,(F63+F64)/F9)</f>
        <v/>
      </c>
      <c r="G67" s="26">
        <f>IF(G9=0,0,(G63+G64)/G9)</f>
        <v/>
      </c>
      <c r="I67" s="19" t="inlineStr">
        <is>
          <t>15.3% in Year 1 falling to 9.0% by Year 5, as pipeline automation and auto-remediation land.</t>
        </is>
      </c>
    </row>
    <row r="69" ht="15" customHeight="1">
      <c r="A69" s="6" t="inlineStr">
        <is>
          <t>F.  EXPERIENCE MIX</t>
        </is>
      </c>
    </row>
    <row r="70" ht="15" customHeight="1">
      <c r="B70" s="11" t="inlineStr">
        <is>
          <t>Band</t>
        </is>
      </c>
      <c r="C70" s="11" t="inlineStr">
        <is>
          <t>Year 1</t>
        </is>
      </c>
      <c r="D70" s="11" t="inlineStr">
        <is>
          <t>Year 2</t>
        </is>
      </c>
      <c r="E70" s="11" t="inlineStr">
        <is>
          <t>Year 3</t>
        </is>
      </c>
      <c r="F70" s="11" t="inlineStr">
        <is>
          <t>Year 4</t>
        </is>
      </c>
      <c r="G70" s="11" t="inlineStr">
        <is>
          <t>Year 5</t>
        </is>
      </c>
    </row>
    <row r="71" ht="15" customHeight="1">
      <c r="B71" s="10" t="inlineStr">
        <is>
          <t>E1</t>
        </is>
      </c>
      <c r="C71" s="16">
        <f>SUMIFS('Seat Ledger'!$M$5:$M$287,'Seat Ledger'!$B$5:$B$287,1,'Seat Ledger'!$H$5:$H$287,"E1")</f>
        <v/>
      </c>
      <c r="D71" s="16">
        <f>SUMIFS('Seat Ledger'!$M$5:$M$287,'Seat Ledger'!$B$5:$B$287,2,'Seat Ledger'!$H$5:$H$287,"E1")</f>
        <v/>
      </c>
      <c r="E71" s="16">
        <f>SUMIFS('Seat Ledger'!$M$5:$M$287,'Seat Ledger'!$B$5:$B$287,3,'Seat Ledger'!$H$5:$H$287,"E1")</f>
        <v/>
      </c>
      <c r="F71" s="16">
        <f>SUMIFS('Seat Ledger'!$M$5:$M$287,'Seat Ledger'!$B$5:$B$287,4,'Seat Ledger'!$H$5:$H$287,"E1")</f>
        <v/>
      </c>
      <c r="G71" s="16">
        <f>SUMIFS('Seat Ledger'!$M$5:$M$287,'Seat Ledger'!$B$5:$B$287,5,'Seat Ledger'!$H$5:$H$287,"E1")</f>
        <v/>
      </c>
    </row>
    <row r="72" ht="15" customHeight="1">
      <c r="B72" s="10" t="inlineStr">
        <is>
          <t>E2</t>
        </is>
      </c>
      <c r="C72" s="16">
        <f>SUMIFS('Seat Ledger'!$M$5:$M$287,'Seat Ledger'!$B$5:$B$287,1,'Seat Ledger'!$H$5:$H$287,"E2")</f>
        <v/>
      </c>
      <c r="D72" s="16">
        <f>SUMIFS('Seat Ledger'!$M$5:$M$287,'Seat Ledger'!$B$5:$B$287,2,'Seat Ledger'!$H$5:$H$287,"E2")</f>
        <v/>
      </c>
      <c r="E72" s="16">
        <f>SUMIFS('Seat Ledger'!$M$5:$M$287,'Seat Ledger'!$B$5:$B$287,3,'Seat Ledger'!$H$5:$H$287,"E2")</f>
        <v/>
      </c>
      <c r="F72" s="16">
        <f>SUMIFS('Seat Ledger'!$M$5:$M$287,'Seat Ledger'!$B$5:$B$287,4,'Seat Ledger'!$H$5:$H$287,"E2")</f>
        <v/>
      </c>
      <c r="G72" s="16">
        <f>SUMIFS('Seat Ledger'!$M$5:$M$287,'Seat Ledger'!$B$5:$B$287,5,'Seat Ledger'!$H$5:$H$287,"E2")</f>
        <v/>
      </c>
    </row>
    <row r="73" ht="15" customHeight="1">
      <c r="B73" s="10" t="inlineStr">
        <is>
          <t>E3</t>
        </is>
      </c>
      <c r="C73" s="16">
        <f>SUMIFS('Seat Ledger'!$M$5:$M$287,'Seat Ledger'!$B$5:$B$287,1,'Seat Ledger'!$H$5:$H$287,"E3")</f>
        <v/>
      </c>
      <c r="D73" s="16">
        <f>SUMIFS('Seat Ledger'!$M$5:$M$287,'Seat Ledger'!$B$5:$B$287,2,'Seat Ledger'!$H$5:$H$287,"E3")</f>
        <v/>
      </c>
      <c r="E73" s="16">
        <f>SUMIFS('Seat Ledger'!$M$5:$M$287,'Seat Ledger'!$B$5:$B$287,3,'Seat Ledger'!$H$5:$H$287,"E3")</f>
        <v/>
      </c>
      <c r="F73" s="16">
        <f>SUMIFS('Seat Ledger'!$M$5:$M$287,'Seat Ledger'!$B$5:$B$287,4,'Seat Ledger'!$H$5:$H$287,"E3")</f>
        <v/>
      </c>
      <c r="G73" s="16">
        <f>SUMIFS('Seat Ledger'!$M$5:$M$287,'Seat Ledger'!$B$5:$B$287,5,'Seat Ledger'!$H$5:$H$287,"E3")</f>
        <v/>
      </c>
    </row>
    <row r="74" ht="15" customHeight="1">
      <c r="B74" s="10" t="inlineStr">
        <is>
          <t>E4</t>
        </is>
      </c>
      <c r="C74" s="16">
        <f>SUMIFS('Seat Ledger'!$M$5:$M$287,'Seat Ledger'!$B$5:$B$287,1,'Seat Ledger'!$H$5:$H$287,"E4")</f>
        <v/>
      </c>
      <c r="D74" s="16">
        <f>SUMIFS('Seat Ledger'!$M$5:$M$287,'Seat Ledger'!$B$5:$B$287,2,'Seat Ledger'!$H$5:$H$287,"E4")</f>
        <v/>
      </c>
      <c r="E74" s="16">
        <f>SUMIFS('Seat Ledger'!$M$5:$M$287,'Seat Ledger'!$B$5:$B$287,3,'Seat Ledger'!$H$5:$H$287,"E4")</f>
        <v/>
      </c>
      <c r="F74" s="16">
        <f>SUMIFS('Seat Ledger'!$M$5:$M$287,'Seat Ledger'!$B$5:$B$287,4,'Seat Ledger'!$H$5:$H$287,"E4")</f>
        <v/>
      </c>
      <c r="G74" s="16">
        <f>SUMIFS('Seat Ledger'!$M$5:$M$287,'Seat Ledger'!$B$5:$B$287,5,'Seat Ledger'!$H$5:$H$287,"E4")</f>
        <v/>
      </c>
    </row>
    <row r="75" ht="15" customHeight="1">
      <c r="B75" s="10" t="inlineStr">
        <is>
          <t>E5</t>
        </is>
      </c>
      <c r="C75" s="16">
        <f>SUMIFS('Seat Ledger'!$M$5:$M$287,'Seat Ledger'!$B$5:$B$287,1,'Seat Ledger'!$H$5:$H$287,"E5")</f>
        <v/>
      </c>
      <c r="D75" s="16">
        <f>SUMIFS('Seat Ledger'!$M$5:$M$287,'Seat Ledger'!$B$5:$B$287,2,'Seat Ledger'!$H$5:$H$287,"E5")</f>
        <v/>
      </c>
      <c r="E75" s="16">
        <f>SUMIFS('Seat Ledger'!$M$5:$M$287,'Seat Ledger'!$B$5:$B$287,3,'Seat Ledger'!$H$5:$H$287,"E5")</f>
        <v/>
      </c>
      <c r="F75" s="16">
        <f>SUMIFS('Seat Ledger'!$M$5:$M$287,'Seat Ledger'!$B$5:$B$287,4,'Seat Ledger'!$H$5:$H$287,"E5")</f>
        <v/>
      </c>
      <c r="G75" s="16">
        <f>SUMIFS('Seat Ledger'!$M$5:$M$287,'Seat Ledger'!$B$5:$B$287,5,'Seat Ledger'!$H$5:$H$287,"E5")</f>
        <v/>
      </c>
    </row>
    <row r="76" ht="15" customHeight="1">
      <c r="B76" s="22" t="inlineStr">
        <is>
          <t>Senior share (E4 + E5)</t>
        </is>
      </c>
      <c r="C76" s="26">
        <f>IF(C9=0,0,(C74+C75)/C9)</f>
        <v/>
      </c>
      <c r="D76" s="26">
        <f>IF(D9=0,0,(D74+D75)/D9)</f>
        <v/>
      </c>
      <c r="E76" s="26">
        <f>IF(E9=0,0,(E74+E75)/E9)</f>
        <v/>
      </c>
      <c r="F76" s="26">
        <f>IF(F9=0,0,(F74+F75)/F9)</f>
        <v/>
      </c>
      <c r="G76" s="26">
        <f>IF(G9=0,0,(G74+G75)/G9)</f>
        <v/>
      </c>
    </row>
  </sheetData>
  <mergeCells count="11">
    <mergeCell ref="A1:J1"/>
    <mergeCell ref="G31:J31"/>
    <mergeCell ref="A14:J14"/>
    <mergeCell ref="H41:J41"/>
    <mergeCell ref="A69:J69"/>
    <mergeCell ref="A59:J59"/>
    <mergeCell ref="A4:J4"/>
    <mergeCell ref="A43:J43"/>
    <mergeCell ref="A2:J2"/>
    <mergeCell ref="G32:J32"/>
    <mergeCell ref="A33:J33"/>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K80"/>
  <sheetViews>
    <sheetView zoomScaleNormal="100" workbookViewId="0">
      <selection activeCell="A1" sqref="A1:K1"/>
    </sheetView>
  </sheetViews>
  <sheetFormatPr baseColWidth="8" defaultColWidth="8.6328125" defaultRowHeight="14.5"/>
  <cols>
    <col width="2.453125" customWidth="1" min="1" max="1"/>
    <col width="44" customWidth="1" min="2" max="2"/>
    <col width="12" customWidth="1" min="3" max="8"/>
    <col width="3" customWidth="1" min="9" max="9"/>
    <col width="52" customWidth="1" min="10" max="10"/>
  </cols>
  <sheetData>
    <row r="1" ht="25.5" customHeight="1">
      <c r="A1" s="8" t="inlineStr">
        <is>
          <t>The 20 Capgemini people already on these applications  —  and why this cohort is the opposite problem</t>
        </is>
      </c>
    </row>
    <row r="2" ht="15" customHeight="1">
      <c r="A2" s="7" t="inlineStr">
        <is>
          <t>Supply comes from the T3 headcount reconciliation behind Golden Inventory v4. Read the sign on the gap lines before anything else, and read section E against a Year-1 offshore Capgemini demand of only 6.0 seats.</t>
        </is>
      </c>
    </row>
    <row r="4" ht="15" customHeight="1">
      <c r="A4" s="6" t="inlineStr">
        <is>
          <t>A.  WHERE THE NUMBER COMES FROM</t>
        </is>
      </c>
    </row>
    <row r="5" ht="18.75" customHeight="1">
      <c r="B5" s="11" t="inlineStr">
        <is>
          <t>Source</t>
        </is>
      </c>
      <c r="C5" s="11" t="inlineStr">
        <is>
          <t>Count</t>
        </is>
      </c>
      <c r="D5" s="11" t="inlineStr">
        <is>
          <t>What it is used for</t>
        </is>
      </c>
    </row>
    <row r="6" ht="37.5" customHeight="1">
      <c r="B6" s="10" t="inlineStr">
        <is>
          <t>Billing details — named individuals</t>
        </is>
      </c>
      <c r="C6" s="21" t="n">
        <v>277</v>
      </c>
      <c r="D6" s="10" t="inlineStr">
        <is>
          <t>THE COUNT. 277 de-duplicated employee IDs across T3, DMO and JET, each with a location and a Capgemini grade.</t>
        </is>
      </c>
      <c r="E6" s="69" t="n"/>
      <c r="F6" s="69" t="n"/>
      <c r="G6" s="69" t="n"/>
      <c r="H6" s="70" t="n"/>
    </row>
    <row r="7" ht="37.5" customHeight="1">
      <c r="B7" s="10" t="inlineStr">
        <is>
          <t>Mapping of current Capgemini staff — billable FTE</t>
        </is>
      </c>
      <c r="C7" s="21" t="n">
        <v>283</v>
      </c>
      <c r="D7" s="10" t="inlineStr">
        <is>
          <t>THE ROLE MIX and the grade ladder. Developer → Developer, Cloud Engineer → Maintenance, Testers → Tester, BSA / Scrum Master / Functional Analyst → BSA, Tech Lead / Solution Architect → Other.</t>
        </is>
      </c>
      <c r="E7" s="69" t="n"/>
      <c r="F7" s="69" t="n"/>
      <c r="G7" s="69" t="n"/>
      <c r="H7" s="70" t="n"/>
    </row>
    <row r="8" ht="37.5" customHeight="1">
      <c r="B8" s="10" t="inlineStr">
        <is>
          <t>EAIs.xlsx — 'CG HC by EAI'</t>
        </is>
      </c>
      <c r="C8" s="21" t="n">
        <v>450</v>
      </c>
      <c r="D8" s="10" t="inlineStr">
        <is>
          <t>THE SHAPE of the application-level distribution, rescaled to 277 and capped at each application's own vendor FTC.</t>
        </is>
      </c>
      <c r="E8" s="69" t="n"/>
      <c r="F8" s="69" t="n"/>
      <c r="G8" s="69" t="n"/>
      <c r="H8" s="70" t="n"/>
    </row>
    <row r="9" ht="37.5" customHeight="1">
      <c r="B9" s="10" t="inlineStr">
        <is>
          <t>EAIs.xlsx Sheet1 — direct EAI tags</t>
        </is>
      </c>
      <c r="C9" s="21" t="n">
        <v>528</v>
      </c>
      <c r="D9" s="10" t="inlineStr">
        <is>
          <t>Cross-check only. Double-counts people serving more than one application.</t>
        </is>
      </c>
      <c r="E9" s="69" t="n"/>
      <c r="F9" s="69" t="n"/>
      <c r="G9" s="69" t="n"/>
      <c r="H9" s="70" t="n"/>
    </row>
    <row r="10" ht="37.5" customHeight="1">
      <c r="B10" s="32" t="inlineStr">
        <is>
          <t>Of the 277, allocated to Insurance Claims and Benefits Payment Related</t>
        </is>
      </c>
      <c r="C10" s="46" t="n">
        <v>38</v>
      </c>
      <c r="D10" s="10" t="inlineStr">
        <is>
          <t>33 in India, 5 in Japan. 45 of the 277 sit in cross-domain teams with no application mapping and are excluded from every domain.</t>
        </is>
      </c>
      <c r="E10" s="69" t="n"/>
      <c r="F10" s="69" t="n"/>
      <c r="G10" s="69" t="n"/>
      <c r="H10" s="70" t="n"/>
    </row>
    <row r="12" ht="15" customHeight="1">
      <c r="B12" s="19" t="inlineStr">
        <is>
          <t>Capgemini grade → experience band: A4/A5 → E1 · B1/B2 → E2 · C1 and Sub-Con → E3 · C2/D1 → E4 · D2/E1 → E5. Location is binary: Japan → onshore, everything else → India / offshore.</t>
        </is>
      </c>
    </row>
    <row r="14" ht="15" customHeight="1">
      <c r="A14" s="6" t="inlineStr">
        <is>
          <t>B.  WHERE THEY SIT TODAY</t>
        </is>
      </c>
    </row>
    <row r="15" ht="18.75" customHeight="1">
      <c r="B15" s="11" t="inlineStr">
        <is>
          <t>Application</t>
        </is>
      </c>
      <c r="C15" s="11" t="inlineStr">
        <is>
          <t>Archetype</t>
        </is>
      </c>
      <c r="D15" s="11" t="inlineStr">
        <is>
          <t>Value stream</t>
        </is>
      </c>
      <c r="E15" s="11" t="inlineStr">
        <is>
          <t>CG heads today</t>
        </is>
      </c>
      <c r="F15" s="11" t="inlineStr">
        <is>
          <t>Vendor FTC</t>
        </is>
      </c>
    </row>
    <row r="16" ht="57" customHeight="1">
      <c r="B16" s="9" t="inlineStr">
        <is>
          <t>Annuity ＆ Maturity Payment  (3 apps)</t>
        </is>
      </c>
      <c r="C16" s="43" t="inlineStr">
        <is>
          <t>D / J / T</t>
        </is>
      </c>
      <c r="D16" s="10" t="inlineStr">
        <is>
          <t>Claim Batch, W05AMS-JPN, WZZMNB-JPN</t>
        </is>
      </c>
      <c r="E16" s="16" t="n">
        <v>6</v>
      </c>
      <c r="F16" s="53" t="n">
        <v>42.454</v>
      </c>
      <c r="J16" s="19" t="inlineStr">
        <is>
          <t>6 people against 85.4 vendor units — 7%, and all six sit on Claim Batch. This is the weakest the strongest continuity position of the five 領域 modelled. The split is almost even between the two streams, which is why neither can be treated as a standing start.</t>
        </is>
      </c>
    </row>
    <row r="17" ht="34.5" customHeight="1">
      <c r="B17" s="9" t="inlineStr">
        <is>
          <t>Claims Processing ＆ Adjudication  (1)</t>
        </is>
      </c>
      <c r="C17" s="43" t="inlineStr">
        <is>
          <t>D</t>
        </is>
      </c>
      <c r="D17" s="10" t="inlineStr">
        <is>
          <t>C12WNC-JPN — marked Retire</t>
        </is>
      </c>
      <c r="E17" s="16" t="n">
        <v>0</v>
      </c>
      <c r="F17" s="53" t="n">
        <v>29.38</v>
      </c>
    </row>
    <row r="18" ht="34.5" customHeight="1">
      <c r="B18" s="9" t="inlineStr">
        <is>
          <t>Claims Support Services  (2 apps)</t>
        </is>
      </c>
      <c r="C18" s="43" t="inlineStr">
        <is>
          <t>D / T</t>
        </is>
      </c>
      <c r="D18" s="10" t="inlineStr">
        <is>
          <t>Pega for Claims, MDRS</t>
        </is>
      </c>
      <c r="E18" s="16" t="n">
        <v>0</v>
      </c>
      <c r="F18" s="53" t="n">
        <v>13.614</v>
      </c>
    </row>
    <row r="19" ht="15" customHeight="1">
      <c r="B19" s="22" t="inlineStr">
        <is>
          <t>TOTAL</t>
        </is>
      </c>
      <c r="C19" s="43" t="n"/>
      <c r="D19" s="10" t="n"/>
      <c r="E19" s="23">
        <f>SUM(E16:E18)</f>
        <v/>
      </c>
      <c r="F19" s="23">
        <f>SUM(F16:F18)</f>
        <v/>
      </c>
    </row>
    <row r="21" ht="15" customHeight="1">
      <c r="A21" s="6" t="inlineStr">
        <is>
          <t>C.  THE EVOLUTION MECHANIC  —  INPUT</t>
        </is>
      </c>
    </row>
    <row r="22" ht="18.75" customHeight="1">
      <c r="B22" s="11" t="inlineStr">
        <is>
          <t>Band</t>
        </is>
      </c>
      <c r="C22" s="11" t="inlineStr">
        <is>
          <t>Attrition — offshore</t>
        </is>
      </c>
      <c r="D22" s="11" t="inlineStr">
        <is>
          <t>Attrition — onshore</t>
        </is>
      </c>
      <c r="E22" s="11" t="inlineStr">
        <is>
          <t>Promotion out of band</t>
        </is>
      </c>
    </row>
    <row r="23" ht="27.75" customHeight="1">
      <c r="B23" s="18" t="inlineStr">
        <is>
          <t>E1</t>
        </is>
      </c>
      <c r="C23" s="28" t="n">
        <v>0.22</v>
      </c>
      <c r="D23" s="28" t="n">
        <v>0.1</v>
      </c>
      <c r="E23" s="28" t="n">
        <v>0.2</v>
      </c>
      <c r="J23" s="19" t="inlineStr">
        <is>
          <t>Identical rates to Sales / Insurance v6 and Contract Management v7 — attrition first, promotion to the survivors. The same mechanic, applied to a very different starting shape.</t>
        </is>
      </c>
    </row>
    <row r="24" ht="15" customHeight="1">
      <c r="B24" s="18" t="inlineStr">
        <is>
          <t>E2</t>
        </is>
      </c>
      <c r="C24" s="28" t="n">
        <v>0.18</v>
      </c>
      <c r="D24" s="28" t="n">
        <v>0.09</v>
      </c>
      <c r="E24" s="28" t="n">
        <v>0.16</v>
      </c>
    </row>
    <row r="25" ht="15" customHeight="1">
      <c r="B25" s="18" t="inlineStr">
        <is>
          <t>E3</t>
        </is>
      </c>
      <c r="C25" s="28" t="n">
        <v>0.13</v>
      </c>
      <c r="D25" s="28" t="n">
        <v>0.07000000000000001</v>
      </c>
      <c r="E25" s="28" t="n">
        <v>0.12</v>
      </c>
    </row>
    <row r="26" ht="15" customHeight="1">
      <c r="B26" s="18" t="inlineStr">
        <is>
          <t>E4</t>
        </is>
      </c>
      <c r="C26" s="28" t="n">
        <v>0.09</v>
      </c>
      <c r="D26" s="28" t="n">
        <v>0.05</v>
      </c>
      <c r="E26" s="28" t="n">
        <v>0.07000000000000001</v>
      </c>
    </row>
    <row r="27" ht="15" customHeight="1">
      <c r="B27" s="18" t="inlineStr">
        <is>
          <t>E5</t>
        </is>
      </c>
      <c r="C27" s="28" t="n">
        <v>0.06</v>
      </c>
      <c r="D27" s="28" t="n">
        <v>0.04</v>
      </c>
      <c r="E27" s="28" t="n">
        <v>0</v>
      </c>
    </row>
    <row r="29" ht="15" customHeight="1">
      <c r="A29" s="6" t="inlineStr">
        <is>
          <t>D.  THE COHORT ROLLED FORWARD</t>
        </is>
      </c>
    </row>
    <row r="30" ht="15" customHeight="1">
      <c r="B30" s="11" t="inlineStr">
        <is>
          <t>Measure</t>
        </is>
      </c>
      <c r="C30" s="11" t="inlineStr">
        <is>
          <t>Year 1</t>
        </is>
      </c>
      <c r="D30" s="11" t="inlineStr">
        <is>
          <t>Year 2</t>
        </is>
      </c>
      <c r="E30" s="11" t="inlineStr">
        <is>
          <t>Year 3</t>
        </is>
      </c>
      <c r="F30" s="11" t="inlineStr">
        <is>
          <t>Year 4</t>
        </is>
      </c>
      <c r="G30" s="11" t="inlineStr">
        <is>
          <t>Year 5</t>
        </is>
      </c>
    </row>
    <row r="31" ht="15" customHeight="1">
      <c r="B31" s="22" t="inlineStr">
        <is>
          <t>Inherited people surviving</t>
        </is>
      </c>
      <c r="C31" s="23" t="n">
        <v>6</v>
      </c>
      <c r="D31" s="23" t="n">
        <v>5.24</v>
      </c>
      <c r="E31" s="23" t="n">
        <v>4.613248</v>
      </c>
      <c r="F31" s="23" t="n">
        <v>4.0916638132</v>
      </c>
      <c r="G31" s="23" t="n">
        <v>3.653736747598</v>
      </c>
    </row>
    <row r="32" ht="15" customHeight="1">
      <c r="B32" s="10" t="inlineStr">
        <is>
          <t xml:space="preserve">  — E1</t>
        </is>
      </c>
      <c r="C32" s="16" t="n">
        <v>0</v>
      </c>
      <c r="D32" s="16" t="n">
        <v>0</v>
      </c>
      <c r="E32" s="16" t="n">
        <v>0</v>
      </c>
      <c r="F32" s="16" t="n">
        <v>0</v>
      </c>
      <c r="G32" s="16" t="n">
        <v>0</v>
      </c>
    </row>
    <row r="33" ht="15" customHeight="1">
      <c r="B33" s="10" t="inlineStr">
        <is>
          <t xml:space="preserve">  — E2</t>
        </is>
      </c>
      <c r="C33" s="16" t="n">
        <v>2</v>
      </c>
      <c r="D33" s="16" t="n">
        <v>1.3776</v>
      </c>
      <c r="E33" s="16" t="n">
        <v>0.94889088</v>
      </c>
      <c r="F33" s="16" t="n">
        <v>0.653596038144</v>
      </c>
      <c r="G33" s="16" t="n">
        <v>0.450196951073587</v>
      </c>
    </row>
    <row r="34" ht="15" customHeight="1">
      <c r="B34" s="10" t="inlineStr">
        <is>
          <t xml:space="preserve">  — E3</t>
        </is>
      </c>
      <c r="C34" s="16" t="n">
        <v>2</v>
      </c>
      <c r="D34" s="16" t="n">
        <v>1.7936</v>
      </c>
      <c r="E34" s="16" t="n">
        <v>1.55392128</v>
      </c>
      <c r="F34" s="16" t="n">
        <v>1.314176615424</v>
      </c>
      <c r="G34" s="16" t="n">
        <v>1.09188541697311</v>
      </c>
    </row>
    <row r="35" ht="15" customHeight="1">
      <c r="B35" s="10" t="inlineStr">
        <is>
          <t xml:space="preserve">  — E4</t>
        </is>
      </c>
      <c r="C35" s="16" t="n">
        <v>2</v>
      </c>
      <c r="D35" s="16" t="n">
        <v>1.9386</v>
      </c>
      <c r="E35" s="16" t="n">
        <v>1.86075522</v>
      </c>
      <c r="F35" s="16" t="n">
        <v>1.766023812018</v>
      </c>
      <c r="G35" s="16" t="n">
        <v>1.65744043444405</v>
      </c>
    </row>
    <row r="36" ht="15" customHeight="1">
      <c r="B36" s="10" t="inlineStr">
        <is>
          <t xml:space="preserve">  — E5</t>
        </is>
      </c>
      <c r="C36" s="16" t="n">
        <v>0</v>
      </c>
      <c r="D36" s="16" t="n">
        <v>0.1302</v>
      </c>
      <c r="E36" s="16" t="n">
        <v>0.24968062</v>
      </c>
      <c r="F36" s="16" t="n">
        <v>0.357867347614</v>
      </c>
      <c r="G36" s="16" t="n">
        <v>0.454213945107257</v>
      </c>
    </row>
    <row r="37" ht="36.75" customHeight="1">
      <c r="B37" s="22" t="inlineStr">
        <is>
          <t>Senior share  (E4 + E5)</t>
        </is>
      </c>
      <c r="C37" s="26" t="n">
        <v>0.333333333333333</v>
      </c>
      <c r="D37" s="26" t="n">
        <v>0.394809160305344</v>
      </c>
      <c r="E37" s="26" t="n">
        <v>0.45747287811104</v>
      </c>
      <c r="F37" s="26" t="n">
        <v>0.519077631153414</v>
      </c>
      <c r="G37" s="26" t="n">
        <v>0.577943767004978</v>
      </c>
      <c r="J37" s="19" t="inlineStr">
        <is>
          <t>The cohort starts at 28.9% senior (11 of 38 at E4 or E5) and the attrition-and-promotion mechanic seniorises it every year. Row 37 is the number to watch: it drives cost per head, and the design counters it by hiring at E2 and E3 offshore as the team shrinks.</t>
        </is>
      </c>
    </row>
    <row r="38" ht="15" customHeight="1">
      <c r="B38" s="10" t="inlineStr">
        <is>
          <t xml:space="preserve">  — in Japan</t>
        </is>
      </c>
      <c r="C38" s="16" t="n">
        <v>1</v>
      </c>
      <c r="D38" s="16" t="n">
        <v>0.95</v>
      </c>
      <c r="E38" s="16" t="n">
        <v>0.903165</v>
      </c>
      <c r="F38" s="16" t="n">
        <v>0.8592326775</v>
      </c>
      <c r="G38" s="16" t="n">
        <v>0.81796701457125</v>
      </c>
    </row>
    <row r="39" ht="15" customHeight="1">
      <c r="B39" s="10" t="inlineStr">
        <is>
          <t xml:space="preserve">  — in India</t>
        </is>
      </c>
      <c r="C39" s="16" t="n">
        <v>5</v>
      </c>
      <c r="D39" s="16" t="n">
        <v>4.29</v>
      </c>
      <c r="E39" s="16" t="n">
        <v>3.710083</v>
      </c>
      <c r="F39" s="16" t="n">
        <v>3.2324311357</v>
      </c>
      <c r="G39" s="16" t="n">
        <v>2.83576973302675</v>
      </c>
    </row>
    <row r="41" ht="15" customHeight="1">
      <c r="A41" s="6" t="inlineStr">
        <is>
          <t>E.  SUPPLY AGAINST DEMAND  —  offshore, where 18 of the 20 sit</t>
        </is>
      </c>
    </row>
    <row r="42" ht="15" customHeight="1">
      <c r="B42" s="11" t="inlineStr">
        <is>
          <t>Measure</t>
        </is>
      </c>
      <c r="C42" s="11" t="inlineStr">
        <is>
          <t>Year 1</t>
        </is>
      </c>
      <c r="D42" s="11" t="inlineStr">
        <is>
          <t>Year 2</t>
        </is>
      </c>
      <c r="E42" s="11" t="inlineStr">
        <is>
          <t>Year 3</t>
        </is>
      </c>
      <c r="F42" s="11" t="inlineStr">
        <is>
          <t>Year 4</t>
        </is>
      </c>
      <c r="G42" s="11" t="inlineStr">
        <is>
          <t>Year 5</t>
        </is>
      </c>
    </row>
    <row r="43" ht="15" customHeight="1">
      <c r="B43" s="22" t="inlineStr">
        <is>
          <t>Offshore Capgemini seats the design asks for</t>
        </is>
      </c>
      <c r="C43" s="23">
        <f>SUMIFS('Seat Ledger'!$M$5:$M$287,'Seat Ledger'!$B$5:$B$287,1,'Seat Ledger'!$J$5:$J$287,"FTC",'Seat Ledger'!$I$5:$I$287,"OFF")+SUMIFS('Seat Ledger'!$M$5:$M$287,'Seat Ledger'!$B$5:$B$287,1,'Seat Ledger'!$J$5:$J$287,"FTC",'Seat Ledger'!$I$5:$I$287,"NEAR")</f>
        <v/>
      </c>
      <c r="D43" s="23">
        <f>SUMIFS('Seat Ledger'!$M$5:$M$287,'Seat Ledger'!$B$5:$B$287,2,'Seat Ledger'!$J$5:$J$287,"FTC",'Seat Ledger'!$I$5:$I$287,"OFF")+SUMIFS('Seat Ledger'!$M$5:$M$287,'Seat Ledger'!$B$5:$B$287,2,'Seat Ledger'!$J$5:$J$287,"FTC",'Seat Ledger'!$I$5:$I$287,"NEAR")</f>
        <v/>
      </c>
      <c r="E43" s="23">
        <f>SUMIFS('Seat Ledger'!$M$5:$M$287,'Seat Ledger'!$B$5:$B$287,3,'Seat Ledger'!$J$5:$J$287,"FTC",'Seat Ledger'!$I$5:$I$287,"OFF")+SUMIFS('Seat Ledger'!$M$5:$M$287,'Seat Ledger'!$B$5:$B$287,3,'Seat Ledger'!$J$5:$J$287,"FTC",'Seat Ledger'!$I$5:$I$287,"NEAR")</f>
        <v/>
      </c>
      <c r="F43" s="23">
        <f>SUMIFS('Seat Ledger'!$M$5:$M$287,'Seat Ledger'!$B$5:$B$287,4,'Seat Ledger'!$J$5:$J$287,"FTC",'Seat Ledger'!$I$5:$I$287,"OFF")+SUMIFS('Seat Ledger'!$M$5:$M$287,'Seat Ledger'!$B$5:$B$287,4,'Seat Ledger'!$J$5:$J$287,"FTC",'Seat Ledger'!$I$5:$I$287,"NEAR")</f>
        <v/>
      </c>
      <c r="G43" s="23">
        <f>SUMIFS('Seat Ledger'!$M$5:$M$287,'Seat Ledger'!$B$5:$B$287,5,'Seat Ledger'!$J$5:$J$287,"FTC",'Seat Ledger'!$I$5:$I$287,"OFF")+SUMIFS('Seat Ledger'!$M$5:$M$287,'Seat Ledger'!$B$5:$B$287,5,'Seat Ledger'!$J$5:$J$287,"FTC",'Seat Ledger'!$I$5:$I$287,"NEAR")</f>
        <v/>
      </c>
    </row>
    <row r="44" ht="15" customHeight="1">
      <c r="B44" s="10" t="inlineStr">
        <is>
          <t>Inherited people still there</t>
        </is>
      </c>
      <c r="C44" s="16" t="n">
        <v>5</v>
      </c>
      <c r="D44" s="16" t="n">
        <v>4.29</v>
      </c>
      <c r="E44" s="16" t="n">
        <v>3.710083</v>
      </c>
      <c r="F44" s="16" t="n">
        <v>3.2324311357</v>
      </c>
      <c r="G44" s="16" t="n">
        <v>2.83576973302675</v>
      </c>
    </row>
    <row r="45" ht="27.75" customHeight="1">
      <c r="B45" s="22" t="inlineStr">
        <is>
          <t>Covered by people we already have</t>
        </is>
      </c>
      <c r="C45" s="26">
        <f>C44/C43</f>
        <v/>
      </c>
      <c r="D45" s="26">
        <f>D44/D43</f>
        <v/>
      </c>
      <c r="E45" s="26">
        <f>E44/E43</f>
        <v/>
      </c>
      <c r="F45" s="26">
        <f>F44/F43</f>
        <v/>
      </c>
      <c r="G45" s="26">
        <f>G44/G43</f>
        <v/>
      </c>
      <c r="J45" s="19" t="inlineStr">
        <is>
          <t>60% covered in Year 1, against 90% on Sales. This domain has to hire more of its own offshore team from a standing start, and the people it hires must be junior enough to balance a cohort that is already senior.</t>
        </is>
      </c>
    </row>
    <row r="46" ht="15" customHeight="1">
      <c r="B46" s="10" t="inlineStr">
        <is>
          <t>To hire, redeploy or reskill</t>
        </is>
      </c>
      <c r="C46" s="16">
        <f>C43-C44</f>
        <v/>
      </c>
      <c r="D46" s="16">
        <f>D43-D44</f>
        <v/>
      </c>
      <c r="E46" s="16">
        <f>E43-E44</f>
        <v/>
      </c>
      <c r="F46" s="16">
        <f>F43-F44</f>
        <v/>
      </c>
      <c r="G46" s="16">
        <f>G43-G44</f>
        <v/>
      </c>
    </row>
    <row r="48" ht="15" customHeight="1">
      <c r="A48" s="6" t="inlineStr">
        <is>
          <t>F.  BAND BY BAND  —  the seats we designed against the people we hold, offshore</t>
        </is>
      </c>
    </row>
    <row r="49" ht="15" customHeight="1">
      <c r="B49" s="11" t="inlineStr">
        <is>
          <t>Year 1</t>
        </is>
      </c>
      <c r="C49" s="11" t="inlineStr">
        <is>
          <t>E1</t>
        </is>
      </c>
      <c r="D49" s="11" t="inlineStr">
        <is>
          <t>E2</t>
        </is>
      </c>
      <c r="E49" s="11" t="inlineStr">
        <is>
          <t>E3</t>
        </is>
      </c>
      <c r="F49" s="11" t="inlineStr">
        <is>
          <t>E4</t>
        </is>
      </c>
      <c r="G49" s="11" t="inlineStr">
        <is>
          <t>E5</t>
        </is>
      </c>
      <c r="H49" s="11" t="inlineStr">
        <is>
          <t>Total</t>
        </is>
      </c>
    </row>
    <row r="50" ht="15" customHeight="1">
      <c r="B50" s="10" t="inlineStr">
        <is>
          <t>Seats the design asks for</t>
        </is>
      </c>
      <c r="C50" s="16">
        <f>SUMIFS('Seat Ledger'!$M$5:$M$287,'Seat Ledger'!$B$5:$B$287,1,'Seat Ledger'!$J$5:$J$287,"FTC",'Seat Ledger'!$I$5:$I$287,"OFF",'Seat Ledger'!$H$5:$H$287,"E1")+SUMIFS('Seat Ledger'!$M$5:$M$287,'Seat Ledger'!$B$5:$B$287,1,'Seat Ledger'!$J$5:$J$287,"FTC",'Seat Ledger'!$I$5:$I$287,"NEAR",'Seat Ledger'!$H$5:$H$287,"E1")</f>
        <v/>
      </c>
      <c r="D50" s="16">
        <f>SUMIFS('Seat Ledger'!$M$5:$M$287,'Seat Ledger'!$B$5:$B$287,1,'Seat Ledger'!$J$5:$J$287,"FTC",'Seat Ledger'!$I$5:$I$287,"OFF",'Seat Ledger'!$H$5:$H$287,"E2")+SUMIFS('Seat Ledger'!$M$5:$M$287,'Seat Ledger'!$B$5:$B$287,1,'Seat Ledger'!$J$5:$J$287,"FTC",'Seat Ledger'!$I$5:$I$287,"NEAR",'Seat Ledger'!$H$5:$H$287,"E2")</f>
        <v/>
      </c>
      <c r="E50" s="16">
        <f>SUMIFS('Seat Ledger'!$M$5:$M$287,'Seat Ledger'!$B$5:$B$287,1,'Seat Ledger'!$J$5:$J$287,"FTC",'Seat Ledger'!$I$5:$I$287,"OFF",'Seat Ledger'!$H$5:$H$287,"E3")+SUMIFS('Seat Ledger'!$M$5:$M$287,'Seat Ledger'!$B$5:$B$287,1,'Seat Ledger'!$J$5:$J$287,"FTC",'Seat Ledger'!$I$5:$I$287,"NEAR",'Seat Ledger'!$H$5:$H$287,"E3")</f>
        <v/>
      </c>
      <c r="F50" s="16">
        <f>SUMIFS('Seat Ledger'!$M$5:$M$287,'Seat Ledger'!$B$5:$B$287,1,'Seat Ledger'!$J$5:$J$287,"FTC",'Seat Ledger'!$I$5:$I$287,"OFF",'Seat Ledger'!$H$5:$H$287,"E4")+SUMIFS('Seat Ledger'!$M$5:$M$287,'Seat Ledger'!$B$5:$B$287,1,'Seat Ledger'!$J$5:$J$287,"FTC",'Seat Ledger'!$I$5:$I$287,"NEAR",'Seat Ledger'!$H$5:$H$287,"E4")</f>
        <v/>
      </c>
      <c r="G50" s="16">
        <f>SUMIFS('Seat Ledger'!$M$5:$M$287,'Seat Ledger'!$B$5:$B$287,1,'Seat Ledger'!$J$5:$J$287,"FTC",'Seat Ledger'!$I$5:$I$287,"OFF",'Seat Ledger'!$H$5:$H$287,"E5")+SUMIFS('Seat Ledger'!$M$5:$M$287,'Seat Ledger'!$B$5:$B$287,1,'Seat Ledger'!$J$5:$J$287,"FTC",'Seat Ledger'!$I$5:$I$287,"NEAR",'Seat Ledger'!$H$5:$H$287,"E5")</f>
        <v/>
      </c>
      <c r="H50" s="23">
        <f>SUM(C50:G50)</f>
        <v/>
      </c>
    </row>
    <row r="51" ht="15" customHeight="1">
      <c r="B51" s="10" t="inlineStr">
        <is>
          <t>People we already have</t>
        </is>
      </c>
      <c r="C51" s="16" t="n">
        <v>0</v>
      </c>
      <c r="D51" s="16" t="n">
        <v>2</v>
      </c>
      <c r="E51" s="16" t="n">
        <v>2</v>
      </c>
      <c r="F51" s="16" t="n">
        <v>1</v>
      </c>
      <c r="G51" s="16" t="n">
        <v>0</v>
      </c>
      <c r="H51" s="23">
        <f>SUM(C51:G51)</f>
        <v/>
      </c>
    </row>
    <row r="52" ht="15" customHeight="1">
      <c r="B52" s="22" t="inlineStr">
        <is>
          <t>Gap  —  positive is a hire</t>
        </is>
      </c>
      <c r="C52" s="23">
        <f>C50-C51</f>
        <v/>
      </c>
      <c r="D52" s="23">
        <f>D50-D51</f>
        <v/>
      </c>
      <c r="E52" s="23">
        <f>E50-E51</f>
        <v/>
      </c>
      <c r="F52" s="23">
        <f>F50-F51</f>
        <v/>
      </c>
      <c r="G52" s="23">
        <f>G50-G51</f>
        <v/>
      </c>
      <c r="H52" s="23">
        <f>SUM(C52:G52)</f>
        <v/>
      </c>
    </row>
    <row r="54" ht="15" customHeight="1">
      <c r="B54" s="11" t="inlineStr">
        <is>
          <t>Year 2</t>
        </is>
      </c>
      <c r="C54" s="11" t="inlineStr">
        <is>
          <t>E1</t>
        </is>
      </c>
      <c r="D54" s="11" t="inlineStr">
        <is>
          <t>E2</t>
        </is>
      </c>
      <c r="E54" s="11" t="inlineStr">
        <is>
          <t>E3</t>
        </is>
      </c>
      <c r="F54" s="11" t="inlineStr">
        <is>
          <t>E4</t>
        </is>
      </c>
      <c r="G54" s="11" t="inlineStr">
        <is>
          <t>E5</t>
        </is>
      </c>
      <c r="H54" s="11" t="inlineStr">
        <is>
          <t>Total</t>
        </is>
      </c>
    </row>
    <row r="55" ht="15" customHeight="1">
      <c r="B55" s="10" t="inlineStr">
        <is>
          <t>Seats the design asks for</t>
        </is>
      </c>
      <c r="C55" s="16">
        <f>SUMIFS('Seat Ledger'!$M$5:$M$287,'Seat Ledger'!$B$5:$B$287,2,'Seat Ledger'!$J$5:$J$287,"FTC",'Seat Ledger'!$I$5:$I$287,"OFF",'Seat Ledger'!$H$5:$H$287,"E1")+SUMIFS('Seat Ledger'!$M$5:$M$287,'Seat Ledger'!$B$5:$B$287,2,'Seat Ledger'!$J$5:$J$287,"FTC",'Seat Ledger'!$I$5:$I$287,"NEAR",'Seat Ledger'!$H$5:$H$287,"E1")</f>
        <v/>
      </c>
      <c r="D55" s="16">
        <f>SUMIFS('Seat Ledger'!$M$5:$M$287,'Seat Ledger'!$B$5:$B$287,2,'Seat Ledger'!$J$5:$J$287,"FTC",'Seat Ledger'!$I$5:$I$287,"OFF",'Seat Ledger'!$H$5:$H$287,"E2")+SUMIFS('Seat Ledger'!$M$5:$M$287,'Seat Ledger'!$B$5:$B$287,2,'Seat Ledger'!$J$5:$J$287,"FTC",'Seat Ledger'!$I$5:$I$287,"NEAR",'Seat Ledger'!$H$5:$H$287,"E2")</f>
        <v/>
      </c>
      <c r="E55" s="16">
        <f>SUMIFS('Seat Ledger'!$M$5:$M$287,'Seat Ledger'!$B$5:$B$287,2,'Seat Ledger'!$J$5:$J$287,"FTC",'Seat Ledger'!$I$5:$I$287,"OFF",'Seat Ledger'!$H$5:$H$287,"E3")+SUMIFS('Seat Ledger'!$M$5:$M$287,'Seat Ledger'!$B$5:$B$287,2,'Seat Ledger'!$J$5:$J$287,"FTC",'Seat Ledger'!$I$5:$I$287,"NEAR",'Seat Ledger'!$H$5:$H$287,"E3")</f>
        <v/>
      </c>
      <c r="F55" s="16">
        <f>SUMIFS('Seat Ledger'!$M$5:$M$287,'Seat Ledger'!$B$5:$B$287,2,'Seat Ledger'!$J$5:$J$287,"FTC",'Seat Ledger'!$I$5:$I$287,"OFF",'Seat Ledger'!$H$5:$H$287,"E4")+SUMIFS('Seat Ledger'!$M$5:$M$287,'Seat Ledger'!$B$5:$B$287,2,'Seat Ledger'!$J$5:$J$287,"FTC",'Seat Ledger'!$I$5:$I$287,"NEAR",'Seat Ledger'!$H$5:$H$287,"E4")</f>
        <v/>
      </c>
      <c r="G55" s="16">
        <f>SUMIFS('Seat Ledger'!$M$5:$M$287,'Seat Ledger'!$B$5:$B$287,2,'Seat Ledger'!$J$5:$J$287,"FTC",'Seat Ledger'!$I$5:$I$287,"OFF",'Seat Ledger'!$H$5:$H$287,"E5")+SUMIFS('Seat Ledger'!$M$5:$M$287,'Seat Ledger'!$B$5:$B$287,2,'Seat Ledger'!$J$5:$J$287,"FTC",'Seat Ledger'!$I$5:$I$287,"NEAR",'Seat Ledger'!$H$5:$H$287,"E5")</f>
        <v/>
      </c>
      <c r="H55" s="23">
        <f>SUM(C55:G55)</f>
        <v/>
      </c>
    </row>
    <row r="56" ht="15" customHeight="1">
      <c r="B56" s="10" t="inlineStr">
        <is>
          <t>People we already have</t>
        </is>
      </c>
      <c r="C56" s="16" t="n">
        <v>0</v>
      </c>
      <c r="D56" s="16" t="n">
        <v>1.3776</v>
      </c>
      <c r="E56" s="16" t="n">
        <v>1.7936</v>
      </c>
      <c r="F56" s="16" t="n">
        <v>1.0551</v>
      </c>
      <c r="G56" s="16" t="n">
        <v>0.06370000000000001</v>
      </c>
      <c r="H56" s="23">
        <f>SUM(C56:G56)</f>
        <v/>
      </c>
    </row>
    <row r="57" ht="15" customHeight="1">
      <c r="B57" s="22" t="inlineStr">
        <is>
          <t>Gap  —  positive is a hire</t>
        </is>
      </c>
      <c r="C57" s="23">
        <f>C55-C56</f>
        <v/>
      </c>
      <c r="D57" s="23">
        <f>D55-D56</f>
        <v/>
      </c>
      <c r="E57" s="23">
        <f>E55-E56</f>
        <v/>
      </c>
      <c r="F57" s="23">
        <f>F55-F56</f>
        <v/>
      </c>
      <c r="G57" s="23">
        <f>G55-G56</f>
        <v/>
      </c>
      <c r="H57" s="23">
        <f>SUM(C57:G57)</f>
        <v/>
      </c>
    </row>
    <row r="59" ht="15" customHeight="1">
      <c r="B59" s="11" t="inlineStr">
        <is>
          <t>Year 3</t>
        </is>
      </c>
      <c r="C59" s="11" t="inlineStr">
        <is>
          <t>E1</t>
        </is>
      </c>
      <c r="D59" s="11" t="inlineStr">
        <is>
          <t>E2</t>
        </is>
      </c>
      <c r="E59" s="11" t="inlineStr">
        <is>
          <t>E3</t>
        </is>
      </c>
      <c r="F59" s="11" t="inlineStr">
        <is>
          <t>E4</t>
        </is>
      </c>
      <c r="G59" s="11" t="inlineStr">
        <is>
          <t>E5</t>
        </is>
      </c>
      <c r="H59" s="11" t="inlineStr">
        <is>
          <t>Total</t>
        </is>
      </c>
    </row>
    <row r="60" ht="15" customHeight="1">
      <c r="B60" s="10" t="inlineStr">
        <is>
          <t>Seats the design asks for</t>
        </is>
      </c>
      <c r="C60" s="16">
        <f>SUMIFS('Seat Ledger'!$M$5:$M$287,'Seat Ledger'!$B$5:$B$287,3,'Seat Ledger'!$J$5:$J$287,"FTC",'Seat Ledger'!$I$5:$I$287,"OFF",'Seat Ledger'!$H$5:$H$287,"E1")+SUMIFS('Seat Ledger'!$M$5:$M$287,'Seat Ledger'!$B$5:$B$287,3,'Seat Ledger'!$J$5:$J$287,"FTC",'Seat Ledger'!$I$5:$I$287,"NEAR",'Seat Ledger'!$H$5:$H$287,"E1")</f>
        <v/>
      </c>
      <c r="D60" s="16">
        <f>SUMIFS('Seat Ledger'!$M$5:$M$287,'Seat Ledger'!$B$5:$B$287,3,'Seat Ledger'!$J$5:$J$287,"FTC",'Seat Ledger'!$I$5:$I$287,"OFF",'Seat Ledger'!$H$5:$H$287,"E2")+SUMIFS('Seat Ledger'!$M$5:$M$287,'Seat Ledger'!$B$5:$B$287,3,'Seat Ledger'!$J$5:$J$287,"FTC",'Seat Ledger'!$I$5:$I$287,"NEAR",'Seat Ledger'!$H$5:$H$287,"E2")</f>
        <v/>
      </c>
      <c r="E60" s="16">
        <f>SUMIFS('Seat Ledger'!$M$5:$M$287,'Seat Ledger'!$B$5:$B$287,3,'Seat Ledger'!$J$5:$J$287,"FTC",'Seat Ledger'!$I$5:$I$287,"OFF",'Seat Ledger'!$H$5:$H$287,"E3")+SUMIFS('Seat Ledger'!$M$5:$M$287,'Seat Ledger'!$B$5:$B$287,3,'Seat Ledger'!$J$5:$J$287,"FTC",'Seat Ledger'!$I$5:$I$287,"NEAR",'Seat Ledger'!$H$5:$H$287,"E3")</f>
        <v/>
      </c>
      <c r="F60" s="16">
        <f>SUMIFS('Seat Ledger'!$M$5:$M$287,'Seat Ledger'!$B$5:$B$287,3,'Seat Ledger'!$J$5:$J$287,"FTC",'Seat Ledger'!$I$5:$I$287,"OFF",'Seat Ledger'!$H$5:$H$287,"E4")+SUMIFS('Seat Ledger'!$M$5:$M$287,'Seat Ledger'!$B$5:$B$287,3,'Seat Ledger'!$J$5:$J$287,"FTC",'Seat Ledger'!$I$5:$I$287,"NEAR",'Seat Ledger'!$H$5:$H$287,"E4")</f>
        <v/>
      </c>
      <c r="G60" s="16">
        <f>SUMIFS('Seat Ledger'!$M$5:$M$287,'Seat Ledger'!$B$5:$B$287,3,'Seat Ledger'!$J$5:$J$287,"FTC",'Seat Ledger'!$I$5:$I$287,"OFF",'Seat Ledger'!$H$5:$H$287,"E5")+SUMIFS('Seat Ledger'!$M$5:$M$287,'Seat Ledger'!$B$5:$B$287,3,'Seat Ledger'!$J$5:$J$287,"FTC",'Seat Ledger'!$I$5:$I$287,"NEAR",'Seat Ledger'!$H$5:$H$287,"E5")</f>
        <v/>
      </c>
      <c r="H60" s="23">
        <f>SUM(C60:G60)</f>
        <v/>
      </c>
    </row>
    <row r="61" ht="15" customHeight="1">
      <c r="B61" s="10" t="inlineStr">
        <is>
          <t>People we already have</t>
        </is>
      </c>
      <c r="C61" s="16" t="n">
        <v>0</v>
      </c>
      <c r="D61" s="16" t="n">
        <v>0.94889088</v>
      </c>
      <c r="E61" s="16" t="n">
        <v>1.55392128</v>
      </c>
      <c r="F61" s="16" t="n">
        <v>1.08018297</v>
      </c>
      <c r="G61" s="16" t="n">
        <v>0.12708787</v>
      </c>
      <c r="H61" s="23">
        <f>SUM(C61:G61)</f>
        <v/>
      </c>
    </row>
    <row r="62" ht="15" customHeight="1">
      <c r="B62" s="22" t="inlineStr">
        <is>
          <t>Gap  —  positive is a hire</t>
        </is>
      </c>
      <c r="C62" s="23">
        <f>C60-C61</f>
        <v/>
      </c>
      <c r="D62" s="23">
        <f>D60-D61</f>
        <v/>
      </c>
      <c r="E62" s="23">
        <f>E60-E61</f>
        <v/>
      </c>
      <c r="F62" s="23">
        <f>F60-F61</f>
        <v/>
      </c>
      <c r="G62" s="23">
        <f>G60-G61</f>
        <v/>
      </c>
      <c r="H62" s="23">
        <f>SUM(C62:G62)</f>
        <v/>
      </c>
    </row>
    <row r="64" ht="15" customHeight="1">
      <c r="B64" s="11" t="inlineStr">
        <is>
          <t>Year 4</t>
        </is>
      </c>
      <c r="C64" s="11" t="inlineStr">
        <is>
          <t>E1</t>
        </is>
      </c>
      <c r="D64" s="11" t="inlineStr">
        <is>
          <t>E2</t>
        </is>
      </c>
      <c r="E64" s="11" t="inlineStr">
        <is>
          <t>E3</t>
        </is>
      </c>
      <c r="F64" s="11" t="inlineStr">
        <is>
          <t>E4</t>
        </is>
      </c>
      <c r="G64" s="11" t="inlineStr">
        <is>
          <t>E5</t>
        </is>
      </c>
      <c r="H64" s="11" t="inlineStr">
        <is>
          <t>Total</t>
        </is>
      </c>
    </row>
    <row r="65" ht="15" customHeight="1">
      <c r="B65" s="10" t="inlineStr">
        <is>
          <t>Seats the design asks for</t>
        </is>
      </c>
      <c r="C65" s="16">
        <f>SUMIFS('Seat Ledger'!$M$5:$M$287,'Seat Ledger'!$B$5:$B$287,4,'Seat Ledger'!$J$5:$J$287,"FTC",'Seat Ledger'!$I$5:$I$287,"OFF",'Seat Ledger'!$H$5:$H$287,"E1")+SUMIFS('Seat Ledger'!$M$5:$M$287,'Seat Ledger'!$B$5:$B$287,4,'Seat Ledger'!$J$5:$J$287,"FTC",'Seat Ledger'!$I$5:$I$287,"NEAR",'Seat Ledger'!$H$5:$H$287,"E1")</f>
        <v/>
      </c>
      <c r="D65" s="16">
        <f>SUMIFS('Seat Ledger'!$M$5:$M$287,'Seat Ledger'!$B$5:$B$287,4,'Seat Ledger'!$J$5:$J$287,"FTC",'Seat Ledger'!$I$5:$I$287,"OFF",'Seat Ledger'!$H$5:$H$287,"E2")+SUMIFS('Seat Ledger'!$M$5:$M$287,'Seat Ledger'!$B$5:$B$287,4,'Seat Ledger'!$J$5:$J$287,"FTC",'Seat Ledger'!$I$5:$I$287,"NEAR",'Seat Ledger'!$H$5:$H$287,"E2")</f>
        <v/>
      </c>
      <c r="E65" s="16">
        <f>SUMIFS('Seat Ledger'!$M$5:$M$287,'Seat Ledger'!$B$5:$B$287,4,'Seat Ledger'!$J$5:$J$287,"FTC",'Seat Ledger'!$I$5:$I$287,"OFF",'Seat Ledger'!$H$5:$H$287,"E3")+SUMIFS('Seat Ledger'!$M$5:$M$287,'Seat Ledger'!$B$5:$B$287,4,'Seat Ledger'!$J$5:$J$287,"FTC",'Seat Ledger'!$I$5:$I$287,"NEAR",'Seat Ledger'!$H$5:$H$287,"E3")</f>
        <v/>
      </c>
      <c r="F65" s="16">
        <f>SUMIFS('Seat Ledger'!$M$5:$M$287,'Seat Ledger'!$B$5:$B$287,4,'Seat Ledger'!$J$5:$J$287,"FTC",'Seat Ledger'!$I$5:$I$287,"OFF",'Seat Ledger'!$H$5:$H$287,"E4")+SUMIFS('Seat Ledger'!$M$5:$M$287,'Seat Ledger'!$B$5:$B$287,4,'Seat Ledger'!$J$5:$J$287,"FTC",'Seat Ledger'!$I$5:$I$287,"NEAR",'Seat Ledger'!$H$5:$H$287,"E4")</f>
        <v/>
      </c>
      <c r="G65" s="16">
        <f>SUMIFS('Seat Ledger'!$M$5:$M$287,'Seat Ledger'!$B$5:$B$287,4,'Seat Ledger'!$J$5:$J$287,"FTC",'Seat Ledger'!$I$5:$I$287,"OFF",'Seat Ledger'!$H$5:$H$287,"E5")+SUMIFS('Seat Ledger'!$M$5:$M$287,'Seat Ledger'!$B$5:$B$287,4,'Seat Ledger'!$J$5:$J$287,"FTC",'Seat Ledger'!$I$5:$I$287,"NEAR",'Seat Ledger'!$H$5:$H$287,"E5")</f>
        <v/>
      </c>
      <c r="H65" s="23">
        <f>SUM(C65:G65)</f>
        <v/>
      </c>
    </row>
    <row r="66" ht="15" customHeight="1">
      <c r="B66" s="10" t="inlineStr">
        <is>
          <t>People we already have</t>
        </is>
      </c>
      <c r="C66" s="16" t="n">
        <v>0</v>
      </c>
      <c r="D66" s="16" t="n">
        <v>0.653596038144</v>
      </c>
      <c r="E66" s="16" t="n">
        <v>1.314176615424</v>
      </c>
      <c r="F66" s="16" t="n">
        <v>1.076388229143</v>
      </c>
      <c r="G66" s="16" t="n">
        <v>0.188270252989</v>
      </c>
      <c r="H66" s="23">
        <f>SUM(C66:G66)</f>
        <v/>
      </c>
    </row>
    <row r="67" ht="15" customHeight="1">
      <c r="B67" s="22" t="inlineStr">
        <is>
          <t>Gap  —  positive is a hire</t>
        </is>
      </c>
      <c r="C67" s="23">
        <f>C65-C66</f>
        <v/>
      </c>
      <c r="D67" s="23">
        <f>D65-D66</f>
        <v/>
      </c>
      <c r="E67" s="23">
        <f>E65-E66</f>
        <v/>
      </c>
      <c r="F67" s="23">
        <f>F65-F66</f>
        <v/>
      </c>
      <c r="G67" s="23">
        <f>G65-G66</f>
        <v/>
      </c>
      <c r="H67" s="23">
        <f>SUM(C67:G67)</f>
        <v/>
      </c>
    </row>
    <row r="69" ht="15" customHeight="1">
      <c r="B69" s="11" t="inlineStr">
        <is>
          <t>Year 5</t>
        </is>
      </c>
      <c r="C69" s="11" t="inlineStr">
        <is>
          <t>E1</t>
        </is>
      </c>
      <c r="D69" s="11" t="inlineStr">
        <is>
          <t>E2</t>
        </is>
      </c>
      <c r="E69" s="11" t="inlineStr">
        <is>
          <t>E3</t>
        </is>
      </c>
      <c r="F69" s="11" t="inlineStr">
        <is>
          <t>E4</t>
        </is>
      </c>
      <c r="G69" s="11" t="inlineStr">
        <is>
          <t>E5</t>
        </is>
      </c>
      <c r="H69" s="11" t="inlineStr">
        <is>
          <t>Total</t>
        </is>
      </c>
    </row>
    <row r="70" ht="15" customHeight="1">
      <c r="B70" s="10" t="inlineStr">
        <is>
          <t>Seats the design asks for</t>
        </is>
      </c>
      <c r="C70" s="16">
        <f>SUMIFS('Seat Ledger'!$M$5:$M$287,'Seat Ledger'!$B$5:$B$287,5,'Seat Ledger'!$J$5:$J$287,"FTC",'Seat Ledger'!$I$5:$I$287,"OFF",'Seat Ledger'!$H$5:$H$287,"E1")+SUMIFS('Seat Ledger'!$M$5:$M$287,'Seat Ledger'!$B$5:$B$287,5,'Seat Ledger'!$J$5:$J$287,"FTC",'Seat Ledger'!$I$5:$I$287,"NEAR",'Seat Ledger'!$H$5:$H$287,"E1")</f>
        <v/>
      </c>
      <c r="D70" s="16">
        <f>SUMIFS('Seat Ledger'!$M$5:$M$287,'Seat Ledger'!$B$5:$B$287,5,'Seat Ledger'!$J$5:$J$287,"FTC",'Seat Ledger'!$I$5:$I$287,"OFF",'Seat Ledger'!$H$5:$H$287,"E2")+SUMIFS('Seat Ledger'!$M$5:$M$287,'Seat Ledger'!$B$5:$B$287,5,'Seat Ledger'!$J$5:$J$287,"FTC",'Seat Ledger'!$I$5:$I$287,"NEAR",'Seat Ledger'!$H$5:$H$287,"E2")</f>
        <v/>
      </c>
      <c r="E70" s="16">
        <f>SUMIFS('Seat Ledger'!$M$5:$M$287,'Seat Ledger'!$B$5:$B$287,5,'Seat Ledger'!$J$5:$J$287,"FTC",'Seat Ledger'!$I$5:$I$287,"OFF",'Seat Ledger'!$H$5:$H$287,"E3")+SUMIFS('Seat Ledger'!$M$5:$M$287,'Seat Ledger'!$B$5:$B$287,5,'Seat Ledger'!$J$5:$J$287,"FTC",'Seat Ledger'!$I$5:$I$287,"NEAR",'Seat Ledger'!$H$5:$H$287,"E3")</f>
        <v/>
      </c>
      <c r="F70" s="16">
        <f>SUMIFS('Seat Ledger'!$M$5:$M$287,'Seat Ledger'!$B$5:$B$287,5,'Seat Ledger'!$J$5:$J$287,"FTC",'Seat Ledger'!$I$5:$I$287,"OFF",'Seat Ledger'!$H$5:$H$287,"E4")+SUMIFS('Seat Ledger'!$M$5:$M$287,'Seat Ledger'!$B$5:$B$287,5,'Seat Ledger'!$J$5:$J$287,"FTC",'Seat Ledger'!$I$5:$I$287,"NEAR",'Seat Ledger'!$H$5:$H$287,"E4")</f>
        <v/>
      </c>
      <c r="G70" s="16">
        <f>SUMIFS('Seat Ledger'!$M$5:$M$287,'Seat Ledger'!$B$5:$B$287,5,'Seat Ledger'!$J$5:$J$287,"FTC",'Seat Ledger'!$I$5:$I$287,"OFF",'Seat Ledger'!$H$5:$H$287,"E5")+SUMIFS('Seat Ledger'!$M$5:$M$287,'Seat Ledger'!$B$5:$B$287,5,'Seat Ledger'!$J$5:$J$287,"FTC",'Seat Ledger'!$I$5:$I$287,"NEAR",'Seat Ledger'!$H$5:$H$287,"E5")</f>
        <v/>
      </c>
      <c r="H70" s="23">
        <f>SUM(C70:G70)</f>
        <v/>
      </c>
    </row>
    <row r="71" ht="15" customHeight="1">
      <c r="B71" s="10" t="inlineStr">
        <is>
          <t>People we already have</t>
        </is>
      </c>
      <c r="C71" s="16" t="n">
        <v>0</v>
      </c>
      <c r="D71" s="16" t="n">
        <v>0.450196951073587</v>
      </c>
      <c r="E71" s="16" t="n">
        <v>1.09188541697311</v>
      </c>
      <c r="F71" s="16" t="n">
        <v>1.04814739697399</v>
      </c>
      <c r="G71" s="16" t="n">
        <v>0.245539968006069</v>
      </c>
      <c r="H71" s="23">
        <f>SUM(C71:G71)</f>
        <v/>
      </c>
    </row>
    <row r="72" ht="15" customHeight="1">
      <c r="B72" s="22" t="inlineStr">
        <is>
          <t>Gap  —  positive is a hire</t>
        </is>
      </c>
      <c r="C72" s="23">
        <f>C70-C71</f>
        <v/>
      </c>
      <c r="D72" s="23">
        <f>D70-D71</f>
        <v/>
      </c>
      <c r="E72" s="23">
        <f>E70-E71</f>
        <v/>
      </c>
      <c r="F72" s="23">
        <f>F70-F71</f>
        <v/>
      </c>
      <c r="G72" s="23">
        <f>G70-G71</f>
        <v/>
      </c>
      <c r="H72" s="23">
        <f>SUM(C72:G72)</f>
        <v/>
      </c>
    </row>
    <row r="74" ht="60" customHeight="1">
      <c r="B74" s="19" t="inlineStr">
        <is>
          <t>The shortage is at E2 and E3 in every year, and the surplus is at E5 in every year — the mirror image of Sales. The E5 surplus is small in absolute terms (2.0 people in Year 1 rising to 2.8 by Year 5) but it is 100% of the E5 population, because the design carries no offshore E5 seat at all. Those people belong in the horizontal architecture and quality-lead roles, which is where the seat ledger puts them, or they are a redeployment out of the domain.</t>
        </is>
      </c>
    </row>
    <row r="76" ht="15" customHeight="1">
      <c r="A76" s="6" t="inlineStr">
        <is>
          <t>G.  WHAT THIS MEANS FOR THE SOLUTION</t>
        </is>
      </c>
    </row>
    <row r="77" ht="49.5" customHeight="1">
      <c r="B77" s="5" t="inlineStr">
        <is>
          <t>•  The continuity argument is the strongest in the portfolio. 33 of the Year-1 Capgemini offshore seats are people already sitting on these applications. The balance are hires onto a Java, JavaScript and API estate — the easiest hiring profile of the five 領域 modelled, onshore or offshore.</t>
        </is>
      </c>
    </row>
    <row r="78" ht="49.5" customHeight="1">
      <c r="B78" s="5" t="inlineStr">
        <is>
          <t>•  The talent-shape risk is manageable. The cohort is 28.9% senior on day one and seniorises from there. The design counters it by hiring at E2/E3 offshore and by placing surviving seniors in the architecture, quality-lead and pod-lead roles where they earn their band.</t>
        </is>
      </c>
    </row>
    <row r="79" ht="49.5" customHeight="1">
      <c r="B79" s="5" t="inlineStr">
        <is>
          <t>•  There is no incumbent sub-contractor to displace. Golden v4 names Capgemini on five of the ten applications and NCD on one 1.4-unit application; 13.0 vendor units carry no named vendor at all. That is a due-diligence question, not a modelled partner — and it is why the PT rows in this workbook resolve to zero.</t>
        </is>
      </c>
    </row>
    <row r="80" ht="49.5" customHeight="1">
      <c r="B80" s="5" t="inlineStr">
        <is>
          <t>•  Five people in Japan against 36.7 onshore vendor units on day one. Every other bilingual Tokyo seat is a hire or a redeployment. Smaller here than elsewhere because the stack is English-specification and the offshore ceiling is only 65.3% and 84% of the vendor population is in Tokyo today.</t>
        </is>
      </c>
    </row>
  </sheetData>
  <mergeCells count="20">
    <mergeCell ref="A48:H48"/>
    <mergeCell ref="D10:H10"/>
    <mergeCell ref="A1:K1"/>
    <mergeCell ref="B78:J78"/>
    <mergeCell ref="D6:H6"/>
    <mergeCell ref="A41:H41"/>
    <mergeCell ref="B74:J74"/>
    <mergeCell ref="D7:H7"/>
    <mergeCell ref="A21:H21"/>
    <mergeCell ref="B80:J80"/>
    <mergeCell ref="A2:K2"/>
    <mergeCell ref="A76:H76"/>
    <mergeCell ref="B79:J79"/>
    <mergeCell ref="A14:H14"/>
    <mergeCell ref="D9:H9"/>
    <mergeCell ref="A4:H4"/>
    <mergeCell ref="D8:H8"/>
    <mergeCell ref="A29:H29"/>
    <mergeCell ref="B12:J12"/>
    <mergeCell ref="B77:J77"/>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J71"/>
  <sheetViews>
    <sheetView zoomScaleNormal="100" workbookViewId="0">
      <selection activeCell="A1" sqref="A1:J1"/>
    </sheetView>
  </sheetViews>
  <sheetFormatPr baseColWidth="8" defaultColWidth="8.6328125" defaultRowHeight="14.5"/>
  <cols>
    <col width="2.453125" customWidth="1" min="1" max="1"/>
    <col width="48" customWidth="1" min="2" max="2"/>
    <col width="13" customWidth="1" min="3" max="7"/>
    <col width="3" customWidth="1" min="8" max="8"/>
    <col width="52" customWidth="1" min="9" max="9"/>
  </cols>
  <sheetData>
    <row r="1" ht="25.5" customHeight="1">
      <c r="A1" s="8" t="inlineStr">
        <is>
          <t>Glidepath  —  capability, carry-forward, offshore, and one transfer at the end of Year 3</t>
        </is>
      </c>
    </row>
    <row r="2" ht="15" customHeight="1">
      <c r="A2" s="7" t="inlineStr">
        <is>
          <t>Year 1 passes nothing through. The transfer is struck on the exit position at full realisation.</t>
        </is>
      </c>
    </row>
    <row r="4" ht="15" customHeight="1">
      <c r="A4" s="6" t="inlineStr">
        <is>
          <t>A.  BASELINE</t>
        </is>
      </c>
    </row>
    <row r="5" ht="15" customHeight="1">
      <c r="B5" s="11" t="inlineStr">
        <is>
          <t>Measure</t>
        </is>
      </c>
      <c r="C5" s="11" t="inlineStr">
        <is>
          <t>Value</t>
        </is>
      </c>
    </row>
    <row r="6" ht="15" customHeight="1">
      <c r="B6" s="10" t="inlineStr">
        <is>
          <t>Applications</t>
        </is>
      </c>
      <c r="C6" s="21">
        <f>'Logic Tree'!C6</f>
        <v/>
      </c>
    </row>
    <row r="7" ht="15" customHeight="1">
      <c r="B7" s="10" t="inlineStr">
        <is>
          <t>Total effort (units)</t>
        </is>
      </c>
      <c r="C7" s="54">
        <f>'Logic Tree'!C7</f>
        <v/>
      </c>
    </row>
    <row r="8" ht="15" customHeight="1">
      <c r="B8" s="10" t="inlineStr">
        <is>
          <t>Capgemini FTC</t>
        </is>
      </c>
      <c r="C8" s="54">
        <f>'Logic Tree'!C8</f>
        <v/>
      </c>
    </row>
    <row r="9" ht="15" customHeight="1">
      <c r="B9" s="10" t="inlineStr">
        <is>
          <t>MetLife FTE</t>
        </is>
      </c>
      <c r="C9" s="54">
        <f>'Logic Tree'!C9</f>
        <v/>
      </c>
    </row>
    <row r="10" ht="15" customHeight="1">
      <c r="B10" s="10" t="inlineStr">
        <is>
          <t>MetLife MGCC</t>
        </is>
      </c>
      <c r="C10" s="54">
        <f>'Logic Tree'!C10</f>
        <v/>
      </c>
    </row>
    <row r="11" ht="15" customHeight="1">
      <c r="B11" s="10" t="inlineStr">
        <is>
          <t>Ratio today — Capgemini share</t>
        </is>
      </c>
      <c r="C11" s="20">
        <f>'Logic Tree'!C23</f>
        <v/>
      </c>
    </row>
    <row r="12" ht="27.75" customHeight="1">
      <c r="B12" s="10" t="inlineStr">
        <is>
          <t>Offshore today — whole team, measured</t>
        </is>
      </c>
      <c r="C12" s="20">
        <f>'Logic Tree'!C24</f>
        <v/>
      </c>
      <c r="I12" s="19" t="inlineStr">
        <is>
          <t>45.5% offshore on day one — 28.87 offshore, 0.96 nearshore and 15.99 MGCC against 100.765 units. A 30.0% start against a 65.3% ceiling — the gap is real but the runway is long.</t>
        </is>
      </c>
    </row>
    <row r="13" ht="15" customHeight="1">
      <c r="B13" s="10" t="inlineStr">
        <is>
          <t>Appendix 3 Year-3 target, each side</t>
        </is>
      </c>
      <c r="C13" s="54">
        <f>'Logic Tree'!C22</f>
        <v/>
      </c>
    </row>
    <row r="15" ht="15" customHeight="1">
      <c r="A15" s="6" t="inlineStr">
        <is>
          <t>B.  PRODUCTIVITY</t>
        </is>
      </c>
    </row>
    <row r="16" ht="15" customHeight="1">
      <c r="B16" s="11" t="inlineStr">
        <is>
          <t>Measure</t>
        </is>
      </c>
      <c r="C16" s="11" t="inlineStr">
        <is>
          <t>Year 1</t>
        </is>
      </c>
      <c r="D16" s="11" t="inlineStr">
        <is>
          <t>Year 2</t>
        </is>
      </c>
      <c r="E16" s="11" t="inlineStr">
        <is>
          <t>Year 3</t>
        </is>
      </c>
      <c r="F16" s="11" t="inlineStr">
        <is>
          <t>Year 4</t>
        </is>
      </c>
      <c r="G16" s="11" t="inlineStr">
        <is>
          <t>Year 5</t>
        </is>
      </c>
    </row>
    <row r="17" ht="15" customHeight="1">
      <c r="B17" s="10" t="inlineStr">
        <is>
          <t>Agile share of the domain</t>
        </is>
      </c>
      <c r="C17" s="20">
        <f>'Delivery Mode'!C20</f>
        <v/>
      </c>
      <c r="D17" s="20">
        <f>'Delivery Mode'!D20</f>
        <v/>
      </c>
      <c r="E17" s="20">
        <f>'Delivery Mode'!E20</f>
        <v/>
      </c>
      <c r="F17" s="20">
        <f>'Delivery Mode'!F20</f>
        <v/>
      </c>
      <c r="G17" s="20">
        <f>'Delivery Mode'!G20</f>
        <v/>
      </c>
    </row>
    <row r="18" ht="15" customHeight="1">
      <c r="B18" s="10" t="inlineStr">
        <is>
          <t>Capability earned by end of year</t>
        </is>
      </c>
      <c r="C18" s="20">
        <f>'Logic Tree'!C45</f>
        <v/>
      </c>
      <c r="D18" s="20">
        <f>'Logic Tree'!D45</f>
        <v/>
      </c>
      <c r="E18" s="20">
        <f>'Logic Tree'!E45</f>
        <v/>
      </c>
      <c r="F18" s="20">
        <f>'Logic Tree'!F45</f>
        <v/>
      </c>
      <c r="G18" s="20">
        <f>'Logic Tree'!G45</f>
        <v/>
      </c>
    </row>
    <row r="19" ht="15" customHeight="1">
      <c r="B19" s="10" t="inlineStr">
        <is>
          <t>Banked from prior year</t>
        </is>
      </c>
      <c r="C19" s="20">
        <f>'Logic Tree'!C50</f>
        <v/>
      </c>
      <c r="D19" s="20">
        <f>'Logic Tree'!D50</f>
        <v/>
      </c>
      <c r="E19" s="20">
        <f>'Logic Tree'!E50</f>
        <v/>
      </c>
      <c r="F19" s="20">
        <f>'Logic Tree'!F50</f>
        <v/>
      </c>
      <c r="G19" s="20">
        <f>'Logic Tree'!G50</f>
        <v/>
      </c>
    </row>
    <row r="20" ht="15" customHeight="1">
      <c r="B20" s="10" t="inlineStr">
        <is>
          <t>Pre-load of this year's gain</t>
        </is>
      </c>
      <c r="C20" s="20">
        <f>'Logic Tree'!C51</f>
        <v/>
      </c>
      <c r="D20" s="20">
        <f>'Logic Tree'!D51</f>
        <v/>
      </c>
      <c r="E20" s="20">
        <f>'Logic Tree'!E51</f>
        <v/>
      </c>
      <c r="F20" s="20">
        <f>'Logic Tree'!F51</f>
        <v/>
      </c>
      <c r="G20" s="20">
        <f>'Logic Tree'!G51</f>
        <v/>
      </c>
    </row>
    <row r="21" ht="18.75" customHeight="1">
      <c r="B21" s="22" t="inlineStr">
        <is>
          <t>APPLIED TO STAFFING</t>
        </is>
      </c>
      <c r="C21" s="26">
        <f>'Logic Tree'!C52</f>
        <v/>
      </c>
      <c r="D21" s="26">
        <f>'Logic Tree'!D52</f>
        <v/>
      </c>
      <c r="E21" s="26">
        <f>'Logic Tree'!E52</f>
        <v/>
      </c>
      <c r="F21" s="26">
        <f>'Logic Tree'!F52</f>
        <v/>
      </c>
      <c r="G21" s="26">
        <f>'Logic Tree'!G52</f>
        <v/>
      </c>
      <c r="I21" s="19" t="inlineStr">
        <is>
          <t>Year 1 applies nothing: the capability the tree allows is consumed by transition, substrate build and the agile conversion itself.</t>
        </is>
      </c>
    </row>
    <row r="22" ht="15" customHeight="1">
      <c r="B22" s="10" t="inlineStr">
        <is>
          <t>Headcount target</t>
        </is>
      </c>
      <c r="C22" s="16">
        <f>'Logic Tree'!C53</f>
        <v/>
      </c>
      <c r="D22" s="16">
        <f>'Logic Tree'!D53</f>
        <v/>
      </c>
      <c r="E22" s="16">
        <f>'Logic Tree'!E53</f>
        <v/>
      </c>
      <c r="F22" s="16">
        <f>'Logic Tree'!F53</f>
        <v/>
      </c>
      <c r="G22" s="16">
        <f>'Logic Tree'!G53</f>
        <v/>
      </c>
    </row>
    <row r="23" ht="15" customHeight="1">
      <c r="B23" s="10" t="inlineStr">
        <is>
          <t>Headcount delivered by the design</t>
        </is>
      </c>
      <c r="C23" s="16">
        <f>'Team Build-Up'!C9</f>
        <v/>
      </c>
      <c r="D23" s="16">
        <f>'Team Build-Up'!D9</f>
        <v/>
      </c>
      <c r="E23" s="16">
        <f>'Team Build-Up'!E9</f>
        <v/>
      </c>
      <c r="F23" s="16">
        <f>'Team Build-Up'!F9</f>
        <v/>
      </c>
      <c r="G23" s="16">
        <f>'Team Build-Up'!G9</f>
        <v/>
      </c>
    </row>
    <row r="24" ht="15" customHeight="1">
      <c r="B24" s="10" t="inlineStr">
        <is>
          <t>Variance</t>
        </is>
      </c>
      <c r="C24" s="16">
        <f>'Team Build-Up'!C12</f>
        <v/>
      </c>
      <c r="D24" s="16">
        <f>'Team Build-Up'!D12</f>
        <v/>
      </c>
      <c r="E24" s="16">
        <f>'Team Build-Up'!E12</f>
        <v/>
      </c>
      <c r="F24" s="16">
        <f>'Team Build-Up'!F12</f>
        <v/>
      </c>
      <c r="G24" s="16">
        <f>'Team Build-Up'!G12</f>
        <v/>
      </c>
    </row>
    <row r="25" ht="15" customHeight="1">
      <c r="B25" s="22" t="inlineStr">
        <is>
          <t>Delivered productivity vs baseline</t>
        </is>
      </c>
      <c r="C25" s="26">
        <f>1-C23/$C$7</f>
        <v/>
      </c>
      <c r="D25" s="26">
        <f>1-D23/$C$7</f>
        <v/>
      </c>
      <c r="E25" s="26">
        <f>1-E23/$C$7</f>
        <v/>
      </c>
      <c r="F25" s="26">
        <f>1-F23/$C$7</f>
        <v/>
      </c>
      <c r="G25" s="26">
        <f>1-G23/$C$7</f>
        <v/>
      </c>
    </row>
    <row r="26" ht="23.25" customHeight="1">
      <c r="B26" s="32" t="inlineStr">
        <is>
          <t>EXIT YEAR 3 — full realisation, the point the transfer is struck</t>
        </is>
      </c>
      <c r="E26" s="34">
        <f>'Logic Tree'!E54</f>
        <v/>
      </c>
    </row>
    <row r="28" ht="15" customHeight="1">
      <c r="A28" s="6" t="inlineStr">
        <is>
          <t>C.  OFFSHORE</t>
        </is>
      </c>
    </row>
    <row r="29" ht="15" customHeight="1">
      <c r="B29" s="11" t="inlineStr">
        <is>
          <t>Measure</t>
        </is>
      </c>
      <c r="C29" s="11" t="inlineStr">
        <is>
          <t>Year 1</t>
        </is>
      </c>
      <c r="D29" s="11" t="inlineStr">
        <is>
          <t>Year 2</t>
        </is>
      </c>
      <c r="E29" s="11" t="inlineStr">
        <is>
          <t>Year 3</t>
        </is>
      </c>
      <c r="F29" s="11" t="inlineStr">
        <is>
          <t>Year 4</t>
        </is>
      </c>
      <c r="G29" s="11" t="inlineStr">
        <is>
          <t>Year 5</t>
        </is>
      </c>
    </row>
    <row r="30" ht="15" customHeight="1">
      <c r="B30" s="22" t="inlineStr">
        <is>
          <t>Delivered — bottom-up from seat locations</t>
        </is>
      </c>
      <c r="C30" s="55">
        <f>'Team Build-Up'!C54</f>
        <v/>
      </c>
      <c r="D30" s="55">
        <f>'Team Build-Up'!D54</f>
        <v/>
      </c>
      <c r="E30" s="55">
        <f>'Team Build-Up'!E54</f>
        <v/>
      </c>
      <c r="F30" s="55">
        <f>'Team Build-Up'!F54</f>
        <v/>
      </c>
      <c r="G30" s="55">
        <f>'Team Build-Up'!G54</f>
        <v/>
      </c>
    </row>
    <row r="31" ht="15" customHeight="1">
      <c r="B31" s="10" t="inlineStr">
        <is>
          <t>Target — today plus the closed gap</t>
        </is>
      </c>
      <c r="C31" s="20">
        <f>'Logic Tree'!C68</f>
        <v/>
      </c>
      <c r="D31" s="20">
        <f>'Logic Tree'!D68</f>
        <v/>
      </c>
      <c r="E31" s="20">
        <f>'Logic Tree'!E68</f>
        <v/>
      </c>
      <c r="F31" s="20">
        <f>'Logic Tree'!F68</f>
        <v/>
      </c>
      <c r="G31" s="20">
        <f>'Logic Tree'!G68</f>
        <v/>
      </c>
    </row>
    <row r="32" ht="15" customHeight="1">
      <c r="B32" s="10" t="inlineStr">
        <is>
          <t>Delivered — Capgemini payroll only</t>
        </is>
      </c>
      <c r="C32" s="20">
        <f>'Team Build-Up'!C56</f>
        <v/>
      </c>
      <c r="D32" s="20">
        <f>'Team Build-Up'!D56</f>
        <v/>
      </c>
      <c r="E32" s="20">
        <f>'Team Build-Up'!E56</f>
        <v/>
      </c>
      <c r="F32" s="20">
        <f>'Team Build-Up'!F56</f>
        <v/>
      </c>
      <c r="G32" s="20">
        <f>'Team Build-Up'!G56</f>
        <v/>
      </c>
    </row>
    <row r="33" ht="18.75" customHeight="1">
      <c r="B33" s="10" t="inlineStr">
        <is>
          <t>Movement from today, in people</t>
        </is>
      </c>
      <c r="C33" s="44">
        <f>C30*'Team Build-Up'!C9-$C$12*$C$7</f>
        <v/>
      </c>
      <c r="D33" s="44">
        <f>D30*'Team Build-Up'!D9-$C$12*$C$7</f>
        <v/>
      </c>
      <c r="E33" s="44">
        <f>E30*'Team Build-Up'!E9-$C$12*$C$7</f>
        <v/>
      </c>
      <c r="F33" s="44">
        <f>F30*'Team Build-Up'!F9-$C$12*$C$7</f>
        <v/>
      </c>
      <c r="G33" s="44">
        <f>G30*'Team Build-Up'!G9-$C$12*$C$7</f>
        <v/>
      </c>
      <c r="I33" s="19" t="inlineStr">
        <is>
          <t>The offshore SHARE rises every year while the offshore HEADCOUNT falls from Year 2. Both are true and only the second one costs anything.</t>
        </is>
      </c>
    </row>
    <row r="35" ht="15" customHeight="1">
      <c r="A35" s="6" t="inlineStr">
        <is>
          <t>D.  THE 50:50</t>
        </is>
      </c>
    </row>
    <row r="36" ht="15" customHeight="1">
      <c r="B36" s="11" t="inlineStr">
        <is>
          <t>Measure</t>
        </is>
      </c>
      <c r="C36" s="11" t="inlineStr">
        <is>
          <t>Year 1</t>
        </is>
      </c>
      <c r="D36" s="11" t="inlineStr">
        <is>
          <t>Year 2</t>
        </is>
      </c>
      <c r="E36" s="11" t="inlineStr">
        <is>
          <t>Year 3</t>
        </is>
      </c>
      <c r="F36" s="11" t="inlineStr">
        <is>
          <t>Year 4</t>
        </is>
      </c>
      <c r="G36" s="11" t="inlineStr">
        <is>
          <t>Year 5</t>
        </is>
      </c>
    </row>
    <row r="37" ht="15" customHeight="1">
      <c r="B37" s="10" t="inlineStr">
        <is>
          <t>Total people</t>
        </is>
      </c>
      <c r="C37" s="16">
        <f>'Team Build-Up'!C9</f>
        <v/>
      </c>
      <c r="D37" s="16">
        <f>'Team Build-Up'!D9</f>
        <v/>
      </c>
      <c r="E37" s="16">
        <f>'Team Build-Up'!E9</f>
        <v/>
      </c>
      <c r="F37" s="16">
        <f>'Team Build-Up'!F9</f>
        <v/>
      </c>
      <c r="G37" s="16">
        <f>'Team Build-Up'!G9</f>
        <v/>
      </c>
    </row>
    <row r="38" ht="15" customHeight="1">
      <c r="B38" s="10" t="inlineStr">
        <is>
          <t>Vendor total  (Capgemini + partner)</t>
        </is>
      </c>
      <c r="C38" s="16">
        <f>'Team Build-Up'!C47</f>
        <v/>
      </c>
      <c r="D38" s="16">
        <f>'Team Build-Up'!D47</f>
        <v/>
      </c>
      <c r="E38" s="16">
        <f>'Team Build-Up'!E47</f>
        <v/>
      </c>
      <c r="F38" s="16">
        <f>'Team Build-Up'!F47</f>
        <v/>
      </c>
      <c r="G38" s="16">
        <f>'Team Build-Up'!G47</f>
        <v/>
      </c>
    </row>
    <row r="39" ht="15" customHeight="1">
      <c r="B39" s="10" t="inlineStr">
        <is>
          <t xml:space="preserve">  — Capgemini payroll</t>
        </is>
      </c>
      <c r="C39" s="16">
        <f>'Team Build-Up'!C45</f>
        <v/>
      </c>
      <c r="D39" s="16">
        <f>'Team Build-Up'!D45</f>
        <v/>
      </c>
      <c r="E39" s="16">
        <f>'Team Build-Up'!E45</f>
        <v/>
      </c>
      <c r="F39" s="16">
        <f>'Team Build-Up'!F45</f>
        <v/>
      </c>
      <c r="G39" s="16">
        <f>'Team Build-Up'!G45</f>
        <v/>
      </c>
    </row>
    <row r="40" ht="15" customHeight="1">
      <c r="B40" s="10" t="inlineStr">
        <is>
          <t xml:space="preserve">  — named sub-contractor (zero in this 領域)</t>
        </is>
      </c>
      <c r="C40" s="16">
        <f>'Team Build-Up'!C46</f>
        <v/>
      </c>
      <c r="D40" s="16">
        <f>'Team Build-Up'!D46</f>
        <v/>
      </c>
      <c r="E40" s="16">
        <f>'Team Build-Up'!E46</f>
        <v/>
      </c>
      <c r="F40" s="16">
        <f>'Team Build-Up'!F46</f>
        <v/>
      </c>
      <c r="G40" s="16">
        <f>'Team Build-Up'!G46</f>
        <v/>
      </c>
    </row>
    <row r="41" ht="15" customHeight="1">
      <c r="B41" s="10" t="inlineStr">
        <is>
          <t>MetLife FTE</t>
        </is>
      </c>
      <c r="C41" s="16">
        <f>'Team Build-Up'!C48</f>
        <v/>
      </c>
      <c r="D41" s="16">
        <f>'Team Build-Up'!D48</f>
        <v/>
      </c>
      <c r="E41" s="16">
        <f>'Team Build-Up'!E48</f>
        <v/>
      </c>
      <c r="F41" s="16">
        <f>'Team Build-Up'!F48</f>
        <v/>
      </c>
      <c r="G41" s="16">
        <f>'Team Build-Up'!G48</f>
        <v/>
      </c>
    </row>
    <row r="42" ht="15" customHeight="1">
      <c r="B42" s="10" t="inlineStr">
        <is>
          <t>MetLife MGCC</t>
        </is>
      </c>
      <c r="C42" s="16">
        <f>'Team Build-Up'!C49</f>
        <v/>
      </c>
      <c r="D42" s="16">
        <f>'Team Build-Up'!D49</f>
        <v/>
      </c>
      <c r="E42" s="16">
        <f>'Team Build-Up'!E49</f>
        <v/>
      </c>
      <c r="F42" s="16">
        <f>'Team Build-Up'!F49</f>
        <v/>
      </c>
      <c r="G42" s="16">
        <f>'Team Build-Up'!G49</f>
        <v/>
      </c>
    </row>
    <row r="43" ht="15" customHeight="1">
      <c r="B43" s="10" t="inlineStr">
        <is>
          <t>MetLife side total</t>
        </is>
      </c>
      <c r="C43" s="16">
        <f>C41+C42</f>
        <v/>
      </c>
      <c r="D43" s="16">
        <f>D41+D42</f>
        <v/>
      </c>
      <c r="E43" s="16">
        <f>E41+E42</f>
        <v/>
      </c>
      <c r="F43" s="16">
        <f>F41+F42</f>
        <v/>
      </c>
      <c r="G43" s="16">
        <f>G41+G42</f>
        <v/>
      </c>
    </row>
    <row r="44" ht="15" customHeight="1">
      <c r="B44" s="10" t="inlineStr">
        <is>
          <t>Transferred this year</t>
        </is>
      </c>
      <c r="C44" s="21">
        <f>'Logic Tree'!C75+'Logic Tree'!C76</f>
        <v/>
      </c>
      <c r="D44" s="21">
        <f>'Logic Tree'!D75+'Logic Tree'!D76</f>
        <v/>
      </c>
      <c r="E44" s="21">
        <f>'Logic Tree'!E75+'Logic Tree'!E76</f>
        <v/>
      </c>
      <c r="F44" s="21">
        <f>'Logic Tree'!F75+'Logic Tree'!F76</f>
        <v/>
      </c>
      <c r="G44" s="21">
        <f>'Logic Tree'!G75+'Logic Tree'!G76</f>
        <v/>
      </c>
    </row>
    <row r="45" ht="15" customHeight="1">
      <c r="B45" s="22" t="inlineStr">
        <is>
          <t>RATIO — Capgemini share</t>
        </is>
      </c>
      <c r="C45" s="26">
        <f>IF(C37=0,0,C38/C37)</f>
        <v/>
      </c>
      <c r="D45" s="26">
        <f>IF(D37=0,0,D38/D37)</f>
        <v/>
      </c>
      <c r="E45" s="26">
        <f>IF(E37=0,0,E38/E37)</f>
        <v/>
      </c>
      <c r="F45" s="26">
        <f>IF(F37=0,0,F38/F37)</f>
        <v/>
      </c>
      <c r="G45" s="26">
        <f>IF(G37=0,0,G38/G37)</f>
        <v/>
      </c>
    </row>
    <row r="46" ht="18.75" customHeight="1">
      <c r="I46" s="19" t="inlineStr">
        <is>
          <t>Years 1-3 are the pre-transfer position. Year 4 and Year 5 already carry the transferred seats as MetLife, inside the pods.</t>
        </is>
      </c>
    </row>
    <row r="48" ht="15" customHeight="1">
      <c r="A48" s="6" t="inlineStr">
        <is>
          <t>E.  THE TRANSFER SOLVE  —  Capgemini payroll only, and here it closes</t>
        </is>
      </c>
    </row>
    <row r="49" ht="15" customHeight="1">
      <c r="B49" s="11" t="n"/>
      <c r="C49" s="11" t="inlineStr">
        <is>
          <t>Value</t>
        </is>
      </c>
    </row>
    <row r="50" ht="27.75" customHeight="1">
      <c r="B50" s="10" t="inlineStr">
        <is>
          <t>Exit Year 3 headcount, full realisation</t>
        </is>
      </c>
      <c r="C50" s="16">
        <f>E26</f>
        <v/>
      </c>
      <c r="I50" s="19" t="inlineStr">
        <is>
          <t>ZERO. The whole Capgemini population is transferable — there is no sub-contractor — but none of it needs to move, because the ratio is already past 50:50 on day one.</t>
        </is>
      </c>
    </row>
    <row r="51" ht="15" customHeight="1">
      <c r="B51" s="10" t="inlineStr">
        <is>
          <t>Vendor share at the exit position</t>
        </is>
      </c>
      <c r="C51" s="20">
        <f>E45</f>
        <v/>
      </c>
    </row>
    <row r="52" ht="15" customHeight="1">
      <c r="B52" s="10" t="inlineStr">
        <is>
          <t>Vendor units at exit, before transfer</t>
        </is>
      </c>
      <c r="C52" s="16">
        <f>C50*C51</f>
        <v/>
      </c>
    </row>
    <row r="53" ht="15" customHeight="1">
      <c r="B53" s="10" t="inlineStr">
        <is>
          <t xml:space="preserve">  — of which sub-contracted, IMMOVABLE</t>
        </is>
      </c>
      <c r="C53" s="16">
        <f>E40/E37*C50</f>
        <v/>
      </c>
    </row>
    <row r="54" ht="15" customHeight="1">
      <c r="B54" s="10" t="inlineStr">
        <is>
          <t xml:space="preserve">  — of which Capgemini payroll, the transfer pool</t>
        </is>
      </c>
      <c r="C54" s="16">
        <f>C52-C53</f>
        <v/>
      </c>
    </row>
    <row r="55" ht="15" customHeight="1">
      <c r="B55" s="10" t="inlineStr">
        <is>
          <t>50:50 requires each side to be</t>
        </is>
      </c>
      <c r="C55" s="16">
        <f>C50/2</f>
        <v/>
      </c>
    </row>
    <row r="56" ht="27.75" customHeight="1">
      <c r="B56" s="32" t="inlineStr">
        <is>
          <t>TRANSFER REQUIRED</t>
        </is>
      </c>
      <c r="C56" s="34">
        <f>C52-C55</f>
        <v/>
      </c>
      <c r="I56" s="19" t="inlineStr">
        <is>
          <t>The requirement computes NEGATIVE — the model is 4.46 people the wrong side of 50:50, in MetLife's favour. Transfer applied is zero, and the row is kept so the arithmetic is visible.</t>
        </is>
      </c>
    </row>
    <row r="57" ht="15" customHeight="1">
      <c r="B57" s="10" t="inlineStr">
        <is>
          <t>Cap on the transferable pool — solution constraint</t>
        </is>
      </c>
      <c r="C57" s="38">
        <f>0.7</f>
        <v/>
      </c>
    </row>
    <row r="58" ht="15" customHeight="1">
      <c r="B58" s="10" t="inlineStr">
        <is>
          <t>Maximum transferable from Capgemini payroll</t>
        </is>
      </c>
      <c r="C58" s="16">
        <f>C54*C57</f>
        <v/>
      </c>
    </row>
    <row r="59" ht="15" customHeight="1">
      <c r="B59" s="10" t="inlineStr">
        <is>
          <t>Transfer applied in the model</t>
        </is>
      </c>
      <c r="C59" s="21">
        <f>'Logic Tree'!E77</f>
        <v/>
      </c>
    </row>
    <row r="60" ht="15" customHeight="1">
      <c r="B60" s="10" t="inlineStr">
        <is>
          <t>Transfer as a share of the Capgemini pool</t>
        </is>
      </c>
      <c r="C60" s="20">
        <f>C59/C54</f>
        <v/>
      </c>
    </row>
    <row r="61" ht="27.75" customHeight="1">
      <c r="B61" s="22" t="inlineStr">
        <is>
          <t>RESIDUAL GAP TO 50:50</t>
        </is>
      </c>
      <c r="C61" s="23">
        <f>C56-C59</f>
        <v/>
      </c>
      <c r="I61" s="19" t="inlineStr">
        <is>
          <t>The Year-3 exit lands at exactly 50.0% and Years 4 and 5 hold there, because the transferred seats sit inside the pod anatomy rather than being re-solved each year.</t>
        </is>
      </c>
    </row>
    <row r="62" ht="15" customHeight="1">
      <c r="B62" s="10" t="inlineStr">
        <is>
          <t>Ratio actually reached at the Year-3 exit</t>
        </is>
      </c>
      <c r="C62" s="20">
        <f>(C52-C59)/C50</f>
        <v/>
      </c>
    </row>
    <row r="65" ht="15" customHeight="1">
      <c r="A65" s="6" t="inlineStr">
        <is>
          <t>F.  WHAT THIS DOMAIN SHOWS</t>
        </is>
      </c>
    </row>
    <row r="66" ht="43.5" customHeight="1">
      <c r="B66" s="5" t="inlineStr">
        <is>
          <t>•  THE 50:50 CLOSES WITH NO TRANSFER AT ALL. Capgemini holds 70.4% of the delivery population on day one — the highest start in the estate. Differential shrinkage takes it to 62.4% by Year 3 and 50.6% by Year 5, and the 50% floor is reached without moving a single person. The transfer rows are set to zero and left live.</t>
        </is>
      </c>
    </row>
    <row r="67" ht="43.5" customHeight="1">
      <c r="B67" s="5" t="inlineStr">
        <is>
          <t>•  Productivity is 0 / 22.3 / 35.5 / 40.5 / 49.9% on retained scope. Capability earned runs 14.2 / 30.4 / 40.5 / 47.9 / 51.8%. Year 4 applies only what was banked at the end of Year 3 and pre-loads none of its own gain, because that year absorbs the retirement of POS Workflow and the conversion of Payment &amp; Records to pods.</t>
        </is>
      </c>
    </row>
    <row r="68" ht="43.5" customHeight="1">
      <c r="B68" s="5" t="inlineStr">
        <is>
          <t>•  Offshore reaches the re-cut ceiling. 30.0% today against 65.27% in Years 1-3 and 60.13% from Year 4, and the roster delivers 31.3 / 40.7 / 49.0 / 53.4 / 59.8%. Losing POS Workflow LOWERS the ceiling — it was archetype D at 78% — so Year 5 sits on 60.1% rather than pushing past it.</t>
        </is>
      </c>
    </row>
    <row r="69" ht="43.5" customHeight="1">
      <c r="B69" s="5" t="inlineStr">
        <is>
          <t>•  The adoption factors are the portfolio defaults: 1.00 Capgemini, 0.85 FSI, 0.80 MGCC, 0.55 MetLife Japan.</t>
        </is>
      </c>
    </row>
    <row r="70" ht="43.5" customHeight="1">
      <c r="B70" s="5" t="inlineStr">
        <is>
          <t>•  Three things to challenge. First the Developer restatement — 20.4 units, the largest in the portfolio, and the only red check. Second whether Payment &amp; Records should convert to pods before Year 4. Third the retirement itself: the model now takes 34.997 units out of the baseline at Year 4, so if the retirement slips, Years 4 and 5 need re-staffing against 121.573 and the commitment falls from 49.9% to about 40%.</t>
        </is>
      </c>
    </row>
    <row r="71" ht="43.5" customHeight="1">
      <c r="B71" s="5" t="inlineStr">
        <is>
          <t>•  The one number to challenge is MetLife's own. The Maintenance role line says 1.00 unit of run against 732 incidents and 1,161 changes a year, while the AD / AMS effort split in the same spreadsheet implies 6.75 units — a factor of seven, the widest disagreement of any 領域 modelled. And ZERO project management is recorded across six applications and three value streams. We restate both, arithmetically neutral, and views is about six people of exposure on a 122-person domain. It sets the AMS price, so it should be resolved before submission.</t>
        </is>
      </c>
    </row>
  </sheetData>
  <mergeCells count="14">
    <mergeCell ref="A15:I15"/>
    <mergeCell ref="A1:J1"/>
    <mergeCell ref="B70:I70"/>
    <mergeCell ref="B68:I68"/>
    <mergeCell ref="A65:I65"/>
    <mergeCell ref="B69:I69"/>
    <mergeCell ref="A28:I28"/>
    <mergeCell ref="B66:I66"/>
    <mergeCell ref="B67:I67"/>
    <mergeCell ref="A2:J2"/>
    <mergeCell ref="A35:I35"/>
    <mergeCell ref="A4:I4"/>
    <mergeCell ref="A48:I48"/>
    <mergeCell ref="B71:I71"/>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J32"/>
  <sheetViews>
    <sheetView zoomScaleNormal="100" workbookViewId="0">
      <selection activeCell="A1" sqref="A1:J1"/>
    </sheetView>
  </sheetViews>
  <sheetFormatPr baseColWidth="8" defaultColWidth="8.6328125" defaultRowHeight="14.5"/>
  <cols>
    <col width="2.453125" customWidth="1" min="1" max="1"/>
    <col width="46" customWidth="1" min="2" max="2"/>
    <col width="13" customWidth="1" min="3" max="7"/>
    <col width="3" customWidth="1" min="8" max="8"/>
    <col width="50" customWidth="1" min="9" max="9"/>
  </cols>
  <sheetData>
    <row r="1" ht="25.5" customHeight="1">
      <c r="A1" s="8" t="inlineStr">
        <is>
          <t>Cost and commercial position — relative index pending the rate card</t>
        </is>
      </c>
    </row>
    <row r="2" ht="15" customHeight="1">
      <c r="A2" s="7" t="inlineStr">
        <is>
          <t>Onshore Tokyo E2 = 1.00. Unit cost divides by the frozen baseline effort.</t>
        </is>
      </c>
    </row>
    <row r="4" ht="15" customHeight="1">
      <c r="A4" s="6" t="inlineStr">
        <is>
          <t>A.  TOTAL COST OF DELIVERING THE DOMAIN</t>
        </is>
      </c>
    </row>
    <row r="5" ht="15" customHeight="1">
      <c r="B5" s="11" t="inlineStr">
        <is>
          <t>Measure</t>
        </is>
      </c>
      <c r="C5" s="11" t="inlineStr">
        <is>
          <t>Year 1</t>
        </is>
      </c>
      <c r="D5" s="11" t="inlineStr">
        <is>
          <t>Year 2</t>
        </is>
      </c>
      <c r="E5" s="11" t="inlineStr">
        <is>
          <t>Year 3</t>
        </is>
      </c>
      <c r="F5" s="11" t="inlineStr">
        <is>
          <t>Year 4</t>
        </is>
      </c>
      <c r="G5" s="11" t="inlineStr">
        <is>
          <t>Year 5</t>
        </is>
      </c>
    </row>
    <row r="6" ht="15" customHeight="1">
      <c r="B6" s="10" t="inlineStr">
        <is>
          <t>Total cost index</t>
        </is>
      </c>
      <c r="C6" s="44">
        <f>SUMIFS('Seat Ledger'!$N$5:$N$287,'Seat Ledger'!$B$5:$B$287,1)</f>
        <v/>
      </c>
      <c r="D6" s="44">
        <f>SUMIFS('Seat Ledger'!$N$5:$N$287,'Seat Ledger'!$B$5:$B$287,2)</f>
        <v/>
      </c>
      <c r="E6" s="44">
        <f>SUMIFS('Seat Ledger'!$N$5:$N$287,'Seat Ledger'!$B$5:$B$287,3)</f>
        <v/>
      </c>
      <c r="F6" s="44">
        <f>SUMIFS('Seat Ledger'!$N$5:$N$287,'Seat Ledger'!$B$5:$B$287,4)</f>
        <v/>
      </c>
      <c r="G6" s="44">
        <f>SUMIFS('Seat Ledger'!$N$5:$N$287,'Seat Ledger'!$B$5:$B$287,5)</f>
        <v/>
      </c>
    </row>
    <row r="7" ht="15" customHeight="1">
      <c r="B7" s="10" t="inlineStr">
        <is>
          <t>Headcount</t>
        </is>
      </c>
      <c r="C7" s="16">
        <f>'Team Build-Up'!C9</f>
        <v/>
      </c>
      <c r="D7" s="16">
        <f>'Team Build-Up'!D9</f>
        <v/>
      </c>
      <c r="E7" s="16">
        <f>'Team Build-Up'!E9</f>
        <v/>
      </c>
      <c r="F7" s="16">
        <f>'Team Build-Up'!F9</f>
        <v/>
      </c>
      <c r="G7" s="16">
        <f>'Team Build-Up'!G9</f>
        <v/>
      </c>
    </row>
    <row r="8" ht="15" customHeight="1">
      <c r="B8" s="10" t="inlineStr">
        <is>
          <t>Average cost per head</t>
        </is>
      </c>
      <c r="C8" s="54">
        <f>IF(C7=0,0,C6/C7)</f>
        <v/>
      </c>
      <c r="D8" s="54">
        <f>IF(D7=0,0,D6/D7)</f>
        <v/>
      </c>
      <c r="E8" s="54">
        <f>IF(E7=0,0,E6/E7)</f>
        <v/>
      </c>
      <c r="F8" s="54">
        <f>IF(F7=0,0,F6/F7)</f>
        <v/>
      </c>
      <c r="G8" s="54">
        <f>IF(G7=0,0,G6/G7)</f>
        <v/>
      </c>
    </row>
    <row r="9" ht="15" customHeight="1">
      <c r="B9" s="10" t="inlineStr">
        <is>
          <t>Cost per unit of frozen scope</t>
        </is>
      </c>
      <c r="C9" s="56">
        <f>IF('Glidepath &amp; 50-50'!$C$7=0,0,C6/'Glidepath &amp; 50-50'!$C$7)</f>
        <v/>
      </c>
      <c r="D9" s="56">
        <f>IF('Glidepath &amp; 50-50'!$C$7=0,0,D6/'Glidepath &amp; 50-50'!$C$7)</f>
        <v/>
      </c>
      <c r="E9" s="56">
        <f>IF('Glidepath &amp; 50-50'!$C$7=0,0,E6/'Glidepath &amp; 50-50'!$C$7)</f>
        <v/>
      </c>
      <c r="F9" s="56">
        <f>IF('Glidepath &amp; 50-50'!$C$7=0,0,F6/'Glidepath &amp; 50-50'!$C$7)</f>
        <v/>
      </c>
      <c r="G9" s="56">
        <f>IF('Glidepath &amp; 50-50'!$C$7=0,0,G6/'Glidepath &amp; 50-50'!$C$7)</f>
        <v/>
      </c>
    </row>
    <row r="10" ht="15" customHeight="1">
      <c r="B10" s="22" t="inlineStr">
        <is>
          <t>Unit cost reduction vs Year 1</t>
        </is>
      </c>
      <c r="C10" s="26">
        <f>IF($C$9=0,0,1-C9/$C$9)</f>
        <v/>
      </c>
      <c r="D10" s="26">
        <f>IF($C$9=0,0,1-D9/$C$9)</f>
        <v/>
      </c>
      <c r="E10" s="26">
        <f>IF($C$9=0,0,1-E9/$C$9)</f>
        <v/>
      </c>
      <c r="F10" s="26">
        <f>IF($C$9=0,0,1-F9/$C$9)</f>
        <v/>
      </c>
      <c r="G10" s="26">
        <f>IF($C$9=0,0,1-G9/$C$9)</f>
        <v/>
      </c>
    </row>
    <row r="12" ht="15" customHeight="1">
      <c r="A12" s="6" t="inlineStr">
        <is>
          <t>B.  CAPGEMINI POSITION</t>
        </is>
      </c>
    </row>
    <row r="13" ht="15" customHeight="1">
      <c r="B13" s="11" t="inlineStr">
        <is>
          <t>Measure</t>
        </is>
      </c>
      <c r="C13" s="11" t="inlineStr">
        <is>
          <t>Year 1</t>
        </is>
      </c>
      <c r="D13" s="11" t="inlineStr">
        <is>
          <t>Year 2</t>
        </is>
      </c>
      <c r="E13" s="11" t="inlineStr">
        <is>
          <t>Year 3</t>
        </is>
      </c>
      <c r="F13" s="11" t="inlineStr">
        <is>
          <t>Year 4</t>
        </is>
      </c>
      <c r="G13" s="11" t="inlineStr">
        <is>
          <t>Year 5</t>
        </is>
      </c>
    </row>
    <row r="14" ht="15" customHeight="1">
      <c r="B14" s="10" t="inlineStr">
        <is>
          <t>Capgemini heads</t>
        </is>
      </c>
      <c r="C14" s="16">
        <f>'Team Build-Up'!C45</f>
        <v/>
      </c>
      <c r="D14" s="16">
        <f>'Team Build-Up'!D45</f>
        <v/>
      </c>
      <c r="E14" s="16">
        <f>'Team Build-Up'!E45</f>
        <v/>
      </c>
      <c r="F14" s="16">
        <f>'Team Build-Up'!F45</f>
        <v/>
      </c>
      <c r="G14" s="16">
        <f>'Team Build-Up'!G45</f>
        <v/>
      </c>
    </row>
    <row r="15" ht="15" customHeight="1">
      <c r="B15" s="10" t="inlineStr">
        <is>
          <t>Capgemini cost index</t>
        </is>
      </c>
      <c r="C15" s="44">
        <f>SUMIFS('Seat Ledger'!$N$5:$N$287,'Seat Ledger'!$B$5:$B$287,1,'Seat Ledger'!$J$5:$J$287,"FTC")</f>
        <v/>
      </c>
      <c r="D15" s="44">
        <f>SUMIFS('Seat Ledger'!$N$5:$N$287,'Seat Ledger'!$B$5:$B$287,2,'Seat Ledger'!$J$5:$J$287,"FTC")</f>
        <v/>
      </c>
      <c r="E15" s="44">
        <f>SUMIFS('Seat Ledger'!$N$5:$N$287,'Seat Ledger'!$B$5:$B$287,3,'Seat Ledger'!$J$5:$J$287,"FTC")</f>
        <v/>
      </c>
      <c r="F15" s="44">
        <f>SUMIFS('Seat Ledger'!$N$5:$N$287,'Seat Ledger'!$B$5:$B$287,4,'Seat Ledger'!$J$5:$J$287,"FTC")</f>
        <v/>
      </c>
      <c r="G15" s="44">
        <f>SUMIFS('Seat Ledger'!$N$5:$N$287,'Seat Ledger'!$B$5:$B$287,5,'Seat Ledger'!$J$5:$J$287,"FTC")</f>
        <v/>
      </c>
    </row>
    <row r="16" ht="15" customHeight="1">
      <c r="B16" s="22" t="inlineStr">
        <is>
          <t>Capgemini position vs Year 1</t>
        </is>
      </c>
      <c r="C16" s="26">
        <f>IF($C$15=0,0,C15/$C$15-1)</f>
        <v/>
      </c>
      <c r="D16" s="26">
        <f>IF($C$15=0,0,D15/$C$15-1)</f>
        <v/>
      </c>
      <c r="E16" s="26">
        <f>IF($C$15=0,0,E15/$C$15-1)</f>
        <v/>
      </c>
      <c r="F16" s="26">
        <f>IF($C$15=0,0,F15/$C$15-1)</f>
        <v/>
      </c>
      <c r="G16" s="26">
        <f>IF($C$15=0,0,G15/$C$15-1)</f>
        <v/>
      </c>
    </row>
    <row r="18" ht="15" customHeight="1">
      <c r="A18" s="6" t="inlineStr">
        <is>
          <t>C.  COST BY LOCATION, BAND AND ROLE</t>
        </is>
      </c>
    </row>
    <row r="19" ht="15" customHeight="1">
      <c r="B19" s="11" t="inlineStr">
        <is>
          <t>Split</t>
        </is>
      </c>
      <c r="C19" s="11" t="inlineStr">
        <is>
          <t>Year 1</t>
        </is>
      </c>
      <c r="D19" s="11" t="inlineStr">
        <is>
          <t>Year 2</t>
        </is>
      </c>
      <c r="E19" s="11" t="inlineStr">
        <is>
          <t>Year 3</t>
        </is>
      </c>
      <c r="F19" s="11" t="inlineStr">
        <is>
          <t>Year 4</t>
        </is>
      </c>
      <c r="G19" s="11" t="inlineStr">
        <is>
          <t>Year 5</t>
        </is>
      </c>
    </row>
    <row r="20" ht="15" customHeight="1">
      <c r="B20" s="10" t="inlineStr">
        <is>
          <t>Onshore Tokyo — cost index</t>
        </is>
      </c>
      <c r="C20" s="44">
        <f>SUMIFS('Seat Ledger'!$N$5:$N$287,'Seat Ledger'!$B$5:$B$287,1,'Seat Ledger'!$I$5:$I$287,"ON")</f>
        <v/>
      </c>
      <c r="D20" s="44">
        <f>SUMIFS('Seat Ledger'!$N$5:$N$287,'Seat Ledger'!$B$5:$B$287,2,'Seat Ledger'!$I$5:$I$287,"ON")</f>
        <v/>
      </c>
      <c r="E20" s="44">
        <f>SUMIFS('Seat Ledger'!$N$5:$N$287,'Seat Ledger'!$B$5:$B$287,3,'Seat Ledger'!$I$5:$I$287,"ON")</f>
        <v/>
      </c>
      <c r="F20" s="44">
        <f>SUMIFS('Seat Ledger'!$N$5:$N$287,'Seat Ledger'!$B$5:$B$287,4,'Seat Ledger'!$I$5:$I$287,"ON")</f>
        <v/>
      </c>
      <c r="G20" s="44">
        <f>SUMIFS('Seat Ledger'!$N$5:$N$287,'Seat Ledger'!$B$5:$B$287,5,'Seat Ledger'!$I$5:$I$287,"ON")</f>
        <v/>
      </c>
    </row>
    <row r="21" ht="15" customHeight="1">
      <c r="B21" s="10" t="inlineStr">
        <is>
          <t>Offshore — cost index</t>
        </is>
      </c>
      <c r="C21" s="44">
        <f>SUMIFS('Seat Ledger'!$N$5:$N$287,'Seat Ledger'!$B$5:$B$287,1,'Seat Ledger'!$I$5:$I$287,"OFF")</f>
        <v/>
      </c>
      <c r="D21" s="44">
        <f>SUMIFS('Seat Ledger'!$N$5:$N$287,'Seat Ledger'!$B$5:$B$287,2,'Seat Ledger'!$I$5:$I$287,"OFF")</f>
        <v/>
      </c>
      <c r="E21" s="44">
        <f>SUMIFS('Seat Ledger'!$N$5:$N$287,'Seat Ledger'!$B$5:$B$287,3,'Seat Ledger'!$I$5:$I$287,"OFF")</f>
        <v/>
      </c>
      <c r="F21" s="44">
        <f>SUMIFS('Seat Ledger'!$N$5:$N$287,'Seat Ledger'!$B$5:$B$287,4,'Seat Ledger'!$I$5:$I$287,"OFF")</f>
        <v/>
      </c>
      <c r="G21" s="44">
        <f>SUMIFS('Seat Ledger'!$N$5:$N$287,'Seat Ledger'!$B$5:$B$287,5,'Seat Ledger'!$I$5:$I$287,"OFF")</f>
        <v/>
      </c>
    </row>
    <row r="22" ht="15" customHeight="1">
      <c r="B22" s="10" t="inlineStr">
        <is>
          <t>Nearshore — cost index</t>
        </is>
      </c>
      <c r="C22" s="44">
        <f>SUMIFS('Seat Ledger'!$N$5:$N$287,'Seat Ledger'!$B$5:$B$287,1,'Seat Ledger'!$I$5:$I$287,"NEAR")</f>
        <v/>
      </c>
      <c r="D22" s="44">
        <f>SUMIFS('Seat Ledger'!$N$5:$N$287,'Seat Ledger'!$B$5:$B$287,2,'Seat Ledger'!$I$5:$I$287,"NEAR")</f>
        <v/>
      </c>
      <c r="E22" s="44">
        <f>SUMIFS('Seat Ledger'!$N$5:$N$287,'Seat Ledger'!$B$5:$B$287,3,'Seat Ledger'!$I$5:$I$287,"NEAR")</f>
        <v/>
      </c>
      <c r="F22" s="44">
        <f>SUMIFS('Seat Ledger'!$N$5:$N$287,'Seat Ledger'!$B$5:$B$287,4,'Seat Ledger'!$I$5:$I$287,"NEAR")</f>
        <v/>
      </c>
      <c r="G22" s="44">
        <f>SUMIFS('Seat Ledger'!$N$5:$N$287,'Seat Ledger'!$B$5:$B$287,5,'Seat Ledger'!$I$5:$I$287,"NEAR")</f>
        <v/>
      </c>
    </row>
    <row r="23" ht="15" customHeight="1">
      <c r="B23" s="22" t="inlineStr">
        <is>
          <t>Onshore share of cost</t>
        </is>
      </c>
      <c r="C23" s="26">
        <f>IF(SUM(C20:C22)=0,0,C20/SUM(C20:C22))</f>
        <v/>
      </c>
      <c r="D23" s="26">
        <f>IF(SUM(D20:D22)=0,0,D20/SUM(D20:D22))</f>
        <v/>
      </c>
      <c r="E23" s="26">
        <f>IF(SUM(E20:E22)=0,0,E20/SUM(E20:E22))</f>
        <v/>
      </c>
      <c r="F23" s="26">
        <f>IF(SUM(F20:F22)=0,0,F20/SUM(F20:F22))</f>
        <v/>
      </c>
      <c r="G23" s="26">
        <f>IF(SUM(G20:G22)=0,0,G20/SUM(G20:G22))</f>
        <v/>
      </c>
    </row>
    <row r="25" ht="15" customHeight="1">
      <c r="B25" s="10" t="inlineStr">
        <is>
          <t>BSA — business and systems analysis — cost index</t>
        </is>
      </c>
      <c r="C25" s="44">
        <f>SUMIFS('Seat Ledger'!$N$5:$N$287,'Seat Ledger'!$B$5:$B$287,1,'Seat Ledger'!$G$5:$G$287,"BSA")</f>
        <v/>
      </c>
      <c r="D25" s="44">
        <f>SUMIFS('Seat Ledger'!$N$5:$N$287,'Seat Ledger'!$B$5:$B$287,2,'Seat Ledger'!$G$5:$G$287,"BSA")</f>
        <v/>
      </c>
      <c r="E25" s="44">
        <f>SUMIFS('Seat Ledger'!$N$5:$N$287,'Seat Ledger'!$B$5:$B$287,3,'Seat Ledger'!$G$5:$G$287,"BSA")</f>
        <v/>
      </c>
      <c r="F25" s="44">
        <f>SUMIFS('Seat Ledger'!$N$5:$N$287,'Seat Ledger'!$B$5:$B$287,4,'Seat Ledger'!$G$5:$G$287,"BSA")</f>
        <v/>
      </c>
      <c r="G25" s="44">
        <f>SUMIFS('Seat Ledger'!$N$5:$N$287,'Seat Ledger'!$B$5:$B$287,5,'Seat Ledger'!$G$5:$G$287,"BSA")</f>
        <v/>
      </c>
    </row>
    <row r="26" ht="15" customHeight="1">
      <c r="B26" s="10" t="inlineStr">
        <is>
          <t>Developer — cost index</t>
        </is>
      </c>
      <c r="C26" s="44">
        <f>SUMIFS('Seat Ledger'!$N$5:$N$287,'Seat Ledger'!$B$5:$B$287,1,'Seat Ledger'!$G$5:$G$287,"DEV")</f>
        <v/>
      </c>
      <c r="D26" s="44">
        <f>SUMIFS('Seat Ledger'!$N$5:$N$287,'Seat Ledger'!$B$5:$B$287,2,'Seat Ledger'!$G$5:$G$287,"DEV")</f>
        <v/>
      </c>
      <c r="E26" s="44">
        <f>SUMIFS('Seat Ledger'!$N$5:$N$287,'Seat Ledger'!$B$5:$B$287,3,'Seat Ledger'!$G$5:$G$287,"DEV")</f>
        <v/>
      </c>
      <c r="F26" s="44">
        <f>SUMIFS('Seat Ledger'!$N$5:$N$287,'Seat Ledger'!$B$5:$B$287,4,'Seat Ledger'!$G$5:$G$287,"DEV")</f>
        <v/>
      </c>
      <c r="G26" s="44">
        <f>SUMIFS('Seat Ledger'!$N$5:$N$287,'Seat Ledger'!$B$5:$B$287,5,'Seat Ledger'!$G$5:$G$287,"DEV")</f>
        <v/>
      </c>
    </row>
    <row r="27" ht="15" customHeight="1">
      <c r="B27" s="10" t="inlineStr">
        <is>
          <t>Tester — cost index</t>
        </is>
      </c>
      <c r="C27" s="44">
        <f>SUMIFS('Seat Ledger'!$N$5:$N$287,'Seat Ledger'!$B$5:$B$287,1,'Seat Ledger'!$G$5:$G$287,"TEST")</f>
        <v/>
      </c>
      <c r="D27" s="44">
        <f>SUMIFS('Seat Ledger'!$N$5:$N$287,'Seat Ledger'!$B$5:$B$287,2,'Seat Ledger'!$G$5:$G$287,"TEST")</f>
        <v/>
      </c>
      <c r="E27" s="44">
        <f>SUMIFS('Seat Ledger'!$N$5:$N$287,'Seat Ledger'!$B$5:$B$287,3,'Seat Ledger'!$G$5:$G$287,"TEST")</f>
        <v/>
      </c>
      <c r="F27" s="44">
        <f>SUMIFS('Seat Ledger'!$N$5:$N$287,'Seat Ledger'!$B$5:$B$287,4,'Seat Ledger'!$G$5:$G$287,"TEST")</f>
        <v/>
      </c>
      <c r="G27" s="44">
        <f>SUMIFS('Seat Ledger'!$N$5:$N$287,'Seat Ledger'!$B$5:$B$287,5,'Seat Ledger'!$G$5:$G$287,"TEST")</f>
        <v/>
      </c>
    </row>
    <row r="28" ht="15" customHeight="1">
      <c r="B28" s="10" t="inlineStr">
        <is>
          <t>Maintenance — cost index</t>
        </is>
      </c>
      <c r="C28" s="44">
        <f>SUMIFS('Seat Ledger'!$N$5:$N$287,'Seat Ledger'!$B$5:$B$287,1,'Seat Ledger'!$G$5:$G$287,"MNT")</f>
        <v/>
      </c>
      <c r="D28" s="44">
        <f>SUMIFS('Seat Ledger'!$N$5:$N$287,'Seat Ledger'!$B$5:$B$287,2,'Seat Ledger'!$G$5:$G$287,"MNT")</f>
        <v/>
      </c>
      <c r="E28" s="44">
        <f>SUMIFS('Seat Ledger'!$N$5:$N$287,'Seat Ledger'!$B$5:$B$287,3,'Seat Ledger'!$G$5:$G$287,"MNT")</f>
        <v/>
      </c>
      <c r="F28" s="44">
        <f>SUMIFS('Seat Ledger'!$N$5:$N$287,'Seat Ledger'!$B$5:$B$287,4,'Seat Ledger'!$G$5:$G$287,"MNT")</f>
        <v/>
      </c>
      <c r="G28" s="44">
        <f>SUMIFS('Seat Ledger'!$N$5:$N$287,'Seat Ledger'!$B$5:$B$287,5,'Seat Ledger'!$G$5:$G$287,"MNT")</f>
        <v/>
      </c>
    </row>
    <row r="29" ht="15" customHeight="1">
      <c r="B29" s="10" t="inlineStr">
        <is>
          <t>PM and product ownership — cost index</t>
        </is>
      </c>
      <c r="C29" s="44">
        <f>SUMIFS('Seat Ledger'!$N$5:$N$287,'Seat Ledger'!$B$5:$B$287,1,'Seat Ledger'!$G$5:$G$287,"PM")</f>
        <v/>
      </c>
      <c r="D29" s="44">
        <f>SUMIFS('Seat Ledger'!$N$5:$N$287,'Seat Ledger'!$B$5:$B$287,2,'Seat Ledger'!$G$5:$G$287,"PM")</f>
        <v/>
      </c>
      <c r="E29" s="44">
        <f>SUMIFS('Seat Ledger'!$N$5:$N$287,'Seat Ledger'!$B$5:$B$287,3,'Seat Ledger'!$G$5:$G$287,"PM")</f>
        <v/>
      </c>
      <c r="F29" s="44">
        <f>SUMIFS('Seat Ledger'!$N$5:$N$287,'Seat Ledger'!$B$5:$B$287,4,'Seat Ledger'!$G$5:$G$287,"PM")</f>
        <v/>
      </c>
      <c r="G29" s="44">
        <f>SUMIFS('Seat Ledger'!$N$5:$N$287,'Seat Ledger'!$B$5:$B$287,5,'Seat Ledger'!$G$5:$G$287,"PM")</f>
        <v/>
      </c>
    </row>
    <row r="30" ht="15" customHeight="1">
      <c r="B30" s="10" t="inlineStr">
        <is>
          <t>Other — architecture and enablement — cost index</t>
        </is>
      </c>
      <c r="C30" s="44">
        <f>SUMIFS('Seat Ledger'!$N$5:$N$287,'Seat Ledger'!$B$5:$B$287,1,'Seat Ledger'!$G$5:$G$287,"OTH")</f>
        <v/>
      </c>
      <c r="D30" s="44">
        <f>SUMIFS('Seat Ledger'!$N$5:$N$287,'Seat Ledger'!$B$5:$B$287,2,'Seat Ledger'!$G$5:$G$287,"OTH")</f>
        <v/>
      </c>
      <c r="E30" s="44">
        <f>SUMIFS('Seat Ledger'!$N$5:$N$287,'Seat Ledger'!$B$5:$B$287,3,'Seat Ledger'!$G$5:$G$287,"OTH")</f>
        <v/>
      </c>
      <c r="F30" s="44">
        <f>SUMIFS('Seat Ledger'!$N$5:$N$287,'Seat Ledger'!$B$5:$B$287,4,'Seat Ledger'!$G$5:$G$287,"OTH")</f>
        <v/>
      </c>
      <c r="G30" s="44">
        <f>SUMIFS('Seat Ledger'!$N$5:$N$287,'Seat Ledger'!$B$5:$B$287,5,'Seat Ledger'!$G$5:$G$287,"OTH")</f>
        <v/>
      </c>
    </row>
    <row r="32" ht="15" customHeight="1">
      <c r="B32" s="19" t="inlineStr">
        <is>
          <t>The role view is the one Pricing will want. Unit cost falls 74% from Year 1 to Year 5 on the FROZEN scope denominator — but 28.8% of that is POS Workflow leaving the estate, so the like-for-like reduction on retained scope is about 63%. Average cost per head falls as the roster moves offshore and the senior share comes down from 23.9% to 19.5%.</t>
        </is>
      </c>
    </row>
  </sheetData>
  <mergeCells count="6">
    <mergeCell ref="A1:J1"/>
    <mergeCell ref="A18:I18"/>
    <mergeCell ref="A2:J2"/>
    <mergeCell ref="A12:I12"/>
    <mergeCell ref="A4:I4"/>
    <mergeCell ref="B32:I32"/>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N287"/>
  <sheetViews>
    <sheetView zoomScaleNormal="100" workbookViewId="0">
      <pane xSplit="1" ySplit="4" topLeftCell="B5" activePane="bottomRight" state="frozen"/>
      <selection pane="topRight" activeCell="B1" sqref="B1"/>
      <selection pane="bottomLeft" activeCell="A5" sqref="A5"/>
      <selection pane="bottomRight" activeCell="A1" sqref="A1:N1"/>
    </sheetView>
  </sheetViews>
  <sheetFormatPr baseColWidth="8" defaultColWidth="8.6328125" defaultRowHeight="14.5"/>
  <cols>
    <col width="2.453125" customWidth="1" min="1" max="1"/>
    <col width="6" customWidth="1" min="2" max="2"/>
    <col width="8" customWidth="1" min="3" max="3"/>
    <col width="7" customWidth="1" min="4" max="4"/>
    <col width="8" customWidth="1" min="5" max="5"/>
    <col width="34" customWidth="1" min="6" max="6"/>
    <col width="7" customWidth="1" min="7" max="9"/>
    <col width="9" customWidth="1" min="10" max="10"/>
    <col width="10" customWidth="1" min="11" max="11"/>
    <col width="8" customWidth="1" min="12" max="12"/>
    <col width="10" customWidth="1" min="13" max="13"/>
    <col width="11" customWidth="1" min="14" max="14"/>
  </cols>
  <sheetData>
    <row r="1" ht="25.5" customHeight="1">
      <c r="A1" s="8" t="inlineStr">
        <is>
          <t>Seat ledger  —  every pod-library line multiplied out, plus every horizontal seat</t>
        </is>
      </c>
    </row>
    <row r="2" ht="15" customHeight="1">
      <c r="A2" s="7" t="inlineStr">
        <is>
          <t>Computed. Every roll-up in this workbook is a SUMIFS over this one table. Do not edit.</t>
        </is>
      </c>
    </row>
    <row r="4" ht="15" customHeight="1">
      <c r="B4" s="11" t="inlineStr">
        <is>
          <t>Year</t>
        </is>
      </c>
      <c r="C4" s="11" t="inlineStr">
        <is>
          <t>Origin</t>
        </is>
      </c>
      <c r="D4" s="11" t="inlineStr">
        <is>
          <t>Unit</t>
        </is>
      </c>
      <c r="E4" s="11" t="inlineStr">
        <is>
          <t>Type</t>
        </is>
      </c>
      <c r="F4" s="11" t="inlineStr">
        <is>
          <t>Role detail</t>
        </is>
      </c>
      <c r="G4" s="11" t="inlineStr">
        <is>
          <t>Role</t>
        </is>
      </c>
      <c r="H4" s="11" t="inlineStr">
        <is>
          <t>Exp</t>
        </is>
      </c>
      <c r="I4" s="11" t="inlineStr">
        <is>
          <t>Loc</t>
        </is>
      </c>
      <c r="J4" s="11" t="inlineStr">
        <is>
          <t>Sourcing</t>
        </is>
      </c>
      <c r="K4" s="11" t="inlineStr">
        <is>
          <t>Seats/unit</t>
        </is>
      </c>
      <c r="L4" s="11" t="inlineStr">
        <is>
          <t>Units</t>
        </is>
      </c>
      <c r="M4" s="11" t="inlineStr">
        <is>
          <t>Heads</t>
        </is>
      </c>
      <c r="N4" s="11" t="inlineStr">
        <is>
          <t>Cost index</t>
        </is>
      </c>
    </row>
    <row r="5" ht="15" customHeight="1">
      <c r="B5" s="27" t="n">
        <v>1</v>
      </c>
      <c r="C5" s="18" t="inlineStr">
        <is>
          <t>POD</t>
        </is>
      </c>
      <c r="D5" s="43" t="inlineStr">
        <is>
          <t>VS1</t>
        </is>
      </c>
      <c r="E5" s="43" t="inlineStr">
        <is>
          <t>POD</t>
        </is>
      </c>
      <c r="F5" s="57">
        <f>'Pod Library'!E5</f>
        <v/>
      </c>
      <c r="G5" s="51">
        <f>'Pod Library'!F5</f>
        <v/>
      </c>
      <c r="H5" s="51">
        <f>'Pod Library'!G5</f>
        <v/>
      </c>
      <c r="I5" s="51">
        <f>'Pod Library'!H5</f>
        <v/>
      </c>
      <c r="J5" s="51">
        <f>'Pod Library'!I5</f>
        <v/>
      </c>
      <c r="K5" s="16">
        <f>'Pod Library'!J5</f>
        <v/>
      </c>
      <c r="L5" s="21">
        <f>'Pod Plan'!G5</f>
        <v/>
      </c>
      <c r="M5" s="44">
        <f>K5*L5</f>
        <v/>
      </c>
      <c r="N5" s="54">
        <f>M5*INDEX('Logic Tree'!$J$85:$N$87,MATCH(I5,'Logic Tree'!$I$85:$I$87,0),MATCH(H5,'Logic Tree'!$J$84:$N$84,0))</f>
        <v/>
      </c>
    </row>
    <row r="6" ht="15" customHeight="1">
      <c r="B6" s="27" t="n">
        <v>1</v>
      </c>
      <c r="C6" s="18" t="inlineStr">
        <is>
          <t>POD</t>
        </is>
      </c>
      <c r="D6" s="43" t="inlineStr">
        <is>
          <t>VS1</t>
        </is>
      </c>
      <c r="E6" s="43" t="inlineStr">
        <is>
          <t>POD</t>
        </is>
      </c>
      <c r="F6" s="57">
        <f>'Pod Library'!E6</f>
        <v/>
      </c>
      <c r="G6" s="51">
        <f>'Pod Library'!F6</f>
        <v/>
      </c>
      <c r="H6" s="51">
        <f>'Pod Library'!G6</f>
        <v/>
      </c>
      <c r="I6" s="51">
        <f>'Pod Library'!H6</f>
        <v/>
      </c>
      <c r="J6" s="51">
        <f>'Pod Library'!I6</f>
        <v/>
      </c>
      <c r="K6" s="16">
        <f>'Pod Library'!J6</f>
        <v/>
      </c>
      <c r="L6" s="21">
        <f>'Pod Plan'!G5</f>
        <v/>
      </c>
      <c r="M6" s="44">
        <f>K6*L6</f>
        <v/>
      </c>
      <c r="N6" s="54">
        <f>M6*INDEX('Logic Tree'!$J$85:$N$87,MATCH(I6,'Logic Tree'!$I$85:$I$87,0),MATCH(H6,'Logic Tree'!$J$84:$N$84,0))</f>
        <v/>
      </c>
    </row>
    <row r="7" ht="15" customHeight="1">
      <c r="B7" s="27" t="n">
        <v>1</v>
      </c>
      <c r="C7" s="18" t="inlineStr">
        <is>
          <t>POD</t>
        </is>
      </c>
      <c r="D7" s="43" t="inlineStr">
        <is>
          <t>VS1</t>
        </is>
      </c>
      <c r="E7" s="43" t="inlineStr">
        <is>
          <t>POD</t>
        </is>
      </c>
      <c r="F7" s="57">
        <f>'Pod Library'!E7</f>
        <v/>
      </c>
      <c r="G7" s="51">
        <f>'Pod Library'!F7</f>
        <v/>
      </c>
      <c r="H7" s="51">
        <f>'Pod Library'!G7</f>
        <v/>
      </c>
      <c r="I7" s="51">
        <f>'Pod Library'!H7</f>
        <v/>
      </c>
      <c r="J7" s="51">
        <f>'Pod Library'!I7</f>
        <v/>
      </c>
      <c r="K7" s="16">
        <f>'Pod Library'!J7</f>
        <v/>
      </c>
      <c r="L7" s="21">
        <f>'Pod Plan'!G5</f>
        <v/>
      </c>
      <c r="M7" s="44">
        <f>K7*L7</f>
        <v/>
      </c>
      <c r="N7" s="54">
        <f>M7*INDEX('Logic Tree'!$J$85:$N$87,MATCH(I7,'Logic Tree'!$I$85:$I$87,0),MATCH(H7,'Logic Tree'!$J$84:$N$84,0))</f>
        <v/>
      </c>
    </row>
    <row r="8" ht="15" customHeight="1">
      <c r="B8" s="27" t="n">
        <v>1</v>
      </c>
      <c r="C8" s="18" t="inlineStr">
        <is>
          <t>POD</t>
        </is>
      </c>
      <c r="D8" s="43" t="inlineStr">
        <is>
          <t>VS1</t>
        </is>
      </c>
      <c r="E8" s="43" t="inlineStr">
        <is>
          <t>POD</t>
        </is>
      </c>
      <c r="F8" s="57">
        <f>'Pod Library'!E8</f>
        <v/>
      </c>
      <c r="G8" s="51">
        <f>'Pod Library'!F8</f>
        <v/>
      </c>
      <c r="H8" s="51">
        <f>'Pod Library'!G8</f>
        <v/>
      </c>
      <c r="I8" s="51">
        <f>'Pod Library'!H8</f>
        <v/>
      </c>
      <c r="J8" s="51">
        <f>'Pod Library'!I8</f>
        <v/>
      </c>
      <c r="K8" s="16">
        <f>'Pod Library'!J8</f>
        <v/>
      </c>
      <c r="L8" s="21">
        <f>'Pod Plan'!G5</f>
        <v/>
      </c>
      <c r="M8" s="44">
        <f>K8*L8</f>
        <v/>
      </c>
      <c r="N8" s="54">
        <f>M8*INDEX('Logic Tree'!$J$85:$N$87,MATCH(I8,'Logic Tree'!$I$85:$I$87,0),MATCH(H8,'Logic Tree'!$J$84:$N$84,0))</f>
        <v/>
      </c>
    </row>
    <row r="9" ht="15" customHeight="1">
      <c r="B9" s="27" t="n">
        <v>1</v>
      </c>
      <c r="C9" s="18" t="inlineStr">
        <is>
          <t>POD</t>
        </is>
      </c>
      <c r="D9" s="43" t="inlineStr">
        <is>
          <t>VS1</t>
        </is>
      </c>
      <c r="E9" s="43" t="inlineStr">
        <is>
          <t>POD</t>
        </is>
      </c>
      <c r="F9" s="57">
        <f>'Pod Library'!E9</f>
        <v/>
      </c>
      <c r="G9" s="51">
        <f>'Pod Library'!F9</f>
        <v/>
      </c>
      <c r="H9" s="51">
        <f>'Pod Library'!G9</f>
        <v/>
      </c>
      <c r="I9" s="51">
        <f>'Pod Library'!H9</f>
        <v/>
      </c>
      <c r="J9" s="51">
        <f>'Pod Library'!I9</f>
        <v/>
      </c>
      <c r="K9" s="16">
        <f>'Pod Library'!J9</f>
        <v/>
      </c>
      <c r="L9" s="21">
        <f>'Pod Plan'!G5</f>
        <v/>
      </c>
      <c r="M9" s="44">
        <f>K9*L9</f>
        <v/>
      </c>
      <c r="N9" s="54">
        <f>M9*INDEX('Logic Tree'!$J$85:$N$87,MATCH(I9,'Logic Tree'!$I$85:$I$87,0),MATCH(H9,'Logic Tree'!$J$84:$N$84,0))</f>
        <v/>
      </c>
    </row>
    <row r="10" ht="15" customHeight="1">
      <c r="B10" s="27" t="n">
        <v>1</v>
      </c>
      <c r="C10" s="18" t="inlineStr">
        <is>
          <t>POD</t>
        </is>
      </c>
      <c r="D10" s="43" t="inlineStr">
        <is>
          <t>VS1</t>
        </is>
      </c>
      <c r="E10" s="43" t="inlineStr">
        <is>
          <t>POD</t>
        </is>
      </c>
      <c r="F10" s="57">
        <f>'Pod Library'!E10</f>
        <v/>
      </c>
      <c r="G10" s="51">
        <f>'Pod Library'!F10</f>
        <v/>
      </c>
      <c r="H10" s="51">
        <f>'Pod Library'!G10</f>
        <v/>
      </c>
      <c r="I10" s="51">
        <f>'Pod Library'!H10</f>
        <v/>
      </c>
      <c r="J10" s="51">
        <f>'Pod Library'!I10</f>
        <v/>
      </c>
      <c r="K10" s="16">
        <f>'Pod Library'!J10</f>
        <v/>
      </c>
      <c r="L10" s="21">
        <f>'Pod Plan'!G5</f>
        <v/>
      </c>
      <c r="M10" s="44">
        <f>K10*L10</f>
        <v/>
      </c>
      <c r="N10" s="54">
        <f>M10*INDEX('Logic Tree'!$J$85:$N$87,MATCH(I10,'Logic Tree'!$I$85:$I$87,0),MATCH(H10,'Logic Tree'!$J$84:$N$84,0))</f>
        <v/>
      </c>
    </row>
    <row r="11" ht="15" customHeight="1">
      <c r="B11" s="27" t="n">
        <v>1</v>
      </c>
      <c r="C11" s="18" t="inlineStr">
        <is>
          <t>POD</t>
        </is>
      </c>
      <c r="D11" s="43" t="inlineStr">
        <is>
          <t>VS1</t>
        </is>
      </c>
      <c r="E11" s="43" t="inlineStr">
        <is>
          <t>POD</t>
        </is>
      </c>
      <c r="F11" s="57">
        <f>'Pod Library'!E11</f>
        <v/>
      </c>
      <c r="G11" s="51">
        <f>'Pod Library'!F11</f>
        <v/>
      </c>
      <c r="H11" s="51">
        <f>'Pod Library'!G11</f>
        <v/>
      </c>
      <c r="I11" s="51">
        <f>'Pod Library'!H11</f>
        <v/>
      </c>
      <c r="J11" s="51">
        <f>'Pod Library'!I11</f>
        <v/>
      </c>
      <c r="K11" s="16">
        <f>'Pod Library'!J11</f>
        <v/>
      </c>
      <c r="L11" s="21">
        <f>'Pod Plan'!G5</f>
        <v/>
      </c>
      <c r="M11" s="44">
        <f>K11*L11</f>
        <v/>
      </c>
      <c r="N11" s="54">
        <f>M11*INDEX('Logic Tree'!$J$85:$N$87,MATCH(I11,'Logic Tree'!$I$85:$I$87,0),MATCH(H11,'Logic Tree'!$J$84:$N$84,0))</f>
        <v/>
      </c>
    </row>
    <row r="12" ht="15" customHeight="1">
      <c r="B12" s="27" t="n">
        <v>1</v>
      </c>
      <c r="C12" s="18" t="inlineStr">
        <is>
          <t>POD</t>
        </is>
      </c>
      <c r="D12" s="43" t="inlineStr">
        <is>
          <t>VS1</t>
        </is>
      </c>
      <c r="E12" s="43" t="inlineStr">
        <is>
          <t>POD</t>
        </is>
      </c>
      <c r="F12" s="57">
        <f>'Pod Library'!E12</f>
        <v/>
      </c>
      <c r="G12" s="51">
        <f>'Pod Library'!F12</f>
        <v/>
      </c>
      <c r="H12" s="51">
        <f>'Pod Library'!G12</f>
        <v/>
      </c>
      <c r="I12" s="51">
        <f>'Pod Library'!H12</f>
        <v/>
      </c>
      <c r="J12" s="51">
        <f>'Pod Library'!I12</f>
        <v/>
      </c>
      <c r="K12" s="16">
        <f>'Pod Library'!J12</f>
        <v/>
      </c>
      <c r="L12" s="21">
        <f>'Pod Plan'!G5</f>
        <v/>
      </c>
      <c r="M12" s="44">
        <f>K12*L12</f>
        <v/>
      </c>
      <c r="N12" s="54">
        <f>M12*INDEX('Logic Tree'!$J$85:$N$87,MATCH(I12,'Logic Tree'!$I$85:$I$87,0),MATCH(H12,'Logic Tree'!$J$84:$N$84,0))</f>
        <v/>
      </c>
    </row>
    <row r="13" ht="15" customHeight="1">
      <c r="B13" s="27" t="n">
        <v>1</v>
      </c>
      <c r="C13" s="18" t="inlineStr">
        <is>
          <t>POD</t>
        </is>
      </c>
      <c r="D13" s="43" t="inlineStr">
        <is>
          <t>VS1</t>
        </is>
      </c>
      <c r="E13" s="43" t="inlineStr">
        <is>
          <t>POD</t>
        </is>
      </c>
      <c r="F13" s="57">
        <f>'Pod Library'!E13</f>
        <v/>
      </c>
      <c r="G13" s="51">
        <f>'Pod Library'!F13</f>
        <v/>
      </c>
      <c r="H13" s="51">
        <f>'Pod Library'!G13</f>
        <v/>
      </c>
      <c r="I13" s="51">
        <f>'Pod Library'!H13</f>
        <v/>
      </c>
      <c r="J13" s="51">
        <f>'Pod Library'!I13</f>
        <v/>
      </c>
      <c r="K13" s="16">
        <f>'Pod Library'!J13</f>
        <v/>
      </c>
      <c r="L13" s="21">
        <f>'Pod Plan'!G5</f>
        <v/>
      </c>
      <c r="M13" s="44">
        <f>K13*L13</f>
        <v/>
      </c>
      <c r="N13" s="54">
        <f>M13*INDEX('Logic Tree'!$J$85:$N$87,MATCH(I13,'Logic Tree'!$I$85:$I$87,0),MATCH(H13,'Logic Tree'!$J$84:$N$84,0))</f>
        <v/>
      </c>
    </row>
    <row r="14" ht="15" customHeight="1">
      <c r="B14" s="27" t="n">
        <v>1</v>
      </c>
      <c r="C14" s="18" t="inlineStr">
        <is>
          <t>POD</t>
        </is>
      </c>
      <c r="D14" s="43" t="inlineStr">
        <is>
          <t>VS1</t>
        </is>
      </c>
      <c r="E14" s="43" t="inlineStr">
        <is>
          <t>POD</t>
        </is>
      </c>
      <c r="F14" s="57">
        <f>'Pod Library'!E14</f>
        <v/>
      </c>
      <c r="G14" s="51">
        <f>'Pod Library'!F14</f>
        <v/>
      </c>
      <c r="H14" s="51">
        <f>'Pod Library'!G14</f>
        <v/>
      </c>
      <c r="I14" s="51">
        <f>'Pod Library'!H14</f>
        <v/>
      </c>
      <c r="J14" s="51">
        <f>'Pod Library'!I14</f>
        <v/>
      </c>
      <c r="K14" s="16">
        <f>'Pod Library'!J14</f>
        <v/>
      </c>
      <c r="L14" s="21">
        <f>'Pod Plan'!G5</f>
        <v/>
      </c>
      <c r="M14" s="44">
        <f>K14*L14</f>
        <v/>
      </c>
      <c r="N14" s="54">
        <f>M14*INDEX('Logic Tree'!$J$85:$N$87,MATCH(I14,'Logic Tree'!$I$85:$I$87,0),MATCH(H14,'Logic Tree'!$J$84:$N$84,0))</f>
        <v/>
      </c>
    </row>
    <row r="15" ht="15" customHeight="1">
      <c r="B15" s="27" t="n">
        <v>1</v>
      </c>
      <c r="C15" s="18" t="inlineStr">
        <is>
          <t>POD</t>
        </is>
      </c>
      <c r="D15" s="43" t="inlineStr">
        <is>
          <t>VS1</t>
        </is>
      </c>
      <c r="E15" s="43" t="inlineStr">
        <is>
          <t>POD</t>
        </is>
      </c>
      <c r="F15" s="57">
        <f>'Pod Library'!E15</f>
        <v/>
      </c>
      <c r="G15" s="51">
        <f>'Pod Library'!F15</f>
        <v/>
      </c>
      <c r="H15" s="51">
        <f>'Pod Library'!G15</f>
        <v/>
      </c>
      <c r="I15" s="51">
        <f>'Pod Library'!H15</f>
        <v/>
      </c>
      <c r="J15" s="51">
        <f>'Pod Library'!I15</f>
        <v/>
      </c>
      <c r="K15" s="16">
        <f>'Pod Library'!J15</f>
        <v/>
      </c>
      <c r="L15" s="21">
        <f>'Pod Plan'!G5</f>
        <v/>
      </c>
      <c r="M15" s="44">
        <f>K15*L15</f>
        <v/>
      </c>
      <c r="N15" s="54">
        <f>M15*INDEX('Logic Tree'!$J$85:$N$87,MATCH(I15,'Logic Tree'!$I$85:$I$87,0),MATCH(H15,'Logic Tree'!$J$84:$N$84,0))</f>
        <v/>
      </c>
    </row>
    <row r="16" ht="15" customHeight="1">
      <c r="B16" s="27" t="n">
        <v>1</v>
      </c>
      <c r="C16" s="18" t="inlineStr">
        <is>
          <t>POD</t>
        </is>
      </c>
      <c r="D16" s="43" t="inlineStr">
        <is>
          <t>VS1</t>
        </is>
      </c>
      <c r="E16" s="43" t="inlineStr">
        <is>
          <t>POD</t>
        </is>
      </c>
      <c r="F16" s="57">
        <f>'Pod Library'!E16</f>
        <v/>
      </c>
      <c r="G16" s="51">
        <f>'Pod Library'!F16</f>
        <v/>
      </c>
      <c r="H16" s="51">
        <f>'Pod Library'!G16</f>
        <v/>
      </c>
      <c r="I16" s="51">
        <f>'Pod Library'!H16</f>
        <v/>
      </c>
      <c r="J16" s="51">
        <f>'Pod Library'!I16</f>
        <v/>
      </c>
      <c r="K16" s="16">
        <f>'Pod Library'!J16</f>
        <v/>
      </c>
      <c r="L16" s="21">
        <f>'Pod Plan'!G5</f>
        <v/>
      </c>
      <c r="M16" s="44">
        <f>K16*L16</f>
        <v/>
      </c>
      <c r="N16" s="54">
        <f>M16*INDEX('Logic Tree'!$J$85:$N$87,MATCH(I16,'Logic Tree'!$I$85:$I$87,0),MATCH(H16,'Logic Tree'!$J$84:$N$84,0))</f>
        <v/>
      </c>
    </row>
    <row r="17" ht="15" customHeight="1">
      <c r="B17" s="27" t="n">
        <v>1</v>
      </c>
      <c r="C17" s="18" t="inlineStr">
        <is>
          <t>POD</t>
        </is>
      </c>
      <c r="D17" s="43" t="inlineStr">
        <is>
          <t>VS1</t>
        </is>
      </c>
      <c r="E17" s="43" t="inlineStr">
        <is>
          <t>POD</t>
        </is>
      </c>
      <c r="F17" s="57">
        <f>'Pod Library'!E17</f>
        <v/>
      </c>
      <c r="G17" s="51">
        <f>'Pod Library'!F17</f>
        <v/>
      </c>
      <c r="H17" s="51">
        <f>'Pod Library'!G17</f>
        <v/>
      </c>
      <c r="I17" s="51">
        <f>'Pod Library'!H17</f>
        <v/>
      </c>
      <c r="J17" s="51">
        <f>'Pod Library'!I17</f>
        <v/>
      </c>
      <c r="K17" s="16">
        <f>'Pod Library'!J17</f>
        <v/>
      </c>
      <c r="L17" s="21">
        <f>'Pod Plan'!G5</f>
        <v/>
      </c>
      <c r="M17" s="44">
        <f>K17*L17</f>
        <v/>
      </c>
      <c r="N17" s="54">
        <f>M17*INDEX('Logic Tree'!$J$85:$N$87,MATCH(I17,'Logic Tree'!$I$85:$I$87,0),MATCH(H17,'Logic Tree'!$J$84:$N$84,0))</f>
        <v/>
      </c>
    </row>
    <row r="18" ht="15" customHeight="1">
      <c r="B18" s="27" t="n">
        <v>1</v>
      </c>
      <c r="C18" s="18" t="inlineStr">
        <is>
          <t>POD</t>
        </is>
      </c>
      <c r="D18" s="43" t="inlineStr">
        <is>
          <t>VS1</t>
        </is>
      </c>
      <c r="E18" s="43" t="inlineStr">
        <is>
          <t>POD</t>
        </is>
      </c>
      <c r="F18" s="57">
        <f>'Pod Library'!E18</f>
        <v/>
      </c>
      <c r="G18" s="51">
        <f>'Pod Library'!F18</f>
        <v/>
      </c>
      <c r="H18" s="51">
        <f>'Pod Library'!G18</f>
        <v/>
      </c>
      <c r="I18" s="51">
        <f>'Pod Library'!H18</f>
        <v/>
      </c>
      <c r="J18" s="51">
        <f>'Pod Library'!I18</f>
        <v/>
      </c>
      <c r="K18" s="16">
        <f>'Pod Library'!J18</f>
        <v/>
      </c>
      <c r="L18" s="21">
        <f>'Pod Plan'!G5</f>
        <v/>
      </c>
      <c r="M18" s="44">
        <f>K18*L18</f>
        <v/>
      </c>
      <c r="N18" s="54">
        <f>M18*INDEX('Logic Tree'!$J$85:$N$87,MATCH(I18,'Logic Tree'!$I$85:$I$87,0),MATCH(H18,'Logic Tree'!$J$84:$N$84,0))</f>
        <v/>
      </c>
    </row>
    <row r="19" ht="15" customHeight="1">
      <c r="B19" s="27" t="n">
        <v>1</v>
      </c>
      <c r="C19" s="18" t="inlineStr">
        <is>
          <t>POD</t>
        </is>
      </c>
      <c r="D19" s="43" t="inlineStr">
        <is>
          <t>VS1</t>
        </is>
      </c>
      <c r="E19" s="43" t="inlineStr">
        <is>
          <t>POD</t>
        </is>
      </c>
      <c r="F19" s="57">
        <f>'Pod Library'!E19</f>
        <v/>
      </c>
      <c r="G19" s="51">
        <f>'Pod Library'!F19</f>
        <v/>
      </c>
      <c r="H19" s="51">
        <f>'Pod Library'!G19</f>
        <v/>
      </c>
      <c r="I19" s="51">
        <f>'Pod Library'!H19</f>
        <v/>
      </c>
      <c r="J19" s="51">
        <f>'Pod Library'!I19</f>
        <v/>
      </c>
      <c r="K19" s="16">
        <f>'Pod Library'!J19</f>
        <v/>
      </c>
      <c r="L19" s="21">
        <f>'Pod Plan'!G5</f>
        <v/>
      </c>
      <c r="M19" s="44">
        <f>K19*L19</f>
        <v/>
      </c>
      <c r="N19" s="54">
        <f>M19*INDEX('Logic Tree'!$J$85:$N$87,MATCH(I19,'Logic Tree'!$I$85:$I$87,0),MATCH(H19,'Logic Tree'!$J$84:$N$84,0))</f>
        <v/>
      </c>
    </row>
    <row r="20" ht="15" customHeight="1">
      <c r="B20" s="27" t="n">
        <v>1</v>
      </c>
      <c r="C20" s="18" t="inlineStr">
        <is>
          <t>POD</t>
        </is>
      </c>
      <c r="D20" s="43" t="inlineStr">
        <is>
          <t>VS1</t>
        </is>
      </c>
      <c r="E20" s="43" t="inlineStr">
        <is>
          <t>POD</t>
        </is>
      </c>
      <c r="F20" s="57">
        <f>'Pod Library'!E20</f>
        <v/>
      </c>
      <c r="G20" s="51">
        <f>'Pod Library'!F20</f>
        <v/>
      </c>
      <c r="H20" s="51">
        <f>'Pod Library'!G20</f>
        <v/>
      </c>
      <c r="I20" s="51">
        <f>'Pod Library'!H20</f>
        <v/>
      </c>
      <c r="J20" s="51">
        <f>'Pod Library'!I20</f>
        <v/>
      </c>
      <c r="K20" s="16">
        <f>'Pod Library'!J20</f>
        <v/>
      </c>
      <c r="L20" s="21">
        <f>'Pod Plan'!G5</f>
        <v/>
      </c>
      <c r="M20" s="44">
        <f>K20*L20</f>
        <v/>
      </c>
      <c r="N20" s="54">
        <f>M20*INDEX('Logic Tree'!$J$85:$N$87,MATCH(I20,'Logic Tree'!$I$85:$I$87,0),MATCH(H20,'Logic Tree'!$J$84:$N$84,0))</f>
        <v/>
      </c>
    </row>
    <row r="21" ht="15" customHeight="1">
      <c r="B21" s="27" t="n">
        <v>1</v>
      </c>
      <c r="C21" s="18" t="inlineStr">
        <is>
          <t>TEAM</t>
        </is>
      </c>
      <c r="D21" s="43" t="inlineStr">
        <is>
          <t>VS2</t>
        </is>
      </c>
      <c r="E21" s="43" t="inlineStr">
        <is>
          <t>TEAM</t>
        </is>
      </c>
      <c r="F21" s="57">
        <f>'Pod Library'!E23</f>
        <v/>
      </c>
      <c r="G21" s="51">
        <f>'Pod Library'!F23</f>
        <v/>
      </c>
      <c r="H21" s="51">
        <f>'Pod Library'!G23</f>
        <v/>
      </c>
      <c r="I21" s="51">
        <f>'Pod Library'!H23</f>
        <v/>
      </c>
      <c r="J21" s="51">
        <f>'Pod Library'!I23</f>
        <v/>
      </c>
      <c r="K21" s="16">
        <f>'Pod Library'!J23</f>
        <v/>
      </c>
      <c r="L21" s="21">
        <f>'Pod Plan'!G6</f>
        <v/>
      </c>
      <c r="M21" s="44">
        <f>K21*L21</f>
        <v/>
      </c>
      <c r="N21" s="54">
        <f>M21*INDEX('Logic Tree'!$J$85:$N$87,MATCH(I21,'Logic Tree'!$I$85:$I$87,0),MATCH(H21,'Logic Tree'!$J$84:$N$84,0))</f>
        <v/>
      </c>
    </row>
    <row r="22" ht="15" customHeight="1">
      <c r="B22" s="27" t="n">
        <v>1</v>
      </c>
      <c r="C22" s="18" t="inlineStr">
        <is>
          <t>TEAM</t>
        </is>
      </c>
      <c r="D22" s="43" t="inlineStr">
        <is>
          <t>VS2</t>
        </is>
      </c>
      <c r="E22" s="43" t="inlineStr">
        <is>
          <t>TEAM</t>
        </is>
      </c>
      <c r="F22" s="57">
        <f>'Pod Library'!E24</f>
        <v/>
      </c>
      <c r="G22" s="51">
        <f>'Pod Library'!F24</f>
        <v/>
      </c>
      <c r="H22" s="51">
        <f>'Pod Library'!G24</f>
        <v/>
      </c>
      <c r="I22" s="51">
        <f>'Pod Library'!H24</f>
        <v/>
      </c>
      <c r="J22" s="51">
        <f>'Pod Library'!I24</f>
        <v/>
      </c>
      <c r="K22" s="16">
        <f>'Pod Library'!J24</f>
        <v/>
      </c>
      <c r="L22" s="21">
        <f>'Pod Plan'!G6</f>
        <v/>
      </c>
      <c r="M22" s="44">
        <f>K22*L22</f>
        <v/>
      </c>
      <c r="N22" s="54">
        <f>M22*INDEX('Logic Tree'!$J$85:$N$87,MATCH(I22,'Logic Tree'!$I$85:$I$87,0),MATCH(H22,'Logic Tree'!$J$84:$N$84,0))</f>
        <v/>
      </c>
    </row>
    <row r="23" ht="15" customHeight="1">
      <c r="B23" s="27" t="n">
        <v>1</v>
      </c>
      <c r="C23" s="18" t="inlineStr">
        <is>
          <t>TEAM</t>
        </is>
      </c>
      <c r="D23" s="43" t="inlineStr">
        <is>
          <t>VS2</t>
        </is>
      </c>
      <c r="E23" s="43" t="inlineStr">
        <is>
          <t>TEAM</t>
        </is>
      </c>
      <c r="F23" s="57">
        <f>'Pod Library'!E25</f>
        <v/>
      </c>
      <c r="G23" s="51">
        <f>'Pod Library'!F25</f>
        <v/>
      </c>
      <c r="H23" s="51">
        <f>'Pod Library'!G25</f>
        <v/>
      </c>
      <c r="I23" s="51">
        <f>'Pod Library'!H25</f>
        <v/>
      </c>
      <c r="J23" s="51">
        <f>'Pod Library'!I25</f>
        <v/>
      </c>
      <c r="K23" s="16">
        <f>'Pod Library'!J25</f>
        <v/>
      </c>
      <c r="L23" s="21">
        <f>'Pod Plan'!G6</f>
        <v/>
      </c>
      <c r="M23" s="44">
        <f>K23*L23</f>
        <v/>
      </c>
      <c r="N23" s="54">
        <f>M23*INDEX('Logic Tree'!$J$85:$N$87,MATCH(I23,'Logic Tree'!$I$85:$I$87,0),MATCH(H23,'Logic Tree'!$J$84:$N$84,0))</f>
        <v/>
      </c>
    </row>
    <row r="24" ht="15" customHeight="1">
      <c r="B24" s="27" t="n">
        <v>1</v>
      </c>
      <c r="C24" s="18" t="inlineStr">
        <is>
          <t>TEAM</t>
        </is>
      </c>
      <c r="D24" s="43" t="inlineStr">
        <is>
          <t>VS2</t>
        </is>
      </c>
      <c r="E24" s="43" t="inlineStr">
        <is>
          <t>TEAM</t>
        </is>
      </c>
      <c r="F24" s="57">
        <f>'Pod Library'!E26</f>
        <v/>
      </c>
      <c r="G24" s="51">
        <f>'Pod Library'!F26</f>
        <v/>
      </c>
      <c r="H24" s="51">
        <f>'Pod Library'!G26</f>
        <v/>
      </c>
      <c r="I24" s="51">
        <f>'Pod Library'!H26</f>
        <v/>
      </c>
      <c r="J24" s="51">
        <f>'Pod Library'!I26</f>
        <v/>
      </c>
      <c r="K24" s="16">
        <f>'Pod Library'!J26</f>
        <v/>
      </c>
      <c r="L24" s="21">
        <f>'Pod Plan'!G6</f>
        <v/>
      </c>
      <c r="M24" s="44">
        <f>K24*L24</f>
        <v/>
      </c>
      <c r="N24" s="54">
        <f>M24*INDEX('Logic Tree'!$J$85:$N$87,MATCH(I24,'Logic Tree'!$I$85:$I$87,0),MATCH(H24,'Logic Tree'!$J$84:$N$84,0))</f>
        <v/>
      </c>
    </row>
    <row r="25" ht="15" customHeight="1">
      <c r="B25" s="27" t="n">
        <v>1</v>
      </c>
      <c r="C25" s="18" t="inlineStr">
        <is>
          <t>TEAM</t>
        </is>
      </c>
      <c r="D25" s="43" t="inlineStr">
        <is>
          <t>VS2</t>
        </is>
      </c>
      <c r="E25" s="43" t="inlineStr">
        <is>
          <t>TEAM</t>
        </is>
      </c>
      <c r="F25" s="57">
        <f>'Pod Library'!E27</f>
        <v/>
      </c>
      <c r="G25" s="51">
        <f>'Pod Library'!F27</f>
        <v/>
      </c>
      <c r="H25" s="51">
        <f>'Pod Library'!G27</f>
        <v/>
      </c>
      <c r="I25" s="51">
        <f>'Pod Library'!H27</f>
        <v/>
      </c>
      <c r="J25" s="51">
        <f>'Pod Library'!I27</f>
        <v/>
      </c>
      <c r="K25" s="16">
        <f>'Pod Library'!J27</f>
        <v/>
      </c>
      <c r="L25" s="21">
        <f>'Pod Plan'!G6</f>
        <v/>
      </c>
      <c r="M25" s="44">
        <f>K25*L25</f>
        <v/>
      </c>
      <c r="N25" s="54">
        <f>M25*INDEX('Logic Tree'!$J$85:$N$87,MATCH(I25,'Logic Tree'!$I$85:$I$87,0),MATCH(H25,'Logic Tree'!$J$84:$N$84,0))</f>
        <v/>
      </c>
    </row>
    <row r="26" ht="15" customHeight="1">
      <c r="B26" s="27" t="n">
        <v>1</v>
      </c>
      <c r="C26" s="18" t="inlineStr">
        <is>
          <t>TEAM</t>
        </is>
      </c>
      <c r="D26" s="43" t="inlineStr">
        <is>
          <t>VS2</t>
        </is>
      </c>
      <c r="E26" s="43" t="inlineStr">
        <is>
          <t>TEAM</t>
        </is>
      </c>
      <c r="F26" s="57">
        <f>'Pod Library'!E28</f>
        <v/>
      </c>
      <c r="G26" s="51">
        <f>'Pod Library'!F28</f>
        <v/>
      </c>
      <c r="H26" s="51">
        <f>'Pod Library'!G28</f>
        <v/>
      </c>
      <c r="I26" s="51">
        <f>'Pod Library'!H28</f>
        <v/>
      </c>
      <c r="J26" s="51">
        <f>'Pod Library'!I28</f>
        <v/>
      </c>
      <c r="K26" s="16">
        <f>'Pod Library'!J28</f>
        <v/>
      </c>
      <c r="L26" s="21">
        <f>'Pod Plan'!G6</f>
        <v/>
      </c>
      <c r="M26" s="44">
        <f>K26*L26</f>
        <v/>
      </c>
      <c r="N26" s="54">
        <f>M26*INDEX('Logic Tree'!$J$85:$N$87,MATCH(I26,'Logic Tree'!$I$85:$I$87,0),MATCH(H26,'Logic Tree'!$J$84:$N$84,0))</f>
        <v/>
      </c>
    </row>
    <row r="27" ht="15" customHeight="1">
      <c r="B27" s="27" t="n">
        <v>1</v>
      </c>
      <c r="C27" s="18" t="inlineStr">
        <is>
          <t>TEAM</t>
        </is>
      </c>
      <c r="D27" s="43" t="inlineStr">
        <is>
          <t>VS2</t>
        </is>
      </c>
      <c r="E27" s="43" t="inlineStr">
        <is>
          <t>TEAM</t>
        </is>
      </c>
      <c r="F27" s="57">
        <f>'Pod Library'!E29</f>
        <v/>
      </c>
      <c r="G27" s="51">
        <f>'Pod Library'!F29</f>
        <v/>
      </c>
      <c r="H27" s="51">
        <f>'Pod Library'!G29</f>
        <v/>
      </c>
      <c r="I27" s="51">
        <f>'Pod Library'!H29</f>
        <v/>
      </c>
      <c r="J27" s="51">
        <f>'Pod Library'!I29</f>
        <v/>
      </c>
      <c r="K27" s="16">
        <f>'Pod Library'!J29</f>
        <v/>
      </c>
      <c r="L27" s="21">
        <f>'Pod Plan'!G6</f>
        <v/>
      </c>
      <c r="M27" s="44">
        <f>K27*L27</f>
        <v/>
      </c>
      <c r="N27" s="54">
        <f>M27*INDEX('Logic Tree'!$J$85:$N$87,MATCH(I27,'Logic Tree'!$I$85:$I$87,0),MATCH(H27,'Logic Tree'!$J$84:$N$84,0))</f>
        <v/>
      </c>
    </row>
    <row r="28" ht="15" customHeight="1">
      <c r="B28" s="27" t="n">
        <v>1</v>
      </c>
      <c r="C28" s="18" t="inlineStr">
        <is>
          <t>TEAM</t>
        </is>
      </c>
      <c r="D28" s="43" t="inlineStr">
        <is>
          <t>VS2</t>
        </is>
      </c>
      <c r="E28" s="43" t="inlineStr">
        <is>
          <t>TEAM</t>
        </is>
      </c>
      <c r="F28" s="57">
        <f>'Pod Library'!E30</f>
        <v/>
      </c>
      <c r="G28" s="51">
        <f>'Pod Library'!F30</f>
        <v/>
      </c>
      <c r="H28" s="51">
        <f>'Pod Library'!G30</f>
        <v/>
      </c>
      <c r="I28" s="51">
        <f>'Pod Library'!H30</f>
        <v/>
      </c>
      <c r="J28" s="51">
        <f>'Pod Library'!I30</f>
        <v/>
      </c>
      <c r="K28" s="16">
        <f>'Pod Library'!J30</f>
        <v/>
      </c>
      <c r="L28" s="21">
        <f>'Pod Plan'!G6</f>
        <v/>
      </c>
      <c r="M28" s="44">
        <f>K28*L28</f>
        <v/>
      </c>
      <c r="N28" s="54">
        <f>M28*INDEX('Logic Tree'!$J$85:$N$87,MATCH(I28,'Logic Tree'!$I$85:$I$87,0),MATCH(H28,'Logic Tree'!$J$84:$N$84,0))</f>
        <v/>
      </c>
    </row>
    <row r="29" ht="15" customHeight="1">
      <c r="B29" s="27" t="n">
        <v>1</v>
      </c>
      <c r="C29" s="18" t="inlineStr">
        <is>
          <t>TEAM</t>
        </is>
      </c>
      <c r="D29" s="43" t="inlineStr">
        <is>
          <t>VS2</t>
        </is>
      </c>
      <c r="E29" s="43" t="inlineStr">
        <is>
          <t>TEAM</t>
        </is>
      </c>
      <c r="F29" s="57">
        <f>'Pod Library'!E31</f>
        <v/>
      </c>
      <c r="G29" s="51">
        <f>'Pod Library'!F31</f>
        <v/>
      </c>
      <c r="H29" s="51">
        <f>'Pod Library'!G31</f>
        <v/>
      </c>
      <c r="I29" s="51">
        <f>'Pod Library'!H31</f>
        <v/>
      </c>
      <c r="J29" s="51">
        <f>'Pod Library'!I31</f>
        <v/>
      </c>
      <c r="K29" s="16">
        <f>'Pod Library'!J31</f>
        <v/>
      </c>
      <c r="L29" s="21">
        <f>'Pod Plan'!G6</f>
        <v/>
      </c>
      <c r="M29" s="44">
        <f>K29*L29</f>
        <v/>
      </c>
      <c r="N29" s="54">
        <f>M29*INDEX('Logic Tree'!$J$85:$N$87,MATCH(I29,'Logic Tree'!$I$85:$I$87,0),MATCH(H29,'Logic Tree'!$J$84:$N$84,0))</f>
        <v/>
      </c>
    </row>
    <row r="30" ht="15" customHeight="1">
      <c r="B30" s="27" t="n">
        <v>1</v>
      </c>
      <c r="C30" s="18" t="inlineStr">
        <is>
          <t>TEAM</t>
        </is>
      </c>
      <c r="D30" s="43" t="inlineStr">
        <is>
          <t>VS2</t>
        </is>
      </c>
      <c r="E30" s="43" t="inlineStr">
        <is>
          <t>TEAM</t>
        </is>
      </c>
      <c r="F30" s="57">
        <f>'Pod Library'!E32</f>
        <v/>
      </c>
      <c r="G30" s="51">
        <f>'Pod Library'!F32</f>
        <v/>
      </c>
      <c r="H30" s="51">
        <f>'Pod Library'!G32</f>
        <v/>
      </c>
      <c r="I30" s="51">
        <f>'Pod Library'!H32</f>
        <v/>
      </c>
      <c r="J30" s="51">
        <f>'Pod Library'!I32</f>
        <v/>
      </c>
      <c r="K30" s="16">
        <f>'Pod Library'!J32</f>
        <v/>
      </c>
      <c r="L30" s="21">
        <f>'Pod Plan'!G6</f>
        <v/>
      </c>
      <c r="M30" s="44">
        <f>K30*L30</f>
        <v/>
      </c>
      <c r="N30" s="54">
        <f>M30*INDEX('Logic Tree'!$J$85:$N$87,MATCH(I30,'Logic Tree'!$I$85:$I$87,0),MATCH(H30,'Logic Tree'!$J$84:$N$84,0))</f>
        <v/>
      </c>
    </row>
    <row r="31" ht="15" customHeight="1">
      <c r="B31" s="27" t="n">
        <v>1</v>
      </c>
      <c r="C31" s="18" t="inlineStr">
        <is>
          <t>TEAM</t>
        </is>
      </c>
      <c r="D31" s="43" t="inlineStr">
        <is>
          <t>VS2</t>
        </is>
      </c>
      <c r="E31" s="43" t="inlineStr">
        <is>
          <t>TEAM</t>
        </is>
      </c>
      <c r="F31" s="57">
        <f>'Pod Library'!E33</f>
        <v/>
      </c>
      <c r="G31" s="51">
        <f>'Pod Library'!F33</f>
        <v/>
      </c>
      <c r="H31" s="51">
        <f>'Pod Library'!G33</f>
        <v/>
      </c>
      <c r="I31" s="51">
        <f>'Pod Library'!H33</f>
        <v/>
      </c>
      <c r="J31" s="51">
        <f>'Pod Library'!I33</f>
        <v/>
      </c>
      <c r="K31" s="16">
        <f>'Pod Library'!J33</f>
        <v/>
      </c>
      <c r="L31" s="21">
        <f>'Pod Plan'!G6</f>
        <v/>
      </c>
      <c r="M31" s="44">
        <f>K31*L31</f>
        <v/>
      </c>
      <c r="N31" s="54">
        <f>M31*INDEX('Logic Tree'!$J$85:$N$87,MATCH(I31,'Logic Tree'!$I$85:$I$87,0),MATCH(H31,'Logic Tree'!$J$84:$N$84,0))</f>
        <v/>
      </c>
    </row>
    <row r="32" ht="15" customHeight="1">
      <c r="B32" s="27" t="n">
        <v>1</v>
      </c>
      <c r="C32" s="18" t="inlineStr">
        <is>
          <t>TEAM</t>
        </is>
      </c>
      <c r="D32" s="43" t="inlineStr">
        <is>
          <t>VS2</t>
        </is>
      </c>
      <c r="E32" s="43" t="inlineStr">
        <is>
          <t>TEAM</t>
        </is>
      </c>
      <c r="F32" s="57">
        <f>'Pod Library'!E34</f>
        <v/>
      </c>
      <c r="G32" s="51">
        <f>'Pod Library'!F34</f>
        <v/>
      </c>
      <c r="H32" s="51">
        <f>'Pod Library'!G34</f>
        <v/>
      </c>
      <c r="I32" s="51">
        <f>'Pod Library'!H34</f>
        <v/>
      </c>
      <c r="J32" s="51">
        <f>'Pod Library'!I34</f>
        <v/>
      </c>
      <c r="K32" s="16">
        <f>'Pod Library'!J34</f>
        <v/>
      </c>
      <c r="L32" s="21">
        <f>'Pod Plan'!G6</f>
        <v/>
      </c>
      <c r="M32" s="44">
        <f>K32*L32</f>
        <v/>
      </c>
      <c r="N32" s="54">
        <f>M32*INDEX('Logic Tree'!$J$85:$N$87,MATCH(I32,'Logic Tree'!$I$85:$I$87,0),MATCH(H32,'Logic Tree'!$J$84:$N$84,0))</f>
        <v/>
      </c>
    </row>
    <row r="33" ht="15" customHeight="1">
      <c r="B33" s="27" t="n">
        <v>1</v>
      </c>
      <c r="C33" s="18" t="inlineStr">
        <is>
          <t>TEAM</t>
        </is>
      </c>
      <c r="D33" s="43" t="inlineStr">
        <is>
          <t>VS2</t>
        </is>
      </c>
      <c r="E33" s="43" t="inlineStr">
        <is>
          <t>TEAM</t>
        </is>
      </c>
      <c r="F33" s="57">
        <f>'Pod Library'!E35</f>
        <v/>
      </c>
      <c r="G33" s="51">
        <f>'Pod Library'!F35</f>
        <v/>
      </c>
      <c r="H33" s="51">
        <f>'Pod Library'!G35</f>
        <v/>
      </c>
      <c r="I33" s="51">
        <f>'Pod Library'!H35</f>
        <v/>
      </c>
      <c r="J33" s="51">
        <f>'Pod Library'!I35</f>
        <v/>
      </c>
      <c r="K33" s="16">
        <f>'Pod Library'!J35</f>
        <v/>
      </c>
      <c r="L33" s="21">
        <f>'Pod Plan'!G6</f>
        <v/>
      </c>
      <c r="M33" s="44">
        <f>K33*L33</f>
        <v/>
      </c>
      <c r="N33" s="54">
        <f>M33*INDEX('Logic Tree'!$J$85:$N$87,MATCH(I33,'Logic Tree'!$I$85:$I$87,0),MATCH(H33,'Logic Tree'!$J$84:$N$84,0))</f>
        <v/>
      </c>
    </row>
    <row r="34" ht="15" customHeight="1">
      <c r="B34" s="27" t="n">
        <v>1</v>
      </c>
      <c r="C34" s="18" t="inlineStr">
        <is>
          <t>TEAM</t>
        </is>
      </c>
      <c r="D34" s="43" t="inlineStr">
        <is>
          <t>VS2</t>
        </is>
      </c>
      <c r="E34" s="43" t="inlineStr">
        <is>
          <t>TEAM</t>
        </is>
      </c>
      <c r="F34" s="57">
        <f>'Pod Library'!E36</f>
        <v/>
      </c>
      <c r="G34" s="51">
        <f>'Pod Library'!F36</f>
        <v/>
      </c>
      <c r="H34" s="51">
        <f>'Pod Library'!G36</f>
        <v/>
      </c>
      <c r="I34" s="51">
        <f>'Pod Library'!H36</f>
        <v/>
      </c>
      <c r="J34" s="51">
        <f>'Pod Library'!I36</f>
        <v/>
      </c>
      <c r="K34" s="16">
        <f>'Pod Library'!J36</f>
        <v/>
      </c>
      <c r="L34" s="21">
        <f>'Pod Plan'!G6</f>
        <v/>
      </c>
      <c r="M34" s="44">
        <f>K34*L34</f>
        <v/>
      </c>
      <c r="N34" s="54">
        <f>M34*INDEX('Logic Tree'!$J$85:$N$87,MATCH(I34,'Logic Tree'!$I$85:$I$87,0),MATCH(H34,'Logic Tree'!$J$84:$N$84,0))</f>
        <v/>
      </c>
    </row>
    <row r="35" ht="15" customHeight="1">
      <c r="B35" s="27" t="n">
        <v>2</v>
      </c>
      <c r="C35" s="18" t="inlineStr">
        <is>
          <t>POD</t>
        </is>
      </c>
      <c r="D35" s="43" t="inlineStr">
        <is>
          <t>VS1</t>
        </is>
      </c>
      <c r="E35" s="43" t="inlineStr">
        <is>
          <t>POD</t>
        </is>
      </c>
      <c r="F35" s="57">
        <f>'Pod Library'!E39</f>
        <v/>
      </c>
      <c r="G35" s="51">
        <f>'Pod Library'!F39</f>
        <v/>
      </c>
      <c r="H35" s="51">
        <f>'Pod Library'!G39</f>
        <v/>
      </c>
      <c r="I35" s="51">
        <f>'Pod Library'!H39</f>
        <v/>
      </c>
      <c r="J35" s="51">
        <f>'Pod Library'!I39</f>
        <v/>
      </c>
      <c r="K35" s="16">
        <f>'Pod Library'!J39</f>
        <v/>
      </c>
      <c r="L35" s="21">
        <f>'Pod Plan'!G9</f>
        <v/>
      </c>
      <c r="M35" s="44">
        <f>K35*L35</f>
        <v/>
      </c>
      <c r="N35" s="54">
        <f>M35*INDEX('Logic Tree'!$J$85:$N$87,MATCH(I35,'Logic Tree'!$I$85:$I$87,0),MATCH(H35,'Logic Tree'!$J$84:$N$84,0))</f>
        <v/>
      </c>
    </row>
    <row r="36" ht="15" customHeight="1">
      <c r="B36" s="27" t="n">
        <v>2</v>
      </c>
      <c r="C36" s="18" t="inlineStr">
        <is>
          <t>POD</t>
        </is>
      </c>
      <c r="D36" s="43" t="inlineStr">
        <is>
          <t>VS1</t>
        </is>
      </c>
      <c r="E36" s="43" t="inlineStr">
        <is>
          <t>POD</t>
        </is>
      </c>
      <c r="F36" s="57">
        <f>'Pod Library'!E40</f>
        <v/>
      </c>
      <c r="G36" s="51">
        <f>'Pod Library'!F40</f>
        <v/>
      </c>
      <c r="H36" s="51">
        <f>'Pod Library'!G40</f>
        <v/>
      </c>
      <c r="I36" s="51">
        <f>'Pod Library'!H40</f>
        <v/>
      </c>
      <c r="J36" s="51">
        <f>'Pod Library'!I40</f>
        <v/>
      </c>
      <c r="K36" s="16">
        <f>'Pod Library'!J40</f>
        <v/>
      </c>
      <c r="L36" s="21">
        <f>'Pod Plan'!G9</f>
        <v/>
      </c>
      <c r="M36" s="44">
        <f>K36*L36</f>
        <v/>
      </c>
      <c r="N36" s="54">
        <f>M36*INDEX('Logic Tree'!$J$85:$N$87,MATCH(I36,'Logic Tree'!$I$85:$I$87,0),MATCH(H36,'Logic Tree'!$J$84:$N$84,0))</f>
        <v/>
      </c>
    </row>
    <row r="37" ht="15" customHeight="1">
      <c r="B37" s="27" t="n">
        <v>2</v>
      </c>
      <c r="C37" s="18" t="inlineStr">
        <is>
          <t>POD</t>
        </is>
      </c>
      <c r="D37" s="43" t="inlineStr">
        <is>
          <t>VS1</t>
        </is>
      </c>
      <c r="E37" s="43" t="inlineStr">
        <is>
          <t>POD</t>
        </is>
      </c>
      <c r="F37" s="57">
        <f>'Pod Library'!E41</f>
        <v/>
      </c>
      <c r="G37" s="51">
        <f>'Pod Library'!F41</f>
        <v/>
      </c>
      <c r="H37" s="51">
        <f>'Pod Library'!G41</f>
        <v/>
      </c>
      <c r="I37" s="51">
        <f>'Pod Library'!H41</f>
        <v/>
      </c>
      <c r="J37" s="51">
        <f>'Pod Library'!I41</f>
        <v/>
      </c>
      <c r="K37" s="16">
        <f>'Pod Library'!J41</f>
        <v/>
      </c>
      <c r="L37" s="21">
        <f>'Pod Plan'!G9</f>
        <v/>
      </c>
      <c r="M37" s="44">
        <f>K37*L37</f>
        <v/>
      </c>
      <c r="N37" s="54">
        <f>M37*INDEX('Logic Tree'!$J$85:$N$87,MATCH(I37,'Logic Tree'!$I$85:$I$87,0),MATCH(H37,'Logic Tree'!$J$84:$N$84,0))</f>
        <v/>
      </c>
    </row>
    <row r="38" ht="15" customHeight="1">
      <c r="B38" s="27" t="n">
        <v>2</v>
      </c>
      <c r="C38" s="18" t="inlineStr">
        <is>
          <t>POD</t>
        </is>
      </c>
      <c r="D38" s="43" t="inlineStr">
        <is>
          <t>VS1</t>
        </is>
      </c>
      <c r="E38" s="43" t="inlineStr">
        <is>
          <t>POD</t>
        </is>
      </c>
      <c r="F38" s="57">
        <f>'Pod Library'!E42</f>
        <v/>
      </c>
      <c r="G38" s="51">
        <f>'Pod Library'!F42</f>
        <v/>
      </c>
      <c r="H38" s="51">
        <f>'Pod Library'!G42</f>
        <v/>
      </c>
      <c r="I38" s="51">
        <f>'Pod Library'!H42</f>
        <v/>
      </c>
      <c r="J38" s="51">
        <f>'Pod Library'!I42</f>
        <v/>
      </c>
      <c r="K38" s="16">
        <f>'Pod Library'!J42</f>
        <v/>
      </c>
      <c r="L38" s="21">
        <f>'Pod Plan'!G9</f>
        <v/>
      </c>
      <c r="M38" s="44">
        <f>K38*L38</f>
        <v/>
      </c>
      <c r="N38" s="54">
        <f>M38*INDEX('Logic Tree'!$J$85:$N$87,MATCH(I38,'Logic Tree'!$I$85:$I$87,0),MATCH(H38,'Logic Tree'!$J$84:$N$84,0))</f>
        <v/>
      </c>
    </row>
    <row r="39" ht="15" customHeight="1">
      <c r="B39" s="27" t="n">
        <v>2</v>
      </c>
      <c r="C39" s="18" t="inlineStr">
        <is>
          <t>POD</t>
        </is>
      </c>
      <c r="D39" s="43" t="inlineStr">
        <is>
          <t>VS1</t>
        </is>
      </c>
      <c r="E39" s="43" t="inlineStr">
        <is>
          <t>POD</t>
        </is>
      </c>
      <c r="F39" s="57">
        <f>'Pod Library'!E43</f>
        <v/>
      </c>
      <c r="G39" s="51">
        <f>'Pod Library'!F43</f>
        <v/>
      </c>
      <c r="H39" s="51">
        <f>'Pod Library'!G43</f>
        <v/>
      </c>
      <c r="I39" s="51">
        <f>'Pod Library'!H43</f>
        <v/>
      </c>
      <c r="J39" s="51">
        <f>'Pod Library'!I43</f>
        <v/>
      </c>
      <c r="K39" s="16">
        <f>'Pod Library'!J43</f>
        <v/>
      </c>
      <c r="L39" s="21">
        <f>'Pod Plan'!G9</f>
        <v/>
      </c>
      <c r="M39" s="44">
        <f>K39*L39</f>
        <v/>
      </c>
      <c r="N39" s="54">
        <f>M39*INDEX('Logic Tree'!$J$85:$N$87,MATCH(I39,'Logic Tree'!$I$85:$I$87,0),MATCH(H39,'Logic Tree'!$J$84:$N$84,0))</f>
        <v/>
      </c>
    </row>
    <row r="40" ht="15" customHeight="1">
      <c r="B40" s="27" t="n">
        <v>2</v>
      </c>
      <c r="C40" s="18" t="inlineStr">
        <is>
          <t>POD</t>
        </is>
      </c>
      <c r="D40" s="43" t="inlineStr">
        <is>
          <t>VS1</t>
        </is>
      </c>
      <c r="E40" s="43" t="inlineStr">
        <is>
          <t>POD</t>
        </is>
      </c>
      <c r="F40" s="57">
        <f>'Pod Library'!E44</f>
        <v/>
      </c>
      <c r="G40" s="51">
        <f>'Pod Library'!F44</f>
        <v/>
      </c>
      <c r="H40" s="51">
        <f>'Pod Library'!G44</f>
        <v/>
      </c>
      <c r="I40" s="51">
        <f>'Pod Library'!H44</f>
        <v/>
      </c>
      <c r="J40" s="51">
        <f>'Pod Library'!I44</f>
        <v/>
      </c>
      <c r="K40" s="16">
        <f>'Pod Library'!J44</f>
        <v/>
      </c>
      <c r="L40" s="21">
        <f>'Pod Plan'!G9</f>
        <v/>
      </c>
      <c r="M40" s="44">
        <f>K40*L40</f>
        <v/>
      </c>
      <c r="N40" s="54">
        <f>M40*INDEX('Logic Tree'!$J$85:$N$87,MATCH(I40,'Logic Tree'!$I$85:$I$87,0),MATCH(H40,'Logic Tree'!$J$84:$N$84,0))</f>
        <v/>
      </c>
    </row>
    <row r="41" ht="15" customHeight="1">
      <c r="B41" s="27" t="n">
        <v>2</v>
      </c>
      <c r="C41" s="18" t="inlineStr">
        <is>
          <t>POD</t>
        </is>
      </c>
      <c r="D41" s="43" t="inlineStr">
        <is>
          <t>VS1</t>
        </is>
      </c>
      <c r="E41" s="43" t="inlineStr">
        <is>
          <t>POD</t>
        </is>
      </c>
      <c r="F41" s="57">
        <f>'Pod Library'!E45</f>
        <v/>
      </c>
      <c r="G41" s="51">
        <f>'Pod Library'!F45</f>
        <v/>
      </c>
      <c r="H41" s="51">
        <f>'Pod Library'!G45</f>
        <v/>
      </c>
      <c r="I41" s="51">
        <f>'Pod Library'!H45</f>
        <v/>
      </c>
      <c r="J41" s="51">
        <f>'Pod Library'!I45</f>
        <v/>
      </c>
      <c r="K41" s="16">
        <f>'Pod Library'!J45</f>
        <v/>
      </c>
      <c r="L41" s="21">
        <f>'Pod Plan'!G9</f>
        <v/>
      </c>
      <c r="M41" s="44">
        <f>K41*L41</f>
        <v/>
      </c>
      <c r="N41" s="54">
        <f>M41*INDEX('Logic Tree'!$J$85:$N$87,MATCH(I41,'Logic Tree'!$I$85:$I$87,0),MATCH(H41,'Logic Tree'!$J$84:$N$84,0))</f>
        <v/>
      </c>
    </row>
    <row r="42" ht="15" customHeight="1">
      <c r="B42" s="27" t="n">
        <v>2</v>
      </c>
      <c r="C42" s="18" t="inlineStr">
        <is>
          <t>POD</t>
        </is>
      </c>
      <c r="D42" s="43" t="inlineStr">
        <is>
          <t>VS1</t>
        </is>
      </c>
      <c r="E42" s="43" t="inlineStr">
        <is>
          <t>POD</t>
        </is>
      </c>
      <c r="F42" s="57">
        <f>'Pod Library'!E46</f>
        <v/>
      </c>
      <c r="G42" s="51">
        <f>'Pod Library'!F46</f>
        <v/>
      </c>
      <c r="H42" s="51">
        <f>'Pod Library'!G46</f>
        <v/>
      </c>
      <c r="I42" s="51">
        <f>'Pod Library'!H46</f>
        <v/>
      </c>
      <c r="J42" s="51">
        <f>'Pod Library'!I46</f>
        <v/>
      </c>
      <c r="K42" s="16">
        <f>'Pod Library'!J46</f>
        <v/>
      </c>
      <c r="L42" s="21">
        <f>'Pod Plan'!G9</f>
        <v/>
      </c>
      <c r="M42" s="44">
        <f>K42*L42</f>
        <v/>
      </c>
      <c r="N42" s="54">
        <f>M42*INDEX('Logic Tree'!$J$85:$N$87,MATCH(I42,'Logic Tree'!$I$85:$I$87,0),MATCH(H42,'Logic Tree'!$J$84:$N$84,0))</f>
        <v/>
      </c>
    </row>
    <row r="43" ht="15" customHeight="1">
      <c r="B43" s="27" t="n">
        <v>2</v>
      </c>
      <c r="C43" s="18" t="inlineStr">
        <is>
          <t>POD</t>
        </is>
      </c>
      <c r="D43" s="43" t="inlineStr">
        <is>
          <t>VS1</t>
        </is>
      </c>
      <c r="E43" s="43" t="inlineStr">
        <is>
          <t>POD</t>
        </is>
      </c>
      <c r="F43" s="57">
        <f>'Pod Library'!E47</f>
        <v/>
      </c>
      <c r="G43" s="51">
        <f>'Pod Library'!F47</f>
        <v/>
      </c>
      <c r="H43" s="51">
        <f>'Pod Library'!G47</f>
        <v/>
      </c>
      <c r="I43" s="51">
        <f>'Pod Library'!H47</f>
        <v/>
      </c>
      <c r="J43" s="51">
        <f>'Pod Library'!I47</f>
        <v/>
      </c>
      <c r="K43" s="16">
        <f>'Pod Library'!J47</f>
        <v/>
      </c>
      <c r="L43" s="21">
        <f>'Pod Plan'!G9</f>
        <v/>
      </c>
      <c r="M43" s="44">
        <f>K43*L43</f>
        <v/>
      </c>
      <c r="N43" s="54">
        <f>M43*INDEX('Logic Tree'!$J$85:$N$87,MATCH(I43,'Logic Tree'!$I$85:$I$87,0),MATCH(H43,'Logic Tree'!$J$84:$N$84,0))</f>
        <v/>
      </c>
    </row>
    <row r="44" ht="15" customHeight="1">
      <c r="B44" s="27" t="n">
        <v>2</v>
      </c>
      <c r="C44" s="18" t="inlineStr">
        <is>
          <t>POD</t>
        </is>
      </c>
      <c r="D44" s="43" t="inlineStr">
        <is>
          <t>VS1</t>
        </is>
      </c>
      <c r="E44" s="43" t="inlineStr">
        <is>
          <t>POD</t>
        </is>
      </c>
      <c r="F44" s="57">
        <f>'Pod Library'!E48</f>
        <v/>
      </c>
      <c r="G44" s="51">
        <f>'Pod Library'!F48</f>
        <v/>
      </c>
      <c r="H44" s="51">
        <f>'Pod Library'!G48</f>
        <v/>
      </c>
      <c r="I44" s="51">
        <f>'Pod Library'!H48</f>
        <v/>
      </c>
      <c r="J44" s="51">
        <f>'Pod Library'!I48</f>
        <v/>
      </c>
      <c r="K44" s="16">
        <f>'Pod Library'!J48</f>
        <v/>
      </c>
      <c r="L44" s="21">
        <f>'Pod Plan'!G9</f>
        <v/>
      </c>
      <c r="M44" s="44">
        <f>K44*L44</f>
        <v/>
      </c>
      <c r="N44" s="54">
        <f>M44*INDEX('Logic Tree'!$J$85:$N$87,MATCH(I44,'Logic Tree'!$I$85:$I$87,0),MATCH(H44,'Logic Tree'!$J$84:$N$84,0))</f>
        <v/>
      </c>
    </row>
    <row r="45" ht="15" customHeight="1">
      <c r="B45" s="27" t="n">
        <v>2</v>
      </c>
      <c r="C45" s="18" t="inlineStr">
        <is>
          <t>POD</t>
        </is>
      </c>
      <c r="D45" s="43" t="inlineStr">
        <is>
          <t>VS1</t>
        </is>
      </c>
      <c r="E45" s="43" t="inlineStr">
        <is>
          <t>POD</t>
        </is>
      </c>
      <c r="F45" s="57">
        <f>'Pod Library'!E49</f>
        <v/>
      </c>
      <c r="G45" s="51">
        <f>'Pod Library'!F49</f>
        <v/>
      </c>
      <c r="H45" s="51">
        <f>'Pod Library'!G49</f>
        <v/>
      </c>
      <c r="I45" s="51">
        <f>'Pod Library'!H49</f>
        <v/>
      </c>
      <c r="J45" s="51">
        <f>'Pod Library'!I49</f>
        <v/>
      </c>
      <c r="K45" s="16">
        <f>'Pod Library'!J49</f>
        <v/>
      </c>
      <c r="L45" s="21">
        <f>'Pod Plan'!G9</f>
        <v/>
      </c>
      <c r="M45" s="44">
        <f>K45*L45</f>
        <v/>
      </c>
      <c r="N45" s="54">
        <f>M45*INDEX('Logic Tree'!$J$85:$N$87,MATCH(I45,'Logic Tree'!$I$85:$I$87,0),MATCH(H45,'Logic Tree'!$J$84:$N$84,0))</f>
        <v/>
      </c>
    </row>
    <row r="46" ht="15" customHeight="1">
      <c r="B46" s="27" t="n">
        <v>2</v>
      </c>
      <c r="C46" s="18" t="inlineStr">
        <is>
          <t>POD</t>
        </is>
      </c>
      <c r="D46" s="43" t="inlineStr">
        <is>
          <t>VS1</t>
        </is>
      </c>
      <c r="E46" s="43" t="inlineStr">
        <is>
          <t>POD</t>
        </is>
      </c>
      <c r="F46" s="57">
        <f>'Pod Library'!E50</f>
        <v/>
      </c>
      <c r="G46" s="51">
        <f>'Pod Library'!F50</f>
        <v/>
      </c>
      <c r="H46" s="51">
        <f>'Pod Library'!G50</f>
        <v/>
      </c>
      <c r="I46" s="51">
        <f>'Pod Library'!H50</f>
        <v/>
      </c>
      <c r="J46" s="51">
        <f>'Pod Library'!I50</f>
        <v/>
      </c>
      <c r="K46" s="16">
        <f>'Pod Library'!J50</f>
        <v/>
      </c>
      <c r="L46" s="21">
        <f>'Pod Plan'!G9</f>
        <v/>
      </c>
      <c r="M46" s="44">
        <f>K46*L46</f>
        <v/>
      </c>
      <c r="N46" s="54">
        <f>M46*INDEX('Logic Tree'!$J$85:$N$87,MATCH(I46,'Logic Tree'!$I$85:$I$87,0),MATCH(H46,'Logic Tree'!$J$84:$N$84,0))</f>
        <v/>
      </c>
    </row>
    <row r="47" ht="15" customHeight="1">
      <c r="B47" s="27" t="n">
        <v>2</v>
      </c>
      <c r="C47" s="18" t="inlineStr">
        <is>
          <t>POD</t>
        </is>
      </c>
      <c r="D47" s="43" t="inlineStr">
        <is>
          <t>VS1</t>
        </is>
      </c>
      <c r="E47" s="43" t="inlineStr">
        <is>
          <t>POD</t>
        </is>
      </c>
      <c r="F47" s="57">
        <f>'Pod Library'!E51</f>
        <v/>
      </c>
      <c r="G47" s="51">
        <f>'Pod Library'!F51</f>
        <v/>
      </c>
      <c r="H47" s="51">
        <f>'Pod Library'!G51</f>
        <v/>
      </c>
      <c r="I47" s="51">
        <f>'Pod Library'!H51</f>
        <v/>
      </c>
      <c r="J47" s="51">
        <f>'Pod Library'!I51</f>
        <v/>
      </c>
      <c r="K47" s="16">
        <f>'Pod Library'!J51</f>
        <v/>
      </c>
      <c r="L47" s="21">
        <f>'Pod Plan'!G9</f>
        <v/>
      </c>
      <c r="M47" s="44">
        <f>K47*L47</f>
        <v/>
      </c>
      <c r="N47" s="54">
        <f>M47*INDEX('Logic Tree'!$J$85:$N$87,MATCH(I47,'Logic Tree'!$I$85:$I$87,0),MATCH(H47,'Logic Tree'!$J$84:$N$84,0))</f>
        <v/>
      </c>
    </row>
    <row r="48" ht="15" customHeight="1">
      <c r="B48" s="27" t="n">
        <v>2</v>
      </c>
      <c r="C48" s="18" t="inlineStr">
        <is>
          <t>POD</t>
        </is>
      </c>
      <c r="D48" s="43" t="inlineStr">
        <is>
          <t>VS1</t>
        </is>
      </c>
      <c r="E48" s="43" t="inlineStr">
        <is>
          <t>POD</t>
        </is>
      </c>
      <c r="F48" s="57">
        <f>'Pod Library'!E52</f>
        <v/>
      </c>
      <c r="G48" s="51">
        <f>'Pod Library'!F52</f>
        <v/>
      </c>
      <c r="H48" s="51">
        <f>'Pod Library'!G52</f>
        <v/>
      </c>
      <c r="I48" s="51">
        <f>'Pod Library'!H52</f>
        <v/>
      </c>
      <c r="J48" s="51">
        <f>'Pod Library'!I52</f>
        <v/>
      </c>
      <c r="K48" s="16">
        <f>'Pod Library'!J52</f>
        <v/>
      </c>
      <c r="L48" s="21">
        <f>'Pod Plan'!G9</f>
        <v/>
      </c>
      <c r="M48" s="44">
        <f>K48*L48</f>
        <v/>
      </c>
      <c r="N48" s="54">
        <f>M48*INDEX('Logic Tree'!$J$85:$N$87,MATCH(I48,'Logic Tree'!$I$85:$I$87,0),MATCH(H48,'Logic Tree'!$J$84:$N$84,0))</f>
        <v/>
      </c>
    </row>
    <row r="49" ht="15" customHeight="1">
      <c r="B49" s="27" t="n">
        <v>2</v>
      </c>
      <c r="C49" s="18" t="inlineStr">
        <is>
          <t>POD</t>
        </is>
      </c>
      <c r="D49" s="43" t="inlineStr">
        <is>
          <t>VS1</t>
        </is>
      </c>
      <c r="E49" s="43" t="inlineStr">
        <is>
          <t>POD</t>
        </is>
      </c>
      <c r="F49" s="57">
        <f>'Pod Library'!E53</f>
        <v/>
      </c>
      <c r="G49" s="51">
        <f>'Pod Library'!F53</f>
        <v/>
      </c>
      <c r="H49" s="51">
        <f>'Pod Library'!G53</f>
        <v/>
      </c>
      <c r="I49" s="51">
        <f>'Pod Library'!H53</f>
        <v/>
      </c>
      <c r="J49" s="51">
        <f>'Pod Library'!I53</f>
        <v/>
      </c>
      <c r="K49" s="16">
        <f>'Pod Library'!J53</f>
        <v/>
      </c>
      <c r="L49" s="21">
        <f>'Pod Plan'!G9</f>
        <v/>
      </c>
      <c r="M49" s="44">
        <f>K49*L49</f>
        <v/>
      </c>
      <c r="N49" s="54">
        <f>M49*INDEX('Logic Tree'!$J$85:$N$87,MATCH(I49,'Logic Tree'!$I$85:$I$87,0),MATCH(H49,'Logic Tree'!$J$84:$N$84,0))</f>
        <v/>
      </c>
    </row>
    <row r="50" ht="15" customHeight="1">
      <c r="B50" s="27" t="n">
        <v>2</v>
      </c>
      <c r="C50" s="18" t="inlineStr">
        <is>
          <t>POD</t>
        </is>
      </c>
      <c r="D50" s="43" t="inlineStr">
        <is>
          <t>VS1</t>
        </is>
      </c>
      <c r="E50" s="43" t="inlineStr">
        <is>
          <t>POD</t>
        </is>
      </c>
      <c r="F50" s="57">
        <f>'Pod Library'!E54</f>
        <v/>
      </c>
      <c r="G50" s="51">
        <f>'Pod Library'!F54</f>
        <v/>
      </c>
      <c r="H50" s="51">
        <f>'Pod Library'!G54</f>
        <v/>
      </c>
      <c r="I50" s="51">
        <f>'Pod Library'!H54</f>
        <v/>
      </c>
      <c r="J50" s="51">
        <f>'Pod Library'!I54</f>
        <v/>
      </c>
      <c r="K50" s="16">
        <f>'Pod Library'!J54</f>
        <v/>
      </c>
      <c r="L50" s="21">
        <f>'Pod Plan'!G9</f>
        <v/>
      </c>
      <c r="M50" s="44">
        <f>K50*L50</f>
        <v/>
      </c>
      <c r="N50" s="54">
        <f>M50*INDEX('Logic Tree'!$J$85:$N$87,MATCH(I50,'Logic Tree'!$I$85:$I$87,0),MATCH(H50,'Logic Tree'!$J$84:$N$84,0))</f>
        <v/>
      </c>
    </row>
    <row r="51" ht="15" customHeight="1">
      <c r="B51" s="27" t="n">
        <v>2</v>
      </c>
      <c r="C51" s="18" t="inlineStr">
        <is>
          <t>TEAM</t>
        </is>
      </c>
      <c r="D51" s="43" t="inlineStr">
        <is>
          <t>VS2</t>
        </is>
      </c>
      <c r="E51" s="43" t="inlineStr">
        <is>
          <t>TEAM</t>
        </is>
      </c>
      <c r="F51" s="57">
        <f>'Pod Library'!E57</f>
        <v/>
      </c>
      <c r="G51" s="51">
        <f>'Pod Library'!F57</f>
        <v/>
      </c>
      <c r="H51" s="51">
        <f>'Pod Library'!G57</f>
        <v/>
      </c>
      <c r="I51" s="51">
        <f>'Pod Library'!H57</f>
        <v/>
      </c>
      <c r="J51" s="51">
        <f>'Pod Library'!I57</f>
        <v/>
      </c>
      <c r="K51" s="16">
        <f>'Pod Library'!J57</f>
        <v/>
      </c>
      <c r="L51" s="21">
        <f>'Pod Plan'!G10</f>
        <v/>
      </c>
      <c r="M51" s="44">
        <f>K51*L51</f>
        <v/>
      </c>
      <c r="N51" s="54">
        <f>M51*INDEX('Logic Tree'!$J$85:$N$87,MATCH(I51,'Logic Tree'!$I$85:$I$87,0),MATCH(H51,'Logic Tree'!$J$84:$N$84,0))</f>
        <v/>
      </c>
    </row>
    <row r="52" ht="15" customHeight="1">
      <c r="B52" s="27" t="n">
        <v>2</v>
      </c>
      <c r="C52" s="18" t="inlineStr">
        <is>
          <t>TEAM</t>
        </is>
      </c>
      <c r="D52" s="43" t="inlineStr">
        <is>
          <t>VS2</t>
        </is>
      </c>
      <c r="E52" s="43" t="inlineStr">
        <is>
          <t>TEAM</t>
        </is>
      </c>
      <c r="F52" s="57">
        <f>'Pod Library'!E58</f>
        <v/>
      </c>
      <c r="G52" s="51">
        <f>'Pod Library'!F58</f>
        <v/>
      </c>
      <c r="H52" s="51">
        <f>'Pod Library'!G58</f>
        <v/>
      </c>
      <c r="I52" s="51">
        <f>'Pod Library'!H58</f>
        <v/>
      </c>
      <c r="J52" s="51">
        <f>'Pod Library'!I58</f>
        <v/>
      </c>
      <c r="K52" s="16">
        <f>'Pod Library'!J58</f>
        <v/>
      </c>
      <c r="L52" s="21">
        <f>'Pod Plan'!G10</f>
        <v/>
      </c>
      <c r="M52" s="44">
        <f>K52*L52</f>
        <v/>
      </c>
      <c r="N52" s="54">
        <f>M52*INDEX('Logic Tree'!$J$85:$N$87,MATCH(I52,'Logic Tree'!$I$85:$I$87,0),MATCH(H52,'Logic Tree'!$J$84:$N$84,0))</f>
        <v/>
      </c>
    </row>
    <row r="53" ht="15" customHeight="1">
      <c r="B53" s="27" t="n">
        <v>2</v>
      </c>
      <c r="C53" s="18" t="inlineStr">
        <is>
          <t>TEAM</t>
        </is>
      </c>
      <c r="D53" s="43" t="inlineStr">
        <is>
          <t>VS2</t>
        </is>
      </c>
      <c r="E53" s="43" t="inlineStr">
        <is>
          <t>TEAM</t>
        </is>
      </c>
      <c r="F53" s="57">
        <f>'Pod Library'!E59</f>
        <v/>
      </c>
      <c r="G53" s="51">
        <f>'Pod Library'!F59</f>
        <v/>
      </c>
      <c r="H53" s="51">
        <f>'Pod Library'!G59</f>
        <v/>
      </c>
      <c r="I53" s="51">
        <f>'Pod Library'!H59</f>
        <v/>
      </c>
      <c r="J53" s="51">
        <f>'Pod Library'!I59</f>
        <v/>
      </c>
      <c r="K53" s="16">
        <f>'Pod Library'!J59</f>
        <v/>
      </c>
      <c r="L53" s="21">
        <f>'Pod Plan'!G10</f>
        <v/>
      </c>
      <c r="M53" s="44">
        <f>K53*L53</f>
        <v/>
      </c>
      <c r="N53" s="54">
        <f>M53*INDEX('Logic Tree'!$J$85:$N$87,MATCH(I53,'Logic Tree'!$I$85:$I$87,0),MATCH(H53,'Logic Tree'!$J$84:$N$84,0))</f>
        <v/>
      </c>
    </row>
    <row r="54" ht="15" customHeight="1">
      <c r="B54" s="27" t="n">
        <v>2</v>
      </c>
      <c r="C54" s="18" t="inlineStr">
        <is>
          <t>TEAM</t>
        </is>
      </c>
      <c r="D54" s="43" t="inlineStr">
        <is>
          <t>VS2</t>
        </is>
      </c>
      <c r="E54" s="43" t="inlineStr">
        <is>
          <t>TEAM</t>
        </is>
      </c>
      <c r="F54" s="57">
        <f>'Pod Library'!E60</f>
        <v/>
      </c>
      <c r="G54" s="51">
        <f>'Pod Library'!F60</f>
        <v/>
      </c>
      <c r="H54" s="51">
        <f>'Pod Library'!G60</f>
        <v/>
      </c>
      <c r="I54" s="51">
        <f>'Pod Library'!H60</f>
        <v/>
      </c>
      <c r="J54" s="51">
        <f>'Pod Library'!I60</f>
        <v/>
      </c>
      <c r="K54" s="16">
        <f>'Pod Library'!J60</f>
        <v/>
      </c>
      <c r="L54" s="21">
        <f>'Pod Plan'!G10</f>
        <v/>
      </c>
      <c r="M54" s="44">
        <f>K54*L54</f>
        <v/>
      </c>
      <c r="N54" s="54">
        <f>M54*INDEX('Logic Tree'!$J$85:$N$87,MATCH(I54,'Logic Tree'!$I$85:$I$87,0),MATCH(H54,'Logic Tree'!$J$84:$N$84,0))</f>
        <v/>
      </c>
    </row>
    <row r="55" ht="15" customHeight="1">
      <c r="B55" s="27" t="n">
        <v>2</v>
      </c>
      <c r="C55" s="18" t="inlineStr">
        <is>
          <t>TEAM</t>
        </is>
      </c>
      <c r="D55" s="43" t="inlineStr">
        <is>
          <t>VS2</t>
        </is>
      </c>
      <c r="E55" s="43" t="inlineStr">
        <is>
          <t>TEAM</t>
        </is>
      </c>
      <c r="F55" s="57">
        <f>'Pod Library'!E61</f>
        <v/>
      </c>
      <c r="G55" s="51">
        <f>'Pod Library'!F61</f>
        <v/>
      </c>
      <c r="H55" s="51">
        <f>'Pod Library'!G61</f>
        <v/>
      </c>
      <c r="I55" s="51">
        <f>'Pod Library'!H61</f>
        <v/>
      </c>
      <c r="J55" s="51">
        <f>'Pod Library'!I61</f>
        <v/>
      </c>
      <c r="K55" s="16">
        <f>'Pod Library'!J61</f>
        <v/>
      </c>
      <c r="L55" s="21">
        <f>'Pod Plan'!G10</f>
        <v/>
      </c>
      <c r="M55" s="44">
        <f>K55*L55</f>
        <v/>
      </c>
      <c r="N55" s="54">
        <f>M55*INDEX('Logic Tree'!$J$85:$N$87,MATCH(I55,'Logic Tree'!$I$85:$I$87,0),MATCH(H55,'Logic Tree'!$J$84:$N$84,0))</f>
        <v/>
      </c>
    </row>
    <row r="56" ht="15" customHeight="1">
      <c r="B56" s="27" t="n">
        <v>2</v>
      </c>
      <c r="C56" s="18" t="inlineStr">
        <is>
          <t>TEAM</t>
        </is>
      </c>
      <c r="D56" s="43" t="inlineStr">
        <is>
          <t>VS2</t>
        </is>
      </c>
      <c r="E56" s="43" t="inlineStr">
        <is>
          <t>TEAM</t>
        </is>
      </c>
      <c r="F56" s="57">
        <f>'Pod Library'!E62</f>
        <v/>
      </c>
      <c r="G56" s="51">
        <f>'Pod Library'!F62</f>
        <v/>
      </c>
      <c r="H56" s="51">
        <f>'Pod Library'!G62</f>
        <v/>
      </c>
      <c r="I56" s="51">
        <f>'Pod Library'!H62</f>
        <v/>
      </c>
      <c r="J56" s="51">
        <f>'Pod Library'!I62</f>
        <v/>
      </c>
      <c r="K56" s="16">
        <f>'Pod Library'!J62</f>
        <v/>
      </c>
      <c r="L56" s="21">
        <f>'Pod Plan'!G10</f>
        <v/>
      </c>
      <c r="M56" s="44">
        <f>K56*L56</f>
        <v/>
      </c>
      <c r="N56" s="54">
        <f>M56*INDEX('Logic Tree'!$J$85:$N$87,MATCH(I56,'Logic Tree'!$I$85:$I$87,0),MATCH(H56,'Logic Tree'!$J$84:$N$84,0))</f>
        <v/>
      </c>
    </row>
    <row r="57" ht="15" customHeight="1">
      <c r="B57" s="27" t="n">
        <v>2</v>
      </c>
      <c r="C57" s="18" t="inlineStr">
        <is>
          <t>TEAM</t>
        </is>
      </c>
      <c r="D57" s="43" t="inlineStr">
        <is>
          <t>VS2</t>
        </is>
      </c>
      <c r="E57" s="43" t="inlineStr">
        <is>
          <t>TEAM</t>
        </is>
      </c>
      <c r="F57" s="57">
        <f>'Pod Library'!E63</f>
        <v/>
      </c>
      <c r="G57" s="51">
        <f>'Pod Library'!F63</f>
        <v/>
      </c>
      <c r="H57" s="51">
        <f>'Pod Library'!G63</f>
        <v/>
      </c>
      <c r="I57" s="51">
        <f>'Pod Library'!H63</f>
        <v/>
      </c>
      <c r="J57" s="51">
        <f>'Pod Library'!I63</f>
        <v/>
      </c>
      <c r="K57" s="16">
        <f>'Pod Library'!J63</f>
        <v/>
      </c>
      <c r="L57" s="21">
        <f>'Pod Plan'!G10</f>
        <v/>
      </c>
      <c r="M57" s="44">
        <f>K57*L57</f>
        <v/>
      </c>
      <c r="N57" s="54">
        <f>M57*INDEX('Logic Tree'!$J$85:$N$87,MATCH(I57,'Logic Tree'!$I$85:$I$87,0),MATCH(H57,'Logic Tree'!$J$84:$N$84,0))</f>
        <v/>
      </c>
    </row>
    <row r="58" ht="15" customHeight="1">
      <c r="B58" s="27" t="n">
        <v>2</v>
      </c>
      <c r="C58" s="18" t="inlineStr">
        <is>
          <t>TEAM</t>
        </is>
      </c>
      <c r="D58" s="43" t="inlineStr">
        <is>
          <t>VS2</t>
        </is>
      </c>
      <c r="E58" s="43" t="inlineStr">
        <is>
          <t>TEAM</t>
        </is>
      </c>
      <c r="F58" s="57">
        <f>'Pod Library'!E64</f>
        <v/>
      </c>
      <c r="G58" s="51">
        <f>'Pod Library'!F64</f>
        <v/>
      </c>
      <c r="H58" s="51">
        <f>'Pod Library'!G64</f>
        <v/>
      </c>
      <c r="I58" s="51">
        <f>'Pod Library'!H64</f>
        <v/>
      </c>
      <c r="J58" s="51">
        <f>'Pod Library'!I64</f>
        <v/>
      </c>
      <c r="K58" s="16">
        <f>'Pod Library'!J64</f>
        <v/>
      </c>
      <c r="L58" s="21">
        <f>'Pod Plan'!G10</f>
        <v/>
      </c>
      <c r="M58" s="44">
        <f>K58*L58</f>
        <v/>
      </c>
      <c r="N58" s="54">
        <f>M58*INDEX('Logic Tree'!$J$85:$N$87,MATCH(I58,'Logic Tree'!$I$85:$I$87,0),MATCH(H58,'Logic Tree'!$J$84:$N$84,0))</f>
        <v/>
      </c>
    </row>
    <row r="59" ht="15" customHeight="1">
      <c r="B59" s="27" t="n">
        <v>2</v>
      </c>
      <c r="C59" s="18" t="inlineStr">
        <is>
          <t>TEAM</t>
        </is>
      </c>
      <c r="D59" s="43" t="inlineStr">
        <is>
          <t>VS2</t>
        </is>
      </c>
      <c r="E59" s="43" t="inlineStr">
        <is>
          <t>TEAM</t>
        </is>
      </c>
      <c r="F59" s="57">
        <f>'Pod Library'!E65</f>
        <v/>
      </c>
      <c r="G59" s="51">
        <f>'Pod Library'!F65</f>
        <v/>
      </c>
      <c r="H59" s="51">
        <f>'Pod Library'!G65</f>
        <v/>
      </c>
      <c r="I59" s="51">
        <f>'Pod Library'!H65</f>
        <v/>
      </c>
      <c r="J59" s="51">
        <f>'Pod Library'!I65</f>
        <v/>
      </c>
      <c r="K59" s="16">
        <f>'Pod Library'!J65</f>
        <v/>
      </c>
      <c r="L59" s="21">
        <f>'Pod Plan'!G10</f>
        <v/>
      </c>
      <c r="M59" s="44">
        <f>K59*L59</f>
        <v/>
      </c>
      <c r="N59" s="54">
        <f>M59*INDEX('Logic Tree'!$J$85:$N$87,MATCH(I59,'Logic Tree'!$I$85:$I$87,0),MATCH(H59,'Logic Tree'!$J$84:$N$84,0))</f>
        <v/>
      </c>
    </row>
    <row r="60" ht="15" customHeight="1">
      <c r="B60" s="27" t="n">
        <v>2</v>
      </c>
      <c r="C60" s="18" t="inlineStr">
        <is>
          <t>TEAM</t>
        </is>
      </c>
      <c r="D60" s="43" t="inlineStr">
        <is>
          <t>VS2</t>
        </is>
      </c>
      <c r="E60" s="43" t="inlineStr">
        <is>
          <t>TEAM</t>
        </is>
      </c>
      <c r="F60" s="57">
        <f>'Pod Library'!E66</f>
        <v/>
      </c>
      <c r="G60" s="51">
        <f>'Pod Library'!F66</f>
        <v/>
      </c>
      <c r="H60" s="51">
        <f>'Pod Library'!G66</f>
        <v/>
      </c>
      <c r="I60" s="51">
        <f>'Pod Library'!H66</f>
        <v/>
      </c>
      <c r="J60" s="51">
        <f>'Pod Library'!I66</f>
        <v/>
      </c>
      <c r="K60" s="16">
        <f>'Pod Library'!J66</f>
        <v/>
      </c>
      <c r="L60" s="21">
        <f>'Pod Plan'!G10</f>
        <v/>
      </c>
      <c r="M60" s="44">
        <f>K60*L60</f>
        <v/>
      </c>
      <c r="N60" s="54">
        <f>M60*INDEX('Logic Tree'!$J$85:$N$87,MATCH(I60,'Logic Tree'!$I$85:$I$87,0),MATCH(H60,'Logic Tree'!$J$84:$N$84,0))</f>
        <v/>
      </c>
    </row>
    <row r="61" ht="15" customHeight="1">
      <c r="B61" s="27" t="n">
        <v>2</v>
      </c>
      <c r="C61" s="18" t="inlineStr">
        <is>
          <t>TEAM</t>
        </is>
      </c>
      <c r="D61" s="43" t="inlineStr">
        <is>
          <t>VS2</t>
        </is>
      </c>
      <c r="E61" s="43" t="inlineStr">
        <is>
          <t>TEAM</t>
        </is>
      </c>
      <c r="F61" s="57">
        <f>'Pod Library'!E67</f>
        <v/>
      </c>
      <c r="G61" s="51">
        <f>'Pod Library'!F67</f>
        <v/>
      </c>
      <c r="H61" s="51">
        <f>'Pod Library'!G67</f>
        <v/>
      </c>
      <c r="I61" s="51">
        <f>'Pod Library'!H67</f>
        <v/>
      </c>
      <c r="J61" s="51">
        <f>'Pod Library'!I67</f>
        <v/>
      </c>
      <c r="K61" s="16">
        <f>'Pod Library'!J67</f>
        <v/>
      </c>
      <c r="L61" s="21">
        <f>'Pod Plan'!G10</f>
        <v/>
      </c>
      <c r="M61" s="44">
        <f>K61*L61</f>
        <v/>
      </c>
      <c r="N61" s="54">
        <f>M61*INDEX('Logic Tree'!$J$85:$N$87,MATCH(I61,'Logic Tree'!$I$85:$I$87,0),MATCH(H61,'Logic Tree'!$J$84:$N$84,0))</f>
        <v/>
      </c>
    </row>
    <row r="62" ht="15" customHeight="1">
      <c r="B62" s="27" t="n">
        <v>2</v>
      </c>
      <c r="C62" s="18" t="inlineStr">
        <is>
          <t>TEAM</t>
        </is>
      </c>
      <c r="D62" s="43" t="inlineStr">
        <is>
          <t>VS2</t>
        </is>
      </c>
      <c r="E62" s="43" t="inlineStr">
        <is>
          <t>TEAM</t>
        </is>
      </c>
      <c r="F62" s="57">
        <f>'Pod Library'!E68</f>
        <v/>
      </c>
      <c r="G62" s="51">
        <f>'Pod Library'!F68</f>
        <v/>
      </c>
      <c r="H62" s="51">
        <f>'Pod Library'!G68</f>
        <v/>
      </c>
      <c r="I62" s="51">
        <f>'Pod Library'!H68</f>
        <v/>
      </c>
      <c r="J62" s="51">
        <f>'Pod Library'!I68</f>
        <v/>
      </c>
      <c r="K62" s="16">
        <f>'Pod Library'!J68</f>
        <v/>
      </c>
      <c r="L62" s="21">
        <f>'Pod Plan'!G10</f>
        <v/>
      </c>
      <c r="M62" s="44">
        <f>K62*L62</f>
        <v/>
      </c>
      <c r="N62" s="54">
        <f>M62*INDEX('Logic Tree'!$J$85:$N$87,MATCH(I62,'Logic Tree'!$I$85:$I$87,0),MATCH(H62,'Logic Tree'!$J$84:$N$84,0))</f>
        <v/>
      </c>
    </row>
    <row r="63" ht="15" customHeight="1">
      <c r="B63" s="27" t="n">
        <v>2</v>
      </c>
      <c r="C63" s="18" t="inlineStr">
        <is>
          <t>TEAM</t>
        </is>
      </c>
      <c r="D63" s="43" t="inlineStr">
        <is>
          <t>VS2</t>
        </is>
      </c>
      <c r="E63" s="43" t="inlineStr">
        <is>
          <t>TEAM</t>
        </is>
      </c>
      <c r="F63" s="57">
        <f>'Pod Library'!E69</f>
        <v/>
      </c>
      <c r="G63" s="51">
        <f>'Pod Library'!F69</f>
        <v/>
      </c>
      <c r="H63" s="51">
        <f>'Pod Library'!G69</f>
        <v/>
      </c>
      <c r="I63" s="51">
        <f>'Pod Library'!H69</f>
        <v/>
      </c>
      <c r="J63" s="51">
        <f>'Pod Library'!I69</f>
        <v/>
      </c>
      <c r="K63" s="16">
        <f>'Pod Library'!J69</f>
        <v/>
      </c>
      <c r="L63" s="21">
        <f>'Pod Plan'!G10</f>
        <v/>
      </c>
      <c r="M63" s="44">
        <f>K63*L63</f>
        <v/>
      </c>
      <c r="N63" s="54">
        <f>M63*INDEX('Logic Tree'!$J$85:$N$87,MATCH(I63,'Logic Tree'!$I$85:$I$87,0),MATCH(H63,'Logic Tree'!$J$84:$N$84,0))</f>
        <v/>
      </c>
    </row>
    <row r="64" ht="15" customHeight="1">
      <c r="B64" s="27" t="n">
        <v>2</v>
      </c>
      <c r="C64" s="18" t="inlineStr">
        <is>
          <t>TEAM</t>
        </is>
      </c>
      <c r="D64" s="43" t="inlineStr">
        <is>
          <t>VS2</t>
        </is>
      </c>
      <c r="E64" s="43" t="inlineStr">
        <is>
          <t>TEAM</t>
        </is>
      </c>
      <c r="F64" s="57">
        <f>'Pod Library'!E70</f>
        <v/>
      </c>
      <c r="G64" s="51">
        <f>'Pod Library'!F70</f>
        <v/>
      </c>
      <c r="H64" s="51">
        <f>'Pod Library'!G70</f>
        <v/>
      </c>
      <c r="I64" s="51">
        <f>'Pod Library'!H70</f>
        <v/>
      </c>
      <c r="J64" s="51">
        <f>'Pod Library'!I70</f>
        <v/>
      </c>
      <c r="K64" s="16">
        <f>'Pod Library'!J70</f>
        <v/>
      </c>
      <c r="L64" s="21">
        <f>'Pod Plan'!G10</f>
        <v/>
      </c>
      <c r="M64" s="44">
        <f>K64*L64</f>
        <v/>
      </c>
      <c r="N64" s="54">
        <f>M64*INDEX('Logic Tree'!$J$85:$N$87,MATCH(I64,'Logic Tree'!$I$85:$I$87,0),MATCH(H64,'Logic Tree'!$J$84:$N$84,0))</f>
        <v/>
      </c>
    </row>
    <row r="65" ht="15" customHeight="1">
      <c r="B65" s="27" t="n">
        <v>2</v>
      </c>
      <c r="C65" s="18" t="inlineStr">
        <is>
          <t>TEAM</t>
        </is>
      </c>
      <c r="D65" s="43" t="inlineStr">
        <is>
          <t>VS2</t>
        </is>
      </c>
      <c r="E65" s="43" t="inlineStr">
        <is>
          <t>TEAM</t>
        </is>
      </c>
      <c r="F65" s="57">
        <f>'Pod Library'!E71</f>
        <v/>
      </c>
      <c r="G65" s="51">
        <f>'Pod Library'!F71</f>
        <v/>
      </c>
      <c r="H65" s="51">
        <f>'Pod Library'!G71</f>
        <v/>
      </c>
      <c r="I65" s="51">
        <f>'Pod Library'!H71</f>
        <v/>
      </c>
      <c r="J65" s="51">
        <f>'Pod Library'!I71</f>
        <v/>
      </c>
      <c r="K65" s="16">
        <f>'Pod Library'!J71</f>
        <v/>
      </c>
      <c r="L65" s="21">
        <f>'Pod Plan'!G10</f>
        <v/>
      </c>
      <c r="M65" s="44">
        <f>K65*L65</f>
        <v/>
      </c>
      <c r="N65" s="54">
        <f>M65*INDEX('Logic Tree'!$J$85:$N$87,MATCH(I65,'Logic Tree'!$I$85:$I$87,0),MATCH(H65,'Logic Tree'!$J$84:$N$84,0))</f>
        <v/>
      </c>
    </row>
    <row r="66" ht="15" customHeight="1">
      <c r="B66" s="27" t="n">
        <v>3</v>
      </c>
      <c r="C66" s="18" t="inlineStr">
        <is>
          <t>POD</t>
        </is>
      </c>
      <c r="D66" s="43" t="inlineStr">
        <is>
          <t>VS1</t>
        </is>
      </c>
      <c r="E66" s="43" t="inlineStr">
        <is>
          <t>POD</t>
        </is>
      </c>
      <c r="F66" s="57">
        <f>'Pod Library'!E74</f>
        <v/>
      </c>
      <c r="G66" s="51">
        <f>'Pod Library'!F74</f>
        <v/>
      </c>
      <c r="H66" s="51">
        <f>'Pod Library'!G74</f>
        <v/>
      </c>
      <c r="I66" s="51">
        <f>'Pod Library'!H74</f>
        <v/>
      </c>
      <c r="J66" s="51">
        <f>'Pod Library'!I74</f>
        <v/>
      </c>
      <c r="K66" s="16">
        <f>'Pod Library'!J74</f>
        <v/>
      </c>
      <c r="L66" s="21">
        <f>'Pod Plan'!G13</f>
        <v/>
      </c>
      <c r="M66" s="44">
        <f>K66*L66</f>
        <v/>
      </c>
      <c r="N66" s="54">
        <f>M66*INDEX('Logic Tree'!$J$85:$N$87,MATCH(I66,'Logic Tree'!$I$85:$I$87,0),MATCH(H66,'Logic Tree'!$J$84:$N$84,0))</f>
        <v/>
      </c>
    </row>
    <row r="67" ht="15" customHeight="1">
      <c r="B67" s="27" t="n">
        <v>3</v>
      </c>
      <c r="C67" s="18" t="inlineStr">
        <is>
          <t>POD</t>
        </is>
      </c>
      <c r="D67" s="43" t="inlineStr">
        <is>
          <t>VS1</t>
        </is>
      </c>
      <c r="E67" s="43" t="inlineStr">
        <is>
          <t>POD</t>
        </is>
      </c>
      <c r="F67" s="57">
        <f>'Pod Library'!E75</f>
        <v/>
      </c>
      <c r="G67" s="51">
        <f>'Pod Library'!F75</f>
        <v/>
      </c>
      <c r="H67" s="51">
        <f>'Pod Library'!G75</f>
        <v/>
      </c>
      <c r="I67" s="51">
        <f>'Pod Library'!H75</f>
        <v/>
      </c>
      <c r="J67" s="51">
        <f>'Pod Library'!I75</f>
        <v/>
      </c>
      <c r="K67" s="16">
        <f>'Pod Library'!J75</f>
        <v/>
      </c>
      <c r="L67" s="21">
        <f>'Pod Plan'!G13</f>
        <v/>
      </c>
      <c r="M67" s="44">
        <f>K67*L67</f>
        <v/>
      </c>
      <c r="N67" s="54">
        <f>M67*INDEX('Logic Tree'!$J$85:$N$87,MATCH(I67,'Logic Tree'!$I$85:$I$87,0),MATCH(H67,'Logic Tree'!$J$84:$N$84,0))</f>
        <v/>
      </c>
    </row>
    <row r="68" ht="15" customHeight="1">
      <c r="B68" s="27" t="n">
        <v>3</v>
      </c>
      <c r="C68" s="18" t="inlineStr">
        <is>
          <t>POD</t>
        </is>
      </c>
      <c r="D68" s="43" t="inlineStr">
        <is>
          <t>VS1</t>
        </is>
      </c>
      <c r="E68" s="43" t="inlineStr">
        <is>
          <t>POD</t>
        </is>
      </c>
      <c r="F68" s="57">
        <f>'Pod Library'!E76</f>
        <v/>
      </c>
      <c r="G68" s="51">
        <f>'Pod Library'!F76</f>
        <v/>
      </c>
      <c r="H68" s="51">
        <f>'Pod Library'!G76</f>
        <v/>
      </c>
      <c r="I68" s="51">
        <f>'Pod Library'!H76</f>
        <v/>
      </c>
      <c r="J68" s="51">
        <f>'Pod Library'!I76</f>
        <v/>
      </c>
      <c r="K68" s="16">
        <f>'Pod Library'!J76</f>
        <v/>
      </c>
      <c r="L68" s="21">
        <f>'Pod Plan'!G13</f>
        <v/>
      </c>
      <c r="M68" s="44">
        <f>K68*L68</f>
        <v/>
      </c>
      <c r="N68" s="54">
        <f>M68*INDEX('Logic Tree'!$J$85:$N$87,MATCH(I68,'Logic Tree'!$I$85:$I$87,0),MATCH(H68,'Logic Tree'!$J$84:$N$84,0))</f>
        <v/>
      </c>
    </row>
    <row r="69" ht="15" customHeight="1">
      <c r="B69" s="27" t="n">
        <v>3</v>
      </c>
      <c r="C69" s="18" t="inlineStr">
        <is>
          <t>POD</t>
        </is>
      </c>
      <c r="D69" s="43" t="inlineStr">
        <is>
          <t>VS1</t>
        </is>
      </c>
      <c r="E69" s="43" t="inlineStr">
        <is>
          <t>POD</t>
        </is>
      </c>
      <c r="F69" s="57">
        <f>'Pod Library'!E77</f>
        <v/>
      </c>
      <c r="G69" s="51">
        <f>'Pod Library'!F77</f>
        <v/>
      </c>
      <c r="H69" s="51">
        <f>'Pod Library'!G77</f>
        <v/>
      </c>
      <c r="I69" s="51">
        <f>'Pod Library'!H77</f>
        <v/>
      </c>
      <c r="J69" s="51">
        <f>'Pod Library'!I77</f>
        <v/>
      </c>
      <c r="K69" s="16">
        <f>'Pod Library'!J77</f>
        <v/>
      </c>
      <c r="L69" s="21">
        <f>'Pod Plan'!G13</f>
        <v/>
      </c>
      <c r="M69" s="44">
        <f>K69*L69</f>
        <v/>
      </c>
      <c r="N69" s="54">
        <f>M69*INDEX('Logic Tree'!$J$85:$N$87,MATCH(I69,'Logic Tree'!$I$85:$I$87,0),MATCH(H69,'Logic Tree'!$J$84:$N$84,0))</f>
        <v/>
      </c>
    </row>
    <row r="70" ht="15" customHeight="1">
      <c r="B70" s="27" t="n">
        <v>3</v>
      </c>
      <c r="C70" s="18" t="inlineStr">
        <is>
          <t>POD</t>
        </is>
      </c>
      <c r="D70" s="43" t="inlineStr">
        <is>
          <t>VS1</t>
        </is>
      </c>
      <c r="E70" s="43" t="inlineStr">
        <is>
          <t>POD</t>
        </is>
      </c>
      <c r="F70" s="57">
        <f>'Pod Library'!E78</f>
        <v/>
      </c>
      <c r="G70" s="51">
        <f>'Pod Library'!F78</f>
        <v/>
      </c>
      <c r="H70" s="51">
        <f>'Pod Library'!G78</f>
        <v/>
      </c>
      <c r="I70" s="51">
        <f>'Pod Library'!H78</f>
        <v/>
      </c>
      <c r="J70" s="51">
        <f>'Pod Library'!I78</f>
        <v/>
      </c>
      <c r="K70" s="16">
        <f>'Pod Library'!J78</f>
        <v/>
      </c>
      <c r="L70" s="21">
        <f>'Pod Plan'!G13</f>
        <v/>
      </c>
      <c r="M70" s="44">
        <f>K70*L70</f>
        <v/>
      </c>
      <c r="N70" s="54">
        <f>M70*INDEX('Logic Tree'!$J$85:$N$87,MATCH(I70,'Logic Tree'!$I$85:$I$87,0),MATCH(H70,'Logic Tree'!$J$84:$N$84,0))</f>
        <v/>
      </c>
    </row>
    <row r="71" ht="15" customHeight="1">
      <c r="B71" s="27" t="n">
        <v>3</v>
      </c>
      <c r="C71" s="18" t="inlineStr">
        <is>
          <t>POD</t>
        </is>
      </c>
      <c r="D71" s="43" t="inlineStr">
        <is>
          <t>VS1</t>
        </is>
      </c>
      <c r="E71" s="43" t="inlineStr">
        <is>
          <t>POD</t>
        </is>
      </c>
      <c r="F71" s="57">
        <f>'Pod Library'!E79</f>
        <v/>
      </c>
      <c r="G71" s="51">
        <f>'Pod Library'!F79</f>
        <v/>
      </c>
      <c r="H71" s="51">
        <f>'Pod Library'!G79</f>
        <v/>
      </c>
      <c r="I71" s="51">
        <f>'Pod Library'!H79</f>
        <v/>
      </c>
      <c r="J71" s="51">
        <f>'Pod Library'!I79</f>
        <v/>
      </c>
      <c r="K71" s="16">
        <f>'Pod Library'!J79</f>
        <v/>
      </c>
      <c r="L71" s="21">
        <f>'Pod Plan'!G13</f>
        <v/>
      </c>
      <c r="M71" s="44">
        <f>K71*L71</f>
        <v/>
      </c>
      <c r="N71" s="54">
        <f>M71*INDEX('Logic Tree'!$J$85:$N$87,MATCH(I71,'Logic Tree'!$I$85:$I$87,0),MATCH(H71,'Logic Tree'!$J$84:$N$84,0))</f>
        <v/>
      </c>
    </row>
    <row r="72" ht="15" customHeight="1">
      <c r="B72" s="27" t="n">
        <v>3</v>
      </c>
      <c r="C72" s="18" t="inlineStr">
        <is>
          <t>POD</t>
        </is>
      </c>
      <c r="D72" s="43" t="inlineStr">
        <is>
          <t>VS1</t>
        </is>
      </c>
      <c r="E72" s="43" t="inlineStr">
        <is>
          <t>POD</t>
        </is>
      </c>
      <c r="F72" s="57">
        <f>'Pod Library'!E80</f>
        <v/>
      </c>
      <c r="G72" s="51">
        <f>'Pod Library'!F80</f>
        <v/>
      </c>
      <c r="H72" s="51">
        <f>'Pod Library'!G80</f>
        <v/>
      </c>
      <c r="I72" s="51">
        <f>'Pod Library'!H80</f>
        <v/>
      </c>
      <c r="J72" s="51">
        <f>'Pod Library'!I80</f>
        <v/>
      </c>
      <c r="K72" s="16">
        <f>'Pod Library'!J80</f>
        <v/>
      </c>
      <c r="L72" s="21">
        <f>'Pod Plan'!G13</f>
        <v/>
      </c>
      <c r="M72" s="44">
        <f>K72*L72</f>
        <v/>
      </c>
      <c r="N72" s="54">
        <f>M72*INDEX('Logic Tree'!$J$85:$N$87,MATCH(I72,'Logic Tree'!$I$85:$I$87,0),MATCH(H72,'Logic Tree'!$J$84:$N$84,0))</f>
        <v/>
      </c>
    </row>
    <row r="73" ht="15" customHeight="1">
      <c r="B73" s="27" t="n">
        <v>3</v>
      </c>
      <c r="C73" s="18" t="inlineStr">
        <is>
          <t>POD</t>
        </is>
      </c>
      <c r="D73" s="43" t="inlineStr">
        <is>
          <t>VS1</t>
        </is>
      </c>
      <c r="E73" s="43" t="inlineStr">
        <is>
          <t>POD</t>
        </is>
      </c>
      <c r="F73" s="57">
        <f>'Pod Library'!E81</f>
        <v/>
      </c>
      <c r="G73" s="51">
        <f>'Pod Library'!F81</f>
        <v/>
      </c>
      <c r="H73" s="51">
        <f>'Pod Library'!G81</f>
        <v/>
      </c>
      <c r="I73" s="51">
        <f>'Pod Library'!H81</f>
        <v/>
      </c>
      <c r="J73" s="51">
        <f>'Pod Library'!I81</f>
        <v/>
      </c>
      <c r="K73" s="16">
        <f>'Pod Library'!J81</f>
        <v/>
      </c>
      <c r="L73" s="21">
        <f>'Pod Plan'!G13</f>
        <v/>
      </c>
      <c r="M73" s="44">
        <f>K73*L73</f>
        <v/>
      </c>
      <c r="N73" s="54">
        <f>M73*INDEX('Logic Tree'!$J$85:$N$87,MATCH(I73,'Logic Tree'!$I$85:$I$87,0),MATCH(H73,'Logic Tree'!$J$84:$N$84,0))</f>
        <v/>
      </c>
    </row>
    <row r="74" ht="15" customHeight="1">
      <c r="B74" s="27" t="n">
        <v>3</v>
      </c>
      <c r="C74" s="18" t="inlineStr">
        <is>
          <t>POD</t>
        </is>
      </c>
      <c r="D74" s="43" t="inlineStr">
        <is>
          <t>VS1</t>
        </is>
      </c>
      <c r="E74" s="43" t="inlineStr">
        <is>
          <t>POD</t>
        </is>
      </c>
      <c r="F74" s="57">
        <f>'Pod Library'!E82</f>
        <v/>
      </c>
      <c r="G74" s="51">
        <f>'Pod Library'!F82</f>
        <v/>
      </c>
      <c r="H74" s="51">
        <f>'Pod Library'!G82</f>
        <v/>
      </c>
      <c r="I74" s="51">
        <f>'Pod Library'!H82</f>
        <v/>
      </c>
      <c r="J74" s="51">
        <f>'Pod Library'!I82</f>
        <v/>
      </c>
      <c r="K74" s="16">
        <f>'Pod Library'!J82</f>
        <v/>
      </c>
      <c r="L74" s="21">
        <f>'Pod Plan'!G13</f>
        <v/>
      </c>
      <c r="M74" s="44">
        <f>K74*L74</f>
        <v/>
      </c>
      <c r="N74" s="54">
        <f>M74*INDEX('Logic Tree'!$J$85:$N$87,MATCH(I74,'Logic Tree'!$I$85:$I$87,0),MATCH(H74,'Logic Tree'!$J$84:$N$84,0))</f>
        <v/>
      </c>
    </row>
    <row r="75" ht="15" customHeight="1">
      <c r="B75" s="27" t="n">
        <v>3</v>
      </c>
      <c r="C75" s="18" t="inlineStr">
        <is>
          <t>POD</t>
        </is>
      </c>
      <c r="D75" s="43" t="inlineStr">
        <is>
          <t>VS1</t>
        </is>
      </c>
      <c r="E75" s="43" t="inlineStr">
        <is>
          <t>POD</t>
        </is>
      </c>
      <c r="F75" s="57">
        <f>'Pod Library'!E83</f>
        <v/>
      </c>
      <c r="G75" s="51">
        <f>'Pod Library'!F83</f>
        <v/>
      </c>
      <c r="H75" s="51">
        <f>'Pod Library'!G83</f>
        <v/>
      </c>
      <c r="I75" s="51">
        <f>'Pod Library'!H83</f>
        <v/>
      </c>
      <c r="J75" s="51">
        <f>'Pod Library'!I83</f>
        <v/>
      </c>
      <c r="K75" s="16">
        <f>'Pod Library'!J83</f>
        <v/>
      </c>
      <c r="L75" s="21">
        <f>'Pod Plan'!G13</f>
        <v/>
      </c>
      <c r="M75" s="44">
        <f>K75*L75</f>
        <v/>
      </c>
      <c r="N75" s="54">
        <f>M75*INDEX('Logic Tree'!$J$85:$N$87,MATCH(I75,'Logic Tree'!$I$85:$I$87,0),MATCH(H75,'Logic Tree'!$J$84:$N$84,0))</f>
        <v/>
      </c>
    </row>
    <row r="76" ht="15" customHeight="1">
      <c r="B76" s="27" t="n">
        <v>3</v>
      </c>
      <c r="C76" s="18" t="inlineStr">
        <is>
          <t>POD</t>
        </is>
      </c>
      <c r="D76" s="43" t="inlineStr">
        <is>
          <t>VS1</t>
        </is>
      </c>
      <c r="E76" s="43" t="inlineStr">
        <is>
          <t>POD</t>
        </is>
      </c>
      <c r="F76" s="57">
        <f>'Pod Library'!E84</f>
        <v/>
      </c>
      <c r="G76" s="51">
        <f>'Pod Library'!F84</f>
        <v/>
      </c>
      <c r="H76" s="51">
        <f>'Pod Library'!G84</f>
        <v/>
      </c>
      <c r="I76" s="51">
        <f>'Pod Library'!H84</f>
        <v/>
      </c>
      <c r="J76" s="51">
        <f>'Pod Library'!I84</f>
        <v/>
      </c>
      <c r="K76" s="16">
        <f>'Pod Library'!J84</f>
        <v/>
      </c>
      <c r="L76" s="21">
        <f>'Pod Plan'!G13</f>
        <v/>
      </c>
      <c r="M76" s="44">
        <f>K76*L76</f>
        <v/>
      </c>
      <c r="N76" s="54">
        <f>M76*INDEX('Logic Tree'!$J$85:$N$87,MATCH(I76,'Logic Tree'!$I$85:$I$87,0),MATCH(H76,'Logic Tree'!$J$84:$N$84,0))</f>
        <v/>
      </c>
    </row>
    <row r="77" ht="15" customHeight="1">
      <c r="B77" s="27" t="n">
        <v>3</v>
      </c>
      <c r="C77" s="18" t="inlineStr">
        <is>
          <t>POD</t>
        </is>
      </c>
      <c r="D77" s="43" t="inlineStr">
        <is>
          <t>VS1</t>
        </is>
      </c>
      <c r="E77" s="43" t="inlineStr">
        <is>
          <t>POD</t>
        </is>
      </c>
      <c r="F77" s="57">
        <f>'Pod Library'!E85</f>
        <v/>
      </c>
      <c r="G77" s="51">
        <f>'Pod Library'!F85</f>
        <v/>
      </c>
      <c r="H77" s="51">
        <f>'Pod Library'!G85</f>
        <v/>
      </c>
      <c r="I77" s="51">
        <f>'Pod Library'!H85</f>
        <v/>
      </c>
      <c r="J77" s="51">
        <f>'Pod Library'!I85</f>
        <v/>
      </c>
      <c r="K77" s="16">
        <f>'Pod Library'!J85</f>
        <v/>
      </c>
      <c r="L77" s="21">
        <f>'Pod Plan'!G13</f>
        <v/>
      </c>
      <c r="M77" s="44">
        <f>K77*L77</f>
        <v/>
      </c>
      <c r="N77" s="54">
        <f>M77*INDEX('Logic Tree'!$J$85:$N$87,MATCH(I77,'Logic Tree'!$I$85:$I$87,0),MATCH(H77,'Logic Tree'!$J$84:$N$84,0))</f>
        <v/>
      </c>
    </row>
    <row r="78" ht="15" customHeight="1">
      <c r="B78" s="27" t="n">
        <v>3</v>
      </c>
      <c r="C78" s="18" t="inlineStr">
        <is>
          <t>POD</t>
        </is>
      </c>
      <c r="D78" s="43" t="inlineStr">
        <is>
          <t>VS1</t>
        </is>
      </c>
      <c r="E78" s="43" t="inlineStr">
        <is>
          <t>POD</t>
        </is>
      </c>
      <c r="F78" s="57">
        <f>'Pod Library'!E86</f>
        <v/>
      </c>
      <c r="G78" s="51">
        <f>'Pod Library'!F86</f>
        <v/>
      </c>
      <c r="H78" s="51">
        <f>'Pod Library'!G86</f>
        <v/>
      </c>
      <c r="I78" s="51">
        <f>'Pod Library'!H86</f>
        <v/>
      </c>
      <c r="J78" s="51">
        <f>'Pod Library'!I86</f>
        <v/>
      </c>
      <c r="K78" s="16">
        <f>'Pod Library'!J86</f>
        <v/>
      </c>
      <c r="L78" s="21">
        <f>'Pod Plan'!G13</f>
        <v/>
      </c>
      <c r="M78" s="44">
        <f>K78*L78</f>
        <v/>
      </c>
      <c r="N78" s="54">
        <f>M78*INDEX('Logic Tree'!$J$85:$N$87,MATCH(I78,'Logic Tree'!$I$85:$I$87,0),MATCH(H78,'Logic Tree'!$J$84:$N$84,0))</f>
        <v/>
      </c>
    </row>
    <row r="79" ht="15" customHeight="1">
      <c r="B79" s="27" t="n">
        <v>3</v>
      </c>
      <c r="C79" s="18" t="inlineStr">
        <is>
          <t>POD</t>
        </is>
      </c>
      <c r="D79" s="43" t="inlineStr">
        <is>
          <t>VS1</t>
        </is>
      </c>
      <c r="E79" s="43" t="inlineStr">
        <is>
          <t>POD</t>
        </is>
      </c>
      <c r="F79" s="57">
        <f>'Pod Library'!E87</f>
        <v/>
      </c>
      <c r="G79" s="51">
        <f>'Pod Library'!F87</f>
        <v/>
      </c>
      <c r="H79" s="51">
        <f>'Pod Library'!G87</f>
        <v/>
      </c>
      <c r="I79" s="51">
        <f>'Pod Library'!H87</f>
        <v/>
      </c>
      <c r="J79" s="51">
        <f>'Pod Library'!I87</f>
        <v/>
      </c>
      <c r="K79" s="16">
        <f>'Pod Library'!J87</f>
        <v/>
      </c>
      <c r="L79" s="21">
        <f>'Pod Plan'!G13</f>
        <v/>
      </c>
      <c r="M79" s="44">
        <f>K79*L79</f>
        <v/>
      </c>
      <c r="N79" s="54">
        <f>M79*INDEX('Logic Tree'!$J$85:$N$87,MATCH(I79,'Logic Tree'!$I$85:$I$87,0),MATCH(H79,'Logic Tree'!$J$84:$N$84,0))</f>
        <v/>
      </c>
    </row>
    <row r="80" ht="15" customHeight="1">
      <c r="B80" s="27" t="n">
        <v>3</v>
      </c>
      <c r="C80" s="18" t="inlineStr">
        <is>
          <t>POD</t>
        </is>
      </c>
      <c r="D80" s="43" t="inlineStr">
        <is>
          <t>VS1</t>
        </is>
      </c>
      <c r="E80" s="43" t="inlineStr">
        <is>
          <t>POD</t>
        </is>
      </c>
      <c r="F80" s="57">
        <f>'Pod Library'!E88</f>
        <v/>
      </c>
      <c r="G80" s="51">
        <f>'Pod Library'!F88</f>
        <v/>
      </c>
      <c r="H80" s="51">
        <f>'Pod Library'!G88</f>
        <v/>
      </c>
      <c r="I80" s="51">
        <f>'Pod Library'!H88</f>
        <v/>
      </c>
      <c r="J80" s="51">
        <f>'Pod Library'!I88</f>
        <v/>
      </c>
      <c r="K80" s="16">
        <f>'Pod Library'!J88</f>
        <v/>
      </c>
      <c r="L80" s="21">
        <f>'Pod Plan'!G13</f>
        <v/>
      </c>
      <c r="M80" s="44">
        <f>K80*L80</f>
        <v/>
      </c>
      <c r="N80" s="54">
        <f>M80*INDEX('Logic Tree'!$J$85:$N$87,MATCH(I80,'Logic Tree'!$I$85:$I$87,0),MATCH(H80,'Logic Tree'!$J$84:$N$84,0))</f>
        <v/>
      </c>
    </row>
    <row r="81" ht="15" customHeight="1">
      <c r="B81" s="27" t="n">
        <v>3</v>
      </c>
      <c r="C81" s="18" t="inlineStr">
        <is>
          <t>POD</t>
        </is>
      </c>
      <c r="D81" s="43" t="inlineStr">
        <is>
          <t>VS1</t>
        </is>
      </c>
      <c r="E81" s="43" t="inlineStr">
        <is>
          <t>POD</t>
        </is>
      </c>
      <c r="F81" s="57">
        <f>'Pod Library'!E89</f>
        <v/>
      </c>
      <c r="G81" s="51">
        <f>'Pod Library'!F89</f>
        <v/>
      </c>
      <c r="H81" s="51">
        <f>'Pod Library'!G89</f>
        <v/>
      </c>
      <c r="I81" s="51">
        <f>'Pod Library'!H89</f>
        <v/>
      </c>
      <c r="J81" s="51">
        <f>'Pod Library'!I89</f>
        <v/>
      </c>
      <c r="K81" s="16">
        <f>'Pod Library'!J89</f>
        <v/>
      </c>
      <c r="L81" s="21">
        <f>'Pod Plan'!G13</f>
        <v/>
      </c>
      <c r="M81" s="44">
        <f>K81*L81</f>
        <v/>
      </c>
      <c r="N81" s="54">
        <f>M81*INDEX('Logic Tree'!$J$85:$N$87,MATCH(I81,'Logic Tree'!$I$85:$I$87,0),MATCH(H81,'Logic Tree'!$J$84:$N$84,0))</f>
        <v/>
      </c>
    </row>
    <row r="82" ht="15" customHeight="1">
      <c r="B82" s="27" t="n">
        <v>3</v>
      </c>
      <c r="C82" s="18" t="inlineStr">
        <is>
          <t>TEAM</t>
        </is>
      </c>
      <c r="D82" s="43" t="inlineStr">
        <is>
          <t>VS2</t>
        </is>
      </c>
      <c r="E82" s="43" t="inlineStr">
        <is>
          <t>TEAM</t>
        </is>
      </c>
      <c r="F82" s="57">
        <f>'Pod Library'!E92</f>
        <v/>
      </c>
      <c r="G82" s="51">
        <f>'Pod Library'!F92</f>
        <v/>
      </c>
      <c r="H82" s="51">
        <f>'Pod Library'!G92</f>
        <v/>
      </c>
      <c r="I82" s="51">
        <f>'Pod Library'!H92</f>
        <v/>
      </c>
      <c r="J82" s="51">
        <f>'Pod Library'!I92</f>
        <v/>
      </c>
      <c r="K82" s="16">
        <f>'Pod Library'!J92</f>
        <v/>
      </c>
      <c r="L82" s="21">
        <f>'Pod Plan'!G14</f>
        <v/>
      </c>
      <c r="M82" s="44">
        <f>K82*L82</f>
        <v/>
      </c>
      <c r="N82" s="54">
        <f>M82*INDEX('Logic Tree'!$J$85:$N$87,MATCH(I82,'Logic Tree'!$I$85:$I$87,0),MATCH(H82,'Logic Tree'!$J$84:$N$84,0))</f>
        <v/>
      </c>
    </row>
    <row r="83" ht="15" customHeight="1">
      <c r="B83" s="27" t="n">
        <v>3</v>
      </c>
      <c r="C83" s="18" t="inlineStr">
        <is>
          <t>TEAM</t>
        </is>
      </c>
      <c r="D83" s="43" t="inlineStr">
        <is>
          <t>VS2</t>
        </is>
      </c>
      <c r="E83" s="43" t="inlineStr">
        <is>
          <t>TEAM</t>
        </is>
      </c>
      <c r="F83" s="57">
        <f>'Pod Library'!E93</f>
        <v/>
      </c>
      <c r="G83" s="51">
        <f>'Pod Library'!F93</f>
        <v/>
      </c>
      <c r="H83" s="51">
        <f>'Pod Library'!G93</f>
        <v/>
      </c>
      <c r="I83" s="51">
        <f>'Pod Library'!H93</f>
        <v/>
      </c>
      <c r="J83" s="51">
        <f>'Pod Library'!I93</f>
        <v/>
      </c>
      <c r="K83" s="16">
        <f>'Pod Library'!J93</f>
        <v/>
      </c>
      <c r="L83" s="21">
        <f>'Pod Plan'!G14</f>
        <v/>
      </c>
      <c r="M83" s="44">
        <f>K83*L83</f>
        <v/>
      </c>
      <c r="N83" s="54">
        <f>M83*INDEX('Logic Tree'!$J$85:$N$87,MATCH(I83,'Logic Tree'!$I$85:$I$87,0),MATCH(H83,'Logic Tree'!$J$84:$N$84,0))</f>
        <v/>
      </c>
    </row>
    <row r="84" ht="15" customHeight="1">
      <c r="B84" s="27" t="n">
        <v>3</v>
      </c>
      <c r="C84" s="18" t="inlineStr">
        <is>
          <t>TEAM</t>
        </is>
      </c>
      <c r="D84" s="43" t="inlineStr">
        <is>
          <t>VS2</t>
        </is>
      </c>
      <c r="E84" s="43" t="inlineStr">
        <is>
          <t>TEAM</t>
        </is>
      </c>
      <c r="F84" s="57">
        <f>'Pod Library'!E94</f>
        <v/>
      </c>
      <c r="G84" s="51">
        <f>'Pod Library'!F94</f>
        <v/>
      </c>
      <c r="H84" s="51">
        <f>'Pod Library'!G94</f>
        <v/>
      </c>
      <c r="I84" s="51">
        <f>'Pod Library'!H94</f>
        <v/>
      </c>
      <c r="J84" s="51">
        <f>'Pod Library'!I94</f>
        <v/>
      </c>
      <c r="K84" s="16">
        <f>'Pod Library'!J94</f>
        <v/>
      </c>
      <c r="L84" s="21">
        <f>'Pod Plan'!G14</f>
        <v/>
      </c>
      <c r="M84" s="44">
        <f>K84*L84</f>
        <v/>
      </c>
      <c r="N84" s="54">
        <f>M84*INDEX('Logic Tree'!$J$85:$N$87,MATCH(I84,'Logic Tree'!$I$85:$I$87,0),MATCH(H84,'Logic Tree'!$J$84:$N$84,0))</f>
        <v/>
      </c>
    </row>
    <row r="85" ht="15" customHeight="1">
      <c r="B85" s="27" t="n">
        <v>3</v>
      </c>
      <c r="C85" s="18" t="inlineStr">
        <is>
          <t>TEAM</t>
        </is>
      </c>
      <c r="D85" s="43" t="inlineStr">
        <is>
          <t>VS2</t>
        </is>
      </c>
      <c r="E85" s="43" t="inlineStr">
        <is>
          <t>TEAM</t>
        </is>
      </c>
      <c r="F85" s="57">
        <f>'Pod Library'!E95</f>
        <v/>
      </c>
      <c r="G85" s="51">
        <f>'Pod Library'!F95</f>
        <v/>
      </c>
      <c r="H85" s="51">
        <f>'Pod Library'!G95</f>
        <v/>
      </c>
      <c r="I85" s="51">
        <f>'Pod Library'!H95</f>
        <v/>
      </c>
      <c r="J85" s="51">
        <f>'Pod Library'!I95</f>
        <v/>
      </c>
      <c r="K85" s="16">
        <f>'Pod Library'!J95</f>
        <v/>
      </c>
      <c r="L85" s="21">
        <f>'Pod Plan'!G14</f>
        <v/>
      </c>
      <c r="M85" s="44">
        <f>K85*L85</f>
        <v/>
      </c>
      <c r="N85" s="54">
        <f>M85*INDEX('Logic Tree'!$J$85:$N$87,MATCH(I85,'Logic Tree'!$I$85:$I$87,0),MATCH(H85,'Logic Tree'!$J$84:$N$84,0))</f>
        <v/>
      </c>
    </row>
    <row r="86" ht="15" customHeight="1">
      <c r="B86" s="27" t="n">
        <v>3</v>
      </c>
      <c r="C86" s="18" t="inlineStr">
        <is>
          <t>TEAM</t>
        </is>
      </c>
      <c r="D86" s="43" t="inlineStr">
        <is>
          <t>VS2</t>
        </is>
      </c>
      <c r="E86" s="43" t="inlineStr">
        <is>
          <t>TEAM</t>
        </is>
      </c>
      <c r="F86" s="57">
        <f>'Pod Library'!E96</f>
        <v/>
      </c>
      <c r="G86" s="51">
        <f>'Pod Library'!F96</f>
        <v/>
      </c>
      <c r="H86" s="51">
        <f>'Pod Library'!G96</f>
        <v/>
      </c>
      <c r="I86" s="51">
        <f>'Pod Library'!H96</f>
        <v/>
      </c>
      <c r="J86" s="51">
        <f>'Pod Library'!I96</f>
        <v/>
      </c>
      <c r="K86" s="16">
        <f>'Pod Library'!J96</f>
        <v/>
      </c>
      <c r="L86" s="21">
        <f>'Pod Plan'!G14</f>
        <v/>
      </c>
      <c r="M86" s="44">
        <f>K86*L86</f>
        <v/>
      </c>
      <c r="N86" s="54">
        <f>M86*INDEX('Logic Tree'!$J$85:$N$87,MATCH(I86,'Logic Tree'!$I$85:$I$87,0),MATCH(H86,'Logic Tree'!$J$84:$N$84,0))</f>
        <v/>
      </c>
    </row>
    <row r="87" ht="15" customHeight="1">
      <c r="B87" s="27" t="n">
        <v>3</v>
      </c>
      <c r="C87" s="18" t="inlineStr">
        <is>
          <t>TEAM</t>
        </is>
      </c>
      <c r="D87" s="43" t="inlineStr">
        <is>
          <t>VS2</t>
        </is>
      </c>
      <c r="E87" s="43" t="inlineStr">
        <is>
          <t>TEAM</t>
        </is>
      </c>
      <c r="F87" s="57">
        <f>'Pod Library'!E97</f>
        <v/>
      </c>
      <c r="G87" s="51">
        <f>'Pod Library'!F97</f>
        <v/>
      </c>
      <c r="H87" s="51">
        <f>'Pod Library'!G97</f>
        <v/>
      </c>
      <c r="I87" s="51">
        <f>'Pod Library'!H97</f>
        <v/>
      </c>
      <c r="J87" s="51">
        <f>'Pod Library'!I97</f>
        <v/>
      </c>
      <c r="K87" s="16">
        <f>'Pod Library'!J97</f>
        <v/>
      </c>
      <c r="L87" s="21">
        <f>'Pod Plan'!G14</f>
        <v/>
      </c>
      <c r="M87" s="44">
        <f>K87*L87</f>
        <v/>
      </c>
      <c r="N87" s="54">
        <f>M87*INDEX('Logic Tree'!$J$85:$N$87,MATCH(I87,'Logic Tree'!$I$85:$I$87,0),MATCH(H87,'Logic Tree'!$J$84:$N$84,0))</f>
        <v/>
      </c>
    </row>
    <row r="88" ht="15" customHeight="1">
      <c r="B88" s="27" t="n">
        <v>3</v>
      </c>
      <c r="C88" s="18" t="inlineStr">
        <is>
          <t>TEAM</t>
        </is>
      </c>
      <c r="D88" s="43" t="inlineStr">
        <is>
          <t>VS2</t>
        </is>
      </c>
      <c r="E88" s="43" t="inlineStr">
        <is>
          <t>TEAM</t>
        </is>
      </c>
      <c r="F88" s="57">
        <f>'Pod Library'!E98</f>
        <v/>
      </c>
      <c r="G88" s="51">
        <f>'Pod Library'!F98</f>
        <v/>
      </c>
      <c r="H88" s="51">
        <f>'Pod Library'!G98</f>
        <v/>
      </c>
      <c r="I88" s="51">
        <f>'Pod Library'!H98</f>
        <v/>
      </c>
      <c r="J88" s="51">
        <f>'Pod Library'!I98</f>
        <v/>
      </c>
      <c r="K88" s="16">
        <f>'Pod Library'!J98</f>
        <v/>
      </c>
      <c r="L88" s="21">
        <f>'Pod Plan'!G14</f>
        <v/>
      </c>
      <c r="M88" s="44">
        <f>K88*L88</f>
        <v/>
      </c>
      <c r="N88" s="54">
        <f>M88*INDEX('Logic Tree'!$J$85:$N$87,MATCH(I88,'Logic Tree'!$I$85:$I$87,0),MATCH(H88,'Logic Tree'!$J$84:$N$84,0))</f>
        <v/>
      </c>
    </row>
    <row r="89" ht="15" customHeight="1">
      <c r="B89" s="27" t="n">
        <v>3</v>
      </c>
      <c r="C89" s="18" t="inlineStr">
        <is>
          <t>TEAM</t>
        </is>
      </c>
      <c r="D89" s="43" t="inlineStr">
        <is>
          <t>VS2</t>
        </is>
      </c>
      <c r="E89" s="43" t="inlineStr">
        <is>
          <t>TEAM</t>
        </is>
      </c>
      <c r="F89" s="57">
        <f>'Pod Library'!E99</f>
        <v/>
      </c>
      <c r="G89" s="51">
        <f>'Pod Library'!F99</f>
        <v/>
      </c>
      <c r="H89" s="51">
        <f>'Pod Library'!G99</f>
        <v/>
      </c>
      <c r="I89" s="51">
        <f>'Pod Library'!H99</f>
        <v/>
      </c>
      <c r="J89" s="51">
        <f>'Pod Library'!I99</f>
        <v/>
      </c>
      <c r="K89" s="16">
        <f>'Pod Library'!J99</f>
        <v/>
      </c>
      <c r="L89" s="21">
        <f>'Pod Plan'!G14</f>
        <v/>
      </c>
      <c r="M89" s="44">
        <f>K89*L89</f>
        <v/>
      </c>
      <c r="N89" s="54">
        <f>M89*INDEX('Logic Tree'!$J$85:$N$87,MATCH(I89,'Logic Tree'!$I$85:$I$87,0),MATCH(H89,'Logic Tree'!$J$84:$N$84,0))</f>
        <v/>
      </c>
    </row>
    <row r="90" ht="15" customHeight="1">
      <c r="B90" s="27" t="n">
        <v>3</v>
      </c>
      <c r="C90" s="18" t="inlineStr">
        <is>
          <t>TEAM</t>
        </is>
      </c>
      <c r="D90" s="43" t="inlineStr">
        <is>
          <t>VS2</t>
        </is>
      </c>
      <c r="E90" s="43" t="inlineStr">
        <is>
          <t>TEAM</t>
        </is>
      </c>
      <c r="F90" s="57">
        <f>'Pod Library'!E100</f>
        <v/>
      </c>
      <c r="G90" s="51">
        <f>'Pod Library'!F100</f>
        <v/>
      </c>
      <c r="H90" s="51">
        <f>'Pod Library'!G100</f>
        <v/>
      </c>
      <c r="I90" s="51">
        <f>'Pod Library'!H100</f>
        <v/>
      </c>
      <c r="J90" s="51">
        <f>'Pod Library'!I100</f>
        <v/>
      </c>
      <c r="K90" s="16">
        <f>'Pod Library'!J100</f>
        <v/>
      </c>
      <c r="L90" s="21">
        <f>'Pod Plan'!G14</f>
        <v/>
      </c>
      <c r="M90" s="44">
        <f>K90*L90</f>
        <v/>
      </c>
      <c r="N90" s="54">
        <f>M90*INDEX('Logic Tree'!$J$85:$N$87,MATCH(I90,'Logic Tree'!$I$85:$I$87,0),MATCH(H90,'Logic Tree'!$J$84:$N$84,0))</f>
        <v/>
      </c>
    </row>
    <row r="91" ht="15" customHeight="1">
      <c r="B91" s="27" t="n">
        <v>3</v>
      </c>
      <c r="C91" s="18" t="inlineStr">
        <is>
          <t>TEAM</t>
        </is>
      </c>
      <c r="D91" s="43" t="inlineStr">
        <is>
          <t>VS2</t>
        </is>
      </c>
      <c r="E91" s="43" t="inlineStr">
        <is>
          <t>TEAM</t>
        </is>
      </c>
      <c r="F91" s="57">
        <f>'Pod Library'!E101</f>
        <v/>
      </c>
      <c r="G91" s="51">
        <f>'Pod Library'!F101</f>
        <v/>
      </c>
      <c r="H91" s="51">
        <f>'Pod Library'!G101</f>
        <v/>
      </c>
      <c r="I91" s="51">
        <f>'Pod Library'!H101</f>
        <v/>
      </c>
      <c r="J91" s="51">
        <f>'Pod Library'!I101</f>
        <v/>
      </c>
      <c r="K91" s="16">
        <f>'Pod Library'!J101</f>
        <v/>
      </c>
      <c r="L91" s="21">
        <f>'Pod Plan'!G14</f>
        <v/>
      </c>
      <c r="M91" s="44">
        <f>K91*L91</f>
        <v/>
      </c>
      <c r="N91" s="54">
        <f>M91*INDEX('Logic Tree'!$J$85:$N$87,MATCH(I91,'Logic Tree'!$I$85:$I$87,0),MATCH(H91,'Logic Tree'!$J$84:$N$84,0))</f>
        <v/>
      </c>
    </row>
    <row r="92" ht="15" customHeight="1">
      <c r="B92" s="27" t="n">
        <v>3</v>
      </c>
      <c r="C92" s="18" t="inlineStr">
        <is>
          <t>TEAM</t>
        </is>
      </c>
      <c r="D92" s="43" t="inlineStr">
        <is>
          <t>VS2</t>
        </is>
      </c>
      <c r="E92" s="43" t="inlineStr">
        <is>
          <t>TEAM</t>
        </is>
      </c>
      <c r="F92" s="57">
        <f>'Pod Library'!E102</f>
        <v/>
      </c>
      <c r="G92" s="51">
        <f>'Pod Library'!F102</f>
        <v/>
      </c>
      <c r="H92" s="51">
        <f>'Pod Library'!G102</f>
        <v/>
      </c>
      <c r="I92" s="51">
        <f>'Pod Library'!H102</f>
        <v/>
      </c>
      <c r="J92" s="51">
        <f>'Pod Library'!I102</f>
        <v/>
      </c>
      <c r="K92" s="16">
        <f>'Pod Library'!J102</f>
        <v/>
      </c>
      <c r="L92" s="21">
        <f>'Pod Plan'!G14</f>
        <v/>
      </c>
      <c r="M92" s="44">
        <f>K92*L92</f>
        <v/>
      </c>
      <c r="N92" s="54">
        <f>M92*INDEX('Logic Tree'!$J$85:$N$87,MATCH(I92,'Logic Tree'!$I$85:$I$87,0),MATCH(H92,'Logic Tree'!$J$84:$N$84,0))</f>
        <v/>
      </c>
    </row>
    <row r="93" ht="15" customHeight="1">
      <c r="B93" s="27" t="n">
        <v>3</v>
      </c>
      <c r="C93" s="18" t="inlineStr">
        <is>
          <t>TEAM</t>
        </is>
      </c>
      <c r="D93" s="43" t="inlineStr">
        <is>
          <t>VS2</t>
        </is>
      </c>
      <c r="E93" s="43" t="inlineStr">
        <is>
          <t>TEAM</t>
        </is>
      </c>
      <c r="F93" s="57">
        <f>'Pod Library'!E103</f>
        <v/>
      </c>
      <c r="G93" s="51">
        <f>'Pod Library'!F103</f>
        <v/>
      </c>
      <c r="H93" s="51">
        <f>'Pod Library'!G103</f>
        <v/>
      </c>
      <c r="I93" s="51">
        <f>'Pod Library'!H103</f>
        <v/>
      </c>
      <c r="J93" s="51">
        <f>'Pod Library'!I103</f>
        <v/>
      </c>
      <c r="K93" s="16">
        <f>'Pod Library'!J103</f>
        <v/>
      </c>
      <c r="L93" s="21">
        <f>'Pod Plan'!G14</f>
        <v/>
      </c>
      <c r="M93" s="44">
        <f>K93*L93</f>
        <v/>
      </c>
      <c r="N93" s="54">
        <f>M93*INDEX('Logic Tree'!$J$85:$N$87,MATCH(I93,'Logic Tree'!$I$85:$I$87,0),MATCH(H93,'Logic Tree'!$J$84:$N$84,0))</f>
        <v/>
      </c>
    </row>
    <row r="94" ht="15" customHeight="1">
      <c r="B94" s="27" t="n">
        <v>3</v>
      </c>
      <c r="C94" s="18" t="inlineStr">
        <is>
          <t>TEAM</t>
        </is>
      </c>
      <c r="D94" s="43" t="inlineStr">
        <is>
          <t>VS2</t>
        </is>
      </c>
      <c r="E94" s="43" t="inlineStr">
        <is>
          <t>TEAM</t>
        </is>
      </c>
      <c r="F94" s="57">
        <f>'Pod Library'!E104</f>
        <v/>
      </c>
      <c r="G94" s="51">
        <f>'Pod Library'!F104</f>
        <v/>
      </c>
      <c r="H94" s="51">
        <f>'Pod Library'!G104</f>
        <v/>
      </c>
      <c r="I94" s="51">
        <f>'Pod Library'!H104</f>
        <v/>
      </c>
      <c r="J94" s="51">
        <f>'Pod Library'!I104</f>
        <v/>
      </c>
      <c r="K94" s="16">
        <f>'Pod Library'!J104</f>
        <v/>
      </c>
      <c r="L94" s="21">
        <f>'Pod Plan'!G14</f>
        <v/>
      </c>
      <c r="M94" s="44">
        <f>K94*L94</f>
        <v/>
      </c>
      <c r="N94" s="54">
        <f>M94*INDEX('Logic Tree'!$J$85:$N$87,MATCH(I94,'Logic Tree'!$I$85:$I$87,0),MATCH(H94,'Logic Tree'!$J$84:$N$84,0))</f>
        <v/>
      </c>
    </row>
    <row r="95" ht="15" customHeight="1">
      <c r="B95" s="27" t="n">
        <v>3</v>
      </c>
      <c r="C95" s="18" t="inlineStr">
        <is>
          <t>TEAM</t>
        </is>
      </c>
      <c r="D95" s="43" t="inlineStr">
        <is>
          <t>VS2</t>
        </is>
      </c>
      <c r="E95" s="43" t="inlineStr">
        <is>
          <t>TEAM</t>
        </is>
      </c>
      <c r="F95" s="57">
        <f>'Pod Library'!E105</f>
        <v/>
      </c>
      <c r="G95" s="51">
        <f>'Pod Library'!F105</f>
        <v/>
      </c>
      <c r="H95" s="51">
        <f>'Pod Library'!G105</f>
        <v/>
      </c>
      <c r="I95" s="51">
        <f>'Pod Library'!H105</f>
        <v/>
      </c>
      <c r="J95" s="51">
        <f>'Pod Library'!I105</f>
        <v/>
      </c>
      <c r="K95" s="16">
        <f>'Pod Library'!J105</f>
        <v/>
      </c>
      <c r="L95" s="21">
        <f>'Pod Plan'!G14</f>
        <v/>
      </c>
      <c r="M95" s="44">
        <f>K95*L95</f>
        <v/>
      </c>
      <c r="N95" s="54">
        <f>M95*INDEX('Logic Tree'!$J$85:$N$87,MATCH(I95,'Logic Tree'!$I$85:$I$87,0),MATCH(H95,'Logic Tree'!$J$84:$N$84,0))</f>
        <v/>
      </c>
    </row>
    <row r="96" ht="15" customHeight="1">
      <c r="B96" s="27" t="n">
        <v>3</v>
      </c>
      <c r="C96" s="18" t="inlineStr">
        <is>
          <t>TEAM</t>
        </is>
      </c>
      <c r="D96" s="43" t="inlineStr">
        <is>
          <t>VS2</t>
        </is>
      </c>
      <c r="E96" s="43" t="inlineStr">
        <is>
          <t>TEAM</t>
        </is>
      </c>
      <c r="F96" s="57">
        <f>'Pod Library'!E106</f>
        <v/>
      </c>
      <c r="G96" s="51">
        <f>'Pod Library'!F106</f>
        <v/>
      </c>
      <c r="H96" s="51">
        <f>'Pod Library'!G106</f>
        <v/>
      </c>
      <c r="I96" s="51">
        <f>'Pod Library'!H106</f>
        <v/>
      </c>
      <c r="J96" s="51">
        <f>'Pod Library'!I106</f>
        <v/>
      </c>
      <c r="K96" s="16">
        <f>'Pod Library'!J106</f>
        <v/>
      </c>
      <c r="L96" s="21">
        <f>'Pod Plan'!G14</f>
        <v/>
      </c>
      <c r="M96" s="44">
        <f>K96*L96</f>
        <v/>
      </c>
      <c r="N96" s="54">
        <f>M96*INDEX('Logic Tree'!$J$85:$N$87,MATCH(I96,'Logic Tree'!$I$85:$I$87,0),MATCH(H96,'Logic Tree'!$J$84:$N$84,0))</f>
        <v/>
      </c>
    </row>
    <row r="97" ht="15" customHeight="1">
      <c r="B97" s="27" t="n">
        <v>3</v>
      </c>
      <c r="C97" s="18" t="inlineStr">
        <is>
          <t>TEAM</t>
        </is>
      </c>
      <c r="D97" s="43" t="inlineStr">
        <is>
          <t>VS2</t>
        </is>
      </c>
      <c r="E97" s="43" t="inlineStr">
        <is>
          <t>TEAM</t>
        </is>
      </c>
      <c r="F97" s="57">
        <f>'Pod Library'!E107</f>
        <v/>
      </c>
      <c r="G97" s="51">
        <f>'Pod Library'!F107</f>
        <v/>
      </c>
      <c r="H97" s="51">
        <f>'Pod Library'!G107</f>
        <v/>
      </c>
      <c r="I97" s="51">
        <f>'Pod Library'!H107</f>
        <v/>
      </c>
      <c r="J97" s="51">
        <f>'Pod Library'!I107</f>
        <v/>
      </c>
      <c r="K97" s="16">
        <f>'Pod Library'!J107</f>
        <v/>
      </c>
      <c r="L97" s="21">
        <f>'Pod Plan'!G14</f>
        <v/>
      </c>
      <c r="M97" s="44">
        <f>K97*L97</f>
        <v/>
      </c>
      <c r="N97" s="54">
        <f>M97*INDEX('Logic Tree'!$J$85:$N$87,MATCH(I97,'Logic Tree'!$I$85:$I$87,0),MATCH(H97,'Logic Tree'!$J$84:$N$84,0))</f>
        <v/>
      </c>
    </row>
    <row r="98" ht="15" customHeight="1">
      <c r="B98" s="27" t="n">
        <v>4</v>
      </c>
      <c r="C98" s="18" t="inlineStr">
        <is>
          <t>POD</t>
        </is>
      </c>
      <c r="D98" s="43" t="inlineStr">
        <is>
          <t>VS1</t>
        </is>
      </c>
      <c r="E98" s="43" t="inlineStr">
        <is>
          <t>POD</t>
        </is>
      </c>
      <c r="F98" s="57">
        <f>'Pod Library'!E110</f>
        <v/>
      </c>
      <c r="G98" s="51">
        <f>'Pod Library'!F110</f>
        <v/>
      </c>
      <c r="H98" s="51">
        <f>'Pod Library'!G110</f>
        <v/>
      </c>
      <c r="I98" s="51">
        <f>'Pod Library'!H110</f>
        <v/>
      </c>
      <c r="J98" s="51">
        <f>'Pod Library'!I110</f>
        <v/>
      </c>
      <c r="K98" s="16">
        <f>'Pod Library'!J110</f>
        <v/>
      </c>
      <c r="L98" s="21">
        <f>'Pod Plan'!G17</f>
        <v/>
      </c>
      <c r="M98" s="44">
        <f>K98*L98</f>
        <v/>
      </c>
      <c r="N98" s="54">
        <f>M98*INDEX('Logic Tree'!$J$85:$N$87,MATCH(I98,'Logic Tree'!$I$85:$I$87,0),MATCH(H98,'Logic Tree'!$J$84:$N$84,0))</f>
        <v/>
      </c>
    </row>
    <row r="99" ht="15" customHeight="1">
      <c r="B99" s="27" t="n">
        <v>4</v>
      </c>
      <c r="C99" s="18" t="inlineStr">
        <is>
          <t>POD</t>
        </is>
      </c>
      <c r="D99" s="43" t="inlineStr">
        <is>
          <t>VS1</t>
        </is>
      </c>
      <c r="E99" s="43" t="inlineStr">
        <is>
          <t>POD</t>
        </is>
      </c>
      <c r="F99" s="57">
        <f>'Pod Library'!E111</f>
        <v/>
      </c>
      <c r="G99" s="51">
        <f>'Pod Library'!F111</f>
        <v/>
      </c>
      <c r="H99" s="51">
        <f>'Pod Library'!G111</f>
        <v/>
      </c>
      <c r="I99" s="51">
        <f>'Pod Library'!H111</f>
        <v/>
      </c>
      <c r="J99" s="51">
        <f>'Pod Library'!I111</f>
        <v/>
      </c>
      <c r="K99" s="16">
        <f>'Pod Library'!J111</f>
        <v/>
      </c>
      <c r="L99" s="21">
        <f>'Pod Plan'!G17</f>
        <v/>
      </c>
      <c r="M99" s="44">
        <f>K99*L99</f>
        <v/>
      </c>
      <c r="N99" s="54">
        <f>M99*INDEX('Logic Tree'!$J$85:$N$87,MATCH(I99,'Logic Tree'!$I$85:$I$87,0),MATCH(H99,'Logic Tree'!$J$84:$N$84,0))</f>
        <v/>
      </c>
    </row>
    <row r="100" ht="15" customHeight="1">
      <c r="B100" s="27" t="n">
        <v>4</v>
      </c>
      <c r="C100" s="18" t="inlineStr">
        <is>
          <t>POD</t>
        </is>
      </c>
      <c r="D100" s="43" t="inlineStr">
        <is>
          <t>VS1</t>
        </is>
      </c>
      <c r="E100" s="43" t="inlineStr">
        <is>
          <t>POD</t>
        </is>
      </c>
      <c r="F100" s="57">
        <f>'Pod Library'!E112</f>
        <v/>
      </c>
      <c r="G100" s="51">
        <f>'Pod Library'!F112</f>
        <v/>
      </c>
      <c r="H100" s="51">
        <f>'Pod Library'!G112</f>
        <v/>
      </c>
      <c r="I100" s="51">
        <f>'Pod Library'!H112</f>
        <v/>
      </c>
      <c r="J100" s="51">
        <f>'Pod Library'!I112</f>
        <v/>
      </c>
      <c r="K100" s="16">
        <f>'Pod Library'!J112</f>
        <v/>
      </c>
      <c r="L100" s="21">
        <f>'Pod Plan'!G17</f>
        <v/>
      </c>
      <c r="M100" s="44">
        <f>K100*L100</f>
        <v/>
      </c>
      <c r="N100" s="54">
        <f>M100*INDEX('Logic Tree'!$J$85:$N$87,MATCH(I100,'Logic Tree'!$I$85:$I$87,0),MATCH(H100,'Logic Tree'!$J$84:$N$84,0))</f>
        <v/>
      </c>
    </row>
    <row r="101" ht="15" customHeight="1">
      <c r="B101" s="27" t="n">
        <v>4</v>
      </c>
      <c r="C101" s="18" t="inlineStr">
        <is>
          <t>POD</t>
        </is>
      </c>
      <c r="D101" s="43" t="inlineStr">
        <is>
          <t>VS1</t>
        </is>
      </c>
      <c r="E101" s="43" t="inlineStr">
        <is>
          <t>POD</t>
        </is>
      </c>
      <c r="F101" s="57">
        <f>'Pod Library'!E113</f>
        <v/>
      </c>
      <c r="G101" s="51">
        <f>'Pod Library'!F113</f>
        <v/>
      </c>
      <c r="H101" s="51">
        <f>'Pod Library'!G113</f>
        <v/>
      </c>
      <c r="I101" s="51">
        <f>'Pod Library'!H113</f>
        <v/>
      </c>
      <c r="J101" s="51">
        <f>'Pod Library'!I113</f>
        <v/>
      </c>
      <c r="K101" s="16">
        <f>'Pod Library'!J113</f>
        <v/>
      </c>
      <c r="L101" s="21">
        <f>'Pod Plan'!G17</f>
        <v/>
      </c>
      <c r="M101" s="44">
        <f>K101*L101</f>
        <v/>
      </c>
      <c r="N101" s="54">
        <f>M101*INDEX('Logic Tree'!$J$85:$N$87,MATCH(I101,'Logic Tree'!$I$85:$I$87,0),MATCH(H101,'Logic Tree'!$J$84:$N$84,0))</f>
        <v/>
      </c>
    </row>
    <row r="102" ht="15" customHeight="1">
      <c r="B102" s="27" t="n">
        <v>4</v>
      </c>
      <c r="C102" s="18" t="inlineStr">
        <is>
          <t>POD</t>
        </is>
      </c>
      <c r="D102" s="43" t="inlineStr">
        <is>
          <t>VS1</t>
        </is>
      </c>
      <c r="E102" s="43" t="inlineStr">
        <is>
          <t>POD</t>
        </is>
      </c>
      <c r="F102" s="57">
        <f>'Pod Library'!E114</f>
        <v/>
      </c>
      <c r="G102" s="51">
        <f>'Pod Library'!F114</f>
        <v/>
      </c>
      <c r="H102" s="51">
        <f>'Pod Library'!G114</f>
        <v/>
      </c>
      <c r="I102" s="51">
        <f>'Pod Library'!H114</f>
        <v/>
      </c>
      <c r="J102" s="51">
        <f>'Pod Library'!I114</f>
        <v/>
      </c>
      <c r="K102" s="16">
        <f>'Pod Library'!J114</f>
        <v/>
      </c>
      <c r="L102" s="21">
        <f>'Pod Plan'!G17</f>
        <v/>
      </c>
      <c r="M102" s="44">
        <f>K102*L102</f>
        <v/>
      </c>
      <c r="N102" s="54">
        <f>M102*INDEX('Logic Tree'!$J$85:$N$87,MATCH(I102,'Logic Tree'!$I$85:$I$87,0),MATCH(H102,'Logic Tree'!$J$84:$N$84,0))</f>
        <v/>
      </c>
    </row>
    <row r="103" ht="15" customHeight="1">
      <c r="B103" s="27" t="n">
        <v>4</v>
      </c>
      <c r="C103" s="18" t="inlineStr">
        <is>
          <t>POD</t>
        </is>
      </c>
      <c r="D103" s="43" t="inlineStr">
        <is>
          <t>VS1</t>
        </is>
      </c>
      <c r="E103" s="43" t="inlineStr">
        <is>
          <t>POD</t>
        </is>
      </c>
      <c r="F103" s="57">
        <f>'Pod Library'!E115</f>
        <v/>
      </c>
      <c r="G103" s="51">
        <f>'Pod Library'!F115</f>
        <v/>
      </c>
      <c r="H103" s="51">
        <f>'Pod Library'!G115</f>
        <v/>
      </c>
      <c r="I103" s="51">
        <f>'Pod Library'!H115</f>
        <v/>
      </c>
      <c r="J103" s="51">
        <f>'Pod Library'!I115</f>
        <v/>
      </c>
      <c r="K103" s="16">
        <f>'Pod Library'!J115</f>
        <v/>
      </c>
      <c r="L103" s="21">
        <f>'Pod Plan'!G17</f>
        <v/>
      </c>
      <c r="M103" s="44">
        <f>K103*L103</f>
        <v/>
      </c>
      <c r="N103" s="54">
        <f>M103*INDEX('Logic Tree'!$J$85:$N$87,MATCH(I103,'Logic Tree'!$I$85:$I$87,0),MATCH(H103,'Logic Tree'!$J$84:$N$84,0))</f>
        <v/>
      </c>
    </row>
    <row r="104" ht="15" customHeight="1">
      <c r="B104" s="27" t="n">
        <v>4</v>
      </c>
      <c r="C104" s="18" t="inlineStr">
        <is>
          <t>POD</t>
        </is>
      </c>
      <c r="D104" s="43" t="inlineStr">
        <is>
          <t>VS1</t>
        </is>
      </c>
      <c r="E104" s="43" t="inlineStr">
        <is>
          <t>POD</t>
        </is>
      </c>
      <c r="F104" s="57">
        <f>'Pod Library'!E116</f>
        <v/>
      </c>
      <c r="G104" s="51">
        <f>'Pod Library'!F116</f>
        <v/>
      </c>
      <c r="H104" s="51">
        <f>'Pod Library'!G116</f>
        <v/>
      </c>
      <c r="I104" s="51">
        <f>'Pod Library'!H116</f>
        <v/>
      </c>
      <c r="J104" s="51">
        <f>'Pod Library'!I116</f>
        <v/>
      </c>
      <c r="K104" s="16">
        <f>'Pod Library'!J116</f>
        <v/>
      </c>
      <c r="L104" s="21">
        <f>'Pod Plan'!G17</f>
        <v/>
      </c>
      <c r="M104" s="44">
        <f>K104*L104</f>
        <v/>
      </c>
      <c r="N104" s="54">
        <f>M104*INDEX('Logic Tree'!$J$85:$N$87,MATCH(I104,'Logic Tree'!$I$85:$I$87,0),MATCH(H104,'Logic Tree'!$J$84:$N$84,0))</f>
        <v/>
      </c>
    </row>
    <row r="105" ht="15" customHeight="1">
      <c r="B105" s="27" t="n">
        <v>4</v>
      </c>
      <c r="C105" s="18" t="inlineStr">
        <is>
          <t>POD</t>
        </is>
      </c>
      <c r="D105" s="43" t="inlineStr">
        <is>
          <t>VS1</t>
        </is>
      </c>
      <c r="E105" s="43" t="inlineStr">
        <is>
          <t>POD</t>
        </is>
      </c>
      <c r="F105" s="57">
        <f>'Pod Library'!E117</f>
        <v/>
      </c>
      <c r="G105" s="51">
        <f>'Pod Library'!F117</f>
        <v/>
      </c>
      <c r="H105" s="51">
        <f>'Pod Library'!G117</f>
        <v/>
      </c>
      <c r="I105" s="51">
        <f>'Pod Library'!H117</f>
        <v/>
      </c>
      <c r="J105" s="51">
        <f>'Pod Library'!I117</f>
        <v/>
      </c>
      <c r="K105" s="16">
        <f>'Pod Library'!J117</f>
        <v/>
      </c>
      <c r="L105" s="21">
        <f>'Pod Plan'!G17</f>
        <v/>
      </c>
      <c r="M105" s="44">
        <f>K105*L105</f>
        <v/>
      </c>
      <c r="N105" s="54">
        <f>M105*INDEX('Logic Tree'!$J$85:$N$87,MATCH(I105,'Logic Tree'!$I$85:$I$87,0),MATCH(H105,'Logic Tree'!$J$84:$N$84,0))</f>
        <v/>
      </c>
    </row>
    <row r="106" ht="15" customHeight="1">
      <c r="B106" s="27" t="n">
        <v>4</v>
      </c>
      <c r="C106" s="18" t="inlineStr">
        <is>
          <t>POD</t>
        </is>
      </c>
      <c r="D106" s="43" t="inlineStr">
        <is>
          <t>VS1</t>
        </is>
      </c>
      <c r="E106" s="43" t="inlineStr">
        <is>
          <t>POD</t>
        </is>
      </c>
      <c r="F106" s="57">
        <f>'Pod Library'!E118</f>
        <v/>
      </c>
      <c r="G106" s="51">
        <f>'Pod Library'!F118</f>
        <v/>
      </c>
      <c r="H106" s="51">
        <f>'Pod Library'!G118</f>
        <v/>
      </c>
      <c r="I106" s="51">
        <f>'Pod Library'!H118</f>
        <v/>
      </c>
      <c r="J106" s="51">
        <f>'Pod Library'!I118</f>
        <v/>
      </c>
      <c r="K106" s="16">
        <f>'Pod Library'!J118</f>
        <v/>
      </c>
      <c r="L106" s="21">
        <f>'Pod Plan'!G17</f>
        <v/>
      </c>
      <c r="M106" s="44">
        <f>K106*L106</f>
        <v/>
      </c>
      <c r="N106" s="54">
        <f>M106*INDEX('Logic Tree'!$J$85:$N$87,MATCH(I106,'Logic Tree'!$I$85:$I$87,0),MATCH(H106,'Logic Tree'!$J$84:$N$84,0))</f>
        <v/>
      </c>
    </row>
    <row r="107" ht="15" customHeight="1">
      <c r="B107" s="27" t="n">
        <v>4</v>
      </c>
      <c r="C107" s="18" t="inlineStr">
        <is>
          <t>POD</t>
        </is>
      </c>
      <c r="D107" s="43" t="inlineStr">
        <is>
          <t>VS1</t>
        </is>
      </c>
      <c r="E107" s="43" t="inlineStr">
        <is>
          <t>POD</t>
        </is>
      </c>
      <c r="F107" s="57">
        <f>'Pod Library'!E119</f>
        <v/>
      </c>
      <c r="G107" s="51">
        <f>'Pod Library'!F119</f>
        <v/>
      </c>
      <c r="H107" s="51">
        <f>'Pod Library'!G119</f>
        <v/>
      </c>
      <c r="I107" s="51">
        <f>'Pod Library'!H119</f>
        <v/>
      </c>
      <c r="J107" s="51">
        <f>'Pod Library'!I119</f>
        <v/>
      </c>
      <c r="K107" s="16">
        <f>'Pod Library'!J119</f>
        <v/>
      </c>
      <c r="L107" s="21">
        <f>'Pod Plan'!G17</f>
        <v/>
      </c>
      <c r="M107" s="44">
        <f>K107*L107</f>
        <v/>
      </c>
      <c r="N107" s="54">
        <f>M107*INDEX('Logic Tree'!$J$85:$N$87,MATCH(I107,'Logic Tree'!$I$85:$I$87,0),MATCH(H107,'Logic Tree'!$J$84:$N$84,0))</f>
        <v/>
      </c>
    </row>
    <row r="108" ht="15" customHeight="1">
      <c r="B108" s="27" t="n">
        <v>4</v>
      </c>
      <c r="C108" s="18" t="inlineStr">
        <is>
          <t>POD</t>
        </is>
      </c>
      <c r="D108" s="43" t="inlineStr">
        <is>
          <t>VS1</t>
        </is>
      </c>
      <c r="E108" s="43" t="inlineStr">
        <is>
          <t>POD</t>
        </is>
      </c>
      <c r="F108" s="57">
        <f>'Pod Library'!E120</f>
        <v/>
      </c>
      <c r="G108" s="51">
        <f>'Pod Library'!F120</f>
        <v/>
      </c>
      <c r="H108" s="51">
        <f>'Pod Library'!G120</f>
        <v/>
      </c>
      <c r="I108" s="51">
        <f>'Pod Library'!H120</f>
        <v/>
      </c>
      <c r="J108" s="51">
        <f>'Pod Library'!I120</f>
        <v/>
      </c>
      <c r="K108" s="16">
        <f>'Pod Library'!J120</f>
        <v/>
      </c>
      <c r="L108" s="21">
        <f>'Pod Plan'!G17</f>
        <v/>
      </c>
      <c r="M108" s="44">
        <f>K108*L108</f>
        <v/>
      </c>
      <c r="N108" s="54">
        <f>M108*INDEX('Logic Tree'!$J$85:$N$87,MATCH(I108,'Logic Tree'!$I$85:$I$87,0),MATCH(H108,'Logic Tree'!$J$84:$N$84,0))</f>
        <v/>
      </c>
    </row>
    <row r="109" ht="15" customHeight="1">
      <c r="B109" s="27" t="n">
        <v>4</v>
      </c>
      <c r="C109" s="18" t="inlineStr">
        <is>
          <t>POD</t>
        </is>
      </c>
      <c r="D109" s="43" t="inlineStr">
        <is>
          <t>VS1</t>
        </is>
      </c>
      <c r="E109" s="43" t="inlineStr">
        <is>
          <t>POD</t>
        </is>
      </c>
      <c r="F109" s="57">
        <f>'Pod Library'!E121</f>
        <v/>
      </c>
      <c r="G109" s="51">
        <f>'Pod Library'!F121</f>
        <v/>
      </c>
      <c r="H109" s="51">
        <f>'Pod Library'!G121</f>
        <v/>
      </c>
      <c r="I109" s="51">
        <f>'Pod Library'!H121</f>
        <v/>
      </c>
      <c r="J109" s="51">
        <f>'Pod Library'!I121</f>
        <v/>
      </c>
      <c r="K109" s="16">
        <f>'Pod Library'!J121</f>
        <v/>
      </c>
      <c r="L109" s="21">
        <f>'Pod Plan'!G17</f>
        <v/>
      </c>
      <c r="M109" s="44">
        <f>K109*L109</f>
        <v/>
      </c>
      <c r="N109" s="54">
        <f>M109*INDEX('Logic Tree'!$J$85:$N$87,MATCH(I109,'Logic Tree'!$I$85:$I$87,0),MATCH(H109,'Logic Tree'!$J$84:$N$84,0))</f>
        <v/>
      </c>
    </row>
    <row r="110" ht="15" customHeight="1">
      <c r="B110" s="27" t="n">
        <v>4</v>
      </c>
      <c r="C110" s="18" t="inlineStr">
        <is>
          <t>POD</t>
        </is>
      </c>
      <c r="D110" s="43" t="inlineStr">
        <is>
          <t>VS1</t>
        </is>
      </c>
      <c r="E110" s="43" t="inlineStr">
        <is>
          <t>POD</t>
        </is>
      </c>
      <c r="F110" s="57">
        <f>'Pod Library'!E122</f>
        <v/>
      </c>
      <c r="G110" s="51">
        <f>'Pod Library'!F122</f>
        <v/>
      </c>
      <c r="H110" s="51">
        <f>'Pod Library'!G122</f>
        <v/>
      </c>
      <c r="I110" s="51">
        <f>'Pod Library'!H122</f>
        <v/>
      </c>
      <c r="J110" s="51">
        <f>'Pod Library'!I122</f>
        <v/>
      </c>
      <c r="K110" s="16">
        <f>'Pod Library'!J122</f>
        <v/>
      </c>
      <c r="L110" s="21">
        <f>'Pod Plan'!G17</f>
        <v/>
      </c>
      <c r="M110" s="44">
        <f>K110*L110</f>
        <v/>
      </c>
      <c r="N110" s="54">
        <f>M110*INDEX('Logic Tree'!$J$85:$N$87,MATCH(I110,'Logic Tree'!$I$85:$I$87,0),MATCH(H110,'Logic Tree'!$J$84:$N$84,0))</f>
        <v/>
      </c>
    </row>
    <row r="111" ht="15" customHeight="1">
      <c r="B111" s="27" t="n">
        <v>4</v>
      </c>
      <c r="C111" s="18" t="inlineStr">
        <is>
          <t>POD</t>
        </is>
      </c>
      <c r="D111" s="43" t="inlineStr">
        <is>
          <t>VS1</t>
        </is>
      </c>
      <c r="E111" s="43" t="inlineStr">
        <is>
          <t>POD</t>
        </is>
      </c>
      <c r="F111" s="57">
        <f>'Pod Library'!E123</f>
        <v/>
      </c>
      <c r="G111" s="51">
        <f>'Pod Library'!F123</f>
        <v/>
      </c>
      <c r="H111" s="51">
        <f>'Pod Library'!G123</f>
        <v/>
      </c>
      <c r="I111" s="51">
        <f>'Pod Library'!H123</f>
        <v/>
      </c>
      <c r="J111" s="51">
        <f>'Pod Library'!I123</f>
        <v/>
      </c>
      <c r="K111" s="16">
        <f>'Pod Library'!J123</f>
        <v/>
      </c>
      <c r="L111" s="21">
        <f>'Pod Plan'!G17</f>
        <v/>
      </c>
      <c r="M111" s="44">
        <f>K111*L111</f>
        <v/>
      </c>
      <c r="N111" s="54">
        <f>M111*INDEX('Logic Tree'!$J$85:$N$87,MATCH(I111,'Logic Tree'!$I$85:$I$87,0),MATCH(H111,'Logic Tree'!$J$84:$N$84,0))</f>
        <v/>
      </c>
    </row>
    <row r="112" ht="15" customHeight="1">
      <c r="B112" s="27" t="n">
        <v>4</v>
      </c>
      <c r="C112" s="18" t="inlineStr">
        <is>
          <t>POD</t>
        </is>
      </c>
      <c r="D112" s="43" t="inlineStr">
        <is>
          <t>VS1</t>
        </is>
      </c>
      <c r="E112" s="43" t="inlineStr">
        <is>
          <t>POD</t>
        </is>
      </c>
      <c r="F112" s="57">
        <f>'Pod Library'!E124</f>
        <v/>
      </c>
      <c r="G112" s="51">
        <f>'Pod Library'!F124</f>
        <v/>
      </c>
      <c r="H112" s="51">
        <f>'Pod Library'!G124</f>
        <v/>
      </c>
      <c r="I112" s="51">
        <f>'Pod Library'!H124</f>
        <v/>
      </c>
      <c r="J112" s="51">
        <f>'Pod Library'!I124</f>
        <v/>
      </c>
      <c r="K112" s="16">
        <f>'Pod Library'!J124</f>
        <v/>
      </c>
      <c r="L112" s="21">
        <f>'Pod Plan'!G17</f>
        <v/>
      </c>
      <c r="M112" s="44">
        <f>K112*L112</f>
        <v/>
      </c>
      <c r="N112" s="54">
        <f>M112*INDEX('Logic Tree'!$J$85:$N$87,MATCH(I112,'Logic Tree'!$I$85:$I$87,0),MATCH(H112,'Logic Tree'!$J$84:$N$84,0))</f>
        <v/>
      </c>
    </row>
    <row r="113" ht="15" customHeight="1">
      <c r="B113" s="27" t="n">
        <v>4</v>
      </c>
      <c r="C113" s="18" t="inlineStr">
        <is>
          <t>POD</t>
        </is>
      </c>
      <c r="D113" s="43" t="inlineStr">
        <is>
          <t>VS2</t>
        </is>
      </c>
      <c r="E113" s="43" t="inlineStr">
        <is>
          <t>POD</t>
        </is>
      </c>
      <c r="F113" s="57">
        <f>'Pod Library'!E127</f>
        <v/>
      </c>
      <c r="G113" s="51">
        <f>'Pod Library'!F127</f>
        <v/>
      </c>
      <c r="H113" s="51">
        <f>'Pod Library'!G127</f>
        <v/>
      </c>
      <c r="I113" s="51">
        <f>'Pod Library'!H127</f>
        <v/>
      </c>
      <c r="J113" s="51">
        <f>'Pod Library'!I127</f>
        <v/>
      </c>
      <c r="K113" s="16">
        <f>'Pod Library'!J127</f>
        <v/>
      </c>
      <c r="L113" s="21">
        <f>'Pod Plan'!G18</f>
        <v/>
      </c>
      <c r="M113" s="44">
        <f>K113*L113</f>
        <v/>
      </c>
      <c r="N113" s="54">
        <f>M113*INDEX('Logic Tree'!$J$85:$N$87,MATCH(I113,'Logic Tree'!$I$85:$I$87,0),MATCH(H113,'Logic Tree'!$J$84:$N$84,0))</f>
        <v/>
      </c>
    </row>
    <row r="114" ht="15" customHeight="1">
      <c r="B114" s="27" t="n">
        <v>4</v>
      </c>
      <c r="C114" s="18" t="inlineStr">
        <is>
          <t>POD</t>
        </is>
      </c>
      <c r="D114" s="43" t="inlineStr">
        <is>
          <t>VS2</t>
        </is>
      </c>
      <c r="E114" s="43" t="inlineStr">
        <is>
          <t>POD</t>
        </is>
      </c>
      <c r="F114" s="57">
        <f>'Pod Library'!E128</f>
        <v/>
      </c>
      <c r="G114" s="51">
        <f>'Pod Library'!F128</f>
        <v/>
      </c>
      <c r="H114" s="51">
        <f>'Pod Library'!G128</f>
        <v/>
      </c>
      <c r="I114" s="51">
        <f>'Pod Library'!H128</f>
        <v/>
      </c>
      <c r="J114" s="51">
        <f>'Pod Library'!I128</f>
        <v/>
      </c>
      <c r="K114" s="16">
        <f>'Pod Library'!J128</f>
        <v/>
      </c>
      <c r="L114" s="21">
        <f>'Pod Plan'!G18</f>
        <v/>
      </c>
      <c r="M114" s="44">
        <f>K114*L114</f>
        <v/>
      </c>
      <c r="N114" s="54">
        <f>M114*INDEX('Logic Tree'!$J$85:$N$87,MATCH(I114,'Logic Tree'!$I$85:$I$87,0),MATCH(H114,'Logic Tree'!$J$84:$N$84,0))</f>
        <v/>
      </c>
    </row>
    <row r="115" ht="15" customHeight="1">
      <c r="B115" s="27" t="n">
        <v>4</v>
      </c>
      <c r="C115" s="18" t="inlineStr">
        <is>
          <t>POD</t>
        </is>
      </c>
      <c r="D115" s="43" t="inlineStr">
        <is>
          <t>VS2</t>
        </is>
      </c>
      <c r="E115" s="43" t="inlineStr">
        <is>
          <t>POD</t>
        </is>
      </c>
      <c r="F115" s="57">
        <f>'Pod Library'!E129</f>
        <v/>
      </c>
      <c r="G115" s="51">
        <f>'Pod Library'!F129</f>
        <v/>
      </c>
      <c r="H115" s="51">
        <f>'Pod Library'!G129</f>
        <v/>
      </c>
      <c r="I115" s="51">
        <f>'Pod Library'!H129</f>
        <v/>
      </c>
      <c r="J115" s="51">
        <f>'Pod Library'!I129</f>
        <v/>
      </c>
      <c r="K115" s="16">
        <f>'Pod Library'!J129</f>
        <v/>
      </c>
      <c r="L115" s="21">
        <f>'Pod Plan'!G18</f>
        <v/>
      </c>
      <c r="M115" s="44">
        <f>K115*L115</f>
        <v/>
      </c>
      <c r="N115" s="54">
        <f>M115*INDEX('Logic Tree'!$J$85:$N$87,MATCH(I115,'Logic Tree'!$I$85:$I$87,0),MATCH(H115,'Logic Tree'!$J$84:$N$84,0))</f>
        <v/>
      </c>
    </row>
    <row r="116" ht="15" customHeight="1">
      <c r="B116" s="27" t="n">
        <v>4</v>
      </c>
      <c r="C116" s="18" t="inlineStr">
        <is>
          <t>POD</t>
        </is>
      </c>
      <c r="D116" s="43" t="inlineStr">
        <is>
          <t>VS2</t>
        </is>
      </c>
      <c r="E116" s="43" t="inlineStr">
        <is>
          <t>POD</t>
        </is>
      </c>
      <c r="F116" s="57">
        <f>'Pod Library'!E130</f>
        <v/>
      </c>
      <c r="G116" s="51">
        <f>'Pod Library'!F130</f>
        <v/>
      </c>
      <c r="H116" s="51">
        <f>'Pod Library'!G130</f>
        <v/>
      </c>
      <c r="I116" s="51">
        <f>'Pod Library'!H130</f>
        <v/>
      </c>
      <c r="J116" s="51">
        <f>'Pod Library'!I130</f>
        <v/>
      </c>
      <c r="K116" s="16">
        <f>'Pod Library'!J130</f>
        <v/>
      </c>
      <c r="L116" s="21">
        <f>'Pod Plan'!G18</f>
        <v/>
      </c>
      <c r="M116" s="44">
        <f>K116*L116</f>
        <v/>
      </c>
      <c r="N116" s="54">
        <f>M116*INDEX('Logic Tree'!$J$85:$N$87,MATCH(I116,'Logic Tree'!$I$85:$I$87,0),MATCH(H116,'Logic Tree'!$J$84:$N$84,0))</f>
        <v/>
      </c>
    </row>
    <row r="117" ht="15" customHeight="1">
      <c r="B117" s="27" t="n">
        <v>4</v>
      </c>
      <c r="C117" s="18" t="inlineStr">
        <is>
          <t>POD</t>
        </is>
      </c>
      <c r="D117" s="43" t="inlineStr">
        <is>
          <t>VS2</t>
        </is>
      </c>
      <c r="E117" s="43" t="inlineStr">
        <is>
          <t>POD</t>
        </is>
      </c>
      <c r="F117" s="57">
        <f>'Pod Library'!E131</f>
        <v/>
      </c>
      <c r="G117" s="51">
        <f>'Pod Library'!F131</f>
        <v/>
      </c>
      <c r="H117" s="51">
        <f>'Pod Library'!G131</f>
        <v/>
      </c>
      <c r="I117" s="51">
        <f>'Pod Library'!H131</f>
        <v/>
      </c>
      <c r="J117" s="51">
        <f>'Pod Library'!I131</f>
        <v/>
      </c>
      <c r="K117" s="16">
        <f>'Pod Library'!J131</f>
        <v/>
      </c>
      <c r="L117" s="21">
        <f>'Pod Plan'!G18</f>
        <v/>
      </c>
      <c r="M117" s="44">
        <f>K117*L117</f>
        <v/>
      </c>
      <c r="N117" s="54">
        <f>M117*INDEX('Logic Tree'!$J$85:$N$87,MATCH(I117,'Logic Tree'!$I$85:$I$87,0),MATCH(H117,'Logic Tree'!$J$84:$N$84,0))</f>
        <v/>
      </c>
    </row>
    <row r="118" ht="15" customHeight="1">
      <c r="B118" s="27" t="n">
        <v>4</v>
      </c>
      <c r="C118" s="18" t="inlineStr">
        <is>
          <t>POD</t>
        </is>
      </c>
      <c r="D118" s="43" t="inlineStr">
        <is>
          <t>VS2</t>
        </is>
      </c>
      <c r="E118" s="43" t="inlineStr">
        <is>
          <t>POD</t>
        </is>
      </c>
      <c r="F118" s="57">
        <f>'Pod Library'!E132</f>
        <v/>
      </c>
      <c r="G118" s="51">
        <f>'Pod Library'!F132</f>
        <v/>
      </c>
      <c r="H118" s="51">
        <f>'Pod Library'!G132</f>
        <v/>
      </c>
      <c r="I118" s="51">
        <f>'Pod Library'!H132</f>
        <v/>
      </c>
      <c r="J118" s="51">
        <f>'Pod Library'!I132</f>
        <v/>
      </c>
      <c r="K118" s="16">
        <f>'Pod Library'!J132</f>
        <v/>
      </c>
      <c r="L118" s="21">
        <f>'Pod Plan'!G18</f>
        <v/>
      </c>
      <c r="M118" s="44">
        <f>K118*L118</f>
        <v/>
      </c>
      <c r="N118" s="54">
        <f>M118*INDEX('Logic Tree'!$J$85:$N$87,MATCH(I118,'Logic Tree'!$I$85:$I$87,0),MATCH(H118,'Logic Tree'!$J$84:$N$84,0))</f>
        <v/>
      </c>
    </row>
    <row r="119" ht="15" customHeight="1">
      <c r="B119" s="27" t="n">
        <v>4</v>
      </c>
      <c r="C119" s="18" t="inlineStr">
        <is>
          <t>POD</t>
        </is>
      </c>
      <c r="D119" s="43" t="inlineStr">
        <is>
          <t>VS2</t>
        </is>
      </c>
      <c r="E119" s="43" t="inlineStr">
        <is>
          <t>POD</t>
        </is>
      </c>
      <c r="F119" s="57">
        <f>'Pod Library'!E133</f>
        <v/>
      </c>
      <c r="G119" s="51">
        <f>'Pod Library'!F133</f>
        <v/>
      </c>
      <c r="H119" s="51">
        <f>'Pod Library'!G133</f>
        <v/>
      </c>
      <c r="I119" s="51">
        <f>'Pod Library'!H133</f>
        <v/>
      </c>
      <c r="J119" s="51">
        <f>'Pod Library'!I133</f>
        <v/>
      </c>
      <c r="K119" s="16">
        <f>'Pod Library'!J133</f>
        <v/>
      </c>
      <c r="L119" s="21">
        <f>'Pod Plan'!G18</f>
        <v/>
      </c>
      <c r="M119" s="44">
        <f>K119*L119</f>
        <v/>
      </c>
      <c r="N119" s="54">
        <f>M119*INDEX('Logic Tree'!$J$85:$N$87,MATCH(I119,'Logic Tree'!$I$85:$I$87,0),MATCH(H119,'Logic Tree'!$J$84:$N$84,0))</f>
        <v/>
      </c>
    </row>
    <row r="120" ht="15" customHeight="1">
      <c r="B120" s="27" t="n">
        <v>4</v>
      </c>
      <c r="C120" s="18" t="inlineStr">
        <is>
          <t>POD</t>
        </is>
      </c>
      <c r="D120" s="43" t="inlineStr">
        <is>
          <t>VS2</t>
        </is>
      </c>
      <c r="E120" s="43" t="inlineStr">
        <is>
          <t>POD</t>
        </is>
      </c>
      <c r="F120" s="57">
        <f>'Pod Library'!E134</f>
        <v/>
      </c>
      <c r="G120" s="51">
        <f>'Pod Library'!F134</f>
        <v/>
      </c>
      <c r="H120" s="51">
        <f>'Pod Library'!G134</f>
        <v/>
      </c>
      <c r="I120" s="51">
        <f>'Pod Library'!H134</f>
        <v/>
      </c>
      <c r="J120" s="51">
        <f>'Pod Library'!I134</f>
        <v/>
      </c>
      <c r="K120" s="16">
        <f>'Pod Library'!J134</f>
        <v/>
      </c>
      <c r="L120" s="21">
        <f>'Pod Plan'!G18</f>
        <v/>
      </c>
      <c r="M120" s="44">
        <f>K120*L120</f>
        <v/>
      </c>
      <c r="N120" s="54">
        <f>M120*INDEX('Logic Tree'!$J$85:$N$87,MATCH(I120,'Logic Tree'!$I$85:$I$87,0),MATCH(H120,'Logic Tree'!$J$84:$N$84,0))</f>
        <v/>
      </c>
    </row>
    <row r="121" ht="15" customHeight="1">
      <c r="B121" s="27" t="n">
        <v>4</v>
      </c>
      <c r="C121" s="18" t="inlineStr">
        <is>
          <t>POD</t>
        </is>
      </c>
      <c r="D121" s="43" t="inlineStr">
        <is>
          <t>VS2</t>
        </is>
      </c>
      <c r="E121" s="43" t="inlineStr">
        <is>
          <t>POD</t>
        </is>
      </c>
      <c r="F121" s="57">
        <f>'Pod Library'!E135</f>
        <v/>
      </c>
      <c r="G121" s="51">
        <f>'Pod Library'!F135</f>
        <v/>
      </c>
      <c r="H121" s="51">
        <f>'Pod Library'!G135</f>
        <v/>
      </c>
      <c r="I121" s="51">
        <f>'Pod Library'!H135</f>
        <v/>
      </c>
      <c r="J121" s="51">
        <f>'Pod Library'!I135</f>
        <v/>
      </c>
      <c r="K121" s="16">
        <f>'Pod Library'!J135</f>
        <v/>
      </c>
      <c r="L121" s="21">
        <f>'Pod Plan'!G18</f>
        <v/>
      </c>
      <c r="M121" s="44">
        <f>K121*L121</f>
        <v/>
      </c>
      <c r="N121" s="54">
        <f>M121*INDEX('Logic Tree'!$J$85:$N$87,MATCH(I121,'Logic Tree'!$I$85:$I$87,0),MATCH(H121,'Logic Tree'!$J$84:$N$84,0))</f>
        <v/>
      </c>
    </row>
    <row r="122" ht="15" customHeight="1">
      <c r="B122" s="27" t="n">
        <v>5</v>
      </c>
      <c r="C122" s="18" t="inlineStr">
        <is>
          <t>POD</t>
        </is>
      </c>
      <c r="D122" s="43" t="inlineStr">
        <is>
          <t>VS1</t>
        </is>
      </c>
      <c r="E122" s="43" t="inlineStr">
        <is>
          <t>POD</t>
        </is>
      </c>
      <c r="F122" s="57">
        <f>'Pod Library'!E138</f>
        <v/>
      </c>
      <c r="G122" s="51">
        <f>'Pod Library'!F138</f>
        <v/>
      </c>
      <c r="H122" s="51">
        <f>'Pod Library'!G138</f>
        <v/>
      </c>
      <c r="I122" s="51">
        <f>'Pod Library'!H138</f>
        <v/>
      </c>
      <c r="J122" s="51">
        <f>'Pod Library'!I138</f>
        <v/>
      </c>
      <c r="K122" s="16">
        <f>'Pod Library'!J138</f>
        <v/>
      </c>
      <c r="L122" s="21">
        <f>'Pod Plan'!G21</f>
        <v/>
      </c>
      <c r="M122" s="44">
        <f>K122*L122</f>
        <v/>
      </c>
      <c r="N122" s="54">
        <f>M122*INDEX('Logic Tree'!$J$85:$N$87,MATCH(I122,'Logic Tree'!$I$85:$I$87,0),MATCH(H122,'Logic Tree'!$J$84:$N$84,0))</f>
        <v/>
      </c>
    </row>
    <row r="123" ht="15" customHeight="1">
      <c r="B123" s="27" t="n">
        <v>5</v>
      </c>
      <c r="C123" s="18" t="inlineStr">
        <is>
          <t>POD</t>
        </is>
      </c>
      <c r="D123" s="43" t="inlineStr">
        <is>
          <t>VS1</t>
        </is>
      </c>
      <c r="E123" s="43" t="inlineStr">
        <is>
          <t>POD</t>
        </is>
      </c>
      <c r="F123" s="57">
        <f>'Pod Library'!E139</f>
        <v/>
      </c>
      <c r="G123" s="51">
        <f>'Pod Library'!F139</f>
        <v/>
      </c>
      <c r="H123" s="51">
        <f>'Pod Library'!G139</f>
        <v/>
      </c>
      <c r="I123" s="51">
        <f>'Pod Library'!H139</f>
        <v/>
      </c>
      <c r="J123" s="51">
        <f>'Pod Library'!I139</f>
        <v/>
      </c>
      <c r="K123" s="16">
        <f>'Pod Library'!J139</f>
        <v/>
      </c>
      <c r="L123" s="21">
        <f>'Pod Plan'!G21</f>
        <v/>
      </c>
      <c r="M123" s="44">
        <f>K123*L123</f>
        <v/>
      </c>
      <c r="N123" s="54">
        <f>M123*INDEX('Logic Tree'!$J$85:$N$87,MATCH(I123,'Logic Tree'!$I$85:$I$87,0),MATCH(H123,'Logic Tree'!$J$84:$N$84,0))</f>
        <v/>
      </c>
    </row>
    <row r="124" ht="15" customHeight="1">
      <c r="B124" s="27" t="n">
        <v>5</v>
      </c>
      <c r="C124" s="18" t="inlineStr">
        <is>
          <t>POD</t>
        </is>
      </c>
      <c r="D124" s="43" t="inlineStr">
        <is>
          <t>VS1</t>
        </is>
      </c>
      <c r="E124" s="43" t="inlineStr">
        <is>
          <t>POD</t>
        </is>
      </c>
      <c r="F124" s="57">
        <f>'Pod Library'!E140</f>
        <v/>
      </c>
      <c r="G124" s="51">
        <f>'Pod Library'!F140</f>
        <v/>
      </c>
      <c r="H124" s="51">
        <f>'Pod Library'!G140</f>
        <v/>
      </c>
      <c r="I124" s="51">
        <f>'Pod Library'!H140</f>
        <v/>
      </c>
      <c r="J124" s="51">
        <f>'Pod Library'!I140</f>
        <v/>
      </c>
      <c r="K124" s="16">
        <f>'Pod Library'!J140</f>
        <v/>
      </c>
      <c r="L124" s="21">
        <f>'Pod Plan'!G21</f>
        <v/>
      </c>
      <c r="M124" s="44">
        <f>K124*L124</f>
        <v/>
      </c>
      <c r="N124" s="54">
        <f>M124*INDEX('Logic Tree'!$J$85:$N$87,MATCH(I124,'Logic Tree'!$I$85:$I$87,0),MATCH(H124,'Logic Tree'!$J$84:$N$84,0))</f>
        <v/>
      </c>
    </row>
    <row r="125" ht="15" customHeight="1">
      <c r="B125" s="27" t="n">
        <v>5</v>
      </c>
      <c r="C125" s="18" t="inlineStr">
        <is>
          <t>POD</t>
        </is>
      </c>
      <c r="D125" s="43" t="inlineStr">
        <is>
          <t>VS1</t>
        </is>
      </c>
      <c r="E125" s="43" t="inlineStr">
        <is>
          <t>POD</t>
        </is>
      </c>
      <c r="F125" s="57">
        <f>'Pod Library'!E141</f>
        <v/>
      </c>
      <c r="G125" s="51">
        <f>'Pod Library'!F141</f>
        <v/>
      </c>
      <c r="H125" s="51">
        <f>'Pod Library'!G141</f>
        <v/>
      </c>
      <c r="I125" s="51">
        <f>'Pod Library'!H141</f>
        <v/>
      </c>
      <c r="J125" s="51">
        <f>'Pod Library'!I141</f>
        <v/>
      </c>
      <c r="K125" s="16">
        <f>'Pod Library'!J141</f>
        <v/>
      </c>
      <c r="L125" s="21">
        <f>'Pod Plan'!G21</f>
        <v/>
      </c>
      <c r="M125" s="44">
        <f>K125*L125</f>
        <v/>
      </c>
      <c r="N125" s="54">
        <f>M125*INDEX('Logic Tree'!$J$85:$N$87,MATCH(I125,'Logic Tree'!$I$85:$I$87,0),MATCH(H125,'Logic Tree'!$J$84:$N$84,0))</f>
        <v/>
      </c>
    </row>
    <row r="126" ht="15" customHeight="1">
      <c r="B126" s="27" t="n">
        <v>5</v>
      </c>
      <c r="C126" s="18" t="inlineStr">
        <is>
          <t>POD</t>
        </is>
      </c>
      <c r="D126" s="43" t="inlineStr">
        <is>
          <t>VS1</t>
        </is>
      </c>
      <c r="E126" s="43" t="inlineStr">
        <is>
          <t>POD</t>
        </is>
      </c>
      <c r="F126" s="57">
        <f>'Pod Library'!E142</f>
        <v/>
      </c>
      <c r="G126" s="51">
        <f>'Pod Library'!F142</f>
        <v/>
      </c>
      <c r="H126" s="51">
        <f>'Pod Library'!G142</f>
        <v/>
      </c>
      <c r="I126" s="51">
        <f>'Pod Library'!H142</f>
        <v/>
      </c>
      <c r="J126" s="51">
        <f>'Pod Library'!I142</f>
        <v/>
      </c>
      <c r="K126" s="16">
        <f>'Pod Library'!J142</f>
        <v/>
      </c>
      <c r="L126" s="21">
        <f>'Pod Plan'!G21</f>
        <v/>
      </c>
      <c r="M126" s="44">
        <f>K126*L126</f>
        <v/>
      </c>
      <c r="N126" s="54">
        <f>M126*INDEX('Logic Tree'!$J$85:$N$87,MATCH(I126,'Logic Tree'!$I$85:$I$87,0),MATCH(H126,'Logic Tree'!$J$84:$N$84,0))</f>
        <v/>
      </c>
    </row>
    <row r="127" ht="15" customHeight="1">
      <c r="B127" s="27" t="n">
        <v>5</v>
      </c>
      <c r="C127" s="18" t="inlineStr">
        <is>
          <t>POD</t>
        </is>
      </c>
      <c r="D127" s="43" t="inlineStr">
        <is>
          <t>VS1</t>
        </is>
      </c>
      <c r="E127" s="43" t="inlineStr">
        <is>
          <t>POD</t>
        </is>
      </c>
      <c r="F127" s="57">
        <f>'Pod Library'!E143</f>
        <v/>
      </c>
      <c r="G127" s="51">
        <f>'Pod Library'!F143</f>
        <v/>
      </c>
      <c r="H127" s="51">
        <f>'Pod Library'!G143</f>
        <v/>
      </c>
      <c r="I127" s="51">
        <f>'Pod Library'!H143</f>
        <v/>
      </c>
      <c r="J127" s="51">
        <f>'Pod Library'!I143</f>
        <v/>
      </c>
      <c r="K127" s="16">
        <f>'Pod Library'!J143</f>
        <v/>
      </c>
      <c r="L127" s="21">
        <f>'Pod Plan'!G21</f>
        <v/>
      </c>
      <c r="M127" s="44">
        <f>K127*L127</f>
        <v/>
      </c>
      <c r="N127" s="54">
        <f>M127*INDEX('Logic Tree'!$J$85:$N$87,MATCH(I127,'Logic Tree'!$I$85:$I$87,0),MATCH(H127,'Logic Tree'!$J$84:$N$84,0))</f>
        <v/>
      </c>
    </row>
    <row r="128" ht="15" customHeight="1">
      <c r="B128" s="27" t="n">
        <v>5</v>
      </c>
      <c r="C128" s="18" t="inlineStr">
        <is>
          <t>POD</t>
        </is>
      </c>
      <c r="D128" s="43" t="inlineStr">
        <is>
          <t>VS1</t>
        </is>
      </c>
      <c r="E128" s="43" t="inlineStr">
        <is>
          <t>POD</t>
        </is>
      </c>
      <c r="F128" s="57">
        <f>'Pod Library'!E144</f>
        <v/>
      </c>
      <c r="G128" s="51">
        <f>'Pod Library'!F144</f>
        <v/>
      </c>
      <c r="H128" s="51">
        <f>'Pod Library'!G144</f>
        <v/>
      </c>
      <c r="I128" s="51">
        <f>'Pod Library'!H144</f>
        <v/>
      </c>
      <c r="J128" s="51">
        <f>'Pod Library'!I144</f>
        <v/>
      </c>
      <c r="K128" s="16">
        <f>'Pod Library'!J144</f>
        <v/>
      </c>
      <c r="L128" s="21">
        <f>'Pod Plan'!G21</f>
        <v/>
      </c>
      <c r="M128" s="44">
        <f>K128*L128</f>
        <v/>
      </c>
      <c r="N128" s="54">
        <f>M128*INDEX('Logic Tree'!$J$85:$N$87,MATCH(I128,'Logic Tree'!$I$85:$I$87,0),MATCH(H128,'Logic Tree'!$J$84:$N$84,0))</f>
        <v/>
      </c>
    </row>
    <row r="129" ht="15" customHeight="1">
      <c r="B129" s="27" t="n">
        <v>5</v>
      </c>
      <c r="C129" s="18" t="inlineStr">
        <is>
          <t>POD</t>
        </is>
      </c>
      <c r="D129" s="43" t="inlineStr">
        <is>
          <t>VS1</t>
        </is>
      </c>
      <c r="E129" s="43" t="inlineStr">
        <is>
          <t>POD</t>
        </is>
      </c>
      <c r="F129" s="57">
        <f>'Pod Library'!E145</f>
        <v/>
      </c>
      <c r="G129" s="51">
        <f>'Pod Library'!F145</f>
        <v/>
      </c>
      <c r="H129" s="51">
        <f>'Pod Library'!G145</f>
        <v/>
      </c>
      <c r="I129" s="51">
        <f>'Pod Library'!H145</f>
        <v/>
      </c>
      <c r="J129" s="51">
        <f>'Pod Library'!I145</f>
        <v/>
      </c>
      <c r="K129" s="16">
        <f>'Pod Library'!J145</f>
        <v/>
      </c>
      <c r="L129" s="21">
        <f>'Pod Plan'!G21</f>
        <v/>
      </c>
      <c r="M129" s="44">
        <f>K129*L129</f>
        <v/>
      </c>
      <c r="N129" s="54">
        <f>M129*INDEX('Logic Tree'!$J$85:$N$87,MATCH(I129,'Logic Tree'!$I$85:$I$87,0),MATCH(H129,'Logic Tree'!$J$84:$N$84,0))</f>
        <v/>
      </c>
    </row>
    <row r="130" ht="15" customHeight="1">
      <c r="B130" s="27" t="n">
        <v>5</v>
      </c>
      <c r="C130" s="18" t="inlineStr">
        <is>
          <t>POD</t>
        </is>
      </c>
      <c r="D130" s="43" t="inlineStr">
        <is>
          <t>VS1</t>
        </is>
      </c>
      <c r="E130" s="43" t="inlineStr">
        <is>
          <t>POD</t>
        </is>
      </c>
      <c r="F130" s="57">
        <f>'Pod Library'!E146</f>
        <v/>
      </c>
      <c r="G130" s="51">
        <f>'Pod Library'!F146</f>
        <v/>
      </c>
      <c r="H130" s="51">
        <f>'Pod Library'!G146</f>
        <v/>
      </c>
      <c r="I130" s="51">
        <f>'Pod Library'!H146</f>
        <v/>
      </c>
      <c r="J130" s="51">
        <f>'Pod Library'!I146</f>
        <v/>
      </c>
      <c r="K130" s="16">
        <f>'Pod Library'!J146</f>
        <v/>
      </c>
      <c r="L130" s="21">
        <f>'Pod Plan'!G21</f>
        <v/>
      </c>
      <c r="M130" s="44">
        <f>K130*L130</f>
        <v/>
      </c>
      <c r="N130" s="54">
        <f>M130*INDEX('Logic Tree'!$J$85:$N$87,MATCH(I130,'Logic Tree'!$I$85:$I$87,0),MATCH(H130,'Logic Tree'!$J$84:$N$84,0))</f>
        <v/>
      </c>
    </row>
    <row r="131" ht="15" customHeight="1">
      <c r="B131" s="27" t="n">
        <v>5</v>
      </c>
      <c r="C131" s="18" t="inlineStr">
        <is>
          <t>POD</t>
        </is>
      </c>
      <c r="D131" s="43" t="inlineStr">
        <is>
          <t>VS1</t>
        </is>
      </c>
      <c r="E131" s="43" t="inlineStr">
        <is>
          <t>POD</t>
        </is>
      </c>
      <c r="F131" s="57">
        <f>'Pod Library'!E147</f>
        <v/>
      </c>
      <c r="G131" s="51">
        <f>'Pod Library'!F147</f>
        <v/>
      </c>
      <c r="H131" s="51">
        <f>'Pod Library'!G147</f>
        <v/>
      </c>
      <c r="I131" s="51">
        <f>'Pod Library'!H147</f>
        <v/>
      </c>
      <c r="J131" s="51">
        <f>'Pod Library'!I147</f>
        <v/>
      </c>
      <c r="K131" s="16">
        <f>'Pod Library'!J147</f>
        <v/>
      </c>
      <c r="L131" s="21">
        <f>'Pod Plan'!G21</f>
        <v/>
      </c>
      <c r="M131" s="44">
        <f>K131*L131</f>
        <v/>
      </c>
      <c r="N131" s="54">
        <f>M131*INDEX('Logic Tree'!$J$85:$N$87,MATCH(I131,'Logic Tree'!$I$85:$I$87,0),MATCH(H131,'Logic Tree'!$J$84:$N$84,0))</f>
        <v/>
      </c>
    </row>
    <row r="132" ht="15" customHeight="1">
      <c r="B132" s="27" t="n">
        <v>5</v>
      </c>
      <c r="C132" s="18" t="inlineStr">
        <is>
          <t>POD</t>
        </is>
      </c>
      <c r="D132" s="43" t="inlineStr">
        <is>
          <t>VS1</t>
        </is>
      </c>
      <c r="E132" s="43" t="inlineStr">
        <is>
          <t>POD</t>
        </is>
      </c>
      <c r="F132" s="57">
        <f>'Pod Library'!E148</f>
        <v/>
      </c>
      <c r="G132" s="51">
        <f>'Pod Library'!F148</f>
        <v/>
      </c>
      <c r="H132" s="51">
        <f>'Pod Library'!G148</f>
        <v/>
      </c>
      <c r="I132" s="51">
        <f>'Pod Library'!H148</f>
        <v/>
      </c>
      <c r="J132" s="51">
        <f>'Pod Library'!I148</f>
        <v/>
      </c>
      <c r="K132" s="16">
        <f>'Pod Library'!J148</f>
        <v/>
      </c>
      <c r="L132" s="21">
        <f>'Pod Plan'!G21</f>
        <v/>
      </c>
      <c r="M132" s="44">
        <f>K132*L132</f>
        <v/>
      </c>
      <c r="N132" s="54">
        <f>M132*INDEX('Logic Tree'!$J$85:$N$87,MATCH(I132,'Logic Tree'!$I$85:$I$87,0),MATCH(H132,'Logic Tree'!$J$84:$N$84,0))</f>
        <v/>
      </c>
    </row>
    <row r="133" ht="15" customHeight="1">
      <c r="B133" s="27" t="n">
        <v>5</v>
      </c>
      <c r="C133" s="18" t="inlineStr">
        <is>
          <t>POD</t>
        </is>
      </c>
      <c r="D133" s="43" t="inlineStr">
        <is>
          <t>VS1</t>
        </is>
      </c>
      <c r="E133" s="43" t="inlineStr">
        <is>
          <t>POD</t>
        </is>
      </c>
      <c r="F133" s="57">
        <f>'Pod Library'!E149</f>
        <v/>
      </c>
      <c r="G133" s="51">
        <f>'Pod Library'!F149</f>
        <v/>
      </c>
      <c r="H133" s="51">
        <f>'Pod Library'!G149</f>
        <v/>
      </c>
      <c r="I133" s="51">
        <f>'Pod Library'!H149</f>
        <v/>
      </c>
      <c r="J133" s="51">
        <f>'Pod Library'!I149</f>
        <v/>
      </c>
      <c r="K133" s="16">
        <f>'Pod Library'!J149</f>
        <v/>
      </c>
      <c r="L133" s="21">
        <f>'Pod Plan'!G21</f>
        <v/>
      </c>
      <c r="M133" s="44">
        <f>K133*L133</f>
        <v/>
      </c>
      <c r="N133" s="54">
        <f>M133*INDEX('Logic Tree'!$J$85:$N$87,MATCH(I133,'Logic Tree'!$I$85:$I$87,0),MATCH(H133,'Logic Tree'!$J$84:$N$84,0))</f>
        <v/>
      </c>
    </row>
    <row r="134" ht="15" customHeight="1">
      <c r="B134" s="27" t="n">
        <v>5</v>
      </c>
      <c r="C134" s="18" t="inlineStr">
        <is>
          <t>POD</t>
        </is>
      </c>
      <c r="D134" s="43" t="inlineStr">
        <is>
          <t>VS2</t>
        </is>
      </c>
      <c r="E134" s="43" t="inlineStr">
        <is>
          <t>POD</t>
        </is>
      </c>
      <c r="F134" s="57">
        <f>'Pod Library'!E152</f>
        <v/>
      </c>
      <c r="G134" s="51">
        <f>'Pod Library'!F152</f>
        <v/>
      </c>
      <c r="H134" s="51">
        <f>'Pod Library'!G152</f>
        <v/>
      </c>
      <c r="I134" s="51">
        <f>'Pod Library'!H152</f>
        <v/>
      </c>
      <c r="J134" s="51">
        <f>'Pod Library'!I152</f>
        <v/>
      </c>
      <c r="K134" s="16">
        <f>'Pod Library'!J152</f>
        <v/>
      </c>
      <c r="L134" s="21">
        <f>'Pod Plan'!G22</f>
        <v/>
      </c>
      <c r="M134" s="44">
        <f>K134*L134</f>
        <v/>
      </c>
      <c r="N134" s="54">
        <f>M134*INDEX('Logic Tree'!$J$85:$N$87,MATCH(I134,'Logic Tree'!$I$85:$I$87,0),MATCH(H134,'Logic Tree'!$J$84:$N$84,0))</f>
        <v/>
      </c>
    </row>
    <row r="135" ht="15" customHeight="1">
      <c r="B135" s="27" t="n">
        <v>5</v>
      </c>
      <c r="C135" s="18" t="inlineStr">
        <is>
          <t>POD</t>
        </is>
      </c>
      <c r="D135" s="43" t="inlineStr">
        <is>
          <t>VS2</t>
        </is>
      </c>
      <c r="E135" s="43" t="inlineStr">
        <is>
          <t>POD</t>
        </is>
      </c>
      <c r="F135" s="57">
        <f>'Pod Library'!E153</f>
        <v/>
      </c>
      <c r="G135" s="51">
        <f>'Pod Library'!F153</f>
        <v/>
      </c>
      <c r="H135" s="51">
        <f>'Pod Library'!G153</f>
        <v/>
      </c>
      <c r="I135" s="51">
        <f>'Pod Library'!H153</f>
        <v/>
      </c>
      <c r="J135" s="51">
        <f>'Pod Library'!I153</f>
        <v/>
      </c>
      <c r="K135" s="16">
        <f>'Pod Library'!J153</f>
        <v/>
      </c>
      <c r="L135" s="21">
        <f>'Pod Plan'!G22</f>
        <v/>
      </c>
      <c r="M135" s="44">
        <f>K135*L135</f>
        <v/>
      </c>
      <c r="N135" s="54">
        <f>M135*INDEX('Logic Tree'!$J$85:$N$87,MATCH(I135,'Logic Tree'!$I$85:$I$87,0),MATCH(H135,'Logic Tree'!$J$84:$N$84,0))</f>
        <v/>
      </c>
    </row>
    <row r="136" ht="15" customHeight="1">
      <c r="B136" s="27" t="n">
        <v>5</v>
      </c>
      <c r="C136" s="18" t="inlineStr">
        <is>
          <t>POD</t>
        </is>
      </c>
      <c r="D136" s="43" t="inlineStr">
        <is>
          <t>VS2</t>
        </is>
      </c>
      <c r="E136" s="43" t="inlineStr">
        <is>
          <t>POD</t>
        </is>
      </c>
      <c r="F136" s="57">
        <f>'Pod Library'!E154</f>
        <v/>
      </c>
      <c r="G136" s="51">
        <f>'Pod Library'!F154</f>
        <v/>
      </c>
      <c r="H136" s="51">
        <f>'Pod Library'!G154</f>
        <v/>
      </c>
      <c r="I136" s="51">
        <f>'Pod Library'!H154</f>
        <v/>
      </c>
      <c r="J136" s="51">
        <f>'Pod Library'!I154</f>
        <v/>
      </c>
      <c r="K136" s="16">
        <f>'Pod Library'!J154</f>
        <v/>
      </c>
      <c r="L136" s="21">
        <f>'Pod Plan'!G22</f>
        <v/>
      </c>
      <c r="M136" s="44">
        <f>K136*L136</f>
        <v/>
      </c>
      <c r="N136" s="54">
        <f>M136*INDEX('Logic Tree'!$J$85:$N$87,MATCH(I136,'Logic Tree'!$I$85:$I$87,0),MATCH(H136,'Logic Tree'!$J$84:$N$84,0))</f>
        <v/>
      </c>
    </row>
    <row r="137" ht="15" customHeight="1">
      <c r="B137" s="27" t="n">
        <v>5</v>
      </c>
      <c r="C137" s="18" t="inlineStr">
        <is>
          <t>POD</t>
        </is>
      </c>
      <c r="D137" s="43" t="inlineStr">
        <is>
          <t>VS2</t>
        </is>
      </c>
      <c r="E137" s="43" t="inlineStr">
        <is>
          <t>POD</t>
        </is>
      </c>
      <c r="F137" s="57">
        <f>'Pod Library'!E155</f>
        <v/>
      </c>
      <c r="G137" s="51">
        <f>'Pod Library'!F155</f>
        <v/>
      </c>
      <c r="H137" s="51">
        <f>'Pod Library'!G155</f>
        <v/>
      </c>
      <c r="I137" s="51">
        <f>'Pod Library'!H155</f>
        <v/>
      </c>
      <c r="J137" s="51">
        <f>'Pod Library'!I155</f>
        <v/>
      </c>
      <c r="K137" s="16">
        <f>'Pod Library'!J155</f>
        <v/>
      </c>
      <c r="L137" s="21">
        <f>'Pod Plan'!G22</f>
        <v/>
      </c>
      <c r="M137" s="44">
        <f>K137*L137</f>
        <v/>
      </c>
      <c r="N137" s="54">
        <f>M137*INDEX('Logic Tree'!$J$85:$N$87,MATCH(I137,'Logic Tree'!$I$85:$I$87,0),MATCH(H137,'Logic Tree'!$J$84:$N$84,0))</f>
        <v/>
      </c>
    </row>
    <row r="138" ht="15" customHeight="1">
      <c r="B138" s="27" t="n">
        <v>5</v>
      </c>
      <c r="C138" s="18" t="inlineStr">
        <is>
          <t>POD</t>
        </is>
      </c>
      <c r="D138" s="43" t="inlineStr">
        <is>
          <t>VS2</t>
        </is>
      </c>
      <c r="E138" s="43" t="inlineStr">
        <is>
          <t>POD</t>
        </is>
      </c>
      <c r="F138" s="57">
        <f>'Pod Library'!E156</f>
        <v/>
      </c>
      <c r="G138" s="51">
        <f>'Pod Library'!F156</f>
        <v/>
      </c>
      <c r="H138" s="51">
        <f>'Pod Library'!G156</f>
        <v/>
      </c>
      <c r="I138" s="51">
        <f>'Pod Library'!H156</f>
        <v/>
      </c>
      <c r="J138" s="51">
        <f>'Pod Library'!I156</f>
        <v/>
      </c>
      <c r="K138" s="16">
        <f>'Pod Library'!J156</f>
        <v/>
      </c>
      <c r="L138" s="21">
        <f>'Pod Plan'!G22</f>
        <v/>
      </c>
      <c r="M138" s="44">
        <f>K138*L138</f>
        <v/>
      </c>
      <c r="N138" s="54">
        <f>M138*INDEX('Logic Tree'!$J$85:$N$87,MATCH(I138,'Logic Tree'!$I$85:$I$87,0),MATCH(H138,'Logic Tree'!$J$84:$N$84,0))</f>
        <v/>
      </c>
    </row>
    <row r="139" ht="15" customHeight="1">
      <c r="B139" s="27" t="n">
        <v>5</v>
      </c>
      <c r="C139" s="18" t="inlineStr">
        <is>
          <t>POD</t>
        </is>
      </c>
      <c r="D139" s="43" t="inlineStr">
        <is>
          <t>VS2</t>
        </is>
      </c>
      <c r="E139" s="43" t="inlineStr">
        <is>
          <t>POD</t>
        </is>
      </c>
      <c r="F139" s="57">
        <f>'Pod Library'!E157</f>
        <v/>
      </c>
      <c r="G139" s="51">
        <f>'Pod Library'!F157</f>
        <v/>
      </c>
      <c r="H139" s="51">
        <f>'Pod Library'!G157</f>
        <v/>
      </c>
      <c r="I139" s="51">
        <f>'Pod Library'!H157</f>
        <v/>
      </c>
      <c r="J139" s="51">
        <f>'Pod Library'!I157</f>
        <v/>
      </c>
      <c r="K139" s="16">
        <f>'Pod Library'!J157</f>
        <v/>
      </c>
      <c r="L139" s="21">
        <f>'Pod Plan'!G22</f>
        <v/>
      </c>
      <c r="M139" s="44">
        <f>K139*L139</f>
        <v/>
      </c>
      <c r="N139" s="54">
        <f>M139*INDEX('Logic Tree'!$J$85:$N$87,MATCH(I139,'Logic Tree'!$I$85:$I$87,0),MATCH(H139,'Logic Tree'!$J$84:$N$84,0))</f>
        <v/>
      </c>
    </row>
    <row r="140" ht="15" customHeight="1">
      <c r="B140" s="27" t="n">
        <v>5</v>
      </c>
      <c r="C140" s="18" t="inlineStr">
        <is>
          <t>POD</t>
        </is>
      </c>
      <c r="D140" s="43" t="inlineStr">
        <is>
          <t>VS2</t>
        </is>
      </c>
      <c r="E140" s="43" t="inlineStr">
        <is>
          <t>POD</t>
        </is>
      </c>
      <c r="F140" s="57">
        <f>'Pod Library'!E158</f>
        <v/>
      </c>
      <c r="G140" s="51">
        <f>'Pod Library'!F158</f>
        <v/>
      </c>
      <c r="H140" s="51">
        <f>'Pod Library'!G158</f>
        <v/>
      </c>
      <c r="I140" s="51">
        <f>'Pod Library'!H158</f>
        <v/>
      </c>
      <c r="J140" s="51">
        <f>'Pod Library'!I158</f>
        <v/>
      </c>
      <c r="K140" s="16">
        <f>'Pod Library'!J158</f>
        <v/>
      </c>
      <c r="L140" s="21">
        <f>'Pod Plan'!G22</f>
        <v/>
      </c>
      <c r="M140" s="44">
        <f>K140*L140</f>
        <v/>
      </c>
      <c r="N140" s="54">
        <f>M140*INDEX('Logic Tree'!$J$85:$N$87,MATCH(I140,'Logic Tree'!$I$85:$I$87,0),MATCH(H140,'Logic Tree'!$J$84:$N$84,0))</f>
        <v/>
      </c>
    </row>
    <row r="141" ht="15" customHeight="1">
      <c r="B141" s="27" t="n">
        <v>5</v>
      </c>
      <c r="C141" s="18" t="inlineStr">
        <is>
          <t>POD</t>
        </is>
      </c>
      <c r="D141" s="43" t="inlineStr">
        <is>
          <t>VS2</t>
        </is>
      </c>
      <c r="E141" s="43" t="inlineStr">
        <is>
          <t>POD</t>
        </is>
      </c>
      <c r="F141" s="57">
        <f>'Pod Library'!E159</f>
        <v/>
      </c>
      <c r="G141" s="51">
        <f>'Pod Library'!F159</f>
        <v/>
      </c>
      <c r="H141" s="51">
        <f>'Pod Library'!G159</f>
        <v/>
      </c>
      <c r="I141" s="51">
        <f>'Pod Library'!H159</f>
        <v/>
      </c>
      <c r="J141" s="51">
        <f>'Pod Library'!I159</f>
        <v/>
      </c>
      <c r="K141" s="16">
        <f>'Pod Library'!J159</f>
        <v/>
      </c>
      <c r="L141" s="21">
        <f>'Pod Plan'!G22</f>
        <v/>
      </c>
      <c r="M141" s="44">
        <f>K141*L141</f>
        <v/>
      </c>
      <c r="N141" s="54">
        <f>M141*INDEX('Logic Tree'!$J$85:$N$87,MATCH(I141,'Logic Tree'!$I$85:$I$87,0),MATCH(H141,'Logic Tree'!$J$84:$N$84,0))</f>
        <v/>
      </c>
    </row>
    <row r="142" ht="15" customHeight="1">
      <c r="B142" s="27" t="n">
        <v>5</v>
      </c>
      <c r="C142" s="18" t="inlineStr">
        <is>
          <t>POD</t>
        </is>
      </c>
      <c r="D142" s="43" t="inlineStr">
        <is>
          <t>VS2</t>
        </is>
      </c>
      <c r="E142" s="43" t="inlineStr">
        <is>
          <t>POD</t>
        </is>
      </c>
      <c r="F142" s="57">
        <f>'Pod Library'!E160</f>
        <v/>
      </c>
      <c r="G142" s="51">
        <f>'Pod Library'!F160</f>
        <v/>
      </c>
      <c r="H142" s="51">
        <f>'Pod Library'!G160</f>
        <v/>
      </c>
      <c r="I142" s="51">
        <f>'Pod Library'!H160</f>
        <v/>
      </c>
      <c r="J142" s="51">
        <f>'Pod Library'!I160</f>
        <v/>
      </c>
      <c r="K142" s="16">
        <f>'Pod Library'!J160</f>
        <v/>
      </c>
      <c r="L142" s="21">
        <f>'Pod Plan'!G22</f>
        <v/>
      </c>
      <c r="M142" s="44">
        <f>K142*L142</f>
        <v/>
      </c>
      <c r="N142" s="54">
        <f>M142*INDEX('Logic Tree'!$J$85:$N$87,MATCH(I142,'Logic Tree'!$I$85:$I$87,0),MATCH(H142,'Logic Tree'!$J$84:$N$84,0))</f>
        <v/>
      </c>
    </row>
    <row r="143" ht="15" customHeight="1">
      <c r="B143" s="27">
        <f>'Horizontal Teams'!B5</f>
        <v/>
      </c>
      <c r="C143" s="18" t="inlineStr">
        <is>
          <t>HZ</t>
        </is>
      </c>
      <c r="D143" s="51">
        <f>'Horizontal Teams'!C5</f>
        <v/>
      </c>
      <c r="E143" s="43" t="inlineStr">
        <is>
          <t>HZ</t>
        </is>
      </c>
      <c r="F143" s="57">
        <f>'Horizontal Teams'!E5</f>
        <v/>
      </c>
      <c r="G143" s="51">
        <f>'Horizontal Teams'!D5</f>
        <v/>
      </c>
      <c r="H143" s="51">
        <f>'Horizontal Teams'!F5</f>
        <v/>
      </c>
      <c r="I143" s="51">
        <f>'Horizontal Teams'!G5</f>
        <v/>
      </c>
      <c r="J143" s="51">
        <f>'Horizontal Teams'!H5</f>
        <v/>
      </c>
      <c r="K143" s="16">
        <f>'Horizontal Teams'!I5</f>
        <v/>
      </c>
      <c r="L143" s="27" t="n">
        <v>1</v>
      </c>
      <c r="M143" s="44">
        <f>K143*L143</f>
        <v/>
      </c>
      <c r="N143" s="54">
        <f>M143*INDEX('Logic Tree'!$J$85:$N$87,MATCH(I143,'Logic Tree'!$I$85:$I$87,0),MATCH(H143,'Logic Tree'!$J$84:$N$84,0))</f>
        <v/>
      </c>
    </row>
    <row r="144" ht="15" customHeight="1">
      <c r="B144" s="27">
        <f>'Horizontal Teams'!B6</f>
        <v/>
      </c>
      <c r="C144" s="18" t="inlineStr">
        <is>
          <t>HZ</t>
        </is>
      </c>
      <c r="D144" s="51">
        <f>'Horizontal Teams'!C6</f>
        <v/>
      </c>
      <c r="E144" s="43" t="inlineStr">
        <is>
          <t>HZ</t>
        </is>
      </c>
      <c r="F144" s="57">
        <f>'Horizontal Teams'!E6</f>
        <v/>
      </c>
      <c r="G144" s="51">
        <f>'Horizontal Teams'!D6</f>
        <v/>
      </c>
      <c r="H144" s="51">
        <f>'Horizontal Teams'!F6</f>
        <v/>
      </c>
      <c r="I144" s="51">
        <f>'Horizontal Teams'!G6</f>
        <v/>
      </c>
      <c r="J144" s="51">
        <f>'Horizontal Teams'!H6</f>
        <v/>
      </c>
      <c r="K144" s="16">
        <f>'Horizontal Teams'!I6</f>
        <v/>
      </c>
      <c r="L144" s="27" t="n">
        <v>1</v>
      </c>
      <c r="M144" s="44">
        <f>K144*L144</f>
        <v/>
      </c>
      <c r="N144" s="54">
        <f>M144*INDEX('Logic Tree'!$J$85:$N$87,MATCH(I144,'Logic Tree'!$I$85:$I$87,0),MATCH(H144,'Logic Tree'!$J$84:$N$84,0))</f>
        <v/>
      </c>
    </row>
    <row r="145" ht="15" customHeight="1">
      <c r="B145" s="27">
        <f>'Horizontal Teams'!B7</f>
        <v/>
      </c>
      <c r="C145" s="18" t="inlineStr">
        <is>
          <t>HZ</t>
        </is>
      </c>
      <c r="D145" s="51">
        <f>'Horizontal Teams'!C7</f>
        <v/>
      </c>
      <c r="E145" s="43" t="inlineStr">
        <is>
          <t>HZ</t>
        </is>
      </c>
      <c r="F145" s="57">
        <f>'Horizontal Teams'!E7</f>
        <v/>
      </c>
      <c r="G145" s="51">
        <f>'Horizontal Teams'!D7</f>
        <v/>
      </c>
      <c r="H145" s="51">
        <f>'Horizontal Teams'!F7</f>
        <v/>
      </c>
      <c r="I145" s="51">
        <f>'Horizontal Teams'!G7</f>
        <v/>
      </c>
      <c r="J145" s="51">
        <f>'Horizontal Teams'!H7</f>
        <v/>
      </c>
      <c r="K145" s="16">
        <f>'Horizontal Teams'!I7</f>
        <v/>
      </c>
      <c r="L145" s="27" t="n">
        <v>1</v>
      </c>
      <c r="M145" s="44">
        <f>K145*L145</f>
        <v/>
      </c>
      <c r="N145" s="54">
        <f>M145*INDEX('Logic Tree'!$J$85:$N$87,MATCH(I145,'Logic Tree'!$I$85:$I$87,0),MATCH(H145,'Logic Tree'!$J$84:$N$84,0))</f>
        <v/>
      </c>
    </row>
    <row r="146" ht="15" customHeight="1">
      <c r="B146" s="27">
        <f>'Horizontal Teams'!B8</f>
        <v/>
      </c>
      <c r="C146" s="18" t="inlineStr">
        <is>
          <t>HZ</t>
        </is>
      </c>
      <c r="D146" s="51">
        <f>'Horizontal Teams'!C8</f>
        <v/>
      </c>
      <c r="E146" s="43" t="inlineStr">
        <is>
          <t>HZ</t>
        </is>
      </c>
      <c r="F146" s="57">
        <f>'Horizontal Teams'!E8</f>
        <v/>
      </c>
      <c r="G146" s="51">
        <f>'Horizontal Teams'!D8</f>
        <v/>
      </c>
      <c r="H146" s="51">
        <f>'Horizontal Teams'!F8</f>
        <v/>
      </c>
      <c r="I146" s="51">
        <f>'Horizontal Teams'!G8</f>
        <v/>
      </c>
      <c r="J146" s="51">
        <f>'Horizontal Teams'!H8</f>
        <v/>
      </c>
      <c r="K146" s="16">
        <f>'Horizontal Teams'!I8</f>
        <v/>
      </c>
      <c r="L146" s="27" t="n">
        <v>1</v>
      </c>
      <c r="M146" s="44">
        <f>K146*L146</f>
        <v/>
      </c>
      <c r="N146" s="54">
        <f>M146*INDEX('Logic Tree'!$J$85:$N$87,MATCH(I146,'Logic Tree'!$I$85:$I$87,0),MATCH(H146,'Logic Tree'!$J$84:$N$84,0))</f>
        <v/>
      </c>
    </row>
    <row r="147" ht="15" customHeight="1">
      <c r="B147" s="27">
        <f>'Horizontal Teams'!B9</f>
        <v/>
      </c>
      <c r="C147" s="18" t="inlineStr">
        <is>
          <t>HZ</t>
        </is>
      </c>
      <c r="D147" s="51">
        <f>'Horizontal Teams'!C9</f>
        <v/>
      </c>
      <c r="E147" s="43" t="inlineStr">
        <is>
          <t>HZ</t>
        </is>
      </c>
      <c r="F147" s="57">
        <f>'Horizontal Teams'!E9</f>
        <v/>
      </c>
      <c r="G147" s="51">
        <f>'Horizontal Teams'!D9</f>
        <v/>
      </c>
      <c r="H147" s="51">
        <f>'Horizontal Teams'!F9</f>
        <v/>
      </c>
      <c r="I147" s="51">
        <f>'Horizontal Teams'!G9</f>
        <v/>
      </c>
      <c r="J147" s="51">
        <f>'Horizontal Teams'!H9</f>
        <v/>
      </c>
      <c r="K147" s="16">
        <f>'Horizontal Teams'!I9</f>
        <v/>
      </c>
      <c r="L147" s="27" t="n">
        <v>1</v>
      </c>
      <c r="M147" s="44">
        <f>K147*L147</f>
        <v/>
      </c>
      <c r="N147" s="54">
        <f>M147*INDEX('Logic Tree'!$J$85:$N$87,MATCH(I147,'Logic Tree'!$I$85:$I$87,0),MATCH(H147,'Logic Tree'!$J$84:$N$84,0))</f>
        <v/>
      </c>
    </row>
    <row r="148" ht="15" customHeight="1">
      <c r="B148" s="27">
        <f>'Horizontal Teams'!B10</f>
        <v/>
      </c>
      <c r="C148" s="18" t="inlineStr">
        <is>
          <t>HZ</t>
        </is>
      </c>
      <c r="D148" s="51">
        <f>'Horizontal Teams'!C10</f>
        <v/>
      </c>
      <c r="E148" s="43" t="inlineStr">
        <is>
          <t>HZ</t>
        </is>
      </c>
      <c r="F148" s="57">
        <f>'Horizontal Teams'!E10</f>
        <v/>
      </c>
      <c r="G148" s="51">
        <f>'Horizontal Teams'!D10</f>
        <v/>
      </c>
      <c r="H148" s="51">
        <f>'Horizontal Teams'!F10</f>
        <v/>
      </c>
      <c r="I148" s="51">
        <f>'Horizontal Teams'!G10</f>
        <v/>
      </c>
      <c r="J148" s="51">
        <f>'Horizontal Teams'!H10</f>
        <v/>
      </c>
      <c r="K148" s="16">
        <f>'Horizontal Teams'!I10</f>
        <v/>
      </c>
      <c r="L148" s="27" t="n">
        <v>1</v>
      </c>
      <c r="M148" s="44">
        <f>K148*L148</f>
        <v/>
      </c>
      <c r="N148" s="54">
        <f>M148*INDEX('Logic Tree'!$J$85:$N$87,MATCH(I148,'Logic Tree'!$I$85:$I$87,0),MATCH(H148,'Logic Tree'!$J$84:$N$84,0))</f>
        <v/>
      </c>
    </row>
    <row r="149" ht="15" customHeight="1">
      <c r="B149" s="27">
        <f>'Horizontal Teams'!B11</f>
        <v/>
      </c>
      <c r="C149" s="18" t="inlineStr">
        <is>
          <t>HZ</t>
        </is>
      </c>
      <c r="D149" s="51">
        <f>'Horizontal Teams'!C11</f>
        <v/>
      </c>
      <c r="E149" s="43" t="inlineStr">
        <is>
          <t>HZ</t>
        </is>
      </c>
      <c r="F149" s="57">
        <f>'Horizontal Teams'!E11</f>
        <v/>
      </c>
      <c r="G149" s="51">
        <f>'Horizontal Teams'!D11</f>
        <v/>
      </c>
      <c r="H149" s="51">
        <f>'Horizontal Teams'!F11</f>
        <v/>
      </c>
      <c r="I149" s="51">
        <f>'Horizontal Teams'!G11</f>
        <v/>
      </c>
      <c r="J149" s="51">
        <f>'Horizontal Teams'!H11</f>
        <v/>
      </c>
      <c r="K149" s="16">
        <f>'Horizontal Teams'!I11</f>
        <v/>
      </c>
      <c r="L149" s="27" t="n">
        <v>1</v>
      </c>
      <c r="M149" s="44">
        <f>K149*L149</f>
        <v/>
      </c>
      <c r="N149" s="54">
        <f>M149*INDEX('Logic Tree'!$J$85:$N$87,MATCH(I149,'Logic Tree'!$I$85:$I$87,0),MATCH(H149,'Logic Tree'!$J$84:$N$84,0))</f>
        <v/>
      </c>
    </row>
    <row r="150" ht="15" customHeight="1">
      <c r="B150" s="27">
        <f>'Horizontal Teams'!B12</f>
        <v/>
      </c>
      <c r="C150" s="18" t="inlineStr">
        <is>
          <t>HZ</t>
        </is>
      </c>
      <c r="D150" s="51">
        <f>'Horizontal Teams'!C12</f>
        <v/>
      </c>
      <c r="E150" s="43" t="inlineStr">
        <is>
          <t>HZ</t>
        </is>
      </c>
      <c r="F150" s="57">
        <f>'Horizontal Teams'!E12</f>
        <v/>
      </c>
      <c r="G150" s="51">
        <f>'Horizontal Teams'!D12</f>
        <v/>
      </c>
      <c r="H150" s="51">
        <f>'Horizontal Teams'!F12</f>
        <v/>
      </c>
      <c r="I150" s="51">
        <f>'Horizontal Teams'!G12</f>
        <v/>
      </c>
      <c r="J150" s="51">
        <f>'Horizontal Teams'!H12</f>
        <v/>
      </c>
      <c r="K150" s="16">
        <f>'Horizontal Teams'!I12</f>
        <v/>
      </c>
      <c r="L150" s="27" t="n">
        <v>1</v>
      </c>
      <c r="M150" s="44">
        <f>K150*L150</f>
        <v/>
      </c>
      <c r="N150" s="54">
        <f>M150*INDEX('Logic Tree'!$J$85:$N$87,MATCH(I150,'Logic Tree'!$I$85:$I$87,0),MATCH(H150,'Logic Tree'!$J$84:$N$84,0))</f>
        <v/>
      </c>
    </row>
    <row r="151" ht="15" customHeight="1">
      <c r="B151" s="27">
        <f>'Horizontal Teams'!B13</f>
        <v/>
      </c>
      <c r="C151" s="18" t="inlineStr">
        <is>
          <t>HZ</t>
        </is>
      </c>
      <c r="D151" s="51">
        <f>'Horizontal Teams'!C13</f>
        <v/>
      </c>
      <c r="E151" s="43" t="inlineStr">
        <is>
          <t>HZ</t>
        </is>
      </c>
      <c r="F151" s="57">
        <f>'Horizontal Teams'!E13</f>
        <v/>
      </c>
      <c r="G151" s="51">
        <f>'Horizontal Teams'!D13</f>
        <v/>
      </c>
      <c r="H151" s="51">
        <f>'Horizontal Teams'!F13</f>
        <v/>
      </c>
      <c r="I151" s="51">
        <f>'Horizontal Teams'!G13</f>
        <v/>
      </c>
      <c r="J151" s="51">
        <f>'Horizontal Teams'!H13</f>
        <v/>
      </c>
      <c r="K151" s="16">
        <f>'Horizontal Teams'!I13</f>
        <v/>
      </c>
      <c r="L151" s="27" t="n">
        <v>1</v>
      </c>
      <c r="M151" s="44">
        <f>K151*L151</f>
        <v/>
      </c>
      <c r="N151" s="54">
        <f>M151*INDEX('Logic Tree'!$J$85:$N$87,MATCH(I151,'Logic Tree'!$I$85:$I$87,0),MATCH(H151,'Logic Tree'!$J$84:$N$84,0))</f>
        <v/>
      </c>
    </row>
    <row r="152" ht="15" customHeight="1">
      <c r="B152" s="27">
        <f>'Horizontal Teams'!B14</f>
        <v/>
      </c>
      <c r="C152" s="18" t="inlineStr">
        <is>
          <t>HZ</t>
        </is>
      </c>
      <c r="D152" s="51">
        <f>'Horizontal Teams'!C14</f>
        <v/>
      </c>
      <c r="E152" s="43" t="inlineStr">
        <is>
          <t>HZ</t>
        </is>
      </c>
      <c r="F152" s="57">
        <f>'Horizontal Teams'!E14</f>
        <v/>
      </c>
      <c r="G152" s="51">
        <f>'Horizontal Teams'!D14</f>
        <v/>
      </c>
      <c r="H152" s="51">
        <f>'Horizontal Teams'!F14</f>
        <v/>
      </c>
      <c r="I152" s="51">
        <f>'Horizontal Teams'!G14</f>
        <v/>
      </c>
      <c r="J152" s="51">
        <f>'Horizontal Teams'!H14</f>
        <v/>
      </c>
      <c r="K152" s="16">
        <f>'Horizontal Teams'!I14</f>
        <v/>
      </c>
      <c r="L152" s="27" t="n">
        <v>1</v>
      </c>
      <c r="M152" s="44">
        <f>K152*L152</f>
        <v/>
      </c>
      <c r="N152" s="54">
        <f>M152*INDEX('Logic Tree'!$J$85:$N$87,MATCH(I152,'Logic Tree'!$I$85:$I$87,0),MATCH(H152,'Logic Tree'!$J$84:$N$84,0))</f>
        <v/>
      </c>
    </row>
    <row r="153" ht="15" customHeight="1">
      <c r="B153" s="27">
        <f>'Horizontal Teams'!B15</f>
        <v/>
      </c>
      <c r="C153" s="18" t="inlineStr">
        <is>
          <t>HZ</t>
        </is>
      </c>
      <c r="D153" s="51">
        <f>'Horizontal Teams'!C15</f>
        <v/>
      </c>
      <c r="E153" s="43" t="inlineStr">
        <is>
          <t>HZ</t>
        </is>
      </c>
      <c r="F153" s="57">
        <f>'Horizontal Teams'!E15</f>
        <v/>
      </c>
      <c r="G153" s="51">
        <f>'Horizontal Teams'!D15</f>
        <v/>
      </c>
      <c r="H153" s="51">
        <f>'Horizontal Teams'!F15</f>
        <v/>
      </c>
      <c r="I153" s="51">
        <f>'Horizontal Teams'!G15</f>
        <v/>
      </c>
      <c r="J153" s="51">
        <f>'Horizontal Teams'!H15</f>
        <v/>
      </c>
      <c r="K153" s="16">
        <f>'Horizontal Teams'!I15</f>
        <v/>
      </c>
      <c r="L153" s="27" t="n">
        <v>1</v>
      </c>
      <c r="M153" s="44">
        <f>K153*L153</f>
        <v/>
      </c>
      <c r="N153" s="54">
        <f>M153*INDEX('Logic Tree'!$J$85:$N$87,MATCH(I153,'Logic Tree'!$I$85:$I$87,0),MATCH(H153,'Logic Tree'!$J$84:$N$84,0))</f>
        <v/>
      </c>
    </row>
    <row r="154" ht="15" customHeight="1">
      <c r="B154" s="27">
        <f>'Horizontal Teams'!B16</f>
        <v/>
      </c>
      <c r="C154" s="18" t="inlineStr">
        <is>
          <t>HZ</t>
        </is>
      </c>
      <c r="D154" s="51">
        <f>'Horizontal Teams'!C16</f>
        <v/>
      </c>
      <c r="E154" s="43" t="inlineStr">
        <is>
          <t>HZ</t>
        </is>
      </c>
      <c r="F154" s="57">
        <f>'Horizontal Teams'!E16</f>
        <v/>
      </c>
      <c r="G154" s="51">
        <f>'Horizontal Teams'!D16</f>
        <v/>
      </c>
      <c r="H154" s="51">
        <f>'Horizontal Teams'!F16</f>
        <v/>
      </c>
      <c r="I154" s="51">
        <f>'Horizontal Teams'!G16</f>
        <v/>
      </c>
      <c r="J154" s="51">
        <f>'Horizontal Teams'!H16</f>
        <v/>
      </c>
      <c r="K154" s="16">
        <f>'Horizontal Teams'!I16</f>
        <v/>
      </c>
      <c r="L154" s="27" t="n">
        <v>1</v>
      </c>
      <c r="M154" s="44">
        <f>K154*L154</f>
        <v/>
      </c>
      <c r="N154" s="54">
        <f>M154*INDEX('Logic Tree'!$J$85:$N$87,MATCH(I154,'Logic Tree'!$I$85:$I$87,0),MATCH(H154,'Logic Tree'!$J$84:$N$84,0))</f>
        <v/>
      </c>
    </row>
    <row r="155" ht="15" customHeight="1">
      <c r="B155" s="27">
        <f>'Horizontal Teams'!B17</f>
        <v/>
      </c>
      <c r="C155" s="18" t="inlineStr">
        <is>
          <t>HZ</t>
        </is>
      </c>
      <c r="D155" s="51">
        <f>'Horizontal Teams'!C17</f>
        <v/>
      </c>
      <c r="E155" s="43" t="inlineStr">
        <is>
          <t>HZ</t>
        </is>
      </c>
      <c r="F155" s="57">
        <f>'Horizontal Teams'!E17</f>
        <v/>
      </c>
      <c r="G155" s="51">
        <f>'Horizontal Teams'!D17</f>
        <v/>
      </c>
      <c r="H155" s="51">
        <f>'Horizontal Teams'!F17</f>
        <v/>
      </c>
      <c r="I155" s="51">
        <f>'Horizontal Teams'!G17</f>
        <v/>
      </c>
      <c r="J155" s="51">
        <f>'Horizontal Teams'!H17</f>
        <v/>
      </c>
      <c r="K155" s="16">
        <f>'Horizontal Teams'!I17</f>
        <v/>
      </c>
      <c r="L155" s="27" t="n">
        <v>1</v>
      </c>
      <c r="M155" s="44">
        <f>K155*L155</f>
        <v/>
      </c>
      <c r="N155" s="54">
        <f>M155*INDEX('Logic Tree'!$J$85:$N$87,MATCH(I155,'Logic Tree'!$I$85:$I$87,0),MATCH(H155,'Logic Tree'!$J$84:$N$84,0))</f>
        <v/>
      </c>
    </row>
    <row r="156" ht="15" customHeight="1">
      <c r="B156" s="27">
        <f>'Horizontal Teams'!B18</f>
        <v/>
      </c>
      <c r="C156" s="18" t="inlineStr">
        <is>
          <t>HZ</t>
        </is>
      </c>
      <c r="D156" s="51">
        <f>'Horizontal Teams'!C18</f>
        <v/>
      </c>
      <c r="E156" s="43" t="inlineStr">
        <is>
          <t>HZ</t>
        </is>
      </c>
      <c r="F156" s="57">
        <f>'Horizontal Teams'!E18</f>
        <v/>
      </c>
      <c r="G156" s="51">
        <f>'Horizontal Teams'!D18</f>
        <v/>
      </c>
      <c r="H156" s="51">
        <f>'Horizontal Teams'!F18</f>
        <v/>
      </c>
      <c r="I156" s="51">
        <f>'Horizontal Teams'!G18</f>
        <v/>
      </c>
      <c r="J156" s="51">
        <f>'Horizontal Teams'!H18</f>
        <v/>
      </c>
      <c r="K156" s="16">
        <f>'Horizontal Teams'!I18</f>
        <v/>
      </c>
      <c r="L156" s="27" t="n">
        <v>1</v>
      </c>
      <c r="M156" s="44">
        <f>K156*L156</f>
        <v/>
      </c>
      <c r="N156" s="54">
        <f>M156*INDEX('Logic Tree'!$J$85:$N$87,MATCH(I156,'Logic Tree'!$I$85:$I$87,0),MATCH(H156,'Logic Tree'!$J$84:$N$84,0))</f>
        <v/>
      </c>
    </row>
    <row r="157" ht="15" customHeight="1">
      <c r="B157" s="27">
        <f>'Horizontal Teams'!B19</f>
        <v/>
      </c>
      <c r="C157" s="18" t="inlineStr">
        <is>
          <t>HZ</t>
        </is>
      </c>
      <c r="D157" s="51">
        <f>'Horizontal Teams'!C19</f>
        <v/>
      </c>
      <c r="E157" s="43" t="inlineStr">
        <is>
          <t>HZ</t>
        </is>
      </c>
      <c r="F157" s="57">
        <f>'Horizontal Teams'!E19</f>
        <v/>
      </c>
      <c r="G157" s="51">
        <f>'Horizontal Teams'!D19</f>
        <v/>
      </c>
      <c r="H157" s="51">
        <f>'Horizontal Teams'!F19</f>
        <v/>
      </c>
      <c r="I157" s="51">
        <f>'Horizontal Teams'!G19</f>
        <v/>
      </c>
      <c r="J157" s="51">
        <f>'Horizontal Teams'!H19</f>
        <v/>
      </c>
      <c r="K157" s="16">
        <f>'Horizontal Teams'!I19</f>
        <v/>
      </c>
      <c r="L157" s="27" t="n">
        <v>1</v>
      </c>
      <c r="M157" s="44">
        <f>K157*L157</f>
        <v/>
      </c>
      <c r="N157" s="54">
        <f>M157*INDEX('Logic Tree'!$J$85:$N$87,MATCH(I157,'Logic Tree'!$I$85:$I$87,0),MATCH(H157,'Logic Tree'!$J$84:$N$84,0))</f>
        <v/>
      </c>
    </row>
    <row r="158" ht="15" customHeight="1">
      <c r="B158" s="27">
        <f>'Horizontal Teams'!B20</f>
        <v/>
      </c>
      <c r="C158" s="18" t="inlineStr">
        <is>
          <t>HZ</t>
        </is>
      </c>
      <c r="D158" s="51">
        <f>'Horizontal Teams'!C20</f>
        <v/>
      </c>
      <c r="E158" s="43" t="inlineStr">
        <is>
          <t>HZ</t>
        </is>
      </c>
      <c r="F158" s="57">
        <f>'Horizontal Teams'!E20</f>
        <v/>
      </c>
      <c r="G158" s="51">
        <f>'Horizontal Teams'!D20</f>
        <v/>
      </c>
      <c r="H158" s="51">
        <f>'Horizontal Teams'!F20</f>
        <v/>
      </c>
      <c r="I158" s="51">
        <f>'Horizontal Teams'!G20</f>
        <v/>
      </c>
      <c r="J158" s="51">
        <f>'Horizontal Teams'!H20</f>
        <v/>
      </c>
      <c r="K158" s="16">
        <f>'Horizontal Teams'!I20</f>
        <v/>
      </c>
      <c r="L158" s="27" t="n">
        <v>1</v>
      </c>
      <c r="M158" s="44">
        <f>K158*L158</f>
        <v/>
      </c>
      <c r="N158" s="54">
        <f>M158*INDEX('Logic Tree'!$J$85:$N$87,MATCH(I158,'Logic Tree'!$I$85:$I$87,0),MATCH(H158,'Logic Tree'!$J$84:$N$84,0))</f>
        <v/>
      </c>
    </row>
    <row r="159" ht="15" customHeight="1">
      <c r="B159" s="27">
        <f>'Horizontal Teams'!B21</f>
        <v/>
      </c>
      <c r="C159" s="18" t="inlineStr">
        <is>
          <t>HZ</t>
        </is>
      </c>
      <c r="D159" s="51">
        <f>'Horizontal Teams'!C21</f>
        <v/>
      </c>
      <c r="E159" s="43" t="inlineStr">
        <is>
          <t>HZ</t>
        </is>
      </c>
      <c r="F159" s="57">
        <f>'Horizontal Teams'!E21</f>
        <v/>
      </c>
      <c r="G159" s="51">
        <f>'Horizontal Teams'!D21</f>
        <v/>
      </c>
      <c r="H159" s="51">
        <f>'Horizontal Teams'!F21</f>
        <v/>
      </c>
      <c r="I159" s="51">
        <f>'Horizontal Teams'!G21</f>
        <v/>
      </c>
      <c r="J159" s="51">
        <f>'Horizontal Teams'!H21</f>
        <v/>
      </c>
      <c r="K159" s="16">
        <f>'Horizontal Teams'!I21</f>
        <v/>
      </c>
      <c r="L159" s="27" t="n">
        <v>1</v>
      </c>
      <c r="M159" s="44">
        <f>K159*L159</f>
        <v/>
      </c>
      <c r="N159" s="54">
        <f>M159*INDEX('Logic Tree'!$J$85:$N$87,MATCH(I159,'Logic Tree'!$I$85:$I$87,0),MATCH(H159,'Logic Tree'!$J$84:$N$84,0))</f>
        <v/>
      </c>
    </row>
    <row r="160" ht="15" customHeight="1">
      <c r="B160" s="27">
        <f>'Horizontal Teams'!B24</f>
        <v/>
      </c>
      <c r="C160" s="18" t="inlineStr">
        <is>
          <t>HZ</t>
        </is>
      </c>
      <c r="D160" s="51">
        <f>'Horizontal Teams'!C24</f>
        <v/>
      </c>
      <c r="E160" s="43" t="inlineStr">
        <is>
          <t>HZ</t>
        </is>
      </c>
      <c r="F160" s="57">
        <f>'Horizontal Teams'!E24</f>
        <v/>
      </c>
      <c r="G160" s="51">
        <f>'Horizontal Teams'!D24</f>
        <v/>
      </c>
      <c r="H160" s="51">
        <f>'Horizontal Teams'!F24</f>
        <v/>
      </c>
      <c r="I160" s="51">
        <f>'Horizontal Teams'!G24</f>
        <v/>
      </c>
      <c r="J160" s="51">
        <f>'Horizontal Teams'!H24</f>
        <v/>
      </c>
      <c r="K160" s="16">
        <f>'Horizontal Teams'!I24</f>
        <v/>
      </c>
      <c r="L160" s="27" t="n">
        <v>1</v>
      </c>
      <c r="M160" s="44">
        <f>K160*L160</f>
        <v/>
      </c>
      <c r="N160" s="54">
        <f>M160*INDEX('Logic Tree'!$J$85:$N$87,MATCH(I160,'Logic Tree'!$I$85:$I$87,0),MATCH(H160,'Logic Tree'!$J$84:$N$84,0))</f>
        <v/>
      </c>
    </row>
    <row r="161" ht="15" customHeight="1">
      <c r="B161" s="27">
        <f>'Horizontal Teams'!B25</f>
        <v/>
      </c>
      <c r="C161" s="18" t="inlineStr">
        <is>
          <t>HZ</t>
        </is>
      </c>
      <c r="D161" s="51">
        <f>'Horizontal Teams'!C25</f>
        <v/>
      </c>
      <c r="E161" s="43" t="inlineStr">
        <is>
          <t>HZ</t>
        </is>
      </c>
      <c r="F161" s="57">
        <f>'Horizontal Teams'!E25</f>
        <v/>
      </c>
      <c r="G161" s="51">
        <f>'Horizontal Teams'!D25</f>
        <v/>
      </c>
      <c r="H161" s="51">
        <f>'Horizontal Teams'!F25</f>
        <v/>
      </c>
      <c r="I161" s="51">
        <f>'Horizontal Teams'!G25</f>
        <v/>
      </c>
      <c r="J161" s="51">
        <f>'Horizontal Teams'!H25</f>
        <v/>
      </c>
      <c r="K161" s="16">
        <f>'Horizontal Teams'!I25</f>
        <v/>
      </c>
      <c r="L161" s="27" t="n">
        <v>1</v>
      </c>
      <c r="M161" s="44">
        <f>K161*L161</f>
        <v/>
      </c>
      <c r="N161" s="54">
        <f>M161*INDEX('Logic Tree'!$J$85:$N$87,MATCH(I161,'Logic Tree'!$I$85:$I$87,0),MATCH(H161,'Logic Tree'!$J$84:$N$84,0))</f>
        <v/>
      </c>
    </row>
    <row r="162" ht="15" customHeight="1">
      <c r="B162" s="27">
        <f>'Horizontal Teams'!B26</f>
        <v/>
      </c>
      <c r="C162" s="18" t="inlineStr">
        <is>
          <t>HZ</t>
        </is>
      </c>
      <c r="D162" s="51">
        <f>'Horizontal Teams'!C26</f>
        <v/>
      </c>
      <c r="E162" s="43" t="inlineStr">
        <is>
          <t>HZ</t>
        </is>
      </c>
      <c r="F162" s="57">
        <f>'Horizontal Teams'!E26</f>
        <v/>
      </c>
      <c r="G162" s="51">
        <f>'Horizontal Teams'!D26</f>
        <v/>
      </c>
      <c r="H162" s="51">
        <f>'Horizontal Teams'!F26</f>
        <v/>
      </c>
      <c r="I162" s="51">
        <f>'Horizontal Teams'!G26</f>
        <v/>
      </c>
      <c r="J162" s="51">
        <f>'Horizontal Teams'!H26</f>
        <v/>
      </c>
      <c r="K162" s="16">
        <f>'Horizontal Teams'!I26</f>
        <v/>
      </c>
      <c r="L162" s="27" t="n">
        <v>1</v>
      </c>
      <c r="M162" s="44">
        <f>K162*L162</f>
        <v/>
      </c>
      <c r="N162" s="54">
        <f>M162*INDEX('Logic Tree'!$J$85:$N$87,MATCH(I162,'Logic Tree'!$I$85:$I$87,0),MATCH(H162,'Logic Tree'!$J$84:$N$84,0))</f>
        <v/>
      </c>
    </row>
    <row r="163" ht="15" customHeight="1">
      <c r="B163" s="27">
        <f>'Horizontal Teams'!B27</f>
        <v/>
      </c>
      <c r="C163" s="18" t="inlineStr">
        <is>
          <t>HZ</t>
        </is>
      </c>
      <c r="D163" s="51">
        <f>'Horizontal Teams'!C27</f>
        <v/>
      </c>
      <c r="E163" s="43" t="inlineStr">
        <is>
          <t>HZ</t>
        </is>
      </c>
      <c r="F163" s="57">
        <f>'Horizontal Teams'!E27</f>
        <v/>
      </c>
      <c r="G163" s="51">
        <f>'Horizontal Teams'!D27</f>
        <v/>
      </c>
      <c r="H163" s="51">
        <f>'Horizontal Teams'!F27</f>
        <v/>
      </c>
      <c r="I163" s="51">
        <f>'Horizontal Teams'!G27</f>
        <v/>
      </c>
      <c r="J163" s="51">
        <f>'Horizontal Teams'!H27</f>
        <v/>
      </c>
      <c r="K163" s="16">
        <f>'Horizontal Teams'!I27</f>
        <v/>
      </c>
      <c r="L163" s="27" t="n">
        <v>1</v>
      </c>
      <c r="M163" s="44">
        <f>K163*L163</f>
        <v/>
      </c>
      <c r="N163" s="54">
        <f>M163*INDEX('Logic Tree'!$J$85:$N$87,MATCH(I163,'Logic Tree'!$I$85:$I$87,0),MATCH(H163,'Logic Tree'!$J$84:$N$84,0))</f>
        <v/>
      </c>
    </row>
    <row r="164" ht="15" customHeight="1">
      <c r="B164" s="27">
        <f>'Horizontal Teams'!B28</f>
        <v/>
      </c>
      <c r="C164" s="18" t="inlineStr">
        <is>
          <t>HZ</t>
        </is>
      </c>
      <c r="D164" s="51">
        <f>'Horizontal Teams'!C28</f>
        <v/>
      </c>
      <c r="E164" s="43" t="inlineStr">
        <is>
          <t>HZ</t>
        </is>
      </c>
      <c r="F164" s="57">
        <f>'Horizontal Teams'!E28</f>
        <v/>
      </c>
      <c r="G164" s="51">
        <f>'Horizontal Teams'!D28</f>
        <v/>
      </c>
      <c r="H164" s="51">
        <f>'Horizontal Teams'!F28</f>
        <v/>
      </c>
      <c r="I164" s="51">
        <f>'Horizontal Teams'!G28</f>
        <v/>
      </c>
      <c r="J164" s="51">
        <f>'Horizontal Teams'!H28</f>
        <v/>
      </c>
      <c r="K164" s="16">
        <f>'Horizontal Teams'!I28</f>
        <v/>
      </c>
      <c r="L164" s="27" t="n">
        <v>1</v>
      </c>
      <c r="M164" s="44">
        <f>K164*L164</f>
        <v/>
      </c>
      <c r="N164" s="54">
        <f>M164*INDEX('Logic Tree'!$J$85:$N$87,MATCH(I164,'Logic Tree'!$I$85:$I$87,0),MATCH(H164,'Logic Tree'!$J$84:$N$84,0))</f>
        <v/>
      </c>
    </row>
    <row r="165" ht="15" customHeight="1">
      <c r="B165" s="27">
        <f>'Horizontal Teams'!B29</f>
        <v/>
      </c>
      <c r="C165" s="18" t="inlineStr">
        <is>
          <t>HZ</t>
        </is>
      </c>
      <c r="D165" s="51">
        <f>'Horizontal Teams'!C29</f>
        <v/>
      </c>
      <c r="E165" s="43" t="inlineStr">
        <is>
          <t>HZ</t>
        </is>
      </c>
      <c r="F165" s="57">
        <f>'Horizontal Teams'!E29</f>
        <v/>
      </c>
      <c r="G165" s="51">
        <f>'Horizontal Teams'!D29</f>
        <v/>
      </c>
      <c r="H165" s="51">
        <f>'Horizontal Teams'!F29</f>
        <v/>
      </c>
      <c r="I165" s="51">
        <f>'Horizontal Teams'!G29</f>
        <v/>
      </c>
      <c r="J165" s="51">
        <f>'Horizontal Teams'!H29</f>
        <v/>
      </c>
      <c r="K165" s="16">
        <f>'Horizontal Teams'!I29</f>
        <v/>
      </c>
      <c r="L165" s="27" t="n">
        <v>1</v>
      </c>
      <c r="M165" s="44">
        <f>K165*L165</f>
        <v/>
      </c>
      <c r="N165" s="54">
        <f>M165*INDEX('Logic Tree'!$J$85:$N$87,MATCH(I165,'Logic Tree'!$I$85:$I$87,0),MATCH(H165,'Logic Tree'!$J$84:$N$84,0))</f>
        <v/>
      </c>
    </row>
    <row r="166" ht="15" customHeight="1">
      <c r="B166" s="27">
        <f>'Horizontal Teams'!B30</f>
        <v/>
      </c>
      <c r="C166" s="18" t="inlineStr">
        <is>
          <t>HZ</t>
        </is>
      </c>
      <c r="D166" s="51">
        <f>'Horizontal Teams'!C30</f>
        <v/>
      </c>
      <c r="E166" s="43" t="inlineStr">
        <is>
          <t>HZ</t>
        </is>
      </c>
      <c r="F166" s="57">
        <f>'Horizontal Teams'!E30</f>
        <v/>
      </c>
      <c r="G166" s="51">
        <f>'Horizontal Teams'!D30</f>
        <v/>
      </c>
      <c r="H166" s="51">
        <f>'Horizontal Teams'!F30</f>
        <v/>
      </c>
      <c r="I166" s="51">
        <f>'Horizontal Teams'!G30</f>
        <v/>
      </c>
      <c r="J166" s="51">
        <f>'Horizontal Teams'!H30</f>
        <v/>
      </c>
      <c r="K166" s="16">
        <f>'Horizontal Teams'!I30</f>
        <v/>
      </c>
      <c r="L166" s="27" t="n">
        <v>1</v>
      </c>
      <c r="M166" s="44">
        <f>K166*L166</f>
        <v/>
      </c>
      <c r="N166" s="54">
        <f>M166*INDEX('Logic Tree'!$J$85:$N$87,MATCH(I166,'Logic Tree'!$I$85:$I$87,0),MATCH(H166,'Logic Tree'!$J$84:$N$84,0))</f>
        <v/>
      </c>
    </row>
    <row r="167" ht="15" customHeight="1">
      <c r="B167" s="27">
        <f>'Horizontal Teams'!B31</f>
        <v/>
      </c>
      <c r="C167" s="18" t="inlineStr">
        <is>
          <t>HZ</t>
        </is>
      </c>
      <c r="D167" s="51">
        <f>'Horizontal Teams'!C31</f>
        <v/>
      </c>
      <c r="E167" s="43" t="inlineStr">
        <is>
          <t>HZ</t>
        </is>
      </c>
      <c r="F167" s="57">
        <f>'Horizontal Teams'!E31</f>
        <v/>
      </c>
      <c r="G167" s="51">
        <f>'Horizontal Teams'!D31</f>
        <v/>
      </c>
      <c r="H167" s="51">
        <f>'Horizontal Teams'!F31</f>
        <v/>
      </c>
      <c r="I167" s="51">
        <f>'Horizontal Teams'!G31</f>
        <v/>
      </c>
      <c r="J167" s="51">
        <f>'Horizontal Teams'!H31</f>
        <v/>
      </c>
      <c r="K167" s="16">
        <f>'Horizontal Teams'!I31</f>
        <v/>
      </c>
      <c r="L167" s="27" t="n">
        <v>1</v>
      </c>
      <c r="M167" s="44">
        <f>K167*L167</f>
        <v/>
      </c>
      <c r="N167" s="54">
        <f>M167*INDEX('Logic Tree'!$J$85:$N$87,MATCH(I167,'Logic Tree'!$I$85:$I$87,0),MATCH(H167,'Logic Tree'!$J$84:$N$84,0))</f>
        <v/>
      </c>
    </row>
    <row r="168" ht="15" customHeight="1">
      <c r="B168" s="27">
        <f>'Horizontal Teams'!B32</f>
        <v/>
      </c>
      <c r="C168" s="18" t="inlineStr">
        <is>
          <t>HZ</t>
        </is>
      </c>
      <c r="D168" s="51">
        <f>'Horizontal Teams'!C32</f>
        <v/>
      </c>
      <c r="E168" s="43" t="inlineStr">
        <is>
          <t>HZ</t>
        </is>
      </c>
      <c r="F168" s="57">
        <f>'Horizontal Teams'!E32</f>
        <v/>
      </c>
      <c r="G168" s="51">
        <f>'Horizontal Teams'!D32</f>
        <v/>
      </c>
      <c r="H168" s="51">
        <f>'Horizontal Teams'!F32</f>
        <v/>
      </c>
      <c r="I168" s="51">
        <f>'Horizontal Teams'!G32</f>
        <v/>
      </c>
      <c r="J168" s="51">
        <f>'Horizontal Teams'!H32</f>
        <v/>
      </c>
      <c r="K168" s="16">
        <f>'Horizontal Teams'!I32</f>
        <v/>
      </c>
      <c r="L168" s="27" t="n">
        <v>1</v>
      </c>
      <c r="M168" s="44">
        <f>K168*L168</f>
        <v/>
      </c>
      <c r="N168" s="54">
        <f>M168*INDEX('Logic Tree'!$J$85:$N$87,MATCH(I168,'Logic Tree'!$I$85:$I$87,0),MATCH(H168,'Logic Tree'!$J$84:$N$84,0))</f>
        <v/>
      </c>
    </row>
    <row r="169" ht="15" customHeight="1">
      <c r="B169" s="27">
        <f>'Horizontal Teams'!B33</f>
        <v/>
      </c>
      <c r="C169" s="18" t="inlineStr">
        <is>
          <t>HZ</t>
        </is>
      </c>
      <c r="D169" s="51">
        <f>'Horizontal Teams'!C33</f>
        <v/>
      </c>
      <c r="E169" s="43" t="inlineStr">
        <is>
          <t>HZ</t>
        </is>
      </c>
      <c r="F169" s="57">
        <f>'Horizontal Teams'!E33</f>
        <v/>
      </c>
      <c r="G169" s="51">
        <f>'Horizontal Teams'!D33</f>
        <v/>
      </c>
      <c r="H169" s="51">
        <f>'Horizontal Teams'!F33</f>
        <v/>
      </c>
      <c r="I169" s="51">
        <f>'Horizontal Teams'!G33</f>
        <v/>
      </c>
      <c r="J169" s="51">
        <f>'Horizontal Teams'!H33</f>
        <v/>
      </c>
      <c r="K169" s="16">
        <f>'Horizontal Teams'!I33</f>
        <v/>
      </c>
      <c r="L169" s="27" t="n">
        <v>1</v>
      </c>
      <c r="M169" s="44">
        <f>K169*L169</f>
        <v/>
      </c>
      <c r="N169" s="54">
        <f>M169*INDEX('Logic Tree'!$J$85:$N$87,MATCH(I169,'Logic Tree'!$I$85:$I$87,0),MATCH(H169,'Logic Tree'!$J$84:$N$84,0))</f>
        <v/>
      </c>
    </row>
    <row r="170" ht="15" customHeight="1">
      <c r="B170" s="27">
        <f>'Horizontal Teams'!B34</f>
        <v/>
      </c>
      <c r="C170" s="18" t="inlineStr">
        <is>
          <t>HZ</t>
        </is>
      </c>
      <c r="D170" s="51">
        <f>'Horizontal Teams'!C34</f>
        <v/>
      </c>
      <c r="E170" s="43" t="inlineStr">
        <is>
          <t>HZ</t>
        </is>
      </c>
      <c r="F170" s="57">
        <f>'Horizontal Teams'!E34</f>
        <v/>
      </c>
      <c r="G170" s="51">
        <f>'Horizontal Teams'!D34</f>
        <v/>
      </c>
      <c r="H170" s="51">
        <f>'Horizontal Teams'!F34</f>
        <v/>
      </c>
      <c r="I170" s="51">
        <f>'Horizontal Teams'!G34</f>
        <v/>
      </c>
      <c r="J170" s="51">
        <f>'Horizontal Teams'!H34</f>
        <v/>
      </c>
      <c r="K170" s="16">
        <f>'Horizontal Teams'!I34</f>
        <v/>
      </c>
      <c r="L170" s="27" t="n">
        <v>1</v>
      </c>
      <c r="M170" s="44">
        <f>K170*L170</f>
        <v/>
      </c>
      <c r="N170" s="54">
        <f>M170*INDEX('Logic Tree'!$J$85:$N$87,MATCH(I170,'Logic Tree'!$I$85:$I$87,0),MATCH(H170,'Logic Tree'!$J$84:$N$84,0))</f>
        <v/>
      </c>
    </row>
    <row r="171" ht="15" customHeight="1">
      <c r="B171" s="27">
        <f>'Horizontal Teams'!B35</f>
        <v/>
      </c>
      <c r="C171" s="18" t="inlineStr">
        <is>
          <t>HZ</t>
        </is>
      </c>
      <c r="D171" s="51">
        <f>'Horizontal Teams'!C35</f>
        <v/>
      </c>
      <c r="E171" s="43" t="inlineStr">
        <is>
          <t>HZ</t>
        </is>
      </c>
      <c r="F171" s="57">
        <f>'Horizontal Teams'!E35</f>
        <v/>
      </c>
      <c r="G171" s="51">
        <f>'Horizontal Teams'!D35</f>
        <v/>
      </c>
      <c r="H171" s="51">
        <f>'Horizontal Teams'!F35</f>
        <v/>
      </c>
      <c r="I171" s="51">
        <f>'Horizontal Teams'!G35</f>
        <v/>
      </c>
      <c r="J171" s="51">
        <f>'Horizontal Teams'!H35</f>
        <v/>
      </c>
      <c r="K171" s="16">
        <f>'Horizontal Teams'!I35</f>
        <v/>
      </c>
      <c r="L171" s="27" t="n">
        <v>1</v>
      </c>
      <c r="M171" s="44">
        <f>K171*L171</f>
        <v/>
      </c>
      <c r="N171" s="54">
        <f>M171*INDEX('Logic Tree'!$J$85:$N$87,MATCH(I171,'Logic Tree'!$I$85:$I$87,0),MATCH(H171,'Logic Tree'!$J$84:$N$84,0))</f>
        <v/>
      </c>
    </row>
    <row r="172" ht="15" customHeight="1">
      <c r="B172" s="27">
        <f>'Horizontal Teams'!B36</f>
        <v/>
      </c>
      <c r="C172" s="18" t="inlineStr">
        <is>
          <t>HZ</t>
        </is>
      </c>
      <c r="D172" s="51">
        <f>'Horizontal Teams'!C36</f>
        <v/>
      </c>
      <c r="E172" s="43" t="inlineStr">
        <is>
          <t>HZ</t>
        </is>
      </c>
      <c r="F172" s="57">
        <f>'Horizontal Teams'!E36</f>
        <v/>
      </c>
      <c r="G172" s="51">
        <f>'Horizontal Teams'!D36</f>
        <v/>
      </c>
      <c r="H172" s="51">
        <f>'Horizontal Teams'!F36</f>
        <v/>
      </c>
      <c r="I172" s="51">
        <f>'Horizontal Teams'!G36</f>
        <v/>
      </c>
      <c r="J172" s="51">
        <f>'Horizontal Teams'!H36</f>
        <v/>
      </c>
      <c r="K172" s="16">
        <f>'Horizontal Teams'!I36</f>
        <v/>
      </c>
      <c r="L172" s="27" t="n">
        <v>1</v>
      </c>
      <c r="M172" s="44">
        <f>K172*L172</f>
        <v/>
      </c>
      <c r="N172" s="54">
        <f>M172*INDEX('Logic Tree'!$J$85:$N$87,MATCH(I172,'Logic Tree'!$I$85:$I$87,0),MATCH(H172,'Logic Tree'!$J$84:$N$84,0))</f>
        <v/>
      </c>
    </row>
    <row r="173" ht="15" customHeight="1">
      <c r="B173" s="27">
        <f>'Horizontal Teams'!B37</f>
        <v/>
      </c>
      <c r="C173" s="18" t="inlineStr">
        <is>
          <t>HZ</t>
        </is>
      </c>
      <c r="D173" s="51">
        <f>'Horizontal Teams'!C37</f>
        <v/>
      </c>
      <c r="E173" s="43" t="inlineStr">
        <is>
          <t>HZ</t>
        </is>
      </c>
      <c r="F173" s="57">
        <f>'Horizontal Teams'!E37</f>
        <v/>
      </c>
      <c r="G173" s="51">
        <f>'Horizontal Teams'!D37</f>
        <v/>
      </c>
      <c r="H173" s="51">
        <f>'Horizontal Teams'!F37</f>
        <v/>
      </c>
      <c r="I173" s="51">
        <f>'Horizontal Teams'!G37</f>
        <v/>
      </c>
      <c r="J173" s="51">
        <f>'Horizontal Teams'!H37</f>
        <v/>
      </c>
      <c r="K173" s="16">
        <f>'Horizontal Teams'!I37</f>
        <v/>
      </c>
      <c r="L173" s="27" t="n">
        <v>1</v>
      </c>
      <c r="M173" s="44">
        <f>K173*L173</f>
        <v/>
      </c>
      <c r="N173" s="54">
        <f>M173*INDEX('Logic Tree'!$J$85:$N$87,MATCH(I173,'Logic Tree'!$I$85:$I$87,0),MATCH(H173,'Logic Tree'!$J$84:$N$84,0))</f>
        <v/>
      </c>
    </row>
    <row r="174" ht="15" customHeight="1">
      <c r="B174" s="27">
        <f>'Horizontal Teams'!B38</f>
        <v/>
      </c>
      <c r="C174" s="18" t="inlineStr">
        <is>
          <t>HZ</t>
        </is>
      </c>
      <c r="D174" s="51">
        <f>'Horizontal Teams'!C38</f>
        <v/>
      </c>
      <c r="E174" s="43" t="inlineStr">
        <is>
          <t>HZ</t>
        </is>
      </c>
      <c r="F174" s="57">
        <f>'Horizontal Teams'!E38</f>
        <v/>
      </c>
      <c r="G174" s="51">
        <f>'Horizontal Teams'!D38</f>
        <v/>
      </c>
      <c r="H174" s="51">
        <f>'Horizontal Teams'!F38</f>
        <v/>
      </c>
      <c r="I174" s="51">
        <f>'Horizontal Teams'!G38</f>
        <v/>
      </c>
      <c r="J174" s="51">
        <f>'Horizontal Teams'!H38</f>
        <v/>
      </c>
      <c r="K174" s="16">
        <f>'Horizontal Teams'!I38</f>
        <v/>
      </c>
      <c r="L174" s="27" t="n">
        <v>1</v>
      </c>
      <c r="M174" s="44">
        <f>K174*L174</f>
        <v/>
      </c>
      <c r="N174" s="54">
        <f>M174*INDEX('Logic Tree'!$J$85:$N$87,MATCH(I174,'Logic Tree'!$I$85:$I$87,0),MATCH(H174,'Logic Tree'!$J$84:$N$84,0))</f>
        <v/>
      </c>
    </row>
    <row r="175" ht="15" customHeight="1">
      <c r="B175" s="27">
        <f>'Horizontal Teams'!B39</f>
        <v/>
      </c>
      <c r="C175" s="18" t="inlineStr">
        <is>
          <t>HZ</t>
        </is>
      </c>
      <c r="D175" s="51">
        <f>'Horizontal Teams'!C39</f>
        <v/>
      </c>
      <c r="E175" s="43" t="inlineStr">
        <is>
          <t>HZ</t>
        </is>
      </c>
      <c r="F175" s="57">
        <f>'Horizontal Teams'!E39</f>
        <v/>
      </c>
      <c r="G175" s="51">
        <f>'Horizontal Teams'!D39</f>
        <v/>
      </c>
      <c r="H175" s="51">
        <f>'Horizontal Teams'!F39</f>
        <v/>
      </c>
      <c r="I175" s="51">
        <f>'Horizontal Teams'!G39</f>
        <v/>
      </c>
      <c r="J175" s="51">
        <f>'Horizontal Teams'!H39</f>
        <v/>
      </c>
      <c r="K175" s="16">
        <f>'Horizontal Teams'!I39</f>
        <v/>
      </c>
      <c r="L175" s="27" t="n">
        <v>1</v>
      </c>
      <c r="M175" s="44">
        <f>K175*L175</f>
        <v/>
      </c>
      <c r="N175" s="54">
        <f>M175*INDEX('Logic Tree'!$J$85:$N$87,MATCH(I175,'Logic Tree'!$I$85:$I$87,0),MATCH(H175,'Logic Tree'!$J$84:$N$84,0))</f>
        <v/>
      </c>
    </row>
    <row r="176" ht="15" customHeight="1">
      <c r="B176" s="27">
        <f>'Horizontal Teams'!B40</f>
        <v/>
      </c>
      <c r="C176" s="18" t="inlineStr">
        <is>
          <t>HZ</t>
        </is>
      </c>
      <c r="D176" s="51">
        <f>'Horizontal Teams'!C40</f>
        <v/>
      </c>
      <c r="E176" s="43" t="inlineStr">
        <is>
          <t>HZ</t>
        </is>
      </c>
      <c r="F176" s="57">
        <f>'Horizontal Teams'!E40</f>
        <v/>
      </c>
      <c r="G176" s="51">
        <f>'Horizontal Teams'!D40</f>
        <v/>
      </c>
      <c r="H176" s="51">
        <f>'Horizontal Teams'!F40</f>
        <v/>
      </c>
      <c r="I176" s="51">
        <f>'Horizontal Teams'!G40</f>
        <v/>
      </c>
      <c r="J176" s="51">
        <f>'Horizontal Teams'!H40</f>
        <v/>
      </c>
      <c r="K176" s="16">
        <f>'Horizontal Teams'!I40</f>
        <v/>
      </c>
      <c r="L176" s="27" t="n">
        <v>1</v>
      </c>
      <c r="M176" s="44">
        <f>K176*L176</f>
        <v/>
      </c>
      <c r="N176" s="54">
        <f>M176*INDEX('Logic Tree'!$J$85:$N$87,MATCH(I176,'Logic Tree'!$I$85:$I$87,0),MATCH(H176,'Logic Tree'!$J$84:$N$84,0))</f>
        <v/>
      </c>
    </row>
    <row r="177" ht="15" customHeight="1">
      <c r="B177" s="27">
        <f>'Horizontal Teams'!B43</f>
        <v/>
      </c>
      <c r="C177" s="18" t="inlineStr">
        <is>
          <t>HZ</t>
        </is>
      </c>
      <c r="D177" s="51">
        <f>'Horizontal Teams'!C43</f>
        <v/>
      </c>
      <c r="E177" s="43" t="inlineStr">
        <is>
          <t>HZ</t>
        </is>
      </c>
      <c r="F177" s="57">
        <f>'Horizontal Teams'!E43</f>
        <v/>
      </c>
      <c r="G177" s="51">
        <f>'Horizontal Teams'!D43</f>
        <v/>
      </c>
      <c r="H177" s="51">
        <f>'Horizontal Teams'!F43</f>
        <v/>
      </c>
      <c r="I177" s="51">
        <f>'Horizontal Teams'!G43</f>
        <v/>
      </c>
      <c r="J177" s="51">
        <f>'Horizontal Teams'!H43</f>
        <v/>
      </c>
      <c r="K177" s="16">
        <f>'Horizontal Teams'!I43</f>
        <v/>
      </c>
      <c r="L177" s="27" t="n">
        <v>1</v>
      </c>
      <c r="M177" s="44">
        <f>K177*L177</f>
        <v/>
      </c>
      <c r="N177" s="54">
        <f>M177*INDEX('Logic Tree'!$J$85:$N$87,MATCH(I177,'Logic Tree'!$I$85:$I$87,0),MATCH(H177,'Logic Tree'!$J$84:$N$84,0))</f>
        <v/>
      </c>
    </row>
    <row r="178" ht="15" customHeight="1">
      <c r="B178" s="27">
        <f>'Horizontal Teams'!B44</f>
        <v/>
      </c>
      <c r="C178" s="18" t="inlineStr">
        <is>
          <t>HZ</t>
        </is>
      </c>
      <c r="D178" s="51">
        <f>'Horizontal Teams'!C44</f>
        <v/>
      </c>
      <c r="E178" s="43" t="inlineStr">
        <is>
          <t>HZ</t>
        </is>
      </c>
      <c r="F178" s="57">
        <f>'Horizontal Teams'!E44</f>
        <v/>
      </c>
      <c r="G178" s="51">
        <f>'Horizontal Teams'!D44</f>
        <v/>
      </c>
      <c r="H178" s="51">
        <f>'Horizontal Teams'!F44</f>
        <v/>
      </c>
      <c r="I178" s="51">
        <f>'Horizontal Teams'!G44</f>
        <v/>
      </c>
      <c r="J178" s="51">
        <f>'Horizontal Teams'!H44</f>
        <v/>
      </c>
      <c r="K178" s="16">
        <f>'Horizontal Teams'!I44</f>
        <v/>
      </c>
      <c r="L178" s="27" t="n">
        <v>1</v>
      </c>
      <c r="M178" s="44">
        <f>K178*L178</f>
        <v/>
      </c>
      <c r="N178" s="54">
        <f>M178*INDEX('Logic Tree'!$J$85:$N$87,MATCH(I178,'Logic Tree'!$I$85:$I$87,0),MATCH(H178,'Logic Tree'!$J$84:$N$84,0))</f>
        <v/>
      </c>
    </row>
    <row r="179" ht="15" customHeight="1">
      <c r="B179" s="27">
        <f>'Horizontal Teams'!B45</f>
        <v/>
      </c>
      <c r="C179" s="18" t="inlineStr">
        <is>
          <t>HZ</t>
        </is>
      </c>
      <c r="D179" s="51">
        <f>'Horizontal Teams'!C45</f>
        <v/>
      </c>
      <c r="E179" s="43" t="inlineStr">
        <is>
          <t>HZ</t>
        </is>
      </c>
      <c r="F179" s="57">
        <f>'Horizontal Teams'!E45</f>
        <v/>
      </c>
      <c r="G179" s="51">
        <f>'Horizontal Teams'!D45</f>
        <v/>
      </c>
      <c r="H179" s="51">
        <f>'Horizontal Teams'!F45</f>
        <v/>
      </c>
      <c r="I179" s="51">
        <f>'Horizontal Teams'!G45</f>
        <v/>
      </c>
      <c r="J179" s="51">
        <f>'Horizontal Teams'!H45</f>
        <v/>
      </c>
      <c r="K179" s="16">
        <f>'Horizontal Teams'!I45</f>
        <v/>
      </c>
      <c r="L179" s="27" t="n">
        <v>1</v>
      </c>
      <c r="M179" s="44">
        <f>K179*L179</f>
        <v/>
      </c>
      <c r="N179" s="54">
        <f>M179*INDEX('Logic Tree'!$J$85:$N$87,MATCH(I179,'Logic Tree'!$I$85:$I$87,0),MATCH(H179,'Logic Tree'!$J$84:$N$84,0))</f>
        <v/>
      </c>
    </row>
    <row r="180" ht="15" customHeight="1">
      <c r="B180" s="27">
        <f>'Horizontal Teams'!B46</f>
        <v/>
      </c>
      <c r="C180" s="18" t="inlineStr">
        <is>
          <t>HZ</t>
        </is>
      </c>
      <c r="D180" s="51">
        <f>'Horizontal Teams'!C46</f>
        <v/>
      </c>
      <c r="E180" s="43" t="inlineStr">
        <is>
          <t>HZ</t>
        </is>
      </c>
      <c r="F180" s="57">
        <f>'Horizontal Teams'!E46</f>
        <v/>
      </c>
      <c r="G180" s="51">
        <f>'Horizontal Teams'!D46</f>
        <v/>
      </c>
      <c r="H180" s="51">
        <f>'Horizontal Teams'!F46</f>
        <v/>
      </c>
      <c r="I180" s="51">
        <f>'Horizontal Teams'!G46</f>
        <v/>
      </c>
      <c r="J180" s="51">
        <f>'Horizontal Teams'!H46</f>
        <v/>
      </c>
      <c r="K180" s="16">
        <f>'Horizontal Teams'!I46</f>
        <v/>
      </c>
      <c r="L180" s="27" t="n">
        <v>1</v>
      </c>
      <c r="M180" s="44">
        <f>K180*L180</f>
        <v/>
      </c>
      <c r="N180" s="54">
        <f>M180*INDEX('Logic Tree'!$J$85:$N$87,MATCH(I180,'Logic Tree'!$I$85:$I$87,0),MATCH(H180,'Logic Tree'!$J$84:$N$84,0))</f>
        <v/>
      </c>
    </row>
    <row r="181" ht="15" customHeight="1">
      <c r="B181" s="27">
        <f>'Horizontal Teams'!B47</f>
        <v/>
      </c>
      <c r="C181" s="18" t="inlineStr">
        <is>
          <t>HZ</t>
        </is>
      </c>
      <c r="D181" s="51">
        <f>'Horizontal Teams'!C47</f>
        <v/>
      </c>
      <c r="E181" s="43" t="inlineStr">
        <is>
          <t>HZ</t>
        </is>
      </c>
      <c r="F181" s="57">
        <f>'Horizontal Teams'!E47</f>
        <v/>
      </c>
      <c r="G181" s="51">
        <f>'Horizontal Teams'!D47</f>
        <v/>
      </c>
      <c r="H181" s="51">
        <f>'Horizontal Teams'!F47</f>
        <v/>
      </c>
      <c r="I181" s="51">
        <f>'Horizontal Teams'!G47</f>
        <v/>
      </c>
      <c r="J181" s="51">
        <f>'Horizontal Teams'!H47</f>
        <v/>
      </c>
      <c r="K181" s="16">
        <f>'Horizontal Teams'!I47</f>
        <v/>
      </c>
      <c r="L181" s="27" t="n">
        <v>1</v>
      </c>
      <c r="M181" s="44">
        <f>K181*L181</f>
        <v/>
      </c>
      <c r="N181" s="54">
        <f>M181*INDEX('Logic Tree'!$J$85:$N$87,MATCH(I181,'Logic Tree'!$I$85:$I$87,0),MATCH(H181,'Logic Tree'!$J$84:$N$84,0))</f>
        <v/>
      </c>
    </row>
    <row r="182" ht="15" customHeight="1">
      <c r="B182" s="27">
        <f>'Horizontal Teams'!B48</f>
        <v/>
      </c>
      <c r="C182" s="18" t="inlineStr">
        <is>
          <t>HZ</t>
        </is>
      </c>
      <c r="D182" s="51">
        <f>'Horizontal Teams'!C48</f>
        <v/>
      </c>
      <c r="E182" s="43" t="inlineStr">
        <is>
          <t>HZ</t>
        </is>
      </c>
      <c r="F182" s="57">
        <f>'Horizontal Teams'!E48</f>
        <v/>
      </c>
      <c r="G182" s="51">
        <f>'Horizontal Teams'!D48</f>
        <v/>
      </c>
      <c r="H182" s="51">
        <f>'Horizontal Teams'!F48</f>
        <v/>
      </c>
      <c r="I182" s="51">
        <f>'Horizontal Teams'!G48</f>
        <v/>
      </c>
      <c r="J182" s="51">
        <f>'Horizontal Teams'!H48</f>
        <v/>
      </c>
      <c r="K182" s="16">
        <f>'Horizontal Teams'!I48</f>
        <v/>
      </c>
      <c r="L182" s="27" t="n">
        <v>1</v>
      </c>
      <c r="M182" s="44">
        <f>K182*L182</f>
        <v/>
      </c>
      <c r="N182" s="54">
        <f>M182*INDEX('Logic Tree'!$J$85:$N$87,MATCH(I182,'Logic Tree'!$I$85:$I$87,0),MATCH(H182,'Logic Tree'!$J$84:$N$84,0))</f>
        <v/>
      </c>
    </row>
    <row r="183" ht="15" customHeight="1">
      <c r="B183" s="27">
        <f>'Horizontal Teams'!B49</f>
        <v/>
      </c>
      <c r="C183" s="18" t="inlineStr">
        <is>
          <t>HZ</t>
        </is>
      </c>
      <c r="D183" s="51">
        <f>'Horizontal Teams'!C49</f>
        <v/>
      </c>
      <c r="E183" s="43" t="inlineStr">
        <is>
          <t>HZ</t>
        </is>
      </c>
      <c r="F183" s="57">
        <f>'Horizontal Teams'!E49</f>
        <v/>
      </c>
      <c r="G183" s="51">
        <f>'Horizontal Teams'!D49</f>
        <v/>
      </c>
      <c r="H183" s="51">
        <f>'Horizontal Teams'!F49</f>
        <v/>
      </c>
      <c r="I183" s="51">
        <f>'Horizontal Teams'!G49</f>
        <v/>
      </c>
      <c r="J183" s="51">
        <f>'Horizontal Teams'!H49</f>
        <v/>
      </c>
      <c r="K183" s="16">
        <f>'Horizontal Teams'!I49</f>
        <v/>
      </c>
      <c r="L183" s="27" t="n">
        <v>1</v>
      </c>
      <c r="M183" s="44">
        <f>K183*L183</f>
        <v/>
      </c>
      <c r="N183" s="54">
        <f>M183*INDEX('Logic Tree'!$J$85:$N$87,MATCH(I183,'Logic Tree'!$I$85:$I$87,0),MATCH(H183,'Logic Tree'!$J$84:$N$84,0))</f>
        <v/>
      </c>
    </row>
    <row r="184" ht="15" customHeight="1">
      <c r="B184" s="27">
        <f>'Horizontal Teams'!B50</f>
        <v/>
      </c>
      <c r="C184" s="18" t="inlineStr">
        <is>
          <t>HZ</t>
        </is>
      </c>
      <c r="D184" s="51">
        <f>'Horizontal Teams'!C50</f>
        <v/>
      </c>
      <c r="E184" s="43" t="inlineStr">
        <is>
          <t>HZ</t>
        </is>
      </c>
      <c r="F184" s="57">
        <f>'Horizontal Teams'!E50</f>
        <v/>
      </c>
      <c r="G184" s="51">
        <f>'Horizontal Teams'!D50</f>
        <v/>
      </c>
      <c r="H184" s="51">
        <f>'Horizontal Teams'!F50</f>
        <v/>
      </c>
      <c r="I184" s="51">
        <f>'Horizontal Teams'!G50</f>
        <v/>
      </c>
      <c r="J184" s="51">
        <f>'Horizontal Teams'!H50</f>
        <v/>
      </c>
      <c r="K184" s="16">
        <f>'Horizontal Teams'!I50</f>
        <v/>
      </c>
      <c r="L184" s="27" t="n">
        <v>1</v>
      </c>
      <c r="M184" s="44">
        <f>K184*L184</f>
        <v/>
      </c>
      <c r="N184" s="54">
        <f>M184*INDEX('Logic Tree'!$J$85:$N$87,MATCH(I184,'Logic Tree'!$I$85:$I$87,0),MATCH(H184,'Logic Tree'!$J$84:$N$84,0))</f>
        <v/>
      </c>
    </row>
    <row r="185" ht="15" customHeight="1">
      <c r="B185" s="27">
        <f>'Horizontal Teams'!B51</f>
        <v/>
      </c>
      <c r="C185" s="18" t="inlineStr">
        <is>
          <t>HZ</t>
        </is>
      </c>
      <c r="D185" s="51">
        <f>'Horizontal Teams'!C51</f>
        <v/>
      </c>
      <c r="E185" s="43" t="inlineStr">
        <is>
          <t>HZ</t>
        </is>
      </c>
      <c r="F185" s="57">
        <f>'Horizontal Teams'!E51</f>
        <v/>
      </c>
      <c r="G185" s="51">
        <f>'Horizontal Teams'!D51</f>
        <v/>
      </c>
      <c r="H185" s="51">
        <f>'Horizontal Teams'!F51</f>
        <v/>
      </c>
      <c r="I185" s="51">
        <f>'Horizontal Teams'!G51</f>
        <v/>
      </c>
      <c r="J185" s="51">
        <f>'Horizontal Teams'!H51</f>
        <v/>
      </c>
      <c r="K185" s="16">
        <f>'Horizontal Teams'!I51</f>
        <v/>
      </c>
      <c r="L185" s="27" t="n">
        <v>1</v>
      </c>
      <c r="M185" s="44">
        <f>K185*L185</f>
        <v/>
      </c>
      <c r="N185" s="54">
        <f>M185*INDEX('Logic Tree'!$J$85:$N$87,MATCH(I185,'Logic Tree'!$I$85:$I$87,0),MATCH(H185,'Logic Tree'!$J$84:$N$84,0))</f>
        <v/>
      </c>
    </row>
    <row r="186" ht="15" customHeight="1">
      <c r="B186" s="27">
        <f>'Horizontal Teams'!B52</f>
        <v/>
      </c>
      <c r="C186" s="18" t="inlineStr">
        <is>
          <t>HZ</t>
        </is>
      </c>
      <c r="D186" s="51">
        <f>'Horizontal Teams'!C52</f>
        <v/>
      </c>
      <c r="E186" s="43" t="inlineStr">
        <is>
          <t>HZ</t>
        </is>
      </c>
      <c r="F186" s="57">
        <f>'Horizontal Teams'!E52</f>
        <v/>
      </c>
      <c r="G186" s="51">
        <f>'Horizontal Teams'!D52</f>
        <v/>
      </c>
      <c r="H186" s="51">
        <f>'Horizontal Teams'!F52</f>
        <v/>
      </c>
      <c r="I186" s="51">
        <f>'Horizontal Teams'!G52</f>
        <v/>
      </c>
      <c r="J186" s="51">
        <f>'Horizontal Teams'!H52</f>
        <v/>
      </c>
      <c r="K186" s="16">
        <f>'Horizontal Teams'!I52</f>
        <v/>
      </c>
      <c r="L186" s="27" t="n">
        <v>1</v>
      </c>
      <c r="M186" s="44">
        <f>K186*L186</f>
        <v/>
      </c>
      <c r="N186" s="54">
        <f>M186*INDEX('Logic Tree'!$J$85:$N$87,MATCH(I186,'Logic Tree'!$I$85:$I$87,0),MATCH(H186,'Logic Tree'!$J$84:$N$84,0))</f>
        <v/>
      </c>
    </row>
    <row r="187" ht="15" customHeight="1">
      <c r="B187" s="27">
        <f>'Horizontal Teams'!B53</f>
        <v/>
      </c>
      <c r="C187" s="18" t="inlineStr">
        <is>
          <t>HZ</t>
        </is>
      </c>
      <c r="D187" s="51">
        <f>'Horizontal Teams'!C53</f>
        <v/>
      </c>
      <c r="E187" s="43" t="inlineStr">
        <is>
          <t>HZ</t>
        </is>
      </c>
      <c r="F187" s="57">
        <f>'Horizontal Teams'!E53</f>
        <v/>
      </c>
      <c r="G187" s="51">
        <f>'Horizontal Teams'!D53</f>
        <v/>
      </c>
      <c r="H187" s="51">
        <f>'Horizontal Teams'!F53</f>
        <v/>
      </c>
      <c r="I187" s="51">
        <f>'Horizontal Teams'!G53</f>
        <v/>
      </c>
      <c r="J187" s="51">
        <f>'Horizontal Teams'!H53</f>
        <v/>
      </c>
      <c r="K187" s="16">
        <f>'Horizontal Teams'!I53</f>
        <v/>
      </c>
      <c r="L187" s="27" t="n">
        <v>1</v>
      </c>
      <c r="M187" s="44">
        <f>K187*L187</f>
        <v/>
      </c>
      <c r="N187" s="54">
        <f>M187*INDEX('Logic Tree'!$J$85:$N$87,MATCH(I187,'Logic Tree'!$I$85:$I$87,0),MATCH(H187,'Logic Tree'!$J$84:$N$84,0))</f>
        <v/>
      </c>
    </row>
    <row r="188" ht="15" customHeight="1">
      <c r="B188" s="27">
        <f>'Horizontal Teams'!B54</f>
        <v/>
      </c>
      <c r="C188" s="18" t="inlineStr">
        <is>
          <t>HZ</t>
        </is>
      </c>
      <c r="D188" s="51">
        <f>'Horizontal Teams'!C54</f>
        <v/>
      </c>
      <c r="E188" s="43" t="inlineStr">
        <is>
          <t>HZ</t>
        </is>
      </c>
      <c r="F188" s="57">
        <f>'Horizontal Teams'!E54</f>
        <v/>
      </c>
      <c r="G188" s="51">
        <f>'Horizontal Teams'!D54</f>
        <v/>
      </c>
      <c r="H188" s="51">
        <f>'Horizontal Teams'!F54</f>
        <v/>
      </c>
      <c r="I188" s="51">
        <f>'Horizontal Teams'!G54</f>
        <v/>
      </c>
      <c r="J188" s="51">
        <f>'Horizontal Teams'!H54</f>
        <v/>
      </c>
      <c r="K188" s="16">
        <f>'Horizontal Teams'!I54</f>
        <v/>
      </c>
      <c r="L188" s="27" t="n">
        <v>1</v>
      </c>
      <c r="M188" s="44">
        <f>K188*L188</f>
        <v/>
      </c>
      <c r="N188" s="54">
        <f>M188*INDEX('Logic Tree'!$J$85:$N$87,MATCH(I188,'Logic Tree'!$I$85:$I$87,0),MATCH(H188,'Logic Tree'!$J$84:$N$84,0))</f>
        <v/>
      </c>
    </row>
    <row r="189" ht="15" customHeight="1">
      <c r="B189" s="27">
        <f>'Horizontal Teams'!B57</f>
        <v/>
      </c>
      <c r="C189" s="18" t="inlineStr">
        <is>
          <t>HZ</t>
        </is>
      </c>
      <c r="D189" s="51">
        <f>'Horizontal Teams'!C57</f>
        <v/>
      </c>
      <c r="E189" s="43" t="inlineStr">
        <is>
          <t>HZ</t>
        </is>
      </c>
      <c r="F189" s="57">
        <f>'Horizontal Teams'!E57</f>
        <v/>
      </c>
      <c r="G189" s="51">
        <f>'Horizontal Teams'!D57</f>
        <v/>
      </c>
      <c r="H189" s="51">
        <f>'Horizontal Teams'!F57</f>
        <v/>
      </c>
      <c r="I189" s="51">
        <f>'Horizontal Teams'!G57</f>
        <v/>
      </c>
      <c r="J189" s="51">
        <f>'Horizontal Teams'!H57</f>
        <v/>
      </c>
      <c r="K189" s="16">
        <f>'Horizontal Teams'!I57</f>
        <v/>
      </c>
      <c r="L189" s="27" t="n">
        <v>1</v>
      </c>
      <c r="M189" s="44">
        <f>K189*L189</f>
        <v/>
      </c>
      <c r="N189" s="54">
        <f>M189*INDEX('Logic Tree'!$J$85:$N$87,MATCH(I189,'Logic Tree'!$I$85:$I$87,0),MATCH(H189,'Logic Tree'!$J$84:$N$84,0))</f>
        <v/>
      </c>
    </row>
    <row r="190" ht="15" customHeight="1">
      <c r="B190" s="27">
        <f>'Horizontal Teams'!B58</f>
        <v/>
      </c>
      <c r="C190" s="18" t="inlineStr">
        <is>
          <t>HZ</t>
        </is>
      </c>
      <c r="D190" s="51">
        <f>'Horizontal Teams'!C58</f>
        <v/>
      </c>
      <c r="E190" s="43" t="inlineStr">
        <is>
          <t>HZ</t>
        </is>
      </c>
      <c r="F190" s="57">
        <f>'Horizontal Teams'!E58</f>
        <v/>
      </c>
      <c r="G190" s="51">
        <f>'Horizontal Teams'!D58</f>
        <v/>
      </c>
      <c r="H190" s="51">
        <f>'Horizontal Teams'!F58</f>
        <v/>
      </c>
      <c r="I190" s="51">
        <f>'Horizontal Teams'!G58</f>
        <v/>
      </c>
      <c r="J190" s="51">
        <f>'Horizontal Teams'!H58</f>
        <v/>
      </c>
      <c r="K190" s="16">
        <f>'Horizontal Teams'!I58</f>
        <v/>
      </c>
      <c r="L190" s="27" t="n">
        <v>1</v>
      </c>
      <c r="M190" s="44">
        <f>K190*L190</f>
        <v/>
      </c>
      <c r="N190" s="54">
        <f>M190*INDEX('Logic Tree'!$J$85:$N$87,MATCH(I190,'Logic Tree'!$I$85:$I$87,0),MATCH(H190,'Logic Tree'!$J$84:$N$84,0))</f>
        <v/>
      </c>
    </row>
    <row r="191" ht="15" customHeight="1">
      <c r="B191" s="27">
        <f>'Horizontal Teams'!B59</f>
        <v/>
      </c>
      <c r="C191" s="18" t="inlineStr">
        <is>
          <t>HZ</t>
        </is>
      </c>
      <c r="D191" s="51">
        <f>'Horizontal Teams'!C59</f>
        <v/>
      </c>
      <c r="E191" s="43" t="inlineStr">
        <is>
          <t>HZ</t>
        </is>
      </c>
      <c r="F191" s="57">
        <f>'Horizontal Teams'!E59</f>
        <v/>
      </c>
      <c r="G191" s="51">
        <f>'Horizontal Teams'!D59</f>
        <v/>
      </c>
      <c r="H191" s="51">
        <f>'Horizontal Teams'!F59</f>
        <v/>
      </c>
      <c r="I191" s="51">
        <f>'Horizontal Teams'!G59</f>
        <v/>
      </c>
      <c r="J191" s="51">
        <f>'Horizontal Teams'!H59</f>
        <v/>
      </c>
      <c r="K191" s="16">
        <f>'Horizontal Teams'!I59</f>
        <v/>
      </c>
      <c r="L191" s="27" t="n">
        <v>1</v>
      </c>
      <c r="M191" s="44">
        <f>K191*L191</f>
        <v/>
      </c>
      <c r="N191" s="54">
        <f>M191*INDEX('Logic Tree'!$J$85:$N$87,MATCH(I191,'Logic Tree'!$I$85:$I$87,0),MATCH(H191,'Logic Tree'!$J$84:$N$84,0))</f>
        <v/>
      </c>
    </row>
    <row r="192" ht="15" customHeight="1">
      <c r="B192" s="27">
        <f>'Horizontal Teams'!B60</f>
        <v/>
      </c>
      <c r="C192" s="18" t="inlineStr">
        <is>
          <t>HZ</t>
        </is>
      </c>
      <c r="D192" s="51">
        <f>'Horizontal Teams'!C60</f>
        <v/>
      </c>
      <c r="E192" s="43" t="inlineStr">
        <is>
          <t>HZ</t>
        </is>
      </c>
      <c r="F192" s="57">
        <f>'Horizontal Teams'!E60</f>
        <v/>
      </c>
      <c r="G192" s="51">
        <f>'Horizontal Teams'!D60</f>
        <v/>
      </c>
      <c r="H192" s="51">
        <f>'Horizontal Teams'!F60</f>
        <v/>
      </c>
      <c r="I192" s="51">
        <f>'Horizontal Teams'!G60</f>
        <v/>
      </c>
      <c r="J192" s="51">
        <f>'Horizontal Teams'!H60</f>
        <v/>
      </c>
      <c r="K192" s="16">
        <f>'Horizontal Teams'!I60</f>
        <v/>
      </c>
      <c r="L192" s="27" t="n">
        <v>1</v>
      </c>
      <c r="M192" s="44">
        <f>K192*L192</f>
        <v/>
      </c>
      <c r="N192" s="54">
        <f>M192*INDEX('Logic Tree'!$J$85:$N$87,MATCH(I192,'Logic Tree'!$I$85:$I$87,0),MATCH(H192,'Logic Tree'!$J$84:$N$84,0))</f>
        <v/>
      </c>
    </row>
    <row r="193" ht="15" customHeight="1">
      <c r="B193" s="27">
        <f>'Horizontal Teams'!B61</f>
        <v/>
      </c>
      <c r="C193" s="18" t="inlineStr">
        <is>
          <t>HZ</t>
        </is>
      </c>
      <c r="D193" s="51">
        <f>'Horizontal Teams'!C61</f>
        <v/>
      </c>
      <c r="E193" s="43" t="inlineStr">
        <is>
          <t>HZ</t>
        </is>
      </c>
      <c r="F193" s="57">
        <f>'Horizontal Teams'!E61</f>
        <v/>
      </c>
      <c r="G193" s="51">
        <f>'Horizontal Teams'!D61</f>
        <v/>
      </c>
      <c r="H193" s="51">
        <f>'Horizontal Teams'!F61</f>
        <v/>
      </c>
      <c r="I193" s="51">
        <f>'Horizontal Teams'!G61</f>
        <v/>
      </c>
      <c r="J193" s="51">
        <f>'Horizontal Teams'!H61</f>
        <v/>
      </c>
      <c r="K193" s="16">
        <f>'Horizontal Teams'!I61</f>
        <v/>
      </c>
      <c r="L193" s="27" t="n">
        <v>1</v>
      </c>
      <c r="M193" s="44">
        <f>K193*L193</f>
        <v/>
      </c>
      <c r="N193" s="54">
        <f>M193*INDEX('Logic Tree'!$J$85:$N$87,MATCH(I193,'Logic Tree'!$I$85:$I$87,0),MATCH(H193,'Logic Tree'!$J$84:$N$84,0))</f>
        <v/>
      </c>
    </row>
    <row r="194" ht="15" customHeight="1">
      <c r="B194" s="27">
        <f>'Horizontal Teams'!B62</f>
        <v/>
      </c>
      <c r="C194" s="18" t="inlineStr">
        <is>
          <t>HZ</t>
        </is>
      </c>
      <c r="D194" s="51">
        <f>'Horizontal Teams'!C62</f>
        <v/>
      </c>
      <c r="E194" s="43" t="inlineStr">
        <is>
          <t>HZ</t>
        </is>
      </c>
      <c r="F194" s="57">
        <f>'Horizontal Teams'!E62</f>
        <v/>
      </c>
      <c r="G194" s="51">
        <f>'Horizontal Teams'!D62</f>
        <v/>
      </c>
      <c r="H194" s="51">
        <f>'Horizontal Teams'!F62</f>
        <v/>
      </c>
      <c r="I194" s="51">
        <f>'Horizontal Teams'!G62</f>
        <v/>
      </c>
      <c r="J194" s="51">
        <f>'Horizontal Teams'!H62</f>
        <v/>
      </c>
      <c r="K194" s="16">
        <f>'Horizontal Teams'!I62</f>
        <v/>
      </c>
      <c r="L194" s="27" t="n">
        <v>1</v>
      </c>
      <c r="M194" s="44">
        <f>K194*L194</f>
        <v/>
      </c>
      <c r="N194" s="54">
        <f>M194*INDEX('Logic Tree'!$J$85:$N$87,MATCH(I194,'Logic Tree'!$I$85:$I$87,0),MATCH(H194,'Logic Tree'!$J$84:$N$84,0))</f>
        <v/>
      </c>
    </row>
    <row r="195" ht="15" customHeight="1">
      <c r="B195" s="27">
        <f>'Horizontal Teams'!B63</f>
        <v/>
      </c>
      <c r="C195" s="18" t="inlineStr">
        <is>
          <t>HZ</t>
        </is>
      </c>
      <c r="D195" s="51">
        <f>'Horizontal Teams'!C63</f>
        <v/>
      </c>
      <c r="E195" s="43" t="inlineStr">
        <is>
          <t>HZ</t>
        </is>
      </c>
      <c r="F195" s="57">
        <f>'Horizontal Teams'!E63</f>
        <v/>
      </c>
      <c r="G195" s="51">
        <f>'Horizontal Teams'!D63</f>
        <v/>
      </c>
      <c r="H195" s="51">
        <f>'Horizontal Teams'!F63</f>
        <v/>
      </c>
      <c r="I195" s="51">
        <f>'Horizontal Teams'!G63</f>
        <v/>
      </c>
      <c r="J195" s="51">
        <f>'Horizontal Teams'!H63</f>
        <v/>
      </c>
      <c r="K195" s="16">
        <f>'Horizontal Teams'!I63</f>
        <v/>
      </c>
      <c r="L195" s="27" t="n">
        <v>1</v>
      </c>
      <c r="M195" s="44">
        <f>K195*L195</f>
        <v/>
      </c>
      <c r="N195" s="54">
        <f>M195*INDEX('Logic Tree'!$J$85:$N$87,MATCH(I195,'Logic Tree'!$I$85:$I$87,0),MATCH(H195,'Logic Tree'!$J$84:$N$84,0))</f>
        <v/>
      </c>
    </row>
    <row r="196" ht="15" customHeight="1">
      <c r="B196" s="27">
        <f>'Horizontal Teams'!B64</f>
        <v/>
      </c>
      <c r="C196" s="18" t="inlineStr">
        <is>
          <t>HZ</t>
        </is>
      </c>
      <c r="D196" s="51">
        <f>'Horizontal Teams'!C64</f>
        <v/>
      </c>
      <c r="E196" s="43" t="inlineStr">
        <is>
          <t>HZ</t>
        </is>
      </c>
      <c r="F196" s="57">
        <f>'Horizontal Teams'!E64</f>
        <v/>
      </c>
      <c r="G196" s="51">
        <f>'Horizontal Teams'!D64</f>
        <v/>
      </c>
      <c r="H196" s="51">
        <f>'Horizontal Teams'!F64</f>
        <v/>
      </c>
      <c r="I196" s="51">
        <f>'Horizontal Teams'!G64</f>
        <v/>
      </c>
      <c r="J196" s="51">
        <f>'Horizontal Teams'!H64</f>
        <v/>
      </c>
      <c r="K196" s="16">
        <f>'Horizontal Teams'!I64</f>
        <v/>
      </c>
      <c r="L196" s="27" t="n">
        <v>1</v>
      </c>
      <c r="M196" s="44">
        <f>K196*L196</f>
        <v/>
      </c>
      <c r="N196" s="54">
        <f>M196*INDEX('Logic Tree'!$J$85:$N$87,MATCH(I196,'Logic Tree'!$I$85:$I$87,0),MATCH(H196,'Logic Tree'!$J$84:$N$84,0))</f>
        <v/>
      </c>
    </row>
    <row r="197" ht="15" customHeight="1">
      <c r="B197" s="27">
        <f>'Horizontal Teams'!B65</f>
        <v/>
      </c>
      <c r="C197" s="18" t="inlineStr">
        <is>
          <t>HZ</t>
        </is>
      </c>
      <c r="D197" s="51">
        <f>'Horizontal Teams'!C65</f>
        <v/>
      </c>
      <c r="E197" s="43" t="inlineStr">
        <is>
          <t>HZ</t>
        </is>
      </c>
      <c r="F197" s="57">
        <f>'Horizontal Teams'!E65</f>
        <v/>
      </c>
      <c r="G197" s="51">
        <f>'Horizontal Teams'!D65</f>
        <v/>
      </c>
      <c r="H197" s="51">
        <f>'Horizontal Teams'!F65</f>
        <v/>
      </c>
      <c r="I197" s="51">
        <f>'Horizontal Teams'!G65</f>
        <v/>
      </c>
      <c r="J197" s="51">
        <f>'Horizontal Teams'!H65</f>
        <v/>
      </c>
      <c r="K197" s="16">
        <f>'Horizontal Teams'!I65</f>
        <v/>
      </c>
      <c r="L197" s="27" t="n">
        <v>1</v>
      </c>
      <c r="M197" s="44">
        <f>K197*L197</f>
        <v/>
      </c>
      <c r="N197" s="54">
        <f>M197*INDEX('Logic Tree'!$J$85:$N$87,MATCH(I197,'Logic Tree'!$I$85:$I$87,0),MATCH(H197,'Logic Tree'!$J$84:$N$84,0))</f>
        <v/>
      </c>
    </row>
    <row r="198" ht="15" customHeight="1">
      <c r="B198" s="27">
        <f>'Horizontal Teams'!B66</f>
        <v/>
      </c>
      <c r="C198" s="18" t="inlineStr">
        <is>
          <t>HZ</t>
        </is>
      </c>
      <c r="D198" s="51">
        <f>'Horizontal Teams'!C66</f>
        <v/>
      </c>
      <c r="E198" s="43" t="inlineStr">
        <is>
          <t>HZ</t>
        </is>
      </c>
      <c r="F198" s="57">
        <f>'Horizontal Teams'!E66</f>
        <v/>
      </c>
      <c r="G198" s="51">
        <f>'Horizontal Teams'!D66</f>
        <v/>
      </c>
      <c r="H198" s="51">
        <f>'Horizontal Teams'!F66</f>
        <v/>
      </c>
      <c r="I198" s="51">
        <f>'Horizontal Teams'!G66</f>
        <v/>
      </c>
      <c r="J198" s="51">
        <f>'Horizontal Teams'!H66</f>
        <v/>
      </c>
      <c r="K198" s="16">
        <f>'Horizontal Teams'!I66</f>
        <v/>
      </c>
      <c r="L198" s="27" t="n">
        <v>1</v>
      </c>
      <c r="M198" s="44">
        <f>K198*L198</f>
        <v/>
      </c>
      <c r="N198" s="54">
        <f>M198*INDEX('Logic Tree'!$J$85:$N$87,MATCH(I198,'Logic Tree'!$I$85:$I$87,0),MATCH(H198,'Logic Tree'!$J$84:$N$84,0))</f>
        <v/>
      </c>
    </row>
    <row r="199" ht="15" customHeight="1">
      <c r="B199" s="27">
        <f>'Horizontal Teams'!B67</f>
        <v/>
      </c>
      <c r="C199" s="18" t="inlineStr">
        <is>
          <t>HZ</t>
        </is>
      </c>
      <c r="D199" s="51">
        <f>'Horizontal Teams'!C67</f>
        <v/>
      </c>
      <c r="E199" s="43" t="inlineStr">
        <is>
          <t>HZ</t>
        </is>
      </c>
      <c r="F199" s="57">
        <f>'Horizontal Teams'!E67</f>
        <v/>
      </c>
      <c r="G199" s="51">
        <f>'Horizontal Teams'!D67</f>
        <v/>
      </c>
      <c r="H199" s="51">
        <f>'Horizontal Teams'!F67</f>
        <v/>
      </c>
      <c r="I199" s="51">
        <f>'Horizontal Teams'!G67</f>
        <v/>
      </c>
      <c r="J199" s="51">
        <f>'Horizontal Teams'!H67</f>
        <v/>
      </c>
      <c r="K199" s="16">
        <f>'Horizontal Teams'!I67</f>
        <v/>
      </c>
      <c r="L199" s="27" t="n">
        <v>1</v>
      </c>
      <c r="M199" s="44">
        <f>K199*L199</f>
        <v/>
      </c>
      <c r="N199" s="54">
        <f>M199*INDEX('Logic Tree'!$J$85:$N$87,MATCH(I199,'Logic Tree'!$I$85:$I$87,0),MATCH(H199,'Logic Tree'!$J$84:$N$84,0))</f>
        <v/>
      </c>
    </row>
    <row r="200" ht="15" customHeight="1">
      <c r="B200" s="27">
        <f>'Horizontal Teams'!B68</f>
        <v/>
      </c>
      <c r="C200" s="18" t="inlineStr">
        <is>
          <t>HZ</t>
        </is>
      </c>
      <c r="D200" s="51">
        <f>'Horizontal Teams'!C68</f>
        <v/>
      </c>
      <c r="E200" s="43" t="inlineStr">
        <is>
          <t>HZ</t>
        </is>
      </c>
      <c r="F200" s="57">
        <f>'Horizontal Teams'!E68</f>
        <v/>
      </c>
      <c r="G200" s="51">
        <f>'Horizontal Teams'!D68</f>
        <v/>
      </c>
      <c r="H200" s="51">
        <f>'Horizontal Teams'!F68</f>
        <v/>
      </c>
      <c r="I200" s="51">
        <f>'Horizontal Teams'!G68</f>
        <v/>
      </c>
      <c r="J200" s="51">
        <f>'Horizontal Teams'!H68</f>
        <v/>
      </c>
      <c r="K200" s="16">
        <f>'Horizontal Teams'!I68</f>
        <v/>
      </c>
      <c r="L200" s="27" t="n">
        <v>1</v>
      </c>
      <c r="M200" s="44">
        <f>K200*L200</f>
        <v/>
      </c>
      <c r="N200" s="54">
        <f>M200*INDEX('Logic Tree'!$J$85:$N$87,MATCH(I200,'Logic Tree'!$I$85:$I$87,0),MATCH(H200,'Logic Tree'!$J$84:$N$84,0))</f>
        <v/>
      </c>
    </row>
    <row r="201" ht="15" customHeight="1">
      <c r="B201" s="27">
        <f>'Horizontal Teams'!B69</f>
        <v/>
      </c>
      <c r="C201" s="18" t="inlineStr">
        <is>
          <t>HZ</t>
        </is>
      </c>
      <c r="D201" s="51">
        <f>'Horizontal Teams'!C69</f>
        <v/>
      </c>
      <c r="E201" s="43" t="inlineStr">
        <is>
          <t>HZ</t>
        </is>
      </c>
      <c r="F201" s="57">
        <f>'Horizontal Teams'!E69</f>
        <v/>
      </c>
      <c r="G201" s="51">
        <f>'Horizontal Teams'!D69</f>
        <v/>
      </c>
      <c r="H201" s="51">
        <f>'Horizontal Teams'!F69</f>
        <v/>
      </c>
      <c r="I201" s="51">
        <f>'Horizontal Teams'!G69</f>
        <v/>
      </c>
      <c r="J201" s="51">
        <f>'Horizontal Teams'!H69</f>
        <v/>
      </c>
      <c r="K201" s="16">
        <f>'Horizontal Teams'!I69</f>
        <v/>
      </c>
      <c r="L201" s="27" t="n">
        <v>1</v>
      </c>
      <c r="M201" s="44">
        <f>K201*L201</f>
        <v/>
      </c>
      <c r="N201" s="54">
        <f>M201*INDEX('Logic Tree'!$J$85:$N$87,MATCH(I201,'Logic Tree'!$I$85:$I$87,0),MATCH(H201,'Logic Tree'!$J$84:$N$84,0))</f>
        <v/>
      </c>
    </row>
    <row r="202" ht="15" customHeight="1">
      <c r="B202" s="27">
        <f>'Horizontal Teams'!B72</f>
        <v/>
      </c>
      <c r="C202" s="18" t="inlineStr">
        <is>
          <t>HZ</t>
        </is>
      </c>
      <c r="D202" s="51">
        <f>'Horizontal Teams'!C72</f>
        <v/>
      </c>
      <c r="E202" s="43" t="inlineStr">
        <is>
          <t>HZ</t>
        </is>
      </c>
      <c r="F202" s="57">
        <f>'Horizontal Teams'!E72</f>
        <v/>
      </c>
      <c r="G202" s="51">
        <f>'Horizontal Teams'!D72</f>
        <v/>
      </c>
      <c r="H202" s="51">
        <f>'Horizontal Teams'!F72</f>
        <v/>
      </c>
      <c r="I202" s="51">
        <f>'Horizontal Teams'!G72</f>
        <v/>
      </c>
      <c r="J202" s="51">
        <f>'Horizontal Teams'!H72</f>
        <v/>
      </c>
      <c r="K202" s="16">
        <f>'Horizontal Teams'!I72</f>
        <v/>
      </c>
      <c r="L202" s="27" t="n">
        <v>1</v>
      </c>
      <c r="M202" s="44">
        <f>K202*L202</f>
        <v/>
      </c>
      <c r="N202" s="54">
        <f>M202*INDEX('Logic Tree'!$J$85:$N$87,MATCH(I202,'Logic Tree'!$I$85:$I$87,0),MATCH(H202,'Logic Tree'!$J$84:$N$84,0))</f>
        <v/>
      </c>
    </row>
    <row r="203" ht="15" customHeight="1">
      <c r="B203" s="27">
        <f>'Horizontal Teams'!B73</f>
        <v/>
      </c>
      <c r="C203" s="18" t="inlineStr">
        <is>
          <t>HZ</t>
        </is>
      </c>
      <c r="D203" s="51">
        <f>'Horizontal Teams'!C73</f>
        <v/>
      </c>
      <c r="E203" s="43" t="inlineStr">
        <is>
          <t>HZ</t>
        </is>
      </c>
      <c r="F203" s="57">
        <f>'Horizontal Teams'!E73</f>
        <v/>
      </c>
      <c r="G203" s="51">
        <f>'Horizontal Teams'!D73</f>
        <v/>
      </c>
      <c r="H203" s="51">
        <f>'Horizontal Teams'!F73</f>
        <v/>
      </c>
      <c r="I203" s="51">
        <f>'Horizontal Teams'!G73</f>
        <v/>
      </c>
      <c r="J203" s="51">
        <f>'Horizontal Teams'!H73</f>
        <v/>
      </c>
      <c r="K203" s="16">
        <f>'Horizontal Teams'!I73</f>
        <v/>
      </c>
      <c r="L203" s="27" t="n">
        <v>1</v>
      </c>
      <c r="M203" s="44">
        <f>K203*L203</f>
        <v/>
      </c>
      <c r="N203" s="54">
        <f>M203*INDEX('Logic Tree'!$J$85:$N$87,MATCH(I203,'Logic Tree'!$I$85:$I$87,0),MATCH(H203,'Logic Tree'!$J$84:$N$84,0))</f>
        <v/>
      </c>
    </row>
    <row r="204" ht="15" customHeight="1">
      <c r="B204" s="27">
        <f>'Horizontal Teams'!B74</f>
        <v/>
      </c>
      <c r="C204" s="18" t="inlineStr">
        <is>
          <t>HZ</t>
        </is>
      </c>
      <c r="D204" s="51">
        <f>'Horizontal Teams'!C74</f>
        <v/>
      </c>
      <c r="E204" s="43" t="inlineStr">
        <is>
          <t>HZ</t>
        </is>
      </c>
      <c r="F204" s="57">
        <f>'Horizontal Teams'!E74</f>
        <v/>
      </c>
      <c r="G204" s="51">
        <f>'Horizontal Teams'!D74</f>
        <v/>
      </c>
      <c r="H204" s="51">
        <f>'Horizontal Teams'!F74</f>
        <v/>
      </c>
      <c r="I204" s="51">
        <f>'Horizontal Teams'!G74</f>
        <v/>
      </c>
      <c r="J204" s="51">
        <f>'Horizontal Teams'!H74</f>
        <v/>
      </c>
      <c r="K204" s="16">
        <f>'Horizontal Teams'!I74</f>
        <v/>
      </c>
      <c r="L204" s="27" t="n">
        <v>1</v>
      </c>
      <c r="M204" s="44">
        <f>K204*L204</f>
        <v/>
      </c>
      <c r="N204" s="54">
        <f>M204*INDEX('Logic Tree'!$J$85:$N$87,MATCH(I204,'Logic Tree'!$I$85:$I$87,0),MATCH(H204,'Logic Tree'!$J$84:$N$84,0))</f>
        <v/>
      </c>
    </row>
    <row r="205" ht="15" customHeight="1">
      <c r="B205" s="27">
        <f>'Horizontal Teams'!B75</f>
        <v/>
      </c>
      <c r="C205" s="18" t="inlineStr">
        <is>
          <t>HZ</t>
        </is>
      </c>
      <c r="D205" s="51">
        <f>'Horizontal Teams'!C75</f>
        <v/>
      </c>
      <c r="E205" s="43" t="inlineStr">
        <is>
          <t>HZ</t>
        </is>
      </c>
      <c r="F205" s="57">
        <f>'Horizontal Teams'!E75</f>
        <v/>
      </c>
      <c r="G205" s="51">
        <f>'Horizontal Teams'!D75</f>
        <v/>
      </c>
      <c r="H205" s="51">
        <f>'Horizontal Teams'!F75</f>
        <v/>
      </c>
      <c r="I205" s="51">
        <f>'Horizontal Teams'!G75</f>
        <v/>
      </c>
      <c r="J205" s="51">
        <f>'Horizontal Teams'!H75</f>
        <v/>
      </c>
      <c r="K205" s="16">
        <f>'Horizontal Teams'!I75</f>
        <v/>
      </c>
      <c r="L205" s="27" t="n">
        <v>1</v>
      </c>
      <c r="M205" s="44">
        <f>K205*L205</f>
        <v/>
      </c>
      <c r="N205" s="54">
        <f>M205*INDEX('Logic Tree'!$J$85:$N$87,MATCH(I205,'Logic Tree'!$I$85:$I$87,0),MATCH(H205,'Logic Tree'!$J$84:$N$84,0))</f>
        <v/>
      </c>
    </row>
    <row r="206" ht="15" customHeight="1">
      <c r="B206" s="27">
        <f>'Horizontal Teams'!B76</f>
        <v/>
      </c>
      <c r="C206" s="18" t="inlineStr">
        <is>
          <t>HZ</t>
        </is>
      </c>
      <c r="D206" s="51">
        <f>'Horizontal Teams'!C76</f>
        <v/>
      </c>
      <c r="E206" s="43" t="inlineStr">
        <is>
          <t>HZ</t>
        </is>
      </c>
      <c r="F206" s="57">
        <f>'Horizontal Teams'!E76</f>
        <v/>
      </c>
      <c r="G206" s="51">
        <f>'Horizontal Teams'!D76</f>
        <v/>
      </c>
      <c r="H206" s="51">
        <f>'Horizontal Teams'!F76</f>
        <v/>
      </c>
      <c r="I206" s="51">
        <f>'Horizontal Teams'!G76</f>
        <v/>
      </c>
      <c r="J206" s="51">
        <f>'Horizontal Teams'!H76</f>
        <v/>
      </c>
      <c r="K206" s="16">
        <f>'Horizontal Teams'!I76</f>
        <v/>
      </c>
      <c r="L206" s="27" t="n">
        <v>1</v>
      </c>
      <c r="M206" s="44">
        <f>K206*L206</f>
        <v/>
      </c>
      <c r="N206" s="54">
        <f>M206*INDEX('Logic Tree'!$J$85:$N$87,MATCH(I206,'Logic Tree'!$I$85:$I$87,0),MATCH(H206,'Logic Tree'!$J$84:$N$84,0))</f>
        <v/>
      </c>
    </row>
    <row r="207" ht="15" customHeight="1">
      <c r="B207" s="27">
        <f>'Horizontal Teams'!B77</f>
        <v/>
      </c>
      <c r="C207" s="18" t="inlineStr">
        <is>
          <t>HZ</t>
        </is>
      </c>
      <c r="D207" s="51">
        <f>'Horizontal Teams'!C77</f>
        <v/>
      </c>
      <c r="E207" s="43" t="inlineStr">
        <is>
          <t>HZ</t>
        </is>
      </c>
      <c r="F207" s="57">
        <f>'Horizontal Teams'!E77</f>
        <v/>
      </c>
      <c r="G207" s="51">
        <f>'Horizontal Teams'!D77</f>
        <v/>
      </c>
      <c r="H207" s="51">
        <f>'Horizontal Teams'!F77</f>
        <v/>
      </c>
      <c r="I207" s="51">
        <f>'Horizontal Teams'!G77</f>
        <v/>
      </c>
      <c r="J207" s="51">
        <f>'Horizontal Teams'!H77</f>
        <v/>
      </c>
      <c r="K207" s="16">
        <f>'Horizontal Teams'!I77</f>
        <v/>
      </c>
      <c r="L207" s="27" t="n">
        <v>1</v>
      </c>
      <c r="M207" s="44">
        <f>K207*L207</f>
        <v/>
      </c>
      <c r="N207" s="54">
        <f>M207*INDEX('Logic Tree'!$J$85:$N$87,MATCH(I207,'Logic Tree'!$I$85:$I$87,0),MATCH(H207,'Logic Tree'!$J$84:$N$84,0))</f>
        <v/>
      </c>
    </row>
    <row r="208" ht="15" customHeight="1">
      <c r="B208" s="27">
        <f>'Horizontal Teams'!B78</f>
        <v/>
      </c>
      <c r="C208" s="18" t="inlineStr">
        <is>
          <t>HZ</t>
        </is>
      </c>
      <c r="D208" s="51">
        <f>'Horizontal Teams'!C78</f>
        <v/>
      </c>
      <c r="E208" s="43" t="inlineStr">
        <is>
          <t>HZ</t>
        </is>
      </c>
      <c r="F208" s="57">
        <f>'Horizontal Teams'!E78</f>
        <v/>
      </c>
      <c r="G208" s="51">
        <f>'Horizontal Teams'!D78</f>
        <v/>
      </c>
      <c r="H208" s="51">
        <f>'Horizontal Teams'!F78</f>
        <v/>
      </c>
      <c r="I208" s="51">
        <f>'Horizontal Teams'!G78</f>
        <v/>
      </c>
      <c r="J208" s="51">
        <f>'Horizontal Teams'!H78</f>
        <v/>
      </c>
      <c r="K208" s="16">
        <f>'Horizontal Teams'!I78</f>
        <v/>
      </c>
      <c r="L208" s="27" t="n">
        <v>1</v>
      </c>
      <c r="M208" s="44">
        <f>K208*L208</f>
        <v/>
      </c>
      <c r="N208" s="54">
        <f>M208*INDEX('Logic Tree'!$J$85:$N$87,MATCH(I208,'Logic Tree'!$I$85:$I$87,0),MATCH(H208,'Logic Tree'!$J$84:$N$84,0))</f>
        <v/>
      </c>
    </row>
    <row r="209" ht="15" customHeight="1">
      <c r="B209" s="27">
        <f>'Horizontal Teams'!B79</f>
        <v/>
      </c>
      <c r="C209" s="18" t="inlineStr">
        <is>
          <t>HZ</t>
        </is>
      </c>
      <c r="D209" s="51">
        <f>'Horizontal Teams'!C79</f>
        <v/>
      </c>
      <c r="E209" s="43" t="inlineStr">
        <is>
          <t>HZ</t>
        </is>
      </c>
      <c r="F209" s="57">
        <f>'Horizontal Teams'!E79</f>
        <v/>
      </c>
      <c r="G209" s="51">
        <f>'Horizontal Teams'!D79</f>
        <v/>
      </c>
      <c r="H209" s="51">
        <f>'Horizontal Teams'!F79</f>
        <v/>
      </c>
      <c r="I209" s="51">
        <f>'Horizontal Teams'!G79</f>
        <v/>
      </c>
      <c r="J209" s="51">
        <f>'Horizontal Teams'!H79</f>
        <v/>
      </c>
      <c r="K209" s="16">
        <f>'Horizontal Teams'!I79</f>
        <v/>
      </c>
      <c r="L209" s="27" t="n">
        <v>1</v>
      </c>
      <c r="M209" s="44">
        <f>K209*L209</f>
        <v/>
      </c>
      <c r="N209" s="54">
        <f>M209*INDEX('Logic Tree'!$J$85:$N$87,MATCH(I209,'Logic Tree'!$I$85:$I$87,0),MATCH(H209,'Logic Tree'!$J$84:$N$84,0))</f>
        <v/>
      </c>
    </row>
    <row r="210" ht="15" customHeight="1">
      <c r="B210" s="27">
        <f>'Horizontal Teams'!B80</f>
        <v/>
      </c>
      <c r="C210" s="18" t="inlineStr">
        <is>
          <t>HZ</t>
        </is>
      </c>
      <c r="D210" s="51">
        <f>'Horizontal Teams'!C80</f>
        <v/>
      </c>
      <c r="E210" s="43" t="inlineStr">
        <is>
          <t>HZ</t>
        </is>
      </c>
      <c r="F210" s="57">
        <f>'Horizontal Teams'!E80</f>
        <v/>
      </c>
      <c r="G210" s="51">
        <f>'Horizontal Teams'!D80</f>
        <v/>
      </c>
      <c r="H210" s="51">
        <f>'Horizontal Teams'!F80</f>
        <v/>
      </c>
      <c r="I210" s="51">
        <f>'Horizontal Teams'!G80</f>
        <v/>
      </c>
      <c r="J210" s="51">
        <f>'Horizontal Teams'!H80</f>
        <v/>
      </c>
      <c r="K210" s="16">
        <f>'Horizontal Teams'!I80</f>
        <v/>
      </c>
      <c r="L210" s="27" t="n">
        <v>1</v>
      </c>
      <c r="M210" s="44">
        <f>K210*L210</f>
        <v/>
      </c>
      <c r="N210" s="54">
        <f>M210*INDEX('Logic Tree'!$J$85:$N$87,MATCH(I210,'Logic Tree'!$I$85:$I$87,0),MATCH(H210,'Logic Tree'!$J$84:$N$84,0))</f>
        <v/>
      </c>
    </row>
    <row r="211" ht="15" customHeight="1">
      <c r="B211" s="27">
        <f>'Horizontal Teams'!B81</f>
        <v/>
      </c>
      <c r="C211" s="18" t="inlineStr">
        <is>
          <t>HZ</t>
        </is>
      </c>
      <c r="D211" s="51">
        <f>'Horizontal Teams'!C81</f>
        <v/>
      </c>
      <c r="E211" s="43" t="inlineStr">
        <is>
          <t>HZ</t>
        </is>
      </c>
      <c r="F211" s="57">
        <f>'Horizontal Teams'!E81</f>
        <v/>
      </c>
      <c r="G211" s="51">
        <f>'Horizontal Teams'!D81</f>
        <v/>
      </c>
      <c r="H211" s="51">
        <f>'Horizontal Teams'!F81</f>
        <v/>
      </c>
      <c r="I211" s="51">
        <f>'Horizontal Teams'!G81</f>
        <v/>
      </c>
      <c r="J211" s="51">
        <f>'Horizontal Teams'!H81</f>
        <v/>
      </c>
      <c r="K211" s="16">
        <f>'Horizontal Teams'!I81</f>
        <v/>
      </c>
      <c r="L211" s="27" t="n">
        <v>1</v>
      </c>
      <c r="M211" s="44">
        <f>K211*L211</f>
        <v/>
      </c>
      <c r="N211" s="54">
        <f>M211*INDEX('Logic Tree'!$J$85:$N$87,MATCH(I211,'Logic Tree'!$I$85:$I$87,0),MATCH(H211,'Logic Tree'!$J$84:$N$84,0))</f>
        <v/>
      </c>
    </row>
    <row r="212" ht="15" customHeight="1">
      <c r="B212" s="27" t="n"/>
      <c r="C212" s="18" t="n"/>
      <c r="D212" s="43" t="n"/>
      <c r="E212" s="43" t="n"/>
      <c r="F212" s="57" t="n"/>
      <c r="G212" s="51" t="n"/>
      <c r="H212" s="51" t="n"/>
      <c r="I212" s="51" t="n"/>
      <c r="J212" s="51" t="n"/>
      <c r="K212" s="16" t="n"/>
      <c r="L212" s="21" t="n"/>
      <c r="M212" s="54" t="n"/>
      <c r="N212" s="54" t="n"/>
    </row>
    <row r="213" ht="15" customHeight="1">
      <c r="B213" s="27" t="n"/>
      <c r="C213" s="18" t="n"/>
      <c r="D213" s="43" t="n"/>
      <c r="E213" s="43" t="n"/>
      <c r="F213" s="57" t="n"/>
      <c r="G213" s="51" t="n"/>
      <c r="H213" s="51" t="n"/>
      <c r="I213" s="51" t="n"/>
      <c r="J213" s="51" t="n"/>
      <c r="K213" s="16" t="n"/>
      <c r="L213" s="21" t="n"/>
      <c r="M213" s="54" t="n"/>
      <c r="N213" s="54" t="n"/>
    </row>
    <row r="214" ht="15" customHeight="1">
      <c r="B214" s="27" t="n"/>
      <c r="C214" s="18" t="n"/>
      <c r="D214" s="43" t="n"/>
      <c r="E214" s="43" t="n"/>
      <c r="F214" s="57" t="n"/>
      <c r="G214" s="51" t="n"/>
      <c r="H214" s="51" t="n"/>
      <c r="I214" s="51" t="n"/>
      <c r="J214" s="51" t="n"/>
      <c r="K214" s="16" t="n"/>
      <c r="L214" s="21" t="n"/>
      <c r="M214" s="54" t="n"/>
      <c r="N214" s="54" t="n"/>
    </row>
    <row r="215" ht="15" customHeight="1">
      <c r="B215" s="27" t="n"/>
      <c r="C215" s="18" t="n"/>
      <c r="D215" s="43" t="n"/>
      <c r="E215" s="43" t="n"/>
      <c r="F215" s="57" t="n"/>
      <c r="G215" s="51" t="n"/>
      <c r="H215" s="51" t="n"/>
      <c r="I215" s="51" t="n"/>
      <c r="J215" s="51" t="n"/>
      <c r="K215" s="16" t="n"/>
      <c r="L215" s="21" t="n"/>
      <c r="M215" s="54" t="n"/>
      <c r="N215" s="54" t="n"/>
    </row>
    <row r="216" ht="15" customHeight="1">
      <c r="B216" s="27" t="n"/>
      <c r="C216" s="18" t="n"/>
      <c r="D216" s="43" t="n"/>
      <c r="E216" s="43" t="n"/>
      <c r="F216" s="57" t="n"/>
      <c r="G216" s="51" t="n"/>
      <c r="H216" s="51" t="n"/>
      <c r="I216" s="51" t="n"/>
      <c r="J216" s="51" t="n"/>
      <c r="K216" s="16" t="n"/>
      <c r="L216" s="21" t="n"/>
      <c r="M216" s="54" t="n"/>
      <c r="N216" s="54" t="n"/>
    </row>
    <row r="217" ht="15" customHeight="1">
      <c r="B217" s="27" t="n"/>
      <c r="C217" s="18" t="n"/>
      <c r="D217" s="43" t="n"/>
      <c r="E217" s="43" t="n"/>
      <c r="F217" s="57" t="n"/>
      <c r="G217" s="51" t="n"/>
      <c r="H217" s="51" t="n"/>
      <c r="I217" s="51" t="n"/>
      <c r="J217" s="51" t="n"/>
      <c r="K217" s="16" t="n"/>
      <c r="L217" s="21" t="n"/>
      <c r="M217" s="54" t="n"/>
      <c r="N217" s="54" t="n"/>
    </row>
    <row r="218" ht="15" customHeight="1">
      <c r="B218" s="27" t="n"/>
      <c r="C218" s="18" t="n"/>
      <c r="D218" s="43" t="n"/>
      <c r="E218" s="43" t="n"/>
      <c r="F218" s="57" t="n"/>
      <c r="G218" s="51" t="n"/>
      <c r="H218" s="51" t="n"/>
      <c r="I218" s="51" t="n"/>
      <c r="J218" s="51" t="n"/>
      <c r="K218" s="16" t="n"/>
      <c r="L218" s="21" t="n"/>
      <c r="M218" s="54" t="n"/>
      <c r="N218" s="54" t="n"/>
    </row>
    <row r="219" ht="15" customHeight="1">
      <c r="B219" s="27" t="n"/>
      <c r="C219" s="18" t="n"/>
      <c r="D219" s="43" t="n"/>
      <c r="E219" s="43" t="n"/>
      <c r="F219" s="57" t="n"/>
      <c r="G219" s="51" t="n"/>
      <c r="H219" s="51" t="n"/>
      <c r="I219" s="51" t="n"/>
      <c r="J219" s="51" t="n"/>
      <c r="K219" s="16" t="n"/>
      <c r="L219" s="21" t="n"/>
      <c r="M219" s="54" t="n"/>
      <c r="N219" s="54" t="n"/>
    </row>
    <row r="220" ht="15" customHeight="1">
      <c r="B220" s="27" t="n"/>
      <c r="C220" s="18" t="n"/>
      <c r="D220" s="51" t="n"/>
      <c r="E220" s="43" t="n"/>
      <c r="F220" s="57" t="n"/>
      <c r="G220" s="51" t="n"/>
      <c r="H220" s="51" t="n"/>
      <c r="I220" s="51" t="n"/>
      <c r="J220" s="51" t="n"/>
      <c r="K220" s="16" t="n"/>
      <c r="L220" s="27" t="n"/>
      <c r="M220" s="54" t="n"/>
      <c r="N220" s="54" t="n"/>
    </row>
    <row r="221" ht="15" customHeight="1">
      <c r="B221" s="27" t="n"/>
      <c r="C221" s="18" t="n"/>
      <c r="D221" s="51" t="n"/>
      <c r="E221" s="43" t="n"/>
      <c r="F221" s="57" t="n"/>
      <c r="G221" s="51" t="n"/>
      <c r="H221" s="51" t="n"/>
      <c r="I221" s="51" t="n"/>
      <c r="J221" s="51" t="n"/>
      <c r="K221" s="16" t="n"/>
      <c r="L221" s="27" t="n"/>
      <c r="M221" s="54" t="n"/>
      <c r="N221" s="54" t="n"/>
    </row>
    <row r="222" ht="15" customHeight="1">
      <c r="B222" s="27" t="n"/>
      <c r="C222" s="18" t="n"/>
      <c r="D222" s="51" t="n"/>
      <c r="E222" s="43" t="n"/>
      <c r="F222" s="57" t="n"/>
      <c r="G222" s="51" t="n"/>
      <c r="H222" s="51" t="n"/>
      <c r="I222" s="51" t="n"/>
      <c r="J222" s="51" t="n"/>
      <c r="K222" s="16" t="n"/>
      <c r="L222" s="27" t="n"/>
      <c r="M222" s="54" t="n"/>
      <c r="N222" s="54" t="n"/>
    </row>
    <row r="223" ht="15" customHeight="1">
      <c r="B223" s="27" t="n"/>
      <c r="C223" s="18" t="n"/>
      <c r="D223" s="51" t="n"/>
      <c r="E223" s="43" t="n"/>
      <c r="F223" s="57" t="n"/>
      <c r="G223" s="51" t="n"/>
      <c r="H223" s="51" t="n"/>
      <c r="I223" s="51" t="n"/>
      <c r="J223" s="51" t="n"/>
      <c r="K223" s="16" t="n"/>
      <c r="L223" s="27" t="n"/>
      <c r="M223" s="54" t="n"/>
      <c r="N223" s="54" t="n"/>
    </row>
    <row r="224" ht="15" customHeight="1">
      <c r="B224" s="27" t="n"/>
      <c r="C224" s="18" t="n"/>
      <c r="D224" s="51" t="n"/>
      <c r="E224" s="43" t="n"/>
      <c r="F224" s="57" t="n"/>
      <c r="G224" s="51" t="n"/>
      <c r="H224" s="51" t="n"/>
      <c r="I224" s="51" t="n"/>
      <c r="J224" s="51" t="n"/>
      <c r="K224" s="16" t="n"/>
      <c r="L224" s="27" t="n"/>
      <c r="M224" s="54" t="n"/>
      <c r="N224" s="54" t="n"/>
    </row>
    <row r="225" ht="15" customHeight="1">
      <c r="B225" s="27" t="n"/>
      <c r="C225" s="18" t="n"/>
      <c r="D225" s="51" t="n"/>
      <c r="E225" s="43" t="n"/>
      <c r="F225" s="57" t="n"/>
      <c r="G225" s="51" t="n"/>
      <c r="H225" s="51" t="n"/>
      <c r="I225" s="51" t="n"/>
      <c r="J225" s="51" t="n"/>
      <c r="K225" s="16" t="n"/>
      <c r="L225" s="27" t="n"/>
      <c r="M225" s="54" t="n"/>
      <c r="N225" s="54" t="n"/>
    </row>
    <row r="226" ht="15" customHeight="1">
      <c r="B226" s="27" t="n"/>
      <c r="C226" s="18" t="n"/>
      <c r="D226" s="51" t="n"/>
      <c r="E226" s="43" t="n"/>
      <c r="F226" s="57" t="n"/>
      <c r="G226" s="51" t="n"/>
      <c r="H226" s="51" t="n"/>
      <c r="I226" s="51" t="n"/>
      <c r="J226" s="51" t="n"/>
      <c r="K226" s="16" t="n"/>
      <c r="L226" s="27" t="n"/>
      <c r="M226" s="54" t="n"/>
      <c r="N226" s="54" t="n"/>
    </row>
    <row r="227" ht="15" customHeight="1">
      <c r="B227" s="27" t="n"/>
      <c r="C227" s="18" t="n"/>
      <c r="D227" s="51" t="n"/>
      <c r="E227" s="43" t="n"/>
      <c r="F227" s="57" t="n"/>
      <c r="G227" s="51" t="n"/>
      <c r="H227" s="51" t="n"/>
      <c r="I227" s="51" t="n"/>
      <c r="J227" s="51" t="n"/>
      <c r="K227" s="16" t="n"/>
      <c r="L227" s="27" t="n"/>
      <c r="M227" s="54" t="n"/>
      <c r="N227" s="54" t="n"/>
    </row>
    <row r="228" ht="15" customHeight="1">
      <c r="B228" s="27" t="n"/>
      <c r="C228" s="18" t="n"/>
      <c r="D228" s="51" t="n"/>
      <c r="E228" s="43" t="n"/>
      <c r="F228" s="57" t="n"/>
      <c r="G228" s="51" t="n"/>
      <c r="H228" s="51" t="n"/>
      <c r="I228" s="51" t="n"/>
      <c r="J228" s="51" t="n"/>
      <c r="K228" s="16" t="n"/>
      <c r="L228" s="27" t="n"/>
      <c r="M228" s="54" t="n"/>
      <c r="N228" s="54" t="n"/>
    </row>
    <row r="229" ht="15" customHeight="1">
      <c r="B229" s="27" t="n"/>
      <c r="C229" s="18" t="n"/>
      <c r="D229" s="51" t="n"/>
      <c r="E229" s="43" t="n"/>
      <c r="F229" s="57" t="n"/>
      <c r="G229" s="51" t="n"/>
      <c r="H229" s="51" t="n"/>
      <c r="I229" s="51" t="n"/>
      <c r="J229" s="51" t="n"/>
      <c r="K229" s="16" t="n"/>
      <c r="L229" s="27" t="n"/>
      <c r="M229" s="54" t="n"/>
      <c r="N229" s="54" t="n"/>
    </row>
    <row r="230" ht="15" customHeight="1">
      <c r="B230" s="27" t="n"/>
      <c r="C230" s="18" t="n"/>
      <c r="D230" s="51" t="n"/>
      <c r="E230" s="43" t="n"/>
      <c r="F230" s="57" t="n"/>
      <c r="G230" s="51" t="n"/>
      <c r="H230" s="51" t="n"/>
      <c r="I230" s="51" t="n"/>
      <c r="J230" s="51" t="n"/>
      <c r="K230" s="16" t="n"/>
      <c r="L230" s="27" t="n"/>
      <c r="M230" s="54" t="n"/>
      <c r="N230" s="54" t="n"/>
    </row>
    <row r="231" ht="15" customHeight="1">
      <c r="B231" s="27" t="n"/>
      <c r="C231" s="18" t="n"/>
      <c r="D231" s="51" t="n"/>
      <c r="E231" s="43" t="n"/>
      <c r="F231" s="57" t="n"/>
      <c r="G231" s="51" t="n"/>
      <c r="H231" s="51" t="n"/>
      <c r="I231" s="51" t="n"/>
      <c r="J231" s="51" t="n"/>
      <c r="K231" s="16" t="n"/>
      <c r="L231" s="27" t="n"/>
      <c r="M231" s="54" t="n"/>
      <c r="N231" s="54" t="n"/>
    </row>
    <row r="232" ht="15" customHeight="1">
      <c r="B232" s="27" t="n"/>
      <c r="C232" s="18" t="n"/>
      <c r="D232" s="51" t="n"/>
      <c r="E232" s="43" t="n"/>
      <c r="F232" s="57" t="n"/>
      <c r="G232" s="51" t="n"/>
      <c r="H232" s="51" t="n"/>
      <c r="I232" s="51" t="n"/>
      <c r="J232" s="51" t="n"/>
      <c r="K232" s="16" t="n"/>
      <c r="L232" s="27" t="n"/>
      <c r="M232" s="54" t="n"/>
      <c r="N232" s="54" t="n"/>
    </row>
    <row r="233" ht="15" customHeight="1">
      <c r="B233" s="27" t="n"/>
      <c r="C233" s="18" t="n"/>
      <c r="D233" s="51" t="n"/>
      <c r="E233" s="43" t="n"/>
      <c r="F233" s="57" t="n"/>
      <c r="G233" s="51" t="n"/>
      <c r="H233" s="51" t="n"/>
      <c r="I233" s="51" t="n"/>
      <c r="J233" s="51" t="n"/>
      <c r="K233" s="16" t="n"/>
      <c r="L233" s="27" t="n"/>
      <c r="M233" s="54" t="n"/>
      <c r="N233" s="54" t="n"/>
    </row>
    <row r="234" ht="15" customHeight="1">
      <c r="B234" s="27" t="n"/>
      <c r="C234" s="18" t="n"/>
      <c r="D234" s="51" t="n"/>
      <c r="E234" s="43" t="n"/>
      <c r="F234" s="57" t="n"/>
      <c r="G234" s="51" t="n"/>
      <c r="H234" s="51" t="n"/>
      <c r="I234" s="51" t="n"/>
      <c r="J234" s="51" t="n"/>
      <c r="K234" s="16" t="n"/>
      <c r="L234" s="27" t="n"/>
      <c r="M234" s="54" t="n"/>
      <c r="N234" s="54" t="n"/>
    </row>
    <row r="235" ht="15" customHeight="1">
      <c r="B235" s="27" t="n"/>
      <c r="C235" s="18" t="n"/>
      <c r="D235" s="51" t="n"/>
      <c r="E235" s="43" t="n"/>
      <c r="F235" s="57" t="n"/>
      <c r="G235" s="51" t="n"/>
      <c r="H235" s="51" t="n"/>
      <c r="I235" s="51" t="n"/>
      <c r="J235" s="51" t="n"/>
      <c r="K235" s="16" t="n"/>
      <c r="L235" s="27" t="n"/>
      <c r="M235" s="54" t="n"/>
      <c r="N235" s="54" t="n"/>
    </row>
    <row r="236" ht="15" customHeight="1">
      <c r="B236" s="27" t="n"/>
      <c r="C236" s="18" t="n"/>
      <c r="D236" s="51" t="n"/>
      <c r="E236" s="43" t="n"/>
      <c r="F236" s="57" t="n"/>
      <c r="G236" s="51" t="n"/>
      <c r="H236" s="51" t="n"/>
      <c r="I236" s="51" t="n"/>
      <c r="J236" s="51" t="n"/>
      <c r="K236" s="16" t="n"/>
      <c r="L236" s="27" t="n"/>
      <c r="M236" s="54" t="n"/>
      <c r="N236" s="54" t="n"/>
    </row>
    <row r="237" ht="15" customHeight="1">
      <c r="B237" s="27" t="n"/>
      <c r="C237" s="18" t="n"/>
      <c r="D237" s="51" t="n"/>
      <c r="E237" s="43" t="n"/>
      <c r="F237" s="57" t="n"/>
      <c r="G237" s="51" t="n"/>
      <c r="H237" s="51" t="n"/>
      <c r="I237" s="51" t="n"/>
      <c r="J237" s="51" t="n"/>
      <c r="K237" s="16" t="n"/>
      <c r="L237" s="27" t="n"/>
      <c r="M237" s="54" t="n"/>
      <c r="N237" s="54" t="n"/>
    </row>
    <row r="238" ht="15" customHeight="1">
      <c r="B238" s="27" t="n"/>
      <c r="C238" s="18" t="n"/>
      <c r="D238" s="51" t="n"/>
      <c r="E238" s="43" t="n"/>
      <c r="F238" s="57" t="n"/>
      <c r="G238" s="51" t="n"/>
      <c r="H238" s="51" t="n"/>
      <c r="I238" s="51" t="n"/>
      <c r="J238" s="51" t="n"/>
      <c r="K238" s="16" t="n"/>
      <c r="L238" s="27" t="n"/>
      <c r="M238" s="54" t="n"/>
      <c r="N238" s="54" t="n"/>
    </row>
    <row r="239" ht="15" customHeight="1">
      <c r="B239" s="27" t="n"/>
      <c r="C239" s="18" t="n"/>
      <c r="D239" s="43" t="n"/>
      <c r="E239" s="43" t="n"/>
      <c r="F239" s="57" t="n"/>
      <c r="G239" s="51" t="n"/>
      <c r="H239" s="51" t="n"/>
      <c r="I239" s="51" t="n"/>
      <c r="J239" s="51" t="n"/>
      <c r="K239" s="16" t="n"/>
      <c r="L239" s="21" t="n"/>
      <c r="M239" s="54" t="n"/>
      <c r="N239" s="54" t="n"/>
    </row>
    <row r="240" ht="15" customHeight="1">
      <c r="B240" s="27" t="n"/>
      <c r="C240" s="18" t="n"/>
      <c r="D240" s="43" t="n"/>
      <c r="E240" s="43" t="n"/>
      <c r="F240" s="57" t="n"/>
      <c r="G240" s="51" t="n"/>
      <c r="H240" s="51" t="n"/>
      <c r="I240" s="51" t="n"/>
      <c r="J240" s="51" t="n"/>
      <c r="K240" s="16" t="n"/>
      <c r="L240" s="21" t="n"/>
      <c r="M240" s="54" t="n"/>
      <c r="N240" s="54" t="n"/>
    </row>
    <row r="241" ht="15" customHeight="1">
      <c r="B241" s="27" t="n"/>
      <c r="C241" s="18" t="n"/>
      <c r="D241" s="43" t="n"/>
      <c r="E241" s="43" t="n"/>
      <c r="F241" s="57" t="n"/>
      <c r="G241" s="51" t="n"/>
      <c r="H241" s="51" t="n"/>
      <c r="I241" s="51" t="n"/>
      <c r="J241" s="51" t="n"/>
      <c r="K241" s="16" t="n"/>
      <c r="L241" s="21" t="n"/>
      <c r="M241" s="54" t="n"/>
      <c r="N241" s="54" t="n"/>
    </row>
    <row r="242" ht="15" customHeight="1">
      <c r="B242" s="27" t="n"/>
      <c r="C242" s="18" t="n"/>
      <c r="D242" s="43" t="n"/>
      <c r="E242" s="43" t="n"/>
      <c r="F242" s="57" t="n"/>
      <c r="G242" s="51" t="n"/>
      <c r="H242" s="51" t="n"/>
      <c r="I242" s="51" t="n"/>
      <c r="J242" s="51" t="n"/>
      <c r="K242" s="16" t="n"/>
      <c r="L242" s="21" t="n"/>
      <c r="M242" s="54" t="n"/>
      <c r="N242" s="54" t="n"/>
    </row>
    <row r="243" ht="15" customHeight="1">
      <c r="B243" s="27" t="n"/>
      <c r="C243" s="18" t="n"/>
      <c r="D243" s="43" t="n"/>
      <c r="E243" s="43" t="n"/>
      <c r="F243" s="57" t="n"/>
      <c r="G243" s="51" t="n"/>
      <c r="H243" s="51" t="n"/>
      <c r="I243" s="51" t="n"/>
      <c r="J243" s="51" t="n"/>
      <c r="K243" s="16" t="n"/>
      <c r="L243" s="21" t="n"/>
      <c r="M243" s="54" t="n"/>
      <c r="N243" s="54" t="n"/>
    </row>
    <row r="244" ht="15" customHeight="1">
      <c r="B244" s="27" t="n"/>
      <c r="C244" s="18" t="n"/>
      <c r="D244" s="43" t="n"/>
      <c r="E244" s="43" t="n"/>
      <c r="F244" s="57" t="n"/>
      <c r="G244" s="51" t="n"/>
      <c r="H244" s="51" t="n"/>
      <c r="I244" s="51" t="n"/>
      <c r="J244" s="51" t="n"/>
      <c r="K244" s="16" t="n"/>
      <c r="L244" s="21" t="n"/>
      <c r="M244" s="54" t="n"/>
      <c r="N244" s="54" t="n"/>
    </row>
    <row r="245" ht="15" customHeight="1">
      <c r="B245" s="27" t="n"/>
      <c r="C245" s="18" t="n"/>
      <c r="D245" s="43" t="n"/>
      <c r="E245" s="43" t="n"/>
      <c r="F245" s="57" t="n"/>
      <c r="G245" s="51" t="n"/>
      <c r="H245" s="51" t="n"/>
      <c r="I245" s="51" t="n"/>
      <c r="J245" s="51" t="n"/>
      <c r="K245" s="16" t="n"/>
      <c r="L245" s="21" t="n"/>
      <c r="M245" s="54" t="n"/>
      <c r="N245" s="54" t="n"/>
    </row>
    <row r="246" ht="15" customHeight="1">
      <c r="B246" s="27" t="n"/>
      <c r="C246" s="18" t="n"/>
      <c r="D246" s="43" t="n"/>
      <c r="E246" s="43" t="n"/>
      <c r="F246" s="57" t="n"/>
      <c r="G246" s="51" t="n"/>
      <c r="H246" s="51" t="n"/>
      <c r="I246" s="51" t="n"/>
      <c r="J246" s="51" t="n"/>
      <c r="K246" s="16" t="n"/>
      <c r="L246" s="21" t="n"/>
      <c r="M246" s="54" t="n"/>
      <c r="N246" s="54" t="n"/>
    </row>
    <row r="247" ht="15" customHeight="1">
      <c r="B247" s="27" t="n"/>
      <c r="C247" s="18" t="n"/>
      <c r="D247" s="43" t="n"/>
      <c r="E247" s="43" t="n"/>
      <c r="F247" s="57" t="n"/>
      <c r="G247" s="51" t="n"/>
      <c r="H247" s="51" t="n"/>
      <c r="I247" s="51" t="n"/>
      <c r="J247" s="51" t="n"/>
      <c r="K247" s="16" t="n"/>
      <c r="L247" s="21" t="n"/>
      <c r="M247" s="54" t="n"/>
      <c r="N247" s="54" t="n"/>
    </row>
    <row r="248" ht="15" customHeight="1">
      <c r="B248" s="27" t="n"/>
      <c r="C248" s="18" t="n"/>
      <c r="D248" s="43" t="n"/>
      <c r="E248" s="43" t="n"/>
      <c r="F248" s="57" t="n"/>
      <c r="G248" s="51" t="n"/>
      <c r="H248" s="51" t="n"/>
      <c r="I248" s="51" t="n"/>
      <c r="J248" s="51" t="n"/>
      <c r="K248" s="16" t="n"/>
      <c r="L248" s="21" t="n"/>
      <c r="M248" s="54" t="n"/>
      <c r="N248" s="54" t="n"/>
    </row>
    <row r="249" ht="15" customHeight="1">
      <c r="B249" s="27" t="n"/>
      <c r="C249" s="18" t="n"/>
      <c r="D249" s="43" t="n"/>
      <c r="E249" s="43" t="n"/>
      <c r="F249" s="57" t="n"/>
      <c r="G249" s="51" t="n"/>
      <c r="H249" s="51" t="n"/>
      <c r="I249" s="51" t="n"/>
      <c r="J249" s="51" t="n"/>
      <c r="K249" s="16" t="n"/>
      <c r="L249" s="21" t="n"/>
      <c r="M249" s="54" t="n"/>
      <c r="N249" s="54" t="n"/>
    </row>
    <row r="250" ht="15" customHeight="1">
      <c r="B250" s="27" t="n"/>
      <c r="C250" s="18" t="n"/>
      <c r="D250" s="43" t="n"/>
      <c r="E250" s="43" t="n"/>
      <c r="F250" s="57" t="n"/>
      <c r="G250" s="51" t="n"/>
      <c r="H250" s="51" t="n"/>
      <c r="I250" s="51" t="n"/>
      <c r="J250" s="51" t="n"/>
      <c r="K250" s="16" t="n"/>
      <c r="L250" s="21" t="n"/>
      <c r="M250" s="54" t="n"/>
      <c r="N250" s="54" t="n"/>
    </row>
    <row r="251" ht="15" customHeight="1">
      <c r="B251" s="27" t="n"/>
      <c r="C251" s="18" t="n"/>
      <c r="D251" s="43" t="n"/>
      <c r="E251" s="43" t="n"/>
      <c r="F251" s="57" t="n"/>
      <c r="G251" s="51" t="n"/>
      <c r="H251" s="51" t="n"/>
      <c r="I251" s="51" t="n"/>
      <c r="J251" s="51" t="n"/>
      <c r="K251" s="16" t="n"/>
      <c r="L251" s="21" t="n"/>
      <c r="M251" s="54" t="n"/>
      <c r="N251" s="54" t="n"/>
    </row>
    <row r="252" ht="15" customHeight="1">
      <c r="B252" s="27" t="n"/>
      <c r="C252" s="18" t="n"/>
      <c r="D252" s="43" t="n"/>
      <c r="E252" s="43" t="n"/>
      <c r="F252" s="57" t="n"/>
      <c r="G252" s="51" t="n"/>
      <c r="H252" s="51" t="n"/>
      <c r="I252" s="51" t="n"/>
      <c r="J252" s="51" t="n"/>
      <c r="K252" s="16" t="n"/>
      <c r="L252" s="21" t="n"/>
      <c r="M252" s="54" t="n"/>
      <c r="N252" s="54" t="n"/>
    </row>
    <row r="253" ht="15" customHeight="1">
      <c r="B253" s="27" t="n"/>
      <c r="C253" s="18" t="n"/>
      <c r="D253" s="43" t="n"/>
      <c r="E253" s="43" t="n"/>
      <c r="F253" s="57" t="n"/>
      <c r="G253" s="51" t="n"/>
      <c r="H253" s="51" t="n"/>
      <c r="I253" s="51" t="n"/>
      <c r="J253" s="51" t="n"/>
      <c r="K253" s="16" t="n"/>
      <c r="L253" s="21" t="n"/>
      <c r="M253" s="54" t="n"/>
      <c r="N253" s="54" t="n"/>
    </row>
    <row r="254" ht="15" customHeight="1">
      <c r="B254" s="27" t="n"/>
      <c r="C254" s="18" t="n"/>
      <c r="D254" s="43" t="n"/>
      <c r="E254" s="43" t="n"/>
      <c r="F254" s="57" t="n"/>
      <c r="G254" s="51" t="n"/>
      <c r="H254" s="51" t="n"/>
      <c r="I254" s="51" t="n"/>
      <c r="J254" s="51" t="n"/>
      <c r="K254" s="16" t="n"/>
      <c r="L254" s="21" t="n"/>
      <c r="M254" s="54" t="n"/>
      <c r="N254" s="54" t="n"/>
    </row>
    <row r="255" ht="15" customHeight="1">
      <c r="B255" s="27" t="n"/>
      <c r="C255" s="18" t="n"/>
      <c r="D255" s="43" t="n"/>
      <c r="E255" s="43" t="n"/>
      <c r="F255" s="57" t="n"/>
      <c r="G255" s="51" t="n"/>
      <c r="H255" s="51" t="n"/>
      <c r="I255" s="51" t="n"/>
      <c r="J255" s="51" t="n"/>
      <c r="K255" s="16" t="n"/>
      <c r="L255" s="21" t="n"/>
      <c r="M255" s="54" t="n"/>
      <c r="N255" s="54" t="n"/>
    </row>
    <row r="256" ht="15" customHeight="1">
      <c r="B256" s="27" t="n"/>
      <c r="C256" s="18" t="n"/>
      <c r="D256" s="43" t="n"/>
      <c r="E256" s="43" t="n"/>
      <c r="F256" s="57" t="n"/>
      <c r="G256" s="51" t="n"/>
      <c r="H256" s="51" t="n"/>
      <c r="I256" s="51" t="n"/>
      <c r="J256" s="51" t="n"/>
      <c r="K256" s="16" t="n"/>
      <c r="L256" s="21" t="n"/>
      <c r="M256" s="54" t="n"/>
      <c r="N256" s="54" t="n"/>
    </row>
    <row r="257" ht="15" customHeight="1">
      <c r="B257" s="27" t="n"/>
      <c r="C257" s="18" t="n"/>
      <c r="D257" s="43" t="n"/>
      <c r="E257" s="43" t="n"/>
      <c r="F257" s="57" t="n"/>
      <c r="G257" s="51" t="n"/>
      <c r="H257" s="51" t="n"/>
      <c r="I257" s="51" t="n"/>
      <c r="J257" s="51" t="n"/>
      <c r="K257" s="16" t="n"/>
      <c r="L257" s="21" t="n"/>
      <c r="M257" s="54" t="n"/>
      <c r="N257" s="54" t="n"/>
    </row>
    <row r="258" ht="15" customHeight="1">
      <c r="B258" s="27" t="n"/>
      <c r="C258" s="18" t="n"/>
      <c r="D258" s="43" t="n"/>
      <c r="E258" s="43" t="n"/>
      <c r="F258" s="57" t="n"/>
      <c r="G258" s="51" t="n"/>
      <c r="H258" s="51" t="n"/>
      <c r="I258" s="51" t="n"/>
      <c r="J258" s="51" t="n"/>
      <c r="K258" s="16" t="n"/>
      <c r="L258" s="21" t="n"/>
      <c r="M258" s="54" t="n"/>
      <c r="N258" s="54" t="n"/>
    </row>
    <row r="259" ht="15" customHeight="1">
      <c r="B259" s="27" t="n"/>
      <c r="C259" s="18" t="n"/>
      <c r="D259" s="43" t="n"/>
      <c r="E259" s="43" t="n"/>
      <c r="F259" s="57" t="n"/>
      <c r="G259" s="51" t="n"/>
      <c r="H259" s="51" t="n"/>
      <c r="I259" s="51" t="n"/>
      <c r="J259" s="51" t="n"/>
      <c r="K259" s="16" t="n"/>
      <c r="L259" s="21" t="n"/>
      <c r="M259" s="54" t="n"/>
      <c r="N259" s="54" t="n"/>
    </row>
    <row r="260" ht="15" customHeight="1">
      <c r="B260" s="27" t="n"/>
      <c r="C260" s="18" t="n"/>
      <c r="D260" s="43" t="n"/>
      <c r="E260" s="43" t="n"/>
      <c r="F260" s="57" t="n"/>
      <c r="G260" s="51" t="n"/>
      <c r="H260" s="51" t="n"/>
      <c r="I260" s="51" t="n"/>
      <c r="J260" s="51" t="n"/>
      <c r="K260" s="16" t="n"/>
      <c r="L260" s="21" t="n"/>
      <c r="M260" s="54" t="n"/>
      <c r="N260" s="54" t="n"/>
    </row>
    <row r="261" ht="15" customHeight="1">
      <c r="B261" s="27" t="n"/>
      <c r="C261" s="18" t="n"/>
      <c r="D261" s="43" t="n"/>
      <c r="E261" s="43" t="n"/>
      <c r="F261" s="57" t="n"/>
      <c r="G261" s="51" t="n"/>
      <c r="H261" s="51" t="n"/>
      <c r="I261" s="51" t="n"/>
      <c r="J261" s="51" t="n"/>
      <c r="K261" s="16" t="n"/>
      <c r="L261" s="21" t="n"/>
      <c r="M261" s="54" t="n"/>
      <c r="N261" s="54" t="n"/>
    </row>
    <row r="262" ht="15" customHeight="1">
      <c r="B262" s="27" t="n"/>
      <c r="C262" s="18" t="n"/>
      <c r="D262" s="43" t="n"/>
      <c r="E262" s="43" t="n"/>
      <c r="F262" s="57" t="n"/>
      <c r="G262" s="51" t="n"/>
      <c r="H262" s="51" t="n"/>
      <c r="I262" s="51" t="n"/>
      <c r="J262" s="51" t="n"/>
      <c r="K262" s="16" t="n"/>
      <c r="L262" s="21" t="n"/>
      <c r="M262" s="54" t="n"/>
      <c r="N262" s="54" t="n"/>
    </row>
    <row r="263" ht="15" customHeight="1">
      <c r="B263" s="27" t="n"/>
      <c r="C263" s="18" t="n"/>
      <c r="D263" s="43" t="n"/>
      <c r="E263" s="43" t="n"/>
      <c r="F263" s="57" t="n"/>
      <c r="G263" s="51" t="n"/>
      <c r="H263" s="51" t="n"/>
      <c r="I263" s="51" t="n"/>
      <c r="J263" s="51" t="n"/>
      <c r="K263" s="16" t="n"/>
      <c r="L263" s="21" t="n"/>
      <c r="M263" s="54" t="n"/>
      <c r="N263" s="54" t="n"/>
    </row>
    <row r="264" ht="15" customHeight="1">
      <c r="B264" s="27" t="n"/>
      <c r="C264" s="18" t="n"/>
      <c r="D264" s="43" t="n"/>
      <c r="E264" s="43" t="n"/>
      <c r="F264" s="57" t="n"/>
      <c r="G264" s="51" t="n"/>
      <c r="H264" s="51" t="n"/>
      <c r="I264" s="51" t="n"/>
      <c r="J264" s="51" t="n"/>
      <c r="K264" s="16" t="n"/>
      <c r="L264" s="21" t="n"/>
      <c r="M264" s="54" t="n"/>
      <c r="N264" s="54" t="n"/>
    </row>
    <row r="265" ht="15" customHeight="1">
      <c r="B265" s="27" t="n"/>
      <c r="C265" s="18" t="n"/>
      <c r="D265" s="43" t="n"/>
      <c r="E265" s="43" t="n"/>
      <c r="F265" s="57" t="n"/>
      <c r="G265" s="51" t="n"/>
      <c r="H265" s="51" t="n"/>
      <c r="I265" s="51" t="n"/>
      <c r="J265" s="51" t="n"/>
      <c r="K265" s="16" t="n"/>
      <c r="L265" s="21" t="n"/>
      <c r="M265" s="54" t="n"/>
      <c r="N265" s="54" t="n"/>
    </row>
    <row r="266" ht="15" customHeight="1">
      <c r="B266" s="27" t="n"/>
      <c r="C266" s="18" t="n"/>
      <c r="D266" s="43" t="n"/>
      <c r="E266" s="43" t="n"/>
      <c r="F266" s="57" t="n"/>
      <c r="G266" s="51" t="n"/>
      <c r="H266" s="51" t="n"/>
      <c r="I266" s="51" t="n"/>
      <c r="J266" s="51" t="n"/>
      <c r="K266" s="16" t="n"/>
      <c r="L266" s="21" t="n"/>
      <c r="M266" s="54" t="n"/>
      <c r="N266" s="54" t="n"/>
    </row>
    <row r="267" ht="15" customHeight="1">
      <c r="B267" s="27" t="n"/>
      <c r="C267" s="18" t="n"/>
      <c r="D267" s="43" t="n"/>
      <c r="E267" s="43" t="n"/>
      <c r="F267" s="57" t="n"/>
      <c r="G267" s="51" t="n"/>
      <c r="H267" s="51" t="n"/>
      <c r="I267" s="51" t="n"/>
      <c r="J267" s="51" t="n"/>
      <c r="K267" s="16" t="n"/>
      <c r="L267" s="21" t="n"/>
      <c r="M267" s="54" t="n"/>
      <c r="N267" s="54" t="n"/>
    </row>
    <row r="268" ht="15" customHeight="1">
      <c r="B268" s="27" t="n"/>
      <c r="C268" s="18" t="n"/>
      <c r="D268" s="43" t="n"/>
      <c r="E268" s="43" t="n"/>
      <c r="F268" s="57" t="n"/>
      <c r="G268" s="51" t="n"/>
      <c r="H268" s="51" t="n"/>
      <c r="I268" s="51" t="n"/>
      <c r="J268" s="51" t="n"/>
      <c r="K268" s="16" t="n"/>
      <c r="L268" s="21" t="n"/>
      <c r="M268" s="54" t="n"/>
      <c r="N268" s="54" t="n"/>
    </row>
    <row r="269" ht="15" customHeight="1">
      <c r="B269" s="27" t="n"/>
      <c r="C269" s="18" t="n"/>
      <c r="D269" s="51" t="n"/>
      <c r="E269" s="43" t="n"/>
      <c r="F269" s="57" t="n"/>
      <c r="G269" s="51" t="n"/>
      <c r="H269" s="51" t="n"/>
      <c r="I269" s="51" t="n"/>
      <c r="J269" s="51" t="n"/>
      <c r="K269" s="16" t="n"/>
      <c r="L269" s="27" t="n"/>
      <c r="M269" s="54" t="n"/>
      <c r="N269" s="54" t="n"/>
    </row>
    <row r="270" ht="15" customHeight="1">
      <c r="B270" s="27" t="n"/>
      <c r="C270" s="18" t="n"/>
      <c r="D270" s="51" t="n"/>
      <c r="E270" s="43" t="n"/>
      <c r="F270" s="57" t="n"/>
      <c r="G270" s="51" t="n"/>
      <c r="H270" s="51" t="n"/>
      <c r="I270" s="51" t="n"/>
      <c r="J270" s="51" t="n"/>
      <c r="K270" s="16" t="n"/>
      <c r="L270" s="27" t="n"/>
      <c r="M270" s="54" t="n"/>
      <c r="N270" s="54" t="n"/>
    </row>
    <row r="271" ht="15" customHeight="1">
      <c r="B271" s="27" t="n"/>
      <c r="C271" s="18" t="n"/>
      <c r="D271" s="51" t="n"/>
      <c r="E271" s="43" t="n"/>
      <c r="F271" s="57" t="n"/>
      <c r="G271" s="51" t="n"/>
      <c r="H271" s="51" t="n"/>
      <c r="I271" s="51" t="n"/>
      <c r="J271" s="51" t="n"/>
      <c r="K271" s="16" t="n"/>
      <c r="L271" s="27" t="n"/>
      <c r="M271" s="54" t="n"/>
      <c r="N271" s="54" t="n"/>
    </row>
    <row r="272" ht="15" customHeight="1">
      <c r="B272" s="27" t="n"/>
      <c r="C272" s="18" t="n"/>
      <c r="D272" s="51" t="n"/>
      <c r="E272" s="43" t="n"/>
      <c r="F272" s="57" t="n"/>
      <c r="G272" s="51" t="n"/>
      <c r="H272" s="51" t="n"/>
      <c r="I272" s="51" t="n"/>
      <c r="J272" s="51" t="n"/>
      <c r="K272" s="16" t="n"/>
      <c r="L272" s="27" t="n"/>
      <c r="M272" s="54" t="n"/>
      <c r="N272" s="54" t="n"/>
    </row>
    <row r="273" ht="15" customHeight="1">
      <c r="B273" s="27" t="n"/>
      <c r="C273" s="18" t="n"/>
      <c r="D273" s="51" t="n"/>
      <c r="E273" s="43" t="n"/>
      <c r="F273" s="57" t="n"/>
      <c r="G273" s="51" t="n"/>
      <c r="H273" s="51" t="n"/>
      <c r="I273" s="51" t="n"/>
      <c r="J273" s="51" t="n"/>
      <c r="K273" s="16" t="n"/>
      <c r="L273" s="27" t="n"/>
      <c r="M273" s="54" t="n"/>
      <c r="N273" s="54" t="n"/>
    </row>
    <row r="274" ht="15" customHeight="1">
      <c r="B274" s="27" t="n"/>
      <c r="C274" s="18" t="n"/>
      <c r="D274" s="51" t="n"/>
      <c r="E274" s="43" t="n"/>
      <c r="F274" s="57" t="n"/>
      <c r="G274" s="51" t="n"/>
      <c r="H274" s="51" t="n"/>
      <c r="I274" s="51" t="n"/>
      <c r="J274" s="51" t="n"/>
      <c r="K274" s="16" t="n"/>
      <c r="L274" s="27" t="n"/>
      <c r="M274" s="54" t="n"/>
      <c r="N274" s="54" t="n"/>
    </row>
    <row r="275" ht="15" customHeight="1">
      <c r="B275" s="27" t="n"/>
      <c r="C275" s="18" t="n"/>
      <c r="D275" s="51" t="n"/>
      <c r="E275" s="43" t="n"/>
      <c r="F275" s="57" t="n"/>
      <c r="G275" s="51" t="n"/>
      <c r="H275" s="51" t="n"/>
      <c r="I275" s="51" t="n"/>
      <c r="J275" s="51" t="n"/>
      <c r="K275" s="16" t="n"/>
      <c r="L275" s="27" t="n"/>
      <c r="M275" s="54" t="n"/>
      <c r="N275" s="54" t="n"/>
    </row>
    <row r="276" ht="15" customHeight="1">
      <c r="B276" s="27" t="n"/>
      <c r="C276" s="18" t="n"/>
      <c r="D276" s="51" t="n"/>
      <c r="E276" s="43" t="n"/>
      <c r="F276" s="57" t="n"/>
      <c r="G276" s="51" t="n"/>
      <c r="H276" s="51" t="n"/>
      <c r="I276" s="51" t="n"/>
      <c r="J276" s="51" t="n"/>
      <c r="K276" s="16" t="n"/>
      <c r="L276" s="27" t="n"/>
      <c r="M276" s="54" t="n"/>
      <c r="N276" s="54" t="n"/>
    </row>
    <row r="277" ht="15" customHeight="1">
      <c r="B277" s="27" t="n"/>
      <c r="C277" s="18" t="n"/>
      <c r="D277" s="51" t="n"/>
      <c r="E277" s="43" t="n"/>
      <c r="F277" s="57" t="n"/>
      <c r="G277" s="51" t="n"/>
      <c r="H277" s="51" t="n"/>
      <c r="I277" s="51" t="n"/>
      <c r="J277" s="51" t="n"/>
      <c r="K277" s="16" t="n"/>
      <c r="L277" s="27" t="n"/>
      <c r="M277" s="54" t="n"/>
      <c r="N277" s="54" t="n"/>
    </row>
    <row r="278" ht="15" customHeight="1">
      <c r="B278" s="27" t="n"/>
      <c r="C278" s="18" t="n"/>
      <c r="D278" s="51" t="n"/>
      <c r="E278" s="43" t="n"/>
      <c r="F278" s="57" t="n"/>
      <c r="G278" s="51" t="n"/>
      <c r="H278" s="51" t="n"/>
      <c r="I278" s="51" t="n"/>
      <c r="J278" s="51" t="n"/>
      <c r="K278" s="16" t="n"/>
      <c r="L278" s="27" t="n"/>
      <c r="M278" s="54" t="n"/>
      <c r="N278" s="54" t="n"/>
    </row>
    <row r="279" ht="15" customHeight="1">
      <c r="B279" s="27" t="n"/>
      <c r="C279" s="18" t="n"/>
      <c r="D279" s="51" t="n"/>
      <c r="E279" s="43" t="n"/>
      <c r="F279" s="57" t="n"/>
      <c r="G279" s="51" t="n"/>
      <c r="H279" s="51" t="n"/>
      <c r="I279" s="51" t="n"/>
      <c r="J279" s="51" t="n"/>
      <c r="K279" s="16" t="n"/>
      <c r="L279" s="27" t="n"/>
      <c r="M279" s="54" t="n"/>
      <c r="N279" s="54" t="n"/>
    </row>
    <row r="280" ht="15" customHeight="1">
      <c r="B280" s="27" t="n"/>
      <c r="C280" s="18" t="n"/>
      <c r="D280" s="51" t="n"/>
      <c r="E280" s="43" t="n"/>
      <c r="F280" s="57" t="n"/>
      <c r="G280" s="51" t="n"/>
      <c r="H280" s="51" t="n"/>
      <c r="I280" s="51" t="n"/>
      <c r="J280" s="51" t="n"/>
      <c r="K280" s="16" t="n"/>
      <c r="L280" s="27" t="n"/>
      <c r="M280" s="54" t="n"/>
      <c r="N280" s="54" t="n"/>
    </row>
    <row r="281" ht="15" customHeight="1">
      <c r="B281" s="27" t="n"/>
      <c r="C281" s="18" t="n"/>
      <c r="D281" s="51" t="n"/>
      <c r="E281" s="43" t="n"/>
      <c r="F281" s="57" t="n"/>
      <c r="G281" s="51" t="n"/>
      <c r="H281" s="51" t="n"/>
      <c r="I281" s="51" t="n"/>
      <c r="J281" s="51" t="n"/>
      <c r="K281" s="16" t="n"/>
      <c r="L281" s="27" t="n"/>
      <c r="M281" s="54" t="n"/>
      <c r="N281" s="54" t="n"/>
    </row>
    <row r="282" ht="15" customHeight="1">
      <c r="B282" s="27" t="n"/>
      <c r="C282" s="18" t="n"/>
      <c r="D282" s="51" t="n"/>
      <c r="E282" s="43" t="n"/>
      <c r="F282" s="57" t="n"/>
      <c r="G282" s="51" t="n"/>
      <c r="H282" s="51" t="n"/>
      <c r="I282" s="51" t="n"/>
      <c r="J282" s="51" t="n"/>
      <c r="K282" s="16" t="n"/>
      <c r="L282" s="27" t="n"/>
      <c r="M282" s="54" t="n"/>
      <c r="N282" s="54" t="n"/>
    </row>
    <row r="283" ht="15" customHeight="1">
      <c r="B283" s="27" t="n"/>
      <c r="C283" s="18" t="n"/>
      <c r="D283" s="51" t="n"/>
      <c r="E283" s="43" t="n"/>
      <c r="F283" s="57" t="n"/>
      <c r="G283" s="51" t="n"/>
      <c r="H283" s="51" t="n"/>
      <c r="I283" s="51" t="n"/>
      <c r="J283" s="51" t="n"/>
      <c r="K283" s="16" t="n"/>
      <c r="L283" s="27" t="n"/>
      <c r="M283" s="54" t="n"/>
      <c r="N283" s="54" t="n"/>
    </row>
    <row r="284" ht="15" customHeight="1">
      <c r="B284" s="27" t="n"/>
      <c r="C284" s="18" t="n"/>
      <c r="D284" s="51" t="n"/>
      <c r="E284" s="43" t="n"/>
      <c r="F284" s="57" t="n"/>
      <c r="G284" s="51" t="n"/>
      <c r="H284" s="51" t="n"/>
      <c r="I284" s="51" t="n"/>
      <c r="J284" s="51" t="n"/>
      <c r="K284" s="16" t="n"/>
      <c r="L284" s="27" t="n"/>
      <c r="M284" s="54" t="n"/>
      <c r="N284" s="54" t="n"/>
    </row>
    <row r="285" ht="15" customHeight="1">
      <c r="B285" s="27" t="n"/>
      <c r="C285" s="18" t="n"/>
      <c r="D285" s="51" t="n"/>
      <c r="E285" s="43" t="n"/>
      <c r="F285" s="57" t="n"/>
      <c r="G285" s="51" t="n"/>
      <c r="H285" s="51" t="n"/>
      <c r="I285" s="51" t="n"/>
      <c r="J285" s="51" t="n"/>
      <c r="K285" s="16" t="n"/>
      <c r="L285" s="27" t="n"/>
      <c r="M285" s="54" t="n"/>
      <c r="N285" s="54" t="n"/>
    </row>
    <row r="286" ht="15" customHeight="1">
      <c r="B286" s="27" t="n"/>
      <c r="C286" s="18" t="n"/>
      <c r="D286" s="51" t="n"/>
      <c r="E286" s="43" t="n"/>
      <c r="F286" s="57" t="n"/>
      <c r="G286" s="51" t="n"/>
      <c r="H286" s="51" t="n"/>
      <c r="I286" s="51" t="n"/>
      <c r="J286" s="51" t="n"/>
      <c r="K286" s="16" t="n"/>
      <c r="L286" s="27" t="n"/>
      <c r="M286" s="54" t="n"/>
      <c r="N286" s="54" t="n"/>
    </row>
    <row r="287" ht="15" customHeight="1">
      <c r="B287" s="27" t="n"/>
      <c r="C287" s="18" t="n"/>
      <c r="D287" s="51" t="n"/>
      <c r="E287" s="43" t="n"/>
      <c r="F287" s="57" t="n"/>
      <c r="G287" s="51" t="n"/>
      <c r="H287" s="51" t="n"/>
      <c r="I287" s="51" t="n"/>
      <c r="J287" s="51" t="n"/>
      <c r="K287" s="16" t="n"/>
      <c r="L287" s="27" t="n"/>
      <c r="M287" s="54" t="n"/>
      <c r="N287" s="54" t="n"/>
    </row>
  </sheetData>
  <mergeCells count="2">
    <mergeCell ref="A2:N2"/>
    <mergeCell ref="A1:N1"/>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185"/>
  <sheetViews>
    <sheetView zoomScaleNormal="100" workbookViewId="0">
      <pane xSplit="1" ySplit="27" topLeftCell="B28" activePane="bottomRight" state="frozen"/>
      <selection pane="topRight" activeCell="B1" sqref="B1"/>
      <selection pane="bottomLeft" activeCell="A28" sqref="A28"/>
      <selection pane="bottomRight" activeCell="A1" sqref="A1:L1"/>
    </sheetView>
  </sheetViews>
  <sheetFormatPr baseColWidth="8" defaultColWidth="8.6328125" defaultRowHeight="14.5"/>
  <cols>
    <col width="2.453125" customWidth="1" min="1" max="1"/>
    <col width="30" customWidth="1" min="2" max="2"/>
    <col width="9" customWidth="1" min="3" max="5"/>
    <col width="11" customWidth="1" min="6" max="6"/>
    <col width="10" customWidth="1" min="7" max="8"/>
    <col width="11" customWidth="1" min="9" max="9"/>
    <col width="10" customWidth="1" min="10" max="11"/>
    <col width="54" customWidth="1" min="12" max="12"/>
  </cols>
  <sheetData>
    <row r="1" ht="25.5" customHeight="1">
      <c r="A1" s="8" t="inlineStr">
        <is>
          <t>SIT loading  —  turning fractional FTE into whole people and whole months</t>
        </is>
      </c>
    </row>
    <row r="2" ht="15" customHeight="1">
      <c r="A2" s="7" t="inlineStr">
        <is>
          <t>The seat ledger is a demand model, not a roster. Regenerated for the two-stream design: VS1 pods of 10 / 9 / 8 / 6 / 6 and VS2 teams of 12 converting to pods of 6 in Year 4.</t>
        </is>
      </c>
    </row>
    <row r="4" ht="15" customHeight="1">
      <c r="A4" s="6" t="inlineStr">
        <is>
          <t>A.  WHY YOU CANNOT ROUND THE SEAT LEDGER</t>
        </is>
      </c>
    </row>
    <row r="5" ht="15" customHeight="1">
      <c r="B5" s="11" t="inlineStr">
        <is>
          <t>Approach</t>
        </is>
      </c>
      <c r="C5" s="11" t="inlineStr">
        <is>
          <t>Y1</t>
        </is>
      </c>
      <c r="D5" s="11" t="inlineStr">
        <is>
          <t>Y2</t>
        </is>
      </c>
      <c r="E5" s="11" t="inlineStr">
        <is>
          <t>Y3</t>
        </is>
      </c>
      <c r="F5" s="11" t="inlineStr">
        <is>
          <t>Y4</t>
        </is>
      </c>
      <c r="G5" s="11" t="inlineStr">
        <is>
          <t>Y5</t>
        </is>
      </c>
      <c r="H5" s="11" t="inlineStr">
        <is>
          <t>Verdict</t>
        </is>
      </c>
    </row>
    <row r="6" ht="23.25" customHeight="1">
      <c r="B6" s="22" t="inlineStr">
        <is>
          <t>Modelled FTE (the commercial number)</t>
        </is>
      </c>
      <c r="C6" s="23" t="n">
        <v>121.5</v>
      </c>
      <c r="D6" s="23" t="n">
        <v>94.5</v>
      </c>
      <c r="E6" s="23" t="n">
        <v>78.5</v>
      </c>
      <c r="F6" s="23" t="n">
        <v>51.5</v>
      </c>
      <c r="G6" s="23" t="n">
        <v>43.5</v>
      </c>
    </row>
    <row r="7" ht="30" customHeight="1">
      <c r="B7" s="58" t="inlineStr">
        <is>
          <t>Round every ledger row UP to whole heads</t>
        </is>
      </c>
      <c r="C7" s="59" t="n">
        <v>129</v>
      </c>
      <c r="D7" s="59" t="n">
        <v>106</v>
      </c>
      <c r="E7" s="59" t="n">
        <v>85</v>
      </c>
      <c r="F7" s="59" t="n">
        <v>60</v>
      </c>
      <c r="G7" s="59" t="n">
        <v>49</v>
      </c>
      <c r="H7" s="13" t="inlineStr">
        <is>
          <t>INFLATES Year 1 by 23 people — 19%. 242 ledger rows each round up by up to 0.99 of a person.</t>
        </is>
      </c>
    </row>
    <row r="8" ht="30" customHeight="1">
      <c r="B8" s="60" t="inlineStr">
        <is>
          <t>Round every ledger row to nearest</t>
        </is>
      </c>
      <c r="C8" s="24" t="n">
        <v>119</v>
      </c>
      <c r="D8" s="24" t="n">
        <v>91</v>
      </c>
      <c r="E8" s="24" t="n">
        <v>77</v>
      </c>
      <c r="F8" s="24" t="n">
        <v>49</v>
      </c>
      <c r="G8" s="24" t="n">
        <v>42</v>
      </c>
      <c r="H8" s="13" t="inlineStr">
        <is>
          <t>Total is roughly right but every individual line is wrong, and the FTC / FTE / MGCC split drifts. It also implies each pod has its own dedicated architect, tester and support engineer.</t>
        </is>
      </c>
    </row>
    <row r="9" ht="30" customHeight="1">
      <c r="B9" s="22" t="inlineStr">
        <is>
          <t>This sheet — aggregate first, then whole people and months</t>
        </is>
      </c>
      <c r="C9" s="23" t="n">
        <v>121.5</v>
      </c>
      <c r="D9" s="23" t="n">
        <v>94.5</v>
      </c>
      <c r="E9" s="23" t="n">
        <v>78.5</v>
      </c>
      <c r="F9" s="23" t="n">
        <v>51.5</v>
      </c>
      <c r="G9" s="23" t="n">
        <v>43.5</v>
      </c>
      <c r="H9" s="13" t="inlineStr">
        <is>
          <t>Exact on total, on each sourcing type and on person-months.</t>
        </is>
      </c>
    </row>
    <row r="11" ht="15" customHeight="1">
      <c r="A11" s="6" t="inlineStr">
        <is>
          <t>B.  THE RULE</t>
        </is>
      </c>
    </row>
    <row r="12" ht="27.75" customHeight="1">
      <c r="B12" s="5" t="inlineStr">
        <is>
          <t>Aggregate the ledger to the level at which a person is actually hired — year x role x band x location x sourcing — and only then convert to bodies. A pod seat of 0.23 is not a person; the same role summed across six pods is.</t>
        </is>
      </c>
    </row>
    <row r="13" ht="18.75" customHeight="1">
      <c r="B13" s="11" t="inlineStr">
        <is>
          <t>Treatment</t>
        </is>
      </c>
      <c r="C13" s="11" t="inlineStr">
        <is>
          <t>When it applies</t>
        </is>
      </c>
      <c r="D13" s="11" t="inlineStr">
        <is>
          <t>How SIT loads it</t>
        </is>
      </c>
      <c r="E13" s="11" t="inlineStr">
        <is>
          <t>Example</t>
        </is>
      </c>
    </row>
    <row r="14" ht="42" customHeight="1">
      <c r="B14" s="32" t="inlineStr">
        <is>
          <t>RAMPED</t>
        </is>
      </c>
      <c r="C14" s="10" t="inlineStr">
        <is>
          <t>Delivery roles — engineers, testers, analysts inside pods and teams. The work is divisible over time and people join and leave pods.</t>
        </is>
      </c>
      <c r="D14" s="69" t="n"/>
      <c r="E14" s="69" t="n"/>
      <c r="F14" s="70" t="n"/>
      <c r="G14" s="10" t="inlineStr">
        <is>
          <t>floor(FTE) people for 12 months, plus one person for the remaining months.</t>
        </is>
      </c>
      <c r="H14" s="69" t="n"/>
      <c r="I14" s="70" t="n"/>
      <c r="J14" s="13" t="inlineStr">
        <is>
          <t>7.73 FTE  =  7 people all year  +  1 person for 8.7 months</t>
        </is>
      </c>
      <c r="K14" s="69" t="n"/>
      <c r="L14" s="70" t="n"/>
    </row>
    <row r="15" ht="42" customHeight="1">
      <c r="B15" s="32" t="inlineStr">
        <is>
          <t>SHARED</t>
        </is>
      </c>
      <c r="C15" s="10" t="inlineStr">
        <is>
          <t>Roles that need continuous presence — leads, architects, service delivery managers, PMO — and any line below 0.5 FTE.</t>
        </is>
      </c>
      <c r="D15" s="69" t="n"/>
      <c r="E15" s="69" t="n"/>
      <c r="F15" s="70" t="n"/>
      <c r="G15" s="10" t="inlineStr">
        <is>
          <t>One person at a partial allocation for the whole year, the balance of their time on another domain.</t>
        </is>
      </c>
      <c r="H15" s="69" t="n"/>
      <c r="I15" s="70" t="n"/>
      <c r="J15" s="13" t="inlineStr">
        <is>
          <t>0.95 FTE  =  1 Chief Architect at 95%, 5% elsewhere</t>
        </is>
      </c>
      <c r="K15" s="69" t="n"/>
      <c r="L15" s="70" t="n"/>
    </row>
    <row r="16" ht="15" customHeight="1">
      <c r="B16" s="19" t="inlineStr">
        <is>
          <t>Both give identical person-months. Neither loads a partial person into a month and neither allocates anybody above 100%. Person-months is the invariant SIT must reproduce: FTE x 12.</t>
        </is>
      </c>
    </row>
    <row r="18" ht="15" customHeight="1">
      <c r="A18" s="6" t="inlineStr">
        <is>
          <t>C.  RECONCILIATION  —  what SIT must tie back to</t>
        </is>
      </c>
    </row>
    <row r="19" ht="15" customHeight="1">
      <c r="B19" s="11" t="inlineStr">
        <is>
          <t>Measure</t>
        </is>
      </c>
      <c r="C19" s="11" t="inlineStr">
        <is>
          <t>Y1</t>
        </is>
      </c>
      <c r="D19" s="11" t="inlineStr">
        <is>
          <t>Y2</t>
        </is>
      </c>
      <c r="E19" s="11" t="inlineStr">
        <is>
          <t>Y3</t>
        </is>
      </c>
      <c r="F19" s="11" t="inlineStr">
        <is>
          <t>Y4</t>
        </is>
      </c>
      <c r="G19" s="11" t="inlineStr">
        <is>
          <t>Y5</t>
        </is>
      </c>
      <c r="H19" s="11" t="inlineStr">
        <is>
          <t>Note</t>
        </is>
      </c>
    </row>
    <row r="20" ht="25.5" customHeight="1">
      <c r="B20" s="22" t="inlineStr">
        <is>
          <t>Modelled FTE</t>
        </is>
      </c>
      <c r="C20" s="23" t="n">
        <v>121.5</v>
      </c>
      <c r="D20" s="23" t="n">
        <v>94.5</v>
      </c>
      <c r="E20" s="23" t="n">
        <v>78.5</v>
      </c>
      <c r="F20" s="23" t="n">
        <v>51.5</v>
      </c>
      <c r="G20" s="23" t="n">
        <v>43.5</v>
      </c>
      <c r="H20" s="13" t="inlineStr">
        <is>
          <t>From the seat ledger. This is the commercial number and it does not change.</t>
        </is>
      </c>
    </row>
    <row r="21" ht="25.5" customHeight="1">
      <c r="B21" s="22" t="inlineStr">
        <is>
          <t>Person-months  =  FTE x 12</t>
        </is>
      </c>
      <c r="C21" s="45" t="n">
        <v>1458</v>
      </c>
      <c r="D21" s="45" t="n">
        <v>1134</v>
      </c>
      <c r="E21" s="45" t="n">
        <v>942</v>
      </c>
      <c r="F21" s="45" t="n">
        <v>618</v>
      </c>
      <c r="G21" s="45" t="n">
        <v>522</v>
      </c>
      <c r="H21" s="13" t="inlineStr">
        <is>
          <t>THE INVARIANT. SIT's monthly loading must sum to this.</t>
        </is>
      </c>
    </row>
    <row r="22" ht="25.5" customHeight="1">
      <c r="B22" s="10" t="inlineStr">
        <is>
          <t>Bodies to requisition</t>
        </is>
      </c>
      <c r="C22" s="21" t="n">
        <v>129</v>
      </c>
      <c r="D22" s="21" t="n">
        <v>106</v>
      </c>
      <c r="E22" s="21" t="n">
        <v>85</v>
      </c>
      <c r="F22" s="21" t="n">
        <v>60</v>
      </c>
      <c r="G22" s="21" t="n">
        <v>49</v>
      </c>
      <c r="H22" s="13" t="inlineStr">
        <is>
          <t>Named people. Higher than FTE because some are part-year or part-allocated.</t>
        </is>
      </c>
    </row>
    <row r="23" ht="25.5" customHeight="1">
      <c r="B23" s="10" t="inlineStr">
        <is>
          <t xml:space="preserve">  — of which full-time, all year</t>
        </is>
      </c>
      <c r="C23" s="21" t="n">
        <v>114</v>
      </c>
      <c r="D23" s="21" t="n">
        <v>83</v>
      </c>
      <c r="E23" s="21" t="n">
        <v>72</v>
      </c>
      <c r="F23" s="21" t="n">
        <v>43</v>
      </c>
      <c r="G23" s="21" t="n">
        <v>38</v>
      </c>
      <c r="H23" s="13" t="inlineStr">
        <is>
          <t>The core roster. Everything else is a partial assignment.</t>
        </is>
      </c>
    </row>
    <row r="24" ht="25.5" customHeight="1">
      <c r="B24" s="10" t="inlineStr">
        <is>
          <t>Average allocation across all bodies</t>
        </is>
      </c>
      <c r="C24" s="38" t="n">
        <v>0.9419</v>
      </c>
      <c r="D24" s="38" t="n">
        <v>0.8915</v>
      </c>
      <c r="E24" s="38" t="n">
        <v>0.9235</v>
      </c>
      <c r="F24" s="38" t="n">
        <v>0.8583</v>
      </c>
      <c r="G24" s="38" t="n">
        <v>0.8878</v>
      </c>
      <c r="H24" s="13" t="inlineStr">
        <is>
          <t>If this drops below about 70% the pod design is too fragmented — check it.</t>
        </is>
      </c>
    </row>
    <row r="26" ht="15" customHeight="1">
      <c r="A26" s="6" t="inlineStr">
        <is>
          <t>D.  THE REQUISITION PLAN  —  load these lines into SIT</t>
        </is>
      </c>
    </row>
    <row r="27" ht="27.75" customHeight="1">
      <c r="B27" s="11" t="inlineStr">
        <is>
          <t>Year</t>
        </is>
      </c>
      <c r="C27" s="11" t="inlineStr">
        <is>
          <t>Sourcing</t>
        </is>
      </c>
      <c r="D27" s="11" t="inlineStr">
        <is>
          <t>Role</t>
        </is>
      </c>
      <c r="E27" s="11" t="inlineStr">
        <is>
          <t>Band</t>
        </is>
      </c>
      <c r="F27" s="11" t="inlineStr">
        <is>
          <t>Location</t>
        </is>
      </c>
      <c r="G27" s="11" t="inlineStr">
        <is>
          <t>Unit type</t>
        </is>
      </c>
      <c r="H27" s="11" t="inlineStr">
        <is>
          <t>Modelled FTE</t>
        </is>
      </c>
      <c r="I27" s="11" t="inlineStr">
        <is>
          <t>Person-months</t>
        </is>
      </c>
      <c r="J27" s="11" t="inlineStr">
        <is>
          <t>Treatment</t>
        </is>
      </c>
      <c r="K27" s="11" t="inlineStr">
        <is>
          <t>Full-time heads</t>
        </is>
      </c>
      <c r="L27" s="11" t="inlineStr">
        <is>
          <t>+1 head for (months)</t>
        </is>
      </c>
      <c r="M27" s="11" t="inlineStr">
        <is>
          <t>Allocation of the part head</t>
        </is>
      </c>
    </row>
    <row r="28" ht="15" customHeight="1">
      <c r="B28" s="27" t="n">
        <v>1</v>
      </c>
      <c r="C28" s="18" t="inlineStr">
        <is>
          <t>FTC</t>
        </is>
      </c>
      <c r="D28" s="18" t="inlineStr">
        <is>
          <t>BSA</t>
        </is>
      </c>
      <c r="E28" s="43" t="inlineStr">
        <is>
          <t>E3</t>
        </is>
      </c>
      <c r="F28" s="43" t="inlineStr">
        <is>
          <t>OFF</t>
        </is>
      </c>
      <c r="G28" s="43" t="inlineStr">
        <is>
          <t>Horizontal</t>
        </is>
      </c>
      <c r="H28" s="61" t="n">
        <v>0.5</v>
      </c>
      <c r="I28" s="44" t="n">
        <v>6</v>
      </c>
      <c r="J28" s="62" t="inlineStr">
        <is>
          <t>SHARED</t>
        </is>
      </c>
      <c r="K28" s="63" t="n">
        <v>0</v>
      </c>
      <c r="L28" s="16" t="n">
        <v>6</v>
      </c>
      <c r="M28" s="38" t="n">
        <v>0.5</v>
      </c>
    </row>
    <row r="29" ht="15" customHeight="1">
      <c r="B29" s="27" t="n">
        <v>1</v>
      </c>
      <c r="C29" s="18" t="inlineStr">
        <is>
          <t>FTC</t>
        </is>
      </c>
      <c r="D29" s="18" t="inlineStr">
        <is>
          <t>BSA</t>
        </is>
      </c>
      <c r="E29" s="43" t="inlineStr">
        <is>
          <t>E3</t>
        </is>
      </c>
      <c r="F29" s="43" t="inlineStr">
        <is>
          <t>ON</t>
        </is>
      </c>
      <c r="G29" s="43" t="inlineStr">
        <is>
          <t>Delivery</t>
        </is>
      </c>
      <c r="H29" s="61" t="n">
        <v>6</v>
      </c>
      <c r="I29" s="44" t="n">
        <v>72</v>
      </c>
      <c r="J29" s="62" t="inlineStr">
        <is>
          <t>RAMPED</t>
        </is>
      </c>
      <c r="K29" s="63" t="n">
        <v>6</v>
      </c>
      <c r="L29" s="16" t="n"/>
      <c r="M29" s="38" t="n"/>
    </row>
    <row r="30" ht="15" customHeight="1">
      <c r="B30" s="27" t="n">
        <v>1</v>
      </c>
      <c r="C30" s="18" t="inlineStr">
        <is>
          <t>FTC</t>
        </is>
      </c>
      <c r="D30" s="18" t="inlineStr">
        <is>
          <t>BSA</t>
        </is>
      </c>
      <c r="E30" s="43" t="inlineStr">
        <is>
          <t>E3</t>
        </is>
      </c>
      <c r="F30" s="43" t="inlineStr">
        <is>
          <t>ON</t>
        </is>
      </c>
      <c r="G30" s="43" t="inlineStr">
        <is>
          <t>Horizontal</t>
        </is>
      </c>
      <c r="H30" s="61" t="n">
        <v>2</v>
      </c>
      <c r="I30" s="44" t="n">
        <v>24</v>
      </c>
      <c r="J30" s="62" t="inlineStr">
        <is>
          <t>SHARED</t>
        </is>
      </c>
      <c r="K30" s="63" t="n">
        <v>2</v>
      </c>
      <c r="L30" s="16" t="n"/>
      <c r="M30" s="38" t="n"/>
    </row>
    <row r="31" ht="15" customHeight="1">
      <c r="B31" s="27" t="n">
        <v>1</v>
      </c>
      <c r="C31" s="18" t="inlineStr">
        <is>
          <t>FTC</t>
        </is>
      </c>
      <c r="D31" s="18" t="inlineStr">
        <is>
          <t>DEV</t>
        </is>
      </c>
      <c r="E31" s="43" t="inlineStr">
        <is>
          <t>E1</t>
        </is>
      </c>
      <c r="F31" s="43" t="inlineStr">
        <is>
          <t>OFF</t>
        </is>
      </c>
      <c r="G31" s="43" t="inlineStr">
        <is>
          <t>Delivery</t>
        </is>
      </c>
      <c r="H31" s="61" t="n">
        <v>1</v>
      </c>
      <c r="I31" s="44" t="n">
        <v>12</v>
      </c>
      <c r="J31" s="62" t="inlineStr">
        <is>
          <t>RAMPED</t>
        </is>
      </c>
      <c r="K31" s="63" t="n">
        <v>1</v>
      </c>
      <c r="L31" s="16" t="n"/>
      <c r="M31" s="38" t="n"/>
    </row>
    <row r="32" ht="15" customHeight="1">
      <c r="B32" s="27" t="n">
        <v>1</v>
      </c>
      <c r="C32" s="18" t="inlineStr">
        <is>
          <t>FTC</t>
        </is>
      </c>
      <c r="D32" s="18" t="inlineStr">
        <is>
          <t>DEV</t>
        </is>
      </c>
      <c r="E32" s="43" t="inlineStr">
        <is>
          <t>E2</t>
        </is>
      </c>
      <c r="F32" s="43" t="inlineStr">
        <is>
          <t>OFF</t>
        </is>
      </c>
      <c r="G32" s="43" t="inlineStr">
        <is>
          <t>Delivery</t>
        </is>
      </c>
      <c r="H32" s="61" t="n">
        <v>2</v>
      </c>
      <c r="I32" s="44" t="n">
        <v>24</v>
      </c>
      <c r="J32" s="62" t="inlineStr">
        <is>
          <t>RAMPED</t>
        </is>
      </c>
      <c r="K32" s="63" t="n">
        <v>2</v>
      </c>
      <c r="L32" s="16" t="n"/>
      <c r="M32" s="38" t="n"/>
    </row>
    <row r="33" ht="15" customHeight="1">
      <c r="B33" s="27" t="n">
        <v>1</v>
      </c>
      <c r="C33" s="18" t="inlineStr">
        <is>
          <t>FTC</t>
        </is>
      </c>
      <c r="D33" s="18" t="inlineStr">
        <is>
          <t>DEV</t>
        </is>
      </c>
      <c r="E33" s="43" t="inlineStr">
        <is>
          <t>E2</t>
        </is>
      </c>
      <c r="F33" s="43" t="inlineStr">
        <is>
          <t>ON</t>
        </is>
      </c>
      <c r="G33" s="43" t="inlineStr">
        <is>
          <t>Delivery</t>
        </is>
      </c>
      <c r="H33" s="61" t="n">
        <v>11</v>
      </c>
      <c r="I33" s="44" t="n">
        <v>132</v>
      </c>
      <c r="J33" s="62" t="inlineStr">
        <is>
          <t>RAMPED</t>
        </is>
      </c>
      <c r="K33" s="63" t="n">
        <v>11</v>
      </c>
      <c r="L33" s="16" t="n"/>
      <c r="M33" s="38" t="n"/>
    </row>
    <row r="34" ht="15" customHeight="1">
      <c r="B34" s="27" t="n">
        <v>1</v>
      </c>
      <c r="C34" s="18" t="inlineStr">
        <is>
          <t>FTC</t>
        </is>
      </c>
      <c r="D34" s="18" t="inlineStr">
        <is>
          <t>DEV</t>
        </is>
      </c>
      <c r="E34" s="43" t="inlineStr">
        <is>
          <t>E3</t>
        </is>
      </c>
      <c r="F34" s="43" t="inlineStr">
        <is>
          <t>NEAR</t>
        </is>
      </c>
      <c r="G34" s="43" t="inlineStr">
        <is>
          <t>Delivery</t>
        </is>
      </c>
      <c r="H34" s="61" t="n">
        <v>7.5</v>
      </c>
      <c r="I34" s="44" t="n">
        <v>90</v>
      </c>
      <c r="J34" s="62" t="inlineStr">
        <is>
          <t>RAMPED</t>
        </is>
      </c>
      <c r="K34" s="63" t="n">
        <v>7</v>
      </c>
      <c r="L34" s="16" t="n">
        <v>6</v>
      </c>
      <c r="M34" s="38" t="n"/>
    </row>
    <row r="35" ht="15" customHeight="1">
      <c r="B35" s="27" t="n">
        <v>1</v>
      </c>
      <c r="C35" s="18" t="inlineStr">
        <is>
          <t>FTC</t>
        </is>
      </c>
      <c r="D35" s="18" t="inlineStr">
        <is>
          <t>DEV</t>
        </is>
      </c>
      <c r="E35" s="43" t="inlineStr">
        <is>
          <t>E3</t>
        </is>
      </c>
      <c r="F35" s="43" t="inlineStr">
        <is>
          <t>ON</t>
        </is>
      </c>
      <c r="G35" s="43" t="inlineStr">
        <is>
          <t>Delivery</t>
        </is>
      </c>
      <c r="H35" s="61" t="n">
        <v>16</v>
      </c>
      <c r="I35" s="44" t="n">
        <v>192</v>
      </c>
      <c r="J35" s="62" t="inlineStr">
        <is>
          <t>RAMPED</t>
        </is>
      </c>
      <c r="K35" s="63" t="n">
        <v>16</v>
      </c>
      <c r="L35" s="16" t="n"/>
      <c r="M35" s="38" t="n"/>
    </row>
    <row r="36" ht="15" customHeight="1">
      <c r="B36" s="27" t="n">
        <v>1</v>
      </c>
      <c r="C36" s="18" t="inlineStr">
        <is>
          <t>FTC</t>
        </is>
      </c>
      <c r="D36" s="18" t="inlineStr">
        <is>
          <t>DEV</t>
        </is>
      </c>
      <c r="E36" s="43" t="inlineStr">
        <is>
          <t>E4</t>
        </is>
      </c>
      <c r="F36" s="43" t="inlineStr">
        <is>
          <t>ON</t>
        </is>
      </c>
      <c r="G36" s="43" t="inlineStr">
        <is>
          <t>Delivery</t>
        </is>
      </c>
      <c r="H36" s="61" t="n">
        <v>9</v>
      </c>
      <c r="I36" s="44" t="n">
        <v>108</v>
      </c>
      <c r="J36" s="62" t="inlineStr">
        <is>
          <t>RAMPED</t>
        </is>
      </c>
      <c r="K36" s="63" t="n">
        <v>9</v>
      </c>
      <c r="L36" s="16" t="n"/>
      <c r="M36" s="38" t="n"/>
    </row>
    <row r="37" ht="15" customHeight="1">
      <c r="B37" s="27" t="n">
        <v>1</v>
      </c>
      <c r="C37" s="18" t="inlineStr">
        <is>
          <t>FTC</t>
        </is>
      </c>
      <c r="D37" s="18" t="inlineStr">
        <is>
          <t>MNT</t>
        </is>
      </c>
      <c r="E37" s="43" t="inlineStr">
        <is>
          <t>E2</t>
        </is>
      </c>
      <c r="F37" s="43" t="inlineStr">
        <is>
          <t>OFF</t>
        </is>
      </c>
      <c r="G37" s="43" t="inlineStr">
        <is>
          <t>Delivery</t>
        </is>
      </c>
      <c r="H37" s="61" t="n">
        <v>0.5</v>
      </c>
      <c r="I37" s="44" t="n">
        <v>6</v>
      </c>
      <c r="J37" s="62" t="inlineStr">
        <is>
          <t>RAMPED</t>
        </is>
      </c>
      <c r="K37" s="63" t="n">
        <v>0</v>
      </c>
      <c r="L37" s="16" t="n">
        <v>6</v>
      </c>
      <c r="M37" s="38" t="n"/>
    </row>
    <row r="38" ht="15" customHeight="1">
      <c r="B38" s="27" t="n">
        <v>1</v>
      </c>
      <c r="C38" s="18" t="inlineStr">
        <is>
          <t>FTC</t>
        </is>
      </c>
      <c r="D38" s="18" t="inlineStr">
        <is>
          <t>MNT</t>
        </is>
      </c>
      <c r="E38" s="43" t="inlineStr">
        <is>
          <t>E2</t>
        </is>
      </c>
      <c r="F38" s="43" t="inlineStr">
        <is>
          <t>OFF</t>
        </is>
      </c>
      <c r="G38" s="43" t="inlineStr">
        <is>
          <t>Horizontal</t>
        </is>
      </c>
      <c r="H38" s="61" t="n">
        <v>0.5</v>
      </c>
      <c r="I38" s="44" t="n">
        <v>6</v>
      </c>
      <c r="J38" s="62" t="inlineStr">
        <is>
          <t>SHARED</t>
        </is>
      </c>
      <c r="K38" s="63" t="n">
        <v>0</v>
      </c>
      <c r="L38" s="16" t="n">
        <v>6</v>
      </c>
      <c r="M38" s="38" t="n">
        <v>0.5</v>
      </c>
    </row>
    <row r="39" ht="15" customHeight="1">
      <c r="B39" s="27" t="n">
        <v>1</v>
      </c>
      <c r="C39" s="18" t="inlineStr">
        <is>
          <t>FTC</t>
        </is>
      </c>
      <c r="D39" s="18" t="inlineStr">
        <is>
          <t>MNT</t>
        </is>
      </c>
      <c r="E39" s="43" t="inlineStr">
        <is>
          <t>E2</t>
        </is>
      </c>
      <c r="F39" s="43" t="inlineStr">
        <is>
          <t>ON</t>
        </is>
      </c>
      <c r="G39" s="43" t="inlineStr">
        <is>
          <t>Delivery</t>
        </is>
      </c>
      <c r="H39" s="61" t="n">
        <v>2.5</v>
      </c>
      <c r="I39" s="44" t="n">
        <v>30</v>
      </c>
      <c r="J39" s="62" t="inlineStr">
        <is>
          <t>RAMPED</t>
        </is>
      </c>
      <c r="K39" s="63" t="n">
        <v>2</v>
      </c>
      <c r="L39" s="16" t="n">
        <v>6</v>
      </c>
      <c r="M39" s="38" t="n"/>
    </row>
    <row r="40" ht="15" customHeight="1">
      <c r="B40" s="27" t="n">
        <v>1</v>
      </c>
      <c r="C40" s="18" t="inlineStr">
        <is>
          <t>FTC</t>
        </is>
      </c>
      <c r="D40" s="18" t="inlineStr">
        <is>
          <t>MNT</t>
        </is>
      </c>
      <c r="E40" s="43" t="inlineStr">
        <is>
          <t>E3</t>
        </is>
      </c>
      <c r="F40" s="43" t="inlineStr">
        <is>
          <t>ON</t>
        </is>
      </c>
      <c r="G40" s="43" t="inlineStr">
        <is>
          <t>Horizontal</t>
        </is>
      </c>
      <c r="H40" s="61" t="n">
        <v>2</v>
      </c>
      <c r="I40" s="44" t="n">
        <v>24</v>
      </c>
      <c r="J40" s="62" t="inlineStr">
        <is>
          <t>SHARED</t>
        </is>
      </c>
      <c r="K40" s="63" t="n">
        <v>2</v>
      </c>
      <c r="L40" s="16" t="n"/>
      <c r="M40" s="38" t="n"/>
    </row>
    <row r="41" ht="15" customHeight="1">
      <c r="B41" s="27" t="n">
        <v>1</v>
      </c>
      <c r="C41" s="18" t="inlineStr">
        <is>
          <t>FTC</t>
        </is>
      </c>
      <c r="D41" s="18" t="inlineStr">
        <is>
          <t>OTH</t>
        </is>
      </c>
      <c r="E41" s="43" t="inlineStr">
        <is>
          <t>E3</t>
        </is>
      </c>
      <c r="F41" s="43" t="inlineStr">
        <is>
          <t>OFF</t>
        </is>
      </c>
      <c r="G41" s="43" t="inlineStr">
        <is>
          <t>Horizontal</t>
        </is>
      </c>
      <c r="H41" s="61" t="n">
        <v>0.5</v>
      </c>
      <c r="I41" s="44" t="n">
        <v>6</v>
      </c>
      <c r="J41" s="62" t="inlineStr">
        <is>
          <t>SHARED</t>
        </is>
      </c>
      <c r="K41" s="63" t="n">
        <v>0</v>
      </c>
      <c r="L41" s="16" t="n">
        <v>6</v>
      </c>
      <c r="M41" s="38" t="n">
        <v>0.5</v>
      </c>
    </row>
    <row r="42" ht="15" customHeight="1">
      <c r="B42" s="27" t="n">
        <v>1</v>
      </c>
      <c r="C42" s="18" t="inlineStr">
        <is>
          <t>FTC</t>
        </is>
      </c>
      <c r="D42" s="18" t="inlineStr">
        <is>
          <t>OTH</t>
        </is>
      </c>
      <c r="E42" s="43" t="inlineStr">
        <is>
          <t>E4</t>
        </is>
      </c>
      <c r="F42" s="43" t="inlineStr">
        <is>
          <t>ON</t>
        </is>
      </c>
      <c r="G42" s="43" t="inlineStr">
        <is>
          <t>Delivery</t>
        </is>
      </c>
      <c r="H42" s="61" t="n">
        <v>3</v>
      </c>
      <c r="I42" s="44" t="n">
        <v>36</v>
      </c>
      <c r="J42" s="62" t="inlineStr">
        <is>
          <t>SHARED</t>
        </is>
      </c>
      <c r="K42" s="63" t="n">
        <v>3</v>
      </c>
      <c r="L42" s="16" t="n"/>
      <c r="M42" s="38" t="n"/>
    </row>
    <row r="43" ht="15" customHeight="1">
      <c r="B43" s="27" t="n">
        <v>1</v>
      </c>
      <c r="C43" s="18" t="inlineStr">
        <is>
          <t>FTC</t>
        </is>
      </c>
      <c r="D43" s="18" t="inlineStr">
        <is>
          <t>OTH</t>
        </is>
      </c>
      <c r="E43" s="43" t="inlineStr">
        <is>
          <t>E4</t>
        </is>
      </c>
      <c r="F43" s="43" t="inlineStr">
        <is>
          <t>ON</t>
        </is>
      </c>
      <c r="G43" s="43" t="inlineStr">
        <is>
          <t>Horizontal</t>
        </is>
      </c>
      <c r="H43" s="61" t="n">
        <v>1</v>
      </c>
      <c r="I43" s="44" t="n">
        <v>12</v>
      </c>
      <c r="J43" s="62" t="inlineStr">
        <is>
          <t>SHARED</t>
        </is>
      </c>
      <c r="K43" s="63" t="n">
        <v>1</v>
      </c>
      <c r="L43" s="16" t="n"/>
      <c r="M43" s="38" t="n"/>
    </row>
    <row r="44" ht="15" customHeight="1">
      <c r="B44" s="27" t="n">
        <v>1</v>
      </c>
      <c r="C44" s="18" t="inlineStr">
        <is>
          <t>FTC</t>
        </is>
      </c>
      <c r="D44" s="18" t="inlineStr">
        <is>
          <t>OTH</t>
        </is>
      </c>
      <c r="E44" s="43" t="inlineStr">
        <is>
          <t>E5</t>
        </is>
      </c>
      <c r="F44" s="43" t="inlineStr">
        <is>
          <t>ON</t>
        </is>
      </c>
      <c r="G44" s="43" t="inlineStr">
        <is>
          <t>Horizontal</t>
        </is>
      </c>
      <c r="H44" s="61" t="n">
        <v>1</v>
      </c>
      <c r="I44" s="44" t="n">
        <v>12</v>
      </c>
      <c r="J44" s="62" t="inlineStr">
        <is>
          <t>SHARED</t>
        </is>
      </c>
      <c r="K44" s="63" t="n">
        <v>1</v>
      </c>
      <c r="L44" s="16" t="n"/>
      <c r="M44" s="38" t="n"/>
    </row>
    <row r="45" ht="15" customHeight="1">
      <c r="B45" s="27" t="n">
        <v>1</v>
      </c>
      <c r="C45" s="18" t="inlineStr">
        <is>
          <t>FTC</t>
        </is>
      </c>
      <c r="D45" s="18" t="inlineStr">
        <is>
          <t>PM</t>
        </is>
      </c>
      <c r="E45" s="43" t="inlineStr">
        <is>
          <t>E5</t>
        </is>
      </c>
      <c r="F45" s="43" t="inlineStr">
        <is>
          <t>ON</t>
        </is>
      </c>
      <c r="G45" s="43" t="inlineStr">
        <is>
          <t>Horizontal</t>
        </is>
      </c>
      <c r="H45" s="61" t="n">
        <v>2</v>
      </c>
      <c r="I45" s="44" t="n">
        <v>24</v>
      </c>
      <c r="J45" s="62" t="inlineStr">
        <is>
          <t>SHARED</t>
        </is>
      </c>
      <c r="K45" s="63" t="n">
        <v>2</v>
      </c>
      <c r="L45" s="16" t="n"/>
      <c r="M45" s="38" t="n"/>
    </row>
    <row r="46" ht="15" customHeight="1">
      <c r="B46" s="27" t="n">
        <v>1</v>
      </c>
      <c r="C46" s="18" t="inlineStr">
        <is>
          <t>FTC</t>
        </is>
      </c>
      <c r="D46" s="18" t="inlineStr">
        <is>
          <t>TEST</t>
        </is>
      </c>
      <c r="E46" s="43" t="inlineStr">
        <is>
          <t>E1</t>
        </is>
      </c>
      <c r="F46" s="43" t="inlineStr">
        <is>
          <t>OFF</t>
        </is>
      </c>
      <c r="G46" s="43" t="inlineStr">
        <is>
          <t>Delivery</t>
        </is>
      </c>
      <c r="H46" s="61" t="n">
        <v>0.5</v>
      </c>
      <c r="I46" s="44" t="n">
        <v>6</v>
      </c>
      <c r="J46" s="62" t="inlineStr">
        <is>
          <t>RAMPED</t>
        </is>
      </c>
      <c r="K46" s="63" t="n">
        <v>0</v>
      </c>
      <c r="L46" s="16" t="n">
        <v>6</v>
      </c>
      <c r="M46" s="38" t="n"/>
    </row>
    <row r="47" ht="15" customHeight="1">
      <c r="B47" s="27" t="n">
        <v>1</v>
      </c>
      <c r="C47" s="18" t="inlineStr">
        <is>
          <t>FTC</t>
        </is>
      </c>
      <c r="D47" s="18" t="inlineStr">
        <is>
          <t>TEST</t>
        </is>
      </c>
      <c r="E47" s="43" t="inlineStr">
        <is>
          <t>E2</t>
        </is>
      </c>
      <c r="F47" s="43" t="inlineStr">
        <is>
          <t>NEAR</t>
        </is>
      </c>
      <c r="G47" s="43" t="inlineStr">
        <is>
          <t>Delivery</t>
        </is>
      </c>
      <c r="H47" s="61" t="n">
        <v>2</v>
      </c>
      <c r="I47" s="44" t="n">
        <v>24</v>
      </c>
      <c r="J47" s="62" t="inlineStr">
        <is>
          <t>RAMPED</t>
        </is>
      </c>
      <c r="K47" s="63" t="n">
        <v>2</v>
      </c>
      <c r="L47" s="16" t="n"/>
      <c r="M47" s="38" t="n"/>
    </row>
    <row r="48" ht="15" customHeight="1">
      <c r="B48" s="27" t="n">
        <v>1</v>
      </c>
      <c r="C48" s="18" t="inlineStr">
        <is>
          <t>FTC</t>
        </is>
      </c>
      <c r="D48" s="18" t="inlineStr">
        <is>
          <t>TEST</t>
        </is>
      </c>
      <c r="E48" s="43" t="inlineStr">
        <is>
          <t>E2</t>
        </is>
      </c>
      <c r="F48" s="43" t="inlineStr">
        <is>
          <t>ON</t>
        </is>
      </c>
      <c r="G48" s="43" t="inlineStr">
        <is>
          <t>Delivery</t>
        </is>
      </c>
      <c r="H48" s="61" t="n">
        <v>3</v>
      </c>
      <c r="I48" s="44" t="n">
        <v>36</v>
      </c>
      <c r="J48" s="62" t="inlineStr">
        <is>
          <t>RAMPED</t>
        </is>
      </c>
      <c r="K48" s="63" t="n">
        <v>3</v>
      </c>
      <c r="L48" s="16" t="n"/>
      <c r="M48" s="38" t="n"/>
    </row>
    <row r="49" ht="15" customHeight="1">
      <c r="B49" s="27" t="n">
        <v>1</v>
      </c>
      <c r="C49" s="18" t="inlineStr">
        <is>
          <t>FTC</t>
        </is>
      </c>
      <c r="D49" s="18" t="inlineStr">
        <is>
          <t>TEST</t>
        </is>
      </c>
      <c r="E49" s="43" t="inlineStr">
        <is>
          <t>E3</t>
        </is>
      </c>
      <c r="F49" s="43" t="inlineStr">
        <is>
          <t>OFF</t>
        </is>
      </c>
      <c r="G49" s="43" t="inlineStr">
        <is>
          <t>Horizontal</t>
        </is>
      </c>
      <c r="H49" s="61" t="n">
        <v>0.5</v>
      </c>
      <c r="I49" s="44" t="n">
        <v>6</v>
      </c>
      <c r="J49" s="62" t="inlineStr">
        <is>
          <t>SHARED</t>
        </is>
      </c>
      <c r="K49" s="63" t="n">
        <v>0</v>
      </c>
      <c r="L49" s="16" t="n">
        <v>6</v>
      </c>
      <c r="M49" s="38" t="n">
        <v>0.5</v>
      </c>
    </row>
    <row r="50" ht="15" customHeight="1">
      <c r="B50" s="27" t="n">
        <v>1</v>
      </c>
      <c r="C50" s="18" t="inlineStr">
        <is>
          <t>FTC</t>
        </is>
      </c>
      <c r="D50" s="18" t="inlineStr">
        <is>
          <t>TEST</t>
        </is>
      </c>
      <c r="E50" s="43" t="inlineStr">
        <is>
          <t>E3</t>
        </is>
      </c>
      <c r="F50" s="43" t="inlineStr">
        <is>
          <t>ON</t>
        </is>
      </c>
      <c r="G50" s="43" t="inlineStr">
        <is>
          <t>Delivery</t>
        </is>
      </c>
      <c r="H50" s="61" t="n">
        <v>3.5</v>
      </c>
      <c r="I50" s="44" t="n">
        <v>42</v>
      </c>
      <c r="J50" s="62" t="inlineStr">
        <is>
          <t>RAMPED</t>
        </is>
      </c>
      <c r="K50" s="63" t="n">
        <v>3</v>
      </c>
      <c r="L50" s="16" t="n">
        <v>6</v>
      </c>
      <c r="M50" s="38" t="n"/>
    </row>
    <row r="51" ht="15" customHeight="1">
      <c r="B51" s="27" t="n">
        <v>1</v>
      </c>
      <c r="C51" s="18" t="inlineStr">
        <is>
          <t>FTC</t>
        </is>
      </c>
      <c r="D51" s="18" t="inlineStr">
        <is>
          <t>TEST</t>
        </is>
      </c>
      <c r="E51" s="43" t="inlineStr">
        <is>
          <t>E4</t>
        </is>
      </c>
      <c r="F51" s="43" t="inlineStr">
        <is>
          <t>ON</t>
        </is>
      </c>
      <c r="G51" s="43" t="inlineStr">
        <is>
          <t>Horizontal</t>
        </is>
      </c>
      <c r="H51" s="61" t="n">
        <v>1</v>
      </c>
      <c r="I51" s="44" t="n">
        <v>12</v>
      </c>
      <c r="J51" s="62" t="inlineStr">
        <is>
          <t>SHARED</t>
        </is>
      </c>
      <c r="K51" s="63" t="n">
        <v>1</v>
      </c>
      <c r="L51" s="16" t="n"/>
      <c r="M51" s="38" t="n"/>
    </row>
    <row r="52" ht="15" customHeight="1">
      <c r="B52" s="27" t="n">
        <v>1</v>
      </c>
      <c r="C52" s="18" t="inlineStr">
        <is>
          <t>FTE</t>
        </is>
      </c>
      <c r="D52" s="18" t="inlineStr">
        <is>
          <t>BSA</t>
        </is>
      </c>
      <c r="E52" s="43" t="inlineStr">
        <is>
          <t>E4</t>
        </is>
      </c>
      <c r="F52" s="43" t="inlineStr">
        <is>
          <t>ON</t>
        </is>
      </c>
      <c r="G52" s="43" t="inlineStr">
        <is>
          <t>Delivery</t>
        </is>
      </c>
      <c r="H52" s="61" t="n">
        <v>2</v>
      </c>
      <c r="I52" s="44" t="n">
        <v>24</v>
      </c>
      <c r="J52" s="62" t="inlineStr">
        <is>
          <t>RAMPED</t>
        </is>
      </c>
      <c r="K52" s="63" t="n">
        <v>2</v>
      </c>
      <c r="L52" s="16" t="n"/>
      <c r="M52" s="38" t="n"/>
    </row>
    <row r="53" ht="15" customHeight="1">
      <c r="B53" s="27" t="n">
        <v>1</v>
      </c>
      <c r="C53" s="18" t="inlineStr">
        <is>
          <t>FTE</t>
        </is>
      </c>
      <c r="D53" s="18" t="inlineStr">
        <is>
          <t>BSA</t>
        </is>
      </c>
      <c r="E53" s="43" t="inlineStr">
        <is>
          <t>E4</t>
        </is>
      </c>
      <c r="F53" s="43" t="inlineStr">
        <is>
          <t>ON</t>
        </is>
      </c>
      <c r="G53" s="43" t="inlineStr">
        <is>
          <t>Horizontal</t>
        </is>
      </c>
      <c r="H53" s="61" t="n">
        <v>1.5</v>
      </c>
      <c r="I53" s="44" t="n">
        <v>18</v>
      </c>
      <c r="J53" s="62" t="inlineStr">
        <is>
          <t>SHARED</t>
        </is>
      </c>
      <c r="K53" s="63" t="n">
        <v>1</v>
      </c>
      <c r="L53" s="16" t="n">
        <v>6</v>
      </c>
      <c r="M53" s="38" t="n">
        <v>0.5</v>
      </c>
    </row>
    <row r="54" ht="15" customHeight="1">
      <c r="B54" s="27" t="n">
        <v>1</v>
      </c>
      <c r="C54" s="18" t="inlineStr">
        <is>
          <t>FTE</t>
        </is>
      </c>
      <c r="D54" s="18" t="inlineStr">
        <is>
          <t>MNT</t>
        </is>
      </c>
      <c r="E54" s="43" t="inlineStr">
        <is>
          <t>E3</t>
        </is>
      </c>
      <c r="F54" s="43" t="inlineStr">
        <is>
          <t>ON</t>
        </is>
      </c>
      <c r="G54" s="43" t="inlineStr">
        <is>
          <t>Delivery</t>
        </is>
      </c>
      <c r="H54" s="61" t="n">
        <v>1.5</v>
      </c>
      <c r="I54" s="44" t="n">
        <v>18</v>
      </c>
      <c r="J54" s="62" t="inlineStr">
        <is>
          <t>RAMPED</t>
        </is>
      </c>
      <c r="K54" s="63" t="n">
        <v>1</v>
      </c>
      <c r="L54" s="16" t="n">
        <v>6</v>
      </c>
      <c r="M54" s="38" t="n"/>
    </row>
    <row r="55" ht="15" customHeight="1">
      <c r="B55" s="27" t="n">
        <v>1</v>
      </c>
      <c r="C55" s="18" t="inlineStr">
        <is>
          <t>FTE</t>
        </is>
      </c>
      <c r="D55" s="18" t="inlineStr">
        <is>
          <t>MNT</t>
        </is>
      </c>
      <c r="E55" s="43" t="inlineStr">
        <is>
          <t>E4</t>
        </is>
      </c>
      <c r="F55" s="43" t="inlineStr">
        <is>
          <t>ON</t>
        </is>
      </c>
      <c r="G55" s="43" t="inlineStr">
        <is>
          <t>Horizontal</t>
        </is>
      </c>
      <c r="H55" s="61" t="n">
        <v>2</v>
      </c>
      <c r="I55" s="44" t="n">
        <v>24</v>
      </c>
      <c r="J55" s="62" t="inlineStr">
        <is>
          <t>SHARED</t>
        </is>
      </c>
      <c r="K55" s="63" t="n">
        <v>2</v>
      </c>
      <c r="L55" s="16" t="n"/>
      <c r="M55" s="38" t="n"/>
    </row>
    <row r="56" ht="15" customHeight="1">
      <c r="B56" s="27" t="n">
        <v>1</v>
      </c>
      <c r="C56" s="18" t="inlineStr">
        <is>
          <t>FTE</t>
        </is>
      </c>
      <c r="D56" s="18" t="inlineStr">
        <is>
          <t>PM</t>
        </is>
      </c>
      <c r="E56" s="43" t="inlineStr">
        <is>
          <t>E4</t>
        </is>
      </c>
      <c r="F56" s="43" t="inlineStr">
        <is>
          <t>ON</t>
        </is>
      </c>
      <c r="G56" s="43" t="inlineStr">
        <is>
          <t>Delivery</t>
        </is>
      </c>
      <c r="H56" s="61" t="n">
        <v>5</v>
      </c>
      <c r="I56" s="44" t="n">
        <v>60</v>
      </c>
      <c r="J56" s="62" t="inlineStr">
        <is>
          <t>SHARED</t>
        </is>
      </c>
      <c r="K56" s="63" t="n">
        <v>5</v>
      </c>
      <c r="L56" s="16" t="n"/>
      <c r="M56" s="38" t="n"/>
    </row>
    <row r="57" ht="15" customHeight="1">
      <c r="B57" s="27" t="n">
        <v>1</v>
      </c>
      <c r="C57" s="18" t="inlineStr">
        <is>
          <t>FTE</t>
        </is>
      </c>
      <c r="D57" s="18" t="inlineStr">
        <is>
          <t>PM</t>
        </is>
      </c>
      <c r="E57" s="43" t="inlineStr">
        <is>
          <t>E4</t>
        </is>
      </c>
      <c r="F57" s="43" t="inlineStr">
        <is>
          <t>ON</t>
        </is>
      </c>
      <c r="G57" s="43" t="inlineStr">
        <is>
          <t>Horizontal</t>
        </is>
      </c>
      <c r="H57" s="61" t="n">
        <v>1.5</v>
      </c>
      <c r="I57" s="44" t="n">
        <v>18</v>
      </c>
      <c r="J57" s="62" t="inlineStr">
        <is>
          <t>SHARED</t>
        </is>
      </c>
      <c r="K57" s="63" t="n">
        <v>1</v>
      </c>
      <c r="L57" s="16" t="n">
        <v>6</v>
      </c>
      <c r="M57" s="38" t="n">
        <v>0.5</v>
      </c>
    </row>
    <row r="58" ht="15" customHeight="1">
      <c r="B58" s="27" t="n">
        <v>1</v>
      </c>
      <c r="C58" s="18" t="inlineStr">
        <is>
          <t>MGCC</t>
        </is>
      </c>
      <c r="D58" s="18" t="inlineStr">
        <is>
          <t>DEV</t>
        </is>
      </c>
      <c r="E58" s="43" t="inlineStr">
        <is>
          <t>E3</t>
        </is>
      </c>
      <c r="F58" s="43" t="inlineStr">
        <is>
          <t>OFF</t>
        </is>
      </c>
      <c r="G58" s="43" t="inlineStr">
        <is>
          <t>Delivery</t>
        </is>
      </c>
      <c r="H58" s="61" t="n">
        <v>10</v>
      </c>
      <c r="I58" s="44" t="n">
        <v>120</v>
      </c>
      <c r="J58" s="62" t="inlineStr">
        <is>
          <t>RAMPED</t>
        </is>
      </c>
      <c r="K58" s="63" t="n">
        <v>10</v>
      </c>
      <c r="L58" s="16" t="n"/>
      <c r="M58" s="38" t="n"/>
    </row>
    <row r="59" ht="15" customHeight="1">
      <c r="B59" s="27" t="n">
        <v>1</v>
      </c>
      <c r="C59" s="18" t="inlineStr">
        <is>
          <t>MGCC</t>
        </is>
      </c>
      <c r="D59" s="18" t="inlineStr">
        <is>
          <t>DEV</t>
        </is>
      </c>
      <c r="E59" s="43" t="inlineStr">
        <is>
          <t>E3</t>
        </is>
      </c>
      <c r="F59" s="43" t="inlineStr">
        <is>
          <t>OFF</t>
        </is>
      </c>
      <c r="G59" s="43" t="inlineStr">
        <is>
          <t>Horizontal</t>
        </is>
      </c>
      <c r="H59" s="61" t="n">
        <v>4.5</v>
      </c>
      <c r="I59" s="44" t="n">
        <v>54</v>
      </c>
      <c r="J59" s="62" t="inlineStr">
        <is>
          <t>SHARED</t>
        </is>
      </c>
      <c r="K59" s="63" t="n">
        <v>4</v>
      </c>
      <c r="L59" s="16" t="n">
        <v>6</v>
      </c>
      <c r="M59" s="38" t="n">
        <v>0.5</v>
      </c>
    </row>
    <row r="60" ht="15" customHeight="1">
      <c r="B60" s="27" t="n">
        <v>1</v>
      </c>
      <c r="C60" s="18" t="inlineStr">
        <is>
          <t>MGCC</t>
        </is>
      </c>
      <c r="D60" s="18" t="inlineStr">
        <is>
          <t>MNT</t>
        </is>
      </c>
      <c r="E60" s="43" t="inlineStr">
        <is>
          <t>E2</t>
        </is>
      </c>
      <c r="F60" s="43" t="inlineStr">
        <is>
          <t>OFF</t>
        </is>
      </c>
      <c r="G60" s="43" t="inlineStr">
        <is>
          <t>Horizontal</t>
        </is>
      </c>
      <c r="H60" s="61" t="n">
        <v>0.5</v>
      </c>
      <c r="I60" s="44" t="n">
        <v>6</v>
      </c>
      <c r="J60" s="62" t="inlineStr">
        <is>
          <t>SHARED</t>
        </is>
      </c>
      <c r="K60" s="63" t="n">
        <v>0</v>
      </c>
      <c r="L60" s="16" t="n">
        <v>6</v>
      </c>
      <c r="M60" s="38" t="n">
        <v>0.5</v>
      </c>
    </row>
    <row r="61" ht="15" customHeight="1">
      <c r="B61" s="27" t="n">
        <v>1</v>
      </c>
      <c r="C61" s="18" t="inlineStr">
        <is>
          <t>MGCC</t>
        </is>
      </c>
      <c r="D61" s="18" t="inlineStr">
        <is>
          <t>TEST</t>
        </is>
      </c>
      <c r="E61" s="43" t="inlineStr">
        <is>
          <t>E2</t>
        </is>
      </c>
      <c r="F61" s="43" t="inlineStr">
        <is>
          <t>OFF</t>
        </is>
      </c>
      <c r="G61" s="43" t="inlineStr">
        <is>
          <t>Delivery</t>
        </is>
      </c>
      <c r="H61" s="61" t="n">
        <v>5</v>
      </c>
      <c r="I61" s="44" t="n">
        <v>60</v>
      </c>
      <c r="J61" s="62" t="inlineStr">
        <is>
          <t>RAMPED</t>
        </is>
      </c>
      <c r="K61" s="63" t="n">
        <v>5</v>
      </c>
      <c r="L61" s="16" t="n"/>
      <c r="M61" s="38" t="n"/>
    </row>
    <row r="62" ht="15" customHeight="1">
      <c r="B62" s="27" t="n">
        <v>1</v>
      </c>
      <c r="C62" s="18" t="inlineStr">
        <is>
          <t>MGCC</t>
        </is>
      </c>
      <c r="D62" s="18" t="inlineStr">
        <is>
          <t>TEST</t>
        </is>
      </c>
      <c r="E62" s="43" t="inlineStr">
        <is>
          <t>E2</t>
        </is>
      </c>
      <c r="F62" s="43" t="inlineStr">
        <is>
          <t>OFF</t>
        </is>
      </c>
      <c r="G62" s="43" t="inlineStr">
        <is>
          <t>Horizontal</t>
        </is>
      </c>
      <c r="H62" s="61" t="n">
        <v>2.5</v>
      </c>
      <c r="I62" s="44" t="n">
        <v>30</v>
      </c>
      <c r="J62" s="62" t="inlineStr">
        <is>
          <t>SHARED</t>
        </is>
      </c>
      <c r="K62" s="63" t="n">
        <v>2</v>
      </c>
      <c r="L62" s="16" t="n">
        <v>6</v>
      </c>
      <c r="M62" s="38" t="n">
        <v>0.5</v>
      </c>
    </row>
    <row r="63" ht="15" customHeight="1">
      <c r="B63" s="27" t="n">
        <v>1</v>
      </c>
      <c r="C63" s="18" t="inlineStr">
        <is>
          <t>PT</t>
        </is>
      </c>
      <c r="D63" s="18" t="inlineStr">
        <is>
          <t>BSA</t>
        </is>
      </c>
      <c r="E63" s="43" t="inlineStr">
        <is>
          <t>E3</t>
        </is>
      </c>
      <c r="F63" s="43" t="inlineStr">
        <is>
          <t>ON</t>
        </is>
      </c>
      <c r="G63" s="43" t="inlineStr">
        <is>
          <t>Delivery</t>
        </is>
      </c>
      <c r="H63" s="61" t="n">
        <v>3</v>
      </c>
      <c r="I63" s="44" t="n">
        <v>36</v>
      </c>
      <c r="J63" s="62" t="inlineStr">
        <is>
          <t>RAMPED</t>
        </is>
      </c>
      <c r="K63" s="63" t="n">
        <v>3</v>
      </c>
      <c r="L63" s="16" t="n"/>
      <c r="M63" s="38" t="n"/>
    </row>
    <row r="64" ht="15" customHeight="1">
      <c r="B64" s="27" t="n">
        <v>1</v>
      </c>
      <c r="C64" s="18" t="inlineStr">
        <is>
          <t>PT</t>
        </is>
      </c>
      <c r="D64" s="18" t="inlineStr">
        <is>
          <t>DEV</t>
        </is>
      </c>
      <c r="E64" s="43" t="inlineStr">
        <is>
          <t>E3</t>
        </is>
      </c>
      <c r="F64" s="43" t="inlineStr">
        <is>
          <t>ON</t>
        </is>
      </c>
      <c r="G64" s="43" t="inlineStr">
        <is>
          <t>Delivery</t>
        </is>
      </c>
      <c r="H64" s="61" t="n">
        <v>4</v>
      </c>
      <c r="I64" s="44" t="n">
        <v>48</v>
      </c>
      <c r="J64" s="62" t="inlineStr">
        <is>
          <t>RAMPED</t>
        </is>
      </c>
      <c r="K64" s="63" t="n">
        <v>4</v>
      </c>
      <c r="L64" s="16" t="n"/>
      <c r="M64" s="38" t="n"/>
    </row>
    <row r="65" ht="15" customHeight="1">
      <c r="B65" s="27" t="n">
        <v>2</v>
      </c>
      <c r="C65" s="18" t="inlineStr">
        <is>
          <t>FTC</t>
        </is>
      </c>
      <c r="D65" s="18" t="inlineStr">
        <is>
          <t>BSA</t>
        </is>
      </c>
      <c r="E65" s="43" t="inlineStr">
        <is>
          <t>E3</t>
        </is>
      </c>
      <c r="F65" s="43" t="inlineStr">
        <is>
          <t>OFF</t>
        </is>
      </c>
      <c r="G65" s="43" t="inlineStr">
        <is>
          <t>Horizontal</t>
        </is>
      </c>
      <c r="H65" s="61" t="n">
        <v>0.5</v>
      </c>
      <c r="I65" s="44" t="n">
        <v>6</v>
      </c>
      <c r="J65" s="62" t="inlineStr">
        <is>
          <t>SHARED</t>
        </is>
      </c>
      <c r="K65" s="63" t="n">
        <v>0</v>
      </c>
      <c r="L65" s="16" t="n">
        <v>6</v>
      </c>
      <c r="M65" s="38" t="n">
        <v>0.5</v>
      </c>
    </row>
    <row r="66" ht="15" customHeight="1">
      <c r="B66" s="27" t="n">
        <v>2</v>
      </c>
      <c r="C66" s="18" t="inlineStr">
        <is>
          <t>FTC</t>
        </is>
      </c>
      <c r="D66" s="18" t="inlineStr">
        <is>
          <t>BSA</t>
        </is>
      </c>
      <c r="E66" s="43" t="inlineStr">
        <is>
          <t>E3</t>
        </is>
      </c>
      <c r="F66" s="43" t="inlineStr">
        <is>
          <t>ON</t>
        </is>
      </c>
      <c r="G66" s="43" t="inlineStr">
        <is>
          <t>Delivery</t>
        </is>
      </c>
      <c r="H66" s="61" t="n">
        <v>4.5</v>
      </c>
      <c r="I66" s="44" t="n">
        <v>54</v>
      </c>
      <c r="J66" s="62" t="inlineStr">
        <is>
          <t>RAMPED</t>
        </is>
      </c>
      <c r="K66" s="63" t="n">
        <v>4</v>
      </c>
      <c r="L66" s="16" t="n">
        <v>6</v>
      </c>
      <c r="M66" s="38" t="n"/>
    </row>
    <row r="67" ht="15" customHeight="1">
      <c r="B67" s="27" t="n">
        <v>2</v>
      </c>
      <c r="C67" s="18" t="inlineStr">
        <is>
          <t>FTC</t>
        </is>
      </c>
      <c r="D67" s="18" t="inlineStr">
        <is>
          <t>BSA</t>
        </is>
      </c>
      <c r="E67" s="43" t="inlineStr">
        <is>
          <t>E3</t>
        </is>
      </c>
      <c r="F67" s="43" t="inlineStr">
        <is>
          <t>ON</t>
        </is>
      </c>
      <c r="G67" s="43" t="inlineStr">
        <is>
          <t>Horizontal</t>
        </is>
      </c>
      <c r="H67" s="61" t="n">
        <v>1.5</v>
      </c>
      <c r="I67" s="44" t="n">
        <v>18</v>
      </c>
      <c r="J67" s="62" t="inlineStr">
        <is>
          <t>SHARED</t>
        </is>
      </c>
      <c r="K67" s="63" t="n">
        <v>1</v>
      </c>
      <c r="L67" s="16" t="n">
        <v>6</v>
      </c>
      <c r="M67" s="38" t="n">
        <v>0.5</v>
      </c>
    </row>
    <row r="68" ht="15" customHeight="1">
      <c r="B68" s="27" t="n">
        <v>2</v>
      </c>
      <c r="C68" s="18" t="inlineStr">
        <is>
          <t>FTC</t>
        </is>
      </c>
      <c r="D68" s="18" t="inlineStr">
        <is>
          <t>DEV</t>
        </is>
      </c>
      <c r="E68" s="43" t="inlineStr">
        <is>
          <t>E1</t>
        </is>
      </c>
      <c r="F68" s="43" t="inlineStr">
        <is>
          <t>OFF</t>
        </is>
      </c>
      <c r="G68" s="43" t="inlineStr">
        <is>
          <t>Delivery</t>
        </is>
      </c>
      <c r="H68" s="61" t="n">
        <v>1</v>
      </c>
      <c r="I68" s="44" t="n">
        <v>12</v>
      </c>
      <c r="J68" s="62" t="inlineStr">
        <is>
          <t>RAMPED</t>
        </is>
      </c>
      <c r="K68" s="63" t="n">
        <v>1</v>
      </c>
      <c r="L68" s="16" t="n"/>
      <c r="M68" s="38" t="n"/>
    </row>
    <row r="69" ht="15" customHeight="1">
      <c r="B69" s="27" t="n">
        <v>2</v>
      </c>
      <c r="C69" s="18" t="inlineStr">
        <is>
          <t>FTC</t>
        </is>
      </c>
      <c r="D69" s="18" t="inlineStr">
        <is>
          <t>DEV</t>
        </is>
      </c>
      <c r="E69" s="43" t="inlineStr">
        <is>
          <t>E2</t>
        </is>
      </c>
      <c r="F69" s="43" t="inlineStr">
        <is>
          <t>OFF</t>
        </is>
      </c>
      <c r="G69" s="43" t="inlineStr">
        <is>
          <t>Delivery</t>
        </is>
      </c>
      <c r="H69" s="61" t="n">
        <v>4.5</v>
      </c>
      <c r="I69" s="44" t="n">
        <v>54</v>
      </c>
      <c r="J69" s="62" t="inlineStr">
        <is>
          <t>RAMPED</t>
        </is>
      </c>
      <c r="K69" s="63" t="n">
        <v>4</v>
      </c>
      <c r="L69" s="16" t="n">
        <v>6</v>
      </c>
      <c r="M69" s="38" t="n"/>
    </row>
    <row r="70" ht="15" customHeight="1">
      <c r="B70" s="27" t="n">
        <v>2</v>
      </c>
      <c r="C70" s="18" t="inlineStr">
        <is>
          <t>FTC</t>
        </is>
      </c>
      <c r="D70" s="18" t="inlineStr">
        <is>
          <t>DEV</t>
        </is>
      </c>
      <c r="E70" s="43" t="inlineStr">
        <is>
          <t>E2</t>
        </is>
      </c>
      <c r="F70" s="43" t="inlineStr">
        <is>
          <t>ON</t>
        </is>
      </c>
      <c r="G70" s="43" t="inlineStr">
        <is>
          <t>Delivery</t>
        </is>
      </c>
      <c r="H70" s="61" t="n">
        <v>5</v>
      </c>
      <c r="I70" s="44" t="n">
        <v>60</v>
      </c>
      <c r="J70" s="62" t="inlineStr">
        <is>
          <t>RAMPED</t>
        </is>
      </c>
      <c r="K70" s="63" t="n">
        <v>5</v>
      </c>
      <c r="L70" s="16" t="n"/>
      <c r="M70" s="38" t="n"/>
    </row>
    <row r="71" ht="15" customHeight="1">
      <c r="B71" s="27" t="n">
        <v>2</v>
      </c>
      <c r="C71" s="18" t="inlineStr">
        <is>
          <t>FTC</t>
        </is>
      </c>
      <c r="D71" s="18" t="inlineStr">
        <is>
          <t>DEV</t>
        </is>
      </c>
      <c r="E71" s="43" t="inlineStr">
        <is>
          <t>E3</t>
        </is>
      </c>
      <c r="F71" s="43" t="inlineStr">
        <is>
          <t>NEAR</t>
        </is>
      </c>
      <c r="G71" s="43" t="inlineStr">
        <is>
          <t>Delivery</t>
        </is>
      </c>
      <c r="H71" s="61" t="n">
        <v>4.5</v>
      </c>
      <c r="I71" s="44" t="n">
        <v>54</v>
      </c>
      <c r="J71" s="62" t="inlineStr">
        <is>
          <t>RAMPED</t>
        </is>
      </c>
      <c r="K71" s="63" t="n">
        <v>4</v>
      </c>
      <c r="L71" s="16" t="n">
        <v>6</v>
      </c>
      <c r="M71" s="38" t="n"/>
    </row>
    <row r="72" ht="15" customHeight="1">
      <c r="B72" s="27" t="n">
        <v>2</v>
      </c>
      <c r="C72" s="18" t="inlineStr">
        <is>
          <t>FTC</t>
        </is>
      </c>
      <c r="D72" s="18" t="inlineStr">
        <is>
          <t>DEV</t>
        </is>
      </c>
      <c r="E72" s="43" t="inlineStr">
        <is>
          <t>E3</t>
        </is>
      </c>
      <c r="F72" s="43" t="inlineStr">
        <is>
          <t>ON</t>
        </is>
      </c>
      <c r="G72" s="43" t="inlineStr">
        <is>
          <t>Delivery</t>
        </is>
      </c>
      <c r="H72" s="61" t="n">
        <v>8.5</v>
      </c>
      <c r="I72" s="44" t="n">
        <v>102</v>
      </c>
      <c r="J72" s="62" t="inlineStr">
        <is>
          <t>RAMPED</t>
        </is>
      </c>
      <c r="K72" s="63" t="n">
        <v>8</v>
      </c>
      <c r="L72" s="16" t="n">
        <v>6</v>
      </c>
      <c r="M72" s="38" t="n"/>
    </row>
    <row r="73" ht="15" customHeight="1">
      <c r="B73" s="27" t="n">
        <v>2</v>
      </c>
      <c r="C73" s="18" t="inlineStr">
        <is>
          <t>FTC</t>
        </is>
      </c>
      <c r="D73" s="18" t="inlineStr">
        <is>
          <t>DEV</t>
        </is>
      </c>
      <c r="E73" s="43" t="inlineStr">
        <is>
          <t>E4</t>
        </is>
      </c>
      <c r="F73" s="43" t="inlineStr">
        <is>
          <t>ON</t>
        </is>
      </c>
      <c r="G73" s="43" t="inlineStr">
        <is>
          <t>Delivery</t>
        </is>
      </c>
      <c r="H73" s="61" t="n">
        <v>6</v>
      </c>
      <c r="I73" s="44" t="n">
        <v>72</v>
      </c>
      <c r="J73" s="62" t="inlineStr">
        <is>
          <t>RAMPED</t>
        </is>
      </c>
      <c r="K73" s="63" t="n">
        <v>6</v>
      </c>
      <c r="L73" s="16" t="n"/>
      <c r="M73" s="38" t="n"/>
    </row>
    <row r="74" ht="15" customHeight="1">
      <c r="B74" s="27" t="n">
        <v>2</v>
      </c>
      <c r="C74" s="18" t="inlineStr">
        <is>
          <t>FTC</t>
        </is>
      </c>
      <c r="D74" s="18" t="inlineStr">
        <is>
          <t>MNT</t>
        </is>
      </c>
      <c r="E74" s="43" t="inlineStr">
        <is>
          <t>E2</t>
        </is>
      </c>
      <c r="F74" s="43" t="inlineStr">
        <is>
          <t>OFF</t>
        </is>
      </c>
      <c r="G74" s="43" t="inlineStr">
        <is>
          <t>Delivery</t>
        </is>
      </c>
      <c r="H74" s="61" t="n">
        <v>1</v>
      </c>
      <c r="I74" s="44" t="n">
        <v>12</v>
      </c>
      <c r="J74" s="62" t="inlineStr">
        <is>
          <t>RAMPED</t>
        </is>
      </c>
      <c r="K74" s="63" t="n">
        <v>1</v>
      </c>
      <c r="L74" s="16" t="n"/>
      <c r="M74" s="38" t="n"/>
    </row>
    <row r="75" ht="15" customHeight="1">
      <c r="B75" s="27" t="n">
        <v>2</v>
      </c>
      <c r="C75" s="18" t="inlineStr">
        <is>
          <t>FTC</t>
        </is>
      </c>
      <c r="D75" s="18" t="inlineStr">
        <is>
          <t>MNT</t>
        </is>
      </c>
      <c r="E75" s="43" t="inlineStr">
        <is>
          <t>E2</t>
        </is>
      </c>
      <c r="F75" s="43" t="inlineStr">
        <is>
          <t>OFF</t>
        </is>
      </c>
      <c r="G75" s="43" t="inlineStr">
        <is>
          <t>Horizontal</t>
        </is>
      </c>
      <c r="H75" s="61" t="n">
        <v>0.5</v>
      </c>
      <c r="I75" s="44" t="n">
        <v>6</v>
      </c>
      <c r="J75" s="62" t="inlineStr">
        <is>
          <t>SHARED</t>
        </is>
      </c>
      <c r="K75" s="63" t="n">
        <v>0</v>
      </c>
      <c r="L75" s="16" t="n">
        <v>6</v>
      </c>
      <c r="M75" s="38" t="n">
        <v>0.5</v>
      </c>
    </row>
    <row r="76" ht="15" customHeight="1">
      <c r="B76" s="27" t="n">
        <v>2</v>
      </c>
      <c r="C76" s="18" t="inlineStr">
        <is>
          <t>FTC</t>
        </is>
      </c>
      <c r="D76" s="18" t="inlineStr">
        <is>
          <t>MNT</t>
        </is>
      </c>
      <c r="E76" s="43" t="inlineStr">
        <is>
          <t>E2</t>
        </is>
      </c>
      <c r="F76" s="43" t="inlineStr">
        <is>
          <t>ON</t>
        </is>
      </c>
      <c r="G76" s="43" t="inlineStr">
        <is>
          <t>Delivery</t>
        </is>
      </c>
      <c r="H76" s="61" t="n">
        <v>1.5</v>
      </c>
      <c r="I76" s="44" t="n">
        <v>18</v>
      </c>
      <c r="J76" s="62" t="inlineStr">
        <is>
          <t>RAMPED</t>
        </is>
      </c>
      <c r="K76" s="63" t="n">
        <v>1</v>
      </c>
      <c r="L76" s="16" t="n">
        <v>6</v>
      </c>
      <c r="M76" s="38" t="n"/>
    </row>
    <row r="77" ht="15" customHeight="1">
      <c r="B77" s="27" t="n">
        <v>2</v>
      </c>
      <c r="C77" s="18" t="inlineStr">
        <is>
          <t>FTC</t>
        </is>
      </c>
      <c r="D77" s="18" t="inlineStr">
        <is>
          <t>MNT</t>
        </is>
      </c>
      <c r="E77" s="43" t="inlineStr">
        <is>
          <t>E3</t>
        </is>
      </c>
      <c r="F77" s="43" t="inlineStr">
        <is>
          <t>ON</t>
        </is>
      </c>
      <c r="G77" s="43" t="inlineStr">
        <is>
          <t>Horizontal</t>
        </is>
      </c>
      <c r="H77" s="61" t="n">
        <v>1.5</v>
      </c>
      <c r="I77" s="44" t="n">
        <v>18</v>
      </c>
      <c r="J77" s="62" t="inlineStr">
        <is>
          <t>SHARED</t>
        </is>
      </c>
      <c r="K77" s="63" t="n">
        <v>1</v>
      </c>
      <c r="L77" s="16" t="n">
        <v>6</v>
      </c>
      <c r="M77" s="38" t="n">
        <v>0.5</v>
      </c>
    </row>
    <row r="78" ht="15" customHeight="1">
      <c r="B78" s="27" t="n">
        <v>2</v>
      </c>
      <c r="C78" s="18" t="inlineStr">
        <is>
          <t>FTC</t>
        </is>
      </c>
      <c r="D78" s="18" t="inlineStr">
        <is>
          <t>OTH</t>
        </is>
      </c>
      <c r="E78" s="43" t="inlineStr">
        <is>
          <t>E3</t>
        </is>
      </c>
      <c r="F78" s="43" t="inlineStr">
        <is>
          <t>OFF</t>
        </is>
      </c>
      <c r="G78" s="43" t="inlineStr">
        <is>
          <t>Horizontal</t>
        </is>
      </c>
      <c r="H78" s="61" t="n">
        <v>0.5</v>
      </c>
      <c r="I78" s="44" t="n">
        <v>6</v>
      </c>
      <c r="J78" s="62" t="inlineStr">
        <is>
          <t>SHARED</t>
        </is>
      </c>
      <c r="K78" s="63" t="n">
        <v>0</v>
      </c>
      <c r="L78" s="16" t="n">
        <v>6</v>
      </c>
      <c r="M78" s="38" t="n">
        <v>0.5</v>
      </c>
    </row>
    <row r="79" ht="15" customHeight="1">
      <c r="B79" s="27" t="n">
        <v>2</v>
      </c>
      <c r="C79" s="18" t="inlineStr">
        <is>
          <t>FTC</t>
        </is>
      </c>
      <c r="D79" s="18" t="inlineStr">
        <is>
          <t>OTH</t>
        </is>
      </c>
      <c r="E79" s="43" t="inlineStr">
        <is>
          <t>E4</t>
        </is>
      </c>
      <c r="F79" s="43" t="inlineStr">
        <is>
          <t>ON</t>
        </is>
      </c>
      <c r="G79" s="43" t="inlineStr">
        <is>
          <t>Delivery</t>
        </is>
      </c>
      <c r="H79" s="61" t="n">
        <v>2</v>
      </c>
      <c r="I79" s="44" t="n">
        <v>24</v>
      </c>
      <c r="J79" s="62" t="inlineStr">
        <is>
          <t>SHARED</t>
        </is>
      </c>
      <c r="K79" s="63" t="n">
        <v>2</v>
      </c>
      <c r="L79" s="16" t="n"/>
      <c r="M79" s="38" t="n"/>
    </row>
    <row r="80" ht="15" customHeight="1">
      <c r="B80" s="27" t="n">
        <v>2</v>
      </c>
      <c r="C80" s="18" t="inlineStr">
        <is>
          <t>FTC</t>
        </is>
      </c>
      <c r="D80" s="18" t="inlineStr">
        <is>
          <t>OTH</t>
        </is>
      </c>
      <c r="E80" s="43" t="inlineStr">
        <is>
          <t>E4</t>
        </is>
      </c>
      <c r="F80" s="43" t="inlineStr">
        <is>
          <t>ON</t>
        </is>
      </c>
      <c r="G80" s="43" t="inlineStr">
        <is>
          <t>Horizontal</t>
        </is>
      </c>
      <c r="H80" s="61" t="n">
        <v>0.5</v>
      </c>
      <c r="I80" s="44" t="n">
        <v>6</v>
      </c>
      <c r="J80" s="62" t="inlineStr">
        <is>
          <t>SHARED</t>
        </is>
      </c>
      <c r="K80" s="63" t="n">
        <v>0</v>
      </c>
      <c r="L80" s="16" t="n">
        <v>6</v>
      </c>
      <c r="M80" s="38" t="n">
        <v>0.5</v>
      </c>
    </row>
    <row r="81" ht="15" customHeight="1">
      <c r="B81" s="27" t="n">
        <v>2</v>
      </c>
      <c r="C81" s="18" t="inlineStr">
        <is>
          <t>FTC</t>
        </is>
      </c>
      <c r="D81" s="18" t="inlineStr">
        <is>
          <t>OTH</t>
        </is>
      </c>
      <c r="E81" s="43" t="inlineStr">
        <is>
          <t>E5</t>
        </is>
      </c>
      <c r="F81" s="43" t="inlineStr">
        <is>
          <t>ON</t>
        </is>
      </c>
      <c r="G81" s="43" t="inlineStr">
        <is>
          <t>Horizontal</t>
        </is>
      </c>
      <c r="H81" s="61" t="n">
        <v>1</v>
      </c>
      <c r="I81" s="44" t="n">
        <v>12</v>
      </c>
      <c r="J81" s="62" t="inlineStr">
        <is>
          <t>SHARED</t>
        </is>
      </c>
      <c r="K81" s="63" t="n">
        <v>1</v>
      </c>
      <c r="L81" s="16" t="n"/>
      <c r="M81" s="38" t="n"/>
    </row>
    <row r="82" ht="15" customHeight="1">
      <c r="B82" s="27" t="n">
        <v>2</v>
      </c>
      <c r="C82" s="18" t="inlineStr">
        <is>
          <t>FTC</t>
        </is>
      </c>
      <c r="D82" s="18" t="inlineStr">
        <is>
          <t>PM</t>
        </is>
      </c>
      <c r="E82" s="43" t="inlineStr">
        <is>
          <t>E5</t>
        </is>
      </c>
      <c r="F82" s="43" t="inlineStr">
        <is>
          <t>ON</t>
        </is>
      </c>
      <c r="G82" s="43" t="inlineStr">
        <is>
          <t>Horizontal</t>
        </is>
      </c>
      <c r="H82" s="61" t="n">
        <v>1</v>
      </c>
      <c r="I82" s="44" t="n">
        <v>12</v>
      </c>
      <c r="J82" s="62" t="inlineStr">
        <is>
          <t>SHARED</t>
        </is>
      </c>
      <c r="K82" s="63" t="n">
        <v>1</v>
      </c>
      <c r="L82" s="16" t="n"/>
      <c r="M82" s="38" t="n"/>
    </row>
    <row r="83" ht="15" customHeight="1">
      <c r="B83" s="27" t="n">
        <v>2</v>
      </c>
      <c r="C83" s="18" t="inlineStr">
        <is>
          <t>FTC</t>
        </is>
      </c>
      <c r="D83" s="18" t="inlineStr">
        <is>
          <t>TEST</t>
        </is>
      </c>
      <c r="E83" s="43" t="inlineStr">
        <is>
          <t>E1</t>
        </is>
      </c>
      <c r="F83" s="43" t="inlineStr">
        <is>
          <t>OFF</t>
        </is>
      </c>
      <c r="G83" s="43" t="inlineStr">
        <is>
          <t>Delivery</t>
        </is>
      </c>
      <c r="H83" s="61" t="n">
        <v>2.5</v>
      </c>
      <c r="I83" s="44" t="n">
        <v>30</v>
      </c>
      <c r="J83" s="62" t="inlineStr">
        <is>
          <t>RAMPED</t>
        </is>
      </c>
      <c r="K83" s="63" t="n">
        <v>2</v>
      </c>
      <c r="L83" s="16" t="n">
        <v>6</v>
      </c>
      <c r="M83" s="38" t="n"/>
    </row>
    <row r="84" ht="15" customHeight="1">
      <c r="B84" s="27" t="n">
        <v>2</v>
      </c>
      <c r="C84" s="18" t="inlineStr">
        <is>
          <t>FTC</t>
        </is>
      </c>
      <c r="D84" s="18" t="inlineStr">
        <is>
          <t>TEST</t>
        </is>
      </c>
      <c r="E84" s="43" t="inlineStr">
        <is>
          <t>E2</t>
        </is>
      </c>
      <c r="F84" s="43" t="inlineStr">
        <is>
          <t>NEAR</t>
        </is>
      </c>
      <c r="G84" s="43" t="inlineStr">
        <is>
          <t>Delivery</t>
        </is>
      </c>
      <c r="H84" s="61" t="n">
        <v>1.5</v>
      </c>
      <c r="I84" s="44" t="n">
        <v>18</v>
      </c>
      <c r="J84" s="62" t="inlineStr">
        <is>
          <t>RAMPED</t>
        </is>
      </c>
      <c r="K84" s="63" t="n">
        <v>1</v>
      </c>
      <c r="L84" s="16" t="n">
        <v>6</v>
      </c>
      <c r="M84" s="38" t="n"/>
    </row>
    <row r="85" ht="15" customHeight="1">
      <c r="B85" s="27" t="n">
        <v>2</v>
      </c>
      <c r="C85" s="18" t="inlineStr">
        <is>
          <t>FTC</t>
        </is>
      </c>
      <c r="D85" s="18" t="inlineStr">
        <is>
          <t>TEST</t>
        </is>
      </c>
      <c r="E85" s="43" t="inlineStr">
        <is>
          <t>E2</t>
        </is>
      </c>
      <c r="F85" s="43" t="inlineStr">
        <is>
          <t>ON</t>
        </is>
      </c>
      <c r="G85" s="43" t="inlineStr">
        <is>
          <t>Delivery</t>
        </is>
      </c>
      <c r="H85" s="61" t="n">
        <v>1</v>
      </c>
      <c r="I85" s="44" t="n">
        <v>12</v>
      </c>
      <c r="J85" s="62" t="inlineStr">
        <is>
          <t>RAMPED</t>
        </is>
      </c>
      <c r="K85" s="63" t="n">
        <v>1</v>
      </c>
      <c r="L85" s="16" t="n"/>
      <c r="M85" s="38" t="n"/>
    </row>
    <row r="86" ht="15" customHeight="1">
      <c r="B86" s="27" t="n">
        <v>2</v>
      </c>
      <c r="C86" s="18" t="inlineStr">
        <is>
          <t>FTC</t>
        </is>
      </c>
      <c r="D86" s="18" t="inlineStr">
        <is>
          <t>TEST</t>
        </is>
      </c>
      <c r="E86" s="43" t="inlineStr">
        <is>
          <t>E3</t>
        </is>
      </c>
      <c r="F86" s="43" t="inlineStr">
        <is>
          <t>OFF</t>
        </is>
      </c>
      <c r="G86" s="43" t="inlineStr">
        <is>
          <t>Horizontal</t>
        </is>
      </c>
      <c r="H86" s="61" t="n">
        <v>0.5</v>
      </c>
      <c r="I86" s="44" t="n">
        <v>6</v>
      </c>
      <c r="J86" s="62" t="inlineStr">
        <is>
          <t>SHARED</t>
        </is>
      </c>
      <c r="K86" s="63" t="n">
        <v>0</v>
      </c>
      <c r="L86" s="16" t="n">
        <v>6</v>
      </c>
      <c r="M86" s="38" t="n">
        <v>0.5</v>
      </c>
    </row>
    <row r="87" ht="15" customHeight="1">
      <c r="B87" s="27" t="n">
        <v>2</v>
      </c>
      <c r="C87" s="18" t="inlineStr">
        <is>
          <t>FTC</t>
        </is>
      </c>
      <c r="D87" s="18" t="inlineStr">
        <is>
          <t>TEST</t>
        </is>
      </c>
      <c r="E87" s="43" t="inlineStr">
        <is>
          <t>E3</t>
        </is>
      </c>
      <c r="F87" s="43" t="inlineStr">
        <is>
          <t>ON</t>
        </is>
      </c>
      <c r="G87" s="43" t="inlineStr">
        <is>
          <t>Delivery</t>
        </is>
      </c>
      <c r="H87" s="61" t="n">
        <v>2.5</v>
      </c>
      <c r="I87" s="44" t="n">
        <v>30</v>
      </c>
      <c r="J87" s="62" t="inlineStr">
        <is>
          <t>RAMPED</t>
        </is>
      </c>
      <c r="K87" s="63" t="n">
        <v>2</v>
      </c>
      <c r="L87" s="16" t="n">
        <v>6</v>
      </c>
      <c r="M87" s="38" t="n"/>
    </row>
    <row r="88" ht="15" customHeight="1">
      <c r="B88" s="27" t="n">
        <v>2</v>
      </c>
      <c r="C88" s="18" t="inlineStr">
        <is>
          <t>FTC</t>
        </is>
      </c>
      <c r="D88" s="18" t="inlineStr">
        <is>
          <t>TEST</t>
        </is>
      </c>
      <c r="E88" s="43" t="inlineStr">
        <is>
          <t>E4</t>
        </is>
      </c>
      <c r="F88" s="43" t="inlineStr">
        <is>
          <t>ON</t>
        </is>
      </c>
      <c r="G88" s="43" t="inlineStr">
        <is>
          <t>Horizontal</t>
        </is>
      </c>
      <c r="H88" s="61" t="n">
        <v>0.5</v>
      </c>
      <c r="I88" s="44" t="n">
        <v>6</v>
      </c>
      <c r="J88" s="62" t="inlineStr">
        <is>
          <t>SHARED</t>
        </is>
      </c>
      <c r="K88" s="63" t="n">
        <v>0</v>
      </c>
      <c r="L88" s="16" t="n">
        <v>6</v>
      </c>
      <c r="M88" s="38" t="n">
        <v>0.5</v>
      </c>
    </row>
    <row r="89" ht="15" customHeight="1">
      <c r="B89" s="27" t="n">
        <v>2</v>
      </c>
      <c r="C89" s="18" t="inlineStr">
        <is>
          <t>FTE</t>
        </is>
      </c>
      <c r="D89" s="18" t="inlineStr">
        <is>
          <t>BSA</t>
        </is>
      </c>
      <c r="E89" s="43" t="inlineStr">
        <is>
          <t>E4</t>
        </is>
      </c>
      <c r="F89" s="43" t="inlineStr">
        <is>
          <t>ON</t>
        </is>
      </c>
      <c r="G89" s="43" t="inlineStr">
        <is>
          <t>Delivery</t>
        </is>
      </c>
      <c r="H89" s="61" t="n">
        <v>2</v>
      </c>
      <c r="I89" s="44" t="n">
        <v>24</v>
      </c>
      <c r="J89" s="62" t="inlineStr">
        <is>
          <t>RAMPED</t>
        </is>
      </c>
      <c r="K89" s="63" t="n">
        <v>2</v>
      </c>
      <c r="L89" s="16" t="n"/>
      <c r="M89" s="38" t="n"/>
    </row>
    <row r="90" ht="15" customHeight="1">
      <c r="B90" s="27" t="n">
        <v>2</v>
      </c>
      <c r="C90" s="18" t="inlineStr">
        <is>
          <t>FTE</t>
        </is>
      </c>
      <c r="D90" s="18" t="inlineStr">
        <is>
          <t>BSA</t>
        </is>
      </c>
      <c r="E90" s="43" t="inlineStr">
        <is>
          <t>E4</t>
        </is>
      </c>
      <c r="F90" s="43" t="inlineStr">
        <is>
          <t>ON</t>
        </is>
      </c>
      <c r="G90" s="43" t="inlineStr">
        <is>
          <t>Horizontal</t>
        </is>
      </c>
      <c r="H90" s="61" t="n">
        <v>1.5</v>
      </c>
      <c r="I90" s="44" t="n">
        <v>18</v>
      </c>
      <c r="J90" s="62" t="inlineStr">
        <is>
          <t>SHARED</t>
        </is>
      </c>
      <c r="K90" s="63" t="n">
        <v>1</v>
      </c>
      <c r="L90" s="16" t="n">
        <v>6</v>
      </c>
      <c r="M90" s="38" t="n">
        <v>0.5</v>
      </c>
    </row>
    <row r="91" ht="15" customHeight="1">
      <c r="B91" s="27" t="n">
        <v>2</v>
      </c>
      <c r="C91" s="18" t="inlineStr">
        <is>
          <t>FTE</t>
        </is>
      </c>
      <c r="D91" s="18" t="inlineStr">
        <is>
          <t>MNT</t>
        </is>
      </c>
      <c r="E91" s="43" t="inlineStr">
        <is>
          <t>E3</t>
        </is>
      </c>
      <c r="F91" s="43" t="inlineStr">
        <is>
          <t>ON</t>
        </is>
      </c>
      <c r="G91" s="43" t="inlineStr">
        <is>
          <t>Delivery</t>
        </is>
      </c>
      <c r="H91" s="61" t="n">
        <v>1.5</v>
      </c>
      <c r="I91" s="44" t="n">
        <v>18</v>
      </c>
      <c r="J91" s="62" t="inlineStr">
        <is>
          <t>RAMPED</t>
        </is>
      </c>
      <c r="K91" s="63" t="n">
        <v>1</v>
      </c>
      <c r="L91" s="16" t="n">
        <v>6</v>
      </c>
      <c r="M91" s="38" t="n"/>
    </row>
    <row r="92" ht="15" customHeight="1">
      <c r="B92" s="27" t="n">
        <v>2</v>
      </c>
      <c r="C92" s="18" t="inlineStr">
        <is>
          <t>FTE</t>
        </is>
      </c>
      <c r="D92" s="18" t="inlineStr">
        <is>
          <t>MNT</t>
        </is>
      </c>
      <c r="E92" s="43" t="inlineStr">
        <is>
          <t>E4</t>
        </is>
      </c>
      <c r="F92" s="43" t="inlineStr">
        <is>
          <t>ON</t>
        </is>
      </c>
      <c r="G92" s="43" t="inlineStr">
        <is>
          <t>Horizontal</t>
        </is>
      </c>
      <c r="H92" s="61" t="n">
        <v>2</v>
      </c>
      <c r="I92" s="44" t="n">
        <v>24</v>
      </c>
      <c r="J92" s="62" t="inlineStr">
        <is>
          <t>SHARED</t>
        </is>
      </c>
      <c r="K92" s="63" t="n">
        <v>2</v>
      </c>
      <c r="L92" s="16" t="n"/>
      <c r="M92" s="38" t="n"/>
    </row>
    <row r="93" ht="15" customHeight="1">
      <c r="B93" s="27" t="n">
        <v>2</v>
      </c>
      <c r="C93" s="18" t="inlineStr">
        <is>
          <t>FTE</t>
        </is>
      </c>
      <c r="D93" s="18" t="inlineStr">
        <is>
          <t>PM</t>
        </is>
      </c>
      <c r="E93" s="43" t="inlineStr">
        <is>
          <t>E4</t>
        </is>
      </c>
      <c r="F93" s="43" t="inlineStr">
        <is>
          <t>ON</t>
        </is>
      </c>
      <c r="G93" s="43" t="inlineStr">
        <is>
          <t>Delivery</t>
        </is>
      </c>
      <c r="H93" s="61" t="n">
        <v>3.5</v>
      </c>
      <c r="I93" s="44" t="n">
        <v>42</v>
      </c>
      <c r="J93" s="62" t="inlineStr">
        <is>
          <t>SHARED</t>
        </is>
      </c>
      <c r="K93" s="63" t="n">
        <v>3</v>
      </c>
      <c r="L93" s="16" t="n">
        <v>6</v>
      </c>
      <c r="M93" s="38" t="n">
        <v>0.5</v>
      </c>
    </row>
    <row r="94" ht="15" customHeight="1">
      <c r="B94" s="27" t="n">
        <v>2</v>
      </c>
      <c r="C94" s="18" t="inlineStr">
        <is>
          <t>FTE</t>
        </is>
      </c>
      <c r="D94" s="18" t="inlineStr">
        <is>
          <t>PM</t>
        </is>
      </c>
      <c r="E94" s="43" t="inlineStr">
        <is>
          <t>E4</t>
        </is>
      </c>
      <c r="F94" s="43" t="inlineStr">
        <is>
          <t>ON</t>
        </is>
      </c>
      <c r="G94" s="43" t="inlineStr">
        <is>
          <t>Horizontal</t>
        </is>
      </c>
      <c r="H94" s="61" t="n">
        <v>1.5</v>
      </c>
      <c r="I94" s="44" t="n">
        <v>18</v>
      </c>
      <c r="J94" s="62" t="inlineStr">
        <is>
          <t>SHARED</t>
        </is>
      </c>
      <c r="K94" s="63" t="n">
        <v>1</v>
      </c>
      <c r="L94" s="16" t="n">
        <v>6</v>
      </c>
      <c r="M94" s="38" t="n">
        <v>0.5</v>
      </c>
    </row>
    <row r="95" ht="15" customHeight="1">
      <c r="B95" s="27" t="n">
        <v>2</v>
      </c>
      <c r="C95" s="18" t="inlineStr">
        <is>
          <t>MGCC</t>
        </is>
      </c>
      <c r="D95" s="18" t="inlineStr">
        <is>
          <t>DEV</t>
        </is>
      </c>
      <c r="E95" s="43" t="inlineStr">
        <is>
          <t>E3</t>
        </is>
      </c>
      <c r="F95" s="43" t="inlineStr">
        <is>
          <t>OFF</t>
        </is>
      </c>
      <c r="G95" s="43" t="inlineStr">
        <is>
          <t>Delivery</t>
        </is>
      </c>
      <c r="H95" s="61" t="n">
        <v>8</v>
      </c>
      <c r="I95" s="44" t="n">
        <v>96</v>
      </c>
      <c r="J95" s="62" t="inlineStr">
        <is>
          <t>RAMPED</t>
        </is>
      </c>
      <c r="K95" s="63" t="n">
        <v>8</v>
      </c>
      <c r="L95" s="16" t="n"/>
      <c r="M95" s="38" t="n"/>
    </row>
    <row r="96" ht="15" customHeight="1">
      <c r="B96" s="27" t="n">
        <v>2</v>
      </c>
      <c r="C96" s="18" t="inlineStr">
        <is>
          <t>MGCC</t>
        </is>
      </c>
      <c r="D96" s="18" t="inlineStr">
        <is>
          <t>DEV</t>
        </is>
      </c>
      <c r="E96" s="43" t="inlineStr">
        <is>
          <t>E3</t>
        </is>
      </c>
      <c r="F96" s="43" t="inlineStr">
        <is>
          <t>OFF</t>
        </is>
      </c>
      <c r="G96" s="43" t="inlineStr">
        <is>
          <t>Horizontal</t>
        </is>
      </c>
      <c r="H96" s="61" t="n">
        <v>4.5</v>
      </c>
      <c r="I96" s="44" t="n">
        <v>54</v>
      </c>
      <c r="J96" s="62" t="inlineStr">
        <is>
          <t>SHARED</t>
        </is>
      </c>
      <c r="K96" s="63" t="n">
        <v>4</v>
      </c>
      <c r="L96" s="16" t="n">
        <v>6</v>
      </c>
      <c r="M96" s="38" t="n">
        <v>0.5</v>
      </c>
    </row>
    <row r="97" ht="15" customHeight="1">
      <c r="B97" s="27" t="n">
        <v>2</v>
      </c>
      <c r="C97" s="18" t="inlineStr">
        <is>
          <t>MGCC</t>
        </is>
      </c>
      <c r="D97" s="18" t="inlineStr">
        <is>
          <t>MNT</t>
        </is>
      </c>
      <c r="E97" s="43" t="inlineStr">
        <is>
          <t>E2</t>
        </is>
      </c>
      <c r="F97" s="43" t="inlineStr">
        <is>
          <t>OFF</t>
        </is>
      </c>
      <c r="G97" s="43" t="inlineStr">
        <is>
          <t>Horizontal</t>
        </is>
      </c>
      <c r="H97" s="61" t="n">
        <v>2.5</v>
      </c>
      <c r="I97" s="44" t="n">
        <v>30</v>
      </c>
      <c r="J97" s="62" t="inlineStr">
        <is>
          <t>SHARED</t>
        </is>
      </c>
      <c r="K97" s="63" t="n">
        <v>2</v>
      </c>
      <c r="L97" s="16" t="n">
        <v>6</v>
      </c>
      <c r="M97" s="38" t="n">
        <v>0.5</v>
      </c>
    </row>
    <row r="98" ht="15" customHeight="1">
      <c r="B98" s="27" t="n">
        <v>2</v>
      </c>
      <c r="C98" s="18" t="inlineStr">
        <is>
          <t>MGCC</t>
        </is>
      </c>
      <c r="D98" s="18" t="inlineStr">
        <is>
          <t>TEST</t>
        </is>
      </c>
      <c r="E98" s="43" t="inlineStr">
        <is>
          <t>E2</t>
        </is>
      </c>
      <c r="F98" s="43" t="inlineStr">
        <is>
          <t>OFF</t>
        </is>
      </c>
      <c r="G98" s="43" t="inlineStr">
        <is>
          <t>Delivery</t>
        </is>
      </c>
      <c r="H98" s="61" t="n">
        <v>4</v>
      </c>
      <c r="I98" s="44" t="n">
        <v>48</v>
      </c>
      <c r="J98" s="62" t="inlineStr">
        <is>
          <t>RAMPED</t>
        </is>
      </c>
      <c r="K98" s="63" t="n">
        <v>4</v>
      </c>
      <c r="L98" s="16" t="n"/>
      <c r="M98" s="38" t="n"/>
    </row>
    <row r="99" ht="15" customHeight="1">
      <c r="B99" s="27" t="n">
        <v>2</v>
      </c>
      <c r="C99" s="18" t="inlineStr">
        <is>
          <t>MGCC</t>
        </is>
      </c>
      <c r="D99" s="18" t="inlineStr">
        <is>
          <t>TEST</t>
        </is>
      </c>
      <c r="E99" s="43" t="inlineStr">
        <is>
          <t>E2</t>
        </is>
      </c>
      <c r="F99" s="43" t="inlineStr">
        <is>
          <t>OFF</t>
        </is>
      </c>
      <c r="G99" s="43" t="inlineStr">
        <is>
          <t>Horizontal</t>
        </is>
      </c>
      <c r="H99" s="61" t="n">
        <v>2.5</v>
      </c>
      <c r="I99" s="44" t="n">
        <v>30</v>
      </c>
      <c r="J99" s="62" t="inlineStr">
        <is>
          <t>SHARED</t>
        </is>
      </c>
      <c r="K99" s="63" t="n">
        <v>2</v>
      </c>
      <c r="L99" s="16" t="n">
        <v>6</v>
      </c>
      <c r="M99" s="38" t="n">
        <v>0.5</v>
      </c>
    </row>
    <row r="100" ht="15" customHeight="1">
      <c r="B100" s="27" t="n">
        <v>2</v>
      </c>
      <c r="C100" s="18" t="inlineStr">
        <is>
          <t>PT</t>
        </is>
      </c>
      <c r="D100" s="18" t="inlineStr">
        <is>
          <t>BSA</t>
        </is>
      </c>
      <c r="E100" s="43" t="inlineStr">
        <is>
          <t>E3</t>
        </is>
      </c>
      <c r="F100" s="43" t="inlineStr">
        <is>
          <t>ON</t>
        </is>
      </c>
      <c r="G100" s="43" t="inlineStr">
        <is>
          <t>Delivery</t>
        </is>
      </c>
      <c r="H100" s="61" t="n">
        <v>3</v>
      </c>
      <c r="I100" s="44" t="n">
        <v>36</v>
      </c>
      <c r="J100" s="62" t="inlineStr">
        <is>
          <t>RAMPED</t>
        </is>
      </c>
      <c r="K100" s="63" t="n">
        <v>3</v>
      </c>
      <c r="L100" s="16" t="n"/>
      <c r="M100" s="38" t="n"/>
    </row>
    <row r="101" ht="15" customHeight="1">
      <c r="B101" s="27" t="n">
        <v>2</v>
      </c>
      <c r="C101" s="18" t="inlineStr">
        <is>
          <t>PT</t>
        </is>
      </c>
      <c r="D101" s="18" t="inlineStr">
        <is>
          <t>DEV</t>
        </is>
      </c>
      <c r="E101" s="43" t="inlineStr">
        <is>
          <t>E3</t>
        </is>
      </c>
      <c r="F101" s="43" t="inlineStr">
        <is>
          <t>ON</t>
        </is>
      </c>
      <c r="G101" s="43" t="inlineStr">
        <is>
          <t>Delivery</t>
        </is>
      </c>
      <c r="H101" s="61" t="n">
        <v>4</v>
      </c>
      <c r="I101" s="44" t="n">
        <v>48</v>
      </c>
      <c r="J101" s="62" t="inlineStr">
        <is>
          <t>RAMPED</t>
        </is>
      </c>
      <c r="K101" s="63" t="n">
        <v>4</v>
      </c>
      <c r="L101" s="16" t="n"/>
      <c r="M101" s="38" t="n"/>
    </row>
    <row r="102" ht="15" customHeight="1">
      <c r="B102" s="27" t="n">
        <v>3</v>
      </c>
      <c r="C102" s="18" t="inlineStr">
        <is>
          <t>FTC</t>
        </is>
      </c>
      <c r="D102" s="18" t="inlineStr">
        <is>
          <t>BSA</t>
        </is>
      </c>
      <c r="E102" s="43" t="inlineStr">
        <is>
          <t>E3</t>
        </is>
      </c>
      <c r="F102" s="43" t="inlineStr">
        <is>
          <t>ON</t>
        </is>
      </c>
      <c r="G102" s="43" t="inlineStr">
        <is>
          <t>Delivery</t>
        </is>
      </c>
      <c r="H102" s="61" t="n">
        <v>3.5</v>
      </c>
      <c r="I102" s="44" t="n">
        <v>42</v>
      </c>
      <c r="J102" s="62" t="inlineStr">
        <is>
          <t>RAMPED</t>
        </is>
      </c>
      <c r="K102" s="63" t="n">
        <v>3</v>
      </c>
      <c r="L102" s="16" t="n">
        <v>6</v>
      </c>
      <c r="M102" s="38" t="n"/>
    </row>
    <row r="103" ht="15" customHeight="1">
      <c r="B103" s="27" t="n">
        <v>3</v>
      </c>
      <c r="C103" s="18" t="inlineStr">
        <is>
          <t>FTC</t>
        </is>
      </c>
      <c r="D103" s="18" t="inlineStr">
        <is>
          <t>DEV</t>
        </is>
      </c>
      <c r="E103" s="43" t="inlineStr">
        <is>
          <t>E1</t>
        </is>
      </c>
      <c r="F103" s="43" t="inlineStr">
        <is>
          <t>OFF</t>
        </is>
      </c>
      <c r="G103" s="43" t="inlineStr">
        <is>
          <t>Delivery</t>
        </is>
      </c>
      <c r="H103" s="61" t="n">
        <v>1</v>
      </c>
      <c r="I103" s="44" t="n">
        <v>12</v>
      </c>
      <c r="J103" s="62" t="inlineStr">
        <is>
          <t>RAMPED</t>
        </is>
      </c>
      <c r="K103" s="63" t="n">
        <v>1</v>
      </c>
      <c r="L103" s="16" t="n"/>
      <c r="M103" s="38" t="n"/>
    </row>
    <row r="104" ht="15" customHeight="1">
      <c r="B104" s="27" t="n">
        <v>3</v>
      </c>
      <c r="C104" s="18" t="inlineStr">
        <is>
          <t>FTC</t>
        </is>
      </c>
      <c r="D104" s="18" t="inlineStr">
        <is>
          <t>DEV</t>
        </is>
      </c>
      <c r="E104" s="43" t="inlineStr">
        <is>
          <t>E2</t>
        </is>
      </c>
      <c r="F104" s="43" t="inlineStr">
        <is>
          <t>OFF</t>
        </is>
      </c>
      <c r="G104" s="43" t="inlineStr">
        <is>
          <t>Delivery</t>
        </is>
      </c>
      <c r="H104" s="61" t="n">
        <v>8</v>
      </c>
      <c r="I104" s="44" t="n">
        <v>96</v>
      </c>
      <c r="J104" s="62" t="inlineStr">
        <is>
          <t>RAMPED</t>
        </is>
      </c>
      <c r="K104" s="63" t="n">
        <v>8</v>
      </c>
      <c r="L104" s="16" t="n"/>
      <c r="M104" s="38" t="n"/>
    </row>
    <row r="105" ht="15" customHeight="1">
      <c r="B105" s="27" t="n">
        <v>3</v>
      </c>
      <c r="C105" s="18" t="inlineStr">
        <is>
          <t>FTC</t>
        </is>
      </c>
      <c r="D105" s="18" t="inlineStr">
        <is>
          <t>DEV</t>
        </is>
      </c>
      <c r="E105" s="43" t="inlineStr">
        <is>
          <t>E2</t>
        </is>
      </c>
      <c r="F105" s="43" t="inlineStr">
        <is>
          <t>ON</t>
        </is>
      </c>
      <c r="G105" s="43" t="inlineStr">
        <is>
          <t>Delivery</t>
        </is>
      </c>
      <c r="H105" s="61" t="n">
        <v>2</v>
      </c>
      <c r="I105" s="44" t="n">
        <v>24</v>
      </c>
      <c r="J105" s="62" t="inlineStr">
        <is>
          <t>RAMPED</t>
        </is>
      </c>
      <c r="K105" s="63" t="n">
        <v>2</v>
      </c>
      <c r="L105" s="16" t="n"/>
      <c r="M105" s="38" t="n"/>
    </row>
    <row r="106" ht="15" customHeight="1">
      <c r="B106" s="27" t="n">
        <v>3</v>
      </c>
      <c r="C106" s="18" t="inlineStr">
        <is>
          <t>FTC</t>
        </is>
      </c>
      <c r="D106" s="18" t="inlineStr">
        <is>
          <t>DEV</t>
        </is>
      </c>
      <c r="E106" s="43" t="inlineStr">
        <is>
          <t>E3</t>
        </is>
      </c>
      <c r="F106" s="43" t="inlineStr">
        <is>
          <t>NEAR</t>
        </is>
      </c>
      <c r="G106" s="43" t="inlineStr">
        <is>
          <t>Delivery</t>
        </is>
      </c>
      <c r="H106" s="61" t="n">
        <v>2</v>
      </c>
      <c r="I106" s="44" t="n">
        <v>24</v>
      </c>
      <c r="J106" s="62" t="inlineStr">
        <is>
          <t>RAMPED</t>
        </is>
      </c>
      <c r="K106" s="63" t="n">
        <v>2</v>
      </c>
      <c r="L106" s="16" t="n"/>
      <c r="M106" s="38" t="n"/>
    </row>
    <row r="107" ht="15" customHeight="1">
      <c r="B107" s="27" t="n">
        <v>3</v>
      </c>
      <c r="C107" s="18" t="inlineStr">
        <is>
          <t>FTC</t>
        </is>
      </c>
      <c r="D107" s="18" t="inlineStr">
        <is>
          <t>DEV</t>
        </is>
      </c>
      <c r="E107" s="43" t="inlineStr">
        <is>
          <t>E3</t>
        </is>
      </c>
      <c r="F107" s="43" t="inlineStr">
        <is>
          <t>ON</t>
        </is>
      </c>
      <c r="G107" s="43" t="inlineStr">
        <is>
          <t>Delivery</t>
        </is>
      </c>
      <c r="H107" s="61" t="n">
        <v>6</v>
      </c>
      <c r="I107" s="44" t="n">
        <v>72</v>
      </c>
      <c r="J107" s="62" t="inlineStr">
        <is>
          <t>RAMPED</t>
        </is>
      </c>
      <c r="K107" s="63" t="n">
        <v>6</v>
      </c>
      <c r="L107" s="16" t="n"/>
      <c r="M107" s="38" t="n"/>
    </row>
    <row r="108" ht="15" customHeight="1">
      <c r="B108" s="27" t="n">
        <v>3</v>
      </c>
      <c r="C108" s="18" t="inlineStr">
        <is>
          <t>FTC</t>
        </is>
      </c>
      <c r="D108" s="18" t="inlineStr">
        <is>
          <t>DEV</t>
        </is>
      </c>
      <c r="E108" s="43" t="inlineStr">
        <is>
          <t>E4</t>
        </is>
      </c>
      <c r="F108" s="43" t="inlineStr">
        <is>
          <t>ON</t>
        </is>
      </c>
      <c r="G108" s="43" t="inlineStr">
        <is>
          <t>Delivery</t>
        </is>
      </c>
      <c r="H108" s="61" t="n">
        <v>4</v>
      </c>
      <c r="I108" s="44" t="n">
        <v>48</v>
      </c>
      <c r="J108" s="62" t="inlineStr">
        <is>
          <t>RAMPED</t>
        </is>
      </c>
      <c r="K108" s="63" t="n">
        <v>4</v>
      </c>
      <c r="L108" s="16" t="n"/>
      <c r="M108" s="38" t="n"/>
    </row>
    <row r="109" ht="15" customHeight="1">
      <c r="B109" s="27" t="n">
        <v>3</v>
      </c>
      <c r="C109" s="18" t="inlineStr">
        <is>
          <t>FTC</t>
        </is>
      </c>
      <c r="D109" s="18" t="inlineStr">
        <is>
          <t>MNT</t>
        </is>
      </c>
      <c r="E109" s="43" t="inlineStr">
        <is>
          <t>E2</t>
        </is>
      </c>
      <c r="F109" s="43" t="inlineStr">
        <is>
          <t>OFF</t>
        </is>
      </c>
      <c r="G109" s="43" t="inlineStr">
        <is>
          <t>Delivery</t>
        </is>
      </c>
      <c r="H109" s="61" t="n">
        <v>3</v>
      </c>
      <c r="I109" s="44" t="n">
        <v>36</v>
      </c>
      <c r="J109" s="62" t="inlineStr">
        <is>
          <t>RAMPED</t>
        </is>
      </c>
      <c r="K109" s="63" t="n">
        <v>3</v>
      </c>
      <c r="L109" s="16" t="n"/>
      <c r="M109" s="38" t="n"/>
    </row>
    <row r="110" ht="15" customHeight="1">
      <c r="B110" s="27" t="n">
        <v>3</v>
      </c>
      <c r="C110" s="18" t="inlineStr">
        <is>
          <t>FTC</t>
        </is>
      </c>
      <c r="D110" s="18" t="inlineStr">
        <is>
          <t>MNT</t>
        </is>
      </c>
      <c r="E110" s="43" t="inlineStr">
        <is>
          <t>E2</t>
        </is>
      </c>
      <c r="F110" s="43" t="inlineStr">
        <is>
          <t>OFF</t>
        </is>
      </c>
      <c r="G110" s="43" t="inlineStr">
        <is>
          <t>Horizontal</t>
        </is>
      </c>
      <c r="H110" s="61" t="n">
        <v>0.5</v>
      </c>
      <c r="I110" s="44" t="n">
        <v>6</v>
      </c>
      <c r="J110" s="62" t="inlineStr">
        <is>
          <t>SHARED</t>
        </is>
      </c>
      <c r="K110" s="63" t="n">
        <v>0</v>
      </c>
      <c r="L110" s="16" t="n">
        <v>6</v>
      </c>
      <c r="M110" s="38" t="n">
        <v>0.5</v>
      </c>
    </row>
    <row r="111" ht="15" customHeight="1">
      <c r="B111" s="27" t="n">
        <v>3</v>
      </c>
      <c r="C111" s="18" t="inlineStr">
        <is>
          <t>FTC</t>
        </is>
      </c>
      <c r="D111" s="18" t="inlineStr">
        <is>
          <t>MNT</t>
        </is>
      </c>
      <c r="E111" s="43" t="inlineStr">
        <is>
          <t>E2</t>
        </is>
      </c>
      <c r="F111" s="43" t="inlineStr">
        <is>
          <t>ON</t>
        </is>
      </c>
      <c r="G111" s="43" t="inlineStr">
        <is>
          <t>Delivery</t>
        </is>
      </c>
      <c r="H111" s="61" t="n">
        <v>1.5</v>
      </c>
      <c r="I111" s="44" t="n">
        <v>18</v>
      </c>
      <c r="J111" s="62" t="inlineStr">
        <is>
          <t>RAMPED</t>
        </is>
      </c>
      <c r="K111" s="63" t="n">
        <v>1</v>
      </c>
      <c r="L111" s="16" t="n">
        <v>6</v>
      </c>
      <c r="M111" s="38" t="n"/>
    </row>
    <row r="112" ht="15" customHeight="1">
      <c r="B112" s="27" t="n">
        <v>3</v>
      </c>
      <c r="C112" s="18" t="inlineStr">
        <is>
          <t>FTC</t>
        </is>
      </c>
      <c r="D112" s="18" t="inlineStr">
        <is>
          <t>MNT</t>
        </is>
      </c>
      <c r="E112" s="43" t="inlineStr">
        <is>
          <t>E3</t>
        </is>
      </c>
      <c r="F112" s="43" t="inlineStr">
        <is>
          <t>ON</t>
        </is>
      </c>
      <c r="G112" s="43" t="inlineStr">
        <is>
          <t>Horizontal</t>
        </is>
      </c>
      <c r="H112" s="61" t="n">
        <v>0.5</v>
      </c>
      <c r="I112" s="44" t="n">
        <v>6</v>
      </c>
      <c r="J112" s="62" t="inlineStr">
        <is>
          <t>SHARED</t>
        </is>
      </c>
      <c r="K112" s="63" t="n">
        <v>0</v>
      </c>
      <c r="L112" s="16" t="n">
        <v>6</v>
      </c>
      <c r="M112" s="38" t="n">
        <v>0.5</v>
      </c>
    </row>
    <row r="113" ht="15" customHeight="1">
      <c r="B113" s="27" t="n">
        <v>3</v>
      </c>
      <c r="C113" s="18" t="inlineStr">
        <is>
          <t>FTC</t>
        </is>
      </c>
      <c r="D113" s="18" t="inlineStr">
        <is>
          <t>OTH</t>
        </is>
      </c>
      <c r="E113" s="43" t="inlineStr">
        <is>
          <t>E3</t>
        </is>
      </c>
      <c r="F113" s="43" t="inlineStr">
        <is>
          <t>OFF</t>
        </is>
      </c>
      <c r="G113" s="43" t="inlineStr">
        <is>
          <t>Horizontal</t>
        </is>
      </c>
      <c r="H113" s="61" t="n">
        <v>0.5</v>
      </c>
      <c r="I113" s="44" t="n">
        <v>6</v>
      </c>
      <c r="J113" s="62" t="inlineStr">
        <is>
          <t>SHARED</t>
        </is>
      </c>
      <c r="K113" s="63" t="n">
        <v>0</v>
      </c>
      <c r="L113" s="16" t="n">
        <v>6</v>
      </c>
      <c r="M113" s="38" t="n">
        <v>0.5</v>
      </c>
    </row>
    <row r="114" ht="15" customHeight="1">
      <c r="B114" s="27" t="n">
        <v>3</v>
      </c>
      <c r="C114" s="18" t="inlineStr">
        <is>
          <t>FTC</t>
        </is>
      </c>
      <c r="D114" s="18" t="inlineStr">
        <is>
          <t>OTH</t>
        </is>
      </c>
      <c r="E114" s="43" t="inlineStr">
        <is>
          <t>E4</t>
        </is>
      </c>
      <c r="F114" s="43" t="inlineStr">
        <is>
          <t>ON</t>
        </is>
      </c>
      <c r="G114" s="43" t="inlineStr">
        <is>
          <t>Delivery</t>
        </is>
      </c>
      <c r="H114" s="61" t="n">
        <v>2</v>
      </c>
      <c r="I114" s="44" t="n">
        <v>24</v>
      </c>
      <c r="J114" s="62" t="inlineStr">
        <is>
          <t>SHARED</t>
        </is>
      </c>
      <c r="K114" s="63" t="n">
        <v>2</v>
      </c>
      <c r="L114" s="16" t="n"/>
      <c r="M114" s="38" t="n"/>
    </row>
    <row r="115" ht="15" customHeight="1">
      <c r="B115" s="27" t="n">
        <v>3</v>
      </c>
      <c r="C115" s="18" t="inlineStr">
        <is>
          <t>FTC</t>
        </is>
      </c>
      <c r="D115" s="18" t="inlineStr">
        <is>
          <t>OTH</t>
        </is>
      </c>
      <c r="E115" s="43" t="inlineStr">
        <is>
          <t>E5</t>
        </is>
      </c>
      <c r="F115" s="43" t="inlineStr">
        <is>
          <t>ON</t>
        </is>
      </c>
      <c r="G115" s="43" t="inlineStr">
        <is>
          <t>Horizontal</t>
        </is>
      </c>
      <c r="H115" s="61" t="n">
        <v>0.5</v>
      </c>
      <c r="I115" s="44" t="n">
        <v>6</v>
      </c>
      <c r="J115" s="62" t="inlineStr">
        <is>
          <t>SHARED</t>
        </is>
      </c>
      <c r="K115" s="63" t="n">
        <v>0</v>
      </c>
      <c r="L115" s="16" t="n">
        <v>6</v>
      </c>
      <c r="M115" s="38" t="n">
        <v>0.5</v>
      </c>
    </row>
    <row r="116" ht="15" customHeight="1">
      <c r="B116" s="27" t="n">
        <v>3</v>
      </c>
      <c r="C116" s="18" t="inlineStr">
        <is>
          <t>FTC</t>
        </is>
      </c>
      <c r="D116" s="18" t="inlineStr">
        <is>
          <t>PM</t>
        </is>
      </c>
      <c r="E116" s="43" t="inlineStr">
        <is>
          <t>E5</t>
        </is>
      </c>
      <c r="F116" s="43" t="inlineStr">
        <is>
          <t>ON</t>
        </is>
      </c>
      <c r="G116" s="43" t="inlineStr">
        <is>
          <t>Horizontal</t>
        </is>
      </c>
      <c r="H116" s="61" t="n">
        <v>1</v>
      </c>
      <c r="I116" s="44" t="n">
        <v>12</v>
      </c>
      <c r="J116" s="62" t="inlineStr">
        <is>
          <t>SHARED</t>
        </is>
      </c>
      <c r="K116" s="63" t="n">
        <v>1</v>
      </c>
      <c r="L116" s="16" t="n"/>
      <c r="M116" s="38" t="n"/>
    </row>
    <row r="117" ht="15" customHeight="1">
      <c r="B117" s="27" t="n">
        <v>3</v>
      </c>
      <c r="C117" s="18" t="inlineStr">
        <is>
          <t>FTC</t>
        </is>
      </c>
      <c r="D117" s="18" t="inlineStr">
        <is>
          <t>TEST</t>
        </is>
      </c>
      <c r="E117" s="43" t="inlineStr">
        <is>
          <t>E1</t>
        </is>
      </c>
      <c r="F117" s="43" t="inlineStr">
        <is>
          <t>OFF</t>
        </is>
      </c>
      <c r="G117" s="43" t="inlineStr">
        <is>
          <t>Delivery</t>
        </is>
      </c>
      <c r="H117" s="61" t="n">
        <v>3</v>
      </c>
      <c r="I117" s="44" t="n">
        <v>36</v>
      </c>
      <c r="J117" s="62" t="inlineStr">
        <is>
          <t>RAMPED</t>
        </is>
      </c>
      <c r="K117" s="63" t="n">
        <v>3</v>
      </c>
      <c r="L117" s="16" t="n"/>
      <c r="M117" s="38" t="n"/>
    </row>
    <row r="118" ht="15" customHeight="1">
      <c r="B118" s="27" t="n">
        <v>3</v>
      </c>
      <c r="C118" s="18" t="inlineStr">
        <is>
          <t>FTC</t>
        </is>
      </c>
      <c r="D118" s="18" t="inlineStr">
        <is>
          <t>TEST</t>
        </is>
      </c>
      <c r="E118" s="43" t="inlineStr">
        <is>
          <t>E2</t>
        </is>
      </c>
      <c r="F118" s="43" t="inlineStr">
        <is>
          <t>NEAR</t>
        </is>
      </c>
      <c r="G118" s="43" t="inlineStr">
        <is>
          <t>Delivery</t>
        </is>
      </c>
      <c r="H118" s="61" t="n">
        <v>1</v>
      </c>
      <c r="I118" s="44" t="n">
        <v>12</v>
      </c>
      <c r="J118" s="62" t="inlineStr">
        <is>
          <t>RAMPED</t>
        </is>
      </c>
      <c r="K118" s="63" t="n">
        <v>1</v>
      </c>
      <c r="L118" s="16" t="n"/>
      <c r="M118" s="38" t="n"/>
    </row>
    <row r="119" ht="15" customHeight="1">
      <c r="B119" s="27" t="n">
        <v>3</v>
      </c>
      <c r="C119" s="18" t="inlineStr">
        <is>
          <t>FTC</t>
        </is>
      </c>
      <c r="D119" s="18" t="inlineStr">
        <is>
          <t>TEST</t>
        </is>
      </c>
      <c r="E119" s="43" t="inlineStr">
        <is>
          <t>E2</t>
        </is>
      </c>
      <c r="F119" s="43" t="inlineStr">
        <is>
          <t>ON</t>
        </is>
      </c>
      <c r="G119" s="43" t="inlineStr">
        <is>
          <t>Delivery</t>
        </is>
      </c>
      <c r="H119" s="61" t="n">
        <v>0.5</v>
      </c>
      <c r="I119" s="44" t="n">
        <v>6</v>
      </c>
      <c r="J119" s="62" t="inlineStr">
        <is>
          <t>RAMPED</t>
        </is>
      </c>
      <c r="K119" s="63" t="n">
        <v>0</v>
      </c>
      <c r="L119" s="16" t="n">
        <v>6</v>
      </c>
      <c r="M119" s="38" t="n"/>
    </row>
    <row r="120" ht="15" customHeight="1">
      <c r="B120" s="27" t="n">
        <v>3</v>
      </c>
      <c r="C120" s="18" t="inlineStr">
        <is>
          <t>FTC</t>
        </is>
      </c>
      <c r="D120" s="18" t="inlineStr">
        <is>
          <t>TEST</t>
        </is>
      </c>
      <c r="E120" s="43" t="inlineStr">
        <is>
          <t>E3</t>
        </is>
      </c>
      <c r="F120" s="43" t="inlineStr">
        <is>
          <t>ON</t>
        </is>
      </c>
      <c r="G120" s="43" t="inlineStr">
        <is>
          <t>Delivery</t>
        </is>
      </c>
      <c r="H120" s="61" t="n">
        <v>1.5</v>
      </c>
      <c r="I120" s="44" t="n">
        <v>18</v>
      </c>
      <c r="J120" s="62" t="inlineStr">
        <is>
          <t>RAMPED</t>
        </is>
      </c>
      <c r="K120" s="63" t="n">
        <v>1</v>
      </c>
      <c r="L120" s="16" t="n">
        <v>6</v>
      </c>
      <c r="M120" s="38" t="n"/>
    </row>
    <row r="121" ht="15" customHeight="1">
      <c r="B121" s="27" t="n">
        <v>3</v>
      </c>
      <c r="C121" s="18" t="inlineStr">
        <is>
          <t>FTE</t>
        </is>
      </c>
      <c r="D121" s="18" t="inlineStr">
        <is>
          <t>BSA</t>
        </is>
      </c>
      <c r="E121" s="43" t="inlineStr">
        <is>
          <t>E4</t>
        </is>
      </c>
      <c r="F121" s="43" t="inlineStr">
        <is>
          <t>ON</t>
        </is>
      </c>
      <c r="G121" s="43" t="inlineStr">
        <is>
          <t>Delivery</t>
        </is>
      </c>
      <c r="H121" s="61" t="n">
        <v>0.5</v>
      </c>
      <c r="I121" s="44" t="n">
        <v>6</v>
      </c>
      <c r="J121" s="62" t="inlineStr">
        <is>
          <t>RAMPED</t>
        </is>
      </c>
      <c r="K121" s="63" t="n">
        <v>0</v>
      </c>
      <c r="L121" s="16" t="n">
        <v>6</v>
      </c>
      <c r="M121" s="38" t="n"/>
    </row>
    <row r="122" ht="15" customHeight="1">
      <c r="B122" s="27" t="n">
        <v>3</v>
      </c>
      <c r="C122" s="18" t="inlineStr">
        <is>
          <t>FTE</t>
        </is>
      </c>
      <c r="D122" s="18" t="inlineStr">
        <is>
          <t>BSA</t>
        </is>
      </c>
      <c r="E122" s="43" t="inlineStr">
        <is>
          <t>E4</t>
        </is>
      </c>
      <c r="F122" s="43" t="inlineStr">
        <is>
          <t>ON</t>
        </is>
      </c>
      <c r="G122" s="43" t="inlineStr">
        <is>
          <t>Horizontal</t>
        </is>
      </c>
      <c r="H122" s="61" t="n">
        <v>1.5</v>
      </c>
      <c r="I122" s="44" t="n">
        <v>18</v>
      </c>
      <c r="J122" s="62" t="inlineStr">
        <is>
          <t>SHARED</t>
        </is>
      </c>
      <c r="K122" s="63" t="n">
        <v>1</v>
      </c>
      <c r="L122" s="16" t="n">
        <v>6</v>
      </c>
      <c r="M122" s="38" t="n">
        <v>0.5</v>
      </c>
    </row>
    <row r="123" ht="15" customHeight="1">
      <c r="B123" s="27" t="n">
        <v>3</v>
      </c>
      <c r="C123" s="18" t="inlineStr">
        <is>
          <t>FTE</t>
        </is>
      </c>
      <c r="D123" s="18" t="inlineStr">
        <is>
          <t>MNT</t>
        </is>
      </c>
      <c r="E123" s="43" t="inlineStr">
        <is>
          <t>E3</t>
        </is>
      </c>
      <c r="F123" s="43" t="inlineStr">
        <is>
          <t>ON</t>
        </is>
      </c>
      <c r="G123" s="43" t="inlineStr">
        <is>
          <t>Delivery</t>
        </is>
      </c>
      <c r="H123" s="61" t="n">
        <v>2</v>
      </c>
      <c r="I123" s="44" t="n">
        <v>24</v>
      </c>
      <c r="J123" s="62" t="inlineStr">
        <is>
          <t>RAMPED</t>
        </is>
      </c>
      <c r="K123" s="63" t="n">
        <v>2</v>
      </c>
      <c r="L123" s="16" t="n"/>
      <c r="M123" s="38" t="n"/>
    </row>
    <row r="124" ht="15" customHeight="1">
      <c r="B124" s="27" t="n">
        <v>3</v>
      </c>
      <c r="C124" s="18" t="inlineStr">
        <is>
          <t>FTE</t>
        </is>
      </c>
      <c r="D124" s="18" t="inlineStr">
        <is>
          <t>MNT</t>
        </is>
      </c>
      <c r="E124" s="43" t="inlineStr">
        <is>
          <t>E4</t>
        </is>
      </c>
      <c r="F124" s="43" t="inlineStr">
        <is>
          <t>ON</t>
        </is>
      </c>
      <c r="G124" s="43" t="inlineStr">
        <is>
          <t>Horizontal</t>
        </is>
      </c>
      <c r="H124" s="61" t="n">
        <v>2</v>
      </c>
      <c r="I124" s="44" t="n">
        <v>24</v>
      </c>
      <c r="J124" s="62" t="inlineStr">
        <is>
          <t>SHARED</t>
        </is>
      </c>
      <c r="K124" s="63" t="n">
        <v>2</v>
      </c>
      <c r="L124" s="16" t="n"/>
      <c r="M124" s="38" t="n"/>
    </row>
    <row r="125" ht="15" customHeight="1">
      <c r="B125" s="27" t="n">
        <v>3</v>
      </c>
      <c r="C125" s="18" t="inlineStr">
        <is>
          <t>FTE</t>
        </is>
      </c>
      <c r="D125" s="18" t="inlineStr">
        <is>
          <t>PM</t>
        </is>
      </c>
      <c r="E125" s="43" t="inlineStr">
        <is>
          <t>E4</t>
        </is>
      </c>
      <c r="F125" s="43" t="inlineStr">
        <is>
          <t>ON</t>
        </is>
      </c>
      <c r="G125" s="43" t="inlineStr">
        <is>
          <t>Delivery</t>
        </is>
      </c>
      <c r="H125" s="61" t="n">
        <v>2.5</v>
      </c>
      <c r="I125" s="44" t="n">
        <v>30</v>
      </c>
      <c r="J125" s="62" t="inlineStr">
        <is>
          <t>SHARED</t>
        </is>
      </c>
      <c r="K125" s="63" t="n">
        <v>2</v>
      </c>
      <c r="L125" s="16" t="n">
        <v>6</v>
      </c>
      <c r="M125" s="38" t="n">
        <v>0.5</v>
      </c>
    </row>
    <row r="126" ht="15" customHeight="1">
      <c r="B126" s="27" t="n">
        <v>3</v>
      </c>
      <c r="C126" s="18" t="inlineStr">
        <is>
          <t>FTE</t>
        </is>
      </c>
      <c r="D126" s="18" t="inlineStr">
        <is>
          <t>PM</t>
        </is>
      </c>
      <c r="E126" s="43" t="inlineStr">
        <is>
          <t>E4</t>
        </is>
      </c>
      <c r="F126" s="43" t="inlineStr">
        <is>
          <t>ON</t>
        </is>
      </c>
      <c r="G126" s="43" t="inlineStr">
        <is>
          <t>Horizontal</t>
        </is>
      </c>
      <c r="H126" s="61" t="n">
        <v>1.5</v>
      </c>
      <c r="I126" s="44" t="n">
        <v>18</v>
      </c>
      <c r="J126" s="62" t="inlineStr">
        <is>
          <t>SHARED</t>
        </is>
      </c>
      <c r="K126" s="63" t="n">
        <v>1</v>
      </c>
      <c r="L126" s="16" t="n">
        <v>6</v>
      </c>
      <c r="M126" s="38" t="n">
        <v>0.5</v>
      </c>
    </row>
    <row r="127" ht="15" customHeight="1">
      <c r="B127" s="27" t="n">
        <v>3</v>
      </c>
      <c r="C127" s="18" t="inlineStr">
        <is>
          <t>MGCC</t>
        </is>
      </c>
      <c r="D127" s="18" t="inlineStr">
        <is>
          <t>DEV</t>
        </is>
      </c>
      <c r="E127" s="43" t="inlineStr">
        <is>
          <t>E3</t>
        </is>
      </c>
      <c r="F127" s="43" t="inlineStr">
        <is>
          <t>OFF</t>
        </is>
      </c>
      <c r="G127" s="43" t="inlineStr">
        <is>
          <t>Delivery</t>
        </is>
      </c>
      <c r="H127" s="61" t="n">
        <v>6</v>
      </c>
      <c r="I127" s="44" t="n">
        <v>72</v>
      </c>
      <c r="J127" s="62" t="inlineStr">
        <is>
          <t>RAMPED</t>
        </is>
      </c>
      <c r="K127" s="63" t="n">
        <v>6</v>
      </c>
      <c r="L127" s="16" t="n"/>
      <c r="M127" s="38" t="n"/>
    </row>
    <row r="128" ht="15" customHeight="1">
      <c r="B128" s="27" t="n">
        <v>3</v>
      </c>
      <c r="C128" s="18" t="inlineStr">
        <is>
          <t>MGCC</t>
        </is>
      </c>
      <c r="D128" s="18" t="inlineStr">
        <is>
          <t>DEV</t>
        </is>
      </c>
      <c r="E128" s="43" t="inlineStr">
        <is>
          <t>E3</t>
        </is>
      </c>
      <c r="F128" s="43" t="inlineStr">
        <is>
          <t>OFF</t>
        </is>
      </c>
      <c r="G128" s="43" t="inlineStr">
        <is>
          <t>Horizontal</t>
        </is>
      </c>
      <c r="H128" s="61" t="n">
        <v>4</v>
      </c>
      <c r="I128" s="44" t="n">
        <v>48</v>
      </c>
      <c r="J128" s="62" t="inlineStr">
        <is>
          <t>SHARED</t>
        </is>
      </c>
      <c r="K128" s="63" t="n">
        <v>4</v>
      </c>
      <c r="L128" s="16" t="n"/>
      <c r="M128" s="38" t="n"/>
    </row>
    <row r="129" ht="15" customHeight="1">
      <c r="B129" s="27" t="n">
        <v>3</v>
      </c>
      <c r="C129" s="18" t="inlineStr">
        <is>
          <t>MGCC</t>
        </is>
      </c>
      <c r="D129" s="18" t="inlineStr">
        <is>
          <t>MNT</t>
        </is>
      </c>
      <c r="E129" s="43" t="inlineStr">
        <is>
          <t>E2</t>
        </is>
      </c>
      <c r="F129" s="43" t="inlineStr">
        <is>
          <t>OFF</t>
        </is>
      </c>
      <c r="G129" s="43" t="inlineStr">
        <is>
          <t>Horizontal</t>
        </is>
      </c>
      <c r="H129" s="61" t="n">
        <v>4</v>
      </c>
      <c r="I129" s="44" t="n">
        <v>48</v>
      </c>
      <c r="J129" s="62" t="inlineStr">
        <is>
          <t>SHARED</t>
        </is>
      </c>
      <c r="K129" s="63" t="n">
        <v>4</v>
      </c>
      <c r="L129" s="16" t="n"/>
      <c r="M129" s="38" t="n"/>
    </row>
    <row r="130" ht="15" customHeight="1">
      <c r="B130" s="27" t="n">
        <v>3</v>
      </c>
      <c r="C130" s="18" t="inlineStr">
        <is>
          <t>MGCC</t>
        </is>
      </c>
      <c r="D130" s="18" t="inlineStr">
        <is>
          <t>TEST</t>
        </is>
      </c>
      <c r="E130" s="43" t="inlineStr">
        <is>
          <t>E2</t>
        </is>
      </c>
      <c r="F130" s="43" t="inlineStr">
        <is>
          <t>OFF</t>
        </is>
      </c>
      <c r="G130" s="43" t="inlineStr">
        <is>
          <t>Delivery</t>
        </is>
      </c>
      <c r="H130" s="61" t="n">
        <v>3</v>
      </c>
      <c r="I130" s="44" t="n">
        <v>36</v>
      </c>
      <c r="J130" s="62" t="inlineStr">
        <is>
          <t>RAMPED</t>
        </is>
      </c>
      <c r="K130" s="63" t="n">
        <v>3</v>
      </c>
      <c r="L130" s="16" t="n"/>
      <c r="M130" s="38" t="n"/>
    </row>
    <row r="131" ht="15" customHeight="1">
      <c r="B131" s="27" t="n">
        <v>3</v>
      </c>
      <c r="C131" s="18" t="inlineStr">
        <is>
          <t>MGCC</t>
        </is>
      </c>
      <c r="D131" s="18" t="inlineStr">
        <is>
          <t>TEST</t>
        </is>
      </c>
      <c r="E131" s="43" t="inlineStr">
        <is>
          <t>E2</t>
        </is>
      </c>
      <c r="F131" s="43" t="inlineStr">
        <is>
          <t>OFF</t>
        </is>
      </c>
      <c r="G131" s="43" t="inlineStr">
        <is>
          <t>Horizontal</t>
        </is>
      </c>
      <c r="H131" s="61" t="n">
        <v>2.5</v>
      </c>
      <c r="I131" s="44" t="n">
        <v>30</v>
      </c>
      <c r="J131" s="62" t="inlineStr">
        <is>
          <t>SHARED</t>
        </is>
      </c>
      <c r="K131" s="63" t="n">
        <v>2</v>
      </c>
      <c r="L131" s="16" t="n">
        <v>6</v>
      </c>
      <c r="M131" s="38" t="n">
        <v>0.5</v>
      </c>
    </row>
    <row r="132" ht="15" customHeight="1">
      <c r="B132" s="27" t="n">
        <v>3</v>
      </c>
      <c r="C132" s="18" t="inlineStr">
        <is>
          <t>PT</t>
        </is>
      </c>
      <c r="D132" s="18" t="inlineStr">
        <is>
          <t>BSA</t>
        </is>
      </c>
      <c r="E132" s="43" t="inlineStr">
        <is>
          <t>E3</t>
        </is>
      </c>
      <c r="F132" s="43" t="inlineStr">
        <is>
          <t>ON</t>
        </is>
      </c>
      <c r="G132" s="43" t="inlineStr">
        <is>
          <t>Delivery</t>
        </is>
      </c>
      <c r="H132" s="61" t="n">
        <v>3</v>
      </c>
      <c r="I132" s="44" t="n">
        <v>36</v>
      </c>
      <c r="J132" s="62" t="inlineStr">
        <is>
          <t>RAMPED</t>
        </is>
      </c>
      <c r="K132" s="63" t="n">
        <v>3</v>
      </c>
      <c r="L132" s="16" t="n"/>
      <c r="M132" s="38" t="n"/>
    </row>
    <row r="133" ht="15" customHeight="1">
      <c r="B133" s="27" t="n">
        <v>3</v>
      </c>
      <c r="C133" s="18" t="inlineStr">
        <is>
          <t>PT</t>
        </is>
      </c>
      <c r="D133" s="18" t="inlineStr">
        <is>
          <t>DEV</t>
        </is>
      </c>
      <c r="E133" s="43" t="inlineStr">
        <is>
          <t>E3</t>
        </is>
      </c>
      <c r="F133" s="43" t="inlineStr">
        <is>
          <t>ON</t>
        </is>
      </c>
      <c r="G133" s="43" t="inlineStr">
        <is>
          <t>Delivery</t>
        </is>
      </c>
      <c r="H133" s="61" t="n">
        <v>4</v>
      </c>
      <c r="I133" s="44" t="n">
        <v>48</v>
      </c>
      <c r="J133" s="62" t="inlineStr">
        <is>
          <t>RAMPED</t>
        </is>
      </c>
      <c r="K133" s="63" t="n">
        <v>4</v>
      </c>
      <c r="L133" s="16" t="n"/>
      <c r="M133" s="38" t="n"/>
    </row>
    <row r="134" ht="15" customHeight="1">
      <c r="B134" s="27" t="n">
        <v>4</v>
      </c>
      <c r="C134" s="18" t="inlineStr">
        <is>
          <t>FTC</t>
        </is>
      </c>
      <c r="D134" s="18" t="inlineStr">
        <is>
          <t>BSA</t>
        </is>
      </c>
      <c r="E134" s="43" t="inlineStr">
        <is>
          <t>E3</t>
        </is>
      </c>
      <c r="F134" s="43" t="inlineStr">
        <is>
          <t>ON</t>
        </is>
      </c>
      <c r="G134" s="43" t="inlineStr">
        <is>
          <t>Delivery</t>
        </is>
      </c>
      <c r="H134" s="61" t="n">
        <v>2</v>
      </c>
      <c r="I134" s="44" t="n">
        <v>24</v>
      </c>
      <c r="J134" s="62" t="inlineStr">
        <is>
          <t>RAMPED</t>
        </is>
      </c>
      <c r="K134" s="63" t="n">
        <v>2</v>
      </c>
      <c r="L134" s="16" t="n"/>
      <c r="M134" s="38" t="n"/>
    </row>
    <row r="135" ht="15" customHeight="1">
      <c r="B135" s="27" t="n">
        <v>4</v>
      </c>
      <c r="C135" s="18" t="inlineStr">
        <is>
          <t>FTC</t>
        </is>
      </c>
      <c r="D135" s="18" t="inlineStr">
        <is>
          <t>DEV</t>
        </is>
      </c>
      <c r="E135" s="43" t="inlineStr">
        <is>
          <t>E1</t>
        </is>
      </c>
      <c r="F135" s="43" t="inlineStr">
        <is>
          <t>OFF</t>
        </is>
      </c>
      <c r="G135" s="43" t="inlineStr">
        <is>
          <t>Delivery</t>
        </is>
      </c>
      <c r="H135" s="61" t="n">
        <v>1</v>
      </c>
      <c r="I135" s="44" t="n">
        <v>12</v>
      </c>
      <c r="J135" s="62" t="inlineStr">
        <is>
          <t>RAMPED</t>
        </is>
      </c>
      <c r="K135" s="63" t="n">
        <v>1</v>
      </c>
      <c r="L135" s="16" t="n"/>
      <c r="M135" s="38" t="n"/>
    </row>
    <row r="136" ht="15" customHeight="1">
      <c r="B136" s="27" t="n">
        <v>4</v>
      </c>
      <c r="C136" s="18" t="inlineStr">
        <is>
          <t>FTC</t>
        </is>
      </c>
      <c r="D136" s="18" t="inlineStr">
        <is>
          <t>DEV</t>
        </is>
      </c>
      <c r="E136" s="43" t="inlineStr">
        <is>
          <t>E2</t>
        </is>
      </c>
      <c r="F136" s="43" t="inlineStr">
        <is>
          <t>OFF</t>
        </is>
      </c>
      <c r="G136" s="43" t="inlineStr">
        <is>
          <t>Delivery</t>
        </is>
      </c>
      <c r="H136" s="61" t="n">
        <v>5.5</v>
      </c>
      <c r="I136" s="44" t="n">
        <v>66</v>
      </c>
      <c r="J136" s="62" t="inlineStr">
        <is>
          <t>RAMPED</t>
        </is>
      </c>
      <c r="K136" s="63" t="n">
        <v>5</v>
      </c>
      <c r="L136" s="16" t="n">
        <v>6</v>
      </c>
      <c r="M136" s="38" t="n"/>
    </row>
    <row r="137" ht="15" customHeight="1">
      <c r="B137" s="27" t="n">
        <v>4</v>
      </c>
      <c r="C137" s="18" t="inlineStr">
        <is>
          <t>FTC</t>
        </is>
      </c>
      <c r="D137" s="18" t="inlineStr">
        <is>
          <t>DEV</t>
        </is>
      </c>
      <c r="E137" s="43" t="inlineStr">
        <is>
          <t>E2</t>
        </is>
      </c>
      <c r="F137" s="43" t="inlineStr">
        <is>
          <t>ON</t>
        </is>
      </c>
      <c r="G137" s="43" t="inlineStr">
        <is>
          <t>Delivery</t>
        </is>
      </c>
      <c r="H137" s="61" t="n">
        <v>0.5</v>
      </c>
      <c r="I137" s="44" t="n">
        <v>6</v>
      </c>
      <c r="J137" s="62" t="inlineStr">
        <is>
          <t>RAMPED</t>
        </is>
      </c>
      <c r="K137" s="63" t="n">
        <v>0</v>
      </c>
      <c r="L137" s="16" t="n">
        <v>6</v>
      </c>
      <c r="M137" s="38" t="n"/>
    </row>
    <row r="138" ht="15" customHeight="1">
      <c r="B138" s="27" t="n">
        <v>4</v>
      </c>
      <c r="C138" s="18" t="inlineStr">
        <is>
          <t>FTC</t>
        </is>
      </c>
      <c r="D138" s="18" t="inlineStr">
        <is>
          <t>DEV</t>
        </is>
      </c>
      <c r="E138" s="43" t="inlineStr">
        <is>
          <t>E3</t>
        </is>
      </c>
      <c r="F138" s="43" t="inlineStr">
        <is>
          <t>ON</t>
        </is>
      </c>
      <c r="G138" s="43" t="inlineStr">
        <is>
          <t>Delivery</t>
        </is>
      </c>
      <c r="H138" s="61" t="n">
        <v>0.5</v>
      </c>
      <c r="I138" s="44" t="n">
        <v>6</v>
      </c>
      <c r="J138" s="62" t="inlineStr">
        <is>
          <t>RAMPED</t>
        </is>
      </c>
      <c r="K138" s="63" t="n">
        <v>0</v>
      </c>
      <c r="L138" s="16" t="n">
        <v>6</v>
      </c>
      <c r="M138" s="38" t="n"/>
    </row>
    <row r="139" ht="15" customHeight="1">
      <c r="B139" s="27" t="n">
        <v>4</v>
      </c>
      <c r="C139" s="18" t="inlineStr">
        <is>
          <t>FTC</t>
        </is>
      </c>
      <c r="D139" s="18" t="inlineStr">
        <is>
          <t>DEV</t>
        </is>
      </c>
      <c r="E139" s="43" t="inlineStr">
        <is>
          <t>E4</t>
        </is>
      </c>
      <c r="F139" s="43" t="inlineStr">
        <is>
          <t>ON</t>
        </is>
      </c>
      <c r="G139" s="43" t="inlineStr">
        <is>
          <t>Delivery</t>
        </is>
      </c>
      <c r="H139" s="61" t="n">
        <v>2</v>
      </c>
      <c r="I139" s="44" t="n">
        <v>24</v>
      </c>
      <c r="J139" s="62" t="inlineStr">
        <is>
          <t>RAMPED</t>
        </is>
      </c>
      <c r="K139" s="63" t="n">
        <v>2</v>
      </c>
      <c r="L139" s="16" t="n"/>
      <c r="M139" s="38" t="n"/>
    </row>
    <row r="140" ht="15" customHeight="1">
      <c r="B140" s="27" t="n">
        <v>4</v>
      </c>
      <c r="C140" s="18" t="inlineStr">
        <is>
          <t>FTC</t>
        </is>
      </c>
      <c r="D140" s="18" t="inlineStr">
        <is>
          <t>MNT</t>
        </is>
      </c>
      <c r="E140" s="43" t="inlineStr">
        <is>
          <t>E2</t>
        </is>
      </c>
      <c r="F140" s="43" t="inlineStr">
        <is>
          <t>OFF</t>
        </is>
      </c>
      <c r="G140" s="43" t="inlineStr">
        <is>
          <t>Delivery</t>
        </is>
      </c>
      <c r="H140" s="61" t="n">
        <v>2.5</v>
      </c>
      <c r="I140" s="44" t="n">
        <v>30</v>
      </c>
      <c r="J140" s="62" t="inlineStr">
        <is>
          <t>RAMPED</t>
        </is>
      </c>
      <c r="K140" s="63" t="n">
        <v>2</v>
      </c>
      <c r="L140" s="16" t="n">
        <v>6</v>
      </c>
      <c r="M140" s="38" t="n"/>
    </row>
    <row r="141" ht="15" customHeight="1">
      <c r="B141" s="27" t="n">
        <v>4</v>
      </c>
      <c r="C141" s="18" t="inlineStr">
        <is>
          <t>FTC</t>
        </is>
      </c>
      <c r="D141" s="18" t="inlineStr">
        <is>
          <t>MNT</t>
        </is>
      </c>
      <c r="E141" s="43" t="inlineStr">
        <is>
          <t>E2</t>
        </is>
      </c>
      <c r="F141" s="43" t="inlineStr">
        <is>
          <t>OFF</t>
        </is>
      </c>
      <c r="G141" s="43" t="inlineStr">
        <is>
          <t>Horizontal</t>
        </is>
      </c>
      <c r="H141" s="61" t="n">
        <v>0.5</v>
      </c>
      <c r="I141" s="44" t="n">
        <v>6</v>
      </c>
      <c r="J141" s="62" t="inlineStr">
        <is>
          <t>SHARED</t>
        </is>
      </c>
      <c r="K141" s="63" t="n">
        <v>0</v>
      </c>
      <c r="L141" s="16" t="n">
        <v>6</v>
      </c>
      <c r="M141" s="38" t="n">
        <v>0.5</v>
      </c>
    </row>
    <row r="142" ht="15" customHeight="1">
      <c r="B142" s="27" t="n">
        <v>4</v>
      </c>
      <c r="C142" s="18" t="inlineStr">
        <is>
          <t>FTC</t>
        </is>
      </c>
      <c r="D142" s="18" t="inlineStr">
        <is>
          <t>MNT</t>
        </is>
      </c>
      <c r="E142" s="43" t="inlineStr">
        <is>
          <t>E2</t>
        </is>
      </c>
      <c r="F142" s="43" t="inlineStr">
        <is>
          <t>ON</t>
        </is>
      </c>
      <c r="G142" s="43" t="inlineStr">
        <is>
          <t>Delivery</t>
        </is>
      </c>
      <c r="H142" s="61" t="n">
        <v>1.5</v>
      </c>
      <c r="I142" s="44" t="n">
        <v>18</v>
      </c>
      <c r="J142" s="62" t="inlineStr">
        <is>
          <t>RAMPED</t>
        </is>
      </c>
      <c r="K142" s="63" t="n">
        <v>1</v>
      </c>
      <c r="L142" s="16" t="n">
        <v>6</v>
      </c>
      <c r="M142" s="38" t="n"/>
    </row>
    <row r="143" ht="15" customHeight="1">
      <c r="B143" s="27" t="n">
        <v>4</v>
      </c>
      <c r="C143" s="18" t="inlineStr">
        <is>
          <t>FTC</t>
        </is>
      </c>
      <c r="D143" s="18" t="inlineStr">
        <is>
          <t>MNT</t>
        </is>
      </c>
      <c r="E143" s="43" t="inlineStr">
        <is>
          <t>E3</t>
        </is>
      </c>
      <c r="F143" s="43" t="inlineStr">
        <is>
          <t>ON</t>
        </is>
      </c>
      <c r="G143" s="43" t="inlineStr">
        <is>
          <t>Horizontal</t>
        </is>
      </c>
      <c r="H143" s="61" t="n">
        <v>0.5</v>
      </c>
      <c r="I143" s="44" t="n">
        <v>6</v>
      </c>
      <c r="J143" s="62" t="inlineStr">
        <is>
          <t>SHARED</t>
        </is>
      </c>
      <c r="K143" s="63" t="n">
        <v>0</v>
      </c>
      <c r="L143" s="16" t="n">
        <v>6</v>
      </c>
      <c r="M143" s="38" t="n">
        <v>0.5</v>
      </c>
    </row>
    <row r="144" ht="15" customHeight="1">
      <c r="B144" s="27" t="n">
        <v>4</v>
      </c>
      <c r="C144" s="18" t="inlineStr">
        <is>
          <t>FTC</t>
        </is>
      </c>
      <c r="D144" s="18" t="inlineStr">
        <is>
          <t>OTH</t>
        </is>
      </c>
      <c r="E144" s="43" t="inlineStr">
        <is>
          <t>E3</t>
        </is>
      </c>
      <c r="F144" s="43" t="inlineStr">
        <is>
          <t>OFF</t>
        </is>
      </c>
      <c r="G144" s="43" t="inlineStr">
        <is>
          <t>Horizontal</t>
        </is>
      </c>
      <c r="H144" s="61" t="n">
        <v>0.5</v>
      </c>
      <c r="I144" s="44" t="n">
        <v>6</v>
      </c>
      <c r="J144" s="62" t="inlineStr">
        <is>
          <t>SHARED</t>
        </is>
      </c>
      <c r="K144" s="63" t="n">
        <v>0</v>
      </c>
      <c r="L144" s="16" t="n">
        <v>6</v>
      </c>
      <c r="M144" s="38" t="n">
        <v>0.5</v>
      </c>
    </row>
    <row r="145" ht="15" customHeight="1">
      <c r="B145" s="27" t="n">
        <v>4</v>
      </c>
      <c r="C145" s="18" t="inlineStr">
        <is>
          <t>FTC</t>
        </is>
      </c>
      <c r="D145" s="18" t="inlineStr">
        <is>
          <t>OTH</t>
        </is>
      </c>
      <c r="E145" s="43" t="inlineStr">
        <is>
          <t>E4</t>
        </is>
      </c>
      <c r="F145" s="43" t="inlineStr">
        <is>
          <t>ON</t>
        </is>
      </c>
      <c r="G145" s="43" t="inlineStr">
        <is>
          <t>Horizontal</t>
        </is>
      </c>
      <c r="H145" s="61" t="n">
        <v>1</v>
      </c>
      <c r="I145" s="44" t="n">
        <v>12</v>
      </c>
      <c r="J145" s="62" t="inlineStr">
        <is>
          <t>SHARED</t>
        </is>
      </c>
      <c r="K145" s="63" t="n">
        <v>1</v>
      </c>
      <c r="L145" s="16" t="n"/>
      <c r="M145" s="38" t="n"/>
    </row>
    <row r="146" ht="15" customHeight="1">
      <c r="B146" s="27" t="n">
        <v>4</v>
      </c>
      <c r="C146" s="18" t="inlineStr">
        <is>
          <t>FTC</t>
        </is>
      </c>
      <c r="D146" s="18" t="inlineStr">
        <is>
          <t>OTH</t>
        </is>
      </c>
      <c r="E146" s="43" t="inlineStr">
        <is>
          <t>E5</t>
        </is>
      </c>
      <c r="F146" s="43" t="inlineStr">
        <is>
          <t>ON</t>
        </is>
      </c>
      <c r="G146" s="43" t="inlineStr">
        <is>
          <t>Horizontal</t>
        </is>
      </c>
      <c r="H146" s="61" t="n">
        <v>0.5</v>
      </c>
      <c r="I146" s="44" t="n">
        <v>6</v>
      </c>
      <c r="J146" s="62" t="inlineStr">
        <is>
          <t>SHARED</t>
        </is>
      </c>
      <c r="K146" s="63" t="n">
        <v>0</v>
      </c>
      <c r="L146" s="16" t="n">
        <v>6</v>
      </c>
      <c r="M146" s="38" t="n">
        <v>0.5</v>
      </c>
    </row>
    <row r="147" ht="15" customHeight="1">
      <c r="B147" s="27" t="n">
        <v>4</v>
      </c>
      <c r="C147" s="18" t="inlineStr">
        <is>
          <t>FTC</t>
        </is>
      </c>
      <c r="D147" s="18" t="inlineStr">
        <is>
          <t>PM</t>
        </is>
      </c>
      <c r="E147" s="43" t="inlineStr">
        <is>
          <t>E5</t>
        </is>
      </c>
      <c r="F147" s="43" t="inlineStr">
        <is>
          <t>ON</t>
        </is>
      </c>
      <c r="G147" s="43" t="inlineStr">
        <is>
          <t>Horizontal</t>
        </is>
      </c>
      <c r="H147" s="61" t="n">
        <v>1</v>
      </c>
      <c r="I147" s="44" t="n">
        <v>12</v>
      </c>
      <c r="J147" s="62" t="inlineStr">
        <is>
          <t>SHARED</t>
        </is>
      </c>
      <c r="K147" s="63" t="n">
        <v>1</v>
      </c>
      <c r="L147" s="16" t="n"/>
      <c r="M147" s="38" t="n"/>
    </row>
    <row r="148" ht="15" customHeight="1">
      <c r="B148" s="27" t="n">
        <v>4</v>
      </c>
      <c r="C148" s="18" t="inlineStr">
        <is>
          <t>FTC</t>
        </is>
      </c>
      <c r="D148" s="18" t="inlineStr">
        <is>
          <t>TEST</t>
        </is>
      </c>
      <c r="E148" s="43" t="inlineStr">
        <is>
          <t>E1</t>
        </is>
      </c>
      <c r="F148" s="43" t="inlineStr">
        <is>
          <t>OFF</t>
        </is>
      </c>
      <c r="G148" s="43" t="inlineStr">
        <is>
          <t>Delivery</t>
        </is>
      </c>
      <c r="H148" s="61" t="n">
        <v>2</v>
      </c>
      <c r="I148" s="44" t="n">
        <v>24</v>
      </c>
      <c r="J148" s="62" t="inlineStr">
        <is>
          <t>RAMPED</t>
        </is>
      </c>
      <c r="K148" s="63" t="n">
        <v>2</v>
      </c>
      <c r="L148" s="16" t="n"/>
      <c r="M148" s="38" t="n"/>
    </row>
    <row r="149" ht="15" customHeight="1">
      <c r="B149" s="27" t="n">
        <v>4</v>
      </c>
      <c r="C149" s="18" t="inlineStr">
        <is>
          <t>FTC</t>
        </is>
      </c>
      <c r="D149" s="18" t="inlineStr">
        <is>
          <t>TEST</t>
        </is>
      </c>
      <c r="E149" s="43" t="inlineStr">
        <is>
          <t>E2</t>
        </is>
      </c>
      <c r="F149" s="43" t="inlineStr">
        <is>
          <t>ON</t>
        </is>
      </c>
      <c r="G149" s="43" t="inlineStr">
        <is>
          <t>Delivery</t>
        </is>
      </c>
      <c r="H149" s="61" t="n">
        <v>0.5</v>
      </c>
      <c r="I149" s="44" t="n">
        <v>6</v>
      </c>
      <c r="J149" s="62" t="inlineStr">
        <is>
          <t>RAMPED</t>
        </is>
      </c>
      <c r="K149" s="63" t="n">
        <v>0</v>
      </c>
      <c r="L149" s="16" t="n">
        <v>6</v>
      </c>
      <c r="M149" s="38" t="n"/>
    </row>
    <row r="150" ht="15" customHeight="1">
      <c r="B150" s="27" t="n">
        <v>4</v>
      </c>
      <c r="C150" s="18" t="inlineStr">
        <is>
          <t>FTE</t>
        </is>
      </c>
      <c r="D150" s="18" t="inlineStr">
        <is>
          <t>BSA</t>
        </is>
      </c>
      <c r="E150" s="43" t="inlineStr">
        <is>
          <t>E4</t>
        </is>
      </c>
      <c r="F150" s="43" t="inlineStr">
        <is>
          <t>ON</t>
        </is>
      </c>
      <c r="G150" s="43" t="inlineStr">
        <is>
          <t>Delivery</t>
        </is>
      </c>
      <c r="H150" s="61" t="n">
        <v>0.5</v>
      </c>
      <c r="I150" s="44" t="n">
        <v>6</v>
      </c>
      <c r="J150" s="62" t="inlineStr">
        <is>
          <t>RAMPED</t>
        </is>
      </c>
      <c r="K150" s="63" t="n">
        <v>0</v>
      </c>
      <c r="L150" s="16" t="n">
        <v>6</v>
      </c>
      <c r="M150" s="38" t="n"/>
    </row>
    <row r="151" ht="15" customHeight="1">
      <c r="B151" s="27" t="n">
        <v>4</v>
      </c>
      <c r="C151" s="18" t="inlineStr">
        <is>
          <t>FTE</t>
        </is>
      </c>
      <c r="D151" s="18" t="inlineStr">
        <is>
          <t>BSA</t>
        </is>
      </c>
      <c r="E151" s="43" t="inlineStr">
        <is>
          <t>E4</t>
        </is>
      </c>
      <c r="F151" s="43" t="inlineStr">
        <is>
          <t>ON</t>
        </is>
      </c>
      <c r="G151" s="43" t="inlineStr">
        <is>
          <t>Horizontal</t>
        </is>
      </c>
      <c r="H151" s="61" t="n">
        <v>1.5</v>
      </c>
      <c r="I151" s="44" t="n">
        <v>18</v>
      </c>
      <c r="J151" s="62" t="inlineStr">
        <is>
          <t>SHARED</t>
        </is>
      </c>
      <c r="K151" s="63" t="n">
        <v>1</v>
      </c>
      <c r="L151" s="16" t="n">
        <v>6</v>
      </c>
      <c r="M151" s="38" t="n">
        <v>0.5</v>
      </c>
    </row>
    <row r="152" ht="15" customHeight="1">
      <c r="B152" s="27" t="n">
        <v>4</v>
      </c>
      <c r="C152" s="18" t="inlineStr">
        <is>
          <t>FTE</t>
        </is>
      </c>
      <c r="D152" s="18" t="inlineStr">
        <is>
          <t>MNT</t>
        </is>
      </c>
      <c r="E152" s="43" t="inlineStr">
        <is>
          <t>E3</t>
        </is>
      </c>
      <c r="F152" s="43" t="inlineStr">
        <is>
          <t>ON</t>
        </is>
      </c>
      <c r="G152" s="43" t="inlineStr">
        <is>
          <t>Delivery</t>
        </is>
      </c>
      <c r="H152" s="61" t="n">
        <v>1.5</v>
      </c>
      <c r="I152" s="44" t="n">
        <v>18</v>
      </c>
      <c r="J152" s="62" t="inlineStr">
        <is>
          <t>RAMPED</t>
        </is>
      </c>
      <c r="K152" s="63" t="n">
        <v>1</v>
      </c>
      <c r="L152" s="16" t="n">
        <v>6</v>
      </c>
      <c r="M152" s="38" t="n"/>
    </row>
    <row r="153" ht="15" customHeight="1">
      <c r="B153" s="27" t="n">
        <v>4</v>
      </c>
      <c r="C153" s="18" t="inlineStr">
        <is>
          <t>FTE</t>
        </is>
      </c>
      <c r="D153" s="18" t="inlineStr">
        <is>
          <t>MNT</t>
        </is>
      </c>
      <c r="E153" s="43" t="inlineStr">
        <is>
          <t>E4</t>
        </is>
      </c>
      <c r="F153" s="43" t="inlineStr">
        <is>
          <t>ON</t>
        </is>
      </c>
      <c r="G153" s="43" t="inlineStr">
        <is>
          <t>Horizontal</t>
        </is>
      </c>
      <c r="H153" s="61" t="n">
        <v>2</v>
      </c>
      <c r="I153" s="44" t="n">
        <v>24</v>
      </c>
      <c r="J153" s="62" t="inlineStr">
        <is>
          <t>SHARED</t>
        </is>
      </c>
      <c r="K153" s="63" t="n">
        <v>2</v>
      </c>
      <c r="L153" s="16" t="n"/>
      <c r="M153" s="38" t="n"/>
    </row>
    <row r="154" ht="15" customHeight="1">
      <c r="B154" s="27" t="n">
        <v>4</v>
      </c>
      <c r="C154" s="18" t="inlineStr">
        <is>
          <t>FTE</t>
        </is>
      </c>
      <c r="D154" s="18" t="inlineStr">
        <is>
          <t>PM</t>
        </is>
      </c>
      <c r="E154" s="43" t="inlineStr">
        <is>
          <t>E4</t>
        </is>
      </c>
      <c r="F154" s="43" t="inlineStr">
        <is>
          <t>ON</t>
        </is>
      </c>
      <c r="G154" s="43" t="inlineStr">
        <is>
          <t>Delivery</t>
        </is>
      </c>
      <c r="H154" s="61" t="n">
        <v>2</v>
      </c>
      <c r="I154" s="44" t="n">
        <v>24</v>
      </c>
      <c r="J154" s="62" t="inlineStr">
        <is>
          <t>SHARED</t>
        </is>
      </c>
      <c r="K154" s="63" t="n">
        <v>2</v>
      </c>
      <c r="L154" s="16" t="n"/>
      <c r="M154" s="38" t="n"/>
    </row>
    <row r="155" ht="15" customHeight="1">
      <c r="B155" s="27" t="n">
        <v>4</v>
      </c>
      <c r="C155" s="18" t="inlineStr">
        <is>
          <t>FTE</t>
        </is>
      </c>
      <c r="D155" s="18" t="inlineStr">
        <is>
          <t>PM</t>
        </is>
      </c>
      <c r="E155" s="43" t="inlineStr">
        <is>
          <t>E4</t>
        </is>
      </c>
      <c r="F155" s="43" t="inlineStr">
        <is>
          <t>ON</t>
        </is>
      </c>
      <c r="G155" s="43" t="inlineStr">
        <is>
          <t>Horizontal</t>
        </is>
      </c>
      <c r="H155" s="61" t="n">
        <v>1.5</v>
      </c>
      <c r="I155" s="44" t="n">
        <v>18</v>
      </c>
      <c r="J155" s="62" t="inlineStr">
        <is>
          <t>SHARED</t>
        </is>
      </c>
      <c r="K155" s="63" t="n">
        <v>1</v>
      </c>
      <c r="L155" s="16" t="n">
        <v>6</v>
      </c>
      <c r="M155" s="38" t="n">
        <v>0.5</v>
      </c>
    </row>
    <row r="156" ht="15" customHeight="1">
      <c r="B156" s="27" t="n">
        <v>4</v>
      </c>
      <c r="C156" s="18" t="inlineStr">
        <is>
          <t>MGCC</t>
        </is>
      </c>
      <c r="D156" s="18" t="inlineStr">
        <is>
          <t>DEV</t>
        </is>
      </c>
      <c r="E156" s="43" t="inlineStr">
        <is>
          <t>E3</t>
        </is>
      </c>
      <c r="F156" s="43" t="inlineStr">
        <is>
          <t>OFF</t>
        </is>
      </c>
      <c r="G156" s="43" t="inlineStr">
        <is>
          <t>Delivery</t>
        </is>
      </c>
      <c r="H156" s="61" t="n">
        <v>6</v>
      </c>
      <c r="I156" s="44" t="n">
        <v>72</v>
      </c>
      <c r="J156" s="62" t="inlineStr">
        <is>
          <t>RAMPED</t>
        </is>
      </c>
      <c r="K156" s="63" t="n">
        <v>6</v>
      </c>
      <c r="L156" s="16" t="n"/>
      <c r="M156" s="38" t="n"/>
    </row>
    <row r="157" ht="15" customHeight="1">
      <c r="B157" s="27" t="n">
        <v>4</v>
      </c>
      <c r="C157" s="18" t="inlineStr">
        <is>
          <t>MGCC</t>
        </is>
      </c>
      <c r="D157" s="18" t="inlineStr">
        <is>
          <t>DEV</t>
        </is>
      </c>
      <c r="E157" s="43" t="inlineStr">
        <is>
          <t>E3</t>
        </is>
      </c>
      <c r="F157" s="43" t="inlineStr">
        <is>
          <t>OFF</t>
        </is>
      </c>
      <c r="G157" s="43" t="inlineStr">
        <is>
          <t>Horizontal</t>
        </is>
      </c>
      <c r="H157" s="61" t="n">
        <v>1.5</v>
      </c>
      <c r="I157" s="44" t="n">
        <v>18</v>
      </c>
      <c r="J157" s="62" t="inlineStr">
        <is>
          <t>SHARED</t>
        </is>
      </c>
      <c r="K157" s="63" t="n">
        <v>1</v>
      </c>
      <c r="L157" s="16" t="n">
        <v>6</v>
      </c>
      <c r="M157" s="38" t="n">
        <v>0.5</v>
      </c>
    </row>
    <row r="158" ht="15" customHeight="1">
      <c r="B158" s="27" t="n">
        <v>4</v>
      </c>
      <c r="C158" s="18" t="inlineStr">
        <is>
          <t>MGCC</t>
        </is>
      </c>
      <c r="D158" s="18" t="inlineStr">
        <is>
          <t>MNT</t>
        </is>
      </c>
      <c r="E158" s="43" t="inlineStr">
        <is>
          <t>E2</t>
        </is>
      </c>
      <c r="F158" s="43" t="inlineStr">
        <is>
          <t>OFF</t>
        </is>
      </c>
      <c r="G158" s="43" t="inlineStr">
        <is>
          <t>Horizontal</t>
        </is>
      </c>
      <c r="H158" s="61" t="n">
        <v>4.5</v>
      </c>
      <c r="I158" s="44" t="n">
        <v>54</v>
      </c>
      <c r="J158" s="62" t="inlineStr">
        <is>
          <t>SHARED</t>
        </is>
      </c>
      <c r="K158" s="63" t="n">
        <v>4</v>
      </c>
      <c r="L158" s="16" t="n">
        <v>6</v>
      </c>
      <c r="M158" s="38" t="n">
        <v>0.5</v>
      </c>
    </row>
    <row r="159" ht="15" customHeight="1">
      <c r="B159" s="27" t="n">
        <v>4</v>
      </c>
      <c r="C159" s="18" t="inlineStr">
        <is>
          <t>MGCC</t>
        </is>
      </c>
      <c r="D159" s="18" t="inlineStr">
        <is>
          <t>TEST</t>
        </is>
      </c>
      <c r="E159" s="43" t="inlineStr">
        <is>
          <t>E2</t>
        </is>
      </c>
      <c r="F159" s="43" t="inlineStr">
        <is>
          <t>OFF</t>
        </is>
      </c>
      <c r="G159" s="43" t="inlineStr">
        <is>
          <t>Delivery</t>
        </is>
      </c>
      <c r="H159" s="61" t="n">
        <v>3</v>
      </c>
      <c r="I159" s="44" t="n">
        <v>36</v>
      </c>
      <c r="J159" s="62" t="inlineStr">
        <is>
          <t>RAMPED</t>
        </is>
      </c>
      <c r="K159" s="63" t="n">
        <v>3</v>
      </c>
      <c r="L159" s="16" t="n"/>
      <c r="M159" s="38" t="n"/>
    </row>
    <row r="160" ht="15" customHeight="1">
      <c r="B160" s="27" t="n">
        <v>4</v>
      </c>
      <c r="C160" s="18" t="inlineStr">
        <is>
          <t>MGCC</t>
        </is>
      </c>
      <c r="D160" s="18" t="inlineStr">
        <is>
          <t>TEST</t>
        </is>
      </c>
      <c r="E160" s="43" t="inlineStr">
        <is>
          <t>E2</t>
        </is>
      </c>
      <c r="F160" s="43" t="inlineStr">
        <is>
          <t>OFF</t>
        </is>
      </c>
      <c r="G160" s="43" t="inlineStr">
        <is>
          <t>Horizontal</t>
        </is>
      </c>
      <c r="H160" s="61" t="n">
        <v>0.5</v>
      </c>
      <c r="I160" s="44" t="n">
        <v>6</v>
      </c>
      <c r="J160" s="62" t="inlineStr">
        <is>
          <t>SHARED</t>
        </is>
      </c>
      <c r="K160" s="63" t="n">
        <v>0</v>
      </c>
      <c r="L160" s="16" t="n">
        <v>6</v>
      </c>
      <c r="M160" s="38" t="n">
        <v>0.5</v>
      </c>
    </row>
    <row r="161" ht="15" customHeight="1">
      <c r="B161" s="27" t="n">
        <v>4</v>
      </c>
      <c r="C161" s="18" t="inlineStr">
        <is>
          <t>PT</t>
        </is>
      </c>
      <c r="D161" s="18" t="inlineStr">
        <is>
          <t>BSA</t>
        </is>
      </c>
      <c r="E161" s="43" t="inlineStr">
        <is>
          <t>E3</t>
        </is>
      </c>
      <c r="F161" s="43" t="inlineStr">
        <is>
          <t>ON</t>
        </is>
      </c>
      <c r="G161" s="43" t="inlineStr">
        <is>
          <t>Delivery</t>
        </is>
      </c>
      <c r="H161" s="61" t="n">
        <v>3</v>
      </c>
      <c r="I161" s="44" t="n">
        <v>36</v>
      </c>
      <c r="J161" s="62" t="inlineStr">
        <is>
          <t>RAMPED</t>
        </is>
      </c>
      <c r="K161" s="63" t="n">
        <v>3</v>
      </c>
      <c r="L161" s="16" t="n"/>
      <c r="M161" s="38" t="n"/>
    </row>
    <row r="162" ht="15" customHeight="1">
      <c r="B162" s="27" t="n">
        <v>4</v>
      </c>
      <c r="C162" s="18" t="inlineStr">
        <is>
          <t>PT</t>
        </is>
      </c>
      <c r="D162" s="18" t="inlineStr">
        <is>
          <t>DEV</t>
        </is>
      </c>
      <c r="E162" s="43" t="inlineStr">
        <is>
          <t>E3</t>
        </is>
      </c>
      <c r="F162" s="43" t="inlineStr">
        <is>
          <t>ON</t>
        </is>
      </c>
      <c r="G162" s="43" t="inlineStr">
        <is>
          <t>Delivery</t>
        </is>
      </c>
      <c r="H162" s="61" t="n">
        <v>2</v>
      </c>
      <c r="I162" s="44" t="n">
        <v>24</v>
      </c>
      <c r="J162" s="62" t="inlineStr">
        <is>
          <t>RAMPED</t>
        </is>
      </c>
      <c r="K162" s="63" t="n">
        <v>2</v>
      </c>
      <c r="L162" s="16" t="n"/>
      <c r="M162" s="38" t="n"/>
    </row>
    <row r="163" ht="15" customHeight="1">
      <c r="B163" s="27" t="n">
        <v>5</v>
      </c>
      <c r="C163" s="18" t="inlineStr">
        <is>
          <t>FTC</t>
        </is>
      </c>
      <c r="D163" s="18" t="inlineStr">
        <is>
          <t>BSA</t>
        </is>
      </c>
      <c r="E163" s="43" t="inlineStr">
        <is>
          <t>E3</t>
        </is>
      </c>
      <c r="F163" s="43" t="inlineStr">
        <is>
          <t>ON</t>
        </is>
      </c>
      <c r="G163" s="43" t="inlineStr">
        <is>
          <t>Delivery</t>
        </is>
      </c>
      <c r="H163" s="61" t="n">
        <v>2</v>
      </c>
      <c r="I163" s="44" t="n">
        <v>24</v>
      </c>
      <c r="J163" s="62" t="inlineStr">
        <is>
          <t>RAMPED</t>
        </is>
      </c>
      <c r="K163" s="63" t="n">
        <v>2</v>
      </c>
      <c r="L163" s="16" t="n"/>
      <c r="M163" s="38" t="n"/>
    </row>
    <row r="164" ht="15" customHeight="1">
      <c r="B164" s="27" t="n">
        <v>5</v>
      </c>
      <c r="C164" s="18" t="inlineStr">
        <is>
          <t>FTC</t>
        </is>
      </c>
      <c r="D164" s="18" t="inlineStr">
        <is>
          <t>DEV</t>
        </is>
      </c>
      <c r="E164" s="43" t="inlineStr">
        <is>
          <t>E1</t>
        </is>
      </c>
      <c r="F164" s="43" t="inlineStr">
        <is>
          <t>OFF</t>
        </is>
      </c>
      <c r="G164" s="43" t="inlineStr">
        <is>
          <t>Delivery</t>
        </is>
      </c>
      <c r="H164" s="61" t="n">
        <v>1</v>
      </c>
      <c r="I164" s="44" t="n">
        <v>12</v>
      </c>
      <c r="J164" s="62" t="inlineStr">
        <is>
          <t>RAMPED</t>
        </is>
      </c>
      <c r="K164" s="63" t="n">
        <v>1</v>
      </c>
      <c r="L164" s="16" t="n"/>
      <c r="M164" s="38" t="n"/>
    </row>
    <row r="165" ht="15" customHeight="1">
      <c r="B165" s="27" t="n">
        <v>5</v>
      </c>
      <c r="C165" s="18" t="inlineStr">
        <is>
          <t>FTC</t>
        </is>
      </c>
      <c r="D165" s="18" t="inlineStr">
        <is>
          <t>DEV</t>
        </is>
      </c>
      <c r="E165" s="43" t="inlineStr">
        <is>
          <t>E2</t>
        </is>
      </c>
      <c r="F165" s="43" t="inlineStr">
        <is>
          <t>OFF</t>
        </is>
      </c>
      <c r="G165" s="43" t="inlineStr">
        <is>
          <t>Delivery</t>
        </is>
      </c>
      <c r="H165" s="61" t="n">
        <v>4.5</v>
      </c>
      <c r="I165" s="44" t="n">
        <v>54</v>
      </c>
      <c r="J165" s="62" t="inlineStr">
        <is>
          <t>RAMPED</t>
        </is>
      </c>
      <c r="K165" s="63" t="n">
        <v>4</v>
      </c>
      <c r="L165" s="16" t="n">
        <v>6</v>
      </c>
      <c r="M165" s="38" t="n"/>
    </row>
    <row r="166" ht="15" customHeight="1">
      <c r="B166" s="27" t="n">
        <v>5</v>
      </c>
      <c r="C166" s="18" t="inlineStr">
        <is>
          <t>FTC</t>
        </is>
      </c>
      <c r="D166" s="18" t="inlineStr">
        <is>
          <t>DEV</t>
        </is>
      </c>
      <c r="E166" s="43" t="inlineStr">
        <is>
          <t>E4</t>
        </is>
      </c>
      <c r="F166" s="43" t="inlineStr">
        <is>
          <t>ON</t>
        </is>
      </c>
      <c r="G166" s="43" t="inlineStr">
        <is>
          <t>Delivery</t>
        </is>
      </c>
      <c r="H166" s="61" t="n">
        <v>2</v>
      </c>
      <c r="I166" s="44" t="n">
        <v>24</v>
      </c>
      <c r="J166" s="62" t="inlineStr">
        <is>
          <t>RAMPED</t>
        </is>
      </c>
      <c r="K166" s="63" t="n">
        <v>2</v>
      </c>
      <c r="L166" s="16" t="n"/>
      <c r="M166" s="38" t="n"/>
    </row>
    <row r="167" ht="15" customHeight="1">
      <c r="B167" s="27" t="n">
        <v>5</v>
      </c>
      <c r="C167" s="18" t="inlineStr">
        <is>
          <t>FTC</t>
        </is>
      </c>
      <c r="D167" s="18" t="inlineStr">
        <is>
          <t>MNT</t>
        </is>
      </c>
      <c r="E167" s="43" t="inlineStr">
        <is>
          <t>E2</t>
        </is>
      </c>
      <c r="F167" s="43" t="inlineStr">
        <is>
          <t>OFF</t>
        </is>
      </c>
      <c r="G167" s="43" t="inlineStr">
        <is>
          <t>Delivery</t>
        </is>
      </c>
      <c r="H167" s="61" t="n">
        <v>3</v>
      </c>
      <c r="I167" s="44" t="n">
        <v>36</v>
      </c>
      <c r="J167" s="62" t="inlineStr">
        <is>
          <t>RAMPED</t>
        </is>
      </c>
      <c r="K167" s="63" t="n">
        <v>3</v>
      </c>
      <c r="L167" s="16" t="n"/>
      <c r="M167" s="38" t="n"/>
    </row>
    <row r="168" ht="15" customHeight="1">
      <c r="B168" s="27" t="n">
        <v>5</v>
      </c>
      <c r="C168" s="18" t="inlineStr">
        <is>
          <t>FTC</t>
        </is>
      </c>
      <c r="D168" s="18" t="inlineStr">
        <is>
          <t>MNT</t>
        </is>
      </c>
      <c r="E168" s="43" t="inlineStr">
        <is>
          <t>E2</t>
        </is>
      </c>
      <c r="F168" s="43" t="inlineStr">
        <is>
          <t>ON</t>
        </is>
      </c>
      <c r="G168" s="43" t="inlineStr">
        <is>
          <t>Delivery</t>
        </is>
      </c>
      <c r="H168" s="61" t="n">
        <v>1.5</v>
      </c>
      <c r="I168" s="44" t="n">
        <v>18</v>
      </c>
      <c r="J168" s="62" t="inlineStr">
        <is>
          <t>RAMPED</t>
        </is>
      </c>
      <c r="K168" s="63" t="n">
        <v>1</v>
      </c>
      <c r="L168" s="16" t="n">
        <v>6</v>
      </c>
      <c r="M168" s="38" t="n"/>
    </row>
    <row r="169" ht="15" customHeight="1">
      <c r="B169" s="27" t="n">
        <v>5</v>
      </c>
      <c r="C169" s="18" t="inlineStr">
        <is>
          <t>FTC</t>
        </is>
      </c>
      <c r="D169" s="18" t="inlineStr">
        <is>
          <t>OTH</t>
        </is>
      </c>
      <c r="E169" s="43" t="inlineStr">
        <is>
          <t>E4</t>
        </is>
      </c>
      <c r="F169" s="43" t="inlineStr">
        <is>
          <t>ON</t>
        </is>
      </c>
      <c r="G169" s="43" t="inlineStr">
        <is>
          <t>Horizontal</t>
        </is>
      </c>
      <c r="H169" s="61" t="n">
        <v>0.5</v>
      </c>
      <c r="I169" s="44" t="n">
        <v>6</v>
      </c>
      <c r="J169" s="62" t="inlineStr">
        <is>
          <t>SHARED</t>
        </is>
      </c>
      <c r="K169" s="63" t="n">
        <v>0</v>
      </c>
      <c r="L169" s="16" t="n">
        <v>6</v>
      </c>
      <c r="M169" s="38" t="n">
        <v>0.5</v>
      </c>
    </row>
    <row r="170" ht="15" customHeight="1">
      <c r="B170" s="27" t="n">
        <v>5</v>
      </c>
      <c r="C170" s="18" t="inlineStr">
        <is>
          <t>FTC</t>
        </is>
      </c>
      <c r="D170" s="18" t="inlineStr">
        <is>
          <t>OTH</t>
        </is>
      </c>
      <c r="E170" s="43" t="inlineStr">
        <is>
          <t>E5</t>
        </is>
      </c>
      <c r="F170" s="43" t="inlineStr">
        <is>
          <t>ON</t>
        </is>
      </c>
      <c r="G170" s="43" t="inlineStr">
        <is>
          <t>Horizontal</t>
        </is>
      </c>
      <c r="H170" s="61" t="n">
        <v>0.5</v>
      </c>
      <c r="I170" s="44" t="n">
        <v>6</v>
      </c>
      <c r="J170" s="62" t="inlineStr">
        <is>
          <t>SHARED</t>
        </is>
      </c>
      <c r="K170" s="63" t="n">
        <v>0</v>
      </c>
      <c r="L170" s="16" t="n">
        <v>6</v>
      </c>
      <c r="M170" s="38" t="n">
        <v>0.5</v>
      </c>
    </row>
    <row r="171" ht="15" customHeight="1">
      <c r="B171" s="27" t="n">
        <v>5</v>
      </c>
      <c r="C171" s="18" t="inlineStr">
        <is>
          <t>FTC</t>
        </is>
      </c>
      <c r="D171" s="18" t="inlineStr">
        <is>
          <t>PM</t>
        </is>
      </c>
      <c r="E171" s="43" t="inlineStr">
        <is>
          <t>E5</t>
        </is>
      </c>
      <c r="F171" s="43" t="inlineStr">
        <is>
          <t>ON</t>
        </is>
      </c>
      <c r="G171" s="43" t="inlineStr">
        <is>
          <t>Horizontal</t>
        </is>
      </c>
      <c r="H171" s="61" t="n">
        <v>1</v>
      </c>
      <c r="I171" s="44" t="n">
        <v>12</v>
      </c>
      <c r="J171" s="62" t="inlineStr">
        <is>
          <t>SHARED</t>
        </is>
      </c>
      <c r="K171" s="63" t="n">
        <v>1</v>
      </c>
      <c r="L171" s="16" t="n"/>
      <c r="M171" s="38" t="n"/>
    </row>
    <row r="172" ht="15" customHeight="1">
      <c r="B172" s="27" t="n">
        <v>5</v>
      </c>
      <c r="C172" s="18" t="inlineStr">
        <is>
          <t>FTC</t>
        </is>
      </c>
      <c r="D172" s="18" t="inlineStr">
        <is>
          <t>TEST</t>
        </is>
      </c>
      <c r="E172" s="43" t="inlineStr">
        <is>
          <t>E1</t>
        </is>
      </c>
      <c r="F172" s="43" t="inlineStr">
        <is>
          <t>OFF</t>
        </is>
      </c>
      <c r="G172" s="43" t="inlineStr">
        <is>
          <t>Delivery</t>
        </is>
      </c>
      <c r="H172" s="61" t="n">
        <v>2</v>
      </c>
      <c r="I172" s="44" t="n">
        <v>24</v>
      </c>
      <c r="J172" s="62" t="inlineStr">
        <is>
          <t>RAMPED</t>
        </is>
      </c>
      <c r="K172" s="63" t="n">
        <v>2</v>
      </c>
      <c r="L172" s="16" t="n"/>
      <c r="M172" s="38" t="n"/>
    </row>
    <row r="173" ht="15" customHeight="1">
      <c r="B173" s="27" t="n">
        <v>5</v>
      </c>
      <c r="C173" s="18" t="inlineStr">
        <is>
          <t>FTE</t>
        </is>
      </c>
      <c r="D173" s="18" t="inlineStr">
        <is>
          <t>BSA</t>
        </is>
      </c>
      <c r="E173" s="43" t="inlineStr">
        <is>
          <t>E4</t>
        </is>
      </c>
      <c r="F173" s="43" t="inlineStr">
        <is>
          <t>ON</t>
        </is>
      </c>
      <c r="G173" s="43" t="inlineStr">
        <is>
          <t>Delivery</t>
        </is>
      </c>
      <c r="H173" s="61" t="n">
        <v>0.5</v>
      </c>
      <c r="I173" s="44" t="n">
        <v>6</v>
      </c>
      <c r="J173" s="62" t="inlineStr">
        <is>
          <t>RAMPED</t>
        </is>
      </c>
      <c r="K173" s="63" t="n">
        <v>0</v>
      </c>
      <c r="L173" s="16" t="n">
        <v>6</v>
      </c>
      <c r="M173" s="38" t="n"/>
    </row>
    <row r="174" ht="15" customHeight="1">
      <c r="B174" s="27" t="n">
        <v>5</v>
      </c>
      <c r="C174" s="18" t="inlineStr">
        <is>
          <t>FTE</t>
        </is>
      </c>
      <c r="D174" s="18" t="inlineStr">
        <is>
          <t>BSA</t>
        </is>
      </c>
      <c r="E174" s="43" t="inlineStr">
        <is>
          <t>E4</t>
        </is>
      </c>
      <c r="F174" s="43" t="inlineStr">
        <is>
          <t>ON</t>
        </is>
      </c>
      <c r="G174" s="43" t="inlineStr">
        <is>
          <t>Horizontal</t>
        </is>
      </c>
      <c r="H174" s="61" t="n">
        <v>0.5</v>
      </c>
      <c r="I174" s="44" t="n">
        <v>6</v>
      </c>
      <c r="J174" s="62" t="inlineStr">
        <is>
          <t>SHARED</t>
        </is>
      </c>
      <c r="K174" s="63" t="n">
        <v>0</v>
      </c>
      <c r="L174" s="16" t="n">
        <v>6</v>
      </c>
      <c r="M174" s="38" t="n">
        <v>0.5</v>
      </c>
    </row>
    <row r="175" ht="15" customHeight="1">
      <c r="B175" s="27" t="n">
        <v>5</v>
      </c>
      <c r="C175" s="18" t="inlineStr">
        <is>
          <t>FTE</t>
        </is>
      </c>
      <c r="D175" s="18" t="inlineStr">
        <is>
          <t>MNT</t>
        </is>
      </c>
      <c r="E175" s="43" t="inlineStr">
        <is>
          <t>E3</t>
        </is>
      </c>
      <c r="F175" s="43" t="inlineStr">
        <is>
          <t>ON</t>
        </is>
      </c>
      <c r="G175" s="43" t="inlineStr">
        <is>
          <t>Delivery</t>
        </is>
      </c>
      <c r="H175" s="61" t="n">
        <v>1.5</v>
      </c>
      <c r="I175" s="44" t="n">
        <v>18</v>
      </c>
      <c r="J175" s="62" t="inlineStr">
        <is>
          <t>RAMPED</t>
        </is>
      </c>
      <c r="K175" s="63" t="n">
        <v>1</v>
      </c>
      <c r="L175" s="16" t="n">
        <v>6</v>
      </c>
      <c r="M175" s="38" t="n"/>
    </row>
    <row r="176" ht="15" customHeight="1">
      <c r="B176" s="27" t="n">
        <v>5</v>
      </c>
      <c r="C176" s="18" t="inlineStr">
        <is>
          <t>FTE</t>
        </is>
      </c>
      <c r="D176" s="18" t="inlineStr">
        <is>
          <t>MNT</t>
        </is>
      </c>
      <c r="E176" s="43" t="inlineStr">
        <is>
          <t>E4</t>
        </is>
      </c>
      <c r="F176" s="43" t="inlineStr">
        <is>
          <t>ON</t>
        </is>
      </c>
      <c r="G176" s="43" t="inlineStr">
        <is>
          <t>Horizontal</t>
        </is>
      </c>
      <c r="H176" s="61" t="n">
        <v>0.5</v>
      </c>
      <c r="I176" s="44" t="n">
        <v>6</v>
      </c>
      <c r="J176" s="62" t="inlineStr">
        <is>
          <t>SHARED</t>
        </is>
      </c>
      <c r="K176" s="63" t="n">
        <v>0</v>
      </c>
      <c r="L176" s="16" t="n">
        <v>6</v>
      </c>
      <c r="M176" s="38" t="n">
        <v>0.5</v>
      </c>
    </row>
    <row r="177" ht="15" customHeight="1">
      <c r="B177" s="27" t="n">
        <v>5</v>
      </c>
      <c r="C177" s="18" t="inlineStr">
        <is>
          <t>FTE</t>
        </is>
      </c>
      <c r="D177" s="18" t="inlineStr">
        <is>
          <t>PM</t>
        </is>
      </c>
      <c r="E177" s="43" t="inlineStr">
        <is>
          <t>E4</t>
        </is>
      </c>
      <c r="F177" s="43" t="inlineStr">
        <is>
          <t>ON</t>
        </is>
      </c>
      <c r="G177" s="43" t="inlineStr">
        <is>
          <t>Delivery</t>
        </is>
      </c>
      <c r="H177" s="61" t="n">
        <v>2</v>
      </c>
      <c r="I177" s="44" t="n">
        <v>24</v>
      </c>
      <c r="J177" s="62" t="inlineStr">
        <is>
          <t>SHARED</t>
        </is>
      </c>
      <c r="K177" s="63" t="n">
        <v>2</v>
      </c>
      <c r="L177" s="16" t="n"/>
      <c r="M177" s="38" t="n"/>
    </row>
    <row r="178">
      <c r="B178" s="27" t="n">
        <v>5</v>
      </c>
      <c r="C178" s="18" t="inlineStr">
        <is>
          <t>FTE</t>
        </is>
      </c>
      <c r="D178" s="18" t="inlineStr">
        <is>
          <t>PM</t>
        </is>
      </c>
      <c r="E178" s="43" t="inlineStr">
        <is>
          <t>E4</t>
        </is>
      </c>
      <c r="F178" s="43" t="inlineStr">
        <is>
          <t>ON</t>
        </is>
      </c>
      <c r="G178" s="43" t="inlineStr">
        <is>
          <t>Horizontal</t>
        </is>
      </c>
      <c r="H178" s="61" t="n">
        <v>1</v>
      </c>
      <c r="I178" s="44" t="n">
        <v>12</v>
      </c>
      <c r="J178" s="62" t="inlineStr">
        <is>
          <t>SHARED</t>
        </is>
      </c>
      <c r="K178" s="63" t="n">
        <v>1</v>
      </c>
      <c r="L178" s="16" t="n"/>
      <c r="M178" s="38" t="n"/>
    </row>
    <row r="179" ht="30" customHeight="1">
      <c r="B179" s="27" t="n">
        <v>5</v>
      </c>
      <c r="C179" s="18" t="inlineStr">
        <is>
          <t>MGCC</t>
        </is>
      </c>
      <c r="D179" s="18" t="inlineStr">
        <is>
          <t>DEV</t>
        </is>
      </c>
      <c r="E179" s="43" t="inlineStr">
        <is>
          <t>E3</t>
        </is>
      </c>
      <c r="F179" s="43" t="inlineStr">
        <is>
          <t>OFF</t>
        </is>
      </c>
      <c r="G179" s="43" t="inlineStr">
        <is>
          <t>Delivery</t>
        </is>
      </c>
      <c r="H179" s="61" t="n">
        <v>4</v>
      </c>
      <c r="I179" s="44" t="n">
        <v>48</v>
      </c>
      <c r="J179" s="62" t="inlineStr">
        <is>
          <t>RAMPED</t>
        </is>
      </c>
      <c r="K179" s="63" t="n">
        <v>4</v>
      </c>
      <c r="L179" s="16" t="n"/>
      <c r="M179" s="38" t="n"/>
    </row>
    <row r="180">
      <c r="B180" s="27" t="n">
        <v>5</v>
      </c>
      <c r="C180" s="18" t="inlineStr">
        <is>
          <t>MGCC</t>
        </is>
      </c>
      <c r="D180" s="18" t="inlineStr">
        <is>
          <t>DEV</t>
        </is>
      </c>
      <c r="E180" s="43" t="inlineStr">
        <is>
          <t>E3</t>
        </is>
      </c>
      <c r="F180" s="43" t="inlineStr">
        <is>
          <t>OFF</t>
        </is>
      </c>
      <c r="G180" s="43" t="inlineStr">
        <is>
          <t>Horizontal</t>
        </is>
      </c>
      <c r="H180" s="61" t="n">
        <v>1.5</v>
      </c>
      <c r="I180" s="44" t="n">
        <v>18</v>
      </c>
      <c r="J180" s="62" t="inlineStr">
        <is>
          <t>SHARED</t>
        </is>
      </c>
      <c r="K180" s="63" t="n">
        <v>1</v>
      </c>
      <c r="L180" s="16" t="n">
        <v>6</v>
      </c>
      <c r="M180" s="38" t="n">
        <v>0.5</v>
      </c>
    </row>
    <row r="181">
      <c r="B181" s="27" t="n">
        <v>5</v>
      </c>
      <c r="C181" s="18" t="inlineStr">
        <is>
          <t>MGCC</t>
        </is>
      </c>
      <c r="D181" s="18" t="inlineStr">
        <is>
          <t>MNT</t>
        </is>
      </c>
      <c r="E181" s="43" t="inlineStr">
        <is>
          <t>E2</t>
        </is>
      </c>
      <c r="F181" s="43" t="inlineStr">
        <is>
          <t>OFF</t>
        </is>
      </c>
      <c r="G181" s="43" t="inlineStr">
        <is>
          <t>Horizontal</t>
        </is>
      </c>
      <c r="H181" s="61" t="n">
        <v>7.5</v>
      </c>
      <c r="I181" s="44" t="n">
        <v>90</v>
      </c>
      <c r="J181" s="62" t="inlineStr">
        <is>
          <t>SHARED</t>
        </is>
      </c>
      <c r="K181" s="63" t="n">
        <v>7</v>
      </c>
      <c r="L181" s="16" t="n">
        <v>6</v>
      </c>
      <c r="M181" s="38" t="n">
        <v>0.5</v>
      </c>
    </row>
    <row r="182">
      <c r="B182" s="27" t="n">
        <v>5</v>
      </c>
      <c r="C182" s="18" t="inlineStr">
        <is>
          <t>MGCC</t>
        </is>
      </c>
      <c r="D182" s="18" t="inlineStr">
        <is>
          <t>TEST</t>
        </is>
      </c>
      <c r="E182" s="43" t="inlineStr">
        <is>
          <t>E2</t>
        </is>
      </c>
      <c r="F182" s="43" t="inlineStr">
        <is>
          <t>OFF</t>
        </is>
      </c>
      <c r="G182" s="43" t="inlineStr">
        <is>
          <t>Delivery</t>
        </is>
      </c>
      <c r="H182" s="61" t="n">
        <v>2</v>
      </c>
      <c r="I182" s="44" t="n">
        <v>24</v>
      </c>
      <c r="J182" s="62" t="inlineStr">
        <is>
          <t>RAMPED</t>
        </is>
      </c>
      <c r="K182" s="63" t="n">
        <v>2</v>
      </c>
      <c r="L182" s="16" t="n"/>
      <c r="M182" s="38" t="n"/>
    </row>
    <row r="183">
      <c r="B183" s="27" t="n">
        <v>5</v>
      </c>
      <c r="C183" s="18" t="inlineStr">
        <is>
          <t>MGCC</t>
        </is>
      </c>
      <c r="D183" s="18" t="inlineStr">
        <is>
          <t>TEST</t>
        </is>
      </c>
      <c r="E183" s="43" t="inlineStr">
        <is>
          <t>E2</t>
        </is>
      </c>
      <c r="F183" s="43" t="inlineStr">
        <is>
          <t>OFF</t>
        </is>
      </c>
      <c r="G183" s="43" t="inlineStr">
        <is>
          <t>Horizontal</t>
        </is>
      </c>
      <c r="H183" s="61" t="n">
        <v>0.5</v>
      </c>
      <c r="I183" s="44" t="n">
        <v>6</v>
      </c>
      <c r="J183" s="62" t="inlineStr">
        <is>
          <t>SHARED</t>
        </is>
      </c>
      <c r="K183" s="63" t="n">
        <v>0</v>
      </c>
      <c r="L183" s="16" t="n">
        <v>6</v>
      </c>
      <c r="M183" s="38" t="n">
        <v>0.5</v>
      </c>
    </row>
    <row r="184">
      <c r="B184" s="27" t="n">
        <v>5</v>
      </c>
      <c r="C184" s="18" t="inlineStr">
        <is>
          <t>PT</t>
        </is>
      </c>
      <c r="D184" s="18" t="inlineStr">
        <is>
          <t>BSA</t>
        </is>
      </c>
      <c r="E184" s="43" t="inlineStr">
        <is>
          <t>E3</t>
        </is>
      </c>
      <c r="F184" s="43" t="inlineStr">
        <is>
          <t>ON</t>
        </is>
      </c>
      <c r="G184" s="43" t="inlineStr">
        <is>
          <t>Delivery</t>
        </is>
      </c>
      <c r="H184" s="61" t="n">
        <v>3</v>
      </c>
      <c r="I184" s="44" t="n">
        <v>36</v>
      </c>
      <c r="J184" s="62" t="inlineStr">
        <is>
          <t>RAMPED</t>
        </is>
      </c>
      <c r="K184" s="63" t="n">
        <v>3</v>
      </c>
      <c r="L184" s="16" t="n"/>
      <c r="M184" s="38" t="n"/>
    </row>
    <row r="185">
      <c r="B185" s="27" t="n">
        <v>5</v>
      </c>
      <c r="C185" s="18" t="inlineStr">
        <is>
          <t>PT</t>
        </is>
      </c>
      <c r="D185" s="18" t="inlineStr">
        <is>
          <t>DEV</t>
        </is>
      </c>
      <c r="E185" s="43" t="inlineStr">
        <is>
          <t>E3</t>
        </is>
      </c>
      <c r="F185" s="43" t="inlineStr">
        <is>
          <t>ON</t>
        </is>
      </c>
      <c r="G185" s="43" t="inlineStr">
        <is>
          <t>Delivery</t>
        </is>
      </c>
      <c r="H185" s="61" t="n">
        <v>1</v>
      </c>
      <c r="I185" s="44" t="n">
        <v>12</v>
      </c>
      <c r="J185" s="62" t="inlineStr">
        <is>
          <t>RAMPED</t>
        </is>
      </c>
      <c r="K185" s="63" t="n">
        <v>1</v>
      </c>
      <c r="L185" s="16" t="n"/>
      <c r="M185" s="38" t="n"/>
    </row>
  </sheetData>
  <mergeCells count="13">
    <mergeCell ref="A2:L2"/>
    <mergeCell ref="B12:L12"/>
    <mergeCell ref="J14:L14"/>
    <mergeCell ref="G14:I14"/>
    <mergeCell ref="B16:L16"/>
    <mergeCell ref="A11:L11"/>
    <mergeCell ref="A1:L1"/>
    <mergeCell ref="C15:F15"/>
    <mergeCell ref="A18:L18"/>
    <mergeCell ref="C14:F14"/>
    <mergeCell ref="G15:I15"/>
    <mergeCell ref="A4:L4"/>
    <mergeCell ref="J15:L1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L37"/>
  <sheetViews>
    <sheetView zoomScaleNormal="100" workbookViewId="0">
      <selection activeCell="A1" sqref="A1:L1"/>
    </sheetView>
  </sheetViews>
  <sheetFormatPr baseColWidth="8" defaultColWidth="8.6328125" defaultRowHeight="14.5"/>
  <cols>
    <col width="2.453125" customWidth="1" min="1" max="1"/>
    <col width="40" customWidth="1" min="2" max="2"/>
    <col width="12" customWidth="1" min="3" max="8"/>
    <col width="4" customWidth="1" min="9" max="9"/>
    <col width="50" customWidth="1" min="10" max="10"/>
  </cols>
  <sheetData>
    <row r="1" ht="25.5" customHeight="1">
      <c r="A1" s="8" t="inlineStr">
        <is>
          <t>Unit cost sensitivity  —  four levers now, not three</t>
        </is>
      </c>
    </row>
    <row r="2" ht="15" customHeight="1">
      <c r="A2" s="7" t="inlineStr">
        <is>
          <t>Productivity, offshore share and seniority, plus the agile conversion, which which the other three all depend on.</t>
        </is>
      </c>
    </row>
    <row r="4" ht="15" customHeight="1">
      <c r="A4" s="6" t="inlineStr">
        <is>
          <t>A.  THE MODEL  —  unit cost = k x (1 - productivity) x average cost per head</t>
        </is>
      </c>
    </row>
    <row r="5" ht="27.75" customHeight="1">
      <c r="B5" s="19" t="inlineStr">
        <is>
          <t>average cost per head = offshore x [senior x OFF_SR + (1-senior) x OFF_JM] + onshore x [senior x ON_SR + (1-senior) x ON_JM]</t>
        </is>
      </c>
    </row>
    <row r="7" ht="15" customHeight="1">
      <c r="A7" s="6" t="inlineStr">
        <is>
          <t>B.  TIER COST PARAMETERS  —  from the Year-5 roster</t>
        </is>
      </c>
    </row>
    <row r="8" ht="15" customHeight="1">
      <c r="B8" s="11" t="inlineStr">
        <is>
          <t>Tier</t>
        </is>
      </c>
      <c r="C8" s="11" t="inlineStr">
        <is>
          <t>Onshore Tokyo</t>
        </is>
      </c>
      <c r="D8" s="11" t="inlineStr">
        <is>
          <t>Offshore</t>
        </is>
      </c>
    </row>
    <row r="9" ht="15" customHeight="1">
      <c r="B9" s="10" t="inlineStr">
        <is>
          <t>Junior / mid  (E1-E3)</t>
        </is>
      </c>
      <c r="C9" s="56">
        <f>IFERROR((SUMIFS('Seat Ledger'!$N$5:$N$287,'Seat Ledger'!$B$5:$B$287,5,'Seat Ledger'!$I$5:$I$287,"ON",'Seat Ledger'!$H$5:$H$287,"E1") + SUMIFS('Seat Ledger'!$N$5:$N$287,'Seat Ledger'!$B$5:$B$287,5,'Seat Ledger'!$I$5:$I$287,"ON",'Seat Ledger'!$H$5:$H$287,"E2") + SUMIFS('Seat Ledger'!$N$5:$N$287,'Seat Ledger'!$B$5:$B$287,5,'Seat Ledger'!$I$5:$I$287,"ON",'Seat Ledger'!$H$5:$H$287,"E3"))/(SUMIFS('Seat Ledger'!$M$5:$M$287,'Seat Ledger'!$B$5:$B$287,5,'Seat Ledger'!$I$5:$I$287,"ON",'Seat Ledger'!$H$5:$H$287,"E1") + SUMIFS('Seat Ledger'!$M$5:$M$287,'Seat Ledger'!$B$5:$B$287,5,'Seat Ledger'!$I$5:$I$287,"ON",'Seat Ledger'!$H$5:$H$287,"E2") + SUMIFS('Seat Ledger'!$M$5:$M$287,'Seat Ledger'!$B$5:$B$287,5,'Seat Ledger'!$I$5:$I$287,"ON",'Seat Ledger'!$H$5:$H$287,"E3")),0)</f>
        <v/>
      </c>
      <c r="D9" s="56">
        <f>IFERROR((SUMIFS('Seat Ledger'!$N$5:$N$287,'Seat Ledger'!$B$5:$B$287,5,'Seat Ledger'!$I$5:$I$287,"OFF",'Seat Ledger'!$H$5:$H$287,"E1") + SUMIFS('Seat Ledger'!$N$5:$N$287,'Seat Ledger'!$B$5:$B$287,5,'Seat Ledger'!$I$5:$I$287,"OFF",'Seat Ledger'!$H$5:$H$287,"E2") + SUMIFS('Seat Ledger'!$N$5:$N$287,'Seat Ledger'!$B$5:$B$287,5,'Seat Ledger'!$I$5:$I$287,"OFF",'Seat Ledger'!$H$5:$H$287,"E3"))/(SUMIFS('Seat Ledger'!$M$5:$M$287,'Seat Ledger'!$B$5:$B$287,5,'Seat Ledger'!$I$5:$I$287,"OFF",'Seat Ledger'!$H$5:$H$287,"E1") + SUMIFS('Seat Ledger'!$M$5:$M$287,'Seat Ledger'!$B$5:$B$287,5,'Seat Ledger'!$I$5:$I$287,"OFF",'Seat Ledger'!$H$5:$H$287,"E2") + SUMIFS('Seat Ledger'!$M$5:$M$287,'Seat Ledger'!$B$5:$B$287,5,'Seat Ledger'!$I$5:$I$287,"OFF",'Seat Ledger'!$H$5:$H$287,"E3")),0)</f>
        <v/>
      </c>
    </row>
    <row r="10" ht="15" customHeight="1">
      <c r="B10" s="10" t="inlineStr">
        <is>
          <t>Senior  (E4-E5)</t>
        </is>
      </c>
      <c r="C10" s="56">
        <f>IFERROR((SUMIFS('Seat Ledger'!$N$5:$N$287,'Seat Ledger'!$B$5:$B$287,5,'Seat Ledger'!$I$5:$I$287,"ON",'Seat Ledger'!$H$5:$H$287,"E4") + SUMIFS('Seat Ledger'!$N$5:$N$287,'Seat Ledger'!$B$5:$B$287,5,'Seat Ledger'!$I$5:$I$287,"ON",'Seat Ledger'!$H$5:$H$287,"E5"))/(SUMIFS('Seat Ledger'!$M$5:$M$287,'Seat Ledger'!$B$5:$B$287,5,'Seat Ledger'!$I$5:$I$287,"ON",'Seat Ledger'!$H$5:$H$287,"E4") + SUMIFS('Seat Ledger'!$M$5:$M$287,'Seat Ledger'!$B$5:$B$287,5,'Seat Ledger'!$I$5:$I$287,"ON",'Seat Ledger'!$H$5:$H$287,"E5")),0)</f>
        <v/>
      </c>
      <c r="D10" s="56">
        <f>IFERROR((SUMIFS('Seat Ledger'!$N$5:$N$287,'Seat Ledger'!$B$5:$B$287,5,'Seat Ledger'!$I$5:$I$287,"OFF",'Seat Ledger'!$H$5:$H$287,"E4") + SUMIFS('Seat Ledger'!$N$5:$N$287,'Seat Ledger'!$B$5:$B$287,5,'Seat Ledger'!$I$5:$I$287,"OFF",'Seat Ledger'!$H$5:$H$287,"E5"))/(SUMIFS('Seat Ledger'!$M$5:$M$287,'Seat Ledger'!$B$5:$B$287,5,'Seat Ledger'!$I$5:$I$287,"OFF",'Seat Ledger'!$H$5:$H$287,"E4") + SUMIFS('Seat Ledger'!$M$5:$M$287,'Seat Ledger'!$B$5:$B$287,5,'Seat Ledger'!$I$5:$I$287,"OFF",'Seat Ledger'!$H$5:$H$287,"E5")),0)</f>
        <v/>
      </c>
    </row>
    <row r="12" ht="15" customHeight="1">
      <c r="A12" s="6" t="inlineStr">
        <is>
          <t>C.  BASE CASE</t>
        </is>
      </c>
    </row>
    <row r="13" ht="15" customHeight="1">
      <c r="B13" s="11" t="inlineStr">
        <is>
          <t>Measure</t>
        </is>
      </c>
      <c r="C13" s="11" t="inlineStr">
        <is>
          <t>Year 1</t>
        </is>
      </c>
      <c r="D13" s="11" t="inlineStr">
        <is>
          <t>Year 2</t>
        </is>
      </c>
      <c r="E13" s="11" t="inlineStr">
        <is>
          <t>Year 3</t>
        </is>
      </c>
      <c r="F13" s="11" t="inlineStr">
        <is>
          <t>Year 4</t>
        </is>
      </c>
      <c r="G13" s="11" t="inlineStr">
        <is>
          <t>Year 5</t>
        </is>
      </c>
    </row>
    <row r="14" ht="15" customHeight="1">
      <c r="B14" s="10" t="inlineStr">
        <is>
          <t>Delivered productivity</t>
        </is>
      </c>
      <c r="C14" s="20">
        <f>'Glidepath &amp; 50-50'!C25</f>
        <v/>
      </c>
      <c r="D14" s="20">
        <f>'Glidepath &amp; 50-50'!D25</f>
        <v/>
      </c>
      <c r="E14" s="20">
        <f>'Glidepath &amp; 50-50'!E25</f>
        <v/>
      </c>
      <c r="F14" s="20">
        <f>'Glidepath &amp; 50-50'!F25</f>
        <v/>
      </c>
      <c r="G14" s="20">
        <f>'Glidepath &amp; 50-50'!G25</f>
        <v/>
      </c>
    </row>
    <row r="15" ht="15" customHeight="1">
      <c r="B15" s="10" t="inlineStr">
        <is>
          <t>Whole-team offshore share</t>
        </is>
      </c>
      <c r="C15" s="20">
        <f>'Team Build-Up'!C54</f>
        <v/>
      </c>
      <c r="D15" s="20">
        <f>'Team Build-Up'!D54</f>
        <v/>
      </c>
      <c r="E15" s="20">
        <f>'Team Build-Up'!E54</f>
        <v/>
      </c>
      <c r="F15" s="20">
        <f>'Team Build-Up'!F54</f>
        <v/>
      </c>
      <c r="G15" s="20">
        <f>'Team Build-Up'!G54</f>
        <v/>
      </c>
    </row>
    <row r="16" ht="15" customHeight="1">
      <c r="B16" s="10" t="inlineStr">
        <is>
          <t>Senior share (E4+E5)</t>
        </is>
      </c>
      <c r="C16" s="20">
        <f>'Team Build-Up'!C76</f>
        <v/>
      </c>
      <c r="D16" s="20">
        <f>'Team Build-Up'!D76</f>
        <v/>
      </c>
      <c r="E16" s="20">
        <f>'Team Build-Up'!E76</f>
        <v/>
      </c>
      <c r="F16" s="20">
        <f>'Team Build-Up'!F76</f>
        <v/>
      </c>
      <c r="G16" s="20">
        <f>'Team Build-Up'!G76</f>
        <v/>
      </c>
    </row>
    <row r="17" ht="15" customHeight="1">
      <c r="B17" s="10" t="inlineStr">
        <is>
          <t>Agile share</t>
        </is>
      </c>
      <c r="C17" s="20">
        <f>'Delivery Mode'!C20</f>
        <v/>
      </c>
      <c r="D17" s="20">
        <f>'Delivery Mode'!D20</f>
        <v/>
      </c>
      <c r="E17" s="20">
        <f>'Delivery Mode'!E20</f>
        <v/>
      </c>
      <c r="F17" s="20">
        <f>'Delivery Mode'!F20</f>
        <v/>
      </c>
      <c r="G17" s="20">
        <f>'Delivery Mode'!G20</f>
        <v/>
      </c>
    </row>
    <row r="18" ht="15" customHeight="1">
      <c r="B18" s="22" t="inlineStr">
        <is>
          <t>Unit cost index — actual</t>
        </is>
      </c>
      <c r="C18" s="65">
        <f>'Cost &amp; Commercial'!C9</f>
        <v/>
      </c>
      <c r="D18" s="65">
        <f>'Cost &amp; Commercial'!D9</f>
        <v/>
      </c>
      <c r="E18" s="65">
        <f>'Cost &amp; Commercial'!E9</f>
        <v/>
      </c>
      <c r="F18" s="65">
        <f>'Cost &amp; Commercial'!F9</f>
        <v/>
      </c>
      <c r="G18" s="65">
        <f>'Cost &amp; Commercial'!G9</f>
        <v/>
      </c>
    </row>
    <row r="19" ht="15" customHeight="1">
      <c r="B19" s="10" t="inlineStr">
        <is>
          <t>Unit cost index — two-tier formula</t>
        </is>
      </c>
      <c r="C19" s="56">
        <f>(1-C14)*(C15*(C16*$D$10+(1-C16)*$D$9)+(1-C15)*(C16*$C$10+(1-C16)*$C$9))</f>
        <v/>
      </c>
      <c r="D19" s="56">
        <f>(1-D14)*(D15*(D16*$D$10+(1-D16)*$D$9)+(1-D15)*(D16*$C$10+(1-D16)*$C$9))</f>
        <v/>
      </c>
      <c r="E19" s="56">
        <f>(1-E14)*(E15*(E16*$D$10+(1-E16)*$D$9)+(1-E15)*(E16*$C$10+(1-E16)*$C$9))</f>
        <v/>
      </c>
      <c r="F19" s="56">
        <f>(1-F14)*(F15*(F16*$D$10+(1-F16)*$D$9)+(1-F15)*(F16*$C$10+(1-F16)*$C$9))</f>
        <v/>
      </c>
      <c r="G19" s="56">
        <f>(1-G14)*(G15*(G16*$D$10+(1-G16)*$D$9)+(1-G15)*(G16*$C$10+(1-G16)*$C$9))</f>
        <v/>
      </c>
    </row>
    <row r="20" ht="15" customHeight="1">
      <c r="B20" s="32" t="inlineStr">
        <is>
          <t>CALIBRATION  k  =  actual / formula, at Year 5</t>
        </is>
      </c>
      <c r="G20" s="66">
        <f>IF(G19=0,1,G18/G19)</f>
        <v/>
      </c>
    </row>
    <row r="22" ht="15" customHeight="1">
      <c r="A22" s="6" t="inlineStr">
        <is>
          <t>D.  GRID  —  offshore share x productivity, at the Year-5 senior share</t>
        </is>
      </c>
    </row>
    <row r="23" ht="15" customHeight="1">
      <c r="B23" s="11" t="inlineStr">
        <is>
          <t>Offshore v   Productivity &gt;</t>
        </is>
      </c>
      <c r="C23" s="67" t="n">
        <v>0.35</v>
      </c>
      <c r="D23" s="67" t="n">
        <v>0.4</v>
      </c>
      <c r="E23" s="67" t="n">
        <v>0.45</v>
      </c>
      <c r="F23" s="67" t="n">
        <v>0.5</v>
      </c>
      <c r="G23" s="67" t="n">
        <v>0.55</v>
      </c>
      <c r="H23" s="67" t="n">
        <v>0.6</v>
      </c>
    </row>
    <row r="24" ht="15" customHeight="1">
      <c r="B24" s="31" t="n">
        <v>0.45</v>
      </c>
      <c r="C24" s="56">
        <f>$G$20*(1-C$23)*($B24*($G$16*$D$10+(1-$G$16)*$D$9)+(1-$B24)*($G$16*$C$10+(1-$G$16)*$C$9))</f>
        <v/>
      </c>
      <c r="D24" s="56">
        <f>$G$20*(1-D$23)*($B24*($G$16*$D$10+(1-$G$16)*$D$9)+(1-$B24)*($G$16*$C$10+(1-$G$16)*$C$9))</f>
        <v/>
      </c>
      <c r="E24" s="56">
        <f>$G$20*(1-E$23)*($B24*($G$16*$D$10+(1-$G$16)*$D$9)+(1-$B24)*($G$16*$C$10+(1-$G$16)*$C$9))</f>
        <v/>
      </c>
      <c r="F24" s="56">
        <f>$G$20*(1-F$23)*($B24*($G$16*$D$10+(1-$G$16)*$D$9)+(1-$B24)*($G$16*$C$10+(1-$G$16)*$C$9))</f>
        <v/>
      </c>
      <c r="G24" s="56">
        <f>$G$20*(1-G$23)*($B24*($G$16*$D$10+(1-$G$16)*$D$9)+(1-$B24)*($G$16*$C$10+(1-$G$16)*$C$9))</f>
        <v/>
      </c>
      <c r="H24" s="56">
        <f>$G$20*(1-H$23)*($B24*($G$16*$D$10+(1-$G$16)*$D$9)+(1-$B24)*($G$16*$C$10+(1-$G$16)*$C$9))</f>
        <v/>
      </c>
    </row>
    <row r="25" ht="15" customHeight="1">
      <c r="B25" s="31" t="n">
        <v>0.55</v>
      </c>
      <c r="C25" s="56">
        <f>$G$20*(1-C$23)*($B25*($G$16*$D$10+(1-$G$16)*$D$9)+(1-$B25)*($G$16*$C$10+(1-$G$16)*$C$9))</f>
        <v/>
      </c>
      <c r="D25" s="56">
        <f>$G$20*(1-D$23)*($B25*($G$16*$D$10+(1-$G$16)*$D$9)+(1-$B25)*($G$16*$C$10+(1-$G$16)*$C$9))</f>
        <v/>
      </c>
      <c r="E25" s="56">
        <f>$G$20*(1-E$23)*($B25*($G$16*$D$10+(1-$G$16)*$D$9)+(1-$B25)*($G$16*$C$10+(1-$G$16)*$C$9))</f>
        <v/>
      </c>
      <c r="F25" s="56">
        <f>$G$20*(1-F$23)*($B25*($G$16*$D$10+(1-$G$16)*$D$9)+(1-$B25)*($G$16*$C$10+(1-$G$16)*$C$9))</f>
        <v/>
      </c>
      <c r="G25" s="56">
        <f>$G$20*(1-G$23)*($B25*($G$16*$D$10+(1-$G$16)*$D$9)+(1-$B25)*($G$16*$C$10+(1-$G$16)*$C$9))</f>
        <v/>
      </c>
      <c r="H25" s="56">
        <f>$G$20*(1-H$23)*($B25*($G$16*$D$10+(1-$G$16)*$D$9)+(1-$B25)*($G$16*$C$10+(1-$G$16)*$C$9))</f>
        <v/>
      </c>
    </row>
    <row r="26" ht="15" customHeight="1">
      <c r="B26" s="31" t="n">
        <v>0.65</v>
      </c>
      <c r="C26" s="56">
        <f>$G$20*(1-C$23)*($B26*($G$16*$D$10+(1-$G$16)*$D$9)+(1-$B26)*($G$16*$C$10+(1-$G$16)*$C$9))</f>
        <v/>
      </c>
      <c r="D26" s="56">
        <f>$G$20*(1-D$23)*($B26*($G$16*$D$10+(1-$G$16)*$D$9)+(1-$B26)*($G$16*$C$10+(1-$G$16)*$C$9))</f>
        <v/>
      </c>
      <c r="E26" s="56">
        <f>$G$20*(1-E$23)*($B26*($G$16*$D$10+(1-$G$16)*$D$9)+(1-$B26)*($G$16*$C$10+(1-$G$16)*$C$9))</f>
        <v/>
      </c>
      <c r="F26" s="56">
        <f>$G$20*(1-F$23)*($B26*($G$16*$D$10+(1-$G$16)*$D$9)+(1-$B26)*($G$16*$C$10+(1-$G$16)*$C$9))</f>
        <v/>
      </c>
      <c r="G26" s="56">
        <f>$G$20*(1-G$23)*($B26*($G$16*$D$10+(1-$G$16)*$D$9)+(1-$B26)*($G$16*$C$10+(1-$G$16)*$C$9))</f>
        <v/>
      </c>
      <c r="H26" s="56">
        <f>$G$20*(1-H$23)*($B26*($G$16*$D$10+(1-$G$16)*$D$9)+(1-$B26)*($G$16*$C$10+(1-$G$16)*$C$9))</f>
        <v/>
      </c>
    </row>
    <row r="27" ht="15" customHeight="1">
      <c r="B27" s="31" t="n">
        <v>0.75</v>
      </c>
      <c r="C27" s="56">
        <f>$G$20*(1-C$23)*($B27*($G$16*$D$10+(1-$G$16)*$D$9)+(1-$B27)*($G$16*$C$10+(1-$G$16)*$C$9))</f>
        <v/>
      </c>
      <c r="D27" s="56">
        <f>$G$20*(1-D$23)*($B27*($G$16*$D$10+(1-$G$16)*$D$9)+(1-$B27)*($G$16*$C$10+(1-$G$16)*$C$9))</f>
        <v/>
      </c>
      <c r="E27" s="56">
        <f>$G$20*(1-E$23)*($B27*($G$16*$D$10+(1-$G$16)*$D$9)+(1-$B27)*($G$16*$C$10+(1-$G$16)*$C$9))</f>
        <v/>
      </c>
      <c r="F27" s="56">
        <f>$G$20*(1-F$23)*($B27*($G$16*$D$10+(1-$G$16)*$D$9)+(1-$B27)*($G$16*$C$10+(1-$G$16)*$C$9))</f>
        <v/>
      </c>
      <c r="G27" s="56">
        <f>$G$20*(1-G$23)*($B27*($G$16*$D$10+(1-$G$16)*$D$9)+(1-$B27)*($G$16*$C$10+(1-$G$16)*$C$9))</f>
        <v/>
      </c>
      <c r="H27" s="56">
        <f>$G$20*(1-H$23)*($B27*($G$16*$D$10+(1-$G$16)*$D$9)+(1-$B27)*($G$16*$C$10+(1-$G$16)*$C$9))</f>
        <v/>
      </c>
    </row>
    <row r="28" ht="15" customHeight="1">
      <c r="B28" s="31" t="n">
        <v>0.85</v>
      </c>
      <c r="C28" s="56">
        <f>$G$20*(1-C$23)*($B28*($G$16*$D$10+(1-$G$16)*$D$9)+(1-$B28)*($G$16*$C$10+(1-$G$16)*$C$9))</f>
        <v/>
      </c>
      <c r="D28" s="56">
        <f>$G$20*(1-D$23)*($B28*($G$16*$D$10+(1-$G$16)*$D$9)+(1-$B28)*($G$16*$C$10+(1-$G$16)*$C$9))</f>
        <v/>
      </c>
      <c r="E28" s="56">
        <f>$G$20*(1-E$23)*($B28*($G$16*$D$10+(1-$G$16)*$D$9)+(1-$B28)*($G$16*$C$10+(1-$G$16)*$C$9))</f>
        <v/>
      </c>
      <c r="F28" s="56">
        <f>$G$20*(1-F$23)*($B28*($G$16*$D$10+(1-$G$16)*$D$9)+(1-$B28)*($G$16*$C$10+(1-$G$16)*$C$9))</f>
        <v/>
      </c>
      <c r="G28" s="56">
        <f>$G$20*(1-G$23)*($B28*($G$16*$D$10+(1-$G$16)*$D$9)+(1-$B28)*($G$16*$C$10+(1-$G$16)*$C$9))</f>
        <v/>
      </c>
      <c r="H28" s="56">
        <f>$G$20*(1-H$23)*($B28*($G$16*$D$10+(1-$G$16)*$D$9)+(1-$B28)*($G$16*$C$10+(1-$G$16)*$C$9))</f>
        <v/>
      </c>
    </row>
    <row r="30" ht="15" customHeight="1">
      <c r="A30" s="6" t="inlineStr">
        <is>
          <t>E.  TORNADO  —  one lever at a time, +/- 10 points from the Year-5 base</t>
        </is>
      </c>
    </row>
    <row r="31" ht="15" customHeight="1">
      <c r="B31" s="11" t="inlineStr">
        <is>
          <t>Lever</t>
        </is>
      </c>
      <c r="C31" s="11" t="inlineStr">
        <is>
          <t>-10 points</t>
        </is>
      </c>
      <c r="D31" s="11" t="inlineStr">
        <is>
          <t>Base</t>
        </is>
      </c>
      <c r="E31" s="11" t="inlineStr">
        <is>
          <t>+10 points</t>
        </is>
      </c>
      <c r="F31" s="11" t="inlineStr">
        <is>
          <t>Swing</t>
        </is>
      </c>
      <c r="G31" s="11" t="inlineStr">
        <is>
          <t>Reading</t>
        </is>
      </c>
    </row>
    <row r="32" ht="27.75" customHeight="1">
      <c r="B32" s="9" t="inlineStr">
        <is>
          <t>Productivity</t>
        </is>
      </c>
      <c r="C32" s="56">
        <f>$G$20*(1-($G$14-0.1))*(($G$15)*(($G$16)*$D$10+(1-($G$16))*$D$9)+(1-($G$15))*(($G$16)*$C$10+(1-($G$16))*$C$9))</f>
        <v/>
      </c>
      <c r="D32" s="56">
        <f>$G$20*(1-($G$14))*(($G$15)*(($G$16)*$D$10+(1-($G$16))*$D$9)+(1-($G$15))*(($G$16)*$C$10+(1-($G$16))*$C$9))</f>
        <v/>
      </c>
      <c r="E32" s="56">
        <f>$G$20*(1-($G$14+0.1))*(($G$15)*(($G$16)*$D$10+(1-($G$16))*$D$9)+(1-($G$15))*(($G$16)*$C$10+(1-($G$16))*$C$9))</f>
        <v/>
      </c>
      <c r="F32" s="65">
        <f>ABS(E32-C32)</f>
        <v/>
      </c>
      <c r="G32" s="13" t="inlineStr">
        <is>
          <t>Scales unit cost one for one. The only linear lever.</t>
        </is>
      </c>
    </row>
    <row r="33" ht="54.75" customHeight="1">
      <c r="B33" s="9" t="inlineStr">
        <is>
          <t>Offshore share</t>
        </is>
      </c>
      <c r="C33" s="56">
        <f>$G$20*(1-($G$14))*(($G$15-0.1)*(($G$16)*$D$10+(1-($G$16))*$D$9)+(1-($G$15-0.1))*(($G$16)*$C$10+(1-($G$16))*$C$9))</f>
        <v/>
      </c>
      <c r="D33" s="56">
        <f>$G$20*(1-($G$14))*(($G$15)*(($G$16)*$D$10+(1-($G$16))*$D$9)+(1-($G$15))*(($G$16)*$C$10+(1-($G$16))*$C$9))</f>
        <v/>
      </c>
      <c r="E33" s="56">
        <f>$G$20*(1-($G$14))*(($G$15+0.1)*(($G$16)*$D$10+(1-($G$16))*$D$9)+(1-($G$15+0.1))*(($G$16)*$C$10+(1-($G$16))*$C$9))</f>
        <v/>
      </c>
      <c r="F33" s="65">
        <f>ABS(E33-C33)</f>
        <v/>
      </c>
      <c r="G33" s="13" t="inlineStr">
        <is>
          <t>Second largest — and now bounded by a measured start rather than an assumed one.</t>
        </is>
      </c>
    </row>
    <row r="34" ht="54.75" customHeight="1">
      <c r="B34" s="9" t="inlineStr">
        <is>
          <t>Senior share</t>
        </is>
      </c>
      <c r="C34" s="56">
        <f>$G$20*(1-($G$14))*(($G$15)*(($G$16-0.1)*$D$10+(1-($G$16-0.1))*$D$9)+(1-($G$15))*(($G$16-0.1)*$C$10+(1-($G$16-0.1))*$C$9))</f>
        <v/>
      </c>
      <c r="D34" s="56">
        <f>$G$20*(1-($G$14))*(($G$15)*(($G$16)*$D$10+(1-($G$16))*$D$9)+(1-($G$15))*(($G$16)*$C$10+(1-($G$16))*$C$9))</f>
        <v/>
      </c>
      <c r="E34" s="56">
        <f>$G$20*(1-($G$14))*(($G$15)*(($G$16+0.1)*$D$10+(1-($G$16+0.1))*$D$9)+(1-($G$15))*(($G$16+0.1)*$C$10+(1-($G$16+0.1))*$C$9))</f>
        <v/>
      </c>
      <c r="F34" s="65">
        <f>ABS(E34-C34)</f>
        <v/>
      </c>
      <c r="G34" s="13" t="inlineStr">
        <is>
          <t>Works against the other two. A richer shape gives back part of what offshore wins.</t>
        </is>
      </c>
    </row>
    <row r="35" ht="48" customHeight="1">
      <c r="B35" s="32" t="inlineStr">
        <is>
          <t>Agile conversion — the fourth lever</t>
        </is>
      </c>
      <c r="G35" s="13" t="inlineStr">
        <is>
          <t>Not a direct term in the unit-cost formula. It works through productivity: the operating-model component is scaled by the agile share, so a one-year slip in the conversion costs about 5 points of Year-2 capability and roughly 0.05 of the unit cost index. It is the lever with the longest lead time and the least evidence behind it.</t>
        </is>
      </c>
    </row>
    <row r="37" ht="18.75" customHeight="1">
      <c r="B37" s="19" t="inlineStr">
        <is>
          <t>Swings are full 20-point ranges. Halve them for a per-ten-point read.</t>
        </is>
      </c>
    </row>
  </sheetData>
  <mergeCells count="7">
    <mergeCell ref="A22:K22"/>
    <mergeCell ref="A2:L2"/>
    <mergeCell ref="A12:K12"/>
    <mergeCell ref="A4:K4"/>
    <mergeCell ref="A30:K30"/>
    <mergeCell ref="A7:K7"/>
    <mergeCell ref="A1:L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2026-09-17T13:20:31Z</dcterms:created>
  <dcterms:modified xmlns:dcterms="http://purl.org/dc/terms/" xmlns:xsi="http://www.w3.org/2001/XMLSchema-instance" xsi:type="dcterms:W3CDTF">2026-09-18T02:56:57Z</dcterms:modified>
  <cp:lastModifiedBy>Prasad, Mukesh Kumar</cp:lastModifiedBy>
  <cp:revision>0</cp:revision>
</cp:coreProperties>
</file>