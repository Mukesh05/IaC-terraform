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.sharepoint.com/sites/MetLifeJapanOnsiteSIConsolidation/Shared Documents/Root/RFP/5_WIP Response/Estimates/"/>
    </mc:Choice>
  </mc:AlternateContent>
  <xr:revisionPtr revIDLastSave="240" documentId="13_ncr:1_{A5709BB8-D76D-4C79-A85E-DFE96D720400}" xr6:coauthVersionLast="47" xr6:coauthVersionMax="47" xr10:uidLastSave="{8EFCF859-34FD-4F4A-8888-5FA5D042E566}"/>
  <bookViews>
    <workbookView xWindow="-110" yWindow="-110" windowWidth="19420" windowHeight="10300" firstSheet="8" activeTab="11" xr2:uid="{00000000-000D-0000-FFFF-FFFF00000000}"/>
  </bookViews>
  <sheets>
    <sheet name="README" sheetId="1" r:id="rId1"/>
    <sheet name="Logic Tree" sheetId="2" r:id="rId2"/>
    <sheet name="Inventory" sheetId="3" r:id="rId3"/>
    <sheet name="Value Streams" sheetId="4" r:id="rId4"/>
    <sheet name="Pod Library" sheetId="5" r:id="rId5"/>
    <sheet name="Pod Plan" sheetId="6" r:id="rId6"/>
    <sheet name="Horizontal Teams" sheetId="7" r:id="rId7"/>
    <sheet name="Team Build-Up" sheetId="8" r:id="rId8"/>
    <sheet name="Glidepath &amp; 50-50" sheetId="9" r:id="rId9"/>
    <sheet name="Cost &amp; Commercial" sheetId="10" r:id="rId10"/>
    <sheet name="Unit Cost Sensitivity" sheetId="11" r:id="rId11"/>
    <sheet name="Seat Ledger" sheetId="12" r:id="rId12"/>
  </sheets>
  <definedNames>
    <definedName name="_xlnm._FilterDatabase" localSheetId="2" hidden="1">Inventory!$A$4:$AH$4</definedName>
    <definedName name="_xlnm._FilterDatabase" localSheetId="4" hidden="1">'Pod Library'!$A$4:$K$13</definedName>
    <definedName name="_xlnm._FilterDatabase" localSheetId="11" hidden="1">'Seat Ledger'!$A$4:$N$138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1" i="12" l="1"/>
  <c r="J129" i="12" l="1"/>
  <c r="L129" i="12" s="1"/>
  <c r="M129" i="12" s="1"/>
  <c r="I129" i="12"/>
  <c r="H129" i="12"/>
  <c r="G129" i="12"/>
  <c r="F129" i="12"/>
  <c r="E129" i="12"/>
  <c r="C129" i="12"/>
  <c r="A129" i="12"/>
  <c r="J114" i="12"/>
  <c r="L114" i="12" s="1"/>
  <c r="M114" i="12" s="1"/>
  <c r="I114" i="12"/>
  <c r="H114" i="12"/>
  <c r="G114" i="12"/>
  <c r="F114" i="12"/>
  <c r="E114" i="12"/>
  <c r="C114" i="12"/>
  <c r="A114" i="12"/>
  <c r="J98" i="12"/>
  <c r="L98" i="12" s="1"/>
  <c r="I98" i="12"/>
  <c r="H98" i="12"/>
  <c r="G98" i="12"/>
  <c r="F98" i="12"/>
  <c r="E98" i="12"/>
  <c r="C98" i="12"/>
  <c r="A98" i="12"/>
  <c r="J30" i="7"/>
  <c r="J50" i="7"/>
  <c r="E104" i="12"/>
  <c r="J86" i="12"/>
  <c r="I86" i="12"/>
  <c r="H86" i="12"/>
  <c r="G86" i="12"/>
  <c r="F86" i="12"/>
  <c r="E86" i="12"/>
  <c r="K86" i="12"/>
  <c r="E92" i="12"/>
  <c r="E93" i="12"/>
  <c r="J92" i="12"/>
  <c r="I92" i="12"/>
  <c r="H92" i="12"/>
  <c r="G92" i="12"/>
  <c r="F92" i="12"/>
  <c r="K93" i="12"/>
  <c r="J93" i="12"/>
  <c r="I93" i="12"/>
  <c r="H93" i="12"/>
  <c r="G93" i="12"/>
  <c r="F93" i="12"/>
  <c r="J10" i="7"/>
  <c r="M98" i="12" l="1"/>
  <c r="L86" i="12"/>
  <c r="M86" i="12" s="1"/>
  <c r="L93" i="12"/>
  <c r="M93" i="12" s="1"/>
  <c r="K13" i="5"/>
  <c r="E32" i="12"/>
  <c r="J5" i="4"/>
  <c r="J6" i="4"/>
  <c r="J80" i="2"/>
  <c r="J138" i="12"/>
  <c r="L138" i="12" s="1"/>
  <c r="I138" i="12"/>
  <c r="H138" i="12"/>
  <c r="G138" i="12"/>
  <c r="F138" i="12"/>
  <c r="E138" i="12"/>
  <c r="C138" i="12"/>
  <c r="A138" i="12"/>
  <c r="J137" i="12"/>
  <c r="L137" i="12" s="1"/>
  <c r="I137" i="12"/>
  <c r="H137" i="12"/>
  <c r="G137" i="12"/>
  <c r="F137" i="12"/>
  <c r="E137" i="12"/>
  <c r="C137" i="12"/>
  <c r="A137" i="12"/>
  <c r="J136" i="12"/>
  <c r="L136" i="12" s="1"/>
  <c r="I136" i="12"/>
  <c r="H136" i="12"/>
  <c r="G136" i="12"/>
  <c r="F136" i="12"/>
  <c r="E136" i="12"/>
  <c r="C136" i="12"/>
  <c r="A136" i="12"/>
  <c r="J135" i="12"/>
  <c r="L135" i="12" s="1"/>
  <c r="I135" i="12"/>
  <c r="H135" i="12"/>
  <c r="G135" i="12"/>
  <c r="F135" i="12"/>
  <c r="E135" i="12"/>
  <c r="C135" i="12"/>
  <c r="A135" i="12"/>
  <c r="J134" i="12"/>
  <c r="L134" i="12" s="1"/>
  <c r="I134" i="12"/>
  <c r="H134" i="12"/>
  <c r="G134" i="12"/>
  <c r="F134" i="12"/>
  <c r="E134" i="12"/>
  <c r="C134" i="12"/>
  <c r="A134" i="12"/>
  <c r="J133" i="12"/>
  <c r="L133" i="12" s="1"/>
  <c r="I133" i="12"/>
  <c r="H133" i="12"/>
  <c r="G133" i="12"/>
  <c r="F133" i="12"/>
  <c r="E133" i="12"/>
  <c r="C133" i="12"/>
  <c r="A133" i="12"/>
  <c r="J132" i="12"/>
  <c r="L132" i="12" s="1"/>
  <c r="I132" i="12"/>
  <c r="H132" i="12"/>
  <c r="G132" i="12"/>
  <c r="F132" i="12"/>
  <c r="E132" i="12"/>
  <c r="C132" i="12"/>
  <c r="A132" i="12"/>
  <c r="J131" i="12"/>
  <c r="L131" i="12" s="1"/>
  <c r="I131" i="12"/>
  <c r="H131" i="12"/>
  <c r="G131" i="12"/>
  <c r="F131" i="12"/>
  <c r="C131" i="12"/>
  <c r="A131" i="12"/>
  <c r="J130" i="12"/>
  <c r="L130" i="12" s="1"/>
  <c r="I130" i="12"/>
  <c r="H130" i="12"/>
  <c r="G130" i="12"/>
  <c r="F130" i="12"/>
  <c r="E130" i="12"/>
  <c r="C130" i="12"/>
  <c r="A130" i="12"/>
  <c r="J128" i="12"/>
  <c r="L128" i="12" s="1"/>
  <c r="I128" i="12"/>
  <c r="H128" i="12"/>
  <c r="G128" i="12"/>
  <c r="F128" i="12"/>
  <c r="E128" i="12"/>
  <c r="C128" i="12"/>
  <c r="A128" i="12"/>
  <c r="J127" i="12"/>
  <c r="L127" i="12" s="1"/>
  <c r="I127" i="12"/>
  <c r="H127" i="12"/>
  <c r="G127" i="12"/>
  <c r="F127" i="12"/>
  <c r="E127" i="12"/>
  <c r="C127" i="12"/>
  <c r="A127" i="12"/>
  <c r="J126" i="12"/>
  <c r="L126" i="12" s="1"/>
  <c r="I126" i="12"/>
  <c r="H126" i="12"/>
  <c r="G126" i="12"/>
  <c r="F126" i="12"/>
  <c r="E126" i="12"/>
  <c r="C126" i="12"/>
  <c r="A126" i="12"/>
  <c r="J125" i="12"/>
  <c r="L125" i="12" s="1"/>
  <c r="I125" i="12"/>
  <c r="H125" i="12"/>
  <c r="G125" i="12"/>
  <c r="F125" i="12"/>
  <c r="E125" i="12"/>
  <c r="C125" i="12"/>
  <c r="A125" i="12"/>
  <c r="J124" i="12"/>
  <c r="L124" i="12" s="1"/>
  <c r="I124" i="12"/>
  <c r="H124" i="12"/>
  <c r="G124" i="12"/>
  <c r="F124" i="12"/>
  <c r="E124" i="12"/>
  <c r="C124" i="12"/>
  <c r="A124" i="12"/>
  <c r="J123" i="12"/>
  <c r="L123" i="12" s="1"/>
  <c r="I123" i="12"/>
  <c r="H123" i="12"/>
  <c r="G123" i="12"/>
  <c r="F123" i="12"/>
  <c r="E123" i="12"/>
  <c r="C123" i="12"/>
  <c r="A123" i="12"/>
  <c r="J122" i="12"/>
  <c r="L122" i="12" s="1"/>
  <c r="I122" i="12"/>
  <c r="H122" i="12"/>
  <c r="G122" i="12"/>
  <c r="F122" i="12"/>
  <c r="E122" i="12"/>
  <c r="C122" i="12"/>
  <c r="A122" i="12"/>
  <c r="J121" i="12"/>
  <c r="L121" i="12" s="1"/>
  <c r="I121" i="12"/>
  <c r="H121" i="12"/>
  <c r="G121" i="12"/>
  <c r="F121" i="12"/>
  <c r="E121" i="12"/>
  <c r="C121" i="12"/>
  <c r="A121" i="12"/>
  <c r="J120" i="12"/>
  <c r="L120" i="12" s="1"/>
  <c r="I120" i="12"/>
  <c r="H120" i="12"/>
  <c r="G120" i="12"/>
  <c r="F120" i="12"/>
  <c r="E120" i="12"/>
  <c r="C120" i="12"/>
  <c r="A120" i="12"/>
  <c r="J119" i="12"/>
  <c r="L119" i="12" s="1"/>
  <c r="I119" i="12"/>
  <c r="H119" i="12"/>
  <c r="G119" i="12"/>
  <c r="F119" i="12"/>
  <c r="E119" i="12"/>
  <c r="C119" i="12"/>
  <c r="A119" i="12"/>
  <c r="J118" i="12"/>
  <c r="L118" i="12" s="1"/>
  <c r="I118" i="12"/>
  <c r="H118" i="12"/>
  <c r="G118" i="12"/>
  <c r="F118" i="12"/>
  <c r="E118" i="12"/>
  <c r="C118" i="12"/>
  <c r="A118" i="12"/>
  <c r="J117" i="12"/>
  <c r="L117" i="12" s="1"/>
  <c r="I117" i="12"/>
  <c r="H117" i="12"/>
  <c r="G117" i="12"/>
  <c r="F117" i="12"/>
  <c r="E117" i="12"/>
  <c r="C117" i="12"/>
  <c r="A117" i="12"/>
  <c r="J116" i="12"/>
  <c r="L116" i="12" s="1"/>
  <c r="I116" i="12"/>
  <c r="H116" i="12"/>
  <c r="G116" i="12"/>
  <c r="F116" i="12"/>
  <c r="E116" i="12"/>
  <c r="C116" i="12"/>
  <c r="A116" i="12"/>
  <c r="J115" i="12"/>
  <c r="L115" i="12" s="1"/>
  <c r="I115" i="12"/>
  <c r="H115" i="12"/>
  <c r="G115" i="12"/>
  <c r="F115" i="12"/>
  <c r="E115" i="12"/>
  <c r="C115" i="12"/>
  <c r="A115" i="12"/>
  <c r="J113" i="12"/>
  <c r="L113" i="12" s="1"/>
  <c r="I113" i="12"/>
  <c r="H113" i="12"/>
  <c r="G113" i="12"/>
  <c r="F113" i="12"/>
  <c r="E113" i="12"/>
  <c r="C113" i="12"/>
  <c r="A113" i="12"/>
  <c r="J112" i="12"/>
  <c r="L112" i="12" s="1"/>
  <c r="I112" i="12"/>
  <c r="H112" i="12"/>
  <c r="G112" i="12"/>
  <c r="F112" i="12"/>
  <c r="E112" i="12"/>
  <c r="C112" i="12"/>
  <c r="A112" i="12"/>
  <c r="J111" i="12"/>
  <c r="L111" i="12" s="1"/>
  <c r="I111" i="12"/>
  <c r="H111" i="12"/>
  <c r="G111" i="12"/>
  <c r="F111" i="12"/>
  <c r="E111" i="12"/>
  <c r="C111" i="12"/>
  <c r="A111" i="12"/>
  <c r="J110" i="12"/>
  <c r="L110" i="12" s="1"/>
  <c r="I110" i="12"/>
  <c r="H110" i="12"/>
  <c r="G110" i="12"/>
  <c r="F110" i="12"/>
  <c r="E110" i="12"/>
  <c r="C110" i="12"/>
  <c r="A110" i="12"/>
  <c r="J109" i="12"/>
  <c r="L109" i="12" s="1"/>
  <c r="I109" i="12"/>
  <c r="H109" i="12"/>
  <c r="G109" i="12"/>
  <c r="F109" i="12"/>
  <c r="E109" i="12"/>
  <c r="C109" i="12"/>
  <c r="A109" i="12"/>
  <c r="J108" i="12"/>
  <c r="L108" i="12" s="1"/>
  <c r="I108" i="12"/>
  <c r="H108" i="12"/>
  <c r="G108" i="12"/>
  <c r="F108" i="12"/>
  <c r="E108" i="12"/>
  <c r="C108" i="12"/>
  <c r="A108" i="12"/>
  <c r="J107" i="12"/>
  <c r="L107" i="12" s="1"/>
  <c r="I107" i="12"/>
  <c r="H107" i="12"/>
  <c r="G107" i="12"/>
  <c r="F107" i="12"/>
  <c r="E107" i="12"/>
  <c r="C107" i="12"/>
  <c r="A107" i="12"/>
  <c r="J106" i="12"/>
  <c r="L106" i="12" s="1"/>
  <c r="I106" i="12"/>
  <c r="H106" i="12"/>
  <c r="G106" i="12"/>
  <c r="F106" i="12"/>
  <c r="E106" i="12"/>
  <c r="C106" i="12"/>
  <c r="A106" i="12"/>
  <c r="J105" i="12"/>
  <c r="L105" i="12" s="1"/>
  <c r="I105" i="12"/>
  <c r="H105" i="12"/>
  <c r="G105" i="12"/>
  <c r="F105" i="12"/>
  <c r="E105" i="12"/>
  <c r="C105" i="12"/>
  <c r="A105" i="12"/>
  <c r="J104" i="12"/>
  <c r="L104" i="12" s="1"/>
  <c r="I104" i="12"/>
  <c r="H104" i="12"/>
  <c r="G104" i="12"/>
  <c r="F104" i="12"/>
  <c r="C104" i="12"/>
  <c r="A104" i="12"/>
  <c r="J103" i="12"/>
  <c r="L103" i="12" s="1"/>
  <c r="I103" i="12"/>
  <c r="H103" i="12"/>
  <c r="G103" i="12"/>
  <c r="F103" i="12"/>
  <c r="E103" i="12"/>
  <c r="C103" i="12"/>
  <c r="A103" i="12"/>
  <c r="J102" i="12"/>
  <c r="L102" i="12" s="1"/>
  <c r="I102" i="12"/>
  <c r="H102" i="12"/>
  <c r="G102" i="12"/>
  <c r="F102" i="12"/>
  <c r="E102" i="12"/>
  <c r="C102" i="12"/>
  <c r="A102" i="12"/>
  <c r="J101" i="12"/>
  <c r="L101" i="12" s="1"/>
  <c r="I101" i="12"/>
  <c r="H101" i="12"/>
  <c r="G101" i="12"/>
  <c r="F101" i="12"/>
  <c r="E101" i="12"/>
  <c r="C101" i="12"/>
  <c r="A101" i="12"/>
  <c r="J100" i="12"/>
  <c r="L100" i="12" s="1"/>
  <c r="I100" i="12"/>
  <c r="H100" i="12"/>
  <c r="G100" i="12"/>
  <c r="F100" i="12"/>
  <c r="E100" i="12"/>
  <c r="C100" i="12"/>
  <c r="A100" i="12"/>
  <c r="J99" i="12"/>
  <c r="L99" i="12" s="1"/>
  <c r="I99" i="12"/>
  <c r="H99" i="12"/>
  <c r="G99" i="12"/>
  <c r="F99" i="12"/>
  <c r="E99" i="12"/>
  <c r="C99" i="12"/>
  <c r="A99" i="12"/>
  <c r="J97" i="12"/>
  <c r="L97" i="12" s="1"/>
  <c r="I97" i="12"/>
  <c r="H97" i="12"/>
  <c r="G97" i="12"/>
  <c r="F97" i="12"/>
  <c r="E97" i="12"/>
  <c r="C97" i="12"/>
  <c r="A97" i="12"/>
  <c r="J96" i="12"/>
  <c r="L96" i="12" s="1"/>
  <c r="I96" i="12"/>
  <c r="H96" i="12"/>
  <c r="G96" i="12"/>
  <c r="F96" i="12"/>
  <c r="E96" i="12"/>
  <c r="C96" i="12"/>
  <c r="A96" i="12"/>
  <c r="J95" i="12"/>
  <c r="L95" i="12" s="1"/>
  <c r="I95" i="12"/>
  <c r="H95" i="12"/>
  <c r="G95" i="12"/>
  <c r="F95" i="12"/>
  <c r="E95" i="12"/>
  <c r="C95" i="12"/>
  <c r="A95" i="12"/>
  <c r="K94" i="12"/>
  <c r="J94" i="12"/>
  <c r="I94" i="12"/>
  <c r="H94" i="12"/>
  <c r="G94" i="12"/>
  <c r="F94" i="12"/>
  <c r="E94" i="12"/>
  <c r="K92" i="12"/>
  <c r="K91" i="12"/>
  <c r="J91" i="12"/>
  <c r="I91" i="12"/>
  <c r="H91" i="12"/>
  <c r="G91" i="12"/>
  <c r="F91" i="12"/>
  <c r="E91" i="12"/>
  <c r="K90" i="12"/>
  <c r="J90" i="12"/>
  <c r="I90" i="12"/>
  <c r="H90" i="12"/>
  <c r="G90" i="12"/>
  <c r="F90" i="12"/>
  <c r="E90" i="12"/>
  <c r="K89" i="12"/>
  <c r="J89" i="12"/>
  <c r="I89" i="12"/>
  <c r="H89" i="12"/>
  <c r="G89" i="12"/>
  <c r="F89" i="12"/>
  <c r="E89" i="12"/>
  <c r="K88" i="12"/>
  <c r="J88" i="12"/>
  <c r="I88" i="12"/>
  <c r="H88" i="12"/>
  <c r="G88" i="12"/>
  <c r="F88" i="12"/>
  <c r="E88" i="12"/>
  <c r="K87" i="12"/>
  <c r="J87" i="12"/>
  <c r="I87" i="12"/>
  <c r="H87" i="12"/>
  <c r="G87" i="12"/>
  <c r="F87" i="12"/>
  <c r="E87" i="12"/>
  <c r="K85" i="12"/>
  <c r="J85" i="12"/>
  <c r="I85" i="12"/>
  <c r="H85" i="12"/>
  <c r="G85" i="12"/>
  <c r="F85" i="12"/>
  <c r="E85" i="12"/>
  <c r="K84" i="12"/>
  <c r="J84" i="12"/>
  <c r="I84" i="12"/>
  <c r="H84" i="12"/>
  <c r="G84" i="12"/>
  <c r="F84" i="12"/>
  <c r="E84" i="12"/>
  <c r="K83" i="12"/>
  <c r="J83" i="12"/>
  <c r="I83" i="12"/>
  <c r="H83" i="12"/>
  <c r="G83" i="12"/>
  <c r="F83" i="12"/>
  <c r="E83" i="12"/>
  <c r="K82" i="12"/>
  <c r="J82" i="12"/>
  <c r="I82" i="12"/>
  <c r="H82" i="12"/>
  <c r="G82" i="12"/>
  <c r="F82" i="12"/>
  <c r="E82" i="12"/>
  <c r="K81" i="12"/>
  <c r="J81" i="12"/>
  <c r="I81" i="12"/>
  <c r="H81" i="12"/>
  <c r="G81" i="12"/>
  <c r="F81" i="12"/>
  <c r="E81" i="12"/>
  <c r="K80" i="12"/>
  <c r="J80" i="12"/>
  <c r="I80" i="12"/>
  <c r="H80" i="12"/>
  <c r="G80" i="12"/>
  <c r="F80" i="12"/>
  <c r="E80" i="12"/>
  <c r="K79" i="12"/>
  <c r="J79" i="12"/>
  <c r="I79" i="12"/>
  <c r="H79" i="12"/>
  <c r="G79" i="12"/>
  <c r="F79" i="12"/>
  <c r="E79" i="12"/>
  <c r="K78" i="12"/>
  <c r="J78" i="12"/>
  <c r="I78" i="12"/>
  <c r="H78" i="12"/>
  <c r="G78" i="12"/>
  <c r="F78" i="12"/>
  <c r="E78" i="12"/>
  <c r="K77" i="12"/>
  <c r="J77" i="12"/>
  <c r="I77" i="12"/>
  <c r="H77" i="12"/>
  <c r="G77" i="12"/>
  <c r="F77" i="12"/>
  <c r="E77" i="12"/>
  <c r="K76" i="12"/>
  <c r="J76" i="12"/>
  <c r="I76" i="12"/>
  <c r="H76" i="12"/>
  <c r="G76" i="12"/>
  <c r="F76" i="12"/>
  <c r="E76" i="12"/>
  <c r="K75" i="12"/>
  <c r="J75" i="12"/>
  <c r="I75" i="12"/>
  <c r="H75" i="12"/>
  <c r="G75" i="12"/>
  <c r="F75" i="12"/>
  <c r="E75" i="12"/>
  <c r="K74" i="12"/>
  <c r="J74" i="12"/>
  <c r="I74" i="12"/>
  <c r="H74" i="12"/>
  <c r="G74" i="12"/>
  <c r="F74" i="12"/>
  <c r="E74" i="12"/>
  <c r="K73" i="12"/>
  <c r="J73" i="12"/>
  <c r="I73" i="12"/>
  <c r="H73" i="12"/>
  <c r="G73" i="12"/>
  <c r="F73" i="12"/>
  <c r="E73" i="12"/>
  <c r="K72" i="12"/>
  <c r="J72" i="12"/>
  <c r="I72" i="12"/>
  <c r="H72" i="12"/>
  <c r="G72" i="12"/>
  <c r="F72" i="12"/>
  <c r="E72" i="12"/>
  <c r="K71" i="12"/>
  <c r="J71" i="12"/>
  <c r="I71" i="12"/>
  <c r="H71" i="12"/>
  <c r="G71" i="12"/>
  <c r="F71" i="12"/>
  <c r="E71" i="12"/>
  <c r="K70" i="12"/>
  <c r="J70" i="12"/>
  <c r="I70" i="12"/>
  <c r="H70" i="12"/>
  <c r="G70" i="12"/>
  <c r="F70" i="12"/>
  <c r="E70" i="12"/>
  <c r="K69" i="12"/>
  <c r="J69" i="12"/>
  <c r="I69" i="12"/>
  <c r="H69" i="12"/>
  <c r="G69" i="12"/>
  <c r="F69" i="12"/>
  <c r="E69" i="12"/>
  <c r="K68" i="12"/>
  <c r="J68" i="12"/>
  <c r="I68" i="12"/>
  <c r="H68" i="12"/>
  <c r="G68" i="12"/>
  <c r="F68" i="12"/>
  <c r="E68" i="12"/>
  <c r="K67" i="12"/>
  <c r="J67" i="12"/>
  <c r="I67" i="12"/>
  <c r="H67" i="12"/>
  <c r="G67" i="12"/>
  <c r="F67" i="12"/>
  <c r="E67" i="12"/>
  <c r="K66" i="12"/>
  <c r="J66" i="12"/>
  <c r="I66" i="12"/>
  <c r="H66" i="12"/>
  <c r="G66" i="12"/>
  <c r="F66" i="12"/>
  <c r="E66" i="12"/>
  <c r="K65" i="12"/>
  <c r="J65" i="12"/>
  <c r="I65" i="12"/>
  <c r="H65" i="12"/>
  <c r="G65" i="12"/>
  <c r="F65" i="12"/>
  <c r="E65" i="12"/>
  <c r="K64" i="12"/>
  <c r="J64" i="12"/>
  <c r="I64" i="12"/>
  <c r="H64" i="12"/>
  <c r="G64" i="12"/>
  <c r="F64" i="12"/>
  <c r="E64" i="12"/>
  <c r="K63" i="12"/>
  <c r="J63" i="12"/>
  <c r="I63" i="12"/>
  <c r="H63" i="12"/>
  <c r="G63" i="12"/>
  <c r="F63" i="12"/>
  <c r="E63" i="12"/>
  <c r="K62" i="12"/>
  <c r="J62" i="12"/>
  <c r="I62" i="12"/>
  <c r="H62" i="12"/>
  <c r="G62" i="12"/>
  <c r="F62" i="12"/>
  <c r="E62" i="12"/>
  <c r="K61" i="12"/>
  <c r="J61" i="12"/>
  <c r="I61" i="12"/>
  <c r="H61" i="12"/>
  <c r="G61" i="12"/>
  <c r="F61" i="12"/>
  <c r="E61" i="12"/>
  <c r="K60" i="12"/>
  <c r="J60" i="12"/>
  <c r="I60" i="12"/>
  <c r="H60" i="12"/>
  <c r="G60" i="12"/>
  <c r="F60" i="12"/>
  <c r="E60" i="12"/>
  <c r="K59" i="12"/>
  <c r="J59" i="12"/>
  <c r="I59" i="12"/>
  <c r="H59" i="12"/>
  <c r="G59" i="12"/>
  <c r="F59" i="12"/>
  <c r="E59" i="12"/>
  <c r="K58" i="12"/>
  <c r="J58" i="12"/>
  <c r="I58" i="12"/>
  <c r="H58" i="12"/>
  <c r="G58" i="12"/>
  <c r="F58" i="12"/>
  <c r="E58" i="12"/>
  <c r="K57" i="12"/>
  <c r="J57" i="12"/>
  <c r="I57" i="12"/>
  <c r="H57" i="12"/>
  <c r="G57" i="12"/>
  <c r="F57" i="12"/>
  <c r="E57" i="12"/>
  <c r="K56" i="12"/>
  <c r="J56" i="12"/>
  <c r="I56" i="12"/>
  <c r="H56" i="12"/>
  <c r="G56" i="12"/>
  <c r="F56" i="12"/>
  <c r="E56" i="12"/>
  <c r="K55" i="12"/>
  <c r="J55" i="12"/>
  <c r="I55" i="12"/>
  <c r="H55" i="12"/>
  <c r="G55" i="12"/>
  <c r="F55" i="12"/>
  <c r="E55" i="12"/>
  <c r="K54" i="12"/>
  <c r="J54" i="12"/>
  <c r="I54" i="12"/>
  <c r="H54" i="12"/>
  <c r="G54" i="12"/>
  <c r="F54" i="12"/>
  <c r="E54" i="12"/>
  <c r="K53" i="12"/>
  <c r="J53" i="12"/>
  <c r="I53" i="12"/>
  <c r="H53" i="12"/>
  <c r="G53" i="12"/>
  <c r="F53" i="12"/>
  <c r="E53" i="12"/>
  <c r="K52" i="12"/>
  <c r="J52" i="12"/>
  <c r="I52" i="12"/>
  <c r="H52" i="12"/>
  <c r="G52" i="12"/>
  <c r="F52" i="12"/>
  <c r="E52" i="12"/>
  <c r="K51" i="12"/>
  <c r="J51" i="12"/>
  <c r="I51" i="12"/>
  <c r="H51" i="12"/>
  <c r="G51" i="12"/>
  <c r="F51" i="12"/>
  <c r="E51" i="12"/>
  <c r="K50" i="12"/>
  <c r="J50" i="12"/>
  <c r="I50" i="12"/>
  <c r="H50" i="12"/>
  <c r="G50" i="12"/>
  <c r="F50" i="12"/>
  <c r="E50" i="12"/>
  <c r="K49" i="12"/>
  <c r="J49" i="12"/>
  <c r="I49" i="12"/>
  <c r="H49" i="12"/>
  <c r="G49" i="12"/>
  <c r="F49" i="12"/>
  <c r="E49" i="12"/>
  <c r="K48" i="12"/>
  <c r="J48" i="12"/>
  <c r="I48" i="12"/>
  <c r="H48" i="12"/>
  <c r="G48" i="12"/>
  <c r="F48" i="12"/>
  <c r="E48" i="12"/>
  <c r="K47" i="12"/>
  <c r="J47" i="12"/>
  <c r="I47" i="12"/>
  <c r="H47" i="12"/>
  <c r="G47" i="12"/>
  <c r="F47" i="12"/>
  <c r="E47" i="12"/>
  <c r="K46" i="12"/>
  <c r="J46" i="12"/>
  <c r="I46" i="12"/>
  <c r="H46" i="12"/>
  <c r="G46" i="12"/>
  <c r="F46" i="12"/>
  <c r="E46" i="12"/>
  <c r="K45" i="12"/>
  <c r="J45" i="12"/>
  <c r="I45" i="12"/>
  <c r="H45" i="12"/>
  <c r="G45" i="12"/>
  <c r="F45" i="12"/>
  <c r="E45" i="12"/>
  <c r="K44" i="12"/>
  <c r="J44" i="12"/>
  <c r="I44" i="12"/>
  <c r="H44" i="12"/>
  <c r="G44" i="12"/>
  <c r="F44" i="12"/>
  <c r="E44" i="12"/>
  <c r="K43" i="12"/>
  <c r="J43" i="12"/>
  <c r="I43" i="12"/>
  <c r="H43" i="12"/>
  <c r="G43" i="12"/>
  <c r="F43" i="12"/>
  <c r="E43" i="12"/>
  <c r="K42" i="12"/>
  <c r="J42" i="12"/>
  <c r="I42" i="12"/>
  <c r="H42" i="12"/>
  <c r="G42" i="12"/>
  <c r="F42" i="12"/>
  <c r="E42" i="12"/>
  <c r="K41" i="12"/>
  <c r="J41" i="12"/>
  <c r="I41" i="12"/>
  <c r="H41" i="12"/>
  <c r="G41" i="12"/>
  <c r="F41" i="12"/>
  <c r="E41" i="12"/>
  <c r="K40" i="12"/>
  <c r="J40" i="12"/>
  <c r="I40" i="12"/>
  <c r="H40" i="12"/>
  <c r="G40" i="12"/>
  <c r="F40" i="12"/>
  <c r="E40" i="12"/>
  <c r="K39" i="12"/>
  <c r="J39" i="12"/>
  <c r="I39" i="12"/>
  <c r="H39" i="12"/>
  <c r="G39" i="12"/>
  <c r="F39" i="12"/>
  <c r="E39" i="12"/>
  <c r="K38" i="12"/>
  <c r="J38" i="12"/>
  <c r="I38" i="12"/>
  <c r="H38" i="12"/>
  <c r="G38" i="12"/>
  <c r="F38" i="12"/>
  <c r="E38" i="12"/>
  <c r="K37" i="12"/>
  <c r="J37" i="12"/>
  <c r="I37" i="12"/>
  <c r="H37" i="12"/>
  <c r="G37" i="12"/>
  <c r="F37" i="12"/>
  <c r="E37" i="12"/>
  <c r="K36" i="12"/>
  <c r="J36" i="12"/>
  <c r="I36" i="12"/>
  <c r="H36" i="12"/>
  <c r="G36" i="12"/>
  <c r="F36" i="12"/>
  <c r="E36" i="12"/>
  <c r="K35" i="12"/>
  <c r="J35" i="12"/>
  <c r="I35" i="12"/>
  <c r="H35" i="12"/>
  <c r="G35" i="12"/>
  <c r="F35" i="12"/>
  <c r="E35" i="12"/>
  <c r="K34" i="12"/>
  <c r="J34" i="12"/>
  <c r="I34" i="12"/>
  <c r="H34" i="12"/>
  <c r="G34" i="12"/>
  <c r="F34" i="12"/>
  <c r="E34" i="12"/>
  <c r="K33" i="12"/>
  <c r="J33" i="12"/>
  <c r="I33" i="12"/>
  <c r="H33" i="12"/>
  <c r="G33" i="12"/>
  <c r="F33" i="12"/>
  <c r="E33" i="12"/>
  <c r="K32" i="12"/>
  <c r="J32" i="12"/>
  <c r="I32" i="12"/>
  <c r="H32" i="12"/>
  <c r="G32" i="12"/>
  <c r="F32" i="12"/>
  <c r="K31" i="12"/>
  <c r="J31" i="12"/>
  <c r="I31" i="12"/>
  <c r="H31" i="12"/>
  <c r="G31" i="12"/>
  <c r="F31" i="12"/>
  <c r="E31" i="12"/>
  <c r="K30" i="12"/>
  <c r="J30" i="12"/>
  <c r="I30" i="12"/>
  <c r="H30" i="12"/>
  <c r="G30" i="12"/>
  <c r="F30" i="12"/>
  <c r="E30" i="12"/>
  <c r="K29" i="12"/>
  <c r="J29" i="12"/>
  <c r="I29" i="12"/>
  <c r="H29" i="12"/>
  <c r="G29" i="12"/>
  <c r="F29" i="12"/>
  <c r="E29" i="12"/>
  <c r="K28" i="12"/>
  <c r="J28" i="12"/>
  <c r="I28" i="12"/>
  <c r="H28" i="12"/>
  <c r="G28" i="12"/>
  <c r="F28" i="12"/>
  <c r="E28" i="12"/>
  <c r="K27" i="12"/>
  <c r="J27" i="12"/>
  <c r="I27" i="12"/>
  <c r="H27" i="12"/>
  <c r="G27" i="12"/>
  <c r="F27" i="12"/>
  <c r="E27" i="12"/>
  <c r="K26" i="12"/>
  <c r="J26" i="12"/>
  <c r="I26" i="12"/>
  <c r="H26" i="12"/>
  <c r="G26" i="12"/>
  <c r="F26" i="12"/>
  <c r="E26" i="12"/>
  <c r="K25" i="12"/>
  <c r="J25" i="12"/>
  <c r="I25" i="12"/>
  <c r="H25" i="12"/>
  <c r="G25" i="12"/>
  <c r="F25" i="12"/>
  <c r="E25" i="12"/>
  <c r="K24" i="12"/>
  <c r="J24" i="12"/>
  <c r="I24" i="12"/>
  <c r="H24" i="12"/>
  <c r="G24" i="12"/>
  <c r="F24" i="12"/>
  <c r="E24" i="12"/>
  <c r="K23" i="12"/>
  <c r="J23" i="12"/>
  <c r="I23" i="12"/>
  <c r="H23" i="12"/>
  <c r="G23" i="12"/>
  <c r="F23" i="12"/>
  <c r="E23" i="12"/>
  <c r="K22" i="12"/>
  <c r="J22" i="12"/>
  <c r="I22" i="12"/>
  <c r="H22" i="12"/>
  <c r="G22" i="12"/>
  <c r="F22" i="12"/>
  <c r="E22" i="12"/>
  <c r="K21" i="12"/>
  <c r="J21" i="12"/>
  <c r="I21" i="12"/>
  <c r="H21" i="12"/>
  <c r="G21" i="12"/>
  <c r="F21" i="12"/>
  <c r="E21" i="12"/>
  <c r="K20" i="12"/>
  <c r="J20" i="12"/>
  <c r="I20" i="12"/>
  <c r="H20" i="12"/>
  <c r="G20" i="12"/>
  <c r="F20" i="12"/>
  <c r="E20" i="12"/>
  <c r="K19" i="12"/>
  <c r="J19" i="12"/>
  <c r="I19" i="12"/>
  <c r="H19" i="12"/>
  <c r="G19" i="12"/>
  <c r="F19" i="12"/>
  <c r="E19" i="12"/>
  <c r="K18" i="12"/>
  <c r="J18" i="12"/>
  <c r="I18" i="12"/>
  <c r="H18" i="12"/>
  <c r="G18" i="12"/>
  <c r="F18" i="12"/>
  <c r="E18" i="12"/>
  <c r="K17" i="12"/>
  <c r="J17" i="12"/>
  <c r="I17" i="12"/>
  <c r="H17" i="12"/>
  <c r="G17" i="12"/>
  <c r="F17" i="12"/>
  <c r="E17" i="12"/>
  <c r="K16" i="12"/>
  <c r="J16" i="12"/>
  <c r="I16" i="12"/>
  <c r="H16" i="12"/>
  <c r="G16" i="12"/>
  <c r="F16" i="12"/>
  <c r="E16" i="12"/>
  <c r="K15" i="12"/>
  <c r="J15" i="12"/>
  <c r="I15" i="12"/>
  <c r="H15" i="12"/>
  <c r="G15" i="12"/>
  <c r="F15" i="12"/>
  <c r="E15" i="12"/>
  <c r="K14" i="12"/>
  <c r="J14" i="12"/>
  <c r="I14" i="12"/>
  <c r="H14" i="12"/>
  <c r="G14" i="12"/>
  <c r="F14" i="12"/>
  <c r="E14" i="12"/>
  <c r="K13" i="12"/>
  <c r="J13" i="12"/>
  <c r="I13" i="12"/>
  <c r="H13" i="12"/>
  <c r="G13" i="12"/>
  <c r="F13" i="12"/>
  <c r="E13" i="12"/>
  <c r="K12" i="12"/>
  <c r="J12" i="12"/>
  <c r="I12" i="12"/>
  <c r="H12" i="12"/>
  <c r="G12" i="12"/>
  <c r="F12" i="12"/>
  <c r="E12" i="12"/>
  <c r="K11" i="12"/>
  <c r="J11" i="12"/>
  <c r="I11" i="12"/>
  <c r="H11" i="12"/>
  <c r="G11" i="12"/>
  <c r="F11" i="12"/>
  <c r="E11" i="12"/>
  <c r="K10" i="12"/>
  <c r="J10" i="12"/>
  <c r="I10" i="12"/>
  <c r="H10" i="12"/>
  <c r="G10" i="12"/>
  <c r="F10" i="12"/>
  <c r="E10" i="12"/>
  <c r="K9" i="12"/>
  <c r="J9" i="12"/>
  <c r="I9" i="12"/>
  <c r="H9" i="12"/>
  <c r="G9" i="12"/>
  <c r="F9" i="12"/>
  <c r="E9" i="12"/>
  <c r="K8" i="12"/>
  <c r="J8" i="12"/>
  <c r="I8" i="12"/>
  <c r="H8" i="12"/>
  <c r="G8" i="12"/>
  <c r="F8" i="12"/>
  <c r="E8" i="12"/>
  <c r="K7" i="12"/>
  <c r="J7" i="12"/>
  <c r="I7" i="12"/>
  <c r="H7" i="12"/>
  <c r="G7" i="12"/>
  <c r="F7" i="12"/>
  <c r="E7" i="12"/>
  <c r="K6" i="12"/>
  <c r="J6" i="12"/>
  <c r="I6" i="12"/>
  <c r="H6" i="12"/>
  <c r="G6" i="12"/>
  <c r="F6" i="12"/>
  <c r="E6" i="12"/>
  <c r="K5" i="12"/>
  <c r="J5" i="12"/>
  <c r="I5" i="12"/>
  <c r="H5" i="12"/>
  <c r="G5" i="12"/>
  <c r="F5" i="12"/>
  <c r="E5" i="12"/>
  <c r="E12" i="9"/>
  <c r="C12" i="9"/>
  <c r="F8" i="8"/>
  <c r="E8" i="8"/>
  <c r="D8" i="8"/>
  <c r="C8" i="8"/>
  <c r="F7" i="8"/>
  <c r="E7" i="8"/>
  <c r="D7" i="8"/>
  <c r="C7" i="8"/>
  <c r="F6" i="8"/>
  <c r="E6" i="8"/>
  <c r="D6" i="8"/>
  <c r="C6" i="8"/>
  <c r="J62" i="7"/>
  <c r="J61" i="7"/>
  <c r="J55" i="7"/>
  <c r="J42" i="7"/>
  <c r="J41" i="7"/>
  <c r="J35" i="7"/>
  <c r="J22" i="7"/>
  <c r="J21" i="7"/>
  <c r="J15" i="7"/>
  <c r="F15" i="6"/>
  <c r="E15" i="6"/>
  <c r="H14" i="6"/>
  <c r="G14" i="6"/>
  <c r="H13" i="6"/>
  <c r="G13" i="6"/>
  <c r="F11" i="6"/>
  <c r="E11" i="6"/>
  <c r="H10" i="6"/>
  <c r="G10" i="6"/>
  <c r="H9" i="6"/>
  <c r="G9" i="6"/>
  <c r="F7" i="6"/>
  <c r="E7" i="6"/>
  <c r="H6" i="6"/>
  <c r="G6" i="6"/>
  <c r="H5" i="6"/>
  <c r="G5" i="6"/>
  <c r="G7" i="6" s="1"/>
  <c r="K117" i="5"/>
  <c r="K107" i="5"/>
  <c r="K98" i="5"/>
  <c r="K90" i="5"/>
  <c r="K82" i="5"/>
  <c r="K72" i="5"/>
  <c r="K63" i="5"/>
  <c r="K54" i="5"/>
  <c r="K45" i="5"/>
  <c r="K34" i="5"/>
  <c r="K23" i="5"/>
  <c r="F7" i="4"/>
  <c r="I6" i="4"/>
  <c r="H6" i="4"/>
  <c r="G6" i="4"/>
  <c r="F6" i="4"/>
  <c r="E6" i="4"/>
  <c r="D6" i="4"/>
  <c r="I5" i="4"/>
  <c r="H5" i="4"/>
  <c r="G5" i="4"/>
  <c r="G7" i="4" s="1"/>
  <c r="F5" i="4"/>
  <c r="E5" i="4"/>
  <c r="D5" i="4"/>
  <c r="D7" i="4" s="1"/>
  <c r="AF146" i="3"/>
  <c r="AE146" i="3"/>
  <c r="AD146" i="3"/>
  <c r="AC146" i="3"/>
  <c r="AB146" i="3"/>
  <c r="AA146" i="3"/>
  <c r="AF145" i="3"/>
  <c r="AE145" i="3"/>
  <c r="AD145" i="3"/>
  <c r="AC145" i="3"/>
  <c r="AB145" i="3"/>
  <c r="AA145" i="3"/>
  <c r="AF144" i="3"/>
  <c r="AE144" i="3"/>
  <c r="AD144" i="3"/>
  <c r="AC144" i="3"/>
  <c r="AB144" i="3"/>
  <c r="AA144" i="3"/>
  <c r="AF143" i="3"/>
  <c r="AE143" i="3"/>
  <c r="AD143" i="3"/>
  <c r="AC143" i="3"/>
  <c r="AB143" i="3"/>
  <c r="AA143" i="3"/>
  <c r="AF142" i="3"/>
  <c r="AE142" i="3"/>
  <c r="AD142" i="3"/>
  <c r="AC142" i="3"/>
  <c r="AB142" i="3"/>
  <c r="AA142" i="3"/>
  <c r="AF141" i="3"/>
  <c r="AE141" i="3"/>
  <c r="AD141" i="3"/>
  <c r="AC141" i="3"/>
  <c r="AB141" i="3"/>
  <c r="AA141" i="3"/>
  <c r="AF140" i="3"/>
  <c r="AE140" i="3"/>
  <c r="AD140" i="3"/>
  <c r="AC140" i="3"/>
  <c r="AB140" i="3"/>
  <c r="AA140" i="3"/>
  <c r="AF139" i="3"/>
  <c r="AE139" i="3"/>
  <c r="AD139" i="3"/>
  <c r="AC139" i="3"/>
  <c r="AB139" i="3"/>
  <c r="AA139" i="3"/>
  <c r="AF138" i="3"/>
  <c r="AE138" i="3"/>
  <c r="AD138" i="3"/>
  <c r="AC138" i="3"/>
  <c r="AB138" i="3"/>
  <c r="AA138" i="3"/>
  <c r="AF137" i="3"/>
  <c r="AE137" i="3"/>
  <c r="AD137" i="3"/>
  <c r="AC137" i="3"/>
  <c r="AB137" i="3"/>
  <c r="AA137" i="3"/>
  <c r="AF136" i="3"/>
  <c r="AE136" i="3"/>
  <c r="AD136" i="3"/>
  <c r="AC136" i="3"/>
  <c r="AB136" i="3"/>
  <c r="AA136" i="3"/>
  <c r="AF135" i="3"/>
  <c r="AE135" i="3"/>
  <c r="AD135" i="3"/>
  <c r="AC135" i="3"/>
  <c r="AB135" i="3"/>
  <c r="AA135" i="3"/>
  <c r="AF134" i="3"/>
  <c r="AE134" i="3"/>
  <c r="AD134" i="3"/>
  <c r="AC134" i="3"/>
  <c r="AB134" i="3"/>
  <c r="AA134" i="3"/>
  <c r="AF133" i="3"/>
  <c r="AE133" i="3"/>
  <c r="AD133" i="3"/>
  <c r="AC133" i="3"/>
  <c r="AB133" i="3"/>
  <c r="AA133" i="3"/>
  <c r="AF132" i="3"/>
  <c r="AE132" i="3"/>
  <c r="AD132" i="3"/>
  <c r="AC132" i="3"/>
  <c r="AB132" i="3"/>
  <c r="AA132" i="3"/>
  <c r="AF131" i="3"/>
  <c r="AE131" i="3"/>
  <c r="AD131" i="3"/>
  <c r="AC131" i="3"/>
  <c r="AB131" i="3"/>
  <c r="AA131" i="3"/>
  <c r="AF130" i="3"/>
  <c r="AE130" i="3"/>
  <c r="AD130" i="3"/>
  <c r="AC130" i="3"/>
  <c r="AB130" i="3"/>
  <c r="AA130" i="3"/>
  <c r="AF129" i="3"/>
  <c r="AE129" i="3"/>
  <c r="AD129" i="3"/>
  <c r="AC129" i="3"/>
  <c r="AB129" i="3"/>
  <c r="AA129" i="3"/>
  <c r="AF128" i="3"/>
  <c r="AE128" i="3"/>
  <c r="AD128" i="3"/>
  <c r="AC128" i="3"/>
  <c r="AB128" i="3"/>
  <c r="AA128" i="3"/>
  <c r="AF127" i="3"/>
  <c r="AE127" i="3"/>
  <c r="AD127" i="3"/>
  <c r="AC127" i="3"/>
  <c r="AB127" i="3"/>
  <c r="AA127" i="3"/>
  <c r="AF126" i="3"/>
  <c r="AE126" i="3"/>
  <c r="AD126" i="3"/>
  <c r="AC126" i="3"/>
  <c r="AB126" i="3"/>
  <c r="AA126" i="3"/>
  <c r="AF125" i="3"/>
  <c r="AE125" i="3"/>
  <c r="AD125" i="3"/>
  <c r="AC125" i="3"/>
  <c r="AB125" i="3"/>
  <c r="AA125" i="3"/>
  <c r="AF124" i="3"/>
  <c r="AE124" i="3"/>
  <c r="AD124" i="3"/>
  <c r="AC124" i="3"/>
  <c r="AB124" i="3"/>
  <c r="AA124" i="3"/>
  <c r="AF123" i="3"/>
  <c r="AE123" i="3"/>
  <c r="AD123" i="3"/>
  <c r="AC123" i="3"/>
  <c r="AB123" i="3"/>
  <c r="AA123" i="3"/>
  <c r="AF122" i="3"/>
  <c r="AE122" i="3"/>
  <c r="AD122" i="3"/>
  <c r="AC122" i="3"/>
  <c r="AB122" i="3"/>
  <c r="AA122" i="3"/>
  <c r="AF121" i="3"/>
  <c r="AE121" i="3"/>
  <c r="AD121" i="3"/>
  <c r="AC121" i="3"/>
  <c r="AB121" i="3"/>
  <c r="AA121" i="3"/>
  <c r="AF120" i="3"/>
  <c r="AE120" i="3"/>
  <c r="AD120" i="3"/>
  <c r="AC120" i="3"/>
  <c r="AB120" i="3"/>
  <c r="AA120" i="3"/>
  <c r="AF119" i="3"/>
  <c r="AE119" i="3"/>
  <c r="AD119" i="3"/>
  <c r="AC119" i="3"/>
  <c r="AB119" i="3"/>
  <c r="AA119" i="3"/>
  <c r="AF118" i="3"/>
  <c r="AE118" i="3"/>
  <c r="AD118" i="3"/>
  <c r="AC118" i="3"/>
  <c r="AB118" i="3"/>
  <c r="AA118" i="3"/>
  <c r="AF117" i="3"/>
  <c r="AE117" i="3"/>
  <c r="AD117" i="3"/>
  <c r="AC117" i="3"/>
  <c r="AB117" i="3"/>
  <c r="AA117" i="3"/>
  <c r="AF116" i="3"/>
  <c r="AE116" i="3"/>
  <c r="AD116" i="3"/>
  <c r="AC116" i="3"/>
  <c r="AB116" i="3"/>
  <c r="AA116" i="3"/>
  <c r="AF115" i="3"/>
  <c r="AE115" i="3"/>
  <c r="AD115" i="3"/>
  <c r="AC115" i="3"/>
  <c r="AB115" i="3"/>
  <c r="AA115" i="3"/>
  <c r="AF114" i="3"/>
  <c r="AE114" i="3"/>
  <c r="AD114" i="3"/>
  <c r="AC114" i="3"/>
  <c r="AB114" i="3"/>
  <c r="AA114" i="3"/>
  <c r="AF113" i="3"/>
  <c r="AE113" i="3"/>
  <c r="AD113" i="3"/>
  <c r="AC113" i="3"/>
  <c r="AB113" i="3"/>
  <c r="AA113" i="3"/>
  <c r="AF112" i="3"/>
  <c r="AE112" i="3"/>
  <c r="AD112" i="3"/>
  <c r="AC112" i="3"/>
  <c r="AB112" i="3"/>
  <c r="AA112" i="3"/>
  <c r="AF111" i="3"/>
  <c r="AE111" i="3"/>
  <c r="AD111" i="3"/>
  <c r="AC111" i="3"/>
  <c r="AB111" i="3"/>
  <c r="AA111" i="3"/>
  <c r="AF110" i="3"/>
  <c r="AE110" i="3"/>
  <c r="AD110" i="3"/>
  <c r="AC110" i="3"/>
  <c r="AB110" i="3"/>
  <c r="AA110" i="3"/>
  <c r="AF109" i="3"/>
  <c r="AE109" i="3"/>
  <c r="AD109" i="3"/>
  <c r="AC109" i="3"/>
  <c r="AB109" i="3"/>
  <c r="AA109" i="3"/>
  <c r="AF108" i="3"/>
  <c r="AE108" i="3"/>
  <c r="AD108" i="3"/>
  <c r="AC108" i="3"/>
  <c r="AB108" i="3"/>
  <c r="AA108" i="3"/>
  <c r="AF107" i="3"/>
  <c r="AE107" i="3"/>
  <c r="AD107" i="3"/>
  <c r="AC107" i="3"/>
  <c r="AB107" i="3"/>
  <c r="AA107" i="3"/>
  <c r="AF106" i="3"/>
  <c r="AE106" i="3"/>
  <c r="AD106" i="3"/>
  <c r="AC106" i="3"/>
  <c r="AB106" i="3"/>
  <c r="AA106" i="3"/>
  <c r="AF105" i="3"/>
  <c r="AE105" i="3"/>
  <c r="AD105" i="3"/>
  <c r="AC105" i="3"/>
  <c r="AB105" i="3"/>
  <c r="AA105" i="3"/>
  <c r="AF104" i="3"/>
  <c r="AE104" i="3"/>
  <c r="AD104" i="3"/>
  <c r="AC104" i="3"/>
  <c r="AB104" i="3"/>
  <c r="AA104" i="3"/>
  <c r="AF103" i="3"/>
  <c r="AE103" i="3"/>
  <c r="AD103" i="3"/>
  <c r="AC103" i="3"/>
  <c r="AB103" i="3"/>
  <c r="AA103" i="3"/>
  <c r="AF102" i="3"/>
  <c r="AE102" i="3"/>
  <c r="AD102" i="3"/>
  <c r="AC102" i="3"/>
  <c r="AB102" i="3"/>
  <c r="AA102" i="3"/>
  <c r="AF101" i="3"/>
  <c r="AE101" i="3"/>
  <c r="AD101" i="3"/>
  <c r="AC101" i="3"/>
  <c r="AB101" i="3"/>
  <c r="AA101" i="3"/>
  <c r="AF100" i="3"/>
  <c r="AE100" i="3"/>
  <c r="AD100" i="3"/>
  <c r="AC100" i="3"/>
  <c r="AB100" i="3"/>
  <c r="AA100" i="3"/>
  <c r="AF99" i="3"/>
  <c r="AE99" i="3"/>
  <c r="AD99" i="3"/>
  <c r="AC99" i="3"/>
  <c r="AB99" i="3"/>
  <c r="AA99" i="3"/>
  <c r="AF98" i="3"/>
  <c r="AE98" i="3"/>
  <c r="AD98" i="3"/>
  <c r="AC98" i="3"/>
  <c r="AB98" i="3"/>
  <c r="AA98" i="3"/>
  <c r="AF97" i="3"/>
  <c r="AE97" i="3"/>
  <c r="AD97" i="3"/>
  <c r="AC97" i="3"/>
  <c r="AB97" i="3"/>
  <c r="AA97" i="3"/>
  <c r="AF96" i="3"/>
  <c r="AE96" i="3"/>
  <c r="AD96" i="3"/>
  <c r="AC96" i="3"/>
  <c r="AB96" i="3"/>
  <c r="AA96" i="3"/>
  <c r="AF95" i="3"/>
  <c r="AE95" i="3"/>
  <c r="AD95" i="3"/>
  <c r="AC95" i="3"/>
  <c r="AB95" i="3"/>
  <c r="AA95" i="3"/>
  <c r="AF94" i="3"/>
  <c r="AE94" i="3"/>
  <c r="AD94" i="3"/>
  <c r="AC94" i="3"/>
  <c r="AB94" i="3"/>
  <c r="AA94" i="3"/>
  <c r="AF93" i="3"/>
  <c r="AE93" i="3"/>
  <c r="AD93" i="3"/>
  <c r="AC93" i="3"/>
  <c r="AB93" i="3"/>
  <c r="AA93" i="3"/>
  <c r="AF92" i="3"/>
  <c r="AE92" i="3"/>
  <c r="AD92" i="3"/>
  <c r="AC92" i="3"/>
  <c r="AB92" i="3"/>
  <c r="AA92" i="3"/>
  <c r="AF91" i="3"/>
  <c r="AE91" i="3"/>
  <c r="AD91" i="3"/>
  <c r="AC91" i="3"/>
  <c r="AB91" i="3"/>
  <c r="AA91" i="3"/>
  <c r="AF90" i="3"/>
  <c r="AE90" i="3"/>
  <c r="AD90" i="3"/>
  <c r="AC90" i="3"/>
  <c r="AB90" i="3"/>
  <c r="AA90" i="3"/>
  <c r="AF89" i="3"/>
  <c r="AE89" i="3"/>
  <c r="AD89" i="3"/>
  <c r="AC89" i="3"/>
  <c r="AB89" i="3"/>
  <c r="AA89" i="3"/>
  <c r="AF88" i="3"/>
  <c r="AE88" i="3"/>
  <c r="AD88" i="3"/>
  <c r="AC88" i="3"/>
  <c r="AB88" i="3"/>
  <c r="AA88" i="3"/>
  <c r="AF87" i="3"/>
  <c r="AE87" i="3"/>
  <c r="AD87" i="3"/>
  <c r="AC87" i="3"/>
  <c r="AB87" i="3"/>
  <c r="AA87" i="3"/>
  <c r="AF86" i="3"/>
  <c r="AE86" i="3"/>
  <c r="AD86" i="3"/>
  <c r="AC86" i="3"/>
  <c r="AB86" i="3"/>
  <c r="AA86" i="3"/>
  <c r="AF85" i="3"/>
  <c r="AE85" i="3"/>
  <c r="AD85" i="3"/>
  <c r="AC85" i="3"/>
  <c r="AB85" i="3"/>
  <c r="AA85" i="3"/>
  <c r="AF84" i="3"/>
  <c r="AE84" i="3"/>
  <c r="AD84" i="3"/>
  <c r="AC84" i="3"/>
  <c r="AB84" i="3"/>
  <c r="AA84" i="3"/>
  <c r="AF83" i="3"/>
  <c r="AE83" i="3"/>
  <c r="AD83" i="3"/>
  <c r="AC83" i="3"/>
  <c r="AB83" i="3"/>
  <c r="AA83" i="3"/>
  <c r="AF82" i="3"/>
  <c r="AE82" i="3"/>
  <c r="AD82" i="3"/>
  <c r="AC82" i="3"/>
  <c r="AB82" i="3"/>
  <c r="AA82" i="3"/>
  <c r="AF81" i="3"/>
  <c r="AE81" i="3"/>
  <c r="AD81" i="3"/>
  <c r="AC81" i="3"/>
  <c r="AB81" i="3"/>
  <c r="AA81" i="3"/>
  <c r="AF80" i="3"/>
  <c r="AE80" i="3"/>
  <c r="AD80" i="3"/>
  <c r="AC80" i="3"/>
  <c r="AB80" i="3"/>
  <c r="AA80" i="3"/>
  <c r="AF79" i="3"/>
  <c r="AE79" i="3"/>
  <c r="AD79" i="3"/>
  <c r="AC79" i="3"/>
  <c r="AB79" i="3"/>
  <c r="AA79" i="3"/>
  <c r="AF78" i="3"/>
  <c r="AE78" i="3"/>
  <c r="AD78" i="3"/>
  <c r="AC78" i="3"/>
  <c r="AB78" i="3"/>
  <c r="AA78" i="3"/>
  <c r="AF77" i="3"/>
  <c r="AE77" i="3"/>
  <c r="AD77" i="3"/>
  <c r="AC77" i="3"/>
  <c r="AB77" i="3"/>
  <c r="AA77" i="3"/>
  <c r="AF76" i="3"/>
  <c r="AE76" i="3"/>
  <c r="AD76" i="3"/>
  <c r="AC76" i="3"/>
  <c r="AB76" i="3"/>
  <c r="AA76" i="3"/>
  <c r="AF75" i="3"/>
  <c r="AE75" i="3"/>
  <c r="AD75" i="3"/>
  <c r="AC75" i="3"/>
  <c r="AB75" i="3"/>
  <c r="AA75" i="3"/>
  <c r="AF74" i="3"/>
  <c r="AE74" i="3"/>
  <c r="AD74" i="3"/>
  <c r="AC74" i="3"/>
  <c r="AB74" i="3"/>
  <c r="AA74" i="3"/>
  <c r="AF73" i="3"/>
  <c r="AE73" i="3"/>
  <c r="AD73" i="3"/>
  <c r="AC73" i="3"/>
  <c r="AB73" i="3"/>
  <c r="AA73" i="3"/>
  <c r="AF72" i="3"/>
  <c r="AE72" i="3"/>
  <c r="AD72" i="3"/>
  <c r="AC72" i="3"/>
  <c r="AB72" i="3"/>
  <c r="AA72" i="3"/>
  <c r="AF71" i="3"/>
  <c r="AE71" i="3"/>
  <c r="AD71" i="3"/>
  <c r="AC71" i="3"/>
  <c r="AB71" i="3"/>
  <c r="AA71" i="3"/>
  <c r="AF70" i="3"/>
  <c r="AE70" i="3"/>
  <c r="AD70" i="3"/>
  <c r="AC70" i="3"/>
  <c r="AB70" i="3"/>
  <c r="AA70" i="3"/>
  <c r="AF69" i="3"/>
  <c r="AE69" i="3"/>
  <c r="AD69" i="3"/>
  <c r="AC69" i="3"/>
  <c r="AB69" i="3"/>
  <c r="AA69" i="3"/>
  <c r="AF68" i="3"/>
  <c r="AE68" i="3"/>
  <c r="AD68" i="3"/>
  <c r="AC68" i="3"/>
  <c r="AB68" i="3"/>
  <c r="AA68" i="3"/>
  <c r="AF67" i="3"/>
  <c r="AE67" i="3"/>
  <c r="AD67" i="3"/>
  <c r="AC67" i="3"/>
  <c r="AB67" i="3"/>
  <c r="AA67" i="3"/>
  <c r="AF66" i="3"/>
  <c r="AE66" i="3"/>
  <c r="AD66" i="3"/>
  <c r="AC66" i="3"/>
  <c r="C10" i="2" s="1"/>
  <c r="C10" i="9" s="1"/>
  <c r="AB66" i="3"/>
  <c r="C9" i="2" s="1"/>
  <c r="C9" i="9" s="1"/>
  <c r="AA66" i="3"/>
  <c r="AF65" i="3"/>
  <c r="AE65" i="3"/>
  <c r="AD65" i="3"/>
  <c r="AC65" i="3"/>
  <c r="AB65" i="3"/>
  <c r="AA65" i="3"/>
  <c r="AF64" i="3"/>
  <c r="AE64" i="3"/>
  <c r="AD64" i="3"/>
  <c r="AC64" i="3"/>
  <c r="AB64" i="3"/>
  <c r="AA64" i="3"/>
  <c r="AF63" i="3"/>
  <c r="AE63" i="3"/>
  <c r="AD63" i="3"/>
  <c r="AC63" i="3"/>
  <c r="AB63" i="3"/>
  <c r="AA63" i="3"/>
  <c r="AF62" i="3"/>
  <c r="AE62" i="3"/>
  <c r="AD62" i="3"/>
  <c r="AC62" i="3"/>
  <c r="AB62" i="3"/>
  <c r="AA62" i="3"/>
  <c r="AF61" i="3"/>
  <c r="AE61" i="3"/>
  <c r="AD61" i="3"/>
  <c r="AC61" i="3"/>
  <c r="AB61" i="3"/>
  <c r="AA61" i="3"/>
  <c r="AF60" i="3"/>
  <c r="AE60" i="3"/>
  <c r="AD60" i="3"/>
  <c r="AC60" i="3"/>
  <c r="AB60" i="3"/>
  <c r="AA60" i="3"/>
  <c r="AF59" i="3"/>
  <c r="AE59" i="3"/>
  <c r="AD59" i="3"/>
  <c r="AC59" i="3"/>
  <c r="AB59" i="3"/>
  <c r="AA59" i="3"/>
  <c r="AF58" i="3"/>
  <c r="AE58" i="3"/>
  <c r="AD58" i="3"/>
  <c r="AC58" i="3"/>
  <c r="AB58" i="3"/>
  <c r="AA58" i="3"/>
  <c r="AF57" i="3"/>
  <c r="AE57" i="3"/>
  <c r="AD57" i="3"/>
  <c r="AC57" i="3"/>
  <c r="AB57" i="3"/>
  <c r="AA57" i="3"/>
  <c r="AF56" i="3"/>
  <c r="AE56" i="3"/>
  <c r="AD56" i="3"/>
  <c r="AC56" i="3"/>
  <c r="AB56" i="3"/>
  <c r="AA56" i="3"/>
  <c r="AF55" i="3"/>
  <c r="AE55" i="3"/>
  <c r="AD55" i="3"/>
  <c r="AC55" i="3"/>
  <c r="AB55" i="3"/>
  <c r="AA55" i="3"/>
  <c r="AF54" i="3"/>
  <c r="AE54" i="3"/>
  <c r="AD54" i="3"/>
  <c r="AC54" i="3"/>
  <c r="AB54" i="3"/>
  <c r="AA54" i="3"/>
  <c r="AF53" i="3"/>
  <c r="AE53" i="3"/>
  <c r="AD53" i="3"/>
  <c r="AC53" i="3"/>
  <c r="AB53" i="3"/>
  <c r="AA53" i="3"/>
  <c r="AF52" i="3"/>
  <c r="AE52" i="3"/>
  <c r="AD52" i="3"/>
  <c r="AC52" i="3"/>
  <c r="AB52" i="3"/>
  <c r="AA52" i="3"/>
  <c r="AF51" i="3"/>
  <c r="AE51" i="3"/>
  <c r="AD51" i="3"/>
  <c r="AC51" i="3"/>
  <c r="AB51" i="3"/>
  <c r="AA51" i="3"/>
  <c r="AF50" i="3"/>
  <c r="AE50" i="3"/>
  <c r="AD50" i="3"/>
  <c r="AC50" i="3"/>
  <c r="AB50" i="3"/>
  <c r="AA50" i="3"/>
  <c r="AF49" i="3"/>
  <c r="AE49" i="3"/>
  <c r="AD49" i="3"/>
  <c r="AC49" i="3"/>
  <c r="AB49" i="3"/>
  <c r="AA49" i="3"/>
  <c r="AF48" i="3"/>
  <c r="AE48" i="3"/>
  <c r="AD48" i="3"/>
  <c r="AC48" i="3"/>
  <c r="AB48" i="3"/>
  <c r="AA48" i="3"/>
  <c r="AF47" i="3"/>
  <c r="AE47" i="3"/>
  <c r="AD47" i="3"/>
  <c r="AC47" i="3"/>
  <c r="AB47" i="3"/>
  <c r="AA47" i="3"/>
  <c r="AF46" i="3"/>
  <c r="AE46" i="3"/>
  <c r="AD46" i="3"/>
  <c r="AC46" i="3"/>
  <c r="AB46" i="3"/>
  <c r="AA46" i="3"/>
  <c r="AF45" i="3"/>
  <c r="AE45" i="3"/>
  <c r="AD45" i="3"/>
  <c r="AC45" i="3"/>
  <c r="AB45" i="3"/>
  <c r="AA45" i="3"/>
  <c r="AF44" i="3"/>
  <c r="AE44" i="3"/>
  <c r="AD44" i="3"/>
  <c r="AC44" i="3"/>
  <c r="AB44" i="3"/>
  <c r="AA44" i="3"/>
  <c r="AF43" i="3"/>
  <c r="AE43" i="3"/>
  <c r="AD43" i="3"/>
  <c r="AC43" i="3"/>
  <c r="AB43" i="3"/>
  <c r="AA43" i="3"/>
  <c r="AF42" i="3"/>
  <c r="AE42" i="3"/>
  <c r="AD42" i="3"/>
  <c r="AC42" i="3"/>
  <c r="AB42" i="3"/>
  <c r="AA42" i="3"/>
  <c r="AF41" i="3"/>
  <c r="AE41" i="3"/>
  <c r="AD41" i="3"/>
  <c r="AC41" i="3"/>
  <c r="AB41" i="3"/>
  <c r="AA41" i="3"/>
  <c r="AF40" i="3"/>
  <c r="AE40" i="3"/>
  <c r="AD40" i="3"/>
  <c r="AC40" i="3"/>
  <c r="AB40" i="3"/>
  <c r="AA40" i="3"/>
  <c r="AF39" i="3"/>
  <c r="AE39" i="3"/>
  <c r="AD39" i="3"/>
  <c r="AC39" i="3"/>
  <c r="AB39" i="3"/>
  <c r="AA39" i="3"/>
  <c r="AF38" i="3"/>
  <c r="AE38" i="3"/>
  <c r="AD38" i="3"/>
  <c r="AC38" i="3"/>
  <c r="AB38" i="3"/>
  <c r="AA38" i="3"/>
  <c r="AF37" i="3"/>
  <c r="AE37" i="3"/>
  <c r="AD37" i="3"/>
  <c r="AC37" i="3"/>
  <c r="AB37" i="3"/>
  <c r="AA37" i="3"/>
  <c r="AF36" i="3"/>
  <c r="AE36" i="3"/>
  <c r="AD36" i="3"/>
  <c r="AC36" i="3"/>
  <c r="AB36" i="3"/>
  <c r="AA36" i="3"/>
  <c r="AF35" i="3"/>
  <c r="AE35" i="3"/>
  <c r="AD35" i="3"/>
  <c r="AC35" i="3"/>
  <c r="AB35" i="3"/>
  <c r="AA35" i="3"/>
  <c r="AF34" i="3"/>
  <c r="AE34" i="3"/>
  <c r="AD34" i="3"/>
  <c r="AC34" i="3"/>
  <c r="AB34" i="3"/>
  <c r="AA34" i="3"/>
  <c r="AF33" i="3"/>
  <c r="AE33" i="3"/>
  <c r="AD33" i="3"/>
  <c r="AC33" i="3"/>
  <c r="AB33" i="3"/>
  <c r="AA33" i="3"/>
  <c r="AF32" i="3"/>
  <c r="AE32" i="3"/>
  <c r="AD32" i="3"/>
  <c r="AC32" i="3"/>
  <c r="AB32" i="3"/>
  <c r="AA32" i="3"/>
  <c r="AF31" i="3"/>
  <c r="AE31" i="3"/>
  <c r="AD31" i="3"/>
  <c r="AC31" i="3"/>
  <c r="AB31" i="3"/>
  <c r="AA31" i="3"/>
  <c r="AF30" i="3"/>
  <c r="AE30" i="3"/>
  <c r="AD30" i="3"/>
  <c r="AC30" i="3"/>
  <c r="AB30" i="3"/>
  <c r="AA30" i="3"/>
  <c r="AF29" i="3"/>
  <c r="AE29" i="3"/>
  <c r="AD29" i="3"/>
  <c r="AC29" i="3"/>
  <c r="AB29" i="3"/>
  <c r="AA29" i="3"/>
  <c r="AF28" i="3"/>
  <c r="AE28" i="3"/>
  <c r="AD28" i="3"/>
  <c r="AC28" i="3"/>
  <c r="AB28" i="3"/>
  <c r="AA28" i="3"/>
  <c r="AF27" i="3"/>
  <c r="AE27" i="3"/>
  <c r="AD27" i="3"/>
  <c r="AC27" i="3"/>
  <c r="AB27" i="3"/>
  <c r="AA27" i="3"/>
  <c r="AF26" i="3"/>
  <c r="AE26" i="3"/>
  <c r="AD26" i="3"/>
  <c r="AC26" i="3"/>
  <c r="AB26" i="3"/>
  <c r="AA26" i="3"/>
  <c r="AF25" i="3"/>
  <c r="AE25" i="3"/>
  <c r="AD25" i="3"/>
  <c r="AC25" i="3"/>
  <c r="AB25" i="3"/>
  <c r="AA25" i="3"/>
  <c r="AF24" i="3"/>
  <c r="AE24" i="3"/>
  <c r="AD24" i="3"/>
  <c r="AC24" i="3"/>
  <c r="AB24" i="3"/>
  <c r="AA24" i="3"/>
  <c r="AF23" i="3"/>
  <c r="AE23" i="3"/>
  <c r="AD23" i="3"/>
  <c r="AC23" i="3"/>
  <c r="AB23" i="3"/>
  <c r="AA23" i="3"/>
  <c r="AF22" i="3"/>
  <c r="AE22" i="3"/>
  <c r="AD22" i="3"/>
  <c r="AC22" i="3"/>
  <c r="AB22" i="3"/>
  <c r="AA22" i="3"/>
  <c r="AF21" i="3"/>
  <c r="AE21" i="3"/>
  <c r="AD21" i="3"/>
  <c r="AC21" i="3"/>
  <c r="AB21" i="3"/>
  <c r="AA21" i="3"/>
  <c r="AF20" i="3"/>
  <c r="AE20" i="3"/>
  <c r="AD20" i="3"/>
  <c r="AC20" i="3"/>
  <c r="AB20" i="3"/>
  <c r="AA20" i="3"/>
  <c r="AF19" i="3"/>
  <c r="AE19" i="3"/>
  <c r="AD19" i="3"/>
  <c r="AC19" i="3"/>
  <c r="AB19" i="3"/>
  <c r="AA19" i="3"/>
  <c r="AF18" i="3"/>
  <c r="AE18" i="3"/>
  <c r="AD18" i="3"/>
  <c r="AC18" i="3"/>
  <c r="AB18" i="3"/>
  <c r="AA18" i="3"/>
  <c r="AF17" i="3"/>
  <c r="AE17" i="3"/>
  <c r="AD17" i="3"/>
  <c r="AC17" i="3"/>
  <c r="AB17" i="3"/>
  <c r="AA17" i="3"/>
  <c r="AF16" i="3"/>
  <c r="AE16" i="3"/>
  <c r="AD16" i="3"/>
  <c r="AC16" i="3"/>
  <c r="AB16" i="3"/>
  <c r="AA16" i="3"/>
  <c r="AF15" i="3"/>
  <c r="AE15" i="3"/>
  <c r="AD15" i="3"/>
  <c r="AC15" i="3"/>
  <c r="AB15" i="3"/>
  <c r="AA15" i="3"/>
  <c r="AF14" i="3"/>
  <c r="AE14" i="3"/>
  <c r="AD14" i="3"/>
  <c r="AC14" i="3"/>
  <c r="AB14" i="3"/>
  <c r="AA14" i="3"/>
  <c r="AF13" i="3"/>
  <c r="AE13" i="3"/>
  <c r="AD13" i="3"/>
  <c r="AC13" i="3"/>
  <c r="AB13" i="3"/>
  <c r="AA13" i="3"/>
  <c r="AF12" i="3"/>
  <c r="AE12" i="3"/>
  <c r="AD12" i="3"/>
  <c r="AC12" i="3"/>
  <c r="AB12" i="3"/>
  <c r="AA12" i="3"/>
  <c r="AF11" i="3"/>
  <c r="AE11" i="3"/>
  <c r="AD11" i="3"/>
  <c r="AC11" i="3"/>
  <c r="AB11" i="3"/>
  <c r="AA11" i="3"/>
  <c r="AF10" i="3"/>
  <c r="AE10" i="3"/>
  <c r="AD10" i="3"/>
  <c r="AC10" i="3"/>
  <c r="AB10" i="3"/>
  <c r="AA10" i="3"/>
  <c r="AF9" i="3"/>
  <c r="AE9" i="3"/>
  <c r="AD9" i="3"/>
  <c r="AC9" i="3"/>
  <c r="AB9" i="3"/>
  <c r="AA9" i="3"/>
  <c r="AF8" i="3"/>
  <c r="AE8" i="3"/>
  <c r="AD8" i="3"/>
  <c r="AC8" i="3"/>
  <c r="AB8" i="3"/>
  <c r="AA8" i="3"/>
  <c r="AF7" i="3"/>
  <c r="AE7" i="3"/>
  <c r="AD7" i="3"/>
  <c r="AC7" i="3"/>
  <c r="AB7" i="3"/>
  <c r="AA7" i="3"/>
  <c r="AF6" i="3"/>
  <c r="AE6" i="3"/>
  <c r="AD6" i="3"/>
  <c r="AC6" i="3"/>
  <c r="AB6" i="3"/>
  <c r="AA6" i="3"/>
  <c r="AF5" i="3"/>
  <c r="AE5" i="3"/>
  <c r="AD5" i="3"/>
  <c r="AC5" i="3"/>
  <c r="AB5" i="3"/>
  <c r="AA5" i="3"/>
  <c r="N81" i="2"/>
  <c r="M81" i="2"/>
  <c r="L81" i="2"/>
  <c r="K81" i="2"/>
  <c r="J81" i="2"/>
  <c r="N80" i="2"/>
  <c r="M80" i="2"/>
  <c r="L80" i="2"/>
  <c r="K80" i="2"/>
  <c r="E71" i="2"/>
  <c r="E35" i="9" s="1"/>
  <c r="D71" i="2"/>
  <c r="D35" i="9" s="1"/>
  <c r="C71" i="2"/>
  <c r="C35" i="9" s="1"/>
  <c r="F62" i="2"/>
  <c r="E62" i="2"/>
  <c r="D62" i="2"/>
  <c r="F61" i="2"/>
  <c r="E61" i="2"/>
  <c r="D61" i="2"/>
  <c r="F41" i="2"/>
  <c r="E41" i="2"/>
  <c r="D41" i="2"/>
  <c r="C41" i="2"/>
  <c r="C31" i="2"/>
  <c r="E20" i="2"/>
  <c r="D20" i="2"/>
  <c r="E19" i="2"/>
  <c r="D19" i="2"/>
  <c r="E18" i="2"/>
  <c r="D18" i="2"/>
  <c r="E17" i="2"/>
  <c r="E21" i="2" s="1"/>
  <c r="D17" i="2"/>
  <c r="C11" i="2"/>
  <c r="C8" i="2"/>
  <c r="C8" i="9" s="1"/>
  <c r="C7" i="2"/>
  <c r="C6" i="2"/>
  <c r="C6" i="9" s="1"/>
  <c r="L57" i="12" l="1"/>
  <c r="L81" i="12"/>
  <c r="L16" i="12"/>
  <c r="M16" i="12" s="1"/>
  <c r="L24" i="12"/>
  <c r="L39" i="12"/>
  <c r="M39" i="12" s="1"/>
  <c r="L47" i="12"/>
  <c r="M47" i="12" s="1"/>
  <c r="M133" i="12"/>
  <c r="M136" i="12"/>
  <c r="M112" i="12"/>
  <c r="M113" i="12"/>
  <c r="M115" i="12"/>
  <c r="L8" i="12"/>
  <c r="M8" i="12" s="1"/>
  <c r="G11" i="6"/>
  <c r="G15" i="6"/>
  <c r="E58" i="8"/>
  <c r="E34" i="8"/>
  <c r="M138" i="12"/>
  <c r="M103" i="12"/>
  <c r="M95" i="12"/>
  <c r="M137" i="12"/>
  <c r="M106" i="12"/>
  <c r="M107" i="12"/>
  <c r="M119" i="12"/>
  <c r="M125" i="12"/>
  <c r="M97" i="12"/>
  <c r="M117" i="12"/>
  <c r="M116" i="12"/>
  <c r="M96" i="12"/>
  <c r="M100" i="12"/>
  <c r="M101" i="12"/>
  <c r="M110" i="12"/>
  <c r="M124" i="12"/>
  <c r="M127" i="12"/>
  <c r="M128" i="12"/>
  <c r="M130" i="12"/>
  <c r="L59" i="12"/>
  <c r="M59" i="12" s="1"/>
  <c r="L18" i="12"/>
  <c r="M18" i="12" s="1"/>
  <c r="J7" i="4"/>
  <c r="D34" i="8"/>
  <c r="L51" i="12"/>
  <c r="M51" i="12" s="1"/>
  <c r="M57" i="12"/>
  <c r="M81" i="12"/>
  <c r="L25" i="12"/>
  <c r="M25" i="12" s="1"/>
  <c r="L32" i="12"/>
  <c r="M32" i="12" s="1"/>
  <c r="L40" i="12"/>
  <c r="M40" i="12" s="1"/>
  <c r="L48" i="12"/>
  <c r="M48" i="12" s="1"/>
  <c r="L56" i="12"/>
  <c r="M56" i="12" s="1"/>
  <c r="L64" i="12"/>
  <c r="M64" i="12" s="1"/>
  <c r="L72" i="12"/>
  <c r="M72" i="12" s="1"/>
  <c r="L80" i="12"/>
  <c r="M80" i="12" s="1"/>
  <c r="L89" i="12"/>
  <c r="M89" i="12" s="1"/>
  <c r="M24" i="12"/>
  <c r="L55" i="12"/>
  <c r="M55" i="12" s="1"/>
  <c r="L63" i="12"/>
  <c r="M63" i="12" s="1"/>
  <c r="L71" i="12"/>
  <c r="M71" i="12" s="1"/>
  <c r="L79" i="12"/>
  <c r="M79" i="12" s="1"/>
  <c r="L88" i="12"/>
  <c r="H11" i="6"/>
  <c r="L7" i="12"/>
  <c r="M7" i="12" s="1"/>
  <c r="L15" i="12"/>
  <c r="M15" i="12" s="1"/>
  <c r="L23" i="12"/>
  <c r="M23" i="12" s="1"/>
  <c r="L31" i="12"/>
  <c r="M31" i="12" s="1"/>
  <c r="L70" i="12"/>
  <c r="M70" i="12" s="1"/>
  <c r="L78" i="12"/>
  <c r="M78" i="12" s="1"/>
  <c r="L87" i="12"/>
  <c r="M87" i="12" s="1"/>
  <c r="L11" i="12"/>
  <c r="M11" i="12" s="1"/>
  <c r="L19" i="12"/>
  <c r="M19" i="12" s="1"/>
  <c r="L50" i="12"/>
  <c r="M50" i="12" s="1"/>
  <c r="L82" i="12"/>
  <c r="M82" i="12" s="1"/>
  <c r="L91" i="12"/>
  <c r="M91" i="12" s="1"/>
  <c r="L90" i="12"/>
  <c r="M90" i="12" s="1"/>
  <c r="H15" i="6"/>
  <c r="H7" i="6"/>
  <c r="L17" i="12"/>
  <c r="M17" i="12" s="1"/>
  <c r="L68" i="12"/>
  <c r="M68" i="12" s="1"/>
  <c r="I7" i="4"/>
  <c r="L42" i="12"/>
  <c r="M42" i="12" s="1"/>
  <c r="L10" i="12"/>
  <c r="M10" i="12" s="1"/>
  <c r="L76" i="12"/>
  <c r="M76" i="12" s="1"/>
  <c r="L77" i="12"/>
  <c r="M77" i="12" s="1"/>
  <c r="L67" i="12"/>
  <c r="M67" i="12" s="1"/>
  <c r="L12" i="12"/>
  <c r="M12" i="12" s="1"/>
  <c r="L28" i="12"/>
  <c r="M28" i="12" s="1"/>
  <c r="L36" i="12"/>
  <c r="M36" i="12" s="1"/>
  <c r="L61" i="12"/>
  <c r="M61" i="12" s="1"/>
  <c r="L69" i="12"/>
  <c r="M69" i="12" s="1"/>
  <c r="L60" i="12"/>
  <c r="M60" i="12" s="1"/>
  <c r="L33" i="12"/>
  <c r="M33" i="12" s="1"/>
  <c r="L41" i="12"/>
  <c r="M41" i="12" s="1"/>
  <c r="L49" i="12"/>
  <c r="M49" i="12" s="1"/>
  <c r="M111" i="12"/>
  <c r="L73" i="12"/>
  <c r="M73" i="12" s="1"/>
  <c r="L84" i="12"/>
  <c r="M84" i="12" s="1"/>
  <c r="L6" i="12"/>
  <c r="L14" i="12"/>
  <c r="M14" i="12" s="1"/>
  <c r="L22" i="12"/>
  <c r="M22" i="12" s="1"/>
  <c r="L30" i="12"/>
  <c r="M30" i="12" s="1"/>
  <c r="L38" i="12"/>
  <c r="M38" i="12" s="1"/>
  <c r="L13" i="12"/>
  <c r="M13" i="12" s="1"/>
  <c r="L21" i="12"/>
  <c r="M21" i="12" s="1"/>
  <c r="L45" i="12"/>
  <c r="M45" i="12" s="1"/>
  <c r="L53" i="12"/>
  <c r="M53" i="12" s="1"/>
  <c r="M123" i="12"/>
  <c r="L58" i="12"/>
  <c r="M58" i="12" s="1"/>
  <c r="L66" i="12"/>
  <c r="M66" i="12" s="1"/>
  <c r="L75" i="12"/>
  <c r="M75" i="12" s="1"/>
  <c r="L9" i="12"/>
  <c r="M9" i="12" s="1"/>
  <c r="L29" i="12"/>
  <c r="M29" i="12" s="1"/>
  <c r="L37" i="12"/>
  <c r="M37" i="12" s="1"/>
  <c r="L46" i="12"/>
  <c r="L54" i="12"/>
  <c r="M54" i="12" s="1"/>
  <c r="L65" i="12"/>
  <c r="M65" i="12" s="1"/>
  <c r="L74" i="12"/>
  <c r="M74" i="12" s="1"/>
  <c r="L85" i="12"/>
  <c r="M85" i="12" s="1"/>
  <c r="L94" i="12"/>
  <c r="E35" i="8" s="1"/>
  <c r="L27" i="12"/>
  <c r="M27" i="12" s="1"/>
  <c r="L35" i="12"/>
  <c r="M35" i="12" s="1"/>
  <c r="L44" i="12"/>
  <c r="M44" i="12" s="1"/>
  <c r="M132" i="12"/>
  <c r="L5" i="12"/>
  <c r="M5" i="12" s="1"/>
  <c r="L26" i="12"/>
  <c r="M26" i="12" s="1"/>
  <c r="L34" i="12"/>
  <c r="M34" i="12" s="1"/>
  <c r="L43" i="12"/>
  <c r="M43" i="12" s="1"/>
  <c r="L62" i="12"/>
  <c r="M62" i="12" s="1"/>
  <c r="E56" i="2"/>
  <c r="D56" i="2"/>
  <c r="C56" i="2"/>
  <c r="D65" i="2"/>
  <c r="C24" i="9" s="1"/>
  <c r="F20" i="2"/>
  <c r="M134" i="12"/>
  <c r="M120" i="12"/>
  <c r="D58" i="8"/>
  <c r="F17" i="2"/>
  <c r="M108" i="12"/>
  <c r="C58" i="8"/>
  <c r="C57" i="8"/>
  <c r="C56" i="8"/>
  <c r="C12" i="2"/>
  <c r="C7" i="9"/>
  <c r="C11" i="9" s="1"/>
  <c r="F65" i="2"/>
  <c r="E24" i="9" s="1"/>
  <c r="F18" i="2"/>
  <c r="E65" i="2"/>
  <c r="D24" i="9" s="1"/>
  <c r="F19" i="2"/>
  <c r="C13" i="2"/>
  <c r="E56" i="8"/>
  <c r="C30" i="10"/>
  <c r="E30" i="10"/>
  <c r="M102" i="12"/>
  <c r="M121" i="12"/>
  <c r="M135" i="12"/>
  <c r="E49" i="8"/>
  <c r="D30" i="10"/>
  <c r="D15" i="8"/>
  <c r="D21" i="2"/>
  <c r="E15" i="8"/>
  <c r="C34" i="8"/>
  <c r="L92" i="12"/>
  <c r="M126" i="12"/>
  <c r="C13" i="8"/>
  <c r="M109" i="12"/>
  <c r="D56" i="8"/>
  <c r="M99" i="12"/>
  <c r="M131" i="12"/>
  <c r="E55" i="2"/>
  <c r="D55" i="2"/>
  <c r="C55" i="2"/>
  <c r="E7" i="4"/>
  <c r="H7" i="4" s="1"/>
  <c r="M118" i="12"/>
  <c r="E57" i="8"/>
  <c r="E13" i="8"/>
  <c r="D57" i="8"/>
  <c r="D13" i="8"/>
  <c r="M122" i="12"/>
  <c r="C15" i="8"/>
  <c r="L20" i="12"/>
  <c r="L52" i="12"/>
  <c r="M52" i="12" s="1"/>
  <c r="L83" i="12"/>
  <c r="M83" i="12" s="1"/>
  <c r="M104" i="12"/>
  <c r="M105" i="12"/>
  <c r="E38" i="8" l="1"/>
  <c r="C57" i="2"/>
  <c r="C18" i="9" s="1"/>
  <c r="E57" i="2"/>
  <c r="E18" i="9" s="1"/>
  <c r="E48" i="8"/>
  <c r="C38" i="8"/>
  <c r="D57" i="2"/>
  <c r="D18" i="9" s="1"/>
  <c r="M88" i="12"/>
  <c r="E26" i="10" s="1"/>
  <c r="C22" i="8"/>
  <c r="C33" i="9" s="1"/>
  <c r="D48" i="8"/>
  <c r="C47" i="8"/>
  <c r="D31" i="10"/>
  <c r="D45" i="8"/>
  <c r="C45" i="8"/>
  <c r="E45" i="8"/>
  <c r="E37" i="8"/>
  <c r="D36" i="8"/>
  <c r="D34" i="10"/>
  <c r="D47" i="8"/>
  <c r="D38" i="8"/>
  <c r="D22" i="8"/>
  <c r="D33" i="9" s="1"/>
  <c r="M6" i="12"/>
  <c r="C26" i="10" s="1"/>
  <c r="D27" i="8"/>
  <c r="C46" i="8"/>
  <c r="C34" i="10"/>
  <c r="C21" i="8"/>
  <c r="C32" i="9" s="1"/>
  <c r="C44" i="8"/>
  <c r="D32" i="10"/>
  <c r="M94" i="12"/>
  <c r="E31" i="10" s="1"/>
  <c r="E22" i="8"/>
  <c r="E33" i="9" s="1"/>
  <c r="E27" i="8"/>
  <c r="C37" i="8"/>
  <c r="E21" i="8"/>
  <c r="E32" i="9" s="1"/>
  <c r="E54" i="8"/>
  <c r="D46" i="8"/>
  <c r="E44" i="8"/>
  <c r="C48" i="8"/>
  <c r="C27" i="8"/>
  <c r="C55" i="8"/>
  <c r="M46" i="12"/>
  <c r="D6" i="10" s="1"/>
  <c r="D9" i="10" s="1"/>
  <c r="D18" i="11" s="1"/>
  <c r="D21" i="8"/>
  <c r="D32" i="9" s="1"/>
  <c r="D37" i="8"/>
  <c r="C36" i="8"/>
  <c r="E47" i="8"/>
  <c r="D55" i="8"/>
  <c r="D44" i="8"/>
  <c r="M20" i="12"/>
  <c r="C27" i="10" s="1"/>
  <c r="C12" i="8"/>
  <c r="C14" i="8" s="1"/>
  <c r="C28" i="8"/>
  <c r="C54" i="8"/>
  <c r="C35" i="8"/>
  <c r="M92" i="12"/>
  <c r="E20" i="8"/>
  <c r="E20" i="10" s="1"/>
  <c r="E33" i="10"/>
  <c r="D21" i="10"/>
  <c r="F21" i="2"/>
  <c r="E55" i="8"/>
  <c r="C32" i="10"/>
  <c r="E36" i="8"/>
  <c r="D20" i="8"/>
  <c r="D10" i="11"/>
  <c r="E28" i="8"/>
  <c r="D28" i="8"/>
  <c r="D54" i="8"/>
  <c r="E12" i="8"/>
  <c r="C9" i="11"/>
  <c r="D49" i="8"/>
  <c r="D27" i="10"/>
  <c r="C49" i="8"/>
  <c r="C20" i="8"/>
  <c r="D12" i="8"/>
  <c r="D14" i="8" s="1"/>
  <c r="D35" i="8"/>
  <c r="E46" i="8"/>
  <c r="E34" i="10" l="1"/>
  <c r="C10" i="11"/>
  <c r="C33" i="10"/>
  <c r="C34" i="9"/>
  <c r="C21" i="10"/>
  <c r="D22" i="10" s="1"/>
  <c r="G44" i="8"/>
  <c r="C59" i="8"/>
  <c r="D33" i="10"/>
  <c r="G46" i="8"/>
  <c r="E59" i="8"/>
  <c r="G48" i="8"/>
  <c r="C6" i="10"/>
  <c r="C9" i="10" s="1"/>
  <c r="C10" i="10" s="1"/>
  <c r="D34" i="9"/>
  <c r="E34" i="9"/>
  <c r="C40" i="8"/>
  <c r="C16" i="8"/>
  <c r="C30" i="9"/>
  <c r="G34" i="8"/>
  <c r="C16" i="9"/>
  <c r="C31" i="10"/>
  <c r="G37" i="8"/>
  <c r="D26" i="10"/>
  <c r="D28" i="10" s="1"/>
  <c r="C7" i="10"/>
  <c r="G38" i="8"/>
  <c r="G35" i="8"/>
  <c r="G36" i="8"/>
  <c r="G45" i="8"/>
  <c r="E21" i="10"/>
  <c r="E30" i="8"/>
  <c r="E23" i="9" s="1"/>
  <c r="E6" i="10"/>
  <c r="E9" i="10" s="1"/>
  <c r="E18" i="11" s="1"/>
  <c r="E31" i="9"/>
  <c r="C17" i="9"/>
  <c r="C15" i="11" s="1"/>
  <c r="C50" i="8"/>
  <c r="G47" i="8"/>
  <c r="C39" i="8"/>
  <c r="C17" i="11" s="1"/>
  <c r="E27" i="10"/>
  <c r="E28" i="10" s="1"/>
  <c r="D59" i="8"/>
  <c r="C29" i="8"/>
  <c r="C16" i="11" s="1"/>
  <c r="D9" i="11"/>
  <c r="C28" i="10"/>
  <c r="E32" i="10"/>
  <c r="E14" i="8"/>
  <c r="I49" i="8" s="1"/>
  <c r="E16" i="8"/>
  <c r="D39" i="8"/>
  <c r="D17" i="11" s="1"/>
  <c r="D7" i="10"/>
  <c r="D8" i="10" s="1"/>
  <c r="D16" i="9"/>
  <c r="H49" i="8"/>
  <c r="H45" i="8"/>
  <c r="H37" i="8"/>
  <c r="D30" i="9"/>
  <c r="D50" i="8"/>
  <c r="D29" i="8"/>
  <c r="H47" i="8"/>
  <c r="H34" i="8"/>
  <c r="H38" i="8"/>
  <c r="H36" i="8"/>
  <c r="H35" i="8"/>
  <c r="H46" i="8"/>
  <c r="H44" i="8"/>
  <c r="H48" i="8"/>
  <c r="D17" i="9"/>
  <c r="D31" i="9"/>
  <c r="D30" i="8"/>
  <c r="D23" i="9" s="1"/>
  <c r="D20" i="10"/>
  <c r="D23" i="8"/>
  <c r="D40" i="8"/>
  <c r="G49" i="8"/>
  <c r="C20" i="10"/>
  <c r="C31" i="9"/>
  <c r="C30" i="8"/>
  <c r="C23" i="9" s="1"/>
  <c r="C23" i="8"/>
  <c r="D16" i="8"/>
  <c r="C37" i="9" l="1"/>
  <c r="E22" i="10"/>
  <c r="C22" i="10"/>
  <c r="I35" i="8"/>
  <c r="I45" i="8"/>
  <c r="C8" i="10"/>
  <c r="C16" i="10"/>
  <c r="C18" i="11"/>
  <c r="D10" i="10"/>
  <c r="E29" i="8"/>
  <c r="E25" i="9" s="1"/>
  <c r="E7" i="10"/>
  <c r="E8" i="10" s="1"/>
  <c r="E30" i="9"/>
  <c r="E36" i="9" s="1"/>
  <c r="E39" i="8"/>
  <c r="E17" i="11" s="1"/>
  <c r="I47" i="8"/>
  <c r="I48" i="8"/>
  <c r="E16" i="9"/>
  <c r="I34" i="8"/>
  <c r="I38" i="8"/>
  <c r="C36" i="9"/>
  <c r="D16" i="10"/>
  <c r="C25" i="9"/>
  <c r="I44" i="8"/>
  <c r="I46" i="8"/>
  <c r="E50" i="8"/>
  <c r="I37" i="8"/>
  <c r="E10" i="10"/>
  <c r="C19" i="9"/>
  <c r="C14" i="10"/>
  <c r="C19" i="11"/>
  <c r="I36" i="8"/>
  <c r="E40" i="8"/>
  <c r="E23" i="8"/>
  <c r="E17" i="9"/>
  <c r="D36" i="9"/>
  <c r="D37" i="9"/>
  <c r="D15" i="11"/>
  <c r="D19" i="9"/>
  <c r="D25" i="9"/>
  <c r="D16" i="11"/>
  <c r="D15" i="10" l="1"/>
  <c r="C15" i="10"/>
  <c r="E37" i="9"/>
  <c r="D14" i="10"/>
  <c r="E16" i="11"/>
  <c r="E15" i="11"/>
  <c r="E19" i="9"/>
  <c r="D19" i="11"/>
  <c r="E19" i="11" l="1"/>
  <c r="E20" i="11" s="1"/>
  <c r="C44" i="11" s="1"/>
  <c r="E43" i="11" l="1"/>
  <c r="E28" i="11"/>
  <c r="D44" i="11"/>
  <c r="E25" i="11"/>
  <c r="C43" i="11"/>
  <c r="F25" i="11"/>
  <c r="G27" i="11"/>
  <c r="E45" i="11"/>
  <c r="F29" i="11"/>
  <c r="D29" i="11"/>
  <c r="E36" i="11"/>
  <c r="E44" i="11"/>
  <c r="F44" i="11" s="1"/>
  <c r="E27" i="11"/>
  <c r="G29" i="11"/>
  <c r="H27" i="11"/>
  <c r="C26" i="11"/>
  <c r="D38" i="11"/>
  <c r="C38" i="11"/>
  <c r="D37" i="11"/>
  <c r="F39" i="11"/>
  <c r="E38" i="11"/>
  <c r="D43" i="11"/>
  <c r="D25" i="11"/>
  <c r="G25" i="11"/>
  <c r="D26" i="11"/>
  <c r="D28" i="11"/>
  <c r="C29" i="11"/>
  <c r="D35" i="11"/>
  <c r="F28" i="11"/>
  <c r="G28" i="11"/>
  <c r="C37" i="11"/>
  <c r="D27" i="11"/>
  <c r="H26" i="11"/>
  <c r="C39" i="11"/>
  <c r="C35" i="11"/>
  <c r="E39" i="11"/>
  <c r="C25" i="11"/>
  <c r="H28" i="11"/>
  <c r="H29" i="11"/>
  <c r="C28" i="11"/>
  <c r="F26" i="11"/>
  <c r="D39" i="11"/>
  <c r="F35" i="11"/>
  <c r="D45" i="11"/>
  <c r="C27" i="11"/>
  <c r="G37" i="11"/>
  <c r="G36" i="11"/>
  <c r="F36" i="11"/>
  <c r="C45" i="11"/>
  <c r="E37" i="11"/>
  <c r="F27" i="11"/>
  <c r="F37" i="11"/>
  <c r="C36" i="11"/>
  <c r="D36" i="11"/>
  <c r="F38" i="11"/>
  <c r="G39" i="11"/>
  <c r="E35" i="11"/>
  <c r="G38" i="11"/>
  <c r="E26" i="11"/>
  <c r="G35" i="11"/>
  <c r="E29" i="11"/>
  <c r="G26" i="11"/>
  <c r="H25" i="11"/>
  <c r="F45" i="11" l="1"/>
  <c r="F43" i="11"/>
</calcChain>
</file>

<file path=xl/sharedStrings.xml><?xml version="1.0" encoding="utf-8"?>
<sst xmlns="http://schemas.openxmlformats.org/spreadsheetml/2006/main" count="3459" uniqueCount="838">
  <si>
    <t>MetLife Japan  |  Data Infrastructure  —  Domain Framework &amp; Pricing Engine</t>
  </si>
  <si>
    <t>INTERNAL — Capgemini review copy. Three applications, two value streams, MGCC already embedded.</t>
  </si>
  <si>
    <t>WHAT IS DIFFERENT ABOUT THIS DOMAIN</t>
  </si>
  <si>
    <t>Scale</t>
  </si>
  <si>
    <t>Three applications, 100.8 effort units — 6.7% of the portfolio. Contract Management is 28 applications and 230.8 units.</t>
  </si>
  <si>
    <t>Two value streams</t>
  </si>
  <si>
    <t>Informatica (BCMETL + BCMHRP, 50.7u) and Azure Synapse (JDPREP, 50.1u). Almost exactly half each.</t>
  </si>
  <si>
    <t>Sunset asymmetry</t>
  </si>
  <si>
    <t>Synapse is the go-forward platform. Informatica is on a sunset path, but the modernisation is OUT OF SCOPE of this RFP — so we run it, we do not migrate it, and we do not build an agent estate for it.</t>
  </si>
  <si>
    <t>MGCC is already here</t>
  </si>
  <si>
    <t>16.0 units of MGCC across both platforms. Contract Management had none. That changes the 50:50 arithmetic completely.</t>
  </si>
  <si>
    <t>The headline finding</t>
  </si>
  <si>
    <t>Productivity alone crosses 50:50 during Year 3 and lands at 41:59. Year 2 sits just short at 52:48. No transfer of employment is required in this domain — the opposite question arises.</t>
  </si>
  <si>
    <t>HOW THE MODEL WORKS</t>
  </si>
  <si>
    <t>Direction of travel</t>
  </si>
  <si>
    <t>Bottom-up. You define seats in pods; the workbook derives headcount, productivity, offshore share, experience mix and cost. Nothing is asserted.</t>
  </si>
  <si>
    <t>Realisation is per value stream</t>
  </si>
  <si>
    <t>Not just per archetype. Informatica realises less of its AI ceiling because we are not investing in a platform being retired.</t>
  </si>
  <si>
    <t>Offshore is measured on Capgemini effort</t>
  </si>
  <si>
    <t>The 19 onshore MetLife FTE are their placement decision, not ours. The ceiling governs the work we can place, so the tree is applied to Capgemini seats.</t>
  </si>
  <si>
    <t>Pod sizes are not a uniform ladder</t>
  </si>
  <si>
    <t>Synapse 9→7→6, Informatica 8→7→6, and fully-sourced pods differ from co-sourced. See the Pod Library sheet.</t>
  </si>
  <si>
    <t>Fully-sourced pods carry MetLife too</t>
  </si>
  <si>
    <t>A product owner, and on Synapse a data architect — fractional in Year 1 where shared across two pods. Full ownership of the output still sits with Capgemini.</t>
  </si>
  <si>
    <t>CELL COLOUR CONVENTION</t>
  </si>
  <si>
    <t>Blue text</t>
  </si>
  <si>
    <t>Input. Change these.</t>
  </si>
  <si>
    <t>Black text</t>
  </si>
  <si>
    <t>Formula. Do not overwrite.</t>
  </si>
  <si>
    <t>Green text</t>
  </si>
  <si>
    <t>Link to another sheet in this workbook.</t>
  </si>
  <si>
    <t>Amber fill</t>
  </si>
  <si>
    <t>Key assumption requiring sign-off before this model is used to price.</t>
  </si>
  <si>
    <t>SHEET MAP</t>
  </si>
  <si>
    <t>Logic Tree</t>
  </si>
  <si>
    <t>Parametric drivers: phase mix, AI ceiling per archetype, realisation per value stream, offshore ceilings, cost index.</t>
  </si>
  <si>
    <t>Inventory</t>
  </si>
  <si>
    <t>All 142 applications with derived archetype. Filter to a domain to see its mix.</t>
  </si>
  <si>
    <t>Value Streams</t>
  </si>
  <si>
    <t>The two streams, their applications and the AD / run split.</t>
  </si>
  <si>
    <t>Pod Library</t>
  </si>
  <si>
    <t>INPUT. Every seat in every pod archetype, by year AND by value stream. Counts may be fractional.</t>
  </si>
  <si>
    <t>Pod Plan</t>
  </si>
  <si>
    <t>INPUT. Co-sourced and fully-sourced pod counts per stream per year.</t>
  </si>
  <si>
    <t>Horizontal Teams</t>
  </si>
  <si>
    <t>INPUT. The three cross-cutting teams.</t>
  </si>
  <si>
    <t>Seat Ledger</t>
  </si>
  <si>
    <t>Computed. Every pod line multiplied out, plus horizontals. All roll-ups read from here.</t>
  </si>
  <si>
    <t>Team Build-Up</t>
  </si>
  <si>
    <t>Computed. Headcount by year, sourcing, location, experience band and skill family.</t>
  </si>
  <si>
    <t>Glidepath &amp; 50-50</t>
  </si>
  <si>
    <t>Computed. Productivity and offshore, target vs delivered, and the ratio.</t>
  </si>
  <si>
    <t>Cost &amp; Commercial</t>
  </si>
  <si>
    <t>Computed. Cost index, unit cost, and the Capgemini position.</t>
  </si>
  <si>
    <t>Unit Cost Sensitivity</t>
  </si>
  <si>
    <t>NEW. How experience mix, offshore share and productivity interact to move unit cost.</t>
  </si>
  <si>
    <t>ASSUMPTIONS REQUIRING SIGN-OFF</t>
  </si>
  <si>
    <t>Cost index</t>
  </si>
  <si>
    <t>Relative only. Onshore Tokyo E2 = 1.00, offshore roughly one third at like-for-like band. Replace with the approved rate card before pricing.</t>
  </si>
  <si>
    <t>Informatica realisation</t>
  </si>
  <si>
    <t>20 / 40 / 55% against its ceiling, versus 25 / 55 / 75% for Synapse. This is the sunset discount and it is a judgement, not a measurement.</t>
  </si>
  <si>
    <t>Informatica is a priority transfer target</t>
  </si>
  <si>
    <t>Both BCMETL and BCMHRP carry Priority Transfer Targets = Y. The portfolio bedrock says route archetype C to MGCC. Because this platform is being retired, transferring it builds a capability MetLife will not keep — see the decision on Glidepath &amp; 50-50.</t>
  </si>
  <si>
    <t>Logic Tree  —  parametric drivers for productivity, offshore and cost</t>
  </si>
  <si>
    <t>Change the blue cells. Every downstream number re-derives.</t>
  </si>
  <si>
    <t>A.  DOMAIN AND EFFORT BASE</t>
  </si>
  <si>
    <t>Domain</t>
  </si>
  <si>
    <t>Data Infrastructure</t>
  </si>
  <si>
    <t>Must match the Inventory domain column exactly.</t>
  </si>
  <si>
    <t>Applications in domain</t>
  </si>
  <si>
    <t>Total effort (units)</t>
  </si>
  <si>
    <t>Current FTC</t>
  </si>
  <si>
    <t>Current FTE</t>
  </si>
  <si>
    <t>Current MGCC</t>
  </si>
  <si>
    <t>AD effort (%PRJ weighted)</t>
  </si>
  <si>
    <t>Run effort</t>
  </si>
  <si>
    <t>AD share of effort</t>
  </si>
  <si>
    <t>B.  ARCHETYPE MIX OF THIS DOMAIN</t>
  </si>
  <si>
    <t>Archetype</t>
  </si>
  <si>
    <t>Definition</t>
  </si>
  <si>
    <t>Apps</t>
  </si>
  <si>
    <t>Effort</t>
  </si>
  <si>
    <t>Share</t>
  </si>
  <si>
    <t>A</t>
  </si>
  <si>
    <t>Language-locked</t>
  </si>
  <si>
    <t>B</t>
  </si>
  <si>
    <t>Offshore-ready — modern stack, not a transfer target</t>
  </si>
  <si>
    <t>C</t>
  </si>
  <si>
    <t>MGCC-destined — Priority Transfer Target = Y</t>
  </si>
  <si>
    <t>D</t>
  </si>
  <si>
    <t>Legacy-coupled core</t>
  </si>
  <si>
    <t>Total</t>
  </si>
  <si>
    <t>C.  PRODUCTIVITY — GATE 1 : where the effort sits</t>
  </si>
  <si>
    <t>Delivery phase</t>
  </si>
  <si>
    <t>Share of effort</t>
  </si>
  <si>
    <t>Requirements &amp; impact analysis</t>
  </si>
  <si>
    <t>Design &amp; architecture</t>
  </si>
  <si>
    <t>Build &amp; code</t>
  </si>
  <si>
    <t>Test &amp; quality assurance</t>
  </si>
  <si>
    <t>Release &amp; deploy</t>
  </si>
  <si>
    <t>Run, monitor &amp; coordinate</t>
  </si>
  <si>
    <t>Total (must equal 100%)</t>
  </si>
  <si>
    <t>D.  PRODUCTIVITY — GATE 2 : AI-addressable share per phase, per archetype</t>
  </si>
  <si>
    <t>Weighted AI ceiling</t>
  </si>
  <si>
    <t>E.  GATE 3 : realisation, PER VALUE STREAM  —  Informatica carries a sunset discount</t>
  </si>
  <si>
    <t>Value stream</t>
  </si>
  <si>
    <t>Year 1</t>
  </si>
  <si>
    <t>Year 2</t>
  </si>
  <si>
    <t>Year 3</t>
  </si>
  <si>
    <t>Why it differs</t>
  </si>
  <si>
    <t>VS1 · Informatica</t>
  </si>
  <si>
    <t>Sunset path — no agent estate is built for a platform being retired</t>
  </si>
  <si>
    <t>VS2 · Azure Synapse</t>
  </si>
  <si>
    <t>Go-forward platform — full adoption curve</t>
  </si>
  <si>
    <t>F.  GATE 4 : the two non-AI components (cumulative)</t>
  </si>
  <si>
    <t>Driver</t>
  </si>
  <si>
    <t>Classical ADM productivity</t>
  </si>
  <si>
    <t>Operating-model productivity</t>
  </si>
  <si>
    <t>G.  RESULT : gross productivity by value stream, and for the domain</t>
  </si>
  <si>
    <t>VS1 gross productivity</t>
  </si>
  <si>
    <t>VS2 gross productivity</t>
  </si>
  <si>
    <t>DOMAIN gross productivity (effort-weighted)</t>
  </si>
  <si>
    <t>H.  OFFSHORE  —  ceiling per value stream, realisation applied to CAPGEMINI effort</t>
  </si>
  <si>
    <t>Ceiling</t>
  </si>
  <si>
    <t>Why capped there</t>
  </si>
  <si>
    <t>HOST/AS400 integration and Japanese master-data context stay onshore</t>
  </si>
  <si>
    <t>Modern PaaS, no language lock — the archetype B ceiling</t>
  </si>
  <si>
    <t>Realisation against ceiling</t>
  </si>
  <si>
    <t>DOMAIN offshore target (Capgemini effort)</t>
  </si>
  <si>
    <t>I.  TRANSFER OF EMPLOYMENT  —  none required in this domain. Year 3 is the only year it could occur.</t>
  </si>
  <si>
    <t>Transfer in year</t>
  </si>
  <si>
    <t>Capgemini to MetLife Japan (FTE)</t>
  </si>
  <si>
    <t>Capgemini to MetLife MGCC</t>
  </si>
  <si>
    <t>Cumulative transferred</t>
  </si>
  <si>
    <t>This domain needs none. Productivity alone crosses 50:50 during Year 3 — Year 2 still sits just short at 52:48.</t>
  </si>
  <si>
    <t>J.  COST INDEX  —  onshore Tokyo E2 = 1.00</t>
  </si>
  <si>
    <t>Location</t>
  </si>
  <si>
    <t>E1  0-3y</t>
  </si>
  <si>
    <t>E2  3-6y</t>
  </si>
  <si>
    <t>E3  6-10y</t>
  </si>
  <si>
    <t>E4  10-15y</t>
  </si>
  <si>
    <t>E5  15y+</t>
  </si>
  <si>
    <t>Onshore Tokyo</t>
  </si>
  <si>
    <t>Offshore Hyderabad</t>
  </si>
  <si>
    <t>key</t>
  </si>
  <si>
    <t>E1</t>
  </si>
  <si>
    <t>E2</t>
  </si>
  <si>
    <t>E3</t>
  </si>
  <si>
    <t>E4</t>
  </si>
  <si>
    <t>E5</t>
  </si>
  <si>
    <t>ON</t>
  </si>
  <si>
    <t>OFF</t>
  </si>
  <si>
    <t>Lookup keys for the Seat Ledger. Do not edit.</t>
  </si>
  <si>
    <t>Application inventory  —  Appendix 3 v2, with derived archetype and value stream</t>
  </si>
  <si>
    <t>Archetype applied at build time by the rule: mainframe language → D; else Priority Transfer Target → C; else SaaS → A; else B. Columns AG and AH are literals, re-derived when the model is rebuilt.</t>
  </si>
  <si>
    <t>#</t>
  </si>
  <si>
    <t>EAI ID</t>
  </si>
  <si>
    <t>Application</t>
  </si>
  <si>
    <t>Long name</t>
  </si>
  <si>
    <t>Group</t>
  </si>
  <si>
    <t>Team</t>
  </si>
  <si>
    <t>Class</t>
  </si>
  <si>
    <t>Critical</t>
  </si>
  <si>
    <t>Hosting</t>
  </si>
  <si>
    <t>Primary code language</t>
  </si>
  <si>
    <t>Cloud platform</t>
  </si>
  <si>
    <t>Priority transfer</t>
  </si>
  <si>
    <t>% of PRJ</t>
  </si>
  <si>
    <t>Target FTC</t>
  </si>
  <si>
    <t>Target FTE/MGCC</t>
  </si>
  <si>
    <t>App count</t>
  </si>
  <si>
    <t>FTC</t>
  </si>
  <si>
    <t>FTE</t>
  </si>
  <si>
    <t>MGCC</t>
  </si>
  <si>
    <t>AD share</t>
  </si>
  <si>
    <t>AD effort</t>
  </si>
  <si>
    <t>Global Sales Comp - Japan</t>
  </si>
  <si>
    <t>Fee Management</t>
  </si>
  <si>
    <t>Core Insurance Systems Group 34956</t>
  </si>
  <si>
    <t>Commission Systems Team 34958</t>
  </si>
  <si>
    <t>Core Business Application</t>
  </si>
  <si>
    <t>N</t>
  </si>
  <si>
    <t>Yes</t>
  </si>
  <si>
    <t>Other#Infomatica workflow Bash shell Dos batch</t>
  </si>
  <si>
    <t>Software as a Service (SaaS)</t>
  </si>
  <si>
    <t>LC POSPMC MF-JPN</t>
  </si>
  <si>
    <t>LifeComm POSPMC</t>
  </si>
  <si>
    <t>contract management</t>
  </si>
  <si>
    <t>Policy Admin Systems Team 34957</t>
  </si>
  <si>
    <t>Y</t>
  </si>
  <si>
    <t>Assembler, COBOL, MU(EASYPLUS), JCL</t>
  </si>
  <si>
    <t>LC Billing MF-JPN</t>
  </si>
  <si>
    <t>LifeComm Billing</t>
  </si>
  <si>
    <t>COBOL, Assembler, MU(EASYPLUS), JCL</t>
  </si>
  <si>
    <t>LC Collection MF-JPN</t>
  </si>
  <si>
    <t>LifeComm Collection</t>
  </si>
  <si>
    <t>LC Corresponding MF-JPN</t>
  </si>
  <si>
    <t>LifeComm Corresponding</t>
  </si>
  <si>
    <t>LC UWI MF-JPN</t>
  </si>
  <si>
    <t>LifeComm  UWI</t>
  </si>
  <si>
    <t>LC AAPerf MF-JPN</t>
  </si>
  <si>
    <t>LifeComm AgentAgencyPerformance</t>
  </si>
  <si>
    <t>LC Payment MF-JPN</t>
  </si>
  <si>
    <t>LifeComm Payment</t>
  </si>
  <si>
    <t>LC GL/SC MF-JPN</t>
  </si>
  <si>
    <t>LifeComm GL/SC</t>
  </si>
  <si>
    <t>LC Valuation MF-JPN</t>
  </si>
  <si>
    <t>LifeComm Valuation</t>
  </si>
  <si>
    <t>LC AACOMP MF-JPN</t>
  </si>
  <si>
    <t>LifeComm AgentAgencyComp</t>
  </si>
  <si>
    <t>Processor-I MF-JPN</t>
  </si>
  <si>
    <t>Claim payment (Processor-I)</t>
  </si>
  <si>
    <t>COBOL, MU(EASYPLUS), Assembler, JCL</t>
  </si>
  <si>
    <t>LC Submit MF-JPN</t>
  </si>
  <si>
    <t>Submit Online</t>
  </si>
  <si>
    <t>LC Micro MF-JPN</t>
  </si>
  <si>
    <t>Micro-Index</t>
  </si>
  <si>
    <t>Foreign MF-JPN</t>
  </si>
  <si>
    <t>Foreign</t>
  </si>
  <si>
    <t>CT Salary  MF-JPN</t>
  </si>
  <si>
    <t>CT Salary System</t>
  </si>
  <si>
    <t>TaxCertification MF-JPN</t>
  </si>
  <si>
    <t>TaxCertification</t>
  </si>
  <si>
    <t>SWINGMANAGER MF-JPN</t>
  </si>
  <si>
    <t>SWING MANAGER</t>
  </si>
  <si>
    <t>PremCollectDBMF-JPN</t>
  </si>
  <si>
    <t>Premium Collection History DB</t>
  </si>
  <si>
    <t>MCFA CP DB MF-JPN</t>
  </si>
  <si>
    <t>MCFA Coupon DB</t>
  </si>
  <si>
    <t>Maturity MF-JPN</t>
  </si>
  <si>
    <t>Payment  maturity existing benefit etc</t>
  </si>
  <si>
    <t>LC Reins MF-JPN</t>
  </si>
  <si>
    <t>Reinsurance</t>
  </si>
  <si>
    <t>ASP Bridge(H) MF-JPN</t>
  </si>
  <si>
    <t>ASP Bridge (HOST)</t>
  </si>
  <si>
    <t>Common Service Business Application</t>
  </si>
  <si>
    <t>CCA MF-JPN</t>
  </si>
  <si>
    <t>Client Contract Administration</t>
  </si>
  <si>
    <t>C04NWC-JPN</t>
  </si>
  <si>
    <t>CenterServer</t>
  </si>
  <si>
    <t>New Contract Related</t>
  </si>
  <si>
    <t>Customer Service and Operations Systems Group 34965</t>
  </si>
  <si>
    <t>New Business Team 34966</t>
  </si>
  <si>
    <t>C/C++</t>
  </si>
  <si>
    <t>C03WRE-JPN</t>
  </si>
  <si>
    <t>POS Workflow Payment Workflow (Restoring cancelled</t>
  </si>
  <si>
    <t>Storage and Preservation Related</t>
  </si>
  <si>
    <t>Policy Servicing Team 34967</t>
  </si>
  <si>
    <t>VB.NET</t>
  </si>
  <si>
    <t>C12WNC-JPN</t>
  </si>
  <si>
    <t>POS Workflow Payment Workflow (Claim Transaction A</t>
  </si>
  <si>
    <t>Insurance Claims and Benefits Payment Related</t>
  </si>
  <si>
    <t>Claims Team 34968</t>
  </si>
  <si>
    <t>VB.NET; C/C++; JAVA</t>
  </si>
  <si>
    <t>C03WRD-JPN</t>
  </si>
  <si>
    <t>POS Workflow Payment Workflow (Reduction of paymen</t>
  </si>
  <si>
    <t>C03PCA-JPN</t>
  </si>
  <si>
    <t>Add Coverage</t>
  </si>
  <si>
    <t>VB</t>
  </si>
  <si>
    <t>C10CSS-JPN</t>
  </si>
  <si>
    <t>FSC Call Support</t>
  </si>
  <si>
    <t>Customer Care / Call Center Related</t>
  </si>
  <si>
    <t>Customer Care Team 34969</t>
  </si>
  <si>
    <t>C04VAS-JPN</t>
  </si>
  <si>
    <t>Voucher Approval System for AS400</t>
  </si>
  <si>
    <t>Corporate Related</t>
  </si>
  <si>
    <t>Corporate Systems Team 34959</t>
  </si>
  <si>
    <t>C04SYM-JPN</t>
  </si>
  <si>
    <t>Renewal symap Business Work Flow</t>
  </si>
  <si>
    <t>C03VSV-JPN</t>
  </si>
  <si>
    <t>Variable Annuity Sun View</t>
  </si>
  <si>
    <t>PinID tool_JPN</t>
  </si>
  <si>
    <t>PinID Increase tool</t>
  </si>
  <si>
    <t>C11VCM-JPN</t>
  </si>
  <si>
    <t>Deposit Control System</t>
  </si>
  <si>
    <t>C04OSI-JPN</t>
  </si>
  <si>
    <t>S Sum Total System(Open)</t>
  </si>
  <si>
    <t>JAVA</t>
  </si>
  <si>
    <t>W03FIC-JPN</t>
  </si>
  <si>
    <t>Guidance Refusal Information Administration System</t>
  </si>
  <si>
    <t>Platform as a Service (PaaS)</t>
  </si>
  <si>
    <t>C03APO-JPN</t>
  </si>
  <si>
    <t>Apollocs</t>
  </si>
  <si>
    <t>Other#APOLLOCS</t>
  </si>
  <si>
    <t>Z04IMA-JPN</t>
  </si>
  <si>
    <t>Image Search</t>
  </si>
  <si>
    <t>CSS; JAVA;HTML; VB.NET</t>
  </si>
  <si>
    <t>W05AMS-JPN</t>
  </si>
  <si>
    <t>Annuity Information Management System(AIMS)</t>
  </si>
  <si>
    <t>W02OPS-JPN</t>
  </si>
  <si>
    <t>Insurance Planning for Operator</t>
  </si>
  <si>
    <t>Marketing/Direct Business Related</t>
  </si>
  <si>
    <t>Customer and Channel Engineering 34961</t>
  </si>
  <si>
    <t>W04RRE-JPN</t>
  </si>
  <si>
    <t>Rule Engine</t>
  </si>
  <si>
    <t>W03PIU-JPN</t>
  </si>
  <si>
    <t>IS universal life insurance simulation</t>
  </si>
  <si>
    <t>W08HTN-JPN</t>
  </si>
  <si>
    <t>conservation contact personnel entry system</t>
  </si>
  <si>
    <t>W08NAV-JPN</t>
  </si>
  <si>
    <t>Branch Marketing Information System</t>
  </si>
  <si>
    <t>Sales / Insurance Recruitment</t>
  </si>
  <si>
    <t>Distribution F2F Team 34962</t>
  </si>
  <si>
    <t>W08SFE-JPN</t>
  </si>
  <si>
    <t>commission Inquiry</t>
  </si>
  <si>
    <t>W08CIS-JPN</t>
  </si>
  <si>
    <t>Career Information System</t>
  </si>
  <si>
    <t>W08NAR-JPN</t>
  </si>
  <si>
    <t>producers information entry system</t>
  </si>
  <si>
    <t>W13WWF-JPN</t>
  </si>
  <si>
    <t>Web work flow</t>
  </si>
  <si>
    <t>P08MMS-JPN</t>
  </si>
  <si>
    <t>Medical Management System</t>
  </si>
  <si>
    <t>WPSYEC-JPN</t>
  </si>
  <si>
    <t>Direct Marketing Site</t>
  </si>
  <si>
    <t>Marketing and Leads Team 34964</t>
  </si>
  <si>
    <t>W07IPC-JPN</t>
  </si>
  <si>
    <t>Internet Prospective Information</t>
  </si>
  <si>
    <t>W01LOI-JPN</t>
  </si>
  <si>
    <t>Japan Authorization / login</t>
  </si>
  <si>
    <t>Common Service Platform</t>
  </si>
  <si>
    <t>Japan Platform Team 35775</t>
  </si>
  <si>
    <t>W01MAS-JPN</t>
  </si>
  <si>
    <t>Common Framework(Master4)</t>
  </si>
  <si>
    <t>A04MMP-JPN</t>
  </si>
  <si>
    <t>AS400 Mass Marketing System</t>
  </si>
  <si>
    <t>Other#RPG</t>
  </si>
  <si>
    <t>P02BKE-JPN</t>
  </si>
  <si>
    <t>Sales illustration system (based on EXCEL) for BAN</t>
  </si>
  <si>
    <t>Distribution Banca Team 34963</t>
  </si>
  <si>
    <t>Other#VBA</t>
  </si>
  <si>
    <t>WPSC2S-JPN</t>
  </si>
  <si>
    <t>Call Control System</t>
  </si>
  <si>
    <t>B13ITS-JPN</t>
  </si>
  <si>
    <t>ITS-PCIS(Mutual Fund System(Including Bestway)</t>
  </si>
  <si>
    <t>W13WEP-JPN</t>
  </si>
  <si>
    <t>Web Payment</t>
  </si>
  <si>
    <t>Data Send System for BANC  MF-JP</t>
  </si>
  <si>
    <t>Data Send System for BANC</t>
  </si>
  <si>
    <t>CCMDNT-JPN</t>
  </si>
  <si>
    <t>.NET Common Infrastructure</t>
  </si>
  <si>
    <t>VB.NET; C #</t>
  </si>
  <si>
    <t>BCMHRP-JPN</t>
  </si>
  <si>
    <t>Data cooperation</t>
  </si>
  <si>
    <t>Data Platforms Team 34980</t>
  </si>
  <si>
    <t>Other#MS-DOS ,AWK,VBScript,JAVA</t>
  </si>
  <si>
    <t>Running on both on-premises and Azure.  The on-premises version will be decommissioned by the end of 2027.</t>
  </si>
  <si>
    <t>VS1</t>
  </si>
  <si>
    <t>WPSCUS-JPN</t>
  </si>
  <si>
    <t>Customer Support System</t>
  </si>
  <si>
    <t>JavaScript; Other#APEX</t>
  </si>
  <si>
    <t>WAANSO-JPN</t>
  </si>
  <si>
    <t>New Submit Online System</t>
  </si>
  <si>
    <t>WZZHYO-JPN</t>
  </si>
  <si>
    <t>Report Template Management System</t>
  </si>
  <si>
    <t>EAADRS-JPN</t>
  </si>
  <si>
    <t>Dr.SUM</t>
  </si>
  <si>
    <t>WPMWCC-JPN</t>
  </si>
  <si>
    <t>Web Contact Center</t>
  </si>
  <si>
    <t>WGLRPC-JPN</t>
  </si>
  <si>
    <t>ReportConnection</t>
  </si>
  <si>
    <t>Policy UWIBATCH MF-JPN</t>
  </si>
  <si>
    <t>Policy Underwriting and Issue Batch</t>
  </si>
  <si>
    <t>Other#ASM; Cobol</t>
  </si>
  <si>
    <t>WAAATF-JPN</t>
  </si>
  <si>
    <t>Agents Target Following system</t>
  </si>
  <si>
    <t>ZGLEST-JPN</t>
  </si>
  <si>
    <t>eSTATION</t>
  </si>
  <si>
    <t>JavaScript; VB.NET; C#;HTML</t>
  </si>
  <si>
    <t>CMESB-JPN</t>
  </si>
  <si>
    <t>Enterprise Service Bus</t>
  </si>
  <si>
    <t>JAVA; Other#ESQL</t>
  </si>
  <si>
    <t>WPMAUD-JPN</t>
  </si>
  <si>
    <t>Unknown Address Tracking System</t>
  </si>
  <si>
    <t>No</t>
  </si>
  <si>
    <t>WCMPXS-JPN</t>
  </si>
  <si>
    <t>ProductXpress</t>
  </si>
  <si>
    <t>Infrastructure Application</t>
  </si>
  <si>
    <t>Other#Peculiar Language, Implemented in PX designer.</t>
  </si>
  <si>
    <t>WUIURE-JPN</t>
  </si>
  <si>
    <t>Pre-Underwriting</t>
  </si>
  <si>
    <t>LINC MF-JPN</t>
  </si>
  <si>
    <t>LINC</t>
  </si>
  <si>
    <t>A06TOG-JPN</t>
  </si>
  <si>
    <t>Group Policy Management System</t>
  </si>
  <si>
    <t>Other#RPG; Cobol</t>
  </si>
  <si>
    <t>W06TGR-JPN</t>
  </si>
  <si>
    <t>Group Policy Inquiry System for Intranet</t>
  </si>
  <si>
    <t>VB.NET; JAVA</t>
  </si>
  <si>
    <t>WAAICM-JPN</t>
  </si>
  <si>
    <t>ICM</t>
  </si>
  <si>
    <t>JAVA; C#; Other#ETL JAVA(ADJP) SQL</t>
  </si>
  <si>
    <t>WAACPS-JPN</t>
  </si>
  <si>
    <t>Commission and Performance System</t>
  </si>
  <si>
    <t>OMSIKN-JPN</t>
  </si>
  <si>
    <t>Conservation contract transferring system</t>
  </si>
  <si>
    <t>OMSTAT-JPN</t>
  </si>
  <si>
    <t>Conservation contract allowance system</t>
  </si>
  <si>
    <t>ZGLEDQ-JPN</t>
  </si>
  <si>
    <t>FATCA Oracle EDQ</t>
  </si>
  <si>
    <t>JAVA; C #</t>
  </si>
  <si>
    <t>WGLWLF-JPN</t>
  </si>
  <si>
    <t>Watch List Filtering system</t>
  </si>
  <si>
    <t>WZZMNB-JPN</t>
  </si>
  <si>
    <t>My number management system</t>
  </si>
  <si>
    <t>BCMETL-JPN</t>
  </si>
  <si>
    <t>Informatica Platform</t>
  </si>
  <si>
    <t>Other#Used UI for development and stored data as XML</t>
  </si>
  <si>
    <t>WPSCFC-JPN</t>
  </si>
  <si>
    <t>c-Force</t>
  </si>
  <si>
    <t>Other#APEX;HTML; JavaScript</t>
  </si>
  <si>
    <t>CGLFJM-JPN</t>
  </si>
  <si>
    <t>Misconduct Management system</t>
  </si>
  <si>
    <t>WGLBSR-JPN</t>
  </si>
  <si>
    <t>BSRec</t>
  </si>
  <si>
    <t>JP-RPASS</t>
  </si>
  <si>
    <t>JAPAN_BluePrism RPA</t>
  </si>
  <si>
    <t>Other#COTS from BluePrism</t>
  </si>
  <si>
    <t>W03CCP-JPN</t>
  </si>
  <si>
    <t>Customer Communication Preferences</t>
  </si>
  <si>
    <t>JP-Banca Report</t>
  </si>
  <si>
    <t>Japan Banca Report</t>
  </si>
  <si>
    <t>Infrastructure as a Service (IaaS); Platform as a Service (PaaS)</t>
  </si>
  <si>
    <t>LPS-JPN(EUC081)</t>
  </si>
  <si>
    <t>Life Plan Simulation Japan</t>
  </si>
  <si>
    <t>PHP</t>
  </si>
  <si>
    <t>CIT-JPN(EUC082)</t>
  </si>
  <si>
    <t>Inheritance Tax Simulation</t>
  </si>
  <si>
    <t>CMIAPI-JPN</t>
  </si>
  <si>
    <t>API Hub</t>
  </si>
  <si>
    <t>K2</t>
  </si>
  <si>
    <t>Japan K2 - Digital Workflows</t>
  </si>
  <si>
    <t>JP-PCI-RPASS</t>
  </si>
  <si>
    <t>Japan PCI Robotics Process Automation Service</t>
  </si>
  <si>
    <t>Other#This is coded within blueprism</t>
  </si>
  <si>
    <t>RBRARS-JPN</t>
  </si>
  <si>
    <t>RBWF Report Automatic Recognition System</t>
  </si>
  <si>
    <t>CMEAPI-JP</t>
  </si>
  <si>
    <t>Japan Partner API</t>
  </si>
  <si>
    <t>JP-WCMAUT</t>
  </si>
  <si>
    <t>JP Authentication Platform</t>
  </si>
  <si>
    <t>Himawari</t>
  </si>
  <si>
    <t>Himawari (Call Center Platform)</t>
  </si>
  <si>
    <t>JavaScript;HTML; Other#APEX</t>
  </si>
  <si>
    <t>JP-QA Shared Service</t>
  </si>
  <si>
    <t>Japan QA Shared Service- multiple projects</t>
  </si>
  <si>
    <t>Platform</t>
  </si>
  <si>
    <t>Other#Selenese, but supports others</t>
  </si>
  <si>
    <t>JP-DB2-CONNECT</t>
  </si>
  <si>
    <t>Japan DB2 Connect Proxy</t>
  </si>
  <si>
    <t>Other#COTS</t>
  </si>
  <si>
    <t>JP-Payroll</t>
  </si>
  <si>
    <t>Japan Payroll System</t>
  </si>
  <si>
    <t>Other# N-A(SaaS)</t>
  </si>
  <si>
    <t>JP-OLB Batch</t>
  </si>
  <si>
    <t>Japan - Direct Marketing Batch Applications</t>
  </si>
  <si>
    <t>ASP B_O-JPN</t>
  </si>
  <si>
    <t>ASP Bridge (OPEN)</t>
  </si>
  <si>
    <t>JAVA; C#; VB.NET</t>
  </si>
  <si>
    <t>WCMCCMJPN</t>
  </si>
  <si>
    <t>Inspire - Forms Management</t>
  </si>
  <si>
    <t>JavaScript</t>
  </si>
  <si>
    <t>Digital Portal</t>
  </si>
  <si>
    <t>Digital Portals for Policy Administration</t>
  </si>
  <si>
    <t>JAVA; JavaScript</t>
  </si>
  <si>
    <t>JP - Remote Closing</t>
  </si>
  <si>
    <t>JP - Remote Sales Closing</t>
  </si>
  <si>
    <t>PaymentService</t>
  </si>
  <si>
    <t>Payment Common Service - JP</t>
  </si>
  <si>
    <t>JP-GSSP</t>
  </si>
  <si>
    <t>Japan Sales Platform (GSSP)</t>
  </si>
  <si>
    <t>Business Content Management</t>
  </si>
  <si>
    <t>Other#n/a</t>
  </si>
  <si>
    <t>Software as a Service (SaaS); Platform as a Service (PaaS)</t>
  </si>
  <si>
    <t>DSP</t>
  </si>
  <si>
    <t>Digital Servicing Platform</t>
  </si>
  <si>
    <t>PL/SQL</t>
  </si>
  <si>
    <t>JDPREP</t>
  </si>
  <si>
    <t>Japan Data Platform and Reporting-JP</t>
  </si>
  <si>
    <t>Other#Transact SQL</t>
  </si>
  <si>
    <t>VS2</t>
  </si>
  <si>
    <t>Kintone-JPN</t>
  </si>
  <si>
    <t>kintone and paperlogic electronic contract system</t>
  </si>
  <si>
    <t>Other#Vendor Managed</t>
  </si>
  <si>
    <t>POS-IMS</t>
  </si>
  <si>
    <t>POS - Integrated Management System</t>
  </si>
  <si>
    <t>AppsPortal</t>
  </si>
  <si>
    <t>Enterprise Apps Portal</t>
  </si>
  <si>
    <t>JavaScript; JAVA</t>
  </si>
  <si>
    <t>Scan Manager</t>
  </si>
  <si>
    <t>Digital Scan Manager</t>
  </si>
  <si>
    <t>ODMoC</t>
  </si>
  <si>
    <t>IBM Operational Decision Manager on Cloud</t>
  </si>
  <si>
    <t>Other#IRL Vendor supported language</t>
  </si>
  <si>
    <t>External Portal</t>
  </si>
  <si>
    <t>External Apps Portal</t>
  </si>
  <si>
    <t>Distribution Systems - Internal</t>
  </si>
  <si>
    <t>Corporate Batch</t>
  </si>
  <si>
    <t>OpenBatch system for Corporate</t>
  </si>
  <si>
    <t>Claim Batch</t>
  </si>
  <si>
    <t>OpenBatch system for Claim</t>
  </si>
  <si>
    <t>Customer Care Batch</t>
  </si>
  <si>
    <t>Open Batch System for Customer Care</t>
  </si>
  <si>
    <t>Other#ETL (Infomatica)</t>
  </si>
  <si>
    <t>AURA</t>
  </si>
  <si>
    <t>AURA Underwriting</t>
  </si>
  <si>
    <t>POS Batch</t>
  </si>
  <si>
    <t>OpenBatch system for Policy Servicing</t>
  </si>
  <si>
    <t>Distribution Marketing batches</t>
  </si>
  <si>
    <t>Distribution Marketing related batches</t>
  </si>
  <si>
    <t>HIMAWARI backend apps</t>
  </si>
  <si>
    <t>HIMAWARI backend applications</t>
  </si>
  <si>
    <t>New Business Batch</t>
  </si>
  <si>
    <t>OpenBatch system for New Business</t>
  </si>
  <si>
    <t>WCC</t>
  </si>
  <si>
    <t>Web Credit Card</t>
  </si>
  <si>
    <t>JAVA; HTML5; JavaScript</t>
  </si>
  <si>
    <t>PDF Auto Loader Batch</t>
  </si>
  <si>
    <t>Open Batch System for PDF Auto Loader</t>
  </si>
  <si>
    <t>IVR Tekigosei</t>
  </si>
  <si>
    <t>Confirming UnitLink product suitability via IVR</t>
  </si>
  <si>
    <t>Other# N-A</t>
  </si>
  <si>
    <t>W09WSD-JPN BIS</t>
  </si>
  <si>
    <t>Call Center WSD BIS</t>
  </si>
  <si>
    <t>NBAPPS-JPN</t>
  </si>
  <si>
    <t>New Business Operation Apps</t>
  </si>
  <si>
    <t>SCS</t>
  </si>
  <si>
    <t>Sales Compensation System</t>
  </si>
  <si>
    <t>JAVA; Other#SQL</t>
  </si>
  <si>
    <t>Pega for Claims</t>
  </si>
  <si>
    <t>Pega for Claims - Pega Workflow</t>
  </si>
  <si>
    <t>RAPS</t>
  </si>
  <si>
    <t>Retirement Allowance Payment System</t>
  </si>
  <si>
    <t>Commission System Support Tool</t>
  </si>
  <si>
    <t>Support Tool for Commission System</t>
  </si>
  <si>
    <t>MDRS</t>
  </si>
  <si>
    <t>Maturity and Deferral Related System</t>
  </si>
  <si>
    <t>JP-BANCA</t>
  </si>
  <si>
    <t>Japan Sales Platform-BANCA</t>
  </si>
  <si>
    <t>Commission calculation</t>
  </si>
  <si>
    <t>Commission Calculation Service</t>
  </si>
  <si>
    <t>Vcalc-JPN</t>
  </si>
  <si>
    <t>Variable Insurance Guarantee Calculation System</t>
  </si>
  <si>
    <t>Data Infrastructure  —  two value streams</t>
  </si>
  <si>
    <t>Informatica is the sunset platform; Azure Synapse is go-forward. The modernisation path between them is OUT OF SCOPE of this RFP.</t>
  </si>
  <si>
    <t>Code</t>
  </si>
  <si>
    <t>Y1 co-src pods</t>
  </si>
  <si>
    <t>Y1 full-src pods</t>
  </si>
  <si>
    <t>Informatica — ETL, IDQ, Address Doctor &amp; HOST/AS400 data cooperation</t>
  </si>
  <si>
    <t>Azure Synapse — Japan Data Platform &amp; BI/reporting</t>
  </si>
  <si>
    <t>Applications and what they are</t>
  </si>
  <si>
    <t>BCMETL-JPN  Informatica Platform (42.8u) — common ETL, IDQ and Address Doctor.   ·   BCMHRP-JPN  Data cooperation (7.9u) — batch integration between the open estate and HOST/AS400.</t>
  </si>
  <si>
    <t>JDPREP  Japan Data Platform and Reporting (50.1u) — Azure PaaS data platform and BI/reporting, Transact-SQL.</t>
  </si>
  <si>
    <t>Note</t>
  </si>
  <si>
    <t>Both Informatica applications carry Priority Transfer Targets = Y, so the portfolio bedrock classifies them archetype C and routes engineering to MGCC. Because the platform is being retired, transferring it builds a capability MetLife will not keep. Recommendation on Glidepath &amp; 50-50.</t>
  </si>
  <si>
    <t>Pod library  —  every seat, by year, value stream and pod type</t>
  </si>
  <si>
    <t>INPUT. Pod sizes are deliberately NOT a uniform ladder: Synapse 9→7→6, Informatica 8→7→6. Counts may be fractional where a MetLife role is shared across two pods.</t>
  </si>
  <si>
    <t>Year</t>
  </si>
  <si>
    <t>VS</t>
  </si>
  <si>
    <t>Pod type</t>
  </si>
  <si>
    <t>Seat</t>
  </si>
  <si>
    <t>Role</t>
  </si>
  <si>
    <t>Skill</t>
  </si>
  <si>
    <t>Exp</t>
  </si>
  <si>
    <t>Sourcing</t>
  </si>
  <si>
    <t>Count</t>
  </si>
  <si>
    <t>CO</t>
  </si>
  <si>
    <t>LEAD</t>
  </si>
  <si>
    <t>Data Domain SME</t>
  </si>
  <si>
    <t>BA</t>
  </si>
  <si>
    <t>Informatica Lead Engineer</t>
  </si>
  <si>
    <t>ENG</t>
  </si>
  <si>
    <t>DEV</t>
  </si>
  <si>
    <t>TEST</t>
  </si>
  <si>
    <t>Pod size — Y1 VS1 co-sourced</t>
  </si>
  <si>
    <t>FS</t>
  </si>
  <si>
    <t>Business Analyst (bilingual)</t>
  </si>
  <si>
    <t>L2 Data Support</t>
  </si>
  <si>
    <t>OPS</t>
  </si>
  <si>
    <t>Pod size — Y1 VS1 fully-sourced</t>
  </si>
  <si>
    <t>Synapse Platform Engineer</t>
  </si>
  <si>
    <t>Pod size — Y1 VS2 co-sourced</t>
  </si>
  <si>
    <t>BI / Reporting Engineer</t>
  </si>
  <si>
    <t>Pod size — Y1 VS2 fully-sourced</t>
  </si>
  <si>
    <t>Pod size — Y2 VS1 co-sourced</t>
  </si>
  <si>
    <t>Product Owner</t>
  </si>
  <si>
    <t>Pod size — Y2 VS1 fully-sourced</t>
  </si>
  <si>
    <t>AI-assisted Data Engineer</t>
  </si>
  <si>
    <t>Pod size — Y2 VS2 co-sourced</t>
  </si>
  <si>
    <t>Pod size — Y2 VS2 fully-sourced</t>
  </si>
  <si>
    <t>Pod size — Y3 VS1 co-sourced</t>
  </si>
  <si>
    <t>Pod size — Y3 VS1 fully-sourced</t>
  </si>
  <si>
    <t>Pod size — Y3 VS2 co-sourced</t>
  </si>
  <si>
    <t>Pod size — Y3 VS2 fully-sourced</t>
  </si>
  <si>
    <t>Pod plan  —  pods per value stream per year</t>
  </si>
  <si>
    <t>INPUT. Fewer pods and smaller pods is how productivity shows up in the headcount.</t>
  </si>
  <si>
    <t>Co-sourced pods</t>
  </si>
  <si>
    <t>Fully-sourced pods</t>
  </si>
  <si>
    <t>Pods</t>
  </si>
  <si>
    <t>People</t>
  </si>
  <si>
    <t>Year 1 total</t>
  </si>
  <si>
    <t>Year 2 total</t>
  </si>
  <si>
    <t>Year 3 total</t>
  </si>
  <si>
    <t>Horizontal teams  —  work that is not value-stream bounded</t>
  </si>
  <si>
    <t>INPUT. As pods consolidate, MetLife seats displaced from them land here — governance and platform operations do not shrink with delivery volume.</t>
  </si>
  <si>
    <t>Team name</t>
  </si>
  <si>
    <t>H1</t>
  </si>
  <si>
    <t>Platform Operations &amp; Data Reliability</t>
  </si>
  <si>
    <t>H1 total</t>
  </si>
  <si>
    <t>H2</t>
  </si>
  <si>
    <t>Data Quality, Test &amp; Environments</t>
  </si>
  <si>
    <t>H2 total</t>
  </si>
  <si>
    <t>H3</t>
  </si>
  <si>
    <t>Architecture, Release Train &amp; Governance</t>
  </si>
  <si>
    <t>Chief Data Architect (MetLife)</t>
  </si>
  <si>
    <t>Transition &amp; Substrate Lead</t>
  </si>
  <si>
    <t>H3 total</t>
  </si>
  <si>
    <t>Year 1 horizontal total</t>
  </si>
  <si>
    <t>AI Enablement Lead</t>
  </si>
  <si>
    <t>Year 2 horizontal total</t>
  </si>
  <si>
    <t>Year 3 horizontal total</t>
  </si>
  <si>
    <t>Team build-up  —  everything derived from the seat ledger</t>
  </si>
  <si>
    <t>Nothing on this sheet is typed.</t>
  </si>
  <si>
    <t>A.  POD SIZES  (read from the Pod Library)</t>
  </si>
  <si>
    <t>Pod size</t>
  </si>
  <si>
    <t>VS1 co</t>
  </si>
  <si>
    <t>VS1 full</t>
  </si>
  <si>
    <t>VS2 co</t>
  </si>
  <si>
    <t>VS2 full</t>
  </si>
  <si>
    <t>B.  HEADCOUNT</t>
  </si>
  <si>
    <t>Measure</t>
  </si>
  <si>
    <t>People in value-stream pods</t>
  </si>
  <si>
    <t>People in horizontal teams</t>
  </si>
  <si>
    <t>TOTAL PEOPLE</t>
  </si>
  <si>
    <t>Number of pods</t>
  </si>
  <si>
    <t>Average pod size</t>
  </si>
  <si>
    <t>Appendix 3 today</t>
  </si>
  <si>
    <t>Capgemini (FTC)</t>
  </si>
  <si>
    <t>MetLife Japan (FTE)</t>
  </si>
  <si>
    <t>MetLife MGCC</t>
  </si>
  <si>
    <t>Check — sums to total</t>
  </si>
  <si>
    <t>D.  LOCATION</t>
  </si>
  <si>
    <t>Whole-team offshore share</t>
  </si>
  <si>
    <t>Capgemini offshore share  (what the ceiling governs)</t>
  </si>
  <si>
    <t>E.  EXPERIENCE MIX  —  counted from named seats</t>
  </si>
  <si>
    <t>Experience band</t>
  </si>
  <si>
    <t>Y1 %</t>
  </si>
  <si>
    <t>Y2 %</t>
  </si>
  <si>
    <t>Y3 %</t>
  </si>
  <si>
    <t>E1  Associate  0-3 years</t>
  </si>
  <si>
    <t>E2  Engineer  3-6 years</t>
  </si>
  <si>
    <t>E3  Senior  6-10 years</t>
  </si>
  <si>
    <t>E4  Lead / specialist  10-15 years</t>
  </si>
  <si>
    <t>E5  Principal / architect  15 years+</t>
  </si>
  <si>
    <t>Senior share  (E4 + E5)</t>
  </si>
  <si>
    <t>Talent shape</t>
  </si>
  <si>
    <t>F.  SKILL DISTRIBUTION</t>
  </si>
  <si>
    <t>Skill family</t>
  </si>
  <si>
    <t>Leadership &amp; delivery management</t>
  </si>
  <si>
    <t>Business analysis &amp; domain</t>
  </si>
  <si>
    <t>Development</t>
  </si>
  <si>
    <t>Engineering, AI &amp; platform</t>
  </si>
  <si>
    <t>Test &amp; data quality</t>
  </si>
  <si>
    <t>Operations &amp; support</t>
  </si>
  <si>
    <t>G.  BY VALUE STREAM AND HORIZONTAL TEAM</t>
  </si>
  <si>
    <t>Unit</t>
  </si>
  <si>
    <t>VS1  Informatica</t>
  </si>
  <si>
    <t>VS2  Azure Synapse</t>
  </si>
  <si>
    <t>H1  Platform Operations &amp; Data Reliability</t>
  </si>
  <si>
    <t>H2  Data Quality, Test &amp; Environments</t>
  </si>
  <si>
    <t>H3  Architecture, Release Train &amp; Governance</t>
  </si>
  <si>
    <t>TOTAL</t>
  </si>
  <si>
    <t>Glidepath  —  and why this domain needs no transfer of employment</t>
  </si>
  <si>
    <t>Productivity alone crosses 50:50 during Year 3 without any transfer of employment. The Contract Management problem runs the other way.</t>
  </si>
  <si>
    <t>A.  BASELINE</t>
  </si>
  <si>
    <t>Value</t>
  </si>
  <si>
    <t>Applications</t>
  </si>
  <si>
    <t>Current Capgemini FTC</t>
  </si>
  <si>
    <t>Current MetLife FTE</t>
  </si>
  <si>
    <t>Current MetLife MGCC</t>
  </si>
  <si>
    <t>Ratio today  FTC : MetLife</t>
  </si>
  <si>
    <t>Appendix 3 Year-3 target FTC (from Inventory)</t>
  </si>
  <si>
    <t>The two Appendix 3 targets are equal by construction — the client plan halves every application.</t>
  </si>
  <si>
    <t>B.  PRODUCTIVITY  —  target vs delivered</t>
  </si>
  <si>
    <t>Headcount delivered by the pod design</t>
  </si>
  <si>
    <t>Year 1 absorbs the transition. Transition here is fast — modern stack, artefacts exist — but the substrate build still consumes it.</t>
  </si>
  <si>
    <t>Delivered productivity vs baseline</t>
  </si>
  <si>
    <t>Target from the logic tree</t>
  </si>
  <si>
    <t>Transition &amp; enablement drag</t>
  </si>
  <si>
    <t>C.  OFFSHORE  —  measured on Capgemini-delivered effort</t>
  </si>
  <si>
    <t>Delivered — Capgemini offshore share</t>
  </si>
  <si>
    <t>Whole-team offshore share (includes MGCC)</t>
  </si>
  <si>
    <t>D.  THE 50:50 POSITION  —  no transfer of employment in this domain</t>
  </si>
  <si>
    <t>MetLife FTE and MGCC are held constant. As the domain shrinks on productivity, their share rises on its own.</t>
  </si>
  <si>
    <t>Total people</t>
  </si>
  <si>
    <t>Capgemini FTC</t>
  </si>
  <si>
    <t>MetLife FTE</t>
  </si>
  <si>
    <t>MetLife side total</t>
  </si>
  <si>
    <t>Transferred this year (Logic Tree)</t>
  </si>
  <si>
    <t>RATIO  —  Capgemini share</t>
  </si>
  <si>
    <t>Transfer that would be needed for exactly 50:50</t>
  </si>
  <si>
    <t>A NEGATIVE number above means the ratio has already passed 50:50 without any transfer.</t>
  </si>
  <si>
    <t>E.  THE DECISION THIS DOMAIN RAISES INSTEAD</t>
  </si>
  <si>
    <t>•  Do not offer a transfer here. Offer the reverse: a redeployment plan that moves MetLife capacity out of Data Infrastructure and into the archetype-D domains where the 50:50 gap is real.</t>
  </si>
  <si>
    <t>•  Both Informatica applications are Priority Transfer Targets, so the bedrock would route them to MGCC. The platform is being retired, so that transfer builds a capability MetLife will not keep. Run it to sunset instead and point MGCC growth at Synapse.</t>
  </si>
  <si>
    <t>Cost and commercial position  —  relative index pending the approved rate card</t>
  </si>
  <si>
    <t>Onshore Tokyo band E2 = 1.00. Unit cost divides by the frozen baseline effort, because the scope MetLife buys does not change.</t>
  </si>
  <si>
    <t>A.  TOTAL COST OF DELIVERING THE DOMAIN</t>
  </si>
  <si>
    <t>Total cost index</t>
  </si>
  <si>
    <t>Headcount</t>
  </si>
  <si>
    <t>Average cost per head</t>
  </si>
  <si>
    <t>Average cost per head rises as the shape gets more senior. Offshore movement is what stops it rising faster.</t>
  </si>
  <si>
    <t>Cost per unit of frozen scope</t>
  </si>
  <si>
    <t>Unit cost reduction vs Year 1</t>
  </si>
  <si>
    <t>B.  WHAT MOVED THE UNIT COST  —  decomposition</t>
  </si>
  <si>
    <t>Effect</t>
  </si>
  <si>
    <t>Year 1 → Year 2</t>
  </si>
  <si>
    <t>Year 1 → Year 3</t>
  </si>
  <si>
    <t>Headcount reduction (productivity)</t>
  </si>
  <si>
    <t>Change in average cost per head (mix)</t>
  </si>
  <si>
    <t>Total change in unit cost</t>
  </si>
  <si>
    <t>The two effects multiply, they do not add: (1+headcount change) x (1+mix change) - 1.</t>
  </si>
  <si>
    <t>C.  CAPGEMINI POSITION</t>
  </si>
  <si>
    <t>Capgemini heads</t>
  </si>
  <si>
    <t>Capgemini cost index</t>
  </si>
  <si>
    <t>Capgemini position vs Year 1</t>
  </si>
  <si>
    <t>D.  COST BY LOCATION AND BAND</t>
  </si>
  <si>
    <t>Split</t>
  </si>
  <si>
    <t>Onshore Tokyo — cost index</t>
  </si>
  <si>
    <t>Offshore Hyderabad — cost index</t>
  </si>
  <si>
    <t>Onshore share of cost</t>
  </si>
  <si>
    <t>E1 — cost index</t>
  </si>
  <si>
    <t>E2 — cost index</t>
  </si>
  <si>
    <t>E3 — cost index</t>
  </si>
  <si>
    <t>E4 — cost index</t>
  </si>
  <si>
    <t>E5 — cost index</t>
  </si>
  <si>
    <t>Unit cost sensitivity  —  how experience mix, offshore share and productivity interact</t>
  </si>
  <si>
    <t>Three levers move unit cost. Productivity scales it linearly; the other two fight each other inside the average cost per head.</t>
  </si>
  <si>
    <t>A.  THE MODEL  —  unit cost = calibration × (1 − productivity) × average cost per head</t>
  </si>
  <si>
    <t>average cost per head = offshore × [senior×OFF_SR + (1−senior)×OFF_JM]  +  onshore × [senior×ON_SR + (1−senior)×ON_JM]</t>
  </si>
  <si>
    <t>B.  TIER COST PARAMETERS  —  derived from the Year-3 roster</t>
  </si>
  <si>
    <t>Tier</t>
  </si>
  <si>
    <t>Junior / mid  (E1–E3)</t>
  </si>
  <si>
    <t>Senior  (E4–E5)</t>
  </si>
  <si>
    <t>The two-tier approximation collapses five bands into two, so it needs a calibration constant to tie to the full roster.</t>
  </si>
  <si>
    <t>C.  BASE CASE  —  read from the model</t>
  </si>
  <si>
    <t>Productivity vs baseline</t>
  </si>
  <si>
    <t>Senior share (E4+E5)</t>
  </si>
  <si>
    <t>Unit cost index — actual, from the roster</t>
  </si>
  <si>
    <t>Unit cost index — two-tier formula</t>
  </si>
  <si>
    <t>CALIBRATION  k  =  actual ÷ formula, at Year 3</t>
  </si>
  <si>
    <t>Applied to every cell in the grids below so the base case ties exactly.</t>
  </si>
  <si>
    <t>D.  GRID 1  —  offshore share × productivity, holding the Year-3 senior share</t>
  </si>
  <si>
    <t>Unit cost index at the Year-3 senior share of 54%. The Year-3 base case is 0.642.</t>
  </si>
  <si>
    <t>Offshore ↓   Productivity →</t>
  </si>
  <si>
    <t>E.  GRID 2  —  senior share × offshore share, holding Year-3 productivity</t>
  </si>
  <si>
    <t>This is the interaction the talent-shape decision turns on.</t>
  </si>
  <si>
    <t>Senior share ↓   Offshore →</t>
  </si>
  <si>
    <t>F.  TORNADO  —  one lever at a time, ±10 points from the Year-3 base case</t>
  </si>
  <si>
    <t>Lever</t>
  </si>
  <si>
    <t>−10 points</t>
  </si>
  <si>
    <t>Base</t>
  </si>
  <si>
    <t>+10 points</t>
  </si>
  <si>
    <t>Swing</t>
  </si>
  <si>
    <t>Reading</t>
  </si>
  <si>
    <t>Productivity</t>
  </si>
  <si>
    <t>Scales unit cost one-for-one. The only lever with a linear effect.</t>
  </si>
  <si>
    <t>Offshore share</t>
  </si>
  <si>
    <t>Second largest. Cheap to move early, and it exhausts once the ceiling is reached.</t>
  </si>
  <si>
    <t>Senior share</t>
  </si>
  <si>
    <t>Works AGAINST the other two. A richer shape gives back part of what offshore wins.</t>
  </si>
  <si>
    <t>G.  WHAT THE NUMBERS SAY</t>
  </si>
  <si>
    <t>•  PRODUCTIVITY IS THE LARGEST LEVER and the only linear one, at 0.110 per ten points on a Year-3 base of 0.642. The tornado swings below are full 20-point ranges, so they read double that.</t>
  </si>
  <si>
    <t>•  OFFSHORE IS SECOND, at 0.074 per ten points, and it is the lever that pays for the talent shape.</t>
  </si>
  <si>
    <t>•  SENIORITY WORKS AGAINST BOTH, at 0.025 per ten points. So ten points of extra seniority is affordable as long as offshore moves at least a third as far in the same period — which is why the shape here is held at a diamond rather than pushed to an obelisk.</t>
  </si>
  <si>
    <t>•  In this domain the offshore move (56% to 71% of Capgemini effort) more than covers the shape change (40% to 54% senior). Average cost per head still rises, from 1.058 to 1.096, but only by 3.5% while unit cost falls 39.5%.</t>
  </si>
  <si>
    <t>•  READ GRID 2 ACROSS A ROW: at fixed productivity, moving from 35% to 75% offshore is worth more than any plausible experience-mix change costs. That is the sequencing argument — offshore first, shape second.</t>
  </si>
  <si>
    <t>Seat ledger  —  every pod line multiplied out by the pod plan, plus every horizontal seat</t>
  </si>
  <si>
    <t>Computed. Every roll-up in this workbook reads from here. Edit Pod Library, Pod Plan or Horizontal Teams instead.</t>
  </si>
  <si>
    <t>Origin</t>
  </si>
  <si>
    <t>Seats/pod</t>
  </si>
  <si>
    <t>Heads</t>
  </si>
  <si>
    <t>POD</t>
  </si>
  <si>
    <t>HZ</t>
  </si>
  <si>
    <t>Pod Delivery Lead (Informatica Tech Lead)</t>
  </si>
  <si>
    <t>Data Modeler</t>
  </si>
  <si>
    <t>Product Owner — Azure Data Platform</t>
  </si>
  <si>
    <t>Product Owner -Azure Data Platform (shared 0.5)</t>
  </si>
  <si>
    <t>Azure Data Architect (MetLife)</t>
  </si>
  <si>
    <t>Azure Data Architect (shared 0.5)</t>
  </si>
  <si>
    <t>Azure Data Engineer</t>
  </si>
  <si>
    <t>Senior Azure Data Engineer</t>
  </si>
  <si>
    <t>Pod Delivery Lead ( Azure Data Engineering)</t>
  </si>
  <si>
    <t>AI automation Lead</t>
  </si>
  <si>
    <t>AI-automation Lead</t>
  </si>
  <si>
    <t>Data Domain Delivery Head</t>
  </si>
  <si>
    <t>All Informatica Workloads modernized</t>
  </si>
  <si>
    <t>MetIQ</t>
  </si>
  <si>
    <t>Github Copilot</t>
  </si>
  <si>
    <t>Databricks Genie</t>
  </si>
  <si>
    <t>MS Foundry</t>
  </si>
  <si>
    <t>Business Analyst (MetLife)</t>
  </si>
  <si>
    <t>Potential Metlife internal AI Tools</t>
  </si>
  <si>
    <t>AI Test Automation Engineer</t>
  </si>
  <si>
    <t>Product Owner — Informatica Data Platform</t>
  </si>
  <si>
    <t>Informatica legacy estate's AI-driven productivity is much lesser as it  is On-premise and also undergoing modernization so  GenAI tools are not fully effective  for Archetype C-2 Apps; compared to Modern Azure Stack for Archetype B -1 App</t>
  </si>
  <si>
    <t>MetLife Data Infrastructure Domain Lead</t>
  </si>
  <si>
    <t>C.  SOURCING  —  MetLife FTE and MGCC are more or less held stable at their current level in every year</t>
  </si>
  <si>
    <t>Data Tester</t>
  </si>
  <si>
    <t>AI-assisted Data Tester</t>
  </si>
  <si>
    <t>AI-assised Data Tester</t>
  </si>
  <si>
    <t>Y1</t>
  </si>
  <si>
    <t>L2  Support Data Engr-Informatica and Azure</t>
  </si>
  <si>
    <t>Head of Data Platform Testing (MetLife)</t>
  </si>
  <si>
    <t>Data Platform SRE</t>
  </si>
  <si>
    <t>MetLife Platform Operations Engineers</t>
  </si>
  <si>
    <t>Service Delivery Lead</t>
  </si>
  <si>
    <t>L2  Support Data Engr Lead</t>
  </si>
  <si>
    <t>L2  Support Data Engr- Azure</t>
  </si>
  <si>
    <t>L2  Support Data Engr-Azure</t>
  </si>
  <si>
    <t>L2  Support Data Engr-Informatica</t>
  </si>
  <si>
    <t>L2  Support Data Engr- Informatica</t>
  </si>
  <si>
    <t>DevOps Lead</t>
  </si>
  <si>
    <t>Data Infra domain starts at 64:36 — MGCC is already here. And CG also partially supports</t>
  </si>
  <si>
    <t>•  Data Infrastructure needs ~15 people moved to MetLife to reach 50:50. This domain reaches it on productivity alone, during Year 3 — Year 2 still sits just short at 56:44.</t>
  </si>
  <si>
    <t>Senior Informatica Developer</t>
  </si>
  <si>
    <t>Informatica Developer</t>
  </si>
  <si>
    <t>Informatica Engineer</t>
  </si>
  <si>
    <t>MetLife Data Reconciliation and Quality Tester</t>
  </si>
  <si>
    <t>Stress and Performance Testers</t>
  </si>
  <si>
    <t>Data Platform Test Lead</t>
  </si>
  <si>
    <t>Penetration and Data Security Testers</t>
  </si>
  <si>
    <t xml:space="preserve">Azure Data Architect (MetLife) </t>
  </si>
  <si>
    <t>Product Owner- Data Platform (shared 0.5)</t>
  </si>
  <si>
    <t>Azure Data Architect (MetLife)- shared</t>
  </si>
  <si>
    <t>Product Owner -Azure Data Platform</t>
  </si>
  <si>
    <t>Product Owner- Data Platform</t>
  </si>
  <si>
    <t>•  By Year 3 MetLife holds ~56% of a 65-person domain. Roughly 3-4  MetLife-side people are surplus to the ratio and could be redeployed to a domain that needs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</si>
</sst>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8.5"/>
      <color rgb="FF595959"/>
      <name val="Arial"/>
      <family val="2"/>
    </font>
    <font>
      <b/>
      <sz val="11"/>
      <color rgb="FF00385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9"/>
      <color rgb="FFFFFFFF"/>
      <name val="Arial"/>
      <family val="2"/>
    </font>
    <font>
      <strike/>
      <sz val="10"/>
      <color rgb="FF0000FF"/>
      <name val="Arial"/>
      <family val="2"/>
    </font>
    <font>
      <strike/>
      <sz val="10"/>
      <name val="Arial"/>
      <family val="2"/>
    </font>
    <font>
      <i/>
      <u/>
      <sz val="8.5"/>
      <color rgb="FF59595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385F"/>
      </patternFill>
    </fill>
    <fill>
      <patternFill patternType="solid">
        <fgColor rgb="FFDCEEF9"/>
      </patternFill>
    </fill>
    <fill>
      <patternFill patternType="solid">
        <fgColor rgb="FFFFF2CC"/>
      </patternFill>
    </fill>
    <fill>
      <patternFill patternType="solid">
        <fgColor rgb="FF0090DA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/>
    <xf numFmtId="0" fontId="6" fillId="4" borderId="1" xfId="0" applyFont="1" applyFill="1" applyBorder="1"/>
    <xf numFmtId="0" fontId="2" fillId="0" borderId="0" xfId="0" applyFont="1"/>
    <xf numFmtId="0" fontId="5" fillId="0" borderId="1" xfId="0" applyFont="1" applyBorder="1"/>
    <xf numFmtId="3" fontId="7" fillId="0" borderId="1" xfId="0" applyNumberFormat="1" applyFont="1" applyBorder="1"/>
    <xf numFmtId="164" fontId="7" fillId="0" borderId="1" xfId="0" applyNumberFormat="1" applyFont="1" applyBorder="1"/>
    <xf numFmtId="165" fontId="7" fillId="0" borderId="1" xfId="0" applyNumberFormat="1" applyFont="1" applyBorder="1"/>
    <xf numFmtId="0" fontId="8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4" fillId="6" borderId="1" xfId="0" applyFont="1" applyFill="1" applyBorder="1"/>
    <xf numFmtId="165" fontId="4" fillId="6" borderId="1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4" fontId="6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/>
    <xf numFmtId="165" fontId="5" fillId="0" borderId="1" xfId="0" applyNumberFormat="1" applyFont="1" applyBorder="1"/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4" fontId="4" fillId="6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3" fontId="4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4" fillId="6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/>
    <xf numFmtId="166" fontId="4" fillId="4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/>
    <xf numFmtId="0" fontId="6" fillId="7" borderId="1" xfId="0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3" fontId="9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3" fontId="10" fillId="0" borderId="1" xfId="0" applyNumberFormat="1" applyFont="1" applyBorder="1" applyAlignment="1">
      <alignment vertical="center"/>
    </xf>
    <xf numFmtId="0" fontId="9" fillId="0" borderId="1" xfId="0" applyFont="1" applyBorder="1"/>
    <xf numFmtId="3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165" fontId="6" fillId="8" borderId="1" xfId="0" applyNumberFormat="1" applyFont="1" applyFill="1" applyBorder="1" applyAlignment="1">
      <alignment horizontal="center" vertical="center"/>
    </xf>
    <xf numFmtId="0" fontId="0" fillId="9" borderId="0" xfId="0" applyFill="1"/>
    <xf numFmtId="3" fontId="6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3" fontId="5" fillId="9" borderId="1" xfId="0" applyNumberFormat="1" applyFont="1" applyFill="1" applyBorder="1" applyAlignment="1">
      <alignment horizontal="center" vertical="center"/>
    </xf>
    <xf numFmtId="4" fontId="7" fillId="9" borderId="1" xfId="0" applyNumberFormat="1" applyFont="1" applyFill="1" applyBorder="1" applyAlignment="1">
      <alignment horizontal="center" vertical="center"/>
    </xf>
    <xf numFmtId="165" fontId="6" fillId="9" borderId="1" xfId="0" applyNumberFormat="1" applyFont="1" applyFill="1" applyBorder="1" applyAlignment="1">
      <alignment horizontal="center" vertical="center"/>
    </xf>
    <xf numFmtId="0" fontId="11" fillId="0" borderId="1" xfId="0" applyFont="1" applyBorder="1"/>
    <xf numFmtId="0" fontId="2" fillId="0" borderId="0" xfId="0" applyFont="1" applyAlignment="1">
      <alignment indent="1"/>
    </xf>
    <xf numFmtId="0" fontId="0" fillId="0" borderId="0" xfId="0"/>
    <xf numFmtId="0" fontId="1" fillId="2" borderId="0" xfId="0" applyFont="1" applyFill="1" applyAlignment="1">
      <alignment vertical="center" indent="1"/>
    </xf>
    <xf numFmtId="0" fontId="3" fillId="3" borderId="0" xfId="0" applyFont="1" applyFill="1" applyAlignment="1">
      <alignment vertical="center" indent="1"/>
    </xf>
    <xf numFmtId="0" fontId="5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vertical="center" wrapText="1"/>
    </xf>
    <xf numFmtId="0" fontId="7" fillId="7" borderId="1" xfId="0" applyFont="1" applyFill="1" applyBorder="1"/>
    <xf numFmtId="0" fontId="7" fillId="10" borderId="1" xfId="0" applyFont="1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1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opLeftCell="A21" workbookViewId="0">
      <selection activeCell="C31" sqref="C31"/>
    </sheetView>
  </sheetViews>
  <sheetFormatPr defaultColWidth="8.81640625" defaultRowHeight="14.5" x14ac:dyDescent="0.35"/>
  <cols>
    <col min="1" max="1" width="3" customWidth="1"/>
    <col min="2" max="2" width="28" customWidth="1"/>
    <col min="3" max="3" width="94" customWidth="1"/>
  </cols>
  <sheetData>
    <row r="1" spans="1:8" ht="26.15" customHeight="1" x14ac:dyDescent="0.35">
      <c r="A1" s="73" t="s">
        <v>0</v>
      </c>
      <c r="B1" s="72"/>
      <c r="C1" s="72"/>
      <c r="D1" s="72"/>
      <c r="E1" s="72"/>
      <c r="F1" s="72"/>
      <c r="G1" s="72"/>
      <c r="H1" s="72"/>
    </row>
    <row r="2" spans="1:8" x14ac:dyDescent="0.35">
      <c r="A2" s="71" t="s">
        <v>1</v>
      </c>
      <c r="B2" s="72"/>
      <c r="C2" s="72"/>
      <c r="D2" s="72"/>
      <c r="E2" s="72"/>
      <c r="F2" s="72"/>
      <c r="G2" s="72"/>
      <c r="H2" s="72"/>
    </row>
    <row r="4" spans="1:8" ht="19" customHeight="1" x14ac:dyDescent="0.35">
      <c r="A4" s="74" t="s">
        <v>2</v>
      </c>
      <c r="B4" s="72"/>
      <c r="C4" s="72"/>
    </row>
    <row r="5" spans="1:8" ht="30" customHeight="1" x14ac:dyDescent="0.35">
      <c r="B5" s="1" t="s">
        <v>3</v>
      </c>
      <c r="C5" s="2" t="s">
        <v>4</v>
      </c>
    </row>
    <row r="6" spans="1:8" ht="30" customHeight="1" x14ac:dyDescent="0.35">
      <c r="B6" s="1" t="s">
        <v>5</v>
      </c>
      <c r="C6" s="2" t="s">
        <v>6</v>
      </c>
    </row>
    <row r="7" spans="1:8" ht="30" customHeight="1" x14ac:dyDescent="0.35">
      <c r="B7" s="1" t="s">
        <v>7</v>
      </c>
      <c r="C7" s="2" t="s">
        <v>8</v>
      </c>
    </row>
    <row r="8" spans="1:8" ht="30" customHeight="1" x14ac:dyDescent="0.35">
      <c r="B8" s="1" t="s">
        <v>9</v>
      </c>
      <c r="C8" s="2" t="s">
        <v>10</v>
      </c>
    </row>
    <row r="9" spans="1:8" ht="30" customHeight="1" x14ac:dyDescent="0.35">
      <c r="B9" s="1" t="s">
        <v>11</v>
      </c>
      <c r="C9" s="2" t="s">
        <v>12</v>
      </c>
    </row>
    <row r="10" spans="1:8" ht="19" customHeight="1" x14ac:dyDescent="0.35">
      <c r="A10" s="74" t="s">
        <v>13</v>
      </c>
      <c r="B10" s="72"/>
      <c r="C10" s="72"/>
    </row>
    <row r="11" spans="1:8" ht="30" customHeight="1" x14ac:dyDescent="0.35">
      <c r="B11" s="1" t="s">
        <v>14</v>
      </c>
      <c r="C11" s="2" t="s">
        <v>15</v>
      </c>
    </row>
    <row r="12" spans="1:8" ht="30" customHeight="1" x14ac:dyDescent="0.35">
      <c r="B12" s="1" t="s">
        <v>16</v>
      </c>
      <c r="C12" s="2" t="s">
        <v>17</v>
      </c>
    </row>
    <row r="13" spans="1:8" ht="30" customHeight="1" x14ac:dyDescent="0.35">
      <c r="B13" s="1" t="s">
        <v>18</v>
      </c>
      <c r="C13" s="2" t="s">
        <v>19</v>
      </c>
    </row>
    <row r="14" spans="1:8" ht="30" customHeight="1" x14ac:dyDescent="0.35">
      <c r="B14" s="1" t="s">
        <v>20</v>
      </c>
      <c r="C14" s="2" t="s">
        <v>21</v>
      </c>
    </row>
    <row r="15" spans="1:8" ht="30" customHeight="1" x14ac:dyDescent="0.35">
      <c r="B15" s="1" t="s">
        <v>22</v>
      </c>
      <c r="C15" s="2" t="s">
        <v>23</v>
      </c>
    </row>
    <row r="16" spans="1:8" ht="19" customHeight="1" x14ac:dyDescent="0.35">
      <c r="A16" s="74" t="s">
        <v>24</v>
      </c>
      <c r="B16" s="72"/>
      <c r="C16" s="72"/>
    </row>
    <row r="17" spans="1:3" ht="30" customHeight="1" x14ac:dyDescent="0.35">
      <c r="B17" s="1" t="s">
        <v>25</v>
      </c>
      <c r="C17" s="2" t="s">
        <v>26</v>
      </c>
    </row>
    <row r="18" spans="1:3" ht="30" customHeight="1" x14ac:dyDescent="0.35">
      <c r="B18" s="1" t="s">
        <v>27</v>
      </c>
      <c r="C18" s="2" t="s">
        <v>28</v>
      </c>
    </row>
    <row r="19" spans="1:3" ht="30" customHeight="1" x14ac:dyDescent="0.35">
      <c r="B19" s="1" t="s">
        <v>29</v>
      </c>
      <c r="C19" s="2" t="s">
        <v>30</v>
      </c>
    </row>
    <row r="20" spans="1:3" ht="30" customHeight="1" x14ac:dyDescent="0.35">
      <c r="B20" s="1" t="s">
        <v>31</v>
      </c>
      <c r="C20" s="2" t="s">
        <v>32</v>
      </c>
    </row>
    <row r="21" spans="1:3" ht="19" customHeight="1" x14ac:dyDescent="0.35">
      <c r="A21" s="74" t="s">
        <v>33</v>
      </c>
      <c r="B21" s="72"/>
      <c r="C21" s="72"/>
    </row>
    <row r="22" spans="1:3" ht="30" customHeight="1" x14ac:dyDescent="0.35">
      <c r="B22" s="1" t="s">
        <v>34</v>
      </c>
      <c r="C22" s="2" t="s">
        <v>35</v>
      </c>
    </row>
    <row r="23" spans="1:3" ht="30" customHeight="1" x14ac:dyDescent="0.35">
      <c r="B23" s="1" t="s">
        <v>36</v>
      </c>
      <c r="C23" s="2" t="s">
        <v>37</v>
      </c>
    </row>
    <row r="24" spans="1:3" ht="30" customHeight="1" x14ac:dyDescent="0.35">
      <c r="B24" s="1" t="s">
        <v>38</v>
      </c>
      <c r="C24" s="2" t="s">
        <v>39</v>
      </c>
    </row>
    <row r="25" spans="1:3" ht="30" customHeight="1" x14ac:dyDescent="0.35">
      <c r="B25" s="1" t="s">
        <v>40</v>
      </c>
      <c r="C25" s="2" t="s">
        <v>41</v>
      </c>
    </row>
    <row r="26" spans="1:3" ht="30" customHeight="1" x14ac:dyDescent="0.35">
      <c r="B26" s="1" t="s">
        <v>42</v>
      </c>
      <c r="C26" s="2" t="s">
        <v>43</v>
      </c>
    </row>
    <row r="27" spans="1:3" ht="30" customHeight="1" x14ac:dyDescent="0.35">
      <c r="B27" s="1" t="s">
        <v>44</v>
      </c>
      <c r="C27" s="2" t="s">
        <v>45</v>
      </c>
    </row>
    <row r="28" spans="1:3" ht="30" customHeight="1" x14ac:dyDescent="0.35">
      <c r="B28" s="1" t="s">
        <v>46</v>
      </c>
      <c r="C28" s="2" t="s">
        <v>47</v>
      </c>
    </row>
    <row r="29" spans="1:3" ht="30" customHeight="1" x14ac:dyDescent="0.35">
      <c r="B29" s="1" t="s">
        <v>48</v>
      </c>
      <c r="C29" s="2" t="s">
        <v>49</v>
      </c>
    </row>
    <row r="30" spans="1:3" ht="30" customHeight="1" x14ac:dyDescent="0.35">
      <c r="B30" s="1" t="s">
        <v>50</v>
      </c>
      <c r="C30" s="2" t="s">
        <v>51</v>
      </c>
    </row>
    <row r="31" spans="1:3" ht="30" customHeight="1" x14ac:dyDescent="0.35">
      <c r="B31" s="1" t="s">
        <v>52</v>
      </c>
      <c r="C31" s="2" t="s">
        <v>53</v>
      </c>
    </row>
    <row r="32" spans="1:3" ht="30" customHeight="1" x14ac:dyDescent="0.35">
      <c r="B32" s="1" t="s">
        <v>54</v>
      </c>
      <c r="C32" s="2" t="s">
        <v>55</v>
      </c>
    </row>
    <row r="33" spans="1:3" ht="19" customHeight="1" x14ac:dyDescent="0.35">
      <c r="A33" s="74" t="s">
        <v>56</v>
      </c>
      <c r="B33" s="72"/>
      <c r="C33" s="72"/>
    </row>
    <row r="34" spans="1:3" ht="30" customHeight="1" x14ac:dyDescent="0.35">
      <c r="B34" s="1" t="s">
        <v>57</v>
      </c>
      <c r="C34" s="2" t="s">
        <v>58</v>
      </c>
    </row>
    <row r="35" spans="1:3" ht="30" customHeight="1" x14ac:dyDescent="0.35">
      <c r="B35" s="1" t="s">
        <v>59</v>
      </c>
      <c r="C35" s="2" t="s">
        <v>60</v>
      </c>
    </row>
    <row r="36" spans="1:3" ht="39.75" customHeight="1" x14ac:dyDescent="0.35">
      <c r="B36" s="1" t="s">
        <v>61</v>
      </c>
      <c r="C36" s="2" t="s">
        <v>62</v>
      </c>
    </row>
  </sheetData>
  <mergeCells count="7">
    <mergeCell ref="A10:C10"/>
    <mergeCell ref="A33:C33"/>
    <mergeCell ref="A2:H2"/>
    <mergeCell ref="A21:C21"/>
    <mergeCell ref="A1:H1"/>
    <mergeCell ref="A4:C4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2"/>
  <sheetViews>
    <sheetView topLeftCell="A33" workbookViewId="0">
      <selection activeCell="D41" sqref="D41"/>
    </sheetView>
  </sheetViews>
  <sheetFormatPr defaultColWidth="8.81640625" defaultRowHeight="14.5" x14ac:dyDescent="0.35"/>
  <cols>
    <col min="1" max="1" width="2" customWidth="1"/>
    <col min="2" max="2" width="38" customWidth="1"/>
    <col min="3" max="3" width="45.81640625" bestFit="1" customWidth="1"/>
    <col min="4" max="8" width="13" customWidth="1"/>
    <col min="9" max="9" width="44" customWidth="1"/>
  </cols>
  <sheetData>
    <row r="1" spans="1:10" ht="26.15" customHeight="1" x14ac:dyDescent="0.35">
      <c r="A1" s="73" t="s">
        <v>63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x14ac:dyDescent="0.35">
      <c r="A2" s="71" t="s">
        <v>64</v>
      </c>
      <c r="B2" s="72"/>
      <c r="C2" s="72"/>
      <c r="D2" s="72"/>
      <c r="E2" s="72"/>
      <c r="F2" s="72"/>
      <c r="G2" s="72"/>
      <c r="H2" s="72"/>
      <c r="I2" s="72"/>
      <c r="J2" s="72"/>
    </row>
    <row r="4" spans="1:10" ht="19" customHeight="1" x14ac:dyDescent="0.35">
      <c r="A4" s="74" t="s">
        <v>65</v>
      </c>
      <c r="B4" s="72"/>
      <c r="C4" s="72"/>
      <c r="D4" s="72"/>
      <c r="E4" s="72"/>
      <c r="F4" s="72"/>
      <c r="G4" s="72"/>
      <c r="H4" s="72"/>
      <c r="I4" s="72"/>
    </row>
    <row r="5" spans="1:10" x14ac:dyDescent="0.35">
      <c r="B5" s="3" t="s">
        <v>66</v>
      </c>
      <c r="C5" s="4" t="s">
        <v>67</v>
      </c>
      <c r="I5" s="5" t="s">
        <v>68</v>
      </c>
    </row>
    <row r="6" spans="1:10" x14ac:dyDescent="0.35">
      <c r="B6" s="6" t="s">
        <v>69</v>
      </c>
      <c r="C6" s="7">
        <f>SUMIFS(Inventory!$U:$U,Inventory!$E:$E,$C$5)</f>
        <v>3</v>
      </c>
    </row>
    <row r="7" spans="1:10" x14ac:dyDescent="0.35">
      <c r="B7" s="6" t="s">
        <v>70</v>
      </c>
      <c r="C7" s="8">
        <f>SUMIFS(Inventory!$AD:$AD,Inventory!$E:$E,$C$5)</f>
        <v>100.76496874999998</v>
      </c>
    </row>
    <row r="8" spans="1:10" x14ac:dyDescent="0.35">
      <c r="B8" s="6" t="s">
        <v>71</v>
      </c>
      <c r="C8" s="8">
        <f>SUMIFS(Inventory!$AA:$AA,Inventory!$E:$E,$C$5)</f>
        <v>64.704593749999987</v>
      </c>
    </row>
    <row r="9" spans="1:10" x14ac:dyDescent="0.35">
      <c r="B9" s="6" t="s">
        <v>72</v>
      </c>
      <c r="C9" s="8">
        <f>SUMIFS(Inventory!$AB:$AB,Inventory!$E:$E,$C$5)</f>
        <v>18.825000000000003</v>
      </c>
    </row>
    <row r="10" spans="1:10" x14ac:dyDescent="0.35">
      <c r="B10" s="6" t="s">
        <v>73</v>
      </c>
      <c r="C10" s="8">
        <f>SUMIFS(Inventory!$AC:$AC,Inventory!$E:$E,$C$5)</f>
        <v>15.991666666666665</v>
      </c>
    </row>
    <row r="11" spans="1:10" x14ac:dyDescent="0.35">
      <c r="B11" s="6" t="s">
        <v>74</v>
      </c>
      <c r="C11" s="8">
        <f>SUMIFS(Inventory!$AF:$AF,Inventory!$E:$E,$C$5)</f>
        <v>87.126843750000006</v>
      </c>
    </row>
    <row r="12" spans="1:10" x14ac:dyDescent="0.35">
      <c r="B12" s="6" t="s">
        <v>75</v>
      </c>
      <c r="C12" s="8">
        <f>C7-C11</f>
        <v>13.638124999999974</v>
      </c>
    </row>
    <row r="13" spans="1:10" x14ac:dyDescent="0.35">
      <c r="B13" s="6" t="s">
        <v>76</v>
      </c>
      <c r="C13" s="9">
        <f>IF(C7=0,0,C11/C7)</f>
        <v>0.8646541038102592</v>
      </c>
    </row>
    <row r="15" spans="1:10" ht="19" customHeight="1" x14ac:dyDescent="0.35">
      <c r="A15" s="74" t="s">
        <v>77</v>
      </c>
      <c r="B15" s="72"/>
      <c r="C15" s="72"/>
      <c r="D15" s="72"/>
      <c r="E15" s="72"/>
      <c r="F15" s="72"/>
      <c r="G15" s="72"/>
      <c r="H15" s="72"/>
      <c r="I15" s="72"/>
    </row>
    <row r="16" spans="1:10" ht="28" customHeight="1" x14ac:dyDescent="0.35">
      <c r="B16" s="10" t="s">
        <v>78</v>
      </c>
      <c r="C16" s="10" t="s">
        <v>79</v>
      </c>
      <c r="D16" s="10" t="s">
        <v>80</v>
      </c>
      <c r="E16" s="10" t="s">
        <v>81</v>
      </c>
      <c r="F16" s="10" t="s">
        <v>82</v>
      </c>
    </row>
    <row r="17" spans="1:9" x14ac:dyDescent="0.35">
      <c r="B17" s="11" t="s">
        <v>83</v>
      </c>
      <c r="C17" s="6" t="s">
        <v>84</v>
      </c>
      <c r="D17" s="12">
        <f>SUMIFS(Inventory!$U:$U,Inventory!$E:$E,$C$5,Inventory!$AG:$AG,$B17)</f>
        <v>0</v>
      </c>
      <c r="E17" s="13">
        <f>SUMIFS(Inventory!$AD:$AD,Inventory!$E:$E,$C$5,Inventory!$AG:$AG,$B17)</f>
        <v>0</v>
      </c>
      <c r="F17" s="14">
        <f>IF($C$7=0,0,E17/$C$7)</f>
        <v>0</v>
      </c>
    </row>
    <row r="18" spans="1:9" x14ac:dyDescent="0.35">
      <c r="B18" s="11" t="s">
        <v>85</v>
      </c>
      <c r="C18" s="6" t="s">
        <v>86</v>
      </c>
      <c r="D18" s="12">
        <f>SUMIFS(Inventory!$U:$U,Inventory!$E:$E,$C$5,Inventory!$AG:$AG,$B18)</f>
        <v>1</v>
      </c>
      <c r="E18" s="13">
        <f>SUMIFS(Inventory!$AD:$AD,Inventory!$E:$E,$C$5,Inventory!$AG:$AG,$B18)</f>
        <v>50.065010416666659</v>
      </c>
      <c r="F18" s="14">
        <f>IF($C$7=0,0,E18/$C$7)</f>
        <v>0.49684936181421352</v>
      </c>
    </row>
    <row r="19" spans="1:9" x14ac:dyDescent="0.35">
      <c r="B19" s="11" t="s">
        <v>87</v>
      </c>
      <c r="C19" s="6" t="s">
        <v>88</v>
      </c>
      <c r="D19" s="12">
        <f>SUMIFS(Inventory!$U:$U,Inventory!$E:$E,$C$5,Inventory!$AG:$AG,$B19)</f>
        <v>2</v>
      </c>
      <c r="E19" s="13">
        <f>SUMIFS(Inventory!$AD:$AD,Inventory!$E:$E,$C$5,Inventory!$AG:$AG,$B19)</f>
        <v>50.699958333333328</v>
      </c>
      <c r="F19" s="14">
        <f>IF($C$7=0,0,E19/$C$7)</f>
        <v>0.50315063818578654</v>
      </c>
    </row>
    <row r="20" spans="1:9" x14ac:dyDescent="0.35">
      <c r="B20" s="11" t="s">
        <v>89</v>
      </c>
      <c r="C20" s="6" t="s">
        <v>90</v>
      </c>
      <c r="D20" s="12">
        <f>SUMIFS(Inventory!$U:$U,Inventory!$E:$E,$C$5,Inventory!$AG:$AG,$B20)</f>
        <v>0</v>
      </c>
      <c r="E20" s="13">
        <f>SUMIFS(Inventory!$AD:$AD,Inventory!$E:$E,$C$5,Inventory!$AG:$AG,$B20)</f>
        <v>0</v>
      </c>
      <c r="F20" s="14">
        <f>IF($C$7=0,0,E20/$C$7)</f>
        <v>0</v>
      </c>
    </row>
    <row r="21" spans="1:9" x14ac:dyDescent="0.35">
      <c r="B21" s="3" t="s">
        <v>91</v>
      </c>
      <c r="D21" s="15">
        <f>SUM(D17:D20)</f>
        <v>3</v>
      </c>
      <c r="E21" s="16">
        <f>SUM(E17:E20)</f>
        <v>100.76496874999998</v>
      </c>
      <c r="F21" s="17">
        <f>SUM(F17:F20)</f>
        <v>1</v>
      </c>
    </row>
    <row r="23" spans="1:9" ht="19" customHeight="1" x14ac:dyDescent="0.35">
      <c r="A23" s="74" t="s">
        <v>92</v>
      </c>
      <c r="B23" s="72"/>
      <c r="C23" s="72"/>
      <c r="D23" s="72"/>
      <c r="E23" s="72"/>
      <c r="F23" s="72"/>
      <c r="G23" s="72"/>
      <c r="H23" s="72"/>
      <c r="I23" s="72"/>
    </row>
    <row r="24" spans="1:9" ht="28" customHeight="1" x14ac:dyDescent="0.35">
      <c r="B24" s="10" t="s">
        <v>93</v>
      </c>
      <c r="C24" s="10" t="s">
        <v>94</v>
      </c>
    </row>
    <row r="25" spans="1:9" x14ac:dyDescent="0.35">
      <c r="B25" s="6" t="s">
        <v>95</v>
      </c>
      <c r="C25" s="54">
        <v>0.12</v>
      </c>
    </row>
    <row r="26" spans="1:9" x14ac:dyDescent="0.35">
      <c r="B26" s="6" t="s">
        <v>96</v>
      </c>
      <c r="C26" s="54">
        <v>0.13</v>
      </c>
    </row>
    <row r="27" spans="1:9" x14ac:dyDescent="0.35">
      <c r="B27" s="6" t="s">
        <v>97</v>
      </c>
      <c r="C27" s="18">
        <v>0.3</v>
      </c>
    </row>
    <row r="28" spans="1:9" x14ac:dyDescent="0.35">
      <c r="B28" s="6" t="s">
        <v>98</v>
      </c>
      <c r="C28" s="18">
        <v>0.25</v>
      </c>
    </row>
    <row r="29" spans="1:9" x14ac:dyDescent="0.35">
      <c r="B29" s="6" t="s">
        <v>99</v>
      </c>
      <c r="C29" s="18">
        <v>0.05</v>
      </c>
    </row>
    <row r="30" spans="1:9" x14ac:dyDescent="0.35">
      <c r="B30" s="6" t="s">
        <v>100</v>
      </c>
      <c r="C30" s="18">
        <v>0.15</v>
      </c>
    </row>
    <row r="31" spans="1:9" x14ac:dyDescent="0.35">
      <c r="B31" s="3" t="s">
        <v>101</v>
      </c>
      <c r="C31" s="17">
        <f>SUM(C25:C30)</f>
        <v>1</v>
      </c>
    </row>
    <row r="33" spans="1:9" ht="19" customHeight="1" x14ac:dyDescent="0.35">
      <c r="A33" s="74" t="s">
        <v>102</v>
      </c>
      <c r="B33" s="72"/>
      <c r="C33" s="72"/>
      <c r="D33" s="72"/>
      <c r="E33" s="72"/>
      <c r="F33" s="72"/>
      <c r="G33" s="72"/>
      <c r="H33" s="72"/>
      <c r="I33" s="72"/>
    </row>
    <row r="34" spans="1:9" ht="28" customHeight="1" x14ac:dyDescent="0.35">
      <c r="B34" s="10" t="s">
        <v>93</v>
      </c>
      <c r="C34" s="10" t="s">
        <v>83</v>
      </c>
      <c r="D34" s="10" t="s">
        <v>85</v>
      </c>
      <c r="E34" s="10" t="s">
        <v>87</v>
      </c>
      <c r="F34" s="10" t="s">
        <v>89</v>
      </c>
    </row>
    <row r="35" spans="1:9" x14ac:dyDescent="0.35">
      <c r="B35" s="6" t="s">
        <v>95</v>
      </c>
      <c r="C35" s="18">
        <v>0.22</v>
      </c>
      <c r="D35" s="54">
        <v>0.3</v>
      </c>
      <c r="E35" s="54">
        <v>0.15</v>
      </c>
      <c r="F35" s="18">
        <v>0.35</v>
      </c>
      <c r="G35" s="70" t="s">
        <v>802</v>
      </c>
    </row>
    <row r="36" spans="1:9" x14ac:dyDescent="0.35">
      <c r="B36" s="6" t="s">
        <v>96</v>
      </c>
      <c r="C36" s="18">
        <v>0.2</v>
      </c>
      <c r="D36" s="54">
        <v>0.35</v>
      </c>
      <c r="E36" s="54">
        <v>0.12</v>
      </c>
      <c r="F36" s="18">
        <v>0.22</v>
      </c>
      <c r="G36" s="19" t="s">
        <v>797</v>
      </c>
    </row>
    <row r="37" spans="1:9" x14ac:dyDescent="0.35">
      <c r="B37" s="6" t="s">
        <v>97</v>
      </c>
      <c r="C37" s="18">
        <v>0.32</v>
      </c>
      <c r="D37" s="54">
        <v>0.5</v>
      </c>
      <c r="E37" s="54">
        <v>0.25</v>
      </c>
      <c r="F37" s="18">
        <v>0.2</v>
      </c>
      <c r="G37" s="19" t="s">
        <v>798</v>
      </c>
    </row>
    <row r="38" spans="1:9" x14ac:dyDescent="0.35">
      <c r="B38" s="6" t="s">
        <v>98</v>
      </c>
      <c r="C38" s="18">
        <v>0.38</v>
      </c>
      <c r="D38" s="54">
        <v>0.6</v>
      </c>
      <c r="E38" s="54">
        <v>0.3</v>
      </c>
      <c r="F38" s="18">
        <v>0.4</v>
      </c>
      <c r="G38" s="19" t="s">
        <v>799</v>
      </c>
    </row>
    <row r="39" spans="1:9" x14ac:dyDescent="0.35">
      <c r="B39" s="6" t="s">
        <v>99</v>
      </c>
      <c r="C39" s="18">
        <v>0.3</v>
      </c>
      <c r="D39" s="54">
        <v>0.35</v>
      </c>
      <c r="E39" s="54">
        <v>0.1</v>
      </c>
      <c r="F39" s="18">
        <v>0.25</v>
      </c>
      <c r="G39" s="19" t="s">
        <v>800</v>
      </c>
    </row>
    <row r="40" spans="1:9" x14ac:dyDescent="0.35">
      <c r="B40" s="6" t="s">
        <v>100</v>
      </c>
      <c r="C40" s="18">
        <v>0.3</v>
      </c>
      <c r="D40" s="54">
        <v>0.3</v>
      </c>
      <c r="E40" s="54">
        <v>0.08</v>
      </c>
      <c r="F40" s="18">
        <v>0.32</v>
      </c>
    </row>
    <row r="41" spans="1:9" x14ac:dyDescent="0.35">
      <c r="B41" s="3" t="s">
        <v>103</v>
      </c>
      <c r="C41" s="17">
        <f>SUMPRODUCT($C$25:$C$30,C35:C40)</f>
        <v>0.3034</v>
      </c>
      <c r="D41" s="17">
        <f>SUMPRODUCT($C$25:$C$30,D35:D40)</f>
        <v>0.44399999999999995</v>
      </c>
      <c r="E41" s="17">
        <f>SUMPRODUCT($C$25:$C$30,E35:E40)</f>
        <v>0.2006</v>
      </c>
      <c r="F41" s="17">
        <f>SUMPRODUCT($C$25:$C$30,F35:F40)</f>
        <v>0.29110000000000003</v>
      </c>
      <c r="G41" s="19" t="s">
        <v>805</v>
      </c>
    </row>
    <row r="43" spans="1:9" ht="19" customHeight="1" x14ac:dyDescent="0.35">
      <c r="A43" s="74" t="s">
        <v>104</v>
      </c>
      <c r="B43" s="72"/>
      <c r="C43" s="72"/>
      <c r="D43" s="72"/>
      <c r="E43" s="72"/>
      <c r="F43" s="72"/>
      <c r="G43" s="72"/>
      <c r="H43" s="72"/>
      <c r="I43" s="72"/>
    </row>
    <row r="44" spans="1:9" ht="28" customHeight="1" x14ac:dyDescent="0.35">
      <c r="B44" s="10" t="s">
        <v>105</v>
      </c>
      <c r="C44" s="10" t="s">
        <v>78</v>
      </c>
      <c r="D44" s="10" t="s">
        <v>106</v>
      </c>
      <c r="E44" s="10" t="s">
        <v>107</v>
      </c>
      <c r="F44" s="10" t="s">
        <v>108</v>
      </c>
      <c r="G44" s="10" t="s">
        <v>109</v>
      </c>
    </row>
    <row r="45" spans="1:9" x14ac:dyDescent="0.35">
      <c r="B45" s="6" t="s">
        <v>110</v>
      </c>
      <c r="C45" s="11" t="s">
        <v>87</v>
      </c>
      <c r="D45" s="62">
        <v>0.2</v>
      </c>
      <c r="E45" s="62">
        <v>0.4</v>
      </c>
      <c r="F45" s="54">
        <v>0</v>
      </c>
      <c r="G45" s="19" t="s">
        <v>111</v>
      </c>
    </row>
    <row r="46" spans="1:9" x14ac:dyDescent="0.35">
      <c r="B46" s="6" t="s">
        <v>112</v>
      </c>
      <c r="C46" s="11" t="s">
        <v>85</v>
      </c>
      <c r="D46" s="62">
        <v>0.25</v>
      </c>
      <c r="E46" s="62">
        <v>0.55000000000000004</v>
      </c>
      <c r="F46" s="62">
        <v>0.75</v>
      </c>
      <c r="G46" s="19" t="s">
        <v>113</v>
      </c>
    </row>
    <row r="48" spans="1:9" ht="19" customHeight="1" x14ac:dyDescent="0.35">
      <c r="A48" s="74" t="s">
        <v>114</v>
      </c>
      <c r="B48" s="72"/>
      <c r="C48" s="72"/>
      <c r="D48" s="72"/>
      <c r="E48" s="72"/>
      <c r="F48" s="72"/>
      <c r="G48" s="72"/>
      <c r="H48" s="72"/>
      <c r="I48" s="72"/>
    </row>
    <row r="49" spans="1:9" ht="28" customHeight="1" x14ac:dyDescent="0.35">
      <c r="B49" s="10" t="s">
        <v>115</v>
      </c>
      <c r="C49" s="10" t="s">
        <v>106</v>
      </c>
      <c r="D49" s="10" t="s">
        <v>107</v>
      </c>
      <c r="E49" s="10" t="s">
        <v>108</v>
      </c>
    </row>
    <row r="50" spans="1:9" x14ac:dyDescent="0.35">
      <c r="B50" s="6" t="s">
        <v>116</v>
      </c>
      <c r="C50" s="69">
        <v>0.02</v>
      </c>
      <c r="D50" s="69">
        <v>0.05</v>
      </c>
      <c r="E50" s="69">
        <v>7.0000000000000007E-2</v>
      </c>
    </row>
    <row r="51" spans="1:9" x14ac:dyDescent="0.35">
      <c r="B51" s="6" t="s">
        <v>117</v>
      </c>
      <c r="C51" s="69">
        <v>0.03</v>
      </c>
      <c r="D51" s="69">
        <v>0.06</v>
      </c>
      <c r="E51" s="69">
        <v>0.08</v>
      </c>
    </row>
    <row r="53" spans="1:9" ht="19" customHeight="1" x14ac:dyDescent="0.35">
      <c r="A53" s="74" t="s">
        <v>118</v>
      </c>
      <c r="B53" s="72"/>
      <c r="C53" s="72"/>
      <c r="D53" s="72"/>
      <c r="E53" s="72"/>
      <c r="F53" s="72"/>
      <c r="G53" s="72"/>
      <c r="H53" s="72"/>
      <c r="I53" s="72"/>
    </row>
    <row r="54" spans="1:9" ht="28" customHeight="1" x14ac:dyDescent="0.35">
      <c r="B54" s="10"/>
      <c r="C54" s="10" t="s">
        <v>106</v>
      </c>
      <c r="D54" s="10" t="s">
        <v>107</v>
      </c>
      <c r="E54" s="10" t="s">
        <v>108</v>
      </c>
    </row>
    <row r="55" spans="1:9" x14ac:dyDescent="0.35">
      <c r="B55" s="6" t="s">
        <v>119</v>
      </c>
      <c r="C55" s="14">
        <f>1-(1-E$41*D45)*(1-C$50)*(1-C$51)</f>
        <v>8.7538072000000078E-2</v>
      </c>
      <c r="D55" s="14">
        <f>1-(1-E$41*E45)*(1-D$50)*(1-D$51)</f>
        <v>0.17865432000000003</v>
      </c>
      <c r="E55" s="14">
        <f>1-(1-E$41*F45)*(1-E$50)*(1-E$51)</f>
        <v>0.14439999999999997</v>
      </c>
    </row>
    <row r="56" spans="1:9" x14ac:dyDescent="0.35">
      <c r="B56" s="6" t="s">
        <v>120</v>
      </c>
      <c r="C56" s="14">
        <f>1-(1-D$41*D46)*(1-C$50)*(1-C$51)</f>
        <v>0.15491660000000007</v>
      </c>
      <c r="D56" s="14">
        <f>1-(1-D$41*E46)*(1-D$50)*(1-D$51)</f>
        <v>0.32507059999999999</v>
      </c>
      <c r="E56" s="14">
        <f>1-(1-D$41*F46)*(1-E$50)*(1-E$51)</f>
        <v>0.4293148</v>
      </c>
    </row>
    <row r="57" spans="1:9" x14ac:dyDescent="0.35">
      <c r="B57" s="20" t="s">
        <v>121</v>
      </c>
      <c r="C57" s="21">
        <f>IF($C$7=0,0,(C55*$E$19+C56*$E$18)/$C$7)</f>
        <v>0.12101505063678121</v>
      </c>
      <c r="D57" s="21">
        <f>IF($C$7=0,0,(D55*$E$19+D56*$E$18)/$C$7)</f>
        <v>0.25140115527721119</v>
      </c>
      <c r="E57" s="21">
        <f>IF($C$7=0,0,(E55*$E$19+E56*$E$18)/$C$7)</f>
        <v>0.28595973655142432</v>
      </c>
    </row>
    <row r="59" spans="1:9" ht="19" customHeight="1" x14ac:dyDescent="0.35">
      <c r="A59" s="74" t="s">
        <v>122</v>
      </c>
      <c r="B59" s="72"/>
      <c r="C59" s="72"/>
      <c r="D59" s="72"/>
      <c r="E59" s="72"/>
      <c r="F59" s="72"/>
      <c r="G59" s="72"/>
      <c r="H59" s="72"/>
      <c r="I59" s="72"/>
    </row>
    <row r="60" spans="1:9" ht="28" customHeight="1" x14ac:dyDescent="0.35">
      <c r="B60" s="10"/>
      <c r="C60" s="10" t="s">
        <v>123</v>
      </c>
      <c r="D60" s="10" t="s">
        <v>106</v>
      </c>
      <c r="E60" s="10" t="s">
        <v>107</v>
      </c>
      <c r="F60" s="10" t="s">
        <v>108</v>
      </c>
      <c r="G60" s="10" t="s">
        <v>124</v>
      </c>
    </row>
    <row r="61" spans="1:9" x14ac:dyDescent="0.35">
      <c r="B61" s="6" t="s">
        <v>110</v>
      </c>
      <c r="C61" s="18">
        <v>0.7</v>
      </c>
      <c r="D61" s="14">
        <f t="shared" ref="D61:F62" si="0">$C61*D$64</f>
        <v>0.52499999999999991</v>
      </c>
      <c r="E61" s="14">
        <f t="shared" si="0"/>
        <v>0.61599999999999999</v>
      </c>
      <c r="F61" s="14">
        <f t="shared" si="0"/>
        <v>0.66499999999999992</v>
      </c>
      <c r="H61" s="19" t="s">
        <v>125</v>
      </c>
    </row>
    <row r="62" spans="1:9" x14ac:dyDescent="0.35">
      <c r="B62" s="6" t="s">
        <v>112</v>
      </c>
      <c r="C62" s="18">
        <v>0.78</v>
      </c>
      <c r="D62" s="14">
        <f t="shared" si="0"/>
        <v>0.58499999999999996</v>
      </c>
      <c r="E62" s="14">
        <f t="shared" si="0"/>
        <v>0.68640000000000001</v>
      </c>
      <c r="F62" s="14">
        <f t="shared" si="0"/>
        <v>0.74099999999999999</v>
      </c>
      <c r="H62" s="19" t="s">
        <v>126</v>
      </c>
    </row>
    <row r="64" spans="1:9" x14ac:dyDescent="0.35">
      <c r="B64" s="3" t="s">
        <v>127</v>
      </c>
      <c r="D64" s="62">
        <v>0.75</v>
      </c>
      <c r="E64" s="62">
        <v>0.88</v>
      </c>
      <c r="F64" s="62">
        <v>0.95</v>
      </c>
    </row>
    <row r="65" spans="1:14" x14ac:dyDescent="0.35">
      <c r="B65" s="20" t="s">
        <v>128</v>
      </c>
      <c r="D65" s="21">
        <f>IF($C$7=0,0,(D61*$E$19+D62*$E$18)/$C$7)</f>
        <v>0.5548109617088528</v>
      </c>
      <c r="E65" s="21">
        <f>IF($C$7=0,0,(E61*$E$19+E62*$E$18)/$C$7)</f>
        <v>0.65097819507172061</v>
      </c>
      <c r="F65" s="21">
        <f>IF($C$7=0,0,(F61*$E$19+F62*$E$18)/$C$7)</f>
        <v>0.70276055149788019</v>
      </c>
    </row>
    <row r="67" spans="1:14" ht="19" customHeight="1" x14ac:dyDescent="0.35">
      <c r="A67" s="74" t="s">
        <v>129</v>
      </c>
      <c r="B67" s="72"/>
      <c r="C67" s="72"/>
      <c r="D67" s="72"/>
      <c r="E67" s="72"/>
      <c r="F67" s="72"/>
      <c r="G67" s="72"/>
      <c r="H67" s="72"/>
      <c r="I67" s="72"/>
    </row>
    <row r="68" spans="1:14" ht="28" customHeight="1" x14ac:dyDescent="0.35">
      <c r="B68" s="10" t="s">
        <v>130</v>
      </c>
      <c r="C68" s="10" t="s">
        <v>106</v>
      </c>
      <c r="D68" s="10" t="s">
        <v>107</v>
      </c>
      <c r="E68" s="10" t="s">
        <v>108</v>
      </c>
    </row>
    <row r="69" spans="1:14" x14ac:dyDescent="0.35">
      <c r="B69" s="6" t="s">
        <v>131</v>
      </c>
      <c r="C69" s="22">
        <v>0</v>
      </c>
      <c r="D69" s="22">
        <v>0</v>
      </c>
      <c r="E69" s="22">
        <v>0</v>
      </c>
    </row>
    <row r="70" spans="1:14" x14ac:dyDescent="0.35">
      <c r="B70" s="6" t="s">
        <v>132</v>
      </c>
      <c r="C70" s="22">
        <v>0</v>
      </c>
      <c r="D70" s="22">
        <v>0</v>
      </c>
      <c r="E70" s="22">
        <v>0</v>
      </c>
    </row>
    <row r="71" spans="1:14" x14ac:dyDescent="0.35">
      <c r="B71" s="3" t="s">
        <v>133</v>
      </c>
      <c r="C71" s="15">
        <f>SUM($C$69:C70)</f>
        <v>0</v>
      </c>
      <c r="D71" s="15">
        <f>SUM($C$69:D70)</f>
        <v>0</v>
      </c>
      <c r="E71" s="15">
        <f>SUM($C$69:E70)</f>
        <v>0</v>
      </c>
    </row>
    <row r="72" spans="1:14" x14ac:dyDescent="0.35">
      <c r="B72" s="5" t="s">
        <v>134</v>
      </c>
    </row>
    <row r="74" spans="1:14" ht="19" customHeight="1" x14ac:dyDescent="0.35">
      <c r="A74" s="74" t="s">
        <v>135</v>
      </c>
      <c r="B74" s="72"/>
      <c r="C74" s="72"/>
      <c r="D74" s="72"/>
      <c r="E74" s="72"/>
      <c r="F74" s="72"/>
      <c r="G74" s="72"/>
      <c r="H74" s="72"/>
      <c r="I74" s="72"/>
    </row>
    <row r="75" spans="1:14" ht="28" customHeight="1" x14ac:dyDescent="0.35">
      <c r="B75" s="10" t="s">
        <v>136</v>
      </c>
      <c r="C75" s="10" t="s">
        <v>137</v>
      </c>
      <c r="D75" s="10" t="s">
        <v>138</v>
      </c>
      <c r="E75" s="10" t="s">
        <v>139</v>
      </c>
      <c r="F75" s="10" t="s">
        <v>140</v>
      </c>
      <c r="G75" s="10" t="s">
        <v>141</v>
      </c>
    </row>
    <row r="76" spans="1:14" x14ac:dyDescent="0.35">
      <c r="B76" s="6" t="s">
        <v>142</v>
      </c>
      <c r="C76" s="23">
        <v>0.72</v>
      </c>
      <c r="D76" s="23">
        <v>1</v>
      </c>
      <c r="E76" s="23">
        <v>1.35</v>
      </c>
      <c r="F76" s="23">
        <v>1.85</v>
      </c>
      <c r="G76" s="23">
        <v>2.5499999999999998</v>
      </c>
    </row>
    <row r="77" spans="1:14" x14ac:dyDescent="0.35">
      <c r="B77" s="6" t="s">
        <v>143</v>
      </c>
      <c r="C77" s="23">
        <v>0.22</v>
      </c>
      <c r="D77" s="23">
        <v>0.3</v>
      </c>
      <c r="E77" s="23">
        <v>0.42</v>
      </c>
      <c r="F77" s="23">
        <v>0.6</v>
      </c>
      <c r="G77" s="23">
        <v>0.85</v>
      </c>
    </row>
    <row r="79" spans="1:14" x14ac:dyDescent="0.35">
      <c r="I79" s="24" t="s">
        <v>144</v>
      </c>
      <c r="J79" s="24" t="s">
        <v>145</v>
      </c>
      <c r="K79" s="24" t="s">
        <v>146</v>
      </c>
      <c r="L79" s="24" t="s">
        <v>147</v>
      </c>
      <c r="M79" s="24" t="s">
        <v>148</v>
      </c>
      <c r="N79" s="24" t="s">
        <v>149</v>
      </c>
    </row>
    <row r="80" spans="1:14" x14ac:dyDescent="0.35">
      <c r="I80" s="24" t="s">
        <v>150</v>
      </c>
      <c r="J80" s="25">
        <f t="shared" ref="J80:N81" si="1">C76</f>
        <v>0.72</v>
      </c>
      <c r="K80" s="25">
        <f t="shared" si="1"/>
        <v>1</v>
      </c>
      <c r="L80" s="25">
        <f t="shared" si="1"/>
        <v>1.35</v>
      </c>
      <c r="M80" s="25">
        <f t="shared" si="1"/>
        <v>1.85</v>
      </c>
      <c r="N80" s="25">
        <f t="shared" si="1"/>
        <v>2.5499999999999998</v>
      </c>
    </row>
    <row r="81" spans="9:14" x14ac:dyDescent="0.35">
      <c r="I81" s="24" t="s">
        <v>151</v>
      </c>
      <c r="J81" s="25">
        <f t="shared" si="1"/>
        <v>0.22</v>
      </c>
      <c r="K81" s="25">
        <f t="shared" si="1"/>
        <v>0.3</v>
      </c>
      <c r="L81" s="25">
        <f t="shared" si="1"/>
        <v>0.42</v>
      </c>
      <c r="M81" s="25">
        <f t="shared" si="1"/>
        <v>0.6</v>
      </c>
      <c r="N81" s="25">
        <f t="shared" si="1"/>
        <v>0.85</v>
      </c>
    </row>
    <row r="82" spans="9:14" x14ac:dyDescent="0.35">
      <c r="I82" s="5" t="s">
        <v>152</v>
      </c>
    </row>
  </sheetData>
  <mergeCells count="12">
    <mergeCell ref="A74:I74"/>
    <mergeCell ref="A4:I4"/>
    <mergeCell ref="A48:I48"/>
    <mergeCell ref="A15:I15"/>
    <mergeCell ref="A59:I59"/>
    <mergeCell ref="A1:J1"/>
    <mergeCell ref="A43:I43"/>
    <mergeCell ref="A33:I33"/>
    <mergeCell ref="A23:I23"/>
    <mergeCell ref="A67:I67"/>
    <mergeCell ref="A53:I53"/>
    <mergeCell ref="A2:J2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46"/>
  <sheetViews>
    <sheetView workbookViewId="0">
      <pane xSplit="2" ySplit="4" topLeftCell="C29" activePane="bottomRight" state="frozen"/>
      <selection pane="topRight"/>
      <selection pane="bottomLeft"/>
      <selection pane="bottomRight" activeCell="E71" sqref="E71"/>
    </sheetView>
  </sheetViews>
  <sheetFormatPr defaultColWidth="8.81640625" defaultRowHeight="14.5" x14ac:dyDescent="0.35"/>
  <cols>
    <col min="1" max="1" width="5" customWidth="1"/>
    <col min="2" max="2" width="9" customWidth="1"/>
    <col min="3" max="3" width="26" customWidth="1"/>
    <col min="4" max="4" width="30" customWidth="1"/>
    <col min="5" max="5" width="22" customWidth="1"/>
    <col min="6" max="6" width="24" customWidth="1"/>
    <col min="7" max="7" width="26" customWidth="1"/>
    <col min="8" max="8" width="22" customWidth="1"/>
    <col min="9" max="9" width="9" customWidth="1"/>
    <col min="10" max="10" width="12" customWidth="1"/>
    <col min="11" max="11" width="30" customWidth="1"/>
    <col min="12" max="12" width="22" customWidth="1"/>
    <col min="13" max="13" width="12" customWidth="1"/>
    <col min="14" max="16" width="11" customWidth="1"/>
    <col min="17" max="17" width="10" customWidth="1"/>
    <col min="18" max="18" width="9" customWidth="1"/>
    <col min="19" max="19" width="11" customWidth="1"/>
    <col min="20" max="20" width="13" customWidth="1"/>
    <col min="21" max="21" width="10" customWidth="1"/>
    <col min="27" max="32" width="9" customWidth="1"/>
    <col min="33" max="33" width="10" customWidth="1"/>
    <col min="34" max="34" width="12" customWidth="1"/>
  </cols>
  <sheetData>
    <row r="1" spans="1:34" ht="26.15" customHeight="1" x14ac:dyDescent="0.35">
      <c r="A1" s="73" t="s">
        <v>153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</row>
    <row r="2" spans="1:34" x14ac:dyDescent="0.35">
      <c r="A2" s="71" t="s">
        <v>154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</row>
    <row r="4" spans="1:34" ht="28" customHeight="1" x14ac:dyDescent="0.35">
      <c r="A4" s="10" t="s">
        <v>155</v>
      </c>
      <c r="B4" s="10" t="s">
        <v>156</v>
      </c>
      <c r="C4" s="10" t="s">
        <v>157</v>
      </c>
      <c r="D4" s="10" t="s">
        <v>158</v>
      </c>
      <c r="E4" s="10" t="s">
        <v>66</v>
      </c>
      <c r="F4" s="10" t="s">
        <v>159</v>
      </c>
      <c r="G4" s="10" t="s">
        <v>160</v>
      </c>
      <c r="H4" s="10" t="s">
        <v>161</v>
      </c>
      <c r="I4" s="10" t="s">
        <v>162</v>
      </c>
      <c r="J4" s="10" t="s">
        <v>163</v>
      </c>
      <c r="K4" s="10" t="s">
        <v>164</v>
      </c>
      <c r="L4" s="10" t="s">
        <v>165</v>
      </c>
      <c r="M4" s="10" t="s">
        <v>166</v>
      </c>
      <c r="N4" s="10" t="s">
        <v>71</v>
      </c>
      <c r="O4" s="10" t="s">
        <v>72</v>
      </c>
      <c r="P4" s="10" t="s">
        <v>73</v>
      </c>
      <c r="Q4" s="10" t="s">
        <v>91</v>
      </c>
      <c r="R4" s="10" t="s">
        <v>167</v>
      </c>
      <c r="S4" s="10" t="s">
        <v>168</v>
      </c>
      <c r="T4" s="10" t="s">
        <v>169</v>
      </c>
      <c r="U4" s="10" t="s">
        <v>170</v>
      </c>
      <c r="AA4" s="10" t="s">
        <v>171</v>
      </c>
      <c r="AB4" s="10" t="s">
        <v>172</v>
      </c>
      <c r="AC4" s="10" t="s">
        <v>173</v>
      </c>
      <c r="AD4" s="10" t="s">
        <v>81</v>
      </c>
      <c r="AE4" s="10" t="s">
        <v>174</v>
      </c>
      <c r="AF4" s="10" t="s">
        <v>175</v>
      </c>
      <c r="AG4" s="10" t="s">
        <v>78</v>
      </c>
      <c r="AH4" s="10" t="s">
        <v>105</v>
      </c>
    </row>
    <row r="5" spans="1:34" x14ac:dyDescent="0.35">
      <c r="A5" s="26">
        <v>1</v>
      </c>
      <c r="B5" s="6">
        <v>9629</v>
      </c>
      <c r="C5" s="6" t="s">
        <v>176</v>
      </c>
      <c r="D5" s="6" t="s">
        <v>176</v>
      </c>
      <c r="E5" s="6" t="s">
        <v>177</v>
      </c>
      <c r="F5" s="6" t="s">
        <v>178</v>
      </c>
      <c r="G5" s="6" t="s">
        <v>179</v>
      </c>
      <c r="H5" s="6" t="s">
        <v>180</v>
      </c>
      <c r="I5" s="6" t="s">
        <v>181</v>
      </c>
      <c r="J5" s="6" t="s">
        <v>182</v>
      </c>
      <c r="K5" s="6" t="s">
        <v>183</v>
      </c>
      <c r="L5" s="6" t="s">
        <v>184</v>
      </c>
      <c r="M5" s="6" t="s">
        <v>181</v>
      </c>
      <c r="N5" s="27">
        <v>0</v>
      </c>
      <c r="O5" s="27">
        <v>0</v>
      </c>
      <c r="P5" s="27">
        <v>0</v>
      </c>
      <c r="Q5" s="27">
        <v>0</v>
      </c>
      <c r="R5" s="28">
        <v>0</v>
      </c>
      <c r="S5" s="27"/>
      <c r="T5" s="27"/>
      <c r="U5" s="26">
        <v>1</v>
      </c>
      <c r="AA5" s="29">
        <f t="shared" ref="AA5:AA36" si="0">N5</f>
        <v>0</v>
      </c>
      <c r="AB5" s="29">
        <f t="shared" ref="AB5:AB36" si="1">O5</f>
        <v>0</v>
      </c>
      <c r="AC5" s="29">
        <f t="shared" ref="AC5:AC36" si="2">P5</f>
        <v>0</v>
      </c>
      <c r="AD5" s="29">
        <f t="shared" ref="AD5:AD36" si="3">Q5</f>
        <v>0</v>
      </c>
      <c r="AE5" s="14">
        <f t="shared" ref="AE5:AE36" si="4">R5</f>
        <v>0</v>
      </c>
      <c r="AF5" s="29">
        <f t="shared" ref="AF5:AF36" si="5">Q5*R5</f>
        <v>0</v>
      </c>
      <c r="AG5" s="11" t="s">
        <v>83</v>
      </c>
      <c r="AH5" s="30"/>
    </row>
    <row r="6" spans="1:34" x14ac:dyDescent="0.35">
      <c r="A6" s="26">
        <v>2</v>
      </c>
      <c r="B6" s="6">
        <v>9796</v>
      </c>
      <c r="C6" s="6" t="s">
        <v>185</v>
      </c>
      <c r="D6" s="6" t="s">
        <v>186</v>
      </c>
      <c r="E6" s="6" t="s">
        <v>187</v>
      </c>
      <c r="F6" s="6" t="s">
        <v>178</v>
      </c>
      <c r="G6" s="6" t="s">
        <v>188</v>
      </c>
      <c r="H6" s="6" t="s">
        <v>180</v>
      </c>
      <c r="I6" s="6" t="s">
        <v>189</v>
      </c>
      <c r="J6" s="6" t="s">
        <v>182</v>
      </c>
      <c r="K6" s="6" t="s">
        <v>190</v>
      </c>
      <c r="L6" s="6"/>
      <c r="M6" s="6" t="s">
        <v>181</v>
      </c>
      <c r="N6" s="27">
        <v>59.558958333333358</v>
      </c>
      <c r="O6" s="27">
        <v>7.7541666666666673</v>
      </c>
      <c r="P6" s="27">
        <v>0</v>
      </c>
      <c r="Q6" s="27">
        <v>67.313125000000028</v>
      </c>
      <c r="R6" s="28">
        <v>0.71176374097424044</v>
      </c>
      <c r="S6" s="27">
        <v>33.656562500000007</v>
      </c>
      <c r="T6" s="27">
        <v>33.656562500000007</v>
      </c>
      <c r="U6" s="26">
        <v>1</v>
      </c>
      <c r="AA6" s="29">
        <f t="shared" si="0"/>
        <v>59.558958333333358</v>
      </c>
      <c r="AB6" s="29">
        <f t="shared" si="1"/>
        <v>7.7541666666666673</v>
      </c>
      <c r="AC6" s="29">
        <f t="shared" si="2"/>
        <v>0</v>
      </c>
      <c r="AD6" s="29">
        <f t="shared" si="3"/>
        <v>67.313125000000028</v>
      </c>
      <c r="AE6" s="14">
        <f t="shared" si="4"/>
        <v>0.71176374097424044</v>
      </c>
      <c r="AF6" s="29">
        <f t="shared" si="5"/>
        <v>47.911041666666691</v>
      </c>
      <c r="AG6" s="11" t="s">
        <v>89</v>
      </c>
      <c r="AH6" s="30"/>
    </row>
    <row r="7" spans="1:34" x14ac:dyDescent="0.35">
      <c r="A7" s="26">
        <v>3</v>
      </c>
      <c r="B7" s="6">
        <v>9800</v>
      </c>
      <c r="C7" s="6" t="s">
        <v>191</v>
      </c>
      <c r="D7" s="6" t="s">
        <v>192</v>
      </c>
      <c r="E7" s="6" t="s">
        <v>187</v>
      </c>
      <c r="F7" s="6" t="s">
        <v>178</v>
      </c>
      <c r="G7" s="6" t="s">
        <v>188</v>
      </c>
      <c r="H7" s="6" t="s">
        <v>180</v>
      </c>
      <c r="I7" s="6" t="s">
        <v>189</v>
      </c>
      <c r="J7" s="6" t="s">
        <v>182</v>
      </c>
      <c r="K7" s="6" t="s">
        <v>193</v>
      </c>
      <c r="L7" s="6"/>
      <c r="M7" s="6" t="s">
        <v>181</v>
      </c>
      <c r="N7" s="27">
        <v>20.89216666666665</v>
      </c>
      <c r="O7" s="27">
        <v>1.85375</v>
      </c>
      <c r="P7" s="27">
        <v>0</v>
      </c>
      <c r="Q7" s="27">
        <v>22.745916666666648</v>
      </c>
      <c r="R7" s="28">
        <v>0.94285787558939149</v>
      </c>
      <c r="S7" s="27">
        <v>11.37295833333333</v>
      </c>
      <c r="T7" s="27">
        <v>11.37295833333333</v>
      </c>
      <c r="U7" s="26">
        <v>1</v>
      </c>
      <c r="AA7" s="29">
        <f t="shared" si="0"/>
        <v>20.89216666666665</v>
      </c>
      <c r="AB7" s="29">
        <f t="shared" si="1"/>
        <v>1.85375</v>
      </c>
      <c r="AC7" s="29">
        <f t="shared" si="2"/>
        <v>0</v>
      </c>
      <c r="AD7" s="29">
        <f t="shared" si="3"/>
        <v>22.745916666666648</v>
      </c>
      <c r="AE7" s="14">
        <f t="shared" si="4"/>
        <v>0.94285787558939149</v>
      </c>
      <c r="AF7" s="29">
        <f t="shared" si="5"/>
        <v>21.446166666666649</v>
      </c>
      <c r="AG7" s="11" t="s">
        <v>89</v>
      </c>
      <c r="AH7" s="30"/>
    </row>
    <row r="8" spans="1:34" x14ac:dyDescent="0.35">
      <c r="A8" s="26">
        <v>4</v>
      </c>
      <c r="B8" s="6">
        <v>9801</v>
      </c>
      <c r="C8" s="6" t="s">
        <v>194</v>
      </c>
      <c r="D8" s="6" t="s">
        <v>195</v>
      </c>
      <c r="E8" s="6" t="s">
        <v>187</v>
      </c>
      <c r="F8" s="6" t="s">
        <v>178</v>
      </c>
      <c r="G8" s="6" t="s">
        <v>188</v>
      </c>
      <c r="H8" s="6" t="s">
        <v>180</v>
      </c>
      <c r="I8" s="6" t="s">
        <v>189</v>
      </c>
      <c r="J8" s="6" t="s">
        <v>182</v>
      </c>
      <c r="K8" s="6" t="s">
        <v>193</v>
      </c>
      <c r="L8" s="6"/>
      <c r="M8" s="6" t="s">
        <v>181</v>
      </c>
      <c r="N8" s="27">
        <v>0</v>
      </c>
      <c r="O8" s="27">
        <v>0</v>
      </c>
      <c r="P8" s="27">
        <v>0</v>
      </c>
      <c r="Q8" s="27">
        <v>0</v>
      </c>
      <c r="R8" s="28">
        <v>0</v>
      </c>
      <c r="S8" s="27"/>
      <c r="T8" s="27"/>
      <c r="U8" s="26">
        <v>1</v>
      </c>
      <c r="AA8" s="29">
        <f t="shared" si="0"/>
        <v>0</v>
      </c>
      <c r="AB8" s="29">
        <f t="shared" si="1"/>
        <v>0</v>
      </c>
      <c r="AC8" s="29">
        <f t="shared" si="2"/>
        <v>0</v>
      </c>
      <c r="AD8" s="29">
        <f t="shared" si="3"/>
        <v>0</v>
      </c>
      <c r="AE8" s="14">
        <f t="shared" si="4"/>
        <v>0</v>
      </c>
      <c r="AF8" s="29">
        <f t="shared" si="5"/>
        <v>0</v>
      </c>
      <c r="AG8" s="11" t="s">
        <v>89</v>
      </c>
      <c r="AH8" s="30"/>
    </row>
    <row r="9" spans="1:34" x14ac:dyDescent="0.35">
      <c r="A9" s="26">
        <v>5</v>
      </c>
      <c r="B9" s="6">
        <v>9802</v>
      </c>
      <c r="C9" s="6" t="s">
        <v>196</v>
      </c>
      <c r="D9" s="6" t="s">
        <v>197</v>
      </c>
      <c r="E9" s="6" t="s">
        <v>187</v>
      </c>
      <c r="F9" s="6" t="s">
        <v>178</v>
      </c>
      <c r="G9" s="6" t="s">
        <v>188</v>
      </c>
      <c r="H9" s="6" t="s">
        <v>180</v>
      </c>
      <c r="I9" s="6" t="s">
        <v>189</v>
      </c>
      <c r="J9" s="6" t="s">
        <v>182</v>
      </c>
      <c r="K9" s="6" t="s">
        <v>193</v>
      </c>
      <c r="L9" s="6"/>
      <c r="M9" s="6" t="s">
        <v>181</v>
      </c>
      <c r="N9" s="27">
        <v>15.953625000000001</v>
      </c>
      <c r="O9" s="27">
        <v>1.6541666666666659</v>
      </c>
      <c r="P9" s="27">
        <v>0</v>
      </c>
      <c r="Q9" s="27">
        <v>17.607791666666671</v>
      </c>
      <c r="R9" s="28">
        <v>0.98287216596819116</v>
      </c>
      <c r="S9" s="27">
        <v>8.8038958333333337</v>
      </c>
      <c r="T9" s="27">
        <v>8.8038958333333337</v>
      </c>
      <c r="U9" s="26">
        <v>1</v>
      </c>
      <c r="AA9" s="29">
        <f t="shared" si="0"/>
        <v>15.953625000000001</v>
      </c>
      <c r="AB9" s="29">
        <f t="shared" si="1"/>
        <v>1.6541666666666659</v>
      </c>
      <c r="AC9" s="29">
        <f t="shared" si="2"/>
        <v>0</v>
      </c>
      <c r="AD9" s="29">
        <f t="shared" si="3"/>
        <v>17.607791666666671</v>
      </c>
      <c r="AE9" s="14">
        <f t="shared" si="4"/>
        <v>0.98287216596819116</v>
      </c>
      <c r="AF9" s="29">
        <f t="shared" si="5"/>
        <v>17.306208333333338</v>
      </c>
      <c r="AG9" s="11" t="s">
        <v>89</v>
      </c>
      <c r="AH9" s="30"/>
    </row>
    <row r="10" spans="1:34" x14ac:dyDescent="0.35">
      <c r="A10" s="26">
        <v>6</v>
      </c>
      <c r="B10" s="6">
        <v>9803</v>
      </c>
      <c r="C10" s="6" t="s">
        <v>198</v>
      </c>
      <c r="D10" s="6" t="s">
        <v>199</v>
      </c>
      <c r="E10" s="6" t="s">
        <v>187</v>
      </c>
      <c r="F10" s="6" t="s">
        <v>178</v>
      </c>
      <c r="G10" s="6" t="s">
        <v>188</v>
      </c>
      <c r="H10" s="6" t="s">
        <v>180</v>
      </c>
      <c r="I10" s="6" t="s">
        <v>189</v>
      </c>
      <c r="J10" s="6" t="s">
        <v>182</v>
      </c>
      <c r="K10" s="6" t="s">
        <v>190</v>
      </c>
      <c r="L10" s="6"/>
      <c r="M10" s="6" t="s">
        <v>181</v>
      </c>
      <c r="N10" s="27">
        <v>8.8045833333333299</v>
      </c>
      <c r="O10" s="27">
        <v>0.85</v>
      </c>
      <c r="P10" s="27">
        <v>0</v>
      </c>
      <c r="Q10" s="27">
        <v>9.6545833333333295</v>
      </c>
      <c r="R10" s="28">
        <v>0.94821112597643609</v>
      </c>
      <c r="S10" s="27">
        <v>4.8272916666666648</v>
      </c>
      <c r="T10" s="27">
        <v>4.8272916666666648</v>
      </c>
      <c r="U10" s="26">
        <v>1</v>
      </c>
      <c r="AA10" s="29">
        <f t="shared" si="0"/>
        <v>8.8045833333333299</v>
      </c>
      <c r="AB10" s="29">
        <f t="shared" si="1"/>
        <v>0.85</v>
      </c>
      <c r="AC10" s="29">
        <f t="shared" si="2"/>
        <v>0</v>
      </c>
      <c r="AD10" s="29">
        <f t="shared" si="3"/>
        <v>9.6545833333333295</v>
      </c>
      <c r="AE10" s="14">
        <f t="shared" si="4"/>
        <v>0.94821112597643609</v>
      </c>
      <c r="AF10" s="29">
        <f t="shared" si="5"/>
        <v>9.1545833333333295</v>
      </c>
      <c r="AG10" s="11" t="s">
        <v>89</v>
      </c>
      <c r="AH10" s="30"/>
    </row>
    <row r="11" spans="1:34" x14ac:dyDescent="0.35">
      <c r="A11" s="26">
        <v>7</v>
      </c>
      <c r="B11" s="6">
        <v>9804</v>
      </c>
      <c r="C11" s="6" t="s">
        <v>200</v>
      </c>
      <c r="D11" s="6" t="s">
        <v>201</v>
      </c>
      <c r="E11" s="6" t="s">
        <v>187</v>
      </c>
      <c r="F11" s="6" t="s">
        <v>178</v>
      </c>
      <c r="G11" s="6" t="s">
        <v>188</v>
      </c>
      <c r="H11" s="6" t="s">
        <v>180</v>
      </c>
      <c r="I11" s="6" t="s">
        <v>189</v>
      </c>
      <c r="J11" s="6" t="s">
        <v>182</v>
      </c>
      <c r="K11" s="6" t="s">
        <v>193</v>
      </c>
      <c r="L11" s="6"/>
      <c r="M11" s="6" t="s">
        <v>181</v>
      </c>
      <c r="N11" s="27">
        <v>10.784166666666669</v>
      </c>
      <c r="O11" s="27">
        <v>0.74583333333333335</v>
      </c>
      <c r="P11" s="27">
        <v>0</v>
      </c>
      <c r="Q11" s="27">
        <v>11.53</v>
      </c>
      <c r="R11" s="28">
        <v>0.83304423243712056</v>
      </c>
      <c r="S11" s="27">
        <v>5.7650000000000006</v>
      </c>
      <c r="T11" s="27">
        <v>5.7650000000000006</v>
      </c>
      <c r="U11" s="26">
        <v>1</v>
      </c>
      <c r="AA11" s="29">
        <f t="shared" si="0"/>
        <v>10.784166666666669</v>
      </c>
      <c r="AB11" s="29">
        <f t="shared" si="1"/>
        <v>0.74583333333333335</v>
      </c>
      <c r="AC11" s="29">
        <f t="shared" si="2"/>
        <v>0</v>
      </c>
      <c r="AD11" s="29">
        <f t="shared" si="3"/>
        <v>11.53</v>
      </c>
      <c r="AE11" s="14">
        <f t="shared" si="4"/>
        <v>0.83304423243712056</v>
      </c>
      <c r="AF11" s="29">
        <f t="shared" si="5"/>
        <v>9.6049999999999986</v>
      </c>
      <c r="AG11" s="11" t="s">
        <v>89</v>
      </c>
      <c r="AH11" s="30"/>
    </row>
    <row r="12" spans="1:34" x14ac:dyDescent="0.35">
      <c r="A12" s="26">
        <v>8</v>
      </c>
      <c r="B12" s="6">
        <v>9805</v>
      </c>
      <c r="C12" s="6" t="s">
        <v>202</v>
      </c>
      <c r="D12" s="6" t="s">
        <v>203</v>
      </c>
      <c r="E12" s="6" t="s">
        <v>187</v>
      </c>
      <c r="F12" s="6" t="s">
        <v>178</v>
      </c>
      <c r="G12" s="6" t="s">
        <v>188</v>
      </c>
      <c r="H12" s="6" t="s">
        <v>180</v>
      </c>
      <c r="I12" s="6" t="s">
        <v>189</v>
      </c>
      <c r="J12" s="6" t="s">
        <v>182</v>
      </c>
      <c r="K12" s="6" t="s">
        <v>193</v>
      </c>
      <c r="L12" s="6"/>
      <c r="M12" s="6" t="s">
        <v>181</v>
      </c>
      <c r="N12" s="27">
        <v>2.8966666666666661</v>
      </c>
      <c r="O12" s="27">
        <v>2.5000000000000001E-2</v>
      </c>
      <c r="P12" s="27">
        <v>0</v>
      </c>
      <c r="Q12" s="27">
        <v>2.921666666666666</v>
      </c>
      <c r="R12" s="28">
        <v>0.90587564175698809</v>
      </c>
      <c r="S12" s="27">
        <v>1.460833333333333</v>
      </c>
      <c r="T12" s="27">
        <v>1.460833333333333</v>
      </c>
      <c r="U12" s="26">
        <v>1</v>
      </c>
      <c r="AA12" s="29">
        <f t="shared" si="0"/>
        <v>2.8966666666666661</v>
      </c>
      <c r="AB12" s="29">
        <f t="shared" si="1"/>
        <v>2.5000000000000001E-2</v>
      </c>
      <c r="AC12" s="29">
        <f t="shared" si="2"/>
        <v>0</v>
      </c>
      <c r="AD12" s="29">
        <f t="shared" si="3"/>
        <v>2.921666666666666</v>
      </c>
      <c r="AE12" s="14">
        <f t="shared" si="4"/>
        <v>0.90587564175698809</v>
      </c>
      <c r="AF12" s="29">
        <f t="shared" si="5"/>
        <v>2.6466666666666661</v>
      </c>
      <c r="AG12" s="11" t="s">
        <v>89</v>
      </c>
      <c r="AH12" s="30"/>
    </row>
    <row r="13" spans="1:34" x14ac:dyDescent="0.35">
      <c r="A13" s="26">
        <v>9</v>
      </c>
      <c r="B13" s="6">
        <v>9806</v>
      </c>
      <c r="C13" s="6" t="s">
        <v>204</v>
      </c>
      <c r="D13" s="6" t="s">
        <v>205</v>
      </c>
      <c r="E13" s="6" t="s">
        <v>187</v>
      </c>
      <c r="F13" s="6" t="s">
        <v>178</v>
      </c>
      <c r="G13" s="6" t="s">
        <v>188</v>
      </c>
      <c r="H13" s="6" t="s">
        <v>180</v>
      </c>
      <c r="I13" s="6" t="s">
        <v>189</v>
      </c>
      <c r="J13" s="6" t="s">
        <v>182</v>
      </c>
      <c r="K13" s="6" t="s">
        <v>193</v>
      </c>
      <c r="L13" s="6"/>
      <c r="M13" s="6" t="s">
        <v>181</v>
      </c>
      <c r="N13" s="27">
        <v>5.2887500000000012</v>
      </c>
      <c r="O13" s="27">
        <v>1.0249999999999999</v>
      </c>
      <c r="P13" s="27">
        <v>0</v>
      </c>
      <c r="Q13" s="27">
        <v>6.3137500000000006</v>
      </c>
      <c r="R13" s="28">
        <v>0.83765590972084747</v>
      </c>
      <c r="S13" s="27">
        <v>3.1568749999999999</v>
      </c>
      <c r="T13" s="27">
        <v>3.1568749999999999</v>
      </c>
      <c r="U13" s="26">
        <v>1</v>
      </c>
      <c r="AA13" s="29">
        <f t="shared" si="0"/>
        <v>5.2887500000000012</v>
      </c>
      <c r="AB13" s="29">
        <f t="shared" si="1"/>
        <v>1.0249999999999999</v>
      </c>
      <c r="AC13" s="29">
        <f t="shared" si="2"/>
        <v>0</v>
      </c>
      <c r="AD13" s="29">
        <f t="shared" si="3"/>
        <v>6.3137500000000006</v>
      </c>
      <c r="AE13" s="14">
        <f t="shared" si="4"/>
        <v>0.83765590972084747</v>
      </c>
      <c r="AF13" s="29">
        <f t="shared" si="5"/>
        <v>5.2887500000000012</v>
      </c>
      <c r="AG13" s="11" t="s">
        <v>89</v>
      </c>
      <c r="AH13" s="30"/>
    </row>
    <row r="14" spans="1:34" x14ac:dyDescent="0.35">
      <c r="A14" s="26">
        <v>10</v>
      </c>
      <c r="B14" s="6">
        <v>9807</v>
      </c>
      <c r="C14" s="6" t="s">
        <v>206</v>
      </c>
      <c r="D14" s="6" t="s">
        <v>207</v>
      </c>
      <c r="E14" s="6" t="s">
        <v>187</v>
      </c>
      <c r="F14" s="6" t="s">
        <v>178</v>
      </c>
      <c r="G14" s="6" t="s">
        <v>188</v>
      </c>
      <c r="H14" s="6" t="s">
        <v>180</v>
      </c>
      <c r="I14" s="6" t="s">
        <v>181</v>
      </c>
      <c r="J14" s="6" t="s">
        <v>182</v>
      </c>
      <c r="K14" s="6" t="s">
        <v>193</v>
      </c>
      <c r="L14" s="6"/>
      <c r="M14" s="6" t="s">
        <v>181</v>
      </c>
      <c r="N14" s="27">
        <v>9.7687500000000007</v>
      </c>
      <c r="O14" s="27">
        <v>1.4833333333333329</v>
      </c>
      <c r="P14" s="27">
        <v>0</v>
      </c>
      <c r="Q14" s="27">
        <v>11.25208333333333</v>
      </c>
      <c r="R14" s="28">
        <v>0.85632290316608028</v>
      </c>
      <c r="S14" s="27">
        <v>5.6260416666666666</v>
      </c>
      <c r="T14" s="27">
        <v>5.6260416666666666</v>
      </c>
      <c r="U14" s="26">
        <v>1</v>
      </c>
      <c r="AA14" s="29">
        <f t="shared" si="0"/>
        <v>9.7687500000000007</v>
      </c>
      <c r="AB14" s="29">
        <f t="shared" si="1"/>
        <v>1.4833333333333329</v>
      </c>
      <c r="AC14" s="29">
        <f t="shared" si="2"/>
        <v>0</v>
      </c>
      <c r="AD14" s="29">
        <f t="shared" si="3"/>
        <v>11.25208333333333</v>
      </c>
      <c r="AE14" s="14">
        <f t="shared" si="4"/>
        <v>0.85632290316608028</v>
      </c>
      <c r="AF14" s="29">
        <f t="shared" si="5"/>
        <v>9.6354166666666625</v>
      </c>
      <c r="AG14" s="11" t="s">
        <v>89</v>
      </c>
      <c r="AH14" s="30"/>
    </row>
    <row r="15" spans="1:34" x14ac:dyDescent="0.35">
      <c r="A15" s="26">
        <v>11</v>
      </c>
      <c r="B15" s="6">
        <v>9808</v>
      </c>
      <c r="C15" s="6" t="s">
        <v>208</v>
      </c>
      <c r="D15" s="6" t="s">
        <v>209</v>
      </c>
      <c r="E15" s="6" t="s">
        <v>187</v>
      </c>
      <c r="F15" s="6" t="s">
        <v>178</v>
      </c>
      <c r="G15" s="6" t="s">
        <v>188</v>
      </c>
      <c r="H15" s="6" t="s">
        <v>180</v>
      </c>
      <c r="I15" s="6" t="s">
        <v>189</v>
      </c>
      <c r="J15" s="6" t="s">
        <v>182</v>
      </c>
      <c r="K15" s="6" t="s">
        <v>193</v>
      </c>
      <c r="L15" s="6"/>
      <c r="M15" s="6" t="s">
        <v>181</v>
      </c>
      <c r="N15" s="27">
        <v>13.545708333333341</v>
      </c>
      <c r="O15" s="27">
        <v>3.1437499999999998</v>
      </c>
      <c r="P15" s="27">
        <v>0</v>
      </c>
      <c r="Q15" s="27">
        <v>16.689458333333341</v>
      </c>
      <c r="R15" s="28">
        <v>0.72662384189620677</v>
      </c>
      <c r="S15" s="27">
        <v>8.344729166666669</v>
      </c>
      <c r="T15" s="27">
        <v>8.344729166666669</v>
      </c>
      <c r="U15" s="26">
        <v>1</v>
      </c>
      <c r="AA15" s="29">
        <f t="shared" si="0"/>
        <v>13.545708333333341</v>
      </c>
      <c r="AB15" s="29">
        <f t="shared" si="1"/>
        <v>3.1437499999999998</v>
      </c>
      <c r="AC15" s="29">
        <f t="shared" si="2"/>
        <v>0</v>
      </c>
      <c r="AD15" s="29">
        <f t="shared" si="3"/>
        <v>16.689458333333341</v>
      </c>
      <c r="AE15" s="14">
        <f t="shared" si="4"/>
        <v>0.72662384189620677</v>
      </c>
      <c r="AF15" s="29">
        <f t="shared" si="5"/>
        <v>12.126958333333336</v>
      </c>
      <c r="AG15" s="11" t="s">
        <v>89</v>
      </c>
      <c r="AH15" s="30"/>
    </row>
    <row r="16" spans="1:34" x14ac:dyDescent="0.35">
      <c r="A16" s="26">
        <v>12</v>
      </c>
      <c r="B16" s="6">
        <v>9810</v>
      </c>
      <c r="C16" s="6" t="s">
        <v>210</v>
      </c>
      <c r="D16" s="6" t="s">
        <v>211</v>
      </c>
      <c r="E16" s="6" t="s">
        <v>187</v>
      </c>
      <c r="F16" s="6" t="s">
        <v>178</v>
      </c>
      <c r="G16" s="6" t="s">
        <v>188</v>
      </c>
      <c r="H16" s="6" t="s">
        <v>180</v>
      </c>
      <c r="I16" s="6" t="s">
        <v>189</v>
      </c>
      <c r="J16" s="6" t="s">
        <v>182</v>
      </c>
      <c r="K16" s="6" t="s">
        <v>212</v>
      </c>
      <c r="L16" s="6"/>
      <c r="M16" s="6" t="s">
        <v>181</v>
      </c>
      <c r="N16" s="27">
        <v>7.6683333333333339</v>
      </c>
      <c r="O16" s="27">
        <v>1.1291666666666671</v>
      </c>
      <c r="P16" s="27">
        <v>0</v>
      </c>
      <c r="Q16" s="27">
        <v>8.7975000000000012</v>
      </c>
      <c r="R16" s="28">
        <v>0.75561238988348978</v>
      </c>
      <c r="S16" s="27">
        <v>4.3987500000000006</v>
      </c>
      <c r="T16" s="27">
        <v>4.3987500000000006</v>
      </c>
      <c r="U16" s="26">
        <v>1</v>
      </c>
      <c r="AA16" s="29">
        <f t="shared" si="0"/>
        <v>7.6683333333333339</v>
      </c>
      <c r="AB16" s="29">
        <f t="shared" si="1"/>
        <v>1.1291666666666671</v>
      </c>
      <c r="AC16" s="29">
        <f t="shared" si="2"/>
        <v>0</v>
      </c>
      <c r="AD16" s="29">
        <f t="shared" si="3"/>
        <v>8.7975000000000012</v>
      </c>
      <c r="AE16" s="14">
        <f t="shared" si="4"/>
        <v>0.75561238988348978</v>
      </c>
      <c r="AF16" s="29">
        <f t="shared" si="5"/>
        <v>6.6475000000000026</v>
      </c>
      <c r="AG16" s="11" t="s">
        <v>89</v>
      </c>
      <c r="AH16" s="30"/>
    </row>
    <row r="17" spans="1:34" x14ac:dyDescent="0.35">
      <c r="A17" s="26">
        <v>13</v>
      </c>
      <c r="B17" s="6">
        <v>9811</v>
      </c>
      <c r="C17" s="6" t="s">
        <v>213</v>
      </c>
      <c r="D17" s="6" t="s">
        <v>214</v>
      </c>
      <c r="E17" s="6" t="s">
        <v>187</v>
      </c>
      <c r="F17" s="6" t="s">
        <v>178</v>
      </c>
      <c r="G17" s="6" t="s">
        <v>188</v>
      </c>
      <c r="H17" s="6" t="s">
        <v>180</v>
      </c>
      <c r="I17" s="6" t="s">
        <v>189</v>
      </c>
      <c r="J17" s="6" t="s">
        <v>182</v>
      </c>
      <c r="K17" s="6" t="s">
        <v>212</v>
      </c>
      <c r="L17" s="6"/>
      <c r="M17" s="6" t="s">
        <v>181</v>
      </c>
      <c r="N17" s="27">
        <v>1.968333333333333</v>
      </c>
      <c r="O17" s="27">
        <v>0.16458333333333339</v>
      </c>
      <c r="P17" s="27">
        <v>0</v>
      </c>
      <c r="Q17" s="27">
        <v>2.132916666666667</v>
      </c>
      <c r="R17" s="28">
        <v>0.95311584293807383</v>
      </c>
      <c r="S17" s="27">
        <v>1.0664583333333331</v>
      </c>
      <c r="T17" s="27">
        <v>1.0664583333333331</v>
      </c>
      <c r="U17" s="26">
        <v>1</v>
      </c>
      <c r="AA17" s="29">
        <f t="shared" si="0"/>
        <v>1.968333333333333</v>
      </c>
      <c r="AB17" s="29">
        <f t="shared" si="1"/>
        <v>0.16458333333333339</v>
      </c>
      <c r="AC17" s="29">
        <f t="shared" si="2"/>
        <v>0</v>
      </c>
      <c r="AD17" s="29">
        <f t="shared" si="3"/>
        <v>2.132916666666667</v>
      </c>
      <c r="AE17" s="14">
        <f t="shared" si="4"/>
        <v>0.95311584293807383</v>
      </c>
      <c r="AF17" s="29">
        <f t="shared" si="5"/>
        <v>2.0329166666666669</v>
      </c>
      <c r="AG17" s="11" t="s">
        <v>89</v>
      </c>
      <c r="AH17" s="30"/>
    </row>
    <row r="18" spans="1:34" x14ac:dyDescent="0.35">
      <c r="A18" s="26">
        <v>14</v>
      </c>
      <c r="B18" s="6">
        <v>9813</v>
      </c>
      <c r="C18" s="6" t="s">
        <v>215</v>
      </c>
      <c r="D18" s="6" t="s">
        <v>216</v>
      </c>
      <c r="E18" s="6" t="s">
        <v>187</v>
      </c>
      <c r="F18" s="6" t="s">
        <v>178</v>
      </c>
      <c r="G18" s="6" t="s">
        <v>188</v>
      </c>
      <c r="H18" s="6" t="s">
        <v>180</v>
      </c>
      <c r="I18" s="6" t="s">
        <v>189</v>
      </c>
      <c r="J18" s="6" t="s">
        <v>182</v>
      </c>
      <c r="K18" s="6" t="s">
        <v>212</v>
      </c>
      <c r="L18" s="6"/>
      <c r="M18" s="6" t="s">
        <v>181</v>
      </c>
      <c r="N18" s="27">
        <v>2.1175000000000002</v>
      </c>
      <c r="O18" s="27">
        <v>0</v>
      </c>
      <c r="P18" s="27">
        <v>0</v>
      </c>
      <c r="Q18" s="27">
        <v>2.1175000000000002</v>
      </c>
      <c r="R18" s="28">
        <v>0.64580873671782768</v>
      </c>
      <c r="S18" s="27">
        <v>1.0587500000000001</v>
      </c>
      <c r="T18" s="27">
        <v>1.0587500000000001</v>
      </c>
      <c r="U18" s="26">
        <v>1</v>
      </c>
      <c r="AA18" s="29">
        <f t="shared" si="0"/>
        <v>2.1175000000000002</v>
      </c>
      <c r="AB18" s="29">
        <f t="shared" si="1"/>
        <v>0</v>
      </c>
      <c r="AC18" s="29">
        <f t="shared" si="2"/>
        <v>0</v>
      </c>
      <c r="AD18" s="29">
        <f t="shared" si="3"/>
        <v>2.1175000000000002</v>
      </c>
      <c r="AE18" s="14">
        <f t="shared" si="4"/>
        <v>0.64580873671782768</v>
      </c>
      <c r="AF18" s="29">
        <f t="shared" si="5"/>
        <v>1.3675000000000002</v>
      </c>
      <c r="AG18" s="11" t="s">
        <v>89</v>
      </c>
      <c r="AH18" s="30"/>
    </row>
    <row r="19" spans="1:34" x14ac:dyDescent="0.35">
      <c r="A19" s="26">
        <v>15</v>
      </c>
      <c r="B19" s="6">
        <v>9814</v>
      </c>
      <c r="C19" s="6" t="s">
        <v>217</v>
      </c>
      <c r="D19" s="6" t="s">
        <v>218</v>
      </c>
      <c r="E19" s="6" t="s">
        <v>187</v>
      </c>
      <c r="F19" s="6" t="s">
        <v>178</v>
      </c>
      <c r="G19" s="6" t="s">
        <v>188</v>
      </c>
      <c r="H19" s="6" t="s">
        <v>180</v>
      </c>
      <c r="I19" s="6" t="s">
        <v>181</v>
      </c>
      <c r="J19" s="6" t="s">
        <v>182</v>
      </c>
      <c r="K19" s="6" t="s">
        <v>212</v>
      </c>
      <c r="L19" s="6"/>
      <c r="M19" s="6" t="s">
        <v>181</v>
      </c>
      <c r="N19" s="27">
        <v>0</v>
      </c>
      <c r="O19" s="27">
        <v>0</v>
      </c>
      <c r="P19" s="27">
        <v>0</v>
      </c>
      <c r="Q19" s="27">
        <v>0</v>
      </c>
      <c r="R19" s="28">
        <v>0</v>
      </c>
      <c r="S19" s="27"/>
      <c r="T19" s="27"/>
      <c r="U19" s="26">
        <v>1</v>
      </c>
      <c r="AA19" s="29">
        <f t="shared" si="0"/>
        <v>0</v>
      </c>
      <c r="AB19" s="29">
        <f t="shared" si="1"/>
        <v>0</v>
      </c>
      <c r="AC19" s="29">
        <f t="shared" si="2"/>
        <v>0</v>
      </c>
      <c r="AD19" s="29">
        <f t="shared" si="3"/>
        <v>0</v>
      </c>
      <c r="AE19" s="14">
        <f t="shared" si="4"/>
        <v>0</v>
      </c>
      <c r="AF19" s="29">
        <f t="shared" si="5"/>
        <v>0</v>
      </c>
      <c r="AG19" s="11" t="s">
        <v>89</v>
      </c>
      <c r="AH19" s="30"/>
    </row>
    <row r="20" spans="1:34" x14ac:dyDescent="0.35">
      <c r="A20" s="26">
        <v>16</v>
      </c>
      <c r="B20" s="6">
        <v>9816</v>
      </c>
      <c r="C20" s="6" t="s">
        <v>219</v>
      </c>
      <c r="D20" s="6" t="s">
        <v>220</v>
      </c>
      <c r="E20" s="6" t="s">
        <v>187</v>
      </c>
      <c r="F20" s="6" t="s">
        <v>178</v>
      </c>
      <c r="G20" s="6" t="s">
        <v>188</v>
      </c>
      <c r="H20" s="6" t="s">
        <v>180</v>
      </c>
      <c r="I20" s="6" t="s">
        <v>189</v>
      </c>
      <c r="J20" s="6" t="s">
        <v>182</v>
      </c>
      <c r="K20" s="6" t="s">
        <v>212</v>
      </c>
      <c r="L20" s="6"/>
      <c r="M20" s="6" t="s">
        <v>181</v>
      </c>
      <c r="N20" s="27">
        <v>0.2</v>
      </c>
      <c r="O20" s="27">
        <v>0</v>
      </c>
      <c r="P20" s="27">
        <v>0</v>
      </c>
      <c r="Q20" s="27">
        <v>0.2</v>
      </c>
      <c r="R20" s="28">
        <v>0</v>
      </c>
      <c r="S20" s="27">
        <v>9.9999999999999992E-2</v>
      </c>
      <c r="T20" s="27">
        <v>9.9999999999999992E-2</v>
      </c>
      <c r="U20" s="26">
        <v>1</v>
      </c>
      <c r="AA20" s="29">
        <f t="shared" si="0"/>
        <v>0.2</v>
      </c>
      <c r="AB20" s="29">
        <f t="shared" si="1"/>
        <v>0</v>
      </c>
      <c r="AC20" s="29">
        <f t="shared" si="2"/>
        <v>0</v>
      </c>
      <c r="AD20" s="29">
        <f t="shared" si="3"/>
        <v>0.2</v>
      </c>
      <c r="AE20" s="14">
        <f t="shared" si="4"/>
        <v>0</v>
      </c>
      <c r="AF20" s="29">
        <f t="shared" si="5"/>
        <v>0</v>
      </c>
      <c r="AG20" s="11" t="s">
        <v>89</v>
      </c>
      <c r="AH20" s="30"/>
    </row>
    <row r="21" spans="1:34" x14ac:dyDescent="0.35">
      <c r="A21" s="26">
        <v>17</v>
      </c>
      <c r="B21" s="6">
        <v>9817</v>
      </c>
      <c r="C21" s="6" t="s">
        <v>221</v>
      </c>
      <c r="D21" s="6" t="s">
        <v>222</v>
      </c>
      <c r="E21" s="6" t="s">
        <v>187</v>
      </c>
      <c r="F21" s="6" t="s">
        <v>178</v>
      </c>
      <c r="G21" s="6" t="s">
        <v>188</v>
      </c>
      <c r="H21" s="6" t="s">
        <v>180</v>
      </c>
      <c r="I21" s="6" t="s">
        <v>181</v>
      </c>
      <c r="J21" s="6" t="s">
        <v>182</v>
      </c>
      <c r="K21" s="6" t="s">
        <v>212</v>
      </c>
      <c r="L21" s="6"/>
      <c r="M21" s="6" t="s">
        <v>181</v>
      </c>
      <c r="N21" s="27">
        <v>1.6648750000000001</v>
      </c>
      <c r="O21" s="27">
        <v>0</v>
      </c>
      <c r="P21" s="27">
        <v>0</v>
      </c>
      <c r="Q21" s="27">
        <v>1.6648750000000001</v>
      </c>
      <c r="R21" s="28">
        <v>0.40748804965337743</v>
      </c>
      <c r="S21" s="27">
        <v>0.83243749999999994</v>
      </c>
      <c r="T21" s="27">
        <v>0.83243749999999994</v>
      </c>
      <c r="U21" s="26">
        <v>1</v>
      </c>
      <c r="AA21" s="29">
        <f t="shared" si="0"/>
        <v>1.6648750000000001</v>
      </c>
      <c r="AB21" s="29">
        <f t="shared" si="1"/>
        <v>0</v>
      </c>
      <c r="AC21" s="29">
        <f t="shared" si="2"/>
        <v>0</v>
      </c>
      <c r="AD21" s="29">
        <f t="shared" si="3"/>
        <v>1.6648750000000001</v>
      </c>
      <c r="AE21" s="14">
        <f t="shared" si="4"/>
        <v>0.40748804965337743</v>
      </c>
      <c r="AF21" s="29">
        <f t="shared" si="5"/>
        <v>0.67841666666666678</v>
      </c>
      <c r="AG21" s="11" t="s">
        <v>89</v>
      </c>
      <c r="AH21" s="30"/>
    </row>
    <row r="22" spans="1:34" x14ac:dyDescent="0.35">
      <c r="A22" s="26">
        <v>18</v>
      </c>
      <c r="B22" s="6">
        <v>9818</v>
      </c>
      <c r="C22" s="6" t="s">
        <v>223</v>
      </c>
      <c r="D22" s="6" t="s">
        <v>224</v>
      </c>
      <c r="E22" s="6" t="s">
        <v>187</v>
      </c>
      <c r="F22" s="6" t="s">
        <v>178</v>
      </c>
      <c r="G22" s="6" t="s">
        <v>188</v>
      </c>
      <c r="H22" s="6" t="s">
        <v>180</v>
      </c>
      <c r="I22" s="6" t="s">
        <v>181</v>
      </c>
      <c r="J22" s="6" t="s">
        <v>182</v>
      </c>
      <c r="K22" s="6" t="s">
        <v>212</v>
      </c>
      <c r="L22" s="6"/>
      <c r="M22" s="6" t="s">
        <v>181</v>
      </c>
      <c r="N22" s="27">
        <v>0</v>
      </c>
      <c r="O22" s="27">
        <v>0</v>
      </c>
      <c r="P22" s="27">
        <v>0</v>
      </c>
      <c r="Q22" s="27">
        <v>0</v>
      </c>
      <c r="R22" s="28">
        <v>0</v>
      </c>
      <c r="S22" s="27"/>
      <c r="T22" s="27"/>
      <c r="U22" s="26">
        <v>1</v>
      </c>
      <c r="AA22" s="29">
        <f t="shared" si="0"/>
        <v>0</v>
      </c>
      <c r="AB22" s="29">
        <f t="shared" si="1"/>
        <v>0</v>
      </c>
      <c r="AC22" s="29">
        <f t="shared" si="2"/>
        <v>0</v>
      </c>
      <c r="AD22" s="29">
        <f t="shared" si="3"/>
        <v>0</v>
      </c>
      <c r="AE22" s="14">
        <f t="shared" si="4"/>
        <v>0</v>
      </c>
      <c r="AF22" s="29">
        <f t="shared" si="5"/>
        <v>0</v>
      </c>
      <c r="AG22" s="11" t="s">
        <v>89</v>
      </c>
      <c r="AH22" s="30"/>
    </row>
    <row r="23" spans="1:34" x14ac:dyDescent="0.35">
      <c r="A23" s="26">
        <v>19</v>
      </c>
      <c r="B23" s="6">
        <v>9819</v>
      </c>
      <c r="C23" s="6" t="s">
        <v>225</v>
      </c>
      <c r="D23" s="6" t="s">
        <v>226</v>
      </c>
      <c r="E23" s="6" t="s">
        <v>187</v>
      </c>
      <c r="F23" s="6" t="s">
        <v>178</v>
      </c>
      <c r="G23" s="6" t="s">
        <v>188</v>
      </c>
      <c r="H23" s="6" t="s">
        <v>180</v>
      </c>
      <c r="I23" s="6" t="s">
        <v>181</v>
      </c>
      <c r="J23" s="6" t="s">
        <v>182</v>
      </c>
      <c r="K23" s="6" t="s">
        <v>212</v>
      </c>
      <c r="L23" s="6"/>
      <c r="M23" s="6" t="s">
        <v>181</v>
      </c>
      <c r="N23" s="27">
        <v>0</v>
      </c>
      <c r="O23" s="27">
        <v>0</v>
      </c>
      <c r="P23" s="27">
        <v>0</v>
      </c>
      <c r="Q23" s="27">
        <v>0</v>
      </c>
      <c r="R23" s="28">
        <v>0</v>
      </c>
      <c r="S23" s="27"/>
      <c r="T23" s="27"/>
      <c r="U23" s="26">
        <v>1</v>
      </c>
      <c r="AA23" s="29">
        <f t="shared" si="0"/>
        <v>0</v>
      </c>
      <c r="AB23" s="29">
        <f t="shared" si="1"/>
        <v>0</v>
      </c>
      <c r="AC23" s="29">
        <f t="shared" si="2"/>
        <v>0</v>
      </c>
      <c r="AD23" s="29">
        <f t="shared" si="3"/>
        <v>0</v>
      </c>
      <c r="AE23" s="14">
        <f t="shared" si="4"/>
        <v>0</v>
      </c>
      <c r="AF23" s="29">
        <f t="shared" si="5"/>
        <v>0</v>
      </c>
      <c r="AG23" s="11" t="s">
        <v>89</v>
      </c>
      <c r="AH23" s="30"/>
    </row>
    <row r="24" spans="1:34" x14ac:dyDescent="0.35">
      <c r="A24" s="26">
        <v>20</v>
      </c>
      <c r="B24" s="6">
        <v>9820</v>
      </c>
      <c r="C24" s="6" t="s">
        <v>227</v>
      </c>
      <c r="D24" s="6" t="s">
        <v>228</v>
      </c>
      <c r="E24" s="6" t="s">
        <v>187</v>
      </c>
      <c r="F24" s="6" t="s">
        <v>178</v>
      </c>
      <c r="G24" s="6" t="s">
        <v>188</v>
      </c>
      <c r="H24" s="6" t="s">
        <v>180</v>
      </c>
      <c r="I24" s="6" t="s">
        <v>189</v>
      </c>
      <c r="J24" s="6" t="s">
        <v>182</v>
      </c>
      <c r="K24" s="6" t="s">
        <v>212</v>
      </c>
      <c r="L24" s="6"/>
      <c r="M24" s="6" t="s">
        <v>181</v>
      </c>
      <c r="N24" s="27">
        <v>0</v>
      </c>
      <c r="O24" s="27">
        <v>0</v>
      </c>
      <c r="P24" s="27">
        <v>0</v>
      </c>
      <c r="Q24" s="27">
        <v>0</v>
      </c>
      <c r="R24" s="28">
        <v>0</v>
      </c>
      <c r="S24" s="27"/>
      <c r="T24" s="27"/>
      <c r="U24" s="26">
        <v>1</v>
      </c>
      <c r="AA24" s="29">
        <f t="shared" si="0"/>
        <v>0</v>
      </c>
      <c r="AB24" s="29">
        <f t="shared" si="1"/>
        <v>0</v>
      </c>
      <c r="AC24" s="29">
        <f t="shared" si="2"/>
        <v>0</v>
      </c>
      <c r="AD24" s="29">
        <f t="shared" si="3"/>
        <v>0</v>
      </c>
      <c r="AE24" s="14">
        <f t="shared" si="4"/>
        <v>0</v>
      </c>
      <c r="AF24" s="29">
        <f t="shared" si="5"/>
        <v>0</v>
      </c>
      <c r="AG24" s="11" t="s">
        <v>89</v>
      </c>
      <c r="AH24" s="30"/>
    </row>
    <row r="25" spans="1:34" x14ac:dyDescent="0.35">
      <c r="A25" s="26">
        <v>21</v>
      </c>
      <c r="B25" s="6">
        <v>9821</v>
      </c>
      <c r="C25" s="6" t="s">
        <v>229</v>
      </c>
      <c r="D25" s="6" t="s">
        <v>230</v>
      </c>
      <c r="E25" s="6" t="s">
        <v>187</v>
      </c>
      <c r="F25" s="6" t="s">
        <v>178</v>
      </c>
      <c r="G25" s="6" t="s">
        <v>188</v>
      </c>
      <c r="H25" s="6" t="s">
        <v>180</v>
      </c>
      <c r="I25" s="6" t="s">
        <v>189</v>
      </c>
      <c r="J25" s="6" t="s">
        <v>182</v>
      </c>
      <c r="K25" s="6" t="s">
        <v>212</v>
      </c>
      <c r="L25" s="6"/>
      <c r="M25" s="6" t="s">
        <v>181</v>
      </c>
      <c r="N25" s="27">
        <v>4.378333333333333</v>
      </c>
      <c r="O25" s="27">
        <v>0.97083333333333321</v>
      </c>
      <c r="P25" s="27">
        <v>0</v>
      </c>
      <c r="Q25" s="27">
        <v>5.3491666666666662</v>
      </c>
      <c r="R25" s="28">
        <v>0.62610998597912448</v>
      </c>
      <c r="S25" s="27">
        <v>2.6745833333333331</v>
      </c>
      <c r="T25" s="27">
        <v>2.6745833333333331</v>
      </c>
      <c r="U25" s="26">
        <v>1</v>
      </c>
      <c r="AA25" s="29">
        <f t="shared" si="0"/>
        <v>4.378333333333333</v>
      </c>
      <c r="AB25" s="29">
        <f t="shared" si="1"/>
        <v>0.97083333333333321</v>
      </c>
      <c r="AC25" s="29">
        <f t="shared" si="2"/>
        <v>0</v>
      </c>
      <c r="AD25" s="29">
        <f t="shared" si="3"/>
        <v>5.3491666666666662</v>
      </c>
      <c r="AE25" s="14">
        <f t="shared" si="4"/>
        <v>0.62610998597912448</v>
      </c>
      <c r="AF25" s="29">
        <f t="shared" si="5"/>
        <v>3.3491666666666666</v>
      </c>
      <c r="AG25" s="11" t="s">
        <v>89</v>
      </c>
      <c r="AH25" s="30"/>
    </row>
    <row r="26" spans="1:34" x14ac:dyDescent="0.35">
      <c r="A26" s="26">
        <v>22</v>
      </c>
      <c r="B26" s="6">
        <v>9822</v>
      </c>
      <c r="C26" s="6" t="s">
        <v>231</v>
      </c>
      <c r="D26" s="6" t="s">
        <v>232</v>
      </c>
      <c r="E26" s="6" t="s">
        <v>187</v>
      </c>
      <c r="F26" s="6" t="s">
        <v>178</v>
      </c>
      <c r="G26" s="6" t="s">
        <v>188</v>
      </c>
      <c r="H26" s="6" t="s">
        <v>180</v>
      </c>
      <c r="I26" s="6" t="s">
        <v>181</v>
      </c>
      <c r="J26" s="6" t="s">
        <v>182</v>
      </c>
      <c r="K26" s="6" t="s">
        <v>212</v>
      </c>
      <c r="L26" s="6"/>
      <c r="M26" s="6" t="s">
        <v>181</v>
      </c>
      <c r="N26" s="27">
        <v>6.0129166666666656</v>
      </c>
      <c r="O26" s="27">
        <v>0.25416666666666671</v>
      </c>
      <c r="P26" s="27">
        <v>0</v>
      </c>
      <c r="Q26" s="27">
        <v>6.267083333333332</v>
      </c>
      <c r="R26" s="28">
        <v>0.78990758593178645</v>
      </c>
      <c r="S26" s="27">
        <v>3.133541666666666</v>
      </c>
      <c r="T26" s="27">
        <v>3.133541666666666</v>
      </c>
      <c r="U26" s="26">
        <v>1</v>
      </c>
      <c r="AA26" s="29">
        <f t="shared" si="0"/>
        <v>6.0129166666666656</v>
      </c>
      <c r="AB26" s="29">
        <f t="shared" si="1"/>
        <v>0.25416666666666671</v>
      </c>
      <c r="AC26" s="29">
        <f t="shared" si="2"/>
        <v>0</v>
      </c>
      <c r="AD26" s="29">
        <f t="shared" si="3"/>
        <v>6.267083333333332</v>
      </c>
      <c r="AE26" s="14">
        <f t="shared" si="4"/>
        <v>0.78990758593178645</v>
      </c>
      <c r="AF26" s="29">
        <f t="shared" si="5"/>
        <v>4.9504166666666656</v>
      </c>
      <c r="AG26" s="11" t="s">
        <v>89</v>
      </c>
      <c r="AH26" s="30"/>
    </row>
    <row r="27" spans="1:34" x14ac:dyDescent="0.35">
      <c r="A27" s="26">
        <v>23</v>
      </c>
      <c r="B27" s="6">
        <v>9823</v>
      </c>
      <c r="C27" s="6" t="s">
        <v>233</v>
      </c>
      <c r="D27" s="6" t="s">
        <v>234</v>
      </c>
      <c r="E27" s="6" t="s">
        <v>187</v>
      </c>
      <c r="F27" s="6" t="s">
        <v>178</v>
      </c>
      <c r="G27" s="6" t="s">
        <v>188</v>
      </c>
      <c r="H27" s="6" t="s">
        <v>235</v>
      </c>
      <c r="I27" s="6" t="s">
        <v>189</v>
      </c>
      <c r="J27" s="6" t="s">
        <v>182</v>
      </c>
      <c r="K27" s="6" t="s">
        <v>212</v>
      </c>
      <c r="L27" s="6"/>
      <c r="M27" s="6" t="s">
        <v>181</v>
      </c>
      <c r="N27" s="27">
        <v>6.7267083333333364</v>
      </c>
      <c r="O27" s="27">
        <v>1.4624999999999999</v>
      </c>
      <c r="P27" s="27">
        <v>0</v>
      </c>
      <c r="Q27" s="27">
        <v>8.189208333333335</v>
      </c>
      <c r="R27" s="28">
        <v>0.72808726932294032</v>
      </c>
      <c r="S27" s="27">
        <v>4.0946041666666666</v>
      </c>
      <c r="T27" s="27">
        <v>4.0946041666666666</v>
      </c>
      <c r="U27" s="26">
        <v>1</v>
      </c>
      <c r="AA27" s="29">
        <f t="shared" si="0"/>
        <v>6.7267083333333364</v>
      </c>
      <c r="AB27" s="29">
        <f t="shared" si="1"/>
        <v>1.4624999999999999</v>
      </c>
      <c r="AC27" s="29">
        <f t="shared" si="2"/>
        <v>0</v>
      </c>
      <c r="AD27" s="29">
        <f t="shared" si="3"/>
        <v>8.189208333333335</v>
      </c>
      <c r="AE27" s="14">
        <f t="shared" si="4"/>
        <v>0.72808726932294032</v>
      </c>
      <c r="AF27" s="29">
        <f t="shared" si="5"/>
        <v>5.962458333333335</v>
      </c>
      <c r="AG27" s="11" t="s">
        <v>89</v>
      </c>
      <c r="AH27" s="30"/>
    </row>
    <row r="28" spans="1:34" x14ac:dyDescent="0.35">
      <c r="A28" s="26">
        <v>24</v>
      </c>
      <c r="B28" s="6">
        <v>9824</v>
      </c>
      <c r="C28" s="6" t="s">
        <v>236</v>
      </c>
      <c r="D28" s="6" t="s">
        <v>237</v>
      </c>
      <c r="E28" s="6" t="s">
        <v>187</v>
      </c>
      <c r="F28" s="6" t="s">
        <v>178</v>
      </c>
      <c r="G28" s="6" t="s">
        <v>188</v>
      </c>
      <c r="H28" s="6" t="s">
        <v>180</v>
      </c>
      <c r="I28" s="6" t="s">
        <v>189</v>
      </c>
      <c r="J28" s="6" t="s">
        <v>182</v>
      </c>
      <c r="K28" s="6" t="s">
        <v>212</v>
      </c>
      <c r="L28" s="6"/>
      <c r="M28" s="6" t="s">
        <v>181</v>
      </c>
      <c r="N28" s="27">
        <v>1.630833333333334</v>
      </c>
      <c r="O28" s="27">
        <v>0</v>
      </c>
      <c r="P28" s="27">
        <v>0</v>
      </c>
      <c r="Q28" s="27">
        <v>1.630833333333334</v>
      </c>
      <c r="R28" s="28">
        <v>0.38681655595298942</v>
      </c>
      <c r="S28" s="27">
        <v>0.81541666666666679</v>
      </c>
      <c r="T28" s="27">
        <v>0.81541666666666679</v>
      </c>
      <c r="U28" s="26">
        <v>1</v>
      </c>
      <c r="AA28" s="29">
        <f t="shared" si="0"/>
        <v>1.630833333333334</v>
      </c>
      <c r="AB28" s="29">
        <f t="shared" si="1"/>
        <v>0</v>
      </c>
      <c r="AC28" s="29">
        <f t="shared" si="2"/>
        <v>0</v>
      </c>
      <c r="AD28" s="29">
        <f t="shared" si="3"/>
        <v>1.630833333333334</v>
      </c>
      <c r="AE28" s="14">
        <f t="shared" si="4"/>
        <v>0.38681655595298942</v>
      </c>
      <c r="AF28" s="29">
        <f t="shared" si="5"/>
        <v>0.6308333333333338</v>
      </c>
      <c r="AG28" s="11" t="s">
        <v>89</v>
      </c>
      <c r="AH28" s="30"/>
    </row>
    <row r="29" spans="1:34" x14ac:dyDescent="0.35">
      <c r="A29" s="26">
        <v>25</v>
      </c>
      <c r="B29" s="6">
        <v>9833</v>
      </c>
      <c r="C29" s="6" t="s">
        <v>238</v>
      </c>
      <c r="D29" s="6" t="s">
        <v>239</v>
      </c>
      <c r="E29" s="6" t="s">
        <v>240</v>
      </c>
      <c r="F29" s="6" t="s">
        <v>241</v>
      </c>
      <c r="G29" s="6" t="s">
        <v>242</v>
      </c>
      <c r="H29" s="6" t="s">
        <v>180</v>
      </c>
      <c r="I29" s="6" t="s">
        <v>181</v>
      </c>
      <c r="J29" s="6" t="s">
        <v>182</v>
      </c>
      <c r="K29" s="6" t="s">
        <v>243</v>
      </c>
      <c r="L29" s="6"/>
      <c r="M29" s="6" t="s">
        <v>181</v>
      </c>
      <c r="N29" s="27">
        <v>8.7316666666666691</v>
      </c>
      <c r="O29" s="27">
        <v>0.1104166666666667</v>
      </c>
      <c r="P29" s="27">
        <v>0</v>
      </c>
      <c r="Q29" s="27">
        <v>8.8420833333333366</v>
      </c>
      <c r="R29" s="28">
        <v>0.91687479383629433</v>
      </c>
      <c r="S29" s="27">
        <v>4.4210416666666683</v>
      </c>
      <c r="T29" s="27">
        <v>4.4210416666666683</v>
      </c>
      <c r="U29" s="26">
        <v>1</v>
      </c>
      <c r="AA29" s="29">
        <f t="shared" si="0"/>
        <v>8.7316666666666691</v>
      </c>
      <c r="AB29" s="29">
        <f t="shared" si="1"/>
        <v>0.1104166666666667</v>
      </c>
      <c r="AC29" s="29">
        <f t="shared" si="2"/>
        <v>0</v>
      </c>
      <c r="AD29" s="29">
        <f t="shared" si="3"/>
        <v>8.8420833333333366</v>
      </c>
      <c r="AE29" s="14">
        <f t="shared" si="4"/>
        <v>0.91687479383629433</v>
      </c>
      <c r="AF29" s="29">
        <f t="shared" si="5"/>
        <v>8.1070833333333372</v>
      </c>
      <c r="AG29" s="11" t="s">
        <v>85</v>
      </c>
      <c r="AH29" s="30"/>
    </row>
    <row r="30" spans="1:34" x14ac:dyDescent="0.35">
      <c r="A30" s="26">
        <v>26</v>
      </c>
      <c r="B30" s="6">
        <v>9834</v>
      </c>
      <c r="C30" s="6" t="s">
        <v>244</v>
      </c>
      <c r="D30" s="6" t="s">
        <v>245</v>
      </c>
      <c r="E30" s="6" t="s">
        <v>246</v>
      </c>
      <c r="F30" s="6" t="s">
        <v>241</v>
      </c>
      <c r="G30" s="6" t="s">
        <v>247</v>
      </c>
      <c r="H30" s="6" t="s">
        <v>180</v>
      </c>
      <c r="I30" s="6" t="s">
        <v>189</v>
      </c>
      <c r="J30" s="6" t="s">
        <v>182</v>
      </c>
      <c r="K30" s="6" t="s">
        <v>248</v>
      </c>
      <c r="L30" s="6"/>
      <c r="M30" s="6" t="s">
        <v>181</v>
      </c>
      <c r="N30" s="27">
        <v>0.2</v>
      </c>
      <c r="O30" s="27">
        <v>0.2</v>
      </c>
      <c r="P30" s="27">
        <v>0</v>
      </c>
      <c r="Q30" s="27">
        <v>0.37083333333333329</v>
      </c>
      <c r="R30" s="28">
        <v>0.32584269662921339</v>
      </c>
      <c r="S30" s="27">
        <v>0.1854166666666667</v>
      </c>
      <c r="T30" s="27">
        <v>0.1854166666666667</v>
      </c>
      <c r="U30" s="26">
        <v>1</v>
      </c>
      <c r="AA30" s="29">
        <f t="shared" si="0"/>
        <v>0.2</v>
      </c>
      <c r="AB30" s="29">
        <f t="shared" si="1"/>
        <v>0.2</v>
      </c>
      <c r="AC30" s="29">
        <f t="shared" si="2"/>
        <v>0</v>
      </c>
      <c r="AD30" s="29">
        <f t="shared" si="3"/>
        <v>0.37083333333333329</v>
      </c>
      <c r="AE30" s="14">
        <f t="shared" si="4"/>
        <v>0.32584269662921339</v>
      </c>
      <c r="AF30" s="29">
        <f t="shared" si="5"/>
        <v>0.12083333333333329</v>
      </c>
      <c r="AG30" s="11" t="s">
        <v>85</v>
      </c>
      <c r="AH30" s="30"/>
    </row>
    <row r="31" spans="1:34" x14ac:dyDescent="0.35">
      <c r="A31" s="26">
        <v>27</v>
      </c>
      <c r="B31" s="6">
        <v>9835</v>
      </c>
      <c r="C31" s="6" t="s">
        <v>249</v>
      </c>
      <c r="D31" s="6" t="s">
        <v>250</v>
      </c>
      <c r="E31" s="6" t="s">
        <v>251</v>
      </c>
      <c r="F31" s="6" t="s">
        <v>241</v>
      </c>
      <c r="G31" s="6" t="s">
        <v>252</v>
      </c>
      <c r="H31" s="6" t="s">
        <v>180</v>
      </c>
      <c r="I31" s="6" t="s">
        <v>189</v>
      </c>
      <c r="J31" s="6" t="s">
        <v>182</v>
      </c>
      <c r="K31" s="6" t="s">
        <v>253</v>
      </c>
      <c r="L31" s="6"/>
      <c r="M31" s="6" t="s">
        <v>181</v>
      </c>
      <c r="N31" s="27">
        <v>29.379874999999991</v>
      </c>
      <c r="O31" s="27">
        <v>5.6166666666666663</v>
      </c>
      <c r="P31" s="27">
        <v>0</v>
      </c>
      <c r="Q31" s="27">
        <v>34.996541666666651</v>
      </c>
      <c r="R31" s="28">
        <v>0.90522873093412803</v>
      </c>
      <c r="S31" s="27">
        <v>17.498270833333329</v>
      </c>
      <c r="T31" s="27">
        <v>17.498270833333329</v>
      </c>
      <c r="U31" s="26">
        <v>1</v>
      </c>
      <c r="AA31" s="29">
        <f t="shared" si="0"/>
        <v>29.379874999999991</v>
      </c>
      <c r="AB31" s="29">
        <f t="shared" si="1"/>
        <v>5.6166666666666663</v>
      </c>
      <c r="AC31" s="29">
        <f t="shared" si="2"/>
        <v>0</v>
      </c>
      <c r="AD31" s="29">
        <f t="shared" si="3"/>
        <v>34.996541666666651</v>
      </c>
      <c r="AE31" s="14">
        <f t="shared" si="4"/>
        <v>0.90522873093412803</v>
      </c>
      <c r="AF31" s="29">
        <f t="shared" si="5"/>
        <v>31.679874999999988</v>
      </c>
      <c r="AG31" s="11" t="s">
        <v>85</v>
      </c>
      <c r="AH31" s="30"/>
    </row>
    <row r="32" spans="1:34" x14ac:dyDescent="0.35">
      <c r="A32" s="26">
        <v>28</v>
      </c>
      <c r="B32" s="6">
        <v>9836</v>
      </c>
      <c r="C32" s="6" t="s">
        <v>254</v>
      </c>
      <c r="D32" s="6" t="s">
        <v>255</v>
      </c>
      <c r="E32" s="6" t="s">
        <v>246</v>
      </c>
      <c r="F32" s="6" t="s">
        <v>241</v>
      </c>
      <c r="G32" s="6" t="s">
        <v>247</v>
      </c>
      <c r="H32" s="6" t="s">
        <v>180</v>
      </c>
      <c r="I32" s="6" t="s">
        <v>189</v>
      </c>
      <c r="J32" s="6" t="s">
        <v>182</v>
      </c>
      <c r="K32" s="6" t="s">
        <v>248</v>
      </c>
      <c r="L32" s="6"/>
      <c r="M32" s="6" t="s">
        <v>181</v>
      </c>
      <c r="N32" s="27">
        <v>0.3</v>
      </c>
      <c r="O32" s="27">
        <v>0.3</v>
      </c>
      <c r="P32" s="27">
        <v>0</v>
      </c>
      <c r="Q32" s="27">
        <v>2.5258333333333329</v>
      </c>
      <c r="R32" s="28">
        <v>0.90102276476410426</v>
      </c>
      <c r="S32" s="27">
        <v>1.262916666666666</v>
      </c>
      <c r="T32" s="27">
        <v>1.262916666666666</v>
      </c>
      <c r="U32" s="26">
        <v>1</v>
      </c>
      <c r="AA32" s="29">
        <f t="shared" si="0"/>
        <v>0.3</v>
      </c>
      <c r="AB32" s="29">
        <f t="shared" si="1"/>
        <v>0.3</v>
      </c>
      <c r="AC32" s="29">
        <f t="shared" si="2"/>
        <v>0</v>
      </c>
      <c r="AD32" s="29">
        <f t="shared" si="3"/>
        <v>2.5258333333333329</v>
      </c>
      <c r="AE32" s="14">
        <f t="shared" si="4"/>
        <v>0.90102276476410426</v>
      </c>
      <c r="AF32" s="29">
        <f t="shared" si="5"/>
        <v>2.2758333333333329</v>
      </c>
      <c r="AG32" s="11" t="s">
        <v>85</v>
      </c>
      <c r="AH32" s="30"/>
    </row>
    <row r="33" spans="1:34" x14ac:dyDescent="0.35">
      <c r="A33" s="26">
        <v>29</v>
      </c>
      <c r="B33" s="6">
        <v>9842</v>
      </c>
      <c r="C33" s="6" t="s">
        <v>256</v>
      </c>
      <c r="D33" s="6" t="s">
        <v>257</v>
      </c>
      <c r="E33" s="6" t="s">
        <v>246</v>
      </c>
      <c r="F33" s="6" t="s">
        <v>241</v>
      </c>
      <c r="G33" s="6" t="s">
        <v>247</v>
      </c>
      <c r="H33" s="6" t="s">
        <v>180</v>
      </c>
      <c r="I33" s="6" t="s">
        <v>181</v>
      </c>
      <c r="J33" s="6" t="s">
        <v>182</v>
      </c>
      <c r="K33" s="6" t="s">
        <v>258</v>
      </c>
      <c r="L33" s="6"/>
      <c r="M33" s="6" t="s">
        <v>181</v>
      </c>
      <c r="N33" s="27">
        <v>0.3</v>
      </c>
      <c r="O33" s="27">
        <v>0.3</v>
      </c>
      <c r="P33" s="27">
        <v>0</v>
      </c>
      <c r="Q33" s="27">
        <v>2.88625</v>
      </c>
      <c r="R33" s="28">
        <v>0.90298830662624519</v>
      </c>
      <c r="S33" s="27">
        <v>1.443125</v>
      </c>
      <c r="T33" s="27">
        <v>1.443125</v>
      </c>
      <c r="U33" s="26">
        <v>1</v>
      </c>
      <c r="AA33" s="29">
        <f t="shared" si="0"/>
        <v>0.3</v>
      </c>
      <c r="AB33" s="29">
        <f t="shared" si="1"/>
        <v>0.3</v>
      </c>
      <c r="AC33" s="29">
        <f t="shared" si="2"/>
        <v>0</v>
      </c>
      <c r="AD33" s="29">
        <f t="shared" si="3"/>
        <v>2.88625</v>
      </c>
      <c r="AE33" s="14">
        <f t="shared" si="4"/>
        <v>0.90298830662624519</v>
      </c>
      <c r="AF33" s="29">
        <f t="shared" si="5"/>
        <v>2.6062500000000002</v>
      </c>
      <c r="AG33" s="11" t="s">
        <v>85</v>
      </c>
      <c r="AH33" s="30"/>
    </row>
    <row r="34" spans="1:34" x14ac:dyDescent="0.35">
      <c r="A34" s="26">
        <v>30</v>
      </c>
      <c r="B34" s="6">
        <v>9843</v>
      </c>
      <c r="C34" s="6" t="s">
        <v>259</v>
      </c>
      <c r="D34" s="6" t="s">
        <v>260</v>
      </c>
      <c r="E34" s="6" t="s">
        <v>261</v>
      </c>
      <c r="F34" s="6" t="s">
        <v>241</v>
      </c>
      <c r="G34" s="6" t="s">
        <v>262</v>
      </c>
      <c r="H34" s="6" t="s">
        <v>180</v>
      </c>
      <c r="I34" s="6" t="s">
        <v>181</v>
      </c>
      <c r="J34" s="6" t="s">
        <v>182</v>
      </c>
      <c r="K34" s="6" t="s">
        <v>248</v>
      </c>
      <c r="L34" s="6"/>
      <c r="M34" s="6" t="s">
        <v>181</v>
      </c>
      <c r="N34" s="27">
        <v>1.212083333333333</v>
      </c>
      <c r="O34" s="27">
        <v>0.20833333333333329</v>
      </c>
      <c r="P34" s="27">
        <v>0</v>
      </c>
      <c r="Q34" s="27">
        <v>1.4204166666666671</v>
      </c>
      <c r="R34" s="28">
        <v>0.63596362569668519</v>
      </c>
      <c r="S34" s="27">
        <v>0.71020833333333333</v>
      </c>
      <c r="T34" s="27">
        <v>0.71020833333333333</v>
      </c>
      <c r="U34" s="26">
        <v>1</v>
      </c>
      <c r="AA34" s="29">
        <f t="shared" si="0"/>
        <v>1.212083333333333</v>
      </c>
      <c r="AB34" s="29">
        <f t="shared" si="1"/>
        <v>0.20833333333333329</v>
      </c>
      <c r="AC34" s="29">
        <f t="shared" si="2"/>
        <v>0</v>
      </c>
      <c r="AD34" s="29">
        <f t="shared" si="3"/>
        <v>1.4204166666666671</v>
      </c>
      <c r="AE34" s="14">
        <f t="shared" si="4"/>
        <v>0.63596362569668519</v>
      </c>
      <c r="AF34" s="29">
        <f t="shared" si="5"/>
        <v>0.90333333333333354</v>
      </c>
      <c r="AG34" s="11" t="s">
        <v>85</v>
      </c>
      <c r="AH34" s="30"/>
    </row>
    <row r="35" spans="1:34" x14ac:dyDescent="0.35">
      <c r="A35" s="26">
        <v>31</v>
      </c>
      <c r="B35" s="6">
        <v>9844</v>
      </c>
      <c r="C35" s="6" t="s">
        <v>263</v>
      </c>
      <c r="D35" s="6" t="s">
        <v>264</v>
      </c>
      <c r="E35" s="6" t="s">
        <v>265</v>
      </c>
      <c r="F35" s="6" t="s">
        <v>178</v>
      </c>
      <c r="G35" s="6" t="s">
        <v>266</v>
      </c>
      <c r="H35" s="6" t="s">
        <v>180</v>
      </c>
      <c r="I35" s="6" t="s">
        <v>189</v>
      </c>
      <c r="J35" s="6" t="s">
        <v>182</v>
      </c>
      <c r="K35" s="6" t="s">
        <v>248</v>
      </c>
      <c r="L35" s="6"/>
      <c r="M35" s="6" t="s">
        <v>181</v>
      </c>
      <c r="N35" s="27">
        <v>0.67083333333333339</v>
      </c>
      <c r="O35" s="27">
        <v>0.68333333333333324</v>
      </c>
      <c r="P35" s="27">
        <v>0</v>
      </c>
      <c r="Q35" s="27">
        <v>1.354166666666667</v>
      </c>
      <c r="R35" s="28">
        <v>0.36923076923076931</v>
      </c>
      <c r="S35" s="27">
        <v>0.67708333333333326</v>
      </c>
      <c r="T35" s="27">
        <v>0.67708333333333326</v>
      </c>
      <c r="U35" s="26">
        <v>1</v>
      </c>
      <c r="AA35" s="29">
        <f t="shared" si="0"/>
        <v>0.67083333333333339</v>
      </c>
      <c r="AB35" s="29">
        <f t="shared" si="1"/>
        <v>0.68333333333333324</v>
      </c>
      <c r="AC35" s="29">
        <f t="shared" si="2"/>
        <v>0</v>
      </c>
      <c r="AD35" s="29">
        <f t="shared" si="3"/>
        <v>1.354166666666667</v>
      </c>
      <c r="AE35" s="14">
        <f t="shared" si="4"/>
        <v>0.36923076923076931</v>
      </c>
      <c r="AF35" s="29">
        <f t="shared" si="5"/>
        <v>0.50000000000000022</v>
      </c>
      <c r="AG35" s="11" t="s">
        <v>85</v>
      </c>
      <c r="AH35" s="30"/>
    </row>
    <row r="36" spans="1:34" x14ac:dyDescent="0.35">
      <c r="A36" s="26">
        <v>32</v>
      </c>
      <c r="B36" s="6">
        <v>9845</v>
      </c>
      <c r="C36" s="6" t="s">
        <v>267</v>
      </c>
      <c r="D36" s="6" t="s">
        <v>268</v>
      </c>
      <c r="E36" s="6" t="s">
        <v>240</v>
      </c>
      <c r="F36" s="6" t="s">
        <v>241</v>
      </c>
      <c r="G36" s="6" t="s">
        <v>242</v>
      </c>
      <c r="H36" s="6" t="s">
        <v>180</v>
      </c>
      <c r="I36" s="6" t="s">
        <v>181</v>
      </c>
      <c r="J36" s="6" t="s">
        <v>182</v>
      </c>
      <c r="K36" s="6" t="s">
        <v>248</v>
      </c>
      <c r="L36" s="6"/>
      <c r="M36" s="6" t="s">
        <v>181</v>
      </c>
      <c r="N36" s="27">
        <v>3.4049166666666668</v>
      </c>
      <c r="O36" s="27">
        <v>0</v>
      </c>
      <c r="P36" s="27">
        <v>0</v>
      </c>
      <c r="Q36" s="27">
        <v>3.4049166666666668</v>
      </c>
      <c r="R36" s="28">
        <v>0.84091632198536437</v>
      </c>
      <c r="S36" s="27">
        <v>1.702458333333333</v>
      </c>
      <c r="T36" s="27">
        <v>1.702458333333333</v>
      </c>
      <c r="U36" s="26">
        <v>1</v>
      </c>
      <c r="AA36" s="29">
        <f t="shared" si="0"/>
        <v>3.4049166666666668</v>
      </c>
      <c r="AB36" s="29">
        <f t="shared" si="1"/>
        <v>0</v>
      </c>
      <c r="AC36" s="29">
        <f t="shared" si="2"/>
        <v>0</v>
      </c>
      <c r="AD36" s="29">
        <f t="shared" si="3"/>
        <v>3.4049166666666668</v>
      </c>
      <c r="AE36" s="14">
        <f t="shared" si="4"/>
        <v>0.84091632198536437</v>
      </c>
      <c r="AF36" s="29">
        <f t="shared" si="5"/>
        <v>2.8632500000000003</v>
      </c>
      <c r="AG36" s="11" t="s">
        <v>85</v>
      </c>
      <c r="AH36" s="30"/>
    </row>
    <row r="37" spans="1:34" x14ac:dyDescent="0.35">
      <c r="A37" s="26">
        <v>33</v>
      </c>
      <c r="B37" s="6">
        <v>9846</v>
      </c>
      <c r="C37" s="6" t="s">
        <v>269</v>
      </c>
      <c r="D37" s="6" t="s">
        <v>270</v>
      </c>
      <c r="E37" s="6" t="s">
        <v>261</v>
      </c>
      <c r="F37" s="6" t="s">
        <v>241</v>
      </c>
      <c r="G37" s="6" t="s">
        <v>262</v>
      </c>
      <c r="H37" s="6" t="s">
        <v>180</v>
      </c>
      <c r="I37" s="6" t="s">
        <v>181</v>
      </c>
      <c r="J37" s="6" t="s">
        <v>182</v>
      </c>
      <c r="K37" s="6" t="s">
        <v>248</v>
      </c>
      <c r="L37" s="6"/>
      <c r="M37" s="6" t="s">
        <v>181</v>
      </c>
      <c r="N37" s="27">
        <v>3.125E-2</v>
      </c>
      <c r="O37" s="27">
        <v>0.4</v>
      </c>
      <c r="P37" s="27">
        <v>0</v>
      </c>
      <c r="Q37" s="27">
        <v>0.43125000000000002</v>
      </c>
      <c r="R37" s="28">
        <v>0.92753623188405798</v>
      </c>
      <c r="S37" s="27">
        <v>0.21562500000000001</v>
      </c>
      <c r="T37" s="27">
        <v>0.21562500000000001</v>
      </c>
      <c r="U37" s="26">
        <v>1</v>
      </c>
      <c r="AA37" s="29">
        <f t="shared" ref="AA37:AA68" si="6">N37</f>
        <v>3.125E-2</v>
      </c>
      <c r="AB37" s="29">
        <f t="shared" ref="AB37:AB68" si="7">O37</f>
        <v>0.4</v>
      </c>
      <c r="AC37" s="29">
        <f t="shared" ref="AC37:AC68" si="8">P37</f>
        <v>0</v>
      </c>
      <c r="AD37" s="29">
        <f t="shared" ref="AD37:AD68" si="9">Q37</f>
        <v>0.43125000000000002</v>
      </c>
      <c r="AE37" s="14">
        <f t="shared" ref="AE37:AE68" si="10">R37</f>
        <v>0.92753623188405798</v>
      </c>
      <c r="AF37" s="29">
        <f t="shared" ref="AF37:AF68" si="11">Q37*R37</f>
        <v>0.4</v>
      </c>
      <c r="AG37" s="11" t="s">
        <v>85</v>
      </c>
      <c r="AH37" s="30"/>
    </row>
    <row r="38" spans="1:34" x14ac:dyDescent="0.35">
      <c r="A38" s="26">
        <v>34</v>
      </c>
      <c r="B38" s="6">
        <v>9847</v>
      </c>
      <c r="C38" s="6" t="s">
        <v>271</v>
      </c>
      <c r="D38" s="6" t="s">
        <v>272</v>
      </c>
      <c r="E38" s="6" t="s">
        <v>187</v>
      </c>
      <c r="F38" s="6" t="s">
        <v>178</v>
      </c>
      <c r="G38" s="6" t="s">
        <v>188</v>
      </c>
      <c r="H38" s="6" t="s">
        <v>180</v>
      </c>
      <c r="I38" s="6" t="s">
        <v>181</v>
      </c>
      <c r="J38" s="6" t="s">
        <v>182</v>
      </c>
      <c r="K38" s="6" t="s">
        <v>248</v>
      </c>
      <c r="L38" s="6"/>
      <c r="M38" s="6" t="s">
        <v>181</v>
      </c>
      <c r="N38" s="27">
        <v>0.15262500000000001</v>
      </c>
      <c r="O38" s="27">
        <v>0.3</v>
      </c>
      <c r="P38" s="27">
        <v>0</v>
      </c>
      <c r="Q38" s="27">
        <v>0.45262499999999989</v>
      </c>
      <c r="R38" s="28">
        <v>1</v>
      </c>
      <c r="S38" s="27">
        <v>0.2263125</v>
      </c>
      <c r="T38" s="27">
        <v>0.2263125</v>
      </c>
      <c r="U38" s="26">
        <v>1</v>
      </c>
      <c r="AA38" s="29">
        <f t="shared" si="6"/>
        <v>0.15262500000000001</v>
      </c>
      <c r="AB38" s="29">
        <f t="shared" si="7"/>
        <v>0.3</v>
      </c>
      <c r="AC38" s="29">
        <f t="shared" si="8"/>
        <v>0</v>
      </c>
      <c r="AD38" s="29">
        <f t="shared" si="9"/>
        <v>0.45262499999999989</v>
      </c>
      <c r="AE38" s="14">
        <f t="shared" si="10"/>
        <v>1</v>
      </c>
      <c r="AF38" s="29">
        <f t="shared" si="11"/>
        <v>0.45262499999999989</v>
      </c>
      <c r="AG38" s="11" t="s">
        <v>85</v>
      </c>
      <c r="AH38" s="30"/>
    </row>
    <row r="39" spans="1:34" x14ac:dyDescent="0.35">
      <c r="A39" s="26">
        <v>35</v>
      </c>
      <c r="B39" s="6">
        <v>9848</v>
      </c>
      <c r="C39" s="6" t="s">
        <v>273</v>
      </c>
      <c r="D39" s="6" t="s">
        <v>274</v>
      </c>
      <c r="E39" s="6" t="s">
        <v>240</v>
      </c>
      <c r="F39" s="6" t="s">
        <v>241</v>
      </c>
      <c r="G39" s="6" t="s">
        <v>242</v>
      </c>
      <c r="H39" s="6" t="s">
        <v>180</v>
      </c>
      <c r="I39" s="6" t="s">
        <v>181</v>
      </c>
      <c r="J39" s="6" t="s">
        <v>182</v>
      </c>
      <c r="K39" s="6" t="s">
        <v>248</v>
      </c>
      <c r="L39" s="6"/>
      <c r="M39" s="6" t="s">
        <v>181</v>
      </c>
      <c r="N39" s="27">
        <v>0.88541666666666663</v>
      </c>
      <c r="O39" s="27">
        <v>0</v>
      </c>
      <c r="P39" s="27">
        <v>0</v>
      </c>
      <c r="Q39" s="27">
        <v>0.88541666666666663</v>
      </c>
      <c r="R39" s="28">
        <v>0.83058823529411763</v>
      </c>
      <c r="S39" s="27">
        <v>0.44270833333333331</v>
      </c>
      <c r="T39" s="27">
        <v>0.44270833333333331</v>
      </c>
      <c r="U39" s="26">
        <v>1</v>
      </c>
      <c r="AA39" s="29">
        <f t="shared" si="6"/>
        <v>0.88541666666666663</v>
      </c>
      <c r="AB39" s="29">
        <f t="shared" si="7"/>
        <v>0</v>
      </c>
      <c r="AC39" s="29">
        <f t="shared" si="8"/>
        <v>0</v>
      </c>
      <c r="AD39" s="29">
        <f t="shared" si="9"/>
        <v>0.88541666666666663</v>
      </c>
      <c r="AE39" s="14">
        <f t="shared" si="10"/>
        <v>0.83058823529411763</v>
      </c>
      <c r="AF39" s="29">
        <f t="shared" si="11"/>
        <v>0.73541666666666661</v>
      </c>
      <c r="AG39" s="11" t="s">
        <v>85</v>
      </c>
      <c r="AH39" s="30"/>
    </row>
    <row r="40" spans="1:34" x14ac:dyDescent="0.35">
      <c r="A40" s="26">
        <v>36</v>
      </c>
      <c r="B40" s="6">
        <v>9849</v>
      </c>
      <c r="C40" s="6" t="s">
        <v>275</v>
      </c>
      <c r="D40" s="6" t="s">
        <v>276</v>
      </c>
      <c r="E40" s="6" t="s">
        <v>240</v>
      </c>
      <c r="F40" s="6" t="s">
        <v>241</v>
      </c>
      <c r="G40" s="6" t="s">
        <v>242</v>
      </c>
      <c r="H40" s="6" t="s">
        <v>235</v>
      </c>
      <c r="I40" s="6" t="s">
        <v>181</v>
      </c>
      <c r="J40" s="6" t="s">
        <v>182</v>
      </c>
      <c r="K40" s="6" t="s">
        <v>277</v>
      </c>
      <c r="L40" s="6"/>
      <c r="M40" s="6" t="s">
        <v>181</v>
      </c>
      <c r="N40" s="27">
        <v>5.1862499999999994</v>
      </c>
      <c r="O40" s="27">
        <v>0.3833333333333333</v>
      </c>
      <c r="P40" s="27">
        <v>0</v>
      </c>
      <c r="Q40" s="27">
        <v>5.5695833333333322</v>
      </c>
      <c r="R40" s="28">
        <v>0.83152539836911799</v>
      </c>
      <c r="S40" s="27">
        <v>2.7847916666666661</v>
      </c>
      <c r="T40" s="27">
        <v>2.7847916666666661</v>
      </c>
      <c r="U40" s="26">
        <v>1</v>
      </c>
      <c r="AA40" s="29">
        <f t="shared" si="6"/>
        <v>5.1862499999999994</v>
      </c>
      <c r="AB40" s="29">
        <f t="shared" si="7"/>
        <v>0.3833333333333333</v>
      </c>
      <c r="AC40" s="29">
        <f t="shared" si="8"/>
        <v>0</v>
      </c>
      <c r="AD40" s="29">
        <f t="shared" si="9"/>
        <v>5.5695833333333322</v>
      </c>
      <c r="AE40" s="14">
        <f t="shared" si="10"/>
        <v>0.83152539836911799</v>
      </c>
      <c r="AF40" s="29">
        <f t="shared" si="11"/>
        <v>4.6312499999999988</v>
      </c>
      <c r="AG40" s="11" t="s">
        <v>85</v>
      </c>
      <c r="AH40" s="30"/>
    </row>
    <row r="41" spans="1:34" x14ac:dyDescent="0.35">
      <c r="A41" s="26">
        <v>37</v>
      </c>
      <c r="B41" s="6">
        <v>9851</v>
      </c>
      <c r="C41" s="6" t="s">
        <v>278</v>
      </c>
      <c r="D41" s="6" t="s">
        <v>279</v>
      </c>
      <c r="E41" s="6" t="s">
        <v>265</v>
      </c>
      <c r="F41" s="6" t="s">
        <v>178</v>
      </c>
      <c r="G41" s="6" t="s">
        <v>266</v>
      </c>
      <c r="H41" s="6" t="s">
        <v>180</v>
      </c>
      <c r="I41" s="6" t="s">
        <v>181</v>
      </c>
      <c r="J41" s="6" t="s">
        <v>182</v>
      </c>
      <c r="K41" s="6" t="s">
        <v>277</v>
      </c>
      <c r="L41" s="6" t="s">
        <v>280</v>
      </c>
      <c r="M41" s="6" t="s">
        <v>181</v>
      </c>
      <c r="N41" s="27">
        <v>0.29166666666666657</v>
      </c>
      <c r="O41" s="27">
        <v>0.1166666666666667</v>
      </c>
      <c r="P41" s="27">
        <v>0</v>
      </c>
      <c r="Q41" s="27">
        <v>0.40833333333333333</v>
      </c>
      <c r="R41" s="28">
        <v>0.82653061224489799</v>
      </c>
      <c r="S41" s="27">
        <v>0.20416666666666669</v>
      </c>
      <c r="T41" s="27">
        <v>0.20416666666666669</v>
      </c>
      <c r="U41" s="26">
        <v>1</v>
      </c>
      <c r="AA41" s="29">
        <f t="shared" si="6"/>
        <v>0.29166666666666657</v>
      </c>
      <c r="AB41" s="29">
        <f t="shared" si="7"/>
        <v>0.1166666666666667</v>
      </c>
      <c r="AC41" s="29">
        <f t="shared" si="8"/>
        <v>0</v>
      </c>
      <c r="AD41" s="29">
        <f t="shared" si="9"/>
        <v>0.40833333333333333</v>
      </c>
      <c r="AE41" s="14">
        <f t="shared" si="10"/>
        <v>0.82653061224489799</v>
      </c>
      <c r="AF41" s="29">
        <f t="shared" si="11"/>
        <v>0.33750000000000002</v>
      </c>
      <c r="AG41" s="11" t="s">
        <v>85</v>
      </c>
      <c r="AH41" s="30"/>
    </row>
    <row r="42" spans="1:34" x14ac:dyDescent="0.35">
      <c r="A42" s="26">
        <v>38</v>
      </c>
      <c r="B42" s="6">
        <v>9852</v>
      </c>
      <c r="C42" s="6" t="s">
        <v>281</v>
      </c>
      <c r="D42" s="6" t="s">
        <v>282</v>
      </c>
      <c r="E42" s="6" t="s">
        <v>265</v>
      </c>
      <c r="F42" s="6" t="s">
        <v>178</v>
      </c>
      <c r="G42" s="6" t="s">
        <v>266</v>
      </c>
      <c r="H42" s="6" t="s">
        <v>180</v>
      </c>
      <c r="I42" s="6" t="s">
        <v>181</v>
      </c>
      <c r="J42" s="6" t="s">
        <v>182</v>
      </c>
      <c r="K42" s="6" t="s">
        <v>283</v>
      </c>
      <c r="L42" s="6"/>
      <c r="M42" s="6" t="s">
        <v>181</v>
      </c>
      <c r="N42" s="27">
        <v>0.5083333333333333</v>
      </c>
      <c r="O42" s="27">
        <v>0</v>
      </c>
      <c r="P42" s="27">
        <v>0</v>
      </c>
      <c r="Q42" s="27">
        <v>0.5083333333333333</v>
      </c>
      <c r="R42" s="28">
        <v>0.36885245901639352</v>
      </c>
      <c r="S42" s="27">
        <v>0.25416666666666671</v>
      </c>
      <c r="T42" s="27">
        <v>0.25416666666666671</v>
      </c>
      <c r="U42" s="26">
        <v>1</v>
      </c>
      <c r="AA42" s="29">
        <f t="shared" si="6"/>
        <v>0.5083333333333333</v>
      </c>
      <c r="AB42" s="29">
        <f t="shared" si="7"/>
        <v>0</v>
      </c>
      <c r="AC42" s="29">
        <f t="shared" si="8"/>
        <v>0</v>
      </c>
      <c r="AD42" s="29">
        <f t="shared" si="9"/>
        <v>0.5083333333333333</v>
      </c>
      <c r="AE42" s="14">
        <f t="shared" si="10"/>
        <v>0.36885245901639352</v>
      </c>
      <c r="AF42" s="29">
        <f t="shared" si="11"/>
        <v>0.18750000000000003</v>
      </c>
      <c r="AG42" s="11" t="s">
        <v>85</v>
      </c>
      <c r="AH42" s="30"/>
    </row>
    <row r="43" spans="1:34" x14ac:dyDescent="0.35">
      <c r="A43" s="26">
        <v>39</v>
      </c>
      <c r="B43" s="6">
        <v>9854</v>
      </c>
      <c r="C43" s="6" t="s">
        <v>284</v>
      </c>
      <c r="D43" s="6" t="s">
        <v>285</v>
      </c>
      <c r="E43" s="6" t="s">
        <v>240</v>
      </c>
      <c r="F43" s="6" t="s">
        <v>241</v>
      </c>
      <c r="G43" s="6" t="s">
        <v>242</v>
      </c>
      <c r="H43" s="6" t="s">
        <v>180</v>
      </c>
      <c r="I43" s="6" t="s">
        <v>181</v>
      </c>
      <c r="J43" s="6" t="s">
        <v>182</v>
      </c>
      <c r="K43" s="6" t="s">
        <v>286</v>
      </c>
      <c r="L43" s="6"/>
      <c r="M43" s="6" t="s">
        <v>181</v>
      </c>
      <c r="N43" s="27">
        <v>1.4004166666666671</v>
      </c>
      <c r="O43" s="27">
        <v>0</v>
      </c>
      <c r="P43" s="27">
        <v>0</v>
      </c>
      <c r="Q43" s="27">
        <v>1.4004166666666671</v>
      </c>
      <c r="R43" s="28">
        <v>0.92859268074977674</v>
      </c>
      <c r="S43" s="27">
        <v>0.70020833333333332</v>
      </c>
      <c r="T43" s="27">
        <v>0.70020833333333332</v>
      </c>
      <c r="U43" s="26">
        <v>1</v>
      </c>
      <c r="AA43" s="29">
        <f t="shared" si="6"/>
        <v>1.4004166666666671</v>
      </c>
      <c r="AB43" s="29">
        <f t="shared" si="7"/>
        <v>0</v>
      </c>
      <c r="AC43" s="29">
        <f t="shared" si="8"/>
        <v>0</v>
      </c>
      <c r="AD43" s="29">
        <f t="shared" si="9"/>
        <v>1.4004166666666671</v>
      </c>
      <c r="AE43" s="14">
        <f t="shared" si="10"/>
        <v>0.92859268074977674</v>
      </c>
      <c r="AF43" s="29">
        <f t="shared" si="11"/>
        <v>1.300416666666667</v>
      </c>
      <c r="AG43" s="11" t="s">
        <v>85</v>
      </c>
      <c r="AH43" s="30"/>
    </row>
    <row r="44" spans="1:34" x14ac:dyDescent="0.35">
      <c r="A44" s="26">
        <v>40</v>
      </c>
      <c r="B44" s="6">
        <v>9857</v>
      </c>
      <c r="C44" s="6" t="s">
        <v>287</v>
      </c>
      <c r="D44" s="6" t="s">
        <v>288</v>
      </c>
      <c r="E44" s="6" t="s">
        <v>251</v>
      </c>
      <c r="F44" s="6" t="s">
        <v>241</v>
      </c>
      <c r="G44" s="6" t="s">
        <v>252</v>
      </c>
      <c r="H44" s="6" t="s">
        <v>180</v>
      </c>
      <c r="I44" s="6" t="s">
        <v>189</v>
      </c>
      <c r="J44" s="6" t="s">
        <v>182</v>
      </c>
      <c r="K44" s="6" t="s">
        <v>277</v>
      </c>
      <c r="L44" s="6"/>
      <c r="M44" s="6" t="s">
        <v>181</v>
      </c>
      <c r="N44" s="27">
        <v>20.211666666666648</v>
      </c>
      <c r="O44" s="27">
        <v>1.8166666666666671</v>
      </c>
      <c r="P44" s="27">
        <v>0</v>
      </c>
      <c r="Q44" s="27">
        <v>22.028333333333322</v>
      </c>
      <c r="R44" s="28">
        <v>0.92547476734508582</v>
      </c>
      <c r="S44" s="27">
        <v>11.014166666666661</v>
      </c>
      <c r="T44" s="27">
        <v>11.014166666666661</v>
      </c>
      <c r="U44" s="26">
        <v>1</v>
      </c>
      <c r="AA44" s="29">
        <f t="shared" si="6"/>
        <v>20.211666666666648</v>
      </c>
      <c r="AB44" s="29">
        <f t="shared" si="7"/>
        <v>1.8166666666666671</v>
      </c>
      <c r="AC44" s="29">
        <f t="shared" si="8"/>
        <v>0</v>
      </c>
      <c r="AD44" s="29">
        <f t="shared" si="9"/>
        <v>22.028333333333322</v>
      </c>
      <c r="AE44" s="14">
        <f t="shared" si="10"/>
        <v>0.92547476734508582</v>
      </c>
      <c r="AF44" s="29">
        <f t="shared" si="11"/>
        <v>20.386666666666656</v>
      </c>
      <c r="AG44" s="11" t="s">
        <v>85</v>
      </c>
      <c r="AH44" s="30"/>
    </row>
    <row r="45" spans="1:34" x14ac:dyDescent="0.35">
      <c r="A45" s="26">
        <v>41</v>
      </c>
      <c r="B45" s="6">
        <v>9858</v>
      </c>
      <c r="C45" s="6" t="s">
        <v>289</v>
      </c>
      <c r="D45" s="6" t="s">
        <v>290</v>
      </c>
      <c r="E45" s="6" t="s">
        <v>291</v>
      </c>
      <c r="F45" s="6" t="s">
        <v>292</v>
      </c>
      <c r="G45" s="6"/>
      <c r="H45" s="6" t="s">
        <v>180</v>
      </c>
      <c r="I45" s="6" t="s">
        <v>181</v>
      </c>
      <c r="J45" s="6" t="s">
        <v>182</v>
      </c>
      <c r="K45" s="6" t="s">
        <v>277</v>
      </c>
      <c r="L45" s="6"/>
      <c r="M45" s="6" t="s">
        <v>181</v>
      </c>
      <c r="N45" s="27">
        <v>4.8333333333333339</v>
      </c>
      <c r="O45" s="27">
        <v>1</v>
      </c>
      <c r="P45" s="27">
        <v>1.083333333333333</v>
      </c>
      <c r="Q45" s="27">
        <v>6.916666666666667</v>
      </c>
      <c r="R45" s="28">
        <v>0.71084337349397586</v>
      </c>
      <c r="S45" s="27">
        <v>3.458333333333333</v>
      </c>
      <c r="T45" s="27">
        <v>3.458333333333333</v>
      </c>
      <c r="U45" s="26">
        <v>1</v>
      </c>
      <c r="AA45" s="29">
        <f t="shared" si="6"/>
        <v>4.8333333333333339</v>
      </c>
      <c r="AB45" s="29">
        <f t="shared" si="7"/>
        <v>1</v>
      </c>
      <c r="AC45" s="29">
        <f t="shared" si="8"/>
        <v>1.083333333333333</v>
      </c>
      <c r="AD45" s="29">
        <f t="shared" si="9"/>
        <v>6.916666666666667</v>
      </c>
      <c r="AE45" s="14">
        <f t="shared" si="10"/>
        <v>0.71084337349397586</v>
      </c>
      <c r="AF45" s="29">
        <f t="shared" si="11"/>
        <v>4.916666666666667</v>
      </c>
      <c r="AG45" s="11" t="s">
        <v>85</v>
      </c>
      <c r="AH45" s="30"/>
    </row>
    <row r="46" spans="1:34" x14ac:dyDescent="0.35">
      <c r="A46" s="26">
        <v>42</v>
      </c>
      <c r="B46" s="6">
        <v>9861</v>
      </c>
      <c r="C46" s="6" t="s">
        <v>293</v>
      </c>
      <c r="D46" s="6" t="s">
        <v>294</v>
      </c>
      <c r="E46" s="6" t="s">
        <v>240</v>
      </c>
      <c r="F46" s="6" t="s">
        <v>241</v>
      </c>
      <c r="G46" s="6" t="s">
        <v>242</v>
      </c>
      <c r="H46" s="6" t="s">
        <v>180</v>
      </c>
      <c r="I46" s="6" t="s">
        <v>189</v>
      </c>
      <c r="J46" s="6" t="s">
        <v>182</v>
      </c>
      <c r="K46" s="6" t="s">
        <v>277</v>
      </c>
      <c r="L46" s="6"/>
      <c r="M46" s="6" t="s">
        <v>181</v>
      </c>
      <c r="N46" s="27">
        <v>6.3152916666666679</v>
      </c>
      <c r="O46" s="27">
        <v>0</v>
      </c>
      <c r="P46" s="27">
        <v>0</v>
      </c>
      <c r="Q46" s="27">
        <v>6.3152916666666679</v>
      </c>
      <c r="R46" s="28">
        <v>0.87325737132753167</v>
      </c>
      <c r="S46" s="27">
        <v>3.1576458333333339</v>
      </c>
      <c r="T46" s="27">
        <v>3.1576458333333339</v>
      </c>
      <c r="U46" s="26">
        <v>1</v>
      </c>
      <c r="AA46" s="29">
        <f t="shared" si="6"/>
        <v>6.3152916666666679</v>
      </c>
      <c r="AB46" s="29">
        <f t="shared" si="7"/>
        <v>0</v>
      </c>
      <c r="AC46" s="29">
        <f t="shared" si="8"/>
        <v>0</v>
      </c>
      <c r="AD46" s="29">
        <f t="shared" si="9"/>
        <v>6.3152916666666679</v>
      </c>
      <c r="AE46" s="14">
        <f t="shared" si="10"/>
        <v>0.87325737132753167</v>
      </c>
      <c r="AF46" s="29">
        <f t="shared" si="11"/>
        <v>5.5148750000000009</v>
      </c>
      <c r="AG46" s="11" t="s">
        <v>85</v>
      </c>
      <c r="AH46" s="30"/>
    </row>
    <row r="47" spans="1:34" x14ac:dyDescent="0.35">
      <c r="A47" s="26">
        <v>43</v>
      </c>
      <c r="B47" s="6">
        <v>9879</v>
      </c>
      <c r="C47" s="6" t="s">
        <v>295</v>
      </c>
      <c r="D47" s="6" t="s">
        <v>296</v>
      </c>
      <c r="E47" s="6" t="s">
        <v>246</v>
      </c>
      <c r="F47" s="6" t="s">
        <v>241</v>
      </c>
      <c r="G47" s="6" t="s">
        <v>247</v>
      </c>
      <c r="H47" s="6" t="s">
        <v>180</v>
      </c>
      <c r="I47" s="6" t="s">
        <v>181</v>
      </c>
      <c r="J47" s="6" t="s">
        <v>182</v>
      </c>
      <c r="K47" s="6" t="s">
        <v>277</v>
      </c>
      <c r="L47" s="6"/>
      <c r="M47" s="6" t="s">
        <v>181</v>
      </c>
      <c r="N47" s="27">
        <v>0.2</v>
      </c>
      <c r="O47" s="27">
        <v>0.1</v>
      </c>
      <c r="P47" s="27">
        <v>0</v>
      </c>
      <c r="Q47" s="27">
        <v>0.30833333333333329</v>
      </c>
      <c r="R47" s="28">
        <v>0.67567567567567566</v>
      </c>
      <c r="S47" s="27">
        <v>0.15416666666666659</v>
      </c>
      <c r="T47" s="27">
        <v>0.15416666666666659</v>
      </c>
      <c r="U47" s="26">
        <v>1</v>
      </c>
      <c r="AA47" s="29">
        <f t="shared" si="6"/>
        <v>0.2</v>
      </c>
      <c r="AB47" s="29">
        <f t="shared" si="7"/>
        <v>0.1</v>
      </c>
      <c r="AC47" s="29">
        <f t="shared" si="8"/>
        <v>0</v>
      </c>
      <c r="AD47" s="29">
        <f t="shared" si="9"/>
        <v>0.30833333333333329</v>
      </c>
      <c r="AE47" s="14">
        <f t="shared" si="10"/>
        <v>0.67567567567567566</v>
      </c>
      <c r="AF47" s="29">
        <f t="shared" si="11"/>
        <v>0.20833333333333329</v>
      </c>
      <c r="AG47" s="11" t="s">
        <v>85</v>
      </c>
      <c r="AH47" s="30"/>
    </row>
    <row r="48" spans="1:34" x14ac:dyDescent="0.35">
      <c r="A48" s="26">
        <v>44</v>
      </c>
      <c r="B48" s="6">
        <v>9890</v>
      </c>
      <c r="C48" s="6" t="s">
        <v>297</v>
      </c>
      <c r="D48" s="6" t="s">
        <v>298</v>
      </c>
      <c r="E48" s="6" t="s">
        <v>265</v>
      </c>
      <c r="F48" s="6" t="s">
        <v>178</v>
      </c>
      <c r="G48" s="6" t="s">
        <v>266</v>
      </c>
      <c r="H48" s="6" t="s">
        <v>180</v>
      </c>
      <c r="I48" s="6" t="s">
        <v>181</v>
      </c>
      <c r="J48" s="6" t="s">
        <v>182</v>
      </c>
      <c r="K48" s="6" t="s">
        <v>277</v>
      </c>
      <c r="L48" s="6"/>
      <c r="M48" s="6" t="s">
        <v>181</v>
      </c>
      <c r="N48" s="27">
        <v>1.5054583333333329</v>
      </c>
      <c r="O48" s="27">
        <v>4.5833333333333337E-2</v>
      </c>
      <c r="P48" s="27">
        <v>0</v>
      </c>
      <c r="Q48" s="27">
        <v>1.551291666666667</v>
      </c>
      <c r="R48" s="28">
        <v>7.2009884236254748E-2</v>
      </c>
      <c r="S48" s="27">
        <v>0.77564583333333326</v>
      </c>
      <c r="T48" s="27">
        <v>0.77564583333333326</v>
      </c>
      <c r="U48" s="26">
        <v>1</v>
      </c>
      <c r="AA48" s="29">
        <f t="shared" si="6"/>
        <v>1.5054583333333329</v>
      </c>
      <c r="AB48" s="29">
        <f t="shared" si="7"/>
        <v>4.5833333333333337E-2</v>
      </c>
      <c r="AC48" s="29">
        <f t="shared" si="8"/>
        <v>0</v>
      </c>
      <c r="AD48" s="29">
        <f t="shared" si="9"/>
        <v>1.551291666666667</v>
      </c>
      <c r="AE48" s="14">
        <f t="shared" si="10"/>
        <v>7.2009884236254748E-2</v>
      </c>
      <c r="AF48" s="29">
        <f t="shared" si="11"/>
        <v>0.11170833333333338</v>
      </c>
      <c r="AG48" s="11" t="s">
        <v>85</v>
      </c>
      <c r="AH48" s="30"/>
    </row>
    <row r="49" spans="1:34" x14ac:dyDescent="0.35">
      <c r="A49" s="26">
        <v>45</v>
      </c>
      <c r="B49" s="6">
        <v>9894</v>
      </c>
      <c r="C49" s="6" t="s">
        <v>299</v>
      </c>
      <c r="D49" s="6" t="s">
        <v>300</v>
      </c>
      <c r="E49" s="6" t="s">
        <v>301</v>
      </c>
      <c r="F49" s="6" t="s">
        <v>292</v>
      </c>
      <c r="G49" s="6" t="s">
        <v>302</v>
      </c>
      <c r="H49" s="6" t="s">
        <v>180</v>
      </c>
      <c r="I49" s="6" t="s">
        <v>181</v>
      </c>
      <c r="J49" s="6" t="s">
        <v>182</v>
      </c>
      <c r="K49" s="6" t="s">
        <v>258</v>
      </c>
      <c r="L49" s="6"/>
      <c r="M49" s="6" t="s">
        <v>181</v>
      </c>
      <c r="N49" s="27">
        <v>2.841874999999999</v>
      </c>
      <c r="O49" s="27">
        <v>0.3520833333333333</v>
      </c>
      <c r="P49" s="27">
        <v>0</v>
      </c>
      <c r="Q49" s="27">
        <v>3.1939583333333328</v>
      </c>
      <c r="R49" s="28">
        <v>0.79192485813058511</v>
      </c>
      <c r="S49" s="27">
        <v>1.596979166666666</v>
      </c>
      <c r="T49" s="27">
        <v>1.596979166666666</v>
      </c>
      <c r="U49" s="26">
        <v>1</v>
      </c>
      <c r="AA49" s="29">
        <f t="shared" si="6"/>
        <v>2.841874999999999</v>
      </c>
      <c r="AB49" s="29">
        <f t="shared" si="7"/>
        <v>0.3520833333333333</v>
      </c>
      <c r="AC49" s="29">
        <f t="shared" si="8"/>
        <v>0</v>
      </c>
      <c r="AD49" s="29">
        <f t="shared" si="9"/>
        <v>3.1939583333333328</v>
      </c>
      <c r="AE49" s="14">
        <f t="shared" si="10"/>
        <v>0.79192485813058511</v>
      </c>
      <c r="AF49" s="29">
        <f t="shared" si="11"/>
        <v>2.5293749999999995</v>
      </c>
      <c r="AG49" s="11" t="s">
        <v>85</v>
      </c>
      <c r="AH49" s="30"/>
    </row>
    <row r="50" spans="1:34" x14ac:dyDescent="0.35">
      <c r="A50" s="26">
        <v>46</v>
      </c>
      <c r="B50" s="6">
        <v>9896</v>
      </c>
      <c r="C50" s="6" t="s">
        <v>303</v>
      </c>
      <c r="D50" s="6" t="s">
        <v>304</v>
      </c>
      <c r="E50" s="6" t="s">
        <v>265</v>
      </c>
      <c r="F50" s="6" t="s">
        <v>178</v>
      </c>
      <c r="G50" s="6" t="s">
        <v>266</v>
      </c>
      <c r="H50" s="6" t="s">
        <v>180</v>
      </c>
      <c r="I50" s="6" t="s">
        <v>181</v>
      </c>
      <c r="J50" s="6" t="s">
        <v>182</v>
      </c>
      <c r="K50" s="6" t="s">
        <v>277</v>
      </c>
      <c r="L50" s="6"/>
      <c r="M50" s="6" t="s">
        <v>181</v>
      </c>
      <c r="N50" s="27">
        <v>1.091375</v>
      </c>
      <c r="O50" s="27">
        <v>0.105</v>
      </c>
      <c r="P50" s="27">
        <v>0</v>
      </c>
      <c r="Q50" s="27">
        <v>1.196375</v>
      </c>
      <c r="R50" s="28">
        <v>0.98955177097481983</v>
      </c>
      <c r="S50" s="27">
        <v>0.59818749999999998</v>
      </c>
      <c r="T50" s="27">
        <v>0.59818749999999998</v>
      </c>
      <c r="U50" s="26">
        <v>1</v>
      </c>
      <c r="AA50" s="29">
        <f t="shared" si="6"/>
        <v>1.091375</v>
      </c>
      <c r="AB50" s="29">
        <f t="shared" si="7"/>
        <v>0.105</v>
      </c>
      <c r="AC50" s="29">
        <f t="shared" si="8"/>
        <v>0</v>
      </c>
      <c r="AD50" s="29">
        <f t="shared" si="9"/>
        <v>1.196375</v>
      </c>
      <c r="AE50" s="14">
        <f t="shared" si="10"/>
        <v>0.98955177097481983</v>
      </c>
      <c r="AF50" s="29">
        <f t="shared" si="11"/>
        <v>1.183875</v>
      </c>
      <c r="AG50" s="11" t="s">
        <v>85</v>
      </c>
      <c r="AH50" s="30"/>
    </row>
    <row r="51" spans="1:34" x14ac:dyDescent="0.35">
      <c r="A51" s="26">
        <v>47</v>
      </c>
      <c r="B51" s="6">
        <v>9899</v>
      </c>
      <c r="C51" s="6" t="s">
        <v>305</v>
      </c>
      <c r="D51" s="6" t="s">
        <v>306</v>
      </c>
      <c r="E51" s="6" t="s">
        <v>265</v>
      </c>
      <c r="F51" s="6" t="s">
        <v>178</v>
      </c>
      <c r="G51" s="6" t="s">
        <v>266</v>
      </c>
      <c r="H51" s="6" t="s">
        <v>180</v>
      </c>
      <c r="I51" s="6" t="s">
        <v>181</v>
      </c>
      <c r="J51" s="6" t="s">
        <v>182</v>
      </c>
      <c r="K51" s="6" t="s">
        <v>277</v>
      </c>
      <c r="L51" s="6"/>
      <c r="M51" s="6" t="s">
        <v>181</v>
      </c>
      <c r="N51" s="27">
        <v>1.2041249999999999</v>
      </c>
      <c r="O51" s="27">
        <v>0.52916666666666679</v>
      </c>
      <c r="P51" s="27">
        <v>0</v>
      </c>
      <c r="Q51" s="27">
        <v>1.7332916666666669</v>
      </c>
      <c r="R51" s="28">
        <v>0.82691891632010373</v>
      </c>
      <c r="S51" s="27">
        <v>0.86664583333333334</v>
      </c>
      <c r="T51" s="27">
        <v>0.86664583333333334</v>
      </c>
      <c r="U51" s="26">
        <v>1</v>
      </c>
      <c r="AA51" s="29">
        <f t="shared" si="6"/>
        <v>1.2041249999999999</v>
      </c>
      <c r="AB51" s="29">
        <f t="shared" si="7"/>
        <v>0.52916666666666679</v>
      </c>
      <c r="AC51" s="29">
        <f t="shared" si="8"/>
        <v>0</v>
      </c>
      <c r="AD51" s="29">
        <f t="shared" si="9"/>
        <v>1.7332916666666669</v>
      </c>
      <c r="AE51" s="14">
        <f t="shared" si="10"/>
        <v>0.82691891632010373</v>
      </c>
      <c r="AF51" s="29">
        <f t="shared" si="11"/>
        <v>1.4332916666666666</v>
      </c>
      <c r="AG51" s="11" t="s">
        <v>85</v>
      </c>
      <c r="AH51" s="30"/>
    </row>
    <row r="52" spans="1:34" x14ac:dyDescent="0.35">
      <c r="A52" s="26">
        <v>48</v>
      </c>
      <c r="B52" s="6">
        <v>9906</v>
      </c>
      <c r="C52" s="6" t="s">
        <v>307</v>
      </c>
      <c r="D52" s="6" t="s">
        <v>308</v>
      </c>
      <c r="E52" s="6" t="s">
        <v>265</v>
      </c>
      <c r="F52" s="6" t="s">
        <v>178</v>
      </c>
      <c r="G52" s="6" t="s">
        <v>266</v>
      </c>
      <c r="H52" s="6" t="s">
        <v>180</v>
      </c>
      <c r="I52" s="6" t="s">
        <v>181</v>
      </c>
      <c r="J52" s="6" t="s">
        <v>182</v>
      </c>
      <c r="K52" s="6" t="s">
        <v>277</v>
      </c>
      <c r="L52" s="6"/>
      <c r="M52" s="6" t="s">
        <v>181</v>
      </c>
      <c r="N52" s="27">
        <v>1.286041666666667</v>
      </c>
      <c r="O52" s="27">
        <v>0.14541666666666661</v>
      </c>
      <c r="P52" s="27">
        <v>0</v>
      </c>
      <c r="Q52" s="27">
        <v>1.4314583333333331</v>
      </c>
      <c r="R52" s="28">
        <v>0.950516664241013</v>
      </c>
      <c r="S52" s="27">
        <v>0.71572916666666653</v>
      </c>
      <c r="T52" s="27">
        <v>0.71572916666666653</v>
      </c>
      <c r="U52" s="26">
        <v>1</v>
      </c>
      <c r="AA52" s="29">
        <f t="shared" si="6"/>
        <v>1.286041666666667</v>
      </c>
      <c r="AB52" s="29">
        <f t="shared" si="7"/>
        <v>0.14541666666666661</v>
      </c>
      <c r="AC52" s="29">
        <f t="shared" si="8"/>
        <v>0</v>
      </c>
      <c r="AD52" s="29">
        <f t="shared" si="9"/>
        <v>1.4314583333333331</v>
      </c>
      <c r="AE52" s="14">
        <f t="shared" si="10"/>
        <v>0.950516664241013</v>
      </c>
      <c r="AF52" s="29">
        <f t="shared" si="11"/>
        <v>1.3606249999999998</v>
      </c>
      <c r="AG52" s="11" t="s">
        <v>85</v>
      </c>
      <c r="AH52" s="30"/>
    </row>
    <row r="53" spans="1:34" x14ac:dyDescent="0.35">
      <c r="A53" s="26">
        <v>49</v>
      </c>
      <c r="B53" s="6">
        <v>9907</v>
      </c>
      <c r="C53" s="6" t="s">
        <v>309</v>
      </c>
      <c r="D53" s="6" t="s">
        <v>310</v>
      </c>
      <c r="E53" s="6" t="s">
        <v>265</v>
      </c>
      <c r="F53" s="6" t="s">
        <v>178</v>
      </c>
      <c r="G53" s="6" t="s">
        <v>266</v>
      </c>
      <c r="H53" s="6" t="s">
        <v>180</v>
      </c>
      <c r="I53" s="6" t="s">
        <v>181</v>
      </c>
      <c r="J53" s="6" t="s">
        <v>182</v>
      </c>
      <c r="K53" s="6" t="s">
        <v>277</v>
      </c>
      <c r="L53" s="6"/>
      <c r="M53" s="6" t="s">
        <v>181</v>
      </c>
      <c r="N53" s="27">
        <v>0.38583333333333342</v>
      </c>
      <c r="O53" s="27">
        <v>0</v>
      </c>
      <c r="P53" s="27">
        <v>0</v>
      </c>
      <c r="Q53" s="27">
        <v>0.38583333333333342</v>
      </c>
      <c r="R53" s="28">
        <v>0.35205183585313171</v>
      </c>
      <c r="S53" s="27">
        <v>0.19291666666666671</v>
      </c>
      <c r="T53" s="27">
        <v>0.19291666666666671</v>
      </c>
      <c r="U53" s="26">
        <v>1</v>
      </c>
      <c r="AA53" s="29">
        <f t="shared" si="6"/>
        <v>0.38583333333333342</v>
      </c>
      <c r="AB53" s="29">
        <f t="shared" si="7"/>
        <v>0</v>
      </c>
      <c r="AC53" s="29">
        <f t="shared" si="8"/>
        <v>0</v>
      </c>
      <c r="AD53" s="29">
        <f t="shared" si="9"/>
        <v>0.38583333333333342</v>
      </c>
      <c r="AE53" s="14">
        <f t="shared" si="10"/>
        <v>0.35205183585313171</v>
      </c>
      <c r="AF53" s="29">
        <f t="shared" si="11"/>
        <v>0.13583333333333336</v>
      </c>
      <c r="AG53" s="11" t="s">
        <v>85</v>
      </c>
      <c r="AH53" s="30"/>
    </row>
    <row r="54" spans="1:34" x14ac:dyDescent="0.35">
      <c r="A54" s="26">
        <v>50</v>
      </c>
      <c r="B54" s="6">
        <v>9910</v>
      </c>
      <c r="C54" s="6" t="s">
        <v>311</v>
      </c>
      <c r="D54" s="6" t="s">
        <v>312</v>
      </c>
      <c r="E54" s="6" t="s">
        <v>240</v>
      </c>
      <c r="F54" s="6" t="s">
        <v>241</v>
      </c>
      <c r="G54" s="6" t="s">
        <v>242</v>
      </c>
      <c r="H54" s="6" t="s">
        <v>180</v>
      </c>
      <c r="I54" s="6" t="s">
        <v>181</v>
      </c>
      <c r="J54" s="6" t="s">
        <v>182</v>
      </c>
      <c r="K54" s="6" t="s">
        <v>248</v>
      </c>
      <c r="L54" s="6"/>
      <c r="M54" s="6" t="s">
        <v>181</v>
      </c>
      <c r="N54" s="27">
        <v>6.25E-2</v>
      </c>
      <c r="O54" s="27">
        <v>0</v>
      </c>
      <c r="P54" s="27">
        <v>0</v>
      </c>
      <c r="Q54" s="27">
        <v>6.25E-2</v>
      </c>
      <c r="R54" s="28">
        <v>1</v>
      </c>
      <c r="S54" s="27">
        <v>3.125E-2</v>
      </c>
      <c r="T54" s="27">
        <v>3.125E-2</v>
      </c>
      <c r="U54" s="26">
        <v>1</v>
      </c>
      <c r="AA54" s="29">
        <f t="shared" si="6"/>
        <v>6.25E-2</v>
      </c>
      <c r="AB54" s="29">
        <f t="shared" si="7"/>
        <v>0</v>
      </c>
      <c r="AC54" s="29">
        <f t="shared" si="8"/>
        <v>0</v>
      </c>
      <c r="AD54" s="29">
        <f t="shared" si="9"/>
        <v>6.25E-2</v>
      </c>
      <c r="AE54" s="14">
        <f t="shared" si="10"/>
        <v>1</v>
      </c>
      <c r="AF54" s="29">
        <f t="shared" si="11"/>
        <v>6.25E-2</v>
      </c>
      <c r="AG54" s="11" t="s">
        <v>85</v>
      </c>
      <c r="AH54" s="30"/>
    </row>
    <row r="55" spans="1:34" x14ac:dyDescent="0.35">
      <c r="A55" s="26">
        <v>51</v>
      </c>
      <c r="B55" s="6">
        <v>9920</v>
      </c>
      <c r="C55" s="6" t="s">
        <v>313</v>
      </c>
      <c r="D55" s="6" t="s">
        <v>314</v>
      </c>
      <c r="E55" s="6" t="s">
        <v>291</v>
      </c>
      <c r="F55" s="6" t="s">
        <v>292</v>
      </c>
      <c r="G55" s="6" t="s">
        <v>315</v>
      </c>
      <c r="H55" s="6" t="s">
        <v>180</v>
      </c>
      <c r="I55" s="6" t="s">
        <v>181</v>
      </c>
      <c r="J55" s="6" t="s">
        <v>182</v>
      </c>
      <c r="K55" s="6" t="s">
        <v>277</v>
      </c>
      <c r="L55" s="6"/>
      <c r="M55" s="6" t="s">
        <v>181</v>
      </c>
      <c r="N55" s="27">
        <v>10.3375</v>
      </c>
      <c r="O55" s="27">
        <v>3.558333333333334</v>
      </c>
      <c r="P55" s="27">
        <v>5.1816666666666684</v>
      </c>
      <c r="Q55" s="27">
        <v>19.077500000000001</v>
      </c>
      <c r="R55" s="28">
        <v>0.93360415847639022</v>
      </c>
      <c r="S55" s="27">
        <v>9.5387500000000021</v>
      </c>
      <c r="T55" s="27">
        <v>9.5387500000000021</v>
      </c>
      <c r="U55" s="26">
        <v>1</v>
      </c>
      <c r="AA55" s="29">
        <f t="shared" si="6"/>
        <v>10.3375</v>
      </c>
      <c r="AB55" s="29">
        <f t="shared" si="7"/>
        <v>3.558333333333334</v>
      </c>
      <c r="AC55" s="29">
        <f t="shared" si="8"/>
        <v>5.1816666666666684</v>
      </c>
      <c r="AD55" s="29">
        <f t="shared" si="9"/>
        <v>19.077500000000001</v>
      </c>
      <c r="AE55" s="14">
        <f t="shared" si="10"/>
        <v>0.93360415847639022</v>
      </c>
      <c r="AF55" s="29">
        <f t="shared" si="11"/>
        <v>17.810833333333335</v>
      </c>
      <c r="AG55" s="11" t="s">
        <v>85</v>
      </c>
      <c r="AH55" s="30"/>
    </row>
    <row r="56" spans="1:34" x14ac:dyDescent="0.35">
      <c r="A56" s="26">
        <v>52</v>
      </c>
      <c r="B56" s="6">
        <v>9921</v>
      </c>
      <c r="C56" s="6" t="s">
        <v>316</v>
      </c>
      <c r="D56" s="6" t="s">
        <v>317</v>
      </c>
      <c r="E56" s="6" t="s">
        <v>291</v>
      </c>
      <c r="F56" s="6" t="s">
        <v>292</v>
      </c>
      <c r="G56" s="6" t="s">
        <v>315</v>
      </c>
      <c r="H56" s="6" t="s">
        <v>180</v>
      </c>
      <c r="I56" s="6" t="s">
        <v>181</v>
      </c>
      <c r="J56" s="6" t="s">
        <v>182</v>
      </c>
      <c r="K56" s="6" t="s">
        <v>277</v>
      </c>
      <c r="L56" s="6" t="s">
        <v>280</v>
      </c>
      <c r="M56" s="6" t="s">
        <v>181</v>
      </c>
      <c r="N56" s="27">
        <v>0.3041666666666667</v>
      </c>
      <c r="O56" s="27">
        <v>4.1666666666666657E-2</v>
      </c>
      <c r="P56" s="27">
        <v>0</v>
      </c>
      <c r="Q56" s="27">
        <v>0.34583333333333338</v>
      </c>
      <c r="R56" s="28">
        <v>1</v>
      </c>
      <c r="S56" s="27">
        <v>0.17291666666666669</v>
      </c>
      <c r="T56" s="27">
        <v>0.17291666666666669</v>
      </c>
      <c r="U56" s="26">
        <v>1</v>
      </c>
      <c r="AA56" s="29">
        <f t="shared" si="6"/>
        <v>0.3041666666666667</v>
      </c>
      <c r="AB56" s="29">
        <f t="shared" si="7"/>
        <v>4.1666666666666657E-2</v>
      </c>
      <c r="AC56" s="29">
        <f t="shared" si="8"/>
        <v>0</v>
      </c>
      <c r="AD56" s="29">
        <f t="shared" si="9"/>
        <v>0.34583333333333338</v>
      </c>
      <c r="AE56" s="14">
        <f t="shared" si="10"/>
        <v>1</v>
      </c>
      <c r="AF56" s="29">
        <f t="shared" si="11"/>
        <v>0.34583333333333338</v>
      </c>
      <c r="AG56" s="11" t="s">
        <v>85</v>
      </c>
      <c r="AH56" s="30"/>
    </row>
    <row r="57" spans="1:34" x14ac:dyDescent="0.35">
      <c r="A57" s="26">
        <v>53</v>
      </c>
      <c r="B57" s="6">
        <v>9926</v>
      </c>
      <c r="C57" s="6" t="s">
        <v>318</v>
      </c>
      <c r="D57" s="6" t="s">
        <v>319</v>
      </c>
      <c r="E57" s="6" t="s">
        <v>320</v>
      </c>
      <c r="F57" s="6" t="s">
        <v>321</v>
      </c>
      <c r="G57" s="6" t="s">
        <v>321</v>
      </c>
      <c r="H57" s="6" t="s">
        <v>235</v>
      </c>
      <c r="I57" s="6" t="s">
        <v>181</v>
      </c>
      <c r="J57" s="6" t="s">
        <v>182</v>
      </c>
      <c r="K57" s="6" t="s">
        <v>277</v>
      </c>
      <c r="L57" s="6"/>
      <c r="M57" s="6" t="s">
        <v>181</v>
      </c>
      <c r="N57" s="27">
        <v>7.4999999999999997E-2</v>
      </c>
      <c r="O57" s="27">
        <v>0</v>
      </c>
      <c r="P57" s="27">
        <v>0</v>
      </c>
      <c r="Q57" s="27">
        <v>7.4999999999999997E-2</v>
      </c>
      <c r="R57" s="28">
        <v>0</v>
      </c>
      <c r="S57" s="27">
        <v>3.7499999999999999E-2</v>
      </c>
      <c r="T57" s="27">
        <v>3.7499999999999999E-2</v>
      </c>
      <c r="U57" s="26">
        <v>1</v>
      </c>
      <c r="AA57" s="29">
        <f t="shared" si="6"/>
        <v>7.4999999999999997E-2</v>
      </c>
      <c r="AB57" s="29">
        <f t="shared" si="7"/>
        <v>0</v>
      </c>
      <c r="AC57" s="29">
        <f t="shared" si="8"/>
        <v>0</v>
      </c>
      <c r="AD57" s="29">
        <f t="shared" si="9"/>
        <v>7.4999999999999997E-2</v>
      </c>
      <c r="AE57" s="14">
        <f t="shared" si="10"/>
        <v>0</v>
      </c>
      <c r="AF57" s="29">
        <f t="shared" si="11"/>
        <v>0</v>
      </c>
      <c r="AG57" s="11" t="s">
        <v>85</v>
      </c>
      <c r="AH57" s="30"/>
    </row>
    <row r="58" spans="1:34" x14ac:dyDescent="0.35">
      <c r="A58" s="26">
        <v>54</v>
      </c>
      <c r="B58" s="6">
        <v>9928</v>
      </c>
      <c r="C58" s="6" t="s">
        <v>322</v>
      </c>
      <c r="D58" s="6" t="s">
        <v>323</v>
      </c>
      <c r="E58" s="6" t="s">
        <v>320</v>
      </c>
      <c r="F58" s="6" t="s">
        <v>321</v>
      </c>
      <c r="G58" s="6" t="s">
        <v>321</v>
      </c>
      <c r="H58" s="6" t="s">
        <v>235</v>
      </c>
      <c r="I58" s="6" t="s">
        <v>181</v>
      </c>
      <c r="J58" s="6" t="s">
        <v>182</v>
      </c>
      <c r="K58" s="6" t="s">
        <v>277</v>
      </c>
      <c r="L58" s="6" t="s">
        <v>280</v>
      </c>
      <c r="M58" s="6" t="s">
        <v>181</v>
      </c>
      <c r="N58" s="27">
        <v>1.397083333333333</v>
      </c>
      <c r="O58" s="27">
        <v>1</v>
      </c>
      <c r="P58" s="27">
        <v>0</v>
      </c>
      <c r="Q58" s="27">
        <v>2.3970833333333341</v>
      </c>
      <c r="R58" s="28">
        <v>0.86441856422735963</v>
      </c>
      <c r="S58" s="27">
        <v>1.1985416666666671</v>
      </c>
      <c r="T58" s="27">
        <v>1.1985416666666671</v>
      </c>
      <c r="U58" s="26">
        <v>1</v>
      </c>
      <c r="AA58" s="29">
        <f t="shared" si="6"/>
        <v>1.397083333333333</v>
      </c>
      <c r="AB58" s="29">
        <f t="shared" si="7"/>
        <v>1</v>
      </c>
      <c r="AC58" s="29">
        <f t="shared" si="8"/>
        <v>0</v>
      </c>
      <c r="AD58" s="29">
        <f t="shared" si="9"/>
        <v>2.3970833333333341</v>
      </c>
      <c r="AE58" s="14">
        <f t="shared" si="10"/>
        <v>0.86441856422735963</v>
      </c>
      <c r="AF58" s="29">
        <f t="shared" si="11"/>
        <v>2.0720833333333339</v>
      </c>
      <c r="AG58" s="11" t="s">
        <v>85</v>
      </c>
      <c r="AH58" s="30"/>
    </row>
    <row r="59" spans="1:34" x14ac:dyDescent="0.35">
      <c r="A59" s="26">
        <v>55</v>
      </c>
      <c r="B59" s="6">
        <v>9930</v>
      </c>
      <c r="C59" s="6" t="s">
        <v>324</v>
      </c>
      <c r="D59" s="6" t="s">
        <v>325</v>
      </c>
      <c r="E59" s="6" t="s">
        <v>265</v>
      </c>
      <c r="F59" s="6" t="s">
        <v>178</v>
      </c>
      <c r="G59" s="6" t="s">
        <v>266</v>
      </c>
      <c r="H59" s="6" t="s">
        <v>180</v>
      </c>
      <c r="I59" s="6" t="s">
        <v>189</v>
      </c>
      <c r="J59" s="6" t="s">
        <v>182</v>
      </c>
      <c r="K59" s="6" t="s">
        <v>326</v>
      </c>
      <c r="L59" s="6"/>
      <c r="M59" s="6" t="s">
        <v>181</v>
      </c>
      <c r="N59" s="27">
        <v>2.4083333333333332</v>
      </c>
      <c r="O59" s="27">
        <v>7.4999999999999997E-2</v>
      </c>
      <c r="P59" s="27">
        <v>0</v>
      </c>
      <c r="Q59" s="27">
        <v>2.4833333333333329</v>
      </c>
      <c r="R59" s="28">
        <v>0.89932885906040272</v>
      </c>
      <c r="S59" s="27">
        <v>1.2416666666666669</v>
      </c>
      <c r="T59" s="27">
        <v>1.2416666666666669</v>
      </c>
      <c r="U59" s="26">
        <v>1</v>
      </c>
      <c r="AA59" s="29">
        <f t="shared" si="6"/>
        <v>2.4083333333333332</v>
      </c>
      <c r="AB59" s="29">
        <f t="shared" si="7"/>
        <v>7.4999999999999997E-2</v>
      </c>
      <c r="AC59" s="29">
        <f t="shared" si="8"/>
        <v>0</v>
      </c>
      <c r="AD59" s="29">
        <f t="shared" si="9"/>
        <v>2.4833333333333329</v>
      </c>
      <c r="AE59" s="14">
        <f t="shared" si="10"/>
        <v>0.89932885906040272</v>
      </c>
      <c r="AF59" s="29">
        <f t="shared" si="11"/>
        <v>2.2333333333333329</v>
      </c>
      <c r="AG59" s="11" t="s">
        <v>89</v>
      </c>
      <c r="AH59" s="30"/>
    </row>
    <row r="60" spans="1:34" x14ac:dyDescent="0.35">
      <c r="A60" s="26">
        <v>56</v>
      </c>
      <c r="B60" s="6">
        <v>9931</v>
      </c>
      <c r="C60" s="6" t="s">
        <v>327</v>
      </c>
      <c r="D60" s="6" t="s">
        <v>328</v>
      </c>
      <c r="E60" s="6" t="s">
        <v>301</v>
      </c>
      <c r="F60" s="6" t="s">
        <v>292</v>
      </c>
      <c r="G60" s="6" t="s">
        <v>329</v>
      </c>
      <c r="H60" s="6" t="s">
        <v>180</v>
      </c>
      <c r="I60" s="6" t="s">
        <v>181</v>
      </c>
      <c r="J60" s="6" t="s">
        <v>182</v>
      </c>
      <c r="K60" s="6" t="s">
        <v>330</v>
      </c>
      <c r="L60" s="6"/>
      <c r="M60" s="6" t="s">
        <v>181</v>
      </c>
      <c r="N60" s="27">
        <v>13</v>
      </c>
      <c r="O60" s="27">
        <v>2.2749999999999999</v>
      </c>
      <c r="P60" s="27">
        <v>0</v>
      </c>
      <c r="Q60" s="27">
        <v>15.275</v>
      </c>
      <c r="R60" s="28">
        <v>0.91728849185496575</v>
      </c>
      <c r="S60" s="27">
        <v>7.6375000000000002</v>
      </c>
      <c r="T60" s="27">
        <v>7.6375000000000002</v>
      </c>
      <c r="U60" s="26">
        <v>1</v>
      </c>
      <c r="AA60" s="29">
        <f t="shared" si="6"/>
        <v>13</v>
      </c>
      <c r="AB60" s="29">
        <f t="shared" si="7"/>
        <v>2.2749999999999999</v>
      </c>
      <c r="AC60" s="29">
        <f t="shared" si="8"/>
        <v>0</v>
      </c>
      <c r="AD60" s="29">
        <f t="shared" si="9"/>
        <v>15.275</v>
      </c>
      <c r="AE60" s="14">
        <f t="shared" si="10"/>
        <v>0.91728849185496575</v>
      </c>
      <c r="AF60" s="29">
        <f t="shared" si="11"/>
        <v>14.011581713084603</v>
      </c>
      <c r="AG60" s="11" t="s">
        <v>85</v>
      </c>
      <c r="AH60" s="30"/>
    </row>
    <row r="61" spans="1:34" x14ac:dyDescent="0.35">
      <c r="A61" s="26">
        <v>57</v>
      </c>
      <c r="B61" s="6">
        <v>9940</v>
      </c>
      <c r="C61" s="6" t="s">
        <v>331</v>
      </c>
      <c r="D61" s="6" t="s">
        <v>332</v>
      </c>
      <c r="E61" s="6" t="s">
        <v>265</v>
      </c>
      <c r="F61" s="6" t="s">
        <v>178</v>
      </c>
      <c r="G61" s="6" t="s">
        <v>266</v>
      </c>
      <c r="H61" s="6" t="s">
        <v>180</v>
      </c>
      <c r="I61" s="6" t="s">
        <v>181</v>
      </c>
      <c r="J61" s="6" t="s">
        <v>182</v>
      </c>
      <c r="K61" s="6" t="s">
        <v>277</v>
      </c>
      <c r="L61" s="6"/>
      <c r="M61" s="6" t="s">
        <v>181</v>
      </c>
      <c r="N61" s="27">
        <v>0.38750000000000012</v>
      </c>
      <c r="O61" s="27">
        <v>2.5000000000000001E-2</v>
      </c>
      <c r="P61" s="27">
        <v>0</v>
      </c>
      <c r="Q61" s="27">
        <v>0.41250000000000009</v>
      </c>
      <c r="R61" s="28">
        <v>0.81818181818181812</v>
      </c>
      <c r="S61" s="27">
        <v>0.20624999999999999</v>
      </c>
      <c r="T61" s="27">
        <v>0.20624999999999999</v>
      </c>
      <c r="U61" s="26">
        <v>1</v>
      </c>
      <c r="AA61" s="29">
        <f t="shared" si="6"/>
        <v>0.38750000000000012</v>
      </c>
      <c r="AB61" s="29">
        <f t="shared" si="7"/>
        <v>2.5000000000000001E-2</v>
      </c>
      <c r="AC61" s="29">
        <f t="shared" si="8"/>
        <v>0</v>
      </c>
      <c r="AD61" s="29">
        <f t="shared" si="9"/>
        <v>0.41250000000000009</v>
      </c>
      <c r="AE61" s="14">
        <f t="shared" si="10"/>
        <v>0.81818181818181812</v>
      </c>
      <c r="AF61" s="29">
        <f t="shared" si="11"/>
        <v>0.33750000000000002</v>
      </c>
      <c r="AG61" s="11" t="s">
        <v>85</v>
      </c>
      <c r="AH61" s="30"/>
    </row>
    <row r="62" spans="1:34" x14ac:dyDescent="0.35">
      <c r="A62" s="26">
        <v>58</v>
      </c>
      <c r="B62" s="6">
        <v>9941</v>
      </c>
      <c r="C62" s="6" t="s">
        <v>333</v>
      </c>
      <c r="D62" s="6" t="s">
        <v>334</v>
      </c>
      <c r="E62" s="6" t="s">
        <v>265</v>
      </c>
      <c r="F62" s="6" t="s">
        <v>178</v>
      </c>
      <c r="G62" s="6" t="s">
        <v>266</v>
      </c>
      <c r="H62" s="6" t="s">
        <v>180</v>
      </c>
      <c r="I62" s="6" t="s">
        <v>181</v>
      </c>
      <c r="J62" s="6" t="s">
        <v>182</v>
      </c>
      <c r="K62" s="6" t="s">
        <v>277</v>
      </c>
      <c r="L62" s="6" t="s">
        <v>184</v>
      </c>
      <c r="M62" s="6" t="s">
        <v>181</v>
      </c>
      <c r="N62" s="27">
        <v>0.92916458333333329</v>
      </c>
      <c r="O62" s="27">
        <v>8.7499999999999994E-2</v>
      </c>
      <c r="P62" s="27">
        <v>0</v>
      </c>
      <c r="Q62" s="27">
        <v>1.016664583333333</v>
      </c>
      <c r="R62" s="28">
        <v>0.41311355146219558</v>
      </c>
      <c r="S62" s="27">
        <v>0.5083322916666666</v>
      </c>
      <c r="T62" s="27">
        <v>0.5083322916666666</v>
      </c>
      <c r="U62" s="26">
        <v>1</v>
      </c>
      <c r="AA62" s="29">
        <f t="shared" si="6"/>
        <v>0.92916458333333329</v>
      </c>
      <c r="AB62" s="29">
        <f t="shared" si="7"/>
        <v>8.7499999999999994E-2</v>
      </c>
      <c r="AC62" s="29">
        <f t="shared" si="8"/>
        <v>0</v>
      </c>
      <c r="AD62" s="29">
        <f t="shared" si="9"/>
        <v>1.016664583333333</v>
      </c>
      <c r="AE62" s="14">
        <f t="shared" si="10"/>
        <v>0.41311355146219558</v>
      </c>
      <c r="AF62" s="29">
        <f t="shared" si="11"/>
        <v>0.41999791666666647</v>
      </c>
      <c r="AG62" s="11" t="s">
        <v>83</v>
      </c>
      <c r="AH62" s="30"/>
    </row>
    <row r="63" spans="1:34" x14ac:dyDescent="0.35">
      <c r="A63" s="26">
        <v>59</v>
      </c>
      <c r="B63" s="6">
        <v>9947</v>
      </c>
      <c r="C63" s="6" t="s">
        <v>335</v>
      </c>
      <c r="D63" s="6" t="s">
        <v>336</v>
      </c>
      <c r="E63" s="6" t="s">
        <v>246</v>
      </c>
      <c r="F63" s="6" t="s">
        <v>241</v>
      </c>
      <c r="G63" s="6" t="s">
        <v>247</v>
      </c>
      <c r="H63" s="6" t="s">
        <v>180</v>
      </c>
      <c r="I63" s="6" t="s">
        <v>189</v>
      </c>
      <c r="J63" s="6" t="s">
        <v>182</v>
      </c>
      <c r="K63" s="6" t="s">
        <v>277</v>
      </c>
      <c r="L63" s="6"/>
      <c r="M63" s="6" t="s">
        <v>181</v>
      </c>
      <c r="N63" s="27">
        <v>9</v>
      </c>
      <c r="O63" s="27">
        <v>1.154166666666667</v>
      </c>
      <c r="P63" s="27">
        <v>0</v>
      </c>
      <c r="Q63" s="27">
        <v>10</v>
      </c>
      <c r="R63" s="28">
        <v>0.75904634544925254</v>
      </c>
      <c r="S63" s="27">
        <v>5</v>
      </c>
      <c r="T63" s="27">
        <v>5</v>
      </c>
      <c r="U63" s="26">
        <v>1</v>
      </c>
      <c r="AA63" s="29">
        <f t="shared" si="6"/>
        <v>9</v>
      </c>
      <c r="AB63" s="29">
        <f t="shared" si="7"/>
        <v>1.154166666666667</v>
      </c>
      <c r="AC63" s="29">
        <f t="shared" si="8"/>
        <v>0</v>
      </c>
      <c r="AD63" s="29">
        <f t="shared" si="9"/>
        <v>10</v>
      </c>
      <c r="AE63" s="14">
        <f t="shared" si="10"/>
        <v>0.75904634544925254</v>
      </c>
      <c r="AF63" s="29">
        <f t="shared" si="11"/>
        <v>7.5904634544925251</v>
      </c>
      <c r="AG63" s="11" t="s">
        <v>85</v>
      </c>
      <c r="AH63" s="30"/>
    </row>
    <row r="64" spans="1:34" x14ac:dyDescent="0.35">
      <c r="A64" s="26">
        <v>60</v>
      </c>
      <c r="B64" s="6">
        <v>9948</v>
      </c>
      <c r="C64" s="6" t="s">
        <v>337</v>
      </c>
      <c r="D64" s="6" t="s">
        <v>338</v>
      </c>
      <c r="E64" s="6" t="s">
        <v>187</v>
      </c>
      <c r="F64" s="6" t="s">
        <v>178</v>
      </c>
      <c r="G64" s="6" t="s">
        <v>188</v>
      </c>
      <c r="H64" s="6" t="s">
        <v>180</v>
      </c>
      <c r="I64" s="6" t="s">
        <v>189</v>
      </c>
      <c r="J64" s="6" t="s">
        <v>182</v>
      </c>
      <c r="K64" s="6" t="s">
        <v>212</v>
      </c>
      <c r="L64" s="6"/>
      <c r="M64" s="6" t="s">
        <v>181</v>
      </c>
      <c r="N64" s="27">
        <v>9.2697083333333321</v>
      </c>
      <c r="O64" s="27">
        <v>2.8458333333333332</v>
      </c>
      <c r="P64" s="27">
        <v>0</v>
      </c>
      <c r="Q64" s="27">
        <v>12.115541666666671</v>
      </c>
      <c r="R64" s="28">
        <v>0.77129926093550627</v>
      </c>
      <c r="S64" s="27">
        <v>6.0577708333333327</v>
      </c>
      <c r="T64" s="27">
        <v>6.0577708333333327</v>
      </c>
      <c r="U64" s="26">
        <v>1</v>
      </c>
      <c r="AA64" s="29">
        <f t="shared" si="6"/>
        <v>9.2697083333333321</v>
      </c>
      <c r="AB64" s="29">
        <f t="shared" si="7"/>
        <v>2.8458333333333332</v>
      </c>
      <c r="AC64" s="29">
        <f t="shared" si="8"/>
        <v>0</v>
      </c>
      <c r="AD64" s="29">
        <f t="shared" si="9"/>
        <v>12.115541666666671</v>
      </c>
      <c r="AE64" s="14">
        <f t="shared" si="10"/>
        <v>0.77129926093550627</v>
      </c>
      <c r="AF64" s="29">
        <f t="shared" si="11"/>
        <v>9.3447083333333349</v>
      </c>
      <c r="AG64" s="11" t="s">
        <v>89</v>
      </c>
      <c r="AH64" s="30"/>
    </row>
    <row r="65" spans="1:34" x14ac:dyDescent="0.35">
      <c r="A65" s="26">
        <v>61</v>
      </c>
      <c r="B65" s="6">
        <v>9949</v>
      </c>
      <c r="C65" s="6" t="s">
        <v>339</v>
      </c>
      <c r="D65" s="6" t="s">
        <v>340</v>
      </c>
      <c r="E65" s="6" t="s">
        <v>265</v>
      </c>
      <c r="F65" s="6" t="s">
        <v>178</v>
      </c>
      <c r="G65" s="6" t="s">
        <v>266</v>
      </c>
      <c r="H65" s="6" t="s">
        <v>235</v>
      </c>
      <c r="I65" s="6" t="s">
        <v>181</v>
      </c>
      <c r="J65" s="6" t="s">
        <v>182</v>
      </c>
      <c r="K65" s="6" t="s">
        <v>341</v>
      </c>
      <c r="L65" s="6"/>
      <c r="M65" s="6" t="s">
        <v>181</v>
      </c>
      <c r="N65" s="27">
        <v>6.6666666666666666E-2</v>
      </c>
      <c r="O65" s="27">
        <v>0</v>
      </c>
      <c r="P65" s="27">
        <v>0</v>
      </c>
      <c r="Q65" s="27">
        <v>6.6666666666666666E-2</v>
      </c>
      <c r="R65" s="28">
        <v>0</v>
      </c>
      <c r="S65" s="27">
        <v>3.3333333333333333E-2</v>
      </c>
      <c r="T65" s="27">
        <v>3.3333333333333333E-2</v>
      </c>
      <c r="U65" s="26">
        <v>1</v>
      </c>
      <c r="AA65" s="29">
        <f t="shared" si="6"/>
        <v>6.6666666666666666E-2</v>
      </c>
      <c r="AB65" s="29">
        <f t="shared" si="7"/>
        <v>0</v>
      </c>
      <c r="AC65" s="29">
        <f t="shared" si="8"/>
        <v>0</v>
      </c>
      <c r="AD65" s="29">
        <f t="shared" si="9"/>
        <v>6.6666666666666666E-2</v>
      </c>
      <c r="AE65" s="14">
        <f t="shared" si="10"/>
        <v>0</v>
      </c>
      <c r="AF65" s="29">
        <f t="shared" si="11"/>
        <v>0</v>
      </c>
      <c r="AG65" s="11" t="s">
        <v>85</v>
      </c>
      <c r="AH65" s="30"/>
    </row>
    <row r="66" spans="1:34" x14ac:dyDescent="0.35">
      <c r="A66" s="26">
        <v>62</v>
      </c>
      <c r="B66" s="6">
        <v>9951</v>
      </c>
      <c r="C66" s="6" t="s">
        <v>342</v>
      </c>
      <c r="D66" s="6" t="s">
        <v>343</v>
      </c>
      <c r="E66" s="6" t="s">
        <v>67</v>
      </c>
      <c r="F66" s="6" t="s">
        <v>344</v>
      </c>
      <c r="G66" s="6" t="s">
        <v>344</v>
      </c>
      <c r="H66" s="6" t="s">
        <v>235</v>
      </c>
      <c r="I66" s="6" t="s">
        <v>181</v>
      </c>
      <c r="J66" s="6" t="s">
        <v>182</v>
      </c>
      <c r="K66" s="6" t="s">
        <v>345</v>
      </c>
      <c r="L66" s="6" t="s">
        <v>346</v>
      </c>
      <c r="M66" s="6" t="s">
        <v>189</v>
      </c>
      <c r="N66" s="27">
        <v>7</v>
      </c>
      <c r="O66" s="27">
        <v>1</v>
      </c>
      <c r="P66" s="27">
        <v>0</v>
      </c>
      <c r="Q66" s="27">
        <v>7.9270416666666641</v>
      </c>
      <c r="R66" s="28">
        <v>0.77923668455550354</v>
      </c>
      <c r="S66" s="27">
        <v>3.963520833333332</v>
      </c>
      <c r="T66" s="27">
        <v>3.963520833333332</v>
      </c>
      <c r="U66" s="26">
        <v>1</v>
      </c>
      <c r="AA66" s="29">
        <f t="shared" si="6"/>
        <v>7</v>
      </c>
      <c r="AB66" s="29">
        <f t="shared" si="7"/>
        <v>1</v>
      </c>
      <c r="AC66" s="29">
        <f t="shared" si="8"/>
        <v>0</v>
      </c>
      <c r="AD66" s="29">
        <f t="shared" si="9"/>
        <v>7.9270416666666641</v>
      </c>
      <c r="AE66" s="14">
        <f t="shared" si="10"/>
        <v>0.77923668455550354</v>
      </c>
      <c r="AF66" s="29">
        <f t="shared" si="11"/>
        <v>6.1770416666666641</v>
      </c>
      <c r="AG66" s="11" t="s">
        <v>87</v>
      </c>
      <c r="AH66" s="30" t="s">
        <v>347</v>
      </c>
    </row>
    <row r="67" spans="1:34" x14ac:dyDescent="0.35">
      <c r="A67" s="26">
        <v>63</v>
      </c>
      <c r="B67" s="6">
        <v>9962</v>
      </c>
      <c r="C67" s="6" t="s">
        <v>348</v>
      </c>
      <c r="D67" s="6" t="s">
        <v>349</v>
      </c>
      <c r="E67" s="6" t="s">
        <v>291</v>
      </c>
      <c r="F67" s="6" t="s">
        <v>292</v>
      </c>
      <c r="G67" s="6" t="s">
        <v>315</v>
      </c>
      <c r="H67" s="6" t="s">
        <v>180</v>
      </c>
      <c r="I67" s="6" t="s">
        <v>181</v>
      </c>
      <c r="J67" s="6" t="s">
        <v>182</v>
      </c>
      <c r="K67" s="6" t="s">
        <v>350</v>
      </c>
      <c r="L67" s="6" t="s">
        <v>280</v>
      </c>
      <c r="M67" s="6" t="s">
        <v>181</v>
      </c>
      <c r="N67" s="27">
        <v>8.9216666666666686</v>
      </c>
      <c r="O67" s="27">
        <v>2.4104166666666669</v>
      </c>
      <c r="P67" s="27">
        <v>1.52</v>
      </c>
      <c r="Q67" s="27">
        <v>12.852083333333329</v>
      </c>
      <c r="R67" s="28">
        <v>0.82739503971470241</v>
      </c>
      <c r="S67" s="27">
        <v>6.4260416666666673</v>
      </c>
      <c r="T67" s="27">
        <v>6.4260416666666673</v>
      </c>
      <c r="U67" s="26">
        <v>1</v>
      </c>
      <c r="AA67" s="29">
        <f t="shared" si="6"/>
        <v>8.9216666666666686</v>
      </c>
      <c r="AB67" s="29">
        <f t="shared" si="7"/>
        <v>2.4104166666666669</v>
      </c>
      <c r="AC67" s="29">
        <f t="shared" si="8"/>
        <v>1.52</v>
      </c>
      <c r="AD67" s="29">
        <f t="shared" si="9"/>
        <v>12.852083333333329</v>
      </c>
      <c r="AE67" s="14">
        <f t="shared" si="10"/>
        <v>0.82739503971470241</v>
      </c>
      <c r="AF67" s="29">
        <f t="shared" si="11"/>
        <v>10.633749999999996</v>
      </c>
      <c r="AG67" s="11" t="s">
        <v>85</v>
      </c>
      <c r="AH67" s="30"/>
    </row>
    <row r="68" spans="1:34" x14ac:dyDescent="0.35">
      <c r="A68" s="26">
        <v>64</v>
      </c>
      <c r="B68" s="6">
        <v>9964</v>
      </c>
      <c r="C68" s="6" t="s">
        <v>351</v>
      </c>
      <c r="D68" s="6" t="s">
        <v>352</v>
      </c>
      <c r="E68" s="6" t="s">
        <v>265</v>
      </c>
      <c r="F68" s="6" t="s">
        <v>178</v>
      </c>
      <c r="G68" s="6" t="s">
        <v>266</v>
      </c>
      <c r="H68" s="6" t="s">
        <v>180</v>
      </c>
      <c r="I68" s="6" t="s">
        <v>181</v>
      </c>
      <c r="J68" s="6" t="s">
        <v>182</v>
      </c>
      <c r="K68" s="6" t="s">
        <v>277</v>
      </c>
      <c r="L68" s="6"/>
      <c r="M68" s="6" t="s">
        <v>181</v>
      </c>
      <c r="N68" s="27">
        <v>1.9533333333333329</v>
      </c>
      <c r="O68" s="27">
        <v>0.36249999999999988</v>
      </c>
      <c r="P68" s="27">
        <v>0</v>
      </c>
      <c r="Q68" s="27">
        <v>2.315833333333333</v>
      </c>
      <c r="R68" s="28">
        <v>0.90824037423533643</v>
      </c>
      <c r="S68" s="27">
        <v>1.1579166666666669</v>
      </c>
      <c r="T68" s="27">
        <v>1.1579166666666669</v>
      </c>
      <c r="U68" s="26">
        <v>1</v>
      </c>
      <c r="AA68" s="29">
        <f t="shared" si="6"/>
        <v>1.9533333333333329</v>
      </c>
      <c r="AB68" s="29">
        <f t="shared" si="7"/>
        <v>0.36249999999999988</v>
      </c>
      <c r="AC68" s="29">
        <f t="shared" si="8"/>
        <v>0</v>
      </c>
      <c r="AD68" s="29">
        <f t="shared" si="9"/>
        <v>2.315833333333333</v>
      </c>
      <c r="AE68" s="14">
        <f t="shared" si="10"/>
        <v>0.90824037423533643</v>
      </c>
      <c r="AF68" s="29">
        <f t="shared" si="11"/>
        <v>2.1033333333333331</v>
      </c>
      <c r="AG68" s="11" t="s">
        <v>85</v>
      </c>
      <c r="AH68" s="30"/>
    </row>
    <row r="69" spans="1:34" x14ac:dyDescent="0.35">
      <c r="A69" s="26">
        <v>65</v>
      </c>
      <c r="B69" s="6">
        <v>9965</v>
      </c>
      <c r="C69" s="6" t="s">
        <v>353</v>
      </c>
      <c r="D69" s="6" t="s">
        <v>354</v>
      </c>
      <c r="E69" s="6" t="s">
        <v>265</v>
      </c>
      <c r="F69" s="6" t="s">
        <v>178</v>
      </c>
      <c r="G69" s="6" t="s">
        <v>266</v>
      </c>
      <c r="H69" s="6" t="s">
        <v>180</v>
      </c>
      <c r="I69" s="6" t="s">
        <v>181</v>
      </c>
      <c r="J69" s="6" t="s">
        <v>182</v>
      </c>
      <c r="K69" s="6" t="s">
        <v>277</v>
      </c>
      <c r="L69" s="6"/>
      <c r="M69" s="6" t="s">
        <v>181</v>
      </c>
      <c r="N69" s="27">
        <v>2.5000000000000001E-2</v>
      </c>
      <c r="O69" s="27">
        <v>3.7499999999999999E-2</v>
      </c>
      <c r="P69" s="27">
        <v>0</v>
      </c>
      <c r="Q69" s="27">
        <v>6.25E-2</v>
      </c>
      <c r="R69" s="28">
        <v>0.2</v>
      </c>
      <c r="S69" s="27">
        <v>3.125E-2</v>
      </c>
      <c r="T69" s="27">
        <v>3.125E-2</v>
      </c>
      <c r="U69" s="26">
        <v>1</v>
      </c>
      <c r="AA69" s="29">
        <f t="shared" ref="AA69:AA100" si="12">N69</f>
        <v>2.5000000000000001E-2</v>
      </c>
      <c r="AB69" s="29">
        <f t="shared" ref="AB69:AB100" si="13">O69</f>
        <v>3.7499999999999999E-2</v>
      </c>
      <c r="AC69" s="29">
        <f t="shared" ref="AC69:AC100" si="14">P69</f>
        <v>0</v>
      </c>
      <c r="AD69" s="29">
        <f t="shared" ref="AD69:AD100" si="15">Q69</f>
        <v>6.25E-2</v>
      </c>
      <c r="AE69" s="14">
        <f t="shared" ref="AE69:AE100" si="16">R69</f>
        <v>0.2</v>
      </c>
      <c r="AF69" s="29">
        <f t="shared" ref="AF69:AF100" si="17">Q69*R69</f>
        <v>1.2500000000000001E-2</v>
      </c>
      <c r="AG69" s="11" t="s">
        <v>85</v>
      </c>
      <c r="AH69" s="30"/>
    </row>
    <row r="70" spans="1:34" x14ac:dyDescent="0.35">
      <c r="A70" s="26">
        <v>66</v>
      </c>
      <c r="B70" s="6">
        <v>9969</v>
      </c>
      <c r="C70" s="6" t="s">
        <v>355</v>
      </c>
      <c r="D70" s="6" t="s">
        <v>356</v>
      </c>
      <c r="E70" s="6" t="s">
        <v>265</v>
      </c>
      <c r="F70" s="6" t="s">
        <v>178</v>
      </c>
      <c r="G70" s="6" t="s">
        <v>266</v>
      </c>
      <c r="H70" s="6" t="s">
        <v>180</v>
      </c>
      <c r="I70" s="6" t="s">
        <v>181</v>
      </c>
      <c r="J70" s="6" t="s">
        <v>182</v>
      </c>
      <c r="K70" s="6" t="s">
        <v>277</v>
      </c>
      <c r="L70" s="6"/>
      <c r="M70" s="6" t="s">
        <v>181</v>
      </c>
      <c r="N70" s="27">
        <v>0.31237500000000001</v>
      </c>
      <c r="O70" s="27">
        <v>2.5000000000000001E-2</v>
      </c>
      <c r="P70" s="27">
        <v>0</v>
      </c>
      <c r="Q70" s="27">
        <v>0.33737499999999998</v>
      </c>
      <c r="R70" s="28">
        <v>0.67580585402000737</v>
      </c>
      <c r="S70" s="27">
        <v>0.16868749999999999</v>
      </c>
      <c r="T70" s="27">
        <v>0.16868749999999999</v>
      </c>
      <c r="U70" s="26">
        <v>1</v>
      </c>
      <c r="AA70" s="29">
        <f t="shared" si="12"/>
        <v>0.31237500000000001</v>
      </c>
      <c r="AB70" s="29">
        <f t="shared" si="13"/>
        <v>2.5000000000000001E-2</v>
      </c>
      <c r="AC70" s="29">
        <f t="shared" si="14"/>
        <v>0</v>
      </c>
      <c r="AD70" s="29">
        <f t="shared" si="15"/>
        <v>0.33737499999999998</v>
      </c>
      <c r="AE70" s="14">
        <f t="shared" si="16"/>
        <v>0.67580585402000737</v>
      </c>
      <c r="AF70" s="29">
        <f t="shared" si="17"/>
        <v>0.22799999999999998</v>
      </c>
      <c r="AG70" s="11" t="s">
        <v>85</v>
      </c>
      <c r="AH70" s="30"/>
    </row>
    <row r="71" spans="1:34" x14ac:dyDescent="0.35">
      <c r="A71" s="26">
        <v>67</v>
      </c>
      <c r="B71" s="6">
        <v>9975</v>
      </c>
      <c r="C71" s="6" t="s">
        <v>357</v>
      </c>
      <c r="D71" s="6" t="s">
        <v>358</v>
      </c>
      <c r="E71" s="6" t="s">
        <v>261</v>
      </c>
      <c r="F71" s="6" t="s">
        <v>241</v>
      </c>
      <c r="G71" s="6" t="s">
        <v>262</v>
      </c>
      <c r="H71" s="6" t="s">
        <v>180</v>
      </c>
      <c r="I71" s="6" t="s">
        <v>181</v>
      </c>
      <c r="J71" s="6" t="s">
        <v>182</v>
      </c>
      <c r="K71" s="6" t="s">
        <v>277</v>
      </c>
      <c r="L71" s="6"/>
      <c r="M71" s="6" t="s">
        <v>181</v>
      </c>
      <c r="N71" s="27">
        <v>1.111666666666667</v>
      </c>
      <c r="O71" s="27">
        <v>0</v>
      </c>
      <c r="P71" s="27">
        <v>0</v>
      </c>
      <c r="Q71" s="27">
        <v>1.111666666666667</v>
      </c>
      <c r="R71" s="28">
        <v>0.5850824587706146</v>
      </c>
      <c r="S71" s="27">
        <v>0.5558333333333334</v>
      </c>
      <c r="T71" s="27">
        <v>0.5558333333333334</v>
      </c>
      <c r="U71" s="26">
        <v>1</v>
      </c>
      <c r="AA71" s="29">
        <f t="shared" si="12"/>
        <v>1.111666666666667</v>
      </c>
      <c r="AB71" s="29">
        <f t="shared" si="13"/>
        <v>0</v>
      </c>
      <c r="AC71" s="29">
        <f t="shared" si="14"/>
        <v>0</v>
      </c>
      <c r="AD71" s="29">
        <f t="shared" si="15"/>
        <v>1.111666666666667</v>
      </c>
      <c r="AE71" s="14">
        <f t="shared" si="16"/>
        <v>0.5850824587706146</v>
      </c>
      <c r="AF71" s="29">
        <f t="shared" si="17"/>
        <v>0.65041666666666675</v>
      </c>
      <c r="AG71" s="11" t="s">
        <v>85</v>
      </c>
      <c r="AH71" s="30"/>
    </row>
    <row r="72" spans="1:34" x14ac:dyDescent="0.35">
      <c r="A72" s="26">
        <v>68</v>
      </c>
      <c r="B72" s="6">
        <v>9977</v>
      </c>
      <c r="C72" s="6" t="s">
        <v>359</v>
      </c>
      <c r="D72" s="6" t="s">
        <v>360</v>
      </c>
      <c r="E72" s="6" t="s">
        <v>301</v>
      </c>
      <c r="F72" s="6" t="s">
        <v>292</v>
      </c>
      <c r="G72" s="6" t="s">
        <v>302</v>
      </c>
      <c r="H72" s="6" t="s">
        <v>180</v>
      </c>
      <c r="I72" s="6" t="s">
        <v>181</v>
      </c>
      <c r="J72" s="6" t="s">
        <v>182</v>
      </c>
      <c r="K72" s="6" t="s">
        <v>277</v>
      </c>
      <c r="L72" s="6"/>
      <c r="M72" s="6" t="s">
        <v>181</v>
      </c>
      <c r="N72" s="27">
        <v>1</v>
      </c>
      <c r="O72" s="27">
        <v>1</v>
      </c>
      <c r="P72" s="27">
        <v>0</v>
      </c>
      <c r="Q72" s="27">
        <v>0.45791666666666669</v>
      </c>
      <c r="R72" s="28">
        <v>0</v>
      </c>
      <c r="S72" s="27">
        <v>0.22895833333333329</v>
      </c>
      <c r="T72" s="27">
        <v>0.22895833333333329</v>
      </c>
      <c r="U72" s="26">
        <v>1</v>
      </c>
      <c r="AA72" s="29">
        <f t="shared" si="12"/>
        <v>1</v>
      </c>
      <c r="AB72" s="29">
        <f t="shared" si="13"/>
        <v>1</v>
      </c>
      <c r="AC72" s="29">
        <f t="shared" si="14"/>
        <v>0</v>
      </c>
      <c r="AD72" s="29">
        <f t="shared" si="15"/>
        <v>0.45791666666666669</v>
      </c>
      <c r="AE72" s="14">
        <f t="shared" si="16"/>
        <v>0</v>
      </c>
      <c r="AF72" s="29">
        <f t="shared" si="17"/>
        <v>0</v>
      </c>
      <c r="AG72" s="11" t="s">
        <v>85</v>
      </c>
      <c r="AH72" s="30"/>
    </row>
    <row r="73" spans="1:34" x14ac:dyDescent="0.35">
      <c r="A73" s="26">
        <v>69</v>
      </c>
      <c r="B73" s="6">
        <v>9980</v>
      </c>
      <c r="C73" s="6" t="s">
        <v>361</v>
      </c>
      <c r="D73" s="6" t="s">
        <v>362</v>
      </c>
      <c r="E73" s="6" t="s">
        <v>187</v>
      </c>
      <c r="F73" s="6" t="s">
        <v>178</v>
      </c>
      <c r="G73" s="6" t="s">
        <v>188</v>
      </c>
      <c r="H73" s="6" t="s">
        <v>180</v>
      </c>
      <c r="I73" s="6" t="s">
        <v>189</v>
      </c>
      <c r="J73" s="6" t="s">
        <v>182</v>
      </c>
      <c r="K73" s="6" t="s">
        <v>363</v>
      </c>
      <c r="L73" s="6"/>
      <c r="M73" s="6" t="s">
        <v>181</v>
      </c>
      <c r="N73" s="27">
        <v>12.606875000000009</v>
      </c>
      <c r="O73" s="27">
        <v>1.1416666666666671</v>
      </c>
      <c r="P73" s="27">
        <v>0</v>
      </c>
      <c r="Q73" s="27">
        <v>13.74854166666667</v>
      </c>
      <c r="R73" s="28">
        <v>0.81496522358431966</v>
      </c>
      <c r="S73" s="27">
        <v>6.8742708333333367</v>
      </c>
      <c r="T73" s="27">
        <v>6.8742708333333367</v>
      </c>
      <c r="U73" s="26">
        <v>1</v>
      </c>
      <c r="AA73" s="29">
        <f t="shared" si="12"/>
        <v>12.606875000000009</v>
      </c>
      <c r="AB73" s="29">
        <f t="shared" si="13"/>
        <v>1.1416666666666671</v>
      </c>
      <c r="AC73" s="29">
        <f t="shared" si="14"/>
        <v>0</v>
      </c>
      <c r="AD73" s="29">
        <f t="shared" si="15"/>
        <v>13.74854166666667</v>
      </c>
      <c r="AE73" s="14">
        <f t="shared" si="16"/>
        <v>0.81496522358431966</v>
      </c>
      <c r="AF73" s="29">
        <f t="shared" si="17"/>
        <v>11.204583333333337</v>
      </c>
      <c r="AG73" s="11" t="s">
        <v>89</v>
      </c>
      <c r="AH73" s="30"/>
    </row>
    <row r="74" spans="1:34" x14ac:dyDescent="0.35">
      <c r="A74" s="26">
        <v>70</v>
      </c>
      <c r="B74" s="6">
        <v>9983</v>
      </c>
      <c r="C74" s="6" t="s">
        <v>364</v>
      </c>
      <c r="D74" s="6" t="s">
        <v>365</v>
      </c>
      <c r="E74" s="6" t="s">
        <v>301</v>
      </c>
      <c r="F74" s="6" t="s">
        <v>292</v>
      </c>
      <c r="G74" s="6" t="s">
        <v>302</v>
      </c>
      <c r="H74" s="6" t="s">
        <v>180</v>
      </c>
      <c r="I74" s="6" t="s">
        <v>181</v>
      </c>
      <c r="J74" s="6" t="s">
        <v>182</v>
      </c>
      <c r="K74" s="6" t="s">
        <v>277</v>
      </c>
      <c r="L74" s="6" t="s">
        <v>280</v>
      </c>
      <c r="M74" s="6" t="s">
        <v>181</v>
      </c>
      <c r="N74" s="27">
        <v>6.6141666666666667</v>
      </c>
      <c r="O74" s="27">
        <v>0.6479166666666667</v>
      </c>
      <c r="P74" s="27">
        <v>0</v>
      </c>
      <c r="Q74" s="27">
        <v>7.262083333333333</v>
      </c>
      <c r="R74" s="28">
        <v>0.93912444775948134</v>
      </c>
      <c r="S74" s="27">
        <v>3.6310416666666669</v>
      </c>
      <c r="T74" s="27">
        <v>3.6310416666666669</v>
      </c>
      <c r="U74" s="26">
        <v>1</v>
      </c>
      <c r="AA74" s="29">
        <f t="shared" si="12"/>
        <v>6.6141666666666667</v>
      </c>
      <c r="AB74" s="29">
        <f t="shared" si="13"/>
        <v>0.6479166666666667</v>
      </c>
      <c r="AC74" s="29">
        <f t="shared" si="14"/>
        <v>0</v>
      </c>
      <c r="AD74" s="29">
        <f t="shared" si="15"/>
        <v>7.262083333333333</v>
      </c>
      <c r="AE74" s="14">
        <f t="shared" si="16"/>
        <v>0.93912444775948134</v>
      </c>
      <c r="AF74" s="29">
        <f t="shared" si="17"/>
        <v>6.8199999999999994</v>
      </c>
      <c r="AG74" s="11" t="s">
        <v>85</v>
      </c>
      <c r="AH74" s="30"/>
    </row>
    <row r="75" spans="1:34" x14ac:dyDescent="0.35">
      <c r="A75" s="26">
        <v>71</v>
      </c>
      <c r="B75" s="6">
        <v>9986</v>
      </c>
      <c r="C75" s="6" t="s">
        <v>366</v>
      </c>
      <c r="D75" s="6" t="s">
        <v>367</v>
      </c>
      <c r="E75" s="6" t="s">
        <v>265</v>
      </c>
      <c r="F75" s="6" t="s">
        <v>178</v>
      </c>
      <c r="G75" s="6" t="s">
        <v>266</v>
      </c>
      <c r="H75" s="6" t="s">
        <v>180</v>
      </c>
      <c r="I75" s="6" t="s">
        <v>181</v>
      </c>
      <c r="J75" s="6" t="s">
        <v>182</v>
      </c>
      <c r="K75" s="6" t="s">
        <v>368</v>
      </c>
      <c r="L75" s="6"/>
      <c r="M75" s="6" t="s">
        <v>181</v>
      </c>
      <c r="N75" s="27">
        <v>2.4426666666666672</v>
      </c>
      <c r="O75" s="27">
        <v>0.5708333333333333</v>
      </c>
      <c r="P75" s="27">
        <v>0</v>
      </c>
      <c r="Q75" s="27">
        <v>3.0135000000000001</v>
      </c>
      <c r="R75" s="28">
        <v>0.2751507106907804</v>
      </c>
      <c r="S75" s="27">
        <v>1.50675</v>
      </c>
      <c r="T75" s="27">
        <v>1.50675</v>
      </c>
      <c r="U75" s="26">
        <v>1</v>
      </c>
      <c r="AA75" s="29">
        <f t="shared" si="12"/>
        <v>2.4426666666666672</v>
      </c>
      <c r="AB75" s="29">
        <f t="shared" si="13"/>
        <v>0.5708333333333333</v>
      </c>
      <c r="AC75" s="29">
        <f t="shared" si="14"/>
        <v>0</v>
      </c>
      <c r="AD75" s="29">
        <f t="shared" si="15"/>
        <v>3.0135000000000001</v>
      </c>
      <c r="AE75" s="14">
        <f t="shared" si="16"/>
        <v>0.2751507106907804</v>
      </c>
      <c r="AF75" s="29">
        <f t="shared" si="17"/>
        <v>0.82916666666666672</v>
      </c>
      <c r="AG75" s="11" t="s">
        <v>85</v>
      </c>
      <c r="AH75" s="30"/>
    </row>
    <row r="76" spans="1:34" x14ac:dyDescent="0.35">
      <c r="A76" s="26">
        <v>72</v>
      </c>
      <c r="B76" s="6">
        <v>9992</v>
      </c>
      <c r="C76" s="6" t="s">
        <v>369</v>
      </c>
      <c r="D76" s="6" t="s">
        <v>370</v>
      </c>
      <c r="E76" s="6" t="s">
        <v>320</v>
      </c>
      <c r="F76" s="6" t="s">
        <v>321</v>
      </c>
      <c r="G76" s="6" t="s">
        <v>321</v>
      </c>
      <c r="H76" s="6" t="s">
        <v>235</v>
      </c>
      <c r="I76" s="6" t="s">
        <v>181</v>
      </c>
      <c r="J76" s="6" t="s">
        <v>182</v>
      </c>
      <c r="K76" s="6" t="s">
        <v>371</v>
      </c>
      <c r="L76" s="6"/>
      <c r="M76" s="6" t="s">
        <v>181</v>
      </c>
      <c r="N76" s="27">
        <v>7.2083333333333339</v>
      </c>
      <c r="O76" s="27">
        <v>2.995833333333334</v>
      </c>
      <c r="P76" s="27">
        <v>2.520833333333333</v>
      </c>
      <c r="Q76" s="27">
        <v>12.725</v>
      </c>
      <c r="R76" s="28">
        <v>0.93778650949574338</v>
      </c>
      <c r="S76" s="27">
        <v>6.3625000000000007</v>
      </c>
      <c r="T76" s="27">
        <v>6.3625000000000007</v>
      </c>
      <c r="U76" s="26">
        <v>1</v>
      </c>
      <c r="AA76" s="29">
        <f t="shared" si="12"/>
        <v>7.2083333333333339</v>
      </c>
      <c r="AB76" s="29">
        <f t="shared" si="13"/>
        <v>2.995833333333334</v>
      </c>
      <c r="AC76" s="29">
        <f t="shared" si="14"/>
        <v>2.520833333333333</v>
      </c>
      <c r="AD76" s="29">
        <f t="shared" si="15"/>
        <v>12.725</v>
      </c>
      <c r="AE76" s="14">
        <f t="shared" si="16"/>
        <v>0.93778650949574338</v>
      </c>
      <c r="AF76" s="29">
        <f t="shared" si="17"/>
        <v>11.933333333333334</v>
      </c>
      <c r="AG76" s="11" t="s">
        <v>85</v>
      </c>
      <c r="AH76" s="30"/>
    </row>
    <row r="77" spans="1:34" x14ac:dyDescent="0.35">
      <c r="A77" s="26">
        <v>73</v>
      </c>
      <c r="B77" s="6">
        <v>9994</v>
      </c>
      <c r="C77" s="6" t="s">
        <v>372</v>
      </c>
      <c r="D77" s="6" t="s">
        <v>373</v>
      </c>
      <c r="E77" s="6" t="s">
        <v>246</v>
      </c>
      <c r="F77" s="6" t="s">
        <v>241</v>
      </c>
      <c r="G77" s="6" t="s">
        <v>247</v>
      </c>
      <c r="H77" s="6" t="s">
        <v>180</v>
      </c>
      <c r="I77" s="6" t="s">
        <v>181</v>
      </c>
      <c r="J77" s="6" t="s">
        <v>374</v>
      </c>
      <c r="K77" s="6" t="s">
        <v>277</v>
      </c>
      <c r="L77" s="6" t="s">
        <v>280</v>
      </c>
      <c r="M77" s="6" t="s">
        <v>181</v>
      </c>
      <c r="N77" s="27">
        <v>0.79999999999999993</v>
      </c>
      <c r="O77" s="27">
        <v>0.2</v>
      </c>
      <c r="P77" s="27">
        <v>0</v>
      </c>
      <c r="Q77" s="27">
        <v>1.1729166666666659</v>
      </c>
      <c r="R77" s="28">
        <v>0.42806394316163421</v>
      </c>
      <c r="S77" s="27">
        <v>0.58645833333333319</v>
      </c>
      <c r="T77" s="27">
        <v>0.58645833333333319</v>
      </c>
      <c r="U77" s="26">
        <v>1</v>
      </c>
      <c r="AA77" s="29">
        <f t="shared" si="12"/>
        <v>0.79999999999999993</v>
      </c>
      <c r="AB77" s="29">
        <f t="shared" si="13"/>
        <v>0.2</v>
      </c>
      <c r="AC77" s="29">
        <f t="shared" si="14"/>
        <v>0</v>
      </c>
      <c r="AD77" s="29">
        <f t="shared" si="15"/>
        <v>1.1729166666666659</v>
      </c>
      <c r="AE77" s="14">
        <f t="shared" si="16"/>
        <v>0.42806394316163421</v>
      </c>
      <c r="AF77" s="29">
        <f t="shared" si="17"/>
        <v>0.5020833333333331</v>
      </c>
      <c r="AG77" s="11" t="s">
        <v>85</v>
      </c>
      <c r="AH77" s="30"/>
    </row>
    <row r="78" spans="1:34" x14ac:dyDescent="0.35">
      <c r="A78" s="26">
        <v>74</v>
      </c>
      <c r="B78" s="6">
        <v>9995</v>
      </c>
      <c r="C78" s="6" t="s">
        <v>375</v>
      </c>
      <c r="D78" s="6" t="s">
        <v>376</v>
      </c>
      <c r="E78" s="6" t="s">
        <v>265</v>
      </c>
      <c r="F78" s="6" t="s">
        <v>178</v>
      </c>
      <c r="G78" s="6" t="s">
        <v>266</v>
      </c>
      <c r="H78" s="6" t="s">
        <v>377</v>
      </c>
      <c r="I78" s="6" t="s">
        <v>181</v>
      </c>
      <c r="J78" s="6" t="s">
        <v>182</v>
      </c>
      <c r="K78" s="6" t="s">
        <v>378</v>
      </c>
      <c r="L78" s="6"/>
      <c r="M78" s="6" t="s">
        <v>181</v>
      </c>
      <c r="N78" s="27">
        <v>0.77916666666666667</v>
      </c>
      <c r="O78" s="27">
        <v>0</v>
      </c>
      <c r="P78" s="27">
        <v>0</v>
      </c>
      <c r="Q78" s="27">
        <v>0.77916666666666667</v>
      </c>
      <c r="R78" s="28">
        <v>0.67914438502673802</v>
      </c>
      <c r="S78" s="27">
        <v>0.38958333333333328</v>
      </c>
      <c r="T78" s="27">
        <v>0.38958333333333328</v>
      </c>
      <c r="U78" s="26">
        <v>1</v>
      </c>
      <c r="AA78" s="29">
        <f t="shared" si="12"/>
        <v>0.77916666666666667</v>
      </c>
      <c r="AB78" s="29">
        <f t="shared" si="13"/>
        <v>0</v>
      </c>
      <c r="AC78" s="29">
        <f t="shared" si="14"/>
        <v>0</v>
      </c>
      <c r="AD78" s="29">
        <f t="shared" si="15"/>
        <v>0.77916666666666667</v>
      </c>
      <c r="AE78" s="14">
        <f t="shared" si="16"/>
        <v>0.67914438502673802</v>
      </c>
      <c r="AF78" s="29">
        <f t="shared" si="17"/>
        <v>0.52916666666666667</v>
      </c>
      <c r="AG78" s="11" t="s">
        <v>85</v>
      </c>
      <c r="AH78" s="30"/>
    </row>
    <row r="79" spans="1:34" x14ac:dyDescent="0.35">
      <c r="A79" s="26">
        <v>75</v>
      </c>
      <c r="B79" s="6">
        <v>9996</v>
      </c>
      <c r="C79" s="6" t="s">
        <v>379</v>
      </c>
      <c r="D79" s="6" t="s">
        <v>380</v>
      </c>
      <c r="E79" s="6" t="s">
        <v>240</v>
      </c>
      <c r="F79" s="6" t="s">
        <v>241</v>
      </c>
      <c r="G79" s="6" t="s">
        <v>242</v>
      </c>
      <c r="H79" s="6" t="s">
        <v>180</v>
      </c>
      <c r="I79" s="6" t="s">
        <v>181</v>
      </c>
      <c r="J79" s="6" t="s">
        <v>182</v>
      </c>
      <c r="K79" s="6" t="s">
        <v>277</v>
      </c>
      <c r="L79" s="6"/>
      <c r="M79" s="6" t="s">
        <v>181</v>
      </c>
      <c r="N79" s="27">
        <v>0.22625000000000001</v>
      </c>
      <c r="O79" s="27">
        <v>0</v>
      </c>
      <c r="P79" s="27">
        <v>0</v>
      </c>
      <c r="Q79" s="27">
        <v>0.22625000000000001</v>
      </c>
      <c r="R79" s="28">
        <v>0.33701657458563528</v>
      </c>
      <c r="S79" s="27">
        <v>0.113125</v>
      </c>
      <c r="T79" s="27">
        <v>0.113125</v>
      </c>
      <c r="U79" s="26">
        <v>1</v>
      </c>
      <c r="AA79" s="29">
        <f t="shared" si="12"/>
        <v>0.22625000000000001</v>
      </c>
      <c r="AB79" s="29">
        <f t="shared" si="13"/>
        <v>0</v>
      </c>
      <c r="AC79" s="29">
        <f t="shared" si="14"/>
        <v>0</v>
      </c>
      <c r="AD79" s="29">
        <f t="shared" si="15"/>
        <v>0.22625000000000001</v>
      </c>
      <c r="AE79" s="14">
        <f t="shared" si="16"/>
        <v>0.33701657458563528</v>
      </c>
      <c r="AF79" s="29">
        <f t="shared" si="17"/>
        <v>7.6249999999999984E-2</v>
      </c>
      <c r="AG79" s="11" t="s">
        <v>85</v>
      </c>
      <c r="AH79" s="30"/>
    </row>
    <row r="80" spans="1:34" x14ac:dyDescent="0.35">
      <c r="A80" s="26">
        <v>76</v>
      </c>
      <c r="B80" s="6">
        <v>9999</v>
      </c>
      <c r="C80" s="6" t="s">
        <v>381</v>
      </c>
      <c r="D80" s="6" t="s">
        <v>382</v>
      </c>
      <c r="E80" s="6" t="s">
        <v>187</v>
      </c>
      <c r="F80" s="6" t="s">
        <v>178</v>
      </c>
      <c r="G80" s="6" t="s">
        <v>188</v>
      </c>
      <c r="H80" s="6" t="s">
        <v>180</v>
      </c>
      <c r="I80" s="6" t="s">
        <v>189</v>
      </c>
      <c r="J80" s="6" t="s">
        <v>182</v>
      </c>
      <c r="K80" s="6" t="s">
        <v>212</v>
      </c>
      <c r="L80" s="6"/>
      <c r="M80" s="6" t="s">
        <v>181</v>
      </c>
      <c r="N80" s="27">
        <v>1.0287500000000001</v>
      </c>
      <c r="O80" s="27">
        <v>0</v>
      </c>
      <c r="P80" s="27">
        <v>0</v>
      </c>
      <c r="Q80" s="27">
        <v>1.0287500000000001</v>
      </c>
      <c r="R80" s="28">
        <v>0.12920210611583641</v>
      </c>
      <c r="S80" s="27">
        <v>0.51437500000000003</v>
      </c>
      <c r="T80" s="27">
        <v>0.51437500000000003</v>
      </c>
      <c r="U80" s="26">
        <v>1</v>
      </c>
      <c r="AA80" s="29">
        <f t="shared" si="12"/>
        <v>1.0287500000000001</v>
      </c>
      <c r="AB80" s="29">
        <f t="shared" si="13"/>
        <v>0</v>
      </c>
      <c r="AC80" s="29">
        <f t="shared" si="14"/>
        <v>0</v>
      </c>
      <c r="AD80" s="29">
        <f t="shared" si="15"/>
        <v>1.0287500000000001</v>
      </c>
      <c r="AE80" s="14">
        <f t="shared" si="16"/>
        <v>0.12920210611583641</v>
      </c>
      <c r="AF80" s="29">
        <f t="shared" si="17"/>
        <v>0.13291666666666671</v>
      </c>
      <c r="AG80" s="11" t="s">
        <v>89</v>
      </c>
      <c r="AH80" s="30"/>
    </row>
    <row r="81" spans="1:34" x14ac:dyDescent="0.35">
      <c r="A81" s="26">
        <v>77</v>
      </c>
      <c r="B81" s="6">
        <v>10001</v>
      </c>
      <c r="C81" s="6" t="s">
        <v>383</v>
      </c>
      <c r="D81" s="6" t="s">
        <v>384</v>
      </c>
      <c r="E81" s="6" t="s">
        <v>265</v>
      </c>
      <c r="F81" s="6" t="s">
        <v>178</v>
      </c>
      <c r="G81" s="6" t="s">
        <v>266</v>
      </c>
      <c r="H81" s="6" t="s">
        <v>180</v>
      </c>
      <c r="I81" s="6" t="s">
        <v>189</v>
      </c>
      <c r="J81" s="6" t="s">
        <v>182</v>
      </c>
      <c r="K81" s="6" t="s">
        <v>385</v>
      </c>
      <c r="L81" s="6"/>
      <c r="M81" s="6" t="s">
        <v>181</v>
      </c>
      <c r="N81" s="27">
        <v>2.729166666666667</v>
      </c>
      <c r="O81" s="27">
        <v>3.0249999999999999</v>
      </c>
      <c r="P81" s="27">
        <v>0</v>
      </c>
      <c r="Q81" s="27">
        <v>5.7541666666666664</v>
      </c>
      <c r="R81" s="28">
        <v>0.34540188269370031</v>
      </c>
      <c r="S81" s="27">
        <v>2.8770833333333332</v>
      </c>
      <c r="T81" s="27">
        <v>2.8770833333333332</v>
      </c>
      <c r="U81" s="26">
        <v>1</v>
      </c>
      <c r="AA81" s="29">
        <f t="shared" si="12"/>
        <v>2.729166666666667</v>
      </c>
      <c r="AB81" s="29">
        <f t="shared" si="13"/>
        <v>3.0249999999999999</v>
      </c>
      <c r="AC81" s="29">
        <f t="shared" si="14"/>
        <v>0</v>
      </c>
      <c r="AD81" s="29">
        <f t="shared" si="15"/>
        <v>5.7541666666666664</v>
      </c>
      <c r="AE81" s="14">
        <f t="shared" si="16"/>
        <v>0.34540188269370031</v>
      </c>
      <c r="AF81" s="29">
        <f t="shared" si="17"/>
        <v>1.9875000000000005</v>
      </c>
      <c r="AG81" s="11" t="s">
        <v>89</v>
      </c>
      <c r="AH81" s="30"/>
    </row>
    <row r="82" spans="1:34" x14ac:dyDescent="0.35">
      <c r="A82" s="26">
        <v>78</v>
      </c>
      <c r="B82" s="6">
        <v>10032</v>
      </c>
      <c r="C82" s="6" t="s">
        <v>386</v>
      </c>
      <c r="D82" s="6" t="s">
        <v>387</v>
      </c>
      <c r="E82" s="6" t="s">
        <v>265</v>
      </c>
      <c r="F82" s="6" t="s">
        <v>178</v>
      </c>
      <c r="G82" s="6" t="s">
        <v>266</v>
      </c>
      <c r="H82" s="6" t="s">
        <v>180</v>
      </c>
      <c r="I82" s="6" t="s">
        <v>189</v>
      </c>
      <c r="J82" s="6" t="s">
        <v>182</v>
      </c>
      <c r="K82" s="6" t="s">
        <v>388</v>
      </c>
      <c r="L82" s="6"/>
      <c r="M82" s="6" t="s">
        <v>181</v>
      </c>
      <c r="N82" s="27">
        <v>1.8583333333333329</v>
      </c>
      <c r="O82" s="27">
        <v>0.94166666666666676</v>
      </c>
      <c r="P82" s="27">
        <v>0</v>
      </c>
      <c r="Q82" s="27">
        <v>2.8</v>
      </c>
      <c r="R82" s="28">
        <v>0.26934523809523808</v>
      </c>
      <c r="S82" s="27">
        <v>1.4</v>
      </c>
      <c r="T82" s="27">
        <v>1.4</v>
      </c>
      <c r="U82" s="26">
        <v>1</v>
      </c>
      <c r="AA82" s="29">
        <f t="shared" si="12"/>
        <v>1.8583333333333329</v>
      </c>
      <c r="AB82" s="29">
        <f t="shared" si="13"/>
        <v>0.94166666666666676</v>
      </c>
      <c r="AC82" s="29">
        <f t="shared" si="14"/>
        <v>0</v>
      </c>
      <c r="AD82" s="29">
        <f t="shared" si="15"/>
        <v>2.8</v>
      </c>
      <c r="AE82" s="14">
        <f t="shared" si="16"/>
        <v>0.26934523809523808</v>
      </c>
      <c r="AF82" s="29">
        <f t="shared" si="17"/>
        <v>0.75416666666666654</v>
      </c>
      <c r="AG82" s="11" t="s">
        <v>85</v>
      </c>
      <c r="AH82" s="30"/>
    </row>
    <row r="83" spans="1:34" x14ac:dyDescent="0.35">
      <c r="A83" s="26">
        <v>79</v>
      </c>
      <c r="B83" s="6">
        <v>11004</v>
      </c>
      <c r="C83" s="6" t="s">
        <v>389</v>
      </c>
      <c r="D83" s="6" t="s">
        <v>390</v>
      </c>
      <c r="E83" s="6" t="s">
        <v>177</v>
      </c>
      <c r="F83" s="6" t="s">
        <v>178</v>
      </c>
      <c r="G83" s="6" t="s">
        <v>179</v>
      </c>
      <c r="H83" s="6" t="s">
        <v>180</v>
      </c>
      <c r="I83" s="6" t="s">
        <v>181</v>
      </c>
      <c r="J83" s="6" t="s">
        <v>182</v>
      </c>
      <c r="K83" s="6" t="s">
        <v>391</v>
      </c>
      <c r="L83" s="6" t="s">
        <v>184</v>
      </c>
      <c r="M83" s="6" t="s">
        <v>181</v>
      </c>
      <c r="N83" s="27">
        <v>21.50612499999999</v>
      </c>
      <c r="O83" s="27">
        <v>7.7291666666666643</v>
      </c>
      <c r="P83" s="27">
        <v>0</v>
      </c>
      <c r="Q83" s="27">
        <v>29.235291666666651</v>
      </c>
      <c r="R83" s="28">
        <v>0.83096913405173833</v>
      </c>
      <c r="S83" s="27">
        <v>14.617645833333331</v>
      </c>
      <c r="T83" s="27">
        <v>14.617645833333331</v>
      </c>
      <c r="U83" s="26">
        <v>1</v>
      </c>
      <c r="AA83" s="29">
        <f t="shared" si="12"/>
        <v>21.50612499999999</v>
      </c>
      <c r="AB83" s="29">
        <f t="shared" si="13"/>
        <v>7.7291666666666643</v>
      </c>
      <c r="AC83" s="29">
        <f t="shared" si="14"/>
        <v>0</v>
      </c>
      <c r="AD83" s="29">
        <f t="shared" si="15"/>
        <v>29.235291666666651</v>
      </c>
      <c r="AE83" s="14">
        <f t="shared" si="16"/>
        <v>0.83096913405173833</v>
      </c>
      <c r="AF83" s="29">
        <f t="shared" si="17"/>
        <v>24.293624999999988</v>
      </c>
      <c r="AG83" s="11" t="s">
        <v>83</v>
      </c>
      <c r="AH83" s="30"/>
    </row>
    <row r="84" spans="1:34" x14ac:dyDescent="0.35">
      <c r="A84" s="26">
        <v>80</v>
      </c>
      <c r="B84" s="6">
        <v>11005</v>
      </c>
      <c r="C84" s="6" t="s">
        <v>392</v>
      </c>
      <c r="D84" s="6" t="s">
        <v>393</v>
      </c>
      <c r="E84" s="6" t="s">
        <v>265</v>
      </c>
      <c r="F84" s="6" t="s">
        <v>178</v>
      </c>
      <c r="G84" s="6" t="s">
        <v>266</v>
      </c>
      <c r="H84" s="6" t="s">
        <v>180</v>
      </c>
      <c r="I84" s="6" t="s">
        <v>181</v>
      </c>
      <c r="J84" s="6" t="s">
        <v>182</v>
      </c>
      <c r="K84" s="6" t="s">
        <v>277</v>
      </c>
      <c r="L84" s="6" t="s">
        <v>280</v>
      </c>
      <c r="M84" s="6" t="s">
        <v>181</v>
      </c>
      <c r="N84" s="27">
        <v>0.36249999999999999</v>
      </c>
      <c r="O84" s="27">
        <v>4.1666666666666657E-2</v>
      </c>
      <c r="P84" s="27">
        <v>0.5</v>
      </c>
      <c r="Q84" s="27">
        <v>0.90416666666666667</v>
      </c>
      <c r="R84" s="28">
        <v>0.44700460829493088</v>
      </c>
      <c r="S84" s="27">
        <v>0.45208333333333328</v>
      </c>
      <c r="T84" s="27">
        <v>0.45208333333333328</v>
      </c>
      <c r="U84" s="26">
        <v>1</v>
      </c>
      <c r="AA84" s="29">
        <f t="shared" si="12"/>
        <v>0.36249999999999999</v>
      </c>
      <c r="AB84" s="29">
        <f t="shared" si="13"/>
        <v>4.1666666666666657E-2</v>
      </c>
      <c r="AC84" s="29">
        <f t="shared" si="14"/>
        <v>0.5</v>
      </c>
      <c r="AD84" s="29">
        <f t="shared" si="15"/>
        <v>0.90416666666666667</v>
      </c>
      <c r="AE84" s="14">
        <f t="shared" si="16"/>
        <v>0.44700460829493088</v>
      </c>
      <c r="AF84" s="29">
        <f t="shared" si="17"/>
        <v>0.40416666666666667</v>
      </c>
      <c r="AG84" s="11" t="s">
        <v>85</v>
      </c>
      <c r="AH84" s="30"/>
    </row>
    <row r="85" spans="1:34" x14ac:dyDescent="0.35">
      <c r="A85" s="26">
        <v>81</v>
      </c>
      <c r="B85" s="6">
        <v>11007</v>
      </c>
      <c r="C85" s="6" t="s">
        <v>394</v>
      </c>
      <c r="D85" s="6" t="s">
        <v>395</v>
      </c>
      <c r="E85" s="6" t="s">
        <v>265</v>
      </c>
      <c r="F85" s="6" t="s">
        <v>178</v>
      </c>
      <c r="G85" s="6" t="s">
        <v>266</v>
      </c>
      <c r="H85" s="6" t="s">
        <v>180</v>
      </c>
      <c r="I85" s="6" t="s">
        <v>181</v>
      </c>
      <c r="J85" s="6" t="s">
        <v>182</v>
      </c>
      <c r="K85" s="6" t="s">
        <v>277</v>
      </c>
      <c r="L85" s="6"/>
      <c r="M85" s="6" t="s">
        <v>181</v>
      </c>
      <c r="N85" s="27">
        <v>0.23491666666666669</v>
      </c>
      <c r="O85" s="27">
        <v>7.2916666666666657E-2</v>
      </c>
      <c r="P85" s="27">
        <v>0</v>
      </c>
      <c r="Q85" s="27">
        <v>0.30783333333333329</v>
      </c>
      <c r="R85" s="28">
        <v>0.95939361126150513</v>
      </c>
      <c r="S85" s="27">
        <v>0.15391666666666659</v>
      </c>
      <c r="T85" s="27">
        <v>0.15391666666666659</v>
      </c>
      <c r="U85" s="26">
        <v>1</v>
      </c>
      <c r="AA85" s="29">
        <f t="shared" si="12"/>
        <v>0.23491666666666669</v>
      </c>
      <c r="AB85" s="29">
        <f t="shared" si="13"/>
        <v>7.2916666666666657E-2</v>
      </c>
      <c r="AC85" s="29">
        <f t="shared" si="14"/>
        <v>0</v>
      </c>
      <c r="AD85" s="29">
        <f t="shared" si="15"/>
        <v>0.30783333333333329</v>
      </c>
      <c r="AE85" s="14">
        <f t="shared" si="16"/>
        <v>0.95939361126150513</v>
      </c>
      <c r="AF85" s="29">
        <f t="shared" si="17"/>
        <v>0.29533333333333328</v>
      </c>
      <c r="AG85" s="11" t="s">
        <v>85</v>
      </c>
      <c r="AH85" s="30"/>
    </row>
    <row r="86" spans="1:34" x14ac:dyDescent="0.35">
      <c r="A86" s="26">
        <v>82</v>
      </c>
      <c r="B86" s="6">
        <v>11008</v>
      </c>
      <c r="C86" s="6" t="s">
        <v>396</v>
      </c>
      <c r="D86" s="6" t="s">
        <v>397</v>
      </c>
      <c r="E86" s="6" t="s">
        <v>291</v>
      </c>
      <c r="F86" s="6" t="s">
        <v>292</v>
      </c>
      <c r="G86" s="6" t="s">
        <v>315</v>
      </c>
      <c r="H86" s="6" t="s">
        <v>180</v>
      </c>
      <c r="I86" s="6" t="s">
        <v>181</v>
      </c>
      <c r="J86" s="6" t="s">
        <v>182</v>
      </c>
      <c r="K86" s="6" t="s">
        <v>277</v>
      </c>
      <c r="L86" s="6"/>
      <c r="M86" s="6" t="s">
        <v>181</v>
      </c>
      <c r="N86" s="27">
        <v>0.13541666666666671</v>
      </c>
      <c r="O86" s="27">
        <v>1.666666666666667E-2</v>
      </c>
      <c r="P86" s="27">
        <v>0</v>
      </c>
      <c r="Q86" s="27">
        <v>0.15208333333333329</v>
      </c>
      <c r="R86" s="28">
        <v>0.52054794520547942</v>
      </c>
      <c r="S86" s="27">
        <v>7.6041666666666674E-2</v>
      </c>
      <c r="T86" s="27">
        <v>7.6041666666666674E-2</v>
      </c>
      <c r="U86" s="26">
        <v>1</v>
      </c>
      <c r="AA86" s="29">
        <f t="shared" si="12"/>
        <v>0.13541666666666671</v>
      </c>
      <c r="AB86" s="29">
        <f t="shared" si="13"/>
        <v>1.666666666666667E-2</v>
      </c>
      <c r="AC86" s="29">
        <f t="shared" si="14"/>
        <v>0</v>
      </c>
      <c r="AD86" s="29">
        <f t="shared" si="15"/>
        <v>0.15208333333333329</v>
      </c>
      <c r="AE86" s="14">
        <f t="shared" si="16"/>
        <v>0.52054794520547942</v>
      </c>
      <c r="AF86" s="29">
        <f t="shared" si="17"/>
        <v>7.9166666666666635E-2</v>
      </c>
      <c r="AG86" s="11" t="s">
        <v>85</v>
      </c>
      <c r="AH86" s="30"/>
    </row>
    <row r="87" spans="1:34" x14ac:dyDescent="0.35">
      <c r="A87" s="26">
        <v>83</v>
      </c>
      <c r="B87" s="6">
        <v>11010</v>
      </c>
      <c r="C87" s="6" t="s">
        <v>398</v>
      </c>
      <c r="D87" s="6" t="s">
        <v>399</v>
      </c>
      <c r="E87" s="6" t="s">
        <v>265</v>
      </c>
      <c r="F87" s="6" t="s">
        <v>178</v>
      </c>
      <c r="G87" s="6" t="s">
        <v>266</v>
      </c>
      <c r="H87" s="6" t="s">
        <v>180</v>
      </c>
      <c r="I87" s="6" t="s">
        <v>181</v>
      </c>
      <c r="J87" s="6" t="s">
        <v>182</v>
      </c>
      <c r="K87" s="6" t="s">
        <v>400</v>
      </c>
      <c r="L87" s="6" t="s">
        <v>280</v>
      </c>
      <c r="M87" s="6" t="s">
        <v>181</v>
      </c>
      <c r="N87" s="27">
        <v>1.2583333333333331</v>
      </c>
      <c r="O87" s="27">
        <v>2.9166666666666671E-2</v>
      </c>
      <c r="P87" s="27">
        <v>0.5</v>
      </c>
      <c r="Q87" s="27">
        <v>1.7875000000000001</v>
      </c>
      <c r="R87" s="28">
        <v>0.55710955710955723</v>
      </c>
      <c r="S87" s="27">
        <v>0.89374999999999982</v>
      </c>
      <c r="T87" s="27">
        <v>0.89374999999999982</v>
      </c>
      <c r="U87" s="26">
        <v>1</v>
      </c>
      <c r="AA87" s="29">
        <f t="shared" si="12"/>
        <v>1.2583333333333331</v>
      </c>
      <c r="AB87" s="29">
        <f t="shared" si="13"/>
        <v>2.9166666666666671E-2</v>
      </c>
      <c r="AC87" s="29">
        <f t="shared" si="14"/>
        <v>0.5</v>
      </c>
      <c r="AD87" s="29">
        <f t="shared" si="15"/>
        <v>1.7875000000000001</v>
      </c>
      <c r="AE87" s="14">
        <f t="shared" si="16"/>
        <v>0.55710955710955723</v>
      </c>
      <c r="AF87" s="29">
        <f t="shared" si="17"/>
        <v>0.99583333333333357</v>
      </c>
      <c r="AG87" s="11" t="s">
        <v>85</v>
      </c>
      <c r="AH87" s="30"/>
    </row>
    <row r="88" spans="1:34" x14ac:dyDescent="0.35">
      <c r="A88" s="26">
        <v>84</v>
      </c>
      <c r="B88" s="6">
        <v>11011</v>
      </c>
      <c r="C88" s="6" t="s">
        <v>401</v>
      </c>
      <c r="D88" s="6" t="s">
        <v>402</v>
      </c>
      <c r="E88" s="6" t="s">
        <v>265</v>
      </c>
      <c r="F88" s="6" t="s">
        <v>178</v>
      </c>
      <c r="G88" s="6" t="s">
        <v>266</v>
      </c>
      <c r="H88" s="6" t="s">
        <v>180</v>
      </c>
      <c r="I88" s="6" t="s">
        <v>181</v>
      </c>
      <c r="J88" s="6" t="s">
        <v>182</v>
      </c>
      <c r="K88" s="6" t="s">
        <v>277</v>
      </c>
      <c r="L88" s="6"/>
      <c r="M88" s="6" t="s">
        <v>181</v>
      </c>
      <c r="N88" s="27">
        <v>6.0791666666666666</v>
      </c>
      <c r="O88" s="27">
        <v>1.0708333333333331</v>
      </c>
      <c r="P88" s="27">
        <v>0</v>
      </c>
      <c r="Q88" s="27">
        <v>7.15</v>
      </c>
      <c r="R88" s="28">
        <v>0.90384615384615385</v>
      </c>
      <c r="S88" s="27">
        <v>3.5750000000000002</v>
      </c>
      <c r="T88" s="27">
        <v>3.5750000000000002</v>
      </c>
      <c r="U88" s="26">
        <v>1</v>
      </c>
      <c r="AA88" s="29">
        <f t="shared" si="12"/>
        <v>6.0791666666666666</v>
      </c>
      <c r="AB88" s="29">
        <f t="shared" si="13"/>
        <v>1.0708333333333331</v>
      </c>
      <c r="AC88" s="29">
        <f t="shared" si="14"/>
        <v>0</v>
      </c>
      <c r="AD88" s="29">
        <f t="shared" si="15"/>
        <v>7.15</v>
      </c>
      <c r="AE88" s="14">
        <f t="shared" si="16"/>
        <v>0.90384615384615385</v>
      </c>
      <c r="AF88" s="29">
        <f t="shared" si="17"/>
        <v>6.4625000000000004</v>
      </c>
      <c r="AG88" s="11" t="s">
        <v>85</v>
      </c>
      <c r="AH88" s="30"/>
    </row>
    <row r="89" spans="1:34" x14ac:dyDescent="0.35">
      <c r="A89" s="26">
        <v>85</v>
      </c>
      <c r="B89" s="6">
        <v>11012</v>
      </c>
      <c r="C89" s="6" t="s">
        <v>403</v>
      </c>
      <c r="D89" s="6" t="s">
        <v>404</v>
      </c>
      <c r="E89" s="6" t="s">
        <v>251</v>
      </c>
      <c r="F89" s="6" t="s">
        <v>241</v>
      </c>
      <c r="G89" s="6" t="s">
        <v>252</v>
      </c>
      <c r="H89" s="6" t="s">
        <v>180</v>
      </c>
      <c r="I89" s="6" t="s">
        <v>181</v>
      </c>
      <c r="J89" s="6" t="s">
        <v>182</v>
      </c>
      <c r="K89" s="6" t="s">
        <v>277</v>
      </c>
      <c r="L89" s="6"/>
      <c r="M89" s="6" t="s">
        <v>181</v>
      </c>
      <c r="N89" s="27">
        <v>1.652333333333333</v>
      </c>
      <c r="O89" s="27">
        <v>0.29166666666666669</v>
      </c>
      <c r="P89" s="27">
        <v>0</v>
      </c>
      <c r="Q89" s="27">
        <v>1.944</v>
      </c>
      <c r="R89" s="28">
        <v>0.83217592592592593</v>
      </c>
      <c r="S89" s="27">
        <v>0.97200000000000009</v>
      </c>
      <c r="T89" s="27">
        <v>0.97200000000000009</v>
      </c>
      <c r="U89" s="26">
        <v>1</v>
      </c>
      <c r="AA89" s="29">
        <f t="shared" si="12"/>
        <v>1.652333333333333</v>
      </c>
      <c r="AB89" s="29">
        <f t="shared" si="13"/>
        <v>0.29166666666666669</v>
      </c>
      <c r="AC89" s="29">
        <f t="shared" si="14"/>
        <v>0</v>
      </c>
      <c r="AD89" s="29">
        <f t="shared" si="15"/>
        <v>1.944</v>
      </c>
      <c r="AE89" s="14">
        <f t="shared" si="16"/>
        <v>0.83217592592592593</v>
      </c>
      <c r="AF89" s="29">
        <f t="shared" si="17"/>
        <v>1.61775</v>
      </c>
      <c r="AG89" s="11" t="s">
        <v>85</v>
      </c>
      <c r="AH89" s="30"/>
    </row>
    <row r="90" spans="1:34" x14ac:dyDescent="0.35">
      <c r="A90" s="26">
        <v>86</v>
      </c>
      <c r="B90" s="6">
        <v>11014</v>
      </c>
      <c r="C90" s="6" t="s">
        <v>405</v>
      </c>
      <c r="D90" s="6" t="s">
        <v>406</v>
      </c>
      <c r="E90" s="6" t="s">
        <v>67</v>
      </c>
      <c r="F90" s="6" t="s">
        <v>344</v>
      </c>
      <c r="G90" s="6" t="s">
        <v>344</v>
      </c>
      <c r="H90" s="6" t="s">
        <v>235</v>
      </c>
      <c r="I90" s="6" t="s">
        <v>181</v>
      </c>
      <c r="J90" s="6" t="s">
        <v>182</v>
      </c>
      <c r="K90" s="6" t="s">
        <v>407</v>
      </c>
      <c r="L90" s="6"/>
      <c r="M90" s="6" t="s">
        <v>189</v>
      </c>
      <c r="N90" s="27">
        <v>29.097916666666659</v>
      </c>
      <c r="O90" s="27">
        <v>6.8250000000000011</v>
      </c>
      <c r="P90" s="27">
        <v>6.8500000000000014</v>
      </c>
      <c r="Q90" s="27">
        <v>42.772916666666667</v>
      </c>
      <c r="R90" s="28">
        <v>0.88284058253372955</v>
      </c>
      <c r="S90" s="27">
        <v>21.38645833333333</v>
      </c>
      <c r="T90" s="27">
        <v>21.38645833333333</v>
      </c>
      <c r="U90" s="26">
        <v>1</v>
      </c>
      <c r="AA90" s="29">
        <f t="shared" si="12"/>
        <v>29.097916666666659</v>
      </c>
      <c r="AB90" s="29">
        <f t="shared" si="13"/>
        <v>6.8250000000000011</v>
      </c>
      <c r="AC90" s="29">
        <f t="shared" si="14"/>
        <v>6.8500000000000014</v>
      </c>
      <c r="AD90" s="29">
        <f t="shared" si="15"/>
        <v>42.772916666666667</v>
      </c>
      <c r="AE90" s="14">
        <f t="shared" si="16"/>
        <v>0.88284058253372955</v>
      </c>
      <c r="AF90" s="29">
        <f t="shared" si="17"/>
        <v>37.76166666666667</v>
      </c>
      <c r="AG90" s="11" t="s">
        <v>87</v>
      </c>
      <c r="AH90" s="30" t="s">
        <v>347</v>
      </c>
    </row>
    <row r="91" spans="1:34" x14ac:dyDescent="0.35">
      <c r="A91" s="26">
        <v>87</v>
      </c>
      <c r="B91" s="6">
        <v>11203</v>
      </c>
      <c r="C91" s="6" t="s">
        <v>408</v>
      </c>
      <c r="D91" s="6" t="s">
        <v>409</v>
      </c>
      <c r="E91" s="6" t="s">
        <v>301</v>
      </c>
      <c r="F91" s="6" t="s">
        <v>292</v>
      </c>
      <c r="G91" s="6" t="s">
        <v>302</v>
      </c>
      <c r="H91" s="6" t="s">
        <v>180</v>
      </c>
      <c r="I91" s="6" t="s">
        <v>181</v>
      </c>
      <c r="J91" s="6" t="s">
        <v>374</v>
      </c>
      <c r="K91" s="6" t="s">
        <v>410</v>
      </c>
      <c r="L91" s="6" t="s">
        <v>184</v>
      </c>
      <c r="M91" s="6" t="s">
        <v>189</v>
      </c>
      <c r="N91" s="27">
        <v>20.833333333333329</v>
      </c>
      <c r="O91" s="27">
        <v>10.00416666666667</v>
      </c>
      <c r="P91" s="27">
        <v>12.725</v>
      </c>
      <c r="Q91" s="27">
        <v>43.5625</v>
      </c>
      <c r="R91" s="28">
        <v>0.86915351506456251</v>
      </c>
      <c r="S91" s="27">
        <v>21.78125</v>
      </c>
      <c r="T91" s="27">
        <v>21.78125</v>
      </c>
      <c r="U91" s="26">
        <v>1</v>
      </c>
      <c r="AA91" s="29">
        <f t="shared" si="12"/>
        <v>20.833333333333329</v>
      </c>
      <c r="AB91" s="29">
        <f t="shared" si="13"/>
        <v>10.00416666666667</v>
      </c>
      <c r="AC91" s="29">
        <f t="shared" si="14"/>
        <v>12.725</v>
      </c>
      <c r="AD91" s="29">
        <f t="shared" si="15"/>
        <v>43.5625</v>
      </c>
      <c r="AE91" s="14">
        <f t="shared" si="16"/>
        <v>0.86915351506456251</v>
      </c>
      <c r="AF91" s="29">
        <f t="shared" si="17"/>
        <v>37.862500000000004</v>
      </c>
      <c r="AG91" s="11" t="s">
        <v>87</v>
      </c>
      <c r="AH91" s="30"/>
    </row>
    <row r="92" spans="1:34" x14ac:dyDescent="0.35">
      <c r="A92" s="26">
        <v>88</v>
      </c>
      <c r="B92" s="6">
        <v>11288</v>
      </c>
      <c r="C92" s="6" t="s">
        <v>411</v>
      </c>
      <c r="D92" s="6" t="s">
        <v>412</v>
      </c>
      <c r="E92" s="6" t="s">
        <v>265</v>
      </c>
      <c r="F92" s="6" t="s">
        <v>178</v>
      </c>
      <c r="G92" s="6" t="s">
        <v>266</v>
      </c>
      <c r="H92" s="6" t="s">
        <v>180</v>
      </c>
      <c r="I92" s="6" t="s">
        <v>181</v>
      </c>
      <c r="J92" s="6" t="s">
        <v>182</v>
      </c>
      <c r="K92" s="6" t="s">
        <v>258</v>
      </c>
      <c r="L92" s="6"/>
      <c r="M92" s="6" t="s">
        <v>181</v>
      </c>
      <c r="N92" s="27">
        <v>9.166666666666666E-2</v>
      </c>
      <c r="O92" s="27">
        <v>0</v>
      </c>
      <c r="P92" s="27">
        <v>0</v>
      </c>
      <c r="Q92" s="27">
        <v>9.166666666666666E-2</v>
      </c>
      <c r="R92" s="28">
        <v>0.27272727272727271</v>
      </c>
      <c r="S92" s="27">
        <v>4.583333333333333E-2</v>
      </c>
      <c r="T92" s="27">
        <v>4.583333333333333E-2</v>
      </c>
      <c r="U92" s="26">
        <v>1</v>
      </c>
      <c r="AA92" s="29">
        <f t="shared" si="12"/>
        <v>9.166666666666666E-2</v>
      </c>
      <c r="AB92" s="29">
        <f t="shared" si="13"/>
        <v>0</v>
      </c>
      <c r="AC92" s="29">
        <f t="shared" si="14"/>
        <v>0</v>
      </c>
      <c r="AD92" s="29">
        <f t="shared" si="15"/>
        <v>9.166666666666666E-2</v>
      </c>
      <c r="AE92" s="14">
        <f t="shared" si="16"/>
        <v>0.27272727272727271</v>
      </c>
      <c r="AF92" s="29">
        <f t="shared" si="17"/>
        <v>2.4999999999999998E-2</v>
      </c>
      <c r="AG92" s="11" t="s">
        <v>85</v>
      </c>
      <c r="AH92" s="30"/>
    </row>
    <row r="93" spans="1:34" x14ac:dyDescent="0.35">
      <c r="A93" s="26">
        <v>89</v>
      </c>
      <c r="B93" s="6">
        <v>11308</v>
      </c>
      <c r="C93" s="6" t="s">
        <v>413</v>
      </c>
      <c r="D93" s="6" t="s">
        <v>414</v>
      </c>
      <c r="E93" s="6" t="s">
        <v>265</v>
      </c>
      <c r="F93" s="6" t="s">
        <v>178</v>
      </c>
      <c r="G93" s="6" t="s">
        <v>266</v>
      </c>
      <c r="H93" s="6" t="s">
        <v>180</v>
      </c>
      <c r="I93" s="6" t="s">
        <v>181</v>
      </c>
      <c r="J93" s="6" t="s">
        <v>182</v>
      </c>
      <c r="K93" s="6" t="s">
        <v>277</v>
      </c>
      <c r="L93" s="6"/>
      <c r="M93" s="6" t="s">
        <v>181</v>
      </c>
      <c r="N93" s="27">
        <v>0.48125000000000001</v>
      </c>
      <c r="O93" s="27">
        <v>6.25E-2</v>
      </c>
      <c r="P93" s="27">
        <v>0</v>
      </c>
      <c r="Q93" s="27">
        <v>0.54374999999999996</v>
      </c>
      <c r="R93" s="28">
        <v>0.37931034482758619</v>
      </c>
      <c r="S93" s="27">
        <v>0.27187499999999998</v>
      </c>
      <c r="T93" s="27">
        <v>0.27187499999999998</v>
      </c>
      <c r="U93" s="26">
        <v>1</v>
      </c>
      <c r="AA93" s="29">
        <f t="shared" si="12"/>
        <v>0.48125000000000001</v>
      </c>
      <c r="AB93" s="29">
        <f t="shared" si="13"/>
        <v>6.25E-2</v>
      </c>
      <c r="AC93" s="29">
        <f t="shared" si="14"/>
        <v>0</v>
      </c>
      <c r="AD93" s="29">
        <f t="shared" si="15"/>
        <v>0.54374999999999996</v>
      </c>
      <c r="AE93" s="14">
        <f t="shared" si="16"/>
        <v>0.37931034482758619</v>
      </c>
      <c r="AF93" s="29">
        <f t="shared" si="17"/>
        <v>0.20624999999999996</v>
      </c>
      <c r="AG93" s="11" t="s">
        <v>85</v>
      </c>
      <c r="AH93" s="30"/>
    </row>
    <row r="94" spans="1:34" x14ac:dyDescent="0.35">
      <c r="A94" s="26">
        <v>90</v>
      </c>
      <c r="B94" s="6">
        <v>11604</v>
      </c>
      <c r="C94" s="6" t="s">
        <v>415</v>
      </c>
      <c r="D94" s="6" t="s">
        <v>416</v>
      </c>
      <c r="E94" s="6" t="s">
        <v>246</v>
      </c>
      <c r="F94" s="6" t="s">
        <v>241</v>
      </c>
      <c r="G94" s="6" t="s">
        <v>247</v>
      </c>
      <c r="H94" s="6" t="s">
        <v>235</v>
      </c>
      <c r="I94" s="6" t="s">
        <v>181</v>
      </c>
      <c r="J94" s="6" t="s">
        <v>182</v>
      </c>
      <c r="K94" s="6" t="s">
        <v>417</v>
      </c>
      <c r="L94" s="6"/>
      <c r="M94" s="6" t="s">
        <v>181</v>
      </c>
      <c r="N94" s="27">
        <v>5.6624583333333343</v>
      </c>
      <c r="O94" s="27">
        <v>4.0750000000000002</v>
      </c>
      <c r="P94" s="27">
        <v>0</v>
      </c>
      <c r="Q94" s="27">
        <v>9.7374583333333344</v>
      </c>
      <c r="R94" s="28">
        <v>0.89730379676421379</v>
      </c>
      <c r="S94" s="27">
        <v>4.8687291666666672</v>
      </c>
      <c r="T94" s="27">
        <v>4.8687291666666672</v>
      </c>
      <c r="U94" s="26">
        <v>1</v>
      </c>
      <c r="AA94" s="29">
        <f t="shared" si="12"/>
        <v>5.6624583333333343</v>
      </c>
      <c r="AB94" s="29">
        <f t="shared" si="13"/>
        <v>4.0750000000000002</v>
      </c>
      <c r="AC94" s="29">
        <f t="shared" si="14"/>
        <v>0</v>
      </c>
      <c r="AD94" s="29">
        <f t="shared" si="15"/>
        <v>9.7374583333333344</v>
      </c>
      <c r="AE94" s="14">
        <f t="shared" si="16"/>
        <v>0.89730379676421379</v>
      </c>
      <c r="AF94" s="29">
        <f t="shared" si="17"/>
        <v>8.7374583333333344</v>
      </c>
      <c r="AG94" s="11" t="s">
        <v>85</v>
      </c>
      <c r="AH94" s="30"/>
    </row>
    <row r="95" spans="1:34" x14ac:dyDescent="0.35">
      <c r="A95" s="26">
        <v>91</v>
      </c>
      <c r="B95" s="6">
        <v>11893</v>
      </c>
      <c r="C95" s="6" t="s">
        <v>418</v>
      </c>
      <c r="D95" s="6" t="s">
        <v>419</v>
      </c>
      <c r="E95" s="6" t="s">
        <v>246</v>
      </c>
      <c r="F95" s="6" t="s">
        <v>241</v>
      </c>
      <c r="G95" s="6" t="s">
        <v>247</v>
      </c>
      <c r="H95" s="6" t="s">
        <v>180</v>
      </c>
      <c r="I95" s="6" t="s">
        <v>181</v>
      </c>
      <c r="J95" s="6" t="s">
        <v>182</v>
      </c>
      <c r="K95" s="6" t="s">
        <v>277</v>
      </c>
      <c r="L95" s="6" t="s">
        <v>280</v>
      </c>
      <c r="M95" s="6" t="s">
        <v>181</v>
      </c>
      <c r="N95" s="27">
        <v>0.2</v>
      </c>
      <c r="O95" s="27">
        <v>0.2</v>
      </c>
      <c r="P95" s="27">
        <v>0</v>
      </c>
      <c r="Q95" s="27">
        <v>0.35416666666666669</v>
      </c>
      <c r="R95" s="28">
        <v>0.56470588235294117</v>
      </c>
      <c r="S95" s="27">
        <v>0.17708333333333329</v>
      </c>
      <c r="T95" s="27">
        <v>0.17708333333333329</v>
      </c>
      <c r="U95" s="26">
        <v>1</v>
      </c>
      <c r="AA95" s="29">
        <f t="shared" si="12"/>
        <v>0.2</v>
      </c>
      <c r="AB95" s="29">
        <f t="shared" si="13"/>
        <v>0.2</v>
      </c>
      <c r="AC95" s="29">
        <f t="shared" si="14"/>
        <v>0</v>
      </c>
      <c r="AD95" s="29">
        <f t="shared" si="15"/>
        <v>0.35416666666666669</v>
      </c>
      <c r="AE95" s="14">
        <f t="shared" si="16"/>
        <v>0.56470588235294117</v>
      </c>
      <c r="AF95" s="29">
        <f t="shared" si="17"/>
        <v>0.2</v>
      </c>
      <c r="AG95" s="11" t="s">
        <v>85</v>
      </c>
      <c r="AH95" s="30"/>
    </row>
    <row r="96" spans="1:34" x14ac:dyDescent="0.35">
      <c r="A96" s="26">
        <v>92</v>
      </c>
      <c r="B96" s="6">
        <v>11986</v>
      </c>
      <c r="C96" s="6" t="s">
        <v>420</v>
      </c>
      <c r="D96" s="6" t="s">
        <v>421</v>
      </c>
      <c r="E96" s="6" t="s">
        <v>301</v>
      </c>
      <c r="F96" s="6" t="s">
        <v>292</v>
      </c>
      <c r="G96" s="6" t="s">
        <v>329</v>
      </c>
      <c r="H96" s="6" t="s">
        <v>235</v>
      </c>
      <c r="I96" s="6" t="s">
        <v>181</v>
      </c>
      <c r="J96" s="6" t="s">
        <v>182</v>
      </c>
      <c r="K96" s="6" t="s">
        <v>277</v>
      </c>
      <c r="L96" s="6" t="s">
        <v>422</v>
      </c>
      <c r="M96" s="6" t="s">
        <v>181</v>
      </c>
      <c r="N96" s="27">
        <v>6</v>
      </c>
      <c r="O96" s="27">
        <v>6</v>
      </c>
      <c r="P96" s="27">
        <v>3</v>
      </c>
      <c r="Q96" s="27">
        <v>15</v>
      </c>
      <c r="R96" s="28">
        <v>1</v>
      </c>
      <c r="S96" s="27">
        <v>7.5</v>
      </c>
      <c r="T96" s="27">
        <v>7.5</v>
      </c>
      <c r="U96" s="26">
        <v>1</v>
      </c>
      <c r="AA96" s="29">
        <f t="shared" si="12"/>
        <v>6</v>
      </c>
      <c r="AB96" s="29">
        <f t="shared" si="13"/>
        <v>6</v>
      </c>
      <c r="AC96" s="29">
        <f t="shared" si="14"/>
        <v>3</v>
      </c>
      <c r="AD96" s="29">
        <f t="shared" si="15"/>
        <v>15</v>
      </c>
      <c r="AE96" s="14">
        <f t="shared" si="16"/>
        <v>1</v>
      </c>
      <c r="AF96" s="29">
        <f t="shared" si="17"/>
        <v>15</v>
      </c>
      <c r="AG96" s="11" t="s">
        <v>85</v>
      </c>
      <c r="AH96" s="30"/>
    </row>
    <row r="97" spans="1:34" x14ac:dyDescent="0.35">
      <c r="A97" s="26">
        <v>93</v>
      </c>
      <c r="B97" s="6">
        <v>12021</v>
      </c>
      <c r="C97" s="6" t="s">
        <v>423</v>
      </c>
      <c r="D97" s="6" t="s">
        <v>424</v>
      </c>
      <c r="E97" s="6" t="s">
        <v>291</v>
      </c>
      <c r="F97" s="6" t="s">
        <v>292</v>
      </c>
      <c r="G97" s="6" t="s">
        <v>315</v>
      </c>
      <c r="H97" s="6" t="s">
        <v>180</v>
      </c>
      <c r="I97" s="6" t="s">
        <v>181</v>
      </c>
      <c r="J97" s="6" t="s">
        <v>182</v>
      </c>
      <c r="K97" s="6" t="s">
        <v>425</v>
      </c>
      <c r="L97" s="6"/>
      <c r="M97" s="6" t="s">
        <v>181</v>
      </c>
      <c r="N97" s="27">
        <v>0</v>
      </c>
      <c r="O97" s="27">
        <v>0</v>
      </c>
      <c r="P97" s="27">
        <v>0</v>
      </c>
      <c r="Q97" s="27">
        <v>0</v>
      </c>
      <c r="R97" s="28">
        <v>0</v>
      </c>
      <c r="S97" s="27"/>
      <c r="T97" s="27"/>
      <c r="U97" s="26">
        <v>1</v>
      </c>
      <c r="AA97" s="29">
        <f t="shared" si="12"/>
        <v>0</v>
      </c>
      <c r="AB97" s="29">
        <f t="shared" si="13"/>
        <v>0</v>
      </c>
      <c r="AC97" s="29">
        <f t="shared" si="14"/>
        <v>0</v>
      </c>
      <c r="AD97" s="29">
        <f t="shared" si="15"/>
        <v>0</v>
      </c>
      <c r="AE97" s="14">
        <f t="shared" si="16"/>
        <v>0</v>
      </c>
      <c r="AF97" s="29">
        <f t="shared" si="17"/>
        <v>0</v>
      </c>
      <c r="AG97" s="11" t="s">
        <v>85</v>
      </c>
      <c r="AH97" s="30"/>
    </row>
    <row r="98" spans="1:34" x14ac:dyDescent="0.35">
      <c r="A98" s="26">
        <v>94</v>
      </c>
      <c r="B98" s="6">
        <v>12030</v>
      </c>
      <c r="C98" s="6" t="s">
        <v>426</v>
      </c>
      <c r="D98" s="6" t="s">
        <v>427</v>
      </c>
      <c r="E98" s="6" t="s">
        <v>291</v>
      </c>
      <c r="F98" s="6" t="s">
        <v>292</v>
      </c>
      <c r="G98" s="6" t="s">
        <v>315</v>
      </c>
      <c r="H98" s="6" t="s">
        <v>180</v>
      </c>
      <c r="I98" s="6" t="s">
        <v>181</v>
      </c>
      <c r="J98" s="6" t="s">
        <v>182</v>
      </c>
      <c r="K98" s="6" t="s">
        <v>277</v>
      </c>
      <c r="L98" s="6"/>
      <c r="M98" s="6" t="s">
        <v>181</v>
      </c>
      <c r="N98" s="27">
        <v>0</v>
      </c>
      <c r="O98" s="27">
        <v>0</v>
      </c>
      <c r="P98" s="27">
        <v>0</v>
      </c>
      <c r="Q98" s="27">
        <v>0</v>
      </c>
      <c r="R98" s="28">
        <v>0</v>
      </c>
      <c r="S98" s="27"/>
      <c r="T98" s="27"/>
      <c r="U98" s="26">
        <v>1</v>
      </c>
      <c r="AA98" s="29">
        <f t="shared" si="12"/>
        <v>0</v>
      </c>
      <c r="AB98" s="29">
        <f t="shared" si="13"/>
        <v>0</v>
      </c>
      <c r="AC98" s="29">
        <f t="shared" si="14"/>
        <v>0</v>
      </c>
      <c r="AD98" s="29">
        <f t="shared" si="15"/>
        <v>0</v>
      </c>
      <c r="AE98" s="14">
        <f t="shared" si="16"/>
        <v>0</v>
      </c>
      <c r="AF98" s="29">
        <f t="shared" si="17"/>
        <v>0</v>
      </c>
      <c r="AG98" s="11" t="s">
        <v>85</v>
      </c>
      <c r="AH98" s="30"/>
    </row>
    <row r="99" spans="1:34" x14ac:dyDescent="0.35">
      <c r="A99" s="26">
        <v>95</v>
      </c>
      <c r="B99" s="6">
        <v>12038</v>
      </c>
      <c r="C99" s="6" t="s">
        <v>428</v>
      </c>
      <c r="D99" s="6" t="s">
        <v>429</v>
      </c>
      <c r="E99" s="6" t="s">
        <v>320</v>
      </c>
      <c r="F99" s="6" t="s">
        <v>321</v>
      </c>
      <c r="G99" s="6" t="s">
        <v>321</v>
      </c>
      <c r="H99" s="6" t="s">
        <v>235</v>
      </c>
      <c r="I99" s="6" t="s">
        <v>181</v>
      </c>
      <c r="J99" s="6" t="s">
        <v>182</v>
      </c>
      <c r="K99" s="6" t="s">
        <v>277</v>
      </c>
      <c r="L99" s="6" t="s">
        <v>280</v>
      </c>
      <c r="M99" s="6" t="s">
        <v>181</v>
      </c>
      <c r="N99" s="27">
        <v>19.24666666666667</v>
      </c>
      <c r="O99" s="27">
        <v>4.1333333333333329</v>
      </c>
      <c r="P99" s="27">
        <v>16.91041666666667</v>
      </c>
      <c r="Q99" s="27">
        <v>40.290416666666673</v>
      </c>
      <c r="R99" s="28">
        <v>0.94847823613969406</v>
      </c>
      <c r="S99" s="27">
        <v>20.145208333333329</v>
      </c>
      <c r="T99" s="27">
        <v>20.145208333333329</v>
      </c>
      <c r="U99" s="26">
        <v>1</v>
      </c>
      <c r="AA99" s="29">
        <f t="shared" si="12"/>
        <v>19.24666666666667</v>
      </c>
      <c r="AB99" s="29">
        <f t="shared" si="13"/>
        <v>4.1333333333333329</v>
      </c>
      <c r="AC99" s="29">
        <f t="shared" si="14"/>
        <v>16.91041666666667</v>
      </c>
      <c r="AD99" s="29">
        <f t="shared" si="15"/>
        <v>40.290416666666673</v>
      </c>
      <c r="AE99" s="14">
        <f t="shared" si="16"/>
        <v>0.94847823613969406</v>
      </c>
      <c r="AF99" s="29">
        <f t="shared" si="17"/>
        <v>38.214583333333337</v>
      </c>
      <c r="AG99" s="11" t="s">
        <v>85</v>
      </c>
      <c r="AH99" s="30"/>
    </row>
    <row r="100" spans="1:34" x14ac:dyDescent="0.35">
      <c r="A100" s="26">
        <v>96</v>
      </c>
      <c r="B100" s="6">
        <v>12117</v>
      </c>
      <c r="C100" s="6" t="s">
        <v>430</v>
      </c>
      <c r="D100" s="6" t="s">
        <v>431</v>
      </c>
      <c r="E100" s="6" t="s">
        <v>246</v>
      </c>
      <c r="F100" s="6" t="s">
        <v>241</v>
      </c>
      <c r="G100" s="6" t="s">
        <v>247</v>
      </c>
      <c r="H100" s="6" t="s">
        <v>180</v>
      </c>
      <c r="I100" s="6" t="s">
        <v>189</v>
      </c>
      <c r="J100" s="6" t="s">
        <v>182</v>
      </c>
      <c r="K100" s="6" t="s">
        <v>248</v>
      </c>
      <c r="L100" s="6"/>
      <c r="M100" s="6" t="s">
        <v>181</v>
      </c>
      <c r="N100" s="27">
        <v>6</v>
      </c>
      <c r="O100" s="27">
        <v>15.5375</v>
      </c>
      <c r="P100" s="27">
        <v>11</v>
      </c>
      <c r="Q100" s="27">
        <v>62.64237500000003</v>
      </c>
      <c r="R100" s="28">
        <v>0.8631983009371319</v>
      </c>
      <c r="S100" s="27">
        <v>31.321187500000011</v>
      </c>
      <c r="T100" s="27">
        <v>31.321187500000011</v>
      </c>
      <c r="U100" s="26">
        <v>1</v>
      </c>
      <c r="AA100" s="29">
        <f t="shared" si="12"/>
        <v>6</v>
      </c>
      <c r="AB100" s="29">
        <f t="shared" si="13"/>
        <v>15.5375</v>
      </c>
      <c r="AC100" s="29">
        <f t="shared" si="14"/>
        <v>11</v>
      </c>
      <c r="AD100" s="29">
        <f t="shared" si="15"/>
        <v>62.64237500000003</v>
      </c>
      <c r="AE100" s="14">
        <f t="shared" si="16"/>
        <v>0.8631983009371319</v>
      </c>
      <c r="AF100" s="29">
        <f t="shared" si="17"/>
        <v>54.072791666666696</v>
      </c>
      <c r="AG100" s="11" t="s">
        <v>85</v>
      </c>
      <c r="AH100" s="30"/>
    </row>
    <row r="101" spans="1:34" x14ac:dyDescent="0.35">
      <c r="A101" s="26">
        <v>97</v>
      </c>
      <c r="B101" s="6">
        <v>12198</v>
      </c>
      <c r="C101" s="6" t="s">
        <v>432</v>
      </c>
      <c r="D101" s="6" t="s">
        <v>433</v>
      </c>
      <c r="E101" s="6" t="s">
        <v>246</v>
      </c>
      <c r="F101" s="6" t="s">
        <v>241</v>
      </c>
      <c r="G101" s="6" t="s">
        <v>247</v>
      </c>
      <c r="H101" s="6" t="s">
        <v>235</v>
      </c>
      <c r="I101" s="6" t="s">
        <v>181</v>
      </c>
      <c r="J101" s="6" t="s">
        <v>182</v>
      </c>
      <c r="K101" s="6" t="s">
        <v>434</v>
      </c>
      <c r="L101" s="6"/>
      <c r="M101" s="6" t="s">
        <v>181</v>
      </c>
      <c r="N101" s="27">
        <v>1</v>
      </c>
      <c r="O101" s="27">
        <v>2</v>
      </c>
      <c r="P101" s="27">
        <v>0</v>
      </c>
      <c r="Q101" s="27">
        <v>3</v>
      </c>
      <c r="R101" s="28">
        <v>0</v>
      </c>
      <c r="S101" s="27">
        <v>1.5</v>
      </c>
      <c r="T101" s="27">
        <v>1.5</v>
      </c>
      <c r="U101" s="26">
        <v>1</v>
      </c>
      <c r="AA101" s="29">
        <f t="shared" ref="AA101:AA132" si="18">N101</f>
        <v>1</v>
      </c>
      <c r="AB101" s="29">
        <f t="shared" ref="AB101:AB132" si="19">O101</f>
        <v>2</v>
      </c>
      <c r="AC101" s="29">
        <f t="shared" ref="AC101:AC132" si="20">P101</f>
        <v>0</v>
      </c>
      <c r="AD101" s="29">
        <f t="shared" ref="AD101:AD132" si="21">Q101</f>
        <v>3</v>
      </c>
      <c r="AE101" s="14">
        <f t="shared" ref="AE101:AE132" si="22">R101</f>
        <v>0</v>
      </c>
      <c r="AF101" s="29">
        <f t="shared" ref="AF101:AF132" si="23">Q101*R101</f>
        <v>0</v>
      </c>
      <c r="AG101" s="11" t="s">
        <v>85</v>
      </c>
      <c r="AH101" s="30"/>
    </row>
    <row r="102" spans="1:34" x14ac:dyDescent="0.35">
      <c r="A102" s="26">
        <v>98</v>
      </c>
      <c r="B102" s="6">
        <v>12520</v>
      </c>
      <c r="C102" s="6" t="s">
        <v>435</v>
      </c>
      <c r="D102" s="6" t="s">
        <v>436</v>
      </c>
      <c r="E102" s="6" t="s">
        <v>240</v>
      </c>
      <c r="F102" s="6" t="s">
        <v>241</v>
      </c>
      <c r="G102" s="6" t="s">
        <v>242</v>
      </c>
      <c r="H102" s="6" t="s">
        <v>180</v>
      </c>
      <c r="I102" s="6" t="s">
        <v>181</v>
      </c>
      <c r="J102" s="6" t="s">
        <v>182</v>
      </c>
      <c r="K102" s="6" t="s">
        <v>277</v>
      </c>
      <c r="L102" s="6"/>
      <c r="M102" s="6" t="s">
        <v>181</v>
      </c>
      <c r="N102" s="27">
        <v>0.125</v>
      </c>
      <c r="O102" s="27">
        <v>0</v>
      </c>
      <c r="P102" s="27">
        <v>0</v>
      </c>
      <c r="Q102" s="27">
        <v>0.125</v>
      </c>
      <c r="R102" s="28">
        <v>1</v>
      </c>
      <c r="S102" s="27">
        <v>6.25E-2</v>
      </c>
      <c r="T102" s="27">
        <v>6.25E-2</v>
      </c>
      <c r="U102" s="26">
        <v>1</v>
      </c>
      <c r="AA102" s="29">
        <f t="shared" si="18"/>
        <v>0.125</v>
      </c>
      <c r="AB102" s="29">
        <f t="shared" si="19"/>
        <v>0</v>
      </c>
      <c r="AC102" s="29">
        <f t="shared" si="20"/>
        <v>0</v>
      </c>
      <c r="AD102" s="29">
        <f t="shared" si="21"/>
        <v>0.125</v>
      </c>
      <c r="AE102" s="14">
        <f t="shared" si="22"/>
        <v>1</v>
      </c>
      <c r="AF102" s="29">
        <f t="shared" si="23"/>
        <v>0.125</v>
      </c>
      <c r="AG102" s="11" t="s">
        <v>85</v>
      </c>
      <c r="AH102" s="30"/>
    </row>
    <row r="103" spans="1:34" x14ac:dyDescent="0.35">
      <c r="A103" s="26">
        <v>99</v>
      </c>
      <c r="B103" s="6">
        <v>12527</v>
      </c>
      <c r="C103" s="6" t="s">
        <v>437</v>
      </c>
      <c r="D103" s="6" t="s">
        <v>438</v>
      </c>
      <c r="E103" s="6" t="s">
        <v>320</v>
      </c>
      <c r="F103" s="6" t="s">
        <v>321</v>
      </c>
      <c r="G103" s="6" t="s">
        <v>321</v>
      </c>
      <c r="H103" s="6" t="s">
        <v>235</v>
      </c>
      <c r="I103" s="6" t="s">
        <v>181</v>
      </c>
      <c r="J103" s="6" t="s">
        <v>182</v>
      </c>
      <c r="K103" s="6" t="s">
        <v>277</v>
      </c>
      <c r="L103" s="6" t="s">
        <v>280</v>
      </c>
      <c r="M103" s="6" t="s">
        <v>181</v>
      </c>
      <c r="N103" s="27">
        <v>0.1083333333333333</v>
      </c>
      <c r="O103" s="27">
        <v>0</v>
      </c>
      <c r="P103" s="27">
        <v>2.5000000000000001E-2</v>
      </c>
      <c r="Q103" s="27">
        <v>0.1333333333333333</v>
      </c>
      <c r="R103" s="28">
        <v>1</v>
      </c>
      <c r="S103" s="27">
        <v>6.6666666666666666E-2</v>
      </c>
      <c r="T103" s="27">
        <v>6.6666666666666666E-2</v>
      </c>
      <c r="U103" s="26">
        <v>1</v>
      </c>
      <c r="AA103" s="29">
        <f t="shared" si="18"/>
        <v>0.1083333333333333</v>
      </c>
      <c r="AB103" s="29">
        <f t="shared" si="19"/>
        <v>0</v>
      </c>
      <c r="AC103" s="29">
        <f t="shared" si="20"/>
        <v>2.5000000000000001E-2</v>
      </c>
      <c r="AD103" s="29">
        <f t="shared" si="21"/>
        <v>0.1333333333333333</v>
      </c>
      <c r="AE103" s="14">
        <f t="shared" si="22"/>
        <v>1</v>
      </c>
      <c r="AF103" s="29">
        <f t="shared" si="23"/>
        <v>0.1333333333333333</v>
      </c>
      <c r="AG103" s="11" t="s">
        <v>85</v>
      </c>
      <c r="AH103" s="30"/>
    </row>
    <row r="104" spans="1:34" x14ac:dyDescent="0.35">
      <c r="A104" s="26">
        <v>100</v>
      </c>
      <c r="B104" s="6">
        <v>12607</v>
      </c>
      <c r="C104" s="6" t="s">
        <v>439</v>
      </c>
      <c r="D104" s="6" t="s">
        <v>440</v>
      </c>
      <c r="E104" s="6" t="s">
        <v>320</v>
      </c>
      <c r="F104" s="6" t="s">
        <v>321</v>
      </c>
      <c r="G104" s="6" t="s">
        <v>321</v>
      </c>
      <c r="H104" s="6" t="s">
        <v>235</v>
      </c>
      <c r="I104" s="6" t="s">
        <v>181</v>
      </c>
      <c r="J104" s="6" t="s">
        <v>182</v>
      </c>
      <c r="K104" s="6" t="s">
        <v>277</v>
      </c>
      <c r="L104" s="6" t="s">
        <v>280</v>
      </c>
      <c r="M104" s="6" t="s">
        <v>181</v>
      </c>
      <c r="N104" s="27">
        <v>1.3374999999999999</v>
      </c>
      <c r="O104" s="27">
        <v>0</v>
      </c>
      <c r="P104" s="27">
        <v>1</v>
      </c>
      <c r="Q104" s="27">
        <v>2.3374999999999999</v>
      </c>
      <c r="R104" s="28">
        <v>1</v>
      </c>
      <c r="S104" s="27">
        <v>1.16875</v>
      </c>
      <c r="T104" s="27">
        <v>1.16875</v>
      </c>
      <c r="U104" s="26">
        <v>1</v>
      </c>
      <c r="AA104" s="29">
        <f t="shared" si="18"/>
        <v>1.3374999999999999</v>
      </c>
      <c r="AB104" s="29">
        <f t="shared" si="19"/>
        <v>0</v>
      </c>
      <c r="AC104" s="29">
        <f t="shared" si="20"/>
        <v>1</v>
      </c>
      <c r="AD104" s="29">
        <f t="shared" si="21"/>
        <v>2.3374999999999999</v>
      </c>
      <c r="AE104" s="14">
        <f t="shared" si="22"/>
        <v>1</v>
      </c>
      <c r="AF104" s="29">
        <f t="shared" si="23"/>
        <v>2.3374999999999999</v>
      </c>
      <c r="AG104" s="11" t="s">
        <v>85</v>
      </c>
      <c r="AH104" s="30"/>
    </row>
    <row r="105" spans="1:34" x14ac:dyDescent="0.35">
      <c r="A105" s="26">
        <v>101</v>
      </c>
      <c r="B105" s="6">
        <v>12646</v>
      </c>
      <c r="C105" s="6" t="s">
        <v>441</v>
      </c>
      <c r="D105" s="6" t="s">
        <v>442</v>
      </c>
      <c r="E105" s="6" t="s">
        <v>261</v>
      </c>
      <c r="F105" s="6" t="s">
        <v>241</v>
      </c>
      <c r="G105" s="6" t="s">
        <v>262</v>
      </c>
      <c r="H105" s="6" t="s">
        <v>180</v>
      </c>
      <c r="I105" s="6" t="s">
        <v>189</v>
      </c>
      <c r="J105" s="6" t="s">
        <v>374</v>
      </c>
      <c r="K105" s="6" t="s">
        <v>443</v>
      </c>
      <c r="L105" s="6" t="s">
        <v>184</v>
      </c>
      <c r="M105" s="6" t="s">
        <v>181</v>
      </c>
      <c r="N105" s="27">
        <v>9.5833333333333321</v>
      </c>
      <c r="O105" s="27">
        <v>11.3375</v>
      </c>
      <c r="P105" s="27">
        <v>7.0833333333333357</v>
      </c>
      <c r="Q105" s="27">
        <v>28.00416666666667</v>
      </c>
      <c r="R105" s="28">
        <v>0.81223032286862074</v>
      </c>
      <c r="S105" s="27">
        <v>14.00208333333333</v>
      </c>
      <c r="T105" s="27">
        <v>14.00208333333333</v>
      </c>
      <c r="U105" s="26">
        <v>1</v>
      </c>
      <c r="AA105" s="29">
        <f t="shared" si="18"/>
        <v>9.5833333333333321</v>
      </c>
      <c r="AB105" s="29">
        <f t="shared" si="19"/>
        <v>11.3375</v>
      </c>
      <c r="AC105" s="29">
        <f t="shared" si="20"/>
        <v>7.0833333333333357</v>
      </c>
      <c r="AD105" s="29">
        <f t="shared" si="21"/>
        <v>28.00416666666667</v>
      </c>
      <c r="AE105" s="14">
        <f t="shared" si="22"/>
        <v>0.81223032286862074</v>
      </c>
      <c r="AF105" s="29">
        <f t="shared" si="23"/>
        <v>22.745833333333337</v>
      </c>
      <c r="AG105" s="11" t="s">
        <v>83</v>
      </c>
      <c r="AH105" s="30"/>
    </row>
    <row r="106" spans="1:34" x14ac:dyDescent="0.35">
      <c r="A106" s="26">
        <v>102</v>
      </c>
      <c r="B106" s="6">
        <v>12654</v>
      </c>
      <c r="C106" s="6" t="s">
        <v>444</v>
      </c>
      <c r="D106" s="6" t="s">
        <v>445</v>
      </c>
      <c r="E106" s="6" t="s">
        <v>320</v>
      </c>
      <c r="F106" s="6" t="s">
        <v>241</v>
      </c>
      <c r="G106" s="6"/>
      <c r="H106" s="6" t="s">
        <v>446</v>
      </c>
      <c r="I106" s="6" t="s">
        <v>181</v>
      </c>
      <c r="J106" s="6" t="s">
        <v>182</v>
      </c>
      <c r="K106" s="6" t="s">
        <v>447</v>
      </c>
      <c r="L106" s="6"/>
      <c r="M106" s="6" t="s">
        <v>181</v>
      </c>
      <c r="N106" s="27">
        <v>0</v>
      </c>
      <c r="O106" s="27">
        <v>0.25</v>
      </c>
      <c r="P106" s="27">
        <v>0</v>
      </c>
      <c r="Q106" s="27">
        <v>0.25</v>
      </c>
      <c r="R106" s="28">
        <v>1</v>
      </c>
      <c r="S106" s="27">
        <v>0.125</v>
      </c>
      <c r="T106" s="27">
        <v>0.125</v>
      </c>
      <c r="U106" s="26">
        <v>1</v>
      </c>
      <c r="AA106" s="29">
        <f t="shared" si="18"/>
        <v>0</v>
      </c>
      <c r="AB106" s="29">
        <f t="shared" si="19"/>
        <v>0.25</v>
      </c>
      <c r="AC106" s="29">
        <f t="shared" si="20"/>
        <v>0</v>
      </c>
      <c r="AD106" s="29">
        <f t="shared" si="21"/>
        <v>0.25</v>
      </c>
      <c r="AE106" s="14">
        <f t="shared" si="22"/>
        <v>1</v>
      </c>
      <c r="AF106" s="29">
        <f t="shared" si="23"/>
        <v>0.25</v>
      </c>
      <c r="AG106" s="11" t="s">
        <v>85</v>
      </c>
      <c r="AH106" s="30"/>
    </row>
    <row r="107" spans="1:34" x14ac:dyDescent="0.35">
      <c r="A107" s="26">
        <v>103</v>
      </c>
      <c r="B107" s="6">
        <v>12675</v>
      </c>
      <c r="C107" s="6" t="s">
        <v>448</v>
      </c>
      <c r="D107" s="6" t="s">
        <v>449</v>
      </c>
      <c r="E107" s="6" t="s">
        <v>246</v>
      </c>
      <c r="F107" s="6" t="s">
        <v>241</v>
      </c>
      <c r="G107" s="6" t="s">
        <v>247</v>
      </c>
      <c r="H107" s="6" t="s">
        <v>446</v>
      </c>
      <c r="I107" s="6" t="s">
        <v>181</v>
      </c>
      <c r="J107" s="6" t="s">
        <v>182</v>
      </c>
      <c r="K107" s="6" t="s">
        <v>450</v>
      </c>
      <c r="L107" s="6"/>
      <c r="M107" s="6" t="s">
        <v>181</v>
      </c>
      <c r="N107" s="27">
        <v>0</v>
      </c>
      <c r="O107" s="27">
        <v>0.1</v>
      </c>
      <c r="P107" s="27">
        <v>0</v>
      </c>
      <c r="Q107" s="27">
        <v>0.1</v>
      </c>
      <c r="R107" s="28">
        <v>0</v>
      </c>
      <c r="S107" s="27">
        <v>0.05</v>
      </c>
      <c r="T107" s="27">
        <v>0.05</v>
      </c>
      <c r="U107" s="26">
        <v>1</v>
      </c>
      <c r="AA107" s="29">
        <f t="shared" si="18"/>
        <v>0</v>
      </c>
      <c r="AB107" s="29">
        <f t="shared" si="19"/>
        <v>0.1</v>
      </c>
      <c r="AC107" s="29">
        <f t="shared" si="20"/>
        <v>0</v>
      </c>
      <c r="AD107" s="29">
        <f t="shared" si="21"/>
        <v>0.1</v>
      </c>
      <c r="AE107" s="14">
        <f t="shared" si="22"/>
        <v>0</v>
      </c>
      <c r="AF107" s="29">
        <f t="shared" si="23"/>
        <v>0</v>
      </c>
      <c r="AG107" s="11" t="s">
        <v>85</v>
      </c>
      <c r="AH107" s="30"/>
    </row>
    <row r="108" spans="1:34" x14ac:dyDescent="0.35">
      <c r="A108" s="26">
        <v>104</v>
      </c>
      <c r="B108" s="6">
        <v>12721</v>
      </c>
      <c r="C108" s="6" t="s">
        <v>451</v>
      </c>
      <c r="D108" s="6" t="s">
        <v>452</v>
      </c>
      <c r="E108" s="6" t="s">
        <v>265</v>
      </c>
      <c r="F108" s="6" t="s">
        <v>178</v>
      </c>
      <c r="G108" s="6" t="s">
        <v>266</v>
      </c>
      <c r="H108" s="6" t="s">
        <v>180</v>
      </c>
      <c r="I108" s="6" t="s">
        <v>181</v>
      </c>
      <c r="J108" s="6" t="s">
        <v>374</v>
      </c>
      <c r="K108" s="6" t="s">
        <v>453</v>
      </c>
      <c r="L108" s="6" t="s">
        <v>184</v>
      </c>
      <c r="M108" s="6" t="s">
        <v>181</v>
      </c>
      <c r="N108" s="27">
        <v>0.24166666666666661</v>
      </c>
      <c r="O108" s="27">
        <v>0</v>
      </c>
      <c r="P108" s="27">
        <v>0</v>
      </c>
      <c r="Q108" s="27">
        <v>0.24166666666666661</v>
      </c>
      <c r="R108" s="28">
        <v>0.93103448275862066</v>
      </c>
      <c r="S108" s="27">
        <v>0.12083333333333331</v>
      </c>
      <c r="T108" s="27">
        <v>0.12083333333333331</v>
      </c>
      <c r="U108" s="26">
        <v>1</v>
      </c>
      <c r="AA108" s="29">
        <f t="shared" si="18"/>
        <v>0.24166666666666661</v>
      </c>
      <c r="AB108" s="29">
        <f t="shared" si="19"/>
        <v>0</v>
      </c>
      <c r="AC108" s="29">
        <f t="shared" si="20"/>
        <v>0</v>
      </c>
      <c r="AD108" s="29">
        <f t="shared" si="21"/>
        <v>0.24166666666666661</v>
      </c>
      <c r="AE108" s="14">
        <f t="shared" si="22"/>
        <v>0.93103448275862066</v>
      </c>
      <c r="AF108" s="29">
        <f t="shared" si="23"/>
        <v>0.22499999999999995</v>
      </c>
      <c r="AG108" s="11" t="s">
        <v>83</v>
      </c>
      <c r="AH108" s="30"/>
    </row>
    <row r="109" spans="1:34" x14ac:dyDescent="0.35">
      <c r="A109" s="26">
        <v>105</v>
      </c>
      <c r="B109" s="6">
        <v>12820</v>
      </c>
      <c r="C109" s="6" t="s">
        <v>454</v>
      </c>
      <c r="D109" s="6" t="s">
        <v>455</v>
      </c>
      <c r="E109" s="6" t="s">
        <v>291</v>
      </c>
      <c r="F109" s="6" t="s">
        <v>292</v>
      </c>
      <c r="G109" s="6" t="s">
        <v>315</v>
      </c>
      <c r="H109" s="6" t="s">
        <v>180</v>
      </c>
      <c r="I109" s="6" t="s">
        <v>181</v>
      </c>
      <c r="J109" s="6" t="s">
        <v>182</v>
      </c>
      <c r="K109" s="6" t="s">
        <v>277</v>
      </c>
      <c r="L109" s="6"/>
      <c r="M109" s="6" t="s">
        <v>181</v>
      </c>
      <c r="N109" s="27">
        <v>0.36249999999999999</v>
      </c>
      <c r="O109" s="27">
        <v>0</v>
      </c>
      <c r="P109" s="27">
        <v>0</v>
      </c>
      <c r="Q109" s="27">
        <v>0.36249999999999999</v>
      </c>
      <c r="R109" s="28">
        <v>1</v>
      </c>
      <c r="S109" s="27">
        <v>0.18124999999999999</v>
      </c>
      <c r="T109" s="27">
        <v>0.18124999999999999</v>
      </c>
      <c r="U109" s="26">
        <v>1</v>
      </c>
      <c r="AA109" s="29">
        <f t="shared" si="18"/>
        <v>0.36249999999999999</v>
      </c>
      <c r="AB109" s="29">
        <f t="shared" si="19"/>
        <v>0</v>
      </c>
      <c r="AC109" s="29">
        <f t="shared" si="20"/>
        <v>0</v>
      </c>
      <c r="AD109" s="29">
        <f t="shared" si="21"/>
        <v>0.36249999999999999</v>
      </c>
      <c r="AE109" s="14">
        <f t="shared" si="22"/>
        <v>1</v>
      </c>
      <c r="AF109" s="29">
        <f t="shared" si="23"/>
        <v>0.36249999999999999</v>
      </c>
      <c r="AG109" s="11" t="s">
        <v>85</v>
      </c>
      <c r="AH109" s="30"/>
    </row>
    <row r="110" spans="1:34" x14ac:dyDescent="0.35">
      <c r="A110" s="26">
        <v>106</v>
      </c>
      <c r="B110" s="6">
        <v>12890</v>
      </c>
      <c r="C110" s="6" t="s">
        <v>456</v>
      </c>
      <c r="D110" s="6" t="s">
        <v>457</v>
      </c>
      <c r="E110" s="6" t="s">
        <v>265</v>
      </c>
      <c r="F110" s="6" t="s">
        <v>178</v>
      </c>
      <c r="G110" s="6" t="s">
        <v>266</v>
      </c>
      <c r="H110" s="6" t="s">
        <v>235</v>
      </c>
      <c r="I110" s="6" t="s">
        <v>189</v>
      </c>
      <c r="J110" s="6" t="s">
        <v>182</v>
      </c>
      <c r="K110" s="6" t="s">
        <v>458</v>
      </c>
      <c r="L110" s="6"/>
      <c r="M110" s="6" t="s">
        <v>181</v>
      </c>
      <c r="N110" s="27">
        <v>1.2346250000000001</v>
      </c>
      <c r="O110" s="27">
        <v>6.25E-2</v>
      </c>
      <c r="P110" s="27">
        <v>0</v>
      </c>
      <c r="Q110" s="27">
        <v>1.2971250000000001</v>
      </c>
      <c r="R110" s="28">
        <v>0.85063120362339784</v>
      </c>
      <c r="S110" s="27">
        <v>0.64856249999999993</v>
      </c>
      <c r="T110" s="27">
        <v>0.64856249999999993</v>
      </c>
      <c r="U110" s="26">
        <v>1</v>
      </c>
      <c r="AA110" s="29">
        <f t="shared" si="18"/>
        <v>1.2346250000000001</v>
      </c>
      <c r="AB110" s="29">
        <f t="shared" si="19"/>
        <v>6.25E-2</v>
      </c>
      <c r="AC110" s="29">
        <f t="shared" si="20"/>
        <v>0</v>
      </c>
      <c r="AD110" s="29">
        <f t="shared" si="21"/>
        <v>1.2971250000000001</v>
      </c>
      <c r="AE110" s="14">
        <f t="shared" si="22"/>
        <v>0.85063120362339784</v>
      </c>
      <c r="AF110" s="29">
        <f t="shared" si="23"/>
        <v>1.103375</v>
      </c>
      <c r="AG110" s="11" t="s">
        <v>85</v>
      </c>
      <c r="AH110" s="30"/>
    </row>
    <row r="111" spans="1:34" x14ac:dyDescent="0.35">
      <c r="A111" s="26">
        <v>107</v>
      </c>
      <c r="B111" s="6">
        <v>12894</v>
      </c>
      <c r="C111" s="6" t="s">
        <v>459</v>
      </c>
      <c r="D111" s="6" t="s">
        <v>460</v>
      </c>
      <c r="E111" s="6" t="s">
        <v>261</v>
      </c>
      <c r="F111" s="6" t="s">
        <v>241</v>
      </c>
      <c r="G111" s="6" t="s">
        <v>262</v>
      </c>
      <c r="H111" s="6" t="s">
        <v>235</v>
      </c>
      <c r="I111" s="6" t="s">
        <v>181</v>
      </c>
      <c r="J111" s="6" t="s">
        <v>182</v>
      </c>
      <c r="K111" s="6" t="s">
        <v>461</v>
      </c>
      <c r="L111" s="6" t="s">
        <v>280</v>
      </c>
      <c r="M111" s="6" t="s">
        <v>181</v>
      </c>
      <c r="N111" s="27">
        <v>2.6333333333333342</v>
      </c>
      <c r="O111" s="27">
        <v>2.7791666666666668</v>
      </c>
      <c r="P111" s="27">
        <v>2.9187500000000002</v>
      </c>
      <c r="Q111" s="27">
        <v>8.3312500000000007</v>
      </c>
      <c r="R111" s="28">
        <v>0.92748187046761688</v>
      </c>
      <c r="S111" s="27">
        <v>4.1656250000000004</v>
      </c>
      <c r="T111" s="27">
        <v>4.1656250000000004</v>
      </c>
      <c r="U111" s="26">
        <v>1</v>
      </c>
      <c r="AA111" s="29">
        <f t="shared" si="18"/>
        <v>2.6333333333333342</v>
      </c>
      <c r="AB111" s="29">
        <f t="shared" si="19"/>
        <v>2.7791666666666668</v>
      </c>
      <c r="AC111" s="29">
        <f t="shared" si="20"/>
        <v>2.9187500000000002</v>
      </c>
      <c r="AD111" s="29">
        <f t="shared" si="21"/>
        <v>8.3312500000000007</v>
      </c>
      <c r="AE111" s="14">
        <f t="shared" si="22"/>
        <v>0.92748187046761688</v>
      </c>
      <c r="AF111" s="29">
        <f t="shared" si="23"/>
        <v>7.7270833333333337</v>
      </c>
      <c r="AG111" s="11" t="s">
        <v>85</v>
      </c>
      <c r="AH111" s="30"/>
    </row>
    <row r="112" spans="1:34" x14ac:dyDescent="0.35">
      <c r="A112" s="26">
        <v>108</v>
      </c>
      <c r="B112" s="6">
        <v>12932</v>
      </c>
      <c r="C112" s="6" t="s">
        <v>462</v>
      </c>
      <c r="D112" s="6" t="s">
        <v>463</v>
      </c>
      <c r="E112" s="6" t="s">
        <v>261</v>
      </c>
      <c r="F112" s="6" t="s">
        <v>241</v>
      </c>
      <c r="G112" s="6" t="s">
        <v>262</v>
      </c>
      <c r="H112" s="6" t="s">
        <v>180</v>
      </c>
      <c r="I112" s="6" t="s">
        <v>181</v>
      </c>
      <c r="J112" s="6" t="s">
        <v>182</v>
      </c>
      <c r="K112" s="6" t="s">
        <v>464</v>
      </c>
      <c r="L112" s="6" t="s">
        <v>280</v>
      </c>
      <c r="M112" s="6" t="s">
        <v>181</v>
      </c>
      <c r="N112" s="27">
        <v>35.819583333333327</v>
      </c>
      <c r="O112" s="27">
        <v>25.000000000000071</v>
      </c>
      <c r="P112" s="27">
        <v>12.866666666666671</v>
      </c>
      <c r="Q112" s="27">
        <v>73.686250000000058</v>
      </c>
      <c r="R112" s="28">
        <v>0.91167506375567586</v>
      </c>
      <c r="S112" s="27">
        <v>36.843125000000029</v>
      </c>
      <c r="T112" s="27">
        <v>36.843125000000029</v>
      </c>
      <c r="U112" s="26">
        <v>1</v>
      </c>
      <c r="AA112" s="29">
        <f t="shared" si="18"/>
        <v>35.819583333333327</v>
      </c>
      <c r="AB112" s="29">
        <f t="shared" si="19"/>
        <v>25.000000000000071</v>
      </c>
      <c r="AC112" s="29">
        <f t="shared" si="20"/>
        <v>12.866666666666671</v>
      </c>
      <c r="AD112" s="29">
        <f t="shared" si="21"/>
        <v>73.686250000000058</v>
      </c>
      <c r="AE112" s="14">
        <f t="shared" si="22"/>
        <v>0.91167506375567586</v>
      </c>
      <c r="AF112" s="29">
        <f t="shared" si="23"/>
        <v>67.177916666666718</v>
      </c>
      <c r="AG112" s="11" t="s">
        <v>85</v>
      </c>
      <c r="AH112" s="30"/>
    </row>
    <row r="113" spans="1:34" x14ac:dyDescent="0.35">
      <c r="A113" s="26">
        <v>109</v>
      </c>
      <c r="B113" s="6">
        <v>12991</v>
      </c>
      <c r="C113" s="6" t="s">
        <v>465</v>
      </c>
      <c r="D113" s="6" t="s">
        <v>466</v>
      </c>
      <c r="E113" s="6" t="s">
        <v>301</v>
      </c>
      <c r="F113" s="6" t="s">
        <v>292</v>
      </c>
      <c r="G113" s="6" t="s">
        <v>302</v>
      </c>
      <c r="H113" s="6" t="s">
        <v>235</v>
      </c>
      <c r="I113" s="6" t="s">
        <v>181</v>
      </c>
      <c r="J113" s="6" t="s">
        <v>182</v>
      </c>
      <c r="K113" s="6" t="s">
        <v>277</v>
      </c>
      <c r="L113" s="6" t="s">
        <v>280</v>
      </c>
      <c r="M113" s="6" t="s">
        <v>189</v>
      </c>
      <c r="N113" s="27">
        <v>4.6458333333333321</v>
      </c>
      <c r="O113" s="27">
        <v>4.5625</v>
      </c>
      <c r="P113" s="27">
        <v>3</v>
      </c>
      <c r="Q113" s="27">
        <v>12.20833333333333</v>
      </c>
      <c r="R113" s="28">
        <v>1</v>
      </c>
      <c r="S113" s="27">
        <v>6.1041666666666661</v>
      </c>
      <c r="T113" s="27">
        <v>6.1041666666666661</v>
      </c>
      <c r="U113" s="26">
        <v>1</v>
      </c>
      <c r="AA113" s="29">
        <f t="shared" si="18"/>
        <v>4.6458333333333321</v>
      </c>
      <c r="AB113" s="29">
        <f t="shared" si="19"/>
        <v>4.5625</v>
      </c>
      <c r="AC113" s="29">
        <f t="shared" si="20"/>
        <v>3</v>
      </c>
      <c r="AD113" s="29">
        <f t="shared" si="21"/>
        <v>12.20833333333333</v>
      </c>
      <c r="AE113" s="14">
        <f t="shared" si="22"/>
        <v>1</v>
      </c>
      <c r="AF113" s="29">
        <f t="shared" si="23"/>
        <v>12.20833333333333</v>
      </c>
      <c r="AG113" s="11" t="s">
        <v>87</v>
      </c>
      <c r="AH113" s="30"/>
    </row>
    <row r="114" spans="1:34" x14ac:dyDescent="0.35">
      <c r="A114" s="26">
        <v>110</v>
      </c>
      <c r="B114" s="6">
        <v>13139</v>
      </c>
      <c r="C114" s="6" t="s">
        <v>467</v>
      </c>
      <c r="D114" s="6" t="s">
        <v>468</v>
      </c>
      <c r="E114" s="6" t="s">
        <v>320</v>
      </c>
      <c r="F114" s="6" t="s">
        <v>321</v>
      </c>
      <c r="G114" s="6" t="s">
        <v>321</v>
      </c>
      <c r="H114" s="6" t="s">
        <v>235</v>
      </c>
      <c r="I114" s="6" t="s">
        <v>181</v>
      </c>
      <c r="J114" s="6" t="s">
        <v>182</v>
      </c>
      <c r="K114" s="6" t="s">
        <v>277</v>
      </c>
      <c r="L114" s="6" t="s">
        <v>280</v>
      </c>
      <c r="M114" s="6" t="s">
        <v>181</v>
      </c>
      <c r="N114" s="27">
        <v>0</v>
      </c>
      <c r="O114" s="27">
        <v>1.3</v>
      </c>
      <c r="P114" s="27">
        <v>0.69166666666666665</v>
      </c>
      <c r="Q114" s="27">
        <v>1.9916666666666669</v>
      </c>
      <c r="R114" s="28">
        <v>1</v>
      </c>
      <c r="S114" s="27">
        <v>0.99583333333333335</v>
      </c>
      <c r="T114" s="27">
        <v>0.99583333333333335</v>
      </c>
      <c r="U114" s="26">
        <v>1</v>
      </c>
      <c r="AA114" s="29">
        <f t="shared" si="18"/>
        <v>0</v>
      </c>
      <c r="AB114" s="29">
        <f t="shared" si="19"/>
        <v>1.3</v>
      </c>
      <c r="AC114" s="29">
        <f t="shared" si="20"/>
        <v>0.69166666666666665</v>
      </c>
      <c r="AD114" s="29">
        <f t="shared" si="21"/>
        <v>1.9916666666666669</v>
      </c>
      <c r="AE114" s="14">
        <f t="shared" si="22"/>
        <v>1</v>
      </c>
      <c r="AF114" s="29">
        <f t="shared" si="23"/>
        <v>1.9916666666666669</v>
      </c>
      <c r="AG114" s="11" t="s">
        <v>85</v>
      </c>
      <c r="AH114" s="30"/>
    </row>
    <row r="115" spans="1:34" x14ac:dyDescent="0.35">
      <c r="A115" s="26">
        <v>111</v>
      </c>
      <c r="B115" s="6">
        <v>13197</v>
      </c>
      <c r="C115" s="6" t="s">
        <v>469</v>
      </c>
      <c r="D115" s="6" t="s">
        <v>470</v>
      </c>
      <c r="E115" s="6" t="s">
        <v>301</v>
      </c>
      <c r="F115" s="6" t="s">
        <v>292</v>
      </c>
      <c r="G115" s="6" t="s">
        <v>302</v>
      </c>
      <c r="H115" s="6" t="s">
        <v>180</v>
      </c>
      <c r="I115" s="6" t="s">
        <v>189</v>
      </c>
      <c r="J115" s="6" t="s">
        <v>182</v>
      </c>
      <c r="K115" s="6" t="s">
        <v>464</v>
      </c>
      <c r="L115" s="6" t="s">
        <v>280</v>
      </c>
      <c r="M115" s="6" t="s">
        <v>189</v>
      </c>
      <c r="N115" s="27">
        <v>151.77083333333329</v>
      </c>
      <c r="O115" s="27">
        <v>30.937500000000011</v>
      </c>
      <c r="P115" s="27">
        <v>47.204166666666673</v>
      </c>
      <c r="Q115" s="27">
        <v>229.91249999999999</v>
      </c>
      <c r="R115" s="28">
        <v>0.94717193135069511</v>
      </c>
      <c r="S115" s="27">
        <v>114.95625</v>
      </c>
      <c r="T115" s="27">
        <v>114.95625</v>
      </c>
      <c r="U115" s="26">
        <v>1</v>
      </c>
      <c r="AA115" s="29">
        <f t="shared" si="18"/>
        <v>151.77083333333329</v>
      </c>
      <c r="AB115" s="29">
        <f t="shared" si="19"/>
        <v>30.937500000000011</v>
      </c>
      <c r="AC115" s="29">
        <f t="shared" si="20"/>
        <v>47.204166666666673</v>
      </c>
      <c r="AD115" s="29">
        <f t="shared" si="21"/>
        <v>229.91249999999999</v>
      </c>
      <c r="AE115" s="14">
        <f t="shared" si="22"/>
        <v>0.94717193135069511</v>
      </c>
      <c r="AF115" s="29">
        <f t="shared" si="23"/>
        <v>217.76666666666668</v>
      </c>
      <c r="AG115" s="11" t="s">
        <v>87</v>
      </c>
      <c r="AH115" s="30"/>
    </row>
    <row r="116" spans="1:34" x14ac:dyDescent="0.35">
      <c r="A116" s="26">
        <v>112</v>
      </c>
      <c r="B116" s="6">
        <v>13262</v>
      </c>
      <c r="C116" s="6" t="s">
        <v>471</v>
      </c>
      <c r="D116" s="6" t="s">
        <v>471</v>
      </c>
      <c r="E116" s="6" t="s">
        <v>265</v>
      </c>
      <c r="F116" s="6" t="s">
        <v>178</v>
      </c>
      <c r="G116" s="6" t="s">
        <v>266</v>
      </c>
      <c r="H116" s="6" t="s">
        <v>235</v>
      </c>
      <c r="I116" s="6" t="s">
        <v>181</v>
      </c>
      <c r="J116" s="6" t="s">
        <v>374</v>
      </c>
      <c r="K116" s="6" t="s">
        <v>472</v>
      </c>
      <c r="L116" s="6" t="s">
        <v>473</v>
      </c>
      <c r="M116" s="6" t="s">
        <v>181</v>
      </c>
      <c r="N116" s="27">
        <v>1.513333333333333</v>
      </c>
      <c r="O116" s="27">
        <v>1.75</v>
      </c>
      <c r="P116" s="27">
        <v>0.5</v>
      </c>
      <c r="Q116" s="27">
        <v>3.7633333333333332</v>
      </c>
      <c r="R116" s="28">
        <v>0.21147032772364921</v>
      </c>
      <c r="S116" s="27">
        <v>1.881666666666667</v>
      </c>
      <c r="T116" s="27">
        <v>1.881666666666667</v>
      </c>
      <c r="U116" s="26">
        <v>1</v>
      </c>
      <c r="AA116" s="29">
        <f t="shared" si="18"/>
        <v>1.513333333333333</v>
      </c>
      <c r="AB116" s="29">
        <f t="shared" si="19"/>
        <v>1.75</v>
      </c>
      <c r="AC116" s="29">
        <f t="shared" si="20"/>
        <v>0.5</v>
      </c>
      <c r="AD116" s="29">
        <f t="shared" si="21"/>
        <v>3.7633333333333332</v>
      </c>
      <c r="AE116" s="14">
        <f t="shared" si="22"/>
        <v>0.21147032772364921</v>
      </c>
      <c r="AF116" s="29">
        <f t="shared" si="23"/>
        <v>0.79583333333333317</v>
      </c>
      <c r="AG116" s="11" t="s">
        <v>83</v>
      </c>
      <c r="AH116" s="30"/>
    </row>
    <row r="117" spans="1:34" x14ac:dyDescent="0.35">
      <c r="A117" s="26">
        <v>113</v>
      </c>
      <c r="B117" s="6">
        <v>13274</v>
      </c>
      <c r="C117" s="6" t="s">
        <v>474</v>
      </c>
      <c r="D117" s="6" t="s">
        <v>475</v>
      </c>
      <c r="E117" s="6" t="s">
        <v>246</v>
      </c>
      <c r="F117" s="6" t="s">
        <v>241</v>
      </c>
      <c r="G117" s="6" t="s">
        <v>247</v>
      </c>
      <c r="H117" s="6" t="s">
        <v>446</v>
      </c>
      <c r="I117" s="6" t="s">
        <v>181</v>
      </c>
      <c r="J117" s="6" t="s">
        <v>182</v>
      </c>
      <c r="K117" s="6" t="s">
        <v>476</v>
      </c>
      <c r="L117" s="6"/>
      <c r="M117" s="6" t="s">
        <v>181</v>
      </c>
      <c r="N117" s="27">
        <v>0</v>
      </c>
      <c r="O117" s="27">
        <v>1</v>
      </c>
      <c r="P117" s="27">
        <v>0</v>
      </c>
      <c r="Q117" s="27">
        <v>1</v>
      </c>
      <c r="R117" s="28">
        <v>1</v>
      </c>
      <c r="S117" s="27">
        <v>0.5</v>
      </c>
      <c r="T117" s="27">
        <v>0.5</v>
      </c>
      <c r="U117" s="26">
        <v>1</v>
      </c>
      <c r="AA117" s="29">
        <f t="shared" si="18"/>
        <v>0</v>
      </c>
      <c r="AB117" s="29">
        <f t="shared" si="19"/>
        <v>1</v>
      </c>
      <c r="AC117" s="29">
        <f t="shared" si="20"/>
        <v>0</v>
      </c>
      <c r="AD117" s="29">
        <f t="shared" si="21"/>
        <v>1</v>
      </c>
      <c r="AE117" s="14">
        <f t="shared" si="22"/>
        <v>1</v>
      </c>
      <c r="AF117" s="29">
        <f t="shared" si="23"/>
        <v>1</v>
      </c>
      <c r="AG117" s="11" t="s">
        <v>85</v>
      </c>
      <c r="AH117" s="30"/>
    </row>
    <row r="118" spans="1:34" x14ac:dyDescent="0.35">
      <c r="A118" s="26">
        <v>114</v>
      </c>
      <c r="B118" s="6">
        <v>13314</v>
      </c>
      <c r="C118" s="6" t="s">
        <v>477</v>
      </c>
      <c r="D118" s="6" t="s">
        <v>478</v>
      </c>
      <c r="E118" s="6" t="s">
        <v>67</v>
      </c>
      <c r="F118" s="6" t="s">
        <v>344</v>
      </c>
      <c r="G118" s="6" t="s">
        <v>344</v>
      </c>
      <c r="H118" s="6" t="s">
        <v>446</v>
      </c>
      <c r="I118" s="6" t="s">
        <v>181</v>
      </c>
      <c r="J118" s="6" t="s">
        <v>182</v>
      </c>
      <c r="K118" s="6" t="s">
        <v>479</v>
      </c>
      <c r="L118" s="6" t="s">
        <v>280</v>
      </c>
      <c r="M118" s="6" t="s">
        <v>181</v>
      </c>
      <c r="N118" s="27">
        <v>28.606677083333331</v>
      </c>
      <c r="O118" s="27">
        <v>11</v>
      </c>
      <c r="P118" s="27">
        <v>9.1416666666666639</v>
      </c>
      <c r="Q118" s="27">
        <v>50.065010416666659</v>
      </c>
      <c r="R118" s="28">
        <v>0.86264109519268806</v>
      </c>
      <c r="S118" s="27">
        <v>25.03250520833333</v>
      </c>
      <c r="T118" s="27">
        <v>25.03250520833333</v>
      </c>
      <c r="U118" s="26">
        <v>1</v>
      </c>
      <c r="AA118" s="29">
        <f t="shared" si="18"/>
        <v>28.606677083333331</v>
      </c>
      <c r="AB118" s="29">
        <f t="shared" si="19"/>
        <v>11</v>
      </c>
      <c r="AC118" s="29">
        <f t="shared" si="20"/>
        <v>9.1416666666666639</v>
      </c>
      <c r="AD118" s="29">
        <f t="shared" si="21"/>
        <v>50.065010416666659</v>
      </c>
      <c r="AE118" s="14">
        <f t="shared" si="22"/>
        <v>0.86264109519268806</v>
      </c>
      <c r="AF118" s="29">
        <f t="shared" si="23"/>
        <v>43.188135416666661</v>
      </c>
      <c r="AG118" s="11" t="s">
        <v>85</v>
      </c>
      <c r="AH118" s="30" t="s">
        <v>480</v>
      </c>
    </row>
    <row r="119" spans="1:34" x14ac:dyDescent="0.35">
      <c r="A119" s="26">
        <v>115</v>
      </c>
      <c r="B119" s="6">
        <v>13405</v>
      </c>
      <c r="C119" s="6" t="s">
        <v>481</v>
      </c>
      <c r="D119" s="6" t="s">
        <v>482</v>
      </c>
      <c r="E119" s="6" t="s">
        <v>265</v>
      </c>
      <c r="F119" s="6" t="s">
        <v>178</v>
      </c>
      <c r="G119" s="6" t="s">
        <v>266</v>
      </c>
      <c r="H119" s="6" t="s">
        <v>235</v>
      </c>
      <c r="I119" s="6" t="s">
        <v>181</v>
      </c>
      <c r="J119" s="6" t="s">
        <v>374</v>
      </c>
      <c r="K119" s="6" t="s">
        <v>483</v>
      </c>
      <c r="L119" s="6" t="s">
        <v>184</v>
      </c>
      <c r="M119" s="6" t="s">
        <v>181</v>
      </c>
      <c r="N119" s="27">
        <v>0</v>
      </c>
      <c r="O119" s="27">
        <v>0</v>
      </c>
      <c r="P119" s="27">
        <v>0</v>
      </c>
      <c r="Q119" s="27">
        <v>0</v>
      </c>
      <c r="R119" s="28">
        <v>0</v>
      </c>
      <c r="S119" s="27"/>
      <c r="T119" s="27"/>
      <c r="U119" s="26">
        <v>1</v>
      </c>
      <c r="AA119" s="29">
        <f t="shared" si="18"/>
        <v>0</v>
      </c>
      <c r="AB119" s="29">
        <f t="shared" si="19"/>
        <v>0</v>
      </c>
      <c r="AC119" s="29">
        <f t="shared" si="20"/>
        <v>0</v>
      </c>
      <c r="AD119" s="29">
        <f t="shared" si="21"/>
        <v>0</v>
      </c>
      <c r="AE119" s="14">
        <f t="shared" si="22"/>
        <v>0</v>
      </c>
      <c r="AF119" s="29">
        <f t="shared" si="23"/>
        <v>0</v>
      </c>
      <c r="AG119" s="11" t="s">
        <v>83</v>
      </c>
      <c r="AH119" s="30"/>
    </row>
    <row r="120" spans="1:34" x14ac:dyDescent="0.35">
      <c r="A120" s="26">
        <v>116</v>
      </c>
      <c r="B120" s="6">
        <v>13453</v>
      </c>
      <c r="C120" s="6" t="s">
        <v>484</v>
      </c>
      <c r="D120" s="6" t="s">
        <v>485</v>
      </c>
      <c r="E120" s="6" t="s">
        <v>246</v>
      </c>
      <c r="F120" s="6" t="s">
        <v>241</v>
      </c>
      <c r="G120" s="6" t="s">
        <v>247</v>
      </c>
      <c r="H120" s="6" t="s">
        <v>446</v>
      </c>
      <c r="I120" s="6" t="s">
        <v>181</v>
      </c>
      <c r="J120" s="6" t="s">
        <v>182</v>
      </c>
      <c r="K120" s="6" t="s">
        <v>388</v>
      </c>
      <c r="L120" s="6"/>
      <c r="M120" s="6" t="s">
        <v>181</v>
      </c>
      <c r="N120" s="27">
        <v>0.89999999999999991</v>
      </c>
      <c r="O120" s="27">
        <v>0.3</v>
      </c>
      <c r="P120" s="27">
        <v>0</v>
      </c>
      <c r="Q120" s="27">
        <v>9.9375</v>
      </c>
      <c r="R120" s="28">
        <v>0.90440251572327046</v>
      </c>
      <c r="S120" s="27">
        <v>4.96875</v>
      </c>
      <c r="T120" s="27">
        <v>4.96875</v>
      </c>
      <c r="U120" s="26">
        <v>1</v>
      </c>
      <c r="AA120" s="29">
        <f t="shared" si="18"/>
        <v>0.89999999999999991</v>
      </c>
      <c r="AB120" s="29">
        <f t="shared" si="19"/>
        <v>0.3</v>
      </c>
      <c r="AC120" s="29">
        <f t="shared" si="20"/>
        <v>0</v>
      </c>
      <c r="AD120" s="29">
        <f t="shared" si="21"/>
        <v>9.9375</v>
      </c>
      <c r="AE120" s="14">
        <f t="shared" si="22"/>
        <v>0.90440251572327046</v>
      </c>
      <c r="AF120" s="29">
        <f t="shared" si="23"/>
        <v>8.9875000000000007</v>
      </c>
      <c r="AG120" s="11" t="s">
        <v>85</v>
      </c>
      <c r="AH120" s="30"/>
    </row>
    <row r="121" spans="1:34" x14ac:dyDescent="0.35">
      <c r="A121" s="26">
        <v>117</v>
      </c>
      <c r="B121" s="6">
        <v>13476</v>
      </c>
      <c r="C121" s="6" t="s">
        <v>486</v>
      </c>
      <c r="D121" s="6" t="s">
        <v>487</v>
      </c>
      <c r="E121" s="6" t="s">
        <v>320</v>
      </c>
      <c r="F121" s="6" t="s">
        <v>241</v>
      </c>
      <c r="G121" s="6"/>
      <c r="H121" s="6" t="s">
        <v>180</v>
      </c>
      <c r="I121" s="6" t="s">
        <v>181</v>
      </c>
      <c r="J121" s="6" t="s">
        <v>182</v>
      </c>
      <c r="K121" s="6" t="s">
        <v>488</v>
      </c>
      <c r="L121" s="6" t="s">
        <v>280</v>
      </c>
      <c r="M121" s="6" t="s">
        <v>189</v>
      </c>
      <c r="N121" s="27">
        <v>57.149875000000023</v>
      </c>
      <c r="O121" s="27">
        <v>23.302083333333329</v>
      </c>
      <c r="P121" s="27">
        <v>42.086666666666673</v>
      </c>
      <c r="Q121" s="27">
        <v>122.538625</v>
      </c>
      <c r="R121" s="28">
        <v>0.88077908768221724</v>
      </c>
      <c r="S121" s="27">
        <v>61.269312500000012</v>
      </c>
      <c r="T121" s="27">
        <v>61.269312500000012</v>
      </c>
      <c r="U121" s="26">
        <v>1</v>
      </c>
      <c r="AA121" s="29">
        <f t="shared" si="18"/>
        <v>57.149875000000023</v>
      </c>
      <c r="AB121" s="29">
        <f t="shared" si="19"/>
        <v>23.302083333333329</v>
      </c>
      <c r="AC121" s="29">
        <f t="shared" si="20"/>
        <v>42.086666666666673</v>
      </c>
      <c r="AD121" s="29">
        <f t="shared" si="21"/>
        <v>122.538625</v>
      </c>
      <c r="AE121" s="14">
        <f t="shared" si="22"/>
        <v>0.88077908768221724</v>
      </c>
      <c r="AF121" s="29">
        <f t="shared" si="23"/>
        <v>107.92945833333333</v>
      </c>
      <c r="AG121" s="11" t="s">
        <v>87</v>
      </c>
      <c r="AH121" s="30"/>
    </row>
    <row r="122" spans="1:34" x14ac:dyDescent="0.35">
      <c r="A122" s="26">
        <v>118</v>
      </c>
      <c r="B122" s="6">
        <v>13500</v>
      </c>
      <c r="C122" s="6" t="s">
        <v>489</v>
      </c>
      <c r="D122" s="6" t="s">
        <v>490</v>
      </c>
      <c r="E122" s="6" t="s">
        <v>246</v>
      </c>
      <c r="F122" s="6" t="s">
        <v>241</v>
      </c>
      <c r="G122" s="6" t="s">
        <v>247</v>
      </c>
      <c r="H122" s="6" t="s">
        <v>180</v>
      </c>
      <c r="I122" s="6" t="s">
        <v>181</v>
      </c>
      <c r="J122" s="6" t="s">
        <v>182</v>
      </c>
      <c r="K122" s="6" t="s">
        <v>248</v>
      </c>
      <c r="L122" s="6"/>
      <c r="M122" s="6" t="s">
        <v>181</v>
      </c>
      <c r="N122" s="27">
        <v>0.5</v>
      </c>
      <c r="O122" s="27">
        <v>0.2</v>
      </c>
      <c r="P122" s="27">
        <v>0</v>
      </c>
      <c r="Q122" s="27">
        <v>0.59583333333333333</v>
      </c>
      <c r="R122" s="28">
        <v>0.66433566433566438</v>
      </c>
      <c r="S122" s="27">
        <v>0.29791666666666672</v>
      </c>
      <c r="T122" s="27">
        <v>0.29791666666666672</v>
      </c>
      <c r="U122" s="26">
        <v>1</v>
      </c>
      <c r="AA122" s="29">
        <f t="shared" si="18"/>
        <v>0.5</v>
      </c>
      <c r="AB122" s="29">
        <f t="shared" si="19"/>
        <v>0.2</v>
      </c>
      <c r="AC122" s="29">
        <f t="shared" si="20"/>
        <v>0</v>
      </c>
      <c r="AD122" s="29">
        <f t="shared" si="21"/>
        <v>0.59583333333333333</v>
      </c>
      <c r="AE122" s="14">
        <f t="shared" si="22"/>
        <v>0.66433566433566438</v>
      </c>
      <c r="AF122" s="29">
        <f t="shared" si="23"/>
        <v>0.39583333333333337</v>
      </c>
      <c r="AG122" s="11" t="s">
        <v>85</v>
      </c>
      <c r="AH122" s="30"/>
    </row>
    <row r="123" spans="1:34" x14ac:dyDescent="0.35">
      <c r="A123" s="26">
        <v>119</v>
      </c>
      <c r="B123" s="6">
        <v>13676</v>
      </c>
      <c r="C123" s="6" t="s">
        <v>491</v>
      </c>
      <c r="D123" s="6" t="s">
        <v>492</v>
      </c>
      <c r="E123" s="6" t="s">
        <v>320</v>
      </c>
      <c r="F123" s="6" t="s">
        <v>321</v>
      </c>
      <c r="G123" s="6" t="s">
        <v>321</v>
      </c>
      <c r="H123" s="6" t="s">
        <v>180</v>
      </c>
      <c r="I123" s="6" t="s">
        <v>181</v>
      </c>
      <c r="J123" s="6" t="s">
        <v>374</v>
      </c>
      <c r="K123" s="6" t="s">
        <v>493</v>
      </c>
      <c r="L123" s="6" t="s">
        <v>184</v>
      </c>
      <c r="M123" s="6" t="s">
        <v>181</v>
      </c>
      <c r="N123" s="27">
        <v>11.572916666666661</v>
      </c>
      <c r="O123" s="27">
        <v>2.333333333333333</v>
      </c>
      <c r="P123" s="27">
        <v>2.135416666666667</v>
      </c>
      <c r="Q123" s="27">
        <v>16.041666666666661</v>
      </c>
      <c r="R123" s="28">
        <v>0.93766233766233764</v>
      </c>
      <c r="S123" s="27">
        <v>8.0208333333333321</v>
      </c>
      <c r="T123" s="27">
        <v>8.0208333333333321</v>
      </c>
      <c r="U123" s="26">
        <v>1</v>
      </c>
      <c r="AA123" s="29">
        <f t="shared" si="18"/>
        <v>11.572916666666661</v>
      </c>
      <c r="AB123" s="29">
        <f t="shared" si="19"/>
        <v>2.333333333333333</v>
      </c>
      <c r="AC123" s="29">
        <f t="shared" si="20"/>
        <v>2.135416666666667</v>
      </c>
      <c r="AD123" s="29">
        <f t="shared" si="21"/>
        <v>16.041666666666661</v>
      </c>
      <c r="AE123" s="14">
        <f t="shared" si="22"/>
        <v>0.93766233766233764</v>
      </c>
      <c r="AF123" s="29">
        <f t="shared" si="23"/>
        <v>15.041666666666661</v>
      </c>
      <c r="AG123" s="11" t="s">
        <v>83</v>
      </c>
      <c r="AH123" s="30"/>
    </row>
    <row r="124" spans="1:34" x14ac:dyDescent="0.35">
      <c r="A124" s="26">
        <v>120</v>
      </c>
      <c r="B124" s="6">
        <v>13721</v>
      </c>
      <c r="C124" s="6" t="s">
        <v>494</v>
      </c>
      <c r="D124" s="6" t="s">
        <v>495</v>
      </c>
      <c r="E124" s="6" t="s">
        <v>177</v>
      </c>
      <c r="F124" s="6" t="s">
        <v>178</v>
      </c>
      <c r="G124" s="6" t="s">
        <v>179</v>
      </c>
      <c r="H124" s="6" t="s">
        <v>180</v>
      </c>
      <c r="I124" s="6" t="s">
        <v>181</v>
      </c>
      <c r="J124" s="6" t="s">
        <v>182</v>
      </c>
      <c r="K124" s="6" t="s">
        <v>464</v>
      </c>
      <c r="L124" s="6" t="s">
        <v>280</v>
      </c>
      <c r="M124" s="6" t="s">
        <v>181</v>
      </c>
      <c r="N124" s="27">
        <v>1.666666666666667</v>
      </c>
      <c r="O124" s="27">
        <v>0.70833333333333337</v>
      </c>
      <c r="P124" s="27">
        <v>0.58333333333333337</v>
      </c>
      <c r="Q124" s="27">
        <v>2.958333333333333</v>
      </c>
      <c r="R124" s="28">
        <v>0.91549295774647887</v>
      </c>
      <c r="S124" s="27">
        <v>1.479166666666667</v>
      </c>
      <c r="T124" s="27">
        <v>1.479166666666667</v>
      </c>
      <c r="U124" s="26">
        <v>1</v>
      </c>
      <c r="AA124" s="29">
        <f t="shared" si="18"/>
        <v>1.666666666666667</v>
      </c>
      <c r="AB124" s="29">
        <f t="shared" si="19"/>
        <v>0.70833333333333337</v>
      </c>
      <c r="AC124" s="29">
        <f t="shared" si="20"/>
        <v>0.58333333333333337</v>
      </c>
      <c r="AD124" s="29">
        <f t="shared" si="21"/>
        <v>2.958333333333333</v>
      </c>
      <c r="AE124" s="14">
        <f t="shared" si="22"/>
        <v>0.91549295774647887</v>
      </c>
      <c r="AF124" s="29">
        <f t="shared" si="23"/>
        <v>2.708333333333333</v>
      </c>
      <c r="AG124" s="11" t="s">
        <v>85</v>
      </c>
      <c r="AH124" s="30"/>
    </row>
    <row r="125" spans="1:34" x14ac:dyDescent="0.35">
      <c r="A125" s="26">
        <v>121</v>
      </c>
      <c r="B125" s="6">
        <v>13738</v>
      </c>
      <c r="C125" s="6" t="s">
        <v>496</v>
      </c>
      <c r="D125" s="6" t="s">
        <v>496</v>
      </c>
      <c r="E125" s="6" t="s">
        <v>301</v>
      </c>
      <c r="F125" s="6" t="s">
        <v>292</v>
      </c>
      <c r="G125" s="6" t="s">
        <v>302</v>
      </c>
      <c r="H125" s="6" t="s">
        <v>180</v>
      </c>
      <c r="I125" s="6" t="s">
        <v>181</v>
      </c>
      <c r="J125" s="6" t="s">
        <v>374</v>
      </c>
      <c r="K125" s="6" t="s">
        <v>277</v>
      </c>
      <c r="L125" s="6" t="s">
        <v>280</v>
      </c>
      <c r="M125" s="6" t="s">
        <v>189</v>
      </c>
      <c r="N125" s="27">
        <v>0.33333333333333343</v>
      </c>
      <c r="O125" s="27">
        <v>0.25</v>
      </c>
      <c r="P125" s="27">
        <v>8.3333333333333329E-2</v>
      </c>
      <c r="Q125" s="27">
        <v>0.66666666666666674</v>
      </c>
      <c r="R125" s="28">
        <v>1</v>
      </c>
      <c r="S125" s="27">
        <v>0.33333333333333343</v>
      </c>
      <c r="T125" s="27">
        <v>0.33333333333333343</v>
      </c>
      <c r="U125" s="26">
        <v>1</v>
      </c>
      <c r="AA125" s="29">
        <f t="shared" si="18"/>
        <v>0.33333333333333343</v>
      </c>
      <c r="AB125" s="29">
        <f t="shared" si="19"/>
        <v>0.25</v>
      </c>
      <c r="AC125" s="29">
        <f t="shared" si="20"/>
        <v>8.3333333333333329E-2</v>
      </c>
      <c r="AD125" s="29">
        <f t="shared" si="21"/>
        <v>0.66666666666666674</v>
      </c>
      <c r="AE125" s="14">
        <f t="shared" si="22"/>
        <v>1</v>
      </c>
      <c r="AF125" s="29">
        <f t="shared" si="23"/>
        <v>0.66666666666666674</v>
      </c>
      <c r="AG125" s="11" t="s">
        <v>87</v>
      </c>
      <c r="AH125" s="30"/>
    </row>
    <row r="126" spans="1:34" x14ac:dyDescent="0.35">
      <c r="A126" s="26">
        <v>122</v>
      </c>
      <c r="B126" s="6">
        <v>13812</v>
      </c>
      <c r="C126" s="6" t="s">
        <v>497</v>
      </c>
      <c r="D126" s="6" t="s">
        <v>498</v>
      </c>
      <c r="E126" s="6" t="s">
        <v>265</v>
      </c>
      <c r="F126" s="6" t="s">
        <v>178</v>
      </c>
      <c r="G126" s="6" t="s">
        <v>266</v>
      </c>
      <c r="H126" s="6" t="s">
        <v>180</v>
      </c>
      <c r="I126" s="6" t="s">
        <v>181</v>
      </c>
      <c r="J126" s="6" t="s">
        <v>182</v>
      </c>
      <c r="K126" s="6" t="s">
        <v>248</v>
      </c>
      <c r="L126" s="6"/>
      <c r="M126" s="6" t="s">
        <v>181</v>
      </c>
      <c r="N126" s="27">
        <v>2.0400000000000009</v>
      </c>
      <c r="O126" s="27">
        <v>1.7</v>
      </c>
      <c r="P126" s="27">
        <v>0</v>
      </c>
      <c r="Q126" s="27">
        <v>3.7400000000000011</v>
      </c>
      <c r="R126" s="28">
        <v>0.30837789661319082</v>
      </c>
      <c r="S126" s="27">
        <v>1.870000000000001</v>
      </c>
      <c r="T126" s="27">
        <v>1.870000000000001</v>
      </c>
      <c r="U126" s="26">
        <v>1</v>
      </c>
      <c r="AA126" s="29">
        <f t="shared" si="18"/>
        <v>2.0400000000000009</v>
      </c>
      <c r="AB126" s="29">
        <f t="shared" si="19"/>
        <v>1.7</v>
      </c>
      <c r="AC126" s="29">
        <f t="shared" si="20"/>
        <v>0</v>
      </c>
      <c r="AD126" s="29">
        <f t="shared" si="21"/>
        <v>3.7400000000000011</v>
      </c>
      <c r="AE126" s="14">
        <f t="shared" si="22"/>
        <v>0.30837789661319082</v>
      </c>
      <c r="AF126" s="29">
        <f t="shared" si="23"/>
        <v>1.153333333333334</v>
      </c>
      <c r="AG126" s="11" t="s">
        <v>85</v>
      </c>
      <c r="AH126" s="30"/>
    </row>
    <row r="127" spans="1:34" x14ac:dyDescent="0.35">
      <c r="A127" s="26">
        <v>123</v>
      </c>
      <c r="B127" s="6">
        <v>13820</v>
      </c>
      <c r="C127" s="6" t="s">
        <v>499</v>
      </c>
      <c r="D127" s="6" t="s">
        <v>500</v>
      </c>
      <c r="E127" s="6" t="s">
        <v>251</v>
      </c>
      <c r="F127" s="6" t="s">
        <v>241</v>
      </c>
      <c r="G127" s="6" t="s">
        <v>252</v>
      </c>
      <c r="H127" s="6" t="s">
        <v>235</v>
      </c>
      <c r="I127" s="6" t="s">
        <v>181</v>
      </c>
      <c r="J127" s="6" t="s">
        <v>182</v>
      </c>
      <c r="K127" s="6" t="s">
        <v>277</v>
      </c>
      <c r="L127" s="6" t="s">
        <v>280</v>
      </c>
      <c r="M127" s="6" t="s">
        <v>181</v>
      </c>
      <c r="N127" s="27">
        <v>20.59041666666667</v>
      </c>
      <c r="O127" s="27">
        <v>5.0458333333333316</v>
      </c>
      <c r="P127" s="27">
        <v>18.145833333333329</v>
      </c>
      <c r="Q127" s="27">
        <v>43.782083333333333</v>
      </c>
      <c r="R127" s="28">
        <v>0.98365960200614777</v>
      </c>
      <c r="S127" s="27">
        <v>21.89104166666667</v>
      </c>
      <c r="T127" s="27">
        <v>21.89104166666667</v>
      </c>
      <c r="U127" s="26">
        <v>1</v>
      </c>
      <c r="AA127" s="29">
        <f t="shared" si="18"/>
        <v>20.59041666666667</v>
      </c>
      <c r="AB127" s="29">
        <f t="shared" si="19"/>
        <v>5.0458333333333316</v>
      </c>
      <c r="AC127" s="29">
        <f t="shared" si="20"/>
        <v>18.145833333333329</v>
      </c>
      <c r="AD127" s="29">
        <f t="shared" si="21"/>
        <v>43.782083333333333</v>
      </c>
      <c r="AE127" s="14">
        <f t="shared" si="22"/>
        <v>0.98365960200614777</v>
      </c>
      <c r="AF127" s="29">
        <f t="shared" si="23"/>
        <v>43.066666666666663</v>
      </c>
      <c r="AG127" s="11" t="s">
        <v>85</v>
      </c>
      <c r="AH127" s="30"/>
    </row>
    <row r="128" spans="1:34" x14ac:dyDescent="0.35">
      <c r="A128" s="26">
        <v>124</v>
      </c>
      <c r="B128" s="6">
        <v>13856</v>
      </c>
      <c r="C128" s="6" t="s">
        <v>501</v>
      </c>
      <c r="D128" s="6" t="s">
        <v>502</v>
      </c>
      <c r="E128" s="6" t="s">
        <v>261</v>
      </c>
      <c r="F128" s="6" t="s">
        <v>241</v>
      </c>
      <c r="G128" s="6" t="s">
        <v>262</v>
      </c>
      <c r="H128" s="6" t="s">
        <v>180</v>
      </c>
      <c r="I128" s="6" t="s">
        <v>181</v>
      </c>
      <c r="J128" s="6" t="s">
        <v>182</v>
      </c>
      <c r="K128" s="6" t="s">
        <v>503</v>
      </c>
      <c r="L128" s="6"/>
      <c r="M128" s="6" t="s">
        <v>181</v>
      </c>
      <c r="N128" s="27">
        <v>4.4024999999999999</v>
      </c>
      <c r="O128" s="27">
        <v>1.958333333333333</v>
      </c>
      <c r="P128" s="27">
        <v>4.1666666666666657E-2</v>
      </c>
      <c r="Q128" s="27">
        <v>6.4025000000000007</v>
      </c>
      <c r="R128" s="28">
        <v>0.95769881556683589</v>
      </c>
      <c r="S128" s="27">
        <v>3.2012499999999999</v>
      </c>
      <c r="T128" s="27">
        <v>3.2012499999999999</v>
      </c>
      <c r="U128" s="26">
        <v>1</v>
      </c>
      <c r="AA128" s="29">
        <f t="shared" si="18"/>
        <v>4.4024999999999999</v>
      </c>
      <c r="AB128" s="29">
        <f t="shared" si="19"/>
        <v>1.958333333333333</v>
      </c>
      <c r="AC128" s="29">
        <f t="shared" si="20"/>
        <v>4.1666666666666657E-2</v>
      </c>
      <c r="AD128" s="29">
        <f t="shared" si="21"/>
        <v>6.4025000000000007</v>
      </c>
      <c r="AE128" s="14">
        <f t="shared" si="22"/>
        <v>0.95769881556683589</v>
      </c>
      <c r="AF128" s="29">
        <f t="shared" si="23"/>
        <v>6.1316666666666677</v>
      </c>
      <c r="AG128" s="11" t="s">
        <v>85</v>
      </c>
      <c r="AH128" s="30"/>
    </row>
    <row r="129" spans="1:34" x14ac:dyDescent="0.35">
      <c r="A129" s="26">
        <v>125</v>
      </c>
      <c r="B129" s="6">
        <v>13863</v>
      </c>
      <c r="C129" s="6" t="s">
        <v>504</v>
      </c>
      <c r="D129" s="6" t="s">
        <v>505</v>
      </c>
      <c r="E129" s="6" t="s">
        <v>240</v>
      </c>
      <c r="F129" s="6" t="s">
        <v>241</v>
      </c>
      <c r="G129" s="6" t="s">
        <v>242</v>
      </c>
      <c r="H129" s="6" t="s">
        <v>235</v>
      </c>
      <c r="I129" s="6" t="s">
        <v>181</v>
      </c>
      <c r="J129" s="6" t="s">
        <v>374</v>
      </c>
      <c r="K129" s="6" t="s">
        <v>277</v>
      </c>
      <c r="L129" s="6" t="s">
        <v>184</v>
      </c>
      <c r="M129" s="6" t="s">
        <v>181</v>
      </c>
      <c r="N129" s="27">
        <v>1</v>
      </c>
      <c r="O129" s="27">
        <v>0</v>
      </c>
      <c r="P129" s="27">
        <v>0</v>
      </c>
      <c r="Q129" s="27">
        <v>0</v>
      </c>
      <c r="R129" s="28">
        <v>0</v>
      </c>
      <c r="S129" s="27">
        <v>0</v>
      </c>
      <c r="T129" s="27">
        <v>0</v>
      </c>
      <c r="U129" s="26">
        <v>1</v>
      </c>
      <c r="AA129" s="29">
        <f t="shared" si="18"/>
        <v>1</v>
      </c>
      <c r="AB129" s="29">
        <f t="shared" si="19"/>
        <v>0</v>
      </c>
      <c r="AC129" s="29">
        <f t="shared" si="20"/>
        <v>0</v>
      </c>
      <c r="AD129" s="29">
        <f t="shared" si="21"/>
        <v>0</v>
      </c>
      <c r="AE129" s="14">
        <f t="shared" si="22"/>
        <v>0</v>
      </c>
      <c r="AF129" s="29">
        <f t="shared" si="23"/>
        <v>0</v>
      </c>
      <c r="AG129" s="11" t="s">
        <v>83</v>
      </c>
      <c r="AH129" s="30"/>
    </row>
    <row r="130" spans="1:34" x14ac:dyDescent="0.35">
      <c r="A130" s="26">
        <v>126</v>
      </c>
      <c r="B130" s="6">
        <v>13884</v>
      </c>
      <c r="C130" s="6" t="s">
        <v>506</v>
      </c>
      <c r="D130" s="6" t="s">
        <v>507</v>
      </c>
      <c r="E130" s="6" t="s">
        <v>246</v>
      </c>
      <c r="F130" s="6" t="s">
        <v>241</v>
      </c>
      <c r="G130" s="6" t="s">
        <v>247</v>
      </c>
      <c r="H130" s="6" t="s">
        <v>180</v>
      </c>
      <c r="I130" s="6" t="s">
        <v>181</v>
      </c>
      <c r="J130" s="6" t="s">
        <v>182</v>
      </c>
      <c r="K130" s="6" t="s">
        <v>277</v>
      </c>
      <c r="L130" s="6"/>
      <c r="M130" s="6" t="s">
        <v>181</v>
      </c>
      <c r="N130" s="27">
        <v>0.4</v>
      </c>
      <c r="O130" s="27">
        <v>0.3</v>
      </c>
      <c r="P130" s="27">
        <v>0</v>
      </c>
      <c r="Q130" s="27">
        <v>4.2762499999999992</v>
      </c>
      <c r="R130" s="28">
        <v>0.90909090909090917</v>
      </c>
      <c r="S130" s="27">
        <v>2.1381250000000001</v>
      </c>
      <c r="T130" s="27">
        <v>2.1381250000000001</v>
      </c>
      <c r="U130" s="26">
        <v>1</v>
      </c>
      <c r="AA130" s="29">
        <f t="shared" si="18"/>
        <v>0.4</v>
      </c>
      <c r="AB130" s="29">
        <f t="shared" si="19"/>
        <v>0.3</v>
      </c>
      <c r="AC130" s="29">
        <f t="shared" si="20"/>
        <v>0</v>
      </c>
      <c r="AD130" s="29">
        <f t="shared" si="21"/>
        <v>4.2762499999999992</v>
      </c>
      <c r="AE130" s="14">
        <f t="shared" si="22"/>
        <v>0.90909090909090917</v>
      </c>
      <c r="AF130" s="29">
        <f t="shared" si="23"/>
        <v>3.8874999999999997</v>
      </c>
      <c r="AG130" s="11" t="s">
        <v>85</v>
      </c>
      <c r="AH130" s="30"/>
    </row>
    <row r="131" spans="1:34" x14ac:dyDescent="0.35">
      <c r="A131" s="26">
        <v>127</v>
      </c>
      <c r="B131" s="6">
        <v>13888</v>
      </c>
      <c r="C131" s="6" t="s">
        <v>508</v>
      </c>
      <c r="D131" s="6" t="s">
        <v>509</v>
      </c>
      <c r="E131" s="6" t="s">
        <v>291</v>
      </c>
      <c r="F131" s="6" t="s">
        <v>292</v>
      </c>
      <c r="G131" s="6" t="s">
        <v>315</v>
      </c>
      <c r="H131" s="6" t="s">
        <v>235</v>
      </c>
      <c r="I131" s="6" t="s">
        <v>181</v>
      </c>
      <c r="J131" s="6" t="s">
        <v>182</v>
      </c>
      <c r="K131" s="6" t="s">
        <v>476</v>
      </c>
      <c r="L131" s="6"/>
      <c r="M131" s="6" t="s">
        <v>181</v>
      </c>
      <c r="N131" s="27">
        <v>2.947500000000002</v>
      </c>
      <c r="O131" s="27">
        <v>0.49999999999999989</v>
      </c>
      <c r="P131" s="27">
        <v>1</v>
      </c>
      <c r="Q131" s="27">
        <v>4.4475000000000016</v>
      </c>
      <c r="R131" s="28">
        <v>0.2407719692711261</v>
      </c>
      <c r="S131" s="27">
        <v>2.2237500000000008</v>
      </c>
      <c r="T131" s="27">
        <v>2.2237500000000008</v>
      </c>
      <c r="U131" s="26">
        <v>1</v>
      </c>
      <c r="AA131" s="29">
        <f t="shared" si="18"/>
        <v>2.947500000000002</v>
      </c>
      <c r="AB131" s="29">
        <f t="shared" si="19"/>
        <v>0.49999999999999989</v>
      </c>
      <c r="AC131" s="29">
        <f t="shared" si="20"/>
        <v>1</v>
      </c>
      <c r="AD131" s="29">
        <f t="shared" si="21"/>
        <v>4.4475000000000016</v>
      </c>
      <c r="AE131" s="14">
        <f t="shared" si="22"/>
        <v>0.2407719692711261</v>
      </c>
      <c r="AF131" s="29">
        <f t="shared" si="23"/>
        <v>1.0708333333333337</v>
      </c>
      <c r="AG131" s="11" t="s">
        <v>85</v>
      </c>
      <c r="AH131" s="30"/>
    </row>
    <row r="132" spans="1:34" x14ac:dyDescent="0.35">
      <c r="A132" s="26">
        <v>128</v>
      </c>
      <c r="B132" s="6">
        <v>13971</v>
      </c>
      <c r="C132" s="6" t="s">
        <v>510</v>
      </c>
      <c r="D132" s="6" t="s">
        <v>511</v>
      </c>
      <c r="E132" s="6" t="s">
        <v>261</v>
      </c>
      <c r="F132" s="6" t="s">
        <v>241</v>
      </c>
      <c r="G132" s="6" t="s">
        <v>262</v>
      </c>
      <c r="H132" s="6" t="s">
        <v>180</v>
      </c>
      <c r="I132" s="6" t="s">
        <v>181</v>
      </c>
      <c r="J132" s="6" t="s">
        <v>182</v>
      </c>
      <c r="K132" s="6" t="s">
        <v>248</v>
      </c>
      <c r="L132" s="6"/>
      <c r="M132" s="6" t="s">
        <v>181</v>
      </c>
      <c r="N132" s="27">
        <v>0.95416666666666661</v>
      </c>
      <c r="O132" s="27">
        <v>0.54999999999999993</v>
      </c>
      <c r="P132" s="27">
        <v>0</v>
      </c>
      <c r="Q132" s="27">
        <v>1.504166666666666</v>
      </c>
      <c r="R132" s="28">
        <v>0.29362880886426601</v>
      </c>
      <c r="S132" s="27">
        <v>0.75208333333333321</v>
      </c>
      <c r="T132" s="27">
        <v>0.75208333333333321</v>
      </c>
      <c r="U132" s="26">
        <v>1</v>
      </c>
      <c r="AA132" s="29">
        <f t="shared" si="18"/>
        <v>0.95416666666666661</v>
      </c>
      <c r="AB132" s="29">
        <f t="shared" si="19"/>
        <v>0.54999999999999993</v>
      </c>
      <c r="AC132" s="29">
        <f t="shared" si="20"/>
        <v>0</v>
      </c>
      <c r="AD132" s="29">
        <f t="shared" si="21"/>
        <v>1.504166666666666</v>
      </c>
      <c r="AE132" s="14">
        <f t="shared" si="22"/>
        <v>0.29362880886426601</v>
      </c>
      <c r="AF132" s="29">
        <f t="shared" si="23"/>
        <v>0.4416666666666666</v>
      </c>
      <c r="AG132" s="11" t="s">
        <v>85</v>
      </c>
      <c r="AH132" s="30"/>
    </row>
    <row r="133" spans="1:34" x14ac:dyDescent="0.35">
      <c r="A133" s="26">
        <v>129</v>
      </c>
      <c r="B133" s="6">
        <v>13982</v>
      </c>
      <c r="C133" s="6" t="s">
        <v>512</v>
      </c>
      <c r="D133" s="6" t="s">
        <v>513</v>
      </c>
      <c r="E133" s="6" t="s">
        <v>240</v>
      </c>
      <c r="F133" s="6" t="s">
        <v>241</v>
      </c>
      <c r="G133" s="6" t="s">
        <v>242</v>
      </c>
      <c r="H133" s="6" t="s">
        <v>180</v>
      </c>
      <c r="I133" s="6" t="s">
        <v>181</v>
      </c>
      <c r="J133" s="6" t="s">
        <v>182</v>
      </c>
      <c r="K133" s="6" t="s">
        <v>277</v>
      </c>
      <c r="L133" s="6"/>
      <c r="M133" s="6" t="s">
        <v>181</v>
      </c>
      <c r="N133" s="27">
        <v>0.86916666666666664</v>
      </c>
      <c r="O133" s="27">
        <v>3.3333333333333333E-2</v>
      </c>
      <c r="P133" s="27">
        <v>0</v>
      </c>
      <c r="Q133" s="27">
        <v>0.90249999999999997</v>
      </c>
      <c r="R133" s="28">
        <v>1</v>
      </c>
      <c r="S133" s="27">
        <v>0.45124999999999998</v>
      </c>
      <c r="T133" s="27">
        <v>0.45124999999999998</v>
      </c>
      <c r="U133" s="26">
        <v>1</v>
      </c>
      <c r="AA133" s="29">
        <f t="shared" ref="AA133:AA146" si="24">N133</f>
        <v>0.86916666666666664</v>
      </c>
      <c r="AB133" s="29">
        <f t="shared" ref="AB133:AB146" si="25">O133</f>
        <v>3.3333333333333333E-2</v>
      </c>
      <c r="AC133" s="29">
        <f t="shared" ref="AC133:AC146" si="26">P133</f>
        <v>0</v>
      </c>
      <c r="AD133" s="29">
        <f t="shared" ref="AD133:AD146" si="27">Q133</f>
        <v>0.90249999999999997</v>
      </c>
      <c r="AE133" s="14">
        <f t="shared" ref="AE133:AE146" si="28">R133</f>
        <v>1</v>
      </c>
      <c r="AF133" s="29">
        <f t="shared" ref="AF133:AF146" si="29">Q133*R133</f>
        <v>0.90249999999999997</v>
      </c>
      <c r="AG133" s="11" t="s">
        <v>85</v>
      </c>
      <c r="AH133" s="30"/>
    </row>
    <row r="134" spans="1:34" x14ac:dyDescent="0.35">
      <c r="A134" s="26">
        <v>130</v>
      </c>
      <c r="B134" s="6">
        <v>14049</v>
      </c>
      <c r="C134" s="6" t="s">
        <v>514</v>
      </c>
      <c r="D134" s="6" t="s">
        <v>515</v>
      </c>
      <c r="E134" s="6" t="s">
        <v>301</v>
      </c>
      <c r="F134" s="6" t="s">
        <v>292</v>
      </c>
      <c r="G134" s="6" t="s">
        <v>302</v>
      </c>
      <c r="H134" s="6" t="s">
        <v>235</v>
      </c>
      <c r="I134" s="6" t="s">
        <v>181</v>
      </c>
      <c r="J134" s="6" t="s">
        <v>182</v>
      </c>
      <c r="K134" s="6" t="s">
        <v>516</v>
      </c>
      <c r="L134" s="6" t="s">
        <v>280</v>
      </c>
      <c r="M134" s="6" t="s">
        <v>189</v>
      </c>
      <c r="N134" s="27">
        <v>0</v>
      </c>
      <c r="O134" s="27">
        <v>0</v>
      </c>
      <c r="P134" s="27">
        <v>0.125</v>
      </c>
      <c r="Q134" s="27">
        <v>0.125</v>
      </c>
      <c r="R134" s="28">
        <v>1</v>
      </c>
      <c r="S134" s="27">
        <v>6.25E-2</v>
      </c>
      <c r="T134" s="27">
        <v>6.25E-2</v>
      </c>
      <c r="U134" s="26">
        <v>1</v>
      </c>
      <c r="AA134" s="29">
        <f t="shared" si="24"/>
        <v>0</v>
      </c>
      <c r="AB134" s="29">
        <f t="shared" si="25"/>
        <v>0</v>
      </c>
      <c r="AC134" s="29">
        <f t="shared" si="26"/>
        <v>0.125</v>
      </c>
      <c r="AD134" s="29">
        <f t="shared" si="27"/>
        <v>0.125</v>
      </c>
      <c r="AE134" s="14">
        <f t="shared" si="28"/>
        <v>1</v>
      </c>
      <c r="AF134" s="29">
        <f t="shared" si="29"/>
        <v>0.125</v>
      </c>
      <c r="AG134" s="11" t="s">
        <v>87</v>
      </c>
      <c r="AH134" s="30"/>
    </row>
    <row r="135" spans="1:34" x14ac:dyDescent="0.35">
      <c r="A135" s="26">
        <v>131</v>
      </c>
      <c r="B135" s="6">
        <v>14059</v>
      </c>
      <c r="C135" s="6" t="s">
        <v>517</v>
      </c>
      <c r="D135" s="6" t="s">
        <v>518</v>
      </c>
      <c r="E135" s="6" t="s">
        <v>187</v>
      </c>
      <c r="F135" s="6" t="s">
        <v>178</v>
      </c>
      <c r="G135" s="6" t="s">
        <v>188</v>
      </c>
      <c r="H135" s="6" t="s">
        <v>180</v>
      </c>
      <c r="I135" s="6" t="s">
        <v>181</v>
      </c>
      <c r="J135" s="6" t="s">
        <v>182</v>
      </c>
      <c r="K135" s="6" t="s">
        <v>277</v>
      </c>
      <c r="L135" s="6"/>
      <c r="M135" s="6" t="s">
        <v>181</v>
      </c>
      <c r="N135" s="27">
        <v>1.0166666666666671</v>
      </c>
      <c r="O135" s="27">
        <v>1.041666666666667E-2</v>
      </c>
      <c r="P135" s="27">
        <v>0</v>
      </c>
      <c r="Q135" s="27">
        <v>1.0270833333333329</v>
      </c>
      <c r="R135" s="28">
        <v>0.9026369168356998</v>
      </c>
      <c r="S135" s="27">
        <v>0.51354166666666667</v>
      </c>
      <c r="T135" s="27">
        <v>0.51354166666666667</v>
      </c>
      <c r="U135" s="26">
        <v>1</v>
      </c>
      <c r="AA135" s="29">
        <f t="shared" si="24"/>
        <v>1.0166666666666671</v>
      </c>
      <c r="AB135" s="29">
        <f t="shared" si="25"/>
        <v>1.041666666666667E-2</v>
      </c>
      <c r="AC135" s="29">
        <f t="shared" si="26"/>
        <v>0</v>
      </c>
      <c r="AD135" s="29">
        <f t="shared" si="27"/>
        <v>1.0270833333333329</v>
      </c>
      <c r="AE135" s="14">
        <f t="shared" si="28"/>
        <v>0.9026369168356998</v>
      </c>
      <c r="AF135" s="29">
        <f t="shared" si="29"/>
        <v>0.92708333333333293</v>
      </c>
      <c r="AG135" s="11" t="s">
        <v>85</v>
      </c>
      <c r="AH135" s="30"/>
    </row>
    <row r="136" spans="1:34" x14ac:dyDescent="0.35">
      <c r="A136" s="26">
        <v>132</v>
      </c>
      <c r="B136" s="6">
        <v>14097</v>
      </c>
      <c r="C136" s="6" t="s">
        <v>519</v>
      </c>
      <c r="D136" s="6" t="s">
        <v>520</v>
      </c>
      <c r="E136" s="6" t="s">
        <v>301</v>
      </c>
      <c r="F136" s="6" t="s">
        <v>292</v>
      </c>
      <c r="G136" s="6" t="s">
        <v>302</v>
      </c>
      <c r="H136" s="6" t="s">
        <v>235</v>
      </c>
      <c r="I136" s="6" t="s">
        <v>181</v>
      </c>
      <c r="J136" s="6" t="s">
        <v>374</v>
      </c>
      <c r="K136" s="6" t="s">
        <v>521</v>
      </c>
      <c r="L136" s="6" t="s">
        <v>184</v>
      </c>
      <c r="M136" s="6" t="s">
        <v>189</v>
      </c>
      <c r="N136" s="27">
        <v>8.3333333333333329E-2</v>
      </c>
      <c r="O136" s="27">
        <v>0</v>
      </c>
      <c r="P136" s="27">
        <v>8.3333333333333329E-2</v>
      </c>
      <c r="Q136" s="27">
        <v>0.16666666666666671</v>
      </c>
      <c r="R136" s="28">
        <v>1</v>
      </c>
      <c r="S136" s="27">
        <v>8.3333333333333329E-2</v>
      </c>
      <c r="T136" s="27">
        <v>8.3333333333333329E-2</v>
      </c>
      <c r="U136" s="26">
        <v>1</v>
      </c>
      <c r="AA136" s="29">
        <f t="shared" si="24"/>
        <v>8.3333333333333329E-2</v>
      </c>
      <c r="AB136" s="29">
        <f t="shared" si="25"/>
        <v>0</v>
      </c>
      <c r="AC136" s="29">
        <f t="shared" si="26"/>
        <v>8.3333333333333329E-2</v>
      </c>
      <c r="AD136" s="29">
        <f t="shared" si="27"/>
        <v>0.16666666666666671</v>
      </c>
      <c r="AE136" s="14">
        <f t="shared" si="28"/>
        <v>1</v>
      </c>
      <c r="AF136" s="29">
        <f t="shared" si="29"/>
        <v>0.16666666666666671</v>
      </c>
      <c r="AG136" s="11" t="s">
        <v>87</v>
      </c>
      <c r="AH136" s="30"/>
    </row>
    <row r="137" spans="1:34" x14ac:dyDescent="0.35">
      <c r="A137" s="26">
        <v>133</v>
      </c>
      <c r="B137" s="6">
        <v>14217</v>
      </c>
      <c r="C137" s="6" t="s">
        <v>522</v>
      </c>
      <c r="D137" s="6" t="s">
        <v>523</v>
      </c>
      <c r="E137" s="6" t="s">
        <v>301</v>
      </c>
      <c r="F137" s="6" t="s">
        <v>292</v>
      </c>
      <c r="G137" s="6" t="s">
        <v>329</v>
      </c>
      <c r="H137" s="6" t="s">
        <v>180</v>
      </c>
      <c r="I137" s="6" t="s">
        <v>181</v>
      </c>
      <c r="J137" s="6" t="s">
        <v>182</v>
      </c>
      <c r="K137" s="6" t="s">
        <v>248</v>
      </c>
      <c r="L137" s="6"/>
      <c r="M137" s="6" t="s">
        <v>181</v>
      </c>
      <c r="N137" s="27">
        <v>0.80833333333333335</v>
      </c>
      <c r="O137" s="27">
        <v>7.4999999999999997E-2</v>
      </c>
      <c r="P137" s="27">
        <v>0</v>
      </c>
      <c r="Q137" s="27">
        <v>0.8833333333333333</v>
      </c>
      <c r="R137" s="28">
        <v>0.48113207547169817</v>
      </c>
      <c r="S137" s="27">
        <v>0.44166666666666671</v>
      </c>
      <c r="T137" s="27">
        <v>0.44166666666666671</v>
      </c>
      <c r="U137" s="26">
        <v>1</v>
      </c>
      <c r="AA137" s="29">
        <f t="shared" si="24"/>
        <v>0.80833333333333335</v>
      </c>
      <c r="AB137" s="29">
        <f t="shared" si="25"/>
        <v>7.4999999999999997E-2</v>
      </c>
      <c r="AC137" s="29">
        <f t="shared" si="26"/>
        <v>0</v>
      </c>
      <c r="AD137" s="29">
        <f t="shared" si="27"/>
        <v>0.8833333333333333</v>
      </c>
      <c r="AE137" s="14">
        <f t="shared" si="28"/>
        <v>0.48113207547169817</v>
      </c>
      <c r="AF137" s="29">
        <f t="shared" si="29"/>
        <v>0.42500000000000004</v>
      </c>
      <c r="AG137" s="11" t="s">
        <v>85</v>
      </c>
      <c r="AH137" s="30"/>
    </row>
    <row r="138" spans="1:34" x14ac:dyDescent="0.35">
      <c r="A138" s="26">
        <v>134</v>
      </c>
      <c r="B138" s="6">
        <v>14267</v>
      </c>
      <c r="C138" s="6" t="s">
        <v>524</v>
      </c>
      <c r="D138" s="6" t="s">
        <v>525</v>
      </c>
      <c r="E138" s="6" t="s">
        <v>240</v>
      </c>
      <c r="F138" s="6" t="s">
        <v>241</v>
      </c>
      <c r="G138" s="6" t="s">
        <v>242</v>
      </c>
      <c r="H138" s="6" t="s">
        <v>235</v>
      </c>
      <c r="I138" s="6" t="s">
        <v>181</v>
      </c>
      <c r="J138" s="6" t="s">
        <v>182</v>
      </c>
      <c r="K138" s="6" t="s">
        <v>277</v>
      </c>
      <c r="L138" s="6"/>
      <c r="M138" s="6" t="s">
        <v>181</v>
      </c>
      <c r="N138" s="27">
        <v>12.25666666666668</v>
      </c>
      <c r="O138" s="27">
        <v>0.5</v>
      </c>
      <c r="P138" s="27">
        <v>0</v>
      </c>
      <c r="Q138" s="27">
        <v>12.75666666666668</v>
      </c>
      <c r="R138" s="28">
        <v>0.88241442383067681</v>
      </c>
      <c r="S138" s="27">
        <v>6.3783333333333383</v>
      </c>
      <c r="T138" s="27">
        <v>6.3783333333333383</v>
      </c>
      <c r="U138" s="26">
        <v>1</v>
      </c>
      <c r="AA138" s="29">
        <f t="shared" si="24"/>
        <v>12.25666666666668</v>
      </c>
      <c r="AB138" s="29">
        <f t="shared" si="25"/>
        <v>0.5</v>
      </c>
      <c r="AC138" s="29">
        <f t="shared" si="26"/>
        <v>0</v>
      </c>
      <c r="AD138" s="29">
        <f t="shared" si="27"/>
        <v>12.75666666666668</v>
      </c>
      <c r="AE138" s="14">
        <f t="shared" si="28"/>
        <v>0.88241442383067681</v>
      </c>
      <c r="AF138" s="29">
        <f t="shared" si="29"/>
        <v>11.256666666666678</v>
      </c>
      <c r="AG138" s="11" t="s">
        <v>85</v>
      </c>
      <c r="AH138" s="30"/>
    </row>
    <row r="139" spans="1:34" x14ac:dyDescent="0.35">
      <c r="A139" s="26">
        <v>135</v>
      </c>
      <c r="B139" s="6">
        <v>14285</v>
      </c>
      <c r="C139" s="6" t="s">
        <v>526</v>
      </c>
      <c r="D139" s="6" t="s">
        <v>527</v>
      </c>
      <c r="E139" s="6" t="s">
        <v>177</v>
      </c>
      <c r="F139" s="6" t="s">
        <v>178</v>
      </c>
      <c r="G139" s="6" t="s">
        <v>179</v>
      </c>
      <c r="H139" s="6" t="s">
        <v>180</v>
      </c>
      <c r="I139" s="6" t="s">
        <v>181</v>
      </c>
      <c r="J139" s="6" t="s">
        <v>182</v>
      </c>
      <c r="K139" s="6" t="s">
        <v>528</v>
      </c>
      <c r="L139" s="6" t="s">
        <v>280</v>
      </c>
      <c r="M139" s="6" t="s">
        <v>181</v>
      </c>
      <c r="N139" s="27">
        <v>14.975</v>
      </c>
      <c r="O139" s="27">
        <v>1.341666666666667</v>
      </c>
      <c r="P139" s="27">
        <v>0</v>
      </c>
      <c r="Q139" s="27">
        <v>16.31666666666667</v>
      </c>
      <c r="R139" s="28">
        <v>0.98774259448416757</v>
      </c>
      <c r="S139" s="27">
        <v>8.158333333333335</v>
      </c>
      <c r="T139" s="27">
        <v>8.158333333333335</v>
      </c>
      <c r="U139" s="26">
        <v>1</v>
      </c>
      <c r="AA139" s="29">
        <f t="shared" si="24"/>
        <v>14.975</v>
      </c>
      <c r="AB139" s="29">
        <f t="shared" si="25"/>
        <v>1.341666666666667</v>
      </c>
      <c r="AC139" s="29">
        <f t="shared" si="26"/>
        <v>0</v>
      </c>
      <c r="AD139" s="29">
        <f t="shared" si="27"/>
        <v>16.31666666666667</v>
      </c>
      <c r="AE139" s="14">
        <f t="shared" si="28"/>
        <v>0.98774259448416757</v>
      </c>
      <c r="AF139" s="29">
        <f t="shared" si="29"/>
        <v>16.116666666666671</v>
      </c>
      <c r="AG139" s="11" t="s">
        <v>85</v>
      </c>
      <c r="AH139" s="30"/>
    </row>
    <row r="140" spans="1:34" x14ac:dyDescent="0.35">
      <c r="A140" s="26">
        <v>136</v>
      </c>
      <c r="B140" s="6">
        <v>14322</v>
      </c>
      <c r="C140" s="6" t="s">
        <v>529</v>
      </c>
      <c r="D140" s="6" t="s">
        <v>530</v>
      </c>
      <c r="E140" s="6" t="s">
        <v>251</v>
      </c>
      <c r="F140" s="6" t="s">
        <v>241</v>
      </c>
      <c r="G140" s="6" t="s">
        <v>252</v>
      </c>
      <c r="H140" s="6" t="s">
        <v>180</v>
      </c>
      <c r="I140" s="6" t="s">
        <v>181</v>
      </c>
      <c r="J140" s="6" t="s">
        <v>374</v>
      </c>
      <c r="K140" s="6" t="s">
        <v>277</v>
      </c>
      <c r="L140" s="6" t="s">
        <v>184</v>
      </c>
      <c r="M140" s="6" t="s">
        <v>181</v>
      </c>
      <c r="N140" s="27">
        <v>11.491666666666671</v>
      </c>
      <c r="O140" s="27">
        <v>0.70833333333333337</v>
      </c>
      <c r="P140" s="27">
        <v>4.5</v>
      </c>
      <c r="Q140" s="27">
        <v>16.7</v>
      </c>
      <c r="R140" s="28">
        <v>0.98702594810379252</v>
      </c>
      <c r="S140" s="27">
        <v>8.3500000000000014</v>
      </c>
      <c r="T140" s="27">
        <v>8.3500000000000014</v>
      </c>
      <c r="U140" s="26">
        <v>1</v>
      </c>
      <c r="AA140" s="29">
        <f t="shared" si="24"/>
        <v>11.491666666666671</v>
      </c>
      <c r="AB140" s="29">
        <f t="shared" si="25"/>
        <v>0.70833333333333337</v>
      </c>
      <c r="AC140" s="29">
        <f t="shared" si="26"/>
        <v>4.5</v>
      </c>
      <c r="AD140" s="29">
        <f t="shared" si="27"/>
        <v>16.7</v>
      </c>
      <c r="AE140" s="14">
        <f t="shared" si="28"/>
        <v>0.98702594810379252</v>
      </c>
      <c r="AF140" s="29">
        <f t="shared" si="29"/>
        <v>16.483333333333334</v>
      </c>
      <c r="AG140" s="11" t="s">
        <v>83</v>
      </c>
      <c r="AH140" s="30"/>
    </row>
    <row r="141" spans="1:34" x14ac:dyDescent="0.35">
      <c r="A141" s="26">
        <v>137</v>
      </c>
      <c r="B141" s="6">
        <v>14376</v>
      </c>
      <c r="C141" s="6" t="s">
        <v>531</v>
      </c>
      <c r="D141" s="6" t="s">
        <v>532</v>
      </c>
      <c r="E141" s="6" t="s">
        <v>265</v>
      </c>
      <c r="F141" s="6" t="s">
        <v>178</v>
      </c>
      <c r="G141" s="6" t="s">
        <v>266</v>
      </c>
      <c r="H141" s="6" t="s">
        <v>180</v>
      </c>
      <c r="I141" s="6" t="s">
        <v>181</v>
      </c>
      <c r="J141" s="6" t="s">
        <v>182</v>
      </c>
      <c r="K141" s="6" t="s">
        <v>248</v>
      </c>
      <c r="L141" s="6"/>
      <c r="M141" s="6" t="s">
        <v>181</v>
      </c>
      <c r="N141" s="27">
        <v>0.27479166666666671</v>
      </c>
      <c r="O141" s="27">
        <v>0</v>
      </c>
      <c r="P141" s="27">
        <v>0</v>
      </c>
      <c r="Q141" s="27">
        <v>0.27479166666666671</v>
      </c>
      <c r="R141" s="28">
        <v>0.7725549658832449</v>
      </c>
      <c r="S141" s="27">
        <v>0.13739583333333341</v>
      </c>
      <c r="T141" s="27">
        <v>0.13739583333333341</v>
      </c>
      <c r="U141" s="26">
        <v>1</v>
      </c>
      <c r="AA141" s="29">
        <f t="shared" si="24"/>
        <v>0.27479166666666671</v>
      </c>
      <c r="AB141" s="29">
        <f t="shared" si="25"/>
        <v>0</v>
      </c>
      <c r="AC141" s="29">
        <f t="shared" si="26"/>
        <v>0</v>
      </c>
      <c r="AD141" s="29">
        <f t="shared" si="27"/>
        <v>0.27479166666666671</v>
      </c>
      <c r="AE141" s="14">
        <f t="shared" si="28"/>
        <v>0.7725549658832449</v>
      </c>
      <c r="AF141" s="29">
        <f t="shared" si="29"/>
        <v>0.21229166666666671</v>
      </c>
      <c r="AG141" s="11" t="s">
        <v>85</v>
      </c>
      <c r="AH141" s="30"/>
    </row>
    <row r="142" spans="1:34" x14ac:dyDescent="0.35">
      <c r="A142" s="26">
        <v>138</v>
      </c>
      <c r="B142" s="6">
        <v>14377</v>
      </c>
      <c r="C142" s="6" t="s">
        <v>533</v>
      </c>
      <c r="D142" s="6" t="s">
        <v>534</v>
      </c>
      <c r="E142" s="6" t="s">
        <v>265</v>
      </c>
      <c r="F142" s="6" t="s">
        <v>178</v>
      </c>
      <c r="G142" s="6" t="s">
        <v>266</v>
      </c>
      <c r="H142" s="6" t="s">
        <v>180</v>
      </c>
      <c r="I142" s="6" t="s">
        <v>181</v>
      </c>
      <c r="J142" s="6" t="s">
        <v>182</v>
      </c>
      <c r="K142" s="6" t="s">
        <v>248</v>
      </c>
      <c r="L142" s="6"/>
      <c r="M142" s="6" t="s">
        <v>181</v>
      </c>
      <c r="N142" s="27">
        <v>0.59708333333333341</v>
      </c>
      <c r="O142" s="27">
        <v>0.12916666666666671</v>
      </c>
      <c r="P142" s="27">
        <v>0</v>
      </c>
      <c r="Q142" s="27">
        <v>0.72625000000000006</v>
      </c>
      <c r="R142" s="28">
        <v>0.97991967871485952</v>
      </c>
      <c r="S142" s="27">
        <v>0.36312499999999998</v>
      </c>
      <c r="T142" s="27">
        <v>0.36312499999999998</v>
      </c>
      <c r="U142" s="26">
        <v>1</v>
      </c>
      <c r="AA142" s="29">
        <f t="shared" si="24"/>
        <v>0.59708333333333341</v>
      </c>
      <c r="AB142" s="29">
        <f t="shared" si="25"/>
        <v>0.12916666666666671</v>
      </c>
      <c r="AC142" s="29">
        <f t="shared" si="26"/>
        <v>0</v>
      </c>
      <c r="AD142" s="29">
        <f t="shared" si="27"/>
        <v>0.72625000000000006</v>
      </c>
      <c r="AE142" s="14">
        <f t="shared" si="28"/>
        <v>0.97991967871485952</v>
      </c>
      <c r="AF142" s="29">
        <f t="shared" si="29"/>
        <v>0.71166666666666678</v>
      </c>
      <c r="AG142" s="11" t="s">
        <v>85</v>
      </c>
      <c r="AH142" s="30"/>
    </row>
    <row r="143" spans="1:34" x14ac:dyDescent="0.35">
      <c r="A143" s="26">
        <v>139</v>
      </c>
      <c r="B143" s="6">
        <v>14423</v>
      </c>
      <c r="C143" s="6" t="s">
        <v>535</v>
      </c>
      <c r="D143" s="6" t="s">
        <v>536</v>
      </c>
      <c r="E143" s="6" t="s">
        <v>251</v>
      </c>
      <c r="F143" s="6" t="s">
        <v>241</v>
      </c>
      <c r="G143" s="6" t="s">
        <v>252</v>
      </c>
      <c r="H143" s="6" t="s">
        <v>180</v>
      </c>
      <c r="I143" s="6" t="s">
        <v>189</v>
      </c>
      <c r="J143" s="6" t="s">
        <v>182</v>
      </c>
      <c r="K143" s="6" t="s">
        <v>248</v>
      </c>
      <c r="L143" s="6"/>
      <c r="M143" s="6" t="s">
        <v>181</v>
      </c>
      <c r="N143" s="27">
        <v>2.1225000000000001</v>
      </c>
      <c r="O143" s="27">
        <v>0</v>
      </c>
      <c r="P143" s="27">
        <v>0</v>
      </c>
      <c r="Q143" s="27">
        <v>2.1225000000000001</v>
      </c>
      <c r="R143" s="28">
        <v>0.75068708284255981</v>
      </c>
      <c r="S143" s="27">
        <v>1.06125</v>
      </c>
      <c r="T143" s="27">
        <v>1.06125</v>
      </c>
      <c r="U143" s="26">
        <v>1</v>
      </c>
      <c r="AA143" s="29">
        <f t="shared" si="24"/>
        <v>2.1225000000000001</v>
      </c>
      <c r="AB143" s="29">
        <f t="shared" si="25"/>
        <v>0</v>
      </c>
      <c r="AC143" s="29">
        <f t="shared" si="26"/>
        <v>0</v>
      </c>
      <c r="AD143" s="29">
        <f t="shared" si="27"/>
        <v>2.1225000000000001</v>
      </c>
      <c r="AE143" s="14">
        <f t="shared" si="28"/>
        <v>0.75068708284255981</v>
      </c>
      <c r="AF143" s="29">
        <f t="shared" si="29"/>
        <v>1.5933333333333333</v>
      </c>
      <c r="AG143" s="11" t="s">
        <v>85</v>
      </c>
      <c r="AH143" s="30"/>
    </row>
    <row r="144" spans="1:34" x14ac:dyDescent="0.35">
      <c r="A144" s="26">
        <v>140</v>
      </c>
      <c r="B144" s="6">
        <v>14595</v>
      </c>
      <c r="C144" s="6" t="s">
        <v>537</v>
      </c>
      <c r="D144" s="6" t="s">
        <v>538</v>
      </c>
      <c r="E144" s="6" t="s">
        <v>301</v>
      </c>
      <c r="F144" s="6" t="s">
        <v>292</v>
      </c>
      <c r="G144" s="6"/>
      <c r="H144" s="6" t="s">
        <v>180</v>
      </c>
      <c r="I144" s="6" t="s">
        <v>181</v>
      </c>
      <c r="J144" s="6" t="s">
        <v>182</v>
      </c>
      <c r="K144" s="6" t="s">
        <v>488</v>
      </c>
      <c r="L144" s="6" t="s">
        <v>280</v>
      </c>
      <c r="M144" s="6" t="s">
        <v>189</v>
      </c>
      <c r="N144" s="27">
        <v>60</v>
      </c>
      <c r="O144" s="27">
        <v>25</v>
      </c>
      <c r="P144" s="27">
        <v>25</v>
      </c>
      <c r="Q144" s="27">
        <v>110</v>
      </c>
      <c r="R144" s="28">
        <v>0.99242965891407664</v>
      </c>
      <c r="S144" s="27">
        <v>55</v>
      </c>
      <c r="T144" s="27">
        <v>55</v>
      </c>
      <c r="U144" s="26">
        <v>1</v>
      </c>
      <c r="AA144" s="29">
        <f t="shared" si="24"/>
        <v>60</v>
      </c>
      <c r="AB144" s="29">
        <f t="shared" si="25"/>
        <v>25</v>
      </c>
      <c r="AC144" s="29">
        <f t="shared" si="26"/>
        <v>25</v>
      </c>
      <c r="AD144" s="29">
        <f t="shared" si="27"/>
        <v>110</v>
      </c>
      <c r="AE144" s="14">
        <f t="shared" si="28"/>
        <v>0.99242965891407664</v>
      </c>
      <c r="AF144" s="29">
        <f t="shared" si="29"/>
        <v>109.16726248054843</v>
      </c>
      <c r="AG144" s="11" t="s">
        <v>87</v>
      </c>
      <c r="AH144" s="30"/>
    </row>
    <row r="145" spans="1:34" x14ac:dyDescent="0.35">
      <c r="A145" s="26">
        <v>141</v>
      </c>
      <c r="B145" s="6">
        <v>14701</v>
      </c>
      <c r="C145" s="6" t="s">
        <v>539</v>
      </c>
      <c r="D145" s="6" t="s">
        <v>540</v>
      </c>
      <c r="E145" s="6" t="s">
        <v>177</v>
      </c>
      <c r="F145" s="6" t="s">
        <v>178</v>
      </c>
      <c r="G145" s="6" t="s">
        <v>179</v>
      </c>
      <c r="H145" s="6" t="s">
        <v>235</v>
      </c>
      <c r="I145" s="6" t="s">
        <v>181</v>
      </c>
      <c r="J145" s="6" t="s">
        <v>182</v>
      </c>
      <c r="K145" s="6" t="s">
        <v>277</v>
      </c>
      <c r="L145" s="6" t="s">
        <v>280</v>
      </c>
      <c r="M145" s="6" t="s">
        <v>181</v>
      </c>
      <c r="N145" s="27">
        <v>0</v>
      </c>
      <c r="O145" s="27">
        <v>0</v>
      </c>
      <c r="P145" s="27">
        <v>0</v>
      </c>
      <c r="Q145" s="27">
        <v>0</v>
      </c>
      <c r="R145" s="28">
        <v>0</v>
      </c>
      <c r="S145" s="27">
        <v>0</v>
      </c>
      <c r="T145" s="27">
        <v>0</v>
      </c>
      <c r="U145" s="26">
        <v>1</v>
      </c>
      <c r="AA145" s="29">
        <f t="shared" si="24"/>
        <v>0</v>
      </c>
      <c r="AB145" s="29">
        <f t="shared" si="25"/>
        <v>0</v>
      </c>
      <c r="AC145" s="29">
        <f t="shared" si="26"/>
        <v>0</v>
      </c>
      <c r="AD145" s="29">
        <f t="shared" si="27"/>
        <v>0</v>
      </c>
      <c r="AE145" s="14">
        <f t="shared" si="28"/>
        <v>0</v>
      </c>
      <c r="AF145" s="29">
        <f t="shared" si="29"/>
        <v>0</v>
      </c>
      <c r="AG145" s="11" t="s">
        <v>85</v>
      </c>
      <c r="AH145" s="30"/>
    </row>
    <row r="146" spans="1:34" x14ac:dyDescent="0.35">
      <c r="A146" s="26">
        <v>142</v>
      </c>
      <c r="B146" s="6">
        <v>14930</v>
      </c>
      <c r="C146" s="6" t="s">
        <v>541</v>
      </c>
      <c r="D146" s="6" t="s">
        <v>542</v>
      </c>
      <c r="E146" s="6" t="s">
        <v>265</v>
      </c>
      <c r="F146" s="6" t="s">
        <v>178</v>
      </c>
      <c r="G146" s="6" t="s">
        <v>266</v>
      </c>
      <c r="H146" s="6" t="s">
        <v>180</v>
      </c>
      <c r="I146" s="6" t="s">
        <v>181</v>
      </c>
      <c r="J146" s="6" t="s">
        <v>182</v>
      </c>
      <c r="K146" s="6" t="s">
        <v>277</v>
      </c>
      <c r="L146" s="6" t="s">
        <v>280</v>
      </c>
      <c r="M146" s="6" t="s">
        <v>181</v>
      </c>
      <c r="N146" s="27">
        <v>1.5</v>
      </c>
      <c r="O146" s="27">
        <v>0.5</v>
      </c>
      <c r="P146" s="27">
        <v>0</v>
      </c>
      <c r="Q146" s="27">
        <v>2</v>
      </c>
      <c r="R146" s="28">
        <v>1</v>
      </c>
      <c r="S146" s="27">
        <v>1</v>
      </c>
      <c r="T146" s="27">
        <v>1</v>
      </c>
      <c r="U146" s="26">
        <v>1</v>
      </c>
      <c r="AA146" s="29">
        <f t="shared" si="24"/>
        <v>1.5</v>
      </c>
      <c r="AB146" s="29">
        <f t="shared" si="25"/>
        <v>0.5</v>
      </c>
      <c r="AC146" s="29">
        <f t="shared" si="26"/>
        <v>0</v>
      </c>
      <c r="AD146" s="29">
        <f t="shared" si="27"/>
        <v>2</v>
      </c>
      <c r="AE146" s="14">
        <f t="shared" si="28"/>
        <v>1</v>
      </c>
      <c r="AF146" s="29">
        <f t="shared" si="29"/>
        <v>2</v>
      </c>
      <c r="AG146" s="11" t="s">
        <v>85</v>
      </c>
      <c r="AH146" s="30"/>
    </row>
  </sheetData>
  <autoFilter ref="A4:AH146" xr:uid="{00000000-0001-0000-0200-000000000000}"/>
  <mergeCells count="2">
    <mergeCell ref="A2:AH2"/>
    <mergeCell ref="A1:A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workbookViewId="0">
      <selection activeCell="C5" sqref="C5"/>
    </sheetView>
  </sheetViews>
  <sheetFormatPr defaultColWidth="8.81640625" defaultRowHeight="14.5" x14ac:dyDescent="0.35"/>
  <cols>
    <col min="1" max="1" width="2" customWidth="1"/>
    <col min="2" max="2" width="8" customWidth="1"/>
    <col min="3" max="3" width="52" customWidth="1"/>
    <col min="4" max="4" width="9" customWidth="1"/>
    <col min="5" max="5" width="10" customWidth="1"/>
    <col min="6" max="7" width="11" customWidth="1"/>
    <col min="8" max="8" width="10" customWidth="1"/>
    <col min="9" max="11" width="11" customWidth="1"/>
  </cols>
  <sheetData>
    <row r="1" spans="1:11" ht="26.15" customHeight="1" x14ac:dyDescent="0.35">
      <c r="A1" s="73" t="s">
        <v>543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x14ac:dyDescent="0.35">
      <c r="A2" s="71" t="s">
        <v>544</v>
      </c>
      <c r="B2" s="72"/>
      <c r="C2" s="72"/>
      <c r="D2" s="72"/>
      <c r="E2" s="72"/>
      <c r="F2" s="72"/>
      <c r="G2" s="72"/>
      <c r="H2" s="72"/>
      <c r="I2" s="72"/>
      <c r="J2" s="72"/>
      <c r="K2" s="72"/>
    </row>
    <row r="4" spans="1:11" ht="28" customHeight="1" x14ac:dyDescent="0.35">
      <c r="B4" s="10" t="s">
        <v>545</v>
      </c>
      <c r="C4" s="10" t="s">
        <v>105</v>
      </c>
      <c r="D4" s="10" t="s">
        <v>80</v>
      </c>
      <c r="E4" s="10" t="s">
        <v>81</v>
      </c>
      <c r="F4" s="10" t="s">
        <v>175</v>
      </c>
      <c r="G4" s="10" t="s">
        <v>75</v>
      </c>
      <c r="H4" s="10" t="s">
        <v>174</v>
      </c>
      <c r="I4" s="10" t="s">
        <v>546</v>
      </c>
      <c r="J4" s="10" t="s">
        <v>547</v>
      </c>
      <c r="K4" s="10" t="s">
        <v>78</v>
      </c>
    </row>
    <row r="5" spans="1:11" x14ac:dyDescent="0.35">
      <c r="B5" s="11" t="s">
        <v>347</v>
      </c>
      <c r="C5" s="6" t="s">
        <v>548</v>
      </c>
      <c r="D5" s="12">
        <f>SUMIFS(Inventory!$U:$U,Inventory!$AH:$AH,$B5)</f>
        <v>2</v>
      </c>
      <c r="E5" s="13">
        <f>SUMIFS(Inventory!$AD:$AD,Inventory!$AH:$AH,$B5)</f>
        <v>50.699958333333328</v>
      </c>
      <c r="F5" s="13">
        <f>SUMIFS(Inventory!$AF:$AF,Inventory!$AH:$AH,$B5)</f>
        <v>43.938708333333338</v>
      </c>
      <c r="G5" s="29">
        <f>E5-F5</f>
        <v>6.7612499999999898</v>
      </c>
      <c r="H5" s="14">
        <f>IF(E5=0,0,F5/E5)</f>
        <v>0.86664190223693494</v>
      </c>
      <c r="I5" s="12">
        <f>SUMIFS('Pod Plan'!$E:$E,'Pod Plan'!$B:$B,1,'Pod Plan'!$C:$C,$B5)</f>
        <v>4</v>
      </c>
      <c r="J5" s="12">
        <f>SUMIFS('Pod Plan'!$F:$F,'Pod Plan'!$B:$B,1,'Pod Plan'!$C:$C,$B5)</f>
        <v>1</v>
      </c>
      <c r="K5" s="11" t="s">
        <v>87</v>
      </c>
    </row>
    <row r="6" spans="1:11" x14ac:dyDescent="0.35">
      <c r="B6" s="11" t="s">
        <v>480</v>
      </c>
      <c r="C6" s="6" t="s">
        <v>549</v>
      </c>
      <c r="D6" s="12">
        <f>SUMIFS(Inventory!$U:$U,Inventory!$AH:$AH,$B6)</f>
        <v>1</v>
      </c>
      <c r="E6" s="13">
        <f>SUMIFS(Inventory!$AD:$AD,Inventory!$AH:$AH,$B6)</f>
        <v>50.065010416666659</v>
      </c>
      <c r="F6" s="13">
        <f>SUMIFS(Inventory!$AF:$AF,Inventory!$AH:$AH,$B6)</f>
        <v>43.188135416666661</v>
      </c>
      <c r="G6" s="29">
        <f>E6-F6</f>
        <v>6.8768749999999983</v>
      </c>
      <c r="H6" s="14">
        <f>IF(E6=0,0,F6/E6)</f>
        <v>0.86264109519268806</v>
      </c>
      <c r="I6" s="12">
        <f>SUMIFS('Pod Plan'!$E:$E,'Pod Plan'!$B:$B,1,'Pod Plan'!$C:$C,$B6)</f>
        <v>2</v>
      </c>
      <c r="J6" s="12">
        <f>SUMIFS('Pod Plan'!$F:$F,'Pod Plan'!$B:$B,1,'Pod Plan'!$C:$C,$B6)</f>
        <v>2</v>
      </c>
      <c r="K6" s="11" t="s">
        <v>85</v>
      </c>
    </row>
    <row r="7" spans="1:11" x14ac:dyDescent="0.35">
      <c r="C7" s="3" t="s">
        <v>91</v>
      </c>
      <c r="D7" s="15">
        <f>SUM(D5:D6)</f>
        <v>3</v>
      </c>
      <c r="E7" s="16">
        <f>SUM(E5:E6)</f>
        <v>100.76496874999998</v>
      </c>
      <c r="F7" s="16">
        <f>SUM(F5:F6)</f>
        <v>87.126843750000006</v>
      </c>
      <c r="G7" s="16">
        <f>SUM(G5:G6)</f>
        <v>13.638124999999988</v>
      </c>
      <c r="H7" s="17">
        <f>IF(E7=0,0,F7/E7)</f>
        <v>0.8646541038102592</v>
      </c>
      <c r="I7" s="15">
        <f>SUM(I5:I6)</f>
        <v>6</v>
      </c>
      <c r="J7" s="15">
        <f>SUM(J5:J6)</f>
        <v>3</v>
      </c>
    </row>
    <row r="9" spans="1:11" ht="28" customHeight="1" x14ac:dyDescent="0.35">
      <c r="B9" s="10" t="s">
        <v>105</v>
      </c>
      <c r="C9" s="10" t="s">
        <v>550</v>
      </c>
    </row>
    <row r="10" spans="1:11" ht="34" customHeight="1" x14ac:dyDescent="0.35">
      <c r="B10" s="11" t="s">
        <v>347</v>
      </c>
      <c r="C10" s="75" t="s">
        <v>551</v>
      </c>
      <c r="D10" s="76"/>
      <c r="E10" s="76"/>
      <c r="F10" s="76"/>
      <c r="G10" s="76"/>
      <c r="H10" s="76"/>
      <c r="I10" s="76"/>
      <c r="J10" s="76"/>
      <c r="K10" s="77"/>
    </row>
    <row r="11" spans="1:11" ht="34" customHeight="1" x14ac:dyDescent="0.35">
      <c r="B11" s="11" t="s">
        <v>480</v>
      </c>
      <c r="C11" s="75" t="s">
        <v>552</v>
      </c>
      <c r="D11" s="76"/>
      <c r="E11" s="76"/>
      <c r="F11" s="76"/>
      <c r="G11" s="76"/>
      <c r="H11" s="76"/>
      <c r="I11" s="76"/>
      <c r="J11" s="76"/>
      <c r="K11" s="77"/>
    </row>
    <row r="13" spans="1:11" ht="34" customHeight="1" x14ac:dyDescent="0.35">
      <c r="B13" s="3" t="s">
        <v>553</v>
      </c>
      <c r="C13" s="78" t="s">
        <v>554</v>
      </c>
      <c r="D13" s="76"/>
      <c r="E13" s="76"/>
      <c r="F13" s="76"/>
      <c r="G13" s="76"/>
      <c r="H13" s="76"/>
      <c r="I13" s="76"/>
      <c r="J13" s="76"/>
      <c r="K13" s="77"/>
    </row>
  </sheetData>
  <mergeCells count="5">
    <mergeCell ref="C11:K11"/>
    <mergeCell ref="C10:K10"/>
    <mergeCell ref="C13:K13"/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7"/>
  <sheetViews>
    <sheetView workbookViewId="0">
      <pane xSplit="1" ySplit="4" topLeftCell="B104" activePane="bottomRight" state="frozen"/>
      <selection pane="topRight"/>
      <selection pane="bottomLeft"/>
      <selection pane="bottomRight" activeCell="K25" sqref="K25"/>
    </sheetView>
  </sheetViews>
  <sheetFormatPr defaultColWidth="8.81640625" defaultRowHeight="14.5" x14ac:dyDescent="0.35"/>
  <cols>
    <col min="1" max="1" width="2" customWidth="1"/>
    <col min="2" max="2" width="7" customWidth="1"/>
    <col min="3" max="3" width="8" customWidth="1"/>
    <col min="4" max="4" width="10" customWidth="1"/>
    <col min="5" max="5" width="7" customWidth="1"/>
    <col min="6" max="6" width="44" customWidth="1"/>
    <col min="7" max="7" width="9" customWidth="1"/>
    <col min="8" max="8" width="8" customWidth="1"/>
    <col min="9" max="9" width="10" customWidth="1"/>
    <col min="10" max="10" width="11" customWidth="1"/>
    <col min="11" max="11" width="9" customWidth="1"/>
  </cols>
  <sheetData>
    <row r="1" spans="1:11" ht="26.15" customHeight="1" x14ac:dyDescent="0.35">
      <c r="A1" s="73" t="s">
        <v>555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x14ac:dyDescent="0.35">
      <c r="A2" s="71" t="s">
        <v>556</v>
      </c>
      <c r="B2" s="72"/>
      <c r="C2" s="72"/>
      <c r="D2" s="72"/>
      <c r="E2" s="72"/>
      <c r="F2" s="72"/>
      <c r="G2" s="72"/>
      <c r="H2" s="72"/>
      <c r="I2" s="72"/>
      <c r="J2" s="72"/>
      <c r="K2" s="72"/>
    </row>
    <row r="4" spans="1:11" ht="28" customHeight="1" x14ac:dyDescent="0.35">
      <c r="B4" s="10" t="s">
        <v>557</v>
      </c>
      <c r="C4" s="10" t="s">
        <v>558</v>
      </c>
      <c r="D4" s="10" t="s">
        <v>559</v>
      </c>
      <c r="E4" s="10" t="s">
        <v>560</v>
      </c>
      <c r="F4" s="10" t="s">
        <v>561</v>
      </c>
      <c r="G4" s="10" t="s">
        <v>562</v>
      </c>
      <c r="H4" s="10" t="s">
        <v>563</v>
      </c>
      <c r="I4" s="10" t="s">
        <v>136</v>
      </c>
      <c r="J4" s="10" t="s">
        <v>564</v>
      </c>
      <c r="K4" s="10" t="s">
        <v>565</v>
      </c>
    </row>
    <row r="5" spans="1:11" x14ac:dyDescent="0.35">
      <c r="B5" s="31">
        <v>1</v>
      </c>
      <c r="C5" s="32" t="s">
        <v>347</v>
      </c>
      <c r="D5" s="32" t="s">
        <v>566</v>
      </c>
      <c r="E5" s="26">
        <v>1</v>
      </c>
      <c r="F5" s="52" t="s">
        <v>804</v>
      </c>
      <c r="G5" s="32" t="s">
        <v>567</v>
      </c>
      <c r="H5" s="32" t="s">
        <v>148</v>
      </c>
      <c r="I5" s="32" t="s">
        <v>150</v>
      </c>
      <c r="J5" s="32" t="s">
        <v>172</v>
      </c>
      <c r="K5" s="31">
        <v>1</v>
      </c>
    </row>
    <row r="6" spans="1:11" x14ac:dyDescent="0.35">
      <c r="B6" s="31">
        <v>1</v>
      </c>
      <c r="C6" s="32" t="s">
        <v>347</v>
      </c>
      <c r="D6" s="32" t="s">
        <v>566</v>
      </c>
      <c r="E6" s="26">
        <v>2</v>
      </c>
      <c r="F6" s="33" t="s">
        <v>568</v>
      </c>
      <c r="G6" s="32" t="s">
        <v>569</v>
      </c>
      <c r="H6" s="32" t="s">
        <v>148</v>
      </c>
      <c r="I6" s="32" t="s">
        <v>150</v>
      </c>
      <c r="J6" s="32" t="s">
        <v>172</v>
      </c>
      <c r="K6" s="31">
        <v>1</v>
      </c>
    </row>
    <row r="7" spans="1:11" x14ac:dyDescent="0.35">
      <c r="B7" s="31">
        <v>1</v>
      </c>
      <c r="C7" s="32" t="s">
        <v>347</v>
      </c>
      <c r="D7" s="32" t="s">
        <v>566</v>
      </c>
      <c r="E7" s="26">
        <v>3</v>
      </c>
      <c r="F7" s="33" t="s">
        <v>570</v>
      </c>
      <c r="G7" s="32" t="s">
        <v>571</v>
      </c>
      <c r="H7" s="53" t="s">
        <v>147</v>
      </c>
      <c r="I7" s="32" t="s">
        <v>151</v>
      </c>
      <c r="J7" s="53" t="s">
        <v>171</v>
      </c>
      <c r="K7" s="31">
        <v>1</v>
      </c>
    </row>
    <row r="8" spans="1:11" x14ac:dyDescent="0.35">
      <c r="B8" s="31">
        <v>1</v>
      </c>
      <c r="C8" s="32" t="s">
        <v>347</v>
      </c>
      <c r="D8" s="32" t="s">
        <v>566</v>
      </c>
      <c r="E8" s="26">
        <v>4</v>
      </c>
      <c r="F8" s="52" t="s">
        <v>785</v>
      </c>
      <c r="G8" s="32" t="s">
        <v>572</v>
      </c>
      <c r="H8" s="32" t="s">
        <v>147</v>
      </c>
      <c r="I8" s="32" t="s">
        <v>151</v>
      </c>
      <c r="J8" s="32" t="s">
        <v>173</v>
      </c>
      <c r="K8" s="31">
        <v>1</v>
      </c>
    </row>
    <row r="9" spans="1:11" x14ac:dyDescent="0.35">
      <c r="B9" s="31">
        <v>1</v>
      </c>
      <c r="C9" s="32" t="s">
        <v>347</v>
      </c>
      <c r="D9" s="32" t="s">
        <v>566</v>
      </c>
      <c r="E9" s="26">
        <v>5</v>
      </c>
      <c r="F9" s="52" t="s">
        <v>784</v>
      </c>
      <c r="G9" s="32" t="s">
        <v>567</v>
      </c>
      <c r="H9" s="32" t="s">
        <v>148</v>
      </c>
      <c r="I9" s="32" t="s">
        <v>150</v>
      </c>
      <c r="J9" s="32" t="s">
        <v>171</v>
      </c>
      <c r="K9" s="31">
        <v>1</v>
      </c>
    </row>
    <row r="10" spans="1:11" x14ac:dyDescent="0.35">
      <c r="B10" s="31">
        <v>1</v>
      </c>
      <c r="C10" s="32" t="s">
        <v>347</v>
      </c>
      <c r="D10" s="32" t="s">
        <v>566</v>
      </c>
      <c r="E10" s="26">
        <v>6</v>
      </c>
      <c r="F10" s="33" t="s">
        <v>825</v>
      </c>
      <c r="G10" s="32" t="s">
        <v>572</v>
      </c>
      <c r="H10" s="32" t="s">
        <v>147</v>
      </c>
      <c r="I10" s="32" t="s">
        <v>150</v>
      </c>
      <c r="J10" s="32" t="s">
        <v>171</v>
      </c>
      <c r="K10" s="31">
        <v>1</v>
      </c>
    </row>
    <row r="11" spans="1:11" x14ac:dyDescent="0.35">
      <c r="B11" s="31">
        <v>1</v>
      </c>
      <c r="C11" s="32" t="s">
        <v>347</v>
      </c>
      <c r="D11" s="32" t="s">
        <v>566</v>
      </c>
      <c r="E11" s="26">
        <v>7</v>
      </c>
      <c r="F11" s="33" t="s">
        <v>826</v>
      </c>
      <c r="G11" s="32" t="s">
        <v>572</v>
      </c>
      <c r="H11" s="32" t="s">
        <v>146</v>
      </c>
      <c r="I11" s="32" t="s">
        <v>151</v>
      </c>
      <c r="J11" s="32" t="s">
        <v>171</v>
      </c>
      <c r="K11" s="31">
        <v>1</v>
      </c>
    </row>
    <row r="12" spans="1:11" x14ac:dyDescent="0.35">
      <c r="B12" s="31">
        <v>1</v>
      </c>
      <c r="C12" s="32" t="s">
        <v>347</v>
      </c>
      <c r="D12" s="32" t="s">
        <v>566</v>
      </c>
      <c r="E12" s="26">
        <v>8</v>
      </c>
      <c r="F12" s="33" t="s">
        <v>808</v>
      </c>
      <c r="G12" s="32" t="s">
        <v>573</v>
      </c>
      <c r="H12" s="32" t="s">
        <v>146</v>
      </c>
      <c r="I12" s="32" t="s">
        <v>151</v>
      </c>
      <c r="J12" s="32" t="s">
        <v>171</v>
      </c>
      <c r="K12" s="31">
        <v>1</v>
      </c>
    </row>
    <row r="13" spans="1:11" x14ac:dyDescent="0.35">
      <c r="F13" s="20" t="s">
        <v>574</v>
      </c>
      <c r="K13" s="34">
        <f>SUM(K5:K12)</f>
        <v>8</v>
      </c>
    </row>
    <row r="15" spans="1:11" x14ac:dyDescent="0.35">
      <c r="B15" s="31">
        <v>1</v>
      </c>
      <c r="C15" s="32" t="s">
        <v>347</v>
      </c>
      <c r="D15" s="32" t="s">
        <v>575</v>
      </c>
      <c r="E15" s="26">
        <v>1</v>
      </c>
      <c r="F15" s="33" t="s">
        <v>836</v>
      </c>
      <c r="G15" s="32" t="s">
        <v>567</v>
      </c>
      <c r="H15" s="32" t="s">
        <v>148</v>
      </c>
      <c r="I15" s="32" t="s">
        <v>150</v>
      </c>
      <c r="J15" s="32" t="s">
        <v>172</v>
      </c>
      <c r="K15" s="35">
        <v>1</v>
      </c>
    </row>
    <row r="16" spans="1:11" x14ac:dyDescent="0.35">
      <c r="B16" s="31">
        <v>1</v>
      </c>
      <c r="C16" s="32" t="s">
        <v>347</v>
      </c>
      <c r="D16" s="32" t="s">
        <v>575</v>
      </c>
      <c r="E16" s="26">
        <v>2</v>
      </c>
      <c r="F16" s="52" t="s">
        <v>784</v>
      </c>
      <c r="G16" s="32" t="s">
        <v>567</v>
      </c>
      <c r="H16" s="32" t="s">
        <v>148</v>
      </c>
      <c r="I16" s="32" t="s">
        <v>150</v>
      </c>
      <c r="J16" s="32" t="s">
        <v>171</v>
      </c>
      <c r="K16" s="31">
        <v>1</v>
      </c>
    </row>
    <row r="17" spans="2:11" x14ac:dyDescent="0.35">
      <c r="B17" s="31">
        <v>1</v>
      </c>
      <c r="C17" s="32" t="s">
        <v>347</v>
      </c>
      <c r="D17" s="32" t="s">
        <v>575</v>
      </c>
      <c r="E17" s="26">
        <v>3</v>
      </c>
      <c r="F17" s="52" t="s">
        <v>785</v>
      </c>
      <c r="G17" s="32" t="s">
        <v>571</v>
      </c>
      <c r="H17" s="32" t="s">
        <v>148</v>
      </c>
      <c r="I17" s="32" t="s">
        <v>150</v>
      </c>
      <c r="J17" s="32" t="s">
        <v>171</v>
      </c>
      <c r="K17" s="31">
        <v>1</v>
      </c>
    </row>
    <row r="18" spans="2:11" x14ac:dyDescent="0.35">
      <c r="B18" s="31">
        <v>1</v>
      </c>
      <c r="C18" s="32" t="s">
        <v>347</v>
      </c>
      <c r="D18" s="32" t="s">
        <v>575</v>
      </c>
      <c r="E18" s="26">
        <v>4</v>
      </c>
      <c r="F18" s="33" t="s">
        <v>576</v>
      </c>
      <c r="G18" s="32" t="s">
        <v>569</v>
      </c>
      <c r="H18" s="32" t="s">
        <v>147</v>
      </c>
      <c r="I18" s="32" t="s">
        <v>150</v>
      </c>
      <c r="J18" s="32" t="s">
        <v>171</v>
      </c>
      <c r="K18" s="31">
        <v>1</v>
      </c>
    </row>
    <row r="19" spans="2:11" x14ac:dyDescent="0.35">
      <c r="B19" s="31">
        <v>1</v>
      </c>
      <c r="C19" s="32" t="s">
        <v>347</v>
      </c>
      <c r="D19" s="32" t="s">
        <v>575</v>
      </c>
      <c r="E19" s="26">
        <v>5</v>
      </c>
      <c r="F19" s="33" t="s">
        <v>825</v>
      </c>
      <c r="G19" s="32" t="s">
        <v>572</v>
      </c>
      <c r="H19" s="32" t="s">
        <v>147</v>
      </c>
      <c r="I19" s="32" t="s">
        <v>151</v>
      </c>
      <c r="J19" s="32" t="s">
        <v>171</v>
      </c>
      <c r="K19" s="31">
        <v>1</v>
      </c>
    </row>
    <row r="20" spans="2:11" x14ac:dyDescent="0.35">
      <c r="B20" s="31">
        <v>1</v>
      </c>
      <c r="C20" s="32" t="s">
        <v>347</v>
      </c>
      <c r="D20" s="32" t="s">
        <v>575</v>
      </c>
      <c r="E20" s="26">
        <v>6</v>
      </c>
      <c r="F20" s="33" t="s">
        <v>826</v>
      </c>
      <c r="G20" s="32" t="s">
        <v>572</v>
      </c>
      <c r="H20" s="32" t="s">
        <v>146</v>
      </c>
      <c r="I20" s="32" t="s">
        <v>151</v>
      </c>
      <c r="J20" s="32" t="s">
        <v>171</v>
      </c>
      <c r="K20" s="31">
        <v>2</v>
      </c>
    </row>
    <row r="21" spans="2:11" x14ac:dyDescent="0.35">
      <c r="B21" s="31">
        <v>1</v>
      </c>
      <c r="C21" s="32" t="s">
        <v>347</v>
      </c>
      <c r="D21" s="32" t="s">
        <v>575</v>
      </c>
      <c r="E21" s="26">
        <v>7</v>
      </c>
      <c r="F21" s="33" t="s">
        <v>808</v>
      </c>
      <c r="G21" s="32" t="s">
        <v>573</v>
      </c>
      <c r="H21" s="32" t="s">
        <v>146</v>
      </c>
      <c r="I21" s="32" t="s">
        <v>151</v>
      </c>
      <c r="J21" s="32" t="s">
        <v>171</v>
      </c>
      <c r="K21" s="31">
        <v>1</v>
      </c>
    </row>
    <row r="22" spans="2:11" x14ac:dyDescent="0.35">
      <c r="B22" s="59">
        <v>1</v>
      </c>
      <c r="C22" s="60" t="s">
        <v>347</v>
      </c>
      <c r="D22" s="60" t="s">
        <v>575</v>
      </c>
      <c r="E22" s="61">
        <v>8</v>
      </c>
      <c r="F22" s="58" t="s">
        <v>577</v>
      </c>
      <c r="G22" s="60" t="s">
        <v>578</v>
      </c>
      <c r="H22" s="60" t="s">
        <v>146</v>
      </c>
      <c r="I22" s="60" t="s">
        <v>151</v>
      </c>
      <c r="J22" s="60" t="s">
        <v>171</v>
      </c>
      <c r="K22" s="51">
        <v>0</v>
      </c>
    </row>
    <row r="23" spans="2:11" x14ac:dyDescent="0.35">
      <c r="F23" s="20" t="s">
        <v>579</v>
      </c>
      <c r="K23" s="34">
        <f>SUM(K15:K22)</f>
        <v>8</v>
      </c>
    </row>
    <row r="25" spans="2:11" x14ac:dyDescent="0.35">
      <c r="B25" s="31">
        <v>1</v>
      </c>
      <c r="C25" s="32" t="s">
        <v>480</v>
      </c>
      <c r="D25" s="32" t="s">
        <v>566</v>
      </c>
      <c r="E25" s="26">
        <v>1</v>
      </c>
      <c r="F25" s="52" t="s">
        <v>836</v>
      </c>
      <c r="G25" s="32" t="s">
        <v>567</v>
      </c>
      <c r="H25" s="32" t="s">
        <v>148</v>
      </c>
      <c r="I25" s="32" t="s">
        <v>150</v>
      </c>
      <c r="J25" s="32" t="s">
        <v>172</v>
      </c>
      <c r="K25" s="31">
        <v>1</v>
      </c>
    </row>
    <row r="26" spans="2:11" x14ac:dyDescent="0.35">
      <c r="B26" s="31">
        <v>1</v>
      </c>
      <c r="C26" s="32" t="s">
        <v>480</v>
      </c>
      <c r="D26" s="32" t="s">
        <v>566</v>
      </c>
      <c r="E26" s="26">
        <v>2</v>
      </c>
      <c r="F26" s="52" t="s">
        <v>832</v>
      </c>
      <c r="G26" s="32" t="s">
        <v>571</v>
      </c>
      <c r="H26" s="32" t="s">
        <v>149</v>
      </c>
      <c r="I26" s="32" t="s">
        <v>150</v>
      </c>
      <c r="J26" s="32" t="s">
        <v>172</v>
      </c>
      <c r="K26" s="31">
        <v>1</v>
      </c>
    </row>
    <row r="27" spans="2:11" x14ac:dyDescent="0.35">
      <c r="B27" s="31">
        <v>1</v>
      </c>
      <c r="C27" s="32" t="s">
        <v>480</v>
      </c>
      <c r="D27" s="32" t="s">
        <v>566</v>
      </c>
      <c r="E27" s="26">
        <v>3</v>
      </c>
      <c r="F27" s="52" t="s">
        <v>582</v>
      </c>
      <c r="G27" s="53" t="s">
        <v>572</v>
      </c>
      <c r="H27" s="53" t="s">
        <v>147</v>
      </c>
      <c r="I27" s="53" t="s">
        <v>151</v>
      </c>
      <c r="J27" s="53" t="s">
        <v>171</v>
      </c>
      <c r="K27" s="31">
        <v>1</v>
      </c>
    </row>
    <row r="28" spans="2:11" x14ac:dyDescent="0.35">
      <c r="B28" s="31">
        <v>1</v>
      </c>
      <c r="C28" s="32" t="s">
        <v>480</v>
      </c>
      <c r="D28" s="32" t="s">
        <v>566</v>
      </c>
      <c r="E28" s="26">
        <v>4</v>
      </c>
      <c r="F28" s="33" t="s">
        <v>580</v>
      </c>
      <c r="G28" s="32" t="s">
        <v>571</v>
      </c>
      <c r="H28" s="32" t="s">
        <v>148</v>
      </c>
      <c r="I28" s="32" t="s">
        <v>151</v>
      </c>
      <c r="J28" s="32" t="s">
        <v>173</v>
      </c>
      <c r="K28" s="31">
        <v>1</v>
      </c>
    </row>
    <row r="29" spans="2:11" x14ac:dyDescent="0.35">
      <c r="B29" s="31">
        <v>1</v>
      </c>
      <c r="C29" s="32" t="s">
        <v>480</v>
      </c>
      <c r="D29" s="32" t="s">
        <v>566</v>
      </c>
      <c r="E29" s="26">
        <v>5</v>
      </c>
      <c r="F29" s="52" t="s">
        <v>790</v>
      </c>
      <c r="G29" s="32" t="s">
        <v>572</v>
      </c>
      <c r="H29" s="32" t="s">
        <v>147</v>
      </c>
      <c r="I29" s="32" t="s">
        <v>151</v>
      </c>
      <c r="J29" s="32" t="s">
        <v>173</v>
      </c>
      <c r="K29" s="31">
        <v>1</v>
      </c>
    </row>
    <row r="30" spans="2:11" x14ac:dyDescent="0.35">
      <c r="B30" s="31">
        <v>1</v>
      </c>
      <c r="C30" s="32" t="s">
        <v>480</v>
      </c>
      <c r="D30" s="32" t="s">
        <v>566</v>
      </c>
      <c r="E30" s="26">
        <v>6</v>
      </c>
      <c r="F30" s="52" t="s">
        <v>792</v>
      </c>
      <c r="G30" s="32" t="s">
        <v>567</v>
      </c>
      <c r="H30" s="32" t="s">
        <v>148</v>
      </c>
      <c r="I30" s="32" t="s">
        <v>150</v>
      </c>
      <c r="J30" s="32" t="s">
        <v>171</v>
      </c>
      <c r="K30" s="31">
        <v>1</v>
      </c>
    </row>
    <row r="31" spans="2:11" x14ac:dyDescent="0.35">
      <c r="B31" s="31">
        <v>1</v>
      </c>
      <c r="C31" s="32" t="s">
        <v>480</v>
      </c>
      <c r="D31" s="32" t="s">
        <v>566</v>
      </c>
      <c r="E31" s="26">
        <v>7</v>
      </c>
      <c r="F31" s="52" t="s">
        <v>791</v>
      </c>
      <c r="G31" s="32" t="s">
        <v>572</v>
      </c>
      <c r="H31" s="32" t="s">
        <v>147</v>
      </c>
      <c r="I31" s="32" t="s">
        <v>150</v>
      </c>
      <c r="J31" s="53" t="s">
        <v>173</v>
      </c>
      <c r="K31" s="31">
        <v>1</v>
      </c>
    </row>
    <row r="32" spans="2:11" x14ac:dyDescent="0.35">
      <c r="B32" s="31">
        <v>1</v>
      </c>
      <c r="C32" s="32" t="s">
        <v>480</v>
      </c>
      <c r="D32" s="32" t="s">
        <v>566</v>
      </c>
      <c r="E32" s="26">
        <v>8</v>
      </c>
      <c r="F32" s="52" t="s">
        <v>790</v>
      </c>
      <c r="G32" s="32" t="s">
        <v>572</v>
      </c>
      <c r="H32" s="32" t="s">
        <v>146</v>
      </c>
      <c r="I32" s="32" t="s">
        <v>151</v>
      </c>
      <c r="J32" s="32" t="s">
        <v>171</v>
      </c>
      <c r="K32" s="31">
        <v>1</v>
      </c>
    </row>
    <row r="33" spans="2:11" x14ac:dyDescent="0.35">
      <c r="B33" s="31">
        <v>1</v>
      </c>
      <c r="C33" s="32" t="s">
        <v>480</v>
      </c>
      <c r="D33" s="32" t="s">
        <v>566</v>
      </c>
      <c r="E33" s="26">
        <v>9</v>
      </c>
      <c r="F33" s="33" t="s">
        <v>808</v>
      </c>
      <c r="G33" s="32" t="s">
        <v>573</v>
      </c>
      <c r="H33" s="32" t="s">
        <v>146</v>
      </c>
      <c r="I33" s="32" t="s">
        <v>151</v>
      </c>
      <c r="J33" s="32" t="s">
        <v>171</v>
      </c>
      <c r="K33" s="31">
        <v>1</v>
      </c>
    </row>
    <row r="34" spans="2:11" x14ac:dyDescent="0.35">
      <c r="F34" s="20" t="s">
        <v>581</v>
      </c>
      <c r="K34" s="34">
        <f>SUM(K25:K33)</f>
        <v>9</v>
      </c>
    </row>
    <row r="36" spans="2:11" x14ac:dyDescent="0.35">
      <c r="B36" s="31">
        <v>1</v>
      </c>
      <c r="C36" s="32" t="s">
        <v>480</v>
      </c>
      <c r="D36" s="32" t="s">
        <v>575</v>
      </c>
      <c r="E36" s="26">
        <v>1</v>
      </c>
      <c r="F36" s="52" t="s">
        <v>833</v>
      </c>
      <c r="G36" s="32" t="s">
        <v>567</v>
      </c>
      <c r="H36" s="32" t="s">
        <v>148</v>
      </c>
      <c r="I36" s="32" t="s">
        <v>150</v>
      </c>
      <c r="J36" s="32" t="s">
        <v>172</v>
      </c>
      <c r="K36" s="35">
        <v>0.5</v>
      </c>
    </row>
    <row r="37" spans="2:11" x14ac:dyDescent="0.35">
      <c r="B37" s="31">
        <v>1</v>
      </c>
      <c r="C37" s="32" t="s">
        <v>480</v>
      </c>
      <c r="D37" s="32" t="s">
        <v>575</v>
      </c>
      <c r="E37" s="26">
        <v>2</v>
      </c>
      <c r="F37" s="52" t="s">
        <v>834</v>
      </c>
      <c r="G37" s="32" t="s">
        <v>571</v>
      </c>
      <c r="H37" s="32" t="s">
        <v>149</v>
      </c>
      <c r="I37" s="32" t="s">
        <v>150</v>
      </c>
      <c r="J37" s="32" t="s">
        <v>172</v>
      </c>
      <c r="K37" s="35">
        <v>0.5</v>
      </c>
    </row>
    <row r="38" spans="2:11" x14ac:dyDescent="0.35">
      <c r="B38" s="31">
        <v>1</v>
      </c>
      <c r="C38" s="32" t="s">
        <v>480</v>
      </c>
      <c r="D38" s="32" t="s">
        <v>575</v>
      </c>
      <c r="E38" s="26">
        <v>3</v>
      </c>
      <c r="F38" s="52" t="s">
        <v>792</v>
      </c>
      <c r="G38" s="32" t="s">
        <v>567</v>
      </c>
      <c r="H38" s="32" t="s">
        <v>148</v>
      </c>
      <c r="I38" s="32" t="s">
        <v>150</v>
      </c>
      <c r="J38" s="32" t="s">
        <v>171</v>
      </c>
      <c r="K38" s="31">
        <v>1</v>
      </c>
    </row>
    <row r="39" spans="2:11" x14ac:dyDescent="0.35">
      <c r="B39" s="31">
        <v>1</v>
      </c>
      <c r="C39" s="32" t="s">
        <v>480</v>
      </c>
      <c r="D39" s="32" t="s">
        <v>575</v>
      </c>
      <c r="E39" s="26">
        <v>4</v>
      </c>
      <c r="F39" s="52" t="s">
        <v>785</v>
      </c>
      <c r="G39" s="32" t="s">
        <v>571</v>
      </c>
      <c r="H39" s="32" t="s">
        <v>148</v>
      </c>
      <c r="I39" s="53" t="s">
        <v>151</v>
      </c>
      <c r="J39" s="32" t="s">
        <v>171</v>
      </c>
      <c r="K39" s="31">
        <v>1</v>
      </c>
    </row>
    <row r="40" spans="2:11" x14ac:dyDescent="0.35">
      <c r="B40" s="31">
        <v>1</v>
      </c>
      <c r="C40" s="32" t="s">
        <v>480</v>
      </c>
      <c r="D40" s="32" t="s">
        <v>575</v>
      </c>
      <c r="E40" s="26">
        <v>5</v>
      </c>
      <c r="F40" s="33" t="s">
        <v>576</v>
      </c>
      <c r="G40" s="32" t="s">
        <v>569</v>
      </c>
      <c r="H40" s="32" t="s">
        <v>147</v>
      </c>
      <c r="I40" s="32" t="s">
        <v>150</v>
      </c>
      <c r="J40" s="32" t="s">
        <v>171</v>
      </c>
      <c r="K40" s="31">
        <v>1</v>
      </c>
    </row>
    <row r="41" spans="2:11" x14ac:dyDescent="0.35">
      <c r="B41" s="31">
        <v>1</v>
      </c>
      <c r="C41" s="32" t="s">
        <v>480</v>
      </c>
      <c r="D41" s="32" t="s">
        <v>575</v>
      </c>
      <c r="E41" s="26">
        <v>6</v>
      </c>
      <c r="F41" s="52" t="s">
        <v>791</v>
      </c>
      <c r="G41" s="32" t="s">
        <v>572</v>
      </c>
      <c r="H41" s="32" t="s">
        <v>147</v>
      </c>
      <c r="I41" s="32" t="s">
        <v>151</v>
      </c>
      <c r="J41" s="32" t="s">
        <v>171</v>
      </c>
      <c r="K41" s="31">
        <v>1</v>
      </c>
    </row>
    <row r="42" spans="2:11" x14ac:dyDescent="0.35">
      <c r="B42" s="31">
        <v>1</v>
      </c>
      <c r="C42" s="32" t="s">
        <v>480</v>
      </c>
      <c r="D42" s="32" t="s">
        <v>575</v>
      </c>
      <c r="E42" s="26">
        <v>7</v>
      </c>
      <c r="F42" s="52" t="s">
        <v>790</v>
      </c>
      <c r="G42" s="32" t="s">
        <v>572</v>
      </c>
      <c r="H42" s="32" t="s">
        <v>146</v>
      </c>
      <c r="I42" s="32" t="s">
        <v>151</v>
      </c>
      <c r="J42" s="32" t="s">
        <v>171</v>
      </c>
      <c r="K42" s="31">
        <v>2</v>
      </c>
    </row>
    <row r="43" spans="2:11" x14ac:dyDescent="0.35">
      <c r="B43" s="31">
        <v>1</v>
      </c>
      <c r="C43" s="32" t="s">
        <v>480</v>
      </c>
      <c r="D43" s="32" t="s">
        <v>575</v>
      </c>
      <c r="E43" s="26">
        <v>8</v>
      </c>
      <c r="F43" s="33" t="s">
        <v>582</v>
      </c>
      <c r="G43" s="32" t="s">
        <v>572</v>
      </c>
      <c r="H43" s="53" t="s">
        <v>147</v>
      </c>
      <c r="I43" s="32" t="s">
        <v>151</v>
      </c>
      <c r="J43" s="32" t="s">
        <v>171</v>
      </c>
      <c r="K43" s="31">
        <v>1</v>
      </c>
    </row>
    <row r="44" spans="2:11" x14ac:dyDescent="0.35">
      <c r="B44" s="31">
        <v>1</v>
      </c>
      <c r="C44" s="32" t="s">
        <v>480</v>
      </c>
      <c r="D44" s="32" t="s">
        <v>575</v>
      </c>
      <c r="E44" s="26">
        <v>9</v>
      </c>
      <c r="F44" s="33" t="s">
        <v>808</v>
      </c>
      <c r="G44" s="32" t="s">
        <v>573</v>
      </c>
      <c r="H44" s="32" t="s">
        <v>146</v>
      </c>
      <c r="I44" s="32" t="s">
        <v>151</v>
      </c>
      <c r="J44" s="32" t="s">
        <v>171</v>
      </c>
      <c r="K44" s="31">
        <v>1</v>
      </c>
    </row>
    <row r="45" spans="2:11" x14ac:dyDescent="0.35">
      <c r="F45" s="20" t="s">
        <v>583</v>
      </c>
      <c r="K45" s="34">
        <f>SUM(K36:K44)</f>
        <v>9</v>
      </c>
    </row>
    <row r="47" spans="2:11" x14ac:dyDescent="0.35">
      <c r="B47" s="31">
        <v>2</v>
      </c>
      <c r="C47" s="32" t="s">
        <v>347</v>
      </c>
      <c r="D47" s="32" t="s">
        <v>566</v>
      </c>
      <c r="E47" s="26">
        <v>1</v>
      </c>
      <c r="F47" s="52" t="s">
        <v>804</v>
      </c>
      <c r="G47" s="32" t="s">
        <v>567</v>
      </c>
      <c r="H47" s="32" t="s">
        <v>148</v>
      </c>
      <c r="I47" s="32" t="s">
        <v>150</v>
      </c>
      <c r="J47" s="32" t="s">
        <v>172</v>
      </c>
      <c r="K47" s="31">
        <v>1</v>
      </c>
    </row>
    <row r="48" spans="2:11" x14ac:dyDescent="0.35">
      <c r="B48" s="31">
        <v>2</v>
      </c>
      <c r="C48" s="32" t="s">
        <v>347</v>
      </c>
      <c r="D48" s="32" t="s">
        <v>566</v>
      </c>
      <c r="E48" s="26">
        <v>2</v>
      </c>
      <c r="F48" s="33" t="s">
        <v>568</v>
      </c>
      <c r="G48" s="32" t="s">
        <v>569</v>
      </c>
      <c r="H48" s="32" t="s">
        <v>148</v>
      </c>
      <c r="I48" s="32" t="s">
        <v>150</v>
      </c>
      <c r="J48" s="32" t="s">
        <v>172</v>
      </c>
      <c r="K48" s="31">
        <v>1</v>
      </c>
    </row>
    <row r="49" spans="2:11" x14ac:dyDescent="0.35">
      <c r="B49" s="31">
        <v>2</v>
      </c>
      <c r="C49" s="32" t="s">
        <v>347</v>
      </c>
      <c r="D49" s="32" t="s">
        <v>566</v>
      </c>
      <c r="E49" s="26">
        <v>3</v>
      </c>
      <c r="F49" s="33" t="s">
        <v>570</v>
      </c>
      <c r="G49" s="32" t="s">
        <v>571</v>
      </c>
      <c r="H49" s="32" t="s">
        <v>148</v>
      </c>
      <c r="I49" s="32" t="s">
        <v>151</v>
      </c>
      <c r="J49" s="32" t="s">
        <v>173</v>
      </c>
      <c r="K49" s="31">
        <v>1</v>
      </c>
    </row>
    <row r="50" spans="2:11" x14ac:dyDescent="0.35">
      <c r="B50" s="31">
        <v>2</v>
      </c>
      <c r="C50" s="32" t="s">
        <v>347</v>
      </c>
      <c r="D50" s="32" t="s">
        <v>566</v>
      </c>
      <c r="E50" s="26">
        <v>4</v>
      </c>
      <c r="F50" s="52" t="s">
        <v>785</v>
      </c>
      <c r="G50" s="32" t="s">
        <v>572</v>
      </c>
      <c r="H50" s="32" t="s">
        <v>147</v>
      </c>
      <c r="I50" s="32" t="s">
        <v>151</v>
      </c>
      <c r="J50" s="32" t="s">
        <v>173</v>
      </c>
      <c r="K50" s="31">
        <v>1</v>
      </c>
    </row>
    <row r="51" spans="2:11" x14ac:dyDescent="0.35">
      <c r="B51" s="31">
        <v>2</v>
      </c>
      <c r="C51" s="32" t="s">
        <v>347</v>
      </c>
      <c r="D51" s="32" t="s">
        <v>566</v>
      </c>
      <c r="E51" s="26">
        <v>5</v>
      </c>
      <c r="F51" s="52" t="s">
        <v>784</v>
      </c>
      <c r="G51" s="32" t="s">
        <v>567</v>
      </c>
      <c r="H51" s="32" t="s">
        <v>148</v>
      </c>
      <c r="I51" s="32" t="s">
        <v>151</v>
      </c>
      <c r="J51" s="32" t="s">
        <v>171</v>
      </c>
      <c r="K51" s="31">
        <v>1</v>
      </c>
    </row>
    <row r="52" spans="2:11" x14ac:dyDescent="0.35">
      <c r="B52" s="31">
        <v>2</v>
      </c>
      <c r="C52" s="32" t="s">
        <v>347</v>
      </c>
      <c r="D52" s="32" t="s">
        <v>566</v>
      </c>
      <c r="E52" s="26">
        <v>6</v>
      </c>
      <c r="F52" s="33" t="s">
        <v>826</v>
      </c>
      <c r="G52" s="32" t="s">
        <v>572</v>
      </c>
      <c r="H52" s="32" t="s">
        <v>147</v>
      </c>
      <c r="I52" s="32" t="s">
        <v>151</v>
      </c>
      <c r="J52" s="32" t="s">
        <v>171</v>
      </c>
      <c r="K52" s="31">
        <v>1</v>
      </c>
    </row>
    <row r="53" spans="2:11" x14ac:dyDescent="0.35">
      <c r="B53" s="31">
        <v>2</v>
      </c>
      <c r="C53" s="32" t="s">
        <v>347</v>
      </c>
      <c r="D53" s="32" t="s">
        <v>566</v>
      </c>
      <c r="E53" s="26">
        <v>7</v>
      </c>
      <c r="F53" s="33" t="s">
        <v>809</v>
      </c>
      <c r="G53" s="32" t="s">
        <v>573</v>
      </c>
      <c r="H53" s="32" t="s">
        <v>147</v>
      </c>
      <c r="I53" s="32" t="s">
        <v>151</v>
      </c>
      <c r="J53" s="32" t="s">
        <v>171</v>
      </c>
      <c r="K53" s="31">
        <v>1</v>
      </c>
    </row>
    <row r="54" spans="2:11" x14ac:dyDescent="0.35">
      <c r="F54" s="20" t="s">
        <v>584</v>
      </c>
      <c r="K54" s="34">
        <f>SUM(K47:K53)</f>
        <v>7</v>
      </c>
    </row>
    <row r="56" spans="2:11" x14ac:dyDescent="0.35">
      <c r="B56" s="31">
        <v>2</v>
      </c>
      <c r="C56" s="32" t="s">
        <v>347</v>
      </c>
      <c r="D56" s="32" t="s">
        <v>575</v>
      </c>
      <c r="E56" s="26">
        <v>1</v>
      </c>
      <c r="F56" s="33" t="s">
        <v>585</v>
      </c>
      <c r="G56" s="32" t="s">
        <v>567</v>
      </c>
      <c r="H56" s="32" t="s">
        <v>148</v>
      </c>
      <c r="I56" s="32" t="s">
        <v>150</v>
      </c>
      <c r="J56" s="32" t="s">
        <v>172</v>
      </c>
      <c r="K56" s="31">
        <v>1</v>
      </c>
    </row>
    <row r="57" spans="2:11" x14ac:dyDescent="0.35">
      <c r="B57" s="31">
        <v>2</v>
      </c>
      <c r="C57" s="32" t="s">
        <v>347</v>
      </c>
      <c r="D57" s="32" t="s">
        <v>575</v>
      </c>
      <c r="E57" s="26">
        <v>2</v>
      </c>
      <c r="F57" s="52" t="s">
        <v>784</v>
      </c>
      <c r="G57" s="32" t="s">
        <v>567</v>
      </c>
      <c r="H57" s="32" t="s">
        <v>148</v>
      </c>
      <c r="I57" s="32" t="s">
        <v>150</v>
      </c>
      <c r="J57" s="32" t="s">
        <v>171</v>
      </c>
      <c r="K57" s="31">
        <v>1</v>
      </c>
    </row>
    <row r="58" spans="2:11" x14ac:dyDescent="0.35">
      <c r="B58" s="31">
        <v>2</v>
      </c>
      <c r="C58" s="32" t="s">
        <v>347</v>
      </c>
      <c r="D58" s="32" t="s">
        <v>575</v>
      </c>
      <c r="E58" s="26">
        <v>3</v>
      </c>
      <c r="F58" s="52" t="s">
        <v>785</v>
      </c>
      <c r="G58" s="32" t="s">
        <v>571</v>
      </c>
      <c r="H58" s="32" t="s">
        <v>148</v>
      </c>
      <c r="I58" s="32" t="s">
        <v>151</v>
      </c>
      <c r="J58" s="32" t="s">
        <v>171</v>
      </c>
      <c r="K58" s="31">
        <v>1</v>
      </c>
    </row>
    <row r="59" spans="2:11" x14ac:dyDescent="0.35">
      <c r="B59" s="31">
        <v>2</v>
      </c>
      <c r="C59" s="32" t="s">
        <v>347</v>
      </c>
      <c r="D59" s="32" t="s">
        <v>575</v>
      </c>
      <c r="E59" s="26">
        <v>4</v>
      </c>
      <c r="F59" s="33" t="s">
        <v>576</v>
      </c>
      <c r="G59" s="32" t="s">
        <v>569</v>
      </c>
      <c r="H59" s="32" t="s">
        <v>147</v>
      </c>
      <c r="I59" s="32" t="s">
        <v>150</v>
      </c>
      <c r="J59" s="32" t="s">
        <v>171</v>
      </c>
      <c r="K59" s="31">
        <v>1</v>
      </c>
    </row>
    <row r="60" spans="2:11" x14ac:dyDescent="0.35">
      <c r="B60" s="31">
        <v>2</v>
      </c>
      <c r="C60" s="32" t="s">
        <v>347</v>
      </c>
      <c r="D60" s="32" t="s">
        <v>575</v>
      </c>
      <c r="E60" s="26">
        <v>5</v>
      </c>
      <c r="F60" s="33" t="s">
        <v>826</v>
      </c>
      <c r="G60" s="32" t="s">
        <v>572</v>
      </c>
      <c r="H60" s="32" t="s">
        <v>147</v>
      </c>
      <c r="I60" s="32" t="s">
        <v>151</v>
      </c>
      <c r="J60" s="32" t="s">
        <v>171</v>
      </c>
      <c r="K60" s="31">
        <v>2</v>
      </c>
    </row>
    <row r="61" spans="2:11" x14ac:dyDescent="0.35">
      <c r="B61" s="31">
        <v>2</v>
      </c>
      <c r="C61" s="32" t="s">
        <v>347</v>
      </c>
      <c r="D61" s="32" t="s">
        <v>575</v>
      </c>
      <c r="E61" s="26">
        <v>6</v>
      </c>
      <c r="F61" s="33" t="s">
        <v>809</v>
      </c>
      <c r="G61" s="32" t="s">
        <v>573</v>
      </c>
      <c r="H61" s="32" t="s">
        <v>147</v>
      </c>
      <c r="I61" s="32" t="s">
        <v>151</v>
      </c>
      <c r="J61" s="32" t="s">
        <v>171</v>
      </c>
      <c r="K61" s="31">
        <v>1</v>
      </c>
    </row>
    <row r="62" spans="2:11" x14ac:dyDescent="0.35">
      <c r="B62" s="55">
        <v>2</v>
      </c>
      <c r="C62" s="56" t="s">
        <v>347</v>
      </c>
      <c r="D62" s="56" t="s">
        <v>575</v>
      </c>
      <c r="E62" s="57">
        <v>7</v>
      </c>
      <c r="F62" s="58" t="s">
        <v>577</v>
      </c>
      <c r="G62" s="56" t="s">
        <v>578</v>
      </c>
      <c r="H62" s="56" t="s">
        <v>146</v>
      </c>
      <c r="I62" s="56" t="s">
        <v>151</v>
      </c>
      <c r="J62" s="56" t="s">
        <v>171</v>
      </c>
      <c r="K62" s="51">
        <v>0</v>
      </c>
    </row>
    <row r="63" spans="2:11" x14ac:dyDescent="0.35">
      <c r="F63" s="20" t="s">
        <v>586</v>
      </c>
      <c r="K63" s="34">
        <f>SUM(K56:K62)</f>
        <v>7</v>
      </c>
    </row>
    <row r="65" spans="2:11" x14ac:dyDescent="0.35">
      <c r="B65" s="31">
        <v>2</v>
      </c>
      <c r="C65" s="32" t="s">
        <v>480</v>
      </c>
      <c r="D65" s="32" t="s">
        <v>566</v>
      </c>
      <c r="E65" s="26">
        <v>1</v>
      </c>
      <c r="F65" s="52" t="s">
        <v>835</v>
      </c>
      <c r="G65" s="32" t="s">
        <v>567</v>
      </c>
      <c r="H65" s="32" t="s">
        <v>148</v>
      </c>
      <c r="I65" s="32" t="s">
        <v>150</v>
      </c>
      <c r="J65" s="32" t="s">
        <v>172</v>
      </c>
      <c r="K65" s="31">
        <v>1</v>
      </c>
    </row>
    <row r="66" spans="2:11" x14ac:dyDescent="0.35">
      <c r="B66" s="31">
        <v>2</v>
      </c>
      <c r="C66" s="32" t="s">
        <v>480</v>
      </c>
      <c r="D66" s="32" t="s">
        <v>566</v>
      </c>
      <c r="E66" s="26">
        <v>2</v>
      </c>
      <c r="F66" s="52" t="s">
        <v>788</v>
      </c>
      <c r="G66" s="32" t="s">
        <v>571</v>
      </c>
      <c r="H66" s="32" t="s">
        <v>149</v>
      </c>
      <c r="I66" s="32" t="s">
        <v>150</v>
      </c>
      <c r="J66" s="32" t="s">
        <v>172</v>
      </c>
      <c r="K66" s="31">
        <v>1</v>
      </c>
    </row>
    <row r="67" spans="2:11" x14ac:dyDescent="0.35">
      <c r="B67" s="31">
        <v>2</v>
      </c>
      <c r="C67" s="32" t="s">
        <v>480</v>
      </c>
      <c r="D67" s="32" t="s">
        <v>566</v>
      </c>
      <c r="E67" s="26">
        <v>3</v>
      </c>
      <c r="F67" s="52" t="s">
        <v>582</v>
      </c>
      <c r="G67" s="53" t="s">
        <v>572</v>
      </c>
      <c r="H67" s="53" t="s">
        <v>147</v>
      </c>
      <c r="I67" s="53" t="s">
        <v>151</v>
      </c>
      <c r="J67" s="53" t="s">
        <v>171</v>
      </c>
      <c r="K67" s="31">
        <v>1</v>
      </c>
    </row>
    <row r="68" spans="2:11" x14ac:dyDescent="0.35">
      <c r="B68" s="31">
        <v>2</v>
      </c>
      <c r="C68" s="32" t="s">
        <v>480</v>
      </c>
      <c r="D68" s="32" t="s">
        <v>566</v>
      </c>
      <c r="E68" s="26">
        <v>4</v>
      </c>
      <c r="F68" s="33" t="s">
        <v>580</v>
      </c>
      <c r="G68" s="32" t="s">
        <v>571</v>
      </c>
      <c r="H68" s="32" t="s">
        <v>148</v>
      </c>
      <c r="I68" s="32" t="s">
        <v>151</v>
      </c>
      <c r="J68" s="32" t="s">
        <v>173</v>
      </c>
      <c r="K68" s="31">
        <v>1</v>
      </c>
    </row>
    <row r="69" spans="2:11" x14ac:dyDescent="0.35">
      <c r="B69" s="31">
        <v>2</v>
      </c>
      <c r="C69" s="32" t="s">
        <v>480</v>
      </c>
      <c r="D69" s="32" t="s">
        <v>566</v>
      </c>
      <c r="E69" s="26">
        <v>5</v>
      </c>
      <c r="F69" s="52" t="s">
        <v>790</v>
      </c>
      <c r="G69" s="32" t="s">
        <v>572</v>
      </c>
      <c r="H69" s="32" t="s">
        <v>147</v>
      </c>
      <c r="I69" s="32" t="s">
        <v>151</v>
      </c>
      <c r="J69" s="32" t="s">
        <v>173</v>
      </c>
      <c r="K69" s="31">
        <v>1</v>
      </c>
    </row>
    <row r="70" spans="2:11" x14ac:dyDescent="0.35">
      <c r="B70" s="31">
        <v>2</v>
      </c>
      <c r="C70" s="32" t="s">
        <v>480</v>
      </c>
      <c r="D70" s="32" t="s">
        <v>566</v>
      </c>
      <c r="E70" s="26">
        <v>6</v>
      </c>
      <c r="F70" s="52" t="s">
        <v>794</v>
      </c>
      <c r="G70" s="32" t="s">
        <v>567</v>
      </c>
      <c r="H70" s="32" t="s">
        <v>148</v>
      </c>
      <c r="I70" s="32" t="s">
        <v>150</v>
      </c>
      <c r="J70" s="32" t="s">
        <v>171</v>
      </c>
      <c r="K70" s="31">
        <v>1</v>
      </c>
    </row>
    <row r="71" spans="2:11" x14ac:dyDescent="0.35">
      <c r="B71" s="31">
        <v>2</v>
      </c>
      <c r="C71" s="32" t="s">
        <v>480</v>
      </c>
      <c r="D71" s="32" t="s">
        <v>566</v>
      </c>
      <c r="E71" s="26">
        <v>7</v>
      </c>
      <c r="F71" s="33" t="s">
        <v>587</v>
      </c>
      <c r="G71" s="32" t="s">
        <v>572</v>
      </c>
      <c r="H71" s="32" t="s">
        <v>147</v>
      </c>
      <c r="I71" s="32" t="s">
        <v>151</v>
      </c>
      <c r="J71" s="32" t="s">
        <v>171</v>
      </c>
      <c r="K71" s="31">
        <v>1</v>
      </c>
    </row>
    <row r="72" spans="2:11" x14ac:dyDescent="0.35">
      <c r="F72" s="20" t="s">
        <v>588</v>
      </c>
      <c r="K72" s="34">
        <f>SUM(K65:K71)</f>
        <v>7</v>
      </c>
    </row>
    <row r="74" spans="2:11" x14ac:dyDescent="0.35">
      <c r="B74" s="31">
        <v>2</v>
      </c>
      <c r="C74" s="32" t="s">
        <v>480</v>
      </c>
      <c r="D74" s="32" t="s">
        <v>575</v>
      </c>
      <c r="E74" s="26">
        <v>1</v>
      </c>
      <c r="F74" s="52" t="s">
        <v>787</v>
      </c>
      <c r="G74" s="32" t="s">
        <v>567</v>
      </c>
      <c r="H74" s="32" t="s">
        <v>148</v>
      </c>
      <c r="I74" s="32" t="s">
        <v>150</v>
      </c>
      <c r="J74" s="32" t="s">
        <v>172</v>
      </c>
      <c r="K74" s="35">
        <v>0.5</v>
      </c>
    </row>
    <row r="75" spans="2:11" x14ac:dyDescent="0.35">
      <c r="B75" s="31">
        <v>2</v>
      </c>
      <c r="C75" s="32" t="s">
        <v>480</v>
      </c>
      <c r="D75" s="32" t="s">
        <v>575</v>
      </c>
      <c r="E75" s="26">
        <v>2</v>
      </c>
      <c r="F75" s="52" t="s">
        <v>834</v>
      </c>
      <c r="G75" s="32" t="s">
        <v>571</v>
      </c>
      <c r="H75" s="32" t="s">
        <v>149</v>
      </c>
      <c r="I75" s="32" t="s">
        <v>150</v>
      </c>
      <c r="J75" s="32" t="s">
        <v>172</v>
      </c>
      <c r="K75" s="35">
        <v>0.5</v>
      </c>
    </row>
    <row r="76" spans="2:11" x14ac:dyDescent="0.35">
      <c r="B76" s="31">
        <v>2</v>
      </c>
      <c r="C76" s="32" t="s">
        <v>480</v>
      </c>
      <c r="D76" s="32" t="s">
        <v>575</v>
      </c>
      <c r="E76" s="26">
        <v>3</v>
      </c>
      <c r="F76" s="52" t="s">
        <v>792</v>
      </c>
      <c r="G76" s="32" t="s">
        <v>567</v>
      </c>
      <c r="H76" s="32" t="s">
        <v>148</v>
      </c>
      <c r="I76" s="53" t="s">
        <v>150</v>
      </c>
      <c r="J76" s="32" t="s">
        <v>171</v>
      </c>
      <c r="K76" s="31">
        <v>1</v>
      </c>
    </row>
    <row r="77" spans="2:11" x14ac:dyDescent="0.35">
      <c r="B77" s="31">
        <v>2</v>
      </c>
      <c r="C77" s="32" t="s">
        <v>480</v>
      </c>
      <c r="D77" s="32" t="s">
        <v>575</v>
      </c>
      <c r="E77" s="26">
        <v>4</v>
      </c>
      <c r="F77" s="52" t="s">
        <v>794</v>
      </c>
      <c r="G77" s="32" t="s">
        <v>571</v>
      </c>
      <c r="H77" s="32" t="s">
        <v>148</v>
      </c>
      <c r="I77" s="53" t="s">
        <v>150</v>
      </c>
      <c r="J77" s="32" t="s">
        <v>171</v>
      </c>
      <c r="K77" s="31">
        <v>1</v>
      </c>
    </row>
    <row r="78" spans="2:11" x14ac:dyDescent="0.35">
      <c r="B78" s="31">
        <v>2</v>
      </c>
      <c r="C78" s="32" t="s">
        <v>480</v>
      </c>
      <c r="D78" s="32" t="s">
        <v>575</v>
      </c>
      <c r="E78" s="26">
        <v>5</v>
      </c>
      <c r="F78" s="33" t="s">
        <v>576</v>
      </c>
      <c r="G78" s="32" t="s">
        <v>569</v>
      </c>
      <c r="H78" s="32" t="s">
        <v>147</v>
      </c>
      <c r="I78" s="32" t="s">
        <v>150</v>
      </c>
      <c r="J78" s="32" t="s">
        <v>171</v>
      </c>
      <c r="K78" s="31">
        <v>1</v>
      </c>
    </row>
    <row r="79" spans="2:11" x14ac:dyDescent="0.35">
      <c r="B79" s="31">
        <v>2</v>
      </c>
      <c r="C79" s="32" t="s">
        <v>480</v>
      </c>
      <c r="D79" s="32" t="s">
        <v>575</v>
      </c>
      <c r="E79" s="26">
        <v>6</v>
      </c>
      <c r="F79" s="33" t="s">
        <v>587</v>
      </c>
      <c r="G79" s="32" t="s">
        <v>572</v>
      </c>
      <c r="H79" s="32" t="s">
        <v>147</v>
      </c>
      <c r="I79" s="32" t="s">
        <v>151</v>
      </c>
      <c r="J79" s="32" t="s">
        <v>171</v>
      </c>
      <c r="K79" s="31">
        <v>2</v>
      </c>
    </row>
    <row r="80" spans="2:11" x14ac:dyDescent="0.35">
      <c r="B80" s="31">
        <v>2</v>
      </c>
      <c r="C80" s="32" t="s">
        <v>480</v>
      </c>
      <c r="D80" s="32" t="s">
        <v>575</v>
      </c>
      <c r="E80" s="26">
        <v>7</v>
      </c>
      <c r="F80" s="33" t="s">
        <v>582</v>
      </c>
      <c r="G80" s="32" t="s">
        <v>572</v>
      </c>
      <c r="H80" s="53" t="s">
        <v>147</v>
      </c>
      <c r="I80" s="32" t="s">
        <v>151</v>
      </c>
      <c r="J80" s="32" t="s">
        <v>171</v>
      </c>
      <c r="K80" s="31">
        <v>1</v>
      </c>
    </row>
    <row r="81" spans="2:12" x14ac:dyDescent="0.35">
      <c r="B81" s="31">
        <v>2</v>
      </c>
      <c r="C81" s="32" t="s">
        <v>480</v>
      </c>
      <c r="D81" s="32" t="s">
        <v>575</v>
      </c>
      <c r="E81" s="26">
        <v>8</v>
      </c>
      <c r="F81" s="33" t="s">
        <v>809</v>
      </c>
      <c r="G81" s="32" t="s">
        <v>573</v>
      </c>
      <c r="H81" s="32" t="s">
        <v>147</v>
      </c>
      <c r="I81" s="32" t="s">
        <v>151</v>
      </c>
      <c r="J81" s="32" t="s">
        <v>171</v>
      </c>
      <c r="K81" s="31">
        <v>1</v>
      </c>
    </row>
    <row r="82" spans="2:12" x14ac:dyDescent="0.35">
      <c r="F82" s="20" t="s">
        <v>589</v>
      </c>
      <c r="K82" s="34">
        <f>SUM(K74:K81)</f>
        <v>8</v>
      </c>
    </row>
    <row r="84" spans="2:12" x14ac:dyDescent="0.35">
      <c r="B84" s="31">
        <v>3</v>
      </c>
      <c r="C84" s="32" t="s">
        <v>347</v>
      </c>
      <c r="D84" s="32" t="s">
        <v>566</v>
      </c>
      <c r="E84" s="26">
        <v>1</v>
      </c>
      <c r="F84" s="52" t="s">
        <v>804</v>
      </c>
      <c r="G84" s="32" t="s">
        <v>567</v>
      </c>
      <c r="H84" s="32" t="s">
        <v>148</v>
      </c>
      <c r="I84" s="32" t="s">
        <v>150</v>
      </c>
      <c r="J84" s="32" t="s">
        <v>172</v>
      </c>
      <c r="K84" s="51">
        <v>0</v>
      </c>
      <c r="L84" t="s">
        <v>796</v>
      </c>
    </row>
    <row r="85" spans="2:12" x14ac:dyDescent="0.35">
      <c r="B85" s="31">
        <v>3</v>
      </c>
      <c r="C85" s="32" t="s">
        <v>347</v>
      </c>
      <c r="D85" s="32" t="s">
        <v>566</v>
      </c>
      <c r="E85" s="26">
        <v>2</v>
      </c>
      <c r="F85" s="33" t="s">
        <v>568</v>
      </c>
      <c r="G85" s="32" t="s">
        <v>569</v>
      </c>
      <c r="H85" s="32" t="s">
        <v>148</v>
      </c>
      <c r="I85" s="32" t="s">
        <v>150</v>
      </c>
      <c r="J85" s="32" t="s">
        <v>172</v>
      </c>
      <c r="K85" s="51">
        <v>0</v>
      </c>
    </row>
    <row r="86" spans="2:12" x14ac:dyDescent="0.35">
      <c r="B86" s="31">
        <v>3</v>
      </c>
      <c r="C86" s="32" t="s">
        <v>347</v>
      </c>
      <c r="D86" s="32" t="s">
        <v>566</v>
      </c>
      <c r="E86" s="26">
        <v>3</v>
      </c>
      <c r="F86" s="52" t="s">
        <v>785</v>
      </c>
      <c r="G86" s="32" t="s">
        <v>571</v>
      </c>
      <c r="H86" s="32" t="s">
        <v>148</v>
      </c>
      <c r="I86" s="32" t="s">
        <v>151</v>
      </c>
      <c r="J86" s="32" t="s">
        <v>173</v>
      </c>
      <c r="K86" s="51">
        <v>0</v>
      </c>
    </row>
    <row r="87" spans="2:12" x14ac:dyDescent="0.35">
      <c r="B87" s="31">
        <v>3</v>
      </c>
      <c r="C87" s="32" t="s">
        <v>347</v>
      </c>
      <c r="D87" s="32" t="s">
        <v>566</v>
      </c>
      <c r="E87" s="26">
        <v>4</v>
      </c>
      <c r="F87" s="33" t="s">
        <v>827</v>
      </c>
      <c r="G87" s="32" t="s">
        <v>572</v>
      </c>
      <c r="H87" s="32" t="s">
        <v>147</v>
      </c>
      <c r="I87" s="32" t="s">
        <v>151</v>
      </c>
      <c r="J87" s="32" t="s">
        <v>173</v>
      </c>
      <c r="K87" s="51">
        <v>0</v>
      </c>
    </row>
    <row r="88" spans="2:12" x14ac:dyDescent="0.35">
      <c r="B88" s="31">
        <v>3</v>
      </c>
      <c r="C88" s="32" t="s">
        <v>347</v>
      </c>
      <c r="D88" s="32" t="s">
        <v>566</v>
      </c>
      <c r="E88" s="26">
        <v>5</v>
      </c>
      <c r="F88" s="52" t="s">
        <v>784</v>
      </c>
      <c r="G88" s="32" t="s">
        <v>567</v>
      </c>
      <c r="H88" s="32" t="s">
        <v>148</v>
      </c>
      <c r="I88" s="32" t="s">
        <v>151</v>
      </c>
      <c r="J88" s="32" t="s">
        <v>171</v>
      </c>
      <c r="K88" s="51">
        <v>0</v>
      </c>
    </row>
    <row r="89" spans="2:12" x14ac:dyDescent="0.35">
      <c r="B89" s="31">
        <v>3</v>
      </c>
      <c r="C89" s="32" t="s">
        <v>347</v>
      </c>
      <c r="D89" s="32" t="s">
        <v>566</v>
      </c>
      <c r="E89" s="26">
        <v>6</v>
      </c>
      <c r="F89" s="33" t="s">
        <v>827</v>
      </c>
      <c r="G89" s="32" t="s">
        <v>572</v>
      </c>
      <c r="H89" s="32" t="s">
        <v>147</v>
      </c>
      <c r="I89" s="32" t="s">
        <v>151</v>
      </c>
      <c r="J89" s="32" t="s">
        <v>171</v>
      </c>
      <c r="K89" s="51">
        <v>0</v>
      </c>
    </row>
    <row r="90" spans="2:12" x14ac:dyDescent="0.35">
      <c r="F90" s="20" t="s">
        <v>590</v>
      </c>
      <c r="K90" s="34">
        <f>SUM(K84:K89)</f>
        <v>0</v>
      </c>
    </row>
    <row r="92" spans="2:12" x14ac:dyDescent="0.35">
      <c r="B92" s="31">
        <v>3</v>
      </c>
      <c r="C92" s="32" t="s">
        <v>347</v>
      </c>
      <c r="D92" s="32" t="s">
        <v>575</v>
      </c>
      <c r="E92" s="26">
        <v>1</v>
      </c>
      <c r="F92" s="33" t="s">
        <v>585</v>
      </c>
      <c r="G92" s="32" t="s">
        <v>567</v>
      </c>
      <c r="H92" s="32" t="s">
        <v>148</v>
      </c>
      <c r="I92" s="32" t="s">
        <v>150</v>
      </c>
      <c r="J92" s="32" t="s">
        <v>172</v>
      </c>
      <c r="K92" s="51">
        <v>0</v>
      </c>
      <c r="L92" t="s">
        <v>796</v>
      </c>
    </row>
    <row r="93" spans="2:12" x14ac:dyDescent="0.35">
      <c r="B93" s="31">
        <v>3</v>
      </c>
      <c r="C93" s="32" t="s">
        <v>347</v>
      </c>
      <c r="D93" s="32" t="s">
        <v>575</v>
      </c>
      <c r="E93" s="26">
        <v>2</v>
      </c>
      <c r="F93" s="52" t="s">
        <v>784</v>
      </c>
      <c r="G93" s="32" t="s">
        <v>567</v>
      </c>
      <c r="H93" s="32" t="s">
        <v>148</v>
      </c>
      <c r="I93" s="32" t="s">
        <v>151</v>
      </c>
      <c r="J93" s="32" t="s">
        <v>171</v>
      </c>
      <c r="K93" s="51">
        <v>0</v>
      </c>
    </row>
    <row r="94" spans="2:12" x14ac:dyDescent="0.35">
      <c r="B94" s="31">
        <v>3</v>
      </c>
      <c r="C94" s="32" t="s">
        <v>347</v>
      </c>
      <c r="D94" s="32" t="s">
        <v>575</v>
      </c>
      <c r="E94" s="26">
        <v>3</v>
      </c>
      <c r="F94" s="33" t="s">
        <v>576</v>
      </c>
      <c r="G94" s="32" t="s">
        <v>569</v>
      </c>
      <c r="H94" s="32" t="s">
        <v>147</v>
      </c>
      <c r="I94" s="32" t="s">
        <v>150</v>
      </c>
      <c r="J94" s="32" t="s">
        <v>171</v>
      </c>
      <c r="K94" s="51">
        <v>0</v>
      </c>
    </row>
    <row r="95" spans="2:12" x14ac:dyDescent="0.35">
      <c r="B95" s="31">
        <v>3</v>
      </c>
      <c r="C95" s="32" t="s">
        <v>347</v>
      </c>
      <c r="D95" s="32" t="s">
        <v>575</v>
      </c>
      <c r="E95" s="26">
        <v>4</v>
      </c>
      <c r="F95" s="52" t="s">
        <v>793</v>
      </c>
      <c r="G95" s="32" t="s">
        <v>571</v>
      </c>
      <c r="H95" s="32" t="s">
        <v>148</v>
      </c>
      <c r="I95" s="32" t="s">
        <v>151</v>
      </c>
      <c r="J95" s="32" t="s">
        <v>171</v>
      </c>
      <c r="K95" s="51">
        <v>0</v>
      </c>
    </row>
    <row r="96" spans="2:12" x14ac:dyDescent="0.35">
      <c r="B96" s="31">
        <v>3</v>
      </c>
      <c r="C96" s="32" t="s">
        <v>347</v>
      </c>
      <c r="D96" s="32" t="s">
        <v>575</v>
      </c>
      <c r="E96" s="26">
        <v>5</v>
      </c>
      <c r="F96" s="33" t="s">
        <v>827</v>
      </c>
      <c r="G96" s="32" t="s">
        <v>572</v>
      </c>
      <c r="H96" s="32" t="s">
        <v>147</v>
      </c>
      <c r="I96" s="32" t="s">
        <v>151</v>
      </c>
      <c r="J96" s="32" t="s">
        <v>171</v>
      </c>
      <c r="K96" s="51">
        <v>0</v>
      </c>
    </row>
    <row r="97" spans="2:11" x14ac:dyDescent="0.35">
      <c r="B97" s="31">
        <v>3</v>
      </c>
      <c r="C97" s="32" t="s">
        <v>347</v>
      </c>
      <c r="D97" s="32" t="s">
        <v>575</v>
      </c>
      <c r="E97" s="26">
        <v>6</v>
      </c>
      <c r="F97" s="33" t="s">
        <v>809</v>
      </c>
      <c r="G97" s="32" t="s">
        <v>573</v>
      </c>
      <c r="H97" s="32" t="s">
        <v>147</v>
      </c>
      <c r="I97" s="32" t="s">
        <v>151</v>
      </c>
      <c r="J97" s="32" t="s">
        <v>171</v>
      </c>
      <c r="K97" s="51">
        <v>0</v>
      </c>
    </row>
    <row r="98" spans="2:11" x14ac:dyDescent="0.35">
      <c r="F98" s="20" t="s">
        <v>591</v>
      </c>
      <c r="K98" s="34">
        <f>SUM(K92:K97)</f>
        <v>0</v>
      </c>
    </row>
    <row r="100" spans="2:11" x14ac:dyDescent="0.35">
      <c r="B100" s="31">
        <v>3</v>
      </c>
      <c r="C100" s="32" t="s">
        <v>480</v>
      </c>
      <c r="D100" s="32" t="s">
        <v>566</v>
      </c>
      <c r="E100" s="26">
        <v>1</v>
      </c>
      <c r="F100" s="52" t="s">
        <v>786</v>
      </c>
      <c r="G100" s="32" t="s">
        <v>567</v>
      </c>
      <c r="H100" s="32" t="s">
        <v>148</v>
      </c>
      <c r="I100" s="32" t="s">
        <v>150</v>
      </c>
      <c r="J100" s="32" t="s">
        <v>172</v>
      </c>
      <c r="K100" s="31">
        <v>1</v>
      </c>
    </row>
    <row r="101" spans="2:11" x14ac:dyDescent="0.35">
      <c r="B101" s="31">
        <v>3</v>
      </c>
      <c r="C101" s="32" t="s">
        <v>480</v>
      </c>
      <c r="D101" s="32" t="s">
        <v>566</v>
      </c>
      <c r="E101" s="26">
        <v>2</v>
      </c>
      <c r="F101" s="52" t="s">
        <v>788</v>
      </c>
      <c r="G101" s="32" t="s">
        <v>571</v>
      </c>
      <c r="H101" s="32" t="s">
        <v>149</v>
      </c>
      <c r="I101" s="32" t="s">
        <v>150</v>
      </c>
      <c r="J101" s="32" t="s">
        <v>172</v>
      </c>
      <c r="K101" s="31">
        <v>1</v>
      </c>
    </row>
    <row r="102" spans="2:11" x14ac:dyDescent="0.35">
      <c r="B102" s="31">
        <v>3</v>
      </c>
      <c r="C102" s="32" t="s">
        <v>480</v>
      </c>
      <c r="D102" s="32" t="s">
        <v>566</v>
      </c>
      <c r="E102" s="26">
        <v>3</v>
      </c>
      <c r="F102" s="52" t="s">
        <v>582</v>
      </c>
      <c r="G102" s="32" t="s">
        <v>572</v>
      </c>
      <c r="H102" s="53" t="s">
        <v>147</v>
      </c>
      <c r="I102" s="53" t="s">
        <v>151</v>
      </c>
      <c r="J102" s="53" t="s">
        <v>171</v>
      </c>
      <c r="K102" s="31">
        <v>1</v>
      </c>
    </row>
    <row r="103" spans="2:11" x14ac:dyDescent="0.35">
      <c r="B103" s="31">
        <v>3</v>
      </c>
      <c r="C103" s="32" t="s">
        <v>480</v>
      </c>
      <c r="D103" s="32" t="s">
        <v>566</v>
      </c>
      <c r="E103" s="26">
        <v>4</v>
      </c>
      <c r="F103" s="33" t="s">
        <v>580</v>
      </c>
      <c r="G103" s="32" t="s">
        <v>571</v>
      </c>
      <c r="H103" s="32" t="s">
        <v>148</v>
      </c>
      <c r="I103" s="32" t="s">
        <v>151</v>
      </c>
      <c r="J103" s="32" t="s">
        <v>173</v>
      </c>
      <c r="K103" s="31">
        <v>1</v>
      </c>
    </row>
    <row r="104" spans="2:11" x14ac:dyDescent="0.35">
      <c r="B104" s="31">
        <v>3</v>
      </c>
      <c r="C104" s="32" t="s">
        <v>480</v>
      </c>
      <c r="D104" s="32" t="s">
        <v>566</v>
      </c>
      <c r="E104" s="26">
        <v>5</v>
      </c>
      <c r="F104" s="52" t="s">
        <v>587</v>
      </c>
      <c r="G104" s="32" t="s">
        <v>572</v>
      </c>
      <c r="H104" s="32" t="s">
        <v>147</v>
      </c>
      <c r="I104" s="32" t="s">
        <v>151</v>
      </c>
      <c r="J104" s="32" t="s">
        <v>173</v>
      </c>
      <c r="K104" s="31">
        <v>1</v>
      </c>
    </row>
    <row r="105" spans="2:11" x14ac:dyDescent="0.35">
      <c r="B105" s="31">
        <v>3</v>
      </c>
      <c r="C105" s="32" t="s">
        <v>480</v>
      </c>
      <c r="D105" s="32" t="s">
        <v>566</v>
      </c>
      <c r="E105" s="26">
        <v>5</v>
      </c>
      <c r="F105" s="52" t="s">
        <v>809</v>
      </c>
      <c r="G105" s="32" t="s">
        <v>573</v>
      </c>
      <c r="H105" s="32" t="s">
        <v>147</v>
      </c>
      <c r="I105" s="32" t="s">
        <v>151</v>
      </c>
      <c r="J105" s="32" t="s">
        <v>173</v>
      </c>
      <c r="K105" s="31">
        <v>1</v>
      </c>
    </row>
    <row r="106" spans="2:11" x14ac:dyDescent="0.35">
      <c r="B106" s="31">
        <v>3</v>
      </c>
      <c r="C106" s="32" t="s">
        <v>480</v>
      </c>
      <c r="D106" s="32" t="s">
        <v>566</v>
      </c>
      <c r="E106" s="26">
        <v>6</v>
      </c>
      <c r="F106" s="52" t="s">
        <v>794</v>
      </c>
      <c r="G106" s="32" t="s">
        <v>567</v>
      </c>
      <c r="H106" s="32" t="s">
        <v>148</v>
      </c>
      <c r="I106" s="32" t="s">
        <v>150</v>
      </c>
      <c r="J106" s="32" t="s">
        <v>171</v>
      </c>
      <c r="K106" s="31">
        <v>1</v>
      </c>
    </row>
    <row r="107" spans="2:11" x14ac:dyDescent="0.35">
      <c r="F107" s="20" t="s">
        <v>592</v>
      </c>
      <c r="K107" s="34">
        <f>SUM(K100:K106)</f>
        <v>7</v>
      </c>
    </row>
    <row r="109" spans="2:11" x14ac:dyDescent="0.35">
      <c r="B109" s="31">
        <v>3</v>
      </c>
      <c r="C109" s="32" t="s">
        <v>480</v>
      </c>
      <c r="D109" s="32" t="s">
        <v>575</v>
      </c>
      <c r="E109" s="26">
        <v>1</v>
      </c>
      <c r="F109" s="52" t="s">
        <v>787</v>
      </c>
      <c r="G109" s="32" t="s">
        <v>567</v>
      </c>
      <c r="H109" s="32" t="s">
        <v>148</v>
      </c>
      <c r="I109" s="32" t="s">
        <v>150</v>
      </c>
      <c r="J109" s="32" t="s">
        <v>172</v>
      </c>
      <c r="K109" s="35">
        <v>0.5</v>
      </c>
    </row>
    <row r="110" spans="2:11" x14ac:dyDescent="0.35">
      <c r="B110" s="31">
        <v>3</v>
      </c>
      <c r="C110" s="32" t="s">
        <v>480</v>
      </c>
      <c r="D110" s="32" t="s">
        <v>575</v>
      </c>
      <c r="E110" s="26">
        <v>2</v>
      </c>
      <c r="F110" s="52" t="s">
        <v>789</v>
      </c>
      <c r="G110" s="32" t="s">
        <v>571</v>
      </c>
      <c r="H110" s="32" t="s">
        <v>149</v>
      </c>
      <c r="I110" s="32" t="s">
        <v>150</v>
      </c>
      <c r="J110" s="32" t="s">
        <v>172</v>
      </c>
      <c r="K110" s="35">
        <v>0.5</v>
      </c>
    </row>
    <row r="111" spans="2:11" x14ac:dyDescent="0.35">
      <c r="B111" s="31">
        <v>3</v>
      </c>
      <c r="C111" s="32" t="s">
        <v>480</v>
      </c>
      <c r="D111" s="32" t="s">
        <v>575</v>
      </c>
      <c r="E111" s="26">
        <v>3</v>
      </c>
      <c r="F111" s="52" t="s">
        <v>792</v>
      </c>
      <c r="G111" s="32" t="s">
        <v>567</v>
      </c>
      <c r="H111" s="32" t="s">
        <v>148</v>
      </c>
      <c r="I111" s="32" t="s">
        <v>150</v>
      </c>
      <c r="J111" s="32" t="s">
        <v>171</v>
      </c>
      <c r="K111" s="31">
        <v>1</v>
      </c>
    </row>
    <row r="112" spans="2:11" x14ac:dyDescent="0.35">
      <c r="B112" s="31">
        <v>3</v>
      </c>
      <c r="C112" s="32" t="s">
        <v>480</v>
      </c>
      <c r="D112" s="32" t="s">
        <v>575</v>
      </c>
      <c r="E112" s="26">
        <v>4</v>
      </c>
      <c r="F112" s="52" t="s">
        <v>794</v>
      </c>
      <c r="G112" s="32" t="s">
        <v>571</v>
      </c>
      <c r="H112" s="32" t="s">
        <v>148</v>
      </c>
      <c r="I112" s="32" t="s">
        <v>151</v>
      </c>
      <c r="J112" s="32" t="s">
        <v>171</v>
      </c>
      <c r="K112" s="31">
        <v>1</v>
      </c>
    </row>
    <row r="113" spans="2:11" x14ac:dyDescent="0.35">
      <c r="B113" s="31">
        <v>3</v>
      </c>
      <c r="C113" s="32" t="s">
        <v>480</v>
      </c>
      <c r="D113" s="32" t="s">
        <v>575</v>
      </c>
      <c r="E113" s="26">
        <v>5</v>
      </c>
      <c r="F113" s="33" t="s">
        <v>576</v>
      </c>
      <c r="G113" s="32" t="s">
        <v>569</v>
      </c>
      <c r="H113" s="32" t="s">
        <v>147</v>
      </c>
      <c r="I113" s="32" t="s">
        <v>150</v>
      </c>
      <c r="J113" s="32" t="s">
        <v>171</v>
      </c>
      <c r="K113" s="31">
        <v>1</v>
      </c>
    </row>
    <row r="114" spans="2:11" x14ac:dyDescent="0.35">
      <c r="B114" s="31">
        <v>3</v>
      </c>
      <c r="C114" s="32" t="s">
        <v>480</v>
      </c>
      <c r="D114" s="32" t="s">
        <v>575</v>
      </c>
      <c r="E114" s="26">
        <v>6</v>
      </c>
      <c r="F114" s="33" t="s">
        <v>587</v>
      </c>
      <c r="G114" s="32" t="s">
        <v>572</v>
      </c>
      <c r="H114" s="32" t="s">
        <v>147</v>
      </c>
      <c r="I114" s="32" t="s">
        <v>151</v>
      </c>
      <c r="J114" s="32" t="s">
        <v>171</v>
      </c>
      <c r="K114" s="31">
        <v>1</v>
      </c>
    </row>
    <row r="115" spans="2:11" x14ac:dyDescent="0.35">
      <c r="B115" s="31">
        <v>3</v>
      </c>
      <c r="C115" s="32" t="s">
        <v>480</v>
      </c>
      <c r="D115" s="32" t="s">
        <v>575</v>
      </c>
      <c r="E115" s="26">
        <v>7</v>
      </c>
      <c r="F115" s="33" t="s">
        <v>582</v>
      </c>
      <c r="G115" s="32" t="s">
        <v>572</v>
      </c>
      <c r="H115" s="32" t="s">
        <v>146</v>
      </c>
      <c r="I115" s="32" t="s">
        <v>151</v>
      </c>
      <c r="J115" s="32" t="s">
        <v>171</v>
      </c>
      <c r="K115" s="31">
        <v>1</v>
      </c>
    </row>
    <row r="116" spans="2:11" x14ac:dyDescent="0.35">
      <c r="B116" s="31">
        <v>3</v>
      </c>
      <c r="C116" s="32" t="s">
        <v>480</v>
      </c>
      <c r="D116" s="32" t="s">
        <v>575</v>
      </c>
      <c r="E116" s="26">
        <v>8</v>
      </c>
      <c r="F116" s="33" t="s">
        <v>810</v>
      </c>
      <c r="G116" s="32" t="s">
        <v>573</v>
      </c>
      <c r="H116" s="32" t="s">
        <v>146</v>
      </c>
      <c r="I116" s="32" t="s">
        <v>151</v>
      </c>
      <c r="J116" s="32" t="s">
        <v>171</v>
      </c>
      <c r="K116" s="31">
        <v>1</v>
      </c>
    </row>
    <row r="117" spans="2:11" x14ac:dyDescent="0.35">
      <c r="F117" s="20" t="s">
        <v>593</v>
      </c>
      <c r="K117" s="34">
        <f>SUM(K109:K116)</f>
        <v>7</v>
      </c>
    </row>
  </sheetData>
  <autoFilter ref="A4:K13" xr:uid="{00000000-0001-0000-0400-000000000000}"/>
  <mergeCells count="2">
    <mergeCell ref="A2:K2"/>
    <mergeCell ref="A1:K1"/>
  </mergeCells>
  <dataValidations count="4">
    <dataValidation type="list" sqref="I5:I119" xr:uid="{00000000-0002-0000-0400-000000000000}">
      <formula1>"ON,OFF"</formula1>
    </dataValidation>
    <dataValidation type="list" sqref="J5:J119" xr:uid="{00000000-0002-0000-0400-000001000000}">
      <formula1>"FTC,FTE,MGCC"</formula1>
    </dataValidation>
    <dataValidation type="list" sqref="H5:H119" xr:uid="{00000000-0002-0000-0400-000002000000}">
      <formula1>"E1,E2,E3,E4,E5"</formula1>
    </dataValidation>
    <dataValidation type="list" sqref="G5:G119" xr:uid="{00000000-0002-0000-0400-000003000000}">
      <formula1>"LEAD,BA,DEV,ENG,TEST,OPS"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workbookViewId="0">
      <selection activeCell="F6" sqref="F6"/>
    </sheetView>
  </sheetViews>
  <sheetFormatPr defaultColWidth="8.81640625" defaultRowHeight="14.5" x14ac:dyDescent="0.35"/>
  <cols>
    <col min="1" max="1" width="2" customWidth="1"/>
    <col min="2" max="3" width="8" customWidth="1"/>
    <col min="4" max="4" width="52" customWidth="1"/>
    <col min="5" max="5" width="15" customWidth="1"/>
    <col min="6" max="6" width="16" customWidth="1"/>
    <col min="7" max="7" width="10" customWidth="1"/>
    <col min="8" max="9" width="12" customWidth="1"/>
  </cols>
  <sheetData>
    <row r="1" spans="1:9" ht="26.15" customHeight="1" x14ac:dyDescent="0.35">
      <c r="A1" s="73" t="s">
        <v>594</v>
      </c>
      <c r="B1" s="72"/>
      <c r="C1" s="72"/>
      <c r="D1" s="72"/>
      <c r="E1" s="72"/>
      <c r="F1" s="72"/>
      <c r="G1" s="72"/>
      <c r="H1" s="72"/>
      <c r="I1" s="72"/>
    </row>
    <row r="2" spans="1:9" x14ac:dyDescent="0.35">
      <c r="A2" s="71" t="s">
        <v>595</v>
      </c>
      <c r="B2" s="72"/>
      <c r="C2" s="72"/>
      <c r="D2" s="72"/>
      <c r="E2" s="72"/>
      <c r="F2" s="72"/>
      <c r="G2" s="72"/>
      <c r="H2" s="72"/>
      <c r="I2" s="72"/>
    </row>
    <row r="4" spans="1:9" ht="28" customHeight="1" x14ac:dyDescent="0.35">
      <c r="B4" s="10" t="s">
        <v>557</v>
      </c>
      <c r="C4" s="10" t="s">
        <v>558</v>
      </c>
      <c r="D4" s="10" t="s">
        <v>105</v>
      </c>
      <c r="E4" s="10" t="s">
        <v>596</v>
      </c>
      <c r="F4" s="10" t="s">
        <v>597</v>
      </c>
      <c r="G4" s="10" t="s">
        <v>598</v>
      </c>
      <c r="H4" s="10" t="s">
        <v>599</v>
      </c>
    </row>
    <row r="5" spans="1:9" x14ac:dyDescent="0.35">
      <c r="B5" s="31">
        <v>1</v>
      </c>
      <c r="C5" s="32" t="s">
        <v>347</v>
      </c>
      <c r="D5" s="6" t="s">
        <v>548</v>
      </c>
      <c r="E5" s="51">
        <v>4</v>
      </c>
      <c r="F5" s="51">
        <v>1</v>
      </c>
      <c r="G5" s="26">
        <f>E5+F5</f>
        <v>5</v>
      </c>
      <c r="H5" s="36">
        <f>E5*SUMIFS('Pod Library'!$K:$K,'Pod Library'!$B:$B,$B5,'Pod Library'!$C:$C,$C5,'Pod Library'!$D:$D,"CO")+F5*SUMIFS('Pod Library'!$K:$K,'Pod Library'!$B:$B,$B5,'Pod Library'!$C:$C,$C5,'Pod Library'!$D:$D,"FS")</f>
        <v>40</v>
      </c>
    </row>
    <row r="6" spans="1:9" x14ac:dyDescent="0.35">
      <c r="B6" s="31">
        <v>1</v>
      </c>
      <c r="C6" s="32" t="s">
        <v>480</v>
      </c>
      <c r="D6" s="6" t="s">
        <v>549</v>
      </c>
      <c r="E6" s="31">
        <v>2</v>
      </c>
      <c r="F6" s="31">
        <v>2</v>
      </c>
      <c r="G6" s="26">
        <f>E6+F6</f>
        <v>4</v>
      </c>
      <c r="H6" s="36">
        <f>E6*SUMIFS('Pod Library'!$K:$K,'Pod Library'!$B:$B,$B6,'Pod Library'!$C:$C,$C6,'Pod Library'!$D:$D,"CO")+F6*SUMIFS('Pod Library'!$K:$K,'Pod Library'!$B:$B,$B6,'Pod Library'!$C:$C,$C6,'Pod Library'!$D:$D,"FS")</f>
        <v>36</v>
      </c>
    </row>
    <row r="7" spans="1:9" x14ac:dyDescent="0.35">
      <c r="D7" s="20" t="s">
        <v>600</v>
      </c>
      <c r="E7" s="37">
        <f>SUM(E5:E6)</f>
        <v>6</v>
      </c>
      <c r="F7" s="37">
        <f>SUM(F5:F6)</f>
        <v>3</v>
      </c>
      <c r="G7" s="37">
        <f>SUM(G5:G6)</f>
        <v>9</v>
      </c>
      <c r="H7" s="34">
        <f>SUM(H5:H6)</f>
        <v>76</v>
      </c>
    </row>
    <row r="9" spans="1:9" x14ac:dyDescent="0.35">
      <c r="B9" s="31">
        <v>2</v>
      </c>
      <c r="C9" s="32" t="s">
        <v>347</v>
      </c>
      <c r="D9" s="6" t="s">
        <v>548</v>
      </c>
      <c r="E9" s="31">
        <v>2</v>
      </c>
      <c r="F9" s="31">
        <v>1</v>
      </c>
      <c r="G9" s="26">
        <f>E9+F9</f>
        <v>3</v>
      </c>
      <c r="H9" s="36">
        <f>E9*SUMIFS('Pod Library'!$K:$K,'Pod Library'!$B:$B,$B9,'Pod Library'!$C:$C,$C9,'Pod Library'!$D:$D,"CO")+F9*SUMIFS('Pod Library'!$K:$K,'Pod Library'!$B:$B,$B9,'Pod Library'!$C:$C,$C9,'Pod Library'!$D:$D,"FS")</f>
        <v>21</v>
      </c>
    </row>
    <row r="10" spans="1:9" x14ac:dyDescent="0.35">
      <c r="B10" s="31">
        <v>2</v>
      </c>
      <c r="C10" s="32" t="s">
        <v>480</v>
      </c>
      <c r="D10" s="6" t="s">
        <v>549</v>
      </c>
      <c r="E10" s="51">
        <v>3</v>
      </c>
      <c r="F10" s="31">
        <v>2</v>
      </c>
      <c r="G10" s="26">
        <f>E10+F10</f>
        <v>5</v>
      </c>
      <c r="H10" s="36">
        <f>E10*SUMIFS('Pod Library'!$K:$K,'Pod Library'!$B:$B,$B10,'Pod Library'!$C:$C,$C10,'Pod Library'!$D:$D,"CO")+F10*SUMIFS('Pod Library'!$K:$K,'Pod Library'!$B:$B,$B10,'Pod Library'!$C:$C,$C10,'Pod Library'!$D:$D,"FS")</f>
        <v>37</v>
      </c>
    </row>
    <row r="11" spans="1:9" x14ac:dyDescent="0.35">
      <c r="D11" s="20" t="s">
        <v>601</v>
      </c>
      <c r="E11" s="37">
        <f>SUM(E9:E10)</f>
        <v>5</v>
      </c>
      <c r="F11" s="37">
        <f>SUM(F9:F10)</f>
        <v>3</v>
      </c>
      <c r="G11" s="37">
        <f>SUM(G9:G10)</f>
        <v>8</v>
      </c>
      <c r="H11" s="34">
        <f>SUM(H9:H10)</f>
        <v>58</v>
      </c>
    </row>
    <row r="13" spans="1:9" x14ac:dyDescent="0.35">
      <c r="B13" s="31">
        <v>3</v>
      </c>
      <c r="C13" s="32" t="s">
        <v>347</v>
      </c>
      <c r="D13" s="6" t="s">
        <v>548</v>
      </c>
      <c r="E13" s="51">
        <v>0</v>
      </c>
      <c r="F13" s="51">
        <v>0</v>
      </c>
      <c r="G13" s="26">
        <f>E13+F13</f>
        <v>0</v>
      </c>
      <c r="H13" s="36">
        <f>E13*SUMIFS('Pod Library'!$K:$K,'Pod Library'!$B:$B,$B13,'Pod Library'!$C:$C,$C13,'Pod Library'!$D:$D,"CO")+F13*SUMIFS('Pod Library'!$K:$K,'Pod Library'!$B:$B,$B13,'Pod Library'!$C:$C,$C13,'Pod Library'!$D:$D,"FS")</f>
        <v>0</v>
      </c>
      <c r="I13" t="s">
        <v>796</v>
      </c>
    </row>
    <row r="14" spans="1:9" x14ac:dyDescent="0.35">
      <c r="B14" s="31">
        <v>3</v>
      </c>
      <c r="C14" s="32" t="s">
        <v>480</v>
      </c>
      <c r="D14" s="6" t="s">
        <v>549</v>
      </c>
      <c r="E14" s="51">
        <v>4</v>
      </c>
      <c r="F14" s="51">
        <v>2</v>
      </c>
      <c r="G14" s="26">
        <f>E14+F14</f>
        <v>6</v>
      </c>
      <c r="H14" s="36">
        <f>E14*SUMIFS('Pod Library'!$K:$K,'Pod Library'!$B:$B,$B14,'Pod Library'!$C:$C,$C14,'Pod Library'!$D:$D,"CO")+F14*SUMIFS('Pod Library'!$K:$K,'Pod Library'!$B:$B,$B14,'Pod Library'!$C:$C,$C14,'Pod Library'!$D:$D,"FS")</f>
        <v>42</v>
      </c>
    </row>
    <row r="15" spans="1:9" x14ac:dyDescent="0.35">
      <c r="D15" s="20" t="s">
        <v>602</v>
      </c>
      <c r="E15" s="37">
        <f>SUM(E13:E14)</f>
        <v>4</v>
      </c>
      <c r="F15" s="37">
        <f>SUM(F13:F14)</f>
        <v>2</v>
      </c>
      <c r="G15" s="37">
        <f>SUM(G13:G14)</f>
        <v>6</v>
      </c>
      <c r="H15" s="34">
        <f>SUM(H13:H14)</f>
        <v>42</v>
      </c>
    </row>
    <row r="17" spans="2:8" s="63" customFormat="1" x14ac:dyDescent="0.35">
      <c r="B17" s="64"/>
      <c r="C17" s="65"/>
      <c r="D17" s="66"/>
      <c r="E17" s="64"/>
      <c r="F17" s="64"/>
      <c r="G17" s="67"/>
      <c r="H17" s="68"/>
    </row>
    <row r="18" spans="2:8" s="63" customFormat="1" x14ac:dyDescent="0.35">
      <c r="B18" s="64"/>
      <c r="C18" s="65"/>
      <c r="D18" s="66"/>
      <c r="E18" s="64"/>
      <c r="F18" s="64"/>
      <c r="G18" s="67"/>
      <c r="H18" s="68"/>
    </row>
    <row r="19" spans="2:8" s="63" customFormat="1" x14ac:dyDescent="0.35"/>
    <row r="20" spans="2:8" s="63" customFormat="1" x14ac:dyDescent="0.35">
      <c r="B20" s="64"/>
      <c r="C20" s="65"/>
      <c r="D20" s="66"/>
      <c r="E20" s="64"/>
      <c r="F20" s="64"/>
      <c r="G20" s="67"/>
      <c r="H20" s="68"/>
    </row>
    <row r="21" spans="2:8" s="63" customFormat="1" x14ac:dyDescent="0.35">
      <c r="B21" s="64"/>
      <c r="C21" s="65"/>
      <c r="D21" s="66"/>
      <c r="E21" s="64"/>
      <c r="F21" s="64"/>
      <c r="G21" s="67"/>
      <c r="H21" s="68"/>
    </row>
    <row r="22" spans="2:8" s="63" customFormat="1" x14ac:dyDescent="0.35"/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2"/>
  <sheetViews>
    <sheetView workbookViewId="0">
      <pane xSplit="1" ySplit="4" topLeftCell="B32" activePane="bottomRight" state="frozen"/>
      <selection pane="topRight"/>
      <selection pane="bottomLeft"/>
      <selection pane="bottomRight" activeCell="J40" sqref="J40"/>
    </sheetView>
  </sheetViews>
  <sheetFormatPr defaultColWidth="8.81640625" defaultRowHeight="14.5" x14ac:dyDescent="0.35"/>
  <cols>
    <col min="1" max="1" width="2" customWidth="1"/>
    <col min="2" max="2" width="7" customWidth="1"/>
    <col min="3" max="3" width="8" customWidth="1"/>
    <col min="4" max="4" width="44" customWidth="1"/>
    <col min="5" max="5" width="42" customWidth="1"/>
    <col min="6" max="6" width="9" customWidth="1"/>
    <col min="7" max="7" width="8" customWidth="1"/>
    <col min="8" max="8" width="10" customWidth="1"/>
    <col min="9" max="9" width="11" customWidth="1"/>
    <col min="10" max="10" width="9" customWidth="1"/>
  </cols>
  <sheetData>
    <row r="1" spans="1:10" ht="26.15" customHeight="1" x14ac:dyDescent="0.35">
      <c r="A1" s="73" t="s">
        <v>603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x14ac:dyDescent="0.35">
      <c r="A2" s="71" t="s">
        <v>604</v>
      </c>
      <c r="B2" s="72"/>
      <c r="C2" s="72"/>
      <c r="D2" s="72"/>
      <c r="E2" s="72"/>
      <c r="F2" s="72"/>
      <c r="G2" s="72"/>
      <c r="H2" s="72"/>
      <c r="I2" s="72"/>
      <c r="J2" s="72"/>
    </row>
    <row r="4" spans="1:10" ht="28" customHeight="1" x14ac:dyDescent="0.35">
      <c r="B4" s="10" t="s">
        <v>557</v>
      </c>
      <c r="C4" s="10" t="s">
        <v>160</v>
      </c>
      <c r="D4" s="10" t="s">
        <v>605</v>
      </c>
      <c r="E4" s="10" t="s">
        <v>561</v>
      </c>
      <c r="F4" s="10" t="s">
        <v>562</v>
      </c>
      <c r="G4" s="10" t="s">
        <v>563</v>
      </c>
      <c r="H4" s="10" t="s">
        <v>136</v>
      </c>
      <c r="I4" s="10" t="s">
        <v>564</v>
      </c>
      <c r="J4" s="10" t="s">
        <v>565</v>
      </c>
    </row>
    <row r="5" spans="1:10" x14ac:dyDescent="0.35">
      <c r="B5" s="31">
        <v>1</v>
      </c>
      <c r="C5" s="32" t="s">
        <v>606</v>
      </c>
      <c r="D5" s="6" t="s">
        <v>607</v>
      </c>
      <c r="E5" s="52" t="s">
        <v>816</v>
      </c>
      <c r="F5" s="32" t="s">
        <v>567</v>
      </c>
      <c r="G5" s="32" t="s">
        <v>148</v>
      </c>
      <c r="H5" s="32" t="s">
        <v>150</v>
      </c>
      <c r="I5" s="32" t="s">
        <v>171</v>
      </c>
      <c r="J5" s="31">
        <v>1</v>
      </c>
    </row>
    <row r="6" spans="1:10" x14ac:dyDescent="0.35">
      <c r="B6" s="31">
        <v>1</v>
      </c>
      <c r="C6" s="32" t="s">
        <v>606</v>
      </c>
      <c r="D6" s="6" t="s">
        <v>607</v>
      </c>
      <c r="E6" s="52" t="s">
        <v>806</v>
      </c>
      <c r="F6" s="32" t="s">
        <v>578</v>
      </c>
      <c r="G6" s="32" t="s">
        <v>148</v>
      </c>
      <c r="H6" s="32" t="s">
        <v>150</v>
      </c>
      <c r="I6" s="32" t="s">
        <v>172</v>
      </c>
      <c r="J6" s="31">
        <v>1</v>
      </c>
    </row>
    <row r="7" spans="1:10" x14ac:dyDescent="0.35">
      <c r="B7" s="31">
        <v>1</v>
      </c>
      <c r="C7" s="32" t="s">
        <v>606</v>
      </c>
      <c r="D7" s="6" t="s">
        <v>607</v>
      </c>
      <c r="E7" s="52" t="s">
        <v>817</v>
      </c>
      <c r="F7" s="32" t="s">
        <v>578</v>
      </c>
      <c r="G7" s="32" t="s">
        <v>146</v>
      </c>
      <c r="H7" s="32" t="s">
        <v>150</v>
      </c>
      <c r="I7" s="32" t="s">
        <v>171</v>
      </c>
      <c r="J7" s="51">
        <v>1</v>
      </c>
    </row>
    <row r="8" spans="1:10" x14ac:dyDescent="0.35">
      <c r="B8" s="31">
        <v>1</v>
      </c>
      <c r="C8" s="32" t="s">
        <v>606</v>
      </c>
      <c r="D8" s="6" t="s">
        <v>607</v>
      </c>
      <c r="E8" s="52" t="s">
        <v>812</v>
      </c>
      <c r="F8" s="32" t="s">
        <v>578</v>
      </c>
      <c r="G8" s="32" t="s">
        <v>146</v>
      </c>
      <c r="H8" s="32" t="s">
        <v>151</v>
      </c>
      <c r="I8" s="32" t="s">
        <v>171</v>
      </c>
      <c r="J8" s="51">
        <v>3</v>
      </c>
    </row>
    <row r="9" spans="1:10" x14ac:dyDescent="0.35">
      <c r="B9" s="31">
        <v>1</v>
      </c>
      <c r="C9" s="32" t="s">
        <v>606</v>
      </c>
      <c r="D9" s="6" t="s">
        <v>607</v>
      </c>
      <c r="E9" s="33" t="s">
        <v>814</v>
      </c>
      <c r="F9" s="32" t="s">
        <v>571</v>
      </c>
      <c r="G9" s="32" t="s">
        <v>147</v>
      </c>
      <c r="H9" s="32" t="s">
        <v>151</v>
      </c>
      <c r="I9" s="32" t="s">
        <v>173</v>
      </c>
      <c r="J9" s="31">
        <v>6</v>
      </c>
    </row>
    <row r="10" spans="1:10" x14ac:dyDescent="0.35">
      <c r="E10" s="20" t="s">
        <v>608</v>
      </c>
      <c r="J10" s="37">
        <f>SUM(J5:J9)</f>
        <v>12</v>
      </c>
    </row>
    <row r="11" spans="1:10" x14ac:dyDescent="0.35">
      <c r="B11" s="31">
        <v>1</v>
      </c>
      <c r="C11" s="32" t="s">
        <v>609</v>
      </c>
      <c r="D11" s="6" t="s">
        <v>610</v>
      </c>
      <c r="E11" s="33" t="s">
        <v>813</v>
      </c>
      <c r="F11" s="32" t="s">
        <v>567</v>
      </c>
      <c r="G11" s="32" t="s">
        <v>149</v>
      </c>
      <c r="H11" s="32" t="s">
        <v>150</v>
      </c>
      <c r="I11" s="32" t="s">
        <v>172</v>
      </c>
      <c r="J11" s="31">
        <v>1</v>
      </c>
    </row>
    <row r="12" spans="1:10" x14ac:dyDescent="0.35">
      <c r="B12" s="31">
        <v>1</v>
      </c>
      <c r="C12" s="32" t="s">
        <v>609</v>
      </c>
      <c r="D12" s="6" t="s">
        <v>610</v>
      </c>
      <c r="E12" s="52" t="s">
        <v>830</v>
      </c>
      <c r="F12" s="32" t="s">
        <v>573</v>
      </c>
      <c r="G12" s="32" t="s">
        <v>148</v>
      </c>
      <c r="H12" s="32" t="s">
        <v>150</v>
      </c>
      <c r="I12" s="32" t="s">
        <v>171</v>
      </c>
      <c r="J12" s="31">
        <v>1</v>
      </c>
    </row>
    <row r="13" spans="1:10" x14ac:dyDescent="0.35">
      <c r="B13" s="31">
        <v>1</v>
      </c>
      <c r="C13" s="32" t="s">
        <v>609</v>
      </c>
      <c r="D13" s="6" t="s">
        <v>610</v>
      </c>
      <c r="E13" s="52" t="s">
        <v>831</v>
      </c>
      <c r="F13" s="32" t="s">
        <v>573</v>
      </c>
      <c r="G13" s="32" t="s">
        <v>146</v>
      </c>
      <c r="H13" s="32" t="s">
        <v>151</v>
      </c>
      <c r="I13" s="32" t="s">
        <v>171</v>
      </c>
      <c r="J13" s="31">
        <v>2</v>
      </c>
    </row>
    <row r="14" spans="1:10" x14ac:dyDescent="0.35">
      <c r="B14" s="31">
        <v>1</v>
      </c>
      <c r="C14" s="32" t="s">
        <v>609</v>
      </c>
      <c r="D14" s="6" t="s">
        <v>610</v>
      </c>
      <c r="E14" s="52" t="s">
        <v>829</v>
      </c>
      <c r="F14" s="32" t="s">
        <v>573</v>
      </c>
      <c r="G14" s="32" t="s">
        <v>146</v>
      </c>
      <c r="H14" s="32" t="s">
        <v>151</v>
      </c>
      <c r="I14" s="32" t="s">
        <v>171</v>
      </c>
      <c r="J14" s="31">
        <v>2</v>
      </c>
    </row>
    <row r="15" spans="1:10" x14ac:dyDescent="0.35">
      <c r="E15" s="20" t="s">
        <v>611</v>
      </c>
      <c r="J15" s="37">
        <f>SUM(J11:J14)</f>
        <v>6</v>
      </c>
    </row>
    <row r="16" spans="1:10" x14ac:dyDescent="0.35">
      <c r="B16" s="31">
        <v>1</v>
      </c>
      <c r="C16" s="32" t="s">
        <v>612</v>
      </c>
      <c r="D16" s="6" t="s">
        <v>613</v>
      </c>
      <c r="E16" s="52" t="s">
        <v>795</v>
      </c>
      <c r="F16" s="32" t="s">
        <v>567</v>
      </c>
      <c r="G16" s="32" t="s">
        <v>149</v>
      </c>
      <c r="H16" s="32" t="s">
        <v>150</v>
      </c>
      <c r="I16" s="32" t="s">
        <v>171</v>
      </c>
      <c r="J16" s="31">
        <v>1</v>
      </c>
    </row>
    <row r="17" spans="2:10" x14ac:dyDescent="0.35">
      <c r="B17" s="31">
        <v>1</v>
      </c>
      <c r="C17" s="32" t="s">
        <v>612</v>
      </c>
      <c r="D17" s="6" t="s">
        <v>613</v>
      </c>
      <c r="E17" s="33" t="s">
        <v>614</v>
      </c>
      <c r="F17" s="32" t="s">
        <v>571</v>
      </c>
      <c r="G17" s="32" t="s">
        <v>149</v>
      </c>
      <c r="H17" s="32" t="s">
        <v>150</v>
      </c>
      <c r="I17" s="32" t="s">
        <v>172</v>
      </c>
      <c r="J17" s="31">
        <v>1</v>
      </c>
    </row>
    <row r="18" spans="2:10" x14ac:dyDescent="0.35">
      <c r="B18" s="31">
        <v>1</v>
      </c>
      <c r="C18" s="32" t="s">
        <v>612</v>
      </c>
      <c r="D18" s="6" t="s">
        <v>613</v>
      </c>
      <c r="E18" s="52" t="s">
        <v>822</v>
      </c>
      <c r="F18" s="32" t="s">
        <v>567</v>
      </c>
      <c r="G18" s="32" t="s">
        <v>147</v>
      </c>
      <c r="H18" s="32" t="s">
        <v>150</v>
      </c>
      <c r="I18" s="32" t="s">
        <v>171</v>
      </c>
      <c r="J18" s="31">
        <v>1</v>
      </c>
    </row>
    <row r="19" spans="2:10" x14ac:dyDescent="0.35">
      <c r="B19" s="31">
        <v>1</v>
      </c>
      <c r="C19" s="32" t="s">
        <v>612</v>
      </c>
      <c r="D19" s="6" t="s">
        <v>613</v>
      </c>
      <c r="E19" s="33" t="s">
        <v>615</v>
      </c>
      <c r="F19" s="32" t="s">
        <v>571</v>
      </c>
      <c r="G19" s="32" t="s">
        <v>149</v>
      </c>
      <c r="H19" s="32" t="s">
        <v>150</v>
      </c>
      <c r="I19" s="32" t="s">
        <v>171</v>
      </c>
      <c r="J19" s="31">
        <v>1</v>
      </c>
    </row>
    <row r="20" spans="2:10" x14ac:dyDescent="0.35">
      <c r="B20" s="31">
        <v>1</v>
      </c>
      <c r="C20" s="32" t="s">
        <v>612</v>
      </c>
      <c r="D20" s="6" t="s">
        <v>613</v>
      </c>
      <c r="E20" s="52" t="s">
        <v>801</v>
      </c>
      <c r="F20" s="32" t="s">
        <v>569</v>
      </c>
      <c r="G20" s="32" t="s">
        <v>148</v>
      </c>
      <c r="H20" s="32" t="s">
        <v>150</v>
      </c>
      <c r="I20" s="32" t="s">
        <v>172</v>
      </c>
      <c r="J20" s="31">
        <v>2</v>
      </c>
    </row>
    <row r="21" spans="2:10" x14ac:dyDescent="0.35">
      <c r="E21" s="20" t="s">
        <v>616</v>
      </c>
      <c r="J21" s="37">
        <f>SUM(J16:J20)</f>
        <v>6</v>
      </c>
    </row>
    <row r="22" spans="2:10" x14ac:dyDescent="0.35">
      <c r="E22" s="38" t="s">
        <v>617</v>
      </c>
      <c r="J22" s="39">
        <f>SUMIFS($J$5:$J$21,$B$5:$B$21,1)</f>
        <v>24</v>
      </c>
    </row>
    <row r="24" spans="2:10" x14ac:dyDescent="0.35">
      <c r="B24" s="31">
        <v>2</v>
      </c>
      <c r="C24" s="32" t="s">
        <v>606</v>
      </c>
      <c r="D24" s="6" t="s">
        <v>607</v>
      </c>
      <c r="E24" s="52" t="s">
        <v>816</v>
      </c>
      <c r="F24" s="32" t="s">
        <v>567</v>
      </c>
      <c r="G24" s="32" t="s">
        <v>148</v>
      </c>
      <c r="H24" s="32" t="s">
        <v>150</v>
      </c>
      <c r="I24" s="32" t="s">
        <v>171</v>
      </c>
      <c r="J24" s="31">
        <v>1</v>
      </c>
    </row>
    <row r="25" spans="2:10" x14ac:dyDescent="0.35">
      <c r="B25" s="31">
        <v>2</v>
      </c>
      <c r="C25" s="32" t="s">
        <v>606</v>
      </c>
      <c r="D25" s="6" t="s">
        <v>607</v>
      </c>
      <c r="E25" s="52" t="s">
        <v>806</v>
      </c>
      <c r="F25" s="32" t="s">
        <v>578</v>
      </c>
      <c r="G25" s="32" t="s">
        <v>148</v>
      </c>
      <c r="H25" s="32" t="s">
        <v>150</v>
      </c>
      <c r="I25" s="32" t="s">
        <v>172</v>
      </c>
      <c r="J25" s="31">
        <v>1</v>
      </c>
    </row>
    <row r="26" spans="2:10" x14ac:dyDescent="0.35">
      <c r="B26" s="31">
        <v>2</v>
      </c>
      <c r="C26" s="32" t="s">
        <v>606</v>
      </c>
      <c r="D26" s="6" t="s">
        <v>607</v>
      </c>
      <c r="E26" s="33" t="s">
        <v>815</v>
      </c>
      <c r="F26" s="32" t="s">
        <v>578</v>
      </c>
      <c r="G26" s="32" t="s">
        <v>147</v>
      </c>
      <c r="H26" s="32" t="s">
        <v>150</v>
      </c>
      <c r="I26" s="32" t="s">
        <v>172</v>
      </c>
      <c r="J26" s="31">
        <v>1</v>
      </c>
    </row>
    <row r="27" spans="2:10" x14ac:dyDescent="0.35">
      <c r="B27" s="31">
        <v>2</v>
      </c>
      <c r="C27" s="32" t="s">
        <v>606</v>
      </c>
      <c r="D27" s="6" t="s">
        <v>607</v>
      </c>
      <c r="E27" s="33" t="s">
        <v>814</v>
      </c>
      <c r="F27" s="32" t="s">
        <v>571</v>
      </c>
      <c r="G27" s="32" t="s">
        <v>147</v>
      </c>
      <c r="H27" s="32" t="s">
        <v>151</v>
      </c>
      <c r="I27" s="32" t="s">
        <v>173</v>
      </c>
      <c r="J27" s="31">
        <v>3</v>
      </c>
    </row>
    <row r="28" spans="2:10" x14ac:dyDescent="0.35">
      <c r="B28" s="31">
        <v>2</v>
      </c>
      <c r="C28" s="32" t="s">
        <v>606</v>
      </c>
      <c r="D28" s="6" t="s">
        <v>607</v>
      </c>
      <c r="E28" s="52" t="s">
        <v>820</v>
      </c>
      <c r="F28" s="32" t="s">
        <v>571</v>
      </c>
      <c r="G28" s="32" t="s">
        <v>147</v>
      </c>
      <c r="H28" s="32" t="s">
        <v>151</v>
      </c>
      <c r="I28" s="32" t="s">
        <v>171</v>
      </c>
      <c r="J28" s="31">
        <v>2</v>
      </c>
    </row>
    <row r="29" spans="2:10" x14ac:dyDescent="0.35">
      <c r="B29" s="31">
        <v>2</v>
      </c>
      <c r="C29" s="32" t="s">
        <v>606</v>
      </c>
      <c r="D29" s="6" t="s">
        <v>607</v>
      </c>
      <c r="E29" s="52" t="s">
        <v>819</v>
      </c>
      <c r="F29" s="32" t="s">
        <v>571</v>
      </c>
      <c r="G29" s="32" t="s">
        <v>146</v>
      </c>
      <c r="H29" s="32" t="s">
        <v>151</v>
      </c>
      <c r="I29" s="32" t="s">
        <v>171</v>
      </c>
      <c r="J29" s="31">
        <v>2</v>
      </c>
    </row>
    <row r="30" spans="2:10" x14ac:dyDescent="0.35">
      <c r="E30" s="20" t="s">
        <v>608</v>
      </c>
      <c r="J30" s="37">
        <f>SUM(J24:J29)</f>
        <v>10</v>
      </c>
    </row>
    <row r="31" spans="2:10" x14ac:dyDescent="0.35">
      <c r="B31" s="31">
        <v>2</v>
      </c>
      <c r="C31" s="32" t="s">
        <v>609</v>
      </c>
      <c r="D31" s="6" t="s">
        <v>610</v>
      </c>
      <c r="E31" s="33" t="s">
        <v>813</v>
      </c>
      <c r="F31" s="32" t="s">
        <v>567</v>
      </c>
      <c r="G31" s="32" t="s">
        <v>149</v>
      </c>
      <c r="H31" s="32" t="s">
        <v>150</v>
      </c>
      <c r="I31" s="32" t="s">
        <v>172</v>
      </c>
      <c r="J31" s="31">
        <v>1</v>
      </c>
    </row>
    <row r="32" spans="2:10" x14ac:dyDescent="0.35">
      <c r="B32" s="31">
        <v>2</v>
      </c>
      <c r="C32" s="32" t="s">
        <v>609</v>
      </c>
      <c r="D32" s="6" t="s">
        <v>610</v>
      </c>
      <c r="E32" s="33" t="s">
        <v>828</v>
      </c>
      <c r="F32" s="32" t="s">
        <v>573</v>
      </c>
      <c r="G32" s="32" t="s">
        <v>147</v>
      </c>
      <c r="H32" s="32" t="s">
        <v>150</v>
      </c>
      <c r="I32" s="32" t="s">
        <v>172</v>
      </c>
      <c r="J32" s="31">
        <v>1</v>
      </c>
    </row>
    <row r="33" spans="2:10" x14ac:dyDescent="0.35">
      <c r="B33" s="31">
        <v>2</v>
      </c>
      <c r="C33" s="32" t="s">
        <v>609</v>
      </c>
      <c r="D33" s="6" t="s">
        <v>610</v>
      </c>
      <c r="E33" s="52" t="s">
        <v>803</v>
      </c>
      <c r="F33" s="32" t="s">
        <v>573</v>
      </c>
      <c r="G33" s="32" t="s">
        <v>147</v>
      </c>
      <c r="H33" s="32" t="s">
        <v>151</v>
      </c>
      <c r="I33" s="32" t="s">
        <v>173</v>
      </c>
      <c r="J33" s="31">
        <v>3</v>
      </c>
    </row>
    <row r="34" spans="2:10" x14ac:dyDescent="0.35">
      <c r="B34" s="31">
        <v>2</v>
      </c>
      <c r="C34" s="32" t="s">
        <v>609</v>
      </c>
      <c r="D34" s="6" t="s">
        <v>610</v>
      </c>
      <c r="E34" s="52" t="s">
        <v>830</v>
      </c>
      <c r="F34" s="32" t="s">
        <v>573</v>
      </c>
      <c r="G34" s="32" t="s">
        <v>148</v>
      </c>
      <c r="H34" s="32" t="s">
        <v>150</v>
      </c>
      <c r="I34" s="32" t="s">
        <v>171</v>
      </c>
      <c r="J34" s="31">
        <v>1</v>
      </c>
    </row>
    <row r="35" spans="2:10" x14ac:dyDescent="0.35">
      <c r="E35" s="20" t="s">
        <v>611</v>
      </c>
      <c r="J35" s="37">
        <f>SUM(J31:J34)</f>
        <v>6</v>
      </c>
    </row>
    <row r="36" spans="2:10" x14ac:dyDescent="0.35">
      <c r="B36" s="31">
        <v>2</v>
      </c>
      <c r="C36" s="32" t="s">
        <v>612</v>
      </c>
      <c r="D36" s="6" t="s">
        <v>613</v>
      </c>
      <c r="E36" s="52" t="s">
        <v>795</v>
      </c>
      <c r="F36" s="32" t="s">
        <v>567</v>
      </c>
      <c r="G36" s="32" t="s">
        <v>149</v>
      </c>
      <c r="H36" s="32" t="s">
        <v>150</v>
      </c>
      <c r="I36" s="32" t="s">
        <v>171</v>
      </c>
      <c r="J36" s="31">
        <v>1</v>
      </c>
    </row>
    <row r="37" spans="2:10" x14ac:dyDescent="0.35">
      <c r="B37" s="31">
        <v>2</v>
      </c>
      <c r="C37" s="32" t="s">
        <v>612</v>
      </c>
      <c r="D37" s="6" t="s">
        <v>613</v>
      </c>
      <c r="E37" s="33" t="s">
        <v>614</v>
      </c>
      <c r="F37" s="32" t="s">
        <v>571</v>
      </c>
      <c r="G37" s="32" t="s">
        <v>149</v>
      </c>
      <c r="H37" s="32" t="s">
        <v>150</v>
      </c>
      <c r="I37" s="32" t="s">
        <v>172</v>
      </c>
      <c r="J37" s="31">
        <v>1</v>
      </c>
    </row>
    <row r="38" spans="2:10" x14ac:dyDescent="0.35">
      <c r="B38" s="31">
        <v>2</v>
      </c>
      <c r="C38" s="32" t="s">
        <v>612</v>
      </c>
      <c r="D38" s="6" t="s">
        <v>613</v>
      </c>
      <c r="E38" s="52" t="s">
        <v>822</v>
      </c>
      <c r="F38" s="32" t="s">
        <v>567</v>
      </c>
      <c r="G38" s="32" t="s">
        <v>147</v>
      </c>
      <c r="H38" s="32" t="s">
        <v>150</v>
      </c>
      <c r="I38" s="32" t="s">
        <v>171</v>
      </c>
      <c r="J38" s="31">
        <v>1</v>
      </c>
    </row>
    <row r="39" spans="2:10" x14ac:dyDescent="0.35">
      <c r="B39" s="31">
        <v>2</v>
      </c>
      <c r="C39" s="32" t="s">
        <v>612</v>
      </c>
      <c r="D39" s="6" t="s">
        <v>613</v>
      </c>
      <c r="E39" s="33" t="s">
        <v>618</v>
      </c>
      <c r="F39" s="32" t="s">
        <v>571</v>
      </c>
      <c r="G39" s="32" t="s">
        <v>148</v>
      </c>
      <c r="H39" s="32" t="s">
        <v>150</v>
      </c>
      <c r="I39" s="32" t="s">
        <v>171</v>
      </c>
      <c r="J39" s="31">
        <v>1</v>
      </c>
    </row>
    <row r="40" spans="2:10" x14ac:dyDescent="0.35">
      <c r="B40" s="31">
        <v>2</v>
      </c>
      <c r="C40" s="32" t="s">
        <v>612</v>
      </c>
      <c r="D40" s="6" t="s">
        <v>613</v>
      </c>
      <c r="E40" s="52" t="s">
        <v>801</v>
      </c>
      <c r="F40" s="32" t="s">
        <v>569</v>
      </c>
      <c r="G40" s="32" t="s">
        <v>148</v>
      </c>
      <c r="H40" s="32" t="s">
        <v>150</v>
      </c>
      <c r="I40" s="32" t="s">
        <v>172</v>
      </c>
      <c r="J40" s="31">
        <v>1</v>
      </c>
    </row>
    <row r="41" spans="2:10" x14ac:dyDescent="0.35">
      <c r="E41" s="20" t="s">
        <v>616</v>
      </c>
      <c r="J41" s="37">
        <f>SUM(J36:J40)</f>
        <v>5</v>
      </c>
    </row>
    <row r="42" spans="2:10" x14ac:dyDescent="0.35">
      <c r="E42" s="38" t="s">
        <v>619</v>
      </c>
      <c r="J42" s="39">
        <f>SUMIFS($J$24:$J$41,$B$24:$B$41,2)</f>
        <v>21</v>
      </c>
    </row>
    <row r="44" spans="2:10" x14ac:dyDescent="0.35">
      <c r="B44" s="31">
        <v>3</v>
      </c>
      <c r="C44" s="32" t="s">
        <v>606</v>
      </c>
      <c r="D44" s="6" t="s">
        <v>607</v>
      </c>
      <c r="E44" s="52" t="s">
        <v>816</v>
      </c>
      <c r="F44" s="32" t="s">
        <v>567</v>
      </c>
      <c r="G44" s="32" t="s">
        <v>148</v>
      </c>
      <c r="H44" s="32" t="s">
        <v>150</v>
      </c>
      <c r="I44" s="32" t="s">
        <v>171</v>
      </c>
      <c r="J44" s="31">
        <v>1</v>
      </c>
    </row>
    <row r="45" spans="2:10" x14ac:dyDescent="0.35">
      <c r="B45" s="31">
        <v>3</v>
      </c>
      <c r="C45" s="32" t="s">
        <v>606</v>
      </c>
      <c r="D45" s="6" t="s">
        <v>607</v>
      </c>
      <c r="E45" s="52" t="s">
        <v>806</v>
      </c>
      <c r="F45" s="32" t="s">
        <v>578</v>
      </c>
      <c r="G45" s="32" t="s">
        <v>148</v>
      </c>
      <c r="H45" s="32" t="s">
        <v>150</v>
      </c>
      <c r="I45" s="32" t="s">
        <v>172</v>
      </c>
      <c r="J45" s="31">
        <v>1</v>
      </c>
    </row>
    <row r="46" spans="2:10" x14ac:dyDescent="0.35">
      <c r="B46" s="31">
        <v>3</v>
      </c>
      <c r="C46" s="32" t="s">
        <v>606</v>
      </c>
      <c r="D46" s="6" t="s">
        <v>607</v>
      </c>
      <c r="E46" s="33" t="s">
        <v>815</v>
      </c>
      <c r="F46" s="32" t="s">
        <v>578</v>
      </c>
      <c r="G46" s="32" t="s">
        <v>147</v>
      </c>
      <c r="H46" s="32" t="s">
        <v>150</v>
      </c>
      <c r="I46" s="32" t="s">
        <v>172</v>
      </c>
      <c r="J46" s="31">
        <v>1</v>
      </c>
    </row>
    <row r="47" spans="2:10" x14ac:dyDescent="0.35">
      <c r="B47" s="31">
        <v>3</v>
      </c>
      <c r="C47" s="32" t="s">
        <v>606</v>
      </c>
      <c r="D47" s="6" t="s">
        <v>607</v>
      </c>
      <c r="E47" s="33" t="s">
        <v>814</v>
      </c>
      <c r="F47" s="32" t="s">
        <v>571</v>
      </c>
      <c r="G47" s="32" t="s">
        <v>147</v>
      </c>
      <c r="H47" s="32" t="s">
        <v>151</v>
      </c>
      <c r="I47" s="32" t="s">
        <v>173</v>
      </c>
      <c r="J47" s="31">
        <v>3</v>
      </c>
    </row>
    <row r="48" spans="2:10" x14ac:dyDescent="0.35">
      <c r="B48" s="31">
        <v>3</v>
      </c>
      <c r="C48" s="32" t="s">
        <v>606</v>
      </c>
      <c r="D48" s="6" t="s">
        <v>607</v>
      </c>
      <c r="E48" s="52" t="s">
        <v>821</v>
      </c>
      <c r="F48" s="32" t="s">
        <v>571</v>
      </c>
      <c r="G48" s="32" t="s">
        <v>147</v>
      </c>
      <c r="H48" s="32" t="s">
        <v>151</v>
      </c>
      <c r="I48" s="32" t="s">
        <v>171</v>
      </c>
      <c r="J48" s="31">
        <v>1</v>
      </c>
    </row>
    <row r="49" spans="2:10" x14ac:dyDescent="0.35">
      <c r="B49" s="31">
        <v>3</v>
      </c>
      <c r="C49" s="32" t="s">
        <v>606</v>
      </c>
      <c r="D49" s="6" t="s">
        <v>607</v>
      </c>
      <c r="E49" s="52" t="s">
        <v>818</v>
      </c>
      <c r="F49" s="32" t="s">
        <v>571</v>
      </c>
      <c r="G49" s="32" t="s">
        <v>146</v>
      </c>
      <c r="H49" s="32" t="s">
        <v>151</v>
      </c>
      <c r="I49" s="32" t="s">
        <v>171</v>
      </c>
      <c r="J49" s="31">
        <v>2</v>
      </c>
    </row>
    <row r="50" spans="2:10" x14ac:dyDescent="0.35">
      <c r="E50" s="20" t="s">
        <v>608</v>
      </c>
      <c r="J50" s="37">
        <f>SUM(J44:J49)</f>
        <v>9</v>
      </c>
    </row>
    <row r="51" spans="2:10" x14ac:dyDescent="0.35">
      <c r="B51" s="31">
        <v>3</v>
      </c>
      <c r="C51" s="32" t="s">
        <v>609</v>
      </c>
      <c r="D51" s="6" t="s">
        <v>610</v>
      </c>
      <c r="E51" s="33" t="s">
        <v>813</v>
      </c>
      <c r="F51" s="32" t="s">
        <v>567</v>
      </c>
      <c r="G51" s="32" t="s">
        <v>149</v>
      </c>
      <c r="H51" s="32" t="s">
        <v>150</v>
      </c>
      <c r="I51" s="32" t="s">
        <v>172</v>
      </c>
      <c r="J51" s="31">
        <v>1</v>
      </c>
    </row>
    <row r="52" spans="2:10" x14ac:dyDescent="0.35">
      <c r="B52" s="31">
        <v>3</v>
      </c>
      <c r="C52" s="32" t="s">
        <v>609</v>
      </c>
      <c r="D52" s="6" t="s">
        <v>610</v>
      </c>
      <c r="E52" s="33" t="s">
        <v>828</v>
      </c>
      <c r="F52" s="32" t="s">
        <v>573</v>
      </c>
      <c r="G52" s="32" t="s">
        <v>147</v>
      </c>
      <c r="H52" s="32" t="s">
        <v>150</v>
      </c>
      <c r="I52" s="32" t="s">
        <v>172</v>
      </c>
      <c r="J52" s="31">
        <v>2</v>
      </c>
    </row>
    <row r="53" spans="2:10" x14ac:dyDescent="0.35">
      <c r="B53" s="31">
        <v>3</v>
      </c>
      <c r="C53" s="32" t="s">
        <v>609</v>
      </c>
      <c r="D53" s="6" t="s">
        <v>610</v>
      </c>
      <c r="E53" s="52" t="s">
        <v>803</v>
      </c>
      <c r="F53" s="32" t="s">
        <v>573</v>
      </c>
      <c r="G53" s="32" t="s">
        <v>147</v>
      </c>
      <c r="H53" s="32" t="s">
        <v>151</v>
      </c>
      <c r="I53" s="32" t="s">
        <v>173</v>
      </c>
      <c r="J53" s="31">
        <v>3</v>
      </c>
    </row>
    <row r="54" spans="2:10" x14ac:dyDescent="0.35">
      <c r="B54" s="31">
        <v>3</v>
      </c>
      <c r="C54" s="32" t="s">
        <v>609</v>
      </c>
      <c r="D54" s="6" t="s">
        <v>610</v>
      </c>
      <c r="E54" s="52" t="s">
        <v>830</v>
      </c>
      <c r="F54" s="32" t="s">
        <v>573</v>
      </c>
      <c r="G54" s="32" t="s">
        <v>148</v>
      </c>
      <c r="H54" s="32" t="s">
        <v>151</v>
      </c>
      <c r="I54" s="32" t="s">
        <v>171</v>
      </c>
      <c r="J54" s="31">
        <v>1</v>
      </c>
    </row>
    <row r="55" spans="2:10" x14ac:dyDescent="0.35">
      <c r="E55" s="20" t="s">
        <v>611</v>
      </c>
      <c r="J55" s="37">
        <f>SUM(J51:J54)</f>
        <v>7</v>
      </c>
    </row>
    <row r="56" spans="2:10" x14ac:dyDescent="0.35">
      <c r="B56" s="31">
        <v>3</v>
      </c>
      <c r="C56" s="32" t="s">
        <v>612</v>
      </c>
      <c r="D56" s="6" t="s">
        <v>613</v>
      </c>
      <c r="E56" s="52" t="s">
        <v>795</v>
      </c>
      <c r="F56" s="32" t="s">
        <v>567</v>
      </c>
      <c r="G56" s="32" t="s">
        <v>149</v>
      </c>
      <c r="H56" s="32" t="s">
        <v>150</v>
      </c>
      <c r="I56" s="32" t="s">
        <v>171</v>
      </c>
      <c r="J56" s="31">
        <v>1</v>
      </c>
    </row>
    <row r="57" spans="2:10" x14ac:dyDescent="0.35">
      <c r="B57" s="31">
        <v>3</v>
      </c>
      <c r="C57" s="32" t="s">
        <v>612</v>
      </c>
      <c r="D57" s="6" t="s">
        <v>613</v>
      </c>
      <c r="E57" s="33" t="s">
        <v>614</v>
      </c>
      <c r="F57" s="32" t="s">
        <v>571</v>
      </c>
      <c r="G57" s="32" t="s">
        <v>149</v>
      </c>
      <c r="H57" s="32" t="s">
        <v>150</v>
      </c>
      <c r="I57" s="32" t="s">
        <v>172</v>
      </c>
      <c r="J57" s="31">
        <v>1</v>
      </c>
    </row>
    <row r="58" spans="2:10" x14ac:dyDescent="0.35">
      <c r="B58" s="31">
        <v>3</v>
      </c>
      <c r="C58" s="32" t="s">
        <v>612</v>
      </c>
      <c r="D58" s="6" t="s">
        <v>613</v>
      </c>
      <c r="E58" s="52" t="s">
        <v>822</v>
      </c>
      <c r="F58" s="32" t="s">
        <v>567</v>
      </c>
      <c r="G58" s="32" t="s">
        <v>147</v>
      </c>
      <c r="H58" s="32" t="s">
        <v>151</v>
      </c>
      <c r="I58" s="32" t="s">
        <v>171</v>
      </c>
      <c r="J58" s="31">
        <v>1</v>
      </c>
    </row>
    <row r="59" spans="2:10" x14ac:dyDescent="0.35">
      <c r="B59" s="31">
        <v>3</v>
      </c>
      <c r="C59" s="32" t="s">
        <v>612</v>
      </c>
      <c r="D59" s="6" t="s">
        <v>613</v>
      </c>
      <c r="E59" s="33" t="s">
        <v>618</v>
      </c>
      <c r="F59" s="32" t="s">
        <v>571</v>
      </c>
      <c r="G59" s="32" t="s">
        <v>148</v>
      </c>
      <c r="H59" s="32" t="s">
        <v>151</v>
      </c>
      <c r="I59" s="32" t="s">
        <v>171</v>
      </c>
      <c r="J59" s="31">
        <v>1</v>
      </c>
    </row>
    <row r="60" spans="2:10" x14ac:dyDescent="0.35">
      <c r="B60" s="31">
        <v>3</v>
      </c>
      <c r="C60" s="32" t="s">
        <v>612</v>
      </c>
      <c r="D60" s="6" t="s">
        <v>613</v>
      </c>
      <c r="E60" s="52" t="s">
        <v>801</v>
      </c>
      <c r="F60" s="32" t="s">
        <v>569</v>
      </c>
      <c r="G60" s="32" t="s">
        <v>148</v>
      </c>
      <c r="H60" s="32" t="s">
        <v>150</v>
      </c>
      <c r="I60" s="32" t="s">
        <v>172</v>
      </c>
      <c r="J60" s="31">
        <v>1</v>
      </c>
    </row>
    <row r="61" spans="2:10" x14ac:dyDescent="0.35">
      <c r="E61" s="20" t="s">
        <v>616</v>
      </c>
      <c r="J61" s="37">
        <f>SUM(J56:J60)</f>
        <v>5</v>
      </c>
    </row>
    <row r="62" spans="2:10" x14ac:dyDescent="0.35">
      <c r="E62" s="38" t="s">
        <v>620</v>
      </c>
      <c r="J62" s="39">
        <f>SUMIFS($J$44:$J$61,$B$44:$B$61,3)</f>
        <v>21</v>
      </c>
    </row>
  </sheetData>
  <mergeCells count="2">
    <mergeCell ref="A1:J1"/>
    <mergeCell ref="A2:J2"/>
  </mergeCells>
  <dataValidations count="2">
    <dataValidation type="list" sqref="H5:H64" xr:uid="{00000000-0002-0000-0600-000000000000}">
      <formula1>"ON,OFF"</formula1>
    </dataValidation>
    <dataValidation type="list" sqref="I5:I64" xr:uid="{00000000-0002-0000-0600-000001000000}">
      <formula1>"FTC,FTE,MGCC"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9"/>
  <sheetViews>
    <sheetView topLeftCell="A10" workbookViewId="0">
      <selection activeCell="D20" sqref="D20"/>
    </sheetView>
  </sheetViews>
  <sheetFormatPr defaultColWidth="8.81640625" defaultRowHeight="14.5" x14ac:dyDescent="0.35"/>
  <cols>
    <col min="1" max="1" width="2" customWidth="1"/>
    <col min="2" max="2" width="46" customWidth="1"/>
    <col min="3" max="5" width="13" customWidth="1"/>
    <col min="6" max="6" width="10.26953125" customWidth="1"/>
    <col min="7" max="9" width="12" customWidth="1"/>
  </cols>
  <sheetData>
    <row r="1" spans="1:10" ht="26.15" customHeight="1" x14ac:dyDescent="0.35">
      <c r="A1" s="73" t="s">
        <v>621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x14ac:dyDescent="0.35">
      <c r="A2" s="71" t="s">
        <v>622</v>
      </c>
      <c r="B2" s="72"/>
      <c r="C2" s="72"/>
      <c r="D2" s="72"/>
      <c r="E2" s="72"/>
      <c r="F2" s="72"/>
      <c r="G2" s="72"/>
      <c r="H2" s="72"/>
      <c r="I2" s="72"/>
      <c r="J2" s="72"/>
    </row>
    <row r="4" spans="1:10" ht="19" customHeight="1" x14ac:dyDescent="0.35">
      <c r="A4" s="74" t="s">
        <v>623</v>
      </c>
      <c r="B4" s="72"/>
      <c r="C4" s="72"/>
      <c r="D4" s="72"/>
      <c r="E4" s="72"/>
      <c r="F4" s="72"/>
      <c r="G4" s="72"/>
      <c r="H4" s="72"/>
      <c r="I4" s="72"/>
    </row>
    <row r="5" spans="1:10" ht="28" customHeight="1" x14ac:dyDescent="0.35">
      <c r="B5" s="10" t="s">
        <v>624</v>
      </c>
      <c r="C5" s="10" t="s">
        <v>625</v>
      </c>
      <c r="D5" s="10" t="s">
        <v>626</v>
      </c>
      <c r="E5" s="10" t="s">
        <v>627</v>
      </c>
      <c r="F5" s="10" t="s">
        <v>628</v>
      </c>
    </row>
    <row r="6" spans="1:10" x14ac:dyDescent="0.35">
      <c r="B6" s="3" t="s">
        <v>106</v>
      </c>
      <c r="C6" s="36">
        <f>SUMIFS('Pod Library'!$K:$K,'Pod Library'!$B:$B,1,'Pod Library'!$C:$C,"VS1",'Pod Library'!$D:$D,"CO")</f>
        <v>8</v>
      </c>
      <c r="D6" s="36">
        <f>SUMIFS('Pod Library'!$K:$K,'Pod Library'!$B:$B,1,'Pod Library'!$C:$C,"VS1",'Pod Library'!$D:$D,"FS")</f>
        <v>8</v>
      </c>
      <c r="E6" s="36">
        <f>SUMIFS('Pod Library'!$K:$K,'Pod Library'!$B:$B,1,'Pod Library'!$C:$C,"VS2",'Pod Library'!$D:$D,"CO")</f>
        <v>9</v>
      </c>
      <c r="F6" s="36">
        <f>SUMIFS('Pod Library'!$K:$K,'Pod Library'!$B:$B,1,'Pod Library'!$C:$C,"VS2",'Pod Library'!$D:$D,"FS")</f>
        <v>9</v>
      </c>
    </row>
    <row r="7" spans="1:10" x14ac:dyDescent="0.35">
      <c r="B7" s="3" t="s">
        <v>107</v>
      </c>
      <c r="C7" s="36">
        <f>SUMIFS('Pod Library'!$K:$K,'Pod Library'!$B:$B,2,'Pod Library'!$C:$C,"VS1",'Pod Library'!$D:$D,"CO")</f>
        <v>7</v>
      </c>
      <c r="D7" s="36">
        <f>SUMIFS('Pod Library'!$K:$K,'Pod Library'!$B:$B,2,'Pod Library'!$C:$C,"VS1",'Pod Library'!$D:$D,"FS")</f>
        <v>7</v>
      </c>
      <c r="E7" s="36">
        <f>SUMIFS('Pod Library'!$K:$K,'Pod Library'!$B:$B,2,'Pod Library'!$C:$C,"VS2",'Pod Library'!$D:$D,"CO")</f>
        <v>7</v>
      </c>
      <c r="F7" s="36">
        <f>SUMIFS('Pod Library'!$K:$K,'Pod Library'!$B:$B,2,'Pod Library'!$C:$C,"VS2",'Pod Library'!$D:$D,"FS")</f>
        <v>8</v>
      </c>
    </row>
    <row r="8" spans="1:10" x14ac:dyDescent="0.35">
      <c r="B8" s="3" t="s">
        <v>108</v>
      </c>
      <c r="C8" s="36">
        <f>SUMIFS('Pod Library'!$K:$K,'Pod Library'!$B:$B,3,'Pod Library'!$C:$C,"VS1",'Pod Library'!$D:$D,"CO")</f>
        <v>0</v>
      </c>
      <c r="D8" s="36">
        <f>SUMIFS('Pod Library'!$K:$K,'Pod Library'!$B:$B,3,'Pod Library'!$C:$C,"VS1",'Pod Library'!$D:$D,"FS")</f>
        <v>0</v>
      </c>
      <c r="E8" s="36">
        <f>SUMIFS('Pod Library'!$K:$K,'Pod Library'!$B:$B,3,'Pod Library'!$C:$C,"VS2",'Pod Library'!$D:$D,"CO")</f>
        <v>7</v>
      </c>
      <c r="F8" s="36">
        <f>SUMIFS('Pod Library'!$K:$K,'Pod Library'!$B:$B,3,'Pod Library'!$C:$C,"VS2",'Pod Library'!$D:$D,"FS")</f>
        <v>7</v>
      </c>
    </row>
    <row r="10" spans="1:10" ht="19" customHeight="1" x14ac:dyDescent="0.35">
      <c r="A10" s="74" t="s">
        <v>629</v>
      </c>
      <c r="B10" s="72"/>
      <c r="C10" s="72"/>
      <c r="D10" s="72"/>
      <c r="E10" s="72"/>
      <c r="F10" s="72"/>
      <c r="G10" s="72"/>
      <c r="H10" s="72"/>
      <c r="I10" s="72"/>
    </row>
    <row r="11" spans="1:10" ht="28" customHeight="1" x14ac:dyDescent="0.35">
      <c r="B11" s="10" t="s">
        <v>630</v>
      </c>
      <c r="C11" s="10" t="s">
        <v>106</v>
      </c>
      <c r="D11" s="10" t="s">
        <v>107</v>
      </c>
      <c r="E11" s="10" t="s">
        <v>108</v>
      </c>
    </row>
    <row r="12" spans="1:10" x14ac:dyDescent="0.35">
      <c r="B12" s="6" t="s">
        <v>631</v>
      </c>
      <c r="C12" s="42">
        <f>SUMIFS('Seat Ledger'!$L$5:$L$138,'Seat Ledger'!$A$5:$A$138,1,'Seat Ledger'!$B$5:$B$138,"POD")</f>
        <v>76</v>
      </c>
      <c r="D12" s="42">
        <f>SUMIFS('Seat Ledger'!$L$5:$L$138,'Seat Ledger'!$A$5:$A$138,2,'Seat Ledger'!$B$5:$B$138,"POD")</f>
        <v>58</v>
      </c>
      <c r="E12" s="42">
        <f>SUMIFS('Seat Ledger'!$L$5:$L$138,'Seat Ledger'!$A$5:$A$138,3,'Seat Ledger'!$B$5:$B$138,"POD")</f>
        <v>42</v>
      </c>
    </row>
    <row r="13" spans="1:10" x14ac:dyDescent="0.35">
      <c r="B13" s="6" t="s">
        <v>632</v>
      </c>
      <c r="C13" s="42">
        <f>SUMIFS('Seat Ledger'!$L$5:$L$138,'Seat Ledger'!$A$5:$A$138,1,'Seat Ledger'!$B$5:$B$138,"HZ")</f>
        <v>24</v>
      </c>
      <c r="D13" s="42">
        <f>SUMIFS('Seat Ledger'!$L$5:$L$138,'Seat Ledger'!$A$5:$A$138,2,'Seat Ledger'!$B$5:$B$138,"HZ")</f>
        <v>21</v>
      </c>
      <c r="E13" s="42">
        <f>SUMIFS('Seat Ledger'!$L$5:$L$138,'Seat Ledger'!$A$5:$A$138,3,'Seat Ledger'!$B$5:$B$138,"HZ")</f>
        <v>21</v>
      </c>
    </row>
    <row r="14" spans="1:10" x14ac:dyDescent="0.35">
      <c r="B14" s="20" t="s">
        <v>633</v>
      </c>
      <c r="C14" s="34">
        <f>C12+C13</f>
        <v>100</v>
      </c>
      <c r="D14" s="34">
        <f>D12+D13</f>
        <v>79</v>
      </c>
      <c r="E14" s="34">
        <f>E12+E13</f>
        <v>63</v>
      </c>
    </row>
    <row r="15" spans="1:10" x14ac:dyDescent="0.35">
      <c r="B15" s="6" t="s">
        <v>634</v>
      </c>
      <c r="C15" s="26">
        <f>SUMIFS('Pod Plan'!$G:$G,'Pod Plan'!$B:$B,1)</f>
        <v>9</v>
      </c>
      <c r="D15" s="26">
        <f>SUMIFS('Pod Plan'!$G:$G,'Pod Plan'!$B:$B,2)</f>
        <v>8</v>
      </c>
      <c r="E15" s="26">
        <f>SUMIFS('Pod Plan'!$G:$G,'Pod Plan'!$B:$B,3)</f>
        <v>6</v>
      </c>
    </row>
    <row r="16" spans="1:10" x14ac:dyDescent="0.35">
      <c r="B16" s="6" t="s">
        <v>635</v>
      </c>
      <c r="C16" s="42">
        <f>IF(C15=0,0,C12/C15)</f>
        <v>8.4444444444444446</v>
      </c>
      <c r="D16" s="42">
        <f>IF(D15=0,0,D12/D15)</f>
        <v>7.25</v>
      </c>
      <c r="E16" s="42">
        <f>IF(E15=0,0,E12/E15)</f>
        <v>7</v>
      </c>
    </row>
    <row r="18" spans="1:9" ht="19" customHeight="1" x14ac:dyDescent="0.35">
      <c r="A18" s="74" t="s">
        <v>807</v>
      </c>
      <c r="B18" s="72"/>
      <c r="C18" s="72"/>
      <c r="D18" s="72"/>
      <c r="E18" s="72"/>
      <c r="F18" s="72"/>
      <c r="G18" s="72"/>
      <c r="H18" s="72"/>
      <c r="I18" s="72"/>
    </row>
    <row r="19" spans="1:9" ht="28" customHeight="1" x14ac:dyDescent="0.35">
      <c r="B19" s="10" t="s">
        <v>630</v>
      </c>
      <c r="C19" s="10" t="s">
        <v>106</v>
      </c>
      <c r="D19" s="10" t="s">
        <v>107</v>
      </c>
      <c r="E19" s="10" t="s">
        <v>108</v>
      </c>
      <c r="F19" s="10"/>
      <c r="G19" s="10" t="s">
        <v>636</v>
      </c>
    </row>
    <row r="20" spans="1:9" x14ac:dyDescent="0.35">
      <c r="B20" s="6" t="s">
        <v>637</v>
      </c>
      <c r="C20" s="42">
        <f>SUMIFS('Seat Ledger'!$L$5:$L$138,'Seat Ledger'!$A$5:$A$138,1,'Seat Ledger'!$I$5:$I$138,"FTC")</f>
        <v>64</v>
      </c>
      <c r="D20" s="42">
        <f>SUMIFS('Seat Ledger'!$L$5:$L$138,'Seat Ledger'!$A$5:$A$138,2,'Seat Ledger'!$I$5:$I$138,"FTC")</f>
        <v>44</v>
      </c>
      <c r="E20" s="42">
        <f>SUMIFS('Seat Ledger'!$L$5:$L$138,'Seat Ledger'!$A$5:$A$138,3,'Seat Ledger'!$I$5:$I$138,"FTC")</f>
        <v>28</v>
      </c>
      <c r="G20" s="25">
        <v>64.7</v>
      </c>
      <c r="H20" t="s">
        <v>811</v>
      </c>
    </row>
    <row r="21" spans="1:9" x14ac:dyDescent="0.35">
      <c r="B21" s="6" t="s">
        <v>638</v>
      </c>
      <c r="C21" s="42">
        <f>SUMIFS('Seat Ledger'!$L$5:$L$138,'Seat Ledger'!$A$5:$A$138,1,'Seat Ledger'!$I$5:$I$138,"FTE")</f>
        <v>20</v>
      </c>
      <c r="D21" s="42">
        <f>SUMIFS('Seat Ledger'!$L$5:$L$138,'Seat Ledger'!$A$5:$A$138,2,'Seat Ledger'!$I$5:$I$138,"FTE")</f>
        <v>19</v>
      </c>
      <c r="E21" s="42">
        <f>SUMIFS('Seat Ledger'!$L$5:$L$138,'Seat Ledger'!$A$5:$A$138,3,'Seat Ledger'!$I$5:$I$138,"FTE")</f>
        <v>17</v>
      </c>
      <c r="G21" s="25">
        <v>18.82</v>
      </c>
      <c r="H21" t="s">
        <v>811</v>
      </c>
    </row>
    <row r="22" spans="1:9" x14ac:dyDescent="0.35">
      <c r="B22" s="6" t="s">
        <v>639</v>
      </c>
      <c r="C22" s="42">
        <f>SUMIFS('Seat Ledger'!$L$5:$L$138,'Seat Ledger'!$A$5:$A$138,1,'Seat Ledger'!$I$5:$I$138,"MGCC")</f>
        <v>16</v>
      </c>
      <c r="D22" s="42">
        <f>SUMIFS('Seat Ledger'!$L$5:$L$138,'Seat Ledger'!$A$5:$A$138,2,'Seat Ledger'!$I$5:$I$138,"MGCC")</f>
        <v>16</v>
      </c>
      <c r="E22" s="42">
        <f>SUMIFS('Seat Ledger'!$L$5:$L$138,'Seat Ledger'!$A$5:$A$138,3,'Seat Ledger'!$I$5:$I$138,"MGCC")</f>
        <v>18</v>
      </c>
      <c r="G22" s="25">
        <v>15.99</v>
      </c>
      <c r="H22" t="s">
        <v>811</v>
      </c>
    </row>
    <row r="23" spans="1:9" x14ac:dyDescent="0.35">
      <c r="B23" s="3" t="s">
        <v>640</v>
      </c>
      <c r="C23" s="43">
        <f>C20+C21+C22-C14</f>
        <v>0</v>
      </c>
      <c r="D23" s="43">
        <f>D20+D21+D22-D14</f>
        <v>0</v>
      </c>
      <c r="E23" s="43">
        <f>E20+E21+E22-E14</f>
        <v>0</v>
      </c>
    </row>
    <row r="25" spans="1:9" ht="19" customHeight="1" x14ac:dyDescent="0.35">
      <c r="A25" s="74" t="s">
        <v>641</v>
      </c>
      <c r="B25" s="72"/>
      <c r="C25" s="72"/>
      <c r="D25" s="72"/>
      <c r="E25" s="72"/>
      <c r="F25" s="72"/>
      <c r="G25" s="72"/>
      <c r="H25" s="72"/>
      <c r="I25" s="72"/>
    </row>
    <row r="26" spans="1:9" ht="28" customHeight="1" x14ac:dyDescent="0.35">
      <c r="B26" s="10" t="s">
        <v>630</v>
      </c>
      <c r="C26" s="10" t="s">
        <v>106</v>
      </c>
      <c r="D26" s="10" t="s">
        <v>107</v>
      </c>
      <c r="E26" s="10" t="s">
        <v>108</v>
      </c>
    </row>
    <row r="27" spans="1:9" x14ac:dyDescent="0.35">
      <c r="B27" s="6" t="s">
        <v>142</v>
      </c>
      <c r="C27" s="42">
        <f>SUMIFS('Seat Ledger'!$L$5:$L$138,'Seat Ledger'!$A$5:$A$138,1,'Seat Ledger'!$H$5:$H$138,"ON")</f>
        <v>45</v>
      </c>
      <c r="D27" s="42">
        <f>SUMIFS('Seat Ledger'!$L$5:$L$138,'Seat Ledger'!$A$5:$A$138,2,'Seat Ledger'!$H$5:$H$138,"ON")</f>
        <v>35</v>
      </c>
      <c r="E27" s="42">
        <f>SUMIFS('Seat Ledger'!$L$5:$L$138,'Seat Ledger'!$A$5:$A$138,3,'Seat Ledger'!$H$5:$H$138,"ON")</f>
        <v>27</v>
      </c>
    </row>
    <row r="28" spans="1:9" x14ac:dyDescent="0.35">
      <c r="B28" s="6" t="s">
        <v>143</v>
      </c>
      <c r="C28" s="42">
        <f>SUMIFS('Seat Ledger'!$L$5:$L$138,'Seat Ledger'!$A$5:$A$138,1,'Seat Ledger'!$H$5:$H$138,"OFF")</f>
        <v>55</v>
      </c>
      <c r="D28" s="42">
        <f>SUMIFS('Seat Ledger'!$L$5:$L$138,'Seat Ledger'!$A$5:$A$138,2,'Seat Ledger'!$H$5:$H$138,"OFF")</f>
        <v>44</v>
      </c>
      <c r="E28" s="42">
        <f>SUMIFS('Seat Ledger'!$L$5:$L$138,'Seat Ledger'!$A$5:$A$138,3,'Seat Ledger'!$H$5:$H$138,"OFF")</f>
        <v>36</v>
      </c>
    </row>
    <row r="29" spans="1:9" x14ac:dyDescent="0.35">
      <c r="B29" s="6" t="s">
        <v>642</v>
      </c>
      <c r="C29" s="14">
        <f>IF(C14=0,0,C28/C14)</f>
        <v>0.55000000000000004</v>
      </c>
      <c r="D29" s="14">
        <f>IF(D14=0,0,D28/D14)</f>
        <v>0.55696202531645567</v>
      </c>
      <c r="E29" s="14">
        <f>IF(E14=0,0,E28/E14)</f>
        <v>0.5714285714285714</v>
      </c>
    </row>
    <row r="30" spans="1:9" x14ac:dyDescent="0.35">
      <c r="B30" s="20" t="s">
        <v>643</v>
      </c>
      <c r="C30" s="21">
        <f>IF(C20=0,0,SUMIFS('Seat Ledger'!$L$5:$L$138,'Seat Ledger'!$A$5:$A$138,1,'Seat Ledger'!$H$5:$H$138,"OFF",'Seat Ledger'!$I$5:$I$138,"FTC")/C20)</f>
        <v>0.640625</v>
      </c>
      <c r="D30" s="21">
        <f>IF(D20=0,0,SUMIFS('Seat Ledger'!$L$5:$L$138,'Seat Ledger'!$A$5:$A$138,2,'Seat Ledger'!$H$5:$H$138,"OFF",'Seat Ledger'!$I$5:$I$138,"FTC")/D20)</f>
        <v>0.63636363636363635</v>
      </c>
      <c r="E30" s="21">
        <f>IF(E20=0,0,SUMIFS('Seat Ledger'!$L$5:$L$138,'Seat Ledger'!$A$5:$A$138,3,'Seat Ledger'!$H$5:$H$138,"OFF",'Seat Ledger'!$I$5:$I$138,"FTC")/E20)</f>
        <v>0.6428571428571429</v>
      </c>
    </row>
    <row r="32" spans="1:9" ht="19" customHeight="1" x14ac:dyDescent="0.35">
      <c r="A32" s="74" t="s">
        <v>644</v>
      </c>
      <c r="B32" s="72"/>
      <c r="C32" s="72"/>
      <c r="D32" s="72"/>
      <c r="E32" s="72"/>
      <c r="F32" s="72"/>
      <c r="G32" s="72"/>
      <c r="H32" s="72"/>
      <c r="I32" s="72"/>
    </row>
    <row r="33" spans="1:9" ht="28" customHeight="1" x14ac:dyDescent="0.35">
      <c r="B33" s="10" t="s">
        <v>645</v>
      </c>
      <c r="C33" s="10" t="s">
        <v>106</v>
      </c>
      <c r="D33" s="10" t="s">
        <v>107</v>
      </c>
      <c r="E33" s="10" t="s">
        <v>108</v>
      </c>
      <c r="F33" s="10"/>
      <c r="G33" s="10" t="s">
        <v>646</v>
      </c>
      <c r="H33" s="10" t="s">
        <v>647</v>
      </c>
      <c r="I33" s="10" t="s">
        <v>648</v>
      </c>
    </row>
    <row r="34" spans="1:9" x14ac:dyDescent="0.35">
      <c r="B34" s="6" t="s">
        <v>649</v>
      </c>
      <c r="C34" s="42">
        <f>SUMIFS('Seat Ledger'!$L$5:$L$138,'Seat Ledger'!$A$5:$A$138,1,'Seat Ledger'!$G$5:$G$138,"E1")</f>
        <v>0</v>
      </c>
      <c r="D34" s="42">
        <f>SUMIFS('Seat Ledger'!$L$5:$L$138,'Seat Ledger'!$A$5:$A$138,2,'Seat Ledger'!$G$5:$G$138,"E1")</f>
        <v>0</v>
      </c>
      <c r="E34" s="42">
        <f>SUMIFS('Seat Ledger'!$L$5:$L$138,'Seat Ledger'!$A$5:$A$138,3,'Seat Ledger'!$G$5:$G$138,"E1")</f>
        <v>0</v>
      </c>
      <c r="G34" s="14">
        <f t="shared" ref="G34:I38" si="0">IF(C$14=0,0,C34/C$14)</f>
        <v>0</v>
      </c>
      <c r="H34" s="14">
        <f t="shared" si="0"/>
        <v>0</v>
      </c>
      <c r="I34" s="14">
        <f t="shared" si="0"/>
        <v>0</v>
      </c>
    </row>
    <row r="35" spans="1:9" x14ac:dyDescent="0.35">
      <c r="B35" s="6" t="s">
        <v>650</v>
      </c>
      <c r="C35" s="42">
        <f>SUMIFS('Seat Ledger'!$L$5:$L$138,'Seat Ledger'!$A$5:$A$138,1,'Seat Ledger'!$G$5:$G$138,"E2")</f>
        <v>29</v>
      </c>
      <c r="D35" s="42">
        <f>SUMIFS('Seat Ledger'!$L$5:$L$138,'Seat Ledger'!$A$5:$A$138,2,'Seat Ledger'!$G$5:$G$138,"E2")</f>
        <v>2</v>
      </c>
      <c r="E35" s="42">
        <f>SUMIFS('Seat Ledger'!$L$5:$L$138,'Seat Ledger'!$A$5:$A$138,3,'Seat Ledger'!$G$5:$G$138,"E2")</f>
        <v>6</v>
      </c>
      <c r="G35" s="14">
        <f t="shared" si="0"/>
        <v>0.28999999999999998</v>
      </c>
      <c r="H35" s="14">
        <f t="shared" si="0"/>
        <v>2.5316455696202531E-2</v>
      </c>
      <c r="I35" s="14">
        <f t="shared" si="0"/>
        <v>9.5238095238095233E-2</v>
      </c>
    </row>
    <row r="36" spans="1:9" x14ac:dyDescent="0.35">
      <c r="B36" s="6" t="s">
        <v>651</v>
      </c>
      <c r="C36" s="42">
        <f>SUMIFS('Seat Ledger'!$L$5:$L$138,'Seat Ledger'!$A$5:$A$138,1,'Seat Ledger'!$G$5:$G$138,"E3")</f>
        <v>33</v>
      </c>
      <c r="D36" s="42">
        <f>SUMIFS('Seat Ledger'!$L$5:$L$138,'Seat Ledger'!$A$5:$A$138,2,'Seat Ledger'!$G$5:$G$138,"E3")</f>
        <v>40</v>
      </c>
      <c r="E36" s="42">
        <f>SUMIFS('Seat Ledger'!$L$5:$L$138,'Seat Ledger'!$A$5:$A$138,3,'Seat Ledger'!$G$5:$G$138,"E3")</f>
        <v>27</v>
      </c>
      <c r="G36" s="14">
        <f t="shared" si="0"/>
        <v>0.33</v>
      </c>
      <c r="H36" s="14">
        <f t="shared" si="0"/>
        <v>0.50632911392405067</v>
      </c>
      <c r="I36" s="14">
        <f t="shared" si="0"/>
        <v>0.42857142857142855</v>
      </c>
    </row>
    <row r="37" spans="1:9" x14ac:dyDescent="0.35">
      <c r="B37" s="6" t="s">
        <v>652</v>
      </c>
      <c r="C37" s="42">
        <f>SUMIFS('Seat Ledger'!$L$5:$L$138,'Seat Ledger'!$A$5:$A$138,1,'Seat Ledger'!$G$5:$G$138,"E4")</f>
        <v>31</v>
      </c>
      <c r="D37" s="42">
        <f>SUMIFS('Seat Ledger'!$L$5:$L$138,'Seat Ledger'!$A$5:$A$138,2,'Seat Ledger'!$G$5:$G$138,"E4")</f>
        <v>30</v>
      </c>
      <c r="E37" s="42">
        <f>SUMIFS('Seat Ledger'!$L$5:$L$138,'Seat Ledger'!$A$5:$A$138,3,'Seat Ledger'!$G$5:$G$138,"E4")</f>
        <v>22</v>
      </c>
      <c r="G37" s="14">
        <f t="shared" si="0"/>
        <v>0.31</v>
      </c>
      <c r="H37" s="14">
        <f t="shared" si="0"/>
        <v>0.379746835443038</v>
      </c>
      <c r="I37" s="14">
        <f t="shared" si="0"/>
        <v>0.34920634920634919</v>
      </c>
    </row>
    <row r="38" spans="1:9" x14ac:dyDescent="0.35">
      <c r="B38" s="6" t="s">
        <v>653</v>
      </c>
      <c r="C38" s="42">
        <f>SUMIFS('Seat Ledger'!$L$5:$L$138,'Seat Ledger'!$A$5:$A$138,1,'Seat Ledger'!$G$5:$G$138,"E5")</f>
        <v>7</v>
      </c>
      <c r="D38" s="42">
        <f>SUMIFS('Seat Ledger'!$L$5:$L$138,'Seat Ledger'!$A$5:$A$138,2,'Seat Ledger'!$G$5:$G$138,"E5")</f>
        <v>7</v>
      </c>
      <c r="E38" s="42">
        <f>SUMIFS('Seat Ledger'!$L$5:$L$138,'Seat Ledger'!$A$5:$A$138,3,'Seat Ledger'!$G$5:$G$138,"E5")</f>
        <v>8</v>
      </c>
      <c r="G38" s="14">
        <f t="shared" si="0"/>
        <v>7.0000000000000007E-2</v>
      </c>
      <c r="H38" s="14">
        <f t="shared" si="0"/>
        <v>8.8607594936708861E-2</v>
      </c>
      <c r="I38" s="14">
        <f t="shared" si="0"/>
        <v>0.12698412698412698</v>
      </c>
    </row>
    <row r="39" spans="1:9" x14ac:dyDescent="0.35">
      <c r="B39" s="20" t="s">
        <v>654</v>
      </c>
      <c r="C39" s="21">
        <f>IF(C14=0,0,(C37+C38)/C14)</f>
        <v>0.38</v>
      </c>
      <c r="D39" s="21">
        <f>IF(D14=0,0,(D37+D38)/D14)</f>
        <v>0.46835443037974683</v>
      </c>
      <c r="E39" s="21">
        <f>IF(E14=0,0,(E37+E38)/E14)</f>
        <v>0.47619047619047616</v>
      </c>
    </row>
    <row r="40" spans="1:9" x14ac:dyDescent="0.35">
      <c r="B40" s="3" t="s">
        <v>655</v>
      </c>
      <c r="C40" s="11" t="str">
        <f>IF((C37+C38)/C14&gt;0.58,"Obelisk",IF((C37+C38)/C14&gt;0.42,"Diamond","Pyramid"))</f>
        <v>Pyramid</v>
      </c>
      <c r="D40" s="11" t="str">
        <f>IF((D37+D38)/D14&gt;0.58,"Obelisk",IF((D37+D38)/D14&gt;0.42,"Diamond","Pyramid"))</f>
        <v>Diamond</v>
      </c>
      <c r="E40" s="11" t="str">
        <f>IF((E37+E38)/E14&gt;0.58,"Obelisk",IF((E37+E38)/E14&gt;0.42,"Diamond","Pyramid"))</f>
        <v>Diamond</v>
      </c>
    </row>
    <row r="42" spans="1:9" ht="19" customHeight="1" x14ac:dyDescent="0.35">
      <c r="A42" s="74" t="s">
        <v>656</v>
      </c>
      <c r="B42" s="72"/>
      <c r="C42" s="72"/>
      <c r="D42" s="72"/>
      <c r="E42" s="72"/>
      <c r="F42" s="72"/>
      <c r="G42" s="72"/>
      <c r="H42" s="72"/>
      <c r="I42" s="72"/>
    </row>
    <row r="43" spans="1:9" ht="28" customHeight="1" x14ac:dyDescent="0.35">
      <c r="B43" s="10" t="s">
        <v>657</v>
      </c>
      <c r="C43" s="10" t="s">
        <v>106</v>
      </c>
      <c r="D43" s="10" t="s">
        <v>107</v>
      </c>
      <c r="E43" s="10" t="s">
        <v>108</v>
      </c>
      <c r="F43" s="10"/>
      <c r="G43" s="10" t="s">
        <v>646</v>
      </c>
      <c r="H43" s="10" t="s">
        <v>647</v>
      </c>
      <c r="I43" s="10" t="s">
        <v>648</v>
      </c>
    </row>
    <row r="44" spans="1:9" x14ac:dyDescent="0.35">
      <c r="B44" s="6" t="s">
        <v>658</v>
      </c>
      <c r="C44" s="42">
        <f>SUMIFS('Seat Ledger'!$L$5:$L$138,'Seat Ledger'!$A$5:$A$138,1,'Seat Ledger'!$F$5:$F$138,"LEAD")</f>
        <v>21</v>
      </c>
      <c r="D44" s="42">
        <f>SUMIFS('Seat Ledger'!$L$5:$L$138,'Seat Ledger'!$A$5:$A$138,2,'Seat Ledger'!$F$5:$F$138,"LEAD")</f>
        <v>19</v>
      </c>
      <c r="E44" s="42">
        <f>SUMIFS('Seat Ledger'!$L$5:$L$138,'Seat Ledger'!$A$5:$A$138,3,'Seat Ledger'!$F$5:$F$138,"LEAD")</f>
        <v>15</v>
      </c>
      <c r="G44" s="14">
        <f t="shared" ref="G44:I49" si="1">IF(C$14=0,0,C44/C$14)</f>
        <v>0.21</v>
      </c>
      <c r="H44" s="14">
        <f t="shared" si="1"/>
        <v>0.24050632911392406</v>
      </c>
      <c r="I44" s="14">
        <f t="shared" si="1"/>
        <v>0.23809523809523808</v>
      </c>
    </row>
    <row r="45" spans="1:9" x14ac:dyDescent="0.35">
      <c r="B45" s="6" t="s">
        <v>659</v>
      </c>
      <c r="C45" s="42">
        <f>SUMIFS('Seat Ledger'!$L$5:$L$138,'Seat Ledger'!$A$5:$A$138,1,'Seat Ledger'!$F$5:$F$138,"BA")</f>
        <v>9</v>
      </c>
      <c r="D45" s="42">
        <f>SUMIFS('Seat Ledger'!$L$5:$L$138,'Seat Ledger'!$A$5:$A$138,2,'Seat Ledger'!$F$5:$F$138,"BA")</f>
        <v>6</v>
      </c>
      <c r="E45" s="42">
        <f>SUMIFS('Seat Ledger'!$L$5:$L$138,'Seat Ledger'!$A$5:$A$138,3,'Seat Ledger'!$F$5:$F$138,"BA")</f>
        <v>3</v>
      </c>
      <c r="G45" s="14">
        <f t="shared" si="1"/>
        <v>0.09</v>
      </c>
      <c r="H45" s="14">
        <f t="shared" si="1"/>
        <v>7.5949367088607597E-2</v>
      </c>
      <c r="I45" s="14">
        <f t="shared" si="1"/>
        <v>4.7619047619047616E-2</v>
      </c>
    </row>
    <row r="46" spans="1:9" x14ac:dyDescent="0.35">
      <c r="B46" s="6" t="s">
        <v>660</v>
      </c>
      <c r="C46" s="42">
        <f>SUMIFS('Seat Ledger'!$L$5:$L$138,'Seat Ledger'!$A$5:$A$138,1,'Seat Ledger'!$F$5:$F$138,"DEV")</f>
        <v>31</v>
      </c>
      <c r="D46" s="42">
        <f>SUMIFS('Seat Ledger'!$L$5:$L$138,'Seat Ledger'!$A$5:$A$138,2,'Seat Ledger'!$F$5:$F$138,"DEV")</f>
        <v>21</v>
      </c>
      <c r="E46" s="42">
        <f>SUMIFS('Seat Ledger'!$L$5:$L$138,'Seat Ledger'!$A$5:$A$138,3,'Seat Ledger'!$F$5:$F$138,"DEV")</f>
        <v>10</v>
      </c>
      <c r="G46" s="14">
        <f t="shared" si="1"/>
        <v>0.31</v>
      </c>
      <c r="H46" s="14">
        <f t="shared" si="1"/>
        <v>0.26582278481012656</v>
      </c>
      <c r="I46" s="14">
        <f t="shared" si="1"/>
        <v>0.15873015873015872</v>
      </c>
    </row>
    <row r="47" spans="1:9" x14ac:dyDescent="0.35">
      <c r="B47" s="6" t="s">
        <v>661</v>
      </c>
      <c r="C47" s="42">
        <f>SUMIFS('Seat Ledger'!$L$5:$L$138,'Seat Ledger'!$A$5:$A$138,1,'Seat Ledger'!$F$5:$F$138,"ENG")</f>
        <v>20</v>
      </c>
      <c r="D47" s="42">
        <f>SUMIFS('Seat Ledger'!$L$5:$L$138,'Seat Ledger'!$A$5:$A$138,2,'Seat Ledger'!$F$5:$F$138,"ENG")</f>
        <v>21</v>
      </c>
      <c r="E47" s="42">
        <f>SUMIFS('Seat Ledger'!$L$5:$L$138,'Seat Ledger'!$A$5:$A$138,3,'Seat Ledger'!$F$5:$F$138,"ENG")</f>
        <v>19</v>
      </c>
      <c r="G47" s="14">
        <f t="shared" si="1"/>
        <v>0.2</v>
      </c>
      <c r="H47" s="14">
        <f t="shared" si="1"/>
        <v>0.26582278481012656</v>
      </c>
      <c r="I47" s="14">
        <f t="shared" si="1"/>
        <v>0.30158730158730157</v>
      </c>
    </row>
    <row r="48" spans="1:9" x14ac:dyDescent="0.35">
      <c r="B48" s="6" t="s">
        <v>662</v>
      </c>
      <c r="C48" s="42">
        <f>SUMIFS('Seat Ledger'!$L$5:$L$138,'Seat Ledger'!$A$5:$A$138,1,'Seat Ledger'!$F$5:$F$138,"TEST")</f>
        <v>14</v>
      </c>
      <c r="D48" s="42">
        <f>SUMIFS('Seat Ledger'!$L$5:$L$138,'Seat Ledger'!$A$5:$A$138,2,'Seat Ledger'!$F$5:$F$138,"TEST")</f>
        <v>10</v>
      </c>
      <c r="E48" s="42">
        <f>SUMIFS('Seat Ledger'!$L$5:$L$138,'Seat Ledger'!$A$5:$A$138,3,'Seat Ledger'!$F$5:$F$138,"TEST")</f>
        <v>14</v>
      </c>
      <c r="G48" s="14">
        <f t="shared" si="1"/>
        <v>0.14000000000000001</v>
      </c>
      <c r="H48" s="14">
        <f t="shared" si="1"/>
        <v>0.12658227848101267</v>
      </c>
      <c r="I48" s="14">
        <f t="shared" si="1"/>
        <v>0.22222222222222221</v>
      </c>
    </row>
    <row r="49" spans="1:9" x14ac:dyDescent="0.35">
      <c r="B49" s="6" t="s">
        <v>663</v>
      </c>
      <c r="C49" s="42">
        <f>SUMIFS('Seat Ledger'!$L$5:$L$138,'Seat Ledger'!$A$5:$A$138,1,'Seat Ledger'!$F$5:$F$138,"OPS")</f>
        <v>5</v>
      </c>
      <c r="D49" s="42">
        <f>SUMIFS('Seat Ledger'!$L$5:$L$138,'Seat Ledger'!$A$5:$A$138,2,'Seat Ledger'!$F$5:$F$138,"OPS")</f>
        <v>2</v>
      </c>
      <c r="E49" s="42">
        <f>SUMIFS('Seat Ledger'!$L$5:$L$138,'Seat Ledger'!$A$5:$A$138,3,'Seat Ledger'!$F$5:$F$138,"OPS")</f>
        <v>2</v>
      </c>
      <c r="G49" s="14">
        <f t="shared" si="1"/>
        <v>0.05</v>
      </c>
      <c r="H49" s="14">
        <f t="shared" si="1"/>
        <v>2.5316455696202531E-2</v>
      </c>
      <c r="I49" s="14">
        <f t="shared" si="1"/>
        <v>3.1746031746031744E-2</v>
      </c>
    </row>
    <row r="50" spans="1:9" x14ac:dyDescent="0.35">
      <c r="B50" s="3" t="s">
        <v>640</v>
      </c>
      <c r="C50" s="43">
        <f>SUM(C44:C49)-C14</f>
        <v>0</v>
      </c>
      <c r="D50" s="43">
        <f>SUM(D44:D49)-D14</f>
        <v>0</v>
      </c>
      <c r="E50" s="43">
        <f>SUM(E44:E49)-E14</f>
        <v>0</v>
      </c>
    </row>
    <row r="52" spans="1:9" ht="19" customHeight="1" x14ac:dyDescent="0.35">
      <c r="A52" s="74" t="s">
        <v>664</v>
      </c>
      <c r="B52" s="72"/>
      <c r="C52" s="72"/>
      <c r="D52" s="72"/>
      <c r="E52" s="72"/>
      <c r="F52" s="72"/>
      <c r="G52" s="72"/>
      <c r="H52" s="72"/>
      <c r="I52" s="72"/>
    </row>
    <row r="53" spans="1:9" ht="28" customHeight="1" x14ac:dyDescent="0.35">
      <c r="B53" s="10" t="s">
        <v>665</v>
      </c>
      <c r="C53" s="10" t="s">
        <v>106</v>
      </c>
      <c r="D53" s="10" t="s">
        <v>107</v>
      </c>
      <c r="E53" s="10" t="s">
        <v>108</v>
      </c>
    </row>
    <row r="54" spans="1:9" x14ac:dyDescent="0.35">
      <c r="B54" s="6" t="s">
        <v>666</v>
      </c>
      <c r="C54" s="42">
        <f>SUMIFS('Seat Ledger'!$L$5:$L$138,'Seat Ledger'!$A$5:$A$138,1,'Seat Ledger'!$C$5:$C$138,"VS1")</f>
        <v>40</v>
      </c>
      <c r="D54" s="42">
        <f>SUMIFS('Seat Ledger'!$L$5:$L$138,'Seat Ledger'!$A$5:$A$138,2,'Seat Ledger'!$C$5:$C$138,"VS1")</f>
        <v>21</v>
      </c>
      <c r="E54" s="42">
        <f>SUMIFS('Seat Ledger'!$L$5:$L$138,'Seat Ledger'!$A$5:$A$138,3,'Seat Ledger'!$C$5:$C$138,"VS1")</f>
        <v>0</v>
      </c>
    </row>
    <row r="55" spans="1:9" x14ac:dyDescent="0.35">
      <c r="B55" s="6" t="s">
        <v>667</v>
      </c>
      <c r="C55" s="42">
        <f>SUMIFS('Seat Ledger'!$L$5:$L$138,'Seat Ledger'!$A$5:$A$138,1,'Seat Ledger'!$C$5:$C$138,"VS2")</f>
        <v>36</v>
      </c>
      <c r="D55" s="42">
        <f>SUMIFS('Seat Ledger'!$L$5:$L$138,'Seat Ledger'!$A$5:$A$138,2,'Seat Ledger'!$C$5:$C$138,"VS2")</f>
        <v>37</v>
      </c>
      <c r="E55" s="42">
        <f>SUMIFS('Seat Ledger'!$L$5:$L$138,'Seat Ledger'!$A$5:$A$138,3,'Seat Ledger'!$C$5:$C$138,"VS2")</f>
        <v>42</v>
      </c>
    </row>
    <row r="56" spans="1:9" x14ac:dyDescent="0.35">
      <c r="B56" s="6" t="s">
        <v>668</v>
      </c>
      <c r="C56" s="42">
        <f>SUMIFS('Seat Ledger'!$L$5:$L$138,'Seat Ledger'!$A$5:$A$138,1,'Seat Ledger'!$C$5:$C$138,"H1")</f>
        <v>12</v>
      </c>
      <c r="D56" s="42">
        <f>SUMIFS('Seat Ledger'!$L$5:$L$138,'Seat Ledger'!$A$5:$A$138,2,'Seat Ledger'!$C$5:$C$138,"H1")</f>
        <v>10</v>
      </c>
      <c r="E56" s="42">
        <f>SUMIFS('Seat Ledger'!$L$5:$L$138,'Seat Ledger'!$A$5:$A$138,3,'Seat Ledger'!$C$5:$C$138,"H1")</f>
        <v>9</v>
      </c>
    </row>
    <row r="57" spans="1:9" x14ac:dyDescent="0.35">
      <c r="B57" s="6" t="s">
        <v>669</v>
      </c>
      <c r="C57" s="42">
        <f>SUMIFS('Seat Ledger'!$L$5:$L$138,'Seat Ledger'!$A$5:$A$138,1,'Seat Ledger'!$C$5:$C$138,"H2")</f>
        <v>6</v>
      </c>
      <c r="D57" s="42">
        <f>SUMIFS('Seat Ledger'!$L$5:$L$138,'Seat Ledger'!$A$5:$A$138,2,'Seat Ledger'!$C$5:$C$138,"H2")</f>
        <v>6</v>
      </c>
      <c r="E57" s="42">
        <f>SUMIFS('Seat Ledger'!$L$5:$L$138,'Seat Ledger'!$A$5:$A$138,3,'Seat Ledger'!$C$5:$C$138,"H2")</f>
        <v>7</v>
      </c>
    </row>
    <row r="58" spans="1:9" x14ac:dyDescent="0.35">
      <c r="B58" s="6" t="s">
        <v>670</v>
      </c>
      <c r="C58" s="42">
        <f>SUMIFS('Seat Ledger'!$L$5:$L$138,'Seat Ledger'!$A$5:$A$138,1,'Seat Ledger'!$C$5:$C$138,"H3")</f>
        <v>6</v>
      </c>
      <c r="D58" s="42">
        <f>SUMIFS('Seat Ledger'!$L$5:$L$138,'Seat Ledger'!$A$5:$A$138,2,'Seat Ledger'!$C$5:$C$138,"H3")</f>
        <v>5</v>
      </c>
      <c r="E58" s="42">
        <f>SUMIFS('Seat Ledger'!$L$5:$L$138,'Seat Ledger'!$A$5:$A$138,3,'Seat Ledger'!$C$5:$C$138,"H3")</f>
        <v>5</v>
      </c>
    </row>
    <row r="59" spans="1:9" x14ac:dyDescent="0.35">
      <c r="B59" s="20" t="s">
        <v>671</v>
      </c>
      <c r="C59" s="34">
        <f>SUM(C54:C58)</f>
        <v>100</v>
      </c>
      <c r="D59" s="34">
        <f>SUM(D54:D58)</f>
        <v>79</v>
      </c>
      <c r="E59" s="34">
        <f>SUM(E54:E58)</f>
        <v>63</v>
      </c>
    </row>
  </sheetData>
  <mergeCells count="9">
    <mergeCell ref="A52:I52"/>
    <mergeCell ref="A1:J1"/>
    <mergeCell ref="A25:I25"/>
    <mergeCell ref="A10:I10"/>
    <mergeCell ref="A42:I42"/>
    <mergeCell ref="A32:I32"/>
    <mergeCell ref="A18:I18"/>
    <mergeCell ref="A2:J2"/>
    <mergeCell ref="A4:I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4"/>
  <sheetViews>
    <sheetView topLeftCell="A21" workbookViewId="0">
      <selection activeCell="D31" sqref="D31"/>
    </sheetView>
  </sheetViews>
  <sheetFormatPr defaultColWidth="8.81640625" defaultRowHeight="14.5" x14ac:dyDescent="0.35"/>
  <cols>
    <col min="1" max="1" width="2" customWidth="1"/>
    <col min="2" max="2" width="52" customWidth="1"/>
    <col min="3" max="3" width="14" customWidth="1"/>
    <col min="4" max="4" width="16.7265625" customWidth="1"/>
    <col min="5" max="5" width="14" customWidth="1"/>
    <col min="6" max="6" width="3" customWidth="1"/>
    <col min="7" max="7" width="58" customWidth="1"/>
  </cols>
  <sheetData>
    <row r="1" spans="1:9" ht="26.15" customHeight="1" x14ac:dyDescent="0.35">
      <c r="A1" s="73" t="s">
        <v>672</v>
      </c>
      <c r="B1" s="72"/>
      <c r="C1" s="72"/>
      <c r="D1" s="72"/>
      <c r="E1" s="72"/>
      <c r="F1" s="72"/>
      <c r="G1" s="72"/>
      <c r="H1" s="72"/>
      <c r="I1" s="72"/>
    </row>
    <row r="2" spans="1:9" x14ac:dyDescent="0.35">
      <c r="A2" s="71" t="s">
        <v>673</v>
      </c>
      <c r="B2" s="72"/>
      <c r="C2" s="72"/>
      <c r="D2" s="72"/>
      <c r="E2" s="72"/>
      <c r="F2" s="72"/>
      <c r="G2" s="72"/>
      <c r="H2" s="72"/>
      <c r="I2" s="72"/>
    </row>
    <row r="4" spans="1:9" ht="19" customHeight="1" x14ac:dyDescent="0.35">
      <c r="A4" s="74" t="s">
        <v>674</v>
      </c>
      <c r="B4" s="72"/>
      <c r="C4" s="72"/>
      <c r="D4" s="72"/>
      <c r="E4" s="72"/>
      <c r="F4" s="72"/>
      <c r="G4" s="72"/>
      <c r="H4" s="72"/>
    </row>
    <row r="5" spans="1:9" ht="28" customHeight="1" x14ac:dyDescent="0.35">
      <c r="B5" s="10" t="s">
        <v>630</v>
      </c>
      <c r="C5" s="10" t="s">
        <v>675</v>
      </c>
    </row>
    <row r="6" spans="1:9" x14ac:dyDescent="0.35">
      <c r="B6" s="6" t="s">
        <v>676</v>
      </c>
      <c r="C6" s="12">
        <f>'Logic Tree'!C6</f>
        <v>3</v>
      </c>
    </row>
    <row r="7" spans="1:9" x14ac:dyDescent="0.35">
      <c r="B7" s="6" t="s">
        <v>70</v>
      </c>
      <c r="C7" s="13">
        <f>'Logic Tree'!C7</f>
        <v>100.76496874999998</v>
      </c>
    </row>
    <row r="8" spans="1:9" x14ac:dyDescent="0.35">
      <c r="B8" s="6" t="s">
        <v>677</v>
      </c>
      <c r="C8" s="13">
        <f>'Logic Tree'!C8</f>
        <v>64.704593749999987</v>
      </c>
    </row>
    <row r="9" spans="1:9" x14ac:dyDescent="0.35">
      <c r="B9" s="6" t="s">
        <v>678</v>
      </c>
      <c r="C9" s="13">
        <f>'Logic Tree'!C9</f>
        <v>18.825000000000003</v>
      </c>
    </row>
    <row r="10" spans="1:9" x14ac:dyDescent="0.35">
      <c r="B10" s="6" t="s">
        <v>679</v>
      </c>
      <c r="C10" s="13">
        <f>'Logic Tree'!C10</f>
        <v>15.991666666666665</v>
      </c>
    </row>
    <row r="11" spans="1:9" x14ac:dyDescent="0.35">
      <c r="B11" s="6" t="s">
        <v>680</v>
      </c>
      <c r="C11" s="44">
        <f>C8/C7</f>
        <v>0.64213381448599915</v>
      </c>
      <c r="G11" s="5" t="s">
        <v>823</v>
      </c>
    </row>
    <row r="12" spans="1:9" x14ac:dyDescent="0.35">
      <c r="B12" s="6" t="s">
        <v>681</v>
      </c>
      <c r="C12" s="13">
        <f>SUMIFS(Inventory!$S:$S,Inventory!$E:$E,'Logic Tree'!$C$5)</f>
        <v>50.38248437499999</v>
      </c>
      <c r="D12" s="6" t="s">
        <v>169</v>
      </c>
      <c r="E12" s="13">
        <f>SUMIFS(Inventory!$T:$T,Inventory!$E:$E,'Logic Tree'!$C$5)</f>
        <v>50.38248437499999</v>
      </c>
      <c r="G12" s="5" t="s">
        <v>682</v>
      </c>
    </row>
    <row r="14" spans="1:9" ht="19" customHeight="1" x14ac:dyDescent="0.35">
      <c r="A14" s="74" t="s">
        <v>683</v>
      </c>
      <c r="B14" s="72"/>
      <c r="C14" s="72"/>
      <c r="D14" s="72"/>
      <c r="E14" s="72"/>
      <c r="F14" s="72"/>
      <c r="G14" s="72"/>
      <c r="H14" s="72"/>
    </row>
    <row r="15" spans="1:9" ht="28" customHeight="1" x14ac:dyDescent="0.35">
      <c r="B15" s="10" t="s">
        <v>630</v>
      </c>
      <c r="C15" s="10" t="s">
        <v>106</v>
      </c>
      <c r="D15" s="10" t="s">
        <v>107</v>
      </c>
      <c r="E15" s="10" t="s">
        <v>108</v>
      </c>
    </row>
    <row r="16" spans="1:9" x14ac:dyDescent="0.35">
      <c r="B16" s="6" t="s">
        <v>684</v>
      </c>
      <c r="C16" s="42">
        <f>'Team Build-Up'!C14</f>
        <v>100</v>
      </c>
      <c r="D16" s="42">
        <f>'Team Build-Up'!D14</f>
        <v>79</v>
      </c>
      <c r="E16" s="42">
        <f>'Team Build-Up'!E14</f>
        <v>63</v>
      </c>
      <c r="G16" s="5" t="s">
        <v>685</v>
      </c>
    </row>
    <row r="17" spans="1:8" x14ac:dyDescent="0.35">
      <c r="B17" s="20" t="s">
        <v>686</v>
      </c>
      <c r="C17" s="21">
        <f>IF($C$7=0,0,1-'Team Build-Up'!C14/$C$7)</f>
        <v>7.5916140250872344E-3</v>
      </c>
      <c r="D17" s="21">
        <f>IF($C$7=0,0,1-'Team Build-Up'!D14/$C$7)</f>
        <v>0.21599737507981898</v>
      </c>
      <c r="E17" s="21">
        <f>IF($C$7=0,0,1-'Team Build-Up'!E14/$C$7)</f>
        <v>0.374782716835805</v>
      </c>
    </row>
    <row r="18" spans="1:8" x14ac:dyDescent="0.35">
      <c r="B18" s="6" t="s">
        <v>687</v>
      </c>
      <c r="C18" s="14">
        <f>'Logic Tree'!C57</f>
        <v>0.12101505063678121</v>
      </c>
      <c r="D18" s="14">
        <f>'Logic Tree'!D57</f>
        <v>0.25140115527721119</v>
      </c>
      <c r="E18" s="14">
        <f>'Logic Tree'!E57</f>
        <v>0.28595973655142432</v>
      </c>
    </row>
    <row r="19" spans="1:8" x14ac:dyDescent="0.35">
      <c r="B19" s="6" t="s">
        <v>688</v>
      </c>
      <c r="C19" s="14">
        <f>C18-C17</f>
        <v>0.11342343661169398</v>
      </c>
      <c r="D19" s="14">
        <f>D18-D17</f>
        <v>3.5403780197392209E-2</v>
      </c>
      <c r="E19" s="14">
        <f>E18-E17</f>
        <v>-8.8822980284380681E-2</v>
      </c>
    </row>
    <row r="21" spans="1:8" ht="19" customHeight="1" x14ac:dyDescent="0.35">
      <c r="A21" s="74" t="s">
        <v>689</v>
      </c>
      <c r="B21" s="72"/>
      <c r="C21" s="72"/>
      <c r="D21" s="72"/>
      <c r="E21" s="72"/>
      <c r="F21" s="72"/>
      <c r="G21" s="72"/>
      <c r="H21" s="72"/>
    </row>
    <row r="22" spans="1:8" ht="28" customHeight="1" x14ac:dyDescent="0.35">
      <c r="B22" s="10" t="s">
        <v>630</v>
      </c>
      <c r="C22" s="10" t="s">
        <v>106</v>
      </c>
      <c r="D22" s="10" t="s">
        <v>107</v>
      </c>
      <c r="E22" s="10" t="s">
        <v>108</v>
      </c>
    </row>
    <row r="23" spans="1:8" x14ac:dyDescent="0.35">
      <c r="B23" s="20" t="s">
        <v>690</v>
      </c>
      <c r="C23" s="45">
        <f>'Team Build-Up'!C30</f>
        <v>0.640625</v>
      </c>
      <c r="D23" s="45">
        <f>'Team Build-Up'!D30</f>
        <v>0.63636363636363635</v>
      </c>
      <c r="E23" s="45">
        <f>'Team Build-Up'!E30</f>
        <v>0.6428571428571429</v>
      </c>
    </row>
    <row r="24" spans="1:8" x14ac:dyDescent="0.35">
      <c r="B24" s="6" t="s">
        <v>687</v>
      </c>
      <c r="C24" s="44">
        <f>'Logic Tree'!D65</f>
        <v>0.5548109617088528</v>
      </c>
      <c r="D24" s="44">
        <f>'Logic Tree'!E65</f>
        <v>0.65097819507172061</v>
      </c>
      <c r="E24" s="44">
        <f>'Logic Tree'!F65</f>
        <v>0.70276055149788019</v>
      </c>
    </row>
    <row r="25" spans="1:8" x14ac:dyDescent="0.35">
      <c r="B25" s="6" t="s">
        <v>691</v>
      </c>
      <c r="C25" s="44">
        <f>'Team Build-Up'!C29</f>
        <v>0.55000000000000004</v>
      </c>
      <c r="D25" s="44">
        <f>'Team Build-Up'!D29</f>
        <v>0.55696202531645567</v>
      </c>
      <c r="E25" s="44">
        <f>'Team Build-Up'!E29</f>
        <v>0.5714285714285714</v>
      </c>
    </row>
    <row r="27" spans="1:8" ht="19" customHeight="1" x14ac:dyDescent="0.35">
      <c r="A27" s="74" t="s">
        <v>692</v>
      </c>
      <c r="B27" s="72"/>
      <c r="C27" s="72"/>
      <c r="D27" s="72"/>
      <c r="E27" s="72"/>
      <c r="F27" s="72"/>
      <c r="G27" s="72"/>
      <c r="H27" s="72"/>
    </row>
    <row r="28" spans="1:8" x14ac:dyDescent="0.35">
      <c r="B28" s="5" t="s">
        <v>693</v>
      </c>
    </row>
    <row r="29" spans="1:8" ht="28" customHeight="1" x14ac:dyDescent="0.35">
      <c r="B29" s="10" t="s">
        <v>630</v>
      </c>
      <c r="C29" s="10" t="s">
        <v>106</v>
      </c>
      <c r="D29" s="10" t="s">
        <v>107</v>
      </c>
      <c r="E29" s="10" t="s">
        <v>108</v>
      </c>
    </row>
    <row r="30" spans="1:8" x14ac:dyDescent="0.35">
      <c r="B30" s="6" t="s">
        <v>694</v>
      </c>
      <c r="C30" s="42">
        <f>'Team Build-Up'!C14</f>
        <v>100</v>
      </c>
      <c r="D30" s="42">
        <f>'Team Build-Up'!D14</f>
        <v>79</v>
      </c>
      <c r="E30" s="42">
        <f>'Team Build-Up'!E14</f>
        <v>63</v>
      </c>
    </row>
    <row r="31" spans="1:8" x14ac:dyDescent="0.35">
      <c r="B31" s="6" t="s">
        <v>695</v>
      </c>
      <c r="C31" s="42">
        <f>'Team Build-Up'!C20</f>
        <v>64</v>
      </c>
      <c r="D31" s="42">
        <f>'Team Build-Up'!D20</f>
        <v>44</v>
      </c>
      <c r="E31" s="42">
        <f>'Team Build-Up'!E20</f>
        <v>28</v>
      </c>
    </row>
    <row r="32" spans="1:8" x14ac:dyDescent="0.35">
      <c r="B32" s="6" t="s">
        <v>696</v>
      </c>
      <c r="C32" s="42">
        <f>'Team Build-Up'!C21</f>
        <v>20</v>
      </c>
      <c r="D32" s="42">
        <f>'Team Build-Up'!D21</f>
        <v>19</v>
      </c>
      <c r="E32" s="42">
        <f>'Team Build-Up'!E21</f>
        <v>17</v>
      </c>
    </row>
    <row r="33" spans="1:8" x14ac:dyDescent="0.35">
      <c r="B33" s="6" t="s">
        <v>639</v>
      </c>
      <c r="C33" s="42">
        <f>'Team Build-Up'!C22</f>
        <v>16</v>
      </c>
      <c r="D33" s="42">
        <f>'Team Build-Up'!D22</f>
        <v>16</v>
      </c>
      <c r="E33" s="42">
        <f>'Team Build-Up'!E22</f>
        <v>18</v>
      </c>
    </row>
    <row r="34" spans="1:8" x14ac:dyDescent="0.35">
      <c r="B34" s="6" t="s">
        <v>697</v>
      </c>
      <c r="C34" s="42">
        <f>C32+C33</f>
        <v>36</v>
      </c>
      <c r="D34" s="42">
        <f>D32+D33</f>
        <v>35</v>
      </c>
      <c r="E34" s="42">
        <f>E32+E33</f>
        <v>35</v>
      </c>
    </row>
    <row r="35" spans="1:8" x14ac:dyDescent="0.35">
      <c r="B35" s="6" t="s">
        <v>698</v>
      </c>
      <c r="C35" s="26">
        <f>'Logic Tree'!C71</f>
        <v>0</v>
      </c>
      <c r="D35" s="26">
        <f>'Logic Tree'!D71</f>
        <v>0</v>
      </c>
      <c r="E35" s="26">
        <f>'Logic Tree'!E71</f>
        <v>0</v>
      </c>
    </row>
    <row r="36" spans="1:8" x14ac:dyDescent="0.35">
      <c r="B36" s="20" t="s">
        <v>699</v>
      </c>
      <c r="C36" s="21">
        <f>IF(C30=0,0,(C31-C35)/C30)</f>
        <v>0.64</v>
      </c>
      <c r="D36" s="21">
        <f>IF(D30=0,0,(D31-D35)/D30)</f>
        <v>0.55696202531645567</v>
      </c>
      <c r="E36" s="21">
        <f>IF(E30=0,0,(E31-E35)/E30)</f>
        <v>0.44444444444444442</v>
      </c>
    </row>
    <row r="37" spans="1:8" x14ac:dyDescent="0.35">
      <c r="B37" s="6" t="s">
        <v>700</v>
      </c>
      <c r="C37" s="42">
        <f>C30/2-C34</f>
        <v>14</v>
      </c>
      <c r="D37" s="42">
        <f>D30/2-D34</f>
        <v>4.5</v>
      </c>
      <c r="E37" s="42">
        <f>E30/2-E34</f>
        <v>-3.5</v>
      </c>
    </row>
    <row r="38" spans="1:8" x14ac:dyDescent="0.35">
      <c r="B38" s="5" t="s">
        <v>701</v>
      </c>
    </row>
    <row r="40" spans="1:8" ht="19" customHeight="1" x14ac:dyDescent="0.35">
      <c r="A40" s="74" t="s">
        <v>702</v>
      </c>
      <c r="B40" s="72"/>
      <c r="C40" s="72"/>
      <c r="D40" s="72"/>
      <c r="E40" s="72"/>
      <c r="F40" s="72"/>
      <c r="G40" s="72"/>
      <c r="H40" s="72"/>
    </row>
    <row r="41" spans="1:8" ht="30" customHeight="1" x14ac:dyDescent="0.35">
      <c r="B41" s="75" t="s">
        <v>824</v>
      </c>
      <c r="C41" s="72"/>
      <c r="D41" s="72"/>
      <c r="E41" s="72"/>
      <c r="F41" s="72"/>
      <c r="G41" s="72"/>
    </row>
    <row r="42" spans="1:8" ht="30" customHeight="1" x14ac:dyDescent="0.35">
      <c r="B42" s="75" t="s">
        <v>837</v>
      </c>
      <c r="C42" s="72"/>
      <c r="D42" s="72"/>
      <c r="E42" s="72"/>
      <c r="F42" s="72"/>
      <c r="G42" s="72"/>
    </row>
    <row r="43" spans="1:8" ht="30" customHeight="1" x14ac:dyDescent="0.35">
      <c r="B43" s="75" t="s">
        <v>703</v>
      </c>
      <c r="C43" s="72"/>
      <c r="D43" s="72"/>
      <c r="E43" s="72"/>
      <c r="F43" s="72"/>
      <c r="G43" s="72"/>
    </row>
    <row r="44" spans="1:8" ht="30" customHeight="1" x14ac:dyDescent="0.35">
      <c r="B44" s="75" t="s">
        <v>704</v>
      </c>
      <c r="C44" s="72"/>
      <c r="D44" s="72"/>
      <c r="E44" s="72"/>
      <c r="F44" s="72"/>
      <c r="G44" s="72"/>
    </row>
  </sheetData>
  <mergeCells count="11">
    <mergeCell ref="A1:I1"/>
    <mergeCell ref="A14:H14"/>
    <mergeCell ref="B43:G43"/>
    <mergeCell ref="B44:G44"/>
    <mergeCell ref="A27:H27"/>
    <mergeCell ref="A40:H40"/>
    <mergeCell ref="A4:H4"/>
    <mergeCell ref="A21:H21"/>
    <mergeCell ref="A2:I2"/>
    <mergeCell ref="B42:G42"/>
    <mergeCell ref="B41:G4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4"/>
  <sheetViews>
    <sheetView topLeftCell="A18" workbookViewId="0">
      <selection activeCell="G16" sqref="G16"/>
    </sheetView>
  </sheetViews>
  <sheetFormatPr defaultColWidth="8.81640625" defaultRowHeight="14.5" x14ac:dyDescent="0.35"/>
  <cols>
    <col min="1" max="1" width="2" customWidth="1"/>
    <col min="2" max="2" width="54" customWidth="1"/>
    <col min="3" max="5" width="14" customWidth="1"/>
    <col min="6" max="6" width="3" customWidth="1"/>
    <col min="7" max="7" width="56" customWidth="1"/>
  </cols>
  <sheetData>
    <row r="1" spans="1:8" ht="26.15" customHeight="1" x14ac:dyDescent="0.35">
      <c r="A1" s="73" t="s">
        <v>705</v>
      </c>
      <c r="B1" s="72"/>
      <c r="C1" s="72"/>
      <c r="D1" s="72"/>
      <c r="E1" s="72"/>
      <c r="F1" s="72"/>
      <c r="G1" s="72"/>
      <c r="H1" s="72"/>
    </row>
    <row r="2" spans="1:8" x14ac:dyDescent="0.35">
      <c r="A2" s="71" t="s">
        <v>706</v>
      </c>
      <c r="B2" s="72"/>
      <c r="C2" s="72"/>
      <c r="D2" s="72"/>
      <c r="E2" s="72"/>
      <c r="F2" s="72"/>
      <c r="G2" s="72"/>
      <c r="H2" s="72"/>
    </row>
    <row r="4" spans="1:8" ht="19" customHeight="1" x14ac:dyDescent="0.35">
      <c r="A4" s="74" t="s">
        <v>707</v>
      </c>
      <c r="B4" s="72"/>
      <c r="C4" s="72"/>
      <c r="D4" s="72"/>
      <c r="E4" s="72"/>
      <c r="F4" s="72"/>
      <c r="G4" s="72"/>
    </row>
    <row r="5" spans="1:8" ht="28" customHeight="1" x14ac:dyDescent="0.35">
      <c r="B5" s="10" t="s">
        <v>630</v>
      </c>
      <c r="C5" s="10" t="s">
        <v>106</v>
      </c>
      <c r="D5" s="10" t="s">
        <v>107</v>
      </c>
      <c r="E5" s="10" t="s">
        <v>108</v>
      </c>
    </row>
    <row r="6" spans="1:8" x14ac:dyDescent="0.35">
      <c r="B6" s="6" t="s">
        <v>708</v>
      </c>
      <c r="C6" s="29">
        <f>SUMIFS('Seat Ledger'!$M$5:$M$138,'Seat Ledger'!$A$5:$A$138,1)</f>
        <v>102.76</v>
      </c>
      <c r="D6" s="29">
        <f>SUMIFS('Seat Ledger'!$M$5:$M$138,'Seat Ledger'!$A$5:$A$138,2)</f>
        <v>86.32999999999997</v>
      </c>
      <c r="E6" s="29">
        <f>SUMIFS('Seat Ledger'!$M$5:$M$138,'Seat Ledger'!$A$5:$A$138,3)</f>
        <v>68.89</v>
      </c>
    </row>
    <row r="7" spans="1:8" x14ac:dyDescent="0.35">
      <c r="B7" s="6" t="s">
        <v>709</v>
      </c>
      <c r="C7" s="42">
        <f>'Team Build-Up'!C14</f>
        <v>100</v>
      </c>
      <c r="D7" s="42">
        <f>'Team Build-Up'!D14</f>
        <v>79</v>
      </c>
      <c r="E7" s="42">
        <f>'Team Build-Up'!E14</f>
        <v>63</v>
      </c>
    </row>
    <row r="8" spans="1:8" x14ac:dyDescent="0.35">
      <c r="B8" s="6" t="s">
        <v>710</v>
      </c>
      <c r="C8" s="42">
        <f>IF(C7=0,0,C6/C7)</f>
        <v>1.0276000000000001</v>
      </c>
      <c r="D8" s="42">
        <f>IF(D7=0,0,D6/D7)</f>
        <v>1.0927848101265818</v>
      </c>
      <c r="E8" s="42">
        <f>IF(E7=0,0,E6/E7)</f>
        <v>1.0934920634920635</v>
      </c>
      <c r="G8" s="5" t="s">
        <v>711</v>
      </c>
    </row>
    <row r="9" spans="1:8" x14ac:dyDescent="0.35">
      <c r="B9" s="6" t="s">
        <v>712</v>
      </c>
      <c r="C9" s="46">
        <f>IF('Glidepath &amp; 50-50'!$C$7=0,0,C6/'Glidepath &amp; 50-50'!$C$7)</f>
        <v>1.0197988574278203</v>
      </c>
      <c r="D9" s="46">
        <f>IF('Glidepath &amp; 50-50'!$C$7=0,0,D6/'Glidepath &amp; 50-50'!$C$7)</f>
        <v>0.85674615961214184</v>
      </c>
      <c r="E9" s="46">
        <f>IF('Glidepath &amp; 50-50'!$C$7=0,0,E6/'Glidepath &amp; 50-50'!$C$7)</f>
        <v>0.68367013709811741</v>
      </c>
    </row>
    <row r="10" spans="1:8" x14ac:dyDescent="0.35">
      <c r="B10" s="20" t="s">
        <v>713</v>
      </c>
      <c r="C10" s="21">
        <f>IF($C$9=0,0,1-C9/$C$9)</f>
        <v>0</v>
      </c>
      <c r="D10" s="21">
        <f>IF($C$9=0,0,1-D9/$C$9)</f>
        <v>0.15988711560918678</v>
      </c>
      <c r="E10" s="21">
        <f>IF($C$9=0,0,1-E9/$C$9)</f>
        <v>0.32960295834955233</v>
      </c>
    </row>
    <row r="12" spans="1:8" ht="19" customHeight="1" x14ac:dyDescent="0.35">
      <c r="A12" s="74" t="s">
        <v>714</v>
      </c>
      <c r="B12" s="72"/>
      <c r="C12" s="72"/>
      <c r="D12" s="72"/>
      <c r="E12" s="72"/>
      <c r="F12" s="72"/>
      <c r="G12" s="72"/>
    </row>
    <row r="13" spans="1:8" ht="28" customHeight="1" x14ac:dyDescent="0.35">
      <c r="B13" s="10" t="s">
        <v>715</v>
      </c>
      <c r="C13" s="10" t="s">
        <v>716</v>
      </c>
      <c r="D13" s="10" t="s">
        <v>717</v>
      </c>
    </row>
    <row r="14" spans="1:8" x14ac:dyDescent="0.35">
      <c r="B14" s="6" t="s">
        <v>718</v>
      </c>
      <c r="C14" s="14">
        <f>IF($C$7=0,0,D7/$C$7-1)</f>
        <v>-0.20999999999999996</v>
      </c>
      <c r="D14" s="14">
        <f>IF($C$7=0,0,E7/$C$7-1)</f>
        <v>-0.37</v>
      </c>
    </row>
    <row r="15" spans="1:8" x14ac:dyDescent="0.35">
      <c r="B15" s="6" t="s">
        <v>719</v>
      </c>
      <c r="C15" s="14">
        <f>IF($C$8=0,0,D8/$C$8-1)</f>
        <v>6.3434030874446989E-2</v>
      </c>
      <c r="D15" s="14">
        <f>IF($C$8=0,0,E8/$C$8-1)</f>
        <v>6.4122288334043764E-2</v>
      </c>
    </row>
    <row r="16" spans="1:8" x14ac:dyDescent="0.35">
      <c r="B16" s="20" t="s">
        <v>720</v>
      </c>
      <c r="C16" s="21">
        <f>IF($C$9=0,0,D9/$C$9-1)</f>
        <v>-0.15988711560918678</v>
      </c>
      <c r="D16" s="21">
        <f>IF($C$9=0,0,E9/$C$9-1)</f>
        <v>-0.32960295834955233</v>
      </c>
      <c r="G16" s="5" t="s">
        <v>721</v>
      </c>
    </row>
    <row r="18" spans="1:7" ht="19" customHeight="1" x14ac:dyDescent="0.35">
      <c r="A18" s="74" t="s">
        <v>722</v>
      </c>
      <c r="B18" s="72"/>
      <c r="C18" s="72"/>
      <c r="D18" s="72"/>
      <c r="E18" s="72"/>
      <c r="F18" s="72"/>
      <c r="G18" s="72"/>
    </row>
    <row r="19" spans="1:7" ht="28" customHeight="1" x14ac:dyDescent="0.35">
      <c r="B19" s="10" t="s">
        <v>630</v>
      </c>
      <c r="C19" s="10" t="s">
        <v>106</v>
      </c>
      <c r="D19" s="10" t="s">
        <v>107</v>
      </c>
      <c r="E19" s="10" t="s">
        <v>108</v>
      </c>
    </row>
    <row r="20" spans="1:7" x14ac:dyDescent="0.35">
      <c r="B20" s="6" t="s">
        <v>723</v>
      </c>
      <c r="C20" s="36">
        <f>'Team Build-Up'!C20</f>
        <v>64</v>
      </c>
      <c r="D20" s="36">
        <f>'Team Build-Up'!D20</f>
        <v>44</v>
      </c>
      <c r="E20" s="36">
        <f>'Team Build-Up'!E20</f>
        <v>28</v>
      </c>
    </row>
    <row r="21" spans="1:7" x14ac:dyDescent="0.35">
      <c r="B21" s="6" t="s">
        <v>724</v>
      </c>
      <c r="C21" s="29">
        <f>SUMIFS('Seat Ledger'!$M$5:$M$138,'Seat Ledger'!$A$5:$A$138,1,'Seat Ledger'!$I$5:$I$138,"FTC")</f>
        <v>53.320000000000029</v>
      </c>
      <c r="D21" s="29">
        <f>SUMIFS('Seat Ledger'!$M$5:$M$138,'Seat Ledger'!$A$5:$A$138,2,'Seat Ledger'!$I$5:$I$138,"FTC")</f>
        <v>40.360000000000007</v>
      </c>
      <c r="E21" s="29">
        <f>SUMIFS('Seat Ledger'!$M$5:$M$138,'Seat Ledger'!$A$5:$A$138,3,'Seat Ledger'!$I$5:$I$138,"FTC")</f>
        <v>25.760000000000012</v>
      </c>
    </row>
    <row r="22" spans="1:7" x14ac:dyDescent="0.35">
      <c r="B22" s="20" t="s">
        <v>725</v>
      </c>
      <c r="C22" s="21">
        <f>IF($C$21=0,0,C21/$C$21-1)</f>
        <v>0</v>
      </c>
      <c r="D22" s="21">
        <f>IF($C$21=0,0,D21/$C$21-1)</f>
        <v>-0.24306076519129816</v>
      </c>
      <c r="E22" s="21">
        <f>IF($C$21=0,0,E21/$C$21-1)</f>
        <v>-0.51687921980495122</v>
      </c>
    </row>
    <row r="24" spans="1:7" ht="19" customHeight="1" x14ac:dyDescent="0.35">
      <c r="A24" s="74" t="s">
        <v>726</v>
      </c>
      <c r="B24" s="72"/>
      <c r="C24" s="72"/>
      <c r="D24" s="72"/>
      <c r="E24" s="72"/>
      <c r="F24" s="72"/>
      <c r="G24" s="72"/>
    </row>
    <row r="25" spans="1:7" ht="28" customHeight="1" x14ac:dyDescent="0.35">
      <c r="B25" s="10" t="s">
        <v>727</v>
      </c>
      <c r="C25" s="10" t="s">
        <v>106</v>
      </c>
      <c r="D25" s="10" t="s">
        <v>107</v>
      </c>
      <c r="E25" s="10" t="s">
        <v>108</v>
      </c>
    </row>
    <row r="26" spans="1:7" x14ac:dyDescent="0.35">
      <c r="B26" s="6" t="s">
        <v>728</v>
      </c>
      <c r="C26" s="29">
        <f>SUMIFS('Seat Ledger'!$M$5:$M$138,'Seat Ledger'!$A$5:$A$138,1,'Seat Ledger'!$H$5:$H$138,"ON")</f>
        <v>82.3</v>
      </c>
      <c r="D26" s="29">
        <f>SUMIFS('Seat Ledger'!$M$5:$M$138,'Seat Ledger'!$A$5:$A$138,2,'Seat Ledger'!$H$5:$H$138,"ON")</f>
        <v>66.649999999999991</v>
      </c>
      <c r="E26" s="29">
        <f>SUMIFS('Seat Ledger'!$M$5:$M$138,'Seat Ledger'!$A$5:$A$138,3,'Seat Ledger'!$H$5:$H$138,"ON")</f>
        <v>53.050000000000004</v>
      </c>
    </row>
    <row r="27" spans="1:7" x14ac:dyDescent="0.35">
      <c r="B27" s="6" t="s">
        <v>729</v>
      </c>
      <c r="C27" s="29">
        <f>SUMIFS('Seat Ledger'!$M$5:$M$138,'Seat Ledger'!$A$5:$A$138,1,'Seat Ledger'!$H$5:$H$138,"OFF")</f>
        <v>20.459999999999997</v>
      </c>
      <c r="D27" s="29">
        <f>SUMIFS('Seat Ledger'!$M$5:$M$138,'Seat Ledger'!$A$5:$A$138,2,'Seat Ledger'!$H$5:$H$138,"OFF")</f>
        <v>19.680000000000003</v>
      </c>
      <c r="E27" s="29">
        <f>SUMIFS('Seat Ledger'!$M$5:$M$138,'Seat Ledger'!$A$5:$A$138,3,'Seat Ledger'!$H$5:$H$138,"OFF")</f>
        <v>15.839999999999996</v>
      </c>
    </row>
    <row r="28" spans="1:7" x14ac:dyDescent="0.35">
      <c r="B28" s="3" t="s">
        <v>730</v>
      </c>
      <c r="C28" s="17">
        <f>IF((C26+C27)=0,0,C26/(C26+C27))</f>
        <v>0.80089528999610748</v>
      </c>
      <c r="D28" s="17">
        <f>IF((D26+D27)=0,0,D26/(D26+D27))</f>
        <v>0.7720375304065793</v>
      </c>
      <c r="E28" s="17">
        <f>IF((E26+E27)=0,0,E26/(E26+E27))</f>
        <v>0.77006822470605318</v>
      </c>
    </row>
    <row r="30" spans="1:7" x14ac:dyDescent="0.35">
      <c r="B30" s="6" t="s">
        <v>731</v>
      </c>
      <c r="C30" s="29">
        <f>SUMIFS('Seat Ledger'!$M$5:$M$138,'Seat Ledger'!$A$5:$A$138,1,'Seat Ledger'!$G$5:$G$138,"E1")</f>
        <v>0</v>
      </c>
      <c r="D30" s="29">
        <f>SUMIFS('Seat Ledger'!$M$5:$M$138,'Seat Ledger'!$A$5:$A$138,2,'Seat Ledger'!$G$5:$G$138,"E1")</f>
        <v>0</v>
      </c>
      <c r="E30" s="29">
        <f>SUMIFS('Seat Ledger'!$M$5:$M$138,'Seat Ledger'!$A$5:$A$138,3,'Seat Ledger'!$G$5:$G$138,"E1")</f>
        <v>0</v>
      </c>
    </row>
    <row r="31" spans="1:7" x14ac:dyDescent="0.35">
      <c r="B31" s="6" t="s">
        <v>732</v>
      </c>
      <c r="C31" s="29">
        <f>SUMIFS('Seat Ledger'!$M$5:$M$138,'Seat Ledger'!$A$5:$A$138,1,'Seat Ledger'!$G$5:$G$138,"E2")</f>
        <v>9.3999999999999986</v>
      </c>
      <c r="D31" s="29">
        <f>SUMIFS('Seat Ledger'!$M$5:$M$138,'Seat Ledger'!$A$5:$A$138,2,'Seat Ledger'!$G$5:$G$138,"E2")</f>
        <v>0.6</v>
      </c>
      <c r="E31" s="29">
        <f>SUMIFS('Seat Ledger'!$M$5:$M$138,'Seat Ledger'!$A$5:$A$138,3,'Seat Ledger'!$G$5:$G$138,"E2")</f>
        <v>1.7999999999999998</v>
      </c>
    </row>
    <row r="32" spans="1:7" x14ac:dyDescent="0.35">
      <c r="B32" s="6" t="s">
        <v>733</v>
      </c>
      <c r="C32" s="29">
        <f>SUMIFS('Seat Ledger'!$M$5:$M$138,'Seat Ledger'!$A$5:$A$138,1,'Seat Ledger'!$G$5:$G$138,"E3")</f>
        <v>23.16</v>
      </c>
      <c r="D32" s="29">
        <f>SUMIFS('Seat Ledger'!$M$5:$M$138,'Seat Ledger'!$A$5:$A$138,2,'Seat Ledger'!$G$5:$G$138,"E3")</f>
        <v>22.380000000000006</v>
      </c>
      <c r="E32" s="29">
        <f>SUMIFS('Seat Ledger'!$M$5:$M$138,'Seat Ledger'!$A$5:$A$138,3,'Seat Ledger'!$G$5:$G$138,"E3")</f>
        <v>15.989999999999998</v>
      </c>
    </row>
    <row r="33" spans="2:5" x14ac:dyDescent="0.35">
      <c r="B33" s="6" t="s">
        <v>734</v>
      </c>
      <c r="C33" s="29">
        <f>SUMIFS('Seat Ledger'!$M$5:$M$138,'Seat Ledger'!$A$5:$A$138,1,'Seat Ledger'!$G$5:$G$138,"E4")</f>
        <v>52.350000000000023</v>
      </c>
      <c r="D33" s="29">
        <f>SUMIFS('Seat Ledger'!$M$5:$M$138,'Seat Ledger'!$A$5:$A$138,2,'Seat Ledger'!$G$5:$G$138,"E4")</f>
        <v>45.500000000000014</v>
      </c>
      <c r="E33" s="29">
        <f>SUMIFS('Seat Ledger'!$M$5:$M$138,'Seat Ledger'!$A$5:$A$138,3,'Seat Ledger'!$G$5:$G$138,"E4")</f>
        <v>30.70000000000001</v>
      </c>
    </row>
    <row r="34" spans="2:5" x14ac:dyDescent="0.35">
      <c r="B34" s="6" t="s">
        <v>735</v>
      </c>
      <c r="C34" s="29">
        <f>SUMIFS('Seat Ledger'!$M$5:$M$138,'Seat Ledger'!$A$5:$A$138,1,'Seat Ledger'!$G$5:$G$138,"E5")</f>
        <v>17.850000000000001</v>
      </c>
      <c r="D34" s="29">
        <f>SUMIFS('Seat Ledger'!$M$5:$M$138,'Seat Ledger'!$A$5:$A$138,2,'Seat Ledger'!$G$5:$G$138,"E5")</f>
        <v>17.850000000000001</v>
      </c>
      <c r="E34" s="29">
        <f>SUMIFS('Seat Ledger'!$M$5:$M$138,'Seat Ledger'!$A$5:$A$138,3,'Seat Ledger'!$G$5:$G$138,"E5")</f>
        <v>20.400000000000002</v>
      </c>
    </row>
  </sheetData>
  <mergeCells count="6">
    <mergeCell ref="A24:G24"/>
    <mergeCell ref="A1:H1"/>
    <mergeCell ref="A18:G18"/>
    <mergeCell ref="A2:H2"/>
    <mergeCell ref="A12:G12"/>
    <mergeCell ref="A4:G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2"/>
  <sheetViews>
    <sheetView topLeftCell="A8" workbookViewId="0">
      <selection activeCell="B52" sqref="B52:J52"/>
    </sheetView>
  </sheetViews>
  <sheetFormatPr defaultColWidth="8.81640625" defaultRowHeight="14.5" x14ac:dyDescent="0.35"/>
  <cols>
    <col min="1" max="1" width="2" customWidth="1"/>
    <col min="2" max="2" width="40" customWidth="1"/>
    <col min="3" max="8" width="12" customWidth="1"/>
    <col min="9" max="9" width="4" customWidth="1"/>
    <col min="10" max="10" width="52" customWidth="1"/>
  </cols>
  <sheetData>
    <row r="1" spans="1:12" ht="26.15" customHeight="1" x14ac:dyDescent="0.35">
      <c r="A1" s="73" t="s">
        <v>736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2" x14ac:dyDescent="0.35">
      <c r="A2" s="71" t="s">
        <v>737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4" spans="1:12" ht="19" customHeight="1" x14ac:dyDescent="0.35">
      <c r="A4" s="74" t="s">
        <v>738</v>
      </c>
      <c r="B4" s="72"/>
      <c r="C4" s="72"/>
      <c r="D4" s="72"/>
      <c r="E4" s="72"/>
      <c r="F4" s="72"/>
      <c r="G4" s="72"/>
      <c r="H4" s="72"/>
      <c r="I4" s="72"/>
      <c r="J4" s="72"/>
      <c r="K4" s="72"/>
    </row>
    <row r="5" spans="1:12" x14ac:dyDescent="0.35">
      <c r="B5" s="5" t="s">
        <v>739</v>
      </c>
    </row>
    <row r="7" spans="1:12" ht="19" customHeight="1" x14ac:dyDescent="0.35">
      <c r="A7" s="74" t="s">
        <v>740</v>
      </c>
      <c r="B7" s="72"/>
      <c r="C7" s="72"/>
      <c r="D7" s="72"/>
      <c r="E7" s="72"/>
      <c r="F7" s="72"/>
      <c r="G7" s="72"/>
      <c r="H7" s="72"/>
      <c r="I7" s="72"/>
      <c r="J7" s="72"/>
      <c r="K7" s="72"/>
    </row>
    <row r="8" spans="1:12" ht="28" customHeight="1" x14ac:dyDescent="0.35">
      <c r="B8" s="10" t="s">
        <v>741</v>
      </c>
      <c r="C8" s="10" t="s">
        <v>142</v>
      </c>
      <c r="D8" s="10" t="s">
        <v>143</v>
      </c>
    </row>
    <row r="9" spans="1:12" x14ac:dyDescent="0.35">
      <c r="B9" s="6" t="s">
        <v>742</v>
      </c>
      <c r="C9" s="46">
        <f>IFERROR((SUMIFS('Seat Ledger'!$M$5:$M$138,'Seat Ledger'!$A$5:$A$138,3,'Seat Ledger'!$H$5:$H$138,"ON",'Seat Ledger'!$G$5:$G$138,"E1") + SUMIFS('Seat Ledger'!$M$5:$M$138,'Seat Ledger'!$A$5:$A$138,3,'Seat Ledger'!$H$5:$H$138,"ON",'Seat Ledger'!$G$5:$G$138,"E2") + SUMIFS('Seat Ledger'!$M$5:$M$138,'Seat Ledger'!$A$5:$A$138,3,'Seat Ledger'!$H$5:$H$138,"ON",'Seat Ledger'!$G$5:$G$138,"E3"))/(SUMIFS('Seat Ledger'!$L$5:$L$138,'Seat Ledger'!$A$5:$A$138,3,'Seat Ledger'!$H$5:$H$138,"ON",'Seat Ledger'!$G$5:$G$138,"E1") + SUMIFS('Seat Ledger'!$L$5:$L$138,'Seat Ledger'!$A$5:$A$138,3,'Seat Ledger'!$H$5:$H$138,"ON",'Seat Ledger'!$G$5:$G$138,"E2") + SUMIFS('Seat Ledger'!$L$5:$L$138,'Seat Ledger'!$A$5:$A$138,3,'Seat Ledger'!$H$5:$H$138,"ON",'Seat Ledger'!$G$5:$G$138,"E3")),0)</f>
        <v>1.35</v>
      </c>
      <c r="D9" s="46">
        <f>IFERROR((SUMIFS('Seat Ledger'!$M$5:$M$138,'Seat Ledger'!$A$5:$A$138,3,'Seat Ledger'!$H$5:$H$138,"OFF",'Seat Ledger'!$G$5:$G$138,"E1") + SUMIFS('Seat Ledger'!$M$5:$M$138,'Seat Ledger'!$A$5:$A$138,3,'Seat Ledger'!$H$5:$H$138,"OFF",'Seat Ledger'!$G$5:$G$138,"E2") + SUMIFS('Seat Ledger'!$M$5:$M$138,'Seat Ledger'!$A$5:$A$138,3,'Seat Ledger'!$H$5:$H$138,"OFF",'Seat Ledger'!$G$5:$G$138,"E3"))/(SUMIFS('Seat Ledger'!$L$5:$L$138,'Seat Ledger'!$A$5:$A$138,3,'Seat Ledger'!$H$5:$H$138,"OFF",'Seat Ledger'!$G$5:$G$138,"E1") + SUMIFS('Seat Ledger'!$L$5:$L$138,'Seat Ledger'!$A$5:$A$138,3,'Seat Ledger'!$H$5:$H$138,"OFF",'Seat Ledger'!$G$5:$G$138,"E2") + SUMIFS('Seat Ledger'!$L$5:$L$138,'Seat Ledger'!$A$5:$A$138,3,'Seat Ledger'!$H$5:$H$138,"OFF",'Seat Ledger'!$G$5:$G$138,"E3")),0)</f>
        <v>0.39428571428571424</v>
      </c>
    </row>
    <row r="10" spans="1:12" x14ac:dyDescent="0.35">
      <c r="B10" s="6" t="s">
        <v>743</v>
      </c>
      <c r="C10" s="46">
        <f>IFERROR((SUMIFS('Seat Ledger'!$M$5:$M$138,'Seat Ledger'!$A$5:$A$138,3,'Seat Ledger'!$H$5:$H$138,"ON",'Seat Ledger'!$G$5:$G$138,"E4") + SUMIFS('Seat Ledger'!$M$5:$M$138,'Seat Ledger'!$A$5:$A$138,3,'Seat Ledger'!$H$5:$H$138,"ON",'Seat Ledger'!$G$5:$G$138,"E5"))/(SUMIFS('Seat Ledger'!$L$5:$L$138,'Seat Ledger'!$A$5:$A$138,3,'Seat Ledger'!$H$5:$H$138,"ON",'Seat Ledger'!$G$5:$G$138,"E4") + SUMIFS('Seat Ledger'!$L$5:$L$138,'Seat Ledger'!$A$5:$A$138,3,'Seat Ledger'!$H$5:$H$138,"ON",'Seat Ledger'!$G$5:$G$138,"E5")),0)</f>
        <v>2.1045454545454549</v>
      </c>
      <c r="D10" s="46">
        <f>IFERROR((SUMIFS('Seat Ledger'!$M$5:$M$138,'Seat Ledger'!$A$5:$A$138,3,'Seat Ledger'!$H$5:$H$138,"OFF",'Seat Ledger'!$G$5:$G$138,"E4") + SUMIFS('Seat Ledger'!$M$5:$M$138,'Seat Ledger'!$A$5:$A$138,3,'Seat Ledger'!$H$5:$H$138,"OFF",'Seat Ledger'!$G$5:$G$138,"E5"))/(SUMIFS('Seat Ledger'!$L$5:$L$138,'Seat Ledger'!$A$5:$A$138,3,'Seat Ledger'!$H$5:$H$138,"OFF",'Seat Ledger'!$G$5:$G$138,"E4") + SUMIFS('Seat Ledger'!$L$5:$L$138,'Seat Ledger'!$A$5:$A$138,3,'Seat Ledger'!$H$5:$H$138,"OFF",'Seat Ledger'!$G$5:$G$138,"E5")),0)</f>
        <v>0.59999999999999987</v>
      </c>
    </row>
    <row r="11" spans="1:12" x14ac:dyDescent="0.35">
      <c r="J11" s="5" t="s">
        <v>744</v>
      </c>
    </row>
    <row r="13" spans="1:12" ht="19" customHeight="1" x14ac:dyDescent="0.35">
      <c r="A13" s="74" t="s">
        <v>745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</row>
    <row r="14" spans="1:12" ht="28" customHeight="1" x14ac:dyDescent="0.35">
      <c r="B14" s="10" t="s">
        <v>630</v>
      </c>
      <c r="C14" s="10" t="s">
        <v>106</v>
      </c>
      <c r="D14" s="10" t="s">
        <v>107</v>
      </c>
      <c r="E14" s="10" t="s">
        <v>108</v>
      </c>
    </row>
    <row r="15" spans="1:12" x14ac:dyDescent="0.35">
      <c r="B15" s="6" t="s">
        <v>746</v>
      </c>
      <c r="C15" s="14">
        <f>'Glidepath &amp; 50-50'!C17</f>
        <v>7.5916140250872344E-3</v>
      </c>
      <c r="D15" s="14">
        <f>'Glidepath &amp; 50-50'!D17</f>
        <v>0.21599737507981898</v>
      </c>
      <c r="E15" s="14">
        <f>'Glidepath &amp; 50-50'!E17</f>
        <v>0.374782716835805</v>
      </c>
    </row>
    <row r="16" spans="1:12" x14ac:dyDescent="0.35">
      <c r="B16" s="6" t="s">
        <v>642</v>
      </c>
      <c r="C16" s="14">
        <f>'Team Build-Up'!C29</f>
        <v>0.55000000000000004</v>
      </c>
      <c r="D16" s="14">
        <f>'Team Build-Up'!D29</f>
        <v>0.55696202531645567</v>
      </c>
      <c r="E16" s="14">
        <f>'Team Build-Up'!E29</f>
        <v>0.5714285714285714</v>
      </c>
    </row>
    <row r="17" spans="1:11" x14ac:dyDescent="0.35">
      <c r="B17" s="6" t="s">
        <v>747</v>
      </c>
      <c r="C17" s="14">
        <f>'Team Build-Up'!C39</f>
        <v>0.38</v>
      </c>
      <c r="D17" s="14">
        <f>'Team Build-Up'!D39</f>
        <v>0.46835443037974683</v>
      </c>
      <c r="E17" s="14">
        <f>'Team Build-Up'!E39</f>
        <v>0.47619047619047616</v>
      </c>
    </row>
    <row r="18" spans="1:11" x14ac:dyDescent="0.35">
      <c r="B18" s="20" t="s">
        <v>748</v>
      </c>
      <c r="C18" s="47">
        <f>'Cost &amp; Commercial'!C9</f>
        <v>1.0197988574278203</v>
      </c>
      <c r="D18" s="47">
        <f>'Cost &amp; Commercial'!D9</f>
        <v>0.85674615961214184</v>
      </c>
      <c r="E18" s="47">
        <f>'Cost &amp; Commercial'!E9</f>
        <v>0.68367013709811741</v>
      </c>
    </row>
    <row r="19" spans="1:11" x14ac:dyDescent="0.35">
      <c r="B19" s="6" t="s">
        <v>749</v>
      </c>
      <c r="C19" s="46">
        <f>(1-C15)*(C16*(C17*$D$10+(1-C17)*$D$9)+(1-C16)*(C17*$C$10+(1-C17)*$C$9))</f>
        <v>0.98881457877562384</v>
      </c>
      <c r="D19" s="46">
        <f>(1-D15)*(D16*(D17*$D$10+(1-D17)*$D$9)+(1-D16)*(D17*$C$10+(1-D17)*$C$9))</f>
        <v>0.80590173190362902</v>
      </c>
      <c r="E19" s="46">
        <f>(1-E15)*(E16*(E17*$D$10+(1-E17)*$D$9)+(1-E16)*(E17*$C$10+(1-E17)*$C$9))</f>
        <v>0.63387222583572056</v>
      </c>
    </row>
    <row r="20" spans="1:11" x14ac:dyDescent="0.35">
      <c r="B20" s="48" t="s">
        <v>750</v>
      </c>
      <c r="E20" s="49">
        <f>IF(E19=0,1,E18/E19)</f>
        <v>1.0785614343596479</v>
      </c>
      <c r="J20" s="5" t="s">
        <v>751</v>
      </c>
    </row>
    <row r="22" spans="1:11" ht="19" customHeight="1" x14ac:dyDescent="0.35">
      <c r="A22" s="74" t="s">
        <v>752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</row>
    <row r="23" spans="1:11" x14ac:dyDescent="0.35">
      <c r="B23" s="5" t="s">
        <v>753</v>
      </c>
    </row>
    <row r="24" spans="1:11" ht="28" customHeight="1" x14ac:dyDescent="0.35">
      <c r="B24" s="10" t="s">
        <v>754</v>
      </c>
      <c r="C24" s="50">
        <v>0.25</v>
      </c>
      <c r="D24" s="50">
        <v>0.3</v>
      </c>
      <c r="E24" s="50">
        <v>0.35</v>
      </c>
      <c r="F24" s="50">
        <v>0.4</v>
      </c>
      <c r="G24" s="50">
        <v>0.45</v>
      </c>
      <c r="H24" s="50">
        <v>0.5</v>
      </c>
    </row>
    <row r="25" spans="1:11" x14ac:dyDescent="0.35">
      <c r="B25" s="18">
        <v>0.35</v>
      </c>
      <c r="C25" s="46">
        <f t="shared" ref="C25:H29" si="0">$E$20*(1-C$24)*($B25*($E$17*$D$10+(1-$E$17)*$D$9)+(1-$B25)*($E$17*$C$10+(1-$E$17)*$C$9))</f>
        <v>1.0381171314825806</v>
      </c>
      <c r="D25" s="46">
        <f t="shared" si="0"/>
        <v>0.96890932271707508</v>
      </c>
      <c r="E25" s="46">
        <f t="shared" si="0"/>
        <v>0.89970151395156983</v>
      </c>
      <c r="F25" s="46">
        <f t="shared" si="0"/>
        <v>0.83049370518606436</v>
      </c>
      <c r="G25" s="46">
        <f t="shared" si="0"/>
        <v>0.76128589642055911</v>
      </c>
      <c r="H25" s="46">
        <f t="shared" si="0"/>
        <v>0.69207808765505363</v>
      </c>
    </row>
    <row r="26" spans="1:11" x14ac:dyDescent="0.35">
      <c r="B26" s="18">
        <v>0.45</v>
      </c>
      <c r="C26" s="46">
        <f t="shared" si="0"/>
        <v>0.93966638393130764</v>
      </c>
      <c r="D26" s="46">
        <f t="shared" si="0"/>
        <v>0.87702195833588714</v>
      </c>
      <c r="E26" s="46">
        <f t="shared" si="0"/>
        <v>0.81437753274046676</v>
      </c>
      <c r="F26" s="46">
        <f t="shared" si="0"/>
        <v>0.75173310714504604</v>
      </c>
      <c r="G26" s="46">
        <f t="shared" si="0"/>
        <v>0.68908868154962566</v>
      </c>
      <c r="H26" s="46">
        <f t="shared" si="0"/>
        <v>0.62644425595420516</v>
      </c>
    </row>
    <row r="27" spans="1:11" x14ac:dyDescent="0.35">
      <c r="B27" s="18">
        <v>0.55000000000000004</v>
      </c>
      <c r="C27" s="46">
        <f t="shared" si="0"/>
        <v>0.8412156363800346</v>
      </c>
      <c r="D27" s="46">
        <f t="shared" si="0"/>
        <v>0.78513459395469898</v>
      </c>
      <c r="E27" s="46">
        <f t="shared" si="0"/>
        <v>0.72905355152936346</v>
      </c>
      <c r="F27" s="46">
        <f t="shared" si="0"/>
        <v>0.67297250910402762</v>
      </c>
      <c r="G27" s="46">
        <f t="shared" si="0"/>
        <v>0.6168914666786921</v>
      </c>
      <c r="H27" s="46">
        <f t="shared" si="0"/>
        <v>0.56081042425335648</v>
      </c>
    </row>
    <row r="28" spans="1:11" x14ac:dyDescent="0.35">
      <c r="B28" s="18">
        <v>0.65</v>
      </c>
      <c r="C28" s="46">
        <f t="shared" si="0"/>
        <v>0.74276488882876179</v>
      </c>
      <c r="D28" s="46">
        <f t="shared" si="0"/>
        <v>0.69324722957351104</v>
      </c>
      <c r="E28" s="46">
        <f t="shared" si="0"/>
        <v>0.64372957031826028</v>
      </c>
      <c r="F28" s="46">
        <f t="shared" si="0"/>
        <v>0.59421191106300941</v>
      </c>
      <c r="G28" s="46">
        <f t="shared" si="0"/>
        <v>0.54469425180775866</v>
      </c>
      <c r="H28" s="46">
        <f t="shared" si="0"/>
        <v>0.4951765925525079</v>
      </c>
    </row>
    <row r="29" spans="1:11" x14ac:dyDescent="0.35">
      <c r="B29" s="18">
        <v>0.75</v>
      </c>
      <c r="C29" s="46">
        <f t="shared" si="0"/>
        <v>0.64431414127748898</v>
      </c>
      <c r="D29" s="46">
        <f t="shared" si="0"/>
        <v>0.60135986519232298</v>
      </c>
      <c r="E29" s="46">
        <f t="shared" si="0"/>
        <v>0.55840558910715721</v>
      </c>
      <c r="F29" s="46">
        <f t="shared" si="0"/>
        <v>0.5154513130219911</v>
      </c>
      <c r="G29" s="46">
        <f t="shared" si="0"/>
        <v>0.47249703693682527</v>
      </c>
      <c r="H29" s="46">
        <f t="shared" si="0"/>
        <v>0.42954276085165932</v>
      </c>
    </row>
    <row r="32" spans="1:11" ht="19" customHeight="1" x14ac:dyDescent="0.35">
      <c r="A32" s="74" t="s">
        <v>755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</row>
    <row r="33" spans="1:11" x14ac:dyDescent="0.35">
      <c r="B33" s="5" t="s">
        <v>756</v>
      </c>
    </row>
    <row r="34" spans="1:11" ht="28" customHeight="1" x14ac:dyDescent="0.35">
      <c r="B34" s="10" t="s">
        <v>757</v>
      </c>
      <c r="C34" s="50">
        <v>0.35</v>
      </c>
      <c r="D34" s="50">
        <v>0.45</v>
      </c>
      <c r="E34" s="50">
        <v>0.55000000000000004</v>
      </c>
      <c r="F34" s="50">
        <v>0.65</v>
      </c>
      <c r="G34" s="50">
        <v>0.75</v>
      </c>
    </row>
    <row r="35" spans="1:11" x14ac:dyDescent="0.35">
      <c r="B35" s="18">
        <v>0.3</v>
      </c>
      <c r="C35" s="46">
        <f t="shared" ref="C35:G39" si="1">$E$20*(1-$E$15)*(C$34*($B35*$D$10+(1-$B35)*$D$9)+(1-C$34)*($B35*$C$10+(1-$B35)*$C$9))</f>
        <v>0.79857232399551448</v>
      </c>
      <c r="D35" s="46">
        <f t="shared" si="1"/>
        <v>0.72302225474551274</v>
      </c>
      <c r="E35" s="46">
        <f t="shared" si="1"/>
        <v>0.647472185495511</v>
      </c>
      <c r="F35" s="46">
        <f t="shared" si="1"/>
        <v>0.57192211624550937</v>
      </c>
      <c r="G35" s="46">
        <f t="shared" si="1"/>
        <v>0.49637204699550769</v>
      </c>
    </row>
    <row r="36" spans="1:11" x14ac:dyDescent="0.35">
      <c r="B36" s="18">
        <v>0.4</v>
      </c>
      <c r="C36" s="46">
        <f t="shared" si="1"/>
        <v>0.83650061663181452</v>
      </c>
      <c r="D36" s="46">
        <f t="shared" si="1"/>
        <v>0.7572495853489557</v>
      </c>
      <c r="E36" s="46">
        <f t="shared" si="1"/>
        <v>0.67799855406609699</v>
      </c>
      <c r="F36" s="46">
        <f t="shared" si="1"/>
        <v>0.59874752278323828</v>
      </c>
      <c r="G36" s="46">
        <f t="shared" si="1"/>
        <v>0.51949649150037969</v>
      </c>
    </row>
    <row r="37" spans="1:11" x14ac:dyDescent="0.35">
      <c r="B37" s="18">
        <v>0.5</v>
      </c>
      <c r="C37" s="46">
        <f t="shared" si="1"/>
        <v>0.87442890926811445</v>
      </c>
      <c r="D37" s="46">
        <f t="shared" si="1"/>
        <v>0.79147691595239877</v>
      </c>
      <c r="E37" s="46">
        <f t="shared" si="1"/>
        <v>0.70852492263668287</v>
      </c>
      <c r="F37" s="46">
        <f t="shared" si="1"/>
        <v>0.6255729293209672</v>
      </c>
      <c r="G37" s="46">
        <f t="shared" si="1"/>
        <v>0.54262093600525152</v>
      </c>
    </row>
    <row r="38" spans="1:11" x14ac:dyDescent="0.35">
      <c r="B38" s="18">
        <v>0.6</v>
      </c>
      <c r="C38" s="46">
        <f t="shared" si="1"/>
        <v>0.91235720190441427</v>
      </c>
      <c r="D38" s="46">
        <f t="shared" si="1"/>
        <v>0.82570424655584163</v>
      </c>
      <c r="E38" s="46">
        <f t="shared" si="1"/>
        <v>0.73905129120726887</v>
      </c>
      <c r="F38" s="46">
        <f t="shared" si="1"/>
        <v>0.65239833585869622</v>
      </c>
      <c r="G38" s="46">
        <f t="shared" si="1"/>
        <v>0.56574538051012346</v>
      </c>
    </row>
    <row r="39" spans="1:11" x14ac:dyDescent="0.35">
      <c r="B39" s="18">
        <v>0.7</v>
      </c>
      <c r="C39" s="46">
        <f t="shared" si="1"/>
        <v>0.9502854945407142</v>
      </c>
      <c r="D39" s="46">
        <f t="shared" si="1"/>
        <v>0.85993157715928459</v>
      </c>
      <c r="E39" s="46">
        <f t="shared" si="1"/>
        <v>0.76957765977785464</v>
      </c>
      <c r="F39" s="46">
        <f t="shared" si="1"/>
        <v>0.67922374239642502</v>
      </c>
      <c r="G39" s="46">
        <f t="shared" si="1"/>
        <v>0.58886982501499541</v>
      </c>
    </row>
    <row r="41" spans="1:11" ht="19" customHeight="1" x14ac:dyDescent="0.35">
      <c r="A41" s="74" t="s">
        <v>758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</row>
    <row r="42" spans="1:11" ht="28" customHeight="1" x14ac:dyDescent="0.35">
      <c r="B42" s="10" t="s">
        <v>759</v>
      </c>
      <c r="C42" s="10" t="s">
        <v>760</v>
      </c>
      <c r="D42" s="10" t="s">
        <v>761</v>
      </c>
      <c r="E42" s="10" t="s">
        <v>762</v>
      </c>
      <c r="F42" s="10" t="s">
        <v>763</v>
      </c>
      <c r="G42" s="10" t="s">
        <v>764</v>
      </c>
    </row>
    <row r="43" spans="1:11" x14ac:dyDescent="0.35">
      <c r="B43" s="3" t="s">
        <v>765</v>
      </c>
      <c r="C43" s="46">
        <f>$E$20*(1-($E$15-0.1))*(($E$16)*(($E$17)*$D$10+(1-($E$17))*$D$9)+(1-($E$16))*(($E$17)*$C$10+(1-($E$17))*$C$9))</f>
        <v>0.79301934344732372</v>
      </c>
      <c r="D43" s="46">
        <f>$E$20*(1-($E$15))*(($E$16)*(($E$17)*$D$10+(1-($E$17))*$D$9)+(1-($E$16))*(($E$17)*$C$10+(1-($E$17))*$C$9))</f>
        <v>0.68367013709811741</v>
      </c>
      <c r="E43" s="46">
        <f>$E$20*(1-($E$15+0.1))*(($E$16)*(($E$17)*$D$10+(1-($E$17))*$D$9)+(1-($E$16))*(($E$17)*$C$10+(1-($E$17))*$C$9))</f>
        <v>0.574320930748911</v>
      </c>
      <c r="F43" s="47">
        <f>ABS(E43-C43)</f>
        <v>0.21869841269841273</v>
      </c>
      <c r="G43" s="19" t="s">
        <v>766</v>
      </c>
    </row>
    <row r="44" spans="1:11" x14ac:dyDescent="0.35">
      <c r="B44" s="3" t="s">
        <v>767</v>
      </c>
      <c r="C44" s="46">
        <f>$E$20*(1-($E$15))*(($E$16-0.1)*(($E$17)*$D$10+(1-($E$17))*$D$9)+(1-($E$16-0.1))*(($E$17)*$C$10+(1-($E$17))*$C$9))</f>
        <v>0.76574094897743872</v>
      </c>
      <c r="D44" s="46">
        <f>$E$20*(1-($E$15))*(($E$16)*(($E$17)*$D$10+(1-($E$17))*$D$9)+(1-($E$16))*(($E$17)*$C$10+(1-($E$17))*$C$9))</f>
        <v>0.68367013709811741</v>
      </c>
      <c r="E44" s="46">
        <f>$E$20*(1-($E$15))*(($E$16+0.1)*(($E$17)*$D$10+(1-($E$17))*$D$9)+(1-($E$16+0.1))*(($E$17)*$C$10+(1-($E$17))*$C$9))</f>
        <v>0.60159932521879633</v>
      </c>
      <c r="F44" s="47">
        <f>ABS(E44-C44)</f>
        <v>0.16414162375864239</v>
      </c>
      <c r="G44" s="19" t="s">
        <v>768</v>
      </c>
    </row>
    <row r="45" spans="1:11" x14ac:dyDescent="0.35">
      <c r="B45" s="3" t="s">
        <v>769</v>
      </c>
      <c r="C45" s="46">
        <f>$E$20*(1-($E$15))*(($E$16)*(($E$17-0.1)*$D$10+(1-($E$17-0.1))*$D$9)+(1-($E$16))*(($E$17-0.1)*$C$10+(1-($E$17-0.1))*$C$9))</f>
        <v>0.65393683182028661</v>
      </c>
      <c r="D45" s="46">
        <f>$E$20*(1-($E$15))*(($E$16)*(($E$17)*$D$10+(1-($E$17))*$D$9)+(1-($E$16))*(($E$17)*$C$10+(1-($E$17))*$C$9))</f>
        <v>0.68367013709811741</v>
      </c>
      <c r="E45" s="46">
        <f>$E$20*(1-($E$15))*(($E$16)*(($E$17+0.1)*$D$10+(1-($E$17+0.1))*$D$9)+(1-($E$16))*(($E$17+0.1)*$C$10+(1-($E$17+0.1))*$C$9))</f>
        <v>0.71340344237594833</v>
      </c>
      <c r="F45" s="47">
        <f>ABS(E45-C45)</f>
        <v>5.9466610555661714E-2</v>
      </c>
      <c r="G45" s="19" t="s">
        <v>770</v>
      </c>
    </row>
    <row r="47" spans="1:11" ht="19" customHeight="1" x14ac:dyDescent="0.35">
      <c r="A47" s="74" t="s">
        <v>771</v>
      </c>
      <c r="B47" s="72"/>
      <c r="C47" s="72"/>
      <c r="D47" s="72"/>
      <c r="E47" s="72"/>
      <c r="F47" s="72"/>
      <c r="G47" s="72"/>
      <c r="H47" s="72"/>
      <c r="I47" s="72"/>
      <c r="J47" s="72"/>
      <c r="K47" s="72"/>
    </row>
    <row r="48" spans="1:11" ht="30" customHeight="1" x14ac:dyDescent="0.35">
      <c r="B48" s="75" t="s">
        <v>772</v>
      </c>
      <c r="C48" s="72"/>
      <c r="D48" s="72"/>
      <c r="E48" s="72"/>
      <c r="F48" s="72"/>
      <c r="G48" s="72"/>
      <c r="H48" s="72"/>
      <c r="I48" s="72"/>
      <c r="J48" s="72"/>
    </row>
    <row r="49" spans="2:10" ht="30" customHeight="1" x14ac:dyDescent="0.35">
      <c r="B49" s="75" t="s">
        <v>773</v>
      </c>
      <c r="C49" s="72"/>
      <c r="D49" s="72"/>
      <c r="E49" s="72"/>
      <c r="F49" s="72"/>
      <c r="G49" s="72"/>
      <c r="H49" s="72"/>
      <c r="I49" s="72"/>
      <c r="J49" s="72"/>
    </row>
    <row r="50" spans="2:10" ht="30" customHeight="1" x14ac:dyDescent="0.35">
      <c r="B50" s="75" t="s">
        <v>774</v>
      </c>
      <c r="C50" s="72"/>
      <c r="D50" s="72"/>
      <c r="E50" s="72"/>
      <c r="F50" s="72"/>
      <c r="G50" s="72"/>
      <c r="H50" s="72"/>
      <c r="I50" s="72"/>
      <c r="J50" s="72"/>
    </row>
    <row r="51" spans="2:10" ht="30" customHeight="1" x14ac:dyDescent="0.35">
      <c r="B51" s="75" t="s">
        <v>775</v>
      </c>
      <c r="C51" s="72"/>
      <c r="D51" s="72"/>
      <c r="E51" s="72"/>
      <c r="F51" s="72"/>
      <c r="G51" s="72"/>
      <c r="H51" s="72"/>
      <c r="I51" s="72"/>
      <c r="J51" s="72"/>
    </row>
    <row r="52" spans="2:10" ht="30" customHeight="1" x14ac:dyDescent="0.35">
      <c r="B52" s="75" t="s">
        <v>776</v>
      </c>
      <c r="C52" s="72"/>
      <c r="D52" s="72"/>
      <c r="E52" s="72"/>
      <c r="F52" s="72"/>
      <c r="G52" s="72"/>
      <c r="H52" s="72"/>
      <c r="I52" s="72"/>
      <c r="J52" s="72"/>
    </row>
  </sheetData>
  <mergeCells count="14">
    <mergeCell ref="B52:J52"/>
    <mergeCell ref="B48:J48"/>
    <mergeCell ref="A1:L1"/>
    <mergeCell ref="A41:K41"/>
    <mergeCell ref="B50:J50"/>
    <mergeCell ref="A47:K47"/>
    <mergeCell ref="B49:J49"/>
    <mergeCell ref="A32:K32"/>
    <mergeCell ref="A13:K13"/>
    <mergeCell ref="A2:L2"/>
    <mergeCell ref="A22:K22"/>
    <mergeCell ref="A4:K4"/>
    <mergeCell ref="B51:J51"/>
    <mergeCell ref="A7:K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N148"/>
  <sheetViews>
    <sheetView tabSelected="1" workbookViewId="0">
      <pane ySplit="4" topLeftCell="A43" activePane="bottomLeft" state="frozen"/>
      <selection pane="bottomLeft" activeCell="E48" sqref="E48"/>
    </sheetView>
  </sheetViews>
  <sheetFormatPr defaultColWidth="8.81640625" defaultRowHeight="14.5" x14ac:dyDescent="0.35"/>
  <cols>
    <col min="1" max="1" width="6" customWidth="1"/>
    <col min="2" max="2" width="8" customWidth="1"/>
    <col min="3" max="3" width="9" customWidth="1"/>
    <col min="4" max="4" width="10" customWidth="1"/>
    <col min="5" max="5" width="44" customWidth="1"/>
    <col min="6" max="6" width="9" customWidth="1"/>
    <col min="7" max="7" width="7" customWidth="1"/>
    <col min="8" max="8" width="10" customWidth="1"/>
    <col min="9" max="9" width="11" customWidth="1"/>
    <col min="10" max="10" width="10" customWidth="1"/>
    <col min="11" max="11" width="8" customWidth="1"/>
    <col min="12" max="12" width="10" customWidth="1"/>
    <col min="13" max="13" width="11" customWidth="1"/>
  </cols>
  <sheetData>
    <row r="1" spans="1:14" ht="26.15" customHeight="1" x14ac:dyDescent="0.35">
      <c r="A1" s="73" t="s">
        <v>777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x14ac:dyDescent="0.35">
      <c r="A2" s="71" t="s">
        <v>778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4" spans="1:14" ht="28" customHeight="1" x14ac:dyDescent="0.35">
      <c r="A4" s="10" t="s">
        <v>557</v>
      </c>
      <c r="B4" s="10" t="s">
        <v>779</v>
      </c>
      <c r="C4" s="10" t="s">
        <v>665</v>
      </c>
      <c r="D4" s="10" t="s">
        <v>559</v>
      </c>
      <c r="E4" s="10" t="s">
        <v>561</v>
      </c>
      <c r="F4" s="10" t="s">
        <v>562</v>
      </c>
      <c r="G4" s="10" t="s">
        <v>563</v>
      </c>
      <c r="H4" s="10" t="s">
        <v>136</v>
      </c>
      <c r="I4" s="10" t="s">
        <v>564</v>
      </c>
      <c r="J4" s="10" t="s">
        <v>780</v>
      </c>
      <c r="K4" s="10" t="s">
        <v>598</v>
      </c>
      <c r="L4" s="10" t="s">
        <v>781</v>
      </c>
      <c r="M4" s="10" t="s">
        <v>57</v>
      </c>
    </row>
    <row r="5" spans="1:14" hidden="1" x14ac:dyDescent="0.35">
      <c r="A5" s="26">
        <v>1</v>
      </c>
      <c r="B5" s="30" t="s">
        <v>782</v>
      </c>
      <c r="C5" s="30" t="s">
        <v>347</v>
      </c>
      <c r="D5" s="30" t="s">
        <v>566</v>
      </c>
      <c r="E5" s="40" t="str">
        <f>'Pod Library'!F5</f>
        <v>Product Owner — Informatica Data Platform</v>
      </c>
      <c r="F5" s="41" t="str">
        <f>'Pod Library'!G5</f>
        <v>LEAD</v>
      </c>
      <c r="G5" s="41" t="str">
        <f>'Pod Library'!H5</f>
        <v>E4</v>
      </c>
      <c r="H5" s="41" t="str">
        <f>'Pod Library'!I5</f>
        <v>ON</v>
      </c>
      <c r="I5" s="41" t="str">
        <f>'Pod Library'!J5</f>
        <v>FTE</v>
      </c>
      <c r="J5" s="36">
        <f>'Pod Library'!K5</f>
        <v>1</v>
      </c>
      <c r="K5" s="12">
        <f>SUMIFS('Pod Plan'!$E:$E,'Pod Plan'!$B:$B,$A5,'Pod Plan'!$C:$C,$C5)</f>
        <v>4</v>
      </c>
      <c r="L5" s="42">
        <f t="shared" ref="L5:L36" si="0">J5*K5</f>
        <v>4</v>
      </c>
      <c r="M5" s="42">
        <f>L5*INDEX('Logic Tree'!$J$80:$N$81,MATCH(H5,'Logic Tree'!$I$80:$I$81,0),MATCH(G5,'Logic Tree'!$J$79:$N$79,0))</f>
        <v>7.4</v>
      </c>
    </row>
    <row r="6" spans="1:14" hidden="1" x14ac:dyDescent="0.35">
      <c r="A6" s="26">
        <v>1</v>
      </c>
      <c r="B6" s="30" t="s">
        <v>782</v>
      </c>
      <c r="C6" s="30" t="s">
        <v>347</v>
      </c>
      <c r="D6" s="30" t="s">
        <v>566</v>
      </c>
      <c r="E6" s="40" t="str">
        <f>'Pod Library'!F6</f>
        <v>Data Domain SME</v>
      </c>
      <c r="F6" s="41" t="str">
        <f>'Pod Library'!G6</f>
        <v>BA</v>
      </c>
      <c r="G6" s="41" t="str">
        <f>'Pod Library'!H6</f>
        <v>E4</v>
      </c>
      <c r="H6" s="41" t="str">
        <f>'Pod Library'!I6</f>
        <v>ON</v>
      </c>
      <c r="I6" s="41" t="str">
        <f>'Pod Library'!J6</f>
        <v>FTE</v>
      </c>
      <c r="J6" s="36">
        <f>'Pod Library'!K6</f>
        <v>1</v>
      </c>
      <c r="K6" s="12">
        <f>SUMIFS('Pod Plan'!$E:$E,'Pod Plan'!$B:$B,$A6,'Pod Plan'!$C:$C,$C6)</f>
        <v>4</v>
      </c>
      <c r="L6" s="42">
        <f t="shared" si="0"/>
        <v>4</v>
      </c>
      <c r="M6" s="42">
        <f>L6*INDEX('Logic Tree'!$J$80:$N$81,MATCH(H6,'Logic Tree'!$I$80:$I$81,0),MATCH(G6,'Logic Tree'!$J$79:$N$79,0))</f>
        <v>7.4</v>
      </c>
    </row>
    <row r="7" spans="1:14" hidden="1" x14ac:dyDescent="0.35">
      <c r="A7" s="26">
        <v>1</v>
      </c>
      <c r="B7" s="30" t="s">
        <v>782</v>
      </c>
      <c r="C7" s="30" t="s">
        <v>347</v>
      </c>
      <c r="D7" s="30" t="s">
        <v>566</v>
      </c>
      <c r="E7" s="40" t="str">
        <f>'Pod Library'!F7</f>
        <v>Informatica Lead Engineer</v>
      </c>
      <c r="F7" s="41" t="str">
        <f>'Pod Library'!G7</f>
        <v>ENG</v>
      </c>
      <c r="G7" s="41" t="str">
        <f>'Pod Library'!H7</f>
        <v>E3</v>
      </c>
      <c r="H7" s="41" t="str">
        <f>'Pod Library'!I7</f>
        <v>OFF</v>
      </c>
      <c r="I7" s="41" t="str">
        <f>'Pod Library'!J7</f>
        <v>FTC</v>
      </c>
      <c r="J7" s="36">
        <f>'Pod Library'!K7</f>
        <v>1</v>
      </c>
      <c r="K7" s="12">
        <f>SUMIFS('Pod Plan'!$E:$E,'Pod Plan'!$B:$B,$A7,'Pod Plan'!$C:$C,$C7)</f>
        <v>4</v>
      </c>
      <c r="L7" s="42">
        <f t="shared" si="0"/>
        <v>4</v>
      </c>
      <c r="M7" s="42">
        <f>L7*INDEX('Logic Tree'!$J$80:$N$81,MATCH(H7,'Logic Tree'!$I$80:$I$81,0),MATCH(G7,'Logic Tree'!$J$79:$N$79,0))</f>
        <v>1.68</v>
      </c>
    </row>
    <row r="8" spans="1:14" hidden="1" x14ac:dyDescent="0.35">
      <c r="A8" s="26">
        <v>1</v>
      </c>
      <c r="B8" s="30" t="s">
        <v>782</v>
      </c>
      <c r="C8" s="30" t="s">
        <v>347</v>
      </c>
      <c r="D8" s="30" t="s">
        <v>566</v>
      </c>
      <c r="E8" s="40" t="str">
        <f>'Pod Library'!F8</f>
        <v>Data Modeler</v>
      </c>
      <c r="F8" s="41" t="str">
        <f>'Pod Library'!G8</f>
        <v>DEV</v>
      </c>
      <c r="G8" s="41" t="str">
        <f>'Pod Library'!H8</f>
        <v>E3</v>
      </c>
      <c r="H8" s="41" t="str">
        <f>'Pod Library'!I8</f>
        <v>OFF</v>
      </c>
      <c r="I8" s="41" t="str">
        <f>'Pod Library'!J8</f>
        <v>MGCC</v>
      </c>
      <c r="J8" s="36">
        <f>'Pod Library'!K8</f>
        <v>1</v>
      </c>
      <c r="K8" s="12">
        <f>SUMIFS('Pod Plan'!$E:$E,'Pod Plan'!$B:$B,$A8,'Pod Plan'!$C:$C,$C8)</f>
        <v>4</v>
      </c>
      <c r="L8" s="42">
        <f t="shared" si="0"/>
        <v>4</v>
      </c>
      <c r="M8" s="42">
        <f>L8*INDEX('Logic Tree'!$J$80:$N$81,MATCH(H8,'Logic Tree'!$I$80:$I$81,0),MATCH(G8,'Logic Tree'!$J$79:$N$79,0))</f>
        <v>1.68</v>
      </c>
    </row>
    <row r="9" spans="1:14" hidden="1" x14ac:dyDescent="0.35">
      <c r="A9" s="26">
        <v>1</v>
      </c>
      <c r="B9" s="30" t="s">
        <v>782</v>
      </c>
      <c r="C9" s="30" t="s">
        <v>347</v>
      </c>
      <c r="D9" s="30" t="s">
        <v>566</v>
      </c>
      <c r="E9" s="40" t="str">
        <f>'Pod Library'!F9</f>
        <v>Pod Delivery Lead (Informatica Tech Lead)</v>
      </c>
      <c r="F9" s="41" t="str">
        <f>'Pod Library'!G9</f>
        <v>LEAD</v>
      </c>
      <c r="G9" s="41" t="str">
        <f>'Pod Library'!H9</f>
        <v>E4</v>
      </c>
      <c r="H9" s="41" t="str">
        <f>'Pod Library'!I9</f>
        <v>ON</v>
      </c>
      <c r="I9" s="41" t="str">
        <f>'Pod Library'!J9</f>
        <v>FTC</v>
      </c>
      <c r="J9" s="36">
        <f>'Pod Library'!K9</f>
        <v>1</v>
      </c>
      <c r="K9" s="12">
        <f>SUMIFS('Pod Plan'!$E:$E,'Pod Plan'!$B:$B,$A9,'Pod Plan'!$C:$C,$C9)</f>
        <v>4</v>
      </c>
      <c r="L9" s="42">
        <f t="shared" si="0"/>
        <v>4</v>
      </c>
      <c r="M9" s="42">
        <f>L9*INDEX('Logic Tree'!$J$80:$N$81,MATCH(H9,'Logic Tree'!$I$80:$I$81,0),MATCH(G9,'Logic Tree'!$J$79:$N$79,0))</f>
        <v>7.4</v>
      </c>
    </row>
    <row r="10" spans="1:14" hidden="1" x14ac:dyDescent="0.35">
      <c r="A10" s="26">
        <v>1</v>
      </c>
      <c r="B10" s="30" t="s">
        <v>782</v>
      </c>
      <c r="C10" s="30" t="s">
        <v>347</v>
      </c>
      <c r="D10" s="30" t="s">
        <v>566</v>
      </c>
      <c r="E10" s="40" t="str">
        <f>'Pod Library'!F10</f>
        <v>Senior Informatica Developer</v>
      </c>
      <c r="F10" s="41" t="str">
        <f>'Pod Library'!G10</f>
        <v>DEV</v>
      </c>
      <c r="G10" s="41" t="str">
        <f>'Pod Library'!H10</f>
        <v>E3</v>
      </c>
      <c r="H10" s="41" t="str">
        <f>'Pod Library'!I10</f>
        <v>ON</v>
      </c>
      <c r="I10" s="41" t="str">
        <f>'Pod Library'!J10</f>
        <v>FTC</v>
      </c>
      <c r="J10" s="36">
        <f>'Pod Library'!K10</f>
        <v>1</v>
      </c>
      <c r="K10" s="12">
        <f>SUMIFS('Pod Plan'!$E:$E,'Pod Plan'!$B:$B,$A10,'Pod Plan'!$C:$C,$C10)</f>
        <v>4</v>
      </c>
      <c r="L10" s="42">
        <f t="shared" si="0"/>
        <v>4</v>
      </c>
      <c r="M10" s="42">
        <f>L10*INDEX('Logic Tree'!$J$80:$N$81,MATCH(H10,'Logic Tree'!$I$80:$I$81,0),MATCH(G10,'Logic Tree'!$J$79:$N$79,0))</f>
        <v>5.4</v>
      </c>
    </row>
    <row r="11" spans="1:14" hidden="1" x14ac:dyDescent="0.35">
      <c r="A11" s="26">
        <v>1</v>
      </c>
      <c r="B11" s="30" t="s">
        <v>782</v>
      </c>
      <c r="C11" s="30" t="s">
        <v>347</v>
      </c>
      <c r="D11" s="30" t="s">
        <v>566</v>
      </c>
      <c r="E11" s="40" t="str">
        <f>'Pod Library'!F11</f>
        <v>Informatica Developer</v>
      </c>
      <c r="F11" s="41" t="str">
        <f>'Pod Library'!G11</f>
        <v>DEV</v>
      </c>
      <c r="G11" s="41" t="str">
        <f>'Pod Library'!H11</f>
        <v>E2</v>
      </c>
      <c r="H11" s="41" t="str">
        <f>'Pod Library'!I11</f>
        <v>OFF</v>
      </c>
      <c r="I11" s="41" t="str">
        <f>'Pod Library'!J11</f>
        <v>FTC</v>
      </c>
      <c r="J11" s="36">
        <f>'Pod Library'!K11</f>
        <v>1</v>
      </c>
      <c r="K11" s="12">
        <f>SUMIFS('Pod Plan'!$E:$E,'Pod Plan'!$B:$B,$A11,'Pod Plan'!$C:$C,$C11)</f>
        <v>4</v>
      </c>
      <c r="L11" s="42">
        <f t="shared" si="0"/>
        <v>4</v>
      </c>
      <c r="M11" s="42">
        <f>L11*INDEX('Logic Tree'!$J$80:$N$81,MATCH(H11,'Logic Tree'!$I$80:$I$81,0),MATCH(G11,'Logic Tree'!$J$79:$N$79,0))</f>
        <v>1.2</v>
      </c>
    </row>
    <row r="12" spans="1:14" hidden="1" x14ac:dyDescent="0.35">
      <c r="A12" s="26">
        <v>1</v>
      </c>
      <c r="B12" s="30" t="s">
        <v>782</v>
      </c>
      <c r="C12" s="30" t="s">
        <v>347</v>
      </c>
      <c r="D12" s="30" t="s">
        <v>566</v>
      </c>
      <c r="E12" s="40" t="str">
        <f>'Pod Library'!F12</f>
        <v>Data Tester</v>
      </c>
      <c r="F12" s="41" t="str">
        <f>'Pod Library'!G12</f>
        <v>TEST</v>
      </c>
      <c r="G12" s="41" t="str">
        <f>'Pod Library'!H12</f>
        <v>E2</v>
      </c>
      <c r="H12" s="41" t="str">
        <f>'Pod Library'!I12</f>
        <v>OFF</v>
      </c>
      <c r="I12" s="41" t="str">
        <f>'Pod Library'!J12</f>
        <v>FTC</v>
      </c>
      <c r="J12" s="36">
        <f>'Pod Library'!K12</f>
        <v>1</v>
      </c>
      <c r="K12" s="12">
        <f>SUMIFS('Pod Plan'!$E:$E,'Pod Plan'!$B:$B,$A12,'Pod Plan'!$C:$C,$C12)</f>
        <v>4</v>
      </c>
      <c r="L12" s="42">
        <f t="shared" si="0"/>
        <v>4</v>
      </c>
      <c r="M12" s="42">
        <f>L12*INDEX('Logic Tree'!$J$80:$N$81,MATCH(H12,'Logic Tree'!$I$80:$I$81,0),MATCH(G12,'Logic Tree'!$J$79:$N$79,0))</f>
        <v>1.2</v>
      </c>
    </row>
    <row r="13" spans="1:14" hidden="1" x14ac:dyDescent="0.35">
      <c r="A13" s="26">
        <v>1</v>
      </c>
      <c r="B13" s="30" t="s">
        <v>782</v>
      </c>
      <c r="C13" s="30" t="s">
        <v>347</v>
      </c>
      <c r="D13" s="30" t="s">
        <v>575</v>
      </c>
      <c r="E13" s="40" t="str">
        <f>'Pod Library'!F15</f>
        <v>Product Owner- Data Platform</v>
      </c>
      <c r="F13" s="41" t="str">
        <f>'Pod Library'!G15</f>
        <v>LEAD</v>
      </c>
      <c r="G13" s="41" t="str">
        <f>'Pod Library'!H15</f>
        <v>E4</v>
      </c>
      <c r="H13" s="41" t="str">
        <f>'Pod Library'!I15</f>
        <v>ON</v>
      </c>
      <c r="I13" s="41" t="str">
        <f>'Pod Library'!J15</f>
        <v>FTE</v>
      </c>
      <c r="J13" s="36">
        <f>'Pod Library'!K15</f>
        <v>1</v>
      </c>
      <c r="K13" s="12">
        <f>SUMIFS('Pod Plan'!$F:$F,'Pod Plan'!$B:$B,$A13,'Pod Plan'!$C:$C,$C13)</f>
        <v>1</v>
      </c>
      <c r="L13" s="42">
        <f t="shared" si="0"/>
        <v>1</v>
      </c>
      <c r="M13" s="42">
        <f>L13*INDEX('Logic Tree'!$J$80:$N$81,MATCH(H13,'Logic Tree'!$I$80:$I$81,0),MATCH(G13,'Logic Tree'!$J$79:$N$79,0))</f>
        <v>1.85</v>
      </c>
    </row>
    <row r="14" spans="1:14" hidden="1" x14ac:dyDescent="0.35">
      <c r="A14" s="26">
        <v>1</v>
      </c>
      <c r="B14" s="30" t="s">
        <v>782</v>
      </c>
      <c r="C14" s="30" t="s">
        <v>347</v>
      </c>
      <c r="D14" s="30" t="s">
        <v>575</v>
      </c>
      <c r="E14" s="40" t="str">
        <f>'Pod Library'!F16</f>
        <v>Pod Delivery Lead (Informatica Tech Lead)</v>
      </c>
      <c r="F14" s="41" t="str">
        <f>'Pod Library'!G16</f>
        <v>LEAD</v>
      </c>
      <c r="G14" s="41" t="str">
        <f>'Pod Library'!H16</f>
        <v>E4</v>
      </c>
      <c r="H14" s="41" t="str">
        <f>'Pod Library'!I16</f>
        <v>ON</v>
      </c>
      <c r="I14" s="41" t="str">
        <f>'Pod Library'!J16</f>
        <v>FTC</v>
      </c>
      <c r="J14" s="36">
        <f>'Pod Library'!K16</f>
        <v>1</v>
      </c>
      <c r="K14" s="12">
        <f>SUMIFS('Pod Plan'!$F:$F,'Pod Plan'!$B:$B,$A14,'Pod Plan'!$C:$C,$C14)</f>
        <v>1</v>
      </c>
      <c r="L14" s="42">
        <f t="shared" si="0"/>
        <v>1</v>
      </c>
      <c r="M14" s="42">
        <f>L14*INDEX('Logic Tree'!$J$80:$N$81,MATCH(H14,'Logic Tree'!$I$80:$I$81,0),MATCH(G14,'Logic Tree'!$J$79:$N$79,0))</f>
        <v>1.85</v>
      </c>
    </row>
    <row r="15" spans="1:14" hidden="1" x14ac:dyDescent="0.35">
      <c r="A15" s="26">
        <v>1</v>
      </c>
      <c r="B15" s="30" t="s">
        <v>782</v>
      </c>
      <c r="C15" s="30" t="s">
        <v>347</v>
      </c>
      <c r="D15" s="30" t="s">
        <v>575</v>
      </c>
      <c r="E15" s="40" t="str">
        <f>'Pod Library'!F17</f>
        <v>Data Modeler</v>
      </c>
      <c r="F15" s="41" t="str">
        <f>'Pod Library'!G17</f>
        <v>ENG</v>
      </c>
      <c r="G15" s="41" t="str">
        <f>'Pod Library'!H17</f>
        <v>E4</v>
      </c>
      <c r="H15" s="41" t="str">
        <f>'Pod Library'!I17</f>
        <v>ON</v>
      </c>
      <c r="I15" s="41" t="str">
        <f>'Pod Library'!J17</f>
        <v>FTC</v>
      </c>
      <c r="J15" s="36">
        <f>'Pod Library'!K17</f>
        <v>1</v>
      </c>
      <c r="K15" s="12">
        <f>SUMIFS('Pod Plan'!$F:$F,'Pod Plan'!$B:$B,$A15,'Pod Plan'!$C:$C,$C15)</f>
        <v>1</v>
      </c>
      <c r="L15" s="42">
        <f t="shared" si="0"/>
        <v>1</v>
      </c>
      <c r="M15" s="42">
        <f>L15*INDEX('Logic Tree'!$J$80:$N$81,MATCH(H15,'Logic Tree'!$I$80:$I$81,0),MATCH(G15,'Logic Tree'!$J$79:$N$79,0))</f>
        <v>1.85</v>
      </c>
    </row>
    <row r="16" spans="1:14" hidden="1" x14ac:dyDescent="0.35">
      <c r="A16" s="26">
        <v>1</v>
      </c>
      <c r="B16" s="30" t="s">
        <v>782</v>
      </c>
      <c r="C16" s="30" t="s">
        <v>347</v>
      </c>
      <c r="D16" s="30" t="s">
        <v>575</v>
      </c>
      <c r="E16" s="40" t="str">
        <f>'Pod Library'!F18</f>
        <v>Business Analyst (bilingual)</v>
      </c>
      <c r="F16" s="41" t="str">
        <f>'Pod Library'!G18</f>
        <v>BA</v>
      </c>
      <c r="G16" s="41" t="str">
        <f>'Pod Library'!H18</f>
        <v>E3</v>
      </c>
      <c r="H16" s="41" t="str">
        <f>'Pod Library'!I18</f>
        <v>ON</v>
      </c>
      <c r="I16" s="41" t="str">
        <f>'Pod Library'!J18</f>
        <v>FTC</v>
      </c>
      <c r="J16" s="36">
        <f>'Pod Library'!K18</f>
        <v>1</v>
      </c>
      <c r="K16" s="12">
        <f>SUMIFS('Pod Plan'!$F:$F,'Pod Plan'!$B:$B,$A16,'Pod Plan'!$C:$C,$C16)</f>
        <v>1</v>
      </c>
      <c r="L16" s="42">
        <f t="shared" si="0"/>
        <v>1</v>
      </c>
      <c r="M16" s="42">
        <f>L16*INDEX('Logic Tree'!$J$80:$N$81,MATCH(H16,'Logic Tree'!$I$80:$I$81,0),MATCH(G16,'Logic Tree'!$J$79:$N$79,0))</f>
        <v>1.35</v>
      </c>
    </row>
    <row r="17" spans="1:13" hidden="1" x14ac:dyDescent="0.35">
      <c r="A17" s="26">
        <v>1</v>
      </c>
      <c r="B17" s="30" t="s">
        <v>782</v>
      </c>
      <c r="C17" s="30" t="s">
        <v>347</v>
      </c>
      <c r="D17" s="30" t="s">
        <v>575</v>
      </c>
      <c r="E17" s="40" t="str">
        <f>'Pod Library'!F19</f>
        <v>Senior Informatica Developer</v>
      </c>
      <c r="F17" s="41" t="str">
        <f>'Pod Library'!G19</f>
        <v>DEV</v>
      </c>
      <c r="G17" s="41" t="str">
        <f>'Pod Library'!H19</f>
        <v>E3</v>
      </c>
      <c r="H17" s="41" t="str">
        <f>'Pod Library'!I19</f>
        <v>OFF</v>
      </c>
      <c r="I17" s="41" t="str">
        <f>'Pod Library'!J19</f>
        <v>FTC</v>
      </c>
      <c r="J17" s="36">
        <f>'Pod Library'!K19</f>
        <v>1</v>
      </c>
      <c r="K17" s="12">
        <f>SUMIFS('Pod Plan'!$F:$F,'Pod Plan'!$B:$B,$A17,'Pod Plan'!$C:$C,$C17)</f>
        <v>1</v>
      </c>
      <c r="L17" s="42">
        <f t="shared" si="0"/>
        <v>1</v>
      </c>
      <c r="M17" s="42">
        <f>L17*INDEX('Logic Tree'!$J$80:$N$81,MATCH(H17,'Logic Tree'!$I$80:$I$81,0),MATCH(G17,'Logic Tree'!$J$79:$N$79,0))</f>
        <v>0.42</v>
      </c>
    </row>
    <row r="18" spans="1:13" hidden="1" x14ac:dyDescent="0.35">
      <c r="A18" s="26">
        <v>1</v>
      </c>
      <c r="B18" s="30" t="s">
        <v>782</v>
      </c>
      <c r="C18" s="30" t="s">
        <v>347</v>
      </c>
      <c r="D18" s="30" t="s">
        <v>575</v>
      </c>
      <c r="E18" s="40" t="str">
        <f>'Pod Library'!F20</f>
        <v>Informatica Developer</v>
      </c>
      <c r="F18" s="41" t="str">
        <f>'Pod Library'!G20</f>
        <v>DEV</v>
      </c>
      <c r="G18" s="41" t="str">
        <f>'Pod Library'!H20</f>
        <v>E2</v>
      </c>
      <c r="H18" s="41" t="str">
        <f>'Pod Library'!I20</f>
        <v>OFF</v>
      </c>
      <c r="I18" s="41" t="str">
        <f>'Pod Library'!J20</f>
        <v>FTC</v>
      </c>
      <c r="J18" s="36">
        <f>'Pod Library'!K20</f>
        <v>2</v>
      </c>
      <c r="K18" s="12">
        <f>SUMIFS('Pod Plan'!$F:$F,'Pod Plan'!$B:$B,$A18,'Pod Plan'!$C:$C,$C18)</f>
        <v>1</v>
      </c>
      <c r="L18" s="42">
        <f t="shared" si="0"/>
        <v>2</v>
      </c>
      <c r="M18" s="42">
        <f>L18*INDEX('Logic Tree'!$J$80:$N$81,MATCH(H18,'Logic Tree'!$I$80:$I$81,0),MATCH(G18,'Logic Tree'!$J$79:$N$79,0))</f>
        <v>0.6</v>
      </c>
    </row>
    <row r="19" spans="1:13" hidden="1" x14ac:dyDescent="0.35">
      <c r="A19" s="26">
        <v>1</v>
      </c>
      <c r="B19" s="30" t="s">
        <v>782</v>
      </c>
      <c r="C19" s="30" t="s">
        <v>347</v>
      </c>
      <c r="D19" s="30" t="s">
        <v>575</v>
      </c>
      <c r="E19" s="40" t="str">
        <f>'Pod Library'!F21</f>
        <v>Data Tester</v>
      </c>
      <c r="F19" s="41" t="str">
        <f>'Pod Library'!G21</f>
        <v>TEST</v>
      </c>
      <c r="G19" s="41" t="str">
        <f>'Pod Library'!H21</f>
        <v>E2</v>
      </c>
      <c r="H19" s="41" t="str">
        <f>'Pod Library'!I21</f>
        <v>OFF</v>
      </c>
      <c r="I19" s="41" t="str">
        <f>'Pod Library'!J21</f>
        <v>FTC</v>
      </c>
      <c r="J19" s="36">
        <f>'Pod Library'!K21</f>
        <v>1</v>
      </c>
      <c r="K19" s="12">
        <f>SUMIFS('Pod Plan'!$F:$F,'Pod Plan'!$B:$B,$A19,'Pod Plan'!$C:$C,$C19)</f>
        <v>1</v>
      </c>
      <c r="L19" s="42">
        <f t="shared" si="0"/>
        <v>1</v>
      </c>
      <c r="M19" s="42">
        <f>L19*INDEX('Logic Tree'!$J$80:$N$81,MATCH(H19,'Logic Tree'!$I$80:$I$81,0),MATCH(G19,'Logic Tree'!$J$79:$N$79,0))</f>
        <v>0.3</v>
      </c>
    </row>
    <row r="20" spans="1:13" hidden="1" x14ac:dyDescent="0.35">
      <c r="A20" s="26">
        <v>1</v>
      </c>
      <c r="B20" s="30" t="s">
        <v>782</v>
      </c>
      <c r="C20" s="30" t="s">
        <v>347</v>
      </c>
      <c r="D20" s="30" t="s">
        <v>575</v>
      </c>
      <c r="E20" s="40" t="str">
        <f>'Pod Library'!F22</f>
        <v>L2 Data Support</v>
      </c>
      <c r="F20" s="41" t="str">
        <f>'Pod Library'!G22</f>
        <v>OPS</v>
      </c>
      <c r="G20" s="41" t="str">
        <f>'Pod Library'!H22</f>
        <v>E2</v>
      </c>
      <c r="H20" s="41" t="str">
        <f>'Pod Library'!I22</f>
        <v>OFF</v>
      </c>
      <c r="I20" s="41" t="str">
        <f>'Pod Library'!J22</f>
        <v>FTC</v>
      </c>
      <c r="J20" s="36">
        <f>'Pod Library'!K22</f>
        <v>0</v>
      </c>
      <c r="K20" s="12">
        <f>SUMIFS('Pod Plan'!$F:$F,'Pod Plan'!$B:$B,$A20,'Pod Plan'!$C:$C,$C20)</f>
        <v>1</v>
      </c>
      <c r="L20" s="42">
        <f t="shared" si="0"/>
        <v>0</v>
      </c>
      <c r="M20" s="42">
        <f>L20*INDEX('Logic Tree'!$J$80:$N$81,MATCH(H20,'Logic Tree'!$I$80:$I$81,0),MATCH(G20,'Logic Tree'!$J$79:$N$79,0))</f>
        <v>0</v>
      </c>
    </row>
    <row r="21" spans="1:13" hidden="1" x14ac:dyDescent="0.35">
      <c r="A21" s="26">
        <v>1</v>
      </c>
      <c r="B21" s="30" t="s">
        <v>782</v>
      </c>
      <c r="C21" s="30" t="s">
        <v>480</v>
      </c>
      <c r="D21" s="30" t="s">
        <v>566</v>
      </c>
      <c r="E21" s="40" t="str">
        <f>'Pod Library'!F25</f>
        <v>Product Owner- Data Platform</v>
      </c>
      <c r="F21" s="41" t="str">
        <f>'Pod Library'!G25</f>
        <v>LEAD</v>
      </c>
      <c r="G21" s="41" t="str">
        <f>'Pod Library'!H25</f>
        <v>E4</v>
      </c>
      <c r="H21" s="41" t="str">
        <f>'Pod Library'!I25</f>
        <v>ON</v>
      </c>
      <c r="I21" s="41" t="str">
        <f>'Pod Library'!J25</f>
        <v>FTE</v>
      </c>
      <c r="J21" s="36">
        <f>'Pod Library'!K25</f>
        <v>1</v>
      </c>
      <c r="K21" s="12">
        <f>SUMIFS('Pod Plan'!$E:$E,'Pod Plan'!$B:$B,$A21,'Pod Plan'!$C:$C,$C21)</f>
        <v>2</v>
      </c>
      <c r="L21" s="42">
        <f t="shared" si="0"/>
        <v>2</v>
      </c>
      <c r="M21" s="42">
        <f>L21*INDEX('Logic Tree'!$J$80:$N$81,MATCH(H21,'Logic Tree'!$I$80:$I$81,0),MATCH(G21,'Logic Tree'!$J$79:$N$79,0))</f>
        <v>3.7</v>
      </c>
    </row>
    <row r="22" spans="1:13" hidden="1" x14ac:dyDescent="0.35">
      <c r="A22" s="26">
        <v>1</v>
      </c>
      <c r="B22" s="30" t="s">
        <v>782</v>
      </c>
      <c r="C22" s="30" t="s">
        <v>480</v>
      </c>
      <c r="D22" s="30" t="s">
        <v>566</v>
      </c>
      <c r="E22" s="40" t="str">
        <f>'Pod Library'!F26</f>
        <v xml:space="preserve">Azure Data Architect (MetLife) </v>
      </c>
      <c r="F22" s="41" t="str">
        <f>'Pod Library'!G26</f>
        <v>ENG</v>
      </c>
      <c r="G22" s="41" t="str">
        <f>'Pod Library'!H26</f>
        <v>E5</v>
      </c>
      <c r="H22" s="41" t="str">
        <f>'Pod Library'!I26</f>
        <v>ON</v>
      </c>
      <c r="I22" s="41" t="str">
        <f>'Pod Library'!J26</f>
        <v>FTE</v>
      </c>
      <c r="J22" s="36">
        <f>'Pod Library'!K26</f>
        <v>1</v>
      </c>
      <c r="K22" s="12">
        <f>SUMIFS('Pod Plan'!$E:$E,'Pod Plan'!$B:$B,$A22,'Pod Plan'!$C:$C,$C22)</f>
        <v>2</v>
      </c>
      <c r="L22" s="42">
        <f t="shared" si="0"/>
        <v>2</v>
      </c>
      <c r="M22" s="42">
        <f>L22*INDEX('Logic Tree'!$J$80:$N$81,MATCH(H22,'Logic Tree'!$I$80:$I$81,0),MATCH(G22,'Logic Tree'!$J$79:$N$79,0))</f>
        <v>5.0999999999999996</v>
      </c>
    </row>
    <row r="23" spans="1:13" hidden="1" x14ac:dyDescent="0.35">
      <c r="A23" s="26">
        <v>1</v>
      </c>
      <c r="B23" s="30" t="s">
        <v>782</v>
      </c>
      <c r="C23" s="30" t="s">
        <v>480</v>
      </c>
      <c r="D23" s="30" t="s">
        <v>566</v>
      </c>
      <c r="E23" s="40" t="str">
        <f>'Pod Library'!F27</f>
        <v>BI / Reporting Engineer</v>
      </c>
      <c r="F23" s="41" t="str">
        <f>'Pod Library'!G27</f>
        <v>DEV</v>
      </c>
      <c r="G23" s="41" t="str">
        <f>'Pod Library'!H27</f>
        <v>E3</v>
      </c>
      <c r="H23" s="41" t="str">
        <f>'Pod Library'!I27</f>
        <v>OFF</v>
      </c>
      <c r="I23" s="41" t="str">
        <f>'Pod Library'!J27</f>
        <v>FTC</v>
      </c>
      <c r="J23" s="36">
        <f>'Pod Library'!K27</f>
        <v>1</v>
      </c>
      <c r="K23" s="12">
        <f>SUMIFS('Pod Plan'!$E:$E,'Pod Plan'!$B:$B,$A23,'Pod Plan'!$C:$C,$C23)</f>
        <v>2</v>
      </c>
      <c r="L23" s="42">
        <f t="shared" si="0"/>
        <v>2</v>
      </c>
      <c r="M23" s="42">
        <f>L23*INDEX('Logic Tree'!$J$80:$N$81,MATCH(H23,'Logic Tree'!$I$80:$I$81,0),MATCH(G23,'Logic Tree'!$J$79:$N$79,0))</f>
        <v>0.84</v>
      </c>
    </row>
    <row r="24" spans="1:13" hidden="1" x14ac:dyDescent="0.35">
      <c r="A24" s="26">
        <v>1</v>
      </c>
      <c r="B24" s="30" t="s">
        <v>782</v>
      </c>
      <c r="C24" s="30" t="s">
        <v>480</v>
      </c>
      <c r="D24" s="30" t="s">
        <v>566</v>
      </c>
      <c r="E24" s="40" t="str">
        <f>'Pod Library'!F28</f>
        <v>Synapse Platform Engineer</v>
      </c>
      <c r="F24" s="41" t="str">
        <f>'Pod Library'!G28</f>
        <v>ENG</v>
      </c>
      <c r="G24" s="41" t="str">
        <f>'Pod Library'!H28</f>
        <v>E4</v>
      </c>
      <c r="H24" s="41" t="str">
        <f>'Pod Library'!I28</f>
        <v>OFF</v>
      </c>
      <c r="I24" s="41" t="str">
        <f>'Pod Library'!J28</f>
        <v>MGCC</v>
      </c>
      <c r="J24" s="36">
        <f>'Pod Library'!K28</f>
        <v>1</v>
      </c>
      <c r="K24" s="12">
        <f>SUMIFS('Pod Plan'!$E:$E,'Pod Plan'!$B:$B,$A24,'Pod Plan'!$C:$C,$C24)</f>
        <v>2</v>
      </c>
      <c r="L24" s="42">
        <f t="shared" si="0"/>
        <v>2</v>
      </c>
      <c r="M24" s="42">
        <f>L24*INDEX('Logic Tree'!$J$80:$N$81,MATCH(H24,'Logic Tree'!$I$80:$I$81,0),MATCH(G24,'Logic Tree'!$J$79:$N$79,0))</f>
        <v>1.2</v>
      </c>
    </row>
    <row r="25" spans="1:13" hidden="1" x14ac:dyDescent="0.35">
      <c r="A25" s="26">
        <v>1</v>
      </c>
      <c r="B25" s="30" t="s">
        <v>782</v>
      </c>
      <c r="C25" s="30" t="s">
        <v>480</v>
      </c>
      <c r="D25" s="30" t="s">
        <v>566</v>
      </c>
      <c r="E25" s="40" t="str">
        <f>'Pod Library'!F29</f>
        <v>Azure Data Engineer</v>
      </c>
      <c r="F25" s="41" t="str">
        <f>'Pod Library'!G29</f>
        <v>DEV</v>
      </c>
      <c r="G25" s="41" t="str">
        <f>'Pod Library'!H29</f>
        <v>E3</v>
      </c>
      <c r="H25" s="41" t="str">
        <f>'Pod Library'!I29</f>
        <v>OFF</v>
      </c>
      <c r="I25" s="41" t="str">
        <f>'Pod Library'!J29</f>
        <v>MGCC</v>
      </c>
      <c r="J25" s="36">
        <f>'Pod Library'!K29</f>
        <v>1</v>
      </c>
      <c r="K25" s="12">
        <f>SUMIFS('Pod Plan'!$E:$E,'Pod Plan'!$B:$B,$A25,'Pod Plan'!$C:$C,$C25)</f>
        <v>2</v>
      </c>
      <c r="L25" s="42">
        <f t="shared" si="0"/>
        <v>2</v>
      </c>
      <c r="M25" s="42">
        <f>L25*INDEX('Logic Tree'!$J$80:$N$81,MATCH(H25,'Logic Tree'!$I$80:$I$81,0),MATCH(G25,'Logic Tree'!$J$79:$N$79,0))</f>
        <v>0.84</v>
      </c>
    </row>
    <row r="26" spans="1:13" hidden="1" x14ac:dyDescent="0.35">
      <c r="A26" s="26">
        <v>1</v>
      </c>
      <c r="B26" s="30" t="s">
        <v>782</v>
      </c>
      <c r="C26" s="30" t="s">
        <v>480</v>
      </c>
      <c r="D26" s="30" t="s">
        <v>566</v>
      </c>
      <c r="E26" s="40" t="str">
        <f>'Pod Library'!F30</f>
        <v>Pod Delivery Lead ( Azure Data Engineering)</v>
      </c>
      <c r="F26" s="41" t="str">
        <f>'Pod Library'!G30</f>
        <v>LEAD</v>
      </c>
      <c r="G26" s="41" t="str">
        <f>'Pod Library'!H30</f>
        <v>E4</v>
      </c>
      <c r="H26" s="41" t="str">
        <f>'Pod Library'!I30</f>
        <v>ON</v>
      </c>
      <c r="I26" s="41" t="str">
        <f>'Pod Library'!J30</f>
        <v>FTC</v>
      </c>
      <c r="J26" s="36">
        <f>'Pod Library'!K30</f>
        <v>1</v>
      </c>
      <c r="K26" s="12">
        <f>SUMIFS('Pod Plan'!$E:$E,'Pod Plan'!$B:$B,$A26,'Pod Plan'!$C:$C,$C26)</f>
        <v>2</v>
      </c>
      <c r="L26" s="42">
        <f t="shared" si="0"/>
        <v>2</v>
      </c>
      <c r="M26" s="42">
        <f>L26*INDEX('Logic Tree'!$J$80:$N$81,MATCH(H26,'Logic Tree'!$I$80:$I$81,0),MATCH(G26,'Logic Tree'!$J$79:$N$79,0))</f>
        <v>3.7</v>
      </c>
    </row>
    <row r="27" spans="1:13" hidden="1" x14ac:dyDescent="0.35">
      <c r="A27" s="26">
        <v>1</v>
      </c>
      <c r="B27" s="30" t="s">
        <v>782</v>
      </c>
      <c r="C27" s="30" t="s">
        <v>480</v>
      </c>
      <c r="D27" s="30" t="s">
        <v>566</v>
      </c>
      <c r="E27" s="40" t="str">
        <f>'Pod Library'!F31</f>
        <v>Senior Azure Data Engineer</v>
      </c>
      <c r="F27" s="41" t="str">
        <f>'Pod Library'!G31</f>
        <v>DEV</v>
      </c>
      <c r="G27" s="41" t="str">
        <f>'Pod Library'!H31</f>
        <v>E3</v>
      </c>
      <c r="H27" s="41" t="str">
        <f>'Pod Library'!I31</f>
        <v>ON</v>
      </c>
      <c r="I27" s="41" t="str">
        <f>'Pod Library'!J31</f>
        <v>MGCC</v>
      </c>
      <c r="J27" s="36">
        <f>'Pod Library'!K31</f>
        <v>1</v>
      </c>
      <c r="K27" s="12">
        <f>SUMIFS('Pod Plan'!$E:$E,'Pod Plan'!$B:$B,$A27,'Pod Plan'!$C:$C,$C27)</f>
        <v>2</v>
      </c>
      <c r="L27" s="42">
        <f t="shared" si="0"/>
        <v>2</v>
      </c>
      <c r="M27" s="42">
        <f>L27*INDEX('Logic Tree'!$J$80:$N$81,MATCH(H27,'Logic Tree'!$I$80:$I$81,0),MATCH(G27,'Logic Tree'!$J$79:$N$79,0))</f>
        <v>2.7</v>
      </c>
    </row>
    <row r="28" spans="1:13" hidden="1" x14ac:dyDescent="0.35">
      <c r="A28" s="26">
        <v>1</v>
      </c>
      <c r="B28" s="30" t="s">
        <v>782</v>
      </c>
      <c r="C28" s="30" t="s">
        <v>480</v>
      </c>
      <c r="D28" s="30" t="s">
        <v>566</v>
      </c>
      <c r="E28" s="40" t="str">
        <f>'Pod Library'!F32</f>
        <v>Azure Data Engineer</v>
      </c>
      <c r="F28" s="41" t="str">
        <f>'Pod Library'!G32</f>
        <v>DEV</v>
      </c>
      <c r="G28" s="41" t="str">
        <f>'Pod Library'!H32</f>
        <v>E2</v>
      </c>
      <c r="H28" s="41" t="str">
        <f>'Pod Library'!I32</f>
        <v>OFF</v>
      </c>
      <c r="I28" s="41" t="str">
        <f>'Pod Library'!J32</f>
        <v>FTC</v>
      </c>
      <c r="J28" s="36">
        <f>'Pod Library'!K32</f>
        <v>1</v>
      </c>
      <c r="K28" s="12">
        <f>SUMIFS('Pod Plan'!$E:$E,'Pod Plan'!$B:$B,$A28,'Pod Plan'!$C:$C,$C28)</f>
        <v>2</v>
      </c>
      <c r="L28" s="42">
        <f t="shared" si="0"/>
        <v>2</v>
      </c>
      <c r="M28" s="42">
        <f>L28*INDEX('Logic Tree'!$J$80:$N$81,MATCH(H28,'Logic Tree'!$I$80:$I$81,0),MATCH(G28,'Logic Tree'!$J$79:$N$79,0))</f>
        <v>0.6</v>
      </c>
    </row>
    <row r="29" spans="1:13" hidden="1" x14ac:dyDescent="0.35">
      <c r="A29" s="26">
        <v>1</v>
      </c>
      <c r="B29" s="30" t="s">
        <v>782</v>
      </c>
      <c r="C29" s="30" t="s">
        <v>480</v>
      </c>
      <c r="D29" s="30" t="s">
        <v>566</v>
      </c>
      <c r="E29" s="40" t="str">
        <f>'Pod Library'!F33</f>
        <v>Data Tester</v>
      </c>
      <c r="F29" s="41" t="str">
        <f>'Pod Library'!G33</f>
        <v>TEST</v>
      </c>
      <c r="G29" s="41" t="str">
        <f>'Pod Library'!H33</f>
        <v>E2</v>
      </c>
      <c r="H29" s="41" t="str">
        <f>'Pod Library'!I33</f>
        <v>OFF</v>
      </c>
      <c r="I29" s="41" t="str">
        <f>'Pod Library'!J33</f>
        <v>FTC</v>
      </c>
      <c r="J29" s="36">
        <f>'Pod Library'!K33</f>
        <v>1</v>
      </c>
      <c r="K29" s="12">
        <f>SUMIFS('Pod Plan'!$E:$E,'Pod Plan'!$B:$B,$A29,'Pod Plan'!$C:$C,$C29)</f>
        <v>2</v>
      </c>
      <c r="L29" s="42">
        <f t="shared" si="0"/>
        <v>2</v>
      </c>
      <c r="M29" s="42">
        <f>L29*INDEX('Logic Tree'!$J$80:$N$81,MATCH(H29,'Logic Tree'!$I$80:$I$81,0),MATCH(G29,'Logic Tree'!$J$79:$N$79,0))</f>
        <v>0.6</v>
      </c>
    </row>
    <row r="30" spans="1:13" hidden="1" x14ac:dyDescent="0.35">
      <c r="A30" s="26">
        <v>1</v>
      </c>
      <c r="B30" s="30" t="s">
        <v>782</v>
      </c>
      <c r="C30" s="30" t="s">
        <v>480</v>
      </c>
      <c r="D30" s="30" t="s">
        <v>575</v>
      </c>
      <c r="E30" s="40" t="str">
        <f>'Pod Library'!F36</f>
        <v>Product Owner- Data Platform (shared 0.5)</v>
      </c>
      <c r="F30" s="41" t="str">
        <f>'Pod Library'!G36</f>
        <v>LEAD</v>
      </c>
      <c r="G30" s="41" t="str">
        <f>'Pod Library'!H36</f>
        <v>E4</v>
      </c>
      <c r="H30" s="41" t="str">
        <f>'Pod Library'!I36</f>
        <v>ON</v>
      </c>
      <c r="I30" s="41" t="str">
        <f>'Pod Library'!J36</f>
        <v>FTE</v>
      </c>
      <c r="J30" s="36">
        <f>'Pod Library'!K36</f>
        <v>0.5</v>
      </c>
      <c r="K30" s="12">
        <f>SUMIFS('Pod Plan'!$F:$F,'Pod Plan'!$B:$B,$A30,'Pod Plan'!$C:$C,$C30)</f>
        <v>2</v>
      </c>
      <c r="L30" s="42">
        <f t="shared" si="0"/>
        <v>1</v>
      </c>
      <c r="M30" s="42">
        <f>L30*INDEX('Logic Tree'!$J$80:$N$81,MATCH(H30,'Logic Tree'!$I$80:$I$81,0),MATCH(G30,'Logic Tree'!$J$79:$N$79,0))</f>
        <v>1.85</v>
      </c>
    </row>
    <row r="31" spans="1:13" hidden="1" x14ac:dyDescent="0.35">
      <c r="A31" s="26">
        <v>1</v>
      </c>
      <c r="B31" s="30" t="s">
        <v>782</v>
      </c>
      <c r="C31" s="30" t="s">
        <v>480</v>
      </c>
      <c r="D31" s="30" t="s">
        <v>575</v>
      </c>
      <c r="E31" s="40" t="str">
        <f>'Pod Library'!F37</f>
        <v>Azure Data Architect (MetLife)- shared</v>
      </c>
      <c r="F31" s="41" t="str">
        <f>'Pod Library'!G37</f>
        <v>ENG</v>
      </c>
      <c r="G31" s="41" t="str">
        <f>'Pod Library'!H37</f>
        <v>E5</v>
      </c>
      <c r="H31" s="41" t="str">
        <f>'Pod Library'!I37</f>
        <v>ON</v>
      </c>
      <c r="I31" s="41" t="str">
        <f>'Pod Library'!J37</f>
        <v>FTE</v>
      </c>
      <c r="J31" s="36">
        <f>'Pod Library'!K37</f>
        <v>0.5</v>
      </c>
      <c r="K31" s="12">
        <f>SUMIFS('Pod Plan'!$F:$F,'Pod Plan'!$B:$B,$A31,'Pod Plan'!$C:$C,$C31)</f>
        <v>2</v>
      </c>
      <c r="L31" s="42">
        <f t="shared" si="0"/>
        <v>1</v>
      </c>
      <c r="M31" s="42">
        <f>L31*INDEX('Logic Tree'!$J$80:$N$81,MATCH(H31,'Logic Tree'!$I$80:$I$81,0),MATCH(G31,'Logic Tree'!$J$79:$N$79,0))</f>
        <v>2.5499999999999998</v>
      </c>
    </row>
    <row r="32" spans="1:13" hidden="1" x14ac:dyDescent="0.35">
      <c r="A32" s="26">
        <v>1</v>
      </c>
      <c r="B32" s="30" t="s">
        <v>782</v>
      </c>
      <c r="C32" s="30" t="s">
        <v>480</v>
      </c>
      <c r="D32" s="30" t="s">
        <v>575</v>
      </c>
      <c r="E32" s="40" t="str">
        <f>'Pod Library'!F38</f>
        <v>Pod Delivery Lead ( Azure Data Engineering)</v>
      </c>
      <c r="F32" s="41" t="str">
        <f>'Pod Library'!G38</f>
        <v>LEAD</v>
      </c>
      <c r="G32" s="41" t="str">
        <f>'Pod Library'!H38</f>
        <v>E4</v>
      </c>
      <c r="H32" s="41" t="str">
        <f>'Pod Library'!I38</f>
        <v>ON</v>
      </c>
      <c r="I32" s="41" t="str">
        <f>'Pod Library'!J38</f>
        <v>FTC</v>
      </c>
      <c r="J32" s="36">
        <f>'Pod Library'!K38</f>
        <v>1</v>
      </c>
      <c r="K32" s="12">
        <f>SUMIFS('Pod Plan'!$F:$F,'Pod Plan'!$B:$B,$A32,'Pod Plan'!$C:$C,$C32)</f>
        <v>2</v>
      </c>
      <c r="L32" s="42">
        <f t="shared" si="0"/>
        <v>2</v>
      </c>
      <c r="M32" s="42">
        <f>L32*INDEX('Logic Tree'!$J$80:$N$81,MATCH(H32,'Logic Tree'!$I$80:$I$81,0),MATCH(G32,'Logic Tree'!$J$79:$N$79,0))</f>
        <v>3.7</v>
      </c>
    </row>
    <row r="33" spans="1:13" hidden="1" x14ac:dyDescent="0.35">
      <c r="A33" s="26">
        <v>1</v>
      </c>
      <c r="B33" s="30" t="s">
        <v>782</v>
      </c>
      <c r="C33" s="30" t="s">
        <v>480</v>
      </c>
      <c r="D33" s="30" t="s">
        <v>575</v>
      </c>
      <c r="E33" s="40" t="str">
        <f>'Pod Library'!F39</f>
        <v>Data Modeler</v>
      </c>
      <c r="F33" s="41" t="str">
        <f>'Pod Library'!G39</f>
        <v>ENG</v>
      </c>
      <c r="G33" s="41" t="str">
        <f>'Pod Library'!H39</f>
        <v>E4</v>
      </c>
      <c r="H33" s="41" t="str">
        <f>'Pod Library'!I39</f>
        <v>OFF</v>
      </c>
      <c r="I33" s="41" t="str">
        <f>'Pod Library'!J39</f>
        <v>FTC</v>
      </c>
      <c r="J33" s="36">
        <f>'Pod Library'!K39</f>
        <v>1</v>
      </c>
      <c r="K33" s="12">
        <f>SUMIFS('Pod Plan'!$F:$F,'Pod Plan'!$B:$B,$A33,'Pod Plan'!$C:$C,$C33)</f>
        <v>2</v>
      </c>
      <c r="L33" s="42">
        <f t="shared" si="0"/>
        <v>2</v>
      </c>
      <c r="M33" s="42">
        <f>L33*INDEX('Logic Tree'!$J$80:$N$81,MATCH(H33,'Logic Tree'!$I$80:$I$81,0),MATCH(G33,'Logic Tree'!$J$79:$N$79,0))</f>
        <v>1.2</v>
      </c>
    </row>
    <row r="34" spans="1:13" hidden="1" x14ac:dyDescent="0.35">
      <c r="A34" s="26">
        <v>1</v>
      </c>
      <c r="B34" s="30" t="s">
        <v>782</v>
      </c>
      <c r="C34" s="30" t="s">
        <v>480</v>
      </c>
      <c r="D34" s="30" t="s">
        <v>575</v>
      </c>
      <c r="E34" s="40" t="str">
        <f>'Pod Library'!F40</f>
        <v>Business Analyst (bilingual)</v>
      </c>
      <c r="F34" s="41" t="str">
        <f>'Pod Library'!G40</f>
        <v>BA</v>
      </c>
      <c r="G34" s="41" t="str">
        <f>'Pod Library'!H40</f>
        <v>E3</v>
      </c>
      <c r="H34" s="41" t="str">
        <f>'Pod Library'!I40</f>
        <v>ON</v>
      </c>
      <c r="I34" s="41" t="str">
        <f>'Pod Library'!J40</f>
        <v>FTC</v>
      </c>
      <c r="J34" s="36">
        <f>'Pod Library'!K40</f>
        <v>1</v>
      </c>
      <c r="K34" s="12">
        <f>SUMIFS('Pod Plan'!$F:$F,'Pod Plan'!$B:$B,$A34,'Pod Plan'!$C:$C,$C34)</f>
        <v>2</v>
      </c>
      <c r="L34" s="42">
        <f t="shared" si="0"/>
        <v>2</v>
      </c>
      <c r="M34" s="42">
        <f>L34*INDEX('Logic Tree'!$J$80:$N$81,MATCH(H34,'Logic Tree'!$I$80:$I$81,0),MATCH(G34,'Logic Tree'!$J$79:$N$79,0))</f>
        <v>2.7</v>
      </c>
    </row>
    <row r="35" spans="1:13" hidden="1" x14ac:dyDescent="0.35">
      <c r="A35" s="26">
        <v>1</v>
      </c>
      <c r="B35" s="30" t="s">
        <v>782</v>
      </c>
      <c r="C35" s="30" t="s">
        <v>480</v>
      </c>
      <c r="D35" s="30" t="s">
        <v>575</v>
      </c>
      <c r="E35" s="40" t="str">
        <f>'Pod Library'!F41</f>
        <v>Senior Azure Data Engineer</v>
      </c>
      <c r="F35" s="41" t="str">
        <f>'Pod Library'!G41</f>
        <v>DEV</v>
      </c>
      <c r="G35" s="41" t="str">
        <f>'Pod Library'!H41</f>
        <v>E3</v>
      </c>
      <c r="H35" s="41" t="str">
        <f>'Pod Library'!I41</f>
        <v>OFF</v>
      </c>
      <c r="I35" s="41" t="str">
        <f>'Pod Library'!J41</f>
        <v>FTC</v>
      </c>
      <c r="J35" s="36">
        <f>'Pod Library'!K41</f>
        <v>1</v>
      </c>
      <c r="K35" s="12">
        <f>SUMIFS('Pod Plan'!$F:$F,'Pod Plan'!$B:$B,$A35,'Pod Plan'!$C:$C,$C35)</f>
        <v>2</v>
      </c>
      <c r="L35" s="42">
        <f t="shared" si="0"/>
        <v>2</v>
      </c>
      <c r="M35" s="42">
        <f>L35*INDEX('Logic Tree'!$J$80:$N$81,MATCH(H35,'Logic Tree'!$I$80:$I$81,0),MATCH(G35,'Logic Tree'!$J$79:$N$79,0))</f>
        <v>0.84</v>
      </c>
    </row>
    <row r="36" spans="1:13" hidden="1" x14ac:dyDescent="0.35">
      <c r="A36" s="26">
        <v>1</v>
      </c>
      <c r="B36" s="30" t="s">
        <v>782</v>
      </c>
      <c r="C36" s="30" t="s">
        <v>480</v>
      </c>
      <c r="D36" s="30" t="s">
        <v>575</v>
      </c>
      <c r="E36" s="40" t="str">
        <f>'Pod Library'!F42</f>
        <v>Azure Data Engineer</v>
      </c>
      <c r="F36" s="41" t="str">
        <f>'Pod Library'!G42</f>
        <v>DEV</v>
      </c>
      <c r="G36" s="41" t="str">
        <f>'Pod Library'!H42</f>
        <v>E2</v>
      </c>
      <c r="H36" s="41" t="str">
        <f>'Pod Library'!I42</f>
        <v>OFF</v>
      </c>
      <c r="I36" s="41" t="str">
        <f>'Pod Library'!J42</f>
        <v>FTC</v>
      </c>
      <c r="J36" s="36">
        <f>'Pod Library'!K42</f>
        <v>2</v>
      </c>
      <c r="K36" s="12">
        <f>SUMIFS('Pod Plan'!$F:$F,'Pod Plan'!$B:$B,$A36,'Pod Plan'!$C:$C,$C36)</f>
        <v>2</v>
      </c>
      <c r="L36" s="42">
        <f t="shared" si="0"/>
        <v>4</v>
      </c>
      <c r="M36" s="42">
        <f>L36*INDEX('Logic Tree'!$J$80:$N$81,MATCH(H36,'Logic Tree'!$I$80:$I$81,0),MATCH(G36,'Logic Tree'!$J$79:$N$79,0))</f>
        <v>1.2</v>
      </c>
    </row>
    <row r="37" spans="1:13" hidden="1" x14ac:dyDescent="0.35">
      <c r="A37" s="26">
        <v>1</v>
      </c>
      <c r="B37" s="30" t="s">
        <v>782</v>
      </c>
      <c r="C37" s="30" t="s">
        <v>480</v>
      </c>
      <c r="D37" s="30" t="s">
        <v>575</v>
      </c>
      <c r="E37" s="40" t="str">
        <f>'Pod Library'!F43</f>
        <v>BI / Reporting Engineer</v>
      </c>
      <c r="F37" s="41" t="str">
        <f>'Pod Library'!G43</f>
        <v>DEV</v>
      </c>
      <c r="G37" s="41" t="str">
        <f>'Pod Library'!H43</f>
        <v>E3</v>
      </c>
      <c r="H37" s="41" t="str">
        <f>'Pod Library'!I43</f>
        <v>OFF</v>
      </c>
      <c r="I37" s="41" t="str">
        <f>'Pod Library'!J43</f>
        <v>FTC</v>
      </c>
      <c r="J37" s="36">
        <f>'Pod Library'!K43</f>
        <v>1</v>
      </c>
      <c r="K37" s="12">
        <f>SUMIFS('Pod Plan'!$F:$F,'Pod Plan'!$B:$B,$A37,'Pod Plan'!$C:$C,$C37)</f>
        <v>2</v>
      </c>
      <c r="L37" s="42">
        <f t="shared" ref="L37:L68" si="1">J37*K37</f>
        <v>2</v>
      </c>
      <c r="M37" s="42">
        <f>L37*INDEX('Logic Tree'!$J$80:$N$81,MATCH(H37,'Logic Tree'!$I$80:$I$81,0),MATCH(G37,'Logic Tree'!$J$79:$N$79,0))</f>
        <v>0.84</v>
      </c>
    </row>
    <row r="38" spans="1:13" hidden="1" x14ac:dyDescent="0.35">
      <c r="A38" s="26">
        <v>1</v>
      </c>
      <c r="B38" s="30" t="s">
        <v>782</v>
      </c>
      <c r="C38" s="30" t="s">
        <v>480</v>
      </c>
      <c r="D38" s="30" t="s">
        <v>575</v>
      </c>
      <c r="E38" s="40" t="str">
        <f>'Pod Library'!F44</f>
        <v>Data Tester</v>
      </c>
      <c r="F38" s="41" t="str">
        <f>'Pod Library'!G44</f>
        <v>TEST</v>
      </c>
      <c r="G38" s="41" t="str">
        <f>'Pod Library'!H44</f>
        <v>E2</v>
      </c>
      <c r="H38" s="41" t="str">
        <f>'Pod Library'!I44</f>
        <v>OFF</v>
      </c>
      <c r="I38" s="41" t="str">
        <f>'Pod Library'!J44</f>
        <v>FTC</v>
      </c>
      <c r="J38" s="36">
        <f>'Pod Library'!K44</f>
        <v>1</v>
      </c>
      <c r="K38" s="12">
        <f>SUMIFS('Pod Plan'!$F:$F,'Pod Plan'!$B:$B,$A38,'Pod Plan'!$C:$C,$C38)</f>
        <v>2</v>
      </c>
      <c r="L38" s="42">
        <f t="shared" si="1"/>
        <v>2</v>
      </c>
      <c r="M38" s="42">
        <f>L38*INDEX('Logic Tree'!$J$80:$N$81,MATCH(H38,'Logic Tree'!$I$80:$I$81,0),MATCH(G38,'Logic Tree'!$J$79:$N$79,0))</f>
        <v>0.6</v>
      </c>
    </row>
    <row r="39" spans="1:13" x14ac:dyDescent="0.35">
      <c r="A39" s="26">
        <v>2</v>
      </c>
      <c r="B39" s="30" t="s">
        <v>782</v>
      </c>
      <c r="C39" s="30" t="s">
        <v>347</v>
      </c>
      <c r="D39" s="30" t="s">
        <v>566</v>
      </c>
      <c r="E39" s="40" t="str">
        <f>'Pod Library'!F47</f>
        <v>Product Owner — Informatica Data Platform</v>
      </c>
      <c r="F39" s="41" t="str">
        <f>'Pod Library'!G47</f>
        <v>LEAD</v>
      </c>
      <c r="G39" s="41" t="str">
        <f>'Pod Library'!H47</f>
        <v>E4</v>
      </c>
      <c r="H39" s="41" t="str">
        <f>'Pod Library'!I47</f>
        <v>ON</v>
      </c>
      <c r="I39" s="41" t="str">
        <f>'Pod Library'!J47</f>
        <v>FTE</v>
      </c>
      <c r="J39" s="36">
        <f>'Pod Library'!K47</f>
        <v>1</v>
      </c>
      <c r="K39" s="12">
        <f>SUMIFS('Pod Plan'!$E:$E,'Pod Plan'!$B:$B,$A39,'Pod Plan'!$C:$C,$C39)</f>
        <v>2</v>
      </c>
      <c r="L39" s="42">
        <f t="shared" si="1"/>
        <v>2</v>
      </c>
      <c r="M39" s="42">
        <f>L39*INDEX('Logic Tree'!$J$80:$N$81,MATCH(H39,'Logic Tree'!$I$80:$I$81,0),MATCH(G39,'Logic Tree'!$J$79:$N$79,0))</f>
        <v>3.7</v>
      </c>
    </row>
    <row r="40" spans="1:13" x14ac:dyDescent="0.35">
      <c r="A40" s="26">
        <v>2</v>
      </c>
      <c r="B40" s="30" t="s">
        <v>782</v>
      </c>
      <c r="C40" s="30" t="s">
        <v>347</v>
      </c>
      <c r="D40" s="30" t="s">
        <v>566</v>
      </c>
      <c r="E40" s="40" t="str">
        <f>'Pod Library'!F48</f>
        <v>Data Domain SME</v>
      </c>
      <c r="F40" s="41" t="str">
        <f>'Pod Library'!G48</f>
        <v>BA</v>
      </c>
      <c r="G40" s="41" t="str">
        <f>'Pod Library'!H48</f>
        <v>E4</v>
      </c>
      <c r="H40" s="41" t="str">
        <f>'Pod Library'!I48</f>
        <v>ON</v>
      </c>
      <c r="I40" s="41" t="str">
        <f>'Pod Library'!J48</f>
        <v>FTE</v>
      </c>
      <c r="J40" s="36">
        <f>'Pod Library'!K48</f>
        <v>1</v>
      </c>
      <c r="K40" s="12">
        <f>SUMIFS('Pod Plan'!$E:$E,'Pod Plan'!$B:$B,$A40,'Pod Plan'!$C:$C,$C40)</f>
        <v>2</v>
      </c>
      <c r="L40" s="42">
        <f t="shared" si="1"/>
        <v>2</v>
      </c>
      <c r="M40" s="42">
        <f>L40*INDEX('Logic Tree'!$J$80:$N$81,MATCH(H40,'Logic Tree'!$I$80:$I$81,0),MATCH(G40,'Logic Tree'!$J$79:$N$79,0))</f>
        <v>3.7</v>
      </c>
    </row>
    <row r="41" spans="1:13" x14ac:dyDescent="0.35">
      <c r="A41" s="26">
        <v>2</v>
      </c>
      <c r="B41" s="30" t="s">
        <v>782</v>
      </c>
      <c r="C41" s="30" t="s">
        <v>347</v>
      </c>
      <c r="D41" s="30" t="s">
        <v>566</v>
      </c>
      <c r="E41" s="40" t="str">
        <f>'Pod Library'!F49</f>
        <v>Informatica Lead Engineer</v>
      </c>
      <c r="F41" s="41" t="str">
        <f>'Pod Library'!G49</f>
        <v>ENG</v>
      </c>
      <c r="G41" s="41" t="str">
        <f>'Pod Library'!H49</f>
        <v>E4</v>
      </c>
      <c r="H41" s="41" t="str">
        <f>'Pod Library'!I49</f>
        <v>OFF</v>
      </c>
      <c r="I41" s="41" t="str">
        <f>'Pod Library'!J49</f>
        <v>MGCC</v>
      </c>
      <c r="J41" s="36">
        <f>'Pod Library'!K49</f>
        <v>1</v>
      </c>
      <c r="K41" s="12">
        <f>SUMIFS('Pod Plan'!$E:$E,'Pod Plan'!$B:$B,$A41,'Pod Plan'!$C:$C,$C41)</f>
        <v>2</v>
      </c>
      <c r="L41" s="42">
        <f t="shared" si="1"/>
        <v>2</v>
      </c>
      <c r="M41" s="42">
        <f>L41*INDEX('Logic Tree'!$J$80:$N$81,MATCH(H41,'Logic Tree'!$I$80:$I$81,0),MATCH(G41,'Logic Tree'!$J$79:$N$79,0))</f>
        <v>1.2</v>
      </c>
    </row>
    <row r="42" spans="1:13" x14ac:dyDescent="0.35">
      <c r="A42" s="26">
        <v>2</v>
      </c>
      <c r="B42" s="30" t="s">
        <v>782</v>
      </c>
      <c r="C42" s="30" t="s">
        <v>347</v>
      </c>
      <c r="D42" s="30" t="s">
        <v>566</v>
      </c>
      <c r="E42" s="40" t="str">
        <f>'Pod Library'!F50</f>
        <v>Data Modeler</v>
      </c>
      <c r="F42" s="41" t="str">
        <f>'Pod Library'!G50</f>
        <v>DEV</v>
      </c>
      <c r="G42" s="41" t="str">
        <f>'Pod Library'!H50</f>
        <v>E3</v>
      </c>
      <c r="H42" s="41" t="str">
        <f>'Pod Library'!I50</f>
        <v>OFF</v>
      </c>
      <c r="I42" s="41" t="str">
        <f>'Pod Library'!J50</f>
        <v>MGCC</v>
      </c>
      <c r="J42" s="36">
        <f>'Pod Library'!K50</f>
        <v>1</v>
      </c>
      <c r="K42" s="12">
        <f>SUMIFS('Pod Plan'!$E:$E,'Pod Plan'!$B:$B,$A42,'Pod Plan'!$C:$C,$C42)</f>
        <v>2</v>
      </c>
      <c r="L42" s="42">
        <f t="shared" si="1"/>
        <v>2</v>
      </c>
      <c r="M42" s="42">
        <f>L42*INDEX('Logic Tree'!$J$80:$N$81,MATCH(H42,'Logic Tree'!$I$80:$I$81,0),MATCH(G42,'Logic Tree'!$J$79:$N$79,0))</f>
        <v>0.84</v>
      </c>
    </row>
    <row r="43" spans="1:13" x14ac:dyDescent="0.35">
      <c r="A43" s="26">
        <v>2</v>
      </c>
      <c r="B43" s="30" t="s">
        <v>782</v>
      </c>
      <c r="C43" s="30" t="s">
        <v>347</v>
      </c>
      <c r="D43" s="30" t="s">
        <v>566</v>
      </c>
      <c r="E43" s="40" t="str">
        <f>'Pod Library'!F51</f>
        <v>Pod Delivery Lead (Informatica Tech Lead)</v>
      </c>
      <c r="F43" s="41" t="str">
        <f>'Pod Library'!G51</f>
        <v>LEAD</v>
      </c>
      <c r="G43" s="41" t="str">
        <f>'Pod Library'!H51</f>
        <v>E4</v>
      </c>
      <c r="H43" s="41" t="str">
        <f>'Pod Library'!I51</f>
        <v>OFF</v>
      </c>
      <c r="I43" s="41" t="str">
        <f>'Pod Library'!J51</f>
        <v>FTC</v>
      </c>
      <c r="J43" s="36">
        <f>'Pod Library'!K51</f>
        <v>1</v>
      </c>
      <c r="K43" s="12">
        <f>SUMIFS('Pod Plan'!$E:$E,'Pod Plan'!$B:$B,$A43,'Pod Plan'!$C:$C,$C43)</f>
        <v>2</v>
      </c>
      <c r="L43" s="42">
        <f t="shared" si="1"/>
        <v>2</v>
      </c>
      <c r="M43" s="42">
        <f>L43*INDEX('Logic Tree'!$J$80:$N$81,MATCH(H43,'Logic Tree'!$I$80:$I$81,0),MATCH(G43,'Logic Tree'!$J$79:$N$79,0))</f>
        <v>1.2</v>
      </c>
    </row>
    <row r="44" spans="1:13" x14ac:dyDescent="0.35">
      <c r="A44" s="26">
        <v>2</v>
      </c>
      <c r="B44" s="30" t="s">
        <v>782</v>
      </c>
      <c r="C44" s="30" t="s">
        <v>347</v>
      </c>
      <c r="D44" s="30" t="s">
        <v>566</v>
      </c>
      <c r="E44" s="40" t="str">
        <f>'Pod Library'!F52</f>
        <v>Informatica Developer</v>
      </c>
      <c r="F44" s="41" t="str">
        <f>'Pod Library'!G52</f>
        <v>DEV</v>
      </c>
      <c r="G44" s="41" t="str">
        <f>'Pod Library'!H52</f>
        <v>E3</v>
      </c>
      <c r="H44" s="41" t="str">
        <f>'Pod Library'!I52</f>
        <v>OFF</v>
      </c>
      <c r="I44" s="41" t="str">
        <f>'Pod Library'!J52</f>
        <v>FTC</v>
      </c>
      <c r="J44" s="36">
        <f>'Pod Library'!K52</f>
        <v>1</v>
      </c>
      <c r="K44" s="12">
        <f>SUMIFS('Pod Plan'!$E:$E,'Pod Plan'!$B:$B,$A44,'Pod Plan'!$C:$C,$C44)</f>
        <v>2</v>
      </c>
      <c r="L44" s="42">
        <f t="shared" si="1"/>
        <v>2</v>
      </c>
      <c r="M44" s="42">
        <f>L44*INDEX('Logic Tree'!$J$80:$N$81,MATCH(H44,'Logic Tree'!$I$80:$I$81,0),MATCH(G44,'Logic Tree'!$J$79:$N$79,0))</f>
        <v>0.84</v>
      </c>
    </row>
    <row r="45" spans="1:13" x14ac:dyDescent="0.35">
      <c r="A45" s="26">
        <v>2</v>
      </c>
      <c r="B45" s="30" t="s">
        <v>782</v>
      </c>
      <c r="C45" s="30" t="s">
        <v>347</v>
      </c>
      <c r="D45" s="30" t="s">
        <v>566</v>
      </c>
      <c r="E45" s="40" t="str">
        <f>'Pod Library'!F53</f>
        <v>AI-assisted Data Tester</v>
      </c>
      <c r="F45" s="41" t="str">
        <f>'Pod Library'!G53</f>
        <v>TEST</v>
      </c>
      <c r="G45" s="41" t="str">
        <f>'Pod Library'!H53</f>
        <v>E3</v>
      </c>
      <c r="H45" s="41" t="str">
        <f>'Pod Library'!I53</f>
        <v>OFF</v>
      </c>
      <c r="I45" s="41" t="str">
        <f>'Pod Library'!J53</f>
        <v>FTC</v>
      </c>
      <c r="J45" s="36">
        <f>'Pod Library'!K53</f>
        <v>1</v>
      </c>
      <c r="K45" s="12">
        <f>SUMIFS('Pod Plan'!$E:$E,'Pod Plan'!$B:$B,$A45,'Pod Plan'!$C:$C,$C45)</f>
        <v>2</v>
      </c>
      <c r="L45" s="42">
        <f t="shared" si="1"/>
        <v>2</v>
      </c>
      <c r="M45" s="42">
        <f>L45*INDEX('Logic Tree'!$J$80:$N$81,MATCH(H45,'Logic Tree'!$I$80:$I$81,0),MATCH(G45,'Logic Tree'!$J$79:$N$79,0))</f>
        <v>0.84</v>
      </c>
    </row>
    <row r="46" spans="1:13" x14ac:dyDescent="0.35">
      <c r="A46" s="26">
        <v>2</v>
      </c>
      <c r="B46" s="30" t="s">
        <v>782</v>
      </c>
      <c r="C46" s="30" t="s">
        <v>347</v>
      </c>
      <c r="D46" s="30" t="s">
        <v>575</v>
      </c>
      <c r="E46" s="40" t="str">
        <f>'Pod Library'!F56</f>
        <v>Product Owner</v>
      </c>
      <c r="F46" s="41" t="str">
        <f>'Pod Library'!G56</f>
        <v>LEAD</v>
      </c>
      <c r="G46" s="41" t="str">
        <f>'Pod Library'!H56</f>
        <v>E4</v>
      </c>
      <c r="H46" s="41" t="str">
        <f>'Pod Library'!I56</f>
        <v>ON</v>
      </c>
      <c r="I46" s="41" t="str">
        <f>'Pod Library'!J56</f>
        <v>FTE</v>
      </c>
      <c r="J46" s="36">
        <f>'Pod Library'!K56</f>
        <v>1</v>
      </c>
      <c r="K46" s="12">
        <f>SUMIFS('Pod Plan'!$F:$F,'Pod Plan'!$B:$B,$A46,'Pod Plan'!$C:$C,$C46)</f>
        <v>1</v>
      </c>
      <c r="L46" s="42">
        <f t="shared" si="1"/>
        <v>1</v>
      </c>
      <c r="M46" s="42">
        <f>L46*INDEX('Logic Tree'!$J$80:$N$81,MATCH(H46,'Logic Tree'!$I$80:$I$81,0),MATCH(G46,'Logic Tree'!$J$79:$N$79,0))</f>
        <v>1.85</v>
      </c>
    </row>
    <row r="47" spans="1:13" x14ac:dyDescent="0.35">
      <c r="A47" s="26">
        <v>2</v>
      </c>
      <c r="B47" s="30" t="s">
        <v>782</v>
      </c>
      <c r="C47" s="30" t="s">
        <v>347</v>
      </c>
      <c r="D47" s="30" t="s">
        <v>575</v>
      </c>
      <c r="E47" s="40" t="str">
        <f>'Pod Library'!F57</f>
        <v>Pod Delivery Lead (Informatica Tech Lead)</v>
      </c>
      <c r="F47" s="41" t="str">
        <f>'Pod Library'!G57</f>
        <v>LEAD</v>
      </c>
      <c r="G47" s="41" t="str">
        <f>'Pod Library'!H57</f>
        <v>E4</v>
      </c>
      <c r="H47" s="41" t="str">
        <f>'Pod Library'!I57</f>
        <v>ON</v>
      </c>
      <c r="I47" s="41" t="str">
        <f>'Pod Library'!J57</f>
        <v>FTC</v>
      </c>
      <c r="J47" s="36">
        <f>'Pod Library'!K57</f>
        <v>1</v>
      </c>
      <c r="K47" s="12">
        <f>SUMIFS('Pod Plan'!$F:$F,'Pod Plan'!$B:$B,$A47,'Pod Plan'!$C:$C,$C47)</f>
        <v>1</v>
      </c>
      <c r="L47" s="42">
        <f t="shared" si="1"/>
        <v>1</v>
      </c>
      <c r="M47" s="42">
        <f>L47*INDEX('Logic Tree'!$J$80:$N$81,MATCH(H47,'Logic Tree'!$I$80:$I$81,0),MATCH(G47,'Logic Tree'!$J$79:$N$79,0))</f>
        <v>1.85</v>
      </c>
    </row>
    <row r="48" spans="1:13" x14ac:dyDescent="0.35">
      <c r="A48" s="26">
        <v>2</v>
      </c>
      <c r="B48" s="30" t="s">
        <v>782</v>
      </c>
      <c r="C48" s="30" t="s">
        <v>347</v>
      </c>
      <c r="D48" s="30" t="s">
        <v>575</v>
      </c>
      <c r="E48" s="40" t="str">
        <f>'Pod Library'!F58</f>
        <v>Data Modeler</v>
      </c>
      <c r="F48" s="41" t="str">
        <f>'Pod Library'!G58</f>
        <v>ENG</v>
      </c>
      <c r="G48" s="41" t="str">
        <f>'Pod Library'!H58</f>
        <v>E4</v>
      </c>
      <c r="H48" s="41" t="str">
        <f>'Pod Library'!I58</f>
        <v>OFF</v>
      </c>
      <c r="I48" s="41" t="str">
        <f>'Pod Library'!J58</f>
        <v>FTC</v>
      </c>
      <c r="J48" s="36">
        <f>'Pod Library'!K58</f>
        <v>1</v>
      </c>
      <c r="K48" s="12">
        <f>SUMIFS('Pod Plan'!$F:$F,'Pod Plan'!$B:$B,$A48,'Pod Plan'!$C:$C,$C48)</f>
        <v>1</v>
      </c>
      <c r="L48" s="42">
        <f t="shared" si="1"/>
        <v>1</v>
      </c>
      <c r="M48" s="42">
        <f>L48*INDEX('Logic Tree'!$J$80:$N$81,MATCH(H48,'Logic Tree'!$I$80:$I$81,0),MATCH(G48,'Logic Tree'!$J$79:$N$79,0))</f>
        <v>0.6</v>
      </c>
    </row>
    <row r="49" spans="1:13" x14ac:dyDescent="0.35">
      <c r="A49" s="26">
        <v>2</v>
      </c>
      <c r="B49" s="30" t="s">
        <v>782</v>
      </c>
      <c r="C49" s="30" t="s">
        <v>347</v>
      </c>
      <c r="D49" s="30" t="s">
        <v>575</v>
      </c>
      <c r="E49" s="40" t="str">
        <f>'Pod Library'!F59</f>
        <v>Business Analyst (bilingual)</v>
      </c>
      <c r="F49" s="41" t="str">
        <f>'Pod Library'!G59</f>
        <v>BA</v>
      </c>
      <c r="G49" s="41" t="str">
        <f>'Pod Library'!H59</f>
        <v>E3</v>
      </c>
      <c r="H49" s="41" t="str">
        <f>'Pod Library'!I59</f>
        <v>ON</v>
      </c>
      <c r="I49" s="41" t="str">
        <f>'Pod Library'!J59</f>
        <v>FTC</v>
      </c>
      <c r="J49" s="36">
        <f>'Pod Library'!K59</f>
        <v>1</v>
      </c>
      <c r="K49" s="12">
        <f>SUMIFS('Pod Plan'!$F:$F,'Pod Plan'!$B:$B,$A49,'Pod Plan'!$C:$C,$C49)</f>
        <v>1</v>
      </c>
      <c r="L49" s="42">
        <f t="shared" si="1"/>
        <v>1</v>
      </c>
      <c r="M49" s="42">
        <f>L49*INDEX('Logic Tree'!$J$80:$N$81,MATCH(H49,'Logic Tree'!$I$80:$I$81,0),MATCH(G49,'Logic Tree'!$J$79:$N$79,0))</f>
        <v>1.35</v>
      </c>
    </row>
    <row r="50" spans="1:13" x14ac:dyDescent="0.35">
      <c r="A50" s="26">
        <v>2</v>
      </c>
      <c r="B50" s="30" t="s">
        <v>782</v>
      </c>
      <c r="C50" s="30" t="s">
        <v>347</v>
      </c>
      <c r="D50" s="30" t="s">
        <v>575</v>
      </c>
      <c r="E50" s="40" t="str">
        <f>'Pod Library'!F60</f>
        <v>Informatica Developer</v>
      </c>
      <c r="F50" s="41" t="str">
        <f>'Pod Library'!G60</f>
        <v>DEV</v>
      </c>
      <c r="G50" s="41" t="str">
        <f>'Pod Library'!H60</f>
        <v>E3</v>
      </c>
      <c r="H50" s="41" t="str">
        <f>'Pod Library'!I60</f>
        <v>OFF</v>
      </c>
      <c r="I50" s="41" t="str">
        <f>'Pod Library'!J60</f>
        <v>FTC</v>
      </c>
      <c r="J50" s="36">
        <f>'Pod Library'!K60</f>
        <v>2</v>
      </c>
      <c r="K50" s="12">
        <f>SUMIFS('Pod Plan'!$F:$F,'Pod Plan'!$B:$B,$A50,'Pod Plan'!$C:$C,$C50)</f>
        <v>1</v>
      </c>
      <c r="L50" s="42">
        <f t="shared" si="1"/>
        <v>2</v>
      </c>
      <c r="M50" s="42">
        <f>L50*INDEX('Logic Tree'!$J$80:$N$81,MATCH(H50,'Logic Tree'!$I$80:$I$81,0),MATCH(G50,'Logic Tree'!$J$79:$N$79,0))</f>
        <v>0.84</v>
      </c>
    </row>
    <row r="51" spans="1:13" x14ac:dyDescent="0.35">
      <c r="A51" s="26">
        <v>2</v>
      </c>
      <c r="B51" s="30" t="s">
        <v>782</v>
      </c>
      <c r="C51" s="30" t="s">
        <v>347</v>
      </c>
      <c r="D51" s="30" t="s">
        <v>575</v>
      </c>
      <c r="E51" s="40" t="str">
        <f>'Pod Library'!F61</f>
        <v>AI-assisted Data Tester</v>
      </c>
      <c r="F51" s="41" t="str">
        <f>'Pod Library'!G61</f>
        <v>TEST</v>
      </c>
      <c r="G51" s="41" t="str">
        <f>'Pod Library'!H61</f>
        <v>E3</v>
      </c>
      <c r="H51" s="41" t="str">
        <f>'Pod Library'!I61</f>
        <v>OFF</v>
      </c>
      <c r="I51" s="41" t="str">
        <f>'Pod Library'!J61</f>
        <v>FTC</v>
      </c>
      <c r="J51" s="36">
        <f>'Pod Library'!K61</f>
        <v>1</v>
      </c>
      <c r="K51" s="12">
        <f>SUMIFS('Pod Plan'!$F:$F,'Pod Plan'!$B:$B,$A51,'Pod Plan'!$C:$C,$C51)</f>
        <v>1</v>
      </c>
      <c r="L51" s="42">
        <f t="shared" si="1"/>
        <v>1</v>
      </c>
      <c r="M51" s="42">
        <f>L51*INDEX('Logic Tree'!$J$80:$N$81,MATCH(H51,'Logic Tree'!$I$80:$I$81,0),MATCH(G51,'Logic Tree'!$J$79:$N$79,0))</f>
        <v>0.42</v>
      </c>
    </row>
    <row r="52" spans="1:13" x14ac:dyDescent="0.35">
      <c r="A52" s="26">
        <v>2</v>
      </c>
      <c r="B52" s="30" t="s">
        <v>782</v>
      </c>
      <c r="C52" s="30" t="s">
        <v>347</v>
      </c>
      <c r="D52" s="30" t="s">
        <v>575</v>
      </c>
      <c r="E52" s="40" t="str">
        <f>'Pod Library'!F62</f>
        <v>L2 Data Support</v>
      </c>
      <c r="F52" s="41" t="str">
        <f>'Pod Library'!G62</f>
        <v>OPS</v>
      </c>
      <c r="G52" s="41" t="str">
        <f>'Pod Library'!H62</f>
        <v>E2</v>
      </c>
      <c r="H52" s="41" t="str">
        <f>'Pod Library'!I62</f>
        <v>OFF</v>
      </c>
      <c r="I52" s="41" t="str">
        <f>'Pod Library'!J62</f>
        <v>FTC</v>
      </c>
      <c r="J52" s="36">
        <f>'Pod Library'!K62</f>
        <v>0</v>
      </c>
      <c r="K52" s="12">
        <f>SUMIFS('Pod Plan'!$F:$F,'Pod Plan'!$B:$B,$A52,'Pod Plan'!$C:$C,$C52)</f>
        <v>1</v>
      </c>
      <c r="L52" s="42">
        <f t="shared" si="1"/>
        <v>0</v>
      </c>
      <c r="M52" s="42">
        <f>L52*INDEX('Logic Tree'!$J$80:$N$81,MATCH(H52,'Logic Tree'!$I$80:$I$81,0),MATCH(G52,'Logic Tree'!$J$79:$N$79,0))</f>
        <v>0</v>
      </c>
    </row>
    <row r="53" spans="1:13" x14ac:dyDescent="0.35">
      <c r="A53" s="26">
        <v>2</v>
      </c>
      <c r="B53" s="30" t="s">
        <v>782</v>
      </c>
      <c r="C53" s="30" t="s">
        <v>480</v>
      </c>
      <c r="D53" s="30" t="s">
        <v>566</v>
      </c>
      <c r="E53" s="40" t="str">
        <f>'Pod Library'!F65</f>
        <v>Product Owner -Azure Data Platform</v>
      </c>
      <c r="F53" s="41" t="str">
        <f>'Pod Library'!G65</f>
        <v>LEAD</v>
      </c>
      <c r="G53" s="41" t="str">
        <f>'Pod Library'!H65</f>
        <v>E4</v>
      </c>
      <c r="H53" s="41" t="str">
        <f>'Pod Library'!I65</f>
        <v>ON</v>
      </c>
      <c r="I53" s="41" t="str">
        <f>'Pod Library'!J65</f>
        <v>FTE</v>
      </c>
      <c r="J53" s="36">
        <f>'Pod Library'!K65</f>
        <v>1</v>
      </c>
      <c r="K53" s="12">
        <f>SUMIFS('Pod Plan'!$E:$E,'Pod Plan'!$B:$B,$A53,'Pod Plan'!$C:$C,$C53)</f>
        <v>3</v>
      </c>
      <c r="L53" s="42">
        <f t="shared" si="1"/>
        <v>3</v>
      </c>
      <c r="M53" s="42">
        <f>L53*INDEX('Logic Tree'!$J$80:$N$81,MATCH(H53,'Logic Tree'!$I$80:$I$81,0),MATCH(G53,'Logic Tree'!$J$79:$N$79,0))</f>
        <v>5.5500000000000007</v>
      </c>
    </row>
    <row r="54" spans="1:13" x14ac:dyDescent="0.35">
      <c r="A54" s="26">
        <v>2</v>
      </c>
      <c r="B54" s="30" t="s">
        <v>782</v>
      </c>
      <c r="C54" s="30" t="s">
        <v>480</v>
      </c>
      <c r="D54" s="30" t="s">
        <v>566</v>
      </c>
      <c r="E54" s="40" t="str">
        <f>'Pod Library'!F66</f>
        <v>Azure Data Architect (MetLife)</v>
      </c>
      <c r="F54" s="41" t="str">
        <f>'Pod Library'!G66</f>
        <v>ENG</v>
      </c>
      <c r="G54" s="41" t="str">
        <f>'Pod Library'!H66</f>
        <v>E5</v>
      </c>
      <c r="H54" s="41" t="str">
        <f>'Pod Library'!I66</f>
        <v>ON</v>
      </c>
      <c r="I54" s="41" t="str">
        <f>'Pod Library'!J66</f>
        <v>FTE</v>
      </c>
      <c r="J54" s="36">
        <f>'Pod Library'!K66</f>
        <v>1</v>
      </c>
      <c r="K54" s="12">
        <f>SUMIFS('Pod Plan'!$E:$E,'Pod Plan'!$B:$B,$A54,'Pod Plan'!$C:$C,$C54)</f>
        <v>3</v>
      </c>
      <c r="L54" s="42">
        <f t="shared" si="1"/>
        <v>3</v>
      </c>
      <c r="M54" s="42">
        <f>L54*INDEX('Logic Tree'!$J$80:$N$81,MATCH(H54,'Logic Tree'!$I$80:$I$81,0),MATCH(G54,'Logic Tree'!$J$79:$N$79,0))</f>
        <v>7.6499999999999995</v>
      </c>
    </row>
    <row r="55" spans="1:13" x14ac:dyDescent="0.35">
      <c r="A55" s="26">
        <v>2</v>
      </c>
      <c r="B55" s="30" t="s">
        <v>782</v>
      </c>
      <c r="C55" s="30" t="s">
        <v>480</v>
      </c>
      <c r="D55" s="30" t="s">
        <v>566</v>
      </c>
      <c r="E55" s="40" t="str">
        <f>'Pod Library'!F67</f>
        <v>BI / Reporting Engineer</v>
      </c>
      <c r="F55" s="41" t="str">
        <f>'Pod Library'!G67</f>
        <v>DEV</v>
      </c>
      <c r="G55" s="41" t="str">
        <f>'Pod Library'!H67</f>
        <v>E3</v>
      </c>
      <c r="H55" s="41" t="str">
        <f>'Pod Library'!I67</f>
        <v>OFF</v>
      </c>
      <c r="I55" s="41" t="str">
        <f>'Pod Library'!J67</f>
        <v>FTC</v>
      </c>
      <c r="J55" s="36">
        <f>'Pod Library'!K67</f>
        <v>1</v>
      </c>
      <c r="K55" s="12">
        <f>SUMIFS('Pod Plan'!$E:$E,'Pod Plan'!$B:$B,$A55,'Pod Plan'!$C:$C,$C55)</f>
        <v>3</v>
      </c>
      <c r="L55" s="42">
        <f t="shared" si="1"/>
        <v>3</v>
      </c>
      <c r="M55" s="42">
        <f>L55*INDEX('Logic Tree'!$J$80:$N$81,MATCH(H55,'Logic Tree'!$I$80:$I$81,0),MATCH(G55,'Logic Tree'!$J$79:$N$79,0))</f>
        <v>1.26</v>
      </c>
    </row>
    <row r="56" spans="1:13" x14ac:dyDescent="0.35">
      <c r="A56" s="26">
        <v>2</v>
      </c>
      <c r="B56" s="30" t="s">
        <v>782</v>
      </c>
      <c r="C56" s="30" t="s">
        <v>480</v>
      </c>
      <c r="D56" s="30" t="s">
        <v>566</v>
      </c>
      <c r="E56" s="40" t="str">
        <f>'Pod Library'!F68</f>
        <v>Synapse Platform Engineer</v>
      </c>
      <c r="F56" s="41" t="str">
        <f>'Pod Library'!G68</f>
        <v>ENG</v>
      </c>
      <c r="G56" s="41" t="str">
        <f>'Pod Library'!H68</f>
        <v>E4</v>
      </c>
      <c r="H56" s="41" t="str">
        <f>'Pod Library'!I68</f>
        <v>OFF</v>
      </c>
      <c r="I56" s="41" t="str">
        <f>'Pod Library'!J68</f>
        <v>MGCC</v>
      </c>
      <c r="J56" s="36">
        <f>'Pod Library'!K68</f>
        <v>1</v>
      </c>
      <c r="K56" s="12">
        <f>SUMIFS('Pod Plan'!$E:$E,'Pod Plan'!$B:$B,$A56,'Pod Plan'!$C:$C,$C56)</f>
        <v>3</v>
      </c>
      <c r="L56" s="42">
        <f t="shared" si="1"/>
        <v>3</v>
      </c>
      <c r="M56" s="42">
        <f>L56*INDEX('Logic Tree'!$J$80:$N$81,MATCH(H56,'Logic Tree'!$I$80:$I$81,0),MATCH(G56,'Logic Tree'!$J$79:$N$79,0))</f>
        <v>1.7999999999999998</v>
      </c>
    </row>
    <row r="57" spans="1:13" x14ac:dyDescent="0.35">
      <c r="A57" s="26">
        <v>2</v>
      </c>
      <c r="B57" s="30" t="s">
        <v>782</v>
      </c>
      <c r="C57" s="30" t="s">
        <v>480</v>
      </c>
      <c r="D57" s="30" t="s">
        <v>566</v>
      </c>
      <c r="E57" s="40" t="str">
        <f>'Pod Library'!F69</f>
        <v>Azure Data Engineer</v>
      </c>
      <c r="F57" s="41" t="str">
        <f>'Pod Library'!G69</f>
        <v>DEV</v>
      </c>
      <c r="G57" s="41" t="str">
        <f>'Pod Library'!H69</f>
        <v>E3</v>
      </c>
      <c r="H57" s="41" t="str">
        <f>'Pod Library'!I69</f>
        <v>OFF</v>
      </c>
      <c r="I57" s="41" t="str">
        <f>'Pod Library'!J69</f>
        <v>MGCC</v>
      </c>
      <c r="J57" s="36">
        <f>'Pod Library'!K69</f>
        <v>1</v>
      </c>
      <c r="K57" s="12">
        <f>SUMIFS('Pod Plan'!$E:$E,'Pod Plan'!$B:$B,$A57,'Pod Plan'!$C:$C,$C57)</f>
        <v>3</v>
      </c>
      <c r="L57" s="42">
        <f t="shared" si="1"/>
        <v>3</v>
      </c>
      <c r="M57" s="42">
        <f>L57*INDEX('Logic Tree'!$J$80:$N$81,MATCH(H57,'Logic Tree'!$I$80:$I$81,0),MATCH(G57,'Logic Tree'!$J$79:$N$79,0))</f>
        <v>1.26</v>
      </c>
    </row>
    <row r="58" spans="1:13" x14ac:dyDescent="0.35">
      <c r="A58" s="26">
        <v>2</v>
      </c>
      <c r="B58" s="30" t="s">
        <v>782</v>
      </c>
      <c r="C58" s="30" t="s">
        <v>480</v>
      </c>
      <c r="D58" s="30" t="s">
        <v>566</v>
      </c>
      <c r="E58" s="40" t="str">
        <f>'Pod Library'!F70</f>
        <v>AI-automation Lead</v>
      </c>
      <c r="F58" s="41" t="str">
        <f>'Pod Library'!G70</f>
        <v>LEAD</v>
      </c>
      <c r="G58" s="41" t="str">
        <f>'Pod Library'!H70</f>
        <v>E4</v>
      </c>
      <c r="H58" s="41" t="str">
        <f>'Pod Library'!I70</f>
        <v>ON</v>
      </c>
      <c r="I58" s="41" t="str">
        <f>'Pod Library'!J70</f>
        <v>FTC</v>
      </c>
      <c r="J58" s="36">
        <f>'Pod Library'!K70</f>
        <v>1</v>
      </c>
      <c r="K58" s="12">
        <f>SUMIFS('Pod Plan'!$E:$E,'Pod Plan'!$B:$B,$A58,'Pod Plan'!$C:$C,$C58)</f>
        <v>3</v>
      </c>
      <c r="L58" s="42">
        <f t="shared" si="1"/>
        <v>3</v>
      </c>
      <c r="M58" s="42">
        <f>L58*INDEX('Logic Tree'!$J$80:$N$81,MATCH(H58,'Logic Tree'!$I$80:$I$81,0),MATCH(G58,'Logic Tree'!$J$79:$N$79,0))</f>
        <v>5.5500000000000007</v>
      </c>
    </row>
    <row r="59" spans="1:13" x14ac:dyDescent="0.35">
      <c r="A59" s="26">
        <v>2</v>
      </c>
      <c r="B59" s="30" t="s">
        <v>782</v>
      </c>
      <c r="C59" s="30" t="s">
        <v>480</v>
      </c>
      <c r="D59" s="30" t="s">
        <v>566</v>
      </c>
      <c r="E59" s="40" t="str">
        <f>'Pod Library'!F71</f>
        <v>AI-assisted Data Engineer</v>
      </c>
      <c r="F59" s="41" t="str">
        <f>'Pod Library'!G71</f>
        <v>DEV</v>
      </c>
      <c r="G59" s="41" t="str">
        <f>'Pod Library'!H71</f>
        <v>E3</v>
      </c>
      <c r="H59" s="41" t="str">
        <f>'Pod Library'!I71</f>
        <v>OFF</v>
      </c>
      <c r="I59" s="41" t="str">
        <f>'Pod Library'!J71</f>
        <v>FTC</v>
      </c>
      <c r="J59" s="36">
        <f>'Pod Library'!K71</f>
        <v>1</v>
      </c>
      <c r="K59" s="12">
        <f>SUMIFS('Pod Plan'!$E:$E,'Pod Plan'!$B:$B,$A59,'Pod Plan'!$C:$C,$C59)</f>
        <v>3</v>
      </c>
      <c r="L59" s="42">
        <f t="shared" si="1"/>
        <v>3</v>
      </c>
      <c r="M59" s="42">
        <f>L59*INDEX('Logic Tree'!$J$80:$N$81,MATCH(H59,'Logic Tree'!$I$80:$I$81,0),MATCH(G59,'Logic Tree'!$J$79:$N$79,0))</f>
        <v>1.26</v>
      </c>
    </row>
    <row r="60" spans="1:13" x14ac:dyDescent="0.35">
      <c r="A60" s="26">
        <v>2</v>
      </c>
      <c r="B60" s="30" t="s">
        <v>782</v>
      </c>
      <c r="C60" s="30" t="s">
        <v>480</v>
      </c>
      <c r="D60" s="30" t="s">
        <v>575</v>
      </c>
      <c r="E60" s="40" t="str">
        <f>'Pod Library'!F74</f>
        <v>Product Owner -Azure Data Platform (shared 0.5)</v>
      </c>
      <c r="F60" s="41" t="str">
        <f>'Pod Library'!G74</f>
        <v>LEAD</v>
      </c>
      <c r="G60" s="41" t="str">
        <f>'Pod Library'!H74</f>
        <v>E4</v>
      </c>
      <c r="H60" s="41" t="str">
        <f>'Pod Library'!I74</f>
        <v>ON</v>
      </c>
      <c r="I60" s="41" t="str">
        <f>'Pod Library'!J74</f>
        <v>FTE</v>
      </c>
      <c r="J60" s="36">
        <f>'Pod Library'!K74</f>
        <v>0.5</v>
      </c>
      <c r="K60" s="12">
        <f>SUMIFS('Pod Plan'!$F:$F,'Pod Plan'!$B:$B,$A60,'Pod Plan'!$C:$C,$C60)</f>
        <v>2</v>
      </c>
      <c r="L60" s="42">
        <f t="shared" si="1"/>
        <v>1</v>
      </c>
      <c r="M60" s="42">
        <f>L60*INDEX('Logic Tree'!$J$80:$N$81,MATCH(H60,'Logic Tree'!$I$80:$I$81,0),MATCH(G60,'Logic Tree'!$J$79:$N$79,0))</f>
        <v>1.85</v>
      </c>
    </row>
    <row r="61" spans="1:13" x14ac:dyDescent="0.35">
      <c r="A61" s="26">
        <v>2</v>
      </c>
      <c r="B61" s="30" t="s">
        <v>782</v>
      </c>
      <c r="C61" s="30" t="s">
        <v>480</v>
      </c>
      <c r="D61" s="30" t="s">
        <v>575</v>
      </c>
      <c r="E61" s="40" t="str">
        <f>'Pod Library'!F75</f>
        <v>Azure Data Architect (MetLife)- shared</v>
      </c>
      <c r="F61" s="41" t="str">
        <f>'Pod Library'!G75</f>
        <v>ENG</v>
      </c>
      <c r="G61" s="41" t="str">
        <f>'Pod Library'!H75</f>
        <v>E5</v>
      </c>
      <c r="H61" s="41" t="str">
        <f>'Pod Library'!I75</f>
        <v>ON</v>
      </c>
      <c r="I61" s="41" t="str">
        <f>'Pod Library'!J75</f>
        <v>FTE</v>
      </c>
      <c r="J61" s="36">
        <f>'Pod Library'!K75</f>
        <v>0.5</v>
      </c>
      <c r="K61" s="12">
        <f>SUMIFS('Pod Plan'!$F:$F,'Pod Plan'!$B:$B,$A61,'Pod Plan'!$C:$C,$C61)</f>
        <v>2</v>
      </c>
      <c r="L61" s="42">
        <f t="shared" si="1"/>
        <v>1</v>
      </c>
      <c r="M61" s="42">
        <f>L61*INDEX('Logic Tree'!$J$80:$N$81,MATCH(H61,'Logic Tree'!$I$80:$I$81,0),MATCH(G61,'Logic Tree'!$J$79:$N$79,0))</f>
        <v>2.5499999999999998</v>
      </c>
    </row>
    <row r="62" spans="1:13" x14ac:dyDescent="0.35">
      <c r="A62" s="26">
        <v>2</v>
      </c>
      <c r="B62" s="30" t="s">
        <v>782</v>
      </c>
      <c r="C62" s="30" t="s">
        <v>480</v>
      </c>
      <c r="D62" s="30" t="s">
        <v>575</v>
      </c>
      <c r="E62" s="40" t="str">
        <f>'Pod Library'!F76</f>
        <v>Pod Delivery Lead ( Azure Data Engineering)</v>
      </c>
      <c r="F62" s="41" t="str">
        <f>'Pod Library'!G76</f>
        <v>LEAD</v>
      </c>
      <c r="G62" s="41" t="str">
        <f>'Pod Library'!H76</f>
        <v>E4</v>
      </c>
      <c r="H62" s="41" t="str">
        <f>'Pod Library'!I76</f>
        <v>ON</v>
      </c>
      <c r="I62" s="41" t="str">
        <f>'Pod Library'!J76</f>
        <v>FTC</v>
      </c>
      <c r="J62" s="36">
        <f>'Pod Library'!K76</f>
        <v>1</v>
      </c>
      <c r="K62" s="12">
        <f>SUMIFS('Pod Plan'!$F:$F,'Pod Plan'!$B:$B,$A62,'Pod Plan'!$C:$C,$C62)</f>
        <v>2</v>
      </c>
      <c r="L62" s="42">
        <f t="shared" si="1"/>
        <v>2</v>
      </c>
      <c r="M62" s="42">
        <f>L62*INDEX('Logic Tree'!$J$80:$N$81,MATCH(H62,'Logic Tree'!$I$80:$I$81,0),MATCH(G62,'Logic Tree'!$J$79:$N$79,0))</f>
        <v>3.7</v>
      </c>
    </row>
    <row r="63" spans="1:13" x14ac:dyDescent="0.35">
      <c r="A63" s="26">
        <v>2</v>
      </c>
      <c r="B63" s="30" t="s">
        <v>782</v>
      </c>
      <c r="C63" s="30" t="s">
        <v>480</v>
      </c>
      <c r="D63" s="30" t="s">
        <v>575</v>
      </c>
      <c r="E63" s="40" t="str">
        <f>'Pod Library'!F77</f>
        <v>AI-automation Lead</v>
      </c>
      <c r="F63" s="41" t="str">
        <f>'Pod Library'!G77</f>
        <v>ENG</v>
      </c>
      <c r="G63" s="41" t="str">
        <f>'Pod Library'!H77</f>
        <v>E4</v>
      </c>
      <c r="H63" s="41" t="str">
        <f>'Pod Library'!I77</f>
        <v>ON</v>
      </c>
      <c r="I63" s="41" t="str">
        <f>'Pod Library'!J77</f>
        <v>FTC</v>
      </c>
      <c r="J63" s="36">
        <f>'Pod Library'!K77</f>
        <v>1</v>
      </c>
      <c r="K63" s="12">
        <f>SUMIFS('Pod Plan'!$F:$F,'Pod Plan'!$B:$B,$A63,'Pod Plan'!$C:$C,$C63)</f>
        <v>2</v>
      </c>
      <c r="L63" s="42">
        <f t="shared" si="1"/>
        <v>2</v>
      </c>
      <c r="M63" s="42">
        <f>L63*INDEX('Logic Tree'!$J$80:$N$81,MATCH(H63,'Logic Tree'!$I$80:$I$81,0),MATCH(G63,'Logic Tree'!$J$79:$N$79,0))</f>
        <v>3.7</v>
      </c>
    </row>
    <row r="64" spans="1:13" x14ac:dyDescent="0.35">
      <c r="A64" s="26">
        <v>2</v>
      </c>
      <c r="B64" s="30" t="s">
        <v>782</v>
      </c>
      <c r="C64" s="30" t="s">
        <v>480</v>
      </c>
      <c r="D64" s="30" t="s">
        <v>575</v>
      </c>
      <c r="E64" s="40" t="str">
        <f>'Pod Library'!F78</f>
        <v>Business Analyst (bilingual)</v>
      </c>
      <c r="F64" s="41" t="str">
        <f>'Pod Library'!G78</f>
        <v>BA</v>
      </c>
      <c r="G64" s="41" t="str">
        <f>'Pod Library'!H78</f>
        <v>E3</v>
      </c>
      <c r="H64" s="41" t="str">
        <f>'Pod Library'!I78</f>
        <v>ON</v>
      </c>
      <c r="I64" s="41" t="str">
        <f>'Pod Library'!J78</f>
        <v>FTC</v>
      </c>
      <c r="J64" s="36">
        <f>'Pod Library'!K78</f>
        <v>1</v>
      </c>
      <c r="K64" s="12">
        <f>SUMIFS('Pod Plan'!$F:$F,'Pod Plan'!$B:$B,$A64,'Pod Plan'!$C:$C,$C64)</f>
        <v>2</v>
      </c>
      <c r="L64" s="42">
        <f t="shared" si="1"/>
        <v>2</v>
      </c>
      <c r="M64" s="42">
        <f>L64*INDEX('Logic Tree'!$J$80:$N$81,MATCH(H64,'Logic Tree'!$I$80:$I$81,0),MATCH(G64,'Logic Tree'!$J$79:$N$79,0))</f>
        <v>2.7</v>
      </c>
    </row>
    <row r="65" spans="1:13" x14ac:dyDescent="0.35">
      <c r="A65" s="26">
        <v>2</v>
      </c>
      <c r="B65" s="30" t="s">
        <v>782</v>
      </c>
      <c r="C65" s="30" t="s">
        <v>480</v>
      </c>
      <c r="D65" s="30" t="s">
        <v>575</v>
      </c>
      <c r="E65" s="40" t="str">
        <f>'Pod Library'!F79</f>
        <v>AI-assisted Data Engineer</v>
      </c>
      <c r="F65" s="41" t="str">
        <f>'Pod Library'!G79</f>
        <v>DEV</v>
      </c>
      <c r="G65" s="41" t="str">
        <f>'Pod Library'!H79</f>
        <v>E3</v>
      </c>
      <c r="H65" s="41" t="str">
        <f>'Pod Library'!I79</f>
        <v>OFF</v>
      </c>
      <c r="I65" s="41" t="str">
        <f>'Pod Library'!J79</f>
        <v>FTC</v>
      </c>
      <c r="J65" s="36">
        <f>'Pod Library'!K79</f>
        <v>2</v>
      </c>
      <c r="K65" s="12">
        <f>SUMIFS('Pod Plan'!$F:$F,'Pod Plan'!$B:$B,$A65,'Pod Plan'!$C:$C,$C65)</f>
        <v>2</v>
      </c>
      <c r="L65" s="42">
        <f t="shared" si="1"/>
        <v>4</v>
      </c>
      <c r="M65" s="42">
        <f>L65*INDEX('Logic Tree'!$J$80:$N$81,MATCH(H65,'Logic Tree'!$I$80:$I$81,0),MATCH(G65,'Logic Tree'!$J$79:$N$79,0))</f>
        <v>1.68</v>
      </c>
    </row>
    <row r="66" spans="1:13" x14ac:dyDescent="0.35">
      <c r="A66" s="26">
        <v>2</v>
      </c>
      <c r="B66" s="30" t="s">
        <v>782</v>
      </c>
      <c r="C66" s="30" t="s">
        <v>480</v>
      </c>
      <c r="D66" s="30" t="s">
        <v>575</v>
      </c>
      <c r="E66" s="40" t="str">
        <f>'Pod Library'!F80</f>
        <v>BI / Reporting Engineer</v>
      </c>
      <c r="F66" s="41" t="str">
        <f>'Pod Library'!G80</f>
        <v>DEV</v>
      </c>
      <c r="G66" s="41" t="str">
        <f>'Pod Library'!H80</f>
        <v>E3</v>
      </c>
      <c r="H66" s="41" t="str">
        <f>'Pod Library'!I80</f>
        <v>OFF</v>
      </c>
      <c r="I66" s="41" t="str">
        <f>'Pod Library'!J80</f>
        <v>FTC</v>
      </c>
      <c r="J66" s="36">
        <f>'Pod Library'!K80</f>
        <v>1</v>
      </c>
      <c r="K66" s="12">
        <f>SUMIFS('Pod Plan'!$F:$F,'Pod Plan'!$B:$B,$A66,'Pod Plan'!$C:$C,$C66)</f>
        <v>2</v>
      </c>
      <c r="L66" s="42">
        <f t="shared" si="1"/>
        <v>2</v>
      </c>
      <c r="M66" s="42">
        <f>L66*INDEX('Logic Tree'!$J$80:$N$81,MATCH(H66,'Logic Tree'!$I$80:$I$81,0),MATCH(G66,'Logic Tree'!$J$79:$N$79,0))</f>
        <v>0.84</v>
      </c>
    </row>
    <row r="67" spans="1:13" x14ac:dyDescent="0.35">
      <c r="A67" s="26">
        <v>2</v>
      </c>
      <c r="B67" s="30" t="s">
        <v>782</v>
      </c>
      <c r="C67" s="30" t="s">
        <v>480</v>
      </c>
      <c r="D67" s="30" t="s">
        <v>575</v>
      </c>
      <c r="E67" s="40" t="str">
        <f>'Pod Library'!F81</f>
        <v>AI-assisted Data Tester</v>
      </c>
      <c r="F67" s="41" t="str">
        <f>'Pod Library'!G81</f>
        <v>TEST</v>
      </c>
      <c r="G67" s="41" t="str">
        <f>'Pod Library'!H81</f>
        <v>E3</v>
      </c>
      <c r="H67" s="41" t="str">
        <f>'Pod Library'!I81</f>
        <v>OFF</v>
      </c>
      <c r="I67" s="41" t="str">
        <f>'Pod Library'!J81</f>
        <v>FTC</v>
      </c>
      <c r="J67" s="36">
        <f>'Pod Library'!K81</f>
        <v>1</v>
      </c>
      <c r="K67" s="12">
        <f>SUMIFS('Pod Plan'!$F:$F,'Pod Plan'!$B:$B,$A67,'Pod Plan'!$C:$C,$C67)</f>
        <v>2</v>
      </c>
      <c r="L67" s="42">
        <f t="shared" si="1"/>
        <v>2</v>
      </c>
      <c r="M67" s="42">
        <f>L67*INDEX('Logic Tree'!$J$80:$N$81,MATCH(H67,'Logic Tree'!$I$80:$I$81,0),MATCH(G67,'Logic Tree'!$J$79:$N$79,0))</f>
        <v>0.84</v>
      </c>
    </row>
    <row r="68" spans="1:13" hidden="1" x14ac:dyDescent="0.35">
      <c r="A68" s="26">
        <v>3</v>
      </c>
      <c r="B68" s="30" t="s">
        <v>782</v>
      </c>
      <c r="C68" s="30" t="s">
        <v>347</v>
      </c>
      <c r="D68" s="30" t="s">
        <v>566</v>
      </c>
      <c r="E68" s="40" t="str">
        <f>'Pod Library'!F84</f>
        <v>Product Owner — Informatica Data Platform</v>
      </c>
      <c r="F68" s="41" t="str">
        <f>'Pod Library'!G84</f>
        <v>LEAD</v>
      </c>
      <c r="G68" s="41" t="str">
        <f>'Pod Library'!H84</f>
        <v>E4</v>
      </c>
      <c r="H68" s="41" t="str">
        <f>'Pod Library'!I84</f>
        <v>ON</v>
      </c>
      <c r="I68" s="41" t="str">
        <f>'Pod Library'!J84</f>
        <v>FTE</v>
      </c>
      <c r="J68" s="36">
        <f>'Pod Library'!K84</f>
        <v>0</v>
      </c>
      <c r="K68" s="12">
        <f>SUMIFS('Pod Plan'!$E:$E,'Pod Plan'!$B:$B,$A68,'Pod Plan'!$C:$C,$C68)</f>
        <v>0</v>
      </c>
      <c r="L68" s="42">
        <f t="shared" si="1"/>
        <v>0</v>
      </c>
      <c r="M68" s="42">
        <f>L68*INDEX('Logic Tree'!$J$80:$N$81,MATCH(H68,'Logic Tree'!$I$80:$I$81,0),MATCH(G68,'Logic Tree'!$J$79:$N$79,0))</f>
        <v>0</v>
      </c>
    </row>
    <row r="69" spans="1:13" hidden="1" x14ac:dyDescent="0.35">
      <c r="A69" s="26">
        <v>3</v>
      </c>
      <c r="B69" s="30" t="s">
        <v>782</v>
      </c>
      <c r="C69" s="30" t="s">
        <v>347</v>
      </c>
      <c r="D69" s="30" t="s">
        <v>566</v>
      </c>
      <c r="E69" s="40" t="str">
        <f>'Pod Library'!F85</f>
        <v>Data Domain SME</v>
      </c>
      <c r="F69" s="41" t="str">
        <f>'Pod Library'!G85</f>
        <v>BA</v>
      </c>
      <c r="G69" s="41" t="str">
        <f>'Pod Library'!H85</f>
        <v>E4</v>
      </c>
      <c r="H69" s="41" t="str">
        <f>'Pod Library'!I85</f>
        <v>ON</v>
      </c>
      <c r="I69" s="41" t="str">
        <f>'Pod Library'!J85</f>
        <v>FTE</v>
      </c>
      <c r="J69" s="36">
        <f>'Pod Library'!K85</f>
        <v>0</v>
      </c>
      <c r="K69" s="12">
        <f>SUMIFS('Pod Plan'!$E:$E,'Pod Plan'!$B:$B,$A69,'Pod Plan'!$C:$C,$C69)</f>
        <v>0</v>
      </c>
      <c r="L69" s="42">
        <f t="shared" ref="L69:L102" si="2">J69*K69</f>
        <v>0</v>
      </c>
      <c r="M69" s="42">
        <f>L69*INDEX('Logic Tree'!$J$80:$N$81,MATCH(H69,'Logic Tree'!$I$80:$I$81,0),MATCH(G69,'Logic Tree'!$J$79:$N$79,0))</f>
        <v>0</v>
      </c>
    </row>
    <row r="70" spans="1:13" hidden="1" x14ac:dyDescent="0.35">
      <c r="A70" s="26">
        <v>3</v>
      </c>
      <c r="B70" s="30" t="s">
        <v>782</v>
      </c>
      <c r="C70" s="30" t="s">
        <v>347</v>
      </c>
      <c r="D70" s="30" t="s">
        <v>566</v>
      </c>
      <c r="E70" s="40" t="str">
        <f>'Pod Library'!F86</f>
        <v>Data Modeler</v>
      </c>
      <c r="F70" s="41" t="str">
        <f>'Pod Library'!G86</f>
        <v>ENG</v>
      </c>
      <c r="G70" s="41" t="str">
        <f>'Pod Library'!H86</f>
        <v>E4</v>
      </c>
      <c r="H70" s="41" t="str">
        <f>'Pod Library'!I86</f>
        <v>OFF</v>
      </c>
      <c r="I70" s="41" t="str">
        <f>'Pod Library'!J86</f>
        <v>MGCC</v>
      </c>
      <c r="J70" s="36">
        <f>'Pod Library'!K86</f>
        <v>0</v>
      </c>
      <c r="K70" s="12">
        <f>SUMIFS('Pod Plan'!$E:$E,'Pod Plan'!$B:$B,$A70,'Pod Plan'!$C:$C,$C70)</f>
        <v>0</v>
      </c>
      <c r="L70" s="42">
        <f t="shared" si="2"/>
        <v>0</v>
      </c>
      <c r="M70" s="42">
        <f>L70*INDEX('Logic Tree'!$J$80:$N$81,MATCH(H70,'Logic Tree'!$I$80:$I$81,0),MATCH(G70,'Logic Tree'!$J$79:$N$79,0))</f>
        <v>0</v>
      </c>
    </row>
    <row r="71" spans="1:13" hidden="1" x14ac:dyDescent="0.35">
      <c r="A71" s="26">
        <v>3</v>
      </c>
      <c r="B71" s="30" t="s">
        <v>782</v>
      </c>
      <c r="C71" s="30" t="s">
        <v>347</v>
      </c>
      <c r="D71" s="30" t="s">
        <v>566</v>
      </c>
      <c r="E71" s="40" t="str">
        <f>'Pod Library'!F87</f>
        <v>Informatica Engineer</v>
      </c>
      <c r="F71" s="41" t="str">
        <f>'Pod Library'!G87</f>
        <v>DEV</v>
      </c>
      <c r="G71" s="41" t="str">
        <f>'Pod Library'!H87</f>
        <v>E3</v>
      </c>
      <c r="H71" s="41" t="str">
        <f>'Pod Library'!I87</f>
        <v>OFF</v>
      </c>
      <c r="I71" s="41" t="str">
        <f>'Pod Library'!J87</f>
        <v>MGCC</v>
      </c>
      <c r="J71" s="36">
        <f>'Pod Library'!K87</f>
        <v>0</v>
      </c>
      <c r="K71" s="12">
        <f>SUMIFS('Pod Plan'!$E:$E,'Pod Plan'!$B:$B,$A71,'Pod Plan'!$C:$C,$C71)</f>
        <v>0</v>
      </c>
      <c r="L71" s="42">
        <f t="shared" si="2"/>
        <v>0</v>
      </c>
      <c r="M71" s="42">
        <f>L71*INDEX('Logic Tree'!$J$80:$N$81,MATCH(H71,'Logic Tree'!$I$80:$I$81,0),MATCH(G71,'Logic Tree'!$J$79:$N$79,0))</f>
        <v>0</v>
      </c>
    </row>
    <row r="72" spans="1:13" hidden="1" x14ac:dyDescent="0.35">
      <c r="A72" s="26">
        <v>3</v>
      </c>
      <c r="B72" s="30" t="s">
        <v>782</v>
      </c>
      <c r="C72" s="30" t="s">
        <v>347</v>
      </c>
      <c r="D72" s="30" t="s">
        <v>566</v>
      </c>
      <c r="E72" s="40" t="str">
        <f>'Pod Library'!F88</f>
        <v>Pod Delivery Lead (Informatica Tech Lead)</v>
      </c>
      <c r="F72" s="41" t="str">
        <f>'Pod Library'!G88</f>
        <v>LEAD</v>
      </c>
      <c r="G72" s="41" t="str">
        <f>'Pod Library'!H88</f>
        <v>E4</v>
      </c>
      <c r="H72" s="41" t="str">
        <f>'Pod Library'!I88</f>
        <v>OFF</v>
      </c>
      <c r="I72" s="41" t="str">
        <f>'Pod Library'!J88</f>
        <v>FTC</v>
      </c>
      <c r="J72" s="36">
        <f>'Pod Library'!K88</f>
        <v>0</v>
      </c>
      <c r="K72" s="12">
        <f>SUMIFS('Pod Plan'!$E:$E,'Pod Plan'!$B:$B,$A72,'Pod Plan'!$C:$C,$C72)</f>
        <v>0</v>
      </c>
      <c r="L72" s="42">
        <f t="shared" si="2"/>
        <v>0</v>
      </c>
      <c r="M72" s="42">
        <f>L72*INDEX('Logic Tree'!$J$80:$N$81,MATCH(H72,'Logic Tree'!$I$80:$I$81,0),MATCH(G72,'Logic Tree'!$J$79:$N$79,0))</f>
        <v>0</v>
      </c>
    </row>
    <row r="73" spans="1:13" hidden="1" x14ac:dyDescent="0.35">
      <c r="A73" s="26">
        <v>3</v>
      </c>
      <c r="B73" s="30" t="s">
        <v>782</v>
      </c>
      <c r="C73" s="30" t="s">
        <v>347</v>
      </c>
      <c r="D73" s="30" t="s">
        <v>566</v>
      </c>
      <c r="E73" s="40" t="str">
        <f>'Pod Library'!F89</f>
        <v>Informatica Engineer</v>
      </c>
      <c r="F73" s="41" t="str">
        <f>'Pod Library'!G89</f>
        <v>DEV</v>
      </c>
      <c r="G73" s="41" t="str">
        <f>'Pod Library'!H89</f>
        <v>E3</v>
      </c>
      <c r="H73" s="41" t="str">
        <f>'Pod Library'!I89</f>
        <v>OFF</v>
      </c>
      <c r="I73" s="41" t="str">
        <f>'Pod Library'!J89</f>
        <v>FTC</v>
      </c>
      <c r="J73" s="36">
        <f>'Pod Library'!K89</f>
        <v>0</v>
      </c>
      <c r="K73" s="12">
        <f>SUMIFS('Pod Plan'!$E:$E,'Pod Plan'!$B:$B,$A73,'Pod Plan'!$C:$C,$C73)</f>
        <v>0</v>
      </c>
      <c r="L73" s="42">
        <f t="shared" si="2"/>
        <v>0</v>
      </c>
      <c r="M73" s="42">
        <f>L73*INDEX('Logic Tree'!$J$80:$N$81,MATCH(H73,'Logic Tree'!$I$80:$I$81,0),MATCH(G73,'Logic Tree'!$J$79:$N$79,0))</f>
        <v>0</v>
      </c>
    </row>
    <row r="74" spans="1:13" hidden="1" x14ac:dyDescent="0.35">
      <c r="A74" s="26">
        <v>3</v>
      </c>
      <c r="B74" s="30" t="s">
        <v>782</v>
      </c>
      <c r="C74" s="30" t="s">
        <v>347</v>
      </c>
      <c r="D74" s="30" t="s">
        <v>575</v>
      </c>
      <c r="E74" s="40" t="str">
        <f>'Pod Library'!F92</f>
        <v>Product Owner</v>
      </c>
      <c r="F74" s="41" t="str">
        <f>'Pod Library'!G92</f>
        <v>LEAD</v>
      </c>
      <c r="G74" s="41" t="str">
        <f>'Pod Library'!H92</f>
        <v>E4</v>
      </c>
      <c r="H74" s="41" t="str">
        <f>'Pod Library'!I92</f>
        <v>ON</v>
      </c>
      <c r="I74" s="41" t="str">
        <f>'Pod Library'!J92</f>
        <v>FTE</v>
      </c>
      <c r="J74" s="36">
        <f>'Pod Library'!K92</f>
        <v>0</v>
      </c>
      <c r="K74" s="12">
        <f>SUMIFS('Pod Plan'!$F:$F,'Pod Plan'!$B:$B,$A74,'Pod Plan'!$C:$C,$C74)</f>
        <v>0</v>
      </c>
      <c r="L74" s="42">
        <f t="shared" si="2"/>
        <v>0</v>
      </c>
      <c r="M74" s="42">
        <f>L74*INDEX('Logic Tree'!$J$80:$N$81,MATCH(H74,'Logic Tree'!$I$80:$I$81,0),MATCH(G74,'Logic Tree'!$J$79:$N$79,0))</f>
        <v>0</v>
      </c>
    </row>
    <row r="75" spans="1:13" hidden="1" x14ac:dyDescent="0.35">
      <c r="A75" s="26">
        <v>3</v>
      </c>
      <c r="B75" s="30" t="s">
        <v>782</v>
      </c>
      <c r="C75" s="30" t="s">
        <v>347</v>
      </c>
      <c r="D75" s="30" t="s">
        <v>575</v>
      </c>
      <c r="E75" s="40" t="str">
        <f>'Pod Library'!F93</f>
        <v>Pod Delivery Lead (Informatica Tech Lead)</v>
      </c>
      <c r="F75" s="41" t="str">
        <f>'Pod Library'!G93</f>
        <v>LEAD</v>
      </c>
      <c r="G75" s="41" t="str">
        <f>'Pod Library'!H93</f>
        <v>E4</v>
      </c>
      <c r="H75" s="41" t="str">
        <f>'Pod Library'!I93</f>
        <v>OFF</v>
      </c>
      <c r="I75" s="41" t="str">
        <f>'Pod Library'!J93</f>
        <v>FTC</v>
      </c>
      <c r="J75" s="36">
        <f>'Pod Library'!K93</f>
        <v>0</v>
      </c>
      <c r="K75" s="12">
        <f>SUMIFS('Pod Plan'!$F:$F,'Pod Plan'!$B:$B,$A75,'Pod Plan'!$C:$C,$C75)</f>
        <v>0</v>
      </c>
      <c r="L75" s="42">
        <f t="shared" si="2"/>
        <v>0</v>
      </c>
      <c r="M75" s="42">
        <f>L75*INDEX('Logic Tree'!$J$80:$N$81,MATCH(H75,'Logic Tree'!$I$80:$I$81,0),MATCH(G75,'Logic Tree'!$J$79:$N$79,0))</f>
        <v>0</v>
      </c>
    </row>
    <row r="76" spans="1:13" hidden="1" x14ac:dyDescent="0.35">
      <c r="A76" s="26">
        <v>3</v>
      </c>
      <c r="B76" s="30" t="s">
        <v>782</v>
      </c>
      <c r="C76" s="30" t="s">
        <v>347</v>
      </c>
      <c r="D76" s="30" t="s">
        <v>575</v>
      </c>
      <c r="E76" s="40" t="str">
        <f>'Pod Library'!F94</f>
        <v>Business Analyst (bilingual)</v>
      </c>
      <c r="F76" s="41" t="str">
        <f>'Pod Library'!G94</f>
        <v>BA</v>
      </c>
      <c r="G76" s="41" t="str">
        <f>'Pod Library'!H94</f>
        <v>E3</v>
      </c>
      <c r="H76" s="41" t="str">
        <f>'Pod Library'!I94</f>
        <v>ON</v>
      </c>
      <c r="I76" s="41" t="str">
        <f>'Pod Library'!J94</f>
        <v>FTC</v>
      </c>
      <c r="J76" s="36">
        <f>'Pod Library'!K94</f>
        <v>0</v>
      </c>
      <c r="K76" s="12">
        <f>SUMIFS('Pod Plan'!$F:$F,'Pod Plan'!$B:$B,$A76,'Pod Plan'!$C:$C,$C76)</f>
        <v>0</v>
      </c>
      <c r="L76" s="42">
        <f t="shared" si="2"/>
        <v>0</v>
      </c>
      <c r="M76" s="42">
        <f>L76*INDEX('Logic Tree'!$J$80:$N$81,MATCH(H76,'Logic Tree'!$I$80:$I$81,0),MATCH(G76,'Logic Tree'!$J$79:$N$79,0))</f>
        <v>0</v>
      </c>
    </row>
    <row r="77" spans="1:13" hidden="1" x14ac:dyDescent="0.35">
      <c r="A77" s="26">
        <v>3</v>
      </c>
      <c r="B77" s="30" t="s">
        <v>782</v>
      </c>
      <c r="C77" s="30" t="s">
        <v>347</v>
      </c>
      <c r="D77" s="30" t="s">
        <v>575</v>
      </c>
      <c r="E77" s="40" t="str">
        <f>'Pod Library'!F95</f>
        <v>AI automation Lead</v>
      </c>
      <c r="F77" s="41" t="str">
        <f>'Pod Library'!G95</f>
        <v>ENG</v>
      </c>
      <c r="G77" s="41" t="str">
        <f>'Pod Library'!H95</f>
        <v>E4</v>
      </c>
      <c r="H77" s="41" t="str">
        <f>'Pod Library'!I95</f>
        <v>OFF</v>
      </c>
      <c r="I77" s="41" t="str">
        <f>'Pod Library'!J95</f>
        <v>FTC</v>
      </c>
      <c r="J77" s="36">
        <f>'Pod Library'!K95</f>
        <v>0</v>
      </c>
      <c r="K77" s="12">
        <f>SUMIFS('Pod Plan'!$F:$F,'Pod Plan'!$B:$B,$A77,'Pod Plan'!$C:$C,$C77)</f>
        <v>0</v>
      </c>
      <c r="L77" s="42">
        <f t="shared" si="2"/>
        <v>0</v>
      </c>
      <c r="M77" s="42">
        <f>L77*INDEX('Logic Tree'!$J$80:$N$81,MATCH(H77,'Logic Tree'!$I$80:$I$81,0),MATCH(G77,'Logic Tree'!$J$79:$N$79,0))</f>
        <v>0</v>
      </c>
    </row>
    <row r="78" spans="1:13" hidden="1" x14ac:dyDescent="0.35">
      <c r="A78" s="26">
        <v>3</v>
      </c>
      <c r="B78" s="30" t="s">
        <v>782</v>
      </c>
      <c r="C78" s="30" t="s">
        <v>347</v>
      </c>
      <c r="D78" s="30" t="s">
        <v>575</v>
      </c>
      <c r="E78" s="40" t="str">
        <f>'Pod Library'!F96</f>
        <v>Informatica Engineer</v>
      </c>
      <c r="F78" s="41" t="str">
        <f>'Pod Library'!G96</f>
        <v>DEV</v>
      </c>
      <c r="G78" s="41" t="str">
        <f>'Pod Library'!H96</f>
        <v>E3</v>
      </c>
      <c r="H78" s="41" t="str">
        <f>'Pod Library'!I96</f>
        <v>OFF</v>
      </c>
      <c r="I78" s="41" t="str">
        <f>'Pod Library'!J96</f>
        <v>FTC</v>
      </c>
      <c r="J78" s="36">
        <f>'Pod Library'!K96</f>
        <v>0</v>
      </c>
      <c r="K78" s="12">
        <f>SUMIFS('Pod Plan'!$F:$F,'Pod Plan'!$B:$B,$A78,'Pod Plan'!$C:$C,$C78)</f>
        <v>0</v>
      </c>
      <c r="L78" s="42">
        <f t="shared" si="2"/>
        <v>0</v>
      </c>
      <c r="M78" s="42">
        <f>L78*INDEX('Logic Tree'!$J$80:$N$81,MATCH(H78,'Logic Tree'!$I$80:$I$81,0),MATCH(G78,'Logic Tree'!$J$79:$N$79,0))</f>
        <v>0</v>
      </c>
    </row>
    <row r="79" spans="1:13" hidden="1" x14ac:dyDescent="0.35">
      <c r="A79" s="26">
        <v>3</v>
      </c>
      <c r="B79" s="30" t="s">
        <v>782</v>
      </c>
      <c r="C79" s="30" t="s">
        <v>347</v>
      </c>
      <c r="D79" s="30" t="s">
        <v>575</v>
      </c>
      <c r="E79" s="40" t="str">
        <f>'Pod Library'!F97</f>
        <v>AI-assisted Data Tester</v>
      </c>
      <c r="F79" s="41" t="str">
        <f>'Pod Library'!G97</f>
        <v>TEST</v>
      </c>
      <c r="G79" s="41" t="str">
        <f>'Pod Library'!H97</f>
        <v>E3</v>
      </c>
      <c r="H79" s="41" t="str">
        <f>'Pod Library'!I97</f>
        <v>OFF</v>
      </c>
      <c r="I79" s="41" t="str">
        <f>'Pod Library'!J97</f>
        <v>FTC</v>
      </c>
      <c r="J79" s="36">
        <f>'Pod Library'!K97</f>
        <v>0</v>
      </c>
      <c r="K79" s="12">
        <f>SUMIFS('Pod Plan'!$F:$F,'Pod Plan'!$B:$B,$A79,'Pod Plan'!$C:$C,$C79)</f>
        <v>0</v>
      </c>
      <c r="L79" s="42">
        <f t="shared" si="2"/>
        <v>0</v>
      </c>
      <c r="M79" s="42">
        <f>L79*INDEX('Logic Tree'!$J$80:$N$81,MATCH(H79,'Logic Tree'!$I$80:$I$81,0),MATCH(G79,'Logic Tree'!$J$79:$N$79,0))</f>
        <v>0</v>
      </c>
    </row>
    <row r="80" spans="1:13" hidden="1" x14ac:dyDescent="0.35">
      <c r="A80" s="26">
        <v>3</v>
      </c>
      <c r="B80" s="30" t="s">
        <v>782</v>
      </c>
      <c r="C80" s="30" t="s">
        <v>480</v>
      </c>
      <c r="D80" s="30" t="s">
        <v>566</v>
      </c>
      <c r="E80" s="40" t="str">
        <f>'Pod Library'!F100</f>
        <v>Product Owner — Azure Data Platform</v>
      </c>
      <c r="F80" s="41" t="str">
        <f>'Pod Library'!G100</f>
        <v>LEAD</v>
      </c>
      <c r="G80" s="41" t="str">
        <f>'Pod Library'!H100</f>
        <v>E4</v>
      </c>
      <c r="H80" s="41" t="str">
        <f>'Pod Library'!I100</f>
        <v>ON</v>
      </c>
      <c r="I80" s="41" t="str">
        <f>'Pod Library'!J100</f>
        <v>FTE</v>
      </c>
      <c r="J80" s="36">
        <f>'Pod Library'!K100</f>
        <v>1</v>
      </c>
      <c r="K80" s="12">
        <f>SUMIFS('Pod Plan'!$E:$E,'Pod Plan'!$B:$B,$A80,'Pod Plan'!$C:$C,$C80)</f>
        <v>4</v>
      </c>
      <c r="L80" s="42">
        <f t="shared" si="2"/>
        <v>4</v>
      </c>
      <c r="M80" s="42">
        <f>L80*INDEX('Logic Tree'!$J$80:$N$81,MATCH(H80,'Logic Tree'!$I$80:$I$81,0),MATCH(G80,'Logic Tree'!$J$79:$N$79,0))</f>
        <v>7.4</v>
      </c>
    </row>
    <row r="81" spans="1:13" hidden="1" x14ac:dyDescent="0.35">
      <c r="A81" s="26">
        <v>3</v>
      </c>
      <c r="B81" s="30" t="s">
        <v>782</v>
      </c>
      <c r="C81" s="30" t="s">
        <v>480</v>
      </c>
      <c r="D81" s="30" t="s">
        <v>566</v>
      </c>
      <c r="E81" s="40" t="str">
        <f>'Pod Library'!F101</f>
        <v>Azure Data Architect (MetLife)</v>
      </c>
      <c r="F81" s="41" t="str">
        <f>'Pod Library'!G101</f>
        <v>ENG</v>
      </c>
      <c r="G81" s="41" t="str">
        <f>'Pod Library'!H101</f>
        <v>E5</v>
      </c>
      <c r="H81" s="41" t="str">
        <f>'Pod Library'!I101</f>
        <v>ON</v>
      </c>
      <c r="I81" s="41" t="str">
        <f>'Pod Library'!J101</f>
        <v>FTE</v>
      </c>
      <c r="J81" s="36">
        <f>'Pod Library'!K101</f>
        <v>1</v>
      </c>
      <c r="K81" s="12">
        <f>SUMIFS('Pod Plan'!$E:$E,'Pod Plan'!$B:$B,$A81,'Pod Plan'!$C:$C,$C81)</f>
        <v>4</v>
      </c>
      <c r="L81" s="42">
        <f t="shared" si="2"/>
        <v>4</v>
      </c>
      <c r="M81" s="42">
        <f>L81*INDEX('Logic Tree'!$J$80:$N$81,MATCH(H81,'Logic Tree'!$I$80:$I$81,0),MATCH(G81,'Logic Tree'!$J$79:$N$79,0))</f>
        <v>10.199999999999999</v>
      </c>
    </row>
    <row r="82" spans="1:13" hidden="1" x14ac:dyDescent="0.35">
      <c r="A82" s="26">
        <v>3</v>
      </c>
      <c r="B82" s="30" t="s">
        <v>782</v>
      </c>
      <c r="C82" s="30" t="s">
        <v>480</v>
      </c>
      <c r="D82" s="30" t="s">
        <v>566</v>
      </c>
      <c r="E82" s="40" t="str">
        <f>'Pod Library'!F102</f>
        <v>BI / Reporting Engineer</v>
      </c>
      <c r="F82" s="41" t="str">
        <f>'Pod Library'!G102</f>
        <v>DEV</v>
      </c>
      <c r="G82" s="41" t="str">
        <f>'Pod Library'!H102</f>
        <v>E3</v>
      </c>
      <c r="H82" s="41" t="str">
        <f>'Pod Library'!I102</f>
        <v>OFF</v>
      </c>
      <c r="I82" s="41" t="str">
        <f>'Pod Library'!J102</f>
        <v>FTC</v>
      </c>
      <c r="J82" s="36">
        <f>'Pod Library'!K102</f>
        <v>1</v>
      </c>
      <c r="K82" s="12">
        <f>SUMIFS('Pod Plan'!$E:$E,'Pod Plan'!$B:$B,$A82,'Pod Plan'!$C:$C,$C82)</f>
        <v>4</v>
      </c>
      <c r="L82" s="42">
        <f t="shared" si="2"/>
        <v>4</v>
      </c>
      <c r="M82" s="42">
        <f>L82*INDEX('Logic Tree'!$J$80:$N$81,MATCH(H82,'Logic Tree'!$I$80:$I$81,0),MATCH(G82,'Logic Tree'!$J$79:$N$79,0))</f>
        <v>1.68</v>
      </c>
    </row>
    <row r="83" spans="1:13" hidden="1" x14ac:dyDescent="0.35">
      <c r="A83" s="26">
        <v>3</v>
      </c>
      <c r="B83" s="30" t="s">
        <v>782</v>
      </c>
      <c r="C83" s="30" t="s">
        <v>480</v>
      </c>
      <c r="D83" s="30" t="s">
        <v>566</v>
      </c>
      <c r="E83" s="40" t="str">
        <f>'Pod Library'!F103</f>
        <v>Synapse Platform Engineer</v>
      </c>
      <c r="F83" s="41" t="str">
        <f>'Pod Library'!G103</f>
        <v>ENG</v>
      </c>
      <c r="G83" s="41" t="str">
        <f>'Pod Library'!H103</f>
        <v>E4</v>
      </c>
      <c r="H83" s="41" t="str">
        <f>'Pod Library'!I103</f>
        <v>OFF</v>
      </c>
      <c r="I83" s="41" t="str">
        <f>'Pod Library'!J103</f>
        <v>MGCC</v>
      </c>
      <c r="J83" s="36">
        <f>'Pod Library'!K103</f>
        <v>1</v>
      </c>
      <c r="K83" s="12">
        <f>SUMIFS('Pod Plan'!$E:$E,'Pod Plan'!$B:$B,$A83,'Pod Plan'!$C:$C,$C83)</f>
        <v>4</v>
      </c>
      <c r="L83" s="42">
        <f t="shared" si="2"/>
        <v>4</v>
      </c>
      <c r="M83" s="42">
        <f>L83*INDEX('Logic Tree'!$J$80:$N$81,MATCH(H83,'Logic Tree'!$I$80:$I$81,0),MATCH(G83,'Logic Tree'!$J$79:$N$79,0))</f>
        <v>2.4</v>
      </c>
    </row>
    <row r="84" spans="1:13" hidden="1" x14ac:dyDescent="0.35">
      <c r="A84" s="26">
        <v>3</v>
      </c>
      <c r="B84" s="30" t="s">
        <v>782</v>
      </c>
      <c r="C84" s="30" t="s">
        <v>480</v>
      </c>
      <c r="D84" s="30" t="s">
        <v>566</v>
      </c>
      <c r="E84" s="40" t="str">
        <f>'Pod Library'!F104</f>
        <v>AI-assisted Data Engineer</v>
      </c>
      <c r="F84" s="41" t="str">
        <f>'Pod Library'!G104</f>
        <v>DEV</v>
      </c>
      <c r="G84" s="41" t="str">
        <f>'Pod Library'!H104</f>
        <v>E3</v>
      </c>
      <c r="H84" s="41" t="str">
        <f>'Pod Library'!I104</f>
        <v>OFF</v>
      </c>
      <c r="I84" s="41" t="str">
        <f>'Pod Library'!J104</f>
        <v>MGCC</v>
      </c>
      <c r="J84" s="36">
        <f>'Pod Library'!K104</f>
        <v>1</v>
      </c>
      <c r="K84" s="12">
        <f>SUMIFS('Pod Plan'!$E:$E,'Pod Plan'!$B:$B,$A84,'Pod Plan'!$C:$C,$C84)</f>
        <v>4</v>
      </c>
      <c r="L84" s="42">
        <f t="shared" si="2"/>
        <v>4</v>
      </c>
      <c r="M84" s="42">
        <f>L84*INDEX('Logic Tree'!$J$80:$N$81,MATCH(H84,'Logic Tree'!$I$80:$I$81,0),MATCH(G84,'Logic Tree'!$J$79:$N$79,0))</f>
        <v>1.68</v>
      </c>
    </row>
    <row r="85" spans="1:13" hidden="1" x14ac:dyDescent="0.35">
      <c r="A85" s="26">
        <v>3</v>
      </c>
      <c r="B85" s="30" t="s">
        <v>782</v>
      </c>
      <c r="C85" s="30" t="s">
        <v>480</v>
      </c>
      <c r="D85" s="30" t="s">
        <v>566</v>
      </c>
      <c r="E85" s="40" t="str">
        <f>'Pod Library'!F106</f>
        <v>AI-automation Lead</v>
      </c>
      <c r="F85" s="41" t="str">
        <f>'Pod Library'!G106</f>
        <v>LEAD</v>
      </c>
      <c r="G85" s="41" t="str">
        <f>'Pod Library'!H106</f>
        <v>E4</v>
      </c>
      <c r="H85" s="41" t="str">
        <f>'Pod Library'!I106</f>
        <v>ON</v>
      </c>
      <c r="I85" s="41" t="str">
        <f>'Pod Library'!J106</f>
        <v>FTC</v>
      </c>
      <c r="J85" s="36">
        <f>'Pod Library'!K106</f>
        <v>1</v>
      </c>
      <c r="K85" s="12">
        <f>SUMIFS('Pod Plan'!$E:$E,'Pod Plan'!$B:$B,$A85,'Pod Plan'!$C:$C,$C85)</f>
        <v>4</v>
      </c>
      <c r="L85" s="42">
        <f t="shared" si="2"/>
        <v>4</v>
      </c>
      <c r="M85" s="42">
        <f>L85*INDEX('Logic Tree'!$J$80:$N$81,MATCH(H85,'Logic Tree'!$I$80:$I$81,0),MATCH(G85,'Logic Tree'!$J$79:$N$79,0))</f>
        <v>7.4</v>
      </c>
    </row>
    <row r="86" spans="1:13" hidden="1" x14ac:dyDescent="0.35">
      <c r="A86" s="26">
        <v>3</v>
      </c>
      <c r="B86" s="30" t="s">
        <v>782</v>
      </c>
      <c r="C86" s="30" t="s">
        <v>480</v>
      </c>
      <c r="D86" s="30" t="s">
        <v>566</v>
      </c>
      <c r="E86" s="40" t="str">
        <f>'Pod Library'!F105</f>
        <v>AI-assisted Data Tester</v>
      </c>
      <c r="F86" s="41" t="str">
        <f>'Pod Library'!G105</f>
        <v>TEST</v>
      </c>
      <c r="G86" s="41" t="str">
        <f>'Pod Library'!H105</f>
        <v>E3</v>
      </c>
      <c r="H86" s="41" t="str">
        <f>'Pod Library'!I105</f>
        <v>OFF</v>
      </c>
      <c r="I86" s="41" t="str">
        <f>'Pod Library'!J105</f>
        <v>MGCC</v>
      </c>
      <c r="J86" s="36">
        <f>'Pod Library'!K105</f>
        <v>1</v>
      </c>
      <c r="K86" s="12">
        <f>SUMIFS('Pod Plan'!$E:$E,'Pod Plan'!$B:$B,$A86,'Pod Plan'!$C:$C,$C86)</f>
        <v>4</v>
      </c>
      <c r="L86" s="42">
        <f t="shared" ref="L86" si="3">J86*K86</f>
        <v>4</v>
      </c>
      <c r="M86" s="42">
        <f>L86*INDEX('Logic Tree'!$J$80:$N$81,MATCH(H86,'Logic Tree'!$I$80:$I$81,0),MATCH(G86,'Logic Tree'!$J$79:$N$79,0))</f>
        <v>1.68</v>
      </c>
    </row>
    <row r="87" spans="1:13" hidden="1" x14ac:dyDescent="0.35">
      <c r="A87" s="26">
        <v>3</v>
      </c>
      <c r="B87" s="30" t="s">
        <v>782</v>
      </c>
      <c r="C87" s="30" t="s">
        <v>480</v>
      </c>
      <c r="D87" s="30" t="s">
        <v>575</v>
      </c>
      <c r="E87" s="40" t="str">
        <f>'Pod Library'!F109</f>
        <v>Product Owner -Azure Data Platform (shared 0.5)</v>
      </c>
      <c r="F87" s="41" t="str">
        <f>'Pod Library'!G109</f>
        <v>LEAD</v>
      </c>
      <c r="G87" s="41" t="str">
        <f>'Pod Library'!H109</f>
        <v>E4</v>
      </c>
      <c r="H87" s="41" t="str">
        <f>'Pod Library'!I109</f>
        <v>ON</v>
      </c>
      <c r="I87" s="41" t="str">
        <f>'Pod Library'!J109</f>
        <v>FTE</v>
      </c>
      <c r="J87" s="36">
        <f>'Pod Library'!K109</f>
        <v>0.5</v>
      </c>
      <c r="K87" s="12">
        <f>SUMIFS('Pod Plan'!$F:$F,'Pod Plan'!$B:$B,$A87,'Pod Plan'!$C:$C,$C87)</f>
        <v>2</v>
      </c>
      <c r="L87" s="42">
        <f t="shared" si="2"/>
        <v>1</v>
      </c>
      <c r="M87" s="42">
        <f>L87*INDEX('Logic Tree'!$J$80:$N$81,MATCH(H87,'Logic Tree'!$I$80:$I$81,0),MATCH(G87,'Logic Tree'!$J$79:$N$79,0))</f>
        <v>1.85</v>
      </c>
    </row>
    <row r="88" spans="1:13" hidden="1" x14ac:dyDescent="0.35">
      <c r="A88" s="26">
        <v>3</v>
      </c>
      <c r="B88" s="30" t="s">
        <v>782</v>
      </c>
      <c r="C88" s="30" t="s">
        <v>480</v>
      </c>
      <c r="D88" s="30" t="s">
        <v>575</v>
      </c>
      <c r="E88" s="40" t="str">
        <f>'Pod Library'!F110</f>
        <v>Azure Data Architect (shared 0.5)</v>
      </c>
      <c r="F88" s="41" t="str">
        <f>'Pod Library'!G110</f>
        <v>ENG</v>
      </c>
      <c r="G88" s="41" t="str">
        <f>'Pod Library'!H110</f>
        <v>E5</v>
      </c>
      <c r="H88" s="41" t="str">
        <f>'Pod Library'!I110</f>
        <v>ON</v>
      </c>
      <c r="I88" s="41" t="str">
        <f>'Pod Library'!J110</f>
        <v>FTE</v>
      </c>
      <c r="J88" s="36">
        <f>'Pod Library'!K110</f>
        <v>0.5</v>
      </c>
      <c r="K88" s="12">
        <f>SUMIFS('Pod Plan'!$F:$F,'Pod Plan'!$B:$B,$A88,'Pod Plan'!$C:$C,$C88)</f>
        <v>2</v>
      </c>
      <c r="L88" s="42">
        <f t="shared" si="2"/>
        <v>1</v>
      </c>
      <c r="M88" s="42">
        <f>L88*INDEX('Logic Tree'!$J$80:$N$81,MATCH(H88,'Logic Tree'!$I$80:$I$81,0),MATCH(G88,'Logic Tree'!$J$79:$N$79,0))</f>
        <v>2.5499999999999998</v>
      </c>
    </row>
    <row r="89" spans="1:13" hidden="1" x14ac:dyDescent="0.35">
      <c r="A89" s="26">
        <v>3</v>
      </c>
      <c r="B89" s="30" t="s">
        <v>782</v>
      </c>
      <c r="C89" s="30" t="s">
        <v>480</v>
      </c>
      <c r="D89" s="30" t="s">
        <v>575</v>
      </c>
      <c r="E89" s="40" t="str">
        <f>'Pod Library'!F111</f>
        <v>Pod Delivery Lead ( Azure Data Engineering)</v>
      </c>
      <c r="F89" s="41" t="str">
        <f>'Pod Library'!G111</f>
        <v>LEAD</v>
      </c>
      <c r="G89" s="41" t="str">
        <f>'Pod Library'!H111</f>
        <v>E4</v>
      </c>
      <c r="H89" s="41" t="str">
        <f>'Pod Library'!I111</f>
        <v>ON</v>
      </c>
      <c r="I89" s="41" t="str">
        <f>'Pod Library'!J111</f>
        <v>FTC</v>
      </c>
      <c r="J89" s="36">
        <f>'Pod Library'!K111</f>
        <v>1</v>
      </c>
      <c r="K89" s="12">
        <f>SUMIFS('Pod Plan'!$F:$F,'Pod Plan'!$B:$B,$A89,'Pod Plan'!$C:$C,$C89)</f>
        <v>2</v>
      </c>
      <c r="L89" s="42">
        <f t="shared" si="2"/>
        <v>2</v>
      </c>
      <c r="M89" s="42">
        <f>L89*INDEX('Logic Tree'!$J$80:$N$81,MATCH(H89,'Logic Tree'!$I$80:$I$81,0),MATCH(G89,'Logic Tree'!$J$79:$N$79,0))</f>
        <v>3.7</v>
      </c>
    </row>
    <row r="90" spans="1:13" hidden="1" x14ac:dyDescent="0.35">
      <c r="A90" s="26">
        <v>3</v>
      </c>
      <c r="B90" s="30" t="s">
        <v>782</v>
      </c>
      <c r="C90" s="30" t="s">
        <v>480</v>
      </c>
      <c r="D90" s="30" t="s">
        <v>575</v>
      </c>
      <c r="E90" s="40" t="str">
        <f>'Pod Library'!F112</f>
        <v>AI-automation Lead</v>
      </c>
      <c r="F90" s="41" t="str">
        <f>'Pod Library'!G112</f>
        <v>ENG</v>
      </c>
      <c r="G90" s="41" t="str">
        <f>'Pod Library'!H112</f>
        <v>E4</v>
      </c>
      <c r="H90" s="41" t="str">
        <f>'Pod Library'!I112</f>
        <v>OFF</v>
      </c>
      <c r="I90" s="41" t="str">
        <f>'Pod Library'!J112</f>
        <v>FTC</v>
      </c>
      <c r="J90" s="36">
        <f>'Pod Library'!K112</f>
        <v>1</v>
      </c>
      <c r="K90" s="12">
        <f>SUMIFS('Pod Plan'!$F:$F,'Pod Plan'!$B:$B,$A90,'Pod Plan'!$C:$C,$C90)</f>
        <v>2</v>
      </c>
      <c r="L90" s="42">
        <f t="shared" si="2"/>
        <v>2</v>
      </c>
      <c r="M90" s="42">
        <f>L90*INDEX('Logic Tree'!$J$80:$N$81,MATCH(H90,'Logic Tree'!$I$80:$I$81,0),MATCH(G90,'Logic Tree'!$J$79:$N$79,0))</f>
        <v>1.2</v>
      </c>
    </row>
    <row r="91" spans="1:13" hidden="1" x14ac:dyDescent="0.35">
      <c r="A91" s="26">
        <v>3</v>
      </c>
      <c r="B91" s="30" t="s">
        <v>782</v>
      </c>
      <c r="C91" s="30" t="s">
        <v>480</v>
      </c>
      <c r="D91" s="30" t="s">
        <v>575</v>
      </c>
      <c r="E91" s="40" t="str">
        <f>'Pod Library'!F113</f>
        <v>Business Analyst (bilingual)</v>
      </c>
      <c r="F91" s="41" t="str">
        <f>'Pod Library'!G113</f>
        <v>BA</v>
      </c>
      <c r="G91" s="41" t="str">
        <f>'Pod Library'!H113</f>
        <v>E3</v>
      </c>
      <c r="H91" s="41" t="str">
        <f>'Pod Library'!I113</f>
        <v>ON</v>
      </c>
      <c r="I91" s="41" t="str">
        <f>'Pod Library'!J113</f>
        <v>FTC</v>
      </c>
      <c r="J91" s="36">
        <f>'Pod Library'!K113</f>
        <v>1</v>
      </c>
      <c r="K91" s="12">
        <f>SUMIFS('Pod Plan'!$F:$F,'Pod Plan'!$B:$B,$A91,'Pod Plan'!$C:$C,$C91)</f>
        <v>2</v>
      </c>
      <c r="L91" s="42">
        <f t="shared" si="2"/>
        <v>2</v>
      </c>
      <c r="M91" s="42">
        <f>L91*INDEX('Logic Tree'!$J$80:$N$81,MATCH(H91,'Logic Tree'!$I$80:$I$81,0),MATCH(G91,'Logic Tree'!$J$79:$N$79,0))</f>
        <v>2.7</v>
      </c>
    </row>
    <row r="92" spans="1:13" hidden="1" x14ac:dyDescent="0.35">
      <c r="A92" s="26">
        <v>3</v>
      </c>
      <c r="B92" s="30" t="s">
        <v>782</v>
      </c>
      <c r="C92" s="30" t="s">
        <v>480</v>
      </c>
      <c r="D92" s="30" t="s">
        <v>575</v>
      </c>
      <c r="E92" s="40" t="str">
        <f>'Pod Library'!F114</f>
        <v>AI-assisted Data Engineer</v>
      </c>
      <c r="F92" s="41" t="str">
        <f>'Pod Library'!G114</f>
        <v>DEV</v>
      </c>
      <c r="G92" s="41" t="str">
        <f>'Pod Library'!H114</f>
        <v>E3</v>
      </c>
      <c r="H92" s="41" t="str">
        <f>'Pod Library'!I114</f>
        <v>OFF</v>
      </c>
      <c r="I92" s="41" t="str">
        <f>'Pod Library'!J114</f>
        <v>FTC</v>
      </c>
      <c r="J92" s="36">
        <f>'Pod Library'!K114</f>
        <v>1</v>
      </c>
      <c r="K92" s="12">
        <f>SUMIFS('Pod Plan'!$F:$F,'Pod Plan'!$B:$B,$A92,'Pod Plan'!$C:$C,$C92)</f>
        <v>2</v>
      </c>
      <c r="L92" s="42">
        <f t="shared" si="2"/>
        <v>2</v>
      </c>
      <c r="M92" s="42">
        <f>L92*INDEX('Logic Tree'!$J$80:$N$81,MATCH(H92,'Logic Tree'!$I$80:$I$81,0),MATCH(G92,'Logic Tree'!$J$79:$N$79,0))</f>
        <v>0.84</v>
      </c>
    </row>
    <row r="93" spans="1:13" hidden="1" x14ac:dyDescent="0.35">
      <c r="A93" s="26">
        <v>3</v>
      </c>
      <c r="B93" s="30" t="s">
        <v>782</v>
      </c>
      <c r="C93" s="30" t="s">
        <v>480</v>
      </c>
      <c r="D93" s="30" t="s">
        <v>575</v>
      </c>
      <c r="E93" s="40" t="str">
        <f>'Pod Library'!F115</f>
        <v>BI / Reporting Engineer</v>
      </c>
      <c r="F93" s="41" t="str">
        <f>'Pod Library'!G116</f>
        <v>TEST</v>
      </c>
      <c r="G93" s="41" t="str">
        <f>'Pod Library'!H116</f>
        <v>E2</v>
      </c>
      <c r="H93" s="41" t="str">
        <f>'Pod Library'!I116</f>
        <v>OFF</v>
      </c>
      <c r="I93" s="41" t="str">
        <f>'Pod Library'!J116</f>
        <v>FTC</v>
      </c>
      <c r="J93" s="36">
        <f>'Pod Library'!K116</f>
        <v>1</v>
      </c>
      <c r="K93" s="12">
        <f>SUMIFS('Pod Plan'!$F:$F,'Pod Plan'!$B:$B,$A93,'Pod Plan'!$C:$C,$C93)</f>
        <v>2</v>
      </c>
      <c r="L93" s="42">
        <f t="shared" ref="L93" si="4">J93*K93</f>
        <v>2</v>
      </c>
      <c r="M93" s="42">
        <f>L93*INDEX('Logic Tree'!$J$80:$N$81,MATCH(H93,'Logic Tree'!$I$80:$I$81,0),MATCH(G93,'Logic Tree'!$J$79:$N$79,0))</f>
        <v>0.6</v>
      </c>
    </row>
    <row r="94" spans="1:13" hidden="1" x14ac:dyDescent="0.35">
      <c r="A94" s="26">
        <v>3</v>
      </c>
      <c r="B94" s="30" t="s">
        <v>782</v>
      </c>
      <c r="C94" s="30" t="s">
        <v>480</v>
      </c>
      <c r="D94" s="30" t="s">
        <v>575</v>
      </c>
      <c r="E94" s="40" t="str">
        <f>'Pod Library'!F116</f>
        <v>AI-assised Data Tester</v>
      </c>
      <c r="F94" s="41" t="str">
        <f>'Pod Library'!G116</f>
        <v>TEST</v>
      </c>
      <c r="G94" s="41" t="str">
        <f>'Pod Library'!H116</f>
        <v>E2</v>
      </c>
      <c r="H94" s="41" t="str">
        <f>'Pod Library'!I116</f>
        <v>OFF</v>
      </c>
      <c r="I94" s="41" t="str">
        <f>'Pod Library'!J116</f>
        <v>FTC</v>
      </c>
      <c r="J94" s="36">
        <f>'Pod Library'!K116</f>
        <v>1</v>
      </c>
      <c r="K94" s="12">
        <f>SUMIFS('Pod Plan'!$F:$F,'Pod Plan'!$B:$B,$A94,'Pod Plan'!$C:$C,$C94)</f>
        <v>2</v>
      </c>
      <c r="L94" s="42">
        <f t="shared" si="2"/>
        <v>2</v>
      </c>
      <c r="M94" s="42">
        <f>L94*INDEX('Logic Tree'!$J$80:$N$81,MATCH(H94,'Logic Tree'!$I$80:$I$81,0),MATCH(G94,'Logic Tree'!$J$79:$N$79,0))</f>
        <v>0.6</v>
      </c>
    </row>
    <row r="95" spans="1:13" hidden="1" x14ac:dyDescent="0.35">
      <c r="A95" s="12">
        <f>'Horizontal Teams'!B5</f>
        <v>1</v>
      </c>
      <c r="B95" s="30" t="s">
        <v>783</v>
      </c>
      <c r="C95" s="41" t="str">
        <f>'Horizontal Teams'!C5</f>
        <v>H1</v>
      </c>
      <c r="D95" s="30" t="s">
        <v>783</v>
      </c>
      <c r="E95" s="79" t="str">
        <f>'Horizontal Teams'!E5</f>
        <v>Service Delivery Lead</v>
      </c>
      <c r="F95" s="41" t="str">
        <f>'Horizontal Teams'!F5</f>
        <v>LEAD</v>
      </c>
      <c r="G95" s="41" t="str">
        <f>'Horizontal Teams'!G5</f>
        <v>E4</v>
      </c>
      <c r="H95" s="41" t="str">
        <f>'Horizontal Teams'!H5</f>
        <v>ON</v>
      </c>
      <c r="I95" s="41" t="str">
        <f>'Horizontal Teams'!I5</f>
        <v>FTC</v>
      </c>
      <c r="J95" s="36">
        <f>'Horizontal Teams'!J5</f>
        <v>1</v>
      </c>
      <c r="K95" s="26">
        <v>1</v>
      </c>
      <c r="L95" s="42">
        <f t="shared" si="2"/>
        <v>1</v>
      </c>
      <c r="M95" s="42">
        <f>L95*INDEX('Logic Tree'!$J$80:$N$81,MATCH(H95,'Logic Tree'!$I$80:$I$81,0),MATCH(G95,'Logic Tree'!$J$79:$N$79,0))</f>
        <v>1.85</v>
      </c>
    </row>
    <row r="96" spans="1:13" hidden="1" x14ac:dyDescent="0.35">
      <c r="A96" s="12">
        <f>'Horizontal Teams'!B6</f>
        <v>1</v>
      </c>
      <c r="B96" s="30" t="s">
        <v>783</v>
      </c>
      <c r="C96" s="41" t="str">
        <f>'Horizontal Teams'!C6</f>
        <v>H1</v>
      </c>
      <c r="D96" s="30" t="s">
        <v>783</v>
      </c>
      <c r="E96" s="40" t="str">
        <f>'Horizontal Teams'!E6</f>
        <v>MetLife Data Infrastructure Domain Lead</v>
      </c>
      <c r="F96" s="41" t="str">
        <f>'Horizontal Teams'!F6</f>
        <v>OPS</v>
      </c>
      <c r="G96" s="41" t="str">
        <f>'Horizontal Teams'!G6</f>
        <v>E4</v>
      </c>
      <c r="H96" s="41" t="str">
        <f>'Horizontal Teams'!H6</f>
        <v>ON</v>
      </c>
      <c r="I96" s="41" t="str">
        <f>'Horizontal Teams'!I6</f>
        <v>FTE</v>
      </c>
      <c r="J96" s="36">
        <f>'Horizontal Teams'!J6</f>
        <v>1</v>
      </c>
      <c r="K96" s="26">
        <v>1</v>
      </c>
      <c r="L96" s="42">
        <f t="shared" si="2"/>
        <v>1</v>
      </c>
      <c r="M96" s="42">
        <f>L96*INDEX('Logic Tree'!$J$80:$N$81,MATCH(H96,'Logic Tree'!$I$80:$I$81,0),MATCH(G96,'Logic Tree'!$J$79:$N$79,0))</f>
        <v>1.85</v>
      </c>
    </row>
    <row r="97" spans="1:13" hidden="1" x14ac:dyDescent="0.35">
      <c r="A97" s="12">
        <f>'Horizontal Teams'!B7</f>
        <v>1</v>
      </c>
      <c r="B97" s="30" t="s">
        <v>783</v>
      </c>
      <c r="C97" s="41" t="str">
        <f>'Horizontal Teams'!C7</f>
        <v>H1</v>
      </c>
      <c r="D97" s="30" t="s">
        <v>783</v>
      </c>
      <c r="E97" s="79" t="str">
        <f>'Horizontal Teams'!E7</f>
        <v>L2  Support Data Engr Lead</v>
      </c>
      <c r="F97" s="41" t="str">
        <f>'Horizontal Teams'!F7</f>
        <v>OPS</v>
      </c>
      <c r="G97" s="41" t="str">
        <f>'Horizontal Teams'!G7</f>
        <v>E2</v>
      </c>
      <c r="H97" s="41" t="str">
        <f>'Horizontal Teams'!H7</f>
        <v>ON</v>
      </c>
      <c r="I97" s="41" t="str">
        <f>'Horizontal Teams'!I7</f>
        <v>FTC</v>
      </c>
      <c r="J97" s="36">
        <f>'Horizontal Teams'!J7</f>
        <v>1</v>
      </c>
      <c r="K97" s="26">
        <v>1</v>
      </c>
      <c r="L97" s="42">
        <f t="shared" si="2"/>
        <v>1</v>
      </c>
      <c r="M97" s="42">
        <f>L97*INDEX('Logic Tree'!$J$80:$N$81,MATCH(H97,'Logic Tree'!$I$80:$I$81,0),MATCH(G97,'Logic Tree'!$J$79:$N$79,0))</f>
        <v>1</v>
      </c>
    </row>
    <row r="98" spans="1:13" hidden="1" x14ac:dyDescent="0.35">
      <c r="A98" s="12">
        <f>'Horizontal Teams'!B8</f>
        <v>1</v>
      </c>
      <c r="B98" s="30" t="s">
        <v>783</v>
      </c>
      <c r="C98" s="41" t="str">
        <f>'Horizontal Teams'!C8</f>
        <v>H1</v>
      </c>
      <c r="D98" s="30" t="s">
        <v>783</v>
      </c>
      <c r="E98" s="79" t="str">
        <f>'Horizontal Teams'!E8</f>
        <v>L2  Support Data Engr-Informatica and Azure</v>
      </c>
      <c r="F98" s="41" t="str">
        <f>'Horizontal Teams'!F8</f>
        <v>OPS</v>
      </c>
      <c r="G98" s="41" t="str">
        <f>'Horizontal Teams'!G8</f>
        <v>E2</v>
      </c>
      <c r="H98" s="41" t="str">
        <f>'Horizontal Teams'!H8</f>
        <v>OFF</v>
      </c>
      <c r="I98" s="41" t="str">
        <f>'Horizontal Teams'!I8</f>
        <v>FTC</v>
      </c>
      <c r="J98" s="36">
        <f>'Horizontal Teams'!J8</f>
        <v>3</v>
      </c>
      <c r="K98" s="26">
        <v>1</v>
      </c>
      <c r="L98" s="42">
        <f t="shared" ref="L98" si="5">J98*K98</f>
        <v>3</v>
      </c>
      <c r="M98" s="42">
        <f>L98*INDEX('Logic Tree'!$J$80:$N$81,MATCH(H98,'Logic Tree'!$I$80:$I$81,0),MATCH(G98,'Logic Tree'!$J$79:$N$79,0))</f>
        <v>0.89999999999999991</v>
      </c>
    </row>
    <row r="99" spans="1:13" hidden="1" x14ac:dyDescent="0.35">
      <c r="A99" s="12">
        <f>'Horizontal Teams'!B9</f>
        <v>1</v>
      </c>
      <c r="B99" s="30" t="s">
        <v>783</v>
      </c>
      <c r="C99" s="41" t="str">
        <f>'Horizontal Teams'!C9</f>
        <v>H1</v>
      </c>
      <c r="D99" s="30" t="s">
        <v>783</v>
      </c>
      <c r="E99" s="40" t="str">
        <f>'Horizontal Teams'!E9</f>
        <v>Data Platform SRE</v>
      </c>
      <c r="F99" s="41" t="str">
        <f>'Horizontal Teams'!F9</f>
        <v>ENG</v>
      </c>
      <c r="G99" s="41" t="str">
        <f>'Horizontal Teams'!G9</f>
        <v>E3</v>
      </c>
      <c r="H99" s="41" t="str">
        <f>'Horizontal Teams'!H9</f>
        <v>OFF</v>
      </c>
      <c r="I99" s="41" t="str">
        <f>'Horizontal Teams'!I9</f>
        <v>MGCC</v>
      </c>
      <c r="J99" s="36">
        <f>'Horizontal Teams'!J9</f>
        <v>6</v>
      </c>
      <c r="K99" s="26">
        <v>1</v>
      </c>
      <c r="L99" s="42">
        <f t="shared" si="2"/>
        <v>6</v>
      </c>
      <c r="M99" s="42">
        <f>L99*INDEX('Logic Tree'!$J$80:$N$81,MATCH(H99,'Logic Tree'!$I$80:$I$81,0),MATCH(G99,'Logic Tree'!$J$79:$N$79,0))</f>
        <v>2.52</v>
      </c>
    </row>
    <row r="100" spans="1:13" hidden="1" x14ac:dyDescent="0.35">
      <c r="A100" s="12">
        <f>'Horizontal Teams'!B11</f>
        <v>1</v>
      </c>
      <c r="B100" s="30" t="s">
        <v>783</v>
      </c>
      <c r="C100" s="41" t="str">
        <f>'Horizontal Teams'!C11</f>
        <v>H2</v>
      </c>
      <c r="D100" s="30" t="s">
        <v>783</v>
      </c>
      <c r="E100" s="40" t="str">
        <f>'Horizontal Teams'!E11</f>
        <v>Head of Data Platform Testing (MetLife)</v>
      </c>
      <c r="F100" s="41" t="str">
        <f>'Horizontal Teams'!F11</f>
        <v>LEAD</v>
      </c>
      <c r="G100" s="41" t="str">
        <f>'Horizontal Teams'!G11</f>
        <v>E5</v>
      </c>
      <c r="H100" s="41" t="str">
        <f>'Horizontal Teams'!H11</f>
        <v>ON</v>
      </c>
      <c r="I100" s="41" t="str">
        <f>'Horizontal Teams'!I11</f>
        <v>FTE</v>
      </c>
      <c r="J100" s="36">
        <f>'Horizontal Teams'!J11</f>
        <v>1</v>
      </c>
      <c r="K100" s="26">
        <v>1</v>
      </c>
      <c r="L100" s="42">
        <f t="shared" si="2"/>
        <v>1</v>
      </c>
      <c r="M100" s="42">
        <f>L100*INDEX('Logic Tree'!$J$80:$N$81,MATCH(H100,'Logic Tree'!$I$80:$I$81,0),MATCH(G100,'Logic Tree'!$J$79:$N$79,0))</f>
        <v>2.5499999999999998</v>
      </c>
    </row>
    <row r="101" spans="1:13" hidden="1" x14ac:dyDescent="0.35">
      <c r="A101" s="12">
        <f>'Horizontal Teams'!B12</f>
        <v>1</v>
      </c>
      <c r="B101" s="30" t="s">
        <v>783</v>
      </c>
      <c r="C101" s="41" t="str">
        <f>'Horizontal Teams'!C12</f>
        <v>H2</v>
      </c>
      <c r="D101" s="30" t="s">
        <v>783</v>
      </c>
      <c r="E101" s="80" t="str">
        <f>'Horizontal Teams'!E12</f>
        <v>Data Platform Test Lead</v>
      </c>
      <c r="F101" s="41" t="str">
        <f>'Horizontal Teams'!F12</f>
        <v>TEST</v>
      </c>
      <c r="G101" s="41" t="str">
        <f>'Horizontal Teams'!G12</f>
        <v>E4</v>
      </c>
      <c r="H101" s="41" t="str">
        <f>'Horizontal Teams'!H12</f>
        <v>ON</v>
      </c>
      <c r="I101" s="41" t="str">
        <f>'Horizontal Teams'!I12</f>
        <v>FTC</v>
      </c>
      <c r="J101" s="36">
        <f>'Horizontal Teams'!J12</f>
        <v>1</v>
      </c>
      <c r="K101" s="26">
        <v>1</v>
      </c>
      <c r="L101" s="42">
        <f t="shared" si="2"/>
        <v>1</v>
      </c>
      <c r="M101" s="42">
        <f>L101*INDEX('Logic Tree'!$J$80:$N$81,MATCH(H101,'Logic Tree'!$I$80:$I$81,0),MATCH(G101,'Logic Tree'!$J$79:$N$79,0))</f>
        <v>1.85</v>
      </c>
    </row>
    <row r="102" spans="1:13" hidden="1" x14ac:dyDescent="0.35">
      <c r="A102" s="12">
        <f>'Horizontal Teams'!B13</f>
        <v>1</v>
      </c>
      <c r="B102" s="30" t="s">
        <v>783</v>
      </c>
      <c r="C102" s="41" t="str">
        <f>'Horizontal Teams'!C13</f>
        <v>H2</v>
      </c>
      <c r="D102" s="30" t="s">
        <v>783</v>
      </c>
      <c r="E102" s="80" t="str">
        <f>'Horizontal Teams'!E13</f>
        <v>Penetration and Data Security Testers</v>
      </c>
      <c r="F102" s="41" t="str">
        <f>'Horizontal Teams'!F13</f>
        <v>TEST</v>
      </c>
      <c r="G102" s="41" t="str">
        <f>'Horizontal Teams'!G13</f>
        <v>E2</v>
      </c>
      <c r="H102" s="41" t="str">
        <f>'Horizontal Teams'!H13</f>
        <v>OFF</v>
      </c>
      <c r="I102" s="41" t="str">
        <f>'Horizontal Teams'!I13</f>
        <v>FTC</v>
      </c>
      <c r="J102" s="36">
        <f>'Horizontal Teams'!J13</f>
        <v>2</v>
      </c>
      <c r="K102" s="26">
        <v>1</v>
      </c>
      <c r="L102" s="42">
        <f t="shared" si="2"/>
        <v>2</v>
      </c>
      <c r="M102" s="42">
        <f>L102*INDEX('Logic Tree'!$J$80:$N$81,MATCH(H102,'Logic Tree'!$I$80:$I$81,0),MATCH(G102,'Logic Tree'!$J$79:$N$79,0))</f>
        <v>0.6</v>
      </c>
    </row>
    <row r="103" spans="1:13" hidden="1" x14ac:dyDescent="0.35">
      <c r="A103" s="12">
        <f>'Horizontal Teams'!B14</f>
        <v>1</v>
      </c>
      <c r="B103" s="30" t="s">
        <v>783</v>
      </c>
      <c r="C103" s="41" t="str">
        <f>'Horizontal Teams'!C14</f>
        <v>H2</v>
      </c>
      <c r="D103" s="30" t="s">
        <v>783</v>
      </c>
      <c r="E103" s="80" t="str">
        <f>'Horizontal Teams'!E14</f>
        <v>Stress and Performance Testers</v>
      </c>
      <c r="F103" s="41" t="str">
        <f>'Horizontal Teams'!F14</f>
        <v>TEST</v>
      </c>
      <c r="G103" s="41" t="str">
        <f>'Horizontal Teams'!G14</f>
        <v>E2</v>
      </c>
      <c r="H103" s="41" t="str">
        <f>'Horizontal Teams'!H14</f>
        <v>OFF</v>
      </c>
      <c r="I103" s="41" t="str">
        <f>'Horizontal Teams'!I14</f>
        <v>FTC</v>
      </c>
      <c r="J103" s="36">
        <f>'Horizontal Teams'!J14</f>
        <v>2</v>
      </c>
      <c r="K103" s="26">
        <v>1</v>
      </c>
      <c r="L103" s="42">
        <f t="shared" ref="L103:L135" si="6">J103*K103</f>
        <v>2</v>
      </c>
      <c r="M103" s="42">
        <f>L103*INDEX('Logic Tree'!$J$80:$N$81,MATCH(H103,'Logic Tree'!$I$80:$I$81,0),MATCH(G103,'Logic Tree'!$J$79:$N$79,0))</f>
        <v>0.6</v>
      </c>
    </row>
    <row r="104" spans="1:13" hidden="1" x14ac:dyDescent="0.35">
      <c r="A104" s="12">
        <f>'Horizontal Teams'!B16</f>
        <v>1</v>
      </c>
      <c r="B104" s="30" t="s">
        <v>783</v>
      </c>
      <c r="C104" s="41" t="str">
        <f>'Horizontal Teams'!C16</f>
        <v>H3</v>
      </c>
      <c r="D104" s="30" t="s">
        <v>783</v>
      </c>
      <c r="E104" s="40" t="str">
        <f>'Horizontal Teams'!E16</f>
        <v>Data Domain Delivery Head</v>
      </c>
      <c r="F104" s="41" t="str">
        <f>'Horizontal Teams'!F16</f>
        <v>LEAD</v>
      </c>
      <c r="G104" s="41" t="str">
        <f>'Horizontal Teams'!G16</f>
        <v>E5</v>
      </c>
      <c r="H104" s="41" t="str">
        <f>'Horizontal Teams'!H16</f>
        <v>ON</v>
      </c>
      <c r="I104" s="41" t="str">
        <f>'Horizontal Teams'!I16</f>
        <v>FTC</v>
      </c>
      <c r="J104" s="36">
        <f>'Horizontal Teams'!J16</f>
        <v>1</v>
      </c>
      <c r="K104" s="26">
        <v>1</v>
      </c>
      <c r="L104" s="42">
        <f t="shared" si="6"/>
        <v>1</v>
      </c>
      <c r="M104" s="42">
        <f>L104*INDEX('Logic Tree'!$J$80:$N$81,MATCH(H104,'Logic Tree'!$I$80:$I$81,0),MATCH(G104,'Logic Tree'!$J$79:$N$79,0))</f>
        <v>2.5499999999999998</v>
      </c>
    </row>
    <row r="105" spans="1:13" hidden="1" x14ac:dyDescent="0.35">
      <c r="A105" s="12">
        <f>'Horizontal Teams'!B17</f>
        <v>1</v>
      </c>
      <c r="B105" s="30" t="s">
        <v>783</v>
      </c>
      <c r="C105" s="41" t="str">
        <f>'Horizontal Teams'!C17</f>
        <v>H3</v>
      </c>
      <c r="D105" s="30" t="s">
        <v>783</v>
      </c>
      <c r="E105" s="40" t="str">
        <f>'Horizontal Teams'!E17</f>
        <v>Chief Data Architect (MetLife)</v>
      </c>
      <c r="F105" s="41" t="str">
        <f>'Horizontal Teams'!F17</f>
        <v>ENG</v>
      </c>
      <c r="G105" s="41" t="str">
        <f>'Horizontal Teams'!G17</f>
        <v>E5</v>
      </c>
      <c r="H105" s="41" t="str">
        <f>'Horizontal Teams'!H17</f>
        <v>ON</v>
      </c>
      <c r="I105" s="41" t="str">
        <f>'Horizontal Teams'!I17</f>
        <v>FTE</v>
      </c>
      <c r="J105" s="36">
        <f>'Horizontal Teams'!J17</f>
        <v>1</v>
      </c>
      <c r="K105" s="26">
        <v>1</v>
      </c>
      <c r="L105" s="42">
        <f t="shared" si="6"/>
        <v>1</v>
      </c>
      <c r="M105" s="42">
        <f>L105*INDEX('Logic Tree'!$J$80:$N$81,MATCH(H105,'Logic Tree'!$I$80:$I$81,0),MATCH(G105,'Logic Tree'!$J$79:$N$79,0))</f>
        <v>2.5499999999999998</v>
      </c>
    </row>
    <row r="106" spans="1:13" hidden="1" x14ac:dyDescent="0.35">
      <c r="A106" s="12">
        <f>'Horizontal Teams'!B18</f>
        <v>1</v>
      </c>
      <c r="B106" s="30" t="s">
        <v>783</v>
      </c>
      <c r="C106" s="41" t="str">
        <f>'Horizontal Teams'!C18</f>
        <v>H3</v>
      </c>
      <c r="D106" s="30" t="s">
        <v>783</v>
      </c>
      <c r="E106" s="79" t="str">
        <f>'Horizontal Teams'!E18</f>
        <v>DevOps Lead</v>
      </c>
      <c r="F106" s="41" t="str">
        <f>'Horizontal Teams'!F18</f>
        <v>LEAD</v>
      </c>
      <c r="G106" s="41" t="str">
        <f>'Horizontal Teams'!G18</f>
        <v>E3</v>
      </c>
      <c r="H106" s="41" t="str">
        <f>'Horizontal Teams'!H18</f>
        <v>ON</v>
      </c>
      <c r="I106" s="41" t="str">
        <f>'Horizontal Teams'!I18</f>
        <v>FTC</v>
      </c>
      <c r="J106" s="36">
        <f>'Horizontal Teams'!J18</f>
        <v>1</v>
      </c>
      <c r="K106" s="26">
        <v>1</v>
      </c>
      <c r="L106" s="42">
        <f t="shared" si="6"/>
        <v>1</v>
      </c>
      <c r="M106" s="42">
        <f>L106*INDEX('Logic Tree'!$J$80:$N$81,MATCH(H106,'Logic Tree'!$I$80:$I$81,0),MATCH(G106,'Logic Tree'!$J$79:$N$79,0))</f>
        <v>1.35</v>
      </c>
    </row>
    <row r="107" spans="1:13" hidden="1" x14ac:dyDescent="0.35">
      <c r="A107" s="12">
        <f>'Horizontal Teams'!B19</f>
        <v>1</v>
      </c>
      <c r="B107" s="30" t="s">
        <v>783</v>
      </c>
      <c r="C107" s="41" t="str">
        <f>'Horizontal Teams'!C19</f>
        <v>H3</v>
      </c>
      <c r="D107" s="30" t="s">
        <v>783</v>
      </c>
      <c r="E107" s="40" t="str">
        <f>'Horizontal Teams'!E19</f>
        <v>Transition &amp; Substrate Lead</v>
      </c>
      <c r="F107" s="41" t="str">
        <f>'Horizontal Teams'!F19</f>
        <v>ENG</v>
      </c>
      <c r="G107" s="41" t="str">
        <f>'Horizontal Teams'!G19</f>
        <v>E5</v>
      </c>
      <c r="H107" s="41" t="str">
        <f>'Horizontal Teams'!H19</f>
        <v>ON</v>
      </c>
      <c r="I107" s="41" t="str">
        <f>'Horizontal Teams'!I19</f>
        <v>FTC</v>
      </c>
      <c r="J107" s="36">
        <f>'Horizontal Teams'!J19</f>
        <v>1</v>
      </c>
      <c r="K107" s="26">
        <v>1</v>
      </c>
      <c r="L107" s="42">
        <f t="shared" si="6"/>
        <v>1</v>
      </c>
      <c r="M107" s="42">
        <f>L107*INDEX('Logic Tree'!$J$80:$N$81,MATCH(H107,'Logic Tree'!$I$80:$I$81,0),MATCH(G107,'Logic Tree'!$J$79:$N$79,0))</f>
        <v>2.5499999999999998</v>
      </c>
    </row>
    <row r="108" spans="1:13" hidden="1" x14ac:dyDescent="0.35">
      <c r="A108" s="12">
        <f>'Horizontal Teams'!B20</f>
        <v>1</v>
      </c>
      <c r="B108" s="30" t="s">
        <v>783</v>
      </c>
      <c r="C108" s="41" t="str">
        <f>'Horizontal Teams'!C20</f>
        <v>H3</v>
      </c>
      <c r="D108" s="30" t="s">
        <v>783</v>
      </c>
      <c r="E108" s="40" t="str">
        <f>'Horizontal Teams'!E20</f>
        <v>Business Analyst (MetLife)</v>
      </c>
      <c r="F108" s="41" t="str">
        <f>'Horizontal Teams'!F20</f>
        <v>BA</v>
      </c>
      <c r="G108" s="41" t="str">
        <f>'Horizontal Teams'!G20</f>
        <v>E4</v>
      </c>
      <c r="H108" s="41" t="str">
        <f>'Horizontal Teams'!H20</f>
        <v>ON</v>
      </c>
      <c r="I108" s="41" t="str">
        <f>'Horizontal Teams'!I20</f>
        <v>FTE</v>
      </c>
      <c r="J108" s="36">
        <f>'Horizontal Teams'!J20</f>
        <v>2</v>
      </c>
      <c r="K108" s="26">
        <v>1</v>
      </c>
      <c r="L108" s="42">
        <f t="shared" si="6"/>
        <v>2</v>
      </c>
      <c r="M108" s="42">
        <f>L108*INDEX('Logic Tree'!$J$80:$N$81,MATCH(H108,'Logic Tree'!$I$80:$I$81,0),MATCH(G108,'Logic Tree'!$J$79:$N$79,0))</f>
        <v>3.7</v>
      </c>
    </row>
    <row r="109" spans="1:13" x14ac:dyDescent="0.35">
      <c r="A109" s="12">
        <f>'Horizontal Teams'!B24</f>
        <v>2</v>
      </c>
      <c r="B109" s="30" t="s">
        <v>783</v>
      </c>
      <c r="C109" s="41" t="str">
        <f>'Horizontal Teams'!C24</f>
        <v>H1</v>
      </c>
      <c r="D109" s="30" t="s">
        <v>783</v>
      </c>
      <c r="E109" s="40" t="str">
        <f>'Horizontal Teams'!E24</f>
        <v>Service Delivery Lead</v>
      </c>
      <c r="F109" s="41" t="str">
        <f>'Horizontal Teams'!F24</f>
        <v>LEAD</v>
      </c>
      <c r="G109" s="41" t="str">
        <f>'Horizontal Teams'!G24</f>
        <v>E4</v>
      </c>
      <c r="H109" s="41" t="str">
        <f>'Horizontal Teams'!H24</f>
        <v>ON</v>
      </c>
      <c r="I109" s="41" t="str">
        <f>'Horizontal Teams'!I24</f>
        <v>FTC</v>
      </c>
      <c r="J109" s="36">
        <f>'Horizontal Teams'!J24</f>
        <v>1</v>
      </c>
      <c r="K109" s="26">
        <v>1</v>
      </c>
      <c r="L109" s="42">
        <f t="shared" si="6"/>
        <v>1</v>
      </c>
      <c r="M109" s="42">
        <f>L109*INDEX('Logic Tree'!$J$80:$N$81,MATCH(H109,'Logic Tree'!$I$80:$I$81,0),MATCH(G109,'Logic Tree'!$J$79:$N$79,0))</f>
        <v>1.85</v>
      </c>
    </row>
    <row r="110" spans="1:13" x14ac:dyDescent="0.35">
      <c r="A110" s="12">
        <f>'Horizontal Teams'!B25</f>
        <v>2</v>
      </c>
      <c r="B110" s="30" t="s">
        <v>783</v>
      </c>
      <c r="C110" s="41" t="str">
        <f>'Horizontal Teams'!C25</f>
        <v>H1</v>
      </c>
      <c r="D110" s="30" t="s">
        <v>783</v>
      </c>
      <c r="E110" s="40" t="str">
        <f>'Horizontal Teams'!E25</f>
        <v>MetLife Data Infrastructure Domain Lead</v>
      </c>
      <c r="F110" s="41" t="str">
        <f>'Horizontal Teams'!F25</f>
        <v>OPS</v>
      </c>
      <c r="G110" s="41" t="str">
        <f>'Horizontal Teams'!G25</f>
        <v>E4</v>
      </c>
      <c r="H110" s="41" t="str">
        <f>'Horizontal Teams'!H25</f>
        <v>ON</v>
      </c>
      <c r="I110" s="41" t="str">
        <f>'Horizontal Teams'!I25</f>
        <v>FTE</v>
      </c>
      <c r="J110" s="36">
        <f>'Horizontal Teams'!J25</f>
        <v>1</v>
      </c>
      <c r="K110" s="26">
        <v>1</v>
      </c>
      <c r="L110" s="42">
        <f t="shared" si="6"/>
        <v>1</v>
      </c>
      <c r="M110" s="42">
        <f>L110*INDEX('Logic Tree'!$J$80:$N$81,MATCH(H110,'Logic Tree'!$I$80:$I$81,0),MATCH(G110,'Logic Tree'!$J$79:$N$79,0))</f>
        <v>1.85</v>
      </c>
    </row>
    <row r="111" spans="1:13" x14ac:dyDescent="0.35">
      <c r="A111" s="12">
        <f>'Horizontal Teams'!B26</f>
        <v>2</v>
      </c>
      <c r="B111" s="30" t="s">
        <v>783</v>
      </c>
      <c r="C111" s="41" t="str">
        <f>'Horizontal Teams'!C26</f>
        <v>H1</v>
      </c>
      <c r="D111" s="30" t="s">
        <v>783</v>
      </c>
      <c r="E111" s="40" t="str">
        <f>'Horizontal Teams'!E26</f>
        <v>MetLife Platform Operations Engineers</v>
      </c>
      <c r="F111" s="41" t="str">
        <f>'Horizontal Teams'!F26</f>
        <v>OPS</v>
      </c>
      <c r="G111" s="41" t="str">
        <f>'Horizontal Teams'!G26</f>
        <v>E3</v>
      </c>
      <c r="H111" s="41" t="str">
        <f>'Horizontal Teams'!H26</f>
        <v>ON</v>
      </c>
      <c r="I111" s="41" t="str">
        <f>'Horizontal Teams'!I26</f>
        <v>FTE</v>
      </c>
      <c r="J111" s="36">
        <f>'Horizontal Teams'!J26</f>
        <v>1</v>
      </c>
      <c r="K111" s="26">
        <v>1</v>
      </c>
      <c r="L111" s="42">
        <f t="shared" si="6"/>
        <v>1</v>
      </c>
      <c r="M111" s="42">
        <f>L111*INDEX('Logic Tree'!$J$80:$N$81,MATCH(H111,'Logic Tree'!$I$80:$I$81,0),MATCH(G111,'Logic Tree'!$J$79:$N$79,0))</f>
        <v>1.35</v>
      </c>
    </row>
    <row r="112" spans="1:13" x14ac:dyDescent="0.35">
      <c r="A112" s="12">
        <f>'Horizontal Teams'!B27</f>
        <v>2</v>
      </c>
      <c r="B112" s="30" t="s">
        <v>783</v>
      </c>
      <c r="C112" s="41" t="str">
        <f>'Horizontal Teams'!C27</f>
        <v>H1</v>
      </c>
      <c r="D112" s="30" t="s">
        <v>783</v>
      </c>
      <c r="E112" s="40" t="str">
        <f>'Horizontal Teams'!E27</f>
        <v>Data Platform SRE</v>
      </c>
      <c r="F112" s="41" t="str">
        <f>'Horizontal Teams'!F27</f>
        <v>ENG</v>
      </c>
      <c r="G112" s="41" t="str">
        <f>'Horizontal Teams'!G27</f>
        <v>E3</v>
      </c>
      <c r="H112" s="41" t="str">
        <f>'Horizontal Teams'!H27</f>
        <v>OFF</v>
      </c>
      <c r="I112" s="41" t="str">
        <f>'Horizontal Teams'!I27</f>
        <v>MGCC</v>
      </c>
      <c r="J112" s="36">
        <f>'Horizontal Teams'!J27</f>
        <v>3</v>
      </c>
      <c r="K112" s="26">
        <v>1</v>
      </c>
      <c r="L112" s="42">
        <f t="shared" si="6"/>
        <v>3</v>
      </c>
      <c r="M112" s="42">
        <f>L112*INDEX('Logic Tree'!$J$80:$N$81,MATCH(H112,'Logic Tree'!$I$80:$I$81,0),MATCH(G112,'Logic Tree'!$J$79:$N$79,0))</f>
        <v>1.26</v>
      </c>
    </row>
    <row r="113" spans="1:13" x14ac:dyDescent="0.35">
      <c r="A113" s="12">
        <f>'Horizontal Teams'!B28</f>
        <v>2</v>
      </c>
      <c r="B113" s="30" t="s">
        <v>783</v>
      </c>
      <c r="C113" s="41" t="str">
        <f>'Horizontal Teams'!C28</f>
        <v>H1</v>
      </c>
      <c r="D113" s="30" t="s">
        <v>783</v>
      </c>
      <c r="E113" s="40" t="str">
        <f>'Horizontal Teams'!E28</f>
        <v>L2  Support Data Engr-Informatica</v>
      </c>
      <c r="F113" s="41" t="str">
        <f>'Horizontal Teams'!F28</f>
        <v>ENG</v>
      </c>
      <c r="G113" s="41" t="str">
        <f>'Horizontal Teams'!G28</f>
        <v>E3</v>
      </c>
      <c r="H113" s="41" t="str">
        <f>'Horizontal Teams'!H28</f>
        <v>OFF</v>
      </c>
      <c r="I113" s="41" t="str">
        <f>'Horizontal Teams'!I28</f>
        <v>FTC</v>
      </c>
      <c r="J113" s="36">
        <f>'Horizontal Teams'!J28</f>
        <v>2</v>
      </c>
      <c r="K113" s="26">
        <v>1</v>
      </c>
      <c r="L113" s="42">
        <f t="shared" si="6"/>
        <v>2</v>
      </c>
      <c r="M113" s="42">
        <f>L113*INDEX('Logic Tree'!$J$80:$N$81,MATCH(H113,'Logic Tree'!$I$80:$I$81,0),MATCH(G113,'Logic Tree'!$J$79:$N$79,0))</f>
        <v>0.84</v>
      </c>
    </row>
    <row r="114" spans="1:13" x14ac:dyDescent="0.35">
      <c r="A114" s="12">
        <f>'Horizontal Teams'!B29</f>
        <v>2</v>
      </c>
      <c r="B114" s="30" t="s">
        <v>783</v>
      </c>
      <c r="C114" s="41" t="str">
        <f>'Horizontal Teams'!C29</f>
        <v>H1</v>
      </c>
      <c r="D114" s="30" t="s">
        <v>783</v>
      </c>
      <c r="E114" s="40" t="str">
        <f>'Horizontal Teams'!E29</f>
        <v>L2  Support Data Engr-Azure</v>
      </c>
      <c r="F114" s="41" t="str">
        <f>'Horizontal Teams'!F29</f>
        <v>ENG</v>
      </c>
      <c r="G114" s="41" t="str">
        <f>'Horizontal Teams'!G29</f>
        <v>E2</v>
      </c>
      <c r="H114" s="41" t="str">
        <f>'Horizontal Teams'!H29</f>
        <v>OFF</v>
      </c>
      <c r="I114" s="41" t="str">
        <f>'Horizontal Teams'!I29</f>
        <v>FTC</v>
      </c>
      <c r="J114" s="36">
        <f>'Horizontal Teams'!J29</f>
        <v>2</v>
      </c>
      <c r="K114" s="26">
        <v>1</v>
      </c>
      <c r="L114" s="42">
        <f t="shared" ref="L114" si="7">J114*K114</f>
        <v>2</v>
      </c>
      <c r="M114" s="42">
        <f>L114*INDEX('Logic Tree'!$J$80:$N$81,MATCH(H114,'Logic Tree'!$I$80:$I$81,0),MATCH(G114,'Logic Tree'!$J$79:$N$79,0))</f>
        <v>0.6</v>
      </c>
    </row>
    <row r="115" spans="1:13" x14ac:dyDescent="0.35">
      <c r="A115" s="12">
        <f>'Horizontal Teams'!B31</f>
        <v>2</v>
      </c>
      <c r="B115" s="30" t="s">
        <v>783</v>
      </c>
      <c r="C115" s="41" t="str">
        <f>'Horizontal Teams'!C31</f>
        <v>H2</v>
      </c>
      <c r="D115" s="30" t="s">
        <v>783</v>
      </c>
      <c r="E115" s="40" t="str">
        <f>'Horizontal Teams'!E31</f>
        <v>Head of Data Platform Testing (MetLife)</v>
      </c>
      <c r="F115" s="41" t="str">
        <f>'Horizontal Teams'!F31</f>
        <v>LEAD</v>
      </c>
      <c r="G115" s="41" t="str">
        <f>'Horizontal Teams'!G31</f>
        <v>E5</v>
      </c>
      <c r="H115" s="41" t="str">
        <f>'Horizontal Teams'!H31</f>
        <v>ON</v>
      </c>
      <c r="I115" s="41" t="str">
        <f>'Horizontal Teams'!I31</f>
        <v>FTE</v>
      </c>
      <c r="J115" s="36">
        <f>'Horizontal Teams'!J31</f>
        <v>1</v>
      </c>
      <c r="K115" s="26">
        <v>1</v>
      </c>
      <c r="L115" s="42">
        <f t="shared" si="6"/>
        <v>1</v>
      </c>
      <c r="M115" s="42">
        <f>L115*INDEX('Logic Tree'!$J$80:$N$81,MATCH(H115,'Logic Tree'!$I$80:$I$81,0),MATCH(G115,'Logic Tree'!$J$79:$N$79,0))</f>
        <v>2.5499999999999998</v>
      </c>
    </row>
    <row r="116" spans="1:13" x14ac:dyDescent="0.35">
      <c r="A116" s="12">
        <f>'Horizontal Teams'!B32</f>
        <v>2</v>
      </c>
      <c r="B116" s="30" t="s">
        <v>783</v>
      </c>
      <c r="C116" s="41" t="str">
        <f>'Horizontal Teams'!C32</f>
        <v>H2</v>
      </c>
      <c r="D116" s="30" t="s">
        <v>783</v>
      </c>
      <c r="E116" s="40" t="str">
        <f>'Horizontal Teams'!E32</f>
        <v>MetLife Data Reconciliation and Quality Tester</v>
      </c>
      <c r="F116" s="41" t="str">
        <f>'Horizontal Teams'!F32</f>
        <v>TEST</v>
      </c>
      <c r="G116" s="41" t="str">
        <f>'Horizontal Teams'!G32</f>
        <v>E3</v>
      </c>
      <c r="H116" s="41" t="str">
        <f>'Horizontal Teams'!H32</f>
        <v>ON</v>
      </c>
      <c r="I116" s="41" t="str">
        <f>'Horizontal Teams'!I32</f>
        <v>FTE</v>
      </c>
      <c r="J116" s="36">
        <f>'Horizontal Teams'!J32</f>
        <v>1</v>
      </c>
      <c r="K116" s="26">
        <v>1</v>
      </c>
      <c r="L116" s="42">
        <f t="shared" si="6"/>
        <v>1</v>
      </c>
      <c r="M116" s="42">
        <f>L116*INDEX('Logic Tree'!$J$80:$N$81,MATCH(H116,'Logic Tree'!$I$80:$I$81,0),MATCH(G116,'Logic Tree'!$J$79:$N$79,0))</f>
        <v>1.35</v>
      </c>
    </row>
    <row r="117" spans="1:13" x14ac:dyDescent="0.35">
      <c r="A117" s="12">
        <f>'Horizontal Teams'!B33</f>
        <v>2</v>
      </c>
      <c r="B117" s="30" t="s">
        <v>783</v>
      </c>
      <c r="C117" s="41" t="str">
        <f>'Horizontal Teams'!C33</f>
        <v>H2</v>
      </c>
      <c r="D117" s="30" t="s">
        <v>783</v>
      </c>
      <c r="E117" s="40" t="str">
        <f>'Horizontal Teams'!E33</f>
        <v>AI Test Automation Engineer</v>
      </c>
      <c r="F117" s="41" t="str">
        <f>'Horizontal Teams'!F33</f>
        <v>TEST</v>
      </c>
      <c r="G117" s="41" t="str">
        <f>'Horizontal Teams'!G33</f>
        <v>E3</v>
      </c>
      <c r="H117" s="41" t="str">
        <f>'Horizontal Teams'!H33</f>
        <v>OFF</v>
      </c>
      <c r="I117" s="41" t="str">
        <f>'Horizontal Teams'!I33</f>
        <v>MGCC</v>
      </c>
      <c r="J117" s="36">
        <f>'Horizontal Teams'!J33</f>
        <v>3</v>
      </c>
      <c r="K117" s="26">
        <v>1</v>
      </c>
      <c r="L117" s="42">
        <f t="shared" si="6"/>
        <v>3</v>
      </c>
      <c r="M117" s="42">
        <f>L117*INDEX('Logic Tree'!$J$80:$N$81,MATCH(H117,'Logic Tree'!$I$80:$I$81,0),MATCH(G117,'Logic Tree'!$J$79:$N$79,0))</f>
        <v>1.26</v>
      </c>
    </row>
    <row r="118" spans="1:13" x14ac:dyDescent="0.35">
      <c r="A118" s="12">
        <f>'Horizontal Teams'!B34</f>
        <v>2</v>
      </c>
      <c r="B118" s="30" t="s">
        <v>783</v>
      </c>
      <c r="C118" s="41" t="str">
        <f>'Horizontal Teams'!C34</f>
        <v>H2</v>
      </c>
      <c r="D118" s="30" t="s">
        <v>783</v>
      </c>
      <c r="E118" s="40" t="str">
        <f>'Horizontal Teams'!E34</f>
        <v>Data Platform Test Lead</v>
      </c>
      <c r="F118" s="41" t="str">
        <f>'Horizontal Teams'!F34</f>
        <v>TEST</v>
      </c>
      <c r="G118" s="41" t="str">
        <f>'Horizontal Teams'!G34</f>
        <v>E4</v>
      </c>
      <c r="H118" s="41" t="str">
        <f>'Horizontal Teams'!H34</f>
        <v>ON</v>
      </c>
      <c r="I118" s="41" t="str">
        <f>'Horizontal Teams'!I34</f>
        <v>FTC</v>
      </c>
      <c r="J118" s="36">
        <f>'Horizontal Teams'!J34</f>
        <v>1</v>
      </c>
      <c r="K118" s="26">
        <v>1</v>
      </c>
      <c r="L118" s="42">
        <f t="shared" si="6"/>
        <v>1</v>
      </c>
      <c r="M118" s="42">
        <f>L118*INDEX('Logic Tree'!$J$80:$N$81,MATCH(H118,'Logic Tree'!$I$80:$I$81,0),MATCH(G118,'Logic Tree'!$J$79:$N$79,0))</f>
        <v>1.85</v>
      </c>
    </row>
    <row r="119" spans="1:13" x14ac:dyDescent="0.35">
      <c r="A119" s="12">
        <f>'Horizontal Teams'!B36</f>
        <v>2</v>
      </c>
      <c r="B119" s="30" t="s">
        <v>783</v>
      </c>
      <c r="C119" s="41" t="str">
        <f>'Horizontal Teams'!C36</f>
        <v>H3</v>
      </c>
      <c r="D119" s="30" t="s">
        <v>783</v>
      </c>
      <c r="E119" s="40" t="str">
        <f>'Horizontal Teams'!E36</f>
        <v>Data Domain Delivery Head</v>
      </c>
      <c r="F119" s="41" t="str">
        <f>'Horizontal Teams'!F36</f>
        <v>LEAD</v>
      </c>
      <c r="G119" s="41" t="str">
        <f>'Horizontal Teams'!G36</f>
        <v>E5</v>
      </c>
      <c r="H119" s="41" t="str">
        <f>'Horizontal Teams'!H36</f>
        <v>ON</v>
      </c>
      <c r="I119" s="41" t="str">
        <f>'Horizontal Teams'!I36</f>
        <v>FTC</v>
      </c>
      <c r="J119" s="36">
        <f>'Horizontal Teams'!J36</f>
        <v>1</v>
      </c>
      <c r="K119" s="26">
        <v>1</v>
      </c>
      <c r="L119" s="42">
        <f t="shared" si="6"/>
        <v>1</v>
      </c>
      <c r="M119" s="42">
        <f>L119*INDEX('Logic Tree'!$J$80:$N$81,MATCH(H119,'Logic Tree'!$I$80:$I$81,0),MATCH(G119,'Logic Tree'!$J$79:$N$79,0))</f>
        <v>2.5499999999999998</v>
      </c>
    </row>
    <row r="120" spans="1:13" x14ac:dyDescent="0.35">
      <c r="A120" s="12">
        <f>'Horizontal Teams'!B37</f>
        <v>2</v>
      </c>
      <c r="B120" s="30" t="s">
        <v>783</v>
      </c>
      <c r="C120" s="41" t="str">
        <f>'Horizontal Teams'!C37</f>
        <v>H3</v>
      </c>
      <c r="D120" s="30" t="s">
        <v>783</v>
      </c>
      <c r="E120" s="40" t="str">
        <f>'Horizontal Teams'!E37</f>
        <v>Chief Data Architect (MetLife)</v>
      </c>
      <c r="F120" s="41" t="str">
        <f>'Horizontal Teams'!F37</f>
        <v>ENG</v>
      </c>
      <c r="G120" s="41" t="str">
        <f>'Horizontal Teams'!G37</f>
        <v>E5</v>
      </c>
      <c r="H120" s="41" t="str">
        <f>'Horizontal Teams'!H37</f>
        <v>ON</v>
      </c>
      <c r="I120" s="41" t="str">
        <f>'Horizontal Teams'!I37</f>
        <v>FTE</v>
      </c>
      <c r="J120" s="36">
        <f>'Horizontal Teams'!J37</f>
        <v>1</v>
      </c>
      <c r="K120" s="26">
        <v>1</v>
      </c>
      <c r="L120" s="42">
        <f t="shared" si="6"/>
        <v>1</v>
      </c>
      <c r="M120" s="42">
        <f>L120*INDEX('Logic Tree'!$J$80:$N$81,MATCH(H120,'Logic Tree'!$I$80:$I$81,0),MATCH(G120,'Logic Tree'!$J$79:$N$79,0))</f>
        <v>2.5499999999999998</v>
      </c>
    </row>
    <row r="121" spans="1:13" x14ac:dyDescent="0.35">
      <c r="A121" s="12">
        <f>'Horizontal Teams'!B38</f>
        <v>2</v>
      </c>
      <c r="B121" s="30" t="s">
        <v>783</v>
      </c>
      <c r="C121" s="41" t="str">
        <f>'Horizontal Teams'!C38</f>
        <v>H3</v>
      </c>
      <c r="D121" s="30" t="s">
        <v>783</v>
      </c>
      <c r="E121" s="40" t="str">
        <f>'Horizontal Teams'!E38</f>
        <v>DevOps Lead</v>
      </c>
      <c r="F121" s="41" t="str">
        <f>'Horizontal Teams'!F38</f>
        <v>LEAD</v>
      </c>
      <c r="G121" s="41" t="str">
        <f>'Horizontal Teams'!G38</f>
        <v>E3</v>
      </c>
      <c r="H121" s="41" t="str">
        <f>'Horizontal Teams'!H38</f>
        <v>ON</v>
      </c>
      <c r="I121" s="41" t="str">
        <f>'Horizontal Teams'!I38</f>
        <v>FTC</v>
      </c>
      <c r="J121" s="36">
        <f>'Horizontal Teams'!J38</f>
        <v>1</v>
      </c>
      <c r="K121" s="26">
        <v>1</v>
      </c>
      <c r="L121" s="42">
        <f t="shared" si="6"/>
        <v>1</v>
      </c>
      <c r="M121" s="42">
        <f>L121*INDEX('Logic Tree'!$J$80:$N$81,MATCH(H121,'Logic Tree'!$I$80:$I$81,0),MATCH(G121,'Logic Tree'!$J$79:$N$79,0))</f>
        <v>1.35</v>
      </c>
    </row>
    <row r="122" spans="1:13" x14ac:dyDescent="0.35">
      <c r="A122" s="12">
        <f>'Horizontal Teams'!B39</f>
        <v>2</v>
      </c>
      <c r="B122" s="30" t="s">
        <v>783</v>
      </c>
      <c r="C122" s="41" t="str">
        <f>'Horizontal Teams'!C39</f>
        <v>H3</v>
      </c>
      <c r="D122" s="30" t="s">
        <v>783</v>
      </c>
      <c r="E122" s="40" t="str">
        <f>'Horizontal Teams'!E39</f>
        <v>AI Enablement Lead</v>
      </c>
      <c r="F122" s="41" t="str">
        <f>'Horizontal Teams'!F39</f>
        <v>ENG</v>
      </c>
      <c r="G122" s="41" t="str">
        <f>'Horizontal Teams'!G39</f>
        <v>E4</v>
      </c>
      <c r="H122" s="41" t="str">
        <f>'Horizontal Teams'!H39</f>
        <v>ON</v>
      </c>
      <c r="I122" s="41" t="str">
        <f>'Horizontal Teams'!I39</f>
        <v>FTC</v>
      </c>
      <c r="J122" s="36">
        <f>'Horizontal Teams'!J39</f>
        <v>1</v>
      </c>
      <c r="K122" s="26">
        <v>1</v>
      </c>
      <c r="L122" s="42">
        <f t="shared" si="6"/>
        <v>1</v>
      </c>
      <c r="M122" s="42">
        <f>L122*INDEX('Logic Tree'!$J$80:$N$81,MATCH(H122,'Logic Tree'!$I$80:$I$81,0),MATCH(G122,'Logic Tree'!$J$79:$N$79,0))</f>
        <v>1.85</v>
      </c>
    </row>
    <row r="123" spans="1:13" x14ac:dyDescent="0.35">
      <c r="A123" s="12">
        <f>'Horizontal Teams'!B40</f>
        <v>2</v>
      </c>
      <c r="B123" s="30" t="s">
        <v>783</v>
      </c>
      <c r="C123" s="41" t="str">
        <f>'Horizontal Teams'!C40</f>
        <v>H3</v>
      </c>
      <c r="D123" s="30" t="s">
        <v>783</v>
      </c>
      <c r="E123" s="40" t="str">
        <f>'Horizontal Teams'!E40</f>
        <v>Business Analyst (MetLife)</v>
      </c>
      <c r="F123" s="41" t="str">
        <f>'Horizontal Teams'!F40</f>
        <v>BA</v>
      </c>
      <c r="G123" s="41" t="str">
        <f>'Horizontal Teams'!G40</f>
        <v>E4</v>
      </c>
      <c r="H123" s="41" t="str">
        <f>'Horizontal Teams'!H40</f>
        <v>ON</v>
      </c>
      <c r="I123" s="41" t="str">
        <f>'Horizontal Teams'!I40</f>
        <v>FTE</v>
      </c>
      <c r="J123" s="36">
        <f>'Horizontal Teams'!J40</f>
        <v>1</v>
      </c>
      <c r="K123" s="26">
        <v>1</v>
      </c>
      <c r="L123" s="42">
        <f t="shared" si="6"/>
        <v>1</v>
      </c>
      <c r="M123" s="42">
        <f>L123*INDEX('Logic Tree'!$J$80:$N$81,MATCH(H123,'Logic Tree'!$I$80:$I$81,0),MATCH(G123,'Logic Tree'!$J$79:$N$79,0))</f>
        <v>1.85</v>
      </c>
    </row>
    <row r="124" spans="1:13" hidden="1" x14ac:dyDescent="0.35">
      <c r="A124" s="12">
        <f>'Horizontal Teams'!B44</f>
        <v>3</v>
      </c>
      <c r="B124" s="30" t="s">
        <v>783</v>
      </c>
      <c r="C124" s="41" t="str">
        <f>'Horizontal Teams'!C44</f>
        <v>H1</v>
      </c>
      <c r="D124" s="30" t="s">
        <v>783</v>
      </c>
      <c r="E124" s="40" t="str">
        <f>'Horizontal Teams'!E44</f>
        <v>Service Delivery Lead</v>
      </c>
      <c r="F124" s="41" t="str">
        <f>'Horizontal Teams'!F44</f>
        <v>LEAD</v>
      </c>
      <c r="G124" s="41" t="str">
        <f>'Horizontal Teams'!G44</f>
        <v>E4</v>
      </c>
      <c r="H124" s="41" t="str">
        <f>'Horizontal Teams'!H44</f>
        <v>ON</v>
      </c>
      <c r="I124" s="41" t="str">
        <f>'Horizontal Teams'!I44</f>
        <v>FTC</v>
      </c>
      <c r="J124" s="36">
        <f>'Horizontal Teams'!J44</f>
        <v>1</v>
      </c>
      <c r="K124" s="26">
        <v>1</v>
      </c>
      <c r="L124" s="42">
        <f t="shared" si="6"/>
        <v>1</v>
      </c>
      <c r="M124" s="42">
        <f>L124*INDEX('Logic Tree'!$J$80:$N$81,MATCH(H124,'Logic Tree'!$I$80:$I$81,0),MATCH(G124,'Logic Tree'!$J$79:$N$79,0))</f>
        <v>1.85</v>
      </c>
    </row>
    <row r="125" spans="1:13" hidden="1" x14ac:dyDescent="0.35">
      <c r="A125" s="12">
        <f>'Horizontal Teams'!B45</f>
        <v>3</v>
      </c>
      <c r="B125" s="30" t="s">
        <v>783</v>
      </c>
      <c r="C125" s="41" t="str">
        <f>'Horizontal Teams'!C45</f>
        <v>H1</v>
      </c>
      <c r="D125" s="30" t="s">
        <v>783</v>
      </c>
      <c r="E125" s="40" t="str">
        <f>'Horizontal Teams'!E45</f>
        <v>MetLife Data Infrastructure Domain Lead</v>
      </c>
      <c r="F125" s="41" t="str">
        <f>'Horizontal Teams'!F45</f>
        <v>OPS</v>
      </c>
      <c r="G125" s="41" t="str">
        <f>'Horizontal Teams'!G45</f>
        <v>E4</v>
      </c>
      <c r="H125" s="41" t="str">
        <f>'Horizontal Teams'!H45</f>
        <v>ON</v>
      </c>
      <c r="I125" s="41" t="str">
        <f>'Horizontal Teams'!I45</f>
        <v>FTE</v>
      </c>
      <c r="J125" s="36">
        <f>'Horizontal Teams'!J45</f>
        <v>1</v>
      </c>
      <c r="K125" s="26">
        <v>1</v>
      </c>
      <c r="L125" s="42">
        <f t="shared" si="6"/>
        <v>1</v>
      </c>
      <c r="M125" s="42">
        <f>L125*INDEX('Logic Tree'!$J$80:$N$81,MATCH(H125,'Logic Tree'!$I$80:$I$81,0),MATCH(G125,'Logic Tree'!$J$79:$N$79,0))</f>
        <v>1.85</v>
      </c>
    </row>
    <row r="126" spans="1:13" hidden="1" x14ac:dyDescent="0.35">
      <c r="A126" s="12">
        <f>'Horizontal Teams'!B46</f>
        <v>3</v>
      </c>
      <c r="B126" s="30" t="s">
        <v>783</v>
      </c>
      <c r="C126" s="41" t="str">
        <f>'Horizontal Teams'!C46</f>
        <v>H1</v>
      </c>
      <c r="D126" s="30" t="s">
        <v>783</v>
      </c>
      <c r="E126" s="40" t="str">
        <f>'Horizontal Teams'!E46</f>
        <v>MetLife Platform Operations Engineers</v>
      </c>
      <c r="F126" s="41" t="str">
        <f>'Horizontal Teams'!F46</f>
        <v>OPS</v>
      </c>
      <c r="G126" s="41" t="str">
        <f>'Horizontal Teams'!G46</f>
        <v>E3</v>
      </c>
      <c r="H126" s="41" t="str">
        <f>'Horizontal Teams'!H46</f>
        <v>ON</v>
      </c>
      <c r="I126" s="41" t="str">
        <f>'Horizontal Teams'!I46</f>
        <v>FTE</v>
      </c>
      <c r="J126" s="36">
        <f>'Horizontal Teams'!J46</f>
        <v>1</v>
      </c>
      <c r="K126" s="26">
        <v>1</v>
      </c>
      <c r="L126" s="42">
        <f t="shared" si="6"/>
        <v>1</v>
      </c>
      <c r="M126" s="42">
        <f>L126*INDEX('Logic Tree'!$J$80:$N$81,MATCH(H126,'Logic Tree'!$I$80:$I$81,0),MATCH(G126,'Logic Tree'!$J$79:$N$79,0))</f>
        <v>1.35</v>
      </c>
    </row>
    <row r="127" spans="1:13" hidden="1" x14ac:dyDescent="0.35">
      <c r="A127" s="12">
        <f>'Horizontal Teams'!B47</f>
        <v>3</v>
      </c>
      <c r="B127" s="30" t="s">
        <v>783</v>
      </c>
      <c r="C127" s="41" t="str">
        <f>'Horizontal Teams'!C47</f>
        <v>H1</v>
      </c>
      <c r="D127" s="30" t="s">
        <v>783</v>
      </c>
      <c r="E127" s="40" t="str">
        <f>'Horizontal Teams'!E47</f>
        <v>Data Platform SRE</v>
      </c>
      <c r="F127" s="41" t="str">
        <f>'Horizontal Teams'!F47</f>
        <v>ENG</v>
      </c>
      <c r="G127" s="41" t="str">
        <f>'Horizontal Teams'!G47</f>
        <v>E3</v>
      </c>
      <c r="H127" s="41" t="str">
        <f>'Horizontal Teams'!H47</f>
        <v>OFF</v>
      </c>
      <c r="I127" s="41" t="str">
        <f>'Horizontal Teams'!I47</f>
        <v>MGCC</v>
      </c>
      <c r="J127" s="36">
        <f>'Horizontal Teams'!J47</f>
        <v>3</v>
      </c>
      <c r="K127" s="26">
        <v>1</v>
      </c>
      <c r="L127" s="42">
        <f t="shared" si="6"/>
        <v>3</v>
      </c>
      <c r="M127" s="42">
        <f>L127*INDEX('Logic Tree'!$J$80:$N$81,MATCH(H127,'Logic Tree'!$I$80:$I$81,0),MATCH(G127,'Logic Tree'!$J$79:$N$79,0))</f>
        <v>1.26</v>
      </c>
    </row>
    <row r="128" spans="1:13" hidden="1" x14ac:dyDescent="0.35">
      <c r="A128" s="12">
        <f>'Horizontal Teams'!B48</f>
        <v>3</v>
      </c>
      <c r="B128" s="30" t="s">
        <v>783</v>
      </c>
      <c r="C128" s="41" t="str">
        <f>'Horizontal Teams'!C48</f>
        <v>H1</v>
      </c>
      <c r="D128" s="30" t="s">
        <v>783</v>
      </c>
      <c r="E128" s="40" t="str">
        <f>'Horizontal Teams'!E48</f>
        <v>L2  Support Data Engr- Informatica</v>
      </c>
      <c r="F128" s="41" t="str">
        <f>'Horizontal Teams'!F48</f>
        <v>ENG</v>
      </c>
      <c r="G128" s="41" t="str">
        <f>'Horizontal Teams'!G48</f>
        <v>E3</v>
      </c>
      <c r="H128" s="41" t="str">
        <f>'Horizontal Teams'!H48</f>
        <v>OFF</v>
      </c>
      <c r="I128" s="41" t="str">
        <f>'Horizontal Teams'!I48</f>
        <v>FTC</v>
      </c>
      <c r="J128" s="36">
        <f>'Horizontal Teams'!J48</f>
        <v>1</v>
      </c>
      <c r="K128" s="26">
        <v>1</v>
      </c>
      <c r="L128" s="42">
        <f t="shared" si="6"/>
        <v>1</v>
      </c>
      <c r="M128" s="42">
        <f>L128*INDEX('Logic Tree'!$J$80:$N$81,MATCH(H128,'Logic Tree'!$I$80:$I$81,0),MATCH(G128,'Logic Tree'!$J$79:$N$79,0))</f>
        <v>0.42</v>
      </c>
    </row>
    <row r="129" spans="1:13" hidden="1" x14ac:dyDescent="0.35">
      <c r="A129" s="12">
        <f>'Horizontal Teams'!B49</f>
        <v>3</v>
      </c>
      <c r="B129" s="30" t="s">
        <v>783</v>
      </c>
      <c r="C129" s="41" t="str">
        <f>'Horizontal Teams'!C49</f>
        <v>H1</v>
      </c>
      <c r="D129" s="30" t="s">
        <v>783</v>
      </c>
      <c r="E129" s="40" t="str">
        <f>'Horizontal Teams'!E49</f>
        <v>L2  Support Data Engr- Azure</v>
      </c>
      <c r="F129" s="41" t="str">
        <f>'Horizontal Teams'!F49</f>
        <v>ENG</v>
      </c>
      <c r="G129" s="41" t="str">
        <f>'Horizontal Teams'!G49</f>
        <v>E2</v>
      </c>
      <c r="H129" s="41" t="str">
        <f>'Horizontal Teams'!H49</f>
        <v>OFF</v>
      </c>
      <c r="I129" s="41" t="str">
        <f>'Horizontal Teams'!I49</f>
        <v>FTC</v>
      </c>
      <c r="J129" s="36">
        <f>'Horizontal Teams'!J49</f>
        <v>2</v>
      </c>
      <c r="K129" s="26">
        <v>1</v>
      </c>
      <c r="L129" s="42">
        <f t="shared" ref="L129" si="8">J129*K129</f>
        <v>2</v>
      </c>
      <c r="M129" s="42">
        <f>L129*INDEX('Logic Tree'!$J$80:$N$81,MATCH(H129,'Logic Tree'!$I$80:$I$81,0),MATCH(G129,'Logic Tree'!$J$79:$N$79,0))</f>
        <v>0.6</v>
      </c>
    </row>
    <row r="130" spans="1:13" hidden="1" x14ac:dyDescent="0.35">
      <c r="A130" s="12">
        <f>'Horizontal Teams'!B51</f>
        <v>3</v>
      </c>
      <c r="B130" s="30" t="s">
        <v>783</v>
      </c>
      <c r="C130" s="41" t="str">
        <f>'Horizontal Teams'!C51</f>
        <v>H2</v>
      </c>
      <c r="D130" s="30" t="s">
        <v>783</v>
      </c>
      <c r="E130" s="40" t="str">
        <f>'Horizontal Teams'!E51</f>
        <v>Head of Data Platform Testing (MetLife)</v>
      </c>
      <c r="F130" s="41" t="str">
        <f>'Horizontal Teams'!F51</f>
        <v>LEAD</v>
      </c>
      <c r="G130" s="41" t="str">
        <f>'Horizontal Teams'!G51</f>
        <v>E5</v>
      </c>
      <c r="H130" s="41" t="str">
        <f>'Horizontal Teams'!H51</f>
        <v>ON</v>
      </c>
      <c r="I130" s="41" t="str">
        <f>'Horizontal Teams'!I51</f>
        <v>FTE</v>
      </c>
      <c r="J130" s="36">
        <f>'Horizontal Teams'!J51</f>
        <v>1</v>
      </c>
      <c r="K130" s="26">
        <v>1</v>
      </c>
      <c r="L130" s="42">
        <f t="shared" si="6"/>
        <v>1</v>
      </c>
      <c r="M130" s="42">
        <f>L130*INDEX('Logic Tree'!$J$80:$N$81,MATCH(H130,'Logic Tree'!$I$80:$I$81,0),MATCH(G130,'Logic Tree'!$J$79:$N$79,0))</f>
        <v>2.5499999999999998</v>
      </c>
    </row>
    <row r="131" spans="1:13" hidden="1" x14ac:dyDescent="0.35">
      <c r="A131" s="12">
        <f>'Horizontal Teams'!B52</f>
        <v>3</v>
      </c>
      <c r="B131" s="30" t="s">
        <v>783</v>
      </c>
      <c r="C131" s="41" t="str">
        <f>'Horizontal Teams'!C52</f>
        <v>H2</v>
      </c>
      <c r="D131" s="30" t="s">
        <v>783</v>
      </c>
      <c r="E131" s="40" t="str">
        <f>'Horizontal Teams'!E52</f>
        <v>MetLife Data Reconciliation and Quality Tester</v>
      </c>
      <c r="F131" s="41" t="str">
        <f>'Horizontal Teams'!F52</f>
        <v>TEST</v>
      </c>
      <c r="G131" s="41" t="str">
        <f>'Horizontal Teams'!G52</f>
        <v>E3</v>
      </c>
      <c r="H131" s="41" t="str">
        <f>'Horizontal Teams'!H52</f>
        <v>ON</v>
      </c>
      <c r="I131" s="41" t="str">
        <f>'Horizontal Teams'!I52</f>
        <v>FTE</v>
      </c>
      <c r="J131" s="36">
        <f>'Horizontal Teams'!J52</f>
        <v>2</v>
      </c>
      <c r="K131" s="26">
        <v>1</v>
      </c>
      <c r="L131" s="42">
        <f t="shared" si="6"/>
        <v>2</v>
      </c>
      <c r="M131" s="42">
        <f>L131*INDEX('Logic Tree'!$J$80:$N$81,MATCH(H131,'Logic Tree'!$I$80:$I$81,0),MATCH(G131,'Logic Tree'!$J$79:$N$79,0))</f>
        <v>2.7</v>
      </c>
    </row>
    <row r="132" spans="1:13" hidden="1" x14ac:dyDescent="0.35">
      <c r="A132" s="12">
        <f>'Horizontal Teams'!B53</f>
        <v>3</v>
      </c>
      <c r="B132" s="30" t="s">
        <v>783</v>
      </c>
      <c r="C132" s="41" t="str">
        <f>'Horizontal Teams'!C53</f>
        <v>H2</v>
      </c>
      <c r="D132" s="30" t="s">
        <v>783</v>
      </c>
      <c r="E132" s="40" t="str">
        <f>'Horizontal Teams'!E53</f>
        <v>AI Test Automation Engineer</v>
      </c>
      <c r="F132" s="41" t="str">
        <f>'Horizontal Teams'!F53</f>
        <v>TEST</v>
      </c>
      <c r="G132" s="41" t="str">
        <f>'Horizontal Teams'!G53</f>
        <v>E3</v>
      </c>
      <c r="H132" s="41" t="str">
        <f>'Horizontal Teams'!H53</f>
        <v>OFF</v>
      </c>
      <c r="I132" s="41" t="str">
        <f>'Horizontal Teams'!I53</f>
        <v>MGCC</v>
      </c>
      <c r="J132" s="36">
        <f>'Horizontal Teams'!J53</f>
        <v>3</v>
      </c>
      <c r="K132" s="26">
        <v>1</v>
      </c>
      <c r="L132" s="42">
        <f t="shared" si="6"/>
        <v>3</v>
      </c>
      <c r="M132" s="42">
        <f>L132*INDEX('Logic Tree'!$J$80:$N$81,MATCH(H132,'Logic Tree'!$I$80:$I$81,0),MATCH(G132,'Logic Tree'!$J$79:$N$79,0))</f>
        <v>1.26</v>
      </c>
    </row>
    <row r="133" spans="1:13" hidden="1" x14ac:dyDescent="0.35">
      <c r="A133" s="12">
        <f>'Horizontal Teams'!B54</f>
        <v>3</v>
      </c>
      <c r="B133" s="30" t="s">
        <v>783</v>
      </c>
      <c r="C133" s="41" t="str">
        <f>'Horizontal Teams'!C54</f>
        <v>H2</v>
      </c>
      <c r="D133" s="30" t="s">
        <v>783</v>
      </c>
      <c r="E133" s="40" t="str">
        <f>'Horizontal Teams'!E54</f>
        <v>Data Platform Test Lead</v>
      </c>
      <c r="F133" s="41" t="str">
        <f>'Horizontal Teams'!F54</f>
        <v>TEST</v>
      </c>
      <c r="G133" s="41" t="str">
        <f>'Horizontal Teams'!G54</f>
        <v>E4</v>
      </c>
      <c r="H133" s="41" t="str">
        <f>'Horizontal Teams'!H54</f>
        <v>OFF</v>
      </c>
      <c r="I133" s="41" t="str">
        <f>'Horizontal Teams'!I54</f>
        <v>FTC</v>
      </c>
      <c r="J133" s="36">
        <f>'Horizontal Teams'!J54</f>
        <v>1</v>
      </c>
      <c r="K133" s="26">
        <v>1</v>
      </c>
      <c r="L133" s="42">
        <f t="shared" si="6"/>
        <v>1</v>
      </c>
      <c r="M133" s="42">
        <f>L133*INDEX('Logic Tree'!$J$80:$N$81,MATCH(H133,'Logic Tree'!$I$80:$I$81,0),MATCH(G133,'Logic Tree'!$J$79:$N$79,0))</f>
        <v>0.6</v>
      </c>
    </row>
    <row r="134" spans="1:13" hidden="1" x14ac:dyDescent="0.35">
      <c r="A134" s="12">
        <f>'Horizontal Teams'!B56</f>
        <v>3</v>
      </c>
      <c r="B134" s="30" t="s">
        <v>783</v>
      </c>
      <c r="C134" s="41" t="str">
        <f>'Horizontal Teams'!C56</f>
        <v>H3</v>
      </c>
      <c r="D134" s="30" t="s">
        <v>783</v>
      </c>
      <c r="E134" s="40" t="str">
        <f>'Horizontal Teams'!E56</f>
        <v>Data Domain Delivery Head</v>
      </c>
      <c r="F134" s="41" t="str">
        <f>'Horizontal Teams'!F56</f>
        <v>LEAD</v>
      </c>
      <c r="G134" s="41" t="str">
        <f>'Horizontal Teams'!G56</f>
        <v>E5</v>
      </c>
      <c r="H134" s="41" t="str">
        <f>'Horizontal Teams'!H56</f>
        <v>ON</v>
      </c>
      <c r="I134" s="41" t="str">
        <f>'Horizontal Teams'!I56</f>
        <v>FTC</v>
      </c>
      <c r="J134" s="36">
        <f>'Horizontal Teams'!J56</f>
        <v>1</v>
      </c>
      <c r="K134" s="26">
        <v>1</v>
      </c>
      <c r="L134" s="42">
        <f t="shared" si="6"/>
        <v>1</v>
      </c>
      <c r="M134" s="42">
        <f>L134*INDEX('Logic Tree'!$J$80:$N$81,MATCH(H134,'Logic Tree'!$I$80:$I$81,0),MATCH(G134,'Logic Tree'!$J$79:$N$79,0))</f>
        <v>2.5499999999999998</v>
      </c>
    </row>
    <row r="135" spans="1:13" hidden="1" x14ac:dyDescent="0.35">
      <c r="A135" s="12">
        <f>'Horizontal Teams'!B57</f>
        <v>3</v>
      </c>
      <c r="B135" s="30" t="s">
        <v>783</v>
      </c>
      <c r="C135" s="41" t="str">
        <f>'Horizontal Teams'!C57</f>
        <v>H3</v>
      </c>
      <c r="D135" s="30" t="s">
        <v>783</v>
      </c>
      <c r="E135" s="40" t="str">
        <f>'Horizontal Teams'!E57</f>
        <v>Chief Data Architect (MetLife)</v>
      </c>
      <c r="F135" s="41" t="str">
        <f>'Horizontal Teams'!F57</f>
        <v>ENG</v>
      </c>
      <c r="G135" s="41" t="str">
        <f>'Horizontal Teams'!G57</f>
        <v>E5</v>
      </c>
      <c r="H135" s="41" t="str">
        <f>'Horizontal Teams'!H57</f>
        <v>ON</v>
      </c>
      <c r="I135" s="41" t="str">
        <f>'Horizontal Teams'!I57</f>
        <v>FTE</v>
      </c>
      <c r="J135" s="36">
        <f>'Horizontal Teams'!J57</f>
        <v>1</v>
      </c>
      <c r="K135" s="26">
        <v>1</v>
      </c>
      <c r="L135" s="42">
        <f t="shared" si="6"/>
        <v>1</v>
      </c>
      <c r="M135" s="42">
        <f>L135*INDEX('Logic Tree'!$J$80:$N$81,MATCH(H135,'Logic Tree'!$I$80:$I$81,0),MATCH(G135,'Logic Tree'!$J$79:$N$79,0))</f>
        <v>2.5499999999999998</v>
      </c>
    </row>
    <row r="136" spans="1:13" hidden="1" x14ac:dyDescent="0.35">
      <c r="A136" s="12">
        <f>'Horizontal Teams'!B58</f>
        <v>3</v>
      </c>
      <c r="B136" s="30" t="s">
        <v>783</v>
      </c>
      <c r="C136" s="41" t="str">
        <f>'Horizontal Teams'!C58</f>
        <v>H3</v>
      </c>
      <c r="D136" s="30" t="s">
        <v>783</v>
      </c>
      <c r="E136" s="40" t="str">
        <f>'Horizontal Teams'!E58</f>
        <v>DevOps Lead</v>
      </c>
      <c r="F136" s="41" t="str">
        <f>'Horizontal Teams'!F58</f>
        <v>LEAD</v>
      </c>
      <c r="G136" s="41" t="str">
        <f>'Horizontal Teams'!G58</f>
        <v>E3</v>
      </c>
      <c r="H136" s="41" t="str">
        <f>'Horizontal Teams'!H58</f>
        <v>OFF</v>
      </c>
      <c r="I136" s="41" t="str">
        <f>'Horizontal Teams'!I58</f>
        <v>FTC</v>
      </c>
      <c r="J136" s="36">
        <f>'Horizontal Teams'!J58</f>
        <v>1</v>
      </c>
      <c r="K136" s="26">
        <v>1</v>
      </c>
      <c r="L136" s="42">
        <f t="shared" ref="L136:L138" si="9">J136*K136</f>
        <v>1</v>
      </c>
      <c r="M136" s="42">
        <f>L136*INDEX('Logic Tree'!$J$80:$N$81,MATCH(H136,'Logic Tree'!$I$80:$I$81,0),MATCH(G136,'Logic Tree'!$J$79:$N$79,0))</f>
        <v>0.42</v>
      </c>
    </row>
    <row r="137" spans="1:13" hidden="1" x14ac:dyDescent="0.35">
      <c r="A137" s="12">
        <f>'Horizontal Teams'!B59</f>
        <v>3</v>
      </c>
      <c r="B137" s="30" t="s">
        <v>783</v>
      </c>
      <c r="C137" s="41" t="str">
        <f>'Horizontal Teams'!C59</f>
        <v>H3</v>
      </c>
      <c r="D137" s="30" t="s">
        <v>783</v>
      </c>
      <c r="E137" s="40" t="str">
        <f>'Horizontal Teams'!E59</f>
        <v>AI Enablement Lead</v>
      </c>
      <c r="F137" s="41" t="str">
        <f>'Horizontal Teams'!F59</f>
        <v>ENG</v>
      </c>
      <c r="G137" s="41" t="str">
        <f>'Horizontal Teams'!G59</f>
        <v>E4</v>
      </c>
      <c r="H137" s="41" t="str">
        <f>'Horizontal Teams'!H59</f>
        <v>OFF</v>
      </c>
      <c r="I137" s="41" t="str">
        <f>'Horizontal Teams'!I59</f>
        <v>FTC</v>
      </c>
      <c r="J137" s="36">
        <f>'Horizontal Teams'!J59</f>
        <v>1</v>
      </c>
      <c r="K137" s="26">
        <v>1</v>
      </c>
      <c r="L137" s="42">
        <f t="shared" si="9"/>
        <v>1</v>
      </c>
      <c r="M137" s="42">
        <f>L137*INDEX('Logic Tree'!$J$80:$N$81,MATCH(H137,'Logic Tree'!$I$80:$I$81,0),MATCH(G137,'Logic Tree'!$J$79:$N$79,0))</f>
        <v>0.6</v>
      </c>
    </row>
    <row r="138" spans="1:13" hidden="1" x14ac:dyDescent="0.35">
      <c r="A138" s="12">
        <f>'Horizontal Teams'!B60</f>
        <v>3</v>
      </c>
      <c r="B138" s="30" t="s">
        <v>783</v>
      </c>
      <c r="C138" s="41" t="str">
        <f>'Horizontal Teams'!C60</f>
        <v>H3</v>
      </c>
      <c r="D138" s="30" t="s">
        <v>783</v>
      </c>
      <c r="E138" s="40" t="str">
        <f>'Horizontal Teams'!E60</f>
        <v>Business Analyst (MetLife)</v>
      </c>
      <c r="F138" s="41" t="str">
        <f>'Horizontal Teams'!F60</f>
        <v>BA</v>
      </c>
      <c r="G138" s="41" t="str">
        <f>'Horizontal Teams'!G60</f>
        <v>E4</v>
      </c>
      <c r="H138" s="41" t="str">
        <f>'Horizontal Teams'!H60</f>
        <v>ON</v>
      </c>
      <c r="I138" s="41" t="str">
        <f>'Horizontal Teams'!I60</f>
        <v>FTE</v>
      </c>
      <c r="J138" s="36">
        <f>'Horizontal Teams'!J60</f>
        <v>1</v>
      </c>
      <c r="K138" s="26">
        <v>1</v>
      </c>
      <c r="L138" s="42">
        <f t="shared" si="9"/>
        <v>1</v>
      </c>
      <c r="M138" s="42">
        <f>L138*INDEX('Logic Tree'!$J$80:$N$81,MATCH(H138,'Logic Tree'!$I$80:$I$81,0),MATCH(G138,'Logic Tree'!$J$79:$N$79,0))</f>
        <v>1.85</v>
      </c>
    </row>
    <row r="148" spans="5:5" x14ac:dyDescent="0.35">
      <c r="E148" s="81"/>
    </row>
  </sheetData>
  <autoFilter ref="A4:N138" xr:uid="{00000000-0001-0000-0B00-000000000000}">
    <filterColumn colId="0">
      <filters>
        <filter val="2"/>
      </filters>
    </filterColumn>
  </autoFilter>
  <mergeCells count="2">
    <mergeCell ref="A2:N2"/>
    <mergeCell ref="A1:N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6F9B9AA9FDD341B4BEBD17B645EC21" ma:contentTypeVersion="8" ma:contentTypeDescription="Create a new document." ma:contentTypeScope="" ma:versionID="5745af9a74d46f102bb11af60999e8af">
  <xsd:schema xmlns:xsd="http://www.w3.org/2001/XMLSchema" xmlns:xs="http://www.w3.org/2001/XMLSchema" xmlns:p="http://schemas.microsoft.com/office/2006/metadata/properties" xmlns:ns2="a84add37-9773-464e-afdf-4ed72a97b2aa" targetNamespace="http://schemas.microsoft.com/office/2006/metadata/properties" ma:root="true" ma:fieldsID="849244e1f35761c386d289d5fd495158" ns2:_="">
    <xsd:import namespace="a84add37-9773-464e-afdf-4ed72a97b2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add37-9773-464e-afdf-4ed72a97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602F00-3EFA-4F89-B67A-8BF9E4E59C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2A9772-9039-4F17-BDDD-39AB0BAE61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4add37-9773-464e-afdf-4ed72a97b2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045938-EA33-4761-8B4D-E3B77988503A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a84add37-9773-464e-afdf-4ed72a97b2aa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Logic Tree</vt:lpstr>
      <vt:lpstr>Inventory</vt:lpstr>
      <vt:lpstr>Value Streams</vt:lpstr>
      <vt:lpstr>Pod Library</vt:lpstr>
      <vt:lpstr>Pod Plan</vt:lpstr>
      <vt:lpstr>Horizontal Teams</vt:lpstr>
      <vt:lpstr>Team Build-Up</vt:lpstr>
      <vt:lpstr>Glidepath &amp; 50-50</vt:lpstr>
      <vt:lpstr>Cost &amp; Commercial</vt:lpstr>
      <vt:lpstr>Unit Cost Sensitivity</vt:lpstr>
      <vt:lpstr>Seat Ledger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Khadilkar, Omkar</cp:lastModifiedBy>
  <cp:revision/>
  <dcterms:created xsi:type="dcterms:W3CDTF">2026-09-02T10:58:20Z</dcterms:created>
  <dcterms:modified xsi:type="dcterms:W3CDTF">2026-09-04T08:16:44Z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0x010100E76F9B9AA9FDD341B4BEBD17B645EC21</vt:lpwstr>
  </property>
</Properties>
</file>