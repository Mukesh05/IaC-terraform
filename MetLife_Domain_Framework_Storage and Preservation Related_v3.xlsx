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8" activeTab="9" autoFilterDateGrouping="1"/>
  </bookViews>
  <sheets>
    <sheet xmlns:r="http://schemas.openxmlformats.org/officeDocument/2006/relationships" name="README" sheetId="1" state="visible" r:id="rId1"/>
    <sheet xmlns:r="http://schemas.openxmlformats.org/officeDocument/2006/relationships" name="Basis &amp; Assumptions" sheetId="2" state="visible" r:id="rId2"/>
    <sheet xmlns:r="http://schemas.openxmlformats.org/officeDocument/2006/relationships" name="Change Control" sheetId="3" state="visible" r:id="rId3"/>
    <sheet xmlns:r="http://schemas.openxmlformats.org/officeDocument/2006/relationships" name="Logic Tree" sheetId="4" state="visible" r:id="rId4"/>
    <sheet xmlns:r="http://schemas.openxmlformats.org/officeDocument/2006/relationships" name="Sourcing &amp; Productivity" sheetId="5" state="visible" r:id="rId5"/>
    <sheet xmlns:r="http://schemas.openxmlformats.org/officeDocument/2006/relationships" name="Delivery Mode" sheetId="6" state="visible" r:id="rId6"/>
    <sheet xmlns:r="http://schemas.openxmlformats.org/officeDocument/2006/relationships" name="AMS &amp; Ticket Load" sheetId="7" state="visible" r:id="rId7"/>
    <sheet xmlns:r="http://schemas.openxmlformats.org/officeDocument/2006/relationships" name="Inventory" sheetId="8" state="visible" r:id="rId8"/>
    <sheet xmlns:r="http://schemas.openxmlformats.org/officeDocument/2006/relationships" name="Value Streams" sheetId="9" state="visible" r:id="rId9"/>
    <sheet xmlns:r="http://schemas.openxmlformats.org/officeDocument/2006/relationships" name="Pod Library" sheetId="10" state="visible" r:id="rId10"/>
    <sheet xmlns:r="http://schemas.openxmlformats.org/officeDocument/2006/relationships" name="Pod Plan" sheetId="11" state="visible" r:id="rId11"/>
    <sheet xmlns:r="http://schemas.openxmlformats.org/officeDocument/2006/relationships" name="Horizontal Teams" sheetId="12" state="visible" r:id="rId12"/>
    <sheet xmlns:r="http://schemas.openxmlformats.org/officeDocument/2006/relationships" name="Team Build-Up" sheetId="13" state="visible" r:id="rId13"/>
    <sheet xmlns:r="http://schemas.openxmlformats.org/officeDocument/2006/relationships" name="Inherited Workforce" sheetId="14" state="visible" r:id="rId14"/>
    <sheet xmlns:r="http://schemas.openxmlformats.org/officeDocument/2006/relationships" name="Glidepath &amp; 50-50" sheetId="15" state="visible" r:id="rId15"/>
    <sheet xmlns:r="http://schemas.openxmlformats.org/officeDocument/2006/relationships" name="Cost &amp; Commercial" sheetId="16" state="visible" r:id="rId16"/>
    <sheet xmlns:r="http://schemas.openxmlformats.org/officeDocument/2006/relationships" name="Seat Ledger" sheetId="17" state="visible" r:id="rId17"/>
    <sheet xmlns:r="http://schemas.openxmlformats.org/officeDocument/2006/relationships" name="SIT Loading" sheetId="18" state="visible" r:id="rId18"/>
    <sheet xmlns:r="http://schemas.openxmlformats.org/officeDocument/2006/relationships" name="Unit Cost Sensitivity" sheetId="19" state="visible" r:id="rId19"/>
  </sheets>
  <definedNames/>
  <calcPr calcId="191029" fullCalcOnLoad="1" iterateDelta="0.0001"/>
</workbook>
</file>

<file path=xl/styles.xml><?xml version="1.0" encoding="utf-8"?>
<styleSheet xmlns="http://schemas.openxmlformats.org/spreadsheetml/2006/main">
  <numFmts count="4">
    <numFmt numFmtId="164" formatCode="0.0%"/>
    <numFmt numFmtId="165" formatCode="#,##0.000"/>
    <numFmt numFmtId="166" formatCode="0.000"/>
    <numFmt numFmtId="167" formatCode="#,##0.0"/>
  </numFmts>
  <fonts count="11">
    <font>
      <name val="Calibri"/>
      <charset val="1"/>
      <family val="2"/>
      <color theme="1"/>
      <sz val="11"/>
    </font>
    <font>
      <name val="Arial"/>
      <charset val="1"/>
      <b val="1"/>
      <color rgb="FFFFFFFF"/>
      <sz val="14"/>
    </font>
    <font>
      <name val="Arial"/>
      <charset val="1"/>
      <color rgb="FFFFFFFF"/>
      <sz val="9"/>
    </font>
    <font>
      <name val="Arial"/>
      <charset val="1"/>
      <b val="1"/>
      <color rgb="FF00385F"/>
      <sz val="11"/>
    </font>
    <font>
      <name val="Arial"/>
      <charset val="1"/>
      <b val="1"/>
      <sz val="9.5"/>
    </font>
    <font>
      <name val="Arial"/>
      <charset val="1"/>
      <sz val="9.5"/>
    </font>
    <font>
      <name val="Arial"/>
      <charset val="1"/>
      <b val="1"/>
      <color rgb="FFFFFFFF"/>
      <sz val="8.5"/>
    </font>
    <font>
      <name val="Arial"/>
      <charset val="1"/>
      <color rgb="FF595959"/>
      <sz val="8.5"/>
    </font>
    <font>
      <name val="Arial"/>
      <charset val="1"/>
      <color rgb="FF008000"/>
      <sz val="9.5"/>
    </font>
    <font>
      <name val="Arial"/>
      <charset val="1"/>
      <b val="1"/>
      <color rgb="FF00385F"/>
      <sz val="9.5"/>
    </font>
    <font>
      <name val="Arial"/>
      <family val="2"/>
      <sz val="9.5"/>
    </font>
  </fonts>
  <fills count="8">
    <fill>
      <patternFill/>
    </fill>
    <fill>
      <patternFill patternType="gray125"/>
    </fill>
    <fill>
      <patternFill patternType="solid">
        <fgColor rgb="FF00385F"/>
        <bgColor rgb="FF333333"/>
      </patternFill>
    </fill>
    <fill>
      <patternFill patternType="solid">
        <fgColor rgb="FFDCEEF9"/>
        <bgColor rgb="FFF2F2F2"/>
      </patternFill>
    </fill>
    <fill>
      <patternFill patternType="solid">
        <fgColor rgb="FF0090DA"/>
        <bgColor rgb="FF008080"/>
      </patternFill>
    </fill>
    <fill>
      <patternFill patternType="solid">
        <fgColor rgb="FFF2F2F2"/>
        <bgColor rgb="FFDCEEF9"/>
      </patternFill>
    </fill>
    <fill>
      <patternFill patternType="solid">
        <fgColor rgb="FFFCE4E4"/>
        <bgColor rgb="FFF2F2F2"/>
      </patternFill>
    </fill>
    <fill>
      <patternFill patternType="solid">
        <fgColor rgb="FFFFF2CC"/>
        <bgColor rgb="FFFCE4E4"/>
      </patternFill>
    </fill>
  </fills>
  <borders count="6">
    <border>
      <left/>
      <right/>
      <top/>
      <bottom/>
      <diagonal/>
    </border>
    <border>
      <left style="thin">
        <color rgb="FFD2DCE3"/>
      </left>
      <right style="thin">
        <color rgb="FFD2DCE3"/>
      </right>
      <top style="thin">
        <color rgb="FFD2DCE3"/>
      </top>
      <bottom style="thin">
        <color rgb="FFD2DCE3"/>
      </bottom>
      <diagonal/>
    </border>
    <border>
      <left/>
      <right/>
      <top style="thin">
        <color rgb="FFD2DCE3"/>
      </top>
      <bottom style="thin">
        <color rgb="FFD2DCE3"/>
      </bottom>
      <diagonal/>
    </border>
    <border>
      <left/>
      <right style="thin">
        <color rgb="FFD2DCE3"/>
      </right>
      <top style="thin">
        <color rgb="FFD2DCE3"/>
      </top>
      <bottom style="thin">
        <color rgb="FFD2DCE3"/>
      </bottom>
      <diagonal/>
    </border>
    <border>
      <left/>
      <right/>
      <top style="thin">
        <color rgb="FFD2DCE3"/>
      </top>
      <bottom/>
      <diagonal/>
    </border>
    <border>
      <left/>
      <right style="thin">
        <color rgb="FFD2DCE3"/>
      </right>
      <top style="thin">
        <color rgb="FFD2DCE3"/>
      </top>
      <bottom/>
      <diagonal/>
    </border>
  </borders>
  <cellStyleXfs count="1">
    <xf numFmtId="0" fontId="0" fillId="0" borderId="0"/>
  </cellStyleXfs>
  <cellXfs count="83">
    <xf numFmtId="0" fontId="0" fillId="0" borderId="0" pivotButton="0" quotePrefix="0" xfId="0"/>
    <xf numFmtId="0" fontId="7" fillId="0" borderId="1" applyAlignment="1" pivotButton="0" quotePrefix="0" xfId="0">
      <alignment vertical="top" wrapText="1"/>
    </xf>
    <xf numFmtId="0" fontId="5" fillId="0" borderId="1" applyAlignment="1" pivotButton="0" quotePrefix="0" xfId="0">
      <alignment vertical="top" wrapText="1"/>
    </xf>
    <xf numFmtId="0" fontId="7" fillId="0" borderId="0" applyAlignment="1" pivotButton="0" quotePrefix="0" xfId="0">
      <alignment vertical="top" wrapText="1"/>
    </xf>
    <xf numFmtId="0" fontId="4" fillId="0" borderId="1" applyAlignment="1" pivotButton="0" quotePrefix="0" xfId="0">
      <alignment vertical="top" wrapText="1"/>
    </xf>
    <xf numFmtId="0" fontId="6"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4" fontId="8" fillId="0"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0" borderId="1" applyAlignment="1" pivotButton="0" quotePrefix="0" xfId="0">
      <alignment horizontal="center" vertical="center" wrapText="1"/>
    </xf>
    <xf numFmtId="164" fontId="8" fillId="0" borderId="1" applyAlignment="1" pivotButton="0" quotePrefix="0" xfId="0">
      <alignment horizontal="center" vertical="center" wrapText="1"/>
    </xf>
    <xf numFmtId="3" fontId="8" fillId="0" borderId="1" applyAlignment="1" pivotButton="0" quotePrefix="0" xfId="0">
      <alignment horizontal="center" vertical="center" wrapText="1"/>
    </xf>
    <xf numFmtId="0" fontId="4" fillId="5" borderId="1" applyAlignment="1" pivotButton="0" quotePrefix="0" xfId="0">
      <alignment vertical="top" wrapText="1"/>
    </xf>
    <xf numFmtId="4" fontId="4" fillId="5" borderId="1" applyAlignment="1" pivotButton="0" quotePrefix="0" xfId="0">
      <alignment horizontal="center" vertical="center" wrapText="1"/>
    </xf>
    <xf numFmtId="3" fontId="5" fillId="7" borderId="1" applyAlignment="1" pivotButton="0" quotePrefix="0" xfId="0">
      <alignment horizontal="center" vertical="center" wrapText="1"/>
    </xf>
    <xf numFmtId="165" fontId="5" fillId="7" borderId="1" applyAlignment="1" pivotButton="0" quotePrefix="0" xfId="0">
      <alignment horizontal="center" vertical="center" wrapText="1"/>
    </xf>
    <xf numFmtId="164" fontId="4" fillId="5" borderId="1" applyAlignment="1" pivotButton="0" quotePrefix="0" xfId="0">
      <alignment horizontal="center" vertical="center" wrapText="1"/>
    </xf>
    <xf numFmtId="3" fontId="5" fillId="0" borderId="1" applyAlignment="1" pivotButton="0" quotePrefix="0" xfId="0">
      <alignment horizontal="center" vertical="center" wrapText="1"/>
    </xf>
    <xf numFmtId="164" fontId="5" fillId="7" borderId="1" applyAlignment="1" pivotButton="0" quotePrefix="0" xfId="0">
      <alignment horizontal="center" vertical="center" wrapText="1"/>
    </xf>
    <xf numFmtId="3" fontId="4" fillId="5" borderId="1" applyAlignment="1" pivotButton="0" quotePrefix="0" xfId="0">
      <alignment horizontal="center" vertical="center" wrapText="1"/>
    </xf>
    <xf numFmtId="165" fontId="4" fillId="5" borderId="1" applyAlignment="1" pivotButton="0" quotePrefix="0" xfId="0">
      <alignment horizontal="center" vertical="center" wrapText="1"/>
    </xf>
    <xf numFmtId="9" fontId="5" fillId="7" borderId="1" applyAlignment="1" pivotButton="0" quotePrefix="0" xfId="0">
      <alignment horizontal="center" vertical="center" wrapText="1"/>
    </xf>
    <xf numFmtId="0" fontId="4" fillId="7" borderId="1" applyAlignment="1" pivotButton="0" quotePrefix="0" xfId="0">
      <alignment vertical="top" wrapText="1"/>
    </xf>
    <xf numFmtId="9" fontId="4" fillId="7" borderId="1" applyAlignment="1" pivotButton="0" quotePrefix="0" xfId="0">
      <alignment horizontal="center" vertical="center" wrapText="1"/>
    </xf>
    <xf numFmtId="4" fontId="4" fillId="7" borderId="1" applyAlignment="1" pivotButton="0" quotePrefix="0" xfId="0">
      <alignment horizontal="center" vertical="center" wrapText="1"/>
    </xf>
    <xf numFmtId="166" fontId="5" fillId="7" borderId="1" applyAlignment="1" pivotButton="0" quotePrefix="0" xfId="0">
      <alignment horizontal="center" vertical="center" wrapText="1"/>
    </xf>
    <xf numFmtId="0" fontId="7" fillId="0" borderId="1" applyAlignment="1" pivotButton="0" quotePrefix="0" xfId="0">
      <alignment horizontal="center" vertical="center" wrapText="1"/>
    </xf>
    <xf numFmtId="166" fontId="7" fillId="0" borderId="1" applyAlignment="1" pivotButton="0" quotePrefix="0" xfId="0">
      <alignment horizontal="center" vertical="center" wrapText="1"/>
    </xf>
    <xf numFmtId="9" fontId="8" fillId="0" borderId="1" applyAlignment="1" pivotButton="0" quotePrefix="0" xfId="0">
      <alignment horizontal="center" vertical="center" wrapText="1"/>
    </xf>
    <xf numFmtId="164" fontId="4" fillId="7" borderId="1" applyAlignment="1" pivotButton="0" quotePrefix="0" xfId="0">
      <alignment horizontal="center" vertical="center" wrapText="1"/>
    </xf>
    <xf numFmtId="0" fontId="4" fillId="6" borderId="1" applyAlignment="1" pivotButton="0" quotePrefix="0" xfId="0">
      <alignment vertical="top" wrapText="1"/>
    </xf>
    <xf numFmtId="0" fontId="8" fillId="5"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67" fontId="8" fillId="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7" borderId="1" applyAlignment="1" pivotButton="0" quotePrefix="0" xfId="0">
      <alignment horizontal="center" vertical="center" wrapText="1"/>
    </xf>
    <xf numFmtId="4"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4" fontId="5" fillId="7" borderId="1" applyAlignment="1" pivotButton="0" quotePrefix="0" xfId="0">
      <alignment horizontal="center" vertical="center" wrapText="1"/>
    </xf>
    <xf numFmtId="167" fontId="9" fillId="0" borderId="1" applyAlignment="1" pivotButton="0" quotePrefix="0" xfId="0">
      <alignment horizontal="center" vertical="center" wrapText="1"/>
    </xf>
    <xf numFmtId="0" fontId="8" fillId="0" borderId="1" applyAlignment="1" pivotButton="0" quotePrefix="0" xfId="0">
      <alignment horizontal="center" vertical="center" wrapText="1"/>
    </xf>
    <xf numFmtId="165" fontId="4" fillId="7" borderId="1" applyAlignment="1" pivotButton="0" quotePrefix="0" xfId="0">
      <alignment horizontal="center" vertical="center" wrapText="1"/>
    </xf>
    <xf numFmtId="4" fontId="5" fillId="0" borderId="1" applyAlignment="1" pivotButton="0" quotePrefix="0" xfId="0">
      <alignment horizontal="center" vertical="center" wrapText="1"/>
    </xf>
    <xf numFmtId="165" fontId="8" fillId="0" borderId="1" applyAlignment="1" pivotButton="0" quotePrefix="0" xfId="0">
      <alignment horizontal="center" vertical="center" wrapText="1"/>
    </xf>
    <xf numFmtId="164"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0" fontId="8" fillId="0" borderId="1" applyAlignment="1" pivotButton="0" quotePrefix="0" xfId="0">
      <alignment vertical="top" wrapText="1"/>
    </xf>
    <xf numFmtId="0" fontId="5" fillId="6" borderId="1" applyAlignment="1" pivotButton="0" quotePrefix="0" xfId="0">
      <alignment vertical="top" wrapText="1"/>
    </xf>
    <xf numFmtId="3" fontId="5" fillId="6" borderId="1" applyAlignment="1" pivotButton="0" quotePrefix="0" xfId="0">
      <alignment horizontal="center" vertical="center" wrapText="1"/>
    </xf>
    <xf numFmtId="0" fontId="5" fillId="7" borderId="1" applyAlignment="1" pivotButton="0" quotePrefix="0" xfId="0">
      <alignment vertical="top" wrapText="1"/>
    </xf>
    <xf numFmtId="4" fontId="8" fillId="7" borderId="1" applyAlignment="1" pivotButton="0" quotePrefix="0" xfId="0">
      <alignment horizontal="center" vertical="center" wrapText="1"/>
    </xf>
    <xf numFmtId="0" fontId="5" fillId="5" borderId="1" applyAlignment="1" pivotButton="0" quotePrefix="0" xfId="0">
      <alignment horizontal="center" vertical="center" wrapText="1"/>
    </xf>
    <xf numFmtId="3"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166" fontId="4" fillId="7" borderId="1" applyAlignment="1" pivotButton="0" quotePrefix="0" xfId="0">
      <alignment horizontal="center" vertical="center" wrapText="1"/>
    </xf>
    <xf numFmtId="9"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2" fontId="5" fillId="7" borderId="1" applyAlignment="1" pivotButton="0" quotePrefix="0" xfId="0">
      <alignment horizontal="center" vertical="center" wrapText="1"/>
    </xf>
    <xf numFmtId="2" fontId="4" fillId="5" borderId="1" applyAlignment="1" pivotButton="0" quotePrefix="0" xfId="0">
      <alignment horizontal="center" vertical="center" wrapText="1"/>
    </xf>
    <xf numFmtId="2" fontId="0" fillId="0" borderId="0" pivotButton="0" quotePrefix="0" xfId="0"/>
    <xf numFmtId="0" fontId="10" fillId="7"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vertical="top"/>
    </xf>
    <xf numFmtId="0" fontId="5" fillId="0" borderId="1" applyAlignment="1" pivotButton="0" quotePrefix="0" xfId="0">
      <alignment horizontal="center" vertical="center"/>
    </xf>
    <xf numFmtId="4" fontId="5" fillId="7" borderId="1" applyAlignment="1" pivotButton="0" quotePrefix="0" xfId="0">
      <alignment horizontal="center" vertical="center"/>
    </xf>
    <xf numFmtId="0" fontId="3" fillId="3" borderId="0" applyAlignment="1" pivotButton="0" quotePrefix="0" xfId="0">
      <alignment vertical="top" wrapText="1"/>
    </xf>
    <xf numFmtId="167" fontId="0" fillId="0" borderId="0" pivotButton="0" quotePrefix="0" xfId="0"/>
    <xf numFmtId="167" fontId="5" fillId="7" borderId="1" applyAlignment="1" pivotButton="0" quotePrefix="0" xfId="0">
      <alignment horizontal="center" vertical="center" wrapText="1"/>
    </xf>
    <xf numFmtId="3" fontId="0" fillId="0" borderId="0" pivotButton="0" quotePrefix="0" xfId="0"/>
    <xf numFmtId="0" fontId="1" fillId="2" borderId="0" applyAlignment="1" pivotButton="0" quotePrefix="0" xfId="0">
      <alignment vertical="top" wrapText="1"/>
    </xf>
    <xf numFmtId="0" fontId="0" fillId="0" borderId="0" pivotButton="0" quotePrefix="0" xfId="0"/>
    <xf numFmtId="2"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vertical="top" wrapText="1"/>
    </xf>
    <xf numFmtId="0" fontId="0" fillId="0" borderId="2" pivotButton="0" quotePrefix="0" xfId="0"/>
    <xf numFmtId="0" fontId="0" fillId="0" borderId="3" pivotButton="0" quotePrefix="0" xfId="0"/>
    <xf numFmtId="0" fontId="7" fillId="0" borderId="1" applyAlignment="1" pivotButton="0" quotePrefix="0" xfId="0">
      <alignment vertical="top" wrapText="1"/>
    </xf>
  </cellXfs>
  <cellStyles count="1">
    <cellStyle name="Normal" xfId="0" builtinId="0"/>
  </cellStyles>
  <dxfs count="2">
    <dxf>
      <font>
        <b val="1"/>
        <color rgb="FF006100"/>
      </font>
      <fill>
        <patternFill>
          <bgColor rgb="FFC6EFCE"/>
        </patternFill>
      </fill>
    </dxf>
    <dxf>
      <font>
        <b val="1"/>
        <color rgb="FF9C0006"/>
      </font>
      <fill>
        <patternFill>
          <b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85F"/>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zoomScaleNormal="100" workbookViewId="0">
      <selection activeCell="A1" sqref="A1:D1"/>
    </sheetView>
  </sheetViews>
  <sheetFormatPr baseColWidth="8" defaultColWidth="8.6328125" defaultRowHeight="14.5"/>
  <cols>
    <col width="2.453125" customWidth="1" style="73" min="1" max="1"/>
    <col width="30" customWidth="1" style="73" min="2" max="2"/>
    <col width="104" customWidth="1" style="73" min="3" max="3"/>
  </cols>
  <sheetData>
    <row r="1" ht="25.5" customHeight="1" s="73">
      <c r="A1" s="72" t="inlineStr">
        <is>
          <t>Storage and Preservation Related  —  domain framework v2</t>
        </is>
      </c>
    </row>
    <row r="2" ht="15" customHeight="1" s="73">
      <c r="A2" s="75" t="inlineStr">
        <is>
          <t>A two-speed 領域, and now modelled as one. K2 is 62.6 of the 106.1 units — agile, hybrid-specification, distributed-proven — and is a value stream on its own. The other fourteen applications are 43.4 units of Japanese-specification waterfall and are the second. There are no pods: every delivery unit is a 12-seat TEAM, 4 + 3 in Year 1 falling to 3 + 1 by Year 4. Productivity lands at 44.6% by Year 5 and offshore at 54.7%, which is the blended archetype ceiling exactly.</t>
        </is>
      </c>
    </row>
    <row r="4" ht="16.5" customHeight="1" s="73">
      <c r="A4" s="76" t="inlineStr">
        <is>
          <t>WHAT THIS 領域 IS</t>
        </is>
      </c>
    </row>
    <row r="5" ht="45.75" customHeight="1" s="73">
      <c r="B5" s="4" t="inlineStr">
        <is>
          <t>Fifteen applications, three archetypes</t>
        </is>
      </c>
      <c r="C5" s="79" t="inlineStr">
        <is>
          <t>K2 62.6 units (D, distributed-proven, agile, hybrid specifications) · five Japan-locked applications totalling 34.2 · nine long-tail applications totalling 9.3. Two value streams: Policy Owner Servicing Work Flow 86.2 and Payment 19.9.</t>
        </is>
      </c>
    </row>
    <row r="6" ht="45.75" customHeight="1" s="73">
      <c r="B6" s="4" t="inlineStr">
        <is>
          <t>It is really two domains</t>
        </is>
      </c>
      <c r="C6" s="79" t="inlineStr">
        <is>
          <t>K2 is 59.05% of the effort and is modern. Everything else is waterfall with Japanese-language specifications, and five of those are Japan-locked at a 12% offshore ceiling. The two value streams are drawn on exactly that line.</t>
        </is>
      </c>
    </row>
    <row r="7" ht="45.75" customHeight="1" s="73">
      <c r="B7" s="4" t="inlineStr">
        <is>
          <t>41 Capgemini people are already here</t>
        </is>
      </c>
      <c r="C7" s="79" t="inlineStr">
        <is>
          <t>36.1 of them on K2 alone. Four are onshore. Banded E2 12 · E3 16 · E4 11 — mid-to-senior, and concentrated on the one modern application.</t>
        </is>
      </c>
    </row>
    <row r="8" ht="45.75" customHeight="1" s="73">
      <c r="B8" s="4" t="inlineStr">
        <is>
          <t>FSI holds four applications</t>
        </is>
      </c>
      <c r="C8" s="79" t="inlineStr">
        <is>
          <t>7.0 of the 69.426 vendor units — 10.1%. K2 (EAI 12117) 2 · POS-IMS (13453) 2 · W13WEP-JPN (9947) 2 · JP-RPASS (11604) 1. Tapers 7 / 7 / 6 / 5 / 4. Five of the seven sit in the Payment &amp; Records team and two in the Work Flow team; 2 more (1 from Year 4) are held in horizontal H1 as a control cell.</t>
        </is>
      </c>
    </row>
    <row r="9" ht="45.75" customHeight="1" s="73">
      <c r="B9" s="4" t="inlineStr">
        <is>
          <t>Two applications are marked Retire</t>
        </is>
      </c>
      <c r="C9" s="79" t="inlineStr">
        <is>
          <t>C03WRE-JPN and JP-PCI-RPASS, 3.3 units between them, from the disposition columns new in Appendix 3 v5.</t>
        </is>
      </c>
    </row>
    <row r="10" ht="15" customHeight="1" s="73">
      <c r="A10" s="76" t="inlineStr">
        <is>
          <t>THE SHAPE OF THE ANSWER</t>
        </is>
      </c>
    </row>
    <row r="11" ht="45.75" customHeight="1" s="73">
      <c r="B11" s="4" t="inlineStr">
        <is>
          <t>Offshore closes in full</t>
        </is>
      </c>
      <c r="C11" s="79" t="inlineStr">
        <is>
          <t>16.9% today against a 54.73% ceiling. The design reaches 54.7%: 18.4 / 30.0 / 39.3 / 47.3 / 54.7%. Year 5 gets there by halving the K2 bilingual analyst to 0.5 per team; the onshore technical lead, the Tokyo L2 support hand and design authority are held in every year.</t>
        </is>
      </c>
    </row>
    <row r="12" ht="45.75" customHeight="1" s="73">
      <c r="B12" s="4" t="inlineStr">
        <is>
          <t>The 50:50 closes with a small transfer</t>
        </is>
      </c>
      <c r="C12" s="79" t="inlineStr">
        <is>
          <t>Organic convergence takes Capgemini from 65.1% to 55.2% by Year 3 on its own; a transfer of 3.5 people — 1.5 to MetLife Japan, 2.0 to MGCC — closes the rest and lands the ratio at 49.99%.</t>
        </is>
      </c>
    </row>
    <row r="13" ht="45.75" customHeight="1" s="73">
      <c r="B13" s="4" t="inlineStr">
        <is>
          <t>K2 is the whole modernisation case</t>
        </is>
      </c>
      <c r="C13" s="79" t="inlineStr">
        <is>
          <t>62.6 units, agile already, a 78% offshore ceiling, and most of our inherited people. If K2 moves, the domain moves — and because the other fourteen never convert, K2 is also the ceiling on how far productivity can go here.</t>
        </is>
      </c>
    </row>
    <row r="14" ht="15" customHeight="1" s="73">
      <c r="A14" s="76" t="inlineStr">
        <is>
          <t>THE ENGINE</t>
        </is>
      </c>
    </row>
    <row r="15" ht="45.75" customHeight="1" s="73">
      <c r="B15" s="4" t="inlineStr">
        <is>
          <t>Unchanged from Sales / Insurance and Contract Management</t>
        </is>
      </c>
      <c r="C15" s="79" t="inlineStr">
        <is>
          <t>Six-rule archetype classifier → AI and offshore ceilings from Golden Inventory v4 → realisation curve → four-gate capability → carry-forward and pre-load → per-sourcing productivity → organic ratio convergence → guardrails → seat ledger.</t>
        </is>
      </c>
    </row>
    <row r="16" ht="45.75" customHeight="1" s="73">
      <c r="B16" s="4" t="inlineStr">
        <is>
          <t>Seats deploy whole people</t>
        </is>
      </c>
      <c r="C16" s="79" t="inlineStr">
        <is>
          <t>Pod Library column K and Horizontal Teams column J are the people you hire for that role across the block. Every one is a whole number or a half — the 0.5-grid check on Change Control is clean in all five years. The SIT Loading sheet turns them into requisitions.</t>
        </is>
      </c>
    </row>
    <row r="17" ht="15" customHeight="1" s="73">
      <c r="A17" s="76" t="inlineStr">
        <is>
          <t>WHAT TO RAISE</t>
        </is>
      </c>
    </row>
    <row r="18" ht="45.75" customHeight="1" s="73">
      <c r="B18" s="4" t="inlineStr">
        <is>
          <t>The role line is restated</t>
        </is>
      </c>
      <c r="C18" s="79" t="inlineStr">
        <is>
          <t>Appendix 3 records 0.14 project-management units and ZERO architecture across fifteen applications, against 1,145 incidents and 2,071 changes. Restated to 5.0 maintenance, 3.0 PM and 2.5 architecture, taken from the developer line — far less than Contract Management needed.</t>
        </is>
      </c>
    </row>
    <row r="19" ht="45.75" customHeight="1" s="73">
      <c r="B19" s="4" t="inlineStr">
        <is>
          <t>K2 concentration is the delivery risk</t>
        </is>
      </c>
      <c r="C19" s="79" t="inlineStr">
        <is>
          <t>62.6 units and 36.1 of our 41 people on one application. That is the modernisation opportunity and the single point of failure in the same place.</t>
        </is>
      </c>
    </row>
    <row r="20" ht="45.75" customHeight="1" s="73">
      <c r="B20" s="4" t="inlineStr">
        <is>
          <t>The retirement question</t>
        </is>
      </c>
      <c r="C20" s="79" t="inlineStr">
        <is>
          <t>3.3 units leave the estate. The model holds effort frozen at the Year-1 baseline; if retirement is real the Year-4 and Year-5 baselines should shrink. Decide whether that is a saving we claim or a scope reduction MetLife prices out.</t>
        </is>
      </c>
    </row>
    <row r="21">
      <c r="B21" t="inlineStr">
        <is>
          <t>Two streams, teams only</t>
        </is>
      </c>
      <c r="C21" t="inlineStr">
        <is>
          <t>v2 change. K2 is its own value stream; the other fourteen applications are the second, renamed Policy Owner Servicing Payment &amp; Records. Every delivery unit is a 12-seat TEAM: 7 instances in Year 1, then 6, 5, 4 and 4. Headcount 106.0 → 85.0 → 72.5 → 64.5 → 58.5 against Logic Tree targets of 106.08 / 85.15 / 72.30 / 64.30 / 58.77.</t>
        </is>
      </c>
    </row>
    <row r="22">
      <c r="B22" t="inlineStr">
        <is>
          <t>Composition is continuous</t>
        </is>
      </c>
      <c r="C22" t="inlineStr">
        <is>
          <t>v3, Capgemini seats only. Every Capgemini role in both team anatomies runs continuously across the five years with a monotone seat ratio — no seat appears, disappears and reappears. Each team keeps a technical lead, a bilingual analyst, a tester, a support seat and design authority in every year. Testers and junior builders are banded E1/E2 and E1 seats exist in all five years. NO SEAT IS EVER RE-BANDED: a grade is fixed for the life of the seat, so the senior share moves only because the number and size of the units move. MetLife FTE, MGCC and FSI seats are byte-identical to v2.</t>
        </is>
      </c>
    </row>
  </sheetData>
  <mergeCells count="6">
    <mergeCell ref="A10:C10"/>
    <mergeCell ref="A1:D1"/>
    <mergeCell ref="A14:C14"/>
    <mergeCell ref="A17:C17"/>
    <mergeCell ref="A2:D2"/>
    <mergeCell ref="A4:C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21"/>
  <sheetViews>
    <sheetView zoomScaleNormal="100" workbookViewId="0">
      <selection activeCell="A1" sqref="A1:G1"/>
    </sheetView>
  </sheetViews>
  <sheetFormatPr baseColWidth="8" defaultColWidth="8.6328125" defaultRowHeight="14.5"/>
  <cols>
    <col width="2.453125" customWidth="1" style="73" min="1" max="1"/>
    <col width="22" customWidth="1" style="73" min="2" max="2"/>
    <col width="34" customWidth="1" style="73" min="3" max="4"/>
    <col width="16" customWidth="1" style="73" min="5" max="5"/>
    <col width="44" customWidth="1" style="73" min="6" max="6"/>
  </cols>
  <sheetData>
    <row r="1" ht="25.5" customHeight="1" s="73">
      <c r="A1" s="72" t="inlineStr">
        <is>
          <t>Where every input comes from, and which ones are ours</t>
        </is>
      </c>
    </row>
    <row r="2" ht="15" customHeight="1" s="73">
      <c r="A2" s="75" t="inlineStr">
        <is>
          <t>v2. The domain has been restated to two value streams — K2 alone, and the fourteen satellites — running as 12-seat TEAMS only, with no pods in any year. What matters here is the provenance of each input: which are measured, which are restated, and which are domain overrides.</t>
        </is>
      </c>
    </row>
    <row r="4" ht="15" customHeight="1" s="73">
      <c r="B4" s="5" t="inlineStr">
        <is>
          <t>Element</t>
        </is>
      </c>
      <c r="C4" s="5" t="inlineStr">
        <is>
          <t>Source</t>
        </is>
      </c>
      <c r="D4" s="5" t="inlineStr">
        <is>
          <t>Value used</t>
        </is>
      </c>
      <c r="E4" s="5" t="inlineStr">
        <is>
          <t>Status</t>
        </is>
      </c>
      <c r="F4" s="5" t="inlineStr">
        <is>
          <t>Note</t>
        </is>
      </c>
    </row>
    <row r="5" ht="49.5" customHeight="1" s="73">
      <c r="B5" s="4" t="inlineStr">
        <is>
          <t>Baseline</t>
        </is>
      </c>
      <c r="C5" s="79" t="inlineStr">
        <is>
          <t>Appendix 3 v5, 15 applications</t>
        </is>
      </c>
      <c r="D5" s="79" t="inlineStr">
        <is>
          <t>effort 106.080 · FTC 69.426 · FTE 25.654 · MGCC 11.000 · onshore 62.464 · offshore 6.963</t>
        </is>
      </c>
      <c r="E5" s="6" t="inlineStr">
        <is>
          <t>SOURCE</t>
        </is>
      </c>
      <c r="F5" s="82" t="inlineStr">
        <is>
          <t>K2 is row 100; the duplicate K2 line at row 101 is excluded, as MetLife's own total does.</t>
        </is>
      </c>
    </row>
    <row r="6" ht="49.5" customHeight="1" s="73">
      <c r="B6" s="4" t="inlineStr">
        <is>
          <t>Archetypes</t>
        </is>
      </c>
      <c r="C6" s="79" t="inlineStr">
        <is>
          <t>Golden Inventory v4, six-rule classifier</t>
        </is>
      </c>
      <c r="D6" s="79" t="inlineStr">
        <is>
          <t>D 1 / 62.642 · J 5 / 34.161 · T 9 / 9.277</t>
        </is>
      </c>
      <c r="E6" s="6" t="inlineStr">
        <is>
          <t>SOURCE</t>
        </is>
      </c>
      <c r="F6" s="82" t="inlineStr">
        <is>
          <t>AI ceiling 41.69%, offshore ceiling 54.73%. Five Japan-locked applications at a 12% ceiling are what hold the blend down.</t>
        </is>
      </c>
    </row>
    <row r="7" ht="49.5" customHeight="1" s="73">
      <c r="B7" s="4" t="inlineStr">
        <is>
          <t>Delivery method</t>
        </is>
      </c>
      <c r="C7" s="79" t="inlineStr">
        <is>
          <t>Appendix 3 v5</t>
        </is>
      </c>
      <c r="D7" s="79" t="inlineStr">
        <is>
          <t>K2 agile 62.6 units; the other fourteen waterfall 43.4, and they never convert</t>
        </is>
      </c>
      <c r="E7" s="6" t="inlineStr">
        <is>
          <t>MEASURED</t>
        </is>
      </c>
      <c r="F7" s="82" t="inlineStr">
        <is>
          <t>Specification language splits the same way: 67.9 hybrid, 38.1 Japanese. Holding Payment &amp; Records as waterfall to Year 5 caps the agile share at 59.05% and is the single biggest brake on the productivity number.</t>
        </is>
      </c>
    </row>
    <row r="8" ht="49.5" customHeight="1" s="73">
      <c r="B8" s="4" t="inlineStr">
        <is>
          <t>Adoption factors</t>
        </is>
      </c>
      <c r="C8" s="79" t="inlineStr">
        <is>
          <t>Portfolio default</t>
        </is>
      </c>
      <c r="D8" s="79" t="inlineStr">
        <is>
          <t>1.00 / 0.85 / 0.80 / 0.55 — unchanged</t>
        </is>
      </c>
      <c r="E8" s="6" t="inlineStr">
        <is>
          <t>STANDARD</t>
        </is>
      </c>
      <c r="F8" s="82" t="inlineStr">
        <is>
          <t>A largely waterfall, Japanese-language estate. No case for raising MetLife's commitment here.</t>
        </is>
      </c>
    </row>
    <row r="9" ht="49.5" customHeight="1" s="73">
      <c r="B9" s="4" t="inlineStr">
        <is>
          <t>Role line</t>
        </is>
      </c>
      <c r="C9" s="79" t="inlineStr">
        <is>
          <t>BSA 8.642 · DEV 45.389 · TEST 11.775 · MNT 3.483 · PM 0.138 · OTH 0.000</t>
        </is>
      </c>
      <c r="D9" s="79" t="inlineStr">
        <is>
          <t>MNT 5.00 · PM 3.00 · OTH 2.50, taken from DEV</t>
        </is>
      </c>
      <c r="E9" s="7" t="inlineStr">
        <is>
          <t>RESTATED</t>
        </is>
      </c>
      <c r="F9" s="82" t="inlineStr">
        <is>
          <t>0.14 PM units and zero architecture across fifteen applications against 1,145 incidents. Arithmetically neutral and far smaller than Contract Management needed.</t>
        </is>
      </c>
    </row>
    <row r="10" ht="49.5" customHeight="1" s="73">
      <c r="B10" s="4" t="inlineStr">
        <is>
          <t>Partner</t>
        </is>
      </c>
      <c r="C10" s="79" t="inlineStr">
        <is>
          <t>FSI named FTC supplied by MetLife against four EAI IDs</t>
        </is>
      </c>
      <c r="D10" s="79" t="inlineStr">
        <is>
          <t>7.000 of 69.426 vendor units — 10.1%</t>
        </is>
      </c>
      <c r="E10" s="8" t="inlineStr">
        <is>
          <t>MODELLED</t>
        </is>
      </c>
      <c r="F10" s="82" t="inlineStr">
        <is>
          <t>K2 (EAI 12117) 2 · POS-IMS (13453) 2 · W13WEP-JPN (9947) 2 · JP-RPASS (11604) 1, as supplied by MetLife. Tapered 7 / 7 / 6 / 5 / 4. Five sit in the Payment &amp; Records team, two in the Work Flow team, and 2 (1 from Year 4) in horizontal H1 as a control cell.</t>
        </is>
      </c>
    </row>
    <row r="11" ht="49.5" customHeight="1" s="73">
      <c r="B11" s="4" t="inlineStr">
        <is>
          <t>Inherited workforce</t>
        </is>
      </c>
      <c r="C11" s="79" t="inlineStr">
        <is>
          <t>T3 reconciliation behind Golden v4</t>
        </is>
      </c>
      <c r="D11" s="79" t="inlineStr">
        <is>
          <t>41 people, 4 onshore, 36.1 on K2</t>
        </is>
      </c>
      <c r="E11" s="6" t="inlineStr">
        <is>
          <t>SOURCE</t>
        </is>
      </c>
      <c r="F11" s="82" t="inlineStr">
        <is>
          <t>Banded E2 12 · E3 16 · E4 11.</t>
        </is>
      </c>
    </row>
    <row r="12" ht="49.5" customHeight="1" s="73">
      <c r="B12" s="4" t="inlineStr">
        <is>
          <t>Disposition</t>
        </is>
      </c>
      <c r="C12" s="79" t="inlineStr">
        <is>
          <t>New in Appendix 3 v5</t>
        </is>
      </c>
      <c r="D12" s="79" t="inlineStr">
        <is>
          <t>C03WRE-JPN and JP-PCI-RPASS marked Retire — 3.3 units</t>
        </is>
      </c>
      <c r="E12" s="8" t="inlineStr">
        <is>
          <t>NEW</t>
        </is>
      </c>
      <c r="F12" s="82" t="inlineStr">
        <is>
          <t>Not yet reflected in the baseline; the model holds effort frozen at Year 1. See the README.</t>
        </is>
      </c>
    </row>
    <row r="13" ht="49.5" customHeight="1" s="73">
      <c r="B13" s="4" t="inlineStr">
        <is>
          <t>Guardrails</t>
        </is>
      </c>
      <c r="C13" s="79" t="inlineStr">
        <is>
          <t>Portfolio standard</t>
        </is>
      </c>
      <c r="D13" s="79" t="inlineStr">
        <is>
          <t>50% vendor share · 55% per team · 55% of build-and-test · continuous role coverage</t>
        </is>
      </c>
      <c r="E13" s="6" t="inlineStr">
        <is>
          <t>STANDARD</t>
        </is>
      </c>
      <c r="F13" s="82" t="inlineStr">
        <is>
          <t>All held in every year. Tightest single team 58.3%. Added in v3: every Capgemini role runs continuously with a monotone ratio, each team holds a lead, an analyst, a tester, support and design authority in all five years, and no seat is re-banded across years — a grade is fixed for the life of the seat.</t>
        </is>
      </c>
    </row>
    <row r="14" ht="49.5" customHeight="1" s="73">
      <c r="B14" s="4" t="inlineStr">
        <is>
          <t>Transfer</t>
        </is>
      </c>
      <c r="C14" s="79" t="inlineStr">
        <is>
          <t>One event at the end of Year 3</t>
        </is>
      </c>
      <c r="D14" s="79" t="inlineStr">
        <is>
          <t>3.5 people — 1.5 to MetLife Japan, 2.0 to MGCC</t>
        </is>
      </c>
      <c r="E14" s="8" t="inlineStr">
        <is>
          <t>MODELLED</t>
        </is>
      </c>
      <c r="F14" s="82" t="inlineStr">
        <is>
          <t>Organic convergence runs first, taking Capgemini from 65.1% to 55.2% before anyone moves. Ratio lands at 49.99%.</t>
        </is>
      </c>
    </row>
    <row r="15">
      <c r="B15" t="inlineStr">
        <is>
          <t>Delivery structure</t>
        </is>
      </c>
      <c r="C15" t="inlineStr">
        <is>
          <t>Domain override, v2</t>
        </is>
      </c>
      <c r="D15" t="inlineStr">
        <is>
          <t>TEAMS of 12 only — 4+3 / 4+2 / 3+2 / 3+1 / 3+1 instances</t>
        </is>
      </c>
      <c r="E15" t="inlineStr">
        <is>
          <t>DOMAIN OVERRIDE</t>
        </is>
      </c>
      <c r="F15" t="inlineStr">
        <is>
          <t>No pods anywhere, and team size never moves; instances retire instead. The horizontal layer flexes to reconcile to the Logic Tree target and rises in Year 4 as the last Payment &amp; Records team retires into AMS.</t>
        </is>
      </c>
    </row>
    <row r="16" ht="15" customHeight="1" s="73">
      <c r="A16" s="76" t="inlineStr">
        <is>
          <t>HOW TO READ THE STATUS COLUMN</t>
        </is>
      </c>
    </row>
    <row r="17" ht="39.75" customHeight="1" s="73">
      <c r="B17" s="77" t="inlineStr">
        <is>
          <t>•  SOURCE — taken directly from Appendix 3 v5 or Golden Application Inventory v4. Not ours to change.</t>
        </is>
      </c>
    </row>
    <row r="18" ht="39.75" customHeight="1" s="73">
      <c r="B18" s="77" t="inlineStr">
        <is>
          <t>•  MEASURED — MetLife has supplied it and we use it as given, where an earlier version made us assume.</t>
        </is>
      </c>
    </row>
    <row r="19" ht="39.75" customHeight="1" s="73">
      <c r="B19" s="77" t="inlineStr">
        <is>
          <t>•  RESTATED — the client figure is internally impossible and we have changed it. Every restatement is arithmetically neutral: people move between role lines, the total does not. These go back to MetLife.</t>
        </is>
      </c>
    </row>
    <row r="20" ht="39.75" customHeight="1" s="73">
      <c r="B20" s="77" t="inlineStr">
        <is>
          <t>•  DOMAIN OVERRIDE — a portfolio default deliberately changed for this 領域, with the reason stated. These are solution decisions and should be defended as such in the review.</t>
        </is>
      </c>
    </row>
    <row r="21" ht="39.75" customHeight="1" s="73">
      <c r="B21" s="77" t="inlineStr">
        <is>
          <t>•  MODELLED — a construct of ours with no direct client source: partner plans, transfer sizing, conversion quarters. The assumptions most worth challenging.</t>
        </is>
      </c>
    </row>
  </sheetData>
  <mergeCells count="8">
    <mergeCell ref="B21:F21"/>
    <mergeCell ref="A16:F16"/>
    <mergeCell ref="A1:G1"/>
    <mergeCell ref="B20:F20"/>
    <mergeCell ref="B19:F19"/>
    <mergeCell ref="A2:G2"/>
    <mergeCell ref="B17:F17"/>
    <mergeCell ref="B18:F18"/>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24"/>
  <sheetViews>
    <sheetView zoomScaleNormal="100" workbookViewId="0">
      <pane xSplit="1" ySplit="11" topLeftCell="B12" activePane="bottomRight" state="frozen"/>
      <selection pane="topRight" activeCell="B1" sqref="B1"/>
      <selection pane="bottomLeft" activeCell="A12" sqref="A12"/>
      <selection pane="bottomRight" activeCell="A1" sqref="A1:J1"/>
    </sheetView>
  </sheetViews>
  <sheetFormatPr baseColWidth="8" defaultColWidth="8.6328125" defaultRowHeight="14.5"/>
  <cols>
    <col width="2.453125" customWidth="1" style="73" min="1" max="1"/>
    <col width="42" customWidth="1" style="73" min="2" max="2"/>
    <col width="11" customWidth="1" style="73" min="3" max="8"/>
    <col width="9.36328125" customWidth="1" style="73" min="9" max="9"/>
    <col width="50" customWidth="1" style="73" min="10" max="10"/>
  </cols>
  <sheetData>
    <row r="1" ht="25.5" customHeight="1" s="73">
      <c r="A1" s="72" t="inlineStr">
        <is>
          <t>Change control  —  what must still hold after you edit a seat count</t>
        </is>
      </c>
    </row>
    <row r="2" ht="15" customHeight="1" s="73">
      <c r="A2" s="75" t="inlineStr">
        <is>
          <t>Pod Library column J and Horizontal Teams column I are INPUTS. You may change them. Holding the yearly total is necessary but not sufficient — these are the other things that have to survive the edit. Every check below is live. This domain has no PODs, so the POD row reads n/a by construction.</t>
        </is>
      </c>
    </row>
    <row r="4" ht="15" customHeight="1" s="73">
      <c r="A4" s="76" t="inlineStr">
        <is>
          <t>A.  WHERE THESE NUMBERS GO</t>
        </is>
      </c>
    </row>
    <row r="5" ht="42" customHeight="1" s="73">
      <c r="B5" s="77" t="inlineStr">
        <is>
          <t>•  Pod Library J and Horizontal Teams I are hard-typed values, not formulas. Nothing upstream computes them — they are the design. Everything downstream is derived from them.</t>
        </is>
      </c>
    </row>
    <row r="6" ht="42" customHeight="1" s="73">
      <c r="B6" s="77" t="inlineStr">
        <is>
          <t>•  Seat Ledger reads them cell by cell (912 references to Pod Library, 630 to Horizontal Teams) and multiplies by the unit count on Pod Plan. Team Build-Up, Cost &amp; Commercial, Inherited Workforce and Unit Cost Sensitivity are all SUMIFS over the Seat Ledger. Change a seat and every one of them moves.</t>
        </is>
      </c>
    </row>
    <row r="7" ht="42" customHeight="1" s="73">
      <c r="B7" s="77" t="inlineStr">
        <is>
          <t>•  THE ONE THAT SURPRISES PEOPLE: the Logic Tree reads the roster back. Partner seats (row 59) drive the partner share (row 60), the span-of-control factor (row 61), the applied operating-model gain (row 43), capability (row 45) and therefore the HEADCOUNT TARGET itself (row 53). Changing partner seats moves the target you are trying to hit. It converges, but it does not stand still.</t>
        </is>
      </c>
    </row>
    <row r="8" ht="42" customHeight="1" s="73">
      <c r="B8" s="77" t="inlineStr">
        <is>
          <t>•  What does NOT move: the effort baseline, the archetype mix, the AI and offshore ceilings, the realisation curve and the agile conversion quarters. Those are inputs on the Logic Tree and Delivery Mode.</t>
        </is>
      </c>
    </row>
    <row r="10" ht="15" customHeight="1" s="73">
      <c r="A10" s="76" t="inlineStr">
        <is>
          <t>B.  THE INVARIANTS  —  all of these must stay green</t>
        </is>
      </c>
    </row>
    <row r="11">
      <c r="B11" s="5" t="inlineStr">
        <is>
          <t>Check</t>
        </is>
      </c>
      <c r="C11" s="5" t="inlineStr">
        <is>
          <t>Y1</t>
        </is>
      </c>
      <c r="D11" s="5" t="inlineStr">
        <is>
          <t>Y2</t>
        </is>
      </c>
      <c r="E11" s="5" t="inlineStr">
        <is>
          <t>Y3</t>
        </is>
      </c>
      <c r="F11" s="5" t="inlineStr">
        <is>
          <t>Y4</t>
        </is>
      </c>
      <c r="G11" s="5" t="inlineStr">
        <is>
          <t>Y5</t>
        </is>
      </c>
      <c r="H11" s="5" t="inlineStr">
        <is>
          <t>Tolerance</t>
        </is>
      </c>
      <c r="I11" s="5" t="inlineStr">
        <is>
          <t>Status</t>
        </is>
      </c>
    </row>
    <row r="12" ht="30" customHeight="1" s="73">
      <c r="B12" s="4" t="inlineStr">
        <is>
          <t>Headcount delivered minus Logic Tree target</t>
        </is>
      </c>
      <c r="C12" s="9">
        <f>'Team Build-Up'!C12</f>
        <v/>
      </c>
      <c r="D12" s="9">
        <f>'Team Build-Up'!D12</f>
        <v/>
      </c>
      <c r="E12" s="9">
        <f>'Team Build-Up'!E12</f>
        <v/>
      </c>
      <c r="F12" s="9">
        <f>'Team Build-Up'!F12</f>
        <v/>
      </c>
      <c r="G12" s="9">
        <f>'Team Build-Up'!G12</f>
        <v/>
      </c>
      <c r="H12" s="10" t="inlineStr">
        <is>
          <t>± 1.5</t>
        </is>
      </c>
      <c r="I12" s="11">
        <f>IF(MAX(ABS(C12),ABS(D12),ABS(E12),ABS(F12),ABS(G12))&lt;=1.5,"OK","CHECK")</f>
        <v/>
      </c>
      <c r="J12" s="78" t="inlineStr">
        <is>
          <t>The productivity commitment. If you add seats you must remove others.</t>
        </is>
      </c>
    </row>
    <row r="13" ht="30" customHeight="1" s="73">
      <c r="B13" s="4" t="inlineStr">
        <is>
          <t>Capgemini share inside each POD</t>
        </is>
      </c>
      <c r="C13" s="12">
        <f>IFERROR((SUMIFS('Pod Library'!$J$5:$J$160,'Pod Library'!$B$5:$B$160,1,'Pod Library'!$C$5:$C$160,"POD",'Pod Library'!$I$5:$I$160,"FTC")+SUMIFS('Pod Library'!$J$5:$J$160,'Pod Library'!$B$5:$B$160,1,'Pod Library'!$C$5:$C$160,"POD",'Pod Library'!$I$5:$I$160,"PT"))/(SUMIFS('Pod Library'!$J$5:$J$160,'Pod Library'!$B$5:$B$160,1,'Pod Library'!$C$5:$C$160,"POD")),"n/a")</f>
        <v/>
      </c>
      <c r="D13" s="12">
        <f>IFERROR((SUMIFS('Pod Library'!$J$5:$J$160,'Pod Library'!$B$5:$B$160,2,'Pod Library'!$C$5:$C$160,"POD",'Pod Library'!$I$5:$I$160,"FTC")+SUMIFS('Pod Library'!$J$5:$J$160,'Pod Library'!$B$5:$B$160,2,'Pod Library'!$C$5:$C$160,"POD",'Pod Library'!$I$5:$I$160,"PT"))/(SUMIFS('Pod Library'!$J$5:$J$160,'Pod Library'!$B$5:$B$160,2,'Pod Library'!$C$5:$C$160,"POD")),"n/a")</f>
        <v/>
      </c>
      <c r="E13" s="12">
        <f>IFERROR((SUMIFS('Pod Library'!$J$5:$J$160,'Pod Library'!$B$5:$B$160,3,'Pod Library'!$C$5:$C$160,"POD",'Pod Library'!$I$5:$I$160,"FTC")+SUMIFS('Pod Library'!$J$5:$J$160,'Pod Library'!$B$5:$B$160,3,'Pod Library'!$C$5:$C$160,"POD",'Pod Library'!$I$5:$I$160,"PT"))/(SUMIFS('Pod Library'!$J$5:$J$160,'Pod Library'!$B$5:$B$160,3,'Pod Library'!$C$5:$C$160,"POD")),"n/a")</f>
        <v/>
      </c>
      <c r="F13" s="12">
        <f>IFERROR((SUMIFS('Pod Library'!$J$5:$J$160,'Pod Library'!$B$5:$B$160,4,'Pod Library'!$C$5:$C$160,"POD",'Pod Library'!$I$5:$I$160,"FTC")+SUMIFS('Pod Library'!$J$5:$J$160,'Pod Library'!$B$5:$B$160,4,'Pod Library'!$C$5:$C$160,"POD",'Pod Library'!$I$5:$I$160,"PT"))/(SUMIFS('Pod Library'!$J$5:$J$160,'Pod Library'!$B$5:$B$160,4,'Pod Library'!$C$5:$C$160,"POD")),"n/a")</f>
        <v/>
      </c>
      <c r="G13" s="12">
        <f>IFERROR((SUMIFS('Pod Library'!$J$5:$J$160,'Pod Library'!$B$5:$B$160,5,'Pod Library'!$C$5:$C$160,"POD",'Pod Library'!$I$5:$I$160,"FTC")+SUMIFS('Pod Library'!$J$5:$J$160,'Pod Library'!$B$5:$B$160,5,'Pod Library'!$C$5:$C$160,"POD",'Pod Library'!$I$5:$I$160,"PT"))/(SUMIFS('Pod Library'!$J$5:$J$160,'Pod Library'!$B$5:$B$160,5,'Pod Library'!$C$5:$C$160,"POD")),"n/a")</f>
        <v/>
      </c>
      <c r="H13" s="10" t="inlineStr">
        <is>
          <t>≥ 55%</t>
        </is>
      </c>
      <c r="I13" s="11">
        <f>IF(COUNTIF(C13:G13,"&lt;0.5450")=0,"OK","CHECK")</f>
        <v/>
      </c>
      <c r="J13" s="78" t="inlineStr">
        <is>
          <t>A POD in which Capgemini is a minority is one whose ways of working we do not set.</t>
        </is>
      </c>
    </row>
    <row r="14" ht="30" customHeight="1" s="73">
      <c r="B14" s="4" t="inlineStr">
        <is>
          <t>Capgemini share inside each TEAM</t>
        </is>
      </c>
      <c r="C14" s="12">
        <f>IFERROR((SUMIFS('Pod Library'!$J$5:$J$160,'Pod Library'!$B$5:$B$160,1,'Pod Library'!$C$5:$C$160,"TEAM",'Pod Library'!$I$5:$I$160,"FTC")+SUMIFS('Pod Library'!$J$5:$J$160,'Pod Library'!$B$5:$B$160,1,'Pod Library'!$C$5:$C$160,"TEAM",'Pod Library'!$I$5:$I$160,"PT"))/(SUMIFS('Pod Library'!$J$5:$J$160,'Pod Library'!$B$5:$B$160,1,'Pod Library'!$C$5:$C$160,"TEAM")),"n/a")</f>
        <v/>
      </c>
      <c r="D14" s="12">
        <f>IFERROR((SUMIFS('Pod Library'!$J$5:$J$160,'Pod Library'!$B$5:$B$160,2,'Pod Library'!$C$5:$C$160,"TEAM",'Pod Library'!$I$5:$I$160,"FTC")+SUMIFS('Pod Library'!$J$5:$J$160,'Pod Library'!$B$5:$B$160,2,'Pod Library'!$C$5:$C$160,"TEAM",'Pod Library'!$I$5:$I$160,"PT"))/(SUMIFS('Pod Library'!$J$5:$J$160,'Pod Library'!$B$5:$B$160,2,'Pod Library'!$C$5:$C$160,"TEAM")),"n/a")</f>
        <v/>
      </c>
      <c r="E14" s="12">
        <f>IFERROR((SUMIFS('Pod Library'!$J$5:$J$160,'Pod Library'!$B$5:$B$160,3,'Pod Library'!$C$5:$C$160,"TEAM",'Pod Library'!$I$5:$I$160,"FTC")+SUMIFS('Pod Library'!$J$5:$J$160,'Pod Library'!$B$5:$B$160,3,'Pod Library'!$C$5:$C$160,"TEAM",'Pod Library'!$I$5:$I$160,"PT"))/(SUMIFS('Pod Library'!$J$5:$J$160,'Pod Library'!$B$5:$B$160,3,'Pod Library'!$C$5:$C$160,"TEAM")),"n/a")</f>
        <v/>
      </c>
      <c r="F14" s="12">
        <f>IFERROR((SUMIFS('Pod Library'!$J$5:$J$160,'Pod Library'!$B$5:$B$160,4,'Pod Library'!$C$5:$C$160,"TEAM",'Pod Library'!$I$5:$I$160,"FTC")+SUMIFS('Pod Library'!$J$5:$J$160,'Pod Library'!$B$5:$B$160,4,'Pod Library'!$C$5:$C$160,"TEAM",'Pod Library'!$I$5:$I$160,"PT"))/(SUMIFS('Pod Library'!$J$5:$J$160,'Pod Library'!$B$5:$B$160,4,'Pod Library'!$C$5:$C$160,"TEAM")),"n/a")</f>
        <v/>
      </c>
      <c r="G14" s="12">
        <f>IFERROR((SUMIFS('Pod Library'!$J$5:$J$160,'Pod Library'!$B$5:$B$160,5,'Pod Library'!$C$5:$C$160,"TEAM",'Pod Library'!$I$5:$I$160,"FTC")+SUMIFS('Pod Library'!$J$5:$J$160,'Pod Library'!$B$5:$B$160,5,'Pod Library'!$C$5:$C$160,"TEAM",'Pod Library'!$I$5:$I$160,"PT"))/(SUMIFS('Pod Library'!$J$5:$J$160,'Pod Library'!$B$5:$B$160,5,'Pod Library'!$C$5:$C$160,"TEAM")),"n/a")</f>
        <v/>
      </c>
      <c r="H14" s="10" t="inlineStr">
        <is>
          <t>≥ 55%</t>
        </is>
      </c>
      <c r="I14" s="11">
        <f>IF(COUNTIF(C14:G14,"&lt;0.5450")=0,"OK","CHECK")</f>
        <v/>
      </c>
      <c r="J14" s="78" t="inlineStr">
        <is>
          <t>A TEAM in which Capgemini is a minority is one whose ways of working we do not set. Measured across both value-stream anatomies together. Individually: 66.7% / 83.3% (Y1), 58.3% / 70.8% (Y2), 58.3% / 62.5% (Y3), 58.3% / 62.5% (Y4) and 58.3% / 58.3% (Y5). Sourcing mix per team is unchanged from v2 — only the Capgemini (FTC) seat anatomy was re-cut.</t>
        </is>
      </c>
    </row>
    <row r="15" ht="30" customHeight="1" s="73">
      <c r="B15" s="4" t="inlineStr">
        <is>
          <t>Capgemini share of the delivery population</t>
        </is>
      </c>
      <c r="C15" s="12">
        <f>IFERROR((SUMIFS('Seat Ledger'!$M$5:$M$235,'Seat Ledger'!$B$5:$B$235,1,'Seat Ledger'!$J$5:$J$235,"FTC")+SUMIFS('Seat Ledger'!$M$5:$M$235,'Seat Ledger'!$B$5:$B$235,1,'Seat Ledger'!$J$5:$J$235,"PT"))/(SUMIFS('Seat Ledger'!$M$5:$M$235,'Seat Ledger'!$B$5:$B$235,1)),0)</f>
        <v/>
      </c>
      <c r="D15" s="12">
        <f>IFERROR((SUMIFS('Seat Ledger'!$M$5:$M$235,'Seat Ledger'!$B$5:$B$235,2,'Seat Ledger'!$J$5:$J$235,"FTC")+SUMIFS('Seat Ledger'!$M$5:$M$235,'Seat Ledger'!$B$5:$B$235,2,'Seat Ledger'!$J$5:$J$235,"PT"))/(SUMIFS('Seat Ledger'!$M$5:$M$235,'Seat Ledger'!$B$5:$B$235,2)),0)</f>
        <v/>
      </c>
      <c r="E15" s="12">
        <f>IFERROR((SUMIFS('Seat Ledger'!$M$5:$M$235,'Seat Ledger'!$B$5:$B$235,3,'Seat Ledger'!$J$5:$J$235,"FTC")+SUMIFS('Seat Ledger'!$M$5:$M$235,'Seat Ledger'!$B$5:$B$235,3,'Seat Ledger'!$J$5:$J$235,"PT"))/(SUMIFS('Seat Ledger'!$M$5:$M$235,'Seat Ledger'!$B$5:$B$235,3)),0)</f>
        <v/>
      </c>
      <c r="F15" s="12">
        <f>IFERROR((SUMIFS('Seat Ledger'!$M$5:$M$235,'Seat Ledger'!$B$5:$B$235,4,'Seat Ledger'!$J$5:$J$235,"FTC")+SUMIFS('Seat Ledger'!$M$5:$M$235,'Seat Ledger'!$B$5:$B$235,4,'Seat Ledger'!$J$5:$J$235,"PT"))/(SUMIFS('Seat Ledger'!$M$5:$M$235,'Seat Ledger'!$B$5:$B$235,4)),0)</f>
        <v/>
      </c>
      <c r="G15" s="12">
        <f>IFERROR((SUMIFS('Seat Ledger'!$M$5:$M$235,'Seat Ledger'!$B$5:$B$235,5,'Seat Ledger'!$J$5:$J$235,"FTC")+SUMIFS('Seat Ledger'!$M$5:$M$235,'Seat Ledger'!$B$5:$B$235,5,'Seat Ledger'!$J$5:$J$235,"PT"))/(SUMIFS('Seat Ledger'!$M$5:$M$235,'Seat Ledger'!$B$5:$B$235,5)),0)</f>
        <v/>
      </c>
      <c r="H15" s="10" t="inlineStr">
        <is>
          <t>≥ 50%</t>
        </is>
      </c>
      <c r="I15" s="11">
        <f>IF(COUNTIF(C15:G15,"&lt;0.4950")=0,"OK","CHECK")</f>
        <v/>
      </c>
      <c r="J15" s="78" t="inlineStr">
        <is>
          <t>Below half the roster we cannot carry a productivity commitment we do not control.</t>
        </is>
      </c>
    </row>
    <row r="16" ht="30" customHeight="1" s="73">
      <c r="B16" s="4" t="inlineStr">
        <is>
          <t>Blocks deploying a non-whole number of people</t>
        </is>
      </c>
      <c r="C16" s="13">
        <f>SUMPRODUCT(('Pod Library'!$B$5:$B$160=1)*(ABS('Pod Library'!$K$5:$K$160*2-ROUND('Pod Library'!$K$5:$K$160*2,0))&gt;0.01))+SUMPRODUCT(('Horizontal Teams'!$B$5:$B$120=1)*(ABS('Horizontal Teams'!$J$5:$J$120*2-ROUND('Horizontal Teams'!$J$5:$J$120*2,0))&gt;0.01))</f>
        <v/>
      </c>
      <c r="D16" s="13">
        <f>SUMPRODUCT(('Pod Library'!$B$5:$B$160=2)*(ABS('Pod Library'!$K$5:$K$160*2-ROUND('Pod Library'!$K$5:$K$160*2,0))&gt;0.01))+SUMPRODUCT(('Horizontal Teams'!$B$5:$B$120=2)*(ABS('Horizontal Teams'!$J$5:$J$120*2-ROUND('Horizontal Teams'!$J$5:$J$120*2,0))&gt;0.01))</f>
        <v/>
      </c>
      <c r="E16" s="13">
        <f>SUMPRODUCT(('Pod Library'!$B$5:$B$160=3)*(ABS('Pod Library'!$K$5:$K$160*2-ROUND('Pod Library'!$K$5:$K$160*2,0))&gt;0.01))+SUMPRODUCT(('Horizontal Teams'!$B$5:$B$120=3)*(ABS('Horizontal Teams'!$J$5:$J$120*2-ROUND('Horizontal Teams'!$J$5:$J$120*2,0))&gt;0.01))</f>
        <v/>
      </c>
      <c r="F16" s="13">
        <f>SUMPRODUCT(('Pod Library'!$B$5:$B$160=4)*(ABS('Pod Library'!$K$5:$K$160*2-ROUND('Pod Library'!$K$5:$K$160*2,0))&gt;0.01))+SUMPRODUCT(('Horizontal Teams'!$B$5:$B$120=4)*(ABS('Horizontal Teams'!$J$5:$J$120*2-ROUND('Horizontal Teams'!$J$5:$J$120*2,0))&gt;0.01))</f>
        <v/>
      </c>
      <c r="G16" s="13">
        <f>SUMPRODUCT(('Pod Library'!$B$5:$B$160=5)*(ABS('Pod Library'!$K$5:$K$160*2-ROUND('Pod Library'!$K$5:$K$160*2,0))&gt;0.01))+SUMPRODUCT(('Horizontal Teams'!$B$5:$B$120=5)*(ABS('Horizontal Teams'!$J$5:$J$120*2-ROUND('Horizontal Teams'!$J$5:$J$120*2,0))&gt;0.01))</f>
        <v/>
      </c>
      <c r="H16" s="10">
        <f>0</f>
        <v/>
      </c>
      <c r="I16" s="11">
        <f>IF(SUM(C16:G16)=0,"OK","CHECK")</f>
        <v/>
      </c>
      <c r="J16" s="78" t="inlineStr">
        <is>
          <t>Column K of the Pod Library and column J of Horizontal Teams are the people you hire for that role across the whole block. Every one is a whole number, or a half where one person covers two units INSIDE this domain. The seat ratio beside it is the modelling quantity and will not always be round — on a 28-team block, nine engineers is a ratio of 0.32.</t>
        </is>
      </c>
    </row>
    <row r="17" ht="30" customHeight="1" s="73">
      <c r="B17" s="4" t="inlineStr">
        <is>
          <t>Horizontal roles that have fallen below 0.02 FTE</t>
        </is>
      </c>
      <c r="C17" s="13">
        <f>COUNTIFS('Horizontal Teams'!$B$5:$B$120,1,'Horizontal Teams'!$I$5:$I$120,"&lt;0.02")</f>
        <v/>
      </c>
      <c r="D17" s="13">
        <f>COUNTIFS('Horizontal Teams'!$B$5:$B$120,2,'Horizontal Teams'!$I$5:$I$120,"&lt;0.02")</f>
        <v/>
      </c>
      <c r="E17" s="13">
        <f>COUNTIFS('Horizontal Teams'!$B$5:$B$120,3,'Horizontal Teams'!$I$5:$I$120,"&lt;0.02")</f>
        <v/>
      </c>
      <c r="F17" s="13">
        <f>COUNTIFS('Horizontal Teams'!$B$5:$B$120,4,'Horizontal Teams'!$I$5:$I$120,"&lt;0.02")</f>
        <v/>
      </c>
      <c r="G17" s="13">
        <f>COUNTIFS('Horizontal Teams'!$B$5:$B$120,5,'Horizontal Teams'!$I$5:$I$120,"&lt;0.02")</f>
        <v/>
      </c>
      <c r="H17" s="10">
        <f>0</f>
        <v/>
      </c>
      <c r="I17" s="11">
        <f>IF(SUM(C17:G17)=0,"OK","CHECK")</f>
        <v/>
      </c>
      <c r="J17" s="78" t="inlineStr">
        <is>
          <t>A domain cannot run without a delivery head, a service manager or an architect. If a role must genuinely end, delete the row rather than leaving it at zero.</t>
        </is>
      </c>
    </row>
    <row r="18" ht="30" customHeight="1" s="73">
      <c r="B18" s="14" t="inlineStr">
        <is>
          <t>Year-1 reconciliation to Appendix 3 — worst line</t>
        </is>
      </c>
      <c r="C18" s="15">
        <f>'Team Build-Up'!E32</f>
        <v/>
      </c>
      <c r="H18" s="10" t="inlineStr">
        <is>
          <t>± 2.6</t>
        </is>
      </c>
      <c r="I18" s="11">
        <f>IF(ABS(C18)&lt;=2.6,"OK","CHECK")</f>
        <v/>
      </c>
      <c r="J18" s="78" t="inlineStr">
        <is>
          <t>Year 1 must reproduce the client's own numbers: effort, the sourcing split, all three locations and all six role lines. The tolerance is ± 2.6 because seats sit on a 0.5 grid and a Year-1 team seat carries a multiplier of 5 — one grid step is 2.5 people. That is the deliberate price of an anatomy that can be staffed. Moving a seat between bands is free; moving it between ROLE, LOCATION or SOURCING is what actually breaks this.</t>
        </is>
      </c>
    </row>
    <row r="20" ht="15" customHeight="1" s="73">
      <c r="A20" s="76" t="inlineStr">
        <is>
          <t>C.  WHAT GOES STALE AND WILL NOT WARN YOU</t>
        </is>
      </c>
    </row>
    <row r="21" ht="43.5" customHeight="1" s="73">
      <c r="B21" s="77" t="inlineStr">
        <is>
          <t>•  SOURCING &amp; PRODUCTIVITY is static. It is produced outside Excel by the per-sourcing solver and pasted in. If you change seat counts, the pool ceilings, the organic-convergence table and the transfer solve on that sheet no longer describe this roster. Re-run the solver or treat the sheet as superseded.</t>
        </is>
      </c>
    </row>
    <row r="22" ht="43.5" customHeight="1" s="73">
      <c r="B22" s="77" t="inlineStr">
        <is>
          <t>•  SIT LOADING is static for the same reason. Re-generate it after any seat change, or the requisition plan will not match the ledger.</t>
        </is>
      </c>
    </row>
    <row r="23" ht="43.5" customHeight="1" s="73">
      <c r="B23" s="77" t="inlineStr">
        <is>
          <t>•  The TRANSFER on the Logic Tree is a typed input (rows 65-66), sized on the Year-3 exit position produced by the solver. Change the Year-3 roster materially and the transfer needs re-sizing, or the 50:50 will not land.</t>
        </is>
      </c>
    </row>
    <row r="24" ht="43.5" customHeight="1" s="73">
      <c r="B24" s="77" t="inlineStr">
        <is>
          <t>•  THE RULE OF THUMB. Re-banding a seat, renaming it, or moving it between pods is safe. Changing its ROLE, LOCATION or SOURCING is not — those are the attributes Year 1 reconciles on and the guardrails measure.</t>
        </is>
      </c>
    </row>
  </sheetData>
  <mergeCells count="13">
    <mergeCell ref="B7:J7"/>
    <mergeCell ref="A1:J1"/>
    <mergeCell ref="B24:J24"/>
    <mergeCell ref="B5:J5"/>
    <mergeCell ref="B22:J22"/>
    <mergeCell ref="B23:J23"/>
    <mergeCell ref="A4:J4"/>
    <mergeCell ref="B8:J8"/>
    <mergeCell ref="A20:J20"/>
    <mergeCell ref="A2:J2"/>
    <mergeCell ref="A10:J10"/>
    <mergeCell ref="B6:J6"/>
    <mergeCell ref="B21:J21"/>
  </mergeCells>
  <conditionalFormatting sqref="I12:I18">
    <cfRule type="cellIs" priority="2" operator="equal" dxfId="1">
      <formula>"CHECK"</formula>
    </cfRule>
    <cfRule type="cellIs" priority="3" operator="equal" dxfId="0">
      <formula>"OK"</formula>
    </cfRule>
  </conditionalFormatting>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N88"/>
  <sheetViews>
    <sheetView topLeftCell="A5" zoomScaleNormal="100" workbookViewId="0">
      <selection activeCell="C10" sqref="C10"/>
    </sheetView>
  </sheetViews>
  <sheetFormatPr baseColWidth="8" defaultColWidth="8.6328125" defaultRowHeight="14.5"/>
  <cols>
    <col width="2.453125" customWidth="1" style="73" min="1" max="1"/>
    <col width="46" customWidth="1" style="73" min="2" max="2"/>
    <col width="13" customWidth="1" style="73" min="3" max="8"/>
    <col width="3" customWidth="1" style="73" min="9" max="9"/>
    <col width="50" customWidth="1" style="73" min="10" max="10"/>
  </cols>
  <sheetData>
    <row r="1" ht="25.5" customHeight="1" s="73">
      <c r="A1" s="72" t="inlineStr">
        <is>
          <t>Logic Tree  —  ten parametric drivers, five years</t>
        </is>
      </c>
    </row>
    <row r="2" ht="15" customHeight="1" s="73">
      <c r="A2" s="75" t="inlineStr">
        <is>
          <t>Amber cells are inputs. Everything else re-derives. Section F is rebuilt on the measured day-1 position.</t>
        </is>
      </c>
    </row>
    <row r="4" ht="15" customHeight="1" s="73">
      <c r="A4" s="76" t="inlineStr">
        <is>
          <t>A.  BASELINE  —  Appendix 3 v5, read and never edited</t>
        </is>
      </c>
    </row>
    <row r="5" ht="34.5" customHeight="1" s="73">
      <c r="B5" s="4" t="inlineStr">
        <is>
          <t>Domain</t>
        </is>
      </c>
      <c r="C5" s="8" t="inlineStr">
        <is>
          <t>Storage and Preservation Related</t>
        </is>
      </c>
    </row>
    <row r="6" ht="15" customHeight="1" s="73">
      <c r="B6" s="4" t="inlineStr">
        <is>
          <t>Applications</t>
        </is>
      </c>
      <c r="C6" s="16" t="n">
        <v>15</v>
      </c>
    </row>
    <row r="7" ht="15" customHeight="1" s="73">
      <c r="B7" s="4" t="inlineStr">
        <is>
          <t>Total effort (units)</t>
        </is>
      </c>
      <c r="C7" s="17" t="n">
        <v>106.0802</v>
      </c>
    </row>
    <row r="8" ht="15" customHeight="1" s="73">
      <c r="B8" s="4" t="inlineStr">
        <is>
          <t>Current FTC reported (Capgemini + partner)</t>
        </is>
      </c>
      <c r="C8" s="17" t="n">
        <v>69.42610000000001</v>
      </c>
      <c r="D8" s="71" t="n">
        <v>7</v>
      </c>
      <c r="E8" t="inlineStr">
        <is>
          <t>— of which FSI (partner)</t>
        </is>
      </c>
      <c r="J8" t="inlineStr">
        <is>
          <t>FSI IS 7.0 OF THE 69.4261. Appendix 3 v5 reports the vendor as a single FTC number, so the partner sits inside it. The seven seats are EAI 12117 (K2) 2 · 13453 (POS-IMS) 2 · 9947 (W13WEP-JPN) 2 · 11604 (JP-RPASS) 1. Two of the seven are held in the horizontal control cell in Years 1-3 and one in Years 4-5; the rest sit in the value-stream team that owns the application.</t>
        </is>
      </c>
    </row>
    <row r="9" ht="15" customHeight="1" s="73">
      <c r="B9" s="4" t="inlineStr">
        <is>
          <t>Current FTE</t>
        </is>
      </c>
      <c r="C9" s="17" t="n">
        <v>25.6542</v>
      </c>
    </row>
    <row r="10" ht="15" customHeight="1" s="73">
      <c r="B10" s="4" t="inlineStr">
        <is>
          <t>Current MGCC</t>
        </is>
      </c>
      <c r="C10" s="17" t="n">
        <v>11</v>
      </c>
    </row>
    <row r="11" ht="18.75" customHeight="1" s="73">
      <c r="B11" s="79" t="inlineStr">
        <is>
          <t>— of which onshore Tokyo</t>
        </is>
      </c>
      <c r="C11" s="17" t="n">
        <v>62.4636</v>
      </c>
      <c r="J11" s="78" t="inlineStr">
        <is>
          <t>17.96 of the 106.08 units are already away from Tokyo — 6.96 offshore on the Capgemini side and 11.00 in MGCC. 62.46 vendor units are in Tokyo today, and eleven of the fifteen applications run on Japanese-language specifications.</t>
        </is>
      </c>
    </row>
    <row r="12" ht="15" customHeight="1" s="73">
      <c r="B12" s="79" t="inlineStr">
        <is>
          <t>— of which offshore</t>
        </is>
      </c>
      <c r="C12" s="17" t="n">
        <v>6.9625</v>
      </c>
    </row>
    <row r="13" ht="15" customHeight="1" s="73">
      <c r="B13" s="79" t="inlineStr">
        <is>
          <t>— of which nearshore</t>
        </is>
      </c>
      <c r="C13" s="17" t="n">
        <v>0</v>
      </c>
    </row>
    <row r="14" ht="15" customHeight="1" s="73">
      <c r="B14" s="79" t="inlineStr">
        <is>
          <t>— of which onsite</t>
        </is>
      </c>
      <c r="C14" s="17" t="n">
        <v>0</v>
      </c>
    </row>
    <row r="15" ht="15" customHeight="1" s="73">
      <c r="B15" s="79" t="inlineStr">
        <is>
          <t>Role: BSA</t>
        </is>
      </c>
      <c r="C15" s="17" t="n">
        <v>8.641500000000001</v>
      </c>
    </row>
    <row r="16" ht="18.75" customHeight="1" s="73">
      <c r="B16" s="79" t="inlineStr">
        <is>
          <t>Role: Developer</t>
        </is>
      </c>
      <c r="C16" s="17" t="n">
        <v>45.3887</v>
      </c>
      <c r="J16" s="78" t="inlineStr">
        <is>
          <t>All six role lines are populated for this domain and are used exactly as reported. No restatement was needed.</t>
        </is>
      </c>
    </row>
    <row r="17" ht="15" customHeight="1" s="73">
      <c r="B17" s="79" t="inlineStr">
        <is>
          <t>Role: Tester</t>
        </is>
      </c>
      <c r="C17" s="17" t="n">
        <v>11.775</v>
      </c>
    </row>
    <row r="18" ht="15" customHeight="1" s="73">
      <c r="B18" s="79" t="inlineStr">
        <is>
          <t>Role: Maintenance</t>
        </is>
      </c>
      <c r="C18" s="17" t="n">
        <v>3.4833</v>
      </c>
    </row>
    <row r="19" ht="15" customHeight="1" s="73">
      <c r="B19" s="79" t="inlineStr">
        <is>
          <t>Role: PM</t>
        </is>
      </c>
      <c r="C19" s="17" t="n">
        <v>0.1375</v>
      </c>
    </row>
    <row r="20" ht="15" customHeight="1" s="73">
      <c r="B20" s="79" t="inlineStr">
        <is>
          <t>Role: Other</t>
        </is>
      </c>
      <c r="C20" s="17" t="n">
        <v>0</v>
      </c>
    </row>
    <row r="21" ht="15" customHeight="1" s="73">
      <c r="B21" s="4" t="inlineStr">
        <is>
          <t>AD effort (% of PRJ weighted)</t>
        </is>
      </c>
      <c r="C21" s="17" t="n">
        <v>88.4585</v>
      </c>
    </row>
    <row r="22" ht="15" customHeight="1" s="73">
      <c r="B22" s="4" t="inlineStr">
        <is>
          <t>Appendix 3 Year-3 target, each side</t>
        </is>
      </c>
      <c r="C22" s="17" t="n">
        <v>53.0464</v>
      </c>
    </row>
    <row r="23" ht="15" customHeight="1" s="73">
      <c r="B23" s="14" t="inlineStr">
        <is>
          <t>Ratio today — Capgemini share</t>
        </is>
      </c>
      <c r="C23" s="18">
        <f>C8/(C8+C9+C10)</f>
        <v/>
      </c>
    </row>
    <row r="24" ht="27.75" customHeight="1" s="73">
      <c r="B24" s="14" t="inlineStr">
        <is>
          <t>OFFSHORE TODAY — whole team, measured</t>
        </is>
      </c>
      <c r="C24" s="18">
        <f>(C12+C13+C10)/C7</f>
        <v/>
      </c>
      <c r="J24" s="78" t="inlineStr">
        <is>
          <t>16.94% on day one. That is the measured start, not an assumption, and it is the number the whole offshore case has to move. The design closes the entire gap to the 54.73% ceiling by Year 5.</t>
        </is>
      </c>
    </row>
    <row r="26" ht="15" customHeight="1" s="73">
      <c r="A26" s="76" t="inlineStr">
        <is>
          <t>B.  ARCHETYPE MIX  —  from the Golden Application Inventory v4</t>
        </is>
      </c>
    </row>
    <row r="27" ht="15" customHeight="1" s="73">
      <c r="B27" s="5" t="inlineStr">
        <is>
          <t>Archetype</t>
        </is>
      </c>
      <c r="C27" s="5" t="inlineStr">
        <is>
          <t>Name</t>
        </is>
      </c>
      <c r="D27" s="5" t="inlineStr">
        <is>
          <t>Apps</t>
        </is>
      </c>
      <c r="E27" s="5" t="inlineStr">
        <is>
          <t>Effort</t>
        </is>
      </c>
      <c r="F27" s="5" t="inlineStr">
        <is>
          <t>Share</t>
        </is>
      </c>
      <c r="G27" s="5" t="inlineStr">
        <is>
          <t>AI ceiling</t>
        </is>
      </c>
      <c r="H27" s="5" t="inlineStr">
        <is>
          <t>Offshore ceiling</t>
        </is>
      </c>
    </row>
    <row r="28" ht="23.25" customHeight="1" s="73">
      <c r="B28" s="11" t="inlineStr">
        <is>
          <t>D</t>
        </is>
      </c>
      <c r="C28" s="79" t="inlineStr">
        <is>
          <t>Distributed-proven</t>
        </is>
      </c>
      <c r="D28" s="19" t="n">
        <v>1</v>
      </c>
      <c r="E28" s="17" t="n">
        <v>62.6424</v>
      </c>
      <c r="F28" s="12">
        <f>E28/$E$33</f>
        <v/>
      </c>
      <c r="G28" s="20" t="n">
        <v>0.4825</v>
      </c>
      <c r="H28" s="20" t="n">
        <v>0.78</v>
      </c>
    </row>
    <row r="29" ht="15" customHeight="1" s="73">
      <c r="B29" s="11" t="inlineStr">
        <is>
          <t>J</t>
        </is>
      </c>
      <c r="C29" s="79" t="inlineStr">
        <is>
          <t>Japan-locked</t>
        </is>
      </c>
      <c r="D29" s="19" t="n">
        <v>5</v>
      </c>
      <c r="E29" s="17" t="n">
        <v>34.1612</v>
      </c>
      <c r="F29" s="12">
        <f>E29/$E$33</f>
        <v/>
      </c>
      <c r="G29" s="20" t="n">
        <v>0.304</v>
      </c>
      <c r="H29" s="20" t="n">
        <v>0.12</v>
      </c>
    </row>
    <row r="30" ht="15" customHeight="1" s="73">
      <c r="B30" s="11" t="inlineStr">
        <is>
          <t>T</t>
        </is>
      </c>
      <c r="C30" s="79" t="inlineStr">
        <is>
          <t>Long tail</t>
        </is>
      </c>
      <c r="D30" s="19" t="n">
        <v>9</v>
      </c>
      <c r="E30" s="17" t="n">
        <v>9.2767</v>
      </c>
      <c r="F30" s="12">
        <f>E30/$E$33</f>
        <v/>
      </c>
      <c r="G30" s="20" t="n">
        <v>0.39</v>
      </c>
      <c r="H30" s="20" t="n">
        <v>0.55</v>
      </c>
    </row>
    <row r="33" ht="15" customHeight="1" s="73">
      <c r="C33" s="14" t="inlineStr">
        <is>
          <t>Total</t>
        </is>
      </c>
      <c r="D33" s="21">
        <f>SUM(D28:D32)</f>
        <v/>
      </c>
      <c r="E33" s="22">
        <f>SUM(E28:E32)</f>
        <v/>
      </c>
      <c r="F33" s="18">
        <f>SUM(F28:F32)</f>
        <v/>
      </c>
    </row>
    <row r="34" ht="36.75" customHeight="1" s="73">
      <c r="B34" s="14" t="inlineStr">
        <is>
          <t>APPLICABLE AI CEILING</t>
        </is>
      </c>
      <c r="C34" s="18">
        <f>SUMPRODUCT($E$28:$E$32,$G$28:$G$32)/$E$33</f>
        <v/>
      </c>
      <c r="J34" s="78" t="inlineStr">
        <is>
          <t>41.69% on the golden phase mix. One D application at a 48.25% ceiling carries 59% of the effort; the five J applications behind it carry 30.4% and the nine T applications 39%. No domain-specific override is applied.</t>
        </is>
      </c>
    </row>
    <row r="35" ht="18.75" customHeight="1" s="73">
      <c r="B35" s="14" t="inlineStr">
        <is>
          <t>APPLICABLE OFFSHORE CEILING</t>
        </is>
      </c>
      <c r="C35" s="18">
        <f>SUMPRODUCT($E$28:$E$32,$H$28:$H$32)/$E$33</f>
        <v/>
      </c>
      <c r="J35" s="78" t="inlineStr">
        <is>
          <t>54.73%. K2 alone carries a 78% ceiling, but the five Japan-locked applications carry 12% and the long tail 55%. This is the hard constraint in this 領域 and the design now closes all of it.</t>
        </is>
      </c>
    </row>
    <row r="37" ht="15" customHeight="1" s="73">
      <c r="A37" s="76" t="inlineStr">
        <is>
          <t>C.  REALISATION AND THE NON-AI COMPONENTS</t>
        </is>
      </c>
    </row>
    <row r="38" ht="15" customHeight="1" s="73">
      <c r="B38" s="5" t="inlineStr">
        <is>
          <t>Driver</t>
        </is>
      </c>
      <c r="C38" s="5" t="inlineStr">
        <is>
          <t>Year 1</t>
        </is>
      </c>
      <c r="D38" s="5" t="inlineStr">
        <is>
          <t>Year 2</t>
        </is>
      </c>
      <c r="E38" s="5" t="inlineStr">
        <is>
          <t>Year 3</t>
        </is>
      </c>
      <c r="F38" s="5" t="inlineStr">
        <is>
          <t>Year 4</t>
        </is>
      </c>
      <c r="G38" s="5" t="inlineStr">
        <is>
          <t>Year 5</t>
        </is>
      </c>
      <c r="H38" s="5" t="inlineStr">
        <is>
          <t>Basis</t>
        </is>
      </c>
    </row>
    <row r="39" ht="15" customHeight="1" s="73">
      <c r="B39" s="4" t="inlineStr">
        <is>
          <t>AI realisation — share of ceiling</t>
        </is>
      </c>
      <c r="C39" s="23" t="n">
        <v>0.22</v>
      </c>
      <c r="D39" s="23" t="n">
        <v>0.5</v>
      </c>
      <c r="E39" s="23" t="n">
        <v>0.68</v>
      </c>
      <c r="F39" s="23" t="n">
        <v>0.79</v>
      </c>
      <c r="G39" s="23" t="n">
        <v>0.86</v>
      </c>
      <c r="J39" s="78" t="inlineStr">
        <is>
          <t>Adoption, guardrails and substrate maturity, held DELIBERATELY BELOW the portfolio curve. K2 is 59% of this domain and its rules are carried in Japanese-language specifications and a hand-built VB.NET workflow; the constraint on AI realisation here is domain knowledge, not tooling. Capped at 86% in Year 5 rather than 90%.</t>
        </is>
      </c>
    </row>
    <row r="40" ht="15" customHeight="1" s="73">
      <c r="B40" s="4" t="inlineStr">
        <is>
          <t>Classical ADM productivity, cumulative</t>
        </is>
      </c>
      <c r="C40" s="23" t="n">
        <v>0.02</v>
      </c>
      <c r="D40" s="23" t="n">
        <v>0.05</v>
      </c>
      <c r="E40" s="23" t="n">
        <v>0.07000000000000001</v>
      </c>
      <c r="F40" s="23" t="n">
        <v>0.09</v>
      </c>
      <c r="G40" s="23" t="n">
        <v>0.11</v>
      </c>
      <c r="J40" s="78" t="inlineStr">
        <is>
          <t>Standardisation, defect reduction, shift-left.</t>
        </is>
      </c>
    </row>
    <row r="41" ht="18.75" customHeight="1" s="73">
      <c r="B41" s="4" t="inlineStr">
        <is>
          <t>Operating-model productivity, RAW</t>
        </is>
      </c>
      <c r="C41" s="23" t="n">
        <v>0.03</v>
      </c>
      <c r="D41" s="23" t="n">
        <v>0.06</v>
      </c>
      <c r="E41" s="23" t="n">
        <v>0.08</v>
      </c>
      <c r="F41" s="23" t="n">
        <v>0.1</v>
      </c>
      <c r="G41" s="23" t="n">
        <v>0.12</v>
      </c>
      <c r="J41" s="78" t="inlineStr">
        <is>
          <t>Pod consolidation and one release train — only available where the stream is agile.</t>
        </is>
      </c>
    </row>
    <row r="42" ht="23.25" customHeight="1" s="73">
      <c r="B42" s="79" t="inlineStr">
        <is>
          <t>Agile share of the domain  →  from the Delivery Mode sheet</t>
        </is>
      </c>
      <c r="C42" s="12">
        <f>'Delivery Mode'!C18</f>
        <v/>
      </c>
      <c r="D42" s="12">
        <f>'Delivery Mode'!D18</f>
        <v/>
      </c>
      <c r="E42" s="12">
        <f>'Delivery Mode'!E18</f>
        <v/>
      </c>
      <c r="F42" s="12">
        <f>'Delivery Mode'!F18</f>
        <v/>
      </c>
      <c r="G42" s="12">
        <f>'Delivery Mode'!G18</f>
        <v/>
      </c>
    </row>
    <row r="43" ht="27.75" customHeight="1" s="73">
      <c r="B43" s="4" t="inlineStr">
        <is>
          <t>Operating-model productivity, APPLIED  =  raw × agile share × span-of-control factor</t>
        </is>
      </c>
      <c r="C43" s="12">
        <f>C41*C42*C61</f>
        <v/>
      </c>
      <c r="D43" s="12">
        <f>D41*D42*D61</f>
        <v/>
      </c>
      <c r="E43" s="12">
        <f>E41*E42*E61</f>
        <v/>
      </c>
      <c r="F43" s="12">
        <f>F41*F42*F61</f>
        <v/>
      </c>
      <c r="G43" s="12">
        <f>G41*G42*G61</f>
        <v/>
      </c>
      <c r="J43" s="78" t="inlineStr">
        <is>
          <t>Scaling by the agile share is what makes the operating-model gain earned rather than assumed. Payment &amp; Records never converts — fourteen Japanese-specification waterfall applications run as a waterfall team to Year 5 — so the agile share can never exceed K2’s 59.05% share of the estate. That caps the operating-model gain at 7.1% of its raw value by Year 5.</t>
        </is>
      </c>
    </row>
    <row r="44" ht="15" customHeight="1" s="73">
      <c r="B44" s="79" t="inlineStr">
        <is>
          <t>AI-attributable productivity</t>
        </is>
      </c>
      <c r="C44" s="12">
        <f>$C$34*C39</f>
        <v/>
      </c>
      <c r="D44" s="12">
        <f>$C$34*D39</f>
        <v/>
      </c>
      <c r="E44" s="12">
        <f>$C$34*E39</f>
        <v/>
      </c>
      <c r="F44" s="12">
        <f>$C$34*F39</f>
        <v/>
      </c>
      <c r="G44" s="12">
        <f>$C$34*G39</f>
        <v/>
      </c>
    </row>
    <row r="45" ht="15" customHeight="1" s="73">
      <c r="B45" s="14" t="inlineStr">
        <is>
          <t>CAPABILITY EARNED by end of year</t>
        </is>
      </c>
      <c r="C45" s="18">
        <f>1-(1-C44)*(1-C40)*(1-C43)</f>
        <v/>
      </c>
      <c r="D45" s="18">
        <f>1-(1-D44)*(1-D40)*(1-D43)</f>
        <v/>
      </c>
      <c r="E45" s="18">
        <f>1-(1-E44)*(1-E40)*(1-E43)</f>
        <v/>
      </c>
      <c r="F45" s="18">
        <f>1-(1-F44)*(1-F40)*(1-F43)</f>
        <v/>
      </c>
      <c r="G45" s="18">
        <f>1-(1-G44)*(1-G40)*(1-G43)</f>
        <v/>
      </c>
    </row>
    <row r="47" ht="15" customHeight="1" s="73">
      <c r="A47" s="76" t="inlineStr">
        <is>
          <t>D.  CARRY-FORWARD AND PRE-LOAD  —  what is applied to headcount</t>
        </is>
      </c>
    </row>
    <row r="48" ht="15" customHeight="1" s="73">
      <c r="B48" s="24" t="inlineStr">
        <is>
          <t>Pre-load fraction of the in-year gain</t>
        </is>
      </c>
      <c r="C48" s="25" t="n">
        <v>0.5</v>
      </c>
    </row>
    <row r="49" ht="15" customHeight="1" s="73">
      <c r="B49" s="5" t="n"/>
      <c r="C49" s="5" t="inlineStr">
        <is>
          <t>Year 1</t>
        </is>
      </c>
      <c r="D49" s="5" t="inlineStr">
        <is>
          <t>Year 2</t>
        </is>
      </c>
      <c r="E49" s="5" t="inlineStr">
        <is>
          <t>Year 3</t>
        </is>
      </c>
      <c r="F49" s="5" t="inlineStr">
        <is>
          <t>Year 4</t>
        </is>
      </c>
      <c r="G49" s="5" t="inlineStr">
        <is>
          <t>Year 5</t>
        </is>
      </c>
    </row>
    <row r="50" ht="15" customHeight="1" s="73">
      <c r="B50" s="79" t="inlineStr">
        <is>
          <t>Banked from the prior year</t>
        </is>
      </c>
      <c r="C50" s="12">
        <f>0</f>
        <v/>
      </c>
      <c r="D50" s="12">
        <f>C45</f>
        <v/>
      </c>
      <c r="E50" s="12">
        <f>D45</f>
        <v/>
      </c>
      <c r="F50" s="12">
        <f>E45</f>
        <v/>
      </c>
      <c r="G50" s="12">
        <f>F45</f>
        <v/>
      </c>
    </row>
    <row r="51" ht="15" customHeight="1" s="73">
      <c r="B51" s="79" t="inlineStr">
        <is>
          <t>Pre-load of this year's gain</t>
        </is>
      </c>
      <c r="C51" s="12">
        <f>0</f>
        <v/>
      </c>
      <c r="D51" s="12">
        <f>$C$48*(D45-C45)</f>
        <v/>
      </c>
      <c r="E51" s="12">
        <f>$C$48*(E45-D45)</f>
        <v/>
      </c>
      <c r="F51" s="12">
        <f>$C$48*(F45-E45)</f>
        <v/>
      </c>
      <c r="G51" s="12">
        <f>$C$48*(G45-F45)</f>
        <v/>
      </c>
    </row>
    <row r="52" ht="15" customHeight="1" s="73">
      <c r="B52" s="14" t="inlineStr">
        <is>
          <t>APPLIED TO STAFFING</t>
        </is>
      </c>
      <c r="C52" s="18">
        <f>C50+C51</f>
        <v/>
      </c>
      <c r="D52" s="18">
        <f>D50+D51</f>
        <v/>
      </c>
      <c r="E52" s="18">
        <f>E50+E51</f>
        <v/>
      </c>
      <c r="F52" s="18">
        <f>F50+F51</f>
        <v/>
      </c>
      <c r="G52" s="18">
        <f>G50+G51</f>
        <v/>
      </c>
    </row>
    <row r="53" ht="15" customHeight="1" s="73">
      <c r="B53" s="4" t="inlineStr">
        <is>
          <t>Headcount target  =  baseline x (1 - applied)</t>
        </is>
      </c>
      <c r="C53" s="9">
        <f>$C$7*(1-C52)</f>
        <v/>
      </c>
      <c r="D53" s="9">
        <f>$C$7*(1-D52)</f>
        <v/>
      </c>
      <c r="E53" s="9">
        <f>$C$7*(1-E52)</f>
        <v/>
      </c>
      <c r="F53" s="9">
        <f>$C$7*(1-F52)</f>
        <v/>
      </c>
      <c r="G53" s="9">
        <f>$C$7*(1-G52)</f>
        <v/>
      </c>
    </row>
    <row r="54" ht="23.25" customHeight="1" s="73">
      <c r="B54" s="24" t="inlineStr">
        <is>
          <t>EXIT YEAR 3 — full realisation, the point the transfer is struck</t>
        </is>
      </c>
      <c r="E54" s="26">
        <f>$C$7*(1-E45)</f>
        <v/>
      </c>
    </row>
    <row r="56" ht="15" customHeight="1" s="73">
      <c r="A56" s="76" t="inlineStr">
        <is>
          <t>E.  PARTNER  —  the fourth sourcing type, and what it costs</t>
        </is>
      </c>
    </row>
    <row r="57" ht="30" customHeight="1" s="73">
      <c r="B57" s="78" t="inlineStr">
        <is>
          <t>FSI is the named incumbent on four applications — K2 (EAI 12117), POS-IMS (13453), W13WEP-JPN (9947) and JP-RPASS (11604) — 7.0 of the 69.426 vendor units, or 10.1%. Three of the four are waterfall, Japanese-specification and Japan-locked; the fourth is K2 itself. Appendix 3 reports them inside the vendor number, so FTC reported = Capgemini + partner. The taper is 7 / 7 / 6 / 5 / 4.</t>
        </is>
      </c>
    </row>
    <row r="58" ht="15" customHeight="1" s="73">
      <c r="B58" s="5" t="inlineStr">
        <is>
          <t>Measure</t>
        </is>
      </c>
      <c r="C58" s="5" t="inlineStr">
        <is>
          <t>Year 1</t>
        </is>
      </c>
      <c r="D58" s="5" t="inlineStr">
        <is>
          <t>Year 2</t>
        </is>
      </c>
      <c r="E58" s="5" t="inlineStr">
        <is>
          <t>Year 3</t>
        </is>
      </c>
      <c r="F58" s="5" t="inlineStr">
        <is>
          <t>Year 4</t>
        </is>
      </c>
      <c r="G58" s="5" t="inlineStr">
        <is>
          <t>Year 5</t>
        </is>
      </c>
      <c r="H58" s="5" t="inlineStr">
        <is>
          <t>Basis</t>
        </is>
      </c>
    </row>
    <row r="59" ht="15" customHeight="1" s="73">
      <c r="B59" s="4" t="inlineStr">
        <is>
          <t>Partner seats  —  from the seat ledger</t>
        </is>
      </c>
      <c r="C59" s="9">
        <f>'Team Build-Up'!C46</f>
        <v/>
      </c>
      <c r="D59" s="9">
        <f>'Team Build-Up'!D46</f>
        <v/>
      </c>
      <c r="E59" s="9">
        <f>'Team Build-Up'!E46</f>
        <v/>
      </c>
      <c r="F59" s="9">
        <f>'Team Build-Up'!F46</f>
        <v/>
      </c>
      <c r="G59" s="9">
        <f>'Team Build-Up'!G46</f>
        <v/>
      </c>
    </row>
    <row r="60" ht="27.75" customHeight="1" s="73">
      <c r="B60" s="14" t="inlineStr">
        <is>
          <t>Partner share of the delivery population</t>
        </is>
      </c>
      <c r="C60" s="18">
        <f>IF('Team Build-Up'!C9=0,0,C59/'Team Build-Up'!C9)</f>
        <v/>
      </c>
      <c r="D60" s="18">
        <f>IF('Team Build-Up'!D9=0,0,D59/'Team Build-Up'!D9)</f>
        <v/>
      </c>
      <c r="E60" s="18">
        <f>IF('Team Build-Up'!E9=0,0,E59/'Team Build-Up'!E9)</f>
        <v/>
      </c>
      <c r="F60" s="18">
        <f>IF('Team Build-Up'!F9=0,0,F59/'Team Build-Up'!F9)</f>
        <v/>
      </c>
      <c r="G60" s="18">
        <f>IF('Team Build-Up'!G9=0,0,G59/'Team Build-Up'!G9)</f>
        <v/>
      </c>
      <c r="J60" s="78" t="inlineStr">
        <is>
          <t>Partner seats cannot transfer to MetLife. They sit on the Capgemini side of the 50:50 permanently, which is why the plan tapers FSI 7 → 7 → 6 → 5 → 4 rather than holding it flat. Two of the seven are held in the horizontal control cell in Years 1-3 and one in Years 4-5, so the partner relationship is governed and not only consumed.</t>
        </is>
      </c>
    </row>
    <row r="61" ht="15" customHeight="1" s="73">
      <c r="B61" s="79" t="inlineStr">
        <is>
          <t>Span-of-control factor  =  1 − drag × partner share</t>
        </is>
      </c>
      <c r="C61" s="12">
        <f>1-$C$62*C60</f>
        <v/>
      </c>
      <c r="D61" s="12">
        <f>1-$C$62*D60</f>
        <v/>
      </c>
      <c r="E61" s="12">
        <f>1-$C$62*E60</f>
        <v/>
      </c>
      <c r="F61" s="12">
        <f>1-$C$62*F60</f>
        <v/>
      </c>
      <c r="G61" s="12">
        <f>1-$C$62*G60</f>
        <v/>
      </c>
    </row>
    <row r="62" ht="45.75" customHeight="1" s="73">
      <c r="B62" s="24" t="inlineStr">
        <is>
          <t>Partner drag  —  INPUT</t>
        </is>
      </c>
      <c r="C62" s="25" t="n">
        <v>0.6</v>
      </c>
      <c r="J62" s="78" t="inlineStr">
        <is>
          <t>A partner seat returns 40% of the operating-model gain a Capgemini seat does: two management chains, a contractual boundary on ways of working, slower standardisation. At an 18.9% Year-1 partner share this costs real capability, and the drag is the one number to argue about here.</t>
        </is>
      </c>
    </row>
    <row r="64" ht="15" customHeight="1" s="73">
      <c r="A64" s="76" t="inlineStr">
        <is>
          <t>F.  OFFSHORE  —  a measured start, a re-cut ceiling, and three bases to report on</t>
        </is>
      </c>
    </row>
    <row r="65" ht="18.75" customHeight="1" s="73">
      <c r="B65" s="78" t="inlineStr">
        <is>
          <t>THIS IS THE CONSTRAINED CASE, AND THE DESIGN CLOSES IT IN FULL. K2 is archetype D and carries a 78% ceiling, but the five J applications behind it carry 12% and the nine T applications 55%. Eleven of the fifteen applications run on Japanese-language specifications. The blended ceiling is 54.73% against a measured 16.94% today, and Year 5 lands on the ceiling while still holding an onshore technical lead in every team.</t>
        </is>
      </c>
    </row>
    <row r="66" ht="15" customHeight="1" s="73">
      <c r="B66" s="5" t="inlineStr">
        <is>
          <t>Driver</t>
        </is>
      </c>
      <c r="C66" s="5" t="inlineStr">
        <is>
          <t>Year 1</t>
        </is>
      </c>
      <c r="D66" s="5" t="inlineStr">
        <is>
          <t>Year 2</t>
        </is>
      </c>
      <c r="E66" s="5" t="inlineStr">
        <is>
          <t>Year 3</t>
        </is>
      </c>
      <c r="F66" s="5" t="inlineStr">
        <is>
          <t>Year 4</t>
        </is>
      </c>
      <c r="G66" s="5" t="inlineStr">
        <is>
          <t>Year 5</t>
        </is>
      </c>
      <c r="H66" s="5" t="inlineStr">
        <is>
          <t>Basis</t>
        </is>
      </c>
    </row>
    <row r="67" ht="18.75" customHeight="1" s="73">
      <c r="B67" s="4" t="inlineStr">
        <is>
          <t>Gap closure — share of (ceiling − today) reached</t>
        </is>
      </c>
      <c r="C67" s="23" t="n">
        <v>0.03</v>
      </c>
      <c r="D67" s="23" t="n">
        <v>0.35</v>
      </c>
      <c r="E67" s="23" t="n">
        <v>0.6</v>
      </c>
      <c r="F67" s="23" t="n">
        <v>0.8031</v>
      </c>
      <c r="G67" s="23" t="n">
        <v>1</v>
      </c>
      <c r="J67" s="78" t="inlineStr">
        <is>
          <t>Year 1 holds the position it inherits. Year 5 closes the WHOLE gap and sits on the blended ceiling. Year 4 is set to what the roster delivers (47.3%) rather than to the ceiling, because the Year-4 anatomy keeps a full onshore technical lead in every K2 team, an onshore bilingual analyst in both streams and a Tokyo support hand on the Japan-locked satellites. In Year 5 the K2 bilingual analyst halves to 0.5 per team — one analyst across two teams — which is what buys the last 2.6 points.</t>
        </is>
      </c>
    </row>
    <row r="68" ht="15" customHeight="1" s="73">
      <c r="B68" s="14" t="inlineStr">
        <is>
          <t>TARGET OFFSHORE SHARE, whole team</t>
        </is>
      </c>
      <c r="C68" s="18">
        <f>$C$24+($C$35-$C$24)*C67</f>
        <v/>
      </c>
      <c r="D68" s="18">
        <f>$C$24+($C$35-$C$24)*D67</f>
        <v/>
      </c>
      <c r="E68" s="18">
        <f>$C$24+($C$35-$C$24)*E67</f>
        <v/>
      </c>
      <c r="F68" s="18">
        <f>$C$24+($C$35-$C$24)*F67</f>
        <v/>
      </c>
      <c r="G68" s="18">
        <f>$C$24+($C$35-$C$24)*G67</f>
        <v/>
      </c>
    </row>
    <row r="69" ht="15" customHeight="1" s="73">
      <c r="B69" s="79" t="inlineStr">
        <is>
          <t>Delivered — whole team</t>
        </is>
      </c>
      <c r="C69" s="12">
        <f>'Team Build-Up'!C54</f>
        <v/>
      </c>
      <c r="D69" s="12">
        <f>'Team Build-Up'!D54</f>
        <v/>
      </c>
      <c r="E69" s="12">
        <f>'Team Build-Up'!E54</f>
        <v/>
      </c>
      <c r="F69" s="12">
        <f>'Team Build-Up'!F54</f>
        <v/>
      </c>
      <c r="G69" s="12">
        <f>'Team Build-Up'!G54</f>
        <v/>
      </c>
    </row>
    <row r="70" ht="15" customHeight="1" s="73">
      <c r="B70" s="79" t="inlineStr">
        <is>
          <t>Delivered — vendor only (Capgemini + partner)</t>
        </is>
      </c>
      <c r="C70" s="12">
        <f>'Team Build-Up'!C55</f>
        <v/>
      </c>
      <c r="D70" s="12">
        <f>'Team Build-Up'!D55</f>
        <v/>
      </c>
      <c r="E70" s="12">
        <f>'Team Build-Up'!E55</f>
        <v/>
      </c>
      <c r="F70" s="12">
        <f>'Team Build-Up'!F55</f>
        <v/>
      </c>
      <c r="G70" s="12">
        <f>'Team Build-Up'!G55</f>
        <v/>
      </c>
    </row>
    <row r="71" ht="54.75" customHeight="1" s="73">
      <c r="B71" s="14" t="inlineStr">
        <is>
          <t>Delivered — Capgemini payroll only</t>
        </is>
      </c>
      <c r="C71" s="18">
        <f>'Team Build-Up'!C56</f>
        <v/>
      </c>
      <c r="D71" s="18">
        <f>'Team Build-Up'!D56</f>
        <v/>
      </c>
      <c r="E71" s="18">
        <f>'Team Build-Up'!E56</f>
        <v/>
      </c>
      <c r="F71" s="18">
        <f>'Team Build-Up'!F56</f>
        <v/>
      </c>
      <c r="G71" s="18">
        <f>'Team Build-Up'!G56</f>
        <v/>
      </c>
      <c r="J71" s="78" t="inlineStr">
        <is>
          <t>THE LINE THAT MATTERS COMMERCIALLY. Capgemini’s own payroll is far more offshore than the whole team throughout, because the onshore seats are disproportionately MetLife’s and FSI’s. The Year-3 transfer moves only 6 people, so the Capgemini offshore book survives the event and keeps climbing after it.</t>
        </is>
      </c>
    </row>
    <row r="73" ht="15" customHeight="1" s="73">
      <c r="A73" s="76" t="inlineStr">
        <is>
          <t>G.  TRANSFER OF EMPLOYMENT  —  one event, end of Year 3, Capgemini payroll only</t>
        </is>
      </c>
    </row>
    <row r="74" ht="15" customHeight="1" s="73">
      <c r="B74" s="5" t="inlineStr">
        <is>
          <t>Transfer in year</t>
        </is>
      </c>
      <c r="C74" s="5" t="inlineStr">
        <is>
          <t>Year 1</t>
        </is>
      </c>
      <c r="D74" s="5" t="inlineStr">
        <is>
          <t>Year 2</t>
        </is>
      </c>
      <c r="E74" s="5" t="inlineStr">
        <is>
          <t>Year 3</t>
        </is>
      </c>
      <c r="F74" s="5" t="inlineStr">
        <is>
          <t>Year 4</t>
        </is>
      </c>
      <c r="G74" s="5" t="inlineStr">
        <is>
          <t>Year 5</t>
        </is>
      </c>
    </row>
    <row r="75" ht="36.75" customHeight="1" s="73">
      <c r="B75" s="79" t="inlineStr">
        <is>
          <t>Capgemini Japan to MetLife Japan (FTE)</t>
        </is>
      </c>
      <c r="C75" s="16" t="n">
        <v>0</v>
      </c>
      <c r="D75" s="16" t="n">
        <v>0</v>
      </c>
      <c r="E75" s="16" t="n">
        <v>1.5</v>
      </c>
      <c r="F75" s="16" t="n">
        <v>0</v>
      </c>
      <c r="G75" s="16" t="n">
        <v>0</v>
      </c>
      <c r="J75" s="78" t="inlineStr">
        <is>
          <t>FSI SEATS CANNOT MOVE. The whole transfer comes out of Capgemini payroll, which at the Year-3 exit is 31.7 of the 37.2 vendor units — FSI holds 5.6 by then. 3.5 people is 11% of our own population here, comfortably inside the 70% cap, and it lands the ratio at 49.99%.</t>
        </is>
      </c>
    </row>
    <row r="76" ht="15" customHeight="1" s="73">
      <c r="B76" s="79" t="inlineStr">
        <is>
          <t>Capgemini India to MetLife MGCC</t>
        </is>
      </c>
      <c r="C76" s="16" t="n">
        <v>0</v>
      </c>
      <c r="D76" s="16" t="n">
        <v>0</v>
      </c>
      <c r="E76" s="16" t="n">
        <v>2</v>
      </c>
      <c r="F76" s="16" t="n">
        <v>0</v>
      </c>
      <c r="G76" s="16" t="n">
        <v>0</v>
      </c>
    </row>
    <row r="77" ht="27.75" customHeight="1" s="73">
      <c r="B77" s="14" t="inlineStr">
        <is>
          <t>Cumulative transferred</t>
        </is>
      </c>
      <c r="C77" s="21">
        <f>SUM($C$75:C76)</f>
        <v/>
      </c>
      <c r="D77" s="21">
        <f>SUM($C$75:D76)</f>
        <v/>
      </c>
      <c r="E77" s="21">
        <f>SUM($C$75:E76)</f>
        <v/>
      </c>
      <c r="F77" s="21">
        <f>SUM($C$75:F76)</f>
        <v/>
      </c>
      <c r="G77" s="21">
        <f>SUM($C$75:G76)</f>
        <v/>
      </c>
      <c r="J77" s="78" t="inlineStr">
        <is>
          <t>1.5 to MetLife Japan from the Capgemini Japan population; 2.0 to MGCC from the Capgemini India population. MGCC runs 11.0 units here on day one and grows to 13.5 by Year 5 — it is the main vehicle for the offshore move, which is why only a small transfer is needed to close the ratio.</t>
        </is>
      </c>
    </row>
    <row r="79" ht="15" customHeight="1" s="73">
      <c r="A79" s="76" t="inlineStr">
        <is>
          <t>H.  COST INDEX  —  relative only, onshore Tokyo E2 = 1.00</t>
        </is>
      </c>
    </row>
    <row r="80" ht="15" customHeight="1" s="73">
      <c r="B80" s="5" t="inlineStr">
        <is>
          <t>Location</t>
        </is>
      </c>
      <c r="C80" s="5" t="inlineStr">
        <is>
          <t>E1</t>
        </is>
      </c>
      <c r="D80" s="5" t="inlineStr">
        <is>
          <t>E2</t>
        </is>
      </c>
      <c r="E80" s="5" t="inlineStr">
        <is>
          <t>E3</t>
        </is>
      </c>
      <c r="F80" s="5" t="inlineStr">
        <is>
          <t>E4</t>
        </is>
      </c>
      <c r="G80" s="5" t="inlineStr">
        <is>
          <t>E5</t>
        </is>
      </c>
    </row>
    <row r="81" ht="15" customHeight="1" s="73">
      <c r="B81" s="4" t="inlineStr">
        <is>
          <t>Onshore Tokyo</t>
        </is>
      </c>
      <c r="C81" s="27" t="n">
        <v>0.72</v>
      </c>
      <c r="D81" s="27" t="n">
        <v>1</v>
      </c>
      <c r="E81" s="27" t="n">
        <v>1.35</v>
      </c>
      <c r="F81" s="27" t="n">
        <v>1.85</v>
      </c>
      <c r="G81" s="27" t="n">
        <v>2.55</v>
      </c>
    </row>
    <row r="82" ht="15" customHeight="1" s="73">
      <c r="B82" s="4" t="inlineStr">
        <is>
          <t>Offshore Hyderabad</t>
        </is>
      </c>
      <c r="C82" s="27" t="n">
        <v>0.22</v>
      </c>
      <c r="D82" s="27" t="n">
        <v>0.3</v>
      </c>
      <c r="E82" s="27" t="n">
        <v>0.42</v>
      </c>
      <c r="F82" s="27" t="n">
        <v>0.6</v>
      </c>
      <c r="G82" s="27" t="n">
        <v>0.85</v>
      </c>
    </row>
    <row r="83" ht="15" customHeight="1" s="73">
      <c r="B83" s="4" t="inlineStr">
        <is>
          <t>Nearshore</t>
        </is>
      </c>
      <c r="C83" s="27" t="n">
        <v>0.45</v>
      </c>
      <c r="D83" s="27" t="n">
        <v>0.62</v>
      </c>
      <c r="E83" s="27" t="n">
        <v>0.84</v>
      </c>
      <c r="F83" s="27" t="n">
        <v>1.15</v>
      </c>
      <c r="G83" s="27" t="n">
        <v>1.58</v>
      </c>
    </row>
    <row r="84" ht="18.75" customHeight="1" s="73">
      <c r="B84" s="78" t="inlineStr">
        <is>
          <t>Nearshore is ZERO on this domain — every unit is either Tokyo or India, and 62.5 of the 69.4 vendor units are Tokyo today. The NEAR rows are carried so all eleven domain models share one schema.</t>
        </is>
      </c>
      <c r="I84" s="82" t="inlineStr">
        <is>
          <t>key</t>
        </is>
      </c>
      <c r="J84" s="28" t="inlineStr">
        <is>
          <t>E1</t>
        </is>
      </c>
      <c r="K84" s="28" t="inlineStr">
        <is>
          <t>E2</t>
        </is>
      </c>
      <c r="L84" s="28" t="inlineStr">
        <is>
          <t>E3</t>
        </is>
      </c>
      <c r="M84" s="28" t="inlineStr">
        <is>
          <t>E4</t>
        </is>
      </c>
      <c r="N84" s="28" t="inlineStr">
        <is>
          <t>E5</t>
        </is>
      </c>
    </row>
    <row r="85" ht="15" customHeight="1" s="73">
      <c r="I85" s="28" t="inlineStr">
        <is>
          <t>ON</t>
        </is>
      </c>
      <c r="J85" s="29" t="n">
        <v>0.72</v>
      </c>
      <c r="K85" s="29" t="n">
        <v>1</v>
      </c>
      <c r="L85" s="29" t="n">
        <v>1.35</v>
      </c>
      <c r="M85" s="29" t="n">
        <v>1.85</v>
      </c>
      <c r="N85" s="29" t="n">
        <v>2.55</v>
      </c>
    </row>
    <row r="86" ht="18.75" customHeight="1" s="73">
      <c r="I86" s="28" t="inlineStr">
        <is>
          <t>OFF</t>
        </is>
      </c>
      <c r="J86" s="29" t="n">
        <v>0.22</v>
      </c>
      <c r="K86" s="29" t="n">
        <v>0.3</v>
      </c>
      <c r="L86" s="29" t="n">
        <v>0.42</v>
      </c>
      <c r="M86" s="29" t="n">
        <v>0.6</v>
      </c>
      <c r="N86" s="29" t="n">
        <v>0.85</v>
      </c>
    </row>
    <row r="87" ht="18.75" customHeight="1" s="73">
      <c r="I87" s="28" t="inlineStr">
        <is>
          <t>NEAR</t>
        </is>
      </c>
      <c r="J87" s="29" t="n">
        <v>0.45</v>
      </c>
      <c r="K87" s="29" t="n">
        <v>0.62</v>
      </c>
      <c r="L87" s="29" t="n">
        <v>0.84</v>
      </c>
      <c r="M87" s="29" t="n">
        <v>1.15</v>
      </c>
      <c r="N87" s="29" t="n">
        <v>1.58</v>
      </c>
    </row>
    <row r="88" ht="189" customHeight="1" s="73">
      <c r="I88" s="78" t="inlineStr">
        <is>
          <t>Lookup block for the Seat Ledger. Mirrors the table on the left.</t>
        </is>
      </c>
    </row>
  </sheetData>
  <mergeCells count="13">
    <mergeCell ref="A47:J47"/>
    <mergeCell ref="A37:J37"/>
    <mergeCell ref="B84:H84"/>
    <mergeCell ref="A79:J79"/>
    <mergeCell ref="A56:J56"/>
    <mergeCell ref="A2:K2"/>
    <mergeCell ref="A4:J4"/>
    <mergeCell ref="B57:J57"/>
    <mergeCell ref="A26:J26"/>
    <mergeCell ref="A73:J73"/>
    <mergeCell ref="B65:J65"/>
    <mergeCell ref="A64:J64"/>
    <mergeCell ref="A1:K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K64"/>
  <sheetViews>
    <sheetView topLeftCell="A3" zoomScaleNormal="100" workbookViewId="0">
      <selection activeCell="A1" sqref="A1:K1"/>
    </sheetView>
  </sheetViews>
  <sheetFormatPr baseColWidth="8" defaultColWidth="8.6328125" defaultRowHeight="14.5"/>
  <cols>
    <col width="2.453125" customWidth="1" style="73" min="1" max="1"/>
    <col width="40" customWidth="1" style="73" min="2" max="2"/>
    <col width="12" customWidth="1" style="73" min="3" max="7"/>
    <col width="3" customWidth="1" style="73" min="8" max="8"/>
    <col width="56" customWidth="1" style="73" min="9" max="9"/>
  </cols>
  <sheetData>
    <row r="1" ht="25.5" customHeight="1" s="73">
      <c r="A1" s="72" t="inlineStr">
        <is>
          <t>Sourcing and productivity  —  the same chain, applied differently to each population</t>
        </is>
      </c>
    </row>
    <row r="2" ht="15" customHeight="1" s="73">
      <c r="A2" s="75" t="inlineStr">
        <is>
          <t>Productivity is not one number applied to everybody. The four populations do different work and we do not control all four, so each carries its own AI ceiling and its own adoption factor. This sheet is regenerated from the restated two-stream, team-only roster.</t>
        </is>
      </c>
    </row>
    <row r="4" ht="15" customHeight="1" s="73">
      <c r="A4" s="76" t="inlineStr">
        <is>
          <t>A.  WHY ONE RATE CANNOT APPLY TO ALL THREE  —  the Year-1 role mix</t>
        </is>
      </c>
    </row>
    <row r="5" ht="15" customHeight="1" s="73">
      <c r="B5" s="5" t="inlineStr">
        <is>
          <t>Population</t>
        </is>
      </c>
      <c r="C5" s="5" t="inlineStr">
        <is>
          <t>Heads Y1</t>
        </is>
      </c>
      <c r="D5" s="5" t="inlineStr">
        <is>
          <t>BSA</t>
        </is>
      </c>
      <c r="E5" s="5" t="inlineStr">
        <is>
          <t>Developer</t>
        </is>
      </c>
      <c r="F5" s="5" t="inlineStr">
        <is>
          <t>Tester</t>
        </is>
      </c>
      <c r="G5" s="5" t="inlineStr">
        <is>
          <t>Maint.</t>
        </is>
      </c>
    </row>
    <row r="6" ht="27.75" customHeight="1" s="73">
      <c r="B6" s="4" t="inlineStr">
        <is>
          <t>FTC · Capgemini payroll</t>
        </is>
      </c>
      <c r="C6" s="9" t="n">
        <v>62</v>
      </c>
      <c r="D6" s="12" t="n">
        <v>0.1129032258064516</v>
      </c>
      <c r="E6" s="12" t="n">
        <v>0.5241935483870968</v>
      </c>
      <c r="F6" s="12" t="n">
        <v>0.2096774193548387</v>
      </c>
      <c r="G6" s="12" t="n">
        <v>0.07258064516129033</v>
      </c>
      <c r="I6" s="78" t="inlineStr">
        <is>
          <t>MetLife’s own people are governance, domain SME and product ownership. MGCC is build, test and application support. FSI is Japanese-specification development and analysis on four named applications. They are not doing the same work, so they cannot carry the same productivity rate.</t>
        </is>
      </c>
    </row>
    <row r="7" ht="15" customHeight="1" s="73">
      <c r="B7" s="4" t="inlineStr">
        <is>
          <t>PT · Partner (sub-contracted)</t>
        </is>
      </c>
      <c r="C7" s="9" t="n">
        <v>7</v>
      </c>
      <c r="D7" s="12" t="n">
        <v>0.2142857142857143</v>
      </c>
      <c r="E7" s="12" t="n">
        <v>0.5</v>
      </c>
      <c r="F7" s="12" t="n">
        <v>0</v>
      </c>
      <c r="G7" s="12" t="n">
        <v>0.2857142857142857</v>
      </c>
    </row>
    <row r="8" ht="15" customHeight="1" s="73">
      <c r="B8" s="4" t="inlineStr">
        <is>
          <t>FTE · MetLife Japan</t>
        </is>
      </c>
      <c r="C8" s="9" t="n">
        <v>26</v>
      </c>
      <c r="D8" s="12" t="n">
        <v>0.2884615384615384</v>
      </c>
      <c r="E8" s="12" t="n">
        <v>0</v>
      </c>
      <c r="F8" s="12" t="n">
        <v>0</v>
      </c>
      <c r="G8" s="12" t="n">
        <v>0.1923076923076923</v>
      </c>
    </row>
    <row r="9" ht="15" customHeight="1" s="73">
      <c r="B9" s="4" t="inlineStr">
        <is>
          <t>MGCC · MetLife MGCC</t>
        </is>
      </c>
      <c r="C9" s="9" t="n">
        <v>11</v>
      </c>
      <c r="D9" s="12" t="n">
        <v>0</v>
      </c>
      <c r="E9" s="12" t="n">
        <v>0.8181818181818182</v>
      </c>
      <c r="F9" s="12" t="n">
        <v>0.1818181818181818</v>
      </c>
      <c r="G9" s="12" t="n">
        <v>0</v>
      </c>
    </row>
    <row r="11" ht="15" customHeight="1" s="73">
      <c r="A11" s="76" t="inlineStr">
        <is>
          <t>B.  EACH POPULATION'S OWN AI CEILING AND ADOPTION  —  INPUT</t>
        </is>
      </c>
    </row>
    <row r="12" ht="18.75" customHeight="1" s="73">
      <c r="B12" s="5" t="inlineStr">
        <is>
          <t>Population</t>
        </is>
      </c>
      <c r="C12" s="5" t="inlineStr">
        <is>
          <t>Own AI ceiling</t>
        </is>
      </c>
      <c r="D12" s="5" t="inlineStr">
        <is>
          <t>Adoption</t>
        </is>
      </c>
      <c r="E12" s="5" t="inlineStr">
        <is>
          <t>Effective ceiling</t>
        </is>
      </c>
      <c r="F12" s="5" t="inlineStr">
        <is>
          <t>vs domain blend</t>
        </is>
      </c>
    </row>
    <row r="13" ht="36.75" customHeight="1" s="73">
      <c r="B13" s="4" t="inlineStr">
        <is>
          <t>FTC · Capgemini payroll</t>
        </is>
      </c>
      <c r="C13" s="12" t="n">
        <v>0.4345</v>
      </c>
      <c r="D13" s="26" t="n">
        <v>1</v>
      </c>
      <c r="E13" s="18" t="n">
        <v>0.4345</v>
      </c>
      <c r="F13" s="12" t="n">
        <v>0.0176</v>
      </c>
      <c r="I13" s="78" t="inlineStr">
        <is>
          <t>ADOPTION is the share of the ceiling each population can actually realise, and it is a judgement about AUTHORITY, not capability. We build the tooling, set the ways of working and mandate them on our own payroll — so 1.00. Everything below that is somebody else’s decision. The four ceilings are scaled so that the Year-1 head-weighted blend reproduces the Logic Tree’s 41.69%.</t>
        </is>
      </c>
    </row>
    <row r="14" ht="15" customHeight="1" s="73">
      <c r="B14" s="4" t="inlineStr">
        <is>
          <t>PT · Partner (sub-contracted)</t>
        </is>
      </c>
      <c r="C14" s="12" t="n">
        <v>0.4211</v>
      </c>
      <c r="D14" s="26" t="n">
        <v>0.85</v>
      </c>
      <c r="E14" s="18" t="n">
        <v>0.3579</v>
      </c>
      <c r="F14" s="12" t="n">
        <v>-0.059</v>
      </c>
    </row>
    <row r="15" ht="15" customHeight="1" s="73">
      <c r="B15" s="4" t="inlineStr">
        <is>
          <t>FTE · MetLife Japan</t>
        </is>
      </c>
      <c r="C15" s="12" t="n">
        <v>0.3591</v>
      </c>
      <c r="D15" s="26" t="n">
        <v>0.55</v>
      </c>
      <c r="E15" s="18" t="n">
        <v>0.1975</v>
      </c>
      <c r="F15" s="12" t="n">
        <v>-0.2194</v>
      </c>
    </row>
    <row r="16" ht="15" customHeight="1" s="73">
      <c r="B16" s="4" t="inlineStr">
        <is>
          <t>MGCC · MetLife MGCC</t>
        </is>
      </c>
      <c r="C16" s="12" t="n">
        <v>0.4517</v>
      </c>
      <c r="D16" s="26" t="n">
        <v>0.8</v>
      </c>
      <c r="E16" s="18" t="n">
        <v>0.3613</v>
      </c>
      <c r="F16" s="12" t="n">
        <v>-0.0556</v>
      </c>
    </row>
    <row r="17" ht="23.25" customHeight="1" s="73">
      <c r="B17" s="24" t="inlineStr">
        <is>
          <t>Domain blended ceiling (the headline commitment, from the Logic Tree)</t>
        </is>
      </c>
      <c r="C17" s="31" t="n">
        <v>0.4169</v>
      </c>
    </row>
    <row r="18" ht="15" customHeight="1" s="73">
      <c r="B18" s="78" t="inlineStr">
        <is>
          <t>Only the AI gate is scaled. Classical ADM productivity attaches to the work and the operating-model gain attaches to the delivery unit, so both flow to every population regardless of employer.</t>
        </is>
      </c>
    </row>
    <row r="20" ht="15" customHeight="1" s="73">
      <c r="A20" s="76" t="inlineStr">
        <is>
          <t>C.  WHAT EACH POPULATION IS THEREFORE ASKED TO DELIVER</t>
        </is>
      </c>
    </row>
    <row r="21" ht="15" customHeight="1" s="73">
      <c r="B21" s="5" t="inlineStr">
        <is>
          <t>Applied to staffing</t>
        </is>
      </c>
      <c r="C21" s="5" t="inlineStr">
        <is>
          <t>Year 1</t>
        </is>
      </c>
      <c r="D21" s="5" t="inlineStr">
        <is>
          <t>Year 2</t>
        </is>
      </c>
      <c r="E21" s="5" t="inlineStr">
        <is>
          <t>Year 3</t>
        </is>
      </c>
      <c r="F21" s="5" t="inlineStr">
        <is>
          <t>Year 4</t>
        </is>
      </c>
      <c r="G21" s="5" t="inlineStr">
        <is>
          <t>Year 5</t>
        </is>
      </c>
    </row>
    <row r="22" ht="18.75" customHeight="1" s="73">
      <c r="B22" s="14" t="inlineStr">
        <is>
          <t>FTC · Capgemini payroll</t>
        </is>
      </c>
      <c r="C22" s="18" t="n">
        <v>0</v>
      </c>
      <c r="D22" s="18" t="n">
        <v>0.2032</v>
      </c>
      <c r="E22" s="18" t="n">
        <v>0.3278</v>
      </c>
      <c r="F22" s="18" t="n">
        <v>0.4051</v>
      </c>
      <c r="G22" s="18" t="n">
        <v>0.4583</v>
      </c>
      <c r="I22" s="78" t="inlineStr">
        <is>
          <t>The headline commitment is 44.6% by Year 5 — deliberately below the portfolio, because K2 is 59% of this domain and its business rules live in Japanese-language specifications, and because the fourteen satellites never convert to agile. What has changed is that the commitment is no longer assumed to fall equally on all four populations.</t>
        </is>
      </c>
    </row>
    <row r="23" ht="15" customHeight="1" s="73">
      <c r="B23" s="79" t="inlineStr">
        <is>
          <t>PT · Partner (sub-contracted)</t>
        </is>
      </c>
      <c r="C23" s="12" t="n">
        <v>0</v>
      </c>
      <c r="D23" s="12" t="n">
        <v>0.1775</v>
      </c>
      <c r="E23" s="12" t="n">
        <v>0.2871</v>
      </c>
      <c r="F23" s="12" t="n">
        <v>0.356</v>
      </c>
      <c r="G23" s="12" t="n">
        <v>0.4049</v>
      </c>
    </row>
    <row r="24" ht="15" customHeight="1" s="73">
      <c r="B24" s="79" t="inlineStr">
        <is>
          <t>FTE · MetLife Japan</t>
        </is>
      </c>
      <c r="C24" s="12" t="n">
        <v>0</v>
      </c>
      <c r="D24" s="12" t="n">
        <v>0.1236</v>
      </c>
      <c r="E24" s="12" t="n">
        <v>0.2019</v>
      </c>
      <c r="F24" s="12" t="n">
        <v>0.2532</v>
      </c>
      <c r="G24" s="12" t="n">
        <v>0.2933</v>
      </c>
    </row>
    <row r="25" ht="15" customHeight="1" s="73">
      <c r="B25" s="79" t="inlineStr">
        <is>
          <t>MGCC · MetLife MGCC</t>
        </is>
      </c>
      <c r="C25" s="12" t="n">
        <v>0</v>
      </c>
      <c r="D25" s="12" t="n">
        <v>0.1786</v>
      </c>
      <c r="E25" s="12" t="n">
        <v>0.2889</v>
      </c>
      <c r="F25" s="12" t="n">
        <v>0.3582</v>
      </c>
      <c r="G25" s="12" t="n">
        <v>0.4073</v>
      </c>
    </row>
    <row r="26" ht="15" customHeight="1" s="73">
      <c r="B26" s="24" t="inlineStr">
        <is>
          <t>Whole-domain commitment (the headline)</t>
        </is>
      </c>
      <c r="C26" s="31" t="n">
        <v>0</v>
      </c>
      <c r="D26" s="31" t="n">
        <v>0.1973</v>
      </c>
      <c r="E26" s="31" t="n">
        <v>0.3185</v>
      </c>
      <c r="F26" s="31" t="n">
        <v>0.3938</v>
      </c>
      <c r="G26" s="31" t="n">
        <v>0.446</v>
      </c>
    </row>
    <row r="28" ht="15" customHeight="1" s="73">
      <c r="A28" s="76" t="inlineStr">
        <is>
          <t>D.  THE THREE-WAY COMMITMENT SPLIT</t>
        </is>
      </c>
    </row>
    <row r="29" ht="43.5" customHeight="1" s="73">
      <c r="B29" s="14" t="inlineStr">
        <is>
          <t>CAPGEMINI COMMITS</t>
        </is>
      </c>
      <c r="C29" s="79" t="inlineStr">
        <is>
          <t>Our own headcount reduction, on our own payroll, on tooling and ways of working we control. This is contractible and we should contract it.</t>
        </is>
      </c>
      <c r="D29" s="80" t="n"/>
      <c r="E29" s="80" t="n"/>
      <c r="F29" s="80" t="n"/>
      <c r="G29" s="80" t="n"/>
      <c r="H29" s="80" t="n"/>
      <c r="I29" s="81" t="n"/>
    </row>
    <row r="30" ht="43.5" customHeight="1" s="73">
      <c r="B30" s="24" t="inlineStr">
        <is>
          <t>METLIFE MUST DELIVER</t>
        </is>
      </c>
      <c r="C30" s="79" t="inlineStr">
        <is>
          <t>The reduction of MetLife Japan and MGCC headcount. We size it, we enable it and we report it — but redeploying MetLife's own people is MetLife's decision, and MGCC runs to its own utilisation targets. This should be a joint commitment with named owners, not a Capgemini SLA.</t>
        </is>
      </c>
      <c r="D30" s="80" t="n"/>
      <c r="E30" s="80" t="n"/>
      <c r="F30" s="80" t="n"/>
      <c r="G30" s="80" t="n"/>
      <c r="H30" s="80" t="n"/>
      <c r="I30" s="81" t="n"/>
    </row>
    <row r="31" ht="43.5" customHeight="1" s="73">
      <c r="B31" s="32" t="inlineStr">
        <is>
          <t>JOINTLY DEPENDENT</t>
        </is>
      </c>
      <c r="C31" s="79" t="inlineStr">
        <is>
          <t>AI adoption on MetLife's side: tooling access, shared standards, common telemetry, and the substrate being used rather than merely available. If adoption lands below the factors in section B, the whole-team headcount misses even if Capgemini delivers in full.</t>
        </is>
      </c>
      <c r="D31" s="80" t="n"/>
      <c r="E31" s="80" t="n"/>
      <c r="F31" s="80" t="n"/>
      <c r="G31" s="80" t="n"/>
      <c r="H31" s="80" t="n"/>
      <c r="I31" s="81" t="n"/>
    </row>
    <row r="33" ht="15" customHeight="1" s="73">
      <c r="A33" s="76" t="inlineStr">
        <is>
          <t>E.  ORGANIC CONVERGENCE TO 50:50  —  before any transfer</t>
        </is>
      </c>
    </row>
    <row r="34" ht="15" customHeight="1" s="73">
      <c r="B34" s="5" t="inlineStr">
        <is>
          <t>Measure</t>
        </is>
      </c>
      <c r="C34" s="5" t="inlineStr">
        <is>
          <t>Year 1</t>
        </is>
      </c>
      <c r="D34" s="5" t="inlineStr">
        <is>
          <t>Year 2</t>
        </is>
      </c>
      <c r="E34" s="5" t="inlineStr">
        <is>
          <t>Year 3</t>
        </is>
      </c>
      <c r="F34" s="5" t="inlineStr">
        <is>
          <t>Year 4</t>
        </is>
      </c>
      <c r="G34" s="5" t="inlineStr">
        <is>
          <t>Year 5</t>
        </is>
      </c>
    </row>
    <row r="35" ht="36.75" customHeight="1" s="73">
      <c r="B35" s="79" t="inlineStr">
        <is>
          <t>MetLife Japan (FTE) — own curve</t>
        </is>
      </c>
      <c r="C35" s="9" t="n">
        <v>26</v>
      </c>
      <c r="D35" s="9" t="n">
        <v>21</v>
      </c>
      <c r="E35" s="9" t="n">
        <v>17.5</v>
      </c>
      <c r="F35" s="9" t="n">
        <v>17.5</v>
      </c>
      <c r="G35" s="9" t="n">
        <v>14</v>
      </c>
      <c r="I35" s="78" t="inlineStr">
        <is>
          <t>MetLife’s populations follow their own slower curves; MGCC grows as a share as offshore work lands there. Capgemini absorbs the balance, which means we shrink our own book faster than productivity alone would justify. That extra reduction is a deliberate commercial choice to reach the ratio organically rather than by transferring people.</t>
        </is>
      </c>
    </row>
    <row r="36" ht="15" customHeight="1" s="73">
      <c r="B36" s="79" t="inlineStr">
        <is>
          <t>MetLife MGCC — own curve</t>
        </is>
      </c>
      <c r="C36" s="9" t="n">
        <v>11</v>
      </c>
      <c r="D36" s="9" t="n">
        <v>13</v>
      </c>
      <c r="E36" s="9" t="n">
        <v>15</v>
      </c>
      <c r="F36" s="9" t="n">
        <v>14</v>
      </c>
      <c r="G36" s="9" t="n">
        <v>13.5</v>
      </c>
    </row>
    <row r="37" ht="15" customHeight="1" s="73">
      <c r="B37" s="79" t="inlineStr">
        <is>
          <t>Partner — per the partner plan</t>
        </is>
      </c>
      <c r="C37" s="9" t="n">
        <v>7</v>
      </c>
      <c r="D37" s="9" t="n">
        <v>7</v>
      </c>
      <c r="E37" s="9" t="n">
        <v>6</v>
      </c>
      <c r="F37" s="9" t="n">
        <v>5</v>
      </c>
      <c r="G37" s="9" t="n">
        <v>4</v>
      </c>
    </row>
    <row r="38" ht="15" customHeight="1" s="73">
      <c r="B38" s="14" t="inlineStr">
        <is>
          <t>Capgemini — absorbs the balance</t>
        </is>
      </c>
      <c r="C38" s="15" t="n">
        <v>62</v>
      </c>
      <c r="D38" s="15" t="n">
        <v>44</v>
      </c>
      <c r="E38" s="15" t="n">
        <v>34</v>
      </c>
      <c r="F38" s="15" t="n">
        <v>28</v>
      </c>
      <c r="G38" s="15" t="n">
        <v>27</v>
      </c>
    </row>
    <row r="39" ht="15" customHeight="1" s="73">
      <c r="B39" s="14" t="inlineStr">
        <is>
          <t>TOTAL  =  the headline commitment</t>
        </is>
      </c>
      <c r="C39" s="15" t="n">
        <v>106</v>
      </c>
      <c r="D39" s="15" t="n">
        <v>85</v>
      </c>
      <c r="E39" s="15" t="n">
        <v>72.5</v>
      </c>
      <c r="F39" s="15" t="n">
        <v>64.5</v>
      </c>
      <c r="G39" s="15" t="n">
        <v>58.5</v>
      </c>
    </row>
    <row r="40" ht="15" customHeight="1" s="73">
      <c r="B40" s="14" t="inlineStr">
        <is>
          <t>RATIO — Capgemini share</t>
        </is>
      </c>
      <c r="C40" s="18" t="n">
        <v>0.6509</v>
      </c>
      <c r="D40" s="18" t="n">
        <v>0.6</v>
      </c>
      <c r="E40" s="18" t="n">
        <v>0.5517</v>
      </c>
      <c r="F40" s="18" t="n">
        <v>0.5116000000000001</v>
      </c>
      <c r="G40" s="18" t="n">
        <v>0.5299</v>
      </c>
    </row>
    <row r="41" ht="15" customHeight="1" s="73">
      <c r="B41" s="79" t="inlineStr">
        <is>
          <t xml:space="preserve">  — of which productivity-driven</t>
        </is>
      </c>
      <c r="C41" s="12" t="n">
        <v>0</v>
      </c>
      <c r="D41" s="12" t="n">
        <v>0.1973</v>
      </c>
      <c r="E41" s="12" t="n">
        <v>0.3185</v>
      </c>
      <c r="F41" s="12" t="n">
        <v>0.3938</v>
      </c>
      <c r="G41" s="12" t="n">
        <v>0.446</v>
      </c>
    </row>
    <row r="42" ht="23.25" customHeight="1" s="73">
      <c r="B42" s="24" t="inlineStr">
        <is>
          <t xml:space="preserve">  — of which RATIO-DRIVEN: fall in the Capgemini share since Year 1</t>
        </is>
      </c>
      <c r="C42" s="31" t="n">
        <v>0</v>
      </c>
      <c r="D42" s="31" t="n">
        <v>0.0509</v>
      </c>
      <c r="E42" s="31" t="n">
        <v>0.0992</v>
      </c>
      <c r="F42" s="31" t="n">
        <v>0.1393</v>
      </c>
      <c r="G42" s="31" t="n">
        <v>0.121</v>
      </c>
    </row>
    <row r="44" ht="15" customHeight="1" s="73">
      <c r="B44" s="78" t="inlineStr">
        <is>
          <t>This is the mechanism that halves the transfer. Reaching the ratio by shrinking our own book is cheaper, lower-risk and entirely within our control; a transfer of employment is neither.</t>
        </is>
      </c>
    </row>
    <row r="46" ht="15" customHeight="1" s="73">
      <c r="A46" s="76" t="inlineStr">
        <is>
          <t>F.  THE GUARDRAILS  —  where organic convergence has to stop</t>
        </is>
      </c>
    </row>
    <row r="47" ht="18.75" customHeight="1" s="73">
      <c r="B47" s="5" t="inlineStr">
        <is>
          <t>Test</t>
        </is>
      </c>
      <c r="C47" s="5" t="inlineStr">
        <is>
          <t>Year 1</t>
        </is>
      </c>
      <c r="D47" s="5" t="inlineStr">
        <is>
          <t>Year 2</t>
        </is>
      </c>
      <c r="E47" s="5" t="inlineStr">
        <is>
          <t>Year 3</t>
        </is>
      </c>
      <c r="F47" s="5" t="inlineStr">
        <is>
          <t>Year 4</t>
        </is>
      </c>
      <c r="G47" s="5" t="inlineStr">
        <is>
          <t>Year 5</t>
        </is>
      </c>
      <c r="H47" s="5" t="inlineStr">
        <is>
          <t>Floor</t>
        </is>
      </c>
    </row>
    <row r="48" ht="45.75" customHeight="1" s="73">
      <c r="B48" s="4" t="inlineStr">
        <is>
          <t>Capgemini share of the delivery population</t>
        </is>
      </c>
      <c r="C48" s="18" t="n">
        <v>0.6509</v>
      </c>
      <c r="D48" s="18" t="n">
        <v>0.6</v>
      </c>
      <c r="E48" s="18" t="n">
        <v>0.5517</v>
      </c>
      <c r="F48" s="18" t="n">
        <v>0.5116000000000001</v>
      </c>
      <c r="G48" s="18" t="n">
        <v>0.5299</v>
      </c>
      <c r="H48" s="25" t="n">
        <v>0.5</v>
      </c>
      <c r="I48" s="78" t="inlineStr">
        <is>
          <t>THE POINT OF THE FLOOR. If Capgemini becomes a minority of the delivery population, or of the build-and-test seats, or of any single team, we no longer set the ways of working — and a productivity commitment we cannot enforce is not a commitment. The tightest single team in any year is 58.3%.</t>
        </is>
      </c>
    </row>
    <row r="49" ht="23.25" customHeight="1" s="73">
      <c r="B49" s="4" t="inlineStr">
        <is>
          <t>Capgemini share of build-and-test seats</t>
        </is>
      </c>
      <c r="C49" s="18" t="n">
        <v>0.8167</v>
      </c>
      <c r="D49" s="18" t="n">
        <v>0.7363</v>
      </c>
      <c r="E49" s="18" t="n">
        <v>0.7027</v>
      </c>
      <c r="F49" s="18" t="n">
        <v>0.619</v>
      </c>
      <c r="G49" s="18" t="n">
        <v>0.619</v>
      </c>
      <c r="H49" s="25" t="n">
        <v>0.55</v>
      </c>
    </row>
    <row r="50" ht="23.25" customHeight="1" s="73">
      <c r="B50" s="4" t="inlineStr">
        <is>
          <t>Capgemini share inside every single delivery unit</t>
        </is>
      </c>
      <c r="C50" s="33" t="inlineStr">
        <is>
          <t>held</t>
        </is>
      </c>
      <c r="D50" s="33" t="inlineStr">
        <is>
          <t>held</t>
        </is>
      </c>
      <c r="E50" s="33" t="inlineStr">
        <is>
          <t>held</t>
        </is>
      </c>
      <c r="F50" s="33" t="inlineStr">
        <is>
          <t>held</t>
        </is>
      </c>
      <c r="G50" s="33" t="inlineStr">
        <is>
          <t>held</t>
        </is>
      </c>
      <c r="H50" s="25" t="n">
        <v>0.55</v>
      </c>
    </row>
    <row r="52" ht="15" customHeight="1" s="73">
      <c r="A52" s="76" t="inlineStr">
        <is>
          <t>G.  THE TRANSFER  —  only what organic convergence cannot reach</t>
        </is>
      </c>
    </row>
    <row r="53" ht="15" customHeight="1" s="73">
      <c r="B53" s="5" t="n"/>
      <c r="C53" s="5" t="inlineStr">
        <is>
          <t>Value</t>
        </is>
      </c>
    </row>
    <row r="54" ht="15" customHeight="1" s="73">
      <c r="B54" s="79" t="inlineStr">
        <is>
          <t>Exit Year 3 headcount, full realisation</t>
        </is>
      </c>
      <c r="C54" s="9" t="n">
        <v>67.5115</v>
      </c>
    </row>
    <row r="55" ht="15" customHeight="1" s="73">
      <c r="B55" s="79" t="inlineStr">
        <is>
          <t>Vendor units at exit, after organic convergence</t>
        </is>
      </c>
      <c r="C55" s="9" t="n">
        <v>37.2477</v>
      </c>
    </row>
    <row r="56" ht="15" customHeight="1" s="73">
      <c r="B56" s="79" t="inlineStr">
        <is>
          <t>Transferable pool — Capgemini payroll only</t>
        </is>
      </c>
      <c r="C56" s="9" t="n">
        <v>31.6605</v>
      </c>
    </row>
    <row r="57" ht="15" customHeight="1" s="73">
      <c r="B57" s="79" t="inlineStr">
        <is>
          <t>50:50 requires each side to be</t>
        </is>
      </c>
      <c r="C57" s="9" t="n">
        <v>33.7557</v>
      </c>
    </row>
    <row r="58" ht="15" customHeight="1" s="73">
      <c r="B58" s="24" t="inlineStr">
        <is>
          <t>TRANSFER REQUIRED</t>
        </is>
      </c>
      <c r="C58" s="26" t="n">
        <v>3.492</v>
      </c>
    </row>
    <row r="59" ht="15" customHeight="1" s="73">
      <c r="B59" s="79" t="inlineStr">
        <is>
          <t>Maximum transferable at the 70% cap</t>
        </is>
      </c>
      <c r="C59" s="9" t="n">
        <v>22.1624</v>
      </c>
    </row>
    <row r="60" ht="15" customHeight="1" s="73">
      <c r="B60" s="79" t="inlineStr">
        <is>
          <t>Transfer applied</t>
        </is>
      </c>
      <c r="C60" s="13" t="n">
        <v>3.5</v>
      </c>
    </row>
    <row r="61" ht="15" customHeight="1" s="73">
      <c r="B61" s="79" t="inlineStr">
        <is>
          <t xml:space="preserve">  — to MetLife Japan</t>
        </is>
      </c>
      <c r="C61" s="13" t="n">
        <v>1.5</v>
      </c>
    </row>
    <row r="62" ht="15" customHeight="1" s="73">
      <c r="B62" s="79" t="inlineStr">
        <is>
          <t xml:space="preserve">  — to MGCC</t>
        </is>
      </c>
      <c r="C62" s="13" t="n">
        <v>2</v>
      </c>
    </row>
    <row r="63" ht="15" customHeight="1" s="73">
      <c r="B63" s="24" t="inlineStr">
        <is>
          <t>RESIDUAL GAP TO 50:50</t>
        </is>
      </c>
      <c r="C63" s="26" t="n">
        <v>-0.008</v>
      </c>
    </row>
    <row r="64" ht="15" customHeight="1" s="73">
      <c r="B64" s="79" t="inlineStr">
        <is>
          <t>Ratio reached at the Year-3 exit</t>
        </is>
      </c>
      <c r="C64" s="12" t="n">
        <v>0.4999</v>
      </c>
    </row>
  </sheetData>
  <mergeCells count="14">
    <mergeCell ref="B18:I18"/>
    <mergeCell ref="C31:I31"/>
    <mergeCell ref="B44:I44"/>
    <mergeCell ref="A4:G4"/>
    <mergeCell ref="A2:K2"/>
    <mergeCell ref="A20:G20"/>
    <mergeCell ref="A1:K1"/>
    <mergeCell ref="C29:I29"/>
    <mergeCell ref="C30:I30"/>
    <mergeCell ref="A52:G52"/>
    <mergeCell ref="A33:G33"/>
    <mergeCell ref="A11:G11"/>
    <mergeCell ref="A28:G28"/>
    <mergeCell ref="A46:G46"/>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25"/>
  <sheetViews>
    <sheetView zoomScaleNormal="100" workbookViewId="0">
      <selection activeCell="A1" sqref="A1:J1"/>
    </sheetView>
  </sheetViews>
  <sheetFormatPr baseColWidth="8" defaultColWidth="8.6328125" defaultRowHeight="14.5"/>
  <cols>
    <col width="2.453125" customWidth="1" style="73" min="1" max="1"/>
    <col width="40" customWidth="1" style="73" min="2" max="2"/>
    <col width="13" customWidth="1" style="73" min="3" max="7"/>
    <col width="3" customWidth="1" style="73" min="8" max="8"/>
    <col width="54" customWidth="1" style="73" min="9" max="9"/>
  </cols>
  <sheetData>
    <row r="1" ht="25.5" customHeight="1" s="73">
      <c r="A1" s="72" t="inlineStr">
        <is>
          <t>Delivery mode  —  measured per application, and the conversion that never happens</t>
        </is>
      </c>
    </row>
    <row r="2" ht="15" customHeight="1" s="73">
      <c r="A2" s="75" t="inlineStr">
        <is>
          <t>Appendix 3 v5 supplies the development method for fourteen of the fifteen applications. K2 and DSP are agile — 63.6 of the 106.1 units — and the other twelve are waterfall. The domain is now modelled on that split: K2 is its own stream and converts at Q2; the fourteen satellites are one waterfall team that runs to Year 5 without converting at all.</t>
        </is>
      </c>
    </row>
    <row r="4" ht="15" customHeight="1" s="73">
      <c r="A4" s="76" t="inlineStr">
        <is>
          <t>A.  MODE TODAY AND TARGET, BY VALUE STREAM  —  INPUT</t>
        </is>
      </c>
    </row>
    <row r="5" ht="15" customHeight="1" s="73">
      <c r="B5" s="5" t="inlineStr">
        <is>
          <t>Value stream</t>
        </is>
      </c>
      <c r="C5" s="5" t="inlineStr">
        <is>
          <t>Effort</t>
        </is>
      </c>
      <c r="D5" s="5" t="inlineStr">
        <is>
          <t>Archetype</t>
        </is>
      </c>
      <c r="E5" s="5" t="inlineStr">
        <is>
          <t>Mode today</t>
        </is>
      </c>
      <c r="F5" s="5" t="inlineStr">
        <is>
          <t>Agile from</t>
        </is>
      </c>
      <c r="G5" s="5" t="inlineStr">
        <is>
          <t>Why</t>
        </is>
      </c>
    </row>
    <row r="6" ht="30" customHeight="1" s="73">
      <c r="B6" s="4" t="inlineStr">
        <is>
          <t>POSW · Policy Owner Servicing Work Flow (K2 only)</t>
        </is>
      </c>
      <c r="C6" s="34" t="n">
        <v>62.6424</v>
      </c>
      <c r="D6" s="35" t="inlineStr">
        <is>
          <t>D</t>
        </is>
      </c>
      <c r="E6" s="10" t="inlineStr">
        <is>
          <t>Agile</t>
        </is>
      </c>
      <c r="F6" s="10" t="inlineStr">
        <is>
          <t>Q2</t>
        </is>
      </c>
      <c r="G6" s="82" t="inlineStr">
        <is>
          <t>K2 is 59.05% of the domain on its own and carries 34.1 of our inherited people. Agile already, hybrid specifications, 78% offshore ceiling.</t>
        </is>
      </c>
      <c r="I6" s="78" t="inlineStr">
        <is>
          <t>The mode column is MetLife’s own data. The two streams are now K2 (1 application, 62.642 units) and everything else (14 applications, 43.438 units). K2 converts at Q2. The satellites do not convert — that is the input to argue about, and it is the reason productivity here is capped below the portfolio.</t>
        </is>
      </c>
    </row>
    <row r="7" ht="30" customHeight="1" s="73">
      <c r="B7" s="4" t="inlineStr">
        <is>
          <t>POSR · Policy Owner Servicing Payment &amp; Records (14 applications)</t>
        </is>
      </c>
      <c r="C7" s="34" t="n">
        <v>43.4378</v>
      </c>
      <c r="D7" s="35" t="inlineStr">
        <is>
          <t>J / T</t>
        </is>
      </c>
      <c r="E7" s="10" t="inlineStr">
        <is>
          <t>Waterfall</t>
        </is>
      </c>
      <c r="F7" s="10" t="inlineStr">
        <is>
          <t>never</t>
        </is>
      </c>
      <c r="G7" s="82" t="inlineStr">
        <is>
          <t>Eleven Japanese-specification applications, five of them Japan-locked at a 12% offshore ceiling, two marked Retire. Runs as a waterfall team for all five years.</t>
        </is>
      </c>
    </row>
    <row r="8" ht="15" customHeight="1" s="73">
      <c r="B8" s="14" t="inlineStr">
        <is>
          <t>Total</t>
        </is>
      </c>
      <c r="C8" s="22">
        <f>SUM(C6:C7)</f>
        <v/>
      </c>
    </row>
    <row r="10" ht="15" customHeight="1" s="73">
      <c r="A10" s="76" t="inlineStr">
        <is>
          <t>B.  AGILE SHARE BY YEAR  —  computed from the quarter each stream converts</t>
        </is>
      </c>
    </row>
    <row r="11" ht="15" customHeight="1" s="73">
      <c r="B11" s="5" t="inlineStr">
        <is>
          <t>Value stream</t>
        </is>
      </c>
      <c r="C11" s="5" t="inlineStr">
        <is>
          <t>Year 1</t>
        </is>
      </c>
      <c r="D11" s="5" t="inlineStr">
        <is>
          <t>Year 2</t>
        </is>
      </c>
      <c r="E11" s="5" t="inlineStr">
        <is>
          <t>Year 3</t>
        </is>
      </c>
      <c r="F11" s="5" t="inlineStr">
        <is>
          <t>Year 4</t>
        </is>
      </c>
      <c r="G11" s="5" t="inlineStr">
        <is>
          <t>Year 5</t>
        </is>
      </c>
    </row>
    <row r="12" ht="15" customHeight="1" s="73">
      <c r="B12" s="4" t="inlineStr">
        <is>
          <t>POSW</t>
        </is>
      </c>
      <c r="C12" s="30" t="n">
        <v>0.75</v>
      </c>
      <c r="D12" s="30" t="n">
        <v>1</v>
      </c>
      <c r="E12" s="30" t="n">
        <v>1</v>
      </c>
      <c r="F12" s="30" t="n">
        <v>1</v>
      </c>
      <c r="G12" s="30" t="n">
        <v>1</v>
      </c>
    </row>
    <row r="13" ht="15" customHeight="1" s="73">
      <c r="B13" s="4" t="inlineStr">
        <is>
          <t>POSP</t>
        </is>
      </c>
      <c r="C13" s="30" t="n">
        <v>0</v>
      </c>
      <c r="D13" s="30" t="n">
        <v>0</v>
      </c>
      <c r="E13" s="30" t="n">
        <v>0</v>
      </c>
      <c r="F13" s="30" t="n">
        <v>0</v>
      </c>
      <c r="G13" s="30" t="n">
        <v>0</v>
      </c>
    </row>
    <row r="14" ht="15" customHeight="1" s="73">
      <c r="B14" s="14" t="inlineStr">
        <is>
          <t>Effort-weighted agile share of the domain</t>
        </is>
      </c>
      <c r="C14" s="18">
        <f>SUMPRODUCT($C$6:$C$7,C12:C13)/$C$8</f>
        <v/>
      </c>
      <c r="D14" s="18">
        <f>SUMPRODUCT($C$6:$C$7,D12:D13)/$C$8</f>
        <v/>
      </c>
      <c r="E14" s="18">
        <f>SUMPRODUCT($C$6:$C$7,E12:E13)/$C$8</f>
        <v/>
      </c>
      <c r="F14" s="18">
        <f>SUMPRODUCT($C$6:$C$7,F12:F13)/$C$8</f>
        <v/>
      </c>
      <c r="G14" s="18">
        <f>SUMPRODUCT($C$6:$C$7,G12:G13)/$C$8</f>
        <v/>
      </c>
    </row>
    <row r="16" ht="15" customHeight="1" s="73">
      <c r="B16" s="4" t="inlineStr">
        <is>
          <t>Delivery units this produces</t>
        </is>
      </c>
    </row>
    <row r="17" ht="15" customHeight="1" s="73">
      <c r="B17" s="79" t="inlineStr">
        <is>
          <t>— agile PODS (none in this domain)</t>
        </is>
      </c>
      <c r="C17" s="13" t="n">
        <v>0</v>
      </c>
      <c r="D17" s="13" t="n">
        <v>0</v>
      </c>
      <c r="E17" s="13" t="n">
        <v>0</v>
      </c>
      <c r="F17" s="13" t="n">
        <v>0</v>
      </c>
      <c r="G17" s="13" t="n">
        <v>0</v>
      </c>
    </row>
    <row r="18" ht="15" customHeight="1" s="73">
      <c r="B18" s="14" t="inlineStr">
        <is>
          <t>— agile share (feeds the Logic Tree)</t>
        </is>
      </c>
      <c r="C18" s="18">
        <f>C14</f>
        <v/>
      </c>
      <c r="D18" s="18">
        <f>D14</f>
        <v/>
      </c>
      <c r="E18" s="18">
        <f>E14</f>
        <v/>
      </c>
      <c r="F18" s="18">
        <f>F14</f>
        <v/>
      </c>
      <c r="G18" s="18">
        <f>G14</f>
        <v/>
      </c>
    </row>
    <row r="19" ht="15" customHeight="1" s="73">
      <c r="B19" s="79" t="inlineStr">
        <is>
          <t>— TEAMS of 12 (instances)</t>
        </is>
      </c>
      <c r="C19" s="13" t="n">
        <v>7</v>
      </c>
      <c r="D19" s="13" t="n">
        <v>6</v>
      </c>
      <c r="E19" s="13" t="n">
        <v>5</v>
      </c>
      <c r="F19" s="13" t="n">
        <v>4</v>
      </c>
      <c r="G19" s="13" t="n">
        <v>4</v>
      </c>
    </row>
    <row r="21" ht="15" customHeight="1" s="73">
      <c r="A21" s="76" t="inlineStr">
        <is>
          <t>C.  WHY THIS MATTERS TO THE NUMBER</t>
        </is>
      </c>
    </row>
    <row r="22" ht="42" customHeight="1" s="73">
      <c r="B22" s="77" t="inlineStr">
        <is>
          <t>•  Operating-model productivity — pod consolidation, one release train, span of control — is only available where the stream actually runs agile, and here that is K2 and nothing else. Scaling the 3 / 6 / 8 / 10 / 12% curve by the agile share (44.3% in Year 1, 59.05% thereafter) and by the span-of-control factor cuts the Year-5 gain from 12.0% to 7.0%. This is the single largest reason the productivity commitment here is 44.6% and not 50%.</t>
        </is>
      </c>
    </row>
    <row r="23" ht="42" customHeight="1" s="73">
      <c r="B23" s="77" t="inlineStr">
        <is>
          <t>•  Every delivery unit is a TEAM of 12 seats, in every year, in both streams. Team size never moves; instances retire instead — 4+3 in Year 1, then 4+2, 3+2, 3+1 and 3+1. Both anatomies carry MGCC seats from day one, which is what makes this domain’s offshore movement cheap: the substrate is already there.</t>
        </is>
      </c>
    </row>
    <row r="24" ht="42" customHeight="1" s="73">
      <c r="B24" s="77" t="inlineStr">
        <is>
          <t>•  Year 4 is the structural break: the last Payment &amp; Records team retires and its residual run work moves to the horizontal layer, which is why horizontal rises from 12.5 to 16.5 that year before falling to 10.5 in Year 5.</t>
        </is>
      </c>
    </row>
    <row r="25" ht="42" customHeight="1" s="73">
      <c r="B25" s="77" t="inlineStr">
        <is>
          <t>•  DECIDE  whether Payment &amp; Records ever converts. Holding it as waterfall to Year 5 is the conservative reading and costs about 4 points of Year-5 capability. If MetLife will accept agile on even half of those fourteen applications from Year 3, the commitment moves back above 47%.</t>
        </is>
      </c>
    </row>
  </sheetData>
  <mergeCells count="9">
    <mergeCell ref="A1:J1"/>
    <mergeCell ref="A10:I10"/>
    <mergeCell ref="B25:I25"/>
    <mergeCell ref="B24:I24"/>
    <mergeCell ref="B22:I22"/>
    <mergeCell ref="A2:J2"/>
    <mergeCell ref="B23:I23"/>
    <mergeCell ref="A4:I4"/>
    <mergeCell ref="A21:I2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J32"/>
  <sheetViews>
    <sheetView zoomScaleNormal="100" workbookViewId="0">
      <selection activeCell="A1" sqref="A1:J1"/>
    </sheetView>
  </sheetViews>
  <sheetFormatPr baseColWidth="8" defaultColWidth="8.6328125" defaultRowHeight="14.5"/>
  <cols>
    <col width="2.453125" customWidth="1" style="73" min="1" max="1"/>
    <col width="40" customWidth="1" style="73" min="2" max="2"/>
    <col width="13" customWidth="1" style="73" min="3" max="7"/>
    <col width="3" customWidth="1" style="73" min="8" max="8"/>
    <col width="52" customWidth="1" style="73" min="9" max="9"/>
  </cols>
  <sheetData>
    <row r="1" ht="25.5" customHeight="1" s="73">
      <c r="A1" s="72" t="inlineStr">
        <is>
          <t>AMS and ticket load  —  the run team sized from evidence, for the first time</t>
        </is>
      </c>
    </row>
    <row r="2" ht="15" customHeight="1" s="73">
      <c r="A2" s="75" t="inlineStr">
        <is>
          <t>1,145 incidents and 2,071 changes over 32 months, from Appendix 3 v5.</t>
        </is>
      </c>
    </row>
    <row r="4" ht="15" customHeight="1" s="73">
      <c r="A4" s="76" t="inlineStr">
        <is>
          <t>A.  RECORDED VOLUMES  —  1 Jan 2024 to 31 Aug 2026</t>
        </is>
      </c>
    </row>
    <row r="5" ht="15" customHeight="1" s="73">
      <c r="B5" s="5" t="inlineStr">
        <is>
          <t>Measure</t>
        </is>
      </c>
      <c r="C5" s="5" t="inlineStr">
        <is>
          <t>Volume</t>
        </is>
      </c>
      <c r="D5" s="5" t="inlineStr">
        <is>
          <t>Per month</t>
        </is>
      </c>
      <c r="E5" s="5" t="inlineStr">
        <is>
          <t>Per unit of effort</t>
        </is>
      </c>
      <c r="F5" s="5" t="inlineStr">
        <is>
          <t>Share</t>
        </is>
      </c>
    </row>
    <row r="6" ht="18.75" customHeight="1" s="73">
      <c r="B6" s="4" t="inlineStr">
        <is>
          <t>P1 — critical</t>
        </is>
      </c>
      <c r="C6" s="16" t="n">
        <v>0</v>
      </c>
      <c r="D6" s="36">
        <f>C6/$C$17</f>
        <v/>
      </c>
      <c r="E6" s="9">
        <f>C6/'Logic Tree'!$C$7</f>
        <v/>
      </c>
      <c r="F6" s="12">
        <f>C6/$C$11</f>
        <v/>
      </c>
      <c r="I6" s="78" t="inlineStr">
        <is>
          <t>No P1 or P2 incidents at all in 32 months and 71% of incidents at P5. The estate is stable; the cost is in changing it, not in keeping it up.</t>
        </is>
      </c>
    </row>
    <row r="7" ht="15" customHeight="1" s="73">
      <c r="B7" s="4" t="inlineStr">
        <is>
          <t>P2 — high</t>
        </is>
      </c>
      <c r="C7" s="16" t="n">
        <v>0</v>
      </c>
      <c r="D7" s="36">
        <f>C7/$C$17</f>
        <v/>
      </c>
      <c r="E7" s="9">
        <f>C7/'Logic Tree'!$C$7</f>
        <v/>
      </c>
      <c r="F7" s="12">
        <f>C7/$C$11</f>
        <v/>
      </c>
    </row>
    <row r="8" ht="15" customHeight="1" s="73">
      <c r="B8" s="79" t="inlineStr">
        <is>
          <t>P3 — medium</t>
        </is>
      </c>
      <c r="C8" s="16" t="n">
        <v>179</v>
      </c>
      <c r="D8" s="36">
        <f>C8/$C$17</f>
        <v/>
      </c>
      <c r="E8" s="9">
        <f>C8/'Logic Tree'!$C$7</f>
        <v/>
      </c>
      <c r="F8" s="12">
        <f>C8/$C$11</f>
        <v/>
      </c>
    </row>
    <row r="9" ht="15" customHeight="1" s="73">
      <c r="B9" s="79" t="inlineStr">
        <is>
          <t>P4 — low</t>
        </is>
      </c>
      <c r="C9" s="16" t="n">
        <v>153</v>
      </c>
      <c r="D9" s="36">
        <f>C9/$C$17</f>
        <v/>
      </c>
      <c r="E9" s="9">
        <f>C9/'Logic Tree'!$C$7</f>
        <v/>
      </c>
      <c r="F9" s="12">
        <f>C9/$C$11</f>
        <v/>
      </c>
    </row>
    <row r="10" ht="15" customHeight="1" s="73">
      <c r="B10" s="79" t="inlineStr">
        <is>
          <t>P5 — informational</t>
        </is>
      </c>
      <c r="C10" s="16" t="n">
        <v>813</v>
      </c>
      <c r="D10" s="36">
        <f>C10/$C$17</f>
        <v/>
      </c>
      <c r="E10" s="9">
        <f>C10/'Logic Tree'!$C$7</f>
        <v/>
      </c>
      <c r="F10" s="12">
        <f>C10/$C$11</f>
        <v/>
      </c>
    </row>
    <row r="11" ht="15" customHeight="1" s="73">
      <c r="B11" s="14" t="inlineStr">
        <is>
          <t>All incidents</t>
        </is>
      </c>
      <c r="C11" s="21">
        <f>SUM(C6:C10)</f>
        <v/>
      </c>
      <c r="D11" s="37">
        <f>C11/$C$17</f>
        <v/>
      </c>
      <c r="E11" s="15">
        <f>C11/'Logic Tree'!$C$7</f>
        <v/>
      </c>
    </row>
    <row r="12" ht="18.75" customHeight="1" s="73">
      <c r="B12" s="79" t="inlineStr">
        <is>
          <t>Emergency change</t>
        </is>
      </c>
      <c r="C12" s="16" t="n">
        <v>115</v>
      </c>
      <c r="D12" s="36">
        <f>C12/$C$17</f>
        <v/>
      </c>
      <c r="E12" s="9">
        <f>C12/'Logic Tree'!$C$7</f>
        <v/>
      </c>
      <c r="F12" s="12">
        <f>C12/$C$15</f>
        <v/>
      </c>
      <c r="I12" s="78" t="inlineStr">
        <is>
          <t>84% Standard and 4.3% Emergency. A high-volume, low-severity, highly repeatable change profile — the best automation case in the portfolio.</t>
        </is>
      </c>
    </row>
    <row r="13" ht="15" customHeight="1" s="73">
      <c r="B13" s="79" t="inlineStr">
        <is>
          <t>Normal change</t>
        </is>
      </c>
      <c r="C13" s="16" t="n">
        <v>233</v>
      </c>
      <c r="D13" s="36">
        <f>C13/$C$17</f>
        <v/>
      </c>
      <c r="E13" s="9">
        <f>C13/'Logic Tree'!$C$7</f>
        <v/>
      </c>
      <c r="F13" s="12">
        <f>C13/$C$15</f>
        <v/>
      </c>
    </row>
    <row r="14" ht="15" customHeight="1" s="73">
      <c r="B14" s="79" t="inlineStr">
        <is>
          <t>Standard change</t>
        </is>
      </c>
      <c r="C14" s="16" t="n">
        <v>1723</v>
      </c>
      <c r="D14" s="36">
        <f>C14/$C$17</f>
        <v/>
      </c>
      <c r="E14" s="9">
        <f>C14/'Logic Tree'!$C$7</f>
        <v/>
      </c>
      <c r="F14" s="12">
        <f>C14/$C$15</f>
        <v/>
      </c>
    </row>
    <row r="15" ht="15" customHeight="1" s="73">
      <c r="B15" s="14" t="inlineStr">
        <is>
          <t>All changes</t>
        </is>
      </c>
      <c r="C15" s="21">
        <f>SUM(C12:C14)</f>
        <v/>
      </c>
      <c r="D15" s="37">
        <f>C15/$C$17</f>
        <v/>
      </c>
      <c r="E15" s="15">
        <f>C15/'Logic Tree'!$C$7</f>
        <v/>
      </c>
    </row>
    <row r="17" ht="15" customHeight="1" s="73">
      <c r="B17" s="24" t="inlineStr">
        <is>
          <t>Observation window, months</t>
        </is>
      </c>
      <c r="C17" s="38" t="n">
        <v>32</v>
      </c>
    </row>
    <row r="19" ht="15" customHeight="1" s="73">
      <c r="A19" s="76" t="inlineStr">
        <is>
          <t>B.  SIZING THE RUN TEAM  —  three independent bases, triangulated</t>
        </is>
      </c>
    </row>
    <row r="20" ht="15" customHeight="1" s="73">
      <c r="B20" s="5" t="inlineStr">
        <is>
          <t>Basis</t>
        </is>
      </c>
      <c r="C20" s="5" t="inlineStr">
        <is>
          <t>Value</t>
        </is>
      </c>
      <c r="D20" s="5" t="inlineStr">
        <is>
          <t>Reading</t>
        </is>
      </c>
    </row>
    <row r="21" ht="33.75" customHeight="1" s="73">
      <c r="B21" s="14" t="inlineStr">
        <is>
          <t>A.  Maintenance role reported in Appendix 3 v5</t>
        </is>
      </c>
      <c r="C21" s="15">
        <f>'Logic Tree'!C18</f>
        <v/>
      </c>
      <c r="D21" s="82" t="inlineStr">
        <is>
          <t>MetLife's own HEADCOUNT view. Populated here, unlike Contract Management, so it is usable.</t>
        </is>
      </c>
    </row>
    <row r="22" ht="33.75" customHeight="1" s="73">
      <c r="B22" s="14" t="inlineStr">
        <is>
          <t>B.  Run effort implied by the AD / AMS split  =  (1 − AD share) x effort</t>
        </is>
      </c>
      <c r="C22" s="15">
        <f>'Logic Tree'!C7-'Logic Tree'!C21</f>
        <v/>
      </c>
      <c r="D22" s="82" t="inlineStr">
        <is>
          <t>MetLife's own EFFORT view: 13.5% of 100.765 units. It implies 2.4 times the run population the role line does, and both numbers come from the same spreadsheet.</t>
        </is>
      </c>
    </row>
    <row r="23" ht="33.75" customHeight="1" s="73">
      <c r="B23" s="4" t="inlineStr">
        <is>
          <t>Total demand items per month  (incidents + changes)</t>
        </is>
      </c>
      <c r="C23" s="39">
        <f>(C11+C15)/C17</f>
        <v/>
      </c>
      <c r="D23" s="82" t="inlineStr">
        <is>
          <t>2,536 items in 32 months — 25.2 per unit of effort against 14.6 on Sales. High for a three-application estate, and 84% of the changes are Standard.</t>
        </is>
      </c>
    </row>
    <row r="24" ht="33.75" customHeight="1" s="73">
      <c r="B24" s="24" t="inlineStr">
        <is>
          <t>C.  Throughput implied by basis A  —  items per person per month</t>
        </is>
      </c>
      <c r="C24" s="26">
        <f>IFERROR(C23/C21,0)</f>
        <v/>
      </c>
      <c r="D24" s="82" t="inlineStr">
        <is>
          <t>If the role line is right, each run person absorbs this many items a month.</t>
        </is>
      </c>
    </row>
    <row r="25" ht="33.75" customHeight="1" s="73">
      <c r="B25" s="24" t="inlineStr">
        <is>
          <t>C.  Throughput implied by basis B</t>
        </is>
      </c>
      <c r="C25" s="26">
        <f>IFERROR(C23/C22,0)</f>
        <v/>
      </c>
      <c r="D25" s="82" t="inlineStr">
        <is>
          <t>If the effort split is right, this is the rate. Industry L2 throughput on a modern data stack is 40 to 80 items per person per month; both of these sit far below it, which says these items carry investigation rather than triage.</t>
        </is>
      </c>
    </row>
    <row r="26" ht="33.75" customHeight="1" s="73">
      <c r="B26" s="14" t="inlineStr">
        <is>
          <t>Run-facing seats in the Year-1 roster  (Maintenance + Tester, all sourcing)</t>
        </is>
      </c>
      <c r="C26" s="15">
        <f>'Team Build-Up'!C64+'Team Build-Up'!C63</f>
        <v/>
      </c>
      <c r="D26" s="82" t="inlineStr">
        <is>
          <t>Model output. Sized on the role line, which is the binding Year-1 reconciliation constraint, and reported here against the other two bases rather than averaged with them.</t>
        </is>
      </c>
    </row>
    <row r="28" ht="15" customHeight="1" s="73">
      <c r="A28" s="76" t="inlineStr">
        <is>
          <t>C.  WHAT THE TICKET DATA CHANGES</t>
        </is>
      </c>
    </row>
    <row r="29" ht="48" customHeight="1" s="73">
      <c r="B29" s="77" t="inlineStr">
        <is>
          <t>•  MetLife's two views of the run population disagree by a factor of 2.4. The Maintenance role line says 5.67 units; the AD / AMS effort split says 13.64. This model follows the role line, because Year 1 has to reconcile to Appendix 3 line by line — but the difference is 8 people and it is a real commercial exposure. PUT THIS TO METLIFE before the AMS price is fixed.</t>
        </is>
      </c>
    </row>
    <row r="30" ht="48" customHeight="1" s="73">
      <c r="B30" s="77" t="inlineStr">
        <is>
          <t>•  The severity profile is benign and the change profile is not. No P1 or P2 incidents in 32 months and 71% of incidents at P5 — this estate is stable. But 1,730 changes on 100.8 units, 84% of them Standard, is a high change rate, and Standard changes on a cloud data platform are exactly what pipeline automation and a release train remove. That is where the operating-model productivity in this domain actually comes from.</t>
        </is>
      </c>
    </row>
    <row r="31" ht="48" customHeight="1" s="73">
      <c r="B31" s="77" t="inlineStr">
        <is>
          <t>•  Ticket density is 25.2 items per unit of effort against 14.6 on Sales — the highest of the domains modelled so far. Combined with a 13.5% run share it suggests run work is sitting inside the Developer line, which is the same pattern Sales shows and the reason this cross-check is worth running on every domain.</t>
        </is>
      </c>
    </row>
    <row r="32" ht="48" customHeight="1" s="73">
      <c r="B32" s="77" t="inlineStr">
        <is>
          <t>•  DO  ask MetLife which of the two run figures governs, and ask for the ticket-to-effort mapping behind the AD / AMS split. On a three-application domain this is a short conversation with a material price attached.</t>
        </is>
      </c>
    </row>
  </sheetData>
  <mergeCells count="9">
    <mergeCell ref="A1:J1"/>
    <mergeCell ref="B30:I30"/>
    <mergeCell ref="A19:I19"/>
    <mergeCell ref="B29:I29"/>
    <mergeCell ref="B31:I31"/>
    <mergeCell ref="A28:I28"/>
    <mergeCell ref="A2:J2"/>
    <mergeCell ref="A4:I4"/>
    <mergeCell ref="B32:I3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W22"/>
  <sheetViews>
    <sheetView zoomScaleNormal="100" workbookViewId="0">
      <selection activeCell="A1" sqref="A1:V1"/>
    </sheetView>
  </sheetViews>
  <sheetFormatPr baseColWidth="8" defaultColWidth="8.6328125" defaultRowHeight="14.5"/>
  <cols>
    <col width="2.453125" customWidth="1" style="73" min="1" max="1"/>
    <col width="26" customWidth="1" style="73" min="2" max="2"/>
    <col width="6" customWidth="1" style="73" min="3" max="3"/>
    <col width="9" customWidth="1" style="73" min="4" max="5"/>
    <col width="8" customWidth="1" style="73" min="6" max="6"/>
    <col width="9" customWidth="1" style="73" min="7" max="7"/>
    <col width="10" customWidth="1" style="73" min="8" max="8"/>
    <col width="9" customWidth="1" style="73" min="9" max="9"/>
    <col width="8" customWidth="1" style="73" min="10" max="11"/>
    <col width="7" customWidth="1" style="73" min="12" max="12"/>
    <col width="6" customWidth="1" style="73" min="13" max="13"/>
    <col width="8" customWidth="1" style="73" min="14" max="14"/>
    <col width="9" customWidth="1" style="73" min="15" max="15"/>
    <col width="13" customWidth="1" style="73" min="16" max="16"/>
    <col width="9" customWidth="1" style="73" min="17" max="17"/>
    <col width="10" customWidth="1" style="73" min="18" max="18"/>
    <col width="9" customWidth="1" style="73" min="19" max="19"/>
    <col width="34" customWidth="1" style="73" min="20" max="20"/>
  </cols>
  <sheetData>
    <row r="1" ht="25.5" customHeight="1" s="73">
      <c r="A1" s="72" t="inlineStr">
        <is>
          <t>Inventory  —  the 15 Storage and Preservation Related applications from Appendix 3 v5</t>
        </is>
      </c>
    </row>
    <row r="2" ht="15" customHeight="1" s="73">
      <c r="A2" s="75" t="inlineStr">
        <is>
          <t>Classified by the six-rule classifier on the Golden Application Inventory v4.</t>
        </is>
      </c>
    </row>
    <row r="4" ht="15" customHeight="1" s="73">
      <c r="B4" s="5" t="inlineStr">
        <is>
          <t>Application</t>
        </is>
      </c>
      <c r="C4" s="5" t="inlineStr">
        <is>
          <t>Arch</t>
        </is>
      </c>
      <c r="D4" s="5" t="inlineStr">
        <is>
          <t>Effort</t>
        </is>
      </c>
      <c r="E4" s="5" t="inlineStr">
        <is>
          <t>FTC</t>
        </is>
      </c>
      <c r="F4" s="5" t="inlineStr">
        <is>
          <t>FTE</t>
        </is>
      </c>
      <c r="G4" s="5" t="inlineStr">
        <is>
          <t>Onshore</t>
        </is>
      </c>
      <c r="H4" s="5" t="inlineStr">
        <is>
          <t>Nearshore</t>
        </is>
      </c>
      <c r="I4" s="5" t="inlineStr">
        <is>
          <t>Nearsh %</t>
        </is>
      </c>
      <c r="J4" s="5" t="inlineStr">
        <is>
          <t>BSA</t>
        </is>
      </c>
      <c r="K4" s="5" t="inlineStr">
        <is>
          <t>Dev</t>
        </is>
      </c>
      <c r="L4" s="5" t="inlineStr">
        <is>
          <t>AD %</t>
        </is>
      </c>
      <c r="M4" s="5" t="inlineStr">
        <is>
          <t>Crit</t>
        </is>
      </c>
      <c r="N4" s="5" t="inlineStr">
        <is>
          <t>Method</t>
        </is>
      </c>
      <c r="O4" s="5" t="inlineStr">
        <is>
          <t>Spec lang</t>
        </is>
      </c>
      <c r="P4" s="5" t="inlineStr">
        <is>
          <t>Lines of code</t>
        </is>
      </c>
      <c r="Q4" s="5" t="inlineStr">
        <is>
          <t>Batches</t>
        </is>
      </c>
      <c r="R4" s="5" t="inlineStr">
        <is>
          <t>Incidents</t>
        </is>
      </c>
      <c r="S4" s="5" t="inlineStr">
        <is>
          <t>Changes</t>
        </is>
      </c>
      <c r="T4" s="5" t="inlineStr">
        <is>
          <t>Primary code language</t>
        </is>
      </c>
      <c r="U4" t="inlineStr">
        <is>
          <t>Value stream</t>
        </is>
      </c>
      <c r="V4" t="inlineStr">
        <is>
          <t>FSI FTC</t>
        </is>
      </c>
      <c r="W4" t="inlineStr">
        <is>
          <t>EAI ID</t>
        </is>
      </c>
    </row>
    <row r="5" ht="15" customHeight="1" s="73">
      <c r="B5" s="4" t="inlineStr">
        <is>
          <t>K2</t>
        </is>
      </c>
      <c r="C5" s="35" t="inlineStr">
        <is>
          <t>D</t>
        </is>
      </c>
      <c r="D5" s="34" t="n">
        <v>62.6424</v>
      </c>
      <c r="E5" s="34" t="n">
        <v>36.1049</v>
      </c>
      <c r="F5" s="34" t="n">
        <v>15.5375</v>
      </c>
      <c r="G5" s="34" t="n">
        <v>29.959</v>
      </c>
      <c r="H5" s="34" t="n">
        <v>0</v>
      </c>
      <c r="I5" s="12">
        <f>IFERROR($H5/$D5,0)</f>
        <v/>
      </c>
      <c r="J5" s="34" t="n">
        <v>8.641500000000001</v>
      </c>
      <c r="K5" s="34" t="n">
        <v>13.1092</v>
      </c>
      <c r="L5" s="40" t="n">
        <v>0.863198300937132</v>
      </c>
      <c r="M5" s="35" t="inlineStr">
        <is>
          <t>Y</t>
        </is>
      </c>
      <c r="N5" s="35" t="inlineStr">
        <is>
          <t>Agile</t>
        </is>
      </c>
      <c r="O5" s="35" t="inlineStr">
        <is>
          <t>Hybrid</t>
        </is>
      </c>
      <c r="P5" s="19" t="n">
        <v>0</v>
      </c>
      <c r="Q5" s="19" t="n">
        <v>37</v>
      </c>
      <c r="R5" s="19" t="n">
        <v>350</v>
      </c>
      <c r="S5" s="19" t="n">
        <v>794</v>
      </c>
      <c r="T5" s="79" t="inlineStr">
        <is>
          <t>VB.NET</t>
        </is>
      </c>
      <c r="U5" t="inlineStr">
        <is>
          <t>POSW</t>
        </is>
      </c>
      <c r="V5" t="n">
        <v>2</v>
      </c>
      <c r="W5" t="n">
        <v>12117</v>
      </c>
    </row>
    <row r="6" ht="15" customHeight="1" s="73">
      <c r="B6" s="4" t="inlineStr">
        <is>
          <t>POS-IMS</t>
        </is>
      </c>
      <c r="C6" s="35" t="inlineStr">
        <is>
          <t>J</t>
        </is>
      </c>
      <c r="D6" s="34" t="n">
        <v>9.9625</v>
      </c>
      <c r="E6" s="34" t="n">
        <v>9.6625</v>
      </c>
      <c r="F6" s="34" t="n">
        <v>0.3</v>
      </c>
      <c r="G6" s="34" t="n">
        <v>9.6625</v>
      </c>
      <c r="H6" s="34" t="n">
        <v>0</v>
      </c>
      <c r="I6" s="12">
        <f>IFERROR($H6/$D6,0)</f>
        <v/>
      </c>
      <c r="J6" s="34" t="n">
        <v>0</v>
      </c>
      <c r="K6" s="34" t="n">
        <v>8.862500000000001</v>
      </c>
      <c r="L6" s="40" t="n">
        <v>0.904402515723271</v>
      </c>
      <c r="M6" s="35" t="inlineStr">
        <is>
          <t>N</t>
        </is>
      </c>
      <c r="N6" s="35" t="inlineStr">
        <is>
          <t>Waterfall</t>
        </is>
      </c>
      <c r="O6" s="35" t="inlineStr">
        <is>
          <t>JP</t>
        </is>
      </c>
      <c r="P6" s="19" t="n">
        <v>1972920</v>
      </c>
      <c r="Q6" s="19" t="n">
        <v>57</v>
      </c>
      <c r="R6" s="19" t="n">
        <v>124</v>
      </c>
      <c r="S6" s="19" t="n">
        <v>199</v>
      </c>
      <c r="T6" s="79" t="inlineStr">
        <is>
          <t>VB.NET; JAVA</t>
        </is>
      </c>
      <c r="U6" t="inlineStr">
        <is>
          <t>POSR</t>
        </is>
      </c>
      <c r="V6" t="n">
        <v>2</v>
      </c>
      <c r="W6" t="n">
        <v>13453</v>
      </c>
    </row>
    <row r="7" ht="15" customHeight="1" s="73">
      <c r="B7" s="4" t="inlineStr">
        <is>
          <t>JP-RPASS</t>
        </is>
      </c>
      <c r="C7" s="35" t="inlineStr">
        <is>
          <t>J</t>
        </is>
      </c>
      <c r="D7" s="34" t="n">
        <v>9.737500000000001</v>
      </c>
      <c r="E7" s="34" t="n">
        <v>5.6625</v>
      </c>
      <c r="F7" s="34" t="n">
        <v>4.075</v>
      </c>
      <c r="G7" s="34" t="n">
        <v>5.6625</v>
      </c>
      <c r="H7" s="34" t="n">
        <v>0</v>
      </c>
      <c r="I7" s="12">
        <f>IFERROR($H7/$D7,0)</f>
        <v/>
      </c>
      <c r="J7" s="34" t="n">
        <v>0</v>
      </c>
      <c r="K7" s="34" t="n">
        <v>5.6625</v>
      </c>
      <c r="L7" s="40" t="n">
        <v>0.897303796764214</v>
      </c>
      <c r="M7" s="35" t="inlineStr">
        <is>
          <t>N</t>
        </is>
      </c>
      <c r="N7" s="35" t="inlineStr">
        <is>
          <t>Waterfall</t>
        </is>
      </c>
      <c r="O7" s="35" t="inlineStr">
        <is>
          <t>JP</t>
        </is>
      </c>
      <c r="P7" s="19" t="n">
        <v>0</v>
      </c>
      <c r="Q7" s="19" t="n">
        <v>44</v>
      </c>
      <c r="R7" s="19" t="n">
        <v>147</v>
      </c>
      <c r="S7" s="19" t="n">
        <v>254</v>
      </c>
      <c r="T7" s="79" t="inlineStr">
        <is>
          <t>Other#COTS from BluePrism</t>
        </is>
      </c>
      <c r="U7" t="inlineStr">
        <is>
          <t>POSR</t>
        </is>
      </c>
      <c r="V7" t="n">
        <v>1</v>
      </c>
      <c r="W7" t="n">
        <v>11604</v>
      </c>
    </row>
    <row r="8" ht="15" customHeight="1" s="73">
      <c r="B8" s="4" t="inlineStr">
        <is>
          <t>W13WEP-JPN</t>
        </is>
      </c>
      <c r="C8" s="35" t="inlineStr">
        <is>
          <t>J</t>
        </is>
      </c>
      <c r="D8" s="34" t="n">
        <v>7.185</v>
      </c>
      <c r="E8" s="34" t="n">
        <v>6.0308</v>
      </c>
      <c r="F8" s="34" t="n">
        <v>1.1542</v>
      </c>
      <c r="G8" s="34" t="n">
        <v>6.0308</v>
      </c>
      <c r="H8" s="34" t="n">
        <v>0</v>
      </c>
      <c r="I8" s="12">
        <f>IFERROR($H8/$D8,0)</f>
        <v/>
      </c>
      <c r="J8" s="34" t="n">
        <v>0</v>
      </c>
      <c r="K8" s="34" t="n">
        <v>6.0308</v>
      </c>
      <c r="L8" s="40" t="n">
        <v>0.759046345449253</v>
      </c>
      <c r="M8" s="35" t="inlineStr">
        <is>
          <t>Y</t>
        </is>
      </c>
      <c r="N8" s="35" t="inlineStr">
        <is>
          <t>Waterfall</t>
        </is>
      </c>
      <c r="O8" s="35" t="inlineStr">
        <is>
          <t>JP</t>
        </is>
      </c>
      <c r="P8" s="19" t="n">
        <v>585527</v>
      </c>
      <c r="Q8" s="19" t="n">
        <v>57</v>
      </c>
      <c r="R8" s="19" t="n">
        <v>216</v>
      </c>
      <c r="S8" s="19" t="n">
        <v>389</v>
      </c>
      <c r="T8" s="79" t="inlineStr">
        <is>
          <t>JAVA</t>
        </is>
      </c>
      <c r="U8" t="inlineStr">
        <is>
          <t>POSR</t>
        </is>
      </c>
      <c r="V8" t="n">
        <v>2</v>
      </c>
      <c r="W8" t="n">
        <v>9947</v>
      </c>
    </row>
    <row r="9" ht="15" customHeight="1" s="73">
      <c r="B9" s="4" t="inlineStr">
        <is>
          <t>POS Batch</t>
        </is>
      </c>
      <c r="C9" s="35" t="inlineStr">
        <is>
          <t>J</t>
        </is>
      </c>
      <c r="D9" s="34" t="n">
        <v>4.2762</v>
      </c>
      <c r="E9" s="34" t="n">
        <v>4.0262</v>
      </c>
      <c r="F9" s="34" t="n">
        <v>0.25</v>
      </c>
      <c r="G9" s="34" t="n">
        <v>3.2512</v>
      </c>
      <c r="H9" s="34" t="n">
        <v>0</v>
      </c>
      <c r="I9" s="12">
        <f>IFERROR($H9/$D9,0)</f>
        <v/>
      </c>
      <c r="J9" s="34" t="n">
        <v>0</v>
      </c>
      <c r="K9" s="34" t="n">
        <v>4.0262</v>
      </c>
      <c r="L9" s="40" t="n">
        <v>0.9090909090909089</v>
      </c>
      <c r="M9" s="35" t="inlineStr">
        <is>
          <t>N</t>
        </is>
      </c>
      <c r="N9" s="35" t="inlineStr">
        <is>
          <t>Waterfall</t>
        </is>
      </c>
      <c r="O9" s="35" t="inlineStr">
        <is>
          <t>Hybrid</t>
        </is>
      </c>
      <c r="P9" s="19" t="n">
        <v>0</v>
      </c>
      <c r="Q9" s="19" t="n">
        <v>0</v>
      </c>
      <c r="R9" s="19" t="n">
        <v>8</v>
      </c>
      <c r="S9" s="19" t="n">
        <v>41</v>
      </c>
      <c r="T9" s="79" t="inlineStr">
        <is>
          <t>JAVA</t>
        </is>
      </c>
      <c r="U9" t="inlineStr">
        <is>
          <t>POSR</t>
        </is>
      </c>
      <c r="V9" t="n">
        <v>0</v>
      </c>
    </row>
    <row r="10" ht="15" customHeight="1" s="73">
      <c r="B10" s="4" t="inlineStr">
        <is>
          <t>JP-PCI-RPASS</t>
        </is>
      </c>
      <c r="C10" s="35" t="inlineStr">
        <is>
          <t>J</t>
        </is>
      </c>
      <c r="D10" s="34" t="n">
        <v>3</v>
      </c>
      <c r="E10" s="34" t="n">
        <v>1</v>
      </c>
      <c r="F10" s="34" t="n">
        <v>2</v>
      </c>
      <c r="G10" s="34" t="n">
        <v>1</v>
      </c>
      <c r="H10" s="34" t="n">
        <v>0</v>
      </c>
      <c r="I10" s="12">
        <f>IFERROR($H10/$D10,0)</f>
        <v/>
      </c>
      <c r="J10" s="34" t="n">
        <v>0</v>
      </c>
      <c r="K10" s="34" t="n">
        <v>1</v>
      </c>
      <c r="L10" s="40" t="n">
        <v>0</v>
      </c>
      <c r="M10" s="35" t="inlineStr">
        <is>
          <t>N</t>
        </is>
      </c>
      <c r="N10" s="35" t="inlineStr">
        <is>
          <t>Waterfall</t>
        </is>
      </c>
      <c r="O10" s="35" t="inlineStr">
        <is>
          <t>JP</t>
        </is>
      </c>
      <c r="P10" s="19" t="n">
        <v>0</v>
      </c>
      <c r="Q10" s="19" t="n">
        <v>0</v>
      </c>
      <c r="R10" s="19" t="n">
        <v>0</v>
      </c>
      <c r="S10" s="19" t="n">
        <v>3</v>
      </c>
      <c r="T10" s="79" t="inlineStr">
        <is>
          <t>Other#This is coded within blueprism</t>
        </is>
      </c>
      <c r="U10" t="inlineStr">
        <is>
          <t>POSR</t>
        </is>
      </c>
      <c r="V10" t="n">
        <v>0</v>
      </c>
    </row>
    <row r="11" ht="15" customHeight="1" s="73">
      <c r="B11" s="4" t="inlineStr">
        <is>
          <t>C03PCA-JPN</t>
        </is>
      </c>
      <c r="C11" s="35" t="inlineStr">
        <is>
          <t>T</t>
        </is>
      </c>
      <c r="D11" s="34" t="n">
        <v>2.8862</v>
      </c>
      <c r="E11" s="34" t="n">
        <v>2.6362</v>
      </c>
      <c r="F11" s="34" t="n">
        <v>0.25</v>
      </c>
      <c r="G11" s="34" t="n">
        <v>2.6363</v>
      </c>
      <c r="H11" s="34" t="n">
        <v>0</v>
      </c>
      <c r="I11" s="12">
        <f>IFERROR($H11/$D11,0)</f>
        <v/>
      </c>
      <c r="J11" s="34" t="n">
        <v>0</v>
      </c>
      <c r="K11" s="34" t="n">
        <v>2.6363</v>
      </c>
      <c r="L11" s="40" t="n">
        <v>0.902988306626245</v>
      </c>
      <c r="M11" s="35" t="inlineStr">
        <is>
          <t>N</t>
        </is>
      </c>
      <c r="N11" s="35" t="inlineStr">
        <is>
          <t>Waterfall</t>
        </is>
      </c>
      <c r="O11" s="35" t="inlineStr">
        <is>
          <t>JP</t>
        </is>
      </c>
      <c r="P11" s="19" t="n">
        <v>311649</v>
      </c>
      <c r="Q11" s="19" t="n">
        <v>9</v>
      </c>
      <c r="R11" s="19" t="n">
        <v>45</v>
      </c>
      <c r="S11" s="19" t="n">
        <v>38</v>
      </c>
      <c r="T11" s="79" t="inlineStr">
        <is>
          <t>VB</t>
        </is>
      </c>
      <c r="U11" t="inlineStr">
        <is>
          <t>POSR</t>
        </is>
      </c>
      <c r="V11" t="n">
        <v>0</v>
      </c>
    </row>
    <row r="12" ht="15" customHeight="1" s="73">
      <c r="B12" s="4" t="inlineStr">
        <is>
          <t>C03WRD-JPN</t>
        </is>
      </c>
      <c r="C12" s="35" t="inlineStr">
        <is>
          <t>T</t>
        </is>
      </c>
      <c r="D12" s="34" t="n">
        <v>2.5258</v>
      </c>
      <c r="E12" s="34" t="n">
        <v>2.2883</v>
      </c>
      <c r="F12" s="34" t="n">
        <v>0.2375</v>
      </c>
      <c r="G12" s="34" t="n">
        <v>2.2883</v>
      </c>
      <c r="H12" s="34" t="n">
        <v>0</v>
      </c>
      <c r="I12" s="12">
        <f>IFERROR($H12/$D12,0)</f>
        <v/>
      </c>
      <c r="J12" s="34" t="n">
        <v>0</v>
      </c>
      <c r="K12" s="34" t="n">
        <v>2.1883</v>
      </c>
      <c r="L12" s="40" t="n">
        <v>0.901022764764104</v>
      </c>
      <c r="M12" s="35" t="inlineStr">
        <is>
          <t>Y</t>
        </is>
      </c>
      <c r="N12" s="35" t="inlineStr">
        <is>
          <t>Waterfall</t>
        </is>
      </c>
      <c r="O12" s="35" t="inlineStr">
        <is>
          <t>JP</t>
        </is>
      </c>
      <c r="P12" s="19" t="n">
        <v>125022</v>
      </c>
      <c r="Q12" s="19" t="n">
        <v>0</v>
      </c>
      <c r="R12" s="19" t="n">
        <v>58</v>
      </c>
      <c r="S12" s="19" t="n">
        <v>32</v>
      </c>
      <c r="T12" s="79" t="inlineStr">
        <is>
          <t>VB.NET</t>
        </is>
      </c>
      <c r="U12" t="inlineStr">
        <is>
          <t>POSR</t>
        </is>
      </c>
      <c r="V12" t="n">
        <v>0</v>
      </c>
    </row>
    <row r="13" ht="15" customHeight="1" s="73">
      <c r="B13" s="4" t="inlineStr">
        <is>
          <t>WPMAUD-JPN</t>
        </is>
      </c>
      <c r="C13" s="35" t="inlineStr">
        <is>
          <t>T</t>
        </is>
      </c>
      <c r="D13" s="34" t="n">
        <v>1.1729</v>
      </c>
      <c r="E13" s="34" t="n">
        <v>1.0229</v>
      </c>
      <c r="F13" s="34" t="n">
        <v>0.15</v>
      </c>
      <c r="G13" s="34" t="n">
        <v>1.0229</v>
      </c>
      <c r="H13" s="34" t="n">
        <v>0</v>
      </c>
      <c r="I13" s="12">
        <f>IFERROR($H13/$D13,0)</f>
        <v/>
      </c>
      <c r="J13" s="34" t="n">
        <v>0</v>
      </c>
      <c r="K13" s="34" t="n">
        <v>1.0229</v>
      </c>
      <c r="L13" s="40" t="n">
        <v>0.428063943161634</v>
      </c>
      <c r="M13" s="35" t="inlineStr">
        <is>
          <t>N</t>
        </is>
      </c>
      <c r="N13" s="35" t="inlineStr">
        <is>
          <t>Waterfall</t>
        </is>
      </c>
      <c r="O13" s="35" t="inlineStr">
        <is>
          <t>JP</t>
        </is>
      </c>
      <c r="P13" s="19" t="n">
        <v>649133</v>
      </c>
      <c r="Q13" s="19" t="n">
        <v>32</v>
      </c>
      <c r="R13" s="19" t="n">
        <v>108</v>
      </c>
      <c r="S13" s="19" t="n">
        <v>196</v>
      </c>
      <c r="T13" s="79" t="inlineStr">
        <is>
          <t>JAVA</t>
        </is>
      </c>
      <c r="U13" t="inlineStr">
        <is>
          <t>POSR</t>
        </is>
      </c>
      <c r="V13" t="n">
        <v>0</v>
      </c>
    </row>
    <row r="14" ht="15" customHeight="1" s="73">
      <c r="B14" s="4" t="inlineStr">
        <is>
          <t>DSP</t>
        </is>
      </c>
      <c r="C14" s="35" t="inlineStr">
        <is>
          <t>T</t>
        </is>
      </c>
      <c r="D14" s="34" t="n">
        <v>1</v>
      </c>
      <c r="E14" s="34" t="n">
        <v>0</v>
      </c>
      <c r="F14" s="34" t="n">
        <v>1</v>
      </c>
      <c r="G14" s="34" t="n">
        <v>0</v>
      </c>
      <c r="H14" s="34" t="n">
        <v>0</v>
      </c>
      <c r="I14" s="12">
        <f>IFERROR($H14/$D14,0)</f>
        <v/>
      </c>
      <c r="J14" s="34" t="n">
        <v>0</v>
      </c>
      <c r="K14" s="34" t="n">
        <v>0</v>
      </c>
      <c r="L14" s="40" t="n">
        <v>1</v>
      </c>
      <c r="M14" s="35" t="inlineStr">
        <is>
          <t>N</t>
        </is>
      </c>
      <c r="N14" s="35" t="inlineStr">
        <is>
          <t>Agile</t>
        </is>
      </c>
      <c r="O14" s="35" t="inlineStr">
        <is>
          <t>Hybrid</t>
        </is>
      </c>
      <c r="P14" s="19" t="n">
        <v>0</v>
      </c>
      <c r="Q14" s="19" t="n">
        <v>0</v>
      </c>
      <c r="R14" s="19" t="n">
        <v>1</v>
      </c>
      <c r="S14" s="19" t="n">
        <v>2</v>
      </c>
      <c r="T14" s="79" t="inlineStr">
        <is>
          <t>PL/SQL</t>
        </is>
      </c>
      <c r="U14" t="inlineStr">
        <is>
          <t>POSR</t>
        </is>
      </c>
      <c r="V14" t="n">
        <v>0</v>
      </c>
    </row>
    <row r="15" ht="15" customHeight="1" s="73">
      <c r="B15" s="4" t="inlineStr">
        <is>
          <t>Scan Manager</t>
        </is>
      </c>
      <c r="C15" s="35" t="inlineStr">
        <is>
          <t>T</t>
        </is>
      </c>
      <c r="D15" s="34" t="n">
        <v>0.5958</v>
      </c>
      <c r="E15" s="34" t="n">
        <v>0.3958</v>
      </c>
      <c r="F15" s="34" t="n">
        <v>0.2</v>
      </c>
      <c r="G15" s="34" t="n">
        <v>0.3542</v>
      </c>
      <c r="H15" s="34" t="n">
        <v>0</v>
      </c>
      <c r="I15" s="12">
        <f>IFERROR($H15/$D15,0)</f>
        <v/>
      </c>
      <c r="J15" s="34" t="n">
        <v>0</v>
      </c>
      <c r="K15" s="34" t="n">
        <v>0.3542</v>
      </c>
      <c r="L15" s="40" t="n">
        <v>0.664335664335664</v>
      </c>
      <c r="M15" s="35" t="inlineStr">
        <is>
          <t>N</t>
        </is>
      </c>
      <c r="N15" s="35" t="inlineStr">
        <is>
          <t>Waterfall</t>
        </is>
      </c>
      <c r="O15" s="35" t="inlineStr">
        <is>
          <t>JP</t>
        </is>
      </c>
      <c r="P15" s="19" t="n">
        <v>16693</v>
      </c>
      <c r="Q15" s="19" t="n">
        <v>4</v>
      </c>
      <c r="R15" s="19" t="n">
        <v>3</v>
      </c>
      <c r="S15" s="19" t="n">
        <v>7</v>
      </c>
      <c r="T15" s="79" t="inlineStr">
        <is>
          <t>VB.NET</t>
        </is>
      </c>
      <c r="U15" t="inlineStr">
        <is>
          <t>POSR</t>
        </is>
      </c>
      <c r="V15" t="n">
        <v>0</v>
      </c>
    </row>
    <row r="16" ht="15" customHeight="1" s="73">
      <c r="B16" s="4" t="inlineStr">
        <is>
          <t>W03CCP-JPN</t>
        </is>
      </c>
      <c r="C16" s="35" t="inlineStr">
        <is>
          <t>T</t>
        </is>
      </c>
      <c r="D16" s="34" t="n">
        <v>0.3542</v>
      </c>
      <c r="E16" s="34" t="n">
        <v>0.2542</v>
      </c>
      <c r="F16" s="34" t="n">
        <v>0.1</v>
      </c>
      <c r="G16" s="34" t="n">
        <v>0.2542</v>
      </c>
      <c r="H16" s="34" t="n">
        <v>0</v>
      </c>
      <c r="I16" s="12">
        <f>IFERROR($H16/$D16,0)</f>
        <v/>
      </c>
      <c r="J16" s="34" t="n">
        <v>0</v>
      </c>
      <c r="K16" s="34" t="n">
        <v>0.2542</v>
      </c>
      <c r="L16" s="40" t="n">
        <v>0.5647058823529409</v>
      </c>
      <c r="M16" s="35" t="inlineStr">
        <is>
          <t>N</t>
        </is>
      </c>
      <c r="N16" s="35" t="inlineStr">
        <is>
          <t>Waterfall</t>
        </is>
      </c>
      <c r="O16" s="35" t="inlineStr">
        <is>
          <t>JP</t>
        </is>
      </c>
      <c r="P16" s="19" t="n">
        <v>22000</v>
      </c>
      <c r="Q16" s="19" t="n">
        <v>7</v>
      </c>
      <c r="R16" s="19" t="n">
        <v>4</v>
      </c>
      <c r="S16" s="19" t="n">
        <v>51</v>
      </c>
      <c r="T16" s="79" t="inlineStr">
        <is>
          <t>JAVA</t>
        </is>
      </c>
      <c r="U16" t="inlineStr">
        <is>
          <t>POSR</t>
        </is>
      </c>
      <c r="V16" t="n">
        <v>0</v>
      </c>
    </row>
    <row r="17" ht="15" customHeight="1" s="73">
      <c r="B17" s="4" t="inlineStr">
        <is>
          <t>C03WRE-JPN</t>
        </is>
      </c>
      <c r="C17" s="35" t="inlineStr">
        <is>
          <t>T</t>
        </is>
      </c>
      <c r="D17" s="34" t="n">
        <v>0.3333</v>
      </c>
      <c r="E17" s="34" t="n">
        <v>0.1333</v>
      </c>
      <c r="F17" s="34" t="n">
        <v>0.2</v>
      </c>
      <c r="G17" s="34" t="n">
        <v>0.1333</v>
      </c>
      <c r="H17" s="34" t="n">
        <v>0</v>
      </c>
      <c r="I17" s="12">
        <f>IFERROR($H17/$D17,0)</f>
        <v/>
      </c>
      <c r="J17" s="34" t="n">
        <v>0</v>
      </c>
      <c r="K17" s="34" t="n">
        <v>0.0333</v>
      </c>
      <c r="L17" s="40" t="n">
        <v>0.325842696629213</v>
      </c>
      <c r="M17" s="35" t="inlineStr">
        <is>
          <t>Y</t>
        </is>
      </c>
      <c r="N17" s="35" t="inlineStr">
        <is>
          <t>Waterfall</t>
        </is>
      </c>
      <c r="O17" s="35" t="inlineStr">
        <is>
          <t>JP</t>
        </is>
      </c>
      <c r="P17" s="19" t="n">
        <v>183197</v>
      </c>
      <c r="Q17" s="19" t="n">
        <v>21</v>
      </c>
      <c r="R17" s="19" t="n">
        <v>69</v>
      </c>
      <c r="S17" s="19" t="n">
        <v>43</v>
      </c>
      <c r="T17" s="79" t="inlineStr">
        <is>
          <t>VB.NET</t>
        </is>
      </c>
      <c r="U17" t="inlineStr">
        <is>
          <t>POSR</t>
        </is>
      </c>
      <c r="V17" t="n">
        <v>0</v>
      </c>
    </row>
    <row r="18" ht="15" customHeight="1" s="73">
      <c r="B18" s="4" t="inlineStr">
        <is>
          <t>W03PIU-JPN</t>
        </is>
      </c>
      <c r="C18" s="35" t="inlineStr">
        <is>
          <t>T</t>
        </is>
      </c>
      <c r="D18" s="34" t="n">
        <v>0.3083</v>
      </c>
      <c r="E18" s="34" t="n">
        <v>0.2083</v>
      </c>
      <c r="F18" s="34" t="n">
        <v>0.1</v>
      </c>
      <c r="G18" s="34" t="n">
        <v>0.2083</v>
      </c>
      <c r="H18" s="34" t="n">
        <v>0</v>
      </c>
      <c r="I18" s="12">
        <f>IFERROR($H18/$D18,0)</f>
        <v/>
      </c>
      <c r="J18" s="34" t="n">
        <v>0</v>
      </c>
      <c r="K18" s="34" t="n">
        <v>0.2083</v>
      </c>
      <c r="L18" s="40" t="n">
        <v>0.675675675675676</v>
      </c>
      <c r="M18" s="35" t="inlineStr">
        <is>
          <t>N</t>
        </is>
      </c>
      <c r="N18" s="35" t="inlineStr">
        <is>
          <t>Waterfall</t>
        </is>
      </c>
      <c r="O18" s="35" t="inlineStr">
        <is>
          <t>JP</t>
        </is>
      </c>
      <c r="P18" s="19" t="n">
        <v>228784</v>
      </c>
      <c r="Q18" s="19" t="n">
        <v>1</v>
      </c>
      <c r="R18" s="19" t="n">
        <v>12</v>
      </c>
      <c r="S18" s="19" t="n">
        <v>22</v>
      </c>
      <c r="T18" s="79" t="inlineStr">
        <is>
          <t>JAVA</t>
        </is>
      </c>
      <c r="U18" t="inlineStr">
        <is>
          <t>POSR</t>
        </is>
      </c>
      <c r="V18" t="n">
        <v>0</v>
      </c>
    </row>
    <row r="19" ht="15" customHeight="1" s="73">
      <c r="B19" s="4" t="inlineStr">
        <is>
          <t>JP-DB2-CONNECT</t>
        </is>
      </c>
      <c r="C19" s="35" t="inlineStr">
        <is>
          <t>T</t>
        </is>
      </c>
      <c r="D19" s="34" t="n">
        <v>0.1</v>
      </c>
      <c r="E19" s="34" t="n">
        <v>0</v>
      </c>
      <c r="F19" s="34" t="n">
        <v>0.1</v>
      </c>
      <c r="G19" s="34" t="n">
        <v>0</v>
      </c>
      <c r="H19" s="34" t="n">
        <v>0</v>
      </c>
      <c r="I19" s="12">
        <f>IFERROR($H19/$D19,0)</f>
        <v/>
      </c>
      <c r="J19" s="34" t="n">
        <v>0</v>
      </c>
      <c r="K19" s="34" t="n">
        <v>0</v>
      </c>
      <c r="L19" s="40" t="n">
        <v>0</v>
      </c>
      <c r="M19" s="35" t="inlineStr">
        <is>
          <t>N</t>
        </is>
      </c>
      <c r="N19" s="35" t="inlineStr">
        <is>
          <t>N/A</t>
        </is>
      </c>
      <c r="O19" s="35" t="inlineStr">
        <is>
          <t>N/A</t>
        </is>
      </c>
      <c r="P19" s="19" t="n">
        <v>0</v>
      </c>
      <c r="Q19" s="19" t="n">
        <v>0</v>
      </c>
      <c r="R19" s="19" t="n">
        <v>0</v>
      </c>
      <c r="S19" s="19" t="n">
        <v>0</v>
      </c>
      <c r="T19" s="79" t="inlineStr">
        <is>
          <t>Other#COTS</t>
        </is>
      </c>
      <c r="U19" t="inlineStr">
        <is>
          <t>POSR</t>
        </is>
      </c>
      <c r="V19" t="n">
        <v>0</v>
      </c>
    </row>
    <row r="20" ht="15" customHeight="1" s="73">
      <c r="B20" s="14" t="inlineStr">
        <is>
          <t>TOTAL</t>
        </is>
      </c>
      <c r="D20" s="22">
        <f>SUM(D5:D19)</f>
        <v/>
      </c>
      <c r="E20" s="22">
        <f>SUM(E5:E19)</f>
        <v/>
      </c>
      <c r="F20" s="22">
        <f>SUM(F5:F19)</f>
        <v/>
      </c>
      <c r="G20" s="22">
        <f>SUM(G5:G19)</f>
        <v/>
      </c>
      <c r="H20" s="22">
        <f>SUM(H5:H19)</f>
        <v/>
      </c>
      <c r="J20" s="22">
        <f>SUM(J5:J19)</f>
        <v/>
      </c>
      <c r="K20" s="22">
        <f>SUM(K5:K19)</f>
        <v/>
      </c>
      <c r="P20" s="21">
        <f>SUM(P5:P19)</f>
        <v/>
      </c>
      <c r="Q20" s="21">
        <f>SUM(Q5:Q19)</f>
        <v/>
      </c>
      <c r="R20" s="21">
        <f>SUM(R5:R19)</f>
        <v/>
      </c>
      <c r="S20" s="21">
        <f>SUM(S5:S19)</f>
        <v/>
      </c>
      <c r="U20" t="inlineStr">
        <is>
          <t>—</t>
        </is>
      </c>
      <c r="V20">
        <f>SUM(V5:V19)</f>
        <v/>
      </c>
    </row>
    <row r="22" ht="30" customHeight="1" s="73">
      <c r="B22" s="78" t="inlineStr">
        <is>
          <t>Fourteen of the fifteen carry a development method and a specification language; JP-DB2-CONNECT is a 0.10-unit MetLife-only line with neither. Eleven run on Japanese specifications and only two are cloud-flagged — the least modern stack of the 領域 modelled. Code volume totals 4.09 million lines, 48% of it in POS-IMS. K2 alone is 62.6 of the 106.1 units, which is why it is now a value stream on its own and the other fourteen are the second. Columns U-W are new: the stream each application sits in, the FSI sub-contracted FTC on it, and the EAI ID for the four applications FSI holds. Note that Appendix 3 v5 lists K2 twice; the duplicate line is excluded here, as MetLife’s own total does. Two applications — JP-PCI-RPASS and C03WRE-JPN, 3.3 units between them — are marked Retire in the new disposition columns; see the README.</t>
        </is>
      </c>
    </row>
  </sheetData>
  <mergeCells count="3">
    <mergeCell ref="A2:V2"/>
    <mergeCell ref="B22:T22"/>
    <mergeCell ref="A1:V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9"/>
  <sheetViews>
    <sheetView zoomScaleNormal="100" workbookViewId="0">
      <selection activeCell="B9" sqref="B9:N9"/>
    </sheetView>
  </sheetViews>
  <sheetFormatPr baseColWidth="8" defaultColWidth="8.6328125" defaultRowHeight="14.5"/>
  <cols>
    <col width="2.453125" customWidth="1" style="73" min="1" max="1"/>
    <col width="6" customWidth="1" style="73" min="2" max="2"/>
    <col width="40" customWidth="1" style="73" min="3" max="3"/>
    <col width="7" customWidth="1" style="73" min="4" max="4"/>
    <col width="11" customWidth="1" style="73" min="5" max="5"/>
    <col width="8" customWidth="1" style="73" min="6" max="6"/>
    <col width="10" customWidth="1" style="73" min="7" max="8"/>
    <col width="8" customWidth="1" style="73" min="9" max="13"/>
    <col width="40" customWidth="1" style="73" min="14" max="14"/>
  </cols>
  <sheetData>
    <row r="1" ht="25.5" customHeight="1" s="73">
      <c r="A1" s="72" t="inlineStr">
        <is>
          <t>Delivery streams  —  two streams: K2, and the fourteen satellites</t>
        </is>
      </c>
    </row>
    <row r="2" ht="15" customHeight="1" s="73">
      <c r="A2" s="75" t="inlineStr">
        <is>
          <t>RESTATED. The estate splits on the one thing that actually differentiates it: K2 or not K2. Policy Owner Servicing Work Flow now carries K2 alone — one application, 62.642 units, 59.05% of the domain, the only archetype-D and the only agile line. Policy Owner Servicing Payment &amp; Records carries the other fourteen — 43.438 units of Japanese-specification waterfall. Both run as TEAMS; there are no pods in this domain.</t>
        </is>
      </c>
    </row>
    <row r="4" ht="15" customHeight="1" s="73">
      <c r="B4" s="5" t="inlineStr">
        <is>
          <t>Code</t>
        </is>
      </c>
      <c r="C4" s="5" t="inlineStr">
        <is>
          <t>Value stream</t>
        </is>
      </c>
      <c r="D4" s="5" t="inlineStr">
        <is>
          <t>Apps</t>
        </is>
      </c>
      <c r="E4" s="5" t="inlineStr">
        <is>
          <t>Effort</t>
        </is>
      </c>
      <c r="F4" s="5" t="inlineStr">
        <is>
          <t>Arch</t>
        </is>
      </c>
      <c r="G4" s="5" t="inlineStr">
        <is>
          <t>Mode today</t>
        </is>
      </c>
      <c r="H4" s="5" t="inlineStr">
        <is>
          <t>Agile from</t>
        </is>
      </c>
      <c r="I4" s="5" t="inlineStr">
        <is>
          <t>Y1 pods</t>
        </is>
      </c>
      <c r="J4" s="5" t="inlineStr">
        <is>
          <t>Y2</t>
        </is>
      </c>
      <c r="K4" s="5" t="inlineStr">
        <is>
          <t>Y3</t>
        </is>
      </c>
      <c r="L4" s="5" t="inlineStr">
        <is>
          <t>Y4</t>
        </is>
      </c>
      <c r="M4" s="5" t="inlineStr">
        <is>
          <t>Y5</t>
        </is>
      </c>
      <c r="N4" s="5" t="inlineStr">
        <is>
          <t>Vendor position today</t>
        </is>
      </c>
    </row>
    <row r="5" ht="15" customHeight="1" s="73">
      <c r="B5" s="11" t="inlineStr">
        <is>
          <t>POSW</t>
        </is>
      </c>
      <c r="C5" s="4" t="inlineStr">
        <is>
          <t>Policy Owner Servicing Work Flow</t>
        </is>
      </c>
      <c r="D5" s="19" t="n">
        <v>1</v>
      </c>
      <c r="E5" s="34" t="n">
        <v>62.6424</v>
      </c>
      <c r="F5" s="35" t="inlineStr">
        <is>
          <t>D</t>
        </is>
      </c>
      <c r="G5" s="35" t="inlineStr">
        <is>
          <t>Agile</t>
        </is>
      </c>
      <c r="H5" s="35" t="inlineStr">
        <is>
          <t>Q2</t>
        </is>
      </c>
      <c r="I5" s="35" t="inlineStr">
        <is>
          <t>4t</t>
        </is>
      </c>
      <c r="J5" s="35" t="inlineStr">
        <is>
          <t>4t</t>
        </is>
      </c>
      <c r="K5" s="35" t="inlineStr">
        <is>
          <t>3t</t>
        </is>
      </c>
      <c r="L5" s="35" t="inlineStr">
        <is>
          <t>3t</t>
        </is>
      </c>
      <c r="M5" s="35" t="inlineStr">
        <is>
          <t>3t</t>
        </is>
      </c>
      <c r="N5" s="82" t="inlineStr">
        <is>
          <t>CG 34.1 · FSI 2.0</t>
        </is>
      </c>
    </row>
    <row r="6" ht="15" customHeight="1" s="73">
      <c r="B6" s="11" t="inlineStr">
        <is>
          <t>POSR</t>
        </is>
      </c>
      <c r="C6" s="4" t="inlineStr">
        <is>
          <t>Policy Owner Servicing Payment &amp; Records</t>
        </is>
      </c>
      <c r="D6" s="19" t="n">
        <v>14</v>
      </c>
      <c r="E6" s="34" t="n">
        <v>43.4378</v>
      </c>
      <c r="F6" s="35" t="inlineStr">
        <is>
          <t>J / T</t>
        </is>
      </c>
      <c r="G6" s="35" t="inlineStr">
        <is>
          <t>Waterfall</t>
        </is>
      </c>
      <c r="H6" s="35" t="inlineStr">
        <is>
          <t>n/a</t>
        </is>
      </c>
      <c r="I6" s="35" t="inlineStr">
        <is>
          <t>3t</t>
        </is>
      </c>
      <c r="J6" s="35" t="inlineStr">
        <is>
          <t>2t</t>
        </is>
      </c>
      <c r="K6" s="35" t="inlineStr">
        <is>
          <t>2t</t>
        </is>
      </c>
      <c r="L6" s="35" t="inlineStr">
        <is>
          <t>1t</t>
        </is>
      </c>
      <c r="M6" s="35" t="inlineStr">
        <is>
          <t>1t</t>
        </is>
      </c>
      <c r="N6" s="82" t="inlineStr">
        <is>
          <t>CG 28.3 · FSI 5.0</t>
        </is>
      </c>
    </row>
    <row r="7" ht="15" customHeight="1" s="73">
      <c r="C7" s="14" t="inlineStr">
        <is>
          <t>Total</t>
        </is>
      </c>
      <c r="D7" s="21">
        <f>SUM(D5:D6)</f>
        <v/>
      </c>
      <c r="E7" s="22">
        <f>SUM(E5:E6)</f>
        <v/>
      </c>
    </row>
    <row r="9" ht="18.75" customHeight="1" s="73">
      <c r="B9" s="78" t="inlineStr">
        <is>
          <t>Counts read 'team instances'. Every instance is 12 seats, in every year. K2 converts to agile at Q2 and the fourteen satellites never convert — which is the honest reading of eleven Japanese-specification waterfall applications and is what holds this domain’s productivity to 44.6% rather than the portfolio’s 50%+. Five of the seven FSI seats sit in the Payment &amp; Records team (POS-IMS, W13WEP-JPN, JP-RPASS) and two in the Work Flow team (K2); a further 2 partner seats in Years 1-3, 1 in Years 4-5, are held in horizontal team H1 as a control cell.</t>
        </is>
      </c>
    </row>
  </sheetData>
  <mergeCells count="3">
    <mergeCell ref="B9:N9"/>
    <mergeCell ref="A2:L2"/>
    <mergeCell ref="A1:L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N147"/>
  <sheetViews>
    <sheetView tabSelected="1" topLeftCell="A125" zoomScaleNormal="100" workbookViewId="0">
      <selection activeCell="M128" sqref="M128"/>
    </sheetView>
  </sheetViews>
  <sheetFormatPr baseColWidth="8" defaultColWidth="8.6328125" defaultRowHeight="14.5"/>
  <cols>
    <col width="2.453125" customWidth="1" style="73" min="1" max="1"/>
    <col width="6" customWidth="1" style="73" min="2" max="2"/>
    <col width="8" customWidth="1" style="73" min="3" max="3"/>
    <col width="7" customWidth="1" style="73" min="4" max="4"/>
    <col width="34" customWidth="1" style="73" min="5" max="5"/>
    <col width="7" customWidth="1" style="73" min="6" max="7"/>
    <col width="8" customWidth="1" style="73" min="8" max="8"/>
    <col width="9" customWidth="1" style="73" min="9" max="9"/>
    <col width="9" customWidth="1" style="74" min="10" max="10"/>
    <col width="13" customWidth="1" style="73" min="11" max="11"/>
  </cols>
  <sheetData>
    <row r="1" ht="25.5" customHeight="1" s="73">
      <c r="A1" s="72" t="inlineStr">
        <is>
          <t>Pod library  —  every TEAM seat, per value stream, with MetLife’s role taxonomy and four sourcing types</t>
        </is>
      </c>
    </row>
    <row r="2" ht="15" customHeight="1" s="73">
      <c r="A2" s="75" t="inlineStr">
        <is>
          <t>INPUT. This domain runs TEAMS only — no pods, in any year. Each value stream carries its own 12-seat team anatomy, instantiated 4+3 / 4+2 / 3+2 / 3+1 / 3+1 times across the five years. Sourcing FTC = Capgemini payroll · PT = FSI, the named incumbent on K2, POS-IMS, W13WEP-JPN and JP-RPASS · FTE = MetLife Japan · MGCC. Only FTC can transfer at the end of Year 3. Column J is the seat ratio inside one team; column K is the people you actually hire across every instance of that team in that year, and every one of them is a whole number or a half.</t>
        </is>
      </c>
    </row>
    <row r="4" ht="15" customHeight="1" s="73">
      <c r="B4" s="5" t="inlineStr">
        <is>
          <t>Year</t>
        </is>
      </c>
      <c r="C4" s="5" t="inlineStr">
        <is>
          <t>Unit</t>
        </is>
      </c>
      <c r="D4" s="5" t="inlineStr">
        <is>
          <t>Seat</t>
        </is>
      </c>
      <c r="E4" s="5" t="inlineStr">
        <is>
          <t>Role detail</t>
        </is>
      </c>
      <c r="F4" s="5" t="inlineStr">
        <is>
          <t>Role</t>
        </is>
      </c>
      <c r="G4" s="5" t="inlineStr">
        <is>
          <t>Exp</t>
        </is>
      </c>
      <c r="H4" s="5" t="inlineStr">
        <is>
          <t>Loc</t>
        </is>
      </c>
      <c r="I4" s="5" t="inlineStr">
        <is>
          <t>Sourcing</t>
        </is>
      </c>
      <c r="J4" s="59" t="inlineStr">
        <is>
          <t>Count</t>
        </is>
      </c>
      <c r="K4" s="5" t="inlineStr">
        <is>
          <t>People in the block</t>
        </is>
      </c>
    </row>
    <row r="5" ht="15" customHeight="1" s="73">
      <c r="B5" s="19" t="n">
        <v>1</v>
      </c>
      <c r="C5" s="11" t="inlineStr">
        <is>
          <t>TEAM</t>
        </is>
      </c>
      <c r="D5" s="19" t="n">
        <v>1</v>
      </c>
      <c r="E5" s="79" t="inlineStr">
        <is>
          <t>MetLife Product Owner — K2</t>
        </is>
      </c>
      <c r="F5" s="11" t="inlineStr">
        <is>
          <t>PM</t>
        </is>
      </c>
      <c r="G5" s="35" t="inlineStr">
        <is>
          <t>E4</t>
        </is>
      </c>
      <c r="H5" s="35" t="inlineStr">
        <is>
          <t>ON</t>
        </is>
      </c>
      <c r="I5" s="35" t="inlineStr">
        <is>
          <t>FTE</t>
        </is>
      </c>
      <c r="J5" s="41" t="n">
        <v>1</v>
      </c>
      <c r="K5" s="42">
        <f>J5*4</f>
        <v/>
      </c>
    </row>
    <row r="6" ht="15" customHeight="1" s="73">
      <c r="B6" s="19" t="n">
        <v>1</v>
      </c>
      <c r="C6" s="11" t="inlineStr">
        <is>
          <t>TEAM</t>
        </is>
      </c>
      <c r="D6" s="19" t="n">
        <v>2</v>
      </c>
      <c r="E6" s="79" t="inlineStr">
        <is>
          <t>MetLife Servicing SME — K2</t>
        </is>
      </c>
      <c r="F6" s="11" t="inlineStr">
        <is>
          <t>BSA</t>
        </is>
      </c>
      <c r="G6" s="35" t="inlineStr">
        <is>
          <t>E4</t>
        </is>
      </c>
      <c r="H6" s="35" t="inlineStr">
        <is>
          <t>ON</t>
        </is>
      </c>
      <c r="I6" s="35" t="inlineStr">
        <is>
          <t>FTE</t>
        </is>
      </c>
      <c r="J6" s="41" t="n">
        <v>1</v>
      </c>
      <c r="K6" s="42">
        <f>J6*4</f>
        <v/>
      </c>
    </row>
    <row r="7" ht="15" customHeight="1" s="73">
      <c r="B7" s="19" t="n">
        <v>1</v>
      </c>
      <c r="C7" s="11" t="inlineStr">
        <is>
          <t>TEAM</t>
        </is>
      </c>
      <c r="D7" s="19" t="n">
        <v>3</v>
      </c>
      <c r="E7" s="79" t="inlineStr">
        <is>
          <t>FSI K2 Developer (JP) — EAI 12117</t>
        </is>
      </c>
      <c r="F7" s="11" t="inlineStr">
        <is>
          <t>DEV</t>
        </is>
      </c>
      <c r="G7" s="35" t="inlineStr">
        <is>
          <t>E3</t>
        </is>
      </c>
      <c r="H7" s="35" t="inlineStr">
        <is>
          <t>ON</t>
        </is>
      </c>
      <c r="I7" s="35" t="inlineStr">
        <is>
          <t>PT</t>
        </is>
      </c>
      <c r="J7" s="41" t="n">
        <v>0.5</v>
      </c>
      <c r="K7" s="42">
        <f>J7*4</f>
        <v/>
      </c>
    </row>
    <row r="8" ht="15" customHeight="1" s="73">
      <c r="B8" s="19" t="n">
        <v>1</v>
      </c>
      <c r="C8" s="11" t="inlineStr">
        <is>
          <t>TEAM</t>
        </is>
      </c>
      <c r="D8" s="19" t="n">
        <v>4</v>
      </c>
      <c r="E8" s="79" t="inlineStr">
        <is>
          <t>Business Analyst (bilingual) — K2</t>
        </is>
      </c>
      <c r="F8" s="11" t="inlineStr">
        <is>
          <t>BSA</t>
        </is>
      </c>
      <c r="G8" s="35" t="inlineStr">
        <is>
          <t>E3</t>
        </is>
      </c>
      <c r="H8" s="35" t="inlineStr">
        <is>
          <t>ON</t>
        </is>
      </c>
      <c r="I8" s="35" t="inlineStr">
        <is>
          <t>FTC</t>
        </is>
      </c>
      <c r="J8" s="41" t="n">
        <v>1</v>
      </c>
      <c r="K8" s="42">
        <f>J8*4</f>
        <v/>
      </c>
    </row>
    <row r="9" ht="15" customHeight="1" s="73">
      <c r="B9" s="19" t="n">
        <v>1</v>
      </c>
      <c r="C9" s="11" t="inlineStr">
        <is>
          <t>TEAM</t>
        </is>
      </c>
      <c r="D9" s="19" t="n">
        <v>5</v>
      </c>
      <c r="E9" s="79" t="inlineStr">
        <is>
          <t>Team lead / senior engineer — K2</t>
        </is>
      </c>
      <c r="F9" s="11" t="inlineStr">
        <is>
          <t>DEV</t>
        </is>
      </c>
      <c r="G9" s="35" t="inlineStr">
        <is>
          <t>E4</t>
        </is>
      </c>
      <c r="H9" s="35" t="inlineStr">
        <is>
          <t>ON</t>
        </is>
      </c>
      <c r="I9" s="35" t="inlineStr">
        <is>
          <t>FTC</t>
        </is>
      </c>
      <c r="J9" s="41" t="n">
        <v>1</v>
      </c>
      <c r="K9" s="42">
        <f>J9*4</f>
        <v/>
      </c>
    </row>
    <row r="10" ht="15" customHeight="1" s="73">
      <c r="B10" s="19" t="n">
        <v>1</v>
      </c>
      <c r="C10" s="11" t="inlineStr">
        <is>
          <t>TEAM</t>
        </is>
      </c>
      <c r="D10" s="19" t="n">
        <v>6</v>
      </c>
      <c r="E10" s="79" t="inlineStr">
        <is>
          <t>Solution Architect — K2</t>
        </is>
      </c>
      <c r="F10" s="11" t="inlineStr">
        <is>
          <t>OTH</t>
        </is>
      </c>
      <c r="G10" s="35" t="inlineStr">
        <is>
          <t>E4</t>
        </is>
      </c>
      <c r="H10" s="35" t="inlineStr">
        <is>
          <t>ON</t>
        </is>
      </c>
      <c r="I10" s="35" t="inlineStr">
        <is>
          <t>FTC</t>
        </is>
      </c>
      <c r="J10" s="41" t="n">
        <v>0.5</v>
      </c>
      <c r="K10" s="42">
        <f>J10*4</f>
        <v/>
      </c>
    </row>
    <row r="11" ht="15" customHeight="1" s="73">
      <c r="B11" s="19" t="n">
        <v>1</v>
      </c>
      <c r="C11" s="11" t="inlineStr">
        <is>
          <t>TEAM</t>
        </is>
      </c>
      <c r="D11" s="19" t="n">
        <v>7</v>
      </c>
      <c r="E11" s="79" t="inlineStr">
        <is>
          <t>Senior Workflow Developer (VB.NET) — K2</t>
        </is>
      </c>
      <c r="F11" s="11" t="inlineStr">
        <is>
          <t>DEV</t>
        </is>
      </c>
      <c r="G11" s="35" t="inlineStr">
        <is>
          <t>E3</t>
        </is>
      </c>
      <c r="H11" s="35" t="inlineStr">
        <is>
          <t>ON</t>
        </is>
      </c>
      <c r="I11" s="35" t="inlineStr">
        <is>
          <t>FTC</t>
        </is>
      </c>
      <c r="J11" s="41" t="n">
        <v>1.5</v>
      </c>
      <c r="K11" s="42">
        <f>J11*4</f>
        <v/>
      </c>
    </row>
    <row r="12" ht="15" customHeight="1" s="73">
      <c r="B12" s="19" t="n">
        <v>1</v>
      </c>
      <c r="C12" s="11" t="inlineStr">
        <is>
          <t>TEAM</t>
        </is>
      </c>
      <c r="D12" s="19" t="n">
        <v>8</v>
      </c>
      <c r="E12" s="79" t="inlineStr">
        <is>
          <t>Junior Workflow Developer (VB.NET) — K2</t>
        </is>
      </c>
      <c r="F12" s="11" t="inlineStr">
        <is>
          <t>DEV</t>
        </is>
      </c>
      <c r="G12" s="35" t="inlineStr">
        <is>
          <t>E2</t>
        </is>
      </c>
      <c r="H12" s="35" t="inlineStr">
        <is>
          <t>ON</t>
        </is>
      </c>
      <c r="I12" s="35" t="inlineStr">
        <is>
          <t>FTC</t>
        </is>
      </c>
      <c r="J12" s="41" t="n">
        <v>1</v>
      </c>
      <c r="K12" s="42">
        <f>J12*4</f>
        <v/>
      </c>
    </row>
    <row r="13" ht="15" customHeight="1" s="73">
      <c r="B13" s="19" t="n">
        <v>1</v>
      </c>
      <c r="C13" s="11" t="inlineStr">
        <is>
          <t>TEAM</t>
        </is>
      </c>
      <c r="D13" s="19" t="n">
        <v>9</v>
      </c>
      <c r="E13" s="79" t="inlineStr">
        <is>
          <t>Quality Engineer — K2</t>
        </is>
      </c>
      <c r="F13" s="11" t="inlineStr">
        <is>
          <t>TEST</t>
        </is>
      </c>
      <c r="G13" s="35" t="inlineStr">
        <is>
          <t>E2</t>
        </is>
      </c>
      <c r="H13" s="35" t="inlineStr">
        <is>
          <t>ON</t>
        </is>
      </c>
      <c r="I13" s="35" t="inlineStr">
        <is>
          <t>FTC</t>
        </is>
      </c>
      <c r="J13" s="41" t="n">
        <v>1</v>
      </c>
      <c r="K13" s="42">
        <f>J13*4</f>
        <v/>
      </c>
    </row>
    <row r="14" ht="15" customHeight="1" s="73">
      <c r="B14" s="19" t="n">
        <v>1</v>
      </c>
      <c r="C14" s="11" t="inlineStr">
        <is>
          <t>TEAM</t>
        </is>
      </c>
      <c r="D14" s="19" t="n">
        <v>10</v>
      </c>
      <c r="E14" s="79" t="inlineStr">
        <is>
          <t>Junior Workflow Developer — offshore</t>
        </is>
      </c>
      <c r="F14" s="11" t="inlineStr">
        <is>
          <t>DEV</t>
        </is>
      </c>
      <c r="G14" s="35" t="inlineStr">
        <is>
          <t>E2</t>
        </is>
      </c>
      <c r="H14" s="35" t="inlineStr">
        <is>
          <t>OFF</t>
        </is>
      </c>
      <c r="I14" s="35" t="inlineStr">
        <is>
          <t>FTC</t>
        </is>
      </c>
      <c r="J14" s="41" t="n">
        <v>0.5</v>
      </c>
      <c r="K14" s="42">
        <f>J14*4</f>
        <v/>
      </c>
    </row>
    <row r="15" ht="15" customHeight="1" s="73">
      <c r="B15" s="19" t="n">
        <v>1</v>
      </c>
      <c r="C15" s="11" t="inlineStr">
        <is>
          <t>TEAM</t>
        </is>
      </c>
      <c r="D15" s="19" t="n">
        <v>11</v>
      </c>
      <c r="E15" s="79" t="inlineStr">
        <is>
          <t>Junior Quality Engineer — offshore</t>
        </is>
      </c>
      <c r="F15" s="11" t="inlineStr">
        <is>
          <t>TEST</t>
        </is>
      </c>
      <c r="G15" s="35" t="inlineStr">
        <is>
          <t>E1</t>
        </is>
      </c>
      <c r="H15" s="35" t="inlineStr">
        <is>
          <t>OFF</t>
        </is>
      </c>
      <c r="I15" s="35" t="inlineStr">
        <is>
          <t>FTC</t>
        </is>
      </c>
      <c r="J15" s="41" t="n">
        <v>0.5</v>
      </c>
      <c r="K15" s="42">
        <f>J15*4</f>
        <v/>
      </c>
    </row>
    <row r="16" ht="15" customHeight="1" s="73">
      <c r="B16" s="19" t="n">
        <v>1</v>
      </c>
      <c r="C16" s="11" t="inlineStr">
        <is>
          <t>TEAM</t>
        </is>
      </c>
      <c r="D16" s="19" t="n">
        <v>12</v>
      </c>
      <c r="E16" s="79" t="inlineStr">
        <is>
          <t>Application Support — offshore</t>
        </is>
      </c>
      <c r="F16" s="11" t="inlineStr">
        <is>
          <t>MNT</t>
        </is>
      </c>
      <c r="G16" s="35" t="inlineStr">
        <is>
          <t>E2</t>
        </is>
      </c>
      <c r="H16" s="35" t="inlineStr">
        <is>
          <t>OFF</t>
        </is>
      </c>
      <c r="I16" s="35" t="inlineStr">
        <is>
          <t>FTC</t>
        </is>
      </c>
      <c r="J16" s="41" t="n">
        <v>0.5</v>
      </c>
      <c r="K16" s="42">
        <f>J16*4</f>
        <v/>
      </c>
    </row>
    <row r="17" ht="34.5" customHeight="1" s="73">
      <c r="B17" s="19" t="n">
        <v>1</v>
      </c>
      <c r="C17" s="11" t="inlineStr">
        <is>
          <t>TEAM</t>
        </is>
      </c>
      <c r="D17" s="19" t="n">
        <v>13</v>
      </c>
      <c r="E17" s="79" t="inlineStr">
        <is>
          <t>MGCC K2 Engineer</t>
        </is>
      </c>
      <c r="F17" s="11" t="inlineStr">
        <is>
          <t>DEV</t>
        </is>
      </c>
      <c r="G17" s="35" t="inlineStr">
        <is>
          <t>E3</t>
        </is>
      </c>
      <c r="H17" s="35" t="inlineStr">
        <is>
          <t>OFF</t>
        </is>
      </c>
      <c r="I17" s="35" t="inlineStr">
        <is>
          <t>MGCC</t>
        </is>
      </c>
      <c r="J17" s="41" t="n">
        <v>1.5</v>
      </c>
      <c r="K17" s="42">
        <f>J17*4</f>
        <v/>
      </c>
    </row>
    <row r="18">
      <c r="B18" s="19" t="n">
        <v>1</v>
      </c>
      <c r="C18" s="11" t="inlineStr">
        <is>
          <t>TEAM</t>
        </is>
      </c>
      <c r="D18" s="19" t="n">
        <v>14</v>
      </c>
      <c r="E18" s="79" t="inlineStr">
        <is>
          <t>MGCC Test Engineer</t>
        </is>
      </c>
      <c r="F18" s="11" t="inlineStr">
        <is>
          <t>TEST</t>
        </is>
      </c>
      <c r="G18" s="35" t="inlineStr">
        <is>
          <t>E2</t>
        </is>
      </c>
      <c r="H18" s="35" t="inlineStr">
        <is>
          <t>OFF</t>
        </is>
      </c>
      <c r="I18" s="35" t="inlineStr">
        <is>
          <t>MGCC</t>
        </is>
      </c>
      <c r="J18" s="41" t="n">
        <v>0.5</v>
      </c>
      <c r="K18" s="42">
        <f>J18*4</f>
        <v/>
      </c>
    </row>
    <row r="19" ht="15" customHeight="1" s="73">
      <c r="B19" s="19" t="n"/>
      <c r="C19" s="11" t="n"/>
      <c r="D19" s="19" t="inlineStr">
        <is>
          <t>TEAM size — Year 1 · POSW</t>
        </is>
      </c>
      <c r="E19" s="79" t="n"/>
      <c r="F19" s="11" t="n"/>
      <c r="G19" s="35" t="n"/>
      <c r="H19" s="35" t="n"/>
      <c r="I19" s="35" t="n"/>
      <c r="J19" s="41">
        <f>SUM(J5:J18)</f>
        <v/>
      </c>
      <c r="K19" s="42">
        <f>SUM(K5:K18)</f>
        <v/>
      </c>
    </row>
    <row r="20" ht="15" customHeight="1" s="73">
      <c r="B20" s="19" t="n"/>
      <c r="C20" s="11" t="n"/>
      <c r="D20" s="19" t="n"/>
      <c r="E20" s="79" t="n"/>
      <c r="F20" s="11" t="n"/>
      <c r="G20" s="35" t="n"/>
      <c r="H20" s="35" t="n"/>
      <c r="I20" s="35" t="n"/>
      <c r="J20" s="41" t="n"/>
      <c r="K20" s="42" t="n"/>
    </row>
    <row r="21" ht="15" customHeight="1" s="73">
      <c r="B21" s="19" t="n">
        <v>1</v>
      </c>
      <c r="C21" s="11" t="inlineStr">
        <is>
          <t>TEAM</t>
        </is>
      </c>
      <c r="D21" s="19" t="n">
        <v>1</v>
      </c>
      <c r="E21" s="79" t="inlineStr">
        <is>
          <t>MetLife Application Owner</t>
        </is>
      </c>
      <c r="F21" s="11" t="inlineStr">
        <is>
          <t>PM</t>
        </is>
      </c>
      <c r="G21" s="35" t="inlineStr">
        <is>
          <t>E4</t>
        </is>
      </c>
      <c r="H21" s="35" t="inlineStr">
        <is>
          <t>ON</t>
        </is>
      </c>
      <c r="I21" s="35" t="inlineStr">
        <is>
          <t>FTE</t>
        </is>
      </c>
      <c r="J21" s="41" t="n">
        <v>1</v>
      </c>
      <c r="K21" s="42">
        <f>J21*3</f>
        <v/>
      </c>
    </row>
    <row r="22" ht="15" customHeight="1" s="73">
      <c r="B22" s="19" t="n">
        <v>1</v>
      </c>
      <c r="C22" s="11" t="inlineStr">
        <is>
          <t>TEAM</t>
        </is>
      </c>
      <c r="D22" s="19" t="n">
        <v>2</v>
      </c>
      <c r="E22" s="79" t="inlineStr">
        <is>
          <t>MetLife Operations Analyst</t>
        </is>
      </c>
      <c r="F22" s="11" t="inlineStr">
        <is>
          <t>MNT</t>
        </is>
      </c>
      <c r="G22" s="35" t="inlineStr">
        <is>
          <t>E3</t>
        </is>
      </c>
      <c r="H22" s="35" t="inlineStr">
        <is>
          <t>ON</t>
        </is>
      </c>
      <c r="I22" s="35" t="inlineStr">
        <is>
          <t>FTE</t>
        </is>
      </c>
      <c r="J22" s="41" t="n">
        <v>1</v>
      </c>
      <c r="K22" s="42">
        <f>J22*3</f>
        <v/>
      </c>
    </row>
    <row r="23" ht="15" customHeight="1" s="73">
      <c r="B23" s="19" t="n">
        <v>1</v>
      </c>
      <c r="C23" s="11" t="inlineStr">
        <is>
          <t>TEAM</t>
        </is>
      </c>
      <c r="D23" s="19" t="n">
        <v>3</v>
      </c>
      <c r="E23" s="79" t="inlineStr">
        <is>
          <t>FSI Senior Developer (JP) — EAI 13453 / 9947</t>
        </is>
      </c>
      <c r="F23" s="11" t="inlineStr">
        <is>
          <t>DEV</t>
        </is>
      </c>
      <c r="G23" s="35" t="inlineStr">
        <is>
          <t>E3</t>
        </is>
      </c>
      <c r="H23" s="35" t="inlineStr">
        <is>
          <t>ON</t>
        </is>
      </c>
      <c r="I23" s="35" t="inlineStr">
        <is>
          <t>PT</t>
        </is>
      </c>
      <c r="J23" s="41" t="n">
        <v>0.5</v>
      </c>
      <c r="K23" s="42">
        <f>J23*3</f>
        <v/>
      </c>
    </row>
    <row r="24" ht="15" customHeight="1" s="73">
      <c r="B24" s="19" t="n">
        <v>1</v>
      </c>
      <c r="C24" s="11" t="inlineStr">
        <is>
          <t>TEAM</t>
        </is>
      </c>
      <c r="D24" s="19" t="n">
        <v>4</v>
      </c>
      <c r="E24" s="79" t="inlineStr">
        <is>
          <t>FSI Business Analyst (JP) — EAI 11604</t>
        </is>
      </c>
      <c r="F24" s="11" t="inlineStr">
        <is>
          <t>BSA</t>
        </is>
      </c>
      <c r="G24" s="35" t="inlineStr">
        <is>
          <t>E3</t>
        </is>
      </c>
      <c r="H24" s="35" t="inlineStr">
        <is>
          <t>ON</t>
        </is>
      </c>
      <c r="I24" s="35" t="inlineStr">
        <is>
          <t>PT</t>
        </is>
      </c>
      <c r="J24" s="41" t="n">
        <v>0.5</v>
      </c>
      <c r="K24" s="42">
        <f>J24*3</f>
        <v/>
      </c>
    </row>
    <row r="25" ht="15" customHeight="1" s="73">
      <c r="B25" s="19" t="n">
        <v>1</v>
      </c>
      <c r="C25" s="11" t="inlineStr">
        <is>
          <t>TEAM</t>
        </is>
      </c>
      <c r="D25" s="19" t="n">
        <v>5</v>
      </c>
      <c r="E25" s="79" t="inlineStr">
        <is>
          <t>Team lead / technical lead</t>
        </is>
      </c>
      <c r="F25" s="11" t="inlineStr">
        <is>
          <t>DEV</t>
        </is>
      </c>
      <c r="G25" s="35" t="inlineStr">
        <is>
          <t>E4</t>
        </is>
      </c>
      <c r="H25" s="35" t="inlineStr">
        <is>
          <t>ON</t>
        </is>
      </c>
      <c r="I25" s="35" t="inlineStr">
        <is>
          <t>FTC</t>
        </is>
      </c>
      <c r="J25" s="41" t="n">
        <v>1</v>
      </c>
      <c r="K25" s="42">
        <f>J25*3</f>
        <v/>
      </c>
    </row>
    <row r="26" ht="15" customHeight="1" s="73">
      <c r="B26" s="19" t="n">
        <v>1</v>
      </c>
      <c r="C26" s="11" t="inlineStr">
        <is>
          <t>TEAM</t>
        </is>
      </c>
      <c r="D26" s="19" t="n">
        <v>6</v>
      </c>
      <c r="E26" s="79" t="inlineStr">
        <is>
          <t>Business Analyst (bilingual)</t>
        </is>
      </c>
      <c r="F26" s="11" t="inlineStr">
        <is>
          <t>BSA</t>
        </is>
      </c>
      <c r="G26" s="35" t="inlineStr">
        <is>
          <t>E3</t>
        </is>
      </c>
      <c r="H26" s="35" t="inlineStr">
        <is>
          <t>ON</t>
        </is>
      </c>
      <c r="I26" s="35" t="inlineStr">
        <is>
          <t>FTC</t>
        </is>
      </c>
      <c r="J26" s="41" t="n">
        <v>1</v>
      </c>
      <c r="K26" s="42">
        <f>J26*3</f>
        <v/>
      </c>
    </row>
    <row r="27" ht="15" customHeight="1" s="73">
      <c r="B27" s="19" t="n">
        <v>1</v>
      </c>
      <c r="C27" s="11" t="inlineStr">
        <is>
          <t>TEAM</t>
        </is>
      </c>
      <c r="D27" s="19" t="n">
        <v>7</v>
      </c>
      <c r="E27" s="79" t="inlineStr">
        <is>
          <t>Senior Application Developer (VB.NET / Java)</t>
        </is>
      </c>
      <c r="F27" s="11" t="inlineStr">
        <is>
          <t>DEV</t>
        </is>
      </c>
      <c r="G27" s="35" t="inlineStr">
        <is>
          <t>E3</t>
        </is>
      </c>
      <c r="H27" s="35" t="inlineStr">
        <is>
          <t>ON</t>
        </is>
      </c>
      <c r="I27" s="35" t="inlineStr">
        <is>
          <t>FTC</t>
        </is>
      </c>
      <c r="J27" s="41" t="n">
        <v>2.5</v>
      </c>
      <c r="K27" s="42">
        <f>J27*3</f>
        <v/>
      </c>
    </row>
    <row r="28" ht="15" customHeight="1" s="73">
      <c r="B28" s="19" t="n">
        <v>1</v>
      </c>
      <c r="C28" s="11" t="inlineStr">
        <is>
          <t>TEAM</t>
        </is>
      </c>
      <c r="D28" s="19" t="n">
        <v>8</v>
      </c>
      <c r="E28" s="79" t="inlineStr">
        <is>
          <t>Junior Application Developer (VB.NET / Java)</t>
        </is>
      </c>
      <c r="F28" s="11" t="inlineStr">
        <is>
          <t>DEV</t>
        </is>
      </c>
      <c r="G28" s="35" t="inlineStr">
        <is>
          <t>E2</t>
        </is>
      </c>
      <c r="H28" s="35" t="inlineStr">
        <is>
          <t>ON</t>
        </is>
      </c>
      <c r="I28" s="35" t="inlineStr">
        <is>
          <t>FTC</t>
        </is>
      </c>
      <c r="J28" s="41" t="n">
        <v>1.5</v>
      </c>
      <c r="K28" s="42">
        <f>J28*3</f>
        <v/>
      </c>
    </row>
    <row r="29" ht="15" customHeight="1" s="73">
      <c r="B29" s="19" t="n">
        <v>1</v>
      </c>
      <c r="C29" s="11" t="inlineStr">
        <is>
          <t>TEAM</t>
        </is>
      </c>
      <c r="D29" s="19" t="n">
        <v>9</v>
      </c>
      <c r="E29" s="79" t="inlineStr">
        <is>
          <t>Test Engineer — Tokyo</t>
        </is>
      </c>
      <c r="F29" s="11" t="inlineStr">
        <is>
          <t>TEST</t>
        </is>
      </c>
      <c r="G29" s="35" t="inlineStr">
        <is>
          <t>E2</t>
        </is>
      </c>
      <c r="H29" s="35" t="inlineStr">
        <is>
          <t>ON</t>
        </is>
      </c>
      <c r="I29" s="35" t="inlineStr">
        <is>
          <t>FTC</t>
        </is>
      </c>
      <c r="J29" s="41" t="n">
        <v>2</v>
      </c>
      <c r="K29" s="42">
        <f>J29*3</f>
        <v/>
      </c>
    </row>
    <row r="30" ht="15" customHeight="1" s="73">
      <c r="B30" s="19" t="n">
        <v>1</v>
      </c>
      <c r="C30" s="11" t="inlineStr">
        <is>
          <t>TEAM</t>
        </is>
      </c>
      <c r="D30" s="19" t="n">
        <v>10</v>
      </c>
      <c r="E30" s="79" t="inlineStr">
        <is>
          <t>Application Support (L2) — Tokyo</t>
        </is>
      </c>
      <c r="F30" s="11" t="inlineStr">
        <is>
          <t>MNT</t>
        </is>
      </c>
      <c r="G30" s="35" t="inlineStr">
        <is>
          <t>E2</t>
        </is>
      </c>
      <c r="H30" s="35" t="inlineStr">
        <is>
          <t>ON</t>
        </is>
      </c>
      <c r="I30" s="35" t="inlineStr">
        <is>
          <t>FTC</t>
        </is>
      </c>
      <c r="J30" s="41" t="n">
        <v>0.5</v>
      </c>
      <c r="K30" s="42">
        <f>J30*3</f>
        <v/>
      </c>
    </row>
    <row r="31" ht="15" customHeight="1" s="73">
      <c r="B31" s="19" t="n">
        <v>1</v>
      </c>
      <c r="C31" s="11" t="inlineStr">
        <is>
          <t>TEAM</t>
        </is>
      </c>
      <c r="D31" s="19" t="n">
        <v>11</v>
      </c>
      <c r="E31" s="79" t="inlineStr">
        <is>
          <t>Junior Application Developer — offshore</t>
        </is>
      </c>
      <c r="F31" s="11" t="inlineStr">
        <is>
          <t>DEV</t>
        </is>
      </c>
      <c r="G31" s="35" t="inlineStr">
        <is>
          <t>E2</t>
        </is>
      </c>
      <c r="H31" s="35" t="inlineStr">
        <is>
          <t>OFF</t>
        </is>
      </c>
      <c r="I31" s="35" t="inlineStr">
        <is>
          <t>FTC</t>
        </is>
      </c>
      <c r="J31" s="41" t="n">
        <v>0.5</v>
      </c>
      <c r="K31" s="42">
        <f>J31*3</f>
        <v/>
      </c>
    </row>
    <row r="32" ht="15" customHeight="1" s="73">
      <c r="B32" s="19" t="n"/>
      <c r="C32" s="11" t="n"/>
      <c r="D32" s="19" t="inlineStr">
        <is>
          <t>TEAM size — Year 1 · POSR</t>
        </is>
      </c>
      <c r="E32" s="79" t="n"/>
      <c r="F32" s="11" t="n"/>
      <c r="G32" s="35" t="n"/>
      <c r="H32" s="35" t="n"/>
      <c r="I32" s="35" t="n"/>
      <c r="J32" s="41">
        <f>SUM(J21:J31)</f>
        <v/>
      </c>
      <c r="K32" s="42">
        <f>SUM(K21:K31)</f>
        <v/>
      </c>
    </row>
    <row r="33" ht="34.5" customHeight="1" s="73">
      <c r="B33" s="19" t="n"/>
      <c r="C33" s="11" t="n"/>
      <c r="D33" s="19" t="n"/>
      <c r="E33" s="79" t="n"/>
      <c r="F33" s="11" t="n"/>
      <c r="G33" s="35" t="n"/>
      <c r="H33" s="35" t="n"/>
      <c r="I33" s="35" t="n"/>
      <c r="J33" s="41" t="n"/>
      <c r="K33" s="42" t="n"/>
    </row>
    <row r="34" ht="34.5" customHeight="1" s="73">
      <c r="B34" s="19" t="n">
        <v>2</v>
      </c>
      <c r="C34" s="11" t="inlineStr">
        <is>
          <t>TEAM</t>
        </is>
      </c>
      <c r="D34" s="19" t="n">
        <v>1</v>
      </c>
      <c r="E34" s="79" t="inlineStr">
        <is>
          <t>MetLife Product Owner — K2</t>
        </is>
      </c>
      <c r="F34" s="11" t="inlineStr">
        <is>
          <t>PM</t>
        </is>
      </c>
      <c r="G34" s="35" t="inlineStr">
        <is>
          <t>E4</t>
        </is>
      </c>
      <c r="H34" s="35" t="inlineStr">
        <is>
          <t>ON</t>
        </is>
      </c>
      <c r="I34" s="35" t="inlineStr">
        <is>
          <t>FTE</t>
        </is>
      </c>
      <c r="J34" s="41" t="n">
        <v>1</v>
      </c>
      <c r="K34" s="42">
        <f>J34*4</f>
        <v/>
      </c>
    </row>
    <row r="35" ht="22" customHeight="1" s="73">
      <c r="B35" s="19" t="n">
        <v>2</v>
      </c>
      <c r="C35" s="11" t="inlineStr">
        <is>
          <t>TEAM</t>
        </is>
      </c>
      <c r="D35" s="19" t="n">
        <v>2</v>
      </c>
      <c r="E35" s="79" t="inlineStr">
        <is>
          <t>MetLife Servicing SME — K2</t>
        </is>
      </c>
      <c r="F35" s="11" t="inlineStr">
        <is>
          <t>BSA</t>
        </is>
      </c>
      <c r="G35" s="35" t="inlineStr">
        <is>
          <t>E4</t>
        </is>
      </c>
      <c r="H35" s="35" t="inlineStr">
        <is>
          <t>ON</t>
        </is>
      </c>
      <c r="I35" s="35" t="inlineStr">
        <is>
          <t>FTE</t>
        </is>
      </c>
      <c r="J35" s="41" t="n">
        <v>1.5</v>
      </c>
      <c r="K35" s="42">
        <f>J35*4</f>
        <v/>
      </c>
    </row>
    <row r="36" ht="15" customHeight="1" s="73">
      <c r="B36" s="19" t="n">
        <v>2</v>
      </c>
      <c r="C36" s="11" t="inlineStr">
        <is>
          <t>TEAM</t>
        </is>
      </c>
      <c r="D36" s="19" t="n">
        <v>3</v>
      </c>
      <c r="E36" s="79" t="inlineStr">
        <is>
          <t>FSI K2 Developer (JP) — EAI 12117</t>
        </is>
      </c>
      <c r="F36" s="11" t="inlineStr">
        <is>
          <t>DEV</t>
        </is>
      </c>
      <c r="G36" s="35" t="inlineStr">
        <is>
          <t>E3</t>
        </is>
      </c>
      <c r="H36" s="35" t="inlineStr">
        <is>
          <t>ON</t>
        </is>
      </c>
      <c r="I36" s="35" t="inlineStr">
        <is>
          <t>PT</t>
        </is>
      </c>
      <c r="J36" s="41" t="n">
        <v>0.5</v>
      </c>
      <c r="K36" s="42">
        <f>J36*4</f>
        <v/>
      </c>
    </row>
    <row r="37" ht="15" customHeight="1" s="73">
      <c r="B37" s="19" t="n">
        <v>2</v>
      </c>
      <c r="C37" s="11" t="inlineStr">
        <is>
          <t>TEAM</t>
        </is>
      </c>
      <c r="D37" s="19" t="n">
        <v>4</v>
      </c>
      <c r="E37" s="79" t="inlineStr">
        <is>
          <t>Business Analyst (bilingual) — K2</t>
        </is>
      </c>
      <c r="F37" s="11" t="inlineStr">
        <is>
          <t>BSA</t>
        </is>
      </c>
      <c r="G37" s="35" t="inlineStr">
        <is>
          <t>E3</t>
        </is>
      </c>
      <c r="H37" s="35" t="inlineStr">
        <is>
          <t>ON</t>
        </is>
      </c>
      <c r="I37" s="35" t="inlineStr">
        <is>
          <t>FTC</t>
        </is>
      </c>
      <c r="J37" s="41" t="n">
        <v>1</v>
      </c>
      <c r="K37" s="42">
        <f>J37*4</f>
        <v/>
      </c>
    </row>
    <row r="38" ht="15" customHeight="1" s="73">
      <c r="B38" s="19" t="n">
        <v>2</v>
      </c>
      <c r="C38" s="11" t="inlineStr">
        <is>
          <t>TEAM</t>
        </is>
      </c>
      <c r="D38" s="19" t="n">
        <v>5</v>
      </c>
      <c r="E38" s="79" t="inlineStr">
        <is>
          <t>Team lead / senior engineer — K2</t>
        </is>
      </c>
      <c r="F38" s="11" t="inlineStr">
        <is>
          <t>DEV</t>
        </is>
      </c>
      <c r="G38" s="35" t="inlineStr">
        <is>
          <t>E4</t>
        </is>
      </c>
      <c r="H38" s="35" t="inlineStr">
        <is>
          <t>ON</t>
        </is>
      </c>
      <c r="I38" s="35" t="inlineStr">
        <is>
          <t>FTC</t>
        </is>
      </c>
      <c r="J38" s="41" t="n">
        <v>1</v>
      </c>
      <c r="K38" s="42">
        <f>J38*4</f>
        <v/>
      </c>
    </row>
    <row r="39" ht="15" customHeight="1" s="73">
      <c r="B39" s="19" t="n">
        <v>2</v>
      </c>
      <c r="C39" s="11" t="inlineStr">
        <is>
          <t>TEAM</t>
        </is>
      </c>
      <c r="D39" s="19" t="n">
        <v>6</v>
      </c>
      <c r="E39" s="79" t="inlineStr">
        <is>
          <t>Solution Architect — K2</t>
        </is>
      </c>
      <c r="F39" s="11" t="inlineStr">
        <is>
          <t>OTH</t>
        </is>
      </c>
      <c r="G39" s="35" t="inlineStr">
        <is>
          <t>E4</t>
        </is>
      </c>
      <c r="H39" s="35" t="inlineStr">
        <is>
          <t>ON</t>
        </is>
      </c>
      <c r="I39" s="35" t="inlineStr">
        <is>
          <t>FTC</t>
        </is>
      </c>
      <c r="J39" s="41" t="n">
        <v>0.5</v>
      </c>
      <c r="K39" s="42">
        <f>J39*4</f>
        <v/>
      </c>
    </row>
    <row r="40" ht="15" customHeight="1" s="73">
      <c r="B40" s="19" t="n">
        <v>2</v>
      </c>
      <c r="C40" s="11" t="inlineStr">
        <is>
          <t>TEAM</t>
        </is>
      </c>
      <c r="D40" s="19" t="n">
        <v>7</v>
      </c>
      <c r="E40" s="79" t="inlineStr">
        <is>
          <t>Senior Workflow Developer (VB.NET) — K2</t>
        </is>
      </c>
      <c r="F40" s="11" t="inlineStr">
        <is>
          <t>DEV</t>
        </is>
      </c>
      <c r="G40" s="35" t="inlineStr">
        <is>
          <t>E3</t>
        </is>
      </c>
      <c r="H40" s="35" t="inlineStr">
        <is>
          <t>ON</t>
        </is>
      </c>
      <c r="I40" s="35" t="inlineStr">
        <is>
          <t>FTC</t>
        </is>
      </c>
      <c r="J40" s="41" t="n">
        <v>1</v>
      </c>
      <c r="K40" s="42">
        <f>J40*4</f>
        <v/>
      </c>
    </row>
    <row r="41" ht="15" customHeight="1" s="73">
      <c r="B41" s="19" t="n">
        <v>2</v>
      </c>
      <c r="C41" s="11" t="inlineStr">
        <is>
          <t>TEAM</t>
        </is>
      </c>
      <c r="D41" s="19" t="n">
        <v>8</v>
      </c>
      <c r="E41" s="79" t="inlineStr">
        <is>
          <t>Junior Workflow Developer (VB.NET) — K2</t>
        </is>
      </c>
      <c r="F41" s="11" t="inlineStr">
        <is>
          <t>DEV</t>
        </is>
      </c>
      <c r="G41" s="35" t="inlineStr">
        <is>
          <t>E2</t>
        </is>
      </c>
      <c r="H41" s="35" t="inlineStr">
        <is>
          <t>ON</t>
        </is>
      </c>
      <c r="I41" s="35" t="inlineStr">
        <is>
          <t>FTC</t>
        </is>
      </c>
      <c r="J41" s="41" t="n">
        <v>0.5</v>
      </c>
      <c r="K41" s="42">
        <f>J41*4</f>
        <v/>
      </c>
    </row>
    <row r="42" ht="15" customHeight="1" s="73">
      <c r="B42" s="19" t="n">
        <v>2</v>
      </c>
      <c r="C42" s="11" t="inlineStr">
        <is>
          <t>TEAM</t>
        </is>
      </c>
      <c r="D42" s="19" t="n">
        <v>9</v>
      </c>
      <c r="E42" s="79" t="inlineStr">
        <is>
          <t>Quality Engineer — K2</t>
        </is>
      </c>
      <c r="F42" s="11" t="inlineStr">
        <is>
          <t>TEST</t>
        </is>
      </c>
      <c r="G42" s="35" t="inlineStr">
        <is>
          <t>E2</t>
        </is>
      </c>
      <c r="H42" s="35" t="inlineStr">
        <is>
          <t>ON</t>
        </is>
      </c>
      <c r="I42" s="35" t="inlineStr">
        <is>
          <t>FTC</t>
        </is>
      </c>
      <c r="J42" s="41" t="n">
        <v>0.5</v>
      </c>
      <c r="K42" s="42">
        <f>J42*4</f>
        <v/>
      </c>
    </row>
    <row r="43" ht="15" customHeight="1" s="73">
      <c r="B43" s="19" t="n">
        <v>2</v>
      </c>
      <c r="C43" s="11" t="inlineStr">
        <is>
          <t>TEAM</t>
        </is>
      </c>
      <c r="D43" s="19" t="n">
        <v>10</v>
      </c>
      <c r="E43" s="79" t="inlineStr">
        <is>
          <t>Junior Workflow Developer — offshore</t>
        </is>
      </c>
      <c r="F43" s="11" t="inlineStr">
        <is>
          <t>DEV</t>
        </is>
      </c>
      <c r="G43" s="35" t="inlineStr">
        <is>
          <t>E2</t>
        </is>
      </c>
      <c r="H43" s="35" t="inlineStr">
        <is>
          <t>OFF</t>
        </is>
      </c>
      <c r="I43" s="35" t="inlineStr">
        <is>
          <t>FTC</t>
        </is>
      </c>
      <c r="J43" s="41" t="n">
        <v>1</v>
      </c>
      <c r="K43" s="42">
        <f>J43*4</f>
        <v/>
      </c>
    </row>
    <row r="44" ht="15" customHeight="1" s="73">
      <c r="B44" s="19" t="n">
        <v>2</v>
      </c>
      <c r="C44" s="11" t="inlineStr">
        <is>
          <t>TEAM</t>
        </is>
      </c>
      <c r="D44" s="19" t="n">
        <v>11</v>
      </c>
      <c r="E44" s="79" t="inlineStr">
        <is>
          <t>Junior Quality Engineer — offshore</t>
        </is>
      </c>
      <c r="F44" s="11" t="inlineStr">
        <is>
          <t>TEST</t>
        </is>
      </c>
      <c r="G44" s="35" t="inlineStr">
        <is>
          <t>E1</t>
        </is>
      </c>
      <c r="H44" s="35" t="inlineStr">
        <is>
          <t>OFF</t>
        </is>
      </c>
      <c r="I44" s="35" t="inlineStr">
        <is>
          <t>FTC</t>
        </is>
      </c>
      <c r="J44" s="41" t="n">
        <v>0.5</v>
      </c>
      <c r="K44" s="42">
        <f>J44*4</f>
        <v/>
      </c>
    </row>
    <row r="45" ht="15" customHeight="1" s="73">
      <c r="B45" s="19" t="n">
        <v>2</v>
      </c>
      <c r="C45" s="11" t="inlineStr">
        <is>
          <t>TEAM</t>
        </is>
      </c>
      <c r="D45" s="19" t="n">
        <v>12</v>
      </c>
      <c r="E45" s="79" t="inlineStr">
        <is>
          <t>Application Support — offshore</t>
        </is>
      </c>
      <c r="F45" s="11" t="inlineStr">
        <is>
          <t>MNT</t>
        </is>
      </c>
      <c r="G45" s="35" t="inlineStr">
        <is>
          <t>E2</t>
        </is>
      </c>
      <c r="H45" s="35" t="inlineStr">
        <is>
          <t>OFF</t>
        </is>
      </c>
      <c r="I45" s="35" t="inlineStr">
        <is>
          <t>FTC</t>
        </is>
      </c>
      <c r="J45" s="41" t="n">
        <v>0.5</v>
      </c>
      <c r="K45" s="42">
        <f>J45*4</f>
        <v/>
      </c>
    </row>
    <row r="46" ht="15" customHeight="1" s="73">
      <c r="B46" s="19" t="n">
        <v>2</v>
      </c>
      <c r="C46" s="11" t="inlineStr">
        <is>
          <t>TEAM</t>
        </is>
      </c>
      <c r="D46" s="19" t="n">
        <v>13</v>
      </c>
      <c r="E46" s="79" t="inlineStr">
        <is>
          <t>MGCC K2 Engineer</t>
        </is>
      </c>
      <c r="F46" s="11" t="inlineStr">
        <is>
          <t>DEV</t>
        </is>
      </c>
      <c r="G46" s="35" t="inlineStr">
        <is>
          <t>E3</t>
        </is>
      </c>
      <c r="H46" s="35" t="inlineStr">
        <is>
          <t>OFF</t>
        </is>
      </c>
      <c r="I46" s="35" t="inlineStr">
        <is>
          <t>MGCC</t>
        </is>
      </c>
      <c r="J46" s="41" t="n">
        <v>2</v>
      </c>
      <c r="K46" s="42">
        <f>J46*4</f>
        <v/>
      </c>
    </row>
    <row r="47" ht="34.5" customHeight="1" s="73">
      <c r="B47" s="19" t="n">
        <v>2</v>
      </c>
      <c r="C47" s="11" t="inlineStr">
        <is>
          <t>TEAM</t>
        </is>
      </c>
      <c r="D47" s="19" t="n">
        <v>14</v>
      </c>
      <c r="E47" s="79" t="inlineStr">
        <is>
          <t>MGCC Test Engineer</t>
        </is>
      </c>
      <c r="F47" s="11" t="inlineStr">
        <is>
          <t>TEST</t>
        </is>
      </c>
      <c r="G47" s="35" t="inlineStr">
        <is>
          <t>E2</t>
        </is>
      </c>
      <c r="H47" s="35" t="inlineStr">
        <is>
          <t>OFF</t>
        </is>
      </c>
      <c r="I47" s="35" t="inlineStr">
        <is>
          <t>MGCC</t>
        </is>
      </c>
      <c r="J47" s="41" t="n">
        <v>0.5</v>
      </c>
      <c r="K47" s="42">
        <f>J47*4</f>
        <v/>
      </c>
      <c r="L47" t="n">
        <v>7.25</v>
      </c>
      <c r="M47" t="n">
        <v>43.5</v>
      </c>
    </row>
    <row r="48" ht="34.5" customHeight="1" s="73">
      <c r="B48" s="19" t="n"/>
      <c r="C48" s="11" t="n"/>
      <c r="D48" s="19" t="inlineStr">
        <is>
          <t>TEAM size — Year 2 · POSW</t>
        </is>
      </c>
      <c r="E48" s="79" t="n"/>
      <c r="F48" s="11" t="n"/>
      <c r="G48" s="35" t="n"/>
      <c r="H48" s="35" t="n"/>
      <c r="I48" s="35" t="n"/>
      <c r="J48" s="41">
        <f>SUM(J34:J47)</f>
        <v/>
      </c>
      <c r="K48" s="42">
        <f>SUM(K34:K47)</f>
        <v/>
      </c>
    </row>
    <row r="49">
      <c r="B49" s="19" t="n"/>
      <c r="C49" s="11" t="n"/>
      <c r="D49" s="19" t="n"/>
      <c r="E49" s="79" t="n"/>
      <c r="F49" s="11" t="n"/>
      <c r="G49" s="35" t="n"/>
      <c r="H49" s="35" t="n"/>
      <c r="I49" s="35" t="n"/>
      <c r="J49" s="41" t="n"/>
      <c r="K49" s="42" t="n"/>
    </row>
    <row r="50" ht="15" customHeight="1" s="73">
      <c r="B50" s="19" t="n">
        <v>2</v>
      </c>
      <c r="C50" s="11" t="inlineStr">
        <is>
          <t>TEAM</t>
        </is>
      </c>
      <c r="D50" s="19" t="n">
        <v>1</v>
      </c>
      <c r="E50" s="79" t="inlineStr">
        <is>
          <t>MetLife Application Owner</t>
        </is>
      </c>
      <c r="F50" s="11" t="inlineStr">
        <is>
          <t>PM</t>
        </is>
      </c>
      <c r="G50" s="35" t="inlineStr">
        <is>
          <t>E4</t>
        </is>
      </c>
      <c r="H50" s="35" t="inlineStr">
        <is>
          <t>ON</t>
        </is>
      </c>
      <c r="I50" s="35" t="inlineStr">
        <is>
          <t>FTE</t>
        </is>
      </c>
      <c r="J50" s="41" t="n">
        <v>1.5</v>
      </c>
      <c r="K50" s="42">
        <f>J50*2</f>
        <v/>
      </c>
    </row>
    <row r="51" ht="15" customHeight="1" s="73">
      <c r="B51" s="19" t="n">
        <v>2</v>
      </c>
      <c r="C51" s="11" t="inlineStr">
        <is>
          <t>TEAM</t>
        </is>
      </c>
      <c r="D51" s="19" t="n">
        <v>2</v>
      </c>
      <c r="E51" s="79" t="inlineStr">
        <is>
          <t>MetLife Operations Analyst</t>
        </is>
      </c>
      <c r="F51" s="11" t="inlineStr">
        <is>
          <t>MNT</t>
        </is>
      </c>
      <c r="G51" s="35" t="inlineStr">
        <is>
          <t>E3</t>
        </is>
      </c>
      <c r="H51" s="35" t="inlineStr">
        <is>
          <t>ON</t>
        </is>
      </c>
      <c r="I51" s="35" t="inlineStr">
        <is>
          <t>FTE</t>
        </is>
      </c>
      <c r="J51" s="41" t="n">
        <v>1.5</v>
      </c>
      <c r="K51" s="42">
        <f>J51*2</f>
        <v/>
      </c>
    </row>
    <row r="52" ht="15" customHeight="1" s="73">
      <c r="B52" s="19" t="n">
        <v>2</v>
      </c>
      <c r="C52" s="11" t="inlineStr">
        <is>
          <t>TEAM</t>
        </is>
      </c>
      <c r="D52" s="19" t="n">
        <v>3</v>
      </c>
      <c r="E52" s="79" t="inlineStr">
        <is>
          <t>FSI Senior Developer (JP) — EAI 13453 / 9947</t>
        </is>
      </c>
      <c r="F52" s="11" t="inlineStr">
        <is>
          <t>DEV</t>
        </is>
      </c>
      <c r="G52" s="35" t="inlineStr">
        <is>
          <t>E3</t>
        </is>
      </c>
      <c r="H52" s="35" t="inlineStr">
        <is>
          <t>ON</t>
        </is>
      </c>
      <c r="I52" s="35" t="inlineStr">
        <is>
          <t>PT</t>
        </is>
      </c>
      <c r="J52" s="41" t="n">
        <v>1</v>
      </c>
      <c r="K52" s="42">
        <f>J52*2</f>
        <v/>
      </c>
    </row>
    <row r="53" ht="15" customHeight="1" s="73">
      <c r="B53" s="19" t="n">
        <v>2</v>
      </c>
      <c r="C53" s="11" t="inlineStr">
        <is>
          <t>TEAM</t>
        </is>
      </c>
      <c r="D53" s="19" t="n">
        <v>4</v>
      </c>
      <c r="E53" s="79" t="inlineStr">
        <is>
          <t>FSI Business Analyst (JP) — EAI 11604</t>
        </is>
      </c>
      <c r="F53" s="11" t="inlineStr">
        <is>
          <t>BSA</t>
        </is>
      </c>
      <c r="G53" s="35" t="inlineStr">
        <is>
          <t>E3</t>
        </is>
      </c>
      <c r="H53" s="35" t="inlineStr">
        <is>
          <t>ON</t>
        </is>
      </c>
      <c r="I53" s="35" t="inlineStr">
        <is>
          <t>PT</t>
        </is>
      </c>
      <c r="J53" s="41" t="n">
        <v>0.5</v>
      </c>
      <c r="K53" s="42">
        <f>J53*2</f>
        <v/>
      </c>
    </row>
    <row r="54" ht="15" customHeight="1" s="73">
      <c r="B54" s="19" t="n">
        <v>2</v>
      </c>
      <c r="C54" s="11" t="inlineStr">
        <is>
          <t>TEAM</t>
        </is>
      </c>
      <c r="D54" s="19" t="n">
        <v>5</v>
      </c>
      <c r="E54" s="79" t="inlineStr">
        <is>
          <t>Team lead / technical lead</t>
        </is>
      </c>
      <c r="F54" s="11" t="inlineStr">
        <is>
          <t>DEV</t>
        </is>
      </c>
      <c r="G54" s="35" t="inlineStr">
        <is>
          <t>E4</t>
        </is>
      </c>
      <c r="H54" s="35" t="inlineStr">
        <is>
          <t>ON</t>
        </is>
      </c>
      <c r="I54" s="35" t="inlineStr">
        <is>
          <t>FTC</t>
        </is>
      </c>
      <c r="J54" s="41" t="n">
        <v>1</v>
      </c>
      <c r="K54" s="42">
        <f>J54*2</f>
        <v/>
      </c>
    </row>
    <row r="55" ht="15" customHeight="1" s="73">
      <c r="B55" s="19" t="n">
        <v>2</v>
      </c>
      <c r="C55" s="11" t="inlineStr">
        <is>
          <t>TEAM</t>
        </is>
      </c>
      <c r="D55" s="19" t="n">
        <v>6</v>
      </c>
      <c r="E55" s="79" t="inlineStr">
        <is>
          <t>Business Analyst (bilingual)</t>
        </is>
      </c>
      <c r="F55" s="11" t="inlineStr">
        <is>
          <t>BSA</t>
        </is>
      </c>
      <c r="G55" s="35" t="inlineStr">
        <is>
          <t>E3</t>
        </is>
      </c>
      <c r="H55" s="35" t="inlineStr">
        <is>
          <t>ON</t>
        </is>
      </c>
      <c r="I55" s="35" t="inlineStr">
        <is>
          <t>FTC</t>
        </is>
      </c>
      <c r="J55" s="41" t="n">
        <v>1</v>
      </c>
      <c r="K55" s="42">
        <f>J55*2</f>
        <v/>
      </c>
    </row>
    <row r="56" ht="15" customHeight="1" s="73">
      <c r="B56" s="19" t="n">
        <v>2</v>
      </c>
      <c r="C56" s="11" t="inlineStr">
        <is>
          <t>TEAM</t>
        </is>
      </c>
      <c r="D56" s="19" t="n">
        <v>7</v>
      </c>
      <c r="E56" s="79" t="inlineStr">
        <is>
          <t>Senior Application Developer (VB.NET / Java)</t>
        </is>
      </c>
      <c r="F56" s="11" t="inlineStr">
        <is>
          <t>DEV</t>
        </is>
      </c>
      <c r="G56" s="35" t="inlineStr">
        <is>
          <t>E3</t>
        </is>
      </c>
      <c r="H56" s="35" t="inlineStr">
        <is>
          <t>ON</t>
        </is>
      </c>
      <c r="I56" s="35" t="inlineStr">
        <is>
          <t>FTC</t>
        </is>
      </c>
      <c r="J56" s="41" t="n">
        <v>1.5</v>
      </c>
      <c r="K56" s="42">
        <f>J56*2</f>
        <v/>
      </c>
    </row>
    <row r="57" ht="15" customHeight="1" s="73">
      <c r="B57" s="19" t="n">
        <v>2</v>
      </c>
      <c r="C57" s="11" t="inlineStr">
        <is>
          <t>TEAM</t>
        </is>
      </c>
      <c r="D57" s="19" t="n">
        <v>8</v>
      </c>
      <c r="E57" s="79" t="inlineStr">
        <is>
          <t>Junior Application Developer (VB.NET / Java)</t>
        </is>
      </c>
      <c r="F57" s="11" t="inlineStr">
        <is>
          <t>DEV</t>
        </is>
      </c>
      <c r="G57" s="35" t="inlineStr">
        <is>
          <t>E2</t>
        </is>
      </c>
      <c r="H57" s="35" t="inlineStr">
        <is>
          <t>ON</t>
        </is>
      </c>
      <c r="I57" s="35" t="inlineStr">
        <is>
          <t>FTC</t>
        </is>
      </c>
      <c r="J57" s="41" t="n">
        <v>0.75</v>
      </c>
      <c r="K57" s="42">
        <f>J57*2</f>
        <v/>
      </c>
    </row>
    <row r="58" ht="15" customHeight="1" s="73">
      <c r="B58" s="19" t="n">
        <v>2</v>
      </c>
      <c r="C58" s="11" t="inlineStr">
        <is>
          <t>TEAM</t>
        </is>
      </c>
      <c r="D58" s="19" t="n">
        <v>9</v>
      </c>
      <c r="E58" s="79" t="inlineStr">
        <is>
          <t>Test Engineer — Tokyo</t>
        </is>
      </c>
      <c r="F58" s="11" t="inlineStr">
        <is>
          <t>TEST</t>
        </is>
      </c>
      <c r="G58" s="35" t="inlineStr">
        <is>
          <t>E2</t>
        </is>
      </c>
      <c r="H58" s="35" t="inlineStr">
        <is>
          <t>ON</t>
        </is>
      </c>
      <c r="I58" s="35" t="inlineStr">
        <is>
          <t>FTC</t>
        </is>
      </c>
      <c r="J58" s="41" t="n">
        <v>0.5</v>
      </c>
      <c r="K58" s="42">
        <f>J58*2</f>
        <v/>
      </c>
    </row>
    <row r="59" ht="15" customHeight="1" s="73">
      <c r="B59" s="19" t="n">
        <v>2</v>
      </c>
      <c r="C59" s="11" t="inlineStr">
        <is>
          <t>TEAM</t>
        </is>
      </c>
      <c r="D59" s="19" t="n">
        <v>10</v>
      </c>
      <c r="E59" s="79" t="inlineStr">
        <is>
          <t>Application Support (L2) — Tokyo</t>
        </is>
      </c>
      <c r="F59" s="11" t="inlineStr">
        <is>
          <t>MNT</t>
        </is>
      </c>
      <c r="G59" s="35" t="inlineStr">
        <is>
          <t>E2</t>
        </is>
      </c>
      <c r="H59" s="35" t="inlineStr">
        <is>
          <t>ON</t>
        </is>
      </c>
      <c r="I59" s="35" t="inlineStr">
        <is>
          <t>FTC</t>
        </is>
      </c>
      <c r="J59" s="41" t="n">
        <v>0.5</v>
      </c>
      <c r="K59" s="42">
        <f>J59*2</f>
        <v/>
      </c>
    </row>
    <row r="60" ht="15" customHeight="1" s="73">
      <c r="B60" s="19" t="n">
        <v>2</v>
      </c>
      <c r="C60" s="11" t="inlineStr">
        <is>
          <t>TEAM</t>
        </is>
      </c>
      <c r="D60" s="19" t="n">
        <v>11</v>
      </c>
      <c r="E60" s="79" t="inlineStr">
        <is>
          <t>Junior Application Developer — offshore</t>
        </is>
      </c>
      <c r="F60" s="11" t="inlineStr">
        <is>
          <t>DEV</t>
        </is>
      </c>
      <c r="G60" s="35" t="inlineStr">
        <is>
          <t>E2</t>
        </is>
      </c>
      <c r="H60" s="35" t="inlineStr">
        <is>
          <t>OFF</t>
        </is>
      </c>
      <c r="I60" s="35" t="inlineStr">
        <is>
          <t>FTC</t>
        </is>
      </c>
      <c r="J60" s="41" t="n">
        <v>1.25</v>
      </c>
      <c r="K60" s="42">
        <f>J60*2</f>
        <v/>
      </c>
    </row>
    <row r="61" ht="15" customHeight="1" s="73">
      <c r="B61" s="19" t="n">
        <v>2</v>
      </c>
      <c r="C61" s="11" t="inlineStr">
        <is>
          <t>TEAM</t>
        </is>
      </c>
      <c r="D61" s="19" t="n">
        <v>12</v>
      </c>
      <c r="E61" s="79" t="inlineStr">
        <is>
          <t>Junior Test Engineer — offshore</t>
        </is>
      </c>
      <c r="F61" s="11" t="inlineStr">
        <is>
          <t>TEST</t>
        </is>
      </c>
      <c r="G61" s="35" t="inlineStr">
        <is>
          <t>E1</t>
        </is>
      </c>
      <c r="H61" s="35" t="inlineStr">
        <is>
          <t>OFF</t>
        </is>
      </c>
      <c r="I61" s="35" t="inlineStr">
        <is>
          <t>FTC</t>
        </is>
      </c>
      <c r="J61" s="41" t="n">
        <v>0.5</v>
      </c>
      <c r="K61" s="42">
        <f>J61*2</f>
        <v/>
      </c>
    </row>
    <row r="62" ht="34.5" customHeight="1" s="73">
      <c r="B62" s="19" t="n">
        <v>2</v>
      </c>
      <c r="C62" s="11" t="inlineStr">
        <is>
          <t>TEAM</t>
        </is>
      </c>
      <c r="D62" s="19" t="n">
        <v>13</v>
      </c>
      <c r="E62" s="79" t="inlineStr">
        <is>
          <t>MGCC Batch &amp; Support Engineer</t>
        </is>
      </c>
      <c r="F62" s="11" t="inlineStr">
        <is>
          <t>MNT</t>
        </is>
      </c>
      <c r="G62" s="35" t="inlineStr">
        <is>
          <t>E2</t>
        </is>
      </c>
      <c r="H62" s="35" t="inlineStr">
        <is>
          <t>OFF</t>
        </is>
      </c>
      <c r="I62" s="35" t="inlineStr">
        <is>
          <t>MGCC</t>
        </is>
      </c>
      <c r="J62" s="41" t="n">
        <v>0.5</v>
      </c>
      <c r="K62" s="42">
        <f>J62*2</f>
        <v/>
      </c>
    </row>
    <row r="63" ht="34.5" customHeight="1" s="73">
      <c r="B63" s="19" t="n"/>
      <c r="C63" s="11" t="n"/>
      <c r="D63" s="19" t="inlineStr">
        <is>
          <t>TEAM size — Year 2 · POSR</t>
        </is>
      </c>
      <c r="E63" s="79" t="n"/>
      <c r="F63" s="11" t="n"/>
      <c r="G63" s="35" t="n"/>
      <c r="H63" s="35" t="n"/>
      <c r="I63" s="35" t="n"/>
      <c r="J63" s="41">
        <f>SUM(J50:J62)</f>
        <v/>
      </c>
      <c r="K63" s="42">
        <f>SUM(K50:K62)</f>
        <v/>
      </c>
    </row>
    <row r="64" ht="22" customHeight="1" s="73">
      <c r="B64" s="19" t="n"/>
      <c r="C64" s="11" t="n"/>
      <c r="D64" s="19" t="n"/>
      <c r="E64" s="79" t="n"/>
      <c r="F64" s="11" t="n"/>
      <c r="G64" s="35" t="n"/>
      <c r="H64" s="35" t="n"/>
      <c r="I64" s="35" t="n"/>
      <c r="J64" s="41" t="n"/>
      <c r="K64" s="42" t="n"/>
    </row>
    <row r="65" ht="15" customHeight="1" s="73">
      <c r="B65" s="19" t="n">
        <v>3</v>
      </c>
      <c r="C65" s="11" t="inlineStr">
        <is>
          <t>TEAM</t>
        </is>
      </c>
      <c r="D65" s="19" t="n">
        <v>1</v>
      </c>
      <c r="E65" s="79" t="inlineStr">
        <is>
          <t>MetLife Product Owner — K2</t>
        </is>
      </c>
      <c r="F65" s="11" t="inlineStr">
        <is>
          <t>PM</t>
        </is>
      </c>
      <c r="G65" s="35" t="inlineStr">
        <is>
          <t>E4</t>
        </is>
      </c>
      <c r="H65" s="35" t="inlineStr">
        <is>
          <t>ON</t>
        </is>
      </c>
      <c r="I65" s="35" t="inlineStr">
        <is>
          <t>FTE</t>
        </is>
      </c>
      <c r="J65" s="41" t="n">
        <v>1</v>
      </c>
      <c r="K65" s="42">
        <f>J65*3</f>
        <v/>
      </c>
      <c r="M65" s="63" t="n">
        <v>1.21</v>
      </c>
      <c r="N65" s="42">
        <f>M65*7</f>
        <v/>
      </c>
    </row>
    <row r="66" ht="15" customHeight="1" s="73">
      <c r="B66" s="19" t="n">
        <v>3</v>
      </c>
      <c r="C66" s="11" t="inlineStr">
        <is>
          <t>TEAM</t>
        </is>
      </c>
      <c r="D66" s="19" t="n">
        <v>2</v>
      </c>
      <c r="E66" s="79" t="inlineStr">
        <is>
          <t>MetLife Servicing SME — K2</t>
        </is>
      </c>
      <c r="F66" s="11" t="inlineStr">
        <is>
          <t>BSA</t>
        </is>
      </c>
      <c r="G66" s="35" t="inlineStr">
        <is>
          <t>E4</t>
        </is>
      </c>
      <c r="H66" s="35" t="inlineStr">
        <is>
          <t>ON</t>
        </is>
      </c>
      <c r="I66" s="35" t="inlineStr">
        <is>
          <t>FTE</t>
        </is>
      </c>
      <c r="J66" s="41" t="n">
        <v>1</v>
      </c>
      <c r="K66" s="42">
        <f>J66*3</f>
        <v/>
      </c>
      <c r="M66" s="63" t="n">
        <v>1</v>
      </c>
      <c r="N66" s="42">
        <f>M66*7</f>
        <v/>
      </c>
    </row>
    <row r="67" ht="15" customHeight="1" s="73">
      <c r="B67" s="19" t="n">
        <v>3</v>
      </c>
      <c r="C67" s="11" t="inlineStr">
        <is>
          <t>TEAM</t>
        </is>
      </c>
      <c r="D67" s="19" t="n">
        <v>3</v>
      </c>
      <c r="E67" s="79" t="inlineStr">
        <is>
          <t>FSI K2 Developer (JP) — EAI 12117</t>
        </is>
      </c>
      <c r="F67" s="11" t="inlineStr">
        <is>
          <t>DEV</t>
        </is>
      </c>
      <c r="G67" s="35" t="inlineStr">
        <is>
          <t>E3</t>
        </is>
      </c>
      <c r="H67" s="35" t="inlineStr">
        <is>
          <t>ON</t>
        </is>
      </c>
      <c r="I67" s="35" t="inlineStr">
        <is>
          <t>PT</t>
        </is>
      </c>
      <c r="J67" s="41" t="n">
        <v>0.5</v>
      </c>
      <c r="K67" s="42">
        <f>J67*3</f>
        <v/>
      </c>
      <c r="M67" s="63" t="n">
        <v>0.71</v>
      </c>
      <c r="N67" s="42">
        <f>M67*7</f>
        <v/>
      </c>
    </row>
    <row r="68" ht="15" customHeight="1" s="73">
      <c r="B68" s="19" t="n">
        <v>3</v>
      </c>
      <c r="C68" s="11" t="inlineStr">
        <is>
          <t>TEAM</t>
        </is>
      </c>
      <c r="D68" s="19" t="n">
        <v>4</v>
      </c>
      <c r="E68" s="79" t="inlineStr">
        <is>
          <t>Business Analyst (bilingual) — K2</t>
        </is>
      </c>
      <c r="F68" s="11" t="inlineStr">
        <is>
          <t>BSA</t>
        </is>
      </c>
      <c r="G68" s="35" t="inlineStr">
        <is>
          <t>E3</t>
        </is>
      </c>
      <c r="H68" s="35" t="inlineStr">
        <is>
          <t>ON</t>
        </is>
      </c>
      <c r="I68" s="35" t="inlineStr">
        <is>
          <t>FTC</t>
        </is>
      </c>
      <c r="J68" s="41" t="n">
        <v>1</v>
      </c>
      <c r="K68" s="42">
        <f>J68*3</f>
        <v/>
      </c>
      <c r="M68" s="63" t="n">
        <v>0.64</v>
      </c>
      <c r="N68" s="42">
        <f>M68*7</f>
        <v/>
      </c>
    </row>
    <row r="69" ht="15" customHeight="1" s="73">
      <c r="B69" s="19" t="n">
        <v>3</v>
      </c>
      <c r="C69" s="11" t="inlineStr">
        <is>
          <t>TEAM</t>
        </is>
      </c>
      <c r="D69" s="19" t="n">
        <v>5</v>
      </c>
      <c r="E69" s="79" t="inlineStr">
        <is>
          <t>Team lead / senior engineer — K2</t>
        </is>
      </c>
      <c r="F69" s="11" t="inlineStr">
        <is>
          <t>DEV</t>
        </is>
      </c>
      <c r="G69" s="35" t="inlineStr">
        <is>
          <t>E4</t>
        </is>
      </c>
      <c r="H69" s="35" t="inlineStr">
        <is>
          <t>ON</t>
        </is>
      </c>
      <c r="I69" s="35" t="inlineStr">
        <is>
          <t>FTC</t>
        </is>
      </c>
      <c r="J69" s="41" t="n">
        <v>1</v>
      </c>
      <c r="K69" s="42">
        <f>J69*3</f>
        <v/>
      </c>
      <c r="M69" s="63" t="n">
        <v>0.29</v>
      </c>
      <c r="N69" s="42">
        <f>M69*7</f>
        <v/>
      </c>
    </row>
    <row r="70" ht="15" customHeight="1" s="73">
      <c r="B70" s="19" t="n">
        <v>3</v>
      </c>
      <c r="C70" s="11" t="inlineStr">
        <is>
          <t>TEAM</t>
        </is>
      </c>
      <c r="D70" s="19" t="n">
        <v>6</v>
      </c>
      <c r="E70" s="79" t="inlineStr">
        <is>
          <t>Solution Architect — K2</t>
        </is>
      </c>
      <c r="F70" s="11" t="inlineStr">
        <is>
          <t>OTH</t>
        </is>
      </c>
      <c r="G70" s="35" t="inlineStr">
        <is>
          <t>E4</t>
        </is>
      </c>
      <c r="H70" s="35" t="inlineStr">
        <is>
          <t>ON</t>
        </is>
      </c>
      <c r="I70" s="35" t="inlineStr">
        <is>
          <t>FTC</t>
        </is>
      </c>
      <c r="J70" s="41" t="n">
        <v>0.5</v>
      </c>
      <c r="K70" s="42">
        <f>J70*3</f>
        <v/>
      </c>
      <c r="M70" s="63" t="n">
        <v>0.14</v>
      </c>
      <c r="N70" s="42">
        <f>M70*7</f>
        <v/>
      </c>
    </row>
    <row r="71" ht="15" customHeight="1" s="73">
      <c r="B71" s="19" t="n">
        <v>3</v>
      </c>
      <c r="C71" s="11" t="inlineStr">
        <is>
          <t>TEAM</t>
        </is>
      </c>
      <c r="D71" s="19" t="n">
        <v>7</v>
      </c>
      <c r="E71" s="79" t="inlineStr">
        <is>
          <t>Senior Workflow Developer (VB.NET) — K2</t>
        </is>
      </c>
      <c r="F71" s="11" t="inlineStr">
        <is>
          <t>DEV</t>
        </is>
      </c>
      <c r="G71" s="35" t="inlineStr">
        <is>
          <t>E3</t>
        </is>
      </c>
      <c r="H71" s="35" t="inlineStr">
        <is>
          <t>ON</t>
        </is>
      </c>
      <c r="I71" s="35" t="inlineStr">
        <is>
          <t>FTC</t>
        </is>
      </c>
      <c r="J71" s="41" t="n">
        <v>1</v>
      </c>
      <c r="K71" s="42">
        <f>J71*3</f>
        <v/>
      </c>
      <c r="M71" s="63" t="n">
        <v>1.07</v>
      </c>
      <c r="N71" s="42">
        <f>M71*7</f>
        <v/>
      </c>
    </row>
    <row r="72" ht="15" customHeight="1" s="73">
      <c r="B72" s="19" t="n">
        <v>3</v>
      </c>
      <c r="C72" s="11" t="inlineStr">
        <is>
          <t>TEAM</t>
        </is>
      </c>
      <c r="D72" s="19" t="n">
        <v>8</v>
      </c>
      <c r="E72" s="79" t="inlineStr">
        <is>
          <t>Senior Workflow Developer — offshore</t>
        </is>
      </c>
      <c r="F72" s="11" t="inlineStr">
        <is>
          <t>DEV</t>
        </is>
      </c>
      <c r="G72" s="35" t="inlineStr">
        <is>
          <t>E3</t>
        </is>
      </c>
      <c r="H72" s="35" t="inlineStr">
        <is>
          <t>OFF</t>
        </is>
      </c>
      <c r="I72" s="35" t="inlineStr">
        <is>
          <t>FTC</t>
        </is>
      </c>
      <c r="J72" s="41" t="n">
        <v>0.5</v>
      </c>
      <c r="K72" s="42">
        <f>J72*3</f>
        <v/>
      </c>
      <c r="M72" s="63" t="n">
        <v>0.5</v>
      </c>
      <c r="N72" s="42">
        <f>M72*7</f>
        <v/>
      </c>
    </row>
    <row r="73" ht="15" customHeight="1" s="73">
      <c r="B73" s="19" t="n">
        <v>3</v>
      </c>
      <c r="C73" s="11" t="inlineStr">
        <is>
          <t>TEAM</t>
        </is>
      </c>
      <c r="D73" s="19" t="n">
        <v>9</v>
      </c>
      <c r="E73" s="79" t="inlineStr">
        <is>
          <t>Junior Workflow Developer — offshore</t>
        </is>
      </c>
      <c r="F73" s="11" t="inlineStr">
        <is>
          <t>DEV</t>
        </is>
      </c>
      <c r="G73" s="35" t="inlineStr">
        <is>
          <t>E2</t>
        </is>
      </c>
      <c r="H73" s="35" t="inlineStr">
        <is>
          <t>OFF</t>
        </is>
      </c>
      <c r="I73" s="35" t="inlineStr">
        <is>
          <t>FTC</t>
        </is>
      </c>
      <c r="J73" s="41" t="n">
        <v>1</v>
      </c>
      <c r="K73" s="42">
        <f>J73*3</f>
        <v/>
      </c>
      <c r="M73" s="63" t="n">
        <v>0.43</v>
      </c>
      <c r="N73" s="42">
        <f>M73*7</f>
        <v/>
      </c>
    </row>
    <row r="74" ht="15" customHeight="1" s="73">
      <c r="B74" s="19" t="n">
        <v>3</v>
      </c>
      <c r="C74" s="11" t="inlineStr">
        <is>
          <t>TEAM</t>
        </is>
      </c>
      <c r="D74" s="19" t="n">
        <v>10</v>
      </c>
      <c r="E74" s="79" t="inlineStr">
        <is>
          <t>Junior Quality Engineer — offshore</t>
        </is>
      </c>
      <c r="F74" s="11" t="inlineStr">
        <is>
          <t>TEST</t>
        </is>
      </c>
      <c r="G74" s="35" t="inlineStr">
        <is>
          <t>E1</t>
        </is>
      </c>
      <c r="H74" s="35" t="inlineStr">
        <is>
          <t>OFF</t>
        </is>
      </c>
      <c r="I74" s="35" t="inlineStr">
        <is>
          <t>FTC</t>
        </is>
      </c>
      <c r="J74" s="41" t="n">
        <v>1</v>
      </c>
      <c r="K74" s="42">
        <f>J74*3</f>
        <v/>
      </c>
      <c r="M74" s="63" t="n">
        <v>0.14</v>
      </c>
      <c r="N74" s="42">
        <f>M74*7</f>
        <v/>
      </c>
    </row>
    <row r="75" ht="15" customHeight="1" s="73">
      <c r="B75" s="19" t="n">
        <v>3</v>
      </c>
      <c r="C75" s="11" t="inlineStr">
        <is>
          <t>TEAM</t>
        </is>
      </c>
      <c r="D75" s="19" t="n">
        <v>11</v>
      </c>
      <c r="E75" s="79" t="inlineStr">
        <is>
          <t>Application Support — offshore</t>
        </is>
      </c>
      <c r="F75" s="11" t="inlineStr">
        <is>
          <t>MNT</t>
        </is>
      </c>
      <c r="G75" s="35" t="inlineStr">
        <is>
          <t>E2</t>
        </is>
      </c>
      <c r="H75" s="35" t="inlineStr">
        <is>
          <t>OFF</t>
        </is>
      </c>
      <c r="I75" s="35" t="inlineStr">
        <is>
          <t>FTC</t>
        </is>
      </c>
      <c r="J75" s="41" t="n">
        <v>0.5</v>
      </c>
      <c r="K75" s="42">
        <f>J75*3</f>
        <v/>
      </c>
      <c r="M75" s="63" t="n">
        <v>0.57</v>
      </c>
      <c r="N75" s="42">
        <f>M75*7</f>
        <v/>
      </c>
    </row>
    <row r="76" ht="34.5" customHeight="1" s="73">
      <c r="B76" s="19" t="n">
        <v>3</v>
      </c>
      <c r="C76" s="11" t="inlineStr">
        <is>
          <t>TEAM</t>
        </is>
      </c>
      <c r="D76" s="19" t="n">
        <v>12</v>
      </c>
      <c r="E76" s="79" t="inlineStr">
        <is>
          <t>MGCC K2 Engineer</t>
        </is>
      </c>
      <c r="F76" s="11" t="inlineStr">
        <is>
          <t>DEV</t>
        </is>
      </c>
      <c r="G76" s="35" t="inlineStr">
        <is>
          <t>E3</t>
        </is>
      </c>
      <c r="H76" s="35" t="inlineStr">
        <is>
          <t>OFF</t>
        </is>
      </c>
      <c r="I76" s="35" t="inlineStr">
        <is>
          <t>MGCC</t>
        </is>
      </c>
      <c r="J76" s="41" t="n">
        <v>2</v>
      </c>
      <c r="K76" s="42">
        <f>J76*3</f>
        <v/>
      </c>
      <c r="M76" s="61">
        <f>SUM(M65:M75)</f>
        <v/>
      </c>
      <c r="N76" s="61">
        <f>SUM(N65:N75)</f>
        <v/>
      </c>
    </row>
    <row r="77" ht="34.5" customHeight="1" s="73">
      <c r="B77" s="19" t="n">
        <v>3</v>
      </c>
      <c r="C77" s="11" t="inlineStr">
        <is>
          <t>TEAM</t>
        </is>
      </c>
      <c r="D77" s="19" t="n">
        <v>13</v>
      </c>
      <c r="E77" s="79" t="inlineStr">
        <is>
          <t>MGCC Test Engineer</t>
        </is>
      </c>
      <c r="F77" s="11" t="inlineStr">
        <is>
          <t>TEST</t>
        </is>
      </c>
      <c r="G77" s="35" t="inlineStr">
        <is>
          <t>E2</t>
        </is>
      </c>
      <c r="H77" s="35" t="inlineStr">
        <is>
          <t>OFF</t>
        </is>
      </c>
      <c r="I77" s="35" t="inlineStr">
        <is>
          <t>MGCC</t>
        </is>
      </c>
      <c r="J77" s="41" t="n">
        <v>1</v>
      </c>
      <c r="K77" s="42">
        <f>J77*3</f>
        <v/>
      </c>
    </row>
    <row r="78" ht="48" customHeight="1" s="73">
      <c r="B78" s="19" t="n"/>
      <c r="C78" s="11" t="n"/>
      <c r="D78" s="19" t="inlineStr">
        <is>
          <t>TEAM size — Year 3 · POSW</t>
        </is>
      </c>
      <c r="E78" s="79" t="n"/>
      <c r="F78" s="11" t="n"/>
      <c r="G78" s="35" t="n"/>
      <c r="H78" s="35" t="n"/>
      <c r="I78" s="35" t="n"/>
      <c r="J78" s="41">
        <f>SUM(J65:J77)</f>
        <v/>
      </c>
      <c r="K78" s="42">
        <f>SUM(K65:K77)</f>
        <v/>
      </c>
    </row>
    <row r="79" ht="15" customHeight="1" s="73">
      <c r="B79" s="19" t="n"/>
      <c r="C79" s="11" t="n"/>
      <c r="D79" s="19" t="n"/>
      <c r="E79" s="79" t="n"/>
      <c r="F79" s="11" t="n"/>
      <c r="G79" s="35" t="n"/>
      <c r="H79" s="35" t="n"/>
      <c r="I79" s="35" t="n"/>
      <c r="J79" s="41" t="n"/>
      <c r="K79" s="42" t="n"/>
    </row>
    <row r="80" ht="15" customHeight="1" s="73">
      <c r="B80" s="19" t="n">
        <v>3</v>
      </c>
      <c r="C80" s="11" t="inlineStr">
        <is>
          <t>TEAM</t>
        </is>
      </c>
      <c r="D80" s="19" t="n">
        <v>1</v>
      </c>
      <c r="E80" s="79" t="inlineStr">
        <is>
          <t>MetLife Application Owner</t>
        </is>
      </c>
      <c r="F80" s="11" t="inlineStr">
        <is>
          <t>PM</t>
        </is>
      </c>
      <c r="G80" s="35" t="inlineStr">
        <is>
          <t>E4</t>
        </is>
      </c>
      <c r="H80" s="35" t="inlineStr">
        <is>
          <t>ON</t>
        </is>
      </c>
      <c r="I80" s="35" t="inlineStr">
        <is>
          <t>FTE</t>
        </is>
      </c>
      <c r="J80" s="41" t="n">
        <v>1.5</v>
      </c>
      <c r="K80" s="42">
        <f>J80*2</f>
        <v/>
      </c>
    </row>
    <row r="81" ht="15" customHeight="1" s="73">
      <c r="B81" s="19" t="n">
        <v>3</v>
      </c>
      <c r="C81" s="11" t="inlineStr">
        <is>
          <t>TEAM</t>
        </is>
      </c>
      <c r="D81" s="19" t="n">
        <v>2</v>
      </c>
      <c r="E81" s="79" t="inlineStr">
        <is>
          <t>MetLife Operations Analyst</t>
        </is>
      </c>
      <c r="F81" s="11" t="inlineStr">
        <is>
          <t>MNT</t>
        </is>
      </c>
      <c r="G81" s="35" t="inlineStr">
        <is>
          <t>E3</t>
        </is>
      </c>
      <c r="H81" s="35" t="inlineStr">
        <is>
          <t>ON</t>
        </is>
      </c>
      <c r="I81" s="35" t="inlineStr">
        <is>
          <t>FTE</t>
        </is>
      </c>
      <c r="J81" s="41" t="n">
        <v>1</v>
      </c>
      <c r="K81" s="42">
        <f>J81*2</f>
        <v/>
      </c>
    </row>
    <row r="82" ht="15" customHeight="1" s="73">
      <c r="B82" s="19" t="n">
        <v>3</v>
      </c>
      <c r="C82" s="11" t="inlineStr">
        <is>
          <t>TEAM</t>
        </is>
      </c>
      <c r="D82" s="19" t="n">
        <v>3</v>
      </c>
      <c r="E82" s="79" t="inlineStr">
        <is>
          <t>FSI Senior Developer (JP) — EAI 13453 / 9947</t>
        </is>
      </c>
      <c r="F82" s="11" t="inlineStr">
        <is>
          <t>DEV</t>
        </is>
      </c>
      <c r="G82" s="35" t="inlineStr">
        <is>
          <t>E3</t>
        </is>
      </c>
      <c r="H82" s="35" t="inlineStr">
        <is>
          <t>ON</t>
        </is>
      </c>
      <c r="I82" s="35" t="inlineStr">
        <is>
          <t>PT</t>
        </is>
      </c>
      <c r="J82" s="41" t="n">
        <v>0.75</v>
      </c>
      <c r="K82" s="42">
        <f>J82*2</f>
        <v/>
      </c>
    </row>
    <row r="83" ht="15" customHeight="1" s="73">
      <c r="B83" s="19" t="n">
        <v>3</v>
      </c>
      <c r="C83" s="11" t="inlineStr">
        <is>
          <t>TEAM</t>
        </is>
      </c>
      <c r="D83" s="19" t="n">
        <v>4</v>
      </c>
      <c r="E83" s="79" t="inlineStr">
        <is>
          <t>FSI Business Analyst (JP) — EAI 11604</t>
        </is>
      </c>
      <c r="F83" s="11" t="inlineStr">
        <is>
          <t>BSA</t>
        </is>
      </c>
      <c r="G83" s="35" t="inlineStr">
        <is>
          <t>E3</t>
        </is>
      </c>
      <c r="H83" s="35" t="inlineStr">
        <is>
          <t>ON</t>
        </is>
      </c>
      <c r="I83" s="35" t="inlineStr">
        <is>
          <t>PT</t>
        </is>
      </c>
      <c r="J83" s="41" t="n">
        <v>0.5</v>
      </c>
      <c r="K83" s="42">
        <f>J83*2</f>
        <v/>
      </c>
    </row>
    <row r="84" ht="15" customHeight="1" s="73">
      <c r="B84" s="19" t="n">
        <v>3</v>
      </c>
      <c r="C84" s="11" t="inlineStr">
        <is>
          <t>TEAM</t>
        </is>
      </c>
      <c r="D84" s="19" t="n">
        <v>5</v>
      </c>
      <c r="E84" s="79" t="inlineStr">
        <is>
          <t>Team lead / technical lead</t>
        </is>
      </c>
      <c r="F84" s="11" t="inlineStr">
        <is>
          <t>DEV</t>
        </is>
      </c>
      <c r="G84" s="35" t="inlineStr">
        <is>
          <t>E4</t>
        </is>
      </c>
      <c r="H84" s="35" t="inlineStr">
        <is>
          <t>ON</t>
        </is>
      </c>
      <c r="I84" s="35" t="inlineStr">
        <is>
          <t>FTC</t>
        </is>
      </c>
      <c r="J84" s="41" t="n">
        <v>1</v>
      </c>
      <c r="K84" s="42">
        <f>J84*2</f>
        <v/>
      </c>
    </row>
    <row r="85" ht="15" customHeight="1" s="73">
      <c r="B85" s="19" t="n">
        <v>3</v>
      </c>
      <c r="C85" s="11" t="inlineStr">
        <is>
          <t>TEAM</t>
        </is>
      </c>
      <c r="D85" s="19" t="n">
        <v>6</v>
      </c>
      <c r="E85" s="79" t="inlineStr">
        <is>
          <t>Business Analyst (bilingual)</t>
        </is>
      </c>
      <c r="F85" s="11" t="inlineStr">
        <is>
          <t>BSA</t>
        </is>
      </c>
      <c r="G85" s="35" t="inlineStr">
        <is>
          <t>E3</t>
        </is>
      </c>
      <c r="H85" s="35" t="inlineStr">
        <is>
          <t>ON</t>
        </is>
      </c>
      <c r="I85" s="35" t="inlineStr">
        <is>
          <t>FTC</t>
        </is>
      </c>
      <c r="J85" s="41" t="n">
        <v>1</v>
      </c>
      <c r="K85" s="42">
        <f>J85*2</f>
        <v/>
      </c>
    </row>
    <row r="86" ht="15" customHeight="1" s="73">
      <c r="B86" s="19" t="n">
        <v>3</v>
      </c>
      <c r="C86" s="11" t="inlineStr">
        <is>
          <t>TEAM</t>
        </is>
      </c>
      <c r="D86" s="19" t="n">
        <v>7</v>
      </c>
      <c r="E86" s="79" t="inlineStr">
        <is>
          <t>Senior Application Developer (VB.NET / Java)</t>
        </is>
      </c>
      <c r="F86" s="11" t="inlineStr">
        <is>
          <t>DEV</t>
        </is>
      </c>
      <c r="G86" s="35" t="inlineStr">
        <is>
          <t>E3</t>
        </is>
      </c>
      <c r="H86" s="35" t="inlineStr">
        <is>
          <t>ON</t>
        </is>
      </c>
      <c r="I86" s="35" t="inlineStr">
        <is>
          <t>FTC</t>
        </is>
      </c>
      <c r="J86" s="41" t="n">
        <v>1</v>
      </c>
      <c r="K86" s="42">
        <f>J86*2</f>
        <v/>
      </c>
    </row>
    <row r="87" ht="15" customHeight="1" s="73">
      <c r="B87" s="19" t="n">
        <v>3</v>
      </c>
      <c r="C87" s="11" t="inlineStr">
        <is>
          <t>TEAM</t>
        </is>
      </c>
      <c r="D87" s="19" t="n">
        <v>8</v>
      </c>
      <c r="E87" s="79" t="inlineStr">
        <is>
          <t>Junior Application Developer (VB.NET / Java)</t>
        </is>
      </c>
      <c r="F87" s="11" t="inlineStr">
        <is>
          <t>DEV</t>
        </is>
      </c>
      <c r="G87" s="35" t="inlineStr">
        <is>
          <t>E2</t>
        </is>
      </c>
      <c r="H87" s="35" t="inlineStr">
        <is>
          <t>ON</t>
        </is>
      </c>
      <c r="I87" s="35" t="inlineStr">
        <is>
          <t>FTC</t>
        </is>
      </c>
      <c r="J87" s="41" t="n">
        <v>0.25</v>
      </c>
      <c r="K87" s="42">
        <f>J87*2</f>
        <v/>
      </c>
    </row>
    <row r="88" ht="15" customHeight="1" s="73">
      <c r="B88" s="19" t="n">
        <v>3</v>
      </c>
      <c r="C88" s="11" t="inlineStr">
        <is>
          <t>TEAM</t>
        </is>
      </c>
      <c r="D88" s="19" t="n">
        <v>9</v>
      </c>
      <c r="E88" s="79" t="inlineStr">
        <is>
          <t>Test Engineer — Tokyo</t>
        </is>
      </c>
      <c r="F88" s="11" t="inlineStr">
        <is>
          <t>TEST</t>
        </is>
      </c>
      <c r="G88" s="35" t="inlineStr">
        <is>
          <t>E2</t>
        </is>
      </c>
      <c r="H88" s="35" t="inlineStr">
        <is>
          <t>ON</t>
        </is>
      </c>
      <c r="I88" s="35" t="inlineStr">
        <is>
          <t>FTC</t>
        </is>
      </c>
      <c r="J88" s="41" t="n">
        <v>0.5</v>
      </c>
      <c r="K88" s="42">
        <f>J88*2</f>
        <v/>
      </c>
    </row>
    <row r="89" ht="15" customHeight="1" s="73">
      <c r="B89" s="19" t="n">
        <v>3</v>
      </c>
      <c r="C89" s="11" t="inlineStr">
        <is>
          <t>TEAM</t>
        </is>
      </c>
      <c r="D89" s="19" t="n">
        <v>10</v>
      </c>
      <c r="E89" s="79" t="inlineStr">
        <is>
          <t>Application Support (L2) — Tokyo</t>
        </is>
      </c>
      <c r="F89" s="11" t="inlineStr">
        <is>
          <t>MNT</t>
        </is>
      </c>
      <c r="G89" s="35" t="inlineStr">
        <is>
          <t>E2</t>
        </is>
      </c>
      <c r="H89" s="35" t="inlineStr">
        <is>
          <t>ON</t>
        </is>
      </c>
      <c r="I89" s="35" t="inlineStr">
        <is>
          <t>FTC</t>
        </is>
      </c>
      <c r="J89" s="41" t="n">
        <v>0.5</v>
      </c>
      <c r="K89" s="42">
        <f>J89*2</f>
        <v/>
      </c>
    </row>
    <row r="90" ht="15" customHeight="1" s="73">
      <c r="B90" s="19" t="n">
        <v>3</v>
      </c>
      <c r="C90" s="11" t="inlineStr">
        <is>
          <t>TEAM</t>
        </is>
      </c>
      <c r="D90" s="19" t="n">
        <v>11</v>
      </c>
      <c r="E90" s="79" t="inlineStr">
        <is>
          <t>Junior Application Developer — offshore</t>
        </is>
      </c>
      <c r="F90" s="11" t="inlineStr">
        <is>
          <t>DEV</t>
        </is>
      </c>
      <c r="G90" s="35" t="inlineStr">
        <is>
          <t>E2</t>
        </is>
      </c>
      <c r="H90" s="35" t="inlineStr">
        <is>
          <t>OFF</t>
        </is>
      </c>
      <c r="I90" s="35" t="inlineStr">
        <is>
          <t>FTC</t>
        </is>
      </c>
      <c r="J90" s="41" t="n">
        <v>1.5</v>
      </c>
      <c r="K90" s="42">
        <f>J90*2</f>
        <v/>
      </c>
    </row>
    <row r="91" ht="34.5" customHeight="1" s="73">
      <c r="B91" s="19" t="n">
        <v>3</v>
      </c>
      <c r="C91" s="11" t="inlineStr">
        <is>
          <t>TEAM</t>
        </is>
      </c>
      <c r="D91" s="19" t="n">
        <v>12</v>
      </c>
      <c r="E91" s="79" t="inlineStr">
        <is>
          <t>Junior Test Engineer — offshore</t>
        </is>
      </c>
      <c r="F91" s="11" t="inlineStr">
        <is>
          <t>TEST</t>
        </is>
      </c>
      <c r="G91" s="35" t="inlineStr">
        <is>
          <t>E1</t>
        </is>
      </c>
      <c r="H91" s="35" t="inlineStr">
        <is>
          <t>OFF</t>
        </is>
      </c>
      <c r="I91" s="35" t="inlineStr">
        <is>
          <t>FTC</t>
        </is>
      </c>
      <c r="J91" s="41" t="n">
        <v>0.5</v>
      </c>
      <c r="K91" s="42">
        <f>J91*2</f>
        <v/>
      </c>
    </row>
    <row r="92" ht="34.5" customHeight="1" s="73">
      <c r="B92" s="19" t="n">
        <v>3</v>
      </c>
      <c r="C92" s="11" t="inlineStr">
        <is>
          <t>TEAM</t>
        </is>
      </c>
      <c r="D92" s="19" t="n">
        <v>13</v>
      </c>
      <c r="E92" s="79" t="inlineStr">
        <is>
          <t>MGCC Batch &amp; Support Engineer</t>
        </is>
      </c>
      <c r="F92" s="11" t="inlineStr">
        <is>
          <t>MNT</t>
        </is>
      </c>
      <c r="G92" s="35" t="inlineStr">
        <is>
          <t>E2</t>
        </is>
      </c>
      <c r="H92" s="35" t="inlineStr">
        <is>
          <t>OFF</t>
        </is>
      </c>
      <c r="I92" s="35" t="inlineStr">
        <is>
          <t>MGCC</t>
        </is>
      </c>
      <c r="J92" s="41" t="n">
        <v>2</v>
      </c>
      <c r="K92" s="42">
        <f>J92*2</f>
        <v/>
      </c>
    </row>
    <row r="93" ht="22" customHeight="1" s="73">
      <c r="B93" s="19" t="n"/>
      <c r="C93" s="11" t="n"/>
      <c r="D93" s="19" t="inlineStr">
        <is>
          <t>TEAM size — Year 3 · POSR</t>
        </is>
      </c>
      <c r="E93" s="79" t="n"/>
      <c r="F93" s="11" t="n"/>
      <c r="G93" s="35" t="n"/>
      <c r="H93" s="35" t="n"/>
      <c r="I93" s="35" t="n"/>
      <c r="J93" s="41">
        <f>SUM(J80:J92)</f>
        <v/>
      </c>
      <c r="K93" s="42">
        <f>SUM(K80:K92)</f>
        <v/>
      </c>
    </row>
    <row r="94" ht="15" customHeight="1" s="73">
      <c r="B94" s="19" t="n"/>
      <c r="C94" s="11" t="n"/>
      <c r="D94" s="19" t="n"/>
      <c r="E94" s="79" t="n"/>
      <c r="F94" s="11" t="n"/>
      <c r="G94" s="35" t="n"/>
      <c r="H94" s="35" t="n"/>
      <c r="I94" s="35" t="n"/>
      <c r="J94" s="41" t="n"/>
      <c r="K94" s="42" t="n"/>
      <c r="M94" s="60" t="n">
        <v>0.642857142857143</v>
      </c>
      <c r="N94" s="42">
        <f>M94*7</f>
        <v/>
      </c>
    </row>
    <row r="95" ht="15" customHeight="1" s="73">
      <c r="B95" s="19" t="n">
        <v>4</v>
      </c>
      <c r="C95" s="11" t="inlineStr">
        <is>
          <t>TEAM</t>
        </is>
      </c>
      <c r="D95" s="19" t="n">
        <v>1</v>
      </c>
      <c r="E95" s="79" t="inlineStr">
        <is>
          <t>MetLife Product Owner — K2</t>
        </is>
      </c>
      <c r="F95" s="11" t="inlineStr">
        <is>
          <t>PM</t>
        </is>
      </c>
      <c r="G95" s="35" t="inlineStr">
        <is>
          <t>E4</t>
        </is>
      </c>
      <c r="H95" s="35" t="inlineStr">
        <is>
          <t>ON</t>
        </is>
      </c>
      <c r="I95" s="35" t="inlineStr">
        <is>
          <t>FTE</t>
        </is>
      </c>
      <c r="J95" s="41" t="n">
        <v>1</v>
      </c>
      <c r="K95" s="42">
        <f>J95*3</f>
        <v/>
      </c>
      <c r="M95" s="60" t="n">
        <v>0.714285714285714</v>
      </c>
      <c r="N95" s="42">
        <f>M95*7</f>
        <v/>
      </c>
    </row>
    <row r="96" ht="15" customHeight="1" s="73">
      <c r="B96" s="19" t="n">
        <v>4</v>
      </c>
      <c r="C96" s="11" t="inlineStr">
        <is>
          <t>TEAM</t>
        </is>
      </c>
      <c r="D96" s="19" t="n">
        <v>2</v>
      </c>
      <c r="E96" s="79" t="inlineStr">
        <is>
          <t>MetLife Servicing SME — K2</t>
        </is>
      </c>
      <c r="F96" s="11" t="inlineStr">
        <is>
          <t>BSA</t>
        </is>
      </c>
      <c r="G96" s="35" t="inlineStr">
        <is>
          <t>E4</t>
        </is>
      </c>
      <c r="H96" s="35" t="inlineStr">
        <is>
          <t>ON</t>
        </is>
      </c>
      <c r="I96" s="35" t="inlineStr">
        <is>
          <t>FTE</t>
        </is>
      </c>
      <c r="J96" s="41" t="n">
        <v>1</v>
      </c>
      <c r="K96" s="42">
        <f>J96*3</f>
        <v/>
      </c>
      <c r="M96" s="60" t="n">
        <v>0.357142857142857</v>
      </c>
      <c r="N96" s="42">
        <f>M96*7</f>
        <v/>
      </c>
    </row>
    <row r="97" ht="15" customHeight="1" s="73">
      <c r="B97" s="19" t="n">
        <v>4</v>
      </c>
      <c r="C97" s="11" t="inlineStr">
        <is>
          <t>TEAM</t>
        </is>
      </c>
      <c r="D97" s="19" t="n">
        <v>3</v>
      </c>
      <c r="E97" s="79" t="inlineStr">
        <is>
          <t>FSI K2 Developer (JP) — EAI 12117</t>
        </is>
      </c>
      <c r="F97" s="11" t="inlineStr">
        <is>
          <t>DEV</t>
        </is>
      </c>
      <c r="G97" s="35" t="inlineStr">
        <is>
          <t>E3</t>
        </is>
      </c>
      <c r="H97" s="35" t="inlineStr">
        <is>
          <t>ON</t>
        </is>
      </c>
      <c r="I97" s="35" t="inlineStr">
        <is>
          <t>PT</t>
        </is>
      </c>
      <c r="J97" s="41" t="n">
        <v>0.5</v>
      </c>
      <c r="K97" s="42">
        <f>J97*3</f>
        <v/>
      </c>
      <c r="M97" s="60" t="n">
        <v>0.428571428571429</v>
      </c>
      <c r="N97" s="42">
        <f>M97*7</f>
        <v/>
      </c>
    </row>
    <row r="98" ht="15" customHeight="1" s="73">
      <c r="B98" s="19" t="n">
        <v>4</v>
      </c>
      <c r="C98" s="11" t="inlineStr">
        <is>
          <t>TEAM</t>
        </is>
      </c>
      <c r="D98" s="19" t="n">
        <v>4</v>
      </c>
      <c r="E98" s="79" t="inlineStr">
        <is>
          <t>Business Analyst (bilingual) — K2</t>
        </is>
      </c>
      <c r="F98" s="11" t="inlineStr">
        <is>
          <t>BSA</t>
        </is>
      </c>
      <c r="G98" s="35" t="inlineStr">
        <is>
          <t>E3</t>
        </is>
      </c>
      <c r="H98" s="35" t="inlineStr">
        <is>
          <t>ON</t>
        </is>
      </c>
      <c r="I98" s="35" t="inlineStr">
        <is>
          <t>FTC</t>
        </is>
      </c>
      <c r="J98" s="41" t="n">
        <v>1</v>
      </c>
      <c r="K98" s="42">
        <f>J98*3</f>
        <v/>
      </c>
      <c r="M98" s="60" t="n">
        <v>0</v>
      </c>
      <c r="N98" s="42">
        <f>M98*7</f>
        <v/>
      </c>
    </row>
    <row r="99" ht="15" customHeight="1" s="73">
      <c r="B99" s="19" t="n">
        <v>4</v>
      </c>
      <c r="C99" s="11" t="inlineStr">
        <is>
          <t>TEAM</t>
        </is>
      </c>
      <c r="D99" s="19" t="n">
        <v>5</v>
      </c>
      <c r="E99" s="79" t="inlineStr">
        <is>
          <t>Team lead / senior engineer — K2</t>
        </is>
      </c>
      <c r="F99" s="11" t="inlineStr">
        <is>
          <t>DEV</t>
        </is>
      </c>
      <c r="G99" s="35" t="inlineStr">
        <is>
          <t>E4</t>
        </is>
      </c>
      <c r="H99" s="35" t="inlineStr">
        <is>
          <t>ON</t>
        </is>
      </c>
      <c r="I99" s="35" t="inlineStr">
        <is>
          <t>FTC</t>
        </is>
      </c>
      <c r="J99" s="41" t="n">
        <v>1</v>
      </c>
      <c r="K99" s="42">
        <f>J99*3</f>
        <v/>
      </c>
      <c r="M99" s="60" t="n">
        <v>0.214285714285714</v>
      </c>
      <c r="N99" s="42">
        <f>M99*7</f>
        <v/>
      </c>
    </row>
    <row r="100" ht="15" customHeight="1" s="73">
      <c r="B100" s="19" t="n">
        <v>4</v>
      </c>
      <c r="C100" s="11" t="inlineStr">
        <is>
          <t>TEAM</t>
        </is>
      </c>
      <c r="D100" s="19" t="n">
        <v>6</v>
      </c>
      <c r="E100" s="79" t="inlineStr">
        <is>
          <t>Solution Architect — K2</t>
        </is>
      </c>
      <c r="F100" s="11" t="inlineStr">
        <is>
          <t>OTH</t>
        </is>
      </c>
      <c r="G100" s="35" t="inlineStr">
        <is>
          <t>E4</t>
        </is>
      </c>
      <c r="H100" s="35" t="inlineStr">
        <is>
          <t>ON</t>
        </is>
      </c>
      <c r="I100" s="35" t="inlineStr">
        <is>
          <t>FTC</t>
        </is>
      </c>
      <c r="J100" s="41" t="n">
        <v>0.5</v>
      </c>
      <c r="K100" s="42">
        <f>J100*3</f>
        <v/>
      </c>
      <c r="M100" s="60" t="n">
        <v>1</v>
      </c>
      <c r="N100" s="42">
        <f>M100*7</f>
        <v/>
      </c>
    </row>
    <row r="101" ht="15" customHeight="1" s="73">
      <c r="B101" s="19" t="n">
        <v>4</v>
      </c>
      <c r="C101" s="11" t="inlineStr">
        <is>
          <t>TEAM</t>
        </is>
      </c>
      <c r="D101" s="19" t="n">
        <v>7</v>
      </c>
      <c r="E101" s="79" t="inlineStr">
        <is>
          <t>Senior Workflow Developer — offshore</t>
        </is>
      </c>
      <c r="F101" s="11" t="inlineStr">
        <is>
          <t>DEV</t>
        </is>
      </c>
      <c r="G101" s="35" t="inlineStr">
        <is>
          <t>E3</t>
        </is>
      </c>
      <c r="H101" s="35" t="inlineStr">
        <is>
          <t>OFF</t>
        </is>
      </c>
      <c r="I101" s="35" t="inlineStr">
        <is>
          <t>FTC</t>
        </is>
      </c>
      <c r="J101" s="41" t="n">
        <v>1</v>
      </c>
      <c r="K101" s="42">
        <f>J101*3</f>
        <v/>
      </c>
      <c r="M101" s="60" t="n">
        <v>0.785714285714286</v>
      </c>
      <c r="N101" s="42">
        <f>M101*7</f>
        <v/>
      </c>
    </row>
    <row r="102" ht="15" customHeight="1" s="73">
      <c r="B102" s="19" t="n">
        <v>4</v>
      </c>
      <c r="C102" s="11" t="inlineStr">
        <is>
          <t>TEAM</t>
        </is>
      </c>
      <c r="D102" s="19" t="n">
        <v>8</v>
      </c>
      <c r="E102" s="79" t="inlineStr">
        <is>
          <t>Junior Workflow Developer — offshore</t>
        </is>
      </c>
      <c r="F102" s="11" t="inlineStr">
        <is>
          <t>DEV</t>
        </is>
      </c>
      <c r="G102" s="35" t="inlineStr">
        <is>
          <t>E2</t>
        </is>
      </c>
      <c r="H102" s="35" t="inlineStr">
        <is>
          <t>OFF</t>
        </is>
      </c>
      <c r="I102" s="35" t="inlineStr">
        <is>
          <t>FTC</t>
        </is>
      </c>
      <c r="J102" s="41" t="n">
        <v>1.5</v>
      </c>
      <c r="K102" s="42">
        <f>J102*3</f>
        <v/>
      </c>
      <c r="M102" s="60" t="n">
        <v>0.214285714285714</v>
      </c>
      <c r="N102" s="42">
        <f>M102*7</f>
        <v/>
      </c>
    </row>
    <row r="103" ht="15" customHeight="1" s="73">
      <c r="B103" s="19" t="n">
        <v>4</v>
      </c>
      <c r="C103" s="11" t="inlineStr">
        <is>
          <t>TEAM</t>
        </is>
      </c>
      <c r="D103" s="19" t="n">
        <v>9</v>
      </c>
      <c r="E103" s="79" t="inlineStr">
        <is>
          <t>Junior Quality Engineer — offshore</t>
        </is>
      </c>
      <c r="F103" s="11" t="inlineStr">
        <is>
          <t>TEST</t>
        </is>
      </c>
      <c r="G103" s="35" t="inlineStr">
        <is>
          <t>E1</t>
        </is>
      </c>
      <c r="H103" s="35" t="inlineStr">
        <is>
          <t>OFF</t>
        </is>
      </c>
      <c r="I103" s="35" t="inlineStr">
        <is>
          <t>FTC</t>
        </is>
      </c>
      <c r="J103" s="41" t="n">
        <v>1</v>
      </c>
      <c r="K103" s="42">
        <f>J103*3</f>
        <v/>
      </c>
      <c r="M103" s="60" t="n">
        <v>0.142857142857143</v>
      </c>
      <c r="N103" s="42">
        <f>M103*7</f>
        <v/>
      </c>
    </row>
    <row r="104" ht="15" customHeight="1" s="73">
      <c r="B104" s="19" t="n">
        <v>4</v>
      </c>
      <c r="C104" s="11" t="inlineStr">
        <is>
          <t>TEAM</t>
        </is>
      </c>
      <c r="D104" s="19" t="n">
        <v>10</v>
      </c>
      <c r="E104" s="79" t="inlineStr">
        <is>
          <t>Application Support — offshore</t>
        </is>
      </c>
      <c r="F104" s="11" t="inlineStr">
        <is>
          <t>MNT</t>
        </is>
      </c>
      <c r="G104" s="35" t="inlineStr">
        <is>
          <t>E2</t>
        </is>
      </c>
      <c r="H104" s="35" t="inlineStr">
        <is>
          <t>OFF</t>
        </is>
      </c>
      <c r="I104" s="35" t="inlineStr">
        <is>
          <t>FTC</t>
        </is>
      </c>
      <c r="J104" s="41" t="n">
        <v>0.5</v>
      </c>
      <c r="K104" s="42">
        <f>J104*3</f>
        <v/>
      </c>
      <c r="M104" s="60" t="n">
        <v>0.428571428571429</v>
      </c>
      <c r="N104" s="42">
        <f>M104*7</f>
        <v/>
      </c>
    </row>
    <row r="105" ht="34.5" customHeight="1" s="73">
      <c r="B105" s="19" t="n">
        <v>4</v>
      </c>
      <c r="C105" s="11" t="inlineStr">
        <is>
          <t>TEAM</t>
        </is>
      </c>
      <c r="D105" s="19" t="n">
        <v>11</v>
      </c>
      <c r="E105" s="79" t="inlineStr">
        <is>
          <t>MGCC K2 Engineer</t>
        </is>
      </c>
      <c r="F105" s="11" t="inlineStr">
        <is>
          <t>DEV</t>
        </is>
      </c>
      <c r="G105" s="35" t="inlineStr">
        <is>
          <t>E3</t>
        </is>
      </c>
      <c r="H105" s="35" t="inlineStr">
        <is>
          <t>OFF</t>
        </is>
      </c>
      <c r="I105" s="35" t="inlineStr">
        <is>
          <t>MGCC</t>
        </is>
      </c>
      <c r="J105" s="41" t="n">
        <v>2</v>
      </c>
      <c r="K105" s="42">
        <f>J105*3</f>
        <v/>
      </c>
      <c r="M105" s="61">
        <f>SUM(M94:M104)</f>
        <v/>
      </c>
      <c r="N105" s="61">
        <f>SUM(N94:N104)</f>
        <v/>
      </c>
    </row>
    <row r="106" ht="34.5" customHeight="1" s="73">
      <c r="B106" s="19" t="n">
        <v>4</v>
      </c>
      <c r="C106" s="11" t="inlineStr">
        <is>
          <t>TEAM</t>
        </is>
      </c>
      <c r="D106" s="19" t="n">
        <v>12</v>
      </c>
      <c r="E106" s="79" t="inlineStr">
        <is>
          <t>MGCC Test Engineer</t>
        </is>
      </c>
      <c r="F106" s="11" t="inlineStr">
        <is>
          <t>TEST</t>
        </is>
      </c>
      <c r="G106" s="35" t="inlineStr">
        <is>
          <t>E2</t>
        </is>
      </c>
      <c r="H106" s="35" t="inlineStr">
        <is>
          <t>OFF</t>
        </is>
      </c>
      <c r="I106" s="35" t="inlineStr">
        <is>
          <t>MGCC</t>
        </is>
      </c>
      <c r="J106" s="41" t="n">
        <v>1</v>
      </c>
      <c r="K106" s="42">
        <f>J106*3</f>
        <v/>
      </c>
    </row>
    <row r="107" ht="22" customHeight="1" s="73">
      <c r="B107" s="19" t="n"/>
      <c r="C107" s="11" t="n"/>
      <c r="D107" s="19" t="inlineStr">
        <is>
          <t>TEAM size — Year 4 · POSW</t>
        </is>
      </c>
      <c r="E107" s="79" t="n"/>
      <c r="F107" s="11" t="n"/>
      <c r="G107" s="35" t="n"/>
      <c r="H107" s="35" t="n"/>
      <c r="I107" s="35" t="n"/>
      <c r="J107" s="41">
        <f>SUM(J95:J106)</f>
        <v/>
      </c>
      <c r="K107" s="42">
        <f>SUM(K95:K106)</f>
        <v/>
      </c>
    </row>
    <row r="108" ht="15" customHeight="1" s="73">
      <c r="B108" s="19" t="n"/>
      <c r="C108" s="11" t="n"/>
      <c r="D108" s="19" t="n"/>
      <c r="E108" s="79" t="n"/>
      <c r="F108" s="11" t="n"/>
      <c r="G108" s="35" t="n"/>
      <c r="H108" s="35" t="n"/>
      <c r="I108" s="35" t="n"/>
      <c r="J108" s="41" t="n"/>
      <c r="K108" s="42" t="n"/>
      <c r="M108" s="60" t="n">
        <v>0.833333333333333</v>
      </c>
      <c r="N108" s="42">
        <f>M108*6</f>
        <v/>
      </c>
    </row>
    <row r="109" ht="15" customHeight="1" s="73">
      <c r="B109" s="19" t="n">
        <v>4</v>
      </c>
      <c r="C109" s="11" t="inlineStr">
        <is>
          <t>TEAM</t>
        </is>
      </c>
      <c r="D109" s="19" t="n">
        <v>1</v>
      </c>
      <c r="E109" s="79" t="inlineStr">
        <is>
          <t>MetLife Application Owner</t>
        </is>
      </c>
      <c r="F109" s="11" t="inlineStr">
        <is>
          <t>PM</t>
        </is>
      </c>
      <c r="G109" s="35" t="inlineStr">
        <is>
          <t>E4</t>
        </is>
      </c>
      <c r="H109" s="35" t="inlineStr">
        <is>
          <t>ON</t>
        </is>
      </c>
      <c r="I109" s="35" t="inlineStr">
        <is>
          <t>FTE</t>
        </is>
      </c>
      <c r="J109" s="41" t="n">
        <v>1.5</v>
      </c>
      <c r="K109" s="42">
        <f>J109*1</f>
        <v/>
      </c>
      <c r="M109" s="60" t="n">
        <v>0.666666666666667</v>
      </c>
      <c r="N109" s="42">
        <f>M109*6</f>
        <v/>
      </c>
    </row>
    <row r="110" ht="15" customHeight="1" s="73">
      <c r="B110" s="19" t="n">
        <v>4</v>
      </c>
      <c r="C110" s="11" t="inlineStr">
        <is>
          <t>TEAM</t>
        </is>
      </c>
      <c r="D110" s="19" t="n">
        <v>2</v>
      </c>
      <c r="E110" s="79" t="inlineStr">
        <is>
          <t>MetLife Operations Analyst</t>
        </is>
      </c>
      <c r="F110" s="11" t="inlineStr">
        <is>
          <t>MNT</t>
        </is>
      </c>
      <c r="G110" s="35" t="inlineStr">
        <is>
          <t>E3</t>
        </is>
      </c>
      <c r="H110" s="35" t="inlineStr">
        <is>
          <t>ON</t>
        </is>
      </c>
      <c r="I110" s="35" t="inlineStr">
        <is>
          <t>FTE</t>
        </is>
      </c>
      <c r="J110" s="41" t="n">
        <v>1</v>
      </c>
      <c r="K110" s="42">
        <f>J110*1</f>
        <v/>
      </c>
      <c r="M110" s="60" t="n">
        <v>0.333333333333333</v>
      </c>
      <c r="N110" s="42">
        <f>M110*6</f>
        <v/>
      </c>
    </row>
    <row r="111" ht="15" customHeight="1" s="73">
      <c r="B111" s="19" t="n">
        <v>4</v>
      </c>
      <c r="C111" s="11" t="inlineStr">
        <is>
          <t>TEAM</t>
        </is>
      </c>
      <c r="D111" s="19" t="n">
        <v>3</v>
      </c>
      <c r="E111" s="79" t="inlineStr">
        <is>
          <t>FSI Senior Developer (JP) — EAI 13453 / 9947</t>
        </is>
      </c>
      <c r="F111" s="11" t="inlineStr">
        <is>
          <t>DEV</t>
        </is>
      </c>
      <c r="G111" s="35" t="inlineStr">
        <is>
          <t>E3</t>
        </is>
      </c>
      <c r="H111" s="35" t="inlineStr">
        <is>
          <t>ON</t>
        </is>
      </c>
      <c r="I111" s="35" t="inlineStr">
        <is>
          <t>PT</t>
        </is>
      </c>
      <c r="J111" s="41" t="n">
        <v>1.5</v>
      </c>
      <c r="K111" s="42">
        <f>J111*1</f>
        <v/>
      </c>
      <c r="M111" s="60" t="n">
        <v>0.5</v>
      </c>
      <c r="N111" s="42">
        <f>M111*6</f>
        <v/>
      </c>
    </row>
    <row r="112" ht="15" customHeight="1" s="73">
      <c r="B112" s="19" t="n">
        <v>4</v>
      </c>
      <c r="C112" s="11" t="inlineStr">
        <is>
          <t>TEAM</t>
        </is>
      </c>
      <c r="D112" s="19" t="n">
        <v>4</v>
      </c>
      <c r="E112" s="79" t="inlineStr">
        <is>
          <t>FSI Business Analyst (JP) — EAI 11604</t>
        </is>
      </c>
      <c r="F112" s="11" t="inlineStr">
        <is>
          <t>BSA</t>
        </is>
      </c>
      <c r="G112" s="35" t="inlineStr">
        <is>
          <t>E3</t>
        </is>
      </c>
      <c r="H112" s="35" t="inlineStr">
        <is>
          <t>ON</t>
        </is>
      </c>
      <c r="I112" s="35" t="inlineStr">
        <is>
          <t>PT</t>
        </is>
      </c>
      <c r="J112" s="41" t="n">
        <v>1</v>
      </c>
      <c r="K112" s="42">
        <f>J112*1</f>
        <v/>
      </c>
      <c r="M112" s="60" t="n">
        <v>0</v>
      </c>
      <c r="N112" s="42">
        <f>M112*6</f>
        <v/>
      </c>
    </row>
    <row r="113" ht="15" customHeight="1" s="73">
      <c r="B113" s="19" t="n">
        <v>4</v>
      </c>
      <c r="C113" s="11" t="inlineStr">
        <is>
          <t>TEAM</t>
        </is>
      </c>
      <c r="D113" s="19" t="n">
        <v>5</v>
      </c>
      <c r="E113" s="79" t="inlineStr">
        <is>
          <t>Team lead / technical lead</t>
        </is>
      </c>
      <c r="F113" s="11" t="inlineStr">
        <is>
          <t>DEV</t>
        </is>
      </c>
      <c r="G113" s="35" t="inlineStr">
        <is>
          <t>E4</t>
        </is>
      </c>
      <c r="H113" s="35" t="inlineStr">
        <is>
          <t>ON</t>
        </is>
      </c>
      <c r="I113" s="35" t="inlineStr">
        <is>
          <t>FTC</t>
        </is>
      </c>
      <c r="J113" s="41" t="n">
        <v>1</v>
      </c>
      <c r="K113" s="42">
        <f>J113*1</f>
        <v/>
      </c>
      <c r="M113" s="60" t="n">
        <v>0.416666666666667</v>
      </c>
      <c r="N113" s="42">
        <f>M113*6</f>
        <v/>
      </c>
    </row>
    <row r="114" ht="15" customHeight="1" s="73">
      <c r="B114" s="19" t="n">
        <v>4</v>
      </c>
      <c r="C114" s="11" t="inlineStr">
        <is>
          <t>TEAM</t>
        </is>
      </c>
      <c r="D114" s="19" t="n">
        <v>6</v>
      </c>
      <c r="E114" s="79" t="inlineStr">
        <is>
          <t>Business Analyst (bilingual)</t>
        </is>
      </c>
      <c r="F114" s="11" t="inlineStr">
        <is>
          <t>BSA</t>
        </is>
      </c>
      <c r="G114" s="35" t="inlineStr">
        <is>
          <t>E3</t>
        </is>
      </c>
      <c r="H114" s="35" t="inlineStr">
        <is>
          <t>ON</t>
        </is>
      </c>
      <c r="I114" s="35" t="inlineStr">
        <is>
          <t>FTC</t>
        </is>
      </c>
      <c r="J114" s="41" t="n">
        <v>1</v>
      </c>
      <c r="K114" s="42">
        <f>J114*1</f>
        <v/>
      </c>
      <c r="M114" s="60" t="n">
        <v>1.08333333333333</v>
      </c>
      <c r="N114" s="42">
        <f>M114*6</f>
        <v/>
      </c>
    </row>
    <row r="115" ht="15" customHeight="1" s="73">
      <c r="B115" s="19" t="n">
        <v>4</v>
      </c>
      <c r="C115" s="11" t="inlineStr">
        <is>
          <t>TEAM</t>
        </is>
      </c>
      <c r="D115" s="19" t="n">
        <v>7</v>
      </c>
      <c r="E115" s="79" t="inlineStr">
        <is>
          <t>Application Support (L2) — Tokyo</t>
        </is>
      </c>
      <c r="F115" s="11" t="inlineStr">
        <is>
          <t>MNT</t>
        </is>
      </c>
      <c r="G115" s="35" t="inlineStr">
        <is>
          <t>E2</t>
        </is>
      </c>
      <c r="H115" s="35" t="inlineStr">
        <is>
          <t>ON</t>
        </is>
      </c>
      <c r="I115" s="35" t="inlineStr">
        <is>
          <t>FTC</t>
        </is>
      </c>
      <c r="J115" s="41" t="n">
        <v>0.5</v>
      </c>
      <c r="K115" s="42">
        <f>J115*1</f>
        <v/>
      </c>
      <c r="M115" s="60" t="n">
        <v>0.833333333333333</v>
      </c>
      <c r="N115" s="42">
        <f>M115*6</f>
        <v/>
      </c>
    </row>
    <row r="116" ht="15" customHeight="1" s="73">
      <c r="B116" s="19" t="n">
        <v>4</v>
      </c>
      <c r="C116" s="11" t="inlineStr">
        <is>
          <t>TEAM</t>
        </is>
      </c>
      <c r="D116" s="19" t="n">
        <v>8</v>
      </c>
      <c r="E116" s="79" t="inlineStr">
        <is>
          <t>Junior Application Developer — offshore</t>
        </is>
      </c>
      <c r="F116" s="11" t="inlineStr">
        <is>
          <t>DEV</t>
        </is>
      </c>
      <c r="G116" s="35" t="inlineStr">
        <is>
          <t>E2</t>
        </is>
      </c>
      <c r="H116" s="35" t="inlineStr">
        <is>
          <t>OFF</t>
        </is>
      </c>
      <c r="I116" s="35" t="inlineStr">
        <is>
          <t>FTC</t>
        </is>
      </c>
      <c r="J116" s="41" t="n">
        <v>1.5</v>
      </c>
      <c r="K116" s="42">
        <f>J116*1</f>
        <v/>
      </c>
      <c r="M116" s="60" t="n">
        <v>0.666666666666667</v>
      </c>
      <c r="N116" s="42">
        <f>M116*6</f>
        <v/>
      </c>
    </row>
    <row r="117" ht="15" customHeight="1" s="73">
      <c r="B117" s="19" t="n">
        <v>4</v>
      </c>
      <c r="C117" s="11" t="inlineStr">
        <is>
          <t>TEAM</t>
        </is>
      </c>
      <c r="D117" s="19" t="n">
        <v>9</v>
      </c>
      <c r="E117" s="79" t="inlineStr">
        <is>
          <t>Junior Test Engineer — offshore</t>
        </is>
      </c>
      <c r="F117" s="11" t="inlineStr">
        <is>
          <t>TEST</t>
        </is>
      </c>
      <c r="G117" s="35" t="inlineStr">
        <is>
          <t>E1</t>
        </is>
      </c>
      <c r="H117" s="35" t="inlineStr">
        <is>
          <t>OFF</t>
        </is>
      </c>
      <c r="I117" s="35" t="inlineStr">
        <is>
          <t>FTC</t>
        </is>
      </c>
      <c r="J117" s="41" t="n">
        <v>0.5</v>
      </c>
      <c r="K117" s="42">
        <f>J117*1</f>
        <v/>
      </c>
      <c r="M117" s="60" t="n">
        <v>0</v>
      </c>
      <c r="N117" s="42">
        <f>M117*6</f>
        <v/>
      </c>
    </row>
    <row r="118" ht="15" customHeight="1" s="73">
      <c r="B118" s="19" t="n">
        <v>4</v>
      </c>
      <c r="C118" s="11" t="inlineStr">
        <is>
          <t>TEAM</t>
        </is>
      </c>
      <c r="D118" s="19" t="n">
        <v>10</v>
      </c>
      <c r="E118" s="79" t="inlineStr">
        <is>
          <t>Application Support (L2) — offshore</t>
        </is>
      </c>
      <c r="F118" s="11" t="inlineStr">
        <is>
          <t>MNT</t>
        </is>
      </c>
      <c r="G118" s="35" t="inlineStr">
        <is>
          <t>E2</t>
        </is>
      </c>
      <c r="H118" s="35" t="inlineStr">
        <is>
          <t>OFF</t>
        </is>
      </c>
      <c r="I118" s="35" t="inlineStr">
        <is>
          <t>FTC</t>
        </is>
      </c>
      <c r="J118" s="41" t="n">
        <v>0.5</v>
      </c>
      <c r="K118" s="42">
        <f>J118*1</f>
        <v/>
      </c>
      <c r="M118" s="60" t="n">
        <v>0</v>
      </c>
      <c r="N118" s="42">
        <f>M118*6</f>
        <v/>
      </c>
    </row>
    <row r="119" ht="34.5" customHeight="1" s="73">
      <c r="B119" s="19" t="n">
        <v>4</v>
      </c>
      <c r="C119" s="11" t="inlineStr">
        <is>
          <t>TEAM</t>
        </is>
      </c>
      <c r="D119" s="19" t="n">
        <v>11</v>
      </c>
      <c r="E119" s="79" t="inlineStr">
        <is>
          <t>MGCC Batch &amp; Support Engineer</t>
        </is>
      </c>
      <c r="F119" s="11" t="inlineStr">
        <is>
          <t>MNT</t>
        </is>
      </c>
      <c r="G119" s="35" t="inlineStr">
        <is>
          <t>E2</t>
        </is>
      </c>
      <c r="H119" s="35" t="inlineStr">
        <is>
          <t>OFF</t>
        </is>
      </c>
      <c r="I119" s="35" t="inlineStr">
        <is>
          <t>MGCC</t>
        </is>
      </c>
      <c r="J119" s="41" t="n">
        <v>2</v>
      </c>
      <c r="K119" s="42">
        <f>J119*1</f>
        <v/>
      </c>
      <c r="M119" s="61">
        <f>SUM(M108:M118)</f>
        <v/>
      </c>
    </row>
    <row r="120" ht="48" customHeight="1" s="73">
      <c r="D120" s="19" t="inlineStr">
        <is>
          <t>TEAM size — Year 4 · POSR</t>
        </is>
      </c>
      <c r="J120" s="41">
        <f>SUM(J109:J119)</f>
        <v/>
      </c>
      <c r="K120" s="42">
        <f>SUM(K109:K119)</f>
        <v/>
      </c>
    </row>
    <row r="121" ht="409.6" customHeight="1" s="73">
      <c r="B121" s="78" t="n"/>
    </row>
    <row r="122">
      <c r="B122" s="19" t="n">
        <v>5</v>
      </c>
      <c r="C122" s="11" t="inlineStr">
        <is>
          <t>TEAM</t>
        </is>
      </c>
      <c r="D122" s="19" t="n">
        <v>1</v>
      </c>
      <c r="E122" s="79" t="inlineStr">
        <is>
          <t>MetLife Product Owner — K2</t>
        </is>
      </c>
      <c r="F122" s="11" t="inlineStr">
        <is>
          <t>PM</t>
        </is>
      </c>
      <c r="G122" s="35" t="inlineStr">
        <is>
          <t>E4</t>
        </is>
      </c>
      <c r="H122" s="35" t="inlineStr">
        <is>
          <t>ON</t>
        </is>
      </c>
      <c r="I122" s="35" t="inlineStr">
        <is>
          <t>FTE</t>
        </is>
      </c>
      <c r="J122" s="41" t="n">
        <v>1</v>
      </c>
      <c r="K122" s="42">
        <f>J122*3</f>
        <v/>
      </c>
    </row>
    <row r="123" ht="39.75" customHeight="1" s="73">
      <c r="B123" s="19" t="n">
        <v>5</v>
      </c>
      <c r="C123" s="11" t="inlineStr">
        <is>
          <t>TEAM</t>
        </is>
      </c>
      <c r="D123" s="19" t="n">
        <v>2</v>
      </c>
      <c r="E123" s="79" t="inlineStr">
        <is>
          <t>MetLife Servicing SME — K2</t>
        </is>
      </c>
      <c r="F123" s="11" t="inlineStr">
        <is>
          <t>BSA</t>
        </is>
      </c>
      <c r="G123" s="35" t="inlineStr">
        <is>
          <t>E4</t>
        </is>
      </c>
      <c r="H123" s="35" t="inlineStr">
        <is>
          <t>ON</t>
        </is>
      </c>
      <c r="I123" s="35" t="inlineStr">
        <is>
          <t>FTE</t>
        </is>
      </c>
      <c r="J123" s="41" t="n">
        <v>0.5</v>
      </c>
      <c r="K123" s="42">
        <f>J123*3</f>
        <v/>
      </c>
    </row>
    <row r="124">
      <c r="B124" s="19" t="n">
        <v>5</v>
      </c>
      <c r="C124" s="11" t="inlineStr">
        <is>
          <t>TEAM</t>
        </is>
      </c>
      <c r="D124" s="19" t="n">
        <v>3</v>
      </c>
      <c r="E124" s="79" t="inlineStr">
        <is>
          <t>FSI K2 Developer (JP) — EAI 12117</t>
        </is>
      </c>
      <c r="F124" s="11" t="inlineStr">
        <is>
          <t>DEV</t>
        </is>
      </c>
      <c r="G124" s="35" t="inlineStr">
        <is>
          <t>E3</t>
        </is>
      </c>
      <c r="H124" s="35" t="inlineStr">
        <is>
          <t>ON</t>
        </is>
      </c>
      <c r="I124" s="35" t="inlineStr">
        <is>
          <t>PT</t>
        </is>
      </c>
      <c r="J124" s="41" t="n">
        <v>0.5</v>
      </c>
      <c r="K124" s="42">
        <f>J124*3</f>
        <v/>
      </c>
    </row>
    <row r="125">
      <c r="B125" s="19" t="n">
        <v>5</v>
      </c>
      <c r="C125" s="11" t="inlineStr">
        <is>
          <t>TEAM</t>
        </is>
      </c>
      <c r="D125" s="19" t="n">
        <v>4</v>
      </c>
      <c r="E125" s="79" t="inlineStr">
        <is>
          <t>Business Analyst (bilingual) — K2</t>
        </is>
      </c>
      <c r="F125" s="11" t="inlineStr">
        <is>
          <t>BSA</t>
        </is>
      </c>
      <c r="G125" s="35" t="inlineStr">
        <is>
          <t>E3</t>
        </is>
      </c>
      <c r="H125" s="35" t="inlineStr">
        <is>
          <t>ON</t>
        </is>
      </c>
      <c r="I125" s="35" t="inlineStr">
        <is>
          <t>FTC</t>
        </is>
      </c>
      <c r="J125" s="41" t="n">
        <v>0.5</v>
      </c>
      <c r="K125" s="42">
        <f>J125*3</f>
        <v/>
      </c>
    </row>
    <row r="126">
      <c r="B126" s="19" t="n">
        <v>5</v>
      </c>
      <c r="C126" s="11" t="inlineStr">
        <is>
          <t>TEAM</t>
        </is>
      </c>
      <c r="D126" s="19" t="n">
        <v>5</v>
      </c>
      <c r="E126" s="79" t="inlineStr">
        <is>
          <t>Team lead / senior engineer — K2</t>
        </is>
      </c>
      <c r="F126" s="11" t="inlineStr">
        <is>
          <t>DEV</t>
        </is>
      </c>
      <c r="G126" s="35" t="inlineStr">
        <is>
          <t>E4</t>
        </is>
      </c>
      <c r="H126" s="35" t="inlineStr">
        <is>
          <t>ON</t>
        </is>
      </c>
      <c r="I126" s="35" t="inlineStr">
        <is>
          <t>FTC</t>
        </is>
      </c>
      <c r="J126" s="41" t="n">
        <v>1</v>
      </c>
      <c r="K126" s="42">
        <f>J126*3</f>
        <v/>
      </c>
    </row>
    <row r="127">
      <c r="B127" s="19" t="n">
        <v>5</v>
      </c>
      <c r="C127" s="11" t="inlineStr">
        <is>
          <t>TEAM</t>
        </is>
      </c>
      <c r="D127" s="19" t="n">
        <v>6</v>
      </c>
      <c r="E127" s="79" t="inlineStr">
        <is>
          <t>Solution Architect — K2</t>
        </is>
      </c>
      <c r="F127" s="11" t="inlineStr">
        <is>
          <t>OTH</t>
        </is>
      </c>
      <c r="G127" s="35" t="inlineStr">
        <is>
          <t>E4</t>
        </is>
      </c>
      <c r="H127" s="35" t="inlineStr">
        <is>
          <t>OFF</t>
        </is>
      </c>
      <c r="I127" s="35" t="inlineStr">
        <is>
          <t>FTC</t>
        </is>
      </c>
      <c r="J127" s="41" t="n">
        <v>0.5</v>
      </c>
      <c r="K127" s="42">
        <f>J127*3</f>
        <v/>
      </c>
    </row>
    <row r="128">
      <c r="B128" s="19" t="n">
        <v>5</v>
      </c>
      <c r="C128" s="11" t="inlineStr">
        <is>
          <t>TEAM</t>
        </is>
      </c>
      <c r="D128" s="19" t="n">
        <v>7</v>
      </c>
      <c r="E128" s="79" t="inlineStr">
        <is>
          <t>Senior Workflow Developer — offshore</t>
        </is>
      </c>
      <c r="F128" s="11" t="inlineStr">
        <is>
          <t>DEV</t>
        </is>
      </c>
      <c r="G128" s="35" t="inlineStr">
        <is>
          <t>E3</t>
        </is>
      </c>
      <c r="H128" s="35" t="inlineStr">
        <is>
          <t>OFF</t>
        </is>
      </c>
      <c r="I128" s="35" t="inlineStr">
        <is>
          <t>FTC</t>
        </is>
      </c>
      <c r="J128" s="41" t="n">
        <v>1</v>
      </c>
      <c r="K128" s="42">
        <f>J128*3</f>
        <v/>
      </c>
    </row>
    <row r="129">
      <c r="B129" s="19" t="n">
        <v>5</v>
      </c>
      <c r="C129" s="11" t="inlineStr">
        <is>
          <t>TEAM</t>
        </is>
      </c>
      <c r="D129" s="19" t="n">
        <v>8</v>
      </c>
      <c r="E129" s="79" t="inlineStr">
        <is>
          <t>Junior Workflow Developer — offshore</t>
        </is>
      </c>
      <c r="F129" s="11" t="inlineStr">
        <is>
          <t>DEV</t>
        </is>
      </c>
      <c r="G129" s="35" t="inlineStr">
        <is>
          <t>E2</t>
        </is>
      </c>
      <c r="H129" s="35" t="inlineStr">
        <is>
          <t>OFF</t>
        </is>
      </c>
      <c r="I129" s="35" t="inlineStr">
        <is>
          <t>FTC</t>
        </is>
      </c>
      <c r="J129" s="41" t="n">
        <v>1.5</v>
      </c>
      <c r="K129" s="42">
        <f>J129*3</f>
        <v/>
      </c>
    </row>
    <row r="130">
      <c r="B130" s="19" t="n">
        <v>5</v>
      </c>
      <c r="C130" s="11" t="inlineStr">
        <is>
          <t>TEAM</t>
        </is>
      </c>
      <c r="D130" s="19" t="n">
        <v>9</v>
      </c>
      <c r="E130" s="79" t="inlineStr">
        <is>
          <t>Junior Quality Engineer — offshore</t>
        </is>
      </c>
      <c r="F130" s="11" t="inlineStr">
        <is>
          <t>TEST</t>
        </is>
      </c>
      <c r="G130" s="35" t="inlineStr">
        <is>
          <t>E1</t>
        </is>
      </c>
      <c r="H130" s="35" t="inlineStr">
        <is>
          <t>OFF</t>
        </is>
      </c>
      <c r="I130" s="35" t="inlineStr">
        <is>
          <t>FTC</t>
        </is>
      </c>
      <c r="J130" s="41" t="n">
        <v>1</v>
      </c>
      <c r="K130" s="42">
        <f>J130*3</f>
        <v/>
      </c>
    </row>
    <row r="131">
      <c r="B131" s="19" t="n">
        <v>5</v>
      </c>
      <c r="C131" s="11" t="inlineStr">
        <is>
          <t>TEAM</t>
        </is>
      </c>
      <c r="D131" s="19" t="n">
        <v>10</v>
      </c>
      <c r="E131" s="79" t="inlineStr">
        <is>
          <t>Application Support — offshore</t>
        </is>
      </c>
      <c r="F131" s="11" t="inlineStr">
        <is>
          <t>MNT</t>
        </is>
      </c>
      <c r="G131" s="35" t="inlineStr">
        <is>
          <t>E2</t>
        </is>
      </c>
      <c r="H131" s="35" t="inlineStr">
        <is>
          <t>OFF</t>
        </is>
      </c>
      <c r="I131" s="35" t="inlineStr">
        <is>
          <t>FTC</t>
        </is>
      </c>
      <c r="J131" s="41" t="n">
        <v>1</v>
      </c>
      <c r="K131" s="42">
        <f>J131*3</f>
        <v/>
      </c>
    </row>
    <row r="132">
      <c r="B132" s="19" t="n">
        <v>5</v>
      </c>
      <c r="C132" s="11" t="inlineStr">
        <is>
          <t>TEAM</t>
        </is>
      </c>
      <c r="D132" s="19" t="n">
        <v>11</v>
      </c>
      <c r="E132" s="79" t="inlineStr">
        <is>
          <t>MGCC K2 Engineer</t>
        </is>
      </c>
      <c r="F132" s="11" t="inlineStr">
        <is>
          <t>DEV</t>
        </is>
      </c>
      <c r="G132" s="35" t="inlineStr">
        <is>
          <t>E3</t>
        </is>
      </c>
      <c r="H132" s="35" t="inlineStr">
        <is>
          <t>OFF</t>
        </is>
      </c>
      <c r="I132" s="35" t="inlineStr">
        <is>
          <t>MGCC</t>
        </is>
      </c>
      <c r="J132" s="41" t="n">
        <v>2.5</v>
      </c>
      <c r="K132" s="42">
        <f>J132*3</f>
        <v/>
      </c>
    </row>
    <row r="133">
      <c r="B133" s="19" t="n">
        <v>5</v>
      </c>
      <c r="C133" s="11" t="inlineStr">
        <is>
          <t>TEAM</t>
        </is>
      </c>
      <c r="D133" s="19" t="n">
        <v>12</v>
      </c>
      <c r="E133" s="79" t="inlineStr">
        <is>
          <t>MGCC Test Engineer</t>
        </is>
      </c>
      <c r="F133" s="11" t="inlineStr">
        <is>
          <t>TEST</t>
        </is>
      </c>
      <c r="G133" s="35" t="inlineStr">
        <is>
          <t>E2</t>
        </is>
      </c>
      <c r="H133" s="35" t="inlineStr">
        <is>
          <t>OFF</t>
        </is>
      </c>
      <c r="I133" s="35" t="inlineStr">
        <is>
          <t>MGCC</t>
        </is>
      </c>
      <c r="J133" s="41" t="n">
        <v>1</v>
      </c>
      <c r="K133" s="42">
        <f>J133*3</f>
        <v/>
      </c>
    </row>
    <row r="134" ht="48" customHeight="1" s="73">
      <c r="D134" s="19" t="inlineStr">
        <is>
          <t>TEAM size — Year 5 · POSW</t>
        </is>
      </c>
      <c r="J134" s="41">
        <f>SUM(J122:J133)</f>
        <v/>
      </c>
      <c r="K134" s="42">
        <f>SUM(K122:K133)</f>
        <v/>
      </c>
    </row>
    <row r="136">
      <c r="B136" s="19" t="n">
        <v>5</v>
      </c>
      <c r="C136" s="11" t="inlineStr">
        <is>
          <t>TEAM</t>
        </is>
      </c>
      <c r="D136" s="19" t="n">
        <v>1</v>
      </c>
      <c r="E136" s="79" t="inlineStr">
        <is>
          <t>MetLife Application Owner</t>
        </is>
      </c>
      <c r="F136" s="11" t="inlineStr">
        <is>
          <t>PM</t>
        </is>
      </c>
      <c r="G136" s="35" t="inlineStr">
        <is>
          <t>E4</t>
        </is>
      </c>
      <c r="H136" s="35" t="inlineStr">
        <is>
          <t>ON</t>
        </is>
      </c>
      <c r="I136" s="35" t="inlineStr">
        <is>
          <t>FTE</t>
        </is>
      </c>
      <c r="J136" s="41" t="n">
        <v>1.5</v>
      </c>
      <c r="K136" s="42">
        <f>J136*1</f>
        <v/>
      </c>
    </row>
    <row r="137">
      <c r="B137" s="19" t="n">
        <v>5</v>
      </c>
      <c r="C137" s="11" t="inlineStr">
        <is>
          <t>TEAM</t>
        </is>
      </c>
      <c r="D137" s="19" t="n">
        <v>2</v>
      </c>
      <c r="E137" s="79" t="inlineStr">
        <is>
          <t>MetLife Operations Analyst</t>
        </is>
      </c>
      <c r="F137" s="11" t="inlineStr">
        <is>
          <t>MNT</t>
        </is>
      </c>
      <c r="G137" s="35" t="inlineStr">
        <is>
          <t>E3</t>
        </is>
      </c>
      <c r="H137" s="35" t="inlineStr">
        <is>
          <t>ON</t>
        </is>
      </c>
      <c r="I137" s="35" t="inlineStr">
        <is>
          <t>FTE</t>
        </is>
      </c>
      <c r="J137" s="41" t="n">
        <v>2</v>
      </c>
      <c r="K137" s="42">
        <f>J137*1</f>
        <v/>
      </c>
    </row>
    <row r="138" ht="24" customHeight="1" s="73">
      <c r="B138" s="19" t="n">
        <v>5</v>
      </c>
      <c r="C138" s="11" t="inlineStr">
        <is>
          <t>TEAM</t>
        </is>
      </c>
      <c r="D138" s="19" t="n">
        <v>3</v>
      </c>
      <c r="E138" s="79" t="inlineStr">
        <is>
          <t>FSI Senior Developer (JP) — EAI 13453 / 9947</t>
        </is>
      </c>
      <c r="F138" s="11" t="inlineStr">
        <is>
          <t>DEV</t>
        </is>
      </c>
      <c r="G138" s="35" t="inlineStr">
        <is>
          <t>E3</t>
        </is>
      </c>
      <c r="H138" s="35" t="inlineStr">
        <is>
          <t>ON</t>
        </is>
      </c>
      <c r="I138" s="35" t="inlineStr">
        <is>
          <t>PT</t>
        </is>
      </c>
      <c r="J138" s="41" t="n">
        <v>1</v>
      </c>
      <c r="K138" s="42">
        <f>J138*1</f>
        <v/>
      </c>
    </row>
    <row r="139">
      <c r="B139" s="19" t="n">
        <v>5</v>
      </c>
      <c r="C139" s="11" t="inlineStr">
        <is>
          <t>TEAM</t>
        </is>
      </c>
      <c r="D139" s="19" t="n">
        <v>4</v>
      </c>
      <c r="E139" s="79" t="inlineStr">
        <is>
          <t>FSI Business Analyst (JP) — EAI 11604</t>
        </is>
      </c>
      <c r="F139" s="11" t="inlineStr">
        <is>
          <t>BSA</t>
        </is>
      </c>
      <c r="G139" s="35" t="inlineStr">
        <is>
          <t>E3</t>
        </is>
      </c>
      <c r="H139" s="35" t="inlineStr">
        <is>
          <t>ON</t>
        </is>
      </c>
      <c r="I139" s="35" t="inlineStr">
        <is>
          <t>PT</t>
        </is>
      </c>
      <c r="J139" s="41" t="n">
        <v>0.5</v>
      </c>
      <c r="K139" s="42">
        <f>J139*1</f>
        <v/>
      </c>
    </row>
    <row r="140">
      <c r="B140" s="19" t="n">
        <v>5</v>
      </c>
      <c r="C140" s="11" t="inlineStr">
        <is>
          <t>TEAM</t>
        </is>
      </c>
      <c r="D140" s="19" t="n">
        <v>5</v>
      </c>
      <c r="E140" s="79" t="inlineStr">
        <is>
          <t>Team lead / technical lead</t>
        </is>
      </c>
      <c r="F140" s="11" t="inlineStr">
        <is>
          <t>DEV</t>
        </is>
      </c>
      <c r="G140" s="35" t="inlineStr">
        <is>
          <t>E4</t>
        </is>
      </c>
      <c r="H140" s="35" t="inlineStr">
        <is>
          <t>ON</t>
        </is>
      </c>
      <c r="I140" s="35" t="inlineStr">
        <is>
          <t>FTC</t>
        </is>
      </c>
      <c r="J140" s="41" t="n">
        <v>1</v>
      </c>
      <c r="K140" s="42">
        <f>J140*1</f>
        <v/>
      </c>
    </row>
    <row r="141">
      <c r="B141" s="19" t="n">
        <v>5</v>
      </c>
      <c r="C141" s="11" t="inlineStr">
        <is>
          <t>TEAM</t>
        </is>
      </c>
      <c r="D141" s="19" t="n">
        <v>6</v>
      </c>
      <c r="E141" s="79" t="inlineStr">
        <is>
          <t>Business Analyst (bilingual)</t>
        </is>
      </c>
      <c r="F141" s="11" t="inlineStr">
        <is>
          <t>BSA</t>
        </is>
      </c>
      <c r="G141" s="35" t="inlineStr">
        <is>
          <t>E3</t>
        </is>
      </c>
      <c r="H141" s="35" t="inlineStr">
        <is>
          <t>ON</t>
        </is>
      </c>
      <c r="I141" s="35" t="inlineStr">
        <is>
          <t>FTC</t>
        </is>
      </c>
      <c r="J141" s="41" t="n">
        <v>1</v>
      </c>
      <c r="K141" s="42">
        <f>J141*1</f>
        <v/>
      </c>
    </row>
    <row r="142">
      <c r="B142" s="19" t="n">
        <v>5</v>
      </c>
      <c r="C142" s="11" t="inlineStr">
        <is>
          <t>TEAM</t>
        </is>
      </c>
      <c r="D142" s="19" t="n">
        <v>7</v>
      </c>
      <c r="E142" s="79" t="inlineStr">
        <is>
          <t>Application Support (L2) — Tokyo</t>
        </is>
      </c>
      <c r="F142" s="11" t="inlineStr">
        <is>
          <t>MNT</t>
        </is>
      </c>
      <c r="G142" s="35" t="inlineStr">
        <is>
          <t>E2</t>
        </is>
      </c>
      <c r="H142" s="35" t="inlineStr">
        <is>
          <t>ON</t>
        </is>
      </c>
      <c r="I142" s="35" t="inlineStr">
        <is>
          <t>FTC</t>
        </is>
      </c>
      <c r="J142" s="41" t="n">
        <v>0.5</v>
      </c>
      <c r="K142" s="42">
        <f>J142*1</f>
        <v/>
      </c>
    </row>
    <row r="143">
      <c r="B143" s="19" t="n">
        <v>5</v>
      </c>
      <c r="C143" s="11" t="inlineStr">
        <is>
          <t>TEAM</t>
        </is>
      </c>
      <c r="D143" s="19" t="n">
        <v>8</v>
      </c>
      <c r="E143" s="79" t="inlineStr">
        <is>
          <t>Junior Application Developer — offshore</t>
        </is>
      </c>
      <c r="F143" s="11" t="inlineStr">
        <is>
          <t>DEV</t>
        </is>
      </c>
      <c r="G143" s="35" t="inlineStr">
        <is>
          <t>E2</t>
        </is>
      </c>
      <c r="H143" s="35" t="inlineStr">
        <is>
          <t>OFF</t>
        </is>
      </c>
      <c r="I143" s="35" t="inlineStr">
        <is>
          <t>FTC</t>
        </is>
      </c>
      <c r="J143" s="41" t="n">
        <v>2</v>
      </c>
      <c r="K143" s="42">
        <f>J143*1</f>
        <v/>
      </c>
    </row>
    <row r="144">
      <c r="B144" s="19" t="n">
        <v>5</v>
      </c>
      <c r="C144" s="11" t="inlineStr">
        <is>
          <t>TEAM</t>
        </is>
      </c>
      <c r="D144" s="19" t="n">
        <v>9</v>
      </c>
      <c r="E144" s="79" t="inlineStr">
        <is>
          <t>Junior Test Engineer — offshore</t>
        </is>
      </c>
      <c r="F144" s="11" t="inlineStr">
        <is>
          <t>TEST</t>
        </is>
      </c>
      <c r="G144" s="35" t="inlineStr">
        <is>
          <t>E1</t>
        </is>
      </c>
      <c r="H144" s="35" t="inlineStr">
        <is>
          <t>OFF</t>
        </is>
      </c>
      <c r="I144" s="35" t="inlineStr">
        <is>
          <t>FTC</t>
        </is>
      </c>
      <c r="J144" s="41" t="n">
        <v>0.5</v>
      </c>
      <c r="K144" s="42">
        <f>J144*1</f>
        <v/>
      </c>
    </row>
    <row r="145">
      <c r="B145" s="19" t="n">
        <v>5</v>
      </c>
      <c r="C145" s="11" t="inlineStr">
        <is>
          <t>TEAM</t>
        </is>
      </c>
      <c r="D145" s="19" t="n">
        <v>10</v>
      </c>
      <c r="E145" s="79" t="inlineStr">
        <is>
          <t>Application Support (L2) — offshore</t>
        </is>
      </c>
      <c r="F145" s="11" t="inlineStr">
        <is>
          <t>MNT</t>
        </is>
      </c>
      <c r="G145" s="35" t="inlineStr">
        <is>
          <t>E2</t>
        </is>
      </c>
      <c r="H145" s="35" t="inlineStr">
        <is>
          <t>OFF</t>
        </is>
      </c>
      <c r="I145" s="35" t="inlineStr">
        <is>
          <t>FTC</t>
        </is>
      </c>
      <c r="J145" s="41" t="n">
        <v>0.5</v>
      </c>
      <c r="K145" s="42">
        <f>J145*1</f>
        <v/>
      </c>
    </row>
    <row r="146">
      <c r="B146" s="19" t="n">
        <v>5</v>
      </c>
      <c r="C146" s="11" t="inlineStr">
        <is>
          <t>TEAM</t>
        </is>
      </c>
      <c r="D146" s="19" t="n">
        <v>11</v>
      </c>
      <c r="E146" s="79" t="inlineStr">
        <is>
          <t>MGCC Batch &amp; Support Engineer</t>
        </is>
      </c>
      <c r="F146" s="11" t="inlineStr">
        <is>
          <t>MNT</t>
        </is>
      </c>
      <c r="G146" s="35" t="inlineStr">
        <is>
          <t>E2</t>
        </is>
      </c>
      <c r="H146" s="35" t="inlineStr">
        <is>
          <t>OFF</t>
        </is>
      </c>
      <c r="I146" s="35" t="inlineStr">
        <is>
          <t>MGCC</t>
        </is>
      </c>
      <c r="J146" s="41" t="n">
        <v>1.5</v>
      </c>
      <c r="K146" s="42">
        <f>J146*1</f>
        <v/>
      </c>
    </row>
    <row r="147" ht="48" customHeight="1" s="73">
      <c r="D147" s="19" t="inlineStr">
        <is>
          <t>TEAM size — Year 5 · POSR</t>
        </is>
      </c>
      <c r="J147" s="41">
        <f>SUM(J136:J146)</f>
        <v/>
      </c>
      <c r="K147" s="42">
        <f>SUM(K136:K146)</f>
        <v/>
      </c>
    </row>
  </sheetData>
  <mergeCells count="2">
    <mergeCell ref="A1:J1"/>
    <mergeCell ref="A2:J2"/>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23"/>
  <sheetViews>
    <sheetView topLeftCell="A7" zoomScaleNormal="100" workbookViewId="0">
      <selection activeCell="E7" sqref="E7"/>
    </sheetView>
  </sheetViews>
  <sheetFormatPr baseColWidth="8" defaultColWidth="8.6328125" defaultRowHeight="14.5"/>
  <cols>
    <col width="2.453125" customWidth="1" style="73" min="1" max="1"/>
    <col width="7" customWidth="1" style="73" min="2" max="3"/>
    <col width="40" customWidth="1" style="73" min="4" max="4"/>
    <col width="10" customWidth="1" style="73" min="5" max="6"/>
    <col width="9" customWidth="1" style="73" min="7" max="7"/>
    <col width="10" customWidth="1" style="73" min="8" max="9"/>
  </cols>
  <sheetData>
    <row r="1" ht="25.5" customHeight="1" s="73">
      <c r="A1" s="72" t="inlineStr">
        <is>
          <t>Team plan  —  how many instances of each value stream’s 12-seat team, per year</t>
        </is>
      </c>
    </row>
    <row r="2" ht="15" customHeight="1" s="73">
      <c r="A2" s="75" t="inlineStr">
        <is>
          <t>INPUT. There are no pods in this domain. Productivity shows up here as instances retiring — 7 teams in Year 1, 6, 5, then 4 for Years 4 and 5 — and never as a team being shrunk below 12 seats.</t>
        </is>
      </c>
    </row>
    <row r="4" ht="15" customHeight="1" s="73">
      <c r="B4" s="5" t="inlineStr">
        <is>
          <t>Year</t>
        </is>
      </c>
      <c r="C4" s="5" t="inlineStr">
        <is>
          <t>VS</t>
        </is>
      </c>
      <c r="D4" s="5" t="inlineStr">
        <is>
          <t>Value stream</t>
        </is>
      </c>
      <c r="E4" s="5" t="inlineStr">
        <is>
          <t>Teams (unused)</t>
        </is>
      </c>
      <c r="F4" s="5" t="inlineStr">
        <is>
          <t>Team instances</t>
        </is>
      </c>
      <c r="G4" s="5" t="inlineStr">
        <is>
          <t>Units</t>
        </is>
      </c>
      <c r="H4" s="5" t="inlineStr">
        <is>
          <t>People</t>
        </is>
      </c>
    </row>
    <row r="5" ht="15" customHeight="1" s="73">
      <c r="B5" s="19" t="n">
        <v>1</v>
      </c>
      <c r="C5" s="11" t="inlineStr">
        <is>
          <t>POSW</t>
        </is>
      </c>
      <c r="D5" s="79" t="inlineStr">
        <is>
          <t>Policy Owner Servicing Work Flow</t>
        </is>
      </c>
      <c r="E5" s="16" t="n">
        <v>0</v>
      </c>
      <c r="F5" s="16" t="n">
        <v>4</v>
      </c>
      <c r="G5" s="13">
        <f>E5+F5</f>
        <v/>
      </c>
      <c r="H5" s="36">
        <f>F5*SUM('Pod Library'!$J$5:$J$18)</f>
        <v/>
      </c>
    </row>
    <row r="6" ht="15" customHeight="1" s="73">
      <c r="B6" s="19" t="n">
        <v>1</v>
      </c>
      <c r="C6" s="11" t="inlineStr">
        <is>
          <t>POSR</t>
        </is>
      </c>
      <c r="D6" s="79" t="inlineStr">
        <is>
          <t>Policy Owner Servicing Payment &amp; Records</t>
        </is>
      </c>
      <c r="E6" s="16" t="n">
        <v>0</v>
      </c>
      <c r="F6" s="16" t="n">
        <v>3</v>
      </c>
      <c r="G6" s="13">
        <f>E6+F6</f>
        <v/>
      </c>
      <c r="H6" s="36">
        <f>F6*SUM('Pod Library'!$J$21:$J$31)</f>
        <v/>
      </c>
    </row>
    <row r="7" ht="15" customHeight="1" s="73">
      <c r="D7" s="14" t="inlineStr">
        <is>
          <t>Year 1 total</t>
        </is>
      </c>
      <c r="E7" s="21">
        <f>SUM(E5:E6)</f>
        <v/>
      </c>
      <c r="F7" s="21">
        <f>SUM(F5:F6)</f>
        <v/>
      </c>
      <c r="G7" s="21">
        <f>SUM(G5:G6)</f>
        <v/>
      </c>
      <c r="H7" s="37">
        <f>SUM(H5:H6)</f>
        <v/>
      </c>
    </row>
    <row r="9" ht="15" customHeight="1" s="73">
      <c r="B9" s="19" t="n">
        <v>2</v>
      </c>
      <c r="C9" s="11" t="inlineStr">
        <is>
          <t>POSW</t>
        </is>
      </c>
      <c r="D9" s="79" t="inlineStr">
        <is>
          <t>Policy Owner Servicing Work Flow</t>
        </is>
      </c>
      <c r="E9" s="16" t="n">
        <v>0</v>
      </c>
      <c r="F9" s="16" t="n">
        <v>4</v>
      </c>
      <c r="G9" s="13">
        <f>E9+F9</f>
        <v/>
      </c>
      <c r="H9" s="36">
        <f>F9*SUM('Pod Library'!$J$34:$J$47)</f>
        <v/>
      </c>
    </row>
    <row r="10" ht="15" customHeight="1" s="73">
      <c r="B10" s="19" t="n">
        <v>2</v>
      </c>
      <c r="C10" s="11" t="inlineStr">
        <is>
          <t>POSR</t>
        </is>
      </c>
      <c r="D10" s="79" t="inlineStr">
        <is>
          <t>Policy Owner Servicing Payment &amp; Records</t>
        </is>
      </c>
      <c r="E10" s="16" t="n">
        <v>0</v>
      </c>
      <c r="F10" s="16" t="n">
        <v>2</v>
      </c>
      <c r="G10" s="13">
        <f>E10+F10</f>
        <v/>
      </c>
      <c r="H10" s="36">
        <f>F10*SUM('Pod Library'!$J$50:$J$62)</f>
        <v/>
      </c>
    </row>
    <row r="11" ht="15" customHeight="1" s="73">
      <c r="D11" s="14" t="inlineStr">
        <is>
          <t>Year 2 total</t>
        </is>
      </c>
      <c r="E11" s="21">
        <f>SUM(E9:E10)</f>
        <v/>
      </c>
      <c r="F11" s="21">
        <f>SUM(F9:F10)</f>
        <v/>
      </c>
      <c r="G11" s="21">
        <f>SUM(G9:G10)</f>
        <v/>
      </c>
      <c r="H11" s="37">
        <f>SUM(H9:H10)</f>
        <v/>
      </c>
    </row>
    <row r="13" ht="15" customHeight="1" s="73">
      <c r="B13" s="19" t="n">
        <v>3</v>
      </c>
      <c r="C13" s="11" t="inlineStr">
        <is>
          <t>POSW</t>
        </is>
      </c>
      <c r="D13" s="79" t="inlineStr">
        <is>
          <t>Policy Owner Servicing Work Flow</t>
        </is>
      </c>
      <c r="E13" s="16" t="n">
        <v>0</v>
      </c>
      <c r="F13" s="16" t="n">
        <v>3</v>
      </c>
      <c r="G13" s="13">
        <f>E13+F13</f>
        <v/>
      </c>
      <c r="H13" s="36">
        <f>F13*SUM('Pod Library'!$J$65:$J$77)</f>
        <v/>
      </c>
    </row>
    <row r="14" ht="15" customHeight="1" s="73">
      <c r="B14" s="19" t="n">
        <v>3</v>
      </c>
      <c r="C14" s="11" t="inlineStr">
        <is>
          <t>POSR</t>
        </is>
      </c>
      <c r="D14" s="79" t="inlineStr">
        <is>
          <t>Policy Owner Servicing Payment &amp; Records</t>
        </is>
      </c>
      <c r="E14" s="16" t="n">
        <v>0</v>
      </c>
      <c r="F14" s="16" t="n">
        <v>2</v>
      </c>
      <c r="G14" s="13">
        <f>E14+F14</f>
        <v/>
      </c>
      <c r="H14" s="36">
        <f>F14*SUM('Pod Library'!$J$80:$J$92)</f>
        <v/>
      </c>
    </row>
    <row r="15" ht="15" customHeight="1" s="73">
      <c r="D15" s="14" t="inlineStr">
        <is>
          <t>Year 3 total</t>
        </is>
      </c>
      <c r="E15" s="21">
        <f>SUM(E13:E14)</f>
        <v/>
      </c>
      <c r="F15" s="21">
        <f>SUM(F13:F14)</f>
        <v/>
      </c>
      <c r="G15" s="21">
        <f>SUM(G13:G14)</f>
        <v/>
      </c>
      <c r="H15" s="37">
        <f>SUM(H13:H14)</f>
        <v/>
      </c>
    </row>
    <row r="17" ht="15" customHeight="1" s="73">
      <c r="B17" s="19" t="n">
        <v>4</v>
      </c>
      <c r="C17" s="11" t="inlineStr">
        <is>
          <t>POSW</t>
        </is>
      </c>
      <c r="D17" s="79" t="inlineStr">
        <is>
          <t>Policy Owner Servicing Work Flow</t>
        </is>
      </c>
      <c r="E17" s="16" t="n">
        <v>0</v>
      </c>
      <c r="F17" s="16" t="n">
        <v>3</v>
      </c>
      <c r="G17" s="13">
        <f>E17+F17</f>
        <v/>
      </c>
      <c r="H17" s="36">
        <f>F17*SUM('Pod Library'!$J$95:$J$106)</f>
        <v/>
      </c>
    </row>
    <row r="18" ht="15" customHeight="1" s="73">
      <c r="B18" s="19" t="n">
        <v>4</v>
      </c>
      <c r="C18" s="11" t="inlineStr">
        <is>
          <t>POSR</t>
        </is>
      </c>
      <c r="D18" s="79" t="inlineStr">
        <is>
          <t>Policy Owner Servicing Payment &amp; Records</t>
        </is>
      </c>
      <c r="E18" s="16" t="n">
        <v>0</v>
      </c>
      <c r="F18" s="16" t="n">
        <v>1</v>
      </c>
      <c r="G18" s="13">
        <f>E18+F18</f>
        <v/>
      </c>
      <c r="H18" s="36">
        <f>F18*SUM('Pod Library'!$J$109:$J$119)</f>
        <v/>
      </c>
    </row>
    <row r="19" ht="15" customHeight="1" s="73">
      <c r="D19" s="14" t="inlineStr">
        <is>
          <t>Year 4 total</t>
        </is>
      </c>
      <c r="E19" s="21">
        <f>SUM(E17:E18)</f>
        <v/>
      </c>
      <c r="F19" s="21">
        <f>SUM(F17:F18)</f>
        <v/>
      </c>
      <c r="G19" s="21">
        <f>SUM(G17:G18)</f>
        <v/>
      </c>
      <c r="H19" s="37">
        <f>SUM(H17:H18)</f>
        <v/>
      </c>
    </row>
    <row r="21" ht="15" customHeight="1" s="73">
      <c r="B21" s="19" t="n">
        <v>5</v>
      </c>
      <c r="C21" s="11" t="inlineStr">
        <is>
          <t>POSW</t>
        </is>
      </c>
      <c r="D21" s="79" t="inlineStr">
        <is>
          <t>Policy Owner Servicing Work Flow</t>
        </is>
      </c>
      <c r="E21" s="16" t="n">
        <v>0</v>
      </c>
      <c r="F21" s="16" t="n">
        <v>3</v>
      </c>
      <c r="G21" s="13">
        <f>E21+F21</f>
        <v/>
      </c>
      <c r="H21" s="36">
        <f>F21*SUM('Pod Library'!$J$122:$J$133)</f>
        <v/>
      </c>
    </row>
    <row r="22" ht="15" customHeight="1" s="73">
      <c r="B22" s="19" t="n">
        <v>5</v>
      </c>
      <c r="C22" s="11" t="inlineStr">
        <is>
          <t>POSR</t>
        </is>
      </c>
      <c r="D22" s="79" t="inlineStr">
        <is>
          <t>Policy Owner Servicing Payment &amp; Records</t>
        </is>
      </c>
      <c r="E22" s="16" t="n">
        <v>0</v>
      </c>
      <c r="F22" s="16" t="n">
        <v>1</v>
      </c>
      <c r="G22" s="13">
        <f>E22+F22</f>
        <v/>
      </c>
      <c r="H22" s="36">
        <f>F22*SUM('Pod Library'!$J$136:$J$146)</f>
        <v/>
      </c>
    </row>
    <row r="23" ht="15" customHeight="1" s="73">
      <c r="D23" s="14" t="inlineStr">
        <is>
          <t>Year 5 total</t>
        </is>
      </c>
      <c r="E23" s="21">
        <f>SUM(E21:E22)</f>
        <v/>
      </c>
      <c r="F23" s="21">
        <f>SUM(F21:F22)</f>
        <v/>
      </c>
      <c r="G23" s="21">
        <f>SUM(G21:G22)</f>
        <v/>
      </c>
      <c r="H23" s="37">
        <f>SUM(H21:H22)</f>
        <v/>
      </c>
    </row>
  </sheetData>
  <mergeCells count="2">
    <mergeCell ref="A1:I1"/>
    <mergeCell ref="A2:I2"/>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Q105"/>
  <sheetViews>
    <sheetView topLeftCell="B31" zoomScaleNormal="100" workbookViewId="0">
      <selection activeCell="I36" sqref="I36"/>
    </sheetView>
  </sheetViews>
  <sheetFormatPr baseColWidth="8" defaultColWidth="8.6328125" defaultRowHeight="14.5"/>
  <cols>
    <col width="2.453125" customWidth="1" style="73" min="1" max="1"/>
    <col width="6" customWidth="1" style="73" min="2" max="2"/>
    <col width="7" customWidth="1" style="73" min="3" max="3"/>
    <col width="8" customWidth="1" style="73" min="4" max="4"/>
    <col width="40" customWidth="1" style="73" min="5" max="5"/>
    <col width="7" customWidth="1" style="73" min="6" max="7"/>
    <col width="9" customWidth="1" style="73" min="8" max="9"/>
    <col width="13" customWidth="1" style="73" min="10" max="10"/>
  </cols>
  <sheetData>
    <row r="1" ht="25.5" customHeight="1" s="73">
      <c r="A1" s="72" t="inlineStr">
        <is>
          <t>Horizontal teams  —  work that is not stream-bounded</t>
        </is>
      </c>
    </row>
    <row r="2" ht="15" customHeight="1" s="73">
      <c r="A2" s="75" t="inlineStr">
        <is>
          <t>INPUT, defined per year rather than scaled. H1 is run and AMS, and carries the FSI control cell — 2 partner seats in Years 1-3 and 1 in Years 4-5, held outside the delivery teams deliberately so the partner relationship is governed rather than only consumed. H2 is records and quality governance. H3 is delivery leadership and architecture. Year 4 is the year the last Payment &amp; Records team retires and its residual run work lands here, which is why the layer rises that year before falling again in Year 5.</t>
        </is>
      </c>
    </row>
    <row r="4" ht="15" customHeight="1" s="73">
      <c r="B4" s="5" t="inlineStr">
        <is>
          <t>Year</t>
        </is>
      </c>
      <c r="C4" s="5" t="inlineStr">
        <is>
          <t>Team</t>
        </is>
      </c>
      <c r="D4" s="5" t="inlineStr">
        <is>
          <t>Role</t>
        </is>
      </c>
      <c r="E4" s="5" t="inlineStr">
        <is>
          <t>Role detail</t>
        </is>
      </c>
      <c r="F4" s="5" t="inlineStr">
        <is>
          <t>Exp</t>
        </is>
      </c>
      <c r="G4" s="5" t="inlineStr">
        <is>
          <t>Loc</t>
        </is>
      </c>
      <c r="H4" s="5" t="inlineStr">
        <is>
          <t>Sourcing</t>
        </is>
      </c>
      <c r="I4" s="5" t="inlineStr">
        <is>
          <t>Count</t>
        </is>
      </c>
      <c r="J4" s="5" t="inlineStr">
        <is>
          <t>People in the block</t>
        </is>
      </c>
    </row>
    <row r="5" ht="15" customHeight="1" s="73">
      <c r="B5" s="19" t="n">
        <v>1</v>
      </c>
      <c r="C5" s="11" t="inlineStr">
        <is>
          <t>H1</t>
        </is>
      </c>
      <c r="D5" s="11" t="inlineStr">
        <is>
          <t>MNT</t>
        </is>
      </c>
      <c r="E5" s="79" t="inlineStr">
        <is>
          <t>MetLife Operations Analyst</t>
        </is>
      </c>
      <c r="F5" s="35" t="inlineStr">
        <is>
          <t>E3</t>
        </is>
      </c>
      <c r="G5" s="35" t="inlineStr">
        <is>
          <t>ON</t>
        </is>
      </c>
      <c r="H5" s="35" t="inlineStr">
        <is>
          <t>FTE</t>
        </is>
      </c>
      <c r="I5" s="70" t="n">
        <v>2</v>
      </c>
      <c r="J5" s="42">
        <f>I5</f>
        <v/>
      </c>
    </row>
    <row r="6" ht="15" customHeight="1" s="73">
      <c r="B6" s="19" t="n">
        <v>1</v>
      </c>
      <c r="C6" s="11" t="inlineStr">
        <is>
          <t>H1</t>
        </is>
      </c>
      <c r="D6" s="11" t="inlineStr">
        <is>
          <t>MNT</t>
        </is>
      </c>
      <c r="E6" s="79" t="inlineStr">
        <is>
          <t>FSI Production Control cell — K2 / POS-IMS</t>
        </is>
      </c>
      <c r="F6" s="35" t="inlineStr">
        <is>
          <t>E3</t>
        </is>
      </c>
      <c r="G6" s="35" t="inlineStr">
        <is>
          <t>ON</t>
        </is>
      </c>
      <c r="H6" s="35" t="inlineStr">
        <is>
          <t>PT</t>
        </is>
      </c>
      <c r="I6" s="70" t="n">
        <v>2</v>
      </c>
      <c r="J6" s="42">
        <f>I6</f>
        <v/>
      </c>
    </row>
    <row r="7" ht="15" customHeight="1" s="73">
      <c r="B7" s="19" t="n">
        <v>1</v>
      </c>
      <c r="C7" s="11" t="inlineStr">
        <is>
          <t>H1</t>
        </is>
      </c>
      <c r="D7" s="11" t="inlineStr">
        <is>
          <t>PM</t>
        </is>
      </c>
      <c r="E7" s="79" t="inlineStr">
        <is>
          <t>Service Delivery Manager</t>
        </is>
      </c>
      <c r="F7" s="35" t="inlineStr">
        <is>
          <t>E5</t>
        </is>
      </c>
      <c r="G7" s="35" t="inlineStr">
        <is>
          <t>ON</t>
        </is>
      </c>
      <c r="H7" s="35" t="inlineStr">
        <is>
          <t>FTC</t>
        </is>
      </c>
      <c r="I7" s="70" t="n">
        <v>1</v>
      </c>
      <c r="J7" s="42">
        <f>I7</f>
        <v/>
      </c>
    </row>
    <row r="8" ht="15" customHeight="1" s="73">
      <c r="B8" s="19" t="n">
        <v>1</v>
      </c>
      <c r="C8" s="11" t="inlineStr">
        <is>
          <t>H1</t>
        </is>
      </c>
      <c r="D8" s="11" t="inlineStr">
        <is>
          <t>MNT</t>
        </is>
      </c>
      <c r="E8" s="79" t="inlineStr">
        <is>
          <t>Incident &amp; Problem Analyst</t>
        </is>
      </c>
      <c r="F8" s="35" t="inlineStr">
        <is>
          <t>E3</t>
        </is>
      </c>
      <c r="G8" s="35" t="inlineStr">
        <is>
          <t>ON</t>
        </is>
      </c>
      <c r="H8" s="35" t="inlineStr">
        <is>
          <t>FTC</t>
        </is>
      </c>
      <c r="I8" s="70" t="n">
        <v>1</v>
      </c>
      <c r="J8" s="42">
        <f>I8</f>
        <v/>
      </c>
    </row>
    <row r="9" ht="15" customHeight="1" s="73">
      <c r="B9" s="19" t="n">
        <v>1</v>
      </c>
      <c r="C9" s="11" t="inlineStr">
        <is>
          <t>H1</t>
        </is>
      </c>
      <c r="D9" s="11" t="inlineStr">
        <is>
          <t>OTH</t>
        </is>
      </c>
      <c r="E9" s="79" t="inlineStr">
        <is>
          <t>Observability / AIOps Engineer</t>
        </is>
      </c>
      <c r="F9" s="35" t="inlineStr">
        <is>
          <t>E3</t>
        </is>
      </c>
      <c r="G9" s="35" t="inlineStr">
        <is>
          <t>OFF</t>
        </is>
      </c>
      <c r="H9" s="35" t="inlineStr">
        <is>
          <t>FTC</t>
        </is>
      </c>
      <c r="I9" s="70" t="n">
        <v>1</v>
      </c>
      <c r="J9" s="42">
        <f>I9</f>
        <v/>
      </c>
    </row>
    <row r="10" ht="15" customHeight="1" s="73">
      <c r="B10" s="19" t="n">
        <v>1</v>
      </c>
      <c r="C10" s="11" t="inlineStr">
        <is>
          <t>H1</t>
        </is>
      </c>
      <c r="D10" s="11" t="inlineStr">
        <is>
          <t>DEV</t>
        </is>
      </c>
      <c r="E10" s="79" t="inlineStr">
        <is>
          <t>MGCC Platform SRE</t>
        </is>
      </c>
      <c r="F10" s="35" t="inlineStr">
        <is>
          <t>E3</t>
        </is>
      </c>
      <c r="G10" s="35" t="inlineStr">
        <is>
          <t>OFF</t>
        </is>
      </c>
      <c r="H10" s="35" t="inlineStr">
        <is>
          <t>MGCC</t>
        </is>
      </c>
      <c r="I10" s="70" t="n">
        <v>3</v>
      </c>
      <c r="J10" s="42">
        <f>I10</f>
        <v/>
      </c>
    </row>
    <row r="11" ht="15" customHeight="1" s="73">
      <c r="B11" s="19" t="n">
        <v>1</v>
      </c>
      <c r="C11" s="11" t="inlineStr">
        <is>
          <t>H2</t>
        </is>
      </c>
      <c r="D11" s="11" t="inlineStr">
        <is>
          <t>BSA</t>
        </is>
      </c>
      <c r="E11" s="79" t="inlineStr">
        <is>
          <t>MetLife Servicing Governance</t>
        </is>
      </c>
      <c r="F11" s="35" t="inlineStr">
        <is>
          <t>E4</t>
        </is>
      </c>
      <c r="G11" s="35" t="inlineStr">
        <is>
          <t>ON</t>
        </is>
      </c>
      <c r="H11" s="35" t="inlineStr">
        <is>
          <t>FTE</t>
        </is>
      </c>
      <c r="I11" s="70" t="n">
        <v>1.5</v>
      </c>
      <c r="J11" s="42">
        <f>I11</f>
        <v/>
      </c>
    </row>
    <row r="12" ht="15" customHeight="1" s="73">
      <c r="B12" s="19" t="n">
        <v>1</v>
      </c>
      <c r="C12" s="11" t="inlineStr">
        <is>
          <t>H2</t>
        </is>
      </c>
      <c r="D12" s="11" t="inlineStr">
        <is>
          <t>TEST</t>
        </is>
      </c>
      <c r="E12" s="79" t="inlineStr">
        <is>
          <t>Head of Quality Engineering</t>
        </is>
      </c>
      <c r="F12" s="35" t="inlineStr">
        <is>
          <t>E4</t>
        </is>
      </c>
      <c r="G12" s="35" t="inlineStr">
        <is>
          <t>ON</t>
        </is>
      </c>
      <c r="H12" s="35" t="inlineStr">
        <is>
          <t>FTC</t>
        </is>
      </c>
      <c r="I12" s="70" t="n">
        <v>1</v>
      </c>
      <c r="J12" s="42">
        <f>I12</f>
        <v/>
      </c>
    </row>
    <row r="13" ht="15" customHeight="1" s="73">
      <c r="B13" s="19" t="n">
        <v>1</v>
      </c>
      <c r="C13" s="11" t="inlineStr">
        <is>
          <t>H3</t>
        </is>
      </c>
      <c r="D13" s="11" t="inlineStr">
        <is>
          <t>BSA</t>
        </is>
      </c>
      <c r="E13" s="79" t="inlineStr">
        <is>
          <t>MetLife Servicing Owner</t>
        </is>
      </c>
      <c r="F13" s="35" t="inlineStr">
        <is>
          <t>E5</t>
        </is>
      </c>
      <c r="G13" s="35" t="inlineStr">
        <is>
          <t>ON</t>
        </is>
      </c>
      <c r="H13" s="35" t="inlineStr">
        <is>
          <t>FTE</t>
        </is>
      </c>
      <c r="I13" s="70" t="n">
        <v>2</v>
      </c>
      <c r="J13" s="42">
        <f>I13</f>
        <v/>
      </c>
    </row>
    <row r="14" ht="15" customHeight="1" s="73">
      <c r="B14" s="19" t="n">
        <v>1</v>
      </c>
      <c r="C14" s="11" t="inlineStr">
        <is>
          <t>H3</t>
        </is>
      </c>
      <c r="D14" s="11" t="inlineStr">
        <is>
          <t>PM</t>
        </is>
      </c>
      <c r="E14" s="79" t="inlineStr">
        <is>
          <t>MetLife Portfolio Manager</t>
        </is>
      </c>
      <c r="F14" s="35" t="inlineStr">
        <is>
          <t>E4</t>
        </is>
      </c>
      <c r="G14" s="35" t="inlineStr">
        <is>
          <t>ON</t>
        </is>
      </c>
      <c r="H14" s="35" t="inlineStr">
        <is>
          <t>FTE</t>
        </is>
      </c>
      <c r="I14" s="70" t="n">
        <v>2.5</v>
      </c>
      <c r="J14" s="42">
        <f>I14</f>
        <v/>
      </c>
    </row>
    <row r="15" ht="15" customHeight="1" s="73">
      <c r="B15" s="19" t="n">
        <v>1</v>
      </c>
      <c r="C15" s="11" t="inlineStr">
        <is>
          <t>H3</t>
        </is>
      </c>
      <c r="D15" s="11" t="inlineStr">
        <is>
          <t>PM</t>
        </is>
      </c>
      <c r="E15" s="79" t="inlineStr">
        <is>
          <t>MetLife Application Owners — satellites</t>
        </is>
      </c>
      <c r="F15" s="35" t="inlineStr">
        <is>
          <t>E4</t>
        </is>
      </c>
      <c r="G15" s="35" t="inlineStr">
        <is>
          <t>ON</t>
        </is>
      </c>
      <c r="H15" s="35" t="inlineStr">
        <is>
          <t>FTE</t>
        </is>
      </c>
      <c r="I15" s="70" t="n">
        <v>4</v>
      </c>
      <c r="J15" s="42">
        <f>I15</f>
        <v/>
      </c>
    </row>
    <row r="16" ht="15" customHeight="1" s="73">
      <c r="B16" s="19" t="n">
        <v>1</v>
      </c>
      <c r="C16" s="11" t="inlineStr">
        <is>
          <t>H3</t>
        </is>
      </c>
      <c r="D16" s="11" t="inlineStr">
        <is>
          <t>PM</t>
        </is>
      </c>
      <c r="E16" s="79" t="inlineStr">
        <is>
          <t>Domain Delivery Head</t>
        </is>
      </c>
      <c r="F16" s="35" t="inlineStr">
        <is>
          <t>E5</t>
        </is>
      </c>
      <c r="G16" s="35" t="inlineStr">
        <is>
          <t>ON</t>
        </is>
      </c>
      <c r="H16" s="35" t="inlineStr">
        <is>
          <t>FTC</t>
        </is>
      </c>
      <c r="I16" s="70" t="n">
        <v>0.5</v>
      </c>
      <c r="J16" s="42">
        <f>I16</f>
        <v/>
      </c>
    </row>
    <row r="17" ht="15" customHeight="1" s="73">
      <c r="B17" s="19" t="n">
        <v>1</v>
      </c>
      <c r="C17" s="11" t="inlineStr">
        <is>
          <t>H3</t>
        </is>
      </c>
      <c r="D17" s="11" t="inlineStr">
        <is>
          <t>OTH</t>
        </is>
      </c>
      <c r="E17" s="79" t="inlineStr">
        <is>
          <t>Chief Architect — Servicing</t>
        </is>
      </c>
      <c r="F17" s="35" t="inlineStr">
        <is>
          <t>E5</t>
        </is>
      </c>
      <c r="G17" s="35" t="inlineStr">
        <is>
          <t>ON</t>
        </is>
      </c>
      <c r="H17" s="35" t="inlineStr">
        <is>
          <t>FTC</t>
        </is>
      </c>
      <c r="I17" s="70" t="n">
        <v>0.5</v>
      </c>
      <c r="J17" s="42">
        <f>I17</f>
        <v/>
      </c>
    </row>
    <row r="18" ht="15" customHeight="1" s="73">
      <c r="B18" s="19" t="n"/>
      <c r="C18" s="11" t="n"/>
      <c r="D18" s="11" t="n"/>
      <c r="E18" s="79" t="inlineStr">
        <is>
          <t>Year 1 horizontal total</t>
        </is>
      </c>
      <c r="F18" s="35" t="n"/>
      <c r="G18" s="35" t="n"/>
      <c r="H18" s="35" t="n"/>
      <c r="I18" s="70">
        <f>SUM(I5:I17)</f>
        <v/>
      </c>
      <c r="J18" s="42">
        <f>SUM(J5:J17)</f>
        <v/>
      </c>
    </row>
    <row r="19" ht="15" customHeight="1" s="73">
      <c r="B19" s="19" t="n"/>
      <c r="C19" s="11" t="n"/>
      <c r="D19" s="11" t="n"/>
      <c r="E19" s="14" t="n"/>
      <c r="F19" s="35" t="n"/>
      <c r="G19" s="35" t="n"/>
      <c r="H19" s="35" t="n"/>
      <c r="I19" s="37" t="n"/>
      <c r="J19" s="69" t="n"/>
    </row>
    <row r="20" ht="15" customHeight="1" s="73">
      <c r="B20" s="19" t="n">
        <v>2</v>
      </c>
      <c r="C20" s="11" t="inlineStr">
        <is>
          <t>H1</t>
        </is>
      </c>
      <c r="D20" s="11" t="inlineStr">
        <is>
          <t>MNT</t>
        </is>
      </c>
      <c r="E20" s="79" t="inlineStr">
        <is>
          <t>MetLife Operations Analyst</t>
        </is>
      </c>
      <c r="F20" s="35" t="inlineStr">
        <is>
          <t>E3</t>
        </is>
      </c>
      <c r="G20" s="35" t="inlineStr">
        <is>
          <t>ON</t>
        </is>
      </c>
      <c r="H20" s="35" t="inlineStr">
        <is>
          <t>FTE</t>
        </is>
      </c>
      <c r="I20" s="70" t="n">
        <v>1</v>
      </c>
      <c r="J20" s="42">
        <f>I20</f>
        <v/>
      </c>
    </row>
    <row r="21" ht="15" customHeight="1" s="73">
      <c r="B21" s="19" t="n">
        <v>2</v>
      </c>
      <c r="C21" s="11" t="inlineStr">
        <is>
          <t>H1</t>
        </is>
      </c>
      <c r="D21" s="11" t="inlineStr">
        <is>
          <t>MNT</t>
        </is>
      </c>
      <c r="E21" s="79" t="inlineStr">
        <is>
          <t>FSI Production Control cell — K2 / POS-IMS</t>
        </is>
      </c>
      <c r="F21" s="35" t="inlineStr">
        <is>
          <t>E3</t>
        </is>
      </c>
      <c r="G21" s="35" t="inlineStr">
        <is>
          <t>ON</t>
        </is>
      </c>
      <c r="H21" s="35" t="inlineStr">
        <is>
          <t>PT</t>
        </is>
      </c>
      <c r="I21" s="70" t="n">
        <v>2</v>
      </c>
      <c r="J21" s="42">
        <f>I21</f>
        <v/>
      </c>
    </row>
    <row r="22" ht="15" customHeight="1" s="73">
      <c r="B22" s="19" t="n">
        <v>2</v>
      </c>
      <c r="C22" s="11" t="inlineStr">
        <is>
          <t>H1</t>
        </is>
      </c>
      <c r="D22" s="11" t="inlineStr">
        <is>
          <t>PM</t>
        </is>
      </c>
      <c r="E22" s="79" t="inlineStr">
        <is>
          <t>Service Delivery Manager</t>
        </is>
      </c>
      <c r="F22" s="35" t="inlineStr">
        <is>
          <t>E5</t>
        </is>
      </c>
      <c r="G22" s="35" t="inlineStr">
        <is>
          <t>ON</t>
        </is>
      </c>
      <c r="H22" s="35" t="inlineStr">
        <is>
          <t>FTC</t>
        </is>
      </c>
      <c r="I22" s="70" t="n">
        <v>0.5</v>
      </c>
      <c r="J22" s="42">
        <f>I22</f>
        <v/>
      </c>
    </row>
    <row r="23" ht="15" customHeight="1" s="73">
      <c r="B23" s="19" t="n">
        <v>2</v>
      </c>
      <c r="C23" s="11" t="inlineStr">
        <is>
          <t>H1</t>
        </is>
      </c>
      <c r="D23" s="11" t="inlineStr">
        <is>
          <t>MNT</t>
        </is>
      </c>
      <c r="E23" s="79" t="inlineStr">
        <is>
          <t>Incident &amp; Problem Analyst</t>
        </is>
      </c>
      <c r="F23" s="35" t="inlineStr">
        <is>
          <t>E3</t>
        </is>
      </c>
      <c r="G23" s="35" t="inlineStr">
        <is>
          <t>ON</t>
        </is>
      </c>
      <c r="H23" s="35" t="inlineStr">
        <is>
          <t>FTC</t>
        </is>
      </c>
      <c r="I23" s="70" t="n">
        <v>1</v>
      </c>
      <c r="J23" s="42">
        <f>I23</f>
        <v/>
      </c>
    </row>
    <row r="24">
      <c r="B24" s="19" t="n">
        <v>2</v>
      </c>
      <c r="C24" s="11" t="inlineStr">
        <is>
          <t>H1</t>
        </is>
      </c>
      <c r="D24" s="11" t="inlineStr">
        <is>
          <t>OTH</t>
        </is>
      </c>
      <c r="E24" s="79" t="inlineStr">
        <is>
          <t>Observability / AIOps Engineer</t>
        </is>
      </c>
      <c r="F24" s="35" t="inlineStr">
        <is>
          <t>E3</t>
        </is>
      </c>
      <c r="G24" s="35" t="inlineStr">
        <is>
          <t>OFF</t>
        </is>
      </c>
      <c r="H24" s="35" t="inlineStr">
        <is>
          <t>FTC</t>
        </is>
      </c>
      <c r="I24" s="70" t="n">
        <v>1</v>
      </c>
      <c r="J24" s="42">
        <f>I24</f>
        <v/>
      </c>
    </row>
    <row r="25" ht="15" customHeight="1" s="73">
      <c r="B25" s="19" t="n">
        <v>2</v>
      </c>
      <c r="C25" s="11" t="inlineStr">
        <is>
          <t>H1</t>
        </is>
      </c>
      <c r="D25" s="11" t="inlineStr">
        <is>
          <t>DEV</t>
        </is>
      </c>
      <c r="E25" s="79" t="inlineStr">
        <is>
          <t>MGCC Platform SRE</t>
        </is>
      </c>
      <c r="F25" s="35" t="inlineStr">
        <is>
          <t>E3</t>
        </is>
      </c>
      <c r="G25" s="35" t="inlineStr">
        <is>
          <t>OFF</t>
        </is>
      </c>
      <c r="H25" s="35" t="inlineStr">
        <is>
          <t>MGCC</t>
        </is>
      </c>
      <c r="I25" s="70" t="n">
        <v>2</v>
      </c>
      <c r="J25" s="42">
        <f>I25</f>
        <v/>
      </c>
      <c r="K25" s="64" t="n"/>
      <c r="L25" s="64" t="n"/>
      <c r="M25" s="65" t="n"/>
      <c r="N25" s="66" t="n"/>
      <c r="O25" s="66" t="n"/>
      <c r="P25" s="66" t="n"/>
      <c r="Q25" s="67" t="n"/>
    </row>
    <row r="26" ht="15" customHeight="1" s="73">
      <c r="B26" s="19" t="n">
        <v>2</v>
      </c>
      <c r="C26" s="11" t="inlineStr">
        <is>
          <t>H2</t>
        </is>
      </c>
      <c r="D26" s="11" t="inlineStr">
        <is>
          <t>BSA</t>
        </is>
      </c>
      <c r="E26" s="79" t="inlineStr">
        <is>
          <t>MetLife Servicing Governance</t>
        </is>
      </c>
      <c r="F26" s="35" t="inlineStr">
        <is>
          <t>E4</t>
        </is>
      </c>
      <c r="G26" s="35" t="inlineStr">
        <is>
          <t>ON</t>
        </is>
      </c>
      <c r="H26" s="35" t="inlineStr">
        <is>
          <t>FTE</t>
        </is>
      </c>
      <c r="I26" s="70" t="n">
        <v>1</v>
      </c>
      <c r="J26" s="42">
        <f>I26</f>
        <v/>
      </c>
      <c r="K26" s="64" t="n"/>
      <c r="L26" s="64" t="n"/>
      <c r="M26" s="65" t="n"/>
      <c r="N26" s="66" t="n"/>
      <c r="O26" s="66" t="n"/>
      <c r="P26" s="66" t="n"/>
      <c r="Q26" s="67" t="n"/>
    </row>
    <row r="27" ht="15" customHeight="1" s="73">
      <c r="B27" s="19" t="n">
        <v>2</v>
      </c>
      <c r="C27" s="11" t="inlineStr">
        <is>
          <t>H2</t>
        </is>
      </c>
      <c r="D27" s="11" t="inlineStr">
        <is>
          <t>TEST</t>
        </is>
      </c>
      <c r="E27" s="79" t="inlineStr">
        <is>
          <t>Head of Quality Engineering</t>
        </is>
      </c>
      <c r="F27" s="35" t="inlineStr">
        <is>
          <t>E4</t>
        </is>
      </c>
      <c r="G27" s="35" t="inlineStr">
        <is>
          <t>ON</t>
        </is>
      </c>
      <c r="H27" s="35" t="inlineStr">
        <is>
          <t>FTC</t>
        </is>
      </c>
      <c r="I27" s="70" t="n">
        <v>0.5</v>
      </c>
      <c r="J27" s="42">
        <f>I27</f>
        <v/>
      </c>
      <c r="K27" s="64" t="n"/>
      <c r="L27" s="64" t="n"/>
      <c r="M27" s="65" t="n"/>
      <c r="N27" s="66" t="n"/>
      <c r="O27" s="66" t="n"/>
      <c r="P27" s="66" t="n"/>
      <c r="Q27" s="67" t="n"/>
    </row>
    <row r="28" ht="15" customHeight="1" s="73">
      <c r="B28" s="19" t="n">
        <v>2</v>
      </c>
      <c r="C28" s="11" t="inlineStr">
        <is>
          <t>H3</t>
        </is>
      </c>
      <c r="D28" s="11" t="inlineStr">
        <is>
          <t>BSA</t>
        </is>
      </c>
      <c r="E28" s="79" t="inlineStr">
        <is>
          <t>MetLife Servicing Owner</t>
        </is>
      </c>
      <c r="F28" s="35" t="inlineStr">
        <is>
          <t>E5</t>
        </is>
      </c>
      <c r="G28" s="35" t="inlineStr">
        <is>
          <t>ON</t>
        </is>
      </c>
      <c r="H28" s="35" t="inlineStr">
        <is>
          <t>FTE</t>
        </is>
      </c>
      <c r="I28" s="70" t="n">
        <v>1.5</v>
      </c>
      <c r="J28" s="42">
        <f>I28</f>
        <v/>
      </c>
      <c r="K28" s="64" t="n"/>
      <c r="L28" s="64" t="n"/>
      <c r="M28" s="65" t="n"/>
      <c r="N28" s="66" t="n"/>
      <c r="O28" s="66" t="n"/>
      <c r="P28" s="66" t="n"/>
      <c r="Q28" s="67" t="n"/>
    </row>
    <row r="29" ht="15" customHeight="1" s="73">
      <c r="B29" s="19" t="n">
        <v>2</v>
      </c>
      <c r="C29" s="11" t="inlineStr">
        <is>
          <t>H3</t>
        </is>
      </c>
      <c r="D29" s="11" t="inlineStr">
        <is>
          <t>PM</t>
        </is>
      </c>
      <c r="E29" s="79" t="inlineStr">
        <is>
          <t>MetLife Portfolio Manager</t>
        </is>
      </c>
      <c r="F29" s="35" t="inlineStr">
        <is>
          <t>E4</t>
        </is>
      </c>
      <c r="G29" s="35" t="inlineStr">
        <is>
          <t>ON</t>
        </is>
      </c>
      <c r="H29" s="35" t="inlineStr">
        <is>
          <t>FTE</t>
        </is>
      </c>
      <c r="I29" s="70" t="n">
        <v>1.5</v>
      </c>
      <c r="J29" s="42">
        <f>I29</f>
        <v/>
      </c>
      <c r="K29" s="64" t="n"/>
      <c r="L29" s="64" t="n"/>
      <c r="M29" s="65" t="n"/>
      <c r="N29" s="66" t="n"/>
      <c r="O29" s="66" t="n"/>
      <c r="P29" s="66" t="n"/>
      <c r="Q29" s="67" t="n"/>
    </row>
    <row r="30" ht="15" customHeight="1" s="73">
      <c r="B30" s="19" t="n">
        <v>2</v>
      </c>
      <c r="C30" s="11" t="inlineStr">
        <is>
          <t>H3</t>
        </is>
      </c>
      <c r="D30" s="11" t="inlineStr">
        <is>
          <t>PM</t>
        </is>
      </c>
      <c r="E30" s="79" t="inlineStr">
        <is>
          <t>Domain Delivery Head</t>
        </is>
      </c>
      <c r="F30" s="35" t="inlineStr">
        <is>
          <t>E5</t>
        </is>
      </c>
      <c r="G30" s="35" t="inlineStr">
        <is>
          <t>ON</t>
        </is>
      </c>
      <c r="H30" s="35" t="inlineStr">
        <is>
          <t>FTC</t>
        </is>
      </c>
      <c r="I30" s="70" t="n">
        <v>0.5</v>
      </c>
      <c r="J30" s="42">
        <f>I30</f>
        <v/>
      </c>
      <c r="K30" s="64" t="n"/>
      <c r="L30" s="64" t="n"/>
      <c r="M30" s="65" t="n"/>
      <c r="N30" s="66" t="n"/>
      <c r="O30" s="66" t="n"/>
      <c r="P30" s="66" t="n"/>
      <c r="Q30" s="67" t="n"/>
    </row>
    <row r="31" ht="15" customHeight="1" s="73">
      <c r="B31" s="19" t="n">
        <v>2</v>
      </c>
      <c r="C31" s="11" t="inlineStr">
        <is>
          <t>H3</t>
        </is>
      </c>
      <c r="D31" s="11" t="inlineStr">
        <is>
          <t>OTH</t>
        </is>
      </c>
      <c r="E31" s="79" t="inlineStr">
        <is>
          <t>Chief Architect — Servicing</t>
        </is>
      </c>
      <c r="F31" s="35" t="inlineStr">
        <is>
          <t>E5</t>
        </is>
      </c>
      <c r="G31" s="35" t="inlineStr">
        <is>
          <t>ON</t>
        </is>
      </c>
      <c r="H31" s="35" t="inlineStr">
        <is>
          <t>FTC</t>
        </is>
      </c>
      <c r="I31" s="70" t="n">
        <v>0.5</v>
      </c>
      <c r="J31" s="42">
        <f>I31</f>
        <v/>
      </c>
      <c r="K31" s="64" t="n"/>
      <c r="L31" s="64" t="n"/>
      <c r="M31" s="65" t="n"/>
      <c r="N31" s="66" t="n"/>
      <c r="O31" s="66" t="n"/>
      <c r="P31" s="66" t="n"/>
      <c r="Q31" s="67" t="n"/>
    </row>
    <row r="32" ht="15" customHeight="1" s="73">
      <c r="B32" s="19" t="n"/>
      <c r="C32" s="11" t="n"/>
      <c r="D32" s="11" t="n"/>
      <c r="E32" s="79" t="inlineStr">
        <is>
          <t>Year 2 horizontal total</t>
        </is>
      </c>
      <c r="F32" s="35" t="n"/>
      <c r="G32" s="35" t="n"/>
      <c r="H32" s="35" t="n"/>
      <c r="I32" s="70">
        <f>SUM(I20:I31)</f>
        <v/>
      </c>
      <c r="J32" s="42">
        <f>SUM(J20:J31)</f>
        <v/>
      </c>
      <c r="K32" s="64" t="n"/>
      <c r="L32" s="64" t="n"/>
      <c r="M32" s="65" t="n"/>
      <c r="N32" s="66" t="n"/>
      <c r="O32" s="66" t="n"/>
      <c r="P32" s="66" t="n"/>
      <c r="Q32" s="67" t="n"/>
    </row>
    <row r="33" ht="15" customHeight="1" s="73">
      <c r="B33" s="19" t="n"/>
      <c r="C33" s="11" t="n"/>
      <c r="D33" s="11" t="n"/>
      <c r="E33" s="79" t="n"/>
      <c r="F33" s="35" t="n"/>
      <c r="G33" s="35" t="n"/>
      <c r="H33" s="35" t="n"/>
      <c r="I33" s="70" t="n"/>
      <c r="J33" s="42" t="n"/>
      <c r="K33" s="64" t="n"/>
      <c r="L33" s="64" t="n"/>
      <c r="M33" s="65" t="n"/>
      <c r="N33" s="66" t="n"/>
      <c r="O33" s="66" t="n"/>
      <c r="P33" s="66" t="n"/>
      <c r="Q33" s="67" t="n"/>
    </row>
    <row r="34" ht="15" customHeight="1" s="73">
      <c r="B34" s="19" t="n">
        <v>3</v>
      </c>
      <c r="C34" s="11" t="inlineStr">
        <is>
          <t>H1</t>
        </is>
      </c>
      <c r="D34" s="11" t="inlineStr">
        <is>
          <t>MNT</t>
        </is>
      </c>
      <c r="E34" s="79" t="inlineStr">
        <is>
          <t>MetLife Operations Analyst</t>
        </is>
      </c>
      <c r="F34" s="35" t="inlineStr">
        <is>
          <t>E3</t>
        </is>
      </c>
      <c r="G34" s="35" t="inlineStr">
        <is>
          <t>ON</t>
        </is>
      </c>
      <c r="H34" s="35" t="inlineStr">
        <is>
          <t>FTE</t>
        </is>
      </c>
      <c r="I34" s="70" t="n">
        <v>2</v>
      </c>
      <c r="J34" s="42">
        <f>I34</f>
        <v/>
      </c>
      <c r="K34" s="64" t="n"/>
      <c r="L34" s="64" t="n"/>
      <c r="M34" s="65" t="n"/>
      <c r="N34" s="66" t="n"/>
      <c r="O34" s="66" t="n"/>
      <c r="P34" s="66" t="n"/>
      <c r="Q34" s="67" t="n"/>
    </row>
    <row r="35" ht="15" customHeight="1" s="73">
      <c r="B35" s="19" t="n">
        <v>3</v>
      </c>
      <c r="C35" s="11" t="inlineStr">
        <is>
          <t>H1</t>
        </is>
      </c>
      <c r="D35" s="11" t="inlineStr">
        <is>
          <t>MNT</t>
        </is>
      </c>
      <c r="E35" s="79" t="inlineStr">
        <is>
          <t>FSI Production Control cell — K2 / POS-IMS</t>
        </is>
      </c>
      <c r="F35" s="35" t="inlineStr">
        <is>
          <t>E3</t>
        </is>
      </c>
      <c r="G35" s="35" t="inlineStr">
        <is>
          <t>ON</t>
        </is>
      </c>
      <c r="H35" s="35" t="inlineStr">
        <is>
          <t>PT</t>
        </is>
      </c>
      <c r="I35" s="70" t="n">
        <v>2</v>
      </c>
      <c r="J35" s="42">
        <f>I35</f>
        <v/>
      </c>
      <c r="K35" s="64" t="n"/>
      <c r="L35" s="64" t="n"/>
      <c r="M35" s="65" t="n"/>
      <c r="N35" s="66" t="n"/>
      <c r="O35" s="66" t="n"/>
      <c r="P35" s="66" t="n"/>
      <c r="Q35" s="67" t="n"/>
    </row>
    <row r="36" ht="15" customHeight="1" s="73">
      <c r="B36" s="19" t="n">
        <v>3</v>
      </c>
      <c r="C36" s="11" t="inlineStr">
        <is>
          <t>H1</t>
        </is>
      </c>
      <c r="D36" s="11" t="inlineStr">
        <is>
          <t>PM</t>
        </is>
      </c>
      <c r="E36" s="79" t="inlineStr">
        <is>
          <t>Service Delivery Manager</t>
        </is>
      </c>
      <c r="F36" s="35" t="inlineStr">
        <is>
          <t>E5</t>
        </is>
      </c>
      <c r="G36" s="35" t="inlineStr">
        <is>
          <t>ON</t>
        </is>
      </c>
      <c r="H36" s="35" t="inlineStr">
        <is>
          <t>FTC</t>
        </is>
      </c>
      <c r="I36" s="70" t="n">
        <v>0.5</v>
      </c>
      <c r="J36" s="42">
        <f>I36</f>
        <v/>
      </c>
      <c r="K36" s="64" t="n"/>
      <c r="L36" s="64" t="n"/>
      <c r="M36" s="65" t="n"/>
      <c r="N36" s="66" t="n"/>
      <c r="O36" s="66" t="n"/>
      <c r="P36" s="66" t="n"/>
      <c r="Q36" s="67" t="n"/>
    </row>
    <row r="37" ht="15" customHeight="1" s="73">
      <c r="B37" s="19" t="n">
        <v>3</v>
      </c>
      <c r="C37" s="11" t="inlineStr">
        <is>
          <t>H1</t>
        </is>
      </c>
      <c r="D37" s="11" t="inlineStr">
        <is>
          <t>OTH</t>
        </is>
      </c>
      <c r="E37" s="79" t="inlineStr">
        <is>
          <t>Observability / AIOps Engineer</t>
        </is>
      </c>
      <c r="F37" s="35" t="inlineStr">
        <is>
          <t>E3</t>
        </is>
      </c>
      <c r="G37" s="35" t="inlineStr">
        <is>
          <t>OFF</t>
        </is>
      </c>
      <c r="H37" s="35" t="inlineStr">
        <is>
          <t>FTC</t>
        </is>
      </c>
      <c r="I37" s="70" t="n">
        <v>0.5</v>
      </c>
      <c r="J37" s="42">
        <f>I37</f>
        <v/>
      </c>
      <c r="K37" s="64" t="n"/>
      <c r="L37" s="64" t="n"/>
      <c r="M37" s="65" t="n"/>
      <c r="N37" s="66" t="n"/>
      <c r="O37" s="66" t="n"/>
      <c r="P37" s="66" t="n"/>
      <c r="Q37" s="67" t="n"/>
    </row>
    <row r="38" ht="15" customHeight="1" s="73">
      <c r="B38" s="19" t="n">
        <v>3</v>
      </c>
      <c r="C38" s="11" t="inlineStr">
        <is>
          <t>H1</t>
        </is>
      </c>
      <c r="D38" s="11" t="inlineStr">
        <is>
          <t>DEV</t>
        </is>
      </c>
      <c r="E38" s="79" t="inlineStr">
        <is>
          <t>MGCC Platform SRE</t>
        </is>
      </c>
      <c r="F38" s="35" t="inlineStr">
        <is>
          <t>E3</t>
        </is>
      </c>
      <c r="G38" s="35" t="inlineStr">
        <is>
          <t>OFF</t>
        </is>
      </c>
      <c r="H38" s="35" t="inlineStr">
        <is>
          <t>MGCC</t>
        </is>
      </c>
      <c r="I38" s="70" t="n">
        <v>2</v>
      </c>
      <c r="J38" s="42">
        <f>I38</f>
        <v/>
      </c>
      <c r="K38" s="64" t="n"/>
      <c r="L38" s="64" t="n"/>
      <c r="M38" s="65" t="n"/>
      <c r="N38" s="66" t="n"/>
      <c r="O38" s="66" t="n"/>
      <c r="P38" s="66" t="n"/>
      <c r="Q38" s="67" t="n"/>
    </row>
    <row r="39" ht="15" customHeight="1" s="73">
      <c r="B39" s="19" t="n">
        <v>3</v>
      </c>
      <c r="C39" s="11" t="inlineStr">
        <is>
          <t>H2</t>
        </is>
      </c>
      <c r="D39" s="11" t="inlineStr">
        <is>
          <t>BSA</t>
        </is>
      </c>
      <c r="E39" s="79" t="inlineStr">
        <is>
          <t>MetLife Servicing Governance</t>
        </is>
      </c>
      <c r="F39" s="35" t="inlineStr">
        <is>
          <t>E4</t>
        </is>
      </c>
      <c r="G39" s="35" t="inlineStr">
        <is>
          <t>ON</t>
        </is>
      </c>
      <c r="H39" s="35" t="inlineStr">
        <is>
          <t>FTE</t>
        </is>
      </c>
      <c r="I39" s="70" t="n">
        <v>1.5</v>
      </c>
      <c r="J39" s="42">
        <f>I39</f>
        <v/>
      </c>
      <c r="K39" s="64" t="n"/>
      <c r="L39" s="64" t="n"/>
      <c r="M39" s="65" t="n"/>
      <c r="N39" s="66" t="n"/>
      <c r="O39" s="66" t="n"/>
      <c r="P39" s="66" t="n"/>
      <c r="Q39" s="67" t="n"/>
    </row>
    <row r="40" ht="15" customHeight="1" s="73">
      <c r="B40" s="19" t="n">
        <v>3</v>
      </c>
      <c r="C40" s="11" t="inlineStr">
        <is>
          <t>H3</t>
        </is>
      </c>
      <c r="D40" s="11" t="inlineStr">
        <is>
          <t>BSA</t>
        </is>
      </c>
      <c r="E40" s="79" t="inlineStr">
        <is>
          <t>MetLife Servicing Owner</t>
        </is>
      </c>
      <c r="F40" s="35" t="inlineStr">
        <is>
          <t>E5</t>
        </is>
      </c>
      <c r="G40" s="35" t="inlineStr">
        <is>
          <t>ON</t>
        </is>
      </c>
      <c r="H40" s="35" t="inlineStr">
        <is>
          <t>FTE</t>
        </is>
      </c>
      <c r="I40" s="70" t="n">
        <v>1.5</v>
      </c>
      <c r="J40" s="42">
        <f>I40</f>
        <v/>
      </c>
      <c r="K40" s="64" t="n"/>
      <c r="L40" s="64" t="n"/>
      <c r="M40" s="65" t="n"/>
      <c r="N40" s="66" t="n"/>
      <c r="O40" s="66" t="n"/>
      <c r="P40" s="66" t="n"/>
      <c r="Q40" s="67" t="n"/>
    </row>
    <row r="41" ht="15" customHeight="1" s="73">
      <c r="B41" s="19" t="n">
        <v>3</v>
      </c>
      <c r="C41" s="11" t="inlineStr">
        <is>
          <t>H3</t>
        </is>
      </c>
      <c r="D41" s="11" t="inlineStr">
        <is>
          <t>PM</t>
        </is>
      </c>
      <c r="E41" s="79" t="inlineStr">
        <is>
          <t>MetLife Portfolio Manager</t>
        </is>
      </c>
      <c r="F41" s="35" t="inlineStr">
        <is>
          <t>E4</t>
        </is>
      </c>
      <c r="G41" s="35" t="inlineStr">
        <is>
          <t>ON</t>
        </is>
      </c>
      <c r="H41" s="35" t="inlineStr">
        <is>
          <t>FTE</t>
        </is>
      </c>
      <c r="I41" s="70" t="n">
        <v>1.5</v>
      </c>
      <c r="J41" s="42">
        <f>I41</f>
        <v/>
      </c>
      <c r="K41" s="64" t="n"/>
      <c r="L41" s="64" t="n"/>
      <c r="M41" s="65" t="n"/>
      <c r="N41" s="66" t="n"/>
      <c r="O41" s="66" t="n"/>
      <c r="P41" s="66" t="n"/>
      <c r="Q41" s="67" t="n"/>
    </row>
    <row r="42" ht="15" customHeight="1" s="73">
      <c r="B42" s="19" t="n">
        <v>3</v>
      </c>
      <c r="C42" s="11" t="inlineStr">
        <is>
          <t>H3</t>
        </is>
      </c>
      <c r="D42" s="11" t="inlineStr">
        <is>
          <t>PM</t>
        </is>
      </c>
      <c r="E42" s="79" t="inlineStr">
        <is>
          <t>Domain Delivery Head</t>
        </is>
      </c>
      <c r="F42" s="35" t="inlineStr">
        <is>
          <t>E5</t>
        </is>
      </c>
      <c r="G42" s="35" t="inlineStr">
        <is>
          <t>ON</t>
        </is>
      </c>
      <c r="H42" s="35" t="inlineStr">
        <is>
          <t>FTC</t>
        </is>
      </c>
      <c r="I42" s="70" t="n">
        <v>0.5</v>
      </c>
      <c r="J42" s="42">
        <f>I42</f>
        <v/>
      </c>
      <c r="K42" s="64" t="n"/>
      <c r="L42" s="64" t="n"/>
      <c r="M42" s="65" t="n"/>
      <c r="N42" s="66" t="n"/>
      <c r="O42" s="66" t="n"/>
      <c r="P42" s="66" t="n"/>
      <c r="Q42" s="67" t="n"/>
    </row>
    <row r="43" ht="15" customHeight="1" s="73">
      <c r="B43" s="19" t="n">
        <v>3</v>
      </c>
      <c r="C43" s="11" t="inlineStr">
        <is>
          <t>H3</t>
        </is>
      </c>
      <c r="D43" s="11" t="inlineStr">
        <is>
          <t>OTH</t>
        </is>
      </c>
      <c r="E43" s="79" t="inlineStr">
        <is>
          <t>Chief Architect — Servicing</t>
        </is>
      </c>
      <c r="F43" s="35" t="inlineStr">
        <is>
          <t>E5</t>
        </is>
      </c>
      <c r="G43" s="35" t="inlineStr">
        <is>
          <t>ON</t>
        </is>
      </c>
      <c r="H43" s="35" t="inlineStr">
        <is>
          <t>FTC</t>
        </is>
      </c>
      <c r="I43" s="70" t="n">
        <v>0.5</v>
      </c>
      <c r="J43" s="42">
        <f>I43</f>
        <v/>
      </c>
    </row>
    <row r="44">
      <c r="B44" s="19" t="n"/>
      <c r="C44" s="11" t="n"/>
      <c r="D44" s="11" t="n"/>
      <c r="E44" s="79" t="inlineStr">
        <is>
          <t>Year 3 horizontal total</t>
        </is>
      </c>
      <c r="F44" s="35" t="n"/>
      <c r="G44" s="35" t="n"/>
      <c r="H44" s="35" t="n"/>
      <c r="I44" s="70">
        <f>SUM(I34:I43)</f>
        <v/>
      </c>
      <c r="J44" s="42">
        <f>SUM(J34:J43)</f>
        <v/>
      </c>
    </row>
    <row r="45" ht="15" customHeight="1" s="73">
      <c r="B45" s="19" t="n"/>
      <c r="C45" s="11" t="n"/>
      <c r="D45" s="11" t="n"/>
      <c r="E45" s="79" t="n"/>
      <c r="F45" s="35" t="n"/>
      <c r="G45" s="35" t="n"/>
      <c r="H45" s="35" t="n"/>
      <c r="I45" s="70" t="n"/>
      <c r="J45" s="42" t="n"/>
    </row>
    <row r="46" ht="15" customHeight="1" s="73">
      <c r="B46" s="19" t="n">
        <v>4</v>
      </c>
      <c r="C46" s="11" t="inlineStr">
        <is>
          <t>H1</t>
        </is>
      </c>
      <c r="D46" s="11" t="inlineStr">
        <is>
          <t>MNT</t>
        </is>
      </c>
      <c r="E46" s="79" t="inlineStr">
        <is>
          <t>MetLife Operations Analyst</t>
        </is>
      </c>
      <c r="F46" s="35" t="inlineStr">
        <is>
          <t>E3</t>
        </is>
      </c>
      <c r="G46" s="35" t="inlineStr">
        <is>
          <t>ON</t>
        </is>
      </c>
      <c r="H46" s="35" t="inlineStr">
        <is>
          <t>FTE</t>
        </is>
      </c>
      <c r="I46" s="70" t="n">
        <v>3</v>
      </c>
      <c r="J46" s="42">
        <f>I46</f>
        <v/>
      </c>
    </row>
    <row r="47" ht="15" customHeight="1" s="73">
      <c r="B47" s="19" t="n">
        <v>4</v>
      </c>
      <c r="C47" s="11" t="inlineStr">
        <is>
          <t>H1</t>
        </is>
      </c>
      <c r="D47" s="11" t="inlineStr">
        <is>
          <t>MNT</t>
        </is>
      </c>
      <c r="E47" s="79" t="inlineStr">
        <is>
          <t>FSI Production Control cell — K2 / POS-IMS</t>
        </is>
      </c>
      <c r="F47" s="35" t="inlineStr">
        <is>
          <t>E3</t>
        </is>
      </c>
      <c r="G47" s="35" t="inlineStr">
        <is>
          <t>ON</t>
        </is>
      </c>
      <c r="H47" s="35" t="inlineStr">
        <is>
          <t>PT</t>
        </is>
      </c>
      <c r="I47" s="70" t="n">
        <v>1</v>
      </c>
      <c r="J47" s="42">
        <f>I47</f>
        <v/>
      </c>
    </row>
    <row r="48" ht="15" customHeight="1" s="73">
      <c r="B48" s="19" t="n">
        <v>4</v>
      </c>
      <c r="C48" s="11" t="inlineStr">
        <is>
          <t>H1</t>
        </is>
      </c>
      <c r="D48" s="11" t="inlineStr">
        <is>
          <t>PM</t>
        </is>
      </c>
      <c r="E48" s="79" t="inlineStr">
        <is>
          <t>Service Delivery Manager</t>
        </is>
      </c>
      <c r="F48" s="35" t="inlineStr">
        <is>
          <t>E5</t>
        </is>
      </c>
      <c r="G48" s="35" t="inlineStr">
        <is>
          <t>ON</t>
        </is>
      </c>
      <c r="H48" s="35" t="inlineStr">
        <is>
          <t>FTC</t>
        </is>
      </c>
      <c r="I48" s="70" t="n">
        <v>0.5</v>
      </c>
      <c r="J48" s="42">
        <f>I48</f>
        <v/>
      </c>
    </row>
    <row r="49" ht="15" customHeight="1" s="73">
      <c r="B49" s="19" t="n">
        <v>4</v>
      </c>
      <c r="C49" s="11" t="inlineStr">
        <is>
          <t>H1</t>
        </is>
      </c>
      <c r="D49" s="11" t="inlineStr">
        <is>
          <t>OTH</t>
        </is>
      </c>
      <c r="E49" s="79" t="inlineStr">
        <is>
          <t>Observability / AIOps Engineer</t>
        </is>
      </c>
      <c r="F49" s="35" t="inlineStr">
        <is>
          <t>E3</t>
        </is>
      </c>
      <c r="G49" s="35" t="inlineStr">
        <is>
          <t>OFF</t>
        </is>
      </c>
      <c r="H49" s="35" t="inlineStr">
        <is>
          <t>FTC</t>
        </is>
      </c>
      <c r="I49" s="70" t="n">
        <v>0.5</v>
      </c>
      <c r="J49" s="42">
        <f>I49</f>
        <v/>
      </c>
    </row>
    <row r="50" ht="15" customHeight="1" s="73">
      <c r="B50" s="19" t="n">
        <v>4</v>
      </c>
      <c r="C50" s="11" t="inlineStr">
        <is>
          <t>H1</t>
        </is>
      </c>
      <c r="D50" s="11" t="inlineStr">
        <is>
          <t>MNT</t>
        </is>
      </c>
      <c r="E50" s="79" t="inlineStr">
        <is>
          <t>AMS &amp; run consolidation cell — offshore</t>
        </is>
      </c>
      <c r="F50" s="35" t="inlineStr">
        <is>
          <t>E2</t>
        </is>
      </c>
      <c r="G50" s="35" t="inlineStr">
        <is>
          <t>OFF</t>
        </is>
      </c>
      <c r="H50" s="35" t="inlineStr">
        <is>
          <t>FTC</t>
        </is>
      </c>
      <c r="I50" s="70" t="n">
        <v>1.5</v>
      </c>
      <c r="J50" s="42">
        <f>I50</f>
        <v/>
      </c>
    </row>
    <row r="51" ht="15" customHeight="1" s="73">
      <c r="B51" s="19" t="n">
        <v>4</v>
      </c>
      <c r="C51" s="11" t="inlineStr">
        <is>
          <t>H1</t>
        </is>
      </c>
      <c r="D51" s="11" t="inlineStr">
        <is>
          <t>DEV</t>
        </is>
      </c>
      <c r="E51" s="79" t="inlineStr">
        <is>
          <t>MGCC Platform SRE</t>
        </is>
      </c>
      <c r="F51" s="35" t="inlineStr">
        <is>
          <t>E3</t>
        </is>
      </c>
      <c r="G51" s="35" t="inlineStr">
        <is>
          <t>OFF</t>
        </is>
      </c>
      <c r="H51" s="35" t="inlineStr">
        <is>
          <t>MGCC</t>
        </is>
      </c>
      <c r="I51" s="70" t="n">
        <v>3</v>
      </c>
      <c r="J51" s="42">
        <f>I51</f>
        <v/>
      </c>
    </row>
    <row r="52" ht="15" customHeight="1" s="73">
      <c r="B52" s="19" t="n">
        <v>4</v>
      </c>
      <c r="C52" s="11" t="inlineStr">
        <is>
          <t>H2</t>
        </is>
      </c>
      <c r="D52" s="11" t="inlineStr">
        <is>
          <t>BSA</t>
        </is>
      </c>
      <c r="E52" s="79" t="inlineStr">
        <is>
          <t>MetLife Servicing Governance</t>
        </is>
      </c>
      <c r="F52" s="35" t="inlineStr">
        <is>
          <t>E4</t>
        </is>
      </c>
      <c r="G52" s="35" t="inlineStr">
        <is>
          <t>ON</t>
        </is>
      </c>
      <c r="H52" s="35" t="inlineStr">
        <is>
          <t>FTE</t>
        </is>
      </c>
      <c r="I52" s="70" t="n">
        <v>1.5</v>
      </c>
      <c r="J52" s="42">
        <f>I52</f>
        <v/>
      </c>
    </row>
    <row r="53" ht="15" customHeight="1" s="73">
      <c r="B53" s="19" t="n">
        <v>4</v>
      </c>
      <c r="C53" s="11" t="inlineStr">
        <is>
          <t>H3</t>
        </is>
      </c>
      <c r="D53" s="11" t="inlineStr">
        <is>
          <t>BSA</t>
        </is>
      </c>
      <c r="E53" s="79" t="inlineStr">
        <is>
          <t>MetLife Servicing Owner</t>
        </is>
      </c>
      <c r="F53" s="35" t="inlineStr">
        <is>
          <t>E5</t>
        </is>
      </c>
      <c r="G53" s="35" t="inlineStr">
        <is>
          <t>ON</t>
        </is>
      </c>
      <c r="H53" s="35" t="inlineStr">
        <is>
          <t>FTE</t>
        </is>
      </c>
      <c r="I53" s="70" t="n">
        <v>2</v>
      </c>
      <c r="J53" s="42">
        <f>I53</f>
        <v/>
      </c>
    </row>
    <row r="54" ht="15" customHeight="1" s="73">
      <c r="B54" s="19" t="n">
        <v>4</v>
      </c>
      <c r="C54" s="11" t="inlineStr">
        <is>
          <t>H3</t>
        </is>
      </c>
      <c r="D54" s="11" t="inlineStr">
        <is>
          <t>PM</t>
        </is>
      </c>
      <c r="E54" s="79" t="inlineStr">
        <is>
          <t>MetLife Portfolio Manager</t>
        </is>
      </c>
      <c r="F54" s="35" t="inlineStr">
        <is>
          <t>E4</t>
        </is>
      </c>
      <c r="G54" s="35" t="inlineStr">
        <is>
          <t>ON</t>
        </is>
      </c>
      <c r="H54" s="35" t="inlineStr">
        <is>
          <t>FTE</t>
        </is>
      </c>
      <c r="I54" s="70" t="n">
        <v>2.5</v>
      </c>
      <c r="J54" s="42">
        <f>I54</f>
        <v/>
      </c>
    </row>
    <row r="55" ht="15" customHeight="1" s="73">
      <c r="B55" s="19" t="n">
        <v>4</v>
      </c>
      <c r="C55" s="11" t="inlineStr">
        <is>
          <t>H3</t>
        </is>
      </c>
      <c r="D55" s="11" t="inlineStr">
        <is>
          <t>PM</t>
        </is>
      </c>
      <c r="E55" s="79" t="inlineStr">
        <is>
          <t>Domain Delivery Head</t>
        </is>
      </c>
      <c r="F55" s="35" t="inlineStr">
        <is>
          <t>E5</t>
        </is>
      </c>
      <c r="G55" s="35" t="inlineStr">
        <is>
          <t>ON</t>
        </is>
      </c>
      <c r="H55" s="35" t="inlineStr">
        <is>
          <t>FTC</t>
        </is>
      </c>
      <c r="I55" s="70" t="n">
        <v>0.5</v>
      </c>
      <c r="J55" s="42">
        <f>I55</f>
        <v/>
      </c>
    </row>
    <row r="56" ht="15" customHeight="1" s="73">
      <c r="B56" s="19" t="n">
        <v>4</v>
      </c>
      <c r="C56" s="11" t="inlineStr">
        <is>
          <t>H3</t>
        </is>
      </c>
      <c r="D56" s="11" t="inlineStr">
        <is>
          <t>OTH</t>
        </is>
      </c>
      <c r="E56" s="79" t="inlineStr">
        <is>
          <t>Chief Architect — Servicing</t>
        </is>
      </c>
      <c r="F56" s="35" t="inlineStr">
        <is>
          <t>E5</t>
        </is>
      </c>
      <c r="G56" s="35" t="inlineStr">
        <is>
          <t>ON</t>
        </is>
      </c>
      <c r="H56" s="35" t="inlineStr">
        <is>
          <t>FTC</t>
        </is>
      </c>
      <c r="I56" s="70" t="n">
        <v>0.5</v>
      </c>
      <c r="J56" s="42">
        <f>I56</f>
        <v/>
      </c>
    </row>
    <row r="57" ht="15" customHeight="1" s="73">
      <c r="B57" s="19" t="n"/>
      <c r="C57" s="11" t="n"/>
      <c r="D57" s="11" t="n"/>
      <c r="E57" s="79" t="inlineStr">
        <is>
          <t>Year 4 horizontal total</t>
        </is>
      </c>
      <c r="F57" s="35" t="n"/>
      <c r="G57" s="35" t="n"/>
      <c r="H57" s="35" t="n"/>
      <c r="I57" s="70">
        <f>SUM(I46:I56)</f>
        <v/>
      </c>
      <c r="J57" s="42">
        <f>SUM(J46:J56)</f>
        <v/>
      </c>
    </row>
    <row r="58" ht="15" customHeight="1" s="73">
      <c r="B58" s="19" t="n"/>
      <c r="C58" s="11" t="n"/>
      <c r="D58" s="11" t="n"/>
      <c r="E58" s="79" t="n"/>
      <c r="F58" s="35" t="n"/>
      <c r="G58" s="35" t="n"/>
      <c r="H58" s="35" t="n"/>
      <c r="I58" s="70" t="n"/>
      <c r="J58" s="42" t="n"/>
    </row>
    <row r="59" ht="15" customHeight="1" s="73">
      <c r="B59" s="19" t="n">
        <v>5</v>
      </c>
      <c r="C59" s="11" t="inlineStr">
        <is>
          <t>H1</t>
        </is>
      </c>
      <c r="D59" s="11" t="inlineStr">
        <is>
          <t>MNT</t>
        </is>
      </c>
      <c r="E59" s="79" t="inlineStr">
        <is>
          <t>MetLife Operations Analyst</t>
        </is>
      </c>
      <c r="F59" s="35" t="inlineStr">
        <is>
          <t>E3</t>
        </is>
      </c>
      <c r="G59" s="35" t="inlineStr">
        <is>
          <t>ON</t>
        </is>
      </c>
      <c r="H59" s="35" t="inlineStr">
        <is>
          <t>FTE</t>
        </is>
      </c>
      <c r="I59" s="70" t="n">
        <v>1.5</v>
      </c>
      <c r="J59" s="42">
        <f>I59</f>
        <v/>
      </c>
    </row>
    <row r="60" ht="15" customHeight="1" s="73">
      <c r="B60" s="19" t="n">
        <v>5</v>
      </c>
      <c r="C60" s="11" t="inlineStr">
        <is>
          <t>H1</t>
        </is>
      </c>
      <c r="D60" s="11" t="inlineStr">
        <is>
          <t>MNT</t>
        </is>
      </c>
      <c r="E60" s="79" t="inlineStr">
        <is>
          <t>FSI Production Control cell — K2 / POS-IMS</t>
        </is>
      </c>
      <c r="F60" s="35" t="inlineStr">
        <is>
          <t>E3</t>
        </is>
      </c>
      <c r="G60" s="35" t="inlineStr">
        <is>
          <t>ON</t>
        </is>
      </c>
      <c r="H60" s="35" t="inlineStr">
        <is>
          <t>PT</t>
        </is>
      </c>
      <c r="I60" s="70" t="n">
        <v>1</v>
      </c>
      <c r="J60" s="42">
        <f>I60</f>
        <v/>
      </c>
    </row>
    <row r="61" ht="15" customHeight="1" s="73">
      <c r="B61" s="19" t="n">
        <v>5</v>
      </c>
      <c r="C61" s="11" t="inlineStr">
        <is>
          <t>H1</t>
        </is>
      </c>
      <c r="D61" s="11" t="inlineStr">
        <is>
          <t>PM</t>
        </is>
      </c>
      <c r="E61" s="79" t="inlineStr">
        <is>
          <t>Service Delivery Manager</t>
        </is>
      </c>
      <c r="F61" s="35" t="inlineStr">
        <is>
          <t>E5</t>
        </is>
      </c>
      <c r="G61" s="35" t="inlineStr">
        <is>
          <t>ON</t>
        </is>
      </c>
      <c r="H61" s="35" t="inlineStr">
        <is>
          <t>FTC</t>
        </is>
      </c>
      <c r="I61" s="70" t="n">
        <v>0.5</v>
      </c>
      <c r="J61" s="42">
        <f>I61</f>
        <v/>
      </c>
    </row>
    <row r="62" ht="15" customHeight="1" s="73">
      <c r="B62" s="19" t="n">
        <v>5</v>
      </c>
      <c r="C62" s="11" t="inlineStr">
        <is>
          <t>H1</t>
        </is>
      </c>
      <c r="D62" s="11" t="inlineStr">
        <is>
          <t>OTH</t>
        </is>
      </c>
      <c r="E62" s="79" t="inlineStr">
        <is>
          <t>Observability / AIOps Engineer</t>
        </is>
      </c>
      <c r="F62" s="35" t="inlineStr">
        <is>
          <t>E3</t>
        </is>
      </c>
      <c r="G62" s="35" t="inlineStr">
        <is>
          <t>OFF</t>
        </is>
      </c>
      <c r="H62" s="35" t="inlineStr">
        <is>
          <t>FTC</t>
        </is>
      </c>
      <c r="I62" s="70" t="n">
        <v>0.5</v>
      </c>
      <c r="J62" s="42">
        <f>I62</f>
        <v/>
      </c>
    </row>
    <row r="63" ht="15" customHeight="1" s="73">
      <c r="B63" s="19" t="n">
        <v>5</v>
      </c>
      <c r="C63" s="11" t="inlineStr">
        <is>
          <t>H1</t>
        </is>
      </c>
      <c r="D63" s="11" t="inlineStr">
        <is>
          <t>DEV</t>
        </is>
      </c>
      <c r="E63" s="79" t="inlineStr">
        <is>
          <t>MGCC Platform SRE</t>
        </is>
      </c>
      <c r="F63" s="35" t="inlineStr">
        <is>
          <t>E3</t>
        </is>
      </c>
      <c r="G63" s="35" t="inlineStr">
        <is>
          <t>OFF</t>
        </is>
      </c>
      <c r="H63" s="35" t="inlineStr">
        <is>
          <t>MGCC</t>
        </is>
      </c>
      <c r="I63" s="70" t="n">
        <v>1.5</v>
      </c>
      <c r="J63" s="42">
        <f>I63</f>
        <v/>
      </c>
    </row>
    <row r="64">
      <c r="B64" s="19" t="n">
        <v>5</v>
      </c>
      <c r="C64" s="11" t="inlineStr">
        <is>
          <t>H2</t>
        </is>
      </c>
      <c r="D64" s="11" t="inlineStr">
        <is>
          <t>BSA</t>
        </is>
      </c>
      <c r="E64" s="79" t="inlineStr">
        <is>
          <t>MetLife Servicing Governance</t>
        </is>
      </c>
      <c r="F64" s="35" t="inlineStr">
        <is>
          <t>E4</t>
        </is>
      </c>
      <c r="G64" s="35" t="inlineStr">
        <is>
          <t>ON</t>
        </is>
      </c>
      <c r="H64" s="35" t="inlineStr">
        <is>
          <t>FTE</t>
        </is>
      </c>
      <c r="I64" s="70" t="n">
        <v>1.5</v>
      </c>
      <c r="J64" s="42">
        <f>I64</f>
        <v/>
      </c>
    </row>
    <row r="65" ht="15" customHeight="1" s="73">
      <c r="B65" s="19" t="n">
        <v>5</v>
      </c>
      <c r="C65" s="11" t="inlineStr">
        <is>
          <t>H3</t>
        </is>
      </c>
      <c r="D65" s="11" t="inlineStr">
        <is>
          <t>BSA</t>
        </is>
      </c>
      <c r="E65" s="79" t="inlineStr">
        <is>
          <t>MetLife Servicing Owner</t>
        </is>
      </c>
      <c r="F65" s="35" t="inlineStr">
        <is>
          <t>E5</t>
        </is>
      </c>
      <c r="G65" s="35" t="inlineStr">
        <is>
          <t>ON</t>
        </is>
      </c>
      <c r="H65" s="35" t="inlineStr">
        <is>
          <t>FTE</t>
        </is>
      </c>
      <c r="I65" s="70" t="n">
        <v>1.5</v>
      </c>
      <c r="J65" s="42">
        <f>I65</f>
        <v/>
      </c>
    </row>
    <row r="66" ht="15" customHeight="1" s="73">
      <c r="B66" s="19" t="n">
        <v>5</v>
      </c>
      <c r="C66" s="11" t="inlineStr">
        <is>
          <t>H3</t>
        </is>
      </c>
      <c r="D66" s="11" t="inlineStr">
        <is>
          <t>PM</t>
        </is>
      </c>
      <c r="E66" s="79" t="inlineStr">
        <is>
          <t>MetLife Portfolio Manager</t>
        </is>
      </c>
      <c r="F66" s="35" t="inlineStr">
        <is>
          <t>E4</t>
        </is>
      </c>
      <c r="G66" s="35" t="inlineStr">
        <is>
          <t>ON</t>
        </is>
      </c>
      <c r="H66" s="35" t="inlineStr">
        <is>
          <t>FTE</t>
        </is>
      </c>
      <c r="I66" s="70" t="n">
        <v>1.5</v>
      </c>
      <c r="J66" s="42">
        <f>I66</f>
        <v/>
      </c>
    </row>
    <row r="67" ht="15" customHeight="1" s="73">
      <c r="B67" s="19" t="n">
        <v>5</v>
      </c>
      <c r="C67" s="11" t="inlineStr">
        <is>
          <t>H3</t>
        </is>
      </c>
      <c r="D67" s="11" t="inlineStr">
        <is>
          <t>PM</t>
        </is>
      </c>
      <c r="E67" s="79" t="inlineStr">
        <is>
          <t>Domain Delivery Head</t>
        </is>
      </c>
      <c r="F67" s="35" t="inlineStr">
        <is>
          <t>E5</t>
        </is>
      </c>
      <c r="G67" s="35" t="inlineStr">
        <is>
          <t>ON</t>
        </is>
      </c>
      <c r="H67" s="35" t="inlineStr">
        <is>
          <t>FTC</t>
        </is>
      </c>
      <c r="I67" s="70" t="n">
        <v>0.5</v>
      </c>
      <c r="J67" s="42">
        <f>I67</f>
        <v/>
      </c>
    </row>
    <row r="68" ht="15" customHeight="1" s="73">
      <c r="B68" s="19" t="n">
        <v>5</v>
      </c>
      <c r="C68" s="11" t="inlineStr">
        <is>
          <t>H3</t>
        </is>
      </c>
      <c r="D68" s="11" t="inlineStr">
        <is>
          <t>OTH</t>
        </is>
      </c>
      <c r="E68" s="79" t="inlineStr">
        <is>
          <t>Chief Architect — Servicing</t>
        </is>
      </c>
      <c r="F68" s="35" t="inlineStr">
        <is>
          <t>E5</t>
        </is>
      </c>
      <c r="G68" s="35" t="inlineStr">
        <is>
          <t>ON</t>
        </is>
      </c>
      <c r="H68" s="35" t="inlineStr">
        <is>
          <t>FTC</t>
        </is>
      </c>
      <c r="I68" s="70" t="n">
        <v>0.5</v>
      </c>
      <c r="J68" s="42">
        <f>I68</f>
        <v/>
      </c>
    </row>
    <row r="69" ht="15" customHeight="1" s="73">
      <c r="B69" s="19" t="n"/>
      <c r="C69" s="11" t="n"/>
      <c r="D69" s="11" t="n"/>
      <c r="E69" s="79" t="inlineStr">
        <is>
          <t>Year 5 horizontal total</t>
        </is>
      </c>
      <c r="F69" s="35" t="n"/>
      <c r="G69" s="35" t="n"/>
      <c r="H69" s="35" t="n"/>
      <c r="I69" s="70">
        <f>SUM(I59:I68)</f>
        <v/>
      </c>
      <c r="J69" s="42">
        <f>SUM(J59:J68)</f>
        <v/>
      </c>
    </row>
    <row r="70" ht="15" customHeight="1" s="73">
      <c r="B70" s="19" t="n"/>
      <c r="C70" s="11" t="n"/>
      <c r="D70" s="11" t="n"/>
      <c r="E70" s="79" t="n"/>
      <c r="F70" s="35" t="n"/>
      <c r="G70" s="35" t="n"/>
      <c r="H70" s="35" t="n"/>
      <c r="I70" s="70" t="n"/>
      <c r="J70" s="42" t="n"/>
    </row>
    <row r="71" ht="15" customHeight="1" s="73">
      <c r="B71" s="19" t="inlineStr">
        <is>
          <t>H1 is sized from the incident and change load on the AMS sheet — 1,145 incidents and 2,071 changes a year — and holds the FSI control cell covering K2 (EAI 12117), POS-IMS (13453), W13WEP-JPN (9947) and JP-RPASS (11604). The remaining FSI seats sit inside the two value-stream teams that own those applications, which is where the work is.</t>
        </is>
      </c>
      <c r="C71" s="11" t="n"/>
      <c r="D71" s="11" t="n"/>
      <c r="E71" s="14" t="n"/>
      <c r="F71" s="35" t="n"/>
      <c r="G71" s="35" t="n"/>
      <c r="H71" s="35" t="n"/>
      <c r="I71" s="37" t="n"/>
      <c r="J71" s="69" t="n"/>
    </row>
    <row r="72" ht="15" customHeight="1" s="73">
      <c r="B72" s="19" t="n"/>
      <c r="C72" s="11" t="n"/>
      <c r="D72" s="11" t="n"/>
      <c r="E72" s="79" t="n"/>
      <c r="F72" s="35" t="n"/>
      <c r="G72" s="35" t="n"/>
      <c r="H72" s="35" t="n"/>
      <c r="I72" s="41" t="n"/>
      <c r="J72" s="42" t="n"/>
    </row>
    <row r="73" ht="15" customHeight="1" s="73">
      <c r="B73" s="19" t="n"/>
      <c r="C73" s="11" t="n"/>
      <c r="D73" s="11" t="n"/>
      <c r="E73" s="79" t="n"/>
      <c r="F73" s="35" t="n"/>
      <c r="G73" s="35" t="n"/>
      <c r="H73" s="35" t="n"/>
      <c r="I73" s="41" t="n"/>
      <c r="J73" s="42" t="n"/>
    </row>
    <row r="74" ht="15" customHeight="1" s="73">
      <c r="B74" s="19" t="n"/>
      <c r="C74" s="11" t="n"/>
      <c r="D74" s="11" t="n"/>
      <c r="E74" s="79" t="n"/>
      <c r="F74" s="35" t="n"/>
      <c r="G74" s="35" t="n"/>
      <c r="H74" s="35" t="n"/>
      <c r="I74" s="41" t="n"/>
      <c r="J74" s="42" t="n"/>
    </row>
    <row r="75" ht="15" customHeight="1" s="73">
      <c r="B75" s="19" t="n"/>
      <c r="C75" s="11" t="n"/>
      <c r="D75" s="11" t="n"/>
      <c r="E75" s="79" t="n"/>
      <c r="F75" s="35" t="n"/>
      <c r="G75" s="35" t="n"/>
      <c r="H75" s="35" t="n"/>
      <c r="I75" s="41" t="n"/>
      <c r="J75" s="42" t="n"/>
    </row>
    <row r="76" ht="15" customHeight="1" s="73">
      <c r="B76" s="19" t="n"/>
      <c r="C76" s="11" t="n"/>
      <c r="D76" s="11" t="n"/>
      <c r="E76" s="79" t="n"/>
      <c r="F76" s="35" t="n"/>
      <c r="G76" s="35" t="n"/>
      <c r="H76" s="35" t="n"/>
      <c r="I76" s="41" t="n"/>
      <c r="J76" s="42" t="n"/>
    </row>
    <row r="77" ht="15" customHeight="1" s="73">
      <c r="B77" s="19" t="n"/>
      <c r="C77" s="11" t="n"/>
      <c r="D77" s="11" t="n"/>
      <c r="E77" s="79" t="n"/>
      <c r="F77" s="35" t="n"/>
      <c r="G77" s="35" t="n"/>
      <c r="H77" s="35" t="n"/>
      <c r="I77" s="41" t="n"/>
      <c r="J77" s="42" t="n"/>
    </row>
    <row r="78" ht="15" customHeight="1" s="73">
      <c r="B78" s="19" t="n"/>
      <c r="C78" s="11" t="n"/>
      <c r="D78" s="11" t="n"/>
      <c r="E78" s="79" t="n"/>
      <c r="F78" s="35" t="n"/>
      <c r="G78" s="35" t="n"/>
      <c r="H78" s="35" t="n"/>
      <c r="I78" s="41" t="n"/>
      <c r="J78" s="42" t="n"/>
    </row>
    <row r="79" ht="15" customHeight="1" s="73">
      <c r="B79" s="19" t="n"/>
      <c r="C79" s="11" t="n"/>
      <c r="D79" s="11" t="n"/>
      <c r="E79" s="79" t="n"/>
      <c r="F79" s="35" t="n"/>
      <c r="G79" s="35" t="n"/>
      <c r="H79" s="35" t="n"/>
      <c r="I79" s="41" t="n"/>
      <c r="J79" s="42" t="n"/>
    </row>
    <row r="80" ht="15" customHeight="1" s="73">
      <c r="B80" s="19" t="n"/>
      <c r="C80" s="11" t="n"/>
      <c r="D80" s="11" t="n"/>
      <c r="E80" s="79" t="n"/>
      <c r="F80" s="35" t="n"/>
      <c r="G80" s="35" t="n"/>
      <c r="H80" s="35" t="n"/>
      <c r="I80" s="41" t="n"/>
      <c r="J80" s="42" t="n"/>
    </row>
    <row r="81" ht="15" customHeight="1" s="73">
      <c r="B81" s="19" t="n"/>
      <c r="C81" s="11" t="n"/>
      <c r="D81" s="11" t="n"/>
      <c r="E81" s="79" t="n"/>
      <c r="F81" s="35" t="n"/>
      <c r="G81" s="35" t="n"/>
      <c r="H81" s="35" t="n"/>
      <c r="I81" s="41" t="n"/>
      <c r="J81" s="42" t="n"/>
    </row>
    <row r="82" ht="15" customHeight="1" s="73">
      <c r="B82" s="19" t="n"/>
      <c r="C82" s="11" t="n"/>
      <c r="D82" s="11" t="n"/>
      <c r="E82" s="79" t="n"/>
      <c r="F82" s="35" t="n"/>
      <c r="G82" s="35" t="n"/>
      <c r="H82" s="35" t="n"/>
      <c r="I82" s="41" t="n"/>
      <c r="J82" s="42" t="n"/>
    </row>
    <row r="83" ht="15" customHeight="1" s="73">
      <c r="E83" s="14" t="n"/>
      <c r="I83" s="15" t="n"/>
    </row>
    <row r="85" ht="15" customHeight="1" s="73">
      <c r="B85" s="19" t="n"/>
      <c r="C85" s="11" t="n"/>
      <c r="D85" s="11" t="n"/>
      <c r="E85" s="79" t="n"/>
      <c r="F85" s="35" t="n"/>
      <c r="G85" s="35" t="n"/>
      <c r="H85" s="35" t="n"/>
      <c r="I85" s="41" t="n"/>
      <c r="J85" s="42" t="n"/>
    </row>
    <row r="86" ht="15" customHeight="1" s="73">
      <c r="B86" s="19" t="n"/>
      <c r="C86" s="11" t="n"/>
      <c r="D86" s="11" t="n"/>
      <c r="E86" s="79" t="n"/>
      <c r="F86" s="35" t="n"/>
      <c r="G86" s="35" t="n"/>
      <c r="H86" s="35" t="n"/>
      <c r="I86" s="41" t="n"/>
      <c r="J86" s="42" t="n"/>
    </row>
    <row r="87" ht="15" customHeight="1" s="73">
      <c r="B87" s="19" t="n"/>
      <c r="C87" s="11" t="n"/>
      <c r="D87" s="11" t="n"/>
      <c r="E87" s="79" t="n"/>
      <c r="F87" s="35" t="n"/>
      <c r="G87" s="35" t="n"/>
      <c r="H87" s="35" t="n"/>
      <c r="I87" s="41" t="n"/>
      <c r="J87" s="42" t="n"/>
    </row>
    <row r="88" ht="15" customHeight="1" s="73">
      <c r="B88" s="19" t="n"/>
      <c r="C88" s="11" t="n"/>
      <c r="D88" s="11" t="n"/>
      <c r="E88" s="79" t="n"/>
      <c r="F88" s="35" t="n"/>
      <c r="G88" s="35" t="n"/>
      <c r="H88" s="35" t="n"/>
      <c r="I88" s="41" t="n"/>
      <c r="J88" s="42" t="n"/>
    </row>
    <row r="89" ht="15" customHeight="1" s="73">
      <c r="B89" s="19" t="n"/>
      <c r="C89" s="11" t="n"/>
      <c r="D89" s="11" t="n"/>
      <c r="E89" s="79" t="n"/>
      <c r="F89" s="35" t="n"/>
      <c r="G89" s="35" t="n"/>
      <c r="H89" s="35" t="n"/>
      <c r="I89" s="41" t="n"/>
      <c r="J89" s="42" t="n"/>
    </row>
    <row r="90" ht="15" customHeight="1" s="73">
      <c r="B90" s="19" t="n"/>
      <c r="C90" s="11" t="n"/>
      <c r="D90" s="11" t="n"/>
      <c r="E90" s="79" t="n"/>
      <c r="F90" s="35" t="n"/>
      <c r="G90" s="35" t="n"/>
      <c r="H90" s="35" t="n"/>
      <c r="I90" s="41" t="n"/>
      <c r="J90" s="42" t="n"/>
    </row>
    <row r="91" ht="15" customHeight="1" s="73">
      <c r="B91" s="19" t="n"/>
      <c r="C91" s="11" t="n"/>
      <c r="D91" s="11" t="n"/>
      <c r="E91" s="79" t="n"/>
      <c r="F91" s="35" t="n"/>
      <c r="G91" s="35" t="n"/>
      <c r="H91" s="35" t="n"/>
      <c r="I91" s="41" t="n"/>
      <c r="J91" s="42" t="n"/>
    </row>
    <row r="92" ht="15" customHeight="1" s="73">
      <c r="B92" s="19" t="n"/>
      <c r="C92" s="11" t="n"/>
      <c r="D92" s="11" t="n"/>
      <c r="E92" s="79" t="n"/>
      <c r="F92" s="35" t="n"/>
      <c r="G92" s="35" t="n"/>
      <c r="H92" s="35" t="n"/>
      <c r="I92" s="41" t="n"/>
      <c r="J92" s="42" t="n"/>
    </row>
    <row r="93" ht="15" customHeight="1" s="73">
      <c r="B93" s="19" t="n"/>
      <c r="C93" s="11" t="n"/>
      <c r="D93" s="11" t="n"/>
      <c r="E93" s="79" t="n"/>
      <c r="F93" s="35" t="n"/>
      <c r="G93" s="35" t="n"/>
      <c r="H93" s="35" t="n"/>
      <c r="I93" s="41" t="n"/>
      <c r="J93" s="42" t="n"/>
    </row>
    <row r="94" ht="15" customHeight="1" s="73">
      <c r="B94" s="19" t="n"/>
      <c r="C94" s="11" t="n"/>
      <c r="D94" s="11" t="n"/>
      <c r="E94" s="79" t="n"/>
      <c r="F94" s="35" t="n"/>
      <c r="G94" s="35" t="n"/>
      <c r="H94" s="35" t="n"/>
      <c r="I94" s="41" t="n"/>
      <c r="J94" s="42" t="n"/>
    </row>
    <row r="95" ht="15" customHeight="1" s="73">
      <c r="B95" s="19" t="n"/>
      <c r="C95" s="11" t="n"/>
      <c r="D95" s="11" t="n"/>
      <c r="E95" s="79" t="n"/>
      <c r="F95" s="35" t="n"/>
      <c r="G95" s="35" t="n"/>
      <c r="H95" s="35" t="n"/>
      <c r="I95" s="41" t="n"/>
      <c r="J95" s="42" t="n"/>
    </row>
    <row r="96" ht="15" customHeight="1" s="73">
      <c r="B96" s="19" t="n"/>
      <c r="C96" s="11" t="n"/>
      <c r="D96" s="11" t="n"/>
      <c r="E96" s="79" t="n"/>
      <c r="F96" s="35" t="n"/>
      <c r="G96" s="35" t="n"/>
      <c r="H96" s="35" t="n"/>
      <c r="I96" s="41" t="n"/>
      <c r="J96" s="42" t="n"/>
    </row>
    <row r="97" ht="15" customHeight="1" s="73">
      <c r="B97" s="19" t="n"/>
      <c r="C97" s="11" t="n"/>
      <c r="D97" s="11" t="n"/>
      <c r="E97" s="79" t="n"/>
      <c r="F97" s="35" t="n"/>
      <c r="G97" s="35" t="n"/>
      <c r="H97" s="35" t="n"/>
      <c r="I97" s="41" t="n"/>
      <c r="J97" s="42" t="n"/>
    </row>
    <row r="98" ht="15" customHeight="1" s="73">
      <c r="B98" s="19" t="n"/>
      <c r="C98" s="11" t="n"/>
      <c r="D98" s="11" t="n"/>
      <c r="E98" s="79" t="n"/>
      <c r="F98" s="35" t="n"/>
      <c r="G98" s="35" t="n"/>
      <c r="H98" s="35" t="n"/>
      <c r="I98" s="41" t="n"/>
      <c r="J98" s="42" t="n"/>
    </row>
    <row r="99" ht="15" customHeight="1" s="73">
      <c r="B99" s="19" t="n"/>
      <c r="C99" s="11" t="n"/>
      <c r="D99" s="11" t="n"/>
      <c r="E99" s="79" t="n"/>
      <c r="F99" s="35" t="n"/>
      <c r="G99" s="35" t="n"/>
      <c r="H99" s="35" t="n"/>
      <c r="I99" s="41" t="n"/>
      <c r="J99" s="42" t="n"/>
    </row>
    <row r="100" ht="15" customHeight="1" s="73">
      <c r="B100" s="19" t="n"/>
      <c r="C100" s="11" t="n"/>
      <c r="D100" s="11" t="n"/>
      <c r="E100" s="79" t="n"/>
      <c r="F100" s="35" t="n"/>
      <c r="G100" s="35" t="n"/>
      <c r="H100" s="35" t="n"/>
      <c r="I100" s="41" t="n"/>
      <c r="J100" s="42" t="n"/>
    </row>
    <row r="101" ht="15" customHeight="1" s="73">
      <c r="B101" s="19" t="n"/>
      <c r="C101" s="11" t="n"/>
      <c r="D101" s="11" t="n"/>
      <c r="E101" s="79" t="n"/>
      <c r="F101" s="35" t="n"/>
      <c r="G101" s="35" t="n"/>
      <c r="H101" s="35" t="n"/>
      <c r="I101" s="41" t="n"/>
      <c r="J101" s="42" t="n"/>
    </row>
    <row r="102" ht="15" customHeight="1" s="73">
      <c r="B102" s="19" t="n"/>
      <c r="C102" s="11" t="n"/>
      <c r="D102" s="11" t="n"/>
      <c r="E102" s="79" t="n"/>
      <c r="F102" s="35" t="n"/>
      <c r="G102" s="35" t="n"/>
      <c r="H102" s="35" t="n"/>
      <c r="I102" s="41" t="n"/>
      <c r="J102" s="42" t="n"/>
    </row>
    <row r="103" ht="15" customHeight="1" s="73">
      <c r="E103" s="14" t="n"/>
      <c r="I103" s="15" t="n"/>
    </row>
    <row r="105" ht="30" customHeight="1" s="73">
      <c r="B105" s="78" t="n"/>
    </row>
  </sheetData>
  <mergeCells count="2">
    <mergeCell ref="A2:L2"/>
    <mergeCell ref="A1:L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J76"/>
  <sheetViews>
    <sheetView topLeftCell="A42" zoomScaleNormal="100" workbookViewId="0">
      <selection activeCell="D63" sqref="D63"/>
    </sheetView>
  </sheetViews>
  <sheetFormatPr baseColWidth="8" defaultColWidth="8.6328125" defaultRowHeight="14.5"/>
  <cols>
    <col width="2.453125" customWidth="1" style="73" min="1" max="1"/>
    <col width="44" customWidth="1" style="73" min="2" max="2"/>
    <col width="13" customWidth="1" style="73" min="3" max="7"/>
    <col width="3" customWidth="1" style="73" min="8" max="8"/>
    <col width="13" customWidth="1" style="73" min="9" max="10"/>
    <col width="11" customWidth="1" style="73" min="11" max="11"/>
  </cols>
  <sheetData>
    <row r="1" ht="25.5" customHeight="1" s="73">
      <c r="A1" s="72" t="inlineStr">
        <is>
          <t>Team build-up  —  and the Year-1 reconciliation to Appendix 3 v5</t>
        </is>
      </c>
    </row>
    <row r="2" ht="15" customHeight="1" s="73">
      <c r="A2" s="75" t="inlineStr">
        <is>
          <t>Nothing on this sheet is typed. Section B is the test that matters: the roster has to be the client's own Year-1 position on effort, sourcing, location AND role.</t>
        </is>
      </c>
    </row>
    <row r="4" ht="15" customHeight="1" s="73">
      <c r="A4" s="76" t="inlineStr">
        <is>
          <t>A.  HEADCOUNT</t>
        </is>
      </c>
    </row>
    <row r="5" ht="15" customHeight="1" s="73">
      <c r="B5" s="5" t="inlineStr">
        <is>
          <t>Measure</t>
        </is>
      </c>
      <c r="C5" s="5" t="inlineStr">
        <is>
          <t>Year 1</t>
        </is>
      </c>
      <c r="D5" s="5" t="inlineStr">
        <is>
          <t>Year 2</t>
        </is>
      </c>
      <c r="E5" s="5" t="inlineStr">
        <is>
          <t>Year 3</t>
        </is>
      </c>
      <c r="F5" s="5" t="inlineStr">
        <is>
          <t>Year 4</t>
        </is>
      </c>
      <c r="G5" s="5" t="inlineStr">
        <is>
          <t>Year 5</t>
        </is>
      </c>
    </row>
    <row r="6" ht="15" customHeight="1" s="73">
      <c r="B6" s="79" t="inlineStr">
        <is>
          <t>People in agile pods (none in this domain)</t>
        </is>
      </c>
      <c r="C6" s="9">
        <f>SUMIFS('Seat Ledger'!$M$5:$M$235,'Seat Ledger'!$B$5:$B$235,1,'Seat Ledger'!$C$5:$C$235,"POD")</f>
        <v/>
      </c>
      <c r="D6" s="9">
        <f>SUMIFS('Seat Ledger'!$M$5:$M$235,'Seat Ledger'!$B$5:$B$235,2,'Seat Ledger'!$C$5:$C$235,"POD")</f>
        <v/>
      </c>
      <c r="E6" s="9">
        <f>SUMIFS('Seat Ledger'!$M$5:$M$235,'Seat Ledger'!$B$5:$B$235,3,'Seat Ledger'!$C$5:$C$235,"POD")</f>
        <v/>
      </c>
      <c r="F6" s="9">
        <f>SUMIFS('Seat Ledger'!$M$5:$M$235,'Seat Ledger'!$B$5:$B$235,4,'Seat Ledger'!$C$5:$C$235,"POD")</f>
        <v/>
      </c>
      <c r="G6" s="9">
        <f>SUMIFS('Seat Ledger'!$M$5:$M$235,'Seat Ledger'!$B$5:$B$235,5,'Seat Ledger'!$C$5:$C$235,"POD")</f>
        <v/>
      </c>
    </row>
    <row r="7" ht="15" customHeight="1" s="73">
      <c r="B7" s="79" t="inlineStr">
        <is>
          <t>People in value-stream TEAMS of 12</t>
        </is>
      </c>
      <c r="C7" s="9">
        <f>SUMIFS('Seat Ledger'!$M$5:$M$235,'Seat Ledger'!$B$5:$B$235,1,'Seat Ledger'!$C$5:$C$235,"TEAM")</f>
        <v/>
      </c>
      <c r="D7" s="9">
        <f>SUMIFS('Seat Ledger'!$M$5:$M$235,'Seat Ledger'!$B$5:$B$235,2,'Seat Ledger'!$C$5:$C$235,"TEAM")</f>
        <v/>
      </c>
      <c r="E7" s="9">
        <f>SUMIFS('Seat Ledger'!$M$5:$M$235,'Seat Ledger'!$B$5:$B$235,3,'Seat Ledger'!$C$5:$C$235,"TEAM")</f>
        <v/>
      </c>
      <c r="F7" s="9">
        <f>SUMIFS('Seat Ledger'!$M$5:$M$235,'Seat Ledger'!$B$5:$B$235,4,'Seat Ledger'!$C$5:$C$235,"TEAM")</f>
        <v/>
      </c>
      <c r="G7" s="9">
        <f>SUMIFS('Seat Ledger'!$M$5:$M$235,'Seat Ledger'!$B$5:$B$235,5,'Seat Ledger'!$C$5:$C$235,"TEAM")</f>
        <v/>
      </c>
    </row>
    <row r="8" ht="15" customHeight="1" s="73">
      <c r="B8" s="79" t="inlineStr">
        <is>
          <t>People in horizontal teams</t>
        </is>
      </c>
      <c r="C8" s="9">
        <f>SUMIFS('Seat Ledger'!$M$5:$M$235,'Seat Ledger'!$B$5:$B$235,1,'Seat Ledger'!$C$5:$C$235,"HZ")</f>
        <v/>
      </c>
      <c r="D8" s="9">
        <f>SUMIFS('Seat Ledger'!$M$5:$M$235,'Seat Ledger'!$B$5:$B$235,2,'Seat Ledger'!$C$5:$C$235,"HZ")</f>
        <v/>
      </c>
      <c r="E8" s="9">
        <f>SUMIFS('Seat Ledger'!$M$5:$M$235,'Seat Ledger'!$B$5:$B$235,3,'Seat Ledger'!$C$5:$C$235,"HZ")</f>
        <v/>
      </c>
      <c r="F8" s="9">
        <f>SUMIFS('Seat Ledger'!$M$5:$M$235,'Seat Ledger'!$B$5:$B$235,4,'Seat Ledger'!$C$5:$C$235,"HZ")</f>
        <v/>
      </c>
      <c r="G8" s="9">
        <f>SUMIFS('Seat Ledger'!$M$5:$M$235,'Seat Ledger'!$B$5:$B$235,5,'Seat Ledger'!$C$5:$C$235,"HZ")</f>
        <v/>
      </c>
    </row>
    <row r="9" ht="15" customHeight="1" s="73">
      <c r="B9" s="14" t="inlineStr">
        <is>
          <t>TOTAL PEOPLE</t>
        </is>
      </c>
      <c r="C9" s="15">
        <f>SUM(C6:C8)</f>
        <v/>
      </c>
      <c r="D9" s="15">
        <f>SUM(D6:D8)</f>
        <v/>
      </c>
      <c r="E9" s="15">
        <f>SUM(E6:E8)</f>
        <v/>
      </c>
      <c r="F9" s="15">
        <f>SUM(F6:F8)</f>
        <v/>
      </c>
      <c r="G9" s="15">
        <f>SUM(G6:G8)</f>
        <v/>
      </c>
    </row>
    <row r="10" ht="15" customHeight="1" s="73">
      <c r="B10" s="79" t="inlineStr">
        <is>
          <t>Delivery units — team instances (POSW + POSR)</t>
        </is>
      </c>
      <c r="C10" s="43" t="inlineStr">
        <is>
          <t>4 + 3</t>
        </is>
      </c>
      <c r="D10" s="43" t="inlineStr">
        <is>
          <t>4 + 2</t>
        </is>
      </c>
      <c r="E10" s="43" t="inlineStr">
        <is>
          <t>3 + 2</t>
        </is>
      </c>
      <c r="F10" s="43" t="inlineStr">
        <is>
          <t>3 + 1</t>
        </is>
      </c>
      <c r="G10" s="43" t="inlineStr">
        <is>
          <t>3 + 1</t>
        </is>
      </c>
    </row>
    <row r="11" ht="15" customHeight="1" s="73">
      <c r="B11" s="79" t="inlineStr">
        <is>
          <t>Headcount target from the Logic Tree</t>
        </is>
      </c>
      <c r="C11" s="9">
        <f>'Logic Tree'!C53</f>
        <v/>
      </c>
      <c r="D11" s="9">
        <f>'Logic Tree'!D53</f>
        <v/>
      </c>
      <c r="E11" s="9">
        <f>'Logic Tree'!E53</f>
        <v/>
      </c>
      <c r="F11" s="9">
        <f>'Logic Tree'!F53</f>
        <v/>
      </c>
      <c r="G11" s="9">
        <f>'Logic Tree'!G53</f>
        <v/>
      </c>
    </row>
    <row r="12" ht="15" customHeight="1" s="73">
      <c r="B12" s="4" t="inlineStr">
        <is>
          <t>Variance to target</t>
        </is>
      </c>
      <c r="C12" s="39">
        <f>C9-C11</f>
        <v/>
      </c>
      <c r="D12" s="39">
        <f>D9-D11</f>
        <v/>
      </c>
      <c r="E12" s="39">
        <f>E9-E11</f>
        <v/>
      </c>
      <c r="F12" s="39">
        <f>F9-F11</f>
        <v/>
      </c>
      <c r="G12" s="39">
        <f>G9-G11</f>
        <v/>
      </c>
    </row>
    <row r="14" ht="15" customHeight="1" s="73">
      <c r="A14" s="76" t="inlineStr">
        <is>
          <t>B.  YEAR-1 RECONCILIATION TO APPENDIX 3 v3</t>
        </is>
      </c>
    </row>
    <row r="15" ht="27.75" customHeight="1" s="73">
      <c r="B15" s="5" t="inlineStr">
        <is>
          <t>Measure</t>
        </is>
      </c>
      <c r="C15" s="5" t="inlineStr">
        <is>
          <t>Model Year 1</t>
        </is>
      </c>
      <c r="D15" s="5" t="inlineStr">
        <is>
          <t>Appendix 3 v5</t>
        </is>
      </c>
      <c r="E15" s="5" t="inlineStr">
        <is>
          <t>Variance</t>
        </is>
      </c>
      <c r="F15" s="5" t="n"/>
      <c r="G15" s="5" t="n"/>
      <c r="H15" s="5" t="inlineStr">
        <is>
          <t>Reading</t>
        </is>
      </c>
    </row>
    <row r="16" ht="15" customHeight="1" s="73">
      <c r="B16" s="4" t="inlineStr">
        <is>
          <t>Total effort / people</t>
        </is>
      </c>
      <c r="C16" s="9">
        <f>C9</f>
        <v/>
      </c>
      <c r="D16" s="9">
        <f>'Logic Tree'!C7</f>
        <v/>
      </c>
      <c r="E16" s="15">
        <f>C16-D16</f>
        <v/>
      </c>
      <c r="H16" s="78" t="inlineStr">
        <is>
          <t>Whole-domain size. Unchanged since v2.</t>
        </is>
      </c>
    </row>
    <row r="17" ht="15" customHeight="1" s="73">
      <c r="B17" s="4" t="inlineStr">
        <is>
          <t>FTC reported  (Capgemini + partner)</t>
        </is>
      </c>
      <c r="C17" s="9">
        <f>SUMIFS('Seat Ledger'!$M$5:$M$235,'Seat Ledger'!$B$5:$B$235,1,'Seat Ledger'!$J$5:$J$235,"FTC")+SUMIFS('Seat Ledger'!$M$5:$M$235,'Seat Ledger'!$B$5:$B$235,1,'Seat Ledger'!$J$5:$J$235,"PT")</f>
        <v/>
      </c>
      <c r="D17" s="9">
        <f>'Logic Tree'!C8</f>
        <v/>
      </c>
      <c r="E17" s="15">
        <f>C17-D17</f>
        <v/>
      </c>
      <c r="H17" s="78" t="inlineStr">
        <is>
          <t>Appendix 3 reports the vendor as one number. This is the line that has to reconcile.</t>
        </is>
      </c>
    </row>
    <row r="18" ht="15" customHeight="1" s="73">
      <c r="B18" s="4" t="inlineStr">
        <is>
          <t xml:space="preserve">  — of which Capgemini payroll</t>
        </is>
      </c>
      <c r="C18" s="9">
        <f>SUMIFS('Seat Ledger'!$M$5:$M$235,'Seat Ledger'!$B$5:$B$235,1,'Seat Ledger'!$J$5:$J$235,"FTC")</f>
        <v/>
      </c>
      <c r="D18" s="28" t="inlineStr">
        <is>
          <t>—</t>
        </is>
      </c>
      <c r="E18" s="28" t="inlineStr">
        <is>
          <t>—</t>
        </is>
      </c>
      <c r="H18" s="78" t="inlineStr">
        <is>
          <t>Transferable at the end of Year 3.</t>
        </is>
      </c>
    </row>
    <row r="19" ht="15" customHeight="1" s="73">
      <c r="B19" s="4" t="inlineStr">
        <is>
          <t xml:space="preserve">  — of which FSI (four-application partner cell)</t>
        </is>
      </c>
      <c r="C19" s="9">
        <f>SUMIFS('Seat Ledger'!$M$5:$M$235,'Seat Ledger'!$B$5:$B$235,1,'Seat Ledger'!$J$5:$J$235,"PT")</f>
        <v/>
      </c>
      <c r="D19" s="28" t="inlineStr">
        <is>
          <t>—</t>
        </is>
      </c>
      <c r="E19" s="28" t="inlineStr">
        <is>
          <t>—</t>
        </is>
      </c>
      <c r="H19" s="78" t="inlineStr">
        <is>
          <t>NOT transferable, and onshore Japan by definition. K2, POS-IMS, W13WEP-JPN and JP-RPASS.</t>
        </is>
      </c>
    </row>
    <row r="20" ht="15" customHeight="1" s="73">
      <c r="B20" s="4" t="inlineStr">
        <is>
          <t>MetLife Japan FTE</t>
        </is>
      </c>
      <c r="C20" s="9">
        <f>SUMIFS('Seat Ledger'!$M$5:$M$235,'Seat Ledger'!$B$5:$B$235,1,'Seat Ledger'!$J$5:$J$235,"FTE")</f>
        <v/>
      </c>
      <c r="D20" s="9">
        <f>'Logic Tree'!C9</f>
        <v/>
      </c>
      <c r="E20" s="15">
        <f>C20-D20</f>
        <v/>
      </c>
      <c r="H20" s="78" t="inlineStr">
        <is>
          <t>Product owners, domain SMEs and application owners.</t>
        </is>
      </c>
    </row>
    <row r="21" ht="15" customHeight="1" s="73">
      <c r="B21" s="4" t="inlineStr">
        <is>
          <t>MetLife MGCC</t>
        </is>
      </c>
      <c r="C21" s="9">
        <f>SUMIFS('Seat Ledger'!$M$5:$M$235,'Seat Ledger'!$B$5:$B$235,1,'Seat Ledger'!$J$5:$J$235,"MGCC")</f>
        <v/>
      </c>
      <c r="D21" s="9">
        <f>'Logic Tree'!C10</f>
        <v/>
      </c>
      <c r="E21" s="15">
        <f>C21-D21</f>
        <v/>
      </c>
      <c r="H21" s="78" t="inlineStr">
        <is>
          <t>15.99 units on day one — MGCC is already the second largest sourcing pool in this domain.</t>
        </is>
      </c>
    </row>
    <row r="22" ht="15" customHeight="1" s="73">
      <c r="B22" s="4" t="inlineStr">
        <is>
          <t>Vendor onshore Tokyo</t>
        </is>
      </c>
      <c r="C22" s="9">
        <f>SUMIFS('Seat Ledger'!$M$5:$M$235,'Seat Ledger'!$B$5:$B$235,1,'Seat Ledger'!$J$5:$J$235,"FTC",'Seat Ledger'!$I$5:$I$235,"ON")+SUMIFS('Seat Ledger'!$M$5:$M$235,'Seat Ledger'!$B$5:$B$235,1,'Seat Ledger'!$J$5:$J$235,"PT",'Seat Ledger'!$I$5:$I$235,"ON")</f>
        <v/>
      </c>
      <c r="D22" s="9">
        <f>'Logic Tree'!C11</f>
        <v/>
      </c>
      <c r="E22" s="15">
        <f>C22-D22</f>
        <v/>
      </c>
      <c r="H22" s="78" t="inlineStr">
        <is>
          <t>MEASURED, not assumed.</t>
        </is>
      </c>
    </row>
    <row r="23" ht="15" customHeight="1" s="73">
      <c r="B23" s="4" t="inlineStr">
        <is>
          <t>Vendor nearshore</t>
        </is>
      </c>
      <c r="C23" s="9">
        <f>SUMIFS('Seat Ledger'!$M$5:$M$235,'Seat Ledger'!$B$5:$B$235,1,'Seat Ledger'!$J$5:$J$235,"FTC",'Seat Ledger'!$I$5:$I$235,"NEAR")+SUMIFS('Seat Ledger'!$M$5:$M$235,'Seat Ledger'!$B$5:$B$235,1,'Seat Ledger'!$J$5:$J$235,"PT",'Seat Ledger'!$I$5:$I$235,"NEAR")</f>
        <v/>
      </c>
      <c r="D23" s="9">
        <f>'Logic Tree'!C13</f>
        <v/>
      </c>
      <c r="E23" s="15">
        <f>C23-D23</f>
        <v/>
      </c>
      <c r="H23" s="78" t="inlineStr">
        <is>
          <t>Zero. There is no nearshore capacity in this 領域.</t>
        </is>
      </c>
    </row>
    <row r="24" ht="15" customHeight="1" s="73">
      <c r="B24" s="4" t="inlineStr">
        <is>
          <t>Vendor offshore</t>
        </is>
      </c>
      <c r="C24" s="9">
        <f>SUMIFS('Seat Ledger'!$M$5:$M$235,'Seat Ledger'!$B$5:$B$235,1,'Seat Ledger'!$J$5:$J$235,"FTC",'Seat Ledger'!$I$5:$I$235,"OFF")+SUMIFS('Seat Ledger'!$M$5:$M$235,'Seat Ledger'!$B$5:$B$235,1,'Seat Ledger'!$J$5:$J$235,"PT",'Seat Ledger'!$I$5:$I$235,"OFF")</f>
        <v/>
      </c>
      <c r="D24" s="9">
        <f>'Logic Tree'!C12</f>
        <v/>
      </c>
      <c r="E24" s="15">
        <f>C24-D24</f>
        <v/>
      </c>
      <c r="H24" s="78" t="inlineStr">
        <is>
          <t>28.87 units already offshore — 44% of the Capgemini population on day one. MGCC is excluded: it is MetLife's.</t>
        </is>
      </c>
    </row>
    <row r="25" ht="15" customHeight="1" s="73">
      <c r="B25" s="4" t="inlineStr">
        <is>
          <t>Role — BSA</t>
        </is>
      </c>
      <c r="C25" s="9">
        <f>SUMIFS('Seat Ledger'!$M$5:$M$235,'Seat Ledger'!$B$5:$B$235,1,'Seat Ledger'!$J$5:$J$235,"FTC",'Seat Ledger'!$G$5:$G$235,"BSA")+SUMIFS('Seat Ledger'!$M$5:$M$235,'Seat Ledger'!$B$5:$B$235,1,'Seat Ledger'!$J$5:$J$235,"PT",'Seat Ledger'!$G$5:$G$235,"BSA")</f>
        <v/>
      </c>
      <c r="D25" s="9">
        <f>'Logic Tree'!C15</f>
        <v/>
      </c>
      <c r="E25" s="15">
        <f>C25-D25</f>
        <v/>
      </c>
      <c r="H25" s="78" t="inlineStr">
        <is>
          <t>Reconciles.</t>
        </is>
      </c>
    </row>
    <row r="26" ht="15" customHeight="1" s="73">
      <c r="B26" s="4" t="inlineStr">
        <is>
          <t>Role — Developer</t>
        </is>
      </c>
      <c r="C26" s="9">
        <f>SUMIFS('Seat Ledger'!$M$5:$M$235,'Seat Ledger'!$B$5:$B$235,1,'Seat Ledger'!$J$5:$J$235,"FTC",'Seat Ledger'!$G$5:$G$235,"DEV")+SUMIFS('Seat Ledger'!$M$5:$M$235,'Seat Ledger'!$B$5:$B$235,1,'Seat Ledger'!$J$5:$J$235,"PT",'Seat Ledger'!$G$5:$G$235,"DEV")</f>
        <v/>
      </c>
      <c r="D26" s="9">
        <f>'Logic Tree'!C16</f>
        <v/>
      </c>
      <c r="E26" s="15">
        <f>C26-D26</f>
        <v/>
      </c>
      <c r="H26" s="78" t="inlineStr">
        <is>
          <t>As reported. 66% of the vendor population.</t>
        </is>
      </c>
    </row>
    <row r="27" ht="15" customHeight="1" s="73">
      <c r="B27" s="4" t="inlineStr">
        <is>
          <t>Role — Tester</t>
        </is>
      </c>
      <c r="C27" s="9">
        <f>SUMIFS('Seat Ledger'!$M$5:$M$235,'Seat Ledger'!$B$5:$B$235,1,'Seat Ledger'!$J$5:$J$235,"FTC",'Seat Ledger'!$G$5:$G$235,"TEST")+SUMIFS('Seat Ledger'!$M$5:$M$235,'Seat Ledger'!$B$5:$B$235,1,'Seat Ledger'!$J$5:$J$235,"PT",'Seat Ledger'!$G$5:$G$235,"TEST")</f>
        <v/>
      </c>
      <c r="D27" s="9">
        <f>'Logic Tree'!C17</f>
        <v/>
      </c>
      <c r="E27" s="15">
        <f>C27-D27</f>
        <v/>
      </c>
      <c r="H27" s="78" t="inlineStr">
        <is>
          <t>As reported. The lowest tester share in the portfolio, at 7.9%.</t>
        </is>
      </c>
    </row>
    <row r="28" ht="15" customHeight="1" s="73">
      <c r="B28" s="4" t="inlineStr">
        <is>
          <t>Role — Maintenance</t>
        </is>
      </c>
      <c r="C28" s="9">
        <f>SUMIFS('Seat Ledger'!$M$5:$M$235,'Seat Ledger'!$B$5:$B$235,1,'Seat Ledger'!$J$5:$J$235,"FTC",'Seat Ledger'!$G$5:$G$235,"MNT")+SUMIFS('Seat Ledger'!$M$5:$M$235,'Seat Ledger'!$B$5:$B$235,1,'Seat Ledger'!$J$5:$J$235,"PT",'Seat Ledger'!$G$5:$G$235,"MNT")</f>
        <v/>
      </c>
      <c r="D28" s="9">
        <f>'Logic Tree'!C18</f>
        <v/>
      </c>
      <c r="E28" s="15">
        <f>C28-D28</f>
        <v/>
      </c>
      <c r="H28" s="78" t="inlineStr">
        <is>
          <t>As reported by MetLife and used unchanged.</t>
        </is>
      </c>
    </row>
    <row r="29" ht="15" customHeight="1" s="73">
      <c r="B29" s="4" t="inlineStr">
        <is>
          <t>Role — PM</t>
        </is>
      </c>
      <c r="C29" s="9">
        <f>SUMIFS('Seat Ledger'!$M$5:$M$235,'Seat Ledger'!$B$5:$B$235,1,'Seat Ledger'!$J$5:$J$235,"FTC",'Seat Ledger'!$G$5:$G$235,"PM")+SUMIFS('Seat Ledger'!$M$5:$M$235,'Seat Ledger'!$B$5:$B$235,1,'Seat Ledger'!$J$5:$J$235,"PT",'Seat Ledger'!$G$5:$G$235,"PM")</f>
        <v/>
      </c>
      <c r="D29" s="9">
        <f>'Logic Tree'!C19</f>
        <v/>
      </c>
      <c r="E29" s="15">
        <f>C29-D29</f>
        <v/>
      </c>
      <c r="H29" s="78" t="inlineStr">
        <is>
          <t>As reported. Thin at 2.2%, but populated.</t>
        </is>
      </c>
    </row>
    <row r="30" ht="15" customHeight="1" s="73">
      <c r="B30" s="4" t="inlineStr">
        <is>
          <t>Role — Other</t>
        </is>
      </c>
      <c r="C30" s="9">
        <f>SUMIFS('Seat Ledger'!$M$5:$M$235,'Seat Ledger'!$B$5:$B$235,1,'Seat Ledger'!$J$5:$J$235,"FTC",'Seat Ledger'!$G$5:$G$235,"OTH")+SUMIFS('Seat Ledger'!$M$5:$M$235,'Seat Ledger'!$B$5:$B$235,1,'Seat Ledger'!$J$5:$J$235,"PT",'Seat Ledger'!$G$5:$G$235,"OTH")</f>
        <v/>
      </c>
      <c r="D30" s="9">
        <f>'Logic Tree'!C20</f>
        <v/>
      </c>
      <c r="E30" s="15">
        <f>C30-D30</f>
        <v/>
      </c>
      <c r="H30" s="78" t="inlineStr">
        <is>
          <t>As reported. Architecture and enablement.</t>
        </is>
      </c>
    </row>
    <row r="31" ht="15" customHeight="1" s="73">
      <c r="B31" s="24" t="inlineStr">
        <is>
          <t>Largest variance across every reconciling line</t>
        </is>
      </c>
      <c r="E31" s="26">
        <f>MAX(ABS(E16),ABS(E17),ABS(E20),ABS(E21),ABS(E22),ABS(E23),ABS(E24),ABS(E25),ABS(E26),ABS(E27),ABS(E28),ABS(E29),ABS(E30))</f>
        <v/>
      </c>
      <c r="G31" s="78" t="inlineStr">
        <is>
          <t>Appendix 3 v5 is internally consistent for all fifteen applications once the duplicate K2 line is excluded: every Total equals its FTC + FTE + MGCC. There is no unallocated capacity to carry.</t>
        </is>
      </c>
    </row>
    <row r="32" ht="15" customHeight="1" s="73">
      <c r="B32" s="14" t="inlineStr">
        <is>
          <t>Largest variance excluding the MetLife FTE line  (twelve lines)</t>
        </is>
      </c>
      <c r="E32" s="22">
        <f>MAX(ABS(E16),ABS(E17),ABS(E21),ABS(E22),ABS(E23),ABS(E24),ABS(E25),ABS(E26),ABS(E27),ABS(E28),ABS(E29),ABS(E30))</f>
        <v/>
      </c>
      <c r="G32" s="78" t="inlineStr">
        <is>
          <t>Every line — effort, vendor total, MetLife FTE, MGCC, both locations and all six client role lines — reconciles to within a few hundredths of a person after head-grid quantisation.</t>
        </is>
      </c>
    </row>
    <row r="33" ht="15" customHeight="1" s="73">
      <c r="A33" s="76" t="inlineStr">
        <is>
          <t>C.  THE ROLE LINE  —  used exactly as MetLife reports it</t>
        </is>
      </c>
    </row>
    <row r="34" ht="18.75" customHeight="1" s="73">
      <c r="B34" s="5" t="inlineStr">
        <is>
          <t>Role</t>
        </is>
      </c>
      <c r="C34" s="5" t="inlineStr">
        <is>
          <t>Appendix 3 v5</t>
        </is>
      </c>
      <c r="D34" s="5" t="inlineStr">
        <is>
          <t>This model</t>
        </is>
      </c>
      <c r="E34" s="5" t="inlineStr">
        <is>
          <t>Difference</t>
        </is>
      </c>
      <c r="F34" s="5" t="n"/>
      <c r="G34" s="5" t="n"/>
      <c r="H34" s="5" t="inlineStr">
        <is>
          <t>Note</t>
        </is>
      </c>
    </row>
    <row r="35" ht="25.5" customHeight="1" s="73">
      <c r="B35" s="4" t="inlineStr">
        <is>
          <t>BSA</t>
        </is>
      </c>
      <c r="C35" s="9">
        <f>'Logic Tree'!C15</f>
        <v/>
      </c>
      <c r="D35" s="9">
        <f>C25</f>
        <v/>
      </c>
      <c r="E35" s="22">
        <f>D35-C35</f>
        <v/>
      </c>
      <c r="H35" s="78" t="inlineStr">
        <is>
          <t>12.4% of the vendor population, all of it on K2. Bilingual analysis against Japanese business rules is the scarcest skill in this 領域.</t>
        </is>
      </c>
    </row>
    <row r="36" ht="25.5" customHeight="1" s="73">
      <c r="B36" s="4" t="inlineStr">
        <is>
          <t>Developer</t>
        </is>
      </c>
      <c r="C36" s="9">
        <f>'Logic Tree'!C16</f>
        <v/>
      </c>
      <c r="D36" s="9">
        <f>C26</f>
        <v/>
      </c>
      <c r="E36" s="22">
        <f>D36-C36</f>
        <v/>
      </c>
      <c r="H36" s="78" t="inlineStr">
        <is>
          <t>55.5% after restatement, against 65.4% as MetLife reports it. VB.NET, Java and a COTS RPA product.</t>
        </is>
      </c>
    </row>
    <row r="37" ht="25.5" customHeight="1" s="73">
      <c r="B37" s="4" t="inlineStr">
        <is>
          <t>Tester</t>
        </is>
      </c>
      <c r="C37" s="9">
        <f>'Logic Tree'!C17</f>
        <v/>
      </c>
      <c r="D37" s="9">
        <f>C27</f>
        <v/>
      </c>
      <c r="E37" s="22">
        <f>D37-C37</f>
        <v/>
      </c>
      <c r="H37" s="78" t="inlineStr">
        <is>
          <t>17.0%, and every tester unit sits on K2. The fourteen satellites carry no test capacity at all in MetLife's own data.</t>
        </is>
      </c>
    </row>
    <row r="38" ht="25.5" customHeight="1" s="73">
      <c r="B38" s="4" t="inlineStr">
        <is>
          <t>Maintenance</t>
        </is>
      </c>
      <c r="C38" s="9">
        <f>'Logic Tree'!C18</f>
        <v/>
      </c>
      <c r="D38" s="9">
        <f>C28</f>
        <v/>
      </c>
      <c r="E38" s="22">
        <f>D38-C38</f>
        <v/>
      </c>
      <c r="H38" s="78" t="inlineStr">
        <is>
          <t>RESTATED to 5.00 from 3.48. 1,145 incidents and 2,071 changes a year cannot be run on 3.5 people.</t>
        </is>
      </c>
    </row>
    <row r="39" ht="25.5" customHeight="1" s="73">
      <c r="B39" s="4" t="inlineStr">
        <is>
          <t>PM</t>
        </is>
      </c>
      <c r="C39" s="9">
        <f>'Logic Tree'!C19</f>
        <v/>
      </c>
      <c r="D39" s="9">
        <f>C29</f>
        <v/>
      </c>
      <c r="E39" s="22">
        <f>D39-C39</f>
        <v/>
      </c>
      <c r="H39" s="78" t="inlineStr">
        <is>
          <t>RESTATED to 3.00 from 0.14. Fifteen applications, two value streams and a named sub-contractor cannot be coordinated on 0.14 units.</t>
        </is>
      </c>
    </row>
    <row r="40" ht="25.5" customHeight="1" s="73">
      <c r="B40" s="4" t="inlineStr">
        <is>
          <t>Other</t>
        </is>
      </c>
      <c r="C40" s="9">
        <f>'Logic Tree'!C20</f>
        <v/>
      </c>
      <c r="D40" s="9">
        <f>C30</f>
        <v/>
      </c>
      <c r="E40" s="22">
        <f>D40-C40</f>
        <v/>
      </c>
      <c r="H40" s="78" t="inlineStr">
        <is>
          <t>RESTATED to 2.50 from ZERO. MetLife records no architecture or enablement capacity anywhere in this 領域.</t>
        </is>
      </c>
    </row>
    <row r="41" ht="43.5" customHeight="1" s="73">
      <c r="B41" s="24" t="inlineStr">
        <is>
          <t>Sum of the six role lines</t>
        </is>
      </c>
      <c r="C41" s="26">
        <f>SUM(C35:C40)</f>
        <v/>
      </c>
      <c r="D41" s="26">
        <f>SUM(D35:D40)</f>
        <v/>
      </c>
      <c r="E41" s="44">
        <f>D41-C41</f>
        <v/>
      </c>
      <c r="H41" s="78" t="inlineStr">
        <is>
          <t>THREE LINES RESTATED, ARITHMETICALLY NEUTRAL. MetLife reports 3.48 maintenance, 0.14 PM and zero architecture across fifteen applications carrying 1,145 incidents and 2,071 changes a year. We move 6.88 units out of Developer into Maintenance, PM and Other. The total does not change by a single unit. This is a smaller correction than Contract Management needed, and it goes back to MetLife as a clarification question rather than a re-pricing.</t>
        </is>
      </c>
    </row>
    <row r="43" ht="15" customHeight="1" s="73">
      <c r="A43" s="76" t="inlineStr">
        <is>
          <t>D.  SOURCING, LOCATION AND THE THREE OFFSHORE BASES</t>
        </is>
      </c>
    </row>
    <row r="44" ht="15" customHeight="1" s="73">
      <c r="B44" s="5" t="inlineStr">
        <is>
          <t>Measure</t>
        </is>
      </c>
      <c r="C44" s="5" t="inlineStr">
        <is>
          <t>Year 1</t>
        </is>
      </c>
      <c r="D44" s="5" t="inlineStr">
        <is>
          <t>Year 2</t>
        </is>
      </c>
      <c r="E44" s="5" t="inlineStr">
        <is>
          <t>Year 3</t>
        </is>
      </c>
      <c r="F44" s="5" t="inlineStr">
        <is>
          <t>Year 4</t>
        </is>
      </c>
      <c r="G44" s="5" t="inlineStr">
        <is>
          <t>Year 5</t>
        </is>
      </c>
    </row>
    <row r="45" ht="15" customHeight="1" s="73">
      <c r="B45" s="79" t="inlineStr">
        <is>
          <t>Capgemini payroll (FTC)</t>
        </is>
      </c>
      <c r="C45" s="9">
        <f>SUMIFS('Seat Ledger'!$M$5:$M$235,'Seat Ledger'!$B$5:$B$235,1,'Seat Ledger'!$J$5:$J$235,"FTC")</f>
        <v/>
      </c>
      <c r="D45" s="9">
        <f>SUMIFS('Seat Ledger'!$M$5:$M$235,'Seat Ledger'!$B$5:$B$235,2,'Seat Ledger'!$J$5:$J$235,"FTC")</f>
        <v/>
      </c>
      <c r="E45" s="9">
        <f>SUMIFS('Seat Ledger'!$M$5:$M$235,'Seat Ledger'!$B$5:$B$235,3,'Seat Ledger'!$J$5:$J$235,"FTC")</f>
        <v/>
      </c>
      <c r="F45" s="9">
        <f>SUMIFS('Seat Ledger'!$M$5:$M$235,'Seat Ledger'!$B$5:$B$235,4,'Seat Ledger'!$J$5:$J$235,"FTC")</f>
        <v/>
      </c>
      <c r="G45" s="9">
        <f>SUMIFS('Seat Ledger'!$M$5:$M$235,'Seat Ledger'!$B$5:$B$235,5,'Seat Ledger'!$J$5:$J$235,"FTC")</f>
        <v/>
      </c>
    </row>
    <row r="46" ht="15" customHeight="1" s="73">
      <c r="B46" s="79" t="inlineStr">
        <is>
          <t>Incumbent partner (PT)</t>
        </is>
      </c>
      <c r="C46" s="9">
        <f>SUMIFS('Seat Ledger'!$M$5:$M$235,'Seat Ledger'!$B$5:$B$235,1,'Seat Ledger'!$J$5:$J$235,"PT")</f>
        <v/>
      </c>
      <c r="D46" s="9">
        <f>SUMIFS('Seat Ledger'!$M$5:$M$235,'Seat Ledger'!$B$5:$B$235,2,'Seat Ledger'!$J$5:$J$235,"PT")</f>
        <v/>
      </c>
      <c r="E46" s="9">
        <f>SUMIFS('Seat Ledger'!$M$5:$M$235,'Seat Ledger'!$B$5:$B$235,3,'Seat Ledger'!$J$5:$J$235,"PT")</f>
        <v/>
      </c>
      <c r="F46" s="9">
        <f>SUMIFS('Seat Ledger'!$M$5:$M$235,'Seat Ledger'!$B$5:$B$235,4,'Seat Ledger'!$J$5:$J$235,"PT")</f>
        <v/>
      </c>
      <c r="G46" s="9">
        <f>SUMIFS('Seat Ledger'!$M$5:$M$235,'Seat Ledger'!$B$5:$B$235,5,'Seat Ledger'!$J$5:$J$235,"PT")</f>
        <v/>
      </c>
    </row>
    <row r="47" ht="15" customHeight="1" s="73">
      <c r="B47" s="14" t="inlineStr">
        <is>
          <t>VENDOR TOTAL  =  Appendix 3 FTC</t>
        </is>
      </c>
      <c r="C47" s="15">
        <f>C45+C46</f>
        <v/>
      </c>
      <c r="D47" s="15">
        <f>D45+D46</f>
        <v/>
      </c>
      <c r="E47" s="15">
        <f>E45+E46</f>
        <v/>
      </c>
      <c r="F47" s="15">
        <f>F45+F46</f>
        <v/>
      </c>
      <c r="G47" s="15">
        <f>G45+G46</f>
        <v/>
      </c>
    </row>
    <row r="48" ht="15" customHeight="1" s="73">
      <c r="B48" s="79" t="inlineStr">
        <is>
          <t>MetLife Japan (FTE)</t>
        </is>
      </c>
      <c r="C48" s="9">
        <f>SUMIFS('Seat Ledger'!$M$5:$M$235,'Seat Ledger'!$B$5:$B$235,1,'Seat Ledger'!$J$5:$J$235,"FTE")</f>
        <v/>
      </c>
      <c r="D48" s="9">
        <f>SUMIFS('Seat Ledger'!$M$5:$M$235,'Seat Ledger'!$B$5:$B$235,2,'Seat Ledger'!$J$5:$J$235,"FTE")</f>
        <v/>
      </c>
      <c r="E48" s="9">
        <f>SUMIFS('Seat Ledger'!$M$5:$M$235,'Seat Ledger'!$B$5:$B$235,3,'Seat Ledger'!$J$5:$J$235,"FTE")</f>
        <v/>
      </c>
      <c r="F48" s="9">
        <f>SUMIFS('Seat Ledger'!$M$5:$M$235,'Seat Ledger'!$B$5:$B$235,4,'Seat Ledger'!$J$5:$J$235,"FTE")</f>
        <v/>
      </c>
      <c r="G48" s="9">
        <f>SUMIFS('Seat Ledger'!$M$5:$M$235,'Seat Ledger'!$B$5:$B$235,5,'Seat Ledger'!$J$5:$J$235,"FTE")</f>
        <v/>
      </c>
    </row>
    <row r="49" ht="15" customHeight="1" s="73">
      <c r="B49" s="79" t="inlineStr">
        <is>
          <t>MetLife MGCC</t>
        </is>
      </c>
      <c r="C49" s="9">
        <f>SUMIFS('Seat Ledger'!$M$5:$M$235,'Seat Ledger'!$B$5:$B$235,1,'Seat Ledger'!$J$5:$J$235,"MGCC")</f>
        <v/>
      </c>
      <c r="D49" s="9">
        <f>SUMIFS('Seat Ledger'!$M$5:$M$235,'Seat Ledger'!$B$5:$B$235,2,'Seat Ledger'!$J$5:$J$235,"MGCC")</f>
        <v/>
      </c>
      <c r="E49" s="9">
        <f>SUMIFS('Seat Ledger'!$M$5:$M$235,'Seat Ledger'!$B$5:$B$235,3,'Seat Ledger'!$J$5:$J$235,"MGCC")</f>
        <v/>
      </c>
      <c r="F49" s="9">
        <f>SUMIFS('Seat Ledger'!$M$5:$M$235,'Seat Ledger'!$B$5:$B$235,4,'Seat Ledger'!$J$5:$J$235,"MGCC")</f>
        <v/>
      </c>
      <c r="G49" s="9">
        <f>SUMIFS('Seat Ledger'!$M$5:$M$235,'Seat Ledger'!$B$5:$B$235,5,'Seat Ledger'!$J$5:$J$235,"MGCC")</f>
        <v/>
      </c>
    </row>
    <row r="50" ht="15" customHeight="1" s="73">
      <c r="B50" s="14" t="inlineStr">
        <is>
          <t>RATIO — vendor share</t>
        </is>
      </c>
      <c r="C50" s="18">
        <f>IF(C9=0,0,C47/C9)</f>
        <v/>
      </c>
      <c r="D50" s="18">
        <f>IF(D9=0,0,D47/D9)</f>
        <v/>
      </c>
      <c r="E50" s="18">
        <f>IF(E9=0,0,E47/E9)</f>
        <v/>
      </c>
      <c r="F50" s="18">
        <f>IF(F9=0,0,F47/F9)</f>
        <v/>
      </c>
      <c r="G50" s="18">
        <f>IF(G9=0,0,G47/G9)</f>
        <v/>
      </c>
    </row>
    <row r="51" ht="15" customHeight="1" s="73">
      <c r="B51" s="79" t="inlineStr">
        <is>
          <t>Onshore Tokyo</t>
        </is>
      </c>
      <c r="C51" s="9">
        <f>SUMIFS('Seat Ledger'!$M$5:$M$235,'Seat Ledger'!$B$5:$B$235,1,'Seat Ledger'!$I$5:$I$235,"ON")</f>
        <v/>
      </c>
      <c r="D51" s="9">
        <f>SUMIFS('Seat Ledger'!$M$5:$M$235,'Seat Ledger'!$B$5:$B$235,2,'Seat Ledger'!$I$5:$I$235,"ON")</f>
        <v/>
      </c>
      <c r="E51" s="9">
        <f>SUMIFS('Seat Ledger'!$M$5:$M$235,'Seat Ledger'!$B$5:$B$235,3,'Seat Ledger'!$I$5:$I$235,"ON")</f>
        <v/>
      </c>
      <c r="F51" s="9">
        <f>SUMIFS('Seat Ledger'!$M$5:$M$235,'Seat Ledger'!$B$5:$B$235,4,'Seat Ledger'!$I$5:$I$235,"ON")</f>
        <v/>
      </c>
      <c r="G51" s="9">
        <f>SUMIFS('Seat Ledger'!$M$5:$M$235,'Seat Ledger'!$B$5:$B$235,5,'Seat Ledger'!$I$5:$I$235,"ON")</f>
        <v/>
      </c>
    </row>
    <row r="52" ht="15" customHeight="1" s="73">
      <c r="B52" s="79" t="inlineStr">
        <is>
          <t>Offshore</t>
        </is>
      </c>
      <c r="C52" s="9">
        <f>SUMIFS('Seat Ledger'!$M$5:$M$235,'Seat Ledger'!$B$5:$B$235,1,'Seat Ledger'!$I$5:$I$235,"OFF")</f>
        <v/>
      </c>
      <c r="D52" s="9">
        <f>SUMIFS('Seat Ledger'!$M$5:$M$235,'Seat Ledger'!$B$5:$B$235,2,'Seat Ledger'!$I$5:$I$235,"OFF")</f>
        <v/>
      </c>
      <c r="E52" s="9">
        <f>SUMIFS('Seat Ledger'!$M$5:$M$235,'Seat Ledger'!$B$5:$B$235,3,'Seat Ledger'!$I$5:$I$235,"OFF")</f>
        <v/>
      </c>
      <c r="F52" s="9">
        <f>SUMIFS('Seat Ledger'!$M$5:$M$235,'Seat Ledger'!$B$5:$B$235,4,'Seat Ledger'!$I$5:$I$235,"OFF")</f>
        <v/>
      </c>
      <c r="G52" s="9">
        <f>SUMIFS('Seat Ledger'!$M$5:$M$235,'Seat Ledger'!$B$5:$B$235,5,'Seat Ledger'!$I$5:$I$235,"OFF")</f>
        <v/>
      </c>
    </row>
    <row r="53" ht="15" customHeight="1" s="73">
      <c r="B53" s="79" t="inlineStr">
        <is>
          <t>Nearshore</t>
        </is>
      </c>
      <c r="C53" s="9">
        <f>SUMIFS('Seat Ledger'!$M$5:$M$235,'Seat Ledger'!$B$5:$B$235,1,'Seat Ledger'!$I$5:$I$235,"NEAR")</f>
        <v/>
      </c>
      <c r="D53" s="9">
        <f>SUMIFS('Seat Ledger'!$M$5:$M$235,'Seat Ledger'!$B$5:$B$235,2,'Seat Ledger'!$I$5:$I$235,"NEAR")</f>
        <v/>
      </c>
      <c r="E53" s="9">
        <f>SUMIFS('Seat Ledger'!$M$5:$M$235,'Seat Ledger'!$B$5:$B$235,3,'Seat Ledger'!$I$5:$I$235,"NEAR")</f>
        <v/>
      </c>
      <c r="F53" s="9">
        <f>SUMIFS('Seat Ledger'!$M$5:$M$235,'Seat Ledger'!$B$5:$B$235,4,'Seat Ledger'!$I$5:$I$235,"NEAR")</f>
        <v/>
      </c>
      <c r="G53" s="9">
        <f>SUMIFS('Seat Ledger'!$M$5:$M$235,'Seat Ledger'!$B$5:$B$235,5,'Seat Ledger'!$I$5:$I$235,"NEAR")</f>
        <v/>
      </c>
    </row>
    <row r="54" ht="15" customHeight="1" s="73">
      <c r="B54" s="14" t="inlineStr">
        <is>
          <t>Offshore share — whole team</t>
        </is>
      </c>
      <c r="C54" s="18">
        <f>IF(C9=0,0,(C52+C53)/C9)</f>
        <v/>
      </c>
      <c r="D54" s="18">
        <f>IF(D9=0,0,(D52+D53)/D9)</f>
        <v/>
      </c>
      <c r="E54" s="18">
        <f>IF(E9=0,0,(E52+E53)/E9)</f>
        <v/>
      </c>
      <c r="F54" s="18">
        <f>IF(F9=0,0,(F52+F53)/F9)</f>
        <v/>
      </c>
      <c r="G54" s="18">
        <f>IF(G9=0,0,(G52+G53)/G9)</f>
        <v/>
      </c>
    </row>
    <row r="55" ht="15" customHeight="1" s="73">
      <c r="B55" s="79" t="inlineStr">
        <is>
          <t>Offshore share — vendor only</t>
        </is>
      </c>
      <c r="C55" s="12">
        <f>IF(C47=0,0,(SUMIFS('Seat Ledger'!$M$5:$M$235,'Seat Ledger'!$B$5:$B$235,1,'Seat Ledger'!$J$5:$J$235,"FTC",'Seat Ledger'!$I$5:$I$235,"OFF")+SUMIFS('Seat Ledger'!$M$5:$M$235,'Seat Ledger'!$B$5:$B$235,1,'Seat Ledger'!$J$5:$J$235,"FTC",'Seat Ledger'!$I$5:$I$235,"NEAR")+SUMIFS('Seat Ledger'!$M$5:$M$235,'Seat Ledger'!$B$5:$B$235,1,'Seat Ledger'!$J$5:$J$235,"PT",'Seat Ledger'!$I$5:$I$235,"OFF"))/C47)</f>
        <v/>
      </c>
      <c r="D55" s="12">
        <f>IF(D47=0,0,(SUMIFS('Seat Ledger'!$M$5:$M$235,'Seat Ledger'!$B$5:$B$235,2,'Seat Ledger'!$J$5:$J$235,"FTC",'Seat Ledger'!$I$5:$I$235,"OFF")+SUMIFS('Seat Ledger'!$M$5:$M$235,'Seat Ledger'!$B$5:$B$235,2,'Seat Ledger'!$J$5:$J$235,"FTC",'Seat Ledger'!$I$5:$I$235,"NEAR")+SUMIFS('Seat Ledger'!$M$5:$M$235,'Seat Ledger'!$B$5:$B$235,2,'Seat Ledger'!$J$5:$J$235,"PT",'Seat Ledger'!$I$5:$I$235,"OFF"))/D47)</f>
        <v/>
      </c>
      <c r="E55" s="12">
        <f>IF(E47=0,0,(SUMIFS('Seat Ledger'!$M$5:$M$235,'Seat Ledger'!$B$5:$B$235,3,'Seat Ledger'!$J$5:$J$235,"FTC",'Seat Ledger'!$I$5:$I$235,"OFF")+SUMIFS('Seat Ledger'!$M$5:$M$235,'Seat Ledger'!$B$5:$B$235,3,'Seat Ledger'!$J$5:$J$235,"FTC",'Seat Ledger'!$I$5:$I$235,"NEAR")+SUMIFS('Seat Ledger'!$M$5:$M$235,'Seat Ledger'!$B$5:$B$235,3,'Seat Ledger'!$J$5:$J$235,"PT",'Seat Ledger'!$I$5:$I$235,"OFF"))/E47)</f>
        <v/>
      </c>
      <c r="F55" s="12">
        <f>IF(F47=0,0,(SUMIFS('Seat Ledger'!$M$5:$M$235,'Seat Ledger'!$B$5:$B$235,4,'Seat Ledger'!$J$5:$J$235,"FTC",'Seat Ledger'!$I$5:$I$235,"OFF")+SUMIFS('Seat Ledger'!$M$5:$M$235,'Seat Ledger'!$B$5:$B$235,4,'Seat Ledger'!$J$5:$J$235,"FTC",'Seat Ledger'!$I$5:$I$235,"NEAR")+SUMIFS('Seat Ledger'!$M$5:$M$235,'Seat Ledger'!$B$5:$B$235,4,'Seat Ledger'!$J$5:$J$235,"PT",'Seat Ledger'!$I$5:$I$235,"OFF"))/F47)</f>
        <v/>
      </c>
      <c r="G55" s="12">
        <f>IF(G47=0,0,(SUMIFS('Seat Ledger'!$M$5:$M$235,'Seat Ledger'!$B$5:$B$235,5,'Seat Ledger'!$J$5:$J$235,"FTC",'Seat Ledger'!$I$5:$I$235,"OFF")+SUMIFS('Seat Ledger'!$M$5:$M$235,'Seat Ledger'!$B$5:$B$235,5,'Seat Ledger'!$J$5:$J$235,"FTC",'Seat Ledger'!$I$5:$I$235,"NEAR")+SUMIFS('Seat Ledger'!$M$5:$M$235,'Seat Ledger'!$B$5:$B$235,5,'Seat Ledger'!$J$5:$J$235,"PT",'Seat Ledger'!$I$5:$I$235,"OFF"))/G47)</f>
        <v/>
      </c>
    </row>
    <row r="56" ht="15" customHeight="1" s="73">
      <c r="B56" s="14" t="inlineStr">
        <is>
          <t>Offshore share — Capgemini payroll only</t>
        </is>
      </c>
      <c r="C56" s="18">
        <f>IF(C45=0,0,(SUMIFS('Seat Ledger'!$M$5:$M$235,'Seat Ledger'!$B$5:$B$235,1,'Seat Ledger'!$J$5:$J$235,"FTC",'Seat Ledger'!$I$5:$I$235,"OFF")+SUMIFS('Seat Ledger'!$M$5:$M$235,'Seat Ledger'!$B$5:$B$235,1,'Seat Ledger'!$J$5:$J$235,"FTC",'Seat Ledger'!$I$5:$I$235,"NEAR"))/C45)</f>
        <v/>
      </c>
      <c r="D56" s="18">
        <f>IF(D45=0,0,(SUMIFS('Seat Ledger'!$M$5:$M$235,'Seat Ledger'!$B$5:$B$235,2,'Seat Ledger'!$J$5:$J$235,"FTC",'Seat Ledger'!$I$5:$I$235,"OFF")+SUMIFS('Seat Ledger'!$M$5:$M$235,'Seat Ledger'!$B$5:$B$235,2,'Seat Ledger'!$J$5:$J$235,"FTC",'Seat Ledger'!$I$5:$I$235,"NEAR"))/D45)</f>
        <v/>
      </c>
      <c r="E56" s="18">
        <f>IF(E45=0,0,(SUMIFS('Seat Ledger'!$M$5:$M$235,'Seat Ledger'!$B$5:$B$235,3,'Seat Ledger'!$J$5:$J$235,"FTC",'Seat Ledger'!$I$5:$I$235,"OFF")+SUMIFS('Seat Ledger'!$M$5:$M$235,'Seat Ledger'!$B$5:$B$235,3,'Seat Ledger'!$J$5:$J$235,"FTC",'Seat Ledger'!$I$5:$I$235,"NEAR"))/E45)</f>
        <v/>
      </c>
      <c r="F56" s="18">
        <f>IF(F45=0,0,(SUMIFS('Seat Ledger'!$M$5:$M$235,'Seat Ledger'!$B$5:$B$235,4,'Seat Ledger'!$J$5:$J$235,"FTC",'Seat Ledger'!$I$5:$I$235,"OFF")+SUMIFS('Seat Ledger'!$M$5:$M$235,'Seat Ledger'!$B$5:$B$235,4,'Seat Ledger'!$J$5:$J$235,"FTC",'Seat Ledger'!$I$5:$I$235,"NEAR"))/F45)</f>
        <v/>
      </c>
      <c r="G56" s="18">
        <f>IF(G45=0,0,(SUMIFS('Seat Ledger'!$M$5:$M$235,'Seat Ledger'!$B$5:$B$235,5,'Seat Ledger'!$J$5:$J$235,"FTC",'Seat Ledger'!$I$5:$I$235,"OFF")+SUMIFS('Seat Ledger'!$M$5:$M$235,'Seat Ledger'!$B$5:$B$235,5,'Seat Ledger'!$J$5:$J$235,"FTC",'Seat Ledger'!$I$5:$I$235,"NEAR"))/G45)</f>
        <v/>
      </c>
      <c r="I56" s="78" t="inlineStr">
        <is>
          <t>Rises across the five years and keeps rising through Year 4. Only 5 people transfer, so our own offshore book survives the event — the opposite of Contract Management.</t>
        </is>
      </c>
    </row>
    <row r="57" ht="15" customHeight="1" s="73">
      <c r="B57" s="79" t="inlineStr">
        <is>
          <t>Target from the Logic Tree</t>
        </is>
      </c>
      <c r="C57" s="12">
        <f>'Logic Tree'!C68</f>
        <v/>
      </c>
      <c r="D57" s="12">
        <f>'Logic Tree'!D68</f>
        <v/>
      </c>
      <c r="E57" s="12">
        <f>'Logic Tree'!E68</f>
        <v/>
      </c>
      <c r="F57" s="12">
        <f>'Logic Tree'!F68</f>
        <v/>
      </c>
      <c r="G57" s="12">
        <f>'Logic Tree'!G68</f>
        <v/>
      </c>
    </row>
    <row r="59" ht="15" customHeight="1" s="73">
      <c r="A59" s="76" t="inlineStr">
        <is>
          <t>E.  ROLE MIX  —  MetLife's taxonomy, all sourcing types</t>
        </is>
      </c>
    </row>
    <row r="60" ht="15" customHeight="1" s="73">
      <c r="B60" s="5" t="inlineStr">
        <is>
          <t>Role</t>
        </is>
      </c>
      <c r="C60" s="5" t="inlineStr">
        <is>
          <t>Year 1</t>
        </is>
      </c>
      <c r="D60" s="5" t="inlineStr">
        <is>
          <t>Year 2</t>
        </is>
      </c>
      <c r="E60" s="5" t="inlineStr">
        <is>
          <t>Year 3</t>
        </is>
      </c>
      <c r="F60" s="5" t="inlineStr">
        <is>
          <t>Year 4</t>
        </is>
      </c>
      <c r="G60" s="5" t="inlineStr">
        <is>
          <t>Year 5</t>
        </is>
      </c>
    </row>
    <row r="61" ht="15" customHeight="1" s="73">
      <c r="B61" s="79" t="inlineStr">
        <is>
          <t>BSA — business and systems analysis</t>
        </is>
      </c>
      <c r="C61" s="9">
        <f>SUMIFS('Seat Ledger'!$M$5:$M$235,'Seat Ledger'!$B$5:$B$235,1,'Seat Ledger'!$G$5:$G$235,"BSA")</f>
        <v/>
      </c>
      <c r="D61" s="9">
        <f>SUMIFS('Seat Ledger'!$M$5:$M$235,'Seat Ledger'!$B$5:$B$235,2,'Seat Ledger'!$G$5:$G$235,"BSA")</f>
        <v/>
      </c>
      <c r="E61" s="9">
        <f>SUMIFS('Seat Ledger'!$M$5:$M$235,'Seat Ledger'!$B$5:$B$235,3,'Seat Ledger'!$G$5:$G$235,"BSA")</f>
        <v/>
      </c>
      <c r="F61" s="9">
        <f>SUMIFS('Seat Ledger'!$M$5:$M$235,'Seat Ledger'!$B$5:$B$235,4,'Seat Ledger'!$G$5:$G$235,"BSA")</f>
        <v/>
      </c>
      <c r="G61" s="9">
        <f>SUMIFS('Seat Ledger'!$M$5:$M$235,'Seat Ledger'!$B$5:$B$235,5,'Seat Ledger'!$G$5:$G$235,"BSA")</f>
        <v/>
      </c>
    </row>
    <row r="62" ht="15" customHeight="1" s="73">
      <c r="B62" s="79" t="inlineStr">
        <is>
          <t>Developer</t>
        </is>
      </c>
      <c r="C62" s="9">
        <f>SUMIFS('Seat Ledger'!$M$5:$M$235,'Seat Ledger'!$B$5:$B$235,1,'Seat Ledger'!$G$5:$G$235,"DEV")</f>
        <v/>
      </c>
      <c r="D62" s="9">
        <f>SUMIFS('Seat Ledger'!$M$5:$M$235,'Seat Ledger'!$B$5:$B$235,2,'Seat Ledger'!$G$5:$G$235,"DEV")</f>
        <v/>
      </c>
      <c r="E62" s="9">
        <f>SUMIFS('Seat Ledger'!$M$5:$M$235,'Seat Ledger'!$B$5:$B$235,3,'Seat Ledger'!$G$5:$G$235,"DEV")</f>
        <v/>
      </c>
      <c r="F62" s="9">
        <f>SUMIFS('Seat Ledger'!$M$5:$M$235,'Seat Ledger'!$B$5:$B$235,4,'Seat Ledger'!$G$5:$G$235,"DEV")</f>
        <v/>
      </c>
      <c r="G62" s="9">
        <f>SUMIFS('Seat Ledger'!$M$5:$M$235,'Seat Ledger'!$B$5:$B$235,5,'Seat Ledger'!$G$5:$G$235,"DEV")</f>
        <v/>
      </c>
    </row>
    <row r="63" ht="15" customHeight="1" s="73">
      <c r="B63" s="79" t="inlineStr">
        <is>
          <t>Tester</t>
        </is>
      </c>
      <c r="C63" s="9">
        <f>SUMIFS('Seat Ledger'!$M$5:$M$235,'Seat Ledger'!$B$5:$B$235,1,'Seat Ledger'!$G$5:$G$235,"TEST")</f>
        <v/>
      </c>
      <c r="D63" s="9">
        <f>SUMIFS('Seat Ledger'!$M$5:$M$235,'Seat Ledger'!$B$5:$B$235,2,'Seat Ledger'!$G$5:$G$235,"TEST")</f>
        <v/>
      </c>
      <c r="E63" s="9">
        <f>SUMIFS('Seat Ledger'!$M$5:$M$235,'Seat Ledger'!$B$5:$B$235,3,'Seat Ledger'!$G$5:$G$235,"TEST")</f>
        <v/>
      </c>
      <c r="F63" s="9">
        <f>SUMIFS('Seat Ledger'!$M$5:$M$235,'Seat Ledger'!$B$5:$B$235,4,'Seat Ledger'!$G$5:$G$235,"TEST")</f>
        <v/>
      </c>
      <c r="G63" s="9">
        <f>SUMIFS('Seat Ledger'!$M$5:$M$235,'Seat Ledger'!$B$5:$B$235,5,'Seat Ledger'!$G$5:$G$235,"TEST")</f>
        <v/>
      </c>
    </row>
    <row r="64" ht="15" customHeight="1" s="73">
      <c r="B64" s="79" t="inlineStr">
        <is>
          <t>Maintenance</t>
        </is>
      </c>
      <c r="C64" s="9">
        <f>SUMIFS('Seat Ledger'!$M$5:$M$235,'Seat Ledger'!$B$5:$B$235,1,'Seat Ledger'!$G$5:$G$235,"MNT")</f>
        <v/>
      </c>
      <c r="D64" s="9">
        <f>SUMIFS('Seat Ledger'!$M$5:$M$235,'Seat Ledger'!$B$5:$B$235,2,'Seat Ledger'!$G$5:$G$235,"MNT")</f>
        <v/>
      </c>
      <c r="E64" s="9">
        <f>SUMIFS('Seat Ledger'!$M$5:$M$235,'Seat Ledger'!$B$5:$B$235,3,'Seat Ledger'!$G$5:$G$235,"MNT")</f>
        <v/>
      </c>
      <c r="F64" s="9">
        <f>SUMIFS('Seat Ledger'!$M$5:$M$235,'Seat Ledger'!$B$5:$B$235,4,'Seat Ledger'!$G$5:$G$235,"MNT")</f>
        <v/>
      </c>
      <c r="G64" s="9">
        <f>SUMIFS('Seat Ledger'!$M$5:$M$235,'Seat Ledger'!$B$5:$B$235,5,'Seat Ledger'!$G$5:$G$235,"MNT")</f>
        <v/>
      </c>
    </row>
    <row r="65" ht="15" customHeight="1" s="73">
      <c r="B65" s="79" t="inlineStr">
        <is>
          <t>PM and product ownership</t>
        </is>
      </c>
      <c r="C65" s="9">
        <f>SUMIFS('Seat Ledger'!$M$5:$M$235,'Seat Ledger'!$B$5:$B$235,1,'Seat Ledger'!$G$5:$G$235,"PM")</f>
        <v/>
      </c>
      <c r="D65" s="9">
        <f>SUMIFS('Seat Ledger'!$M$5:$M$235,'Seat Ledger'!$B$5:$B$235,2,'Seat Ledger'!$G$5:$G$235,"PM")</f>
        <v/>
      </c>
      <c r="E65" s="9">
        <f>SUMIFS('Seat Ledger'!$M$5:$M$235,'Seat Ledger'!$B$5:$B$235,3,'Seat Ledger'!$G$5:$G$235,"PM")</f>
        <v/>
      </c>
      <c r="F65" s="9">
        <f>SUMIFS('Seat Ledger'!$M$5:$M$235,'Seat Ledger'!$B$5:$B$235,4,'Seat Ledger'!$G$5:$G$235,"PM")</f>
        <v/>
      </c>
      <c r="G65" s="9">
        <f>SUMIFS('Seat Ledger'!$M$5:$M$235,'Seat Ledger'!$B$5:$B$235,5,'Seat Ledger'!$G$5:$G$235,"PM")</f>
        <v/>
      </c>
    </row>
    <row r="66" ht="15" customHeight="1" s="73">
      <c r="B66" s="79" t="inlineStr">
        <is>
          <t>Other — architecture and enablement</t>
        </is>
      </c>
      <c r="C66" s="9">
        <f>SUMIFS('Seat Ledger'!$M$5:$M$235,'Seat Ledger'!$B$5:$B$235,1,'Seat Ledger'!$G$5:$G$235,"OTH")</f>
        <v/>
      </c>
      <c r="D66" s="9">
        <f>SUMIFS('Seat Ledger'!$M$5:$M$235,'Seat Ledger'!$B$5:$B$235,2,'Seat Ledger'!$G$5:$G$235,"OTH")</f>
        <v/>
      </c>
      <c r="E66" s="9">
        <f>SUMIFS('Seat Ledger'!$M$5:$M$235,'Seat Ledger'!$B$5:$B$235,3,'Seat Ledger'!$G$5:$G$235,"OTH")</f>
        <v/>
      </c>
      <c r="F66" s="9">
        <f>SUMIFS('Seat Ledger'!$M$5:$M$235,'Seat Ledger'!$B$5:$B$235,4,'Seat Ledger'!$G$5:$G$235,"OTH")</f>
        <v/>
      </c>
      <c r="G66" s="9">
        <f>SUMIFS('Seat Ledger'!$M$5:$M$235,'Seat Ledger'!$B$5:$B$235,5,'Seat Ledger'!$G$5:$G$235,"OTH")</f>
        <v/>
      </c>
    </row>
    <row r="67" ht="63.75" customHeight="1" s="73">
      <c r="B67" s="14" t="inlineStr">
        <is>
          <t>Run-facing share  (Maintenance + Tester)</t>
        </is>
      </c>
      <c r="C67" s="18">
        <f>IF(C9=0,0,(C63+C64)/C9)</f>
        <v/>
      </c>
      <c r="D67" s="18">
        <f>IF(D9=0,0,(D63+D64)/D9)</f>
        <v/>
      </c>
      <c r="E67" s="18">
        <f>IF(E9=0,0,(E63+E64)/E9)</f>
        <v/>
      </c>
      <c r="F67" s="18">
        <f>IF(F9=0,0,(F63+F64)/F9)</f>
        <v/>
      </c>
      <c r="G67" s="18">
        <f>IF(G9=0,0,(G63+G64)/G9)</f>
        <v/>
      </c>
      <c r="I67" s="78" t="inlineStr">
        <is>
          <t>15.3% in Year 1 falling to 9.0% by Year 5, as pipeline automation and auto-remediation land.</t>
        </is>
      </c>
    </row>
    <row r="69" ht="15" customHeight="1" s="73">
      <c r="A69" s="76" t="inlineStr">
        <is>
          <t>F.  EXPERIENCE MIX</t>
        </is>
      </c>
    </row>
    <row r="70" ht="15" customHeight="1" s="73">
      <c r="B70" s="5" t="inlineStr">
        <is>
          <t>Band</t>
        </is>
      </c>
      <c r="C70" s="5" t="inlineStr">
        <is>
          <t>Year 1</t>
        </is>
      </c>
      <c r="D70" s="5" t="inlineStr">
        <is>
          <t>Year 2</t>
        </is>
      </c>
      <c r="E70" s="5" t="inlineStr">
        <is>
          <t>Year 3</t>
        </is>
      </c>
      <c r="F70" s="5" t="inlineStr">
        <is>
          <t>Year 4</t>
        </is>
      </c>
      <c r="G70" s="5" t="inlineStr">
        <is>
          <t>Year 5</t>
        </is>
      </c>
    </row>
    <row r="71" ht="15" customHeight="1" s="73">
      <c r="B71" s="79" t="inlineStr">
        <is>
          <t>E1</t>
        </is>
      </c>
      <c r="C71" s="9">
        <f>SUMIFS('Seat Ledger'!$M$5:$M$235,'Seat Ledger'!$B$5:$B$235,1,'Seat Ledger'!$H$5:$H$235,"E1")</f>
        <v/>
      </c>
      <c r="D71" s="9">
        <f>SUMIFS('Seat Ledger'!$M$5:$M$235,'Seat Ledger'!$B$5:$B$235,2,'Seat Ledger'!$H$5:$H$235,"E1")</f>
        <v/>
      </c>
      <c r="E71" s="9">
        <f>SUMIFS('Seat Ledger'!$M$5:$M$235,'Seat Ledger'!$B$5:$B$235,3,'Seat Ledger'!$H$5:$H$235,"E1")</f>
        <v/>
      </c>
      <c r="F71" s="9">
        <f>SUMIFS('Seat Ledger'!$M$5:$M$235,'Seat Ledger'!$B$5:$B$235,4,'Seat Ledger'!$H$5:$H$235,"E1")</f>
        <v/>
      </c>
      <c r="G71" s="9">
        <f>SUMIFS('Seat Ledger'!$M$5:$M$235,'Seat Ledger'!$B$5:$B$235,5,'Seat Ledger'!$H$5:$H$235,"E1")</f>
        <v/>
      </c>
    </row>
    <row r="72" ht="15" customHeight="1" s="73">
      <c r="B72" s="79" t="inlineStr">
        <is>
          <t>E2</t>
        </is>
      </c>
      <c r="C72" s="9">
        <f>SUMIFS('Seat Ledger'!$M$5:$M$235,'Seat Ledger'!$B$5:$B$235,1,'Seat Ledger'!$H$5:$H$235,"E2")</f>
        <v/>
      </c>
      <c r="D72" s="9">
        <f>SUMIFS('Seat Ledger'!$M$5:$M$235,'Seat Ledger'!$B$5:$B$235,2,'Seat Ledger'!$H$5:$H$235,"E2")</f>
        <v/>
      </c>
      <c r="E72" s="9">
        <f>SUMIFS('Seat Ledger'!$M$5:$M$235,'Seat Ledger'!$B$5:$B$235,3,'Seat Ledger'!$H$5:$H$235,"E2")</f>
        <v/>
      </c>
      <c r="F72" s="9">
        <f>SUMIFS('Seat Ledger'!$M$5:$M$235,'Seat Ledger'!$B$5:$B$235,4,'Seat Ledger'!$H$5:$H$235,"E2")</f>
        <v/>
      </c>
      <c r="G72" s="9">
        <f>SUMIFS('Seat Ledger'!$M$5:$M$235,'Seat Ledger'!$B$5:$B$235,5,'Seat Ledger'!$H$5:$H$235,"E2")</f>
        <v/>
      </c>
    </row>
    <row r="73" ht="15" customHeight="1" s="73">
      <c r="B73" s="79" t="inlineStr">
        <is>
          <t>E3</t>
        </is>
      </c>
      <c r="C73" s="9">
        <f>SUMIFS('Seat Ledger'!$M$5:$M$235,'Seat Ledger'!$B$5:$B$235,1,'Seat Ledger'!$H$5:$H$235,"E3")</f>
        <v/>
      </c>
      <c r="D73" s="9">
        <f>SUMIFS('Seat Ledger'!$M$5:$M$235,'Seat Ledger'!$B$5:$B$235,2,'Seat Ledger'!$H$5:$H$235,"E3")</f>
        <v/>
      </c>
      <c r="E73" s="9">
        <f>SUMIFS('Seat Ledger'!$M$5:$M$235,'Seat Ledger'!$B$5:$B$235,3,'Seat Ledger'!$H$5:$H$235,"E3")</f>
        <v/>
      </c>
      <c r="F73" s="9">
        <f>SUMIFS('Seat Ledger'!$M$5:$M$235,'Seat Ledger'!$B$5:$B$235,4,'Seat Ledger'!$H$5:$H$235,"E3")</f>
        <v/>
      </c>
      <c r="G73" s="9">
        <f>SUMIFS('Seat Ledger'!$M$5:$M$235,'Seat Ledger'!$B$5:$B$235,5,'Seat Ledger'!$H$5:$H$235,"E3")</f>
        <v/>
      </c>
    </row>
    <row r="74" ht="15" customHeight="1" s="73">
      <c r="B74" s="79" t="inlineStr">
        <is>
          <t>E4</t>
        </is>
      </c>
      <c r="C74" s="9">
        <f>SUMIFS('Seat Ledger'!$M$5:$M$235,'Seat Ledger'!$B$5:$B$235,1,'Seat Ledger'!$H$5:$H$235,"E4")</f>
        <v/>
      </c>
      <c r="D74" s="9">
        <f>SUMIFS('Seat Ledger'!$M$5:$M$235,'Seat Ledger'!$B$5:$B$235,2,'Seat Ledger'!$H$5:$H$235,"E4")</f>
        <v/>
      </c>
      <c r="E74" s="9">
        <f>SUMIFS('Seat Ledger'!$M$5:$M$235,'Seat Ledger'!$B$5:$B$235,3,'Seat Ledger'!$H$5:$H$235,"E4")</f>
        <v/>
      </c>
      <c r="F74" s="9">
        <f>SUMIFS('Seat Ledger'!$M$5:$M$235,'Seat Ledger'!$B$5:$B$235,4,'Seat Ledger'!$H$5:$H$235,"E4")</f>
        <v/>
      </c>
      <c r="G74" s="9">
        <f>SUMIFS('Seat Ledger'!$M$5:$M$235,'Seat Ledger'!$B$5:$B$235,5,'Seat Ledger'!$H$5:$H$235,"E4")</f>
        <v/>
      </c>
    </row>
    <row r="75" ht="15" customHeight="1" s="73">
      <c r="B75" s="79" t="inlineStr">
        <is>
          <t>E5</t>
        </is>
      </c>
      <c r="C75" s="9">
        <f>SUMIFS('Seat Ledger'!$M$5:$M$235,'Seat Ledger'!$B$5:$B$235,1,'Seat Ledger'!$H$5:$H$235,"E5")</f>
        <v/>
      </c>
      <c r="D75" s="9">
        <f>SUMIFS('Seat Ledger'!$M$5:$M$235,'Seat Ledger'!$B$5:$B$235,2,'Seat Ledger'!$H$5:$H$235,"E5")</f>
        <v/>
      </c>
      <c r="E75" s="9">
        <f>SUMIFS('Seat Ledger'!$M$5:$M$235,'Seat Ledger'!$B$5:$B$235,3,'Seat Ledger'!$H$5:$H$235,"E5")</f>
        <v/>
      </c>
      <c r="F75" s="9">
        <f>SUMIFS('Seat Ledger'!$M$5:$M$235,'Seat Ledger'!$B$5:$B$235,4,'Seat Ledger'!$H$5:$H$235,"E5")</f>
        <v/>
      </c>
      <c r="G75" s="9">
        <f>SUMIFS('Seat Ledger'!$M$5:$M$235,'Seat Ledger'!$B$5:$B$235,5,'Seat Ledger'!$H$5:$H$235,"E5")</f>
        <v/>
      </c>
    </row>
    <row r="76" ht="15" customHeight="1" s="73">
      <c r="B76" s="14" t="inlineStr">
        <is>
          <t>Senior share (E4 + E5)</t>
        </is>
      </c>
      <c r="C76" s="18">
        <f>IF(C9=0,0,(C74+C75)/C9)</f>
        <v/>
      </c>
      <c r="D76" s="18">
        <f>IF(D9=0,0,(D74+D75)/D9)</f>
        <v/>
      </c>
      <c r="E76" s="18">
        <f>IF(E9=0,0,(E74+E75)/E9)</f>
        <v/>
      </c>
      <c r="F76" s="18">
        <f>IF(F9=0,0,(F74+F75)/F9)</f>
        <v/>
      </c>
      <c r="G76" s="18">
        <f>IF(G9=0,0,(G74+G75)/G9)</f>
        <v/>
      </c>
    </row>
  </sheetData>
  <mergeCells count="11">
    <mergeCell ref="A1:J1"/>
    <mergeCell ref="A14:J14"/>
    <mergeCell ref="G31:J31"/>
    <mergeCell ref="H41:J41"/>
    <mergeCell ref="A69:J69"/>
    <mergeCell ref="A4:J4"/>
    <mergeCell ref="A59:J59"/>
    <mergeCell ref="A43:J43"/>
    <mergeCell ref="A2:J2"/>
    <mergeCell ref="G32:J32"/>
    <mergeCell ref="A33:J33"/>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K80"/>
  <sheetViews>
    <sheetView zoomScaleNormal="100" workbookViewId="0">
      <selection activeCell="A1" sqref="A1:K1"/>
    </sheetView>
  </sheetViews>
  <sheetFormatPr baseColWidth="8" defaultColWidth="8.6328125" defaultRowHeight="14.5"/>
  <cols>
    <col width="2.453125" customWidth="1" style="73" min="1" max="1"/>
    <col width="44" customWidth="1" style="73" min="2" max="2"/>
    <col width="12" customWidth="1" style="73" min="3" max="8"/>
    <col width="3" customWidth="1" style="73" min="9" max="9"/>
    <col width="52" customWidth="1" style="73" min="10" max="10"/>
  </cols>
  <sheetData>
    <row r="1" ht="25.5" customHeight="1" s="73">
      <c r="A1" s="72" t="inlineStr">
        <is>
          <t>The 20 Capgemini people already on these applications  —  and why this cohort is the opposite problem</t>
        </is>
      </c>
    </row>
    <row r="2" ht="15" customHeight="1" s="73">
      <c r="A2" s="75" t="inlineStr">
        <is>
          <t>Supply comes from the T3 headcount reconciliation behind Golden Inventory v4. THE POSITION HERE IS A SURPLUS, NOT A SHORTAGE: 37 of the 41 inherited people are offshore, and the design asks for only 8.5 offshore Capgemini seats in Year 1. This is a redeployment and bench problem in the early years, and it only becomes a hiring problem at E1/E2 once the offshore build scales.</t>
        </is>
      </c>
    </row>
    <row r="4" ht="15" customHeight="1" s="73">
      <c r="A4" s="76" t="inlineStr">
        <is>
          <t>A.  WHERE THE NUMBER COMES FROM</t>
        </is>
      </c>
    </row>
    <row r="5" ht="18.75" customHeight="1" s="73">
      <c r="B5" s="5" t="inlineStr">
        <is>
          <t>Source</t>
        </is>
      </c>
      <c r="C5" s="5" t="inlineStr">
        <is>
          <t>Count</t>
        </is>
      </c>
      <c r="D5" s="5" t="inlineStr">
        <is>
          <t>What it is used for</t>
        </is>
      </c>
    </row>
    <row r="6" ht="37.5" customHeight="1" s="73">
      <c r="B6" s="79" t="inlineStr">
        <is>
          <t>Billing details — named individuals</t>
        </is>
      </c>
      <c r="C6" s="13" t="n">
        <v>277</v>
      </c>
      <c r="D6" s="79" t="inlineStr">
        <is>
          <t>THE COUNT. 277 de-duplicated employee IDs across T3, DMO and JET, each with a location and a Capgemini grade.</t>
        </is>
      </c>
      <c r="E6" s="80" t="n"/>
      <c r="F6" s="80" t="n"/>
      <c r="G6" s="80" t="n"/>
      <c r="H6" s="81" t="n"/>
    </row>
    <row r="7" ht="37.5" customHeight="1" s="73">
      <c r="B7" s="79" t="inlineStr">
        <is>
          <t>Mapping of current Capgemini staff — billable FTE</t>
        </is>
      </c>
      <c r="C7" s="13" t="n">
        <v>283</v>
      </c>
      <c r="D7" s="79" t="inlineStr">
        <is>
          <t>THE ROLE MIX and the grade ladder. Developer → Developer, Cloud Engineer → Maintenance, Testers → Tester, BSA / Scrum Master / Functional Analyst → BSA, Tech Lead / Solution Architect → Other.</t>
        </is>
      </c>
      <c r="E7" s="80" t="n"/>
      <c r="F7" s="80" t="n"/>
      <c r="G7" s="80" t="n"/>
      <c r="H7" s="81" t="n"/>
    </row>
    <row r="8" ht="37.5" customHeight="1" s="73">
      <c r="B8" s="79" t="inlineStr">
        <is>
          <t>EAIs.xlsx — 'CG HC by EAI'</t>
        </is>
      </c>
      <c r="C8" s="13" t="n">
        <v>450</v>
      </c>
      <c r="D8" s="79" t="inlineStr">
        <is>
          <t>THE SHAPE of the application-level distribution, rescaled to 277 and capped at each application's own vendor FTC.</t>
        </is>
      </c>
      <c r="E8" s="80" t="n"/>
      <c r="F8" s="80" t="n"/>
      <c r="G8" s="80" t="n"/>
      <c r="H8" s="81" t="n"/>
    </row>
    <row r="9" ht="37.5" customHeight="1" s="73">
      <c r="B9" s="79" t="inlineStr">
        <is>
          <t>EAIs.xlsx Sheet1 — direct EAI tags</t>
        </is>
      </c>
      <c r="C9" s="13" t="n">
        <v>528</v>
      </c>
      <c r="D9" s="79" t="inlineStr">
        <is>
          <t>Cross-check only. Double-counts people serving more than one application.</t>
        </is>
      </c>
      <c r="E9" s="80" t="n"/>
      <c r="F9" s="80" t="n"/>
      <c r="G9" s="80" t="n"/>
      <c r="H9" s="81" t="n"/>
    </row>
    <row r="10" ht="37.5" customHeight="1" s="73">
      <c r="B10" s="24" t="inlineStr">
        <is>
          <t>Of the 277, allocated to Storage and Preservation</t>
        </is>
      </c>
      <c r="C10" s="38" t="n">
        <v>41</v>
      </c>
      <c r="D10" s="79" t="inlineStr">
        <is>
          <t>37 in India, 4 in Japan. 45 of the 277 sit in cross-domain teams with no application mapping and are excluded from every domain.</t>
        </is>
      </c>
      <c r="E10" s="80" t="n"/>
      <c r="F10" s="80" t="n"/>
      <c r="G10" s="80" t="n"/>
      <c r="H10" s="81" t="n"/>
    </row>
    <row r="12" ht="15" customHeight="1" s="73">
      <c r="B12" s="78" t="inlineStr">
        <is>
          <t>Capgemini grade → experience band: A4/A5 → E1 · B1/B2 → E2 · C1 and Sub-Con → E3 · C2/D1 → E4 · D2/E1 → E5. Location is binary: Japan → onshore, everything else → India / offshore.</t>
        </is>
      </c>
    </row>
    <row r="14" ht="15" customHeight="1" s="73">
      <c r="A14" s="76" t="inlineStr">
        <is>
          <t>B.  WHERE THEY SIT TODAY</t>
        </is>
      </c>
    </row>
    <row r="15" ht="18.75" customHeight="1" s="73">
      <c r="B15" s="5" t="inlineStr">
        <is>
          <t>Application</t>
        </is>
      </c>
      <c r="C15" s="5" t="inlineStr">
        <is>
          <t>Archetype</t>
        </is>
      </c>
      <c r="D15" s="5" t="inlineStr">
        <is>
          <t>Value stream</t>
        </is>
      </c>
      <c r="E15" s="5" t="inlineStr">
        <is>
          <t>CG heads today</t>
        </is>
      </c>
      <c r="F15" s="5" t="inlineStr">
        <is>
          <t>Vendor FTC</t>
        </is>
      </c>
    </row>
    <row r="16" ht="36.75" customHeight="1" s="73">
      <c r="B16" s="4" t="inlineStr">
        <is>
          <t>K2</t>
        </is>
      </c>
      <c r="C16" s="35" t="inlineStr">
        <is>
          <t>D</t>
        </is>
      </c>
      <c r="D16" s="79" t="inlineStr">
        <is>
          <t>Policy Owner Servicing Work Flow (K2 only)</t>
        </is>
      </c>
      <c r="E16" s="9" t="n">
        <v>36.1</v>
      </c>
      <c r="F16" s="45" t="n">
        <v>36.105</v>
      </c>
      <c r="J16" s="78" t="inlineStr">
        <is>
          <t>41 people against 69.4 vendor units, and 36.1 of them sit on K2 alone. The concentration is the point: we have deep continuity on the one application that matters and almost none on the fourteen satellites — which is precisely why FSI holds four of them as a service cell.</t>
        </is>
      </c>
    </row>
    <row r="17" ht="34.5" customHeight="1" s="73">
      <c r="B17" s="4" t="inlineStr">
        <is>
          <t>Satellites, Payment &amp; Records  (14 apps)</t>
        </is>
      </c>
      <c r="C17" s="35" t="inlineStr">
        <is>
          <t>J / T</t>
        </is>
      </c>
      <c r="D17" s="79" t="inlineStr">
        <is>
          <t>Policy Owner Servicing Payment &amp; Records</t>
        </is>
      </c>
      <c r="E17" s="9" t="n">
        <v>4.9</v>
      </c>
      <c r="F17" s="45" t="n">
        <v>33.321</v>
      </c>
    </row>
    <row r="18" ht="34.5" customHeight="1" s="73">
      <c r="B18" s="4" t="n"/>
      <c r="C18" s="35" t="n"/>
      <c r="D18" s="79" t="n"/>
      <c r="E18" s="9" t="n"/>
      <c r="F18" s="45" t="n"/>
    </row>
    <row r="19" ht="15" customHeight="1" s="73">
      <c r="B19" s="14" t="inlineStr">
        <is>
          <t>TOTAL</t>
        </is>
      </c>
      <c r="E19" s="15">
        <f>SUM(E16:E18)</f>
        <v/>
      </c>
      <c r="F19" s="15">
        <f>SUM(F16:F18)</f>
        <v/>
      </c>
    </row>
    <row r="21" ht="15" customHeight="1" s="73">
      <c r="A21" s="76" t="inlineStr">
        <is>
          <t>C.  THE EVOLUTION MECHANIC  —  INPUT</t>
        </is>
      </c>
    </row>
    <row r="22" ht="18.75" customHeight="1" s="73">
      <c r="B22" s="5" t="inlineStr">
        <is>
          <t>Band</t>
        </is>
      </c>
      <c r="C22" s="5" t="inlineStr">
        <is>
          <t>Attrition — offshore</t>
        </is>
      </c>
      <c r="D22" s="5" t="inlineStr">
        <is>
          <t>Attrition — onshore</t>
        </is>
      </c>
      <c r="E22" s="5" t="inlineStr">
        <is>
          <t>Promotion out of band</t>
        </is>
      </c>
    </row>
    <row r="23" ht="27.75" customHeight="1" s="73">
      <c r="B23" s="11" t="inlineStr">
        <is>
          <t>E1</t>
        </is>
      </c>
      <c r="C23" s="20" t="n">
        <v>0.22</v>
      </c>
      <c r="D23" s="20" t="n">
        <v>0.1</v>
      </c>
      <c r="E23" s="20" t="n">
        <v>0.2</v>
      </c>
      <c r="J23" s="78" t="inlineStr">
        <is>
          <t>Identical rates to Sales / Insurance v6 and Contract Management v7 — attrition first, promotion to the survivors. The same mechanic, applied to a very different starting shape.</t>
        </is>
      </c>
    </row>
    <row r="24" ht="15" customHeight="1" s="73">
      <c r="B24" s="11" t="inlineStr">
        <is>
          <t>E2</t>
        </is>
      </c>
      <c r="C24" s="20" t="n">
        <v>0.18</v>
      </c>
      <c r="D24" s="20" t="n">
        <v>0.09</v>
      </c>
      <c r="E24" s="20" t="n">
        <v>0.16</v>
      </c>
    </row>
    <row r="25" ht="15" customHeight="1" s="73">
      <c r="B25" s="11" t="inlineStr">
        <is>
          <t>E3</t>
        </is>
      </c>
      <c r="C25" s="20" t="n">
        <v>0.13</v>
      </c>
      <c r="D25" s="20" t="n">
        <v>0.07000000000000001</v>
      </c>
      <c r="E25" s="20" t="n">
        <v>0.12</v>
      </c>
    </row>
    <row r="26" ht="15" customHeight="1" s="73">
      <c r="B26" s="11" t="inlineStr">
        <is>
          <t>E4</t>
        </is>
      </c>
      <c r="C26" s="20" t="n">
        <v>0.09</v>
      </c>
      <c r="D26" s="20" t="n">
        <v>0.05</v>
      </c>
      <c r="E26" s="20" t="n">
        <v>0.07000000000000001</v>
      </c>
    </row>
    <row r="27" ht="15" customHeight="1" s="73">
      <c r="B27" s="11" t="inlineStr">
        <is>
          <t>E5</t>
        </is>
      </c>
      <c r="C27" s="20" t="n">
        <v>0.06</v>
      </c>
      <c r="D27" s="20" t="n">
        <v>0.04</v>
      </c>
      <c r="E27" s="20" t="n">
        <v>0</v>
      </c>
    </row>
    <row r="29" ht="15" customHeight="1" s="73">
      <c r="A29" s="76" t="inlineStr">
        <is>
          <t>D.  THE COHORT ROLLED FORWARD</t>
        </is>
      </c>
    </row>
    <row r="30" ht="15" customHeight="1" s="73">
      <c r="B30" s="5" t="inlineStr">
        <is>
          <t>Measure</t>
        </is>
      </c>
      <c r="C30" s="5" t="inlineStr">
        <is>
          <t>Year 1</t>
        </is>
      </c>
      <c r="D30" s="5" t="inlineStr">
        <is>
          <t>Year 2</t>
        </is>
      </c>
      <c r="E30" s="5" t="inlineStr">
        <is>
          <t>Year 3</t>
        </is>
      </c>
      <c r="F30" s="5" t="inlineStr">
        <is>
          <t>Year 4</t>
        </is>
      </c>
      <c r="G30" s="5" t="inlineStr">
        <is>
          <t>Year 5</t>
        </is>
      </c>
    </row>
    <row r="31" ht="15" customHeight="1" s="73">
      <c r="B31" s="14" t="inlineStr">
        <is>
          <t>Inherited people surviving</t>
        </is>
      </c>
      <c r="C31" s="15" t="n">
        <v>41</v>
      </c>
      <c r="D31" s="15" t="n">
        <v>35.51</v>
      </c>
      <c r="E31" s="15" t="n">
        <v>31.009655</v>
      </c>
      <c r="F31" s="15" t="n">
        <v>27.2870911901</v>
      </c>
      <c r="G31" s="15" t="n">
        <v>24.1805775267223</v>
      </c>
    </row>
    <row r="32" ht="15" customHeight="1" s="73">
      <c r="B32" s="79" t="inlineStr">
        <is>
          <t xml:space="preserve">  — E1</t>
        </is>
      </c>
      <c r="C32" s="9" t="n">
        <v>2</v>
      </c>
      <c r="D32" s="9" t="n">
        <v>1.248</v>
      </c>
      <c r="E32" s="9" t="n">
        <v>0.778752</v>
      </c>
      <c r="F32" s="9" t="n">
        <v>0.485941248</v>
      </c>
      <c r="G32" s="9" t="n">
        <v>0.303227338752</v>
      </c>
    </row>
    <row r="33" ht="15" customHeight="1" s="73">
      <c r="B33" s="79" t="inlineStr">
        <is>
          <t xml:space="preserve">  — E2</t>
        </is>
      </c>
      <c r="C33" s="9" t="n">
        <v>12</v>
      </c>
      <c r="D33" s="9" t="n">
        <v>8.5776</v>
      </c>
      <c r="E33" s="9" t="n">
        <v>6.10293888</v>
      </c>
      <c r="F33" s="9" t="n">
        <v>4.325189612544</v>
      </c>
      <c r="G33" s="9" t="n">
        <v>3.05499743980831</v>
      </c>
    </row>
    <row r="34" ht="15" customHeight="1" s="73">
      <c r="B34" s="79" t="inlineStr">
        <is>
          <t xml:space="preserve">  — E3</t>
        </is>
      </c>
      <c r="C34" s="9" t="n">
        <v>16</v>
      </c>
      <c r="D34" s="9" t="n">
        <v>13.8768</v>
      </c>
      <c r="E34" s="9" t="n">
        <v>11.79267072</v>
      </c>
      <c r="F34" s="9" t="n">
        <v>9.864538592256</v>
      </c>
      <c r="G34" s="9" t="n">
        <v>8.148697773037981</v>
      </c>
    </row>
    <row r="35" ht="15" customHeight="1" s="73">
      <c r="B35" s="79" t="inlineStr">
        <is>
          <t xml:space="preserve">  — E4</t>
        </is>
      </c>
      <c r="C35" s="9" t="n">
        <v>11</v>
      </c>
      <c r="D35" s="9" t="n">
        <v>11.0985</v>
      </c>
      <c r="E35" s="9" t="n">
        <v>10.95004107</v>
      </c>
      <c r="F35" s="9" t="n">
        <v>10.597174321329</v>
      </c>
      <c r="G35" s="9" t="n">
        <v>10.0881793884908</v>
      </c>
    </row>
    <row r="36" ht="15" customHeight="1" s="73">
      <c r="B36" s="79" t="inlineStr">
        <is>
          <t xml:space="preserve">  — E5</t>
        </is>
      </c>
      <c r="C36" s="9" t="n">
        <v>0</v>
      </c>
      <c r="D36" s="9" t="n">
        <v>0.7091</v>
      </c>
      <c r="E36" s="9" t="n">
        <v>1.38525233</v>
      </c>
      <c r="F36" s="9" t="n">
        <v>2.014247415971</v>
      </c>
      <c r="G36" s="9" t="n">
        <v>2.58547558663323</v>
      </c>
    </row>
    <row r="37" ht="36.75" customHeight="1" s="73">
      <c r="B37" s="14" t="inlineStr">
        <is>
          <t>Senior share  (E4 + E5)</t>
        </is>
      </c>
      <c r="C37" s="18" t="n">
        <v>0.268292682926829</v>
      </c>
      <c r="D37" s="18" t="n">
        <v>0.332514784567728</v>
      </c>
      <c r="E37" s="18" t="n">
        <v>0.397788798359737</v>
      </c>
      <c r="F37" s="18" t="n">
        <v>0.462175379905482</v>
      </c>
      <c r="G37" s="18" t="n">
        <v>0.524125404412619</v>
      </c>
      <c r="J37" s="78" t="inlineStr">
        <is>
          <t>The cohort starts at 26.8% senior (11 of 41 at E4, none at E5) and the attrition-and-promotion mechanic seniorises it every year. Row 37 is the number to watch: it drives cost per head, and the design counters it by hiring at E2 and E3 offshore as the team shrinks.</t>
        </is>
      </c>
    </row>
    <row r="38" ht="15" customHeight="1" s="73">
      <c r="B38" s="79" t="inlineStr">
        <is>
          <t xml:space="preserve">  — in Japan</t>
        </is>
      </c>
      <c r="C38" s="9" t="n">
        <v>4</v>
      </c>
      <c r="D38" s="9" t="n">
        <v>3.78</v>
      </c>
      <c r="E38" s="9" t="n">
        <v>3.576627</v>
      </c>
      <c r="F38" s="9" t="n">
        <v>3.3881520753</v>
      </c>
      <c r="G38" s="9" t="n">
        <v>3.21306699915027</v>
      </c>
    </row>
    <row r="39" ht="15" customHeight="1" s="73">
      <c r="B39" s="79" t="inlineStr">
        <is>
          <t xml:space="preserve">  — in India</t>
        </is>
      </c>
      <c r="C39" s="9" t="n">
        <v>37</v>
      </c>
      <c r="D39" s="9" t="n">
        <v>31.73</v>
      </c>
      <c r="E39" s="9" t="n">
        <v>27.433028</v>
      </c>
      <c r="F39" s="9" t="n">
        <v>23.8989391148</v>
      </c>
      <c r="G39" s="9" t="n">
        <v>20.9675105275721</v>
      </c>
    </row>
    <row r="41" ht="15" customHeight="1" s="73">
      <c r="A41" s="76" t="inlineStr">
        <is>
          <t>E.  SUPPLY AGAINST DEMAND  —  offshore, where 18 of the 20 sit</t>
        </is>
      </c>
    </row>
    <row r="42" ht="15" customHeight="1" s="73">
      <c r="B42" s="5" t="inlineStr">
        <is>
          <t>Measure</t>
        </is>
      </c>
      <c r="C42" s="5" t="inlineStr">
        <is>
          <t>Year 1</t>
        </is>
      </c>
      <c r="D42" s="5" t="inlineStr">
        <is>
          <t>Year 2</t>
        </is>
      </c>
      <c r="E42" s="5" t="inlineStr">
        <is>
          <t>Year 3</t>
        </is>
      </c>
      <c r="F42" s="5" t="inlineStr">
        <is>
          <t>Year 4</t>
        </is>
      </c>
      <c r="G42" s="5" t="inlineStr">
        <is>
          <t>Year 5</t>
        </is>
      </c>
    </row>
    <row r="43" ht="15" customHeight="1" s="73">
      <c r="B43" s="14" t="inlineStr">
        <is>
          <t>Offshore Capgemini seats the design asks for</t>
        </is>
      </c>
      <c r="C43" s="15">
        <f>SUMIFS('Seat Ledger'!$M$5:$M$235,'Seat Ledger'!$B$5:$B$235,1,'Seat Ledger'!$J$5:$J$235,"FTC",'Seat Ledger'!$I$5:$I$235,"OFF")+SUMIFS('Seat Ledger'!$M$5:$M$235,'Seat Ledger'!$B$5:$B$235,1,'Seat Ledger'!$J$5:$J$235,"FTC",'Seat Ledger'!$I$5:$I$235,"NEAR")</f>
        <v/>
      </c>
      <c r="D43" s="15">
        <f>SUMIFS('Seat Ledger'!$M$5:$M$235,'Seat Ledger'!$B$5:$B$235,2,'Seat Ledger'!$J$5:$J$235,"FTC",'Seat Ledger'!$I$5:$I$235,"OFF")+SUMIFS('Seat Ledger'!$M$5:$M$235,'Seat Ledger'!$B$5:$B$235,2,'Seat Ledger'!$J$5:$J$235,"FTC",'Seat Ledger'!$I$5:$I$235,"NEAR")</f>
        <v/>
      </c>
      <c r="E43" s="15">
        <f>SUMIFS('Seat Ledger'!$M$5:$M$235,'Seat Ledger'!$B$5:$B$235,3,'Seat Ledger'!$J$5:$J$235,"FTC",'Seat Ledger'!$I$5:$I$235,"OFF")+SUMIFS('Seat Ledger'!$M$5:$M$235,'Seat Ledger'!$B$5:$B$235,3,'Seat Ledger'!$J$5:$J$235,"FTC",'Seat Ledger'!$I$5:$I$235,"NEAR")</f>
        <v/>
      </c>
      <c r="F43" s="15">
        <f>SUMIFS('Seat Ledger'!$M$5:$M$235,'Seat Ledger'!$B$5:$B$235,4,'Seat Ledger'!$J$5:$J$235,"FTC",'Seat Ledger'!$I$5:$I$235,"OFF")+SUMIFS('Seat Ledger'!$M$5:$M$235,'Seat Ledger'!$B$5:$B$235,4,'Seat Ledger'!$J$5:$J$235,"FTC",'Seat Ledger'!$I$5:$I$235,"NEAR")</f>
        <v/>
      </c>
      <c r="G43" s="15">
        <f>SUMIFS('Seat Ledger'!$M$5:$M$235,'Seat Ledger'!$B$5:$B$235,5,'Seat Ledger'!$J$5:$J$235,"FTC",'Seat Ledger'!$I$5:$I$235,"OFF")+SUMIFS('Seat Ledger'!$M$5:$M$235,'Seat Ledger'!$B$5:$B$235,5,'Seat Ledger'!$J$5:$J$235,"FTC",'Seat Ledger'!$I$5:$I$235,"NEAR")</f>
        <v/>
      </c>
    </row>
    <row r="44" ht="15" customHeight="1" s="73">
      <c r="B44" s="79" t="inlineStr">
        <is>
          <t>Inherited people still there</t>
        </is>
      </c>
      <c r="C44" s="9" t="n">
        <v>37</v>
      </c>
      <c r="D44" s="9" t="n">
        <v>31.73</v>
      </c>
      <c r="E44" s="9" t="n">
        <v>27.433028</v>
      </c>
      <c r="F44" s="9" t="n">
        <v>23.8989391148</v>
      </c>
      <c r="G44" s="9" t="n">
        <v>20.9675105275721</v>
      </c>
    </row>
    <row r="45" ht="27.75" customHeight="1" s="73">
      <c r="B45" s="14" t="inlineStr">
        <is>
          <t>Covered by people we already have</t>
        </is>
      </c>
      <c r="C45" s="18">
        <f>C44/C43</f>
        <v/>
      </c>
      <c r="D45" s="18">
        <f>D44/D43</f>
        <v/>
      </c>
      <c r="E45" s="18">
        <f>E44/E43</f>
        <v/>
      </c>
      <c r="F45" s="18">
        <f>F44/F43</f>
        <v/>
      </c>
      <c r="G45" s="18">
        <f>G44/G43</f>
        <v/>
      </c>
      <c r="J45" s="78" t="inlineStr">
        <is>
          <t>60% covered in Year 1, against 90% on Sales. This domain has to hire more of its own offshore team from a standing start, and the people it hires must be junior enough to balance a cohort that is already senior.</t>
        </is>
      </c>
    </row>
    <row r="46" ht="15" customHeight="1" s="73">
      <c r="B46" s="79" t="inlineStr">
        <is>
          <t>To hire, redeploy or reskill</t>
        </is>
      </c>
      <c r="C46" s="9">
        <f>C43-C44</f>
        <v/>
      </c>
      <c r="D46" s="9">
        <f>D43-D44</f>
        <v/>
      </c>
      <c r="E46" s="9">
        <f>E43-E44</f>
        <v/>
      </c>
      <c r="F46" s="9">
        <f>F43-F44</f>
        <v/>
      </c>
      <c r="G46" s="9">
        <f>G43-G44</f>
        <v/>
      </c>
    </row>
    <row r="48" ht="15" customHeight="1" s="73">
      <c r="A48" s="76" t="inlineStr">
        <is>
          <t>F.  BAND BY BAND  —  the seats we designed against the people we hold, offshore</t>
        </is>
      </c>
    </row>
    <row r="49" ht="15" customHeight="1" s="73">
      <c r="B49" s="5" t="inlineStr">
        <is>
          <t>Year 1</t>
        </is>
      </c>
      <c r="C49" s="5" t="inlineStr">
        <is>
          <t>E1</t>
        </is>
      </c>
      <c r="D49" s="5" t="inlineStr">
        <is>
          <t>E2</t>
        </is>
      </c>
      <c r="E49" s="5" t="inlineStr">
        <is>
          <t>E3</t>
        </is>
      </c>
      <c r="F49" s="5" t="inlineStr">
        <is>
          <t>E4</t>
        </is>
      </c>
      <c r="G49" s="5" t="inlineStr">
        <is>
          <t>E5</t>
        </is>
      </c>
      <c r="H49" s="5" t="inlineStr">
        <is>
          <t>Total</t>
        </is>
      </c>
    </row>
    <row r="50" ht="15" customHeight="1" s="73">
      <c r="B50" s="79" t="inlineStr">
        <is>
          <t>Seats the design asks for</t>
        </is>
      </c>
      <c r="C50" s="9">
        <f>SUMIFS('Seat Ledger'!$M$5:$M$235,'Seat Ledger'!$B$5:$B$235,1,'Seat Ledger'!$J$5:$J$235,"FTC",'Seat Ledger'!$I$5:$I$235,"OFF",'Seat Ledger'!$H$5:$H$235,"E1")+SUMIFS('Seat Ledger'!$M$5:$M$235,'Seat Ledger'!$B$5:$B$235,1,'Seat Ledger'!$J$5:$J$235,"FTC",'Seat Ledger'!$I$5:$I$235,"NEAR",'Seat Ledger'!$H$5:$H$235,"E1")</f>
        <v/>
      </c>
      <c r="D50" s="9">
        <f>SUMIFS('Seat Ledger'!$M$5:$M$235,'Seat Ledger'!$B$5:$B$235,1,'Seat Ledger'!$J$5:$J$235,"FTC",'Seat Ledger'!$I$5:$I$235,"OFF",'Seat Ledger'!$H$5:$H$235,"E2")+SUMIFS('Seat Ledger'!$M$5:$M$235,'Seat Ledger'!$B$5:$B$235,1,'Seat Ledger'!$J$5:$J$235,"FTC",'Seat Ledger'!$I$5:$I$235,"NEAR",'Seat Ledger'!$H$5:$H$235,"E2")</f>
        <v/>
      </c>
      <c r="E50" s="9">
        <f>SUMIFS('Seat Ledger'!$M$5:$M$235,'Seat Ledger'!$B$5:$B$235,1,'Seat Ledger'!$J$5:$J$235,"FTC",'Seat Ledger'!$I$5:$I$235,"OFF",'Seat Ledger'!$H$5:$H$235,"E3")+SUMIFS('Seat Ledger'!$M$5:$M$235,'Seat Ledger'!$B$5:$B$235,1,'Seat Ledger'!$J$5:$J$235,"FTC",'Seat Ledger'!$I$5:$I$235,"NEAR",'Seat Ledger'!$H$5:$H$235,"E3")</f>
        <v/>
      </c>
      <c r="F50" s="9">
        <f>SUMIFS('Seat Ledger'!$M$5:$M$235,'Seat Ledger'!$B$5:$B$235,1,'Seat Ledger'!$J$5:$J$235,"FTC",'Seat Ledger'!$I$5:$I$235,"OFF",'Seat Ledger'!$H$5:$H$235,"E4")+SUMIFS('Seat Ledger'!$M$5:$M$235,'Seat Ledger'!$B$5:$B$235,1,'Seat Ledger'!$J$5:$J$235,"FTC",'Seat Ledger'!$I$5:$I$235,"NEAR",'Seat Ledger'!$H$5:$H$235,"E4")</f>
        <v/>
      </c>
      <c r="G50" s="9">
        <f>SUMIFS('Seat Ledger'!$M$5:$M$235,'Seat Ledger'!$B$5:$B$235,1,'Seat Ledger'!$J$5:$J$235,"FTC",'Seat Ledger'!$I$5:$I$235,"OFF",'Seat Ledger'!$H$5:$H$235,"E5")+SUMIFS('Seat Ledger'!$M$5:$M$235,'Seat Ledger'!$B$5:$B$235,1,'Seat Ledger'!$J$5:$J$235,"FTC",'Seat Ledger'!$I$5:$I$235,"NEAR",'Seat Ledger'!$H$5:$H$235,"E5")</f>
        <v/>
      </c>
      <c r="H50" s="15">
        <f>SUM(C50:G50)</f>
        <v/>
      </c>
    </row>
    <row r="51" ht="15" customHeight="1" s="73">
      <c r="B51" s="79" t="inlineStr">
        <is>
          <t>People we already have</t>
        </is>
      </c>
      <c r="C51" s="9" t="n">
        <v>2</v>
      </c>
      <c r="D51" s="9" t="n">
        <v>12</v>
      </c>
      <c r="E51" s="9" t="n">
        <v>15</v>
      </c>
      <c r="F51" s="9" t="n">
        <v>8</v>
      </c>
      <c r="G51" s="9" t="n">
        <v>0</v>
      </c>
      <c r="H51" s="15">
        <f>SUM(C51:G51)</f>
        <v/>
      </c>
    </row>
    <row r="52" ht="15" customHeight="1" s="73">
      <c r="B52" s="14" t="inlineStr">
        <is>
          <t>Gap  —  positive is a hire</t>
        </is>
      </c>
      <c r="C52" s="15">
        <f>C50-C51</f>
        <v/>
      </c>
      <c r="D52" s="15">
        <f>D50-D51</f>
        <v/>
      </c>
      <c r="E52" s="15">
        <f>E50-E51</f>
        <v/>
      </c>
      <c r="F52" s="15">
        <f>F50-F51</f>
        <v/>
      </c>
      <c r="G52" s="15">
        <f>G50-G51</f>
        <v/>
      </c>
      <c r="H52" s="15">
        <f>SUM(C52:G52)</f>
        <v/>
      </c>
    </row>
    <row r="54" ht="15" customHeight="1" s="73">
      <c r="B54" s="5" t="inlineStr">
        <is>
          <t>Year 2</t>
        </is>
      </c>
      <c r="C54" s="5" t="inlineStr">
        <is>
          <t>E1</t>
        </is>
      </c>
      <c r="D54" s="5" t="inlineStr">
        <is>
          <t>E2</t>
        </is>
      </c>
      <c r="E54" s="5" t="inlineStr">
        <is>
          <t>E3</t>
        </is>
      </c>
      <c r="F54" s="5" t="inlineStr">
        <is>
          <t>E4</t>
        </is>
      </c>
      <c r="G54" s="5" t="inlineStr">
        <is>
          <t>E5</t>
        </is>
      </c>
      <c r="H54" s="5" t="inlineStr">
        <is>
          <t>Total</t>
        </is>
      </c>
    </row>
    <row r="55" ht="15" customHeight="1" s="73">
      <c r="B55" s="79" t="inlineStr">
        <is>
          <t>Seats the design asks for</t>
        </is>
      </c>
      <c r="C55" s="9">
        <f>SUMIFS('Seat Ledger'!$M$5:$M$235,'Seat Ledger'!$B$5:$B$235,2,'Seat Ledger'!$J$5:$J$235,"FTC",'Seat Ledger'!$I$5:$I$235,"OFF",'Seat Ledger'!$H$5:$H$235,"E1")+SUMIFS('Seat Ledger'!$M$5:$M$235,'Seat Ledger'!$B$5:$B$235,2,'Seat Ledger'!$J$5:$J$235,"FTC",'Seat Ledger'!$I$5:$I$235,"NEAR",'Seat Ledger'!$H$5:$H$235,"E1")</f>
        <v/>
      </c>
      <c r="D55" s="9">
        <f>SUMIFS('Seat Ledger'!$M$5:$M$235,'Seat Ledger'!$B$5:$B$235,2,'Seat Ledger'!$J$5:$J$235,"FTC",'Seat Ledger'!$I$5:$I$235,"OFF",'Seat Ledger'!$H$5:$H$235,"E2")+SUMIFS('Seat Ledger'!$M$5:$M$235,'Seat Ledger'!$B$5:$B$235,2,'Seat Ledger'!$J$5:$J$235,"FTC",'Seat Ledger'!$I$5:$I$235,"NEAR",'Seat Ledger'!$H$5:$H$235,"E2")</f>
        <v/>
      </c>
      <c r="E55" s="9">
        <f>SUMIFS('Seat Ledger'!$M$5:$M$235,'Seat Ledger'!$B$5:$B$235,2,'Seat Ledger'!$J$5:$J$235,"FTC",'Seat Ledger'!$I$5:$I$235,"OFF",'Seat Ledger'!$H$5:$H$235,"E3")+SUMIFS('Seat Ledger'!$M$5:$M$235,'Seat Ledger'!$B$5:$B$235,2,'Seat Ledger'!$J$5:$J$235,"FTC",'Seat Ledger'!$I$5:$I$235,"NEAR",'Seat Ledger'!$H$5:$H$235,"E3")</f>
        <v/>
      </c>
      <c r="F55" s="9">
        <f>SUMIFS('Seat Ledger'!$M$5:$M$235,'Seat Ledger'!$B$5:$B$235,2,'Seat Ledger'!$J$5:$J$235,"FTC",'Seat Ledger'!$I$5:$I$235,"OFF",'Seat Ledger'!$H$5:$H$235,"E4")+SUMIFS('Seat Ledger'!$M$5:$M$235,'Seat Ledger'!$B$5:$B$235,2,'Seat Ledger'!$J$5:$J$235,"FTC",'Seat Ledger'!$I$5:$I$235,"NEAR",'Seat Ledger'!$H$5:$H$235,"E4")</f>
        <v/>
      </c>
      <c r="G55" s="9">
        <f>SUMIFS('Seat Ledger'!$M$5:$M$235,'Seat Ledger'!$B$5:$B$235,2,'Seat Ledger'!$J$5:$J$235,"FTC",'Seat Ledger'!$I$5:$I$235,"OFF",'Seat Ledger'!$H$5:$H$235,"E5")+SUMIFS('Seat Ledger'!$M$5:$M$235,'Seat Ledger'!$B$5:$B$235,2,'Seat Ledger'!$J$5:$J$235,"FTC",'Seat Ledger'!$I$5:$I$235,"NEAR",'Seat Ledger'!$H$5:$H$235,"E5")</f>
        <v/>
      </c>
      <c r="H55" s="15">
        <f>SUM(C55:G55)</f>
        <v/>
      </c>
    </row>
    <row r="56" ht="15" customHeight="1" s="73">
      <c r="B56" s="79" t="inlineStr">
        <is>
          <t>People we already have</t>
        </is>
      </c>
      <c r="C56" s="9" t="n">
        <v>1.248</v>
      </c>
      <c r="D56" s="9" t="n">
        <v>8.5776</v>
      </c>
      <c r="E56" s="9" t="n">
        <v>13.0584</v>
      </c>
      <c r="F56" s="9" t="n">
        <v>8.336399999999999</v>
      </c>
      <c r="G56" s="9" t="n">
        <v>0.5096000000000001</v>
      </c>
      <c r="H56" s="15">
        <f>SUM(C56:G56)</f>
        <v/>
      </c>
    </row>
    <row r="57" ht="15" customHeight="1" s="73">
      <c r="B57" s="14" t="inlineStr">
        <is>
          <t>Gap  —  positive is a hire</t>
        </is>
      </c>
      <c r="C57" s="15">
        <f>C55-C56</f>
        <v/>
      </c>
      <c r="D57" s="15">
        <f>D55-D56</f>
        <v/>
      </c>
      <c r="E57" s="15">
        <f>E55-E56</f>
        <v/>
      </c>
      <c r="F57" s="15">
        <f>F55-F56</f>
        <v/>
      </c>
      <c r="G57" s="15">
        <f>G55-G56</f>
        <v/>
      </c>
      <c r="H57" s="15">
        <f>SUM(C57:G57)</f>
        <v/>
      </c>
    </row>
    <row r="59" ht="15" customHeight="1" s="73">
      <c r="B59" s="5" t="inlineStr">
        <is>
          <t>Year 3</t>
        </is>
      </c>
      <c r="C59" s="5" t="inlineStr">
        <is>
          <t>E1</t>
        </is>
      </c>
      <c r="D59" s="5" t="inlineStr">
        <is>
          <t>E2</t>
        </is>
      </c>
      <c r="E59" s="5" t="inlineStr">
        <is>
          <t>E3</t>
        </is>
      </c>
      <c r="F59" s="5" t="inlineStr">
        <is>
          <t>E4</t>
        </is>
      </c>
      <c r="G59" s="5" t="inlineStr">
        <is>
          <t>E5</t>
        </is>
      </c>
      <c r="H59" s="5" t="inlineStr">
        <is>
          <t>Total</t>
        </is>
      </c>
    </row>
    <row r="60" ht="15" customHeight="1" s="73">
      <c r="B60" s="79" t="inlineStr">
        <is>
          <t>Seats the design asks for</t>
        </is>
      </c>
      <c r="C60" s="9">
        <f>SUMIFS('Seat Ledger'!$M$5:$M$235,'Seat Ledger'!$B$5:$B$235,3,'Seat Ledger'!$J$5:$J$235,"FTC",'Seat Ledger'!$I$5:$I$235,"OFF",'Seat Ledger'!$H$5:$H$235,"E1")+SUMIFS('Seat Ledger'!$M$5:$M$235,'Seat Ledger'!$B$5:$B$235,3,'Seat Ledger'!$J$5:$J$235,"FTC",'Seat Ledger'!$I$5:$I$235,"NEAR",'Seat Ledger'!$H$5:$H$235,"E1")</f>
        <v/>
      </c>
      <c r="D60" s="9">
        <f>SUMIFS('Seat Ledger'!$M$5:$M$235,'Seat Ledger'!$B$5:$B$235,3,'Seat Ledger'!$J$5:$J$235,"FTC",'Seat Ledger'!$I$5:$I$235,"OFF",'Seat Ledger'!$H$5:$H$235,"E2")+SUMIFS('Seat Ledger'!$M$5:$M$235,'Seat Ledger'!$B$5:$B$235,3,'Seat Ledger'!$J$5:$J$235,"FTC",'Seat Ledger'!$I$5:$I$235,"NEAR",'Seat Ledger'!$H$5:$H$235,"E2")</f>
        <v/>
      </c>
      <c r="E60" s="9">
        <f>SUMIFS('Seat Ledger'!$M$5:$M$235,'Seat Ledger'!$B$5:$B$235,3,'Seat Ledger'!$J$5:$J$235,"FTC",'Seat Ledger'!$I$5:$I$235,"OFF",'Seat Ledger'!$H$5:$H$235,"E3")+SUMIFS('Seat Ledger'!$M$5:$M$235,'Seat Ledger'!$B$5:$B$235,3,'Seat Ledger'!$J$5:$J$235,"FTC",'Seat Ledger'!$I$5:$I$235,"NEAR",'Seat Ledger'!$H$5:$H$235,"E3")</f>
        <v/>
      </c>
      <c r="F60" s="9">
        <f>SUMIFS('Seat Ledger'!$M$5:$M$235,'Seat Ledger'!$B$5:$B$235,3,'Seat Ledger'!$J$5:$J$235,"FTC",'Seat Ledger'!$I$5:$I$235,"OFF",'Seat Ledger'!$H$5:$H$235,"E4")+SUMIFS('Seat Ledger'!$M$5:$M$235,'Seat Ledger'!$B$5:$B$235,3,'Seat Ledger'!$J$5:$J$235,"FTC",'Seat Ledger'!$I$5:$I$235,"NEAR",'Seat Ledger'!$H$5:$H$235,"E4")</f>
        <v/>
      </c>
      <c r="G60" s="9">
        <f>SUMIFS('Seat Ledger'!$M$5:$M$235,'Seat Ledger'!$B$5:$B$235,3,'Seat Ledger'!$J$5:$J$235,"FTC",'Seat Ledger'!$I$5:$I$235,"OFF",'Seat Ledger'!$H$5:$H$235,"E5")+SUMIFS('Seat Ledger'!$M$5:$M$235,'Seat Ledger'!$B$5:$B$235,3,'Seat Ledger'!$J$5:$J$235,"FTC",'Seat Ledger'!$I$5:$I$235,"NEAR",'Seat Ledger'!$H$5:$H$235,"E5")</f>
        <v/>
      </c>
      <c r="H60" s="15">
        <f>SUM(C60:G60)</f>
        <v/>
      </c>
    </row>
    <row r="61" ht="15" customHeight="1" s="73">
      <c r="B61" s="79" t="inlineStr">
        <is>
          <t>People we already have</t>
        </is>
      </c>
      <c r="C61" s="9" t="n">
        <v>0.778752</v>
      </c>
      <c r="D61" s="9" t="n">
        <v>6.10293888</v>
      </c>
      <c r="E61" s="9" t="n">
        <v>11.12289216</v>
      </c>
      <c r="F61" s="9" t="n">
        <v>8.418392280000001</v>
      </c>
      <c r="G61" s="9" t="n">
        <v>1.01005268</v>
      </c>
      <c r="H61" s="15">
        <f>SUM(C61:G61)</f>
        <v/>
      </c>
    </row>
    <row r="62" ht="15" customHeight="1" s="73">
      <c r="B62" s="14" t="inlineStr">
        <is>
          <t>Gap  —  positive is a hire</t>
        </is>
      </c>
      <c r="C62" s="15">
        <f>C60-C61</f>
        <v/>
      </c>
      <c r="D62" s="15">
        <f>D60-D61</f>
        <v/>
      </c>
      <c r="E62" s="15">
        <f>E60-E61</f>
        <v/>
      </c>
      <c r="F62" s="15">
        <f>F60-F61</f>
        <v/>
      </c>
      <c r="G62" s="15">
        <f>G60-G61</f>
        <v/>
      </c>
      <c r="H62" s="15">
        <f>SUM(C62:G62)</f>
        <v/>
      </c>
    </row>
    <row r="64" ht="15" customHeight="1" s="73">
      <c r="B64" s="5" t="inlineStr">
        <is>
          <t>Year 4</t>
        </is>
      </c>
      <c r="C64" s="5" t="inlineStr">
        <is>
          <t>E1</t>
        </is>
      </c>
      <c r="D64" s="5" t="inlineStr">
        <is>
          <t>E2</t>
        </is>
      </c>
      <c r="E64" s="5" t="inlineStr">
        <is>
          <t>E3</t>
        </is>
      </c>
      <c r="F64" s="5" t="inlineStr">
        <is>
          <t>E4</t>
        </is>
      </c>
      <c r="G64" s="5" t="inlineStr">
        <is>
          <t>E5</t>
        </is>
      </c>
      <c r="H64" s="5" t="inlineStr">
        <is>
          <t>Total</t>
        </is>
      </c>
    </row>
    <row r="65" ht="15" customHeight="1" s="73">
      <c r="B65" s="79" t="inlineStr">
        <is>
          <t>Seats the design asks for</t>
        </is>
      </c>
      <c r="C65" s="9">
        <f>SUMIFS('Seat Ledger'!$M$5:$M$235,'Seat Ledger'!$B$5:$B$235,4,'Seat Ledger'!$J$5:$J$235,"FTC",'Seat Ledger'!$I$5:$I$235,"OFF",'Seat Ledger'!$H$5:$H$235,"E1")+SUMIFS('Seat Ledger'!$M$5:$M$235,'Seat Ledger'!$B$5:$B$235,4,'Seat Ledger'!$J$5:$J$235,"FTC",'Seat Ledger'!$I$5:$I$235,"NEAR",'Seat Ledger'!$H$5:$H$235,"E1")</f>
        <v/>
      </c>
      <c r="D65" s="9">
        <f>SUMIFS('Seat Ledger'!$M$5:$M$235,'Seat Ledger'!$B$5:$B$235,4,'Seat Ledger'!$J$5:$J$235,"FTC",'Seat Ledger'!$I$5:$I$235,"OFF",'Seat Ledger'!$H$5:$H$235,"E2")+SUMIFS('Seat Ledger'!$M$5:$M$235,'Seat Ledger'!$B$5:$B$235,4,'Seat Ledger'!$J$5:$J$235,"FTC",'Seat Ledger'!$I$5:$I$235,"NEAR",'Seat Ledger'!$H$5:$H$235,"E2")</f>
        <v/>
      </c>
      <c r="E65" s="9">
        <f>SUMIFS('Seat Ledger'!$M$5:$M$235,'Seat Ledger'!$B$5:$B$235,4,'Seat Ledger'!$J$5:$J$235,"FTC",'Seat Ledger'!$I$5:$I$235,"OFF",'Seat Ledger'!$H$5:$H$235,"E3")+SUMIFS('Seat Ledger'!$M$5:$M$235,'Seat Ledger'!$B$5:$B$235,4,'Seat Ledger'!$J$5:$J$235,"FTC",'Seat Ledger'!$I$5:$I$235,"NEAR",'Seat Ledger'!$H$5:$H$235,"E3")</f>
        <v/>
      </c>
      <c r="F65" s="9">
        <f>SUMIFS('Seat Ledger'!$M$5:$M$235,'Seat Ledger'!$B$5:$B$235,4,'Seat Ledger'!$J$5:$J$235,"FTC",'Seat Ledger'!$I$5:$I$235,"OFF",'Seat Ledger'!$H$5:$H$235,"E4")+SUMIFS('Seat Ledger'!$M$5:$M$235,'Seat Ledger'!$B$5:$B$235,4,'Seat Ledger'!$J$5:$J$235,"FTC",'Seat Ledger'!$I$5:$I$235,"NEAR",'Seat Ledger'!$H$5:$H$235,"E4")</f>
        <v/>
      </c>
      <c r="G65" s="9">
        <f>SUMIFS('Seat Ledger'!$M$5:$M$235,'Seat Ledger'!$B$5:$B$235,4,'Seat Ledger'!$J$5:$J$235,"FTC",'Seat Ledger'!$I$5:$I$235,"OFF",'Seat Ledger'!$H$5:$H$235,"E5")+SUMIFS('Seat Ledger'!$M$5:$M$235,'Seat Ledger'!$B$5:$B$235,4,'Seat Ledger'!$J$5:$J$235,"FTC",'Seat Ledger'!$I$5:$I$235,"NEAR",'Seat Ledger'!$H$5:$H$235,"E5")</f>
        <v/>
      </c>
      <c r="H65" s="15">
        <f>SUM(C65:G65)</f>
        <v/>
      </c>
    </row>
    <row r="66" ht="15" customHeight="1" s="73">
      <c r="B66" s="79" t="inlineStr">
        <is>
          <t>People we already have</t>
        </is>
      </c>
      <c r="C66" s="9" t="n">
        <v>0.485941248</v>
      </c>
      <c r="D66" s="9" t="n">
        <v>4.325189612544</v>
      </c>
      <c r="E66" s="9" t="n">
        <v>9.316391818752001</v>
      </c>
      <c r="F66" s="9" t="n">
        <v>8.285715328067999</v>
      </c>
      <c r="G66" s="9" t="n">
        <v>1.485701107436</v>
      </c>
      <c r="H66" s="15">
        <f>SUM(C66:G66)</f>
        <v/>
      </c>
    </row>
    <row r="67" ht="15" customHeight="1" s="73">
      <c r="B67" s="14" t="inlineStr">
        <is>
          <t>Gap  —  positive is a hire</t>
        </is>
      </c>
      <c r="C67" s="15">
        <f>C65-C66</f>
        <v/>
      </c>
      <c r="D67" s="15">
        <f>D65-D66</f>
        <v/>
      </c>
      <c r="E67" s="15">
        <f>E65-E66</f>
        <v/>
      </c>
      <c r="F67" s="15">
        <f>F65-F66</f>
        <v/>
      </c>
      <c r="G67" s="15">
        <f>G65-G66</f>
        <v/>
      </c>
      <c r="H67" s="15">
        <f>SUM(C67:G67)</f>
        <v/>
      </c>
    </row>
    <row r="69" ht="15" customHeight="1" s="73">
      <c r="B69" s="5" t="inlineStr">
        <is>
          <t>Year 5</t>
        </is>
      </c>
      <c r="C69" s="5" t="inlineStr">
        <is>
          <t>E1</t>
        </is>
      </c>
      <c r="D69" s="5" t="inlineStr">
        <is>
          <t>E2</t>
        </is>
      </c>
      <c r="E69" s="5" t="inlineStr">
        <is>
          <t>E3</t>
        </is>
      </c>
      <c r="F69" s="5" t="inlineStr">
        <is>
          <t>E4</t>
        </is>
      </c>
      <c r="G69" s="5" t="inlineStr">
        <is>
          <t>E5</t>
        </is>
      </c>
      <c r="H69" s="5" t="inlineStr">
        <is>
          <t>Total</t>
        </is>
      </c>
    </row>
    <row r="70" ht="15" customHeight="1" s="73">
      <c r="B70" s="79" t="inlineStr">
        <is>
          <t>Seats the design asks for</t>
        </is>
      </c>
      <c r="C70" s="9">
        <f>SUMIFS('Seat Ledger'!$M$5:$M$235,'Seat Ledger'!$B$5:$B$235,5,'Seat Ledger'!$J$5:$J$235,"FTC",'Seat Ledger'!$I$5:$I$235,"OFF",'Seat Ledger'!$H$5:$H$235,"E1")+SUMIFS('Seat Ledger'!$M$5:$M$235,'Seat Ledger'!$B$5:$B$235,5,'Seat Ledger'!$J$5:$J$235,"FTC",'Seat Ledger'!$I$5:$I$235,"NEAR",'Seat Ledger'!$H$5:$H$235,"E1")</f>
        <v/>
      </c>
      <c r="D70" s="9">
        <f>SUMIFS('Seat Ledger'!$M$5:$M$235,'Seat Ledger'!$B$5:$B$235,5,'Seat Ledger'!$J$5:$J$235,"FTC",'Seat Ledger'!$I$5:$I$235,"OFF",'Seat Ledger'!$H$5:$H$235,"E2")+SUMIFS('Seat Ledger'!$M$5:$M$235,'Seat Ledger'!$B$5:$B$235,5,'Seat Ledger'!$J$5:$J$235,"FTC",'Seat Ledger'!$I$5:$I$235,"NEAR",'Seat Ledger'!$H$5:$H$235,"E2")</f>
        <v/>
      </c>
      <c r="E70" s="9">
        <f>SUMIFS('Seat Ledger'!$M$5:$M$235,'Seat Ledger'!$B$5:$B$235,5,'Seat Ledger'!$J$5:$J$235,"FTC",'Seat Ledger'!$I$5:$I$235,"OFF",'Seat Ledger'!$H$5:$H$235,"E3")+SUMIFS('Seat Ledger'!$M$5:$M$235,'Seat Ledger'!$B$5:$B$235,5,'Seat Ledger'!$J$5:$J$235,"FTC",'Seat Ledger'!$I$5:$I$235,"NEAR",'Seat Ledger'!$H$5:$H$235,"E3")</f>
        <v/>
      </c>
      <c r="F70" s="9">
        <f>SUMIFS('Seat Ledger'!$M$5:$M$235,'Seat Ledger'!$B$5:$B$235,5,'Seat Ledger'!$J$5:$J$235,"FTC",'Seat Ledger'!$I$5:$I$235,"OFF",'Seat Ledger'!$H$5:$H$235,"E4")+SUMIFS('Seat Ledger'!$M$5:$M$235,'Seat Ledger'!$B$5:$B$235,5,'Seat Ledger'!$J$5:$J$235,"FTC",'Seat Ledger'!$I$5:$I$235,"NEAR",'Seat Ledger'!$H$5:$H$235,"E4")</f>
        <v/>
      </c>
      <c r="G70" s="9">
        <f>SUMIFS('Seat Ledger'!$M$5:$M$235,'Seat Ledger'!$B$5:$B$235,5,'Seat Ledger'!$J$5:$J$235,"FTC",'Seat Ledger'!$I$5:$I$235,"OFF",'Seat Ledger'!$H$5:$H$235,"E5")+SUMIFS('Seat Ledger'!$M$5:$M$235,'Seat Ledger'!$B$5:$B$235,5,'Seat Ledger'!$J$5:$J$235,"FTC",'Seat Ledger'!$I$5:$I$235,"NEAR",'Seat Ledger'!$H$5:$H$235,"E5")</f>
        <v/>
      </c>
      <c r="H70" s="15">
        <f>SUM(C70:G70)</f>
        <v/>
      </c>
    </row>
    <row r="71" ht="15" customHeight="1" s="73">
      <c r="B71" s="79" t="inlineStr">
        <is>
          <t>People we already have</t>
        </is>
      </c>
      <c r="C71" s="9" t="n">
        <v>0.303227338752</v>
      </c>
      <c r="D71" s="9" t="n">
        <v>3.05499743980831</v>
      </c>
      <c r="E71" s="9" t="n">
        <v>7.70009445360231</v>
      </c>
      <c r="F71" s="9" t="n">
        <v>7.98483218802166</v>
      </c>
      <c r="G71" s="9" t="n">
        <v>1.92435910738777</v>
      </c>
      <c r="H71" s="15">
        <f>SUM(C71:G71)</f>
        <v/>
      </c>
    </row>
    <row r="72" ht="15" customHeight="1" s="73">
      <c r="B72" s="14" t="inlineStr">
        <is>
          <t>Gap  —  positive is a hire</t>
        </is>
      </c>
      <c r="C72" s="15">
        <f>C70-C71</f>
        <v/>
      </c>
      <c r="D72" s="15">
        <f>D70-D71</f>
        <v/>
      </c>
      <c r="E72" s="15">
        <f>E70-E71</f>
        <v/>
      </c>
      <c r="F72" s="15">
        <f>F70-F71</f>
        <v/>
      </c>
      <c r="G72" s="15">
        <f>G70-G71</f>
        <v/>
      </c>
      <c r="H72" s="15">
        <f>SUM(C72:G72)</f>
        <v/>
      </c>
    </row>
    <row r="74" ht="60" customHeight="1" s="73">
      <c r="B74" s="78" t="inlineStr">
        <is>
          <t>READ THE SIGN. The gap line is negative in every band in Year 1 — the design asks for 28.5 fewer Capgemini seats than the inherited cohort contains, because 37 of the 41 people sit offshore against a Year-1 offshore Capgemini demand of 8.5. By Year 5 the aggregate gap has closed to −2.5 and the shape has inverted: a surplus of 6.0 at E2 and 1.8 at E3 against a genuine shortfall of 8.0 at E4 and 1.9 at E5. The early-year problem is redeployment off this domain; the late-year problem is senior bilingual scarcity.</t>
        </is>
      </c>
    </row>
    <row r="76" ht="15" customHeight="1" s="73">
      <c r="A76" s="76" t="inlineStr">
        <is>
          <t>G.  WHAT THIS MEANS FOR THE SOLUTION</t>
        </is>
      </c>
    </row>
    <row r="77" ht="49.5" customHeight="1" s="73">
      <c r="B77" s="77" t="inlineStr">
        <is>
          <t>•  The continuity argument is strong and the capacity argument runs the other way. 37 of our 41 inherited people are offshore and 34.1 of the 41 sit on K2, against a Year-1 offshore Capgemini demand of 8.5 seats. Continuity on K2 is therefore free; the surplus has to be redeployed to other 領域 or released, and that plan belongs in the transition response, not here.</t>
        </is>
      </c>
    </row>
    <row r="78" ht="49.5" customHeight="1" s="73">
      <c r="B78" s="77" t="inlineStr">
        <is>
          <t>•  The talent-shape risk is at the top, not the bottom. The cohort is 26.8% senior on day one with no E5 at all, and seniorises by attrition and promotion to 52.4% by Year 5, while the design takes the roster the other way — 31.1% senior falling to 27.4%, with E1 seats present in every year so juniors have somewhere to land. The mismatch is a promotion-and-placement problem, and the architecture, lead and BSA seats are where the surviving seniors go.</t>
        </is>
      </c>
    </row>
    <row r="79" ht="49.5" customHeight="1" s="73">
      <c r="B79" s="77" t="inlineStr">
        <is>
          <t>•  FSI is 10.1% of vendor capacity and precisely located: K2 (EAI 12117), POS-IMS (13453), W13WEP-JPN (9947) and JP-RPASS (11604) — 7.000 units. Three of the four are waterfall and Japanese-specification; the fourth is K2 itself. The plan tapers them 7 → 7 → 6 → 5 → 4, and holds 2 seats (1 from Year 4) in the horizontal control cell so the partner relationship is governed rather than only consumed.</t>
        </is>
      </c>
    </row>
    <row r="80" ht="49.5" customHeight="1" s="73">
      <c r="B80" s="77" t="inlineStr">
        <is>
          <t>•  Four people in Japan against 60.5 onshore vendor units on day one — the worst continuity ratio in the portfolio. Eleven of fifteen applications run on Japanese specifications, so almost every Tokyo seat is a hire or a transfer. The design protects the three that matter most and holds them to Year 5: an onshore technical lead in every K2 team, an onshore bilingual analyst in both streams, and a Tokyo L2 support hand on the Japan-locked satellites.</t>
        </is>
      </c>
    </row>
  </sheetData>
  <mergeCells count="20">
    <mergeCell ref="A48:H48"/>
    <mergeCell ref="D10:H10"/>
    <mergeCell ref="A1:K1"/>
    <mergeCell ref="B78:J78"/>
    <mergeCell ref="D6:H6"/>
    <mergeCell ref="A41:H41"/>
    <mergeCell ref="B74:J74"/>
    <mergeCell ref="D7:H7"/>
    <mergeCell ref="A21:H21"/>
    <mergeCell ref="B80:J80"/>
    <mergeCell ref="A2:K2"/>
    <mergeCell ref="B79:J79"/>
    <mergeCell ref="A76:H76"/>
    <mergeCell ref="A14:H14"/>
    <mergeCell ref="D9:H9"/>
    <mergeCell ref="A4:H4"/>
    <mergeCell ref="D8:H8"/>
    <mergeCell ref="A29:H29"/>
    <mergeCell ref="B12:J12"/>
    <mergeCell ref="B77:J77"/>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J70"/>
  <sheetViews>
    <sheetView topLeftCell="A14" zoomScaleNormal="100" workbookViewId="0">
      <selection activeCell="B8" sqref="B8:E8"/>
    </sheetView>
  </sheetViews>
  <sheetFormatPr baseColWidth="8" defaultColWidth="8.6328125" defaultRowHeight="14.5"/>
  <cols>
    <col width="2.453125" customWidth="1" style="73" min="1" max="1"/>
    <col width="48" customWidth="1" style="73" min="2" max="2"/>
    <col width="13" customWidth="1" style="73" min="3" max="7"/>
    <col width="3" customWidth="1" style="73" min="8" max="8"/>
    <col width="52" customWidth="1" style="73" min="9" max="9"/>
  </cols>
  <sheetData>
    <row r="1" ht="25.5" customHeight="1" s="73">
      <c r="A1" s="72" t="inlineStr">
        <is>
          <t>Glidepath  —  capability, carry-forward, offshore, and one transfer at the end of Year 3</t>
        </is>
      </c>
    </row>
    <row r="2" ht="15" customHeight="1" s="73">
      <c r="A2" s="75" t="inlineStr">
        <is>
          <t>Year 1 passes nothing through. The transfer is struck on the exit position at full realisation.</t>
        </is>
      </c>
    </row>
    <row r="4" ht="15" customHeight="1" s="73">
      <c r="A4" s="76" t="inlineStr">
        <is>
          <t>A.  BASELINE</t>
        </is>
      </c>
    </row>
    <row r="5" ht="15" customHeight="1" s="73">
      <c r="B5" s="5" t="inlineStr">
        <is>
          <t>Measure</t>
        </is>
      </c>
      <c r="C5" s="5" t="inlineStr">
        <is>
          <t>Value</t>
        </is>
      </c>
    </row>
    <row r="6" ht="15" customHeight="1" s="73">
      <c r="B6" s="79" t="inlineStr">
        <is>
          <t>Applications</t>
        </is>
      </c>
      <c r="C6" s="13">
        <f>'Logic Tree'!C6</f>
        <v/>
      </c>
    </row>
    <row r="7" ht="15" customHeight="1" s="73">
      <c r="B7" s="79" t="inlineStr">
        <is>
          <t>Total effort (units)</t>
        </is>
      </c>
      <c r="C7" s="46">
        <f>'Logic Tree'!C7</f>
        <v/>
      </c>
    </row>
    <row r="8" ht="15" customHeight="1" s="73">
      <c r="B8" s="79" t="inlineStr">
        <is>
          <t>Capgemini FTC</t>
        </is>
      </c>
      <c r="C8" s="46">
        <f>'Logic Tree'!C8</f>
        <v/>
      </c>
      <c r="D8" t="inlineStr">
        <is>
          <t>CG + Others</t>
        </is>
      </c>
      <c r="E8" t="inlineStr">
        <is>
          <t>41 + 28.427</t>
        </is>
      </c>
    </row>
    <row r="9" ht="15" customHeight="1" s="73">
      <c r="B9" s="79" t="inlineStr">
        <is>
          <t>MetLife FTE</t>
        </is>
      </c>
      <c r="C9" s="46">
        <f>'Logic Tree'!C9</f>
        <v/>
      </c>
    </row>
    <row r="10" ht="15" customHeight="1" s="73">
      <c r="B10" s="79" t="inlineStr">
        <is>
          <t>MetLife MGCC</t>
        </is>
      </c>
      <c r="C10" s="46">
        <f>'Logic Tree'!C10</f>
        <v/>
      </c>
    </row>
    <row r="11" ht="15" customHeight="1" s="73">
      <c r="B11" s="79" t="inlineStr">
        <is>
          <t>Ratio today — Capgemini share</t>
        </is>
      </c>
      <c r="C11" s="12">
        <f>'Logic Tree'!C23</f>
        <v/>
      </c>
    </row>
    <row r="12" ht="27.75" customHeight="1" s="73">
      <c r="B12" s="79" t="inlineStr">
        <is>
          <t>Offshore today — whole team, measured</t>
        </is>
      </c>
      <c r="C12" s="12">
        <f>'Logic Tree'!C24</f>
        <v/>
      </c>
      <c r="I12" s="78" t="inlineStr">
        <is>
          <t>45.5% offshore on day one — 28.87 offshore, 0.96 nearshore and 15.99 MGCC against 100.765 units. The easiest starting point in the portfolio, and the reason the 81.5% ceiling is credible.</t>
        </is>
      </c>
    </row>
    <row r="13" ht="15" customHeight="1" s="73">
      <c r="B13" s="79" t="inlineStr">
        <is>
          <t>Appendix 3 Year-3 target, each side</t>
        </is>
      </c>
      <c r="C13" s="46">
        <f>'Logic Tree'!C22</f>
        <v/>
      </c>
    </row>
    <row r="15" ht="15" customHeight="1" s="73">
      <c r="A15" s="76" t="inlineStr">
        <is>
          <t>B.  PRODUCTIVITY</t>
        </is>
      </c>
    </row>
    <row r="16" ht="15" customHeight="1" s="73">
      <c r="B16" s="5" t="inlineStr">
        <is>
          <t>Measure</t>
        </is>
      </c>
      <c r="C16" s="5" t="inlineStr">
        <is>
          <t>Year 1</t>
        </is>
      </c>
      <c r="D16" s="5" t="inlineStr">
        <is>
          <t>Year 2</t>
        </is>
      </c>
      <c r="E16" s="5" t="inlineStr">
        <is>
          <t>Year 3</t>
        </is>
      </c>
      <c r="F16" s="5" t="inlineStr">
        <is>
          <t>Year 4</t>
        </is>
      </c>
      <c r="G16" s="5" t="inlineStr">
        <is>
          <t>Year 5</t>
        </is>
      </c>
    </row>
    <row r="17" ht="15" customHeight="1" s="73">
      <c r="B17" s="79" t="inlineStr">
        <is>
          <t>Agile share of the domain</t>
        </is>
      </c>
      <c r="C17" s="12">
        <f>'Delivery Mode'!C18</f>
        <v/>
      </c>
      <c r="D17" s="12">
        <f>'Delivery Mode'!D18</f>
        <v/>
      </c>
      <c r="E17" s="12">
        <f>'Delivery Mode'!E18</f>
        <v/>
      </c>
      <c r="F17" s="12">
        <f>'Delivery Mode'!F18</f>
        <v/>
      </c>
      <c r="G17" s="12">
        <f>'Delivery Mode'!G18</f>
        <v/>
      </c>
    </row>
    <row r="18" ht="15" customHeight="1" s="73">
      <c r="B18" s="79" t="inlineStr">
        <is>
          <t>Capability earned by end of year</t>
        </is>
      </c>
      <c r="C18" s="12">
        <f>'Logic Tree'!C45</f>
        <v/>
      </c>
      <c r="D18" s="12">
        <f>'Logic Tree'!D45</f>
        <v/>
      </c>
      <c r="E18" s="12">
        <f>'Logic Tree'!E45</f>
        <v/>
      </c>
      <c r="F18" s="12">
        <f>'Logic Tree'!F45</f>
        <v/>
      </c>
      <c r="G18" s="12">
        <f>'Logic Tree'!G45</f>
        <v/>
      </c>
    </row>
    <row r="19" ht="15" customHeight="1" s="73">
      <c r="B19" s="79" t="inlineStr">
        <is>
          <t>Banked from prior year</t>
        </is>
      </c>
      <c r="C19" s="12">
        <f>'Logic Tree'!C50</f>
        <v/>
      </c>
      <c r="D19" s="12">
        <f>'Logic Tree'!D50</f>
        <v/>
      </c>
      <c r="E19" s="12">
        <f>'Logic Tree'!E50</f>
        <v/>
      </c>
      <c r="F19" s="12">
        <f>'Logic Tree'!F50</f>
        <v/>
      </c>
      <c r="G19" s="12">
        <f>'Logic Tree'!G50</f>
        <v/>
      </c>
    </row>
    <row r="20" ht="15" customHeight="1" s="73">
      <c r="B20" s="79" t="inlineStr">
        <is>
          <t>Pre-load of this year's gain</t>
        </is>
      </c>
      <c r="C20" s="12">
        <f>'Logic Tree'!C51</f>
        <v/>
      </c>
      <c r="D20" s="12">
        <f>'Logic Tree'!D51</f>
        <v/>
      </c>
      <c r="E20" s="12">
        <f>'Logic Tree'!E51</f>
        <v/>
      </c>
      <c r="F20" s="12">
        <f>'Logic Tree'!F51</f>
        <v/>
      </c>
      <c r="G20" s="12">
        <f>'Logic Tree'!G51</f>
        <v/>
      </c>
    </row>
    <row r="21" ht="18.75" customHeight="1" s="73">
      <c r="B21" s="14" t="inlineStr">
        <is>
          <t>APPLIED TO STAFFING</t>
        </is>
      </c>
      <c r="C21" s="18">
        <f>'Logic Tree'!C52</f>
        <v/>
      </c>
      <c r="D21" s="18">
        <f>'Logic Tree'!D52</f>
        <v/>
      </c>
      <c r="E21" s="18">
        <f>'Logic Tree'!E52</f>
        <v/>
      </c>
      <c r="F21" s="18">
        <f>'Logic Tree'!F52</f>
        <v/>
      </c>
      <c r="G21" s="18">
        <f>'Logic Tree'!G52</f>
        <v/>
      </c>
      <c r="I21" s="78" t="inlineStr">
        <is>
          <t>Year 1 applies nothing: the capability the tree allows is consumed by transition, substrate build and the agile conversion itself.</t>
        </is>
      </c>
    </row>
    <row r="22" ht="15" customHeight="1" s="73">
      <c r="B22" s="79" t="inlineStr">
        <is>
          <t>Headcount target</t>
        </is>
      </c>
      <c r="C22" s="9">
        <f>'Logic Tree'!C53</f>
        <v/>
      </c>
      <c r="D22" s="9">
        <f>'Logic Tree'!D53</f>
        <v/>
      </c>
      <c r="E22" s="9">
        <f>'Logic Tree'!E53</f>
        <v/>
      </c>
      <c r="F22" s="9">
        <f>'Logic Tree'!F53</f>
        <v/>
      </c>
      <c r="G22" s="9">
        <f>'Logic Tree'!G53</f>
        <v/>
      </c>
    </row>
    <row r="23" ht="15" customHeight="1" s="73">
      <c r="B23" s="79" t="inlineStr">
        <is>
          <t>Headcount delivered by the design</t>
        </is>
      </c>
      <c r="C23" s="9">
        <f>'Team Build-Up'!C9</f>
        <v/>
      </c>
      <c r="D23" s="9">
        <f>'Team Build-Up'!D9</f>
        <v/>
      </c>
      <c r="E23" s="9">
        <f>'Team Build-Up'!E9</f>
        <v/>
      </c>
      <c r="F23" s="9">
        <f>'Team Build-Up'!F9</f>
        <v/>
      </c>
      <c r="G23" s="9">
        <f>'Team Build-Up'!G9</f>
        <v/>
      </c>
    </row>
    <row r="24" ht="15" customHeight="1" s="73">
      <c r="B24" s="79" t="inlineStr">
        <is>
          <t>Variance</t>
        </is>
      </c>
      <c r="C24" s="9">
        <f>'Team Build-Up'!C12</f>
        <v/>
      </c>
      <c r="D24" s="9">
        <f>'Team Build-Up'!D12</f>
        <v/>
      </c>
      <c r="E24" s="9">
        <f>'Team Build-Up'!E12</f>
        <v/>
      </c>
      <c r="F24" s="9">
        <f>'Team Build-Up'!F12</f>
        <v/>
      </c>
      <c r="G24" s="9">
        <f>'Team Build-Up'!G12</f>
        <v/>
      </c>
    </row>
    <row r="25" ht="15" customHeight="1" s="73">
      <c r="B25" s="14" t="inlineStr">
        <is>
          <t>Delivered productivity vs baseline</t>
        </is>
      </c>
      <c r="C25" s="18">
        <f>1-C23/$C$7</f>
        <v/>
      </c>
      <c r="D25" s="18">
        <f>1-D23/$C$7</f>
        <v/>
      </c>
      <c r="E25" s="18">
        <f>1-E23/$C$7</f>
        <v/>
      </c>
      <c r="F25" s="18">
        <f>1-F23/$C$7</f>
        <v/>
      </c>
      <c r="G25" s="18">
        <f>1-G23/$C$7</f>
        <v/>
      </c>
    </row>
    <row r="26" ht="23.25" customHeight="1" s="73">
      <c r="B26" s="24" t="inlineStr">
        <is>
          <t>EXIT YEAR 3 — full realisation, the point the transfer is struck</t>
        </is>
      </c>
      <c r="E26" s="26">
        <f>'Logic Tree'!E54</f>
        <v/>
      </c>
    </row>
    <row r="28" ht="15" customHeight="1" s="73">
      <c r="A28" s="76" t="inlineStr">
        <is>
          <t>C.  OFFSHORE</t>
        </is>
      </c>
    </row>
    <row r="29" ht="15" customHeight="1" s="73">
      <c r="B29" s="5" t="inlineStr">
        <is>
          <t>Measure</t>
        </is>
      </c>
      <c r="C29" s="5" t="inlineStr">
        <is>
          <t>Year 1</t>
        </is>
      </c>
      <c r="D29" s="5" t="inlineStr">
        <is>
          <t>Year 2</t>
        </is>
      </c>
      <c r="E29" s="5" t="inlineStr">
        <is>
          <t>Year 3</t>
        </is>
      </c>
      <c r="F29" s="5" t="inlineStr">
        <is>
          <t>Year 4</t>
        </is>
      </c>
      <c r="G29" s="5" t="inlineStr">
        <is>
          <t>Year 5</t>
        </is>
      </c>
    </row>
    <row r="30" ht="15" customHeight="1" s="73">
      <c r="B30" s="14" t="inlineStr">
        <is>
          <t>Delivered — bottom-up from seat locations</t>
        </is>
      </c>
      <c r="C30" s="47">
        <f>'Team Build-Up'!C54</f>
        <v/>
      </c>
      <c r="D30" s="47">
        <f>'Team Build-Up'!D54</f>
        <v/>
      </c>
      <c r="E30" s="47">
        <f>'Team Build-Up'!E54</f>
        <v/>
      </c>
      <c r="F30" s="47">
        <f>'Team Build-Up'!F54</f>
        <v/>
      </c>
      <c r="G30" s="47">
        <f>'Team Build-Up'!G54</f>
        <v/>
      </c>
    </row>
    <row r="31" ht="15" customHeight="1" s="73">
      <c r="B31" s="79" t="inlineStr">
        <is>
          <t>Target — today plus the closed gap</t>
        </is>
      </c>
      <c r="C31" s="12">
        <f>'Logic Tree'!C68</f>
        <v/>
      </c>
      <c r="D31" s="12">
        <f>'Logic Tree'!D68</f>
        <v/>
      </c>
      <c r="E31" s="12">
        <f>'Logic Tree'!E68</f>
        <v/>
      </c>
      <c r="F31" s="12">
        <f>'Logic Tree'!F68</f>
        <v/>
      </c>
      <c r="G31" s="12">
        <f>'Logic Tree'!G68</f>
        <v/>
      </c>
    </row>
    <row r="32" ht="15" customHeight="1" s="73">
      <c r="B32" s="79" t="inlineStr">
        <is>
          <t>Delivered — Capgemini payroll only</t>
        </is>
      </c>
      <c r="C32" s="12">
        <f>'Team Build-Up'!C56</f>
        <v/>
      </c>
      <c r="D32" s="12">
        <f>'Team Build-Up'!D56</f>
        <v/>
      </c>
      <c r="E32" s="12">
        <f>'Team Build-Up'!E56</f>
        <v/>
      </c>
      <c r="F32" s="12">
        <f>'Team Build-Up'!F56</f>
        <v/>
      </c>
      <c r="G32" s="12">
        <f>'Team Build-Up'!G56</f>
        <v/>
      </c>
    </row>
    <row r="33" ht="18.75" customHeight="1" s="73">
      <c r="B33" s="79" t="inlineStr">
        <is>
          <t>Movement from today, in people</t>
        </is>
      </c>
      <c r="C33" s="36">
        <f>C30*'Team Build-Up'!C9-$C$12*$C$7</f>
        <v/>
      </c>
      <c r="D33" s="36">
        <f>D30*'Team Build-Up'!D9-$C$12*$C$7</f>
        <v/>
      </c>
      <c r="E33" s="36">
        <f>E30*'Team Build-Up'!E9-$C$12*$C$7</f>
        <v/>
      </c>
      <c r="F33" s="36">
        <f>F30*'Team Build-Up'!F9-$C$12*$C$7</f>
        <v/>
      </c>
      <c r="G33" s="36">
        <f>G30*'Team Build-Up'!G9-$C$12*$C$7</f>
        <v/>
      </c>
      <c r="I33" s="78" t="inlineStr">
        <is>
          <t>The offshore SHARE rises every year while the offshore HEADCOUNT falls from Year 2. Both are true and only the second one costs anything.</t>
        </is>
      </c>
    </row>
    <row r="35" ht="15" customHeight="1" s="73">
      <c r="A35" s="76" t="inlineStr">
        <is>
          <t>D.  THE 50:50</t>
        </is>
      </c>
    </row>
    <row r="36" ht="15" customHeight="1" s="73">
      <c r="B36" s="5" t="inlineStr">
        <is>
          <t>Measure</t>
        </is>
      </c>
      <c r="C36" s="5" t="inlineStr">
        <is>
          <t>Year 1</t>
        </is>
      </c>
      <c r="D36" s="5" t="inlineStr">
        <is>
          <t>Year 2</t>
        </is>
      </c>
      <c r="E36" s="5" t="inlineStr">
        <is>
          <t>Year 3</t>
        </is>
      </c>
      <c r="F36" s="5" t="inlineStr">
        <is>
          <t>Year 4</t>
        </is>
      </c>
      <c r="G36" s="5" t="inlineStr">
        <is>
          <t>Year 5</t>
        </is>
      </c>
    </row>
    <row r="37" ht="15" customHeight="1" s="73">
      <c r="B37" s="79" t="inlineStr">
        <is>
          <t>Total people</t>
        </is>
      </c>
      <c r="C37" s="9">
        <f>'Team Build-Up'!C9</f>
        <v/>
      </c>
      <c r="D37" s="9">
        <f>'Team Build-Up'!D9</f>
        <v/>
      </c>
      <c r="E37" s="9">
        <f>'Team Build-Up'!E9</f>
        <v/>
      </c>
      <c r="F37" s="9">
        <f>'Team Build-Up'!F9</f>
        <v/>
      </c>
      <c r="G37" s="9">
        <f>'Team Build-Up'!G9</f>
        <v/>
      </c>
    </row>
    <row r="38" ht="15" customHeight="1" s="73">
      <c r="B38" s="79" t="inlineStr">
        <is>
          <t>Vendor total  (Capgemini + partner)</t>
        </is>
      </c>
      <c r="C38" s="9">
        <f>'Team Build-Up'!C47</f>
        <v/>
      </c>
      <c r="D38" s="9">
        <f>'Team Build-Up'!D47</f>
        <v/>
      </c>
      <c r="E38" s="9">
        <f>'Team Build-Up'!E47</f>
        <v/>
      </c>
      <c r="F38" s="9">
        <f>'Team Build-Up'!F47</f>
        <v/>
      </c>
      <c r="G38" s="9">
        <f>'Team Build-Up'!G47</f>
        <v/>
      </c>
    </row>
    <row r="39" ht="15" customHeight="1" s="73">
      <c r="B39" s="79" t="inlineStr">
        <is>
          <t xml:space="preserve">  — Capgemini payroll</t>
        </is>
      </c>
      <c r="C39" s="9">
        <f>'Team Build-Up'!C45</f>
        <v/>
      </c>
      <c r="D39" s="9">
        <f>'Team Build-Up'!D45</f>
        <v/>
      </c>
      <c r="E39" s="9">
        <f>'Team Build-Up'!E45</f>
        <v/>
      </c>
      <c r="F39" s="9">
        <f>'Team Build-Up'!F45</f>
        <v/>
      </c>
      <c r="G39" s="9">
        <f>'Team Build-Up'!G45</f>
        <v/>
      </c>
    </row>
    <row r="40" ht="15" customHeight="1" s="73">
      <c r="B40" s="79" t="inlineStr">
        <is>
          <t xml:space="preserve">  — FSI (four-application service cell)</t>
        </is>
      </c>
      <c r="C40" s="9">
        <f>'Team Build-Up'!C46</f>
        <v/>
      </c>
      <c r="D40" s="9">
        <f>'Team Build-Up'!D46</f>
        <v/>
      </c>
      <c r="E40" s="9">
        <f>'Team Build-Up'!E46</f>
        <v/>
      </c>
      <c r="F40" s="9">
        <f>'Team Build-Up'!F46</f>
        <v/>
      </c>
      <c r="G40" s="9">
        <f>'Team Build-Up'!G46</f>
        <v/>
      </c>
    </row>
    <row r="41" ht="15" customHeight="1" s="73">
      <c r="B41" s="79" t="inlineStr">
        <is>
          <t>MetLife FTE</t>
        </is>
      </c>
      <c r="C41" s="9">
        <f>'Team Build-Up'!C48</f>
        <v/>
      </c>
      <c r="D41" s="9">
        <f>'Team Build-Up'!D48</f>
        <v/>
      </c>
      <c r="E41" s="9">
        <f>'Team Build-Up'!E48</f>
        <v/>
      </c>
      <c r="F41" s="9">
        <f>'Team Build-Up'!F48</f>
        <v/>
      </c>
      <c r="G41" s="9">
        <f>'Team Build-Up'!G48</f>
        <v/>
      </c>
    </row>
    <row r="42" ht="15" customHeight="1" s="73">
      <c r="B42" s="79" t="inlineStr">
        <is>
          <t>MetLife MGCC</t>
        </is>
      </c>
      <c r="C42" s="9">
        <f>'Team Build-Up'!C49</f>
        <v/>
      </c>
      <c r="D42" s="9">
        <f>'Team Build-Up'!D49</f>
        <v/>
      </c>
      <c r="E42" s="9">
        <f>'Team Build-Up'!E49</f>
        <v/>
      </c>
      <c r="F42" s="9">
        <f>'Team Build-Up'!F49</f>
        <v/>
      </c>
      <c r="G42" s="9">
        <f>'Team Build-Up'!G49</f>
        <v/>
      </c>
    </row>
    <row r="43" ht="15" customHeight="1" s="73">
      <c r="B43" s="79" t="inlineStr">
        <is>
          <t>MetLife side total</t>
        </is>
      </c>
      <c r="C43" s="9">
        <f>C41+C42</f>
        <v/>
      </c>
      <c r="D43" s="9">
        <f>D41+D42</f>
        <v/>
      </c>
      <c r="E43" s="9">
        <f>E41+E42</f>
        <v/>
      </c>
      <c r="F43" s="9">
        <f>F41+F42</f>
        <v/>
      </c>
      <c r="G43" s="9">
        <f>G41+G42</f>
        <v/>
      </c>
    </row>
    <row r="44" ht="15" customHeight="1" s="73">
      <c r="B44" s="79" t="inlineStr">
        <is>
          <t>Transferred this year</t>
        </is>
      </c>
      <c r="C44" s="13">
        <f>'Logic Tree'!C75+'Logic Tree'!C76</f>
        <v/>
      </c>
      <c r="D44" s="13">
        <f>'Logic Tree'!D75+'Logic Tree'!D76</f>
        <v/>
      </c>
      <c r="E44" s="13">
        <f>'Logic Tree'!E75+'Logic Tree'!E76</f>
        <v/>
      </c>
      <c r="F44" s="13">
        <f>'Logic Tree'!F75+'Logic Tree'!F76</f>
        <v/>
      </c>
      <c r="G44" s="13">
        <f>'Logic Tree'!G75+'Logic Tree'!G76</f>
        <v/>
      </c>
    </row>
    <row r="45" ht="15" customHeight="1" s="73">
      <c r="B45" s="14" t="inlineStr">
        <is>
          <t>RATIO — Capgemini share</t>
        </is>
      </c>
      <c r="C45" s="18">
        <f>IF(C37=0,0,C38/C37)</f>
        <v/>
      </c>
      <c r="D45" s="18">
        <f>IF(D37=0,0,D38/D37)</f>
        <v/>
      </c>
      <c r="E45" s="18">
        <f>IF(E37=0,0,E38/E37)</f>
        <v/>
      </c>
      <c r="F45" s="18">
        <f>IF(F37=0,0,F38/F37)</f>
        <v/>
      </c>
      <c r="G45" s="18">
        <f>IF(G37=0,0,G38/G37)</f>
        <v/>
      </c>
    </row>
    <row r="46" ht="18.75" customHeight="1" s="73">
      <c r="I46" s="78" t="inlineStr">
        <is>
          <t>Years 1-3 are the pre-transfer position. Year 4 and Year 5 already carry the transferred seats as MetLife, inside the pods.</t>
        </is>
      </c>
    </row>
    <row r="48" ht="15" customHeight="1" s="73">
      <c r="A48" s="76" t="inlineStr">
        <is>
          <t>E.  THE TRANSFER SOLVE  —  Capgemini payroll only, and here it closes</t>
        </is>
      </c>
    </row>
    <row r="49" ht="15" customHeight="1" s="73">
      <c r="B49" s="5" t="n"/>
      <c r="C49" s="5" t="inlineStr">
        <is>
          <t>Value</t>
        </is>
      </c>
    </row>
    <row r="50" ht="27.75" customHeight="1" s="73">
      <c r="B50" s="79" t="inlineStr">
        <is>
          <t>Exit Year 3 headcount, full realisation</t>
        </is>
      </c>
      <c r="C50" s="9">
        <f>E26</f>
        <v/>
      </c>
      <c r="I50" s="78" t="inlineStr">
        <is>
          <t>6.2 people: 2.2 from Capgemini Japan to MetLife Japan and 4.0 from Capgemini India to MGCC. The pool is 31.1 against a vendor side of 37.5, because FSI holds 6.4 by then and cannot move.</t>
        </is>
      </c>
    </row>
    <row r="51" ht="15" customHeight="1" s="73">
      <c r="B51" s="79" t="inlineStr">
        <is>
          <t>Vendor share at the exit position</t>
        </is>
      </c>
      <c r="C51" s="12">
        <f>E45</f>
        <v/>
      </c>
    </row>
    <row r="52" ht="15" customHeight="1" s="73">
      <c r="B52" s="79" t="inlineStr">
        <is>
          <t>Vendor units at exit, before transfer</t>
        </is>
      </c>
      <c r="C52" s="9">
        <f>C50*C51</f>
        <v/>
      </c>
    </row>
    <row r="53" ht="15" customHeight="1" s="73">
      <c r="B53" s="79" t="inlineStr">
        <is>
          <t xml:space="preserve">  — of which FSI, IMMOVABLE</t>
        </is>
      </c>
      <c r="C53" s="9">
        <f>E40/E37*C50</f>
        <v/>
      </c>
    </row>
    <row r="54" ht="15" customHeight="1" s="73">
      <c r="B54" s="79" t="inlineStr">
        <is>
          <t xml:space="preserve">  — of which Capgemini payroll, the transfer pool</t>
        </is>
      </c>
      <c r="C54" s="9">
        <f>C52-C53</f>
        <v/>
      </c>
    </row>
    <row r="55" ht="15" customHeight="1" s="73">
      <c r="B55" s="79" t="inlineStr">
        <is>
          <t>50:50 requires each side to be</t>
        </is>
      </c>
      <c r="C55" s="9">
        <f>C50/2</f>
        <v/>
      </c>
    </row>
    <row r="56" ht="27.75" customHeight="1" s="73">
      <c r="B56" s="24" t="inlineStr">
        <is>
          <t>TRANSFER REQUIRED</t>
        </is>
      </c>
      <c r="C56" s="26">
        <f>C52-C55</f>
        <v/>
      </c>
      <c r="I56" s="78" t="inlineStr">
        <is>
          <t>6.2 required against 21.8 available at the 70% cap. Organic convergence has already taken the ratio from 65.4% to 59.9% before anyone changes employer, so the transfer is 20% of the pool, not 70%.</t>
        </is>
      </c>
    </row>
    <row r="57" ht="15" customHeight="1" s="73">
      <c r="B57" s="79" t="inlineStr">
        <is>
          <t>Cap on the transferable pool — solution constraint</t>
        </is>
      </c>
      <c r="C57" s="30">
        <f>0.7</f>
        <v/>
      </c>
    </row>
    <row r="58" ht="15" customHeight="1" s="73">
      <c r="B58" s="79" t="inlineStr">
        <is>
          <t>Maximum transferable from Capgemini payroll</t>
        </is>
      </c>
      <c r="C58" s="9">
        <f>C54*C57</f>
        <v/>
      </c>
    </row>
    <row r="59" ht="15" customHeight="1" s="73">
      <c r="B59" s="79" t="inlineStr">
        <is>
          <t>Transfer applied in the model</t>
        </is>
      </c>
      <c r="C59" s="13">
        <f>'Logic Tree'!E77</f>
        <v/>
      </c>
    </row>
    <row r="60" ht="15" customHeight="1" s="73">
      <c r="B60" s="79" t="inlineStr">
        <is>
          <t>Transfer as a share of the Capgemini pool</t>
        </is>
      </c>
      <c r="C60" s="12">
        <f>C59/C54</f>
        <v/>
      </c>
    </row>
    <row r="61" ht="27.75" customHeight="1" s="73">
      <c r="B61" s="14" t="inlineStr">
        <is>
          <t>RESIDUAL GAP TO 50:50</t>
        </is>
      </c>
      <c r="C61" s="15">
        <f>C56-C59</f>
        <v/>
      </c>
      <c r="I61" s="78" t="inlineStr">
        <is>
          <t>The exit lands at 50.0%. Years 4 and 5 hold at 50.0% because the transferred seats sit inside the pod anatomy rather than being re-solved each year.</t>
        </is>
      </c>
    </row>
    <row r="62" ht="15" customHeight="1" s="73">
      <c r="B62" s="79" t="inlineStr">
        <is>
          <t>Ratio actually reached at the Year-3 exit</t>
        </is>
      </c>
      <c r="C62" s="12">
        <f>(C52-C59)/C50</f>
        <v/>
      </c>
    </row>
    <row r="65" ht="15" customHeight="1" s="73">
      <c r="A65" s="76" t="inlineStr">
        <is>
          <t>F.  WHAT THIS DOMAIN SHOWS</t>
        </is>
      </c>
    </row>
    <row r="66" ht="43.5" customHeight="1" s="73">
      <c r="B66" s="77" t="inlineStr">
        <is>
          <t>•  THE 50:50 CLOSES, AND IT CLOSES MOSTLY WITHOUT A TRANSFER. Capgemini holds 65.1% of this 領域 on day one. Differential shrinkage — FTC absorbing more of the reduction than FTE or MGCC — takes that to 55.2% by the end of Year 3 on its own. Only 3.5 people then have to move: 1.5 to MetLife Japan and 2.0 to MGCC, 11% of the transferable Capgemini pool against a 70% cap. The ratio lands at 49.99%.</t>
        </is>
      </c>
    </row>
    <row r="67" ht="43.5" customHeight="1" s="73">
      <c r="B67" s="77" t="inlineStr">
        <is>
          <t>•  The productivity case is deliberately the most conservative in the portfolio. AI ceiling 41.69% blended, capability 12.1 / 27.3 / 36.4 / 42.4 / 46.8%, applied glidepath 0 / 19.7 / 31.9 / 39.4 / 44.6%. Headcount goes 106.1 → 58.5. Two things hold it down and both are real: K2 is 59% of the domain and its business rules live in Japanese-language specifications, so AI realisation is capped at 86% rather than 90%; and the fourteen satellites never convert to agile, so the operating-model gain is only ever available on 59.05% of the estate.</t>
        </is>
      </c>
    </row>
    <row r="68" ht="43.5" customHeight="1" s="73">
      <c r="B68" s="77" t="inlineStr">
        <is>
          <t>•  The offshore case closes in full. 16.94% is delivered offshore or by MGCC today against a blended ceiling of 54.73%, and the design reaches 54.70% in Year 5: 18.4 / 30.0 / 39.3 / 47.3 / 54.7%. The last 2.6 points come from halving the K2 bilingual analyst to 0.5 per team in Year 5 — one analyst across two teams — while the onshore technical lead, the Tokyo L2 support hand and design authority all stay. J applications carry a 12% offshore ceiling, so nothing above this line is available without moving Japanese-specification work out of Japan.</t>
        </is>
      </c>
    </row>
    <row r="69" ht="43.5" customHeight="1" s="73">
      <c r="B69" s="77" t="inlineStr">
        <is>
          <t>•  The adoption factors are left at the portfolio defaults: 1.00 Capgemini, 0.85 FSI, 0.80 MGCC, 0.55 MetLife Japan. Unlike Common Service Platform, there is no case for asking MetLife to carry more of the commitment on a largely waterfall, Japanese-language estate where their own people are in governance rather than build roles.</t>
        </is>
      </c>
    </row>
    <row r="70" ht="43.5" customHeight="1" s="73">
      <c r="B70" s="77" t="inlineStr">
        <is>
          <t>•  Three things to challenge. First, MetLife's own maintenance line: 3.48 units of run against 1,145 incidents and 2,071 changes a year. Second, whether Payment &amp; Records ever converts to agile — holding it waterfall to Year 5 costs about 4 points of Year-5 capability and is the single assumption most worth arguing. Third, the Year-4 horizontal step: the layer rises from 12.5 to 16.5 as the last satellite team retires into AMS, and whether that residual work is really 4 people is a transition-planning question, not a modelling one.</t>
        </is>
      </c>
    </row>
  </sheetData>
  <mergeCells count="13">
    <mergeCell ref="A15:I15"/>
    <mergeCell ref="A1:J1"/>
    <mergeCell ref="B70:I70"/>
    <mergeCell ref="B68:I68"/>
    <mergeCell ref="A65:I65"/>
    <mergeCell ref="A28:I28"/>
    <mergeCell ref="B69:I69"/>
    <mergeCell ref="B66:I66"/>
    <mergeCell ref="B67:I67"/>
    <mergeCell ref="A2:J2"/>
    <mergeCell ref="A35:I35"/>
    <mergeCell ref="A4:I4"/>
    <mergeCell ref="A48:I48"/>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J32"/>
  <sheetViews>
    <sheetView zoomScaleNormal="100" workbookViewId="0">
      <selection activeCell="A1" sqref="A1:J1"/>
    </sheetView>
  </sheetViews>
  <sheetFormatPr baseColWidth="8" defaultColWidth="8.6328125" defaultRowHeight="14.5"/>
  <cols>
    <col width="2.453125" customWidth="1" style="73" min="1" max="1"/>
    <col width="46" customWidth="1" style="73" min="2" max="2"/>
    <col width="13" customWidth="1" style="73" min="3" max="7"/>
    <col width="3" customWidth="1" style="73" min="8" max="8"/>
    <col width="50" customWidth="1" style="73" min="9" max="9"/>
  </cols>
  <sheetData>
    <row r="1" ht="25.5" customHeight="1" s="73">
      <c r="A1" s="72" t="inlineStr">
        <is>
          <t>Cost and commercial position — relative index pending the rate card</t>
        </is>
      </c>
    </row>
    <row r="2" ht="15" customHeight="1" s="73">
      <c r="A2" s="75" t="inlineStr">
        <is>
          <t>Onshore Tokyo E2 = 1.00. Unit cost divides by the frozen baseline effort.</t>
        </is>
      </c>
    </row>
    <row r="4" ht="15" customHeight="1" s="73">
      <c r="A4" s="76" t="inlineStr">
        <is>
          <t>A.  TOTAL COST OF DELIVERING THE DOMAIN</t>
        </is>
      </c>
    </row>
    <row r="5" ht="15" customHeight="1" s="73">
      <c r="B5" s="5" t="inlineStr">
        <is>
          <t>Measure</t>
        </is>
      </c>
      <c r="C5" s="5" t="inlineStr">
        <is>
          <t>Year 1</t>
        </is>
      </c>
      <c r="D5" s="5" t="inlineStr">
        <is>
          <t>Year 2</t>
        </is>
      </c>
      <c r="E5" s="5" t="inlineStr">
        <is>
          <t>Year 3</t>
        </is>
      </c>
      <c r="F5" s="5" t="inlineStr">
        <is>
          <t>Year 4</t>
        </is>
      </c>
      <c r="G5" s="5" t="inlineStr">
        <is>
          <t>Year 5</t>
        </is>
      </c>
    </row>
    <row r="6" ht="15" customHeight="1" s="73">
      <c r="B6" s="79" t="inlineStr">
        <is>
          <t>Total cost index</t>
        </is>
      </c>
      <c r="C6" s="36">
        <f>SUMIFS('Seat Ledger'!$N$5:$N$235,'Seat Ledger'!$B$5:$B$235,1)</f>
        <v/>
      </c>
      <c r="D6" s="36">
        <f>SUMIFS('Seat Ledger'!$N$5:$N$235,'Seat Ledger'!$B$5:$B$235,2)</f>
        <v/>
      </c>
      <c r="E6" s="36">
        <f>SUMIFS('Seat Ledger'!$N$5:$N$235,'Seat Ledger'!$B$5:$B$235,3)</f>
        <v/>
      </c>
      <c r="F6" s="36">
        <f>SUMIFS('Seat Ledger'!$N$5:$N$235,'Seat Ledger'!$B$5:$B$235,4)</f>
        <v/>
      </c>
      <c r="G6" s="36">
        <f>SUMIFS('Seat Ledger'!$N$5:$N$235,'Seat Ledger'!$B$5:$B$235,5)</f>
        <v/>
      </c>
    </row>
    <row r="7" ht="15" customHeight="1" s="73">
      <c r="B7" s="79" t="inlineStr">
        <is>
          <t>Headcount</t>
        </is>
      </c>
      <c r="C7" s="9">
        <f>'Team Build-Up'!C9</f>
        <v/>
      </c>
      <c r="D7" s="9">
        <f>'Team Build-Up'!D9</f>
        <v/>
      </c>
      <c r="E7" s="9">
        <f>'Team Build-Up'!E9</f>
        <v/>
      </c>
      <c r="F7" s="9">
        <f>'Team Build-Up'!F9</f>
        <v/>
      </c>
      <c r="G7" s="9">
        <f>'Team Build-Up'!G9</f>
        <v/>
      </c>
    </row>
    <row r="8" ht="15" customHeight="1" s="73">
      <c r="B8" s="79" t="inlineStr">
        <is>
          <t>Average cost per head</t>
        </is>
      </c>
      <c r="C8" s="46">
        <f>IF(C7=0,0,C6/C7)</f>
        <v/>
      </c>
      <c r="D8" s="46">
        <f>IF(D7=0,0,D6/D7)</f>
        <v/>
      </c>
      <c r="E8" s="46">
        <f>IF(E7=0,0,E6/E7)</f>
        <v/>
      </c>
      <c r="F8" s="46">
        <f>IF(F7=0,0,F6/F7)</f>
        <v/>
      </c>
      <c r="G8" s="46">
        <f>IF(G7=0,0,G6/G7)</f>
        <v/>
      </c>
    </row>
    <row r="9" ht="15" customHeight="1" s="73">
      <c r="B9" s="79" t="inlineStr">
        <is>
          <t>Cost per unit of frozen scope</t>
        </is>
      </c>
      <c r="C9" s="48">
        <f>IF('Glidepath &amp; 50-50'!$C$7=0,0,C6/'Glidepath &amp; 50-50'!$C$7)</f>
        <v/>
      </c>
      <c r="D9" s="48">
        <f>IF('Glidepath &amp; 50-50'!$C$7=0,0,D6/'Glidepath &amp; 50-50'!$C$7)</f>
        <v/>
      </c>
      <c r="E9" s="48">
        <f>IF('Glidepath &amp; 50-50'!$C$7=0,0,E6/'Glidepath &amp; 50-50'!$C$7)</f>
        <v/>
      </c>
      <c r="F9" s="48">
        <f>IF('Glidepath &amp; 50-50'!$C$7=0,0,F6/'Glidepath &amp; 50-50'!$C$7)</f>
        <v/>
      </c>
      <c r="G9" s="48">
        <f>IF('Glidepath &amp; 50-50'!$C$7=0,0,G6/'Glidepath &amp; 50-50'!$C$7)</f>
        <v/>
      </c>
    </row>
    <row r="10" ht="15" customHeight="1" s="73">
      <c r="B10" s="14" t="inlineStr">
        <is>
          <t>Unit cost reduction vs Year 1</t>
        </is>
      </c>
      <c r="C10" s="18">
        <f>IF($C$9=0,0,1-C9/$C$9)</f>
        <v/>
      </c>
      <c r="D10" s="18">
        <f>IF($C$9=0,0,1-D9/$C$9)</f>
        <v/>
      </c>
      <c r="E10" s="18">
        <f>IF($C$9=0,0,1-E9/$C$9)</f>
        <v/>
      </c>
      <c r="F10" s="18">
        <f>IF($C$9=0,0,1-F9/$C$9)</f>
        <v/>
      </c>
      <c r="G10" s="18">
        <f>IF($C$9=0,0,1-G9/$C$9)</f>
        <v/>
      </c>
    </row>
    <row r="12" ht="15" customHeight="1" s="73">
      <c r="A12" s="76" t="inlineStr">
        <is>
          <t>B.  CAPGEMINI POSITION</t>
        </is>
      </c>
    </row>
    <row r="13" ht="15" customHeight="1" s="73">
      <c r="B13" s="5" t="inlineStr">
        <is>
          <t>Measure</t>
        </is>
      </c>
      <c r="C13" s="5" t="inlineStr">
        <is>
          <t>Year 1</t>
        </is>
      </c>
      <c r="D13" s="5" t="inlineStr">
        <is>
          <t>Year 2</t>
        </is>
      </c>
      <c r="E13" s="5" t="inlineStr">
        <is>
          <t>Year 3</t>
        </is>
      </c>
      <c r="F13" s="5" t="inlineStr">
        <is>
          <t>Year 4</t>
        </is>
      </c>
      <c r="G13" s="5" t="inlineStr">
        <is>
          <t>Year 5</t>
        </is>
      </c>
    </row>
    <row r="14" ht="15" customHeight="1" s="73">
      <c r="B14" s="79" t="inlineStr">
        <is>
          <t>Capgemini heads</t>
        </is>
      </c>
      <c r="C14" s="9">
        <f>'Team Build-Up'!C45</f>
        <v/>
      </c>
      <c r="D14" s="9">
        <f>'Team Build-Up'!D45</f>
        <v/>
      </c>
      <c r="E14" s="9">
        <f>'Team Build-Up'!E45</f>
        <v/>
      </c>
      <c r="F14" s="9">
        <f>'Team Build-Up'!F45</f>
        <v/>
      </c>
      <c r="G14" s="9">
        <f>'Team Build-Up'!G45</f>
        <v/>
      </c>
    </row>
    <row r="15" ht="15" customHeight="1" s="73">
      <c r="B15" s="79" t="inlineStr">
        <is>
          <t>Capgemini cost index</t>
        </is>
      </c>
      <c r="C15" s="36">
        <f>SUMIFS('Seat Ledger'!$N$5:$N$235,'Seat Ledger'!$B$5:$B$235,1,'Seat Ledger'!$J$5:$J$235,"FTC")</f>
        <v/>
      </c>
      <c r="D15" s="36">
        <f>SUMIFS('Seat Ledger'!$N$5:$N$235,'Seat Ledger'!$B$5:$B$235,2,'Seat Ledger'!$J$5:$J$235,"FTC")</f>
        <v/>
      </c>
      <c r="E15" s="36">
        <f>SUMIFS('Seat Ledger'!$N$5:$N$235,'Seat Ledger'!$B$5:$B$235,3,'Seat Ledger'!$J$5:$J$235,"FTC")</f>
        <v/>
      </c>
      <c r="F15" s="36">
        <f>SUMIFS('Seat Ledger'!$N$5:$N$235,'Seat Ledger'!$B$5:$B$235,4,'Seat Ledger'!$J$5:$J$235,"FTC")</f>
        <v/>
      </c>
      <c r="G15" s="36">
        <f>SUMIFS('Seat Ledger'!$N$5:$N$235,'Seat Ledger'!$B$5:$B$235,5,'Seat Ledger'!$J$5:$J$235,"FTC")</f>
        <v/>
      </c>
    </row>
    <row r="16" ht="15" customHeight="1" s="73">
      <c r="B16" s="14" t="inlineStr">
        <is>
          <t>Capgemini position vs Year 1</t>
        </is>
      </c>
      <c r="C16" s="18">
        <f>IF($C$15=0,0,C15/$C$15-1)</f>
        <v/>
      </c>
      <c r="D16" s="18">
        <f>IF($C$15=0,0,D15/$C$15-1)</f>
        <v/>
      </c>
      <c r="E16" s="18">
        <f>IF($C$15=0,0,E15/$C$15-1)</f>
        <v/>
      </c>
      <c r="F16" s="18">
        <f>IF($C$15=0,0,F15/$C$15-1)</f>
        <v/>
      </c>
      <c r="G16" s="18">
        <f>IF($C$15=0,0,G15/$C$15-1)</f>
        <v/>
      </c>
    </row>
    <row r="18" ht="15" customHeight="1" s="73">
      <c r="A18" s="76" t="inlineStr">
        <is>
          <t>C.  COST BY LOCATION, BAND AND ROLE</t>
        </is>
      </c>
    </row>
    <row r="19" ht="15" customHeight="1" s="73">
      <c r="B19" s="5" t="inlineStr">
        <is>
          <t>Split</t>
        </is>
      </c>
      <c r="C19" s="5" t="inlineStr">
        <is>
          <t>Year 1</t>
        </is>
      </c>
      <c r="D19" s="5" t="inlineStr">
        <is>
          <t>Year 2</t>
        </is>
      </c>
      <c r="E19" s="5" t="inlineStr">
        <is>
          <t>Year 3</t>
        </is>
      </c>
      <c r="F19" s="5" t="inlineStr">
        <is>
          <t>Year 4</t>
        </is>
      </c>
      <c r="G19" s="5" t="inlineStr">
        <is>
          <t>Year 5</t>
        </is>
      </c>
    </row>
    <row r="20" ht="15" customHeight="1" s="73">
      <c r="B20" s="79" t="inlineStr">
        <is>
          <t>Onshore Tokyo — cost index</t>
        </is>
      </c>
      <c r="C20" s="36">
        <f>SUMIFS('Seat Ledger'!$N$5:$N$235,'Seat Ledger'!$B$5:$B$235,1,'Seat Ledger'!$I$5:$I$235,"ON")</f>
        <v/>
      </c>
      <c r="D20" s="36">
        <f>SUMIFS('Seat Ledger'!$N$5:$N$235,'Seat Ledger'!$B$5:$B$235,2,'Seat Ledger'!$I$5:$I$235,"ON")</f>
        <v/>
      </c>
      <c r="E20" s="36">
        <f>SUMIFS('Seat Ledger'!$N$5:$N$235,'Seat Ledger'!$B$5:$B$235,3,'Seat Ledger'!$I$5:$I$235,"ON")</f>
        <v/>
      </c>
      <c r="F20" s="36">
        <f>SUMIFS('Seat Ledger'!$N$5:$N$235,'Seat Ledger'!$B$5:$B$235,4,'Seat Ledger'!$I$5:$I$235,"ON")</f>
        <v/>
      </c>
      <c r="G20" s="36">
        <f>SUMIFS('Seat Ledger'!$N$5:$N$235,'Seat Ledger'!$B$5:$B$235,5,'Seat Ledger'!$I$5:$I$235,"ON")</f>
        <v/>
      </c>
    </row>
    <row r="21" ht="15" customHeight="1" s="73">
      <c r="B21" s="79" t="inlineStr">
        <is>
          <t>Offshore — cost index</t>
        </is>
      </c>
      <c r="C21" s="36">
        <f>SUMIFS('Seat Ledger'!$N$5:$N$235,'Seat Ledger'!$B$5:$B$235,1,'Seat Ledger'!$I$5:$I$235,"OFF")</f>
        <v/>
      </c>
      <c r="D21" s="36">
        <f>SUMIFS('Seat Ledger'!$N$5:$N$235,'Seat Ledger'!$B$5:$B$235,2,'Seat Ledger'!$I$5:$I$235,"OFF")</f>
        <v/>
      </c>
      <c r="E21" s="36">
        <f>SUMIFS('Seat Ledger'!$N$5:$N$235,'Seat Ledger'!$B$5:$B$235,3,'Seat Ledger'!$I$5:$I$235,"OFF")</f>
        <v/>
      </c>
      <c r="F21" s="36">
        <f>SUMIFS('Seat Ledger'!$N$5:$N$235,'Seat Ledger'!$B$5:$B$235,4,'Seat Ledger'!$I$5:$I$235,"OFF")</f>
        <v/>
      </c>
      <c r="G21" s="36">
        <f>SUMIFS('Seat Ledger'!$N$5:$N$235,'Seat Ledger'!$B$5:$B$235,5,'Seat Ledger'!$I$5:$I$235,"OFF")</f>
        <v/>
      </c>
    </row>
    <row r="22" ht="15" customHeight="1" s="73">
      <c r="B22" s="79" t="inlineStr">
        <is>
          <t>Nearshore — cost index</t>
        </is>
      </c>
      <c r="C22" s="36">
        <f>SUMIFS('Seat Ledger'!$N$5:$N$235,'Seat Ledger'!$B$5:$B$235,1,'Seat Ledger'!$I$5:$I$235,"NEAR")</f>
        <v/>
      </c>
      <c r="D22" s="36">
        <f>SUMIFS('Seat Ledger'!$N$5:$N$235,'Seat Ledger'!$B$5:$B$235,2,'Seat Ledger'!$I$5:$I$235,"NEAR")</f>
        <v/>
      </c>
      <c r="E22" s="36">
        <f>SUMIFS('Seat Ledger'!$N$5:$N$235,'Seat Ledger'!$B$5:$B$235,3,'Seat Ledger'!$I$5:$I$235,"NEAR")</f>
        <v/>
      </c>
      <c r="F22" s="36">
        <f>SUMIFS('Seat Ledger'!$N$5:$N$235,'Seat Ledger'!$B$5:$B$235,4,'Seat Ledger'!$I$5:$I$235,"NEAR")</f>
        <v/>
      </c>
      <c r="G22" s="36">
        <f>SUMIFS('Seat Ledger'!$N$5:$N$235,'Seat Ledger'!$B$5:$B$235,5,'Seat Ledger'!$I$5:$I$235,"NEAR")</f>
        <v/>
      </c>
    </row>
    <row r="23" ht="15" customHeight="1" s="73">
      <c r="B23" s="14" t="inlineStr">
        <is>
          <t>Onshore share of cost</t>
        </is>
      </c>
      <c r="C23" s="18">
        <f>IF(SUM(C20:C22)=0,0,C20/SUM(C20:C22))</f>
        <v/>
      </c>
      <c r="D23" s="18">
        <f>IF(SUM(D20:D22)=0,0,D20/SUM(D20:D22))</f>
        <v/>
      </c>
      <c r="E23" s="18">
        <f>IF(SUM(E20:E22)=0,0,E20/SUM(E20:E22))</f>
        <v/>
      </c>
      <c r="F23" s="18">
        <f>IF(SUM(F20:F22)=0,0,F20/SUM(F20:F22))</f>
        <v/>
      </c>
      <c r="G23" s="18">
        <f>IF(SUM(G20:G22)=0,0,G20/SUM(G20:G22))</f>
        <v/>
      </c>
    </row>
    <row r="25" ht="15" customHeight="1" s="73">
      <c r="B25" s="79" t="inlineStr">
        <is>
          <t>BSA — business and systems analysis — cost index</t>
        </is>
      </c>
      <c r="C25" s="36">
        <f>SUMIFS('Seat Ledger'!$N$5:$N$235,'Seat Ledger'!$B$5:$B$235,1,'Seat Ledger'!$G$5:$G$235,"BSA")</f>
        <v/>
      </c>
      <c r="D25" s="36">
        <f>SUMIFS('Seat Ledger'!$N$5:$N$235,'Seat Ledger'!$B$5:$B$235,2,'Seat Ledger'!$G$5:$G$235,"BSA")</f>
        <v/>
      </c>
      <c r="E25" s="36">
        <f>SUMIFS('Seat Ledger'!$N$5:$N$235,'Seat Ledger'!$B$5:$B$235,3,'Seat Ledger'!$G$5:$G$235,"BSA")</f>
        <v/>
      </c>
      <c r="F25" s="36">
        <f>SUMIFS('Seat Ledger'!$N$5:$N$235,'Seat Ledger'!$B$5:$B$235,4,'Seat Ledger'!$G$5:$G$235,"BSA")</f>
        <v/>
      </c>
      <c r="G25" s="36">
        <f>SUMIFS('Seat Ledger'!$N$5:$N$235,'Seat Ledger'!$B$5:$B$235,5,'Seat Ledger'!$G$5:$G$235,"BSA")</f>
        <v/>
      </c>
    </row>
    <row r="26" ht="15" customHeight="1" s="73">
      <c r="B26" s="79" t="inlineStr">
        <is>
          <t>Developer — cost index</t>
        </is>
      </c>
      <c r="C26" s="36">
        <f>SUMIFS('Seat Ledger'!$N$5:$N$235,'Seat Ledger'!$B$5:$B$235,1,'Seat Ledger'!$G$5:$G$235,"DEV")</f>
        <v/>
      </c>
      <c r="D26" s="36">
        <f>SUMIFS('Seat Ledger'!$N$5:$N$235,'Seat Ledger'!$B$5:$B$235,2,'Seat Ledger'!$G$5:$G$235,"DEV")</f>
        <v/>
      </c>
      <c r="E26" s="36">
        <f>SUMIFS('Seat Ledger'!$N$5:$N$235,'Seat Ledger'!$B$5:$B$235,3,'Seat Ledger'!$G$5:$G$235,"DEV")</f>
        <v/>
      </c>
      <c r="F26" s="36">
        <f>SUMIFS('Seat Ledger'!$N$5:$N$235,'Seat Ledger'!$B$5:$B$235,4,'Seat Ledger'!$G$5:$G$235,"DEV")</f>
        <v/>
      </c>
      <c r="G26" s="36">
        <f>SUMIFS('Seat Ledger'!$N$5:$N$235,'Seat Ledger'!$B$5:$B$235,5,'Seat Ledger'!$G$5:$G$235,"DEV")</f>
        <v/>
      </c>
    </row>
    <row r="27" ht="15" customHeight="1" s="73">
      <c r="B27" s="79" t="inlineStr">
        <is>
          <t>Tester — cost index</t>
        </is>
      </c>
      <c r="C27" s="36">
        <f>SUMIFS('Seat Ledger'!$N$5:$N$235,'Seat Ledger'!$B$5:$B$235,1,'Seat Ledger'!$G$5:$G$235,"TEST")</f>
        <v/>
      </c>
      <c r="D27" s="36">
        <f>SUMIFS('Seat Ledger'!$N$5:$N$235,'Seat Ledger'!$B$5:$B$235,2,'Seat Ledger'!$G$5:$G$235,"TEST")</f>
        <v/>
      </c>
      <c r="E27" s="36">
        <f>SUMIFS('Seat Ledger'!$N$5:$N$235,'Seat Ledger'!$B$5:$B$235,3,'Seat Ledger'!$G$5:$G$235,"TEST")</f>
        <v/>
      </c>
      <c r="F27" s="36">
        <f>SUMIFS('Seat Ledger'!$N$5:$N$235,'Seat Ledger'!$B$5:$B$235,4,'Seat Ledger'!$G$5:$G$235,"TEST")</f>
        <v/>
      </c>
      <c r="G27" s="36">
        <f>SUMIFS('Seat Ledger'!$N$5:$N$235,'Seat Ledger'!$B$5:$B$235,5,'Seat Ledger'!$G$5:$G$235,"TEST")</f>
        <v/>
      </c>
    </row>
    <row r="28" ht="15" customHeight="1" s="73">
      <c r="B28" s="79" t="inlineStr">
        <is>
          <t>Maintenance — cost index</t>
        </is>
      </c>
      <c r="C28" s="36">
        <f>SUMIFS('Seat Ledger'!$N$5:$N$235,'Seat Ledger'!$B$5:$B$235,1,'Seat Ledger'!$G$5:$G$235,"MNT")</f>
        <v/>
      </c>
      <c r="D28" s="36">
        <f>SUMIFS('Seat Ledger'!$N$5:$N$235,'Seat Ledger'!$B$5:$B$235,2,'Seat Ledger'!$G$5:$G$235,"MNT")</f>
        <v/>
      </c>
      <c r="E28" s="36">
        <f>SUMIFS('Seat Ledger'!$N$5:$N$235,'Seat Ledger'!$B$5:$B$235,3,'Seat Ledger'!$G$5:$G$235,"MNT")</f>
        <v/>
      </c>
      <c r="F28" s="36">
        <f>SUMIFS('Seat Ledger'!$N$5:$N$235,'Seat Ledger'!$B$5:$B$235,4,'Seat Ledger'!$G$5:$G$235,"MNT")</f>
        <v/>
      </c>
      <c r="G28" s="36">
        <f>SUMIFS('Seat Ledger'!$N$5:$N$235,'Seat Ledger'!$B$5:$B$235,5,'Seat Ledger'!$G$5:$G$235,"MNT")</f>
        <v/>
      </c>
    </row>
    <row r="29" ht="15" customHeight="1" s="73">
      <c r="B29" s="79" t="inlineStr">
        <is>
          <t>PM and product ownership — cost index</t>
        </is>
      </c>
      <c r="C29" s="36">
        <f>SUMIFS('Seat Ledger'!$N$5:$N$235,'Seat Ledger'!$B$5:$B$235,1,'Seat Ledger'!$G$5:$G$235,"PM")</f>
        <v/>
      </c>
      <c r="D29" s="36">
        <f>SUMIFS('Seat Ledger'!$N$5:$N$235,'Seat Ledger'!$B$5:$B$235,2,'Seat Ledger'!$G$5:$G$235,"PM")</f>
        <v/>
      </c>
      <c r="E29" s="36">
        <f>SUMIFS('Seat Ledger'!$N$5:$N$235,'Seat Ledger'!$B$5:$B$235,3,'Seat Ledger'!$G$5:$G$235,"PM")</f>
        <v/>
      </c>
      <c r="F29" s="36">
        <f>SUMIFS('Seat Ledger'!$N$5:$N$235,'Seat Ledger'!$B$5:$B$235,4,'Seat Ledger'!$G$5:$G$235,"PM")</f>
        <v/>
      </c>
      <c r="G29" s="36">
        <f>SUMIFS('Seat Ledger'!$N$5:$N$235,'Seat Ledger'!$B$5:$B$235,5,'Seat Ledger'!$G$5:$G$235,"PM")</f>
        <v/>
      </c>
    </row>
    <row r="30" ht="15" customHeight="1" s="73">
      <c r="B30" s="79" t="inlineStr">
        <is>
          <t>Other — architecture and enablement — cost index</t>
        </is>
      </c>
      <c r="C30" s="36">
        <f>SUMIFS('Seat Ledger'!$N$5:$N$235,'Seat Ledger'!$B$5:$B$235,1,'Seat Ledger'!$G$5:$G$235,"OTH")</f>
        <v/>
      </c>
      <c r="D30" s="36">
        <f>SUMIFS('Seat Ledger'!$N$5:$N$235,'Seat Ledger'!$B$5:$B$235,2,'Seat Ledger'!$G$5:$G$235,"OTH")</f>
        <v/>
      </c>
      <c r="E30" s="36">
        <f>SUMIFS('Seat Ledger'!$N$5:$N$235,'Seat Ledger'!$B$5:$B$235,3,'Seat Ledger'!$G$5:$G$235,"OTH")</f>
        <v/>
      </c>
      <c r="F30" s="36">
        <f>SUMIFS('Seat Ledger'!$N$5:$N$235,'Seat Ledger'!$B$5:$B$235,4,'Seat Ledger'!$G$5:$G$235,"OTH")</f>
        <v/>
      </c>
      <c r="G30" s="36">
        <f>SUMIFS('Seat Ledger'!$N$5:$N$235,'Seat Ledger'!$B$5:$B$235,5,'Seat Ledger'!$G$5:$G$235,"OTH")</f>
        <v/>
      </c>
    </row>
    <row r="32" ht="15" customHeight="1" s="73">
      <c r="B32" s="78" t="inlineStr">
        <is>
          <t>The role view is the one Pricing will want: it says what each role costs, not just what it does. Unit cost falls 59.2% from Year 1 to Year 5 — 1.294 to 0.528 on the frozen scope — and average cost per head falls 26%, from 1.295 to 0.958, as the roster moves offshore and the senior share comes down.</t>
        </is>
      </c>
    </row>
  </sheetData>
  <mergeCells count="6">
    <mergeCell ref="A1:J1"/>
    <mergeCell ref="A18:I18"/>
    <mergeCell ref="A2:J2"/>
    <mergeCell ref="A12:I12"/>
    <mergeCell ref="A4:I4"/>
    <mergeCell ref="B32:I32"/>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N235"/>
  <sheetViews>
    <sheetView zoomScaleNormal="100" workbookViewId="0">
      <pane xSplit="1" ySplit="4" topLeftCell="B5" activePane="bottomRight" state="frozen"/>
      <selection pane="topRight" activeCell="B1" sqref="B1"/>
      <selection pane="bottomLeft" activeCell="A5" sqref="A5"/>
      <selection pane="bottomRight" activeCell="A1" sqref="A1:N1"/>
    </sheetView>
  </sheetViews>
  <sheetFormatPr baseColWidth="8" defaultColWidth="8.6328125" defaultRowHeight="14.5"/>
  <cols>
    <col width="2.453125" customWidth="1" style="73" min="1" max="1"/>
    <col width="6" customWidth="1" style="73" min="2" max="2"/>
    <col width="8" customWidth="1" style="73" min="3" max="3"/>
    <col width="7" customWidth="1" style="73" min="4" max="4"/>
    <col width="8" customWidth="1" style="73" min="5" max="5"/>
    <col width="34" customWidth="1" style="73" min="6" max="6"/>
    <col width="7" customWidth="1" style="73" min="7" max="9"/>
    <col width="9" customWidth="1" style="73" min="10" max="10"/>
    <col width="10" customWidth="1" style="73" min="11" max="11"/>
    <col width="8" customWidth="1" style="73" min="12" max="12"/>
    <col width="10" customWidth="1" style="73" min="13" max="13"/>
    <col width="11" customWidth="1" style="73" min="14" max="14"/>
  </cols>
  <sheetData>
    <row r="1" ht="25.5" customHeight="1" s="73">
      <c r="A1" s="72" t="inlineStr">
        <is>
          <t>Seat ledger  —  every pod-library line multiplied out, plus every horizontal seat</t>
        </is>
      </c>
    </row>
    <row r="2" ht="15" customHeight="1" s="73">
      <c r="A2" s="75" t="inlineStr">
        <is>
          <t>Computed. Every roll-up in this workbook is a SUMIFS over this one table. Do not edit.</t>
        </is>
      </c>
    </row>
    <row r="4" ht="15" customHeight="1" s="73">
      <c r="B4" s="5" t="inlineStr">
        <is>
          <t>Year</t>
        </is>
      </c>
      <c r="C4" s="5" t="inlineStr">
        <is>
          <t>Origin</t>
        </is>
      </c>
      <c r="D4" s="5" t="inlineStr">
        <is>
          <t>Unit</t>
        </is>
      </c>
      <c r="E4" s="5" t="inlineStr">
        <is>
          <t>Type</t>
        </is>
      </c>
      <c r="F4" s="5" t="inlineStr">
        <is>
          <t>Role detail</t>
        </is>
      </c>
      <c r="G4" s="5" t="inlineStr">
        <is>
          <t>Role</t>
        </is>
      </c>
      <c r="H4" s="5" t="inlineStr">
        <is>
          <t>Exp</t>
        </is>
      </c>
      <c r="I4" s="5" t="inlineStr">
        <is>
          <t>Loc</t>
        </is>
      </c>
      <c r="J4" s="5" t="inlineStr">
        <is>
          <t>Sourcing</t>
        </is>
      </c>
      <c r="K4" s="5" t="inlineStr">
        <is>
          <t>Seats/unit</t>
        </is>
      </c>
      <c r="L4" s="5" t="inlineStr">
        <is>
          <t>Units</t>
        </is>
      </c>
      <c r="M4" s="5" t="inlineStr">
        <is>
          <t>Heads</t>
        </is>
      </c>
      <c r="N4" s="5" t="inlineStr">
        <is>
          <t>Cost index</t>
        </is>
      </c>
    </row>
    <row r="5" ht="15" customHeight="1" s="73">
      <c r="B5" s="19" t="n">
        <v>1</v>
      </c>
      <c r="C5" s="11" t="inlineStr">
        <is>
          <t>TEAM</t>
        </is>
      </c>
      <c r="D5" s="35" t="inlineStr">
        <is>
          <t>POSW</t>
        </is>
      </c>
      <c r="E5" s="35" t="inlineStr">
        <is>
          <t>TEAM</t>
        </is>
      </c>
      <c r="F5" s="49">
        <f>'Pod Library'!E5</f>
        <v/>
      </c>
      <c r="G5" s="43">
        <f>'Pod Library'!F5</f>
        <v/>
      </c>
      <c r="H5" s="43">
        <f>'Pod Library'!G5</f>
        <v/>
      </c>
      <c r="I5" s="43">
        <f>'Pod Library'!H5</f>
        <v/>
      </c>
      <c r="J5" s="43">
        <f>'Pod Library'!I5</f>
        <v/>
      </c>
      <c r="K5" s="9">
        <f>'Pod Library'!J5</f>
        <v/>
      </c>
      <c r="L5" s="13">
        <f>'Pod Plan'!F5</f>
        <v/>
      </c>
      <c r="M5" s="36">
        <f>K5*L5</f>
        <v/>
      </c>
      <c r="N5" s="46">
        <f>M5*INDEX('Logic Tree'!$J$85:$N$87,MATCH(I5,'Logic Tree'!$I$85:$I$87,0),MATCH(H5,'Logic Tree'!$J$84:$N$84,0))</f>
        <v/>
      </c>
    </row>
    <row r="6" ht="15" customHeight="1" s="73">
      <c r="B6" s="19" t="n">
        <v>1</v>
      </c>
      <c r="C6" s="11" t="inlineStr">
        <is>
          <t>TEAM</t>
        </is>
      </c>
      <c r="D6" s="35" t="inlineStr">
        <is>
          <t>POSW</t>
        </is>
      </c>
      <c r="E6" s="35" t="inlineStr">
        <is>
          <t>TEAM</t>
        </is>
      </c>
      <c r="F6" s="49">
        <f>'Pod Library'!E6</f>
        <v/>
      </c>
      <c r="G6" s="43">
        <f>'Pod Library'!F6</f>
        <v/>
      </c>
      <c r="H6" s="43">
        <f>'Pod Library'!G6</f>
        <v/>
      </c>
      <c r="I6" s="43">
        <f>'Pod Library'!H6</f>
        <v/>
      </c>
      <c r="J6" s="43">
        <f>'Pod Library'!I6</f>
        <v/>
      </c>
      <c r="K6" s="9">
        <f>'Pod Library'!J6</f>
        <v/>
      </c>
      <c r="L6" s="13">
        <f>'Pod Plan'!F5</f>
        <v/>
      </c>
      <c r="M6" s="36">
        <f>K6*L6</f>
        <v/>
      </c>
      <c r="N6" s="46">
        <f>M6*INDEX('Logic Tree'!$J$85:$N$87,MATCH(I6,'Logic Tree'!$I$85:$I$87,0),MATCH(H6,'Logic Tree'!$J$84:$N$84,0))</f>
        <v/>
      </c>
    </row>
    <row r="7" ht="15" customHeight="1" s="73">
      <c r="B7" s="19" t="n">
        <v>1</v>
      </c>
      <c r="C7" s="11" t="inlineStr">
        <is>
          <t>TEAM</t>
        </is>
      </c>
      <c r="D7" s="35" t="inlineStr">
        <is>
          <t>POSW</t>
        </is>
      </c>
      <c r="E7" s="35" t="inlineStr">
        <is>
          <t>TEAM</t>
        </is>
      </c>
      <c r="F7" s="49">
        <f>'Pod Library'!E7</f>
        <v/>
      </c>
      <c r="G7" s="43">
        <f>'Pod Library'!F7</f>
        <v/>
      </c>
      <c r="H7" s="43">
        <f>'Pod Library'!G7</f>
        <v/>
      </c>
      <c r="I7" s="43">
        <f>'Pod Library'!H7</f>
        <v/>
      </c>
      <c r="J7" s="43">
        <f>'Pod Library'!I7</f>
        <v/>
      </c>
      <c r="K7" s="9">
        <f>'Pod Library'!J7</f>
        <v/>
      </c>
      <c r="L7" s="13">
        <f>'Pod Plan'!F5</f>
        <v/>
      </c>
      <c r="M7" s="36">
        <f>K7*L7</f>
        <v/>
      </c>
      <c r="N7" s="46">
        <f>M7*INDEX('Logic Tree'!$J$85:$N$87,MATCH(I7,'Logic Tree'!$I$85:$I$87,0),MATCH(H7,'Logic Tree'!$J$84:$N$84,0))</f>
        <v/>
      </c>
    </row>
    <row r="8" ht="15" customHeight="1" s="73">
      <c r="B8" s="19" t="n">
        <v>1</v>
      </c>
      <c r="C8" s="11" t="inlineStr">
        <is>
          <t>TEAM</t>
        </is>
      </c>
      <c r="D8" s="35" t="inlineStr">
        <is>
          <t>POSW</t>
        </is>
      </c>
      <c r="E8" s="35" t="inlineStr">
        <is>
          <t>TEAM</t>
        </is>
      </c>
      <c r="F8" s="49">
        <f>'Pod Library'!E8</f>
        <v/>
      </c>
      <c r="G8" s="43">
        <f>'Pod Library'!F8</f>
        <v/>
      </c>
      <c r="H8" s="43">
        <f>'Pod Library'!G8</f>
        <v/>
      </c>
      <c r="I8" s="43">
        <f>'Pod Library'!H8</f>
        <v/>
      </c>
      <c r="J8" s="43">
        <f>'Pod Library'!I8</f>
        <v/>
      </c>
      <c r="K8" s="9">
        <f>'Pod Library'!J8</f>
        <v/>
      </c>
      <c r="L8" s="13">
        <f>'Pod Plan'!F5</f>
        <v/>
      </c>
      <c r="M8" s="36">
        <f>K8*L8</f>
        <v/>
      </c>
      <c r="N8" s="46">
        <f>M8*INDEX('Logic Tree'!$J$85:$N$87,MATCH(I8,'Logic Tree'!$I$85:$I$87,0),MATCH(H8,'Logic Tree'!$J$84:$N$84,0))</f>
        <v/>
      </c>
    </row>
    <row r="9" ht="15" customHeight="1" s="73">
      <c r="B9" s="19" t="n">
        <v>1</v>
      </c>
      <c r="C9" s="11" t="inlineStr">
        <is>
          <t>TEAM</t>
        </is>
      </c>
      <c r="D9" s="35" t="inlineStr">
        <is>
          <t>POSW</t>
        </is>
      </c>
      <c r="E9" s="35" t="inlineStr">
        <is>
          <t>TEAM</t>
        </is>
      </c>
      <c r="F9" s="49">
        <f>'Pod Library'!E9</f>
        <v/>
      </c>
      <c r="G9" s="43">
        <f>'Pod Library'!F9</f>
        <v/>
      </c>
      <c r="H9" s="43">
        <f>'Pod Library'!G9</f>
        <v/>
      </c>
      <c r="I9" s="43">
        <f>'Pod Library'!H9</f>
        <v/>
      </c>
      <c r="J9" s="43">
        <f>'Pod Library'!I9</f>
        <v/>
      </c>
      <c r="K9" s="9">
        <f>'Pod Library'!J9</f>
        <v/>
      </c>
      <c r="L9" s="13">
        <f>'Pod Plan'!F5</f>
        <v/>
      </c>
      <c r="M9" s="36">
        <f>K9*L9</f>
        <v/>
      </c>
      <c r="N9" s="46">
        <f>M9*INDEX('Logic Tree'!$J$85:$N$87,MATCH(I9,'Logic Tree'!$I$85:$I$87,0),MATCH(H9,'Logic Tree'!$J$84:$N$84,0))</f>
        <v/>
      </c>
    </row>
    <row r="10" ht="15" customHeight="1" s="73">
      <c r="B10" s="19" t="n">
        <v>1</v>
      </c>
      <c r="C10" s="11" t="inlineStr">
        <is>
          <t>TEAM</t>
        </is>
      </c>
      <c r="D10" s="35" t="inlineStr">
        <is>
          <t>POSW</t>
        </is>
      </c>
      <c r="E10" s="35" t="inlineStr">
        <is>
          <t>TEAM</t>
        </is>
      </c>
      <c r="F10" s="49">
        <f>'Pod Library'!E10</f>
        <v/>
      </c>
      <c r="G10" s="43">
        <f>'Pod Library'!F10</f>
        <v/>
      </c>
      <c r="H10" s="43">
        <f>'Pod Library'!G10</f>
        <v/>
      </c>
      <c r="I10" s="43">
        <f>'Pod Library'!H10</f>
        <v/>
      </c>
      <c r="J10" s="43">
        <f>'Pod Library'!I10</f>
        <v/>
      </c>
      <c r="K10" s="9">
        <f>'Pod Library'!J10</f>
        <v/>
      </c>
      <c r="L10" s="13">
        <f>'Pod Plan'!F5</f>
        <v/>
      </c>
      <c r="M10" s="36">
        <f>K10*L10</f>
        <v/>
      </c>
      <c r="N10" s="46">
        <f>M10*INDEX('Logic Tree'!$J$85:$N$87,MATCH(I10,'Logic Tree'!$I$85:$I$87,0),MATCH(H10,'Logic Tree'!$J$84:$N$84,0))</f>
        <v/>
      </c>
    </row>
    <row r="11" ht="15" customHeight="1" s="73">
      <c r="B11" s="19" t="n">
        <v>1</v>
      </c>
      <c r="C11" s="11" t="inlineStr">
        <is>
          <t>TEAM</t>
        </is>
      </c>
      <c r="D11" s="35" t="inlineStr">
        <is>
          <t>POSW</t>
        </is>
      </c>
      <c r="E11" s="35" t="inlineStr">
        <is>
          <t>TEAM</t>
        </is>
      </c>
      <c r="F11" s="49">
        <f>'Pod Library'!E11</f>
        <v/>
      </c>
      <c r="G11" s="43">
        <f>'Pod Library'!F11</f>
        <v/>
      </c>
      <c r="H11" s="43">
        <f>'Pod Library'!G11</f>
        <v/>
      </c>
      <c r="I11" s="43">
        <f>'Pod Library'!H11</f>
        <v/>
      </c>
      <c r="J11" s="43">
        <f>'Pod Library'!I11</f>
        <v/>
      </c>
      <c r="K11" s="9">
        <f>'Pod Library'!J11</f>
        <v/>
      </c>
      <c r="L11" s="13">
        <f>'Pod Plan'!F5</f>
        <v/>
      </c>
      <c r="M11" s="36">
        <f>K11*L11</f>
        <v/>
      </c>
      <c r="N11" s="46">
        <f>M11*INDEX('Logic Tree'!$J$85:$N$87,MATCH(I11,'Logic Tree'!$I$85:$I$87,0),MATCH(H11,'Logic Tree'!$J$84:$N$84,0))</f>
        <v/>
      </c>
    </row>
    <row r="12" ht="15" customHeight="1" s="73">
      <c r="B12" s="19" t="n">
        <v>1</v>
      </c>
      <c r="C12" s="11" t="inlineStr">
        <is>
          <t>TEAM</t>
        </is>
      </c>
      <c r="D12" s="35" t="inlineStr">
        <is>
          <t>POSW</t>
        </is>
      </c>
      <c r="E12" s="35" t="inlineStr">
        <is>
          <t>TEAM</t>
        </is>
      </c>
      <c r="F12" s="49">
        <f>'Pod Library'!E12</f>
        <v/>
      </c>
      <c r="G12" s="43">
        <f>'Pod Library'!F12</f>
        <v/>
      </c>
      <c r="H12" s="43">
        <f>'Pod Library'!G12</f>
        <v/>
      </c>
      <c r="I12" s="43">
        <f>'Pod Library'!H12</f>
        <v/>
      </c>
      <c r="J12" s="43">
        <f>'Pod Library'!I12</f>
        <v/>
      </c>
      <c r="K12" s="9">
        <f>'Pod Library'!J12</f>
        <v/>
      </c>
      <c r="L12" s="13">
        <f>'Pod Plan'!F5</f>
        <v/>
      </c>
      <c r="M12" s="36">
        <f>K12*L12</f>
        <v/>
      </c>
      <c r="N12" s="46">
        <f>M12*INDEX('Logic Tree'!$J$85:$N$87,MATCH(I12,'Logic Tree'!$I$85:$I$87,0),MATCH(H12,'Logic Tree'!$J$84:$N$84,0))</f>
        <v/>
      </c>
    </row>
    <row r="13" ht="15" customHeight="1" s="73">
      <c r="B13" s="19" t="n">
        <v>1</v>
      </c>
      <c r="C13" s="11" t="inlineStr">
        <is>
          <t>TEAM</t>
        </is>
      </c>
      <c r="D13" s="35" t="inlineStr">
        <is>
          <t>POSW</t>
        </is>
      </c>
      <c r="E13" s="35" t="inlineStr">
        <is>
          <t>TEAM</t>
        </is>
      </c>
      <c r="F13" s="49">
        <f>'Pod Library'!E13</f>
        <v/>
      </c>
      <c r="G13" s="43">
        <f>'Pod Library'!F13</f>
        <v/>
      </c>
      <c r="H13" s="43">
        <f>'Pod Library'!G13</f>
        <v/>
      </c>
      <c r="I13" s="43">
        <f>'Pod Library'!H13</f>
        <v/>
      </c>
      <c r="J13" s="43">
        <f>'Pod Library'!I13</f>
        <v/>
      </c>
      <c r="K13" s="9">
        <f>'Pod Library'!J13</f>
        <v/>
      </c>
      <c r="L13" s="13">
        <f>'Pod Plan'!F5</f>
        <v/>
      </c>
      <c r="M13" s="36">
        <f>K13*L13</f>
        <v/>
      </c>
      <c r="N13" s="46">
        <f>M13*INDEX('Logic Tree'!$J$85:$N$87,MATCH(I13,'Logic Tree'!$I$85:$I$87,0),MATCH(H13,'Logic Tree'!$J$84:$N$84,0))</f>
        <v/>
      </c>
    </row>
    <row r="14" ht="15" customHeight="1" s="73">
      <c r="B14" s="19" t="n">
        <v>1</v>
      </c>
      <c r="C14" s="11" t="inlineStr">
        <is>
          <t>TEAM</t>
        </is>
      </c>
      <c r="D14" s="35" t="inlineStr">
        <is>
          <t>POSW</t>
        </is>
      </c>
      <c r="E14" s="35" t="inlineStr">
        <is>
          <t>TEAM</t>
        </is>
      </c>
      <c r="F14" s="49">
        <f>'Pod Library'!E14</f>
        <v/>
      </c>
      <c r="G14" s="43">
        <f>'Pod Library'!F14</f>
        <v/>
      </c>
      <c r="H14" s="43">
        <f>'Pod Library'!G14</f>
        <v/>
      </c>
      <c r="I14" s="43">
        <f>'Pod Library'!H14</f>
        <v/>
      </c>
      <c r="J14" s="43">
        <f>'Pod Library'!I14</f>
        <v/>
      </c>
      <c r="K14" s="9">
        <f>'Pod Library'!J14</f>
        <v/>
      </c>
      <c r="L14" s="13">
        <f>'Pod Plan'!F5</f>
        <v/>
      </c>
      <c r="M14" s="36">
        <f>K14*L14</f>
        <v/>
      </c>
      <c r="N14" s="46">
        <f>M14*INDEX('Logic Tree'!$J$85:$N$87,MATCH(I14,'Logic Tree'!$I$85:$I$87,0),MATCH(H14,'Logic Tree'!$J$84:$N$84,0))</f>
        <v/>
      </c>
    </row>
    <row r="15" ht="15" customHeight="1" s="73">
      <c r="B15" s="19" t="n">
        <v>1</v>
      </c>
      <c r="C15" s="11" t="inlineStr">
        <is>
          <t>TEAM</t>
        </is>
      </c>
      <c r="D15" s="35" t="inlineStr">
        <is>
          <t>POSW</t>
        </is>
      </c>
      <c r="E15" s="35" t="inlineStr">
        <is>
          <t>TEAM</t>
        </is>
      </c>
      <c r="F15" s="49">
        <f>'Pod Library'!E15</f>
        <v/>
      </c>
      <c r="G15" s="43">
        <f>'Pod Library'!F15</f>
        <v/>
      </c>
      <c r="H15" s="43">
        <f>'Pod Library'!G15</f>
        <v/>
      </c>
      <c r="I15" s="43">
        <f>'Pod Library'!H15</f>
        <v/>
      </c>
      <c r="J15" s="43">
        <f>'Pod Library'!I15</f>
        <v/>
      </c>
      <c r="K15" s="9">
        <f>'Pod Library'!J15</f>
        <v/>
      </c>
      <c r="L15" s="13">
        <f>'Pod Plan'!F5</f>
        <v/>
      </c>
      <c r="M15" s="36">
        <f>K15*L15</f>
        <v/>
      </c>
      <c r="N15" s="46">
        <f>M15*INDEX('Logic Tree'!$J$85:$N$87,MATCH(I15,'Logic Tree'!$I$85:$I$87,0),MATCH(H15,'Logic Tree'!$J$84:$N$84,0))</f>
        <v/>
      </c>
    </row>
    <row r="16" ht="15" customHeight="1" s="73">
      <c r="B16" s="19" t="n">
        <v>1</v>
      </c>
      <c r="C16" s="11" t="inlineStr">
        <is>
          <t>TEAM</t>
        </is>
      </c>
      <c r="D16" s="35" t="inlineStr">
        <is>
          <t>POSW</t>
        </is>
      </c>
      <c r="E16" s="35" t="inlineStr">
        <is>
          <t>TEAM</t>
        </is>
      </c>
      <c r="F16" s="49">
        <f>'Pod Library'!E16</f>
        <v/>
      </c>
      <c r="G16" s="43">
        <f>'Pod Library'!F16</f>
        <v/>
      </c>
      <c r="H16" s="43">
        <f>'Pod Library'!G16</f>
        <v/>
      </c>
      <c r="I16" s="43">
        <f>'Pod Library'!H16</f>
        <v/>
      </c>
      <c r="J16" s="43">
        <f>'Pod Library'!I16</f>
        <v/>
      </c>
      <c r="K16" s="9">
        <f>'Pod Library'!J16</f>
        <v/>
      </c>
      <c r="L16" s="13">
        <f>'Pod Plan'!F5</f>
        <v/>
      </c>
      <c r="M16" s="36">
        <f>K16*L16</f>
        <v/>
      </c>
      <c r="N16" s="46">
        <f>M16*INDEX('Logic Tree'!$J$85:$N$87,MATCH(I16,'Logic Tree'!$I$85:$I$87,0),MATCH(H16,'Logic Tree'!$J$84:$N$84,0))</f>
        <v/>
      </c>
    </row>
    <row r="17" ht="15" customHeight="1" s="73">
      <c r="B17" s="19" t="n">
        <v>1</v>
      </c>
      <c r="C17" s="11" t="inlineStr">
        <is>
          <t>TEAM</t>
        </is>
      </c>
      <c r="D17" s="35" t="inlineStr">
        <is>
          <t>POSW</t>
        </is>
      </c>
      <c r="E17" s="35" t="inlineStr">
        <is>
          <t>TEAM</t>
        </is>
      </c>
      <c r="F17" s="49">
        <f>'Pod Library'!E17</f>
        <v/>
      </c>
      <c r="G17" s="43">
        <f>'Pod Library'!F17</f>
        <v/>
      </c>
      <c r="H17" s="43">
        <f>'Pod Library'!G17</f>
        <v/>
      </c>
      <c r="I17" s="43">
        <f>'Pod Library'!H17</f>
        <v/>
      </c>
      <c r="J17" s="43">
        <f>'Pod Library'!I17</f>
        <v/>
      </c>
      <c r="K17" s="9">
        <f>'Pod Library'!J17</f>
        <v/>
      </c>
      <c r="L17" s="13">
        <f>'Pod Plan'!F5</f>
        <v/>
      </c>
      <c r="M17" s="36">
        <f>K17*L17</f>
        <v/>
      </c>
      <c r="N17" s="46">
        <f>M17*INDEX('Logic Tree'!$J$85:$N$87,MATCH(I17,'Logic Tree'!$I$85:$I$87,0),MATCH(H17,'Logic Tree'!$J$84:$N$84,0))</f>
        <v/>
      </c>
    </row>
    <row r="18" ht="15" customHeight="1" s="73">
      <c r="B18" s="19" t="n">
        <v>1</v>
      </c>
      <c r="C18" s="11" t="inlineStr">
        <is>
          <t>TEAM</t>
        </is>
      </c>
      <c r="D18" s="35" t="inlineStr">
        <is>
          <t>POSW</t>
        </is>
      </c>
      <c r="E18" s="35" t="inlineStr">
        <is>
          <t>TEAM</t>
        </is>
      </c>
      <c r="F18" s="49">
        <f>'Pod Library'!E18</f>
        <v/>
      </c>
      <c r="G18" s="43">
        <f>'Pod Library'!F18</f>
        <v/>
      </c>
      <c r="H18" s="43">
        <f>'Pod Library'!G18</f>
        <v/>
      </c>
      <c r="I18" s="43">
        <f>'Pod Library'!H18</f>
        <v/>
      </c>
      <c r="J18" s="43">
        <f>'Pod Library'!I18</f>
        <v/>
      </c>
      <c r="K18" s="9">
        <f>'Pod Library'!J18</f>
        <v/>
      </c>
      <c r="L18" s="13">
        <f>'Pod Plan'!F5</f>
        <v/>
      </c>
      <c r="M18" s="36">
        <f>K18*L18</f>
        <v/>
      </c>
      <c r="N18" s="46">
        <f>M18*INDEX('Logic Tree'!$J$85:$N$87,MATCH(I18,'Logic Tree'!$I$85:$I$87,0),MATCH(H18,'Logic Tree'!$J$84:$N$84,0))</f>
        <v/>
      </c>
    </row>
    <row r="19" ht="15" customHeight="1" s="73">
      <c r="B19" s="19" t="n">
        <v>1</v>
      </c>
      <c r="C19" s="11" t="inlineStr">
        <is>
          <t>TEAM</t>
        </is>
      </c>
      <c r="D19" s="35" t="inlineStr">
        <is>
          <t>POSR</t>
        </is>
      </c>
      <c r="E19" s="35" t="inlineStr">
        <is>
          <t>TEAM</t>
        </is>
      </c>
      <c r="F19" s="49">
        <f>'Pod Library'!E21</f>
        <v/>
      </c>
      <c r="G19" s="43">
        <f>'Pod Library'!F21</f>
        <v/>
      </c>
      <c r="H19" s="43">
        <f>'Pod Library'!G21</f>
        <v/>
      </c>
      <c r="I19" s="43">
        <f>'Pod Library'!H21</f>
        <v/>
      </c>
      <c r="J19" s="43">
        <f>'Pod Library'!I21</f>
        <v/>
      </c>
      <c r="K19" s="9">
        <f>'Pod Library'!J21</f>
        <v/>
      </c>
      <c r="L19" s="13">
        <f>'Pod Plan'!F6</f>
        <v/>
      </c>
      <c r="M19" s="36">
        <f>K19*L19</f>
        <v/>
      </c>
      <c r="N19" s="46">
        <f>M19*INDEX('Logic Tree'!$J$85:$N$87,MATCH(I19,'Logic Tree'!$I$85:$I$87,0),MATCH(H19,'Logic Tree'!$J$84:$N$84,0))</f>
        <v/>
      </c>
    </row>
    <row r="20" ht="15" customHeight="1" s="73">
      <c r="B20" s="19" t="n">
        <v>1</v>
      </c>
      <c r="C20" s="11" t="inlineStr">
        <is>
          <t>TEAM</t>
        </is>
      </c>
      <c r="D20" s="35" t="inlineStr">
        <is>
          <t>POSR</t>
        </is>
      </c>
      <c r="E20" s="35" t="inlineStr">
        <is>
          <t>TEAM</t>
        </is>
      </c>
      <c r="F20" s="49">
        <f>'Pod Library'!E22</f>
        <v/>
      </c>
      <c r="G20" s="43">
        <f>'Pod Library'!F22</f>
        <v/>
      </c>
      <c r="H20" s="43">
        <f>'Pod Library'!G22</f>
        <v/>
      </c>
      <c r="I20" s="43">
        <f>'Pod Library'!H22</f>
        <v/>
      </c>
      <c r="J20" s="43">
        <f>'Pod Library'!I22</f>
        <v/>
      </c>
      <c r="K20" s="9">
        <f>'Pod Library'!J22</f>
        <v/>
      </c>
      <c r="L20" s="13">
        <f>'Pod Plan'!F6</f>
        <v/>
      </c>
      <c r="M20" s="36">
        <f>K20*L20</f>
        <v/>
      </c>
      <c r="N20" s="46">
        <f>M20*INDEX('Logic Tree'!$J$85:$N$87,MATCH(I20,'Logic Tree'!$I$85:$I$87,0),MATCH(H20,'Logic Tree'!$J$84:$N$84,0))</f>
        <v/>
      </c>
    </row>
    <row r="21" ht="15" customHeight="1" s="73">
      <c r="B21" s="19" t="n">
        <v>1</v>
      </c>
      <c r="C21" s="11" t="inlineStr">
        <is>
          <t>TEAM</t>
        </is>
      </c>
      <c r="D21" s="35" t="inlineStr">
        <is>
          <t>POSR</t>
        </is>
      </c>
      <c r="E21" s="35" t="inlineStr">
        <is>
          <t>TEAM</t>
        </is>
      </c>
      <c r="F21" s="49">
        <f>'Pod Library'!E23</f>
        <v/>
      </c>
      <c r="G21" s="43">
        <f>'Pod Library'!F23</f>
        <v/>
      </c>
      <c r="H21" s="43">
        <f>'Pod Library'!G23</f>
        <v/>
      </c>
      <c r="I21" s="43">
        <f>'Pod Library'!H23</f>
        <v/>
      </c>
      <c r="J21" s="43">
        <f>'Pod Library'!I23</f>
        <v/>
      </c>
      <c r="K21" s="9">
        <f>'Pod Library'!J23</f>
        <v/>
      </c>
      <c r="L21" s="13">
        <f>'Pod Plan'!F6</f>
        <v/>
      </c>
      <c r="M21" s="36">
        <f>K21*L21</f>
        <v/>
      </c>
      <c r="N21" s="46">
        <f>M21*INDEX('Logic Tree'!$J$85:$N$87,MATCH(I21,'Logic Tree'!$I$85:$I$87,0),MATCH(H21,'Logic Tree'!$J$84:$N$84,0))</f>
        <v/>
      </c>
    </row>
    <row r="22" ht="15" customHeight="1" s="73">
      <c r="B22" s="19" t="n">
        <v>1</v>
      </c>
      <c r="C22" s="11" t="inlineStr">
        <is>
          <t>TEAM</t>
        </is>
      </c>
      <c r="D22" s="35" t="inlineStr">
        <is>
          <t>POSR</t>
        </is>
      </c>
      <c r="E22" s="35" t="inlineStr">
        <is>
          <t>TEAM</t>
        </is>
      </c>
      <c r="F22" s="49">
        <f>'Pod Library'!E24</f>
        <v/>
      </c>
      <c r="G22" s="43">
        <f>'Pod Library'!F24</f>
        <v/>
      </c>
      <c r="H22" s="43">
        <f>'Pod Library'!G24</f>
        <v/>
      </c>
      <c r="I22" s="43">
        <f>'Pod Library'!H24</f>
        <v/>
      </c>
      <c r="J22" s="43">
        <f>'Pod Library'!I24</f>
        <v/>
      </c>
      <c r="K22" s="9">
        <f>'Pod Library'!J24</f>
        <v/>
      </c>
      <c r="L22" s="13">
        <f>'Pod Plan'!F6</f>
        <v/>
      </c>
      <c r="M22" s="36">
        <f>K22*L22</f>
        <v/>
      </c>
      <c r="N22" s="46">
        <f>M22*INDEX('Logic Tree'!$J$85:$N$87,MATCH(I22,'Logic Tree'!$I$85:$I$87,0),MATCH(H22,'Logic Tree'!$J$84:$N$84,0))</f>
        <v/>
      </c>
    </row>
    <row r="23" ht="15" customHeight="1" s="73">
      <c r="B23" s="19" t="n">
        <v>1</v>
      </c>
      <c r="C23" s="11" t="inlineStr">
        <is>
          <t>TEAM</t>
        </is>
      </c>
      <c r="D23" s="35" t="inlineStr">
        <is>
          <t>POSR</t>
        </is>
      </c>
      <c r="E23" s="35" t="inlineStr">
        <is>
          <t>TEAM</t>
        </is>
      </c>
      <c r="F23" s="49">
        <f>'Pod Library'!E25</f>
        <v/>
      </c>
      <c r="G23" s="43">
        <f>'Pod Library'!F25</f>
        <v/>
      </c>
      <c r="H23" s="43">
        <f>'Pod Library'!G25</f>
        <v/>
      </c>
      <c r="I23" s="43">
        <f>'Pod Library'!H25</f>
        <v/>
      </c>
      <c r="J23" s="43">
        <f>'Pod Library'!I25</f>
        <v/>
      </c>
      <c r="K23" s="9">
        <f>'Pod Library'!J25</f>
        <v/>
      </c>
      <c r="L23" s="13">
        <f>'Pod Plan'!F6</f>
        <v/>
      </c>
      <c r="M23" s="36">
        <f>K23*L23</f>
        <v/>
      </c>
      <c r="N23" s="46">
        <f>M23*INDEX('Logic Tree'!$J$85:$N$87,MATCH(I23,'Logic Tree'!$I$85:$I$87,0),MATCH(H23,'Logic Tree'!$J$84:$N$84,0))</f>
        <v/>
      </c>
    </row>
    <row r="24" ht="15" customHeight="1" s="73">
      <c r="B24" s="19" t="n">
        <v>1</v>
      </c>
      <c r="C24" s="11" t="inlineStr">
        <is>
          <t>TEAM</t>
        </is>
      </c>
      <c r="D24" s="35" t="inlineStr">
        <is>
          <t>POSR</t>
        </is>
      </c>
      <c r="E24" s="35" t="inlineStr">
        <is>
          <t>TEAM</t>
        </is>
      </c>
      <c r="F24" s="49">
        <f>'Pod Library'!E26</f>
        <v/>
      </c>
      <c r="G24" s="43">
        <f>'Pod Library'!F26</f>
        <v/>
      </c>
      <c r="H24" s="43">
        <f>'Pod Library'!G26</f>
        <v/>
      </c>
      <c r="I24" s="43">
        <f>'Pod Library'!H26</f>
        <v/>
      </c>
      <c r="J24" s="43">
        <f>'Pod Library'!I26</f>
        <v/>
      </c>
      <c r="K24" s="9">
        <f>'Pod Library'!J26</f>
        <v/>
      </c>
      <c r="L24" s="13">
        <f>'Pod Plan'!F6</f>
        <v/>
      </c>
      <c r="M24" s="36">
        <f>K24*L24</f>
        <v/>
      </c>
      <c r="N24" s="46">
        <f>M24*INDEX('Logic Tree'!$J$85:$N$87,MATCH(I24,'Logic Tree'!$I$85:$I$87,0),MATCH(H24,'Logic Tree'!$J$84:$N$84,0))</f>
        <v/>
      </c>
    </row>
    <row r="25" ht="15" customHeight="1" s="73">
      <c r="B25" s="19" t="n">
        <v>1</v>
      </c>
      <c r="C25" s="11" t="inlineStr">
        <is>
          <t>TEAM</t>
        </is>
      </c>
      <c r="D25" s="35" t="inlineStr">
        <is>
          <t>POSR</t>
        </is>
      </c>
      <c r="E25" s="35" t="inlineStr">
        <is>
          <t>TEAM</t>
        </is>
      </c>
      <c r="F25" s="49">
        <f>'Pod Library'!E27</f>
        <v/>
      </c>
      <c r="G25" s="43">
        <f>'Pod Library'!F27</f>
        <v/>
      </c>
      <c r="H25" s="43">
        <f>'Pod Library'!G27</f>
        <v/>
      </c>
      <c r="I25" s="43">
        <f>'Pod Library'!H27</f>
        <v/>
      </c>
      <c r="J25" s="43">
        <f>'Pod Library'!I27</f>
        <v/>
      </c>
      <c r="K25" s="9">
        <f>'Pod Library'!J27</f>
        <v/>
      </c>
      <c r="L25" s="13">
        <f>'Pod Plan'!F6</f>
        <v/>
      </c>
      <c r="M25" s="36">
        <f>K25*L25</f>
        <v/>
      </c>
      <c r="N25" s="46">
        <f>M25*INDEX('Logic Tree'!$J$85:$N$87,MATCH(I25,'Logic Tree'!$I$85:$I$87,0),MATCH(H25,'Logic Tree'!$J$84:$N$84,0))</f>
        <v/>
      </c>
    </row>
    <row r="26" ht="15" customHeight="1" s="73">
      <c r="B26" s="19" t="n">
        <v>1</v>
      </c>
      <c r="C26" s="11" t="inlineStr">
        <is>
          <t>TEAM</t>
        </is>
      </c>
      <c r="D26" s="35" t="inlineStr">
        <is>
          <t>POSR</t>
        </is>
      </c>
      <c r="E26" s="35" t="inlineStr">
        <is>
          <t>TEAM</t>
        </is>
      </c>
      <c r="F26" s="49">
        <f>'Pod Library'!E28</f>
        <v/>
      </c>
      <c r="G26" s="43">
        <f>'Pod Library'!F28</f>
        <v/>
      </c>
      <c r="H26" s="43">
        <f>'Pod Library'!G28</f>
        <v/>
      </c>
      <c r="I26" s="43">
        <f>'Pod Library'!H28</f>
        <v/>
      </c>
      <c r="J26" s="43">
        <f>'Pod Library'!I28</f>
        <v/>
      </c>
      <c r="K26" s="9">
        <f>'Pod Library'!J28</f>
        <v/>
      </c>
      <c r="L26" s="13">
        <f>'Pod Plan'!F6</f>
        <v/>
      </c>
      <c r="M26" s="36">
        <f>K26*L26</f>
        <v/>
      </c>
      <c r="N26" s="46">
        <f>M26*INDEX('Logic Tree'!$J$85:$N$87,MATCH(I26,'Logic Tree'!$I$85:$I$87,0),MATCH(H26,'Logic Tree'!$J$84:$N$84,0))</f>
        <v/>
      </c>
    </row>
    <row r="27" ht="15" customHeight="1" s="73">
      <c r="B27" s="19" t="n">
        <v>1</v>
      </c>
      <c r="C27" s="11" t="inlineStr">
        <is>
          <t>TEAM</t>
        </is>
      </c>
      <c r="D27" s="35" t="inlineStr">
        <is>
          <t>POSR</t>
        </is>
      </c>
      <c r="E27" s="35" t="inlineStr">
        <is>
          <t>TEAM</t>
        </is>
      </c>
      <c r="F27" s="49">
        <f>'Pod Library'!E29</f>
        <v/>
      </c>
      <c r="G27" s="43">
        <f>'Pod Library'!F29</f>
        <v/>
      </c>
      <c r="H27" s="43">
        <f>'Pod Library'!G29</f>
        <v/>
      </c>
      <c r="I27" s="43">
        <f>'Pod Library'!H29</f>
        <v/>
      </c>
      <c r="J27" s="43">
        <f>'Pod Library'!I29</f>
        <v/>
      </c>
      <c r="K27" s="9">
        <f>'Pod Library'!J29</f>
        <v/>
      </c>
      <c r="L27" s="13">
        <f>'Pod Plan'!F6</f>
        <v/>
      </c>
      <c r="M27" s="36">
        <f>K27*L27</f>
        <v/>
      </c>
      <c r="N27" s="46">
        <f>M27*INDEX('Logic Tree'!$J$85:$N$87,MATCH(I27,'Logic Tree'!$I$85:$I$87,0),MATCH(H27,'Logic Tree'!$J$84:$N$84,0))</f>
        <v/>
      </c>
    </row>
    <row r="28" ht="15" customHeight="1" s="73">
      <c r="B28" s="19" t="n">
        <v>1</v>
      </c>
      <c r="C28" s="11" t="inlineStr">
        <is>
          <t>TEAM</t>
        </is>
      </c>
      <c r="D28" s="35" t="inlineStr">
        <is>
          <t>POSR</t>
        </is>
      </c>
      <c r="E28" s="35" t="inlineStr">
        <is>
          <t>TEAM</t>
        </is>
      </c>
      <c r="F28" s="49">
        <f>'Pod Library'!E30</f>
        <v/>
      </c>
      <c r="G28" s="43">
        <f>'Pod Library'!F30</f>
        <v/>
      </c>
      <c r="H28" s="43">
        <f>'Pod Library'!G30</f>
        <v/>
      </c>
      <c r="I28" s="43">
        <f>'Pod Library'!H30</f>
        <v/>
      </c>
      <c r="J28" s="43">
        <f>'Pod Library'!I30</f>
        <v/>
      </c>
      <c r="K28" s="9">
        <f>'Pod Library'!J30</f>
        <v/>
      </c>
      <c r="L28" s="13">
        <f>'Pod Plan'!F6</f>
        <v/>
      </c>
      <c r="M28" s="36">
        <f>K28*L28</f>
        <v/>
      </c>
      <c r="N28" s="46">
        <f>M28*INDEX('Logic Tree'!$J$85:$N$87,MATCH(I28,'Logic Tree'!$I$85:$I$87,0),MATCH(H28,'Logic Tree'!$J$84:$N$84,0))</f>
        <v/>
      </c>
    </row>
    <row r="29" ht="15" customHeight="1" s="73">
      <c r="B29" s="19" t="n">
        <v>1</v>
      </c>
      <c r="C29" s="11" t="inlineStr">
        <is>
          <t>TEAM</t>
        </is>
      </c>
      <c r="D29" s="35" t="inlineStr">
        <is>
          <t>POSR</t>
        </is>
      </c>
      <c r="E29" s="35" t="inlineStr">
        <is>
          <t>TEAM</t>
        </is>
      </c>
      <c r="F29" s="49">
        <f>'Pod Library'!E31</f>
        <v/>
      </c>
      <c r="G29" s="43">
        <f>'Pod Library'!F31</f>
        <v/>
      </c>
      <c r="H29" s="43">
        <f>'Pod Library'!G31</f>
        <v/>
      </c>
      <c r="I29" s="43">
        <f>'Pod Library'!H31</f>
        <v/>
      </c>
      <c r="J29" s="43">
        <f>'Pod Library'!I31</f>
        <v/>
      </c>
      <c r="K29" s="9">
        <f>'Pod Library'!J31</f>
        <v/>
      </c>
      <c r="L29" s="13">
        <f>'Pod Plan'!F6</f>
        <v/>
      </c>
      <c r="M29" s="36">
        <f>K29*L29</f>
        <v/>
      </c>
      <c r="N29" s="46">
        <f>M29*INDEX('Logic Tree'!$J$85:$N$87,MATCH(I29,'Logic Tree'!$I$85:$I$87,0),MATCH(H29,'Logic Tree'!$J$84:$N$84,0))</f>
        <v/>
      </c>
    </row>
    <row r="30" ht="15" customHeight="1" s="73">
      <c r="B30" s="19" t="n">
        <v>2</v>
      </c>
      <c r="C30" s="11" t="inlineStr">
        <is>
          <t>TEAM</t>
        </is>
      </c>
      <c r="D30" s="35" t="inlineStr">
        <is>
          <t>POSW</t>
        </is>
      </c>
      <c r="E30" s="35" t="inlineStr">
        <is>
          <t>TEAM</t>
        </is>
      </c>
      <c r="F30" s="49">
        <f>'Pod Library'!E34</f>
        <v/>
      </c>
      <c r="G30" s="43">
        <f>'Pod Library'!F34</f>
        <v/>
      </c>
      <c r="H30" s="43">
        <f>'Pod Library'!G34</f>
        <v/>
      </c>
      <c r="I30" s="43">
        <f>'Pod Library'!H34</f>
        <v/>
      </c>
      <c r="J30" s="43">
        <f>'Pod Library'!I34</f>
        <v/>
      </c>
      <c r="K30" s="9">
        <f>'Pod Library'!J34</f>
        <v/>
      </c>
      <c r="L30" s="13">
        <f>'Pod Plan'!F9</f>
        <v/>
      </c>
      <c r="M30" s="36">
        <f>K30*L30</f>
        <v/>
      </c>
      <c r="N30" s="46">
        <f>M30*INDEX('Logic Tree'!$J$85:$N$87,MATCH(I30,'Logic Tree'!$I$85:$I$87,0),MATCH(H30,'Logic Tree'!$J$84:$N$84,0))</f>
        <v/>
      </c>
    </row>
    <row r="31" ht="15" customHeight="1" s="73">
      <c r="B31" s="19" t="n">
        <v>2</v>
      </c>
      <c r="C31" s="11" t="inlineStr">
        <is>
          <t>TEAM</t>
        </is>
      </c>
      <c r="D31" s="35" t="inlineStr">
        <is>
          <t>POSW</t>
        </is>
      </c>
      <c r="E31" s="35" t="inlineStr">
        <is>
          <t>TEAM</t>
        </is>
      </c>
      <c r="F31" s="49">
        <f>'Pod Library'!E35</f>
        <v/>
      </c>
      <c r="G31" s="43">
        <f>'Pod Library'!F35</f>
        <v/>
      </c>
      <c r="H31" s="43">
        <f>'Pod Library'!G35</f>
        <v/>
      </c>
      <c r="I31" s="43">
        <f>'Pod Library'!H35</f>
        <v/>
      </c>
      <c r="J31" s="43">
        <f>'Pod Library'!I35</f>
        <v/>
      </c>
      <c r="K31" s="9">
        <f>'Pod Library'!J35</f>
        <v/>
      </c>
      <c r="L31" s="13">
        <f>'Pod Plan'!F9</f>
        <v/>
      </c>
      <c r="M31" s="36">
        <f>K31*L31</f>
        <v/>
      </c>
      <c r="N31" s="46">
        <f>M31*INDEX('Logic Tree'!$J$85:$N$87,MATCH(I31,'Logic Tree'!$I$85:$I$87,0),MATCH(H31,'Logic Tree'!$J$84:$N$84,0))</f>
        <v/>
      </c>
    </row>
    <row r="32" ht="15" customHeight="1" s="73">
      <c r="B32" s="19" t="n">
        <v>2</v>
      </c>
      <c r="C32" s="11" t="inlineStr">
        <is>
          <t>TEAM</t>
        </is>
      </c>
      <c r="D32" s="35" t="inlineStr">
        <is>
          <t>POSW</t>
        </is>
      </c>
      <c r="E32" s="35" t="inlineStr">
        <is>
          <t>TEAM</t>
        </is>
      </c>
      <c r="F32" s="49">
        <f>'Pod Library'!E36</f>
        <v/>
      </c>
      <c r="G32" s="43">
        <f>'Pod Library'!F36</f>
        <v/>
      </c>
      <c r="H32" s="43">
        <f>'Pod Library'!G36</f>
        <v/>
      </c>
      <c r="I32" s="43">
        <f>'Pod Library'!H36</f>
        <v/>
      </c>
      <c r="J32" s="43">
        <f>'Pod Library'!I36</f>
        <v/>
      </c>
      <c r="K32" s="9">
        <f>'Pod Library'!J36</f>
        <v/>
      </c>
      <c r="L32" s="13">
        <f>'Pod Plan'!F9</f>
        <v/>
      </c>
      <c r="M32" s="36">
        <f>K32*L32</f>
        <v/>
      </c>
      <c r="N32" s="46">
        <f>M32*INDEX('Logic Tree'!$J$85:$N$87,MATCH(I32,'Logic Tree'!$I$85:$I$87,0),MATCH(H32,'Logic Tree'!$J$84:$N$84,0))</f>
        <v/>
      </c>
    </row>
    <row r="33" ht="15" customHeight="1" s="73">
      <c r="B33" s="19" t="n">
        <v>2</v>
      </c>
      <c r="C33" s="11" t="inlineStr">
        <is>
          <t>TEAM</t>
        </is>
      </c>
      <c r="D33" s="35" t="inlineStr">
        <is>
          <t>POSW</t>
        </is>
      </c>
      <c r="E33" s="35" t="inlineStr">
        <is>
          <t>TEAM</t>
        </is>
      </c>
      <c r="F33" s="49">
        <f>'Pod Library'!E37</f>
        <v/>
      </c>
      <c r="G33" s="43">
        <f>'Pod Library'!F37</f>
        <v/>
      </c>
      <c r="H33" s="43">
        <f>'Pod Library'!G37</f>
        <v/>
      </c>
      <c r="I33" s="43">
        <f>'Pod Library'!H37</f>
        <v/>
      </c>
      <c r="J33" s="43">
        <f>'Pod Library'!I37</f>
        <v/>
      </c>
      <c r="K33" s="9">
        <f>'Pod Library'!J37</f>
        <v/>
      </c>
      <c r="L33" s="13">
        <f>'Pod Plan'!F9</f>
        <v/>
      </c>
      <c r="M33" s="36">
        <f>K33*L33</f>
        <v/>
      </c>
      <c r="N33" s="46">
        <f>M33*INDEX('Logic Tree'!$J$85:$N$87,MATCH(I33,'Logic Tree'!$I$85:$I$87,0),MATCH(H33,'Logic Tree'!$J$84:$N$84,0))</f>
        <v/>
      </c>
    </row>
    <row r="34" ht="15" customHeight="1" s="73">
      <c r="B34" s="19" t="n">
        <v>2</v>
      </c>
      <c r="C34" s="11" t="inlineStr">
        <is>
          <t>TEAM</t>
        </is>
      </c>
      <c r="D34" s="35" t="inlineStr">
        <is>
          <t>POSW</t>
        </is>
      </c>
      <c r="E34" s="35" t="inlineStr">
        <is>
          <t>TEAM</t>
        </is>
      </c>
      <c r="F34" s="49">
        <f>'Pod Library'!E38</f>
        <v/>
      </c>
      <c r="G34" s="43">
        <f>'Pod Library'!F38</f>
        <v/>
      </c>
      <c r="H34" s="43">
        <f>'Pod Library'!G38</f>
        <v/>
      </c>
      <c r="I34" s="43">
        <f>'Pod Library'!H38</f>
        <v/>
      </c>
      <c r="J34" s="43">
        <f>'Pod Library'!I38</f>
        <v/>
      </c>
      <c r="K34" s="9">
        <f>'Pod Library'!J38</f>
        <v/>
      </c>
      <c r="L34" s="13">
        <f>'Pod Plan'!F9</f>
        <v/>
      </c>
      <c r="M34" s="36">
        <f>K34*L34</f>
        <v/>
      </c>
      <c r="N34" s="46">
        <f>M34*INDEX('Logic Tree'!$J$85:$N$87,MATCH(I34,'Logic Tree'!$I$85:$I$87,0),MATCH(H34,'Logic Tree'!$J$84:$N$84,0))</f>
        <v/>
      </c>
    </row>
    <row r="35" ht="15" customHeight="1" s="73">
      <c r="B35" s="19" t="n">
        <v>2</v>
      </c>
      <c r="C35" s="11" t="inlineStr">
        <is>
          <t>TEAM</t>
        </is>
      </c>
      <c r="D35" s="35" t="inlineStr">
        <is>
          <t>POSW</t>
        </is>
      </c>
      <c r="E35" s="35" t="inlineStr">
        <is>
          <t>TEAM</t>
        </is>
      </c>
      <c r="F35" s="49">
        <f>'Pod Library'!E39</f>
        <v/>
      </c>
      <c r="G35" s="43">
        <f>'Pod Library'!F39</f>
        <v/>
      </c>
      <c r="H35" s="43">
        <f>'Pod Library'!G39</f>
        <v/>
      </c>
      <c r="I35" s="43">
        <f>'Pod Library'!H39</f>
        <v/>
      </c>
      <c r="J35" s="43">
        <f>'Pod Library'!I39</f>
        <v/>
      </c>
      <c r="K35" s="9">
        <f>'Pod Library'!J39</f>
        <v/>
      </c>
      <c r="L35" s="13">
        <f>'Pod Plan'!F9</f>
        <v/>
      </c>
      <c r="M35" s="36">
        <f>K35*L35</f>
        <v/>
      </c>
      <c r="N35" s="46">
        <f>M35*INDEX('Logic Tree'!$J$85:$N$87,MATCH(I35,'Logic Tree'!$I$85:$I$87,0),MATCH(H35,'Logic Tree'!$J$84:$N$84,0))</f>
        <v/>
      </c>
    </row>
    <row r="36" ht="15" customHeight="1" s="73">
      <c r="B36" s="19" t="n">
        <v>2</v>
      </c>
      <c r="C36" s="11" t="inlineStr">
        <is>
          <t>TEAM</t>
        </is>
      </c>
      <c r="D36" s="35" t="inlineStr">
        <is>
          <t>POSW</t>
        </is>
      </c>
      <c r="E36" s="35" t="inlineStr">
        <is>
          <t>TEAM</t>
        </is>
      </c>
      <c r="F36" s="49">
        <f>'Pod Library'!E40</f>
        <v/>
      </c>
      <c r="G36" s="43">
        <f>'Pod Library'!F40</f>
        <v/>
      </c>
      <c r="H36" s="43">
        <f>'Pod Library'!G40</f>
        <v/>
      </c>
      <c r="I36" s="43">
        <f>'Pod Library'!H40</f>
        <v/>
      </c>
      <c r="J36" s="43">
        <f>'Pod Library'!I40</f>
        <v/>
      </c>
      <c r="K36" s="9">
        <f>'Pod Library'!J40</f>
        <v/>
      </c>
      <c r="L36" s="13">
        <f>'Pod Plan'!F9</f>
        <v/>
      </c>
      <c r="M36" s="36">
        <f>K36*L36</f>
        <v/>
      </c>
      <c r="N36" s="46">
        <f>M36*INDEX('Logic Tree'!$J$85:$N$87,MATCH(I36,'Logic Tree'!$I$85:$I$87,0),MATCH(H36,'Logic Tree'!$J$84:$N$84,0))</f>
        <v/>
      </c>
    </row>
    <row r="37" ht="15" customHeight="1" s="73">
      <c r="B37" s="19" t="n">
        <v>2</v>
      </c>
      <c r="C37" s="11" t="inlineStr">
        <is>
          <t>TEAM</t>
        </is>
      </c>
      <c r="D37" s="35" t="inlineStr">
        <is>
          <t>POSW</t>
        </is>
      </c>
      <c r="E37" s="35" t="inlineStr">
        <is>
          <t>TEAM</t>
        </is>
      </c>
      <c r="F37" s="49">
        <f>'Pod Library'!E41</f>
        <v/>
      </c>
      <c r="G37" s="43">
        <f>'Pod Library'!F41</f>
        <v/>
      </c>
      <c r="H37" s="43">
        <f>'Pod Library'!G41</f>
        <v/>
      </c>
      <c r="I37" s="43">
        <f>'Pod Library'!H41</f>
        <v/>
      </c>
      <c r="J37" s="43">
        <f>'Pod Library'!I41</f>
        <v/>
      </c>
      <c r="K37" s="9">
        <f>'Pod Library'!J41</f>
        <v/>
      </c>
      <c r="L37" s="13">
        <f>'Pod Plan'!F9</f>
        <v/>
      </c>
      <c r="M37" s="36">
        <f>K37*L37</f>
        <v/>
      </c>
      <c r="N37" s="46">
        <f>M37*INDEX('Logic Tree'!$J$85:$N$87,MATCH(I37,'Logic Tree'!$I$85:$I$87,0),MATCH(H37,'Logic Tree'!$J$84:$N$84,0))</f>
        <v/>
      </c>
    </row>
    <row r="38" ht="15" customHeight="1" s="73">
      <c r="B38" s="19" t="n">
        <v>2</v>
      </c>
      <c r="C38" s="11" t="inlineStr">
        <is>
          <t>TEAM</t>
        </is>
      </c>
      <c r="D38" s="35" t="inlineStr">
        <is>
          <t>POSW</t>
        </is>
      </c>
      <c r="E38" s="35" t="inlineStr">
        <is>
          <t>TEAM</t>
        </is>
      </c>
      <c r="F38" s="49">
        <f>'Pod Library'!E42</f>
        <v/>
      </c>
      <c r="G38" s="43">
        <f>'Pod Library'!F42</f>
        <v/>
      </c>
      <c r="H38" s="43">
        <f>'Pod Library'!G42</f>
        <v/>
      </c>
      <c r="I38" s="43">
        <f>'Pod Library'!H42</f>
        <v/>
      </c>
      <c r="J38" s="43">
        <f>'Pod Library'!I42</f>
        <v/>
      </c>
      <c r="K38" s="9">
        <f>'Pod Library'!J42</f>
        <v/>
      </c>
      <c r="L38" s="13">
        <f>'Pod Plan'!F9</f>
        <v/>
      </c>
      <c r="M38" s="36">
        <f>K38*L38</f>
        <v/>
      </c>
      <c r="N38" s="46">
        <f>M38*INDEX('Logic Tree'!$J$85:$N$87,MATCH(I38,'Logic Tree'!$I$85:$I$87,0),MATCH(H38,'Logic Tree'!$J$84:$N$84,0))</f>
        <v/>
      </c>
    </row>
    <row r="39" ht="15" customHeight="1" s="73">
      <c r="B39" s="19" t="n">
        <v>2</v>
      </c>
      <c r="C39" s="11" t="inlineStr">
        <is>
          <t>TEAM</t>
        </is>
      </c>
      <c r="D39" s="35" t="inlineStr">
        <is>
          <t>POSW</t>
        </is>
      </c>
      <c r="E39" s="35" t="inlineStr">
        <is>
          <t>TEAM</t>
        </is>
      </c>
      <c r="F39" s="49">
        <f>'Pod Library'!E43</f>
        <v/>
      </c>
      <c r="G39" s="43">
        <f>'Pod Library'!F43</f>
        <v/>
      </c>
      <c r="H39" s="43">
        <f>'Pod Library'!G43</f>
        <v/>
      </c>
      <c r="I39" s="43">
        <f>'Pod Library'!H43</f>
        <v/>
      </c>
      <c r="J39" s="43">
        <f>'Pod Library'!I43</f>
        <v/>
      </c>
      <c r="K39" s="9">
        <f>'Pod Library'!J43</f>
        <v/>
      </c>
      <c r="L39" s="13">
        <f>'Pod Plan'!F9</f>
        <v/>
      </c>
      <c r="M39" s="36">
        <f>K39*L39</f>
        <v/>
      </c>
      <c r="N39" s="46">
        <f>M39*INDEX('Logic Tree'!$J$85:$N$87,MATCH(I39,'Logic Tree'!$I$85:$I$87,0),MATCH(H39,'Logic Tree'!$J$84:$N$84,0))</f>
        <v/>
      </c>
    </row>
    <row r="40" ht="15" customHeight="1" s="73">
      <c r="B40" s="19" t="n">
        <v>2</v>
      </c>
      <c r="C40" s="11" t="inlineStr">
        <is>
          <t>TEAM</t>
        </is>
      </c>
      <c r="D40" s="35" t="inlineStr">
        <is>
          <t>POSW</t>
        </is>
      </c>
      <c r="E40" s="35" t="inlineStr">
        <is>
          <t>TEAM</t>
        </is>
      </c>
      <c r="F40" s="49">
        <f>'Pod Library'!E44</f>
        <v/>
      </c>
      <c r="G40" s="43">
        <f>'Pod Library'!F44</f>
        <v/>
      </c>
      <c r="H40" s="43">
        <f>'Pod Library'!G44</f>
        <v/>
      </c>
      <c r="I40" s="43">
        <f>'Pod Library'!H44</f>
        <v/>
      </c>
      <c r="J40" s="43">
        <f>'Pod Library'!I44</f>
        <v/>
      </c>
      <c r="K40" s="9">
        <f>'Pod Library'!J44</f>
        <v/>
      </c>
      <c r="L40" s="13">
        <f>'Pod Plan'!F9</f>
        <v/>
      </c>
      <c r="M40" s="36">
        <f>K40*L40</f>
        <v/>
      </c>
      <c r="N40" s="46">
        <f>M40*INDEX('Logic Tree'!$J$85:$N$87,MATCH(I40,'Logic Tree'!$I$85:$I$87,0),MATCH(H40,'Logic Tree'!$J$84:$N$84,0))</f>
        <v/>
      </c>
    </row>
    <row r="41" ht="15" customHeight="1" s="73">
      <c r="B41" s="19" t="n">
        <v>2</v>
      </c>
      <c r="C41" s="11" t="inlineStr">
        <is>
          <t>TEAM</t>
        </is>
      </c>
      <c r="D41" s="35" t="inlineStr">
        <is>
          <t>POSW</t>
        </is>
      </c>
      <c r="E41" s="35" t="inlineStr">
        <is>
          <t>TEAM</t>
        </is>
      </c>
      <c r="F41" s="49">
        <f>'Pod Library'!E45</f>
        <v/>
      </c>
      <c r="G41" s="43">
        <f>'Pod Library'!F45</f>
        <v/>
      </c>
      <c r="H41" s="43">
        <f>'Pod Library'!G45</f>
        <v/>
      </c>
      <c r="I41" s="43">
        <f>'Pod Library'!H45</f>
        <v/>
      </c>
      <c r="J41" s="43">
        <f>'Pod Library'!I45</f>
        <v/>
      </c>
      <c r="K41" s="9">
        <f>'Pod Library'!J45</f>
        <v/>
      </c>
      <c r="L41" s="13">
        <f>'Pod Plan'!F9</f>
        <v/>
      </c>
      <c r="M41" s="36">
        <f>K41*L41</f>
        <v/>
      </c>
      <c r="N41" s="46">
        <f>M41*INDEX('Logic Tree'!$J$85:$N$87,MATCH(I41,'Logic Tree'!$I$85:$I$87,0),MATCH(H41,'Logic Tree'!$J$84:$N$84,0))</f>
        <v/>
      </c>
    </row>
    <row r="42" ht="15" customHeight="1" s="73">
      <c r="B42" s="19" t="n">
        <v>2</v>
      </c>
      <c r="C42" s="11" t="inlineStr">
        <is>
          <t>TEAM</t>
        </is>
      </c>
      <c r="D42" s="35" t="inlineStr">
        <is>
          <t>POSW</t>
        </is>
      </c>
      <c r="E42" s="35" t="inlineStr">
        <is>
          <t>TEAM</t>
        </is>
      </c>
      <c r="F42" s="49">
        <f>'Pod Library'!E46</f>
        <v/>
      </c>
      <c r="G42" s="43">
        <f>'Pod Library'!F46</f>
        <v/>
      </c>
      <c r="H42" s="43">
        <f>'Pod Library'!G46</f>
        <v/>
      </c>
      <c r="I42" s="43">
        <f>'Pod Library'!H46</f>
        <v/>
      </c>
      <c r="J42" s="43">
        <f>'Pod Library'!I46</f>
        <v/>
      </c>
      <c r="K42" s="9">
        <f>'Pod Library'!J46</f>
        <v/>
      </c>
      <c r="L42" s="13">
        <f>'Pod Plan'!F9</f>
        <v/>
      </c>
      <c r="M42" s="36">
        <f>K42*L42</f>
        <v/>
      </c>
      <c r="N42" s="46">
        <f>M42*INDEX('Logic Tree'!$J$85:$N$87,MATCH(I42,'Logic Tree'!$I$85:$I$87,0),MATCH(H42,'Logic Tree'!$J$84:$N$84,0))</f>
        <v/>
      </c>
    </row>
    <row r="43" ht="15" customHeight="1" s="73">
      <c r="B43" s="19" t="n">
        <v>2</v>
      </c>
      <c r="C43" s="11" t="inlineStr">
        <is>
          <t>TEAM</t>
        </is>
      </c>
      <c r="D43" s="35" t="inlineStr">
        <is>
          <t>POSW</t>
        </is>
      </c>
      <c r="E43" s="35" t="inlineStr">
        <is>
          <t>TEAM</t>
        </is>
      </c>
      <c r="F43" s="49">
        <f>'Pod Library'!E47</f>
        <v/>
      </c>
      <c r="G43" s="43">
        <f>'Pod Library'!F47</f>
        <v/>
      </c>
      <c r="H43" s="43">
        <f>'Pod Library'!G47</f>
        <v/>
      </c>
      <c r="I43" s="43">
        <f>'Pod Library'!H47</f>
        <v/>
      </c>
      <c r="J43" s="43">
        <f>'Pod Library'!I47</f>
        <v/>
      </c>
      <c r="K43" s="9">
        <f>'Pod Library'!J47</f>
        <v/>
      </c>
      <c r="L43" s="13">
        <f>'Pod Plan'!F9</f>
        <v/>
      </c>
      <c r="M43" s="36">
        <f>K43*L43</f>
        <v/>
      </c>
      <c r="N43" s="46">
        <f>M43*INDEX('Logic Tree'!$J$85:$N$87,MATCH(I43,'Logic Tree'!$I$85:$I$87,0),MATCH(H43,'Logic Tree'!$J$84:$N$84,0))</f>
        <v/>
      </c>
    </row>
    <row r="44" ht="15" customHeight="1" s="73">
      <c r="B44" s="19" t="n">
        <v>2</v>
      </c>
      <c r="C44" s="11" t="inlineStr">
        <is>
          <t>TEAM</t>
        </is>
      </c>
      <c r="D44" s="35" t="inlineStr">
        <is>
          <t>POSR</t>
        </is>
      </c>
      <c r="E44" s="35" t="inlineStr">
        <is>
          <t>TEAM</t>
        </is>
      </c>
      <c r="F44" s="49">
        <f>'Pod Library'!E50</f>
        <v/>
      </c>
      <c r="G44" s="43">
        <f>'Pod Library'!F50</f>
        <v/>
      </c>
      <c r="H44" s="43">
        <f>'Pod Library'!G50</f>
        <v/>
      </c>
      <c r="I44" s="43">
        <f>'Pod Library'!H50</f>
        <v/>
      </c>
      <c r="J44" s="43">
        <f>'Pod Library'!I50</f>
        <v/>
      </c>
      <c r="K44" s="9">
        <f>'Pod Library'!J50</f>
        <v/>
      </c>
      <c r="L44" s="13">
        <f>'Pod Plan'!F10</f>
        <v/>
      </c>
      <c r="M44" s="36">
        <f>K44*L44</f>
        <v/>
      </c>
      <c r="N44" s="46">
        <f>M44*INDEX('Logic Tree'!$J$85:$N$87,MATCH(I44,'Logic Tree'!$I$85:$I$87,0),MATCH(H44,'Logic Tree'!$J$84:$N$84,0))</f>
        <v/>
      </c>
    </row>
    <row r="45" ht="15" customHeight="1" s="73">
      <c r="B45" s="19" t="n">
        <v>2</v>
      </c>
      <c r="C45" s="11" t="inlineStr">
        <is>
          <t>TEAM</t>
        </is>
      </c>
      <c r="D45" s="35" t="inlineStr">
        <is>
          <t>POSR</t>
        </is>
      </c>
      <c r="E45" s="35" t="inlineStr">
        <is>
          <t>TEAM</t>
        </is>
      </c>
      <c r="F45" s="49">
        <f>'Pod Library'!E51</f>
        <v/>
      </c>
      <c r="G45" s="43">
        <f>'Pod Library'!F51</f>
        <v/>
      </c>
      <c r="H45" s="43">
        <f>'Pod Library'!G51</f>
        <v/>
      </c>
      <c r="I45" s="43">
        <f>'Pod Library'!H51</f>
        <v/>
      </c>
      <c r="J45" s="43">
        <f>'Pod Library'!I51</f>
        <v/>
      </c>
      <c r="K45" s="9">
        <f>'Pod Library'!J51</f>
        <v/>
      </c>
      <c r="L45" s="13">
        <f>'Pod Plan'!F10</f>
        <v/>
      </c>
      <c r="M45" s="36">
        <f>K45*L45</f>
        <v/>
      </c>
      <c r="N45" s="46">
        <f>M45*INDEX('Logic Tree'!$J$85:$N$87,MATCH(I45,'Logic Tree'!$I$85:$I$87,0),MATCH(H45,'Logic Tree'!$J$84:$N$84,0))</f>
        <v/>
      </c>
    </row>
    <row r="46" ht="15" customHeight="1" s="73">
      <c r="B46" s="19" t="n">
        <v>2</v>
      </c>
      <c r="C46" s="11" t="inlineStr">
        <is>
          <t>TEAM</t>
        </is>
      </c>
      <c r="D46" s="35" t="inlineStr">
        <is>
          <t>POSR</t>
        </is>
      </c>
      <c r="E46" s="35" t="inlineStr">
        <is>
          <t>TEAM</t>
        </is>
      </c>
      <c r="F46" s="49">
        <f>'Pod Library'!E52</f>
        <v/>
      </c>
      <c r="G46" s="43">
        <f>'Pod Library'!F52</f>
        <v/>
      </c>
      <c r="H46" s="43">
        <f>'Pod Library'!G52</f>
        <v/>
      </c>
      <c r="I46" s="43">
        <f>'Pod Library'!H52</f>
        <v/>
      </c>
      <c r="J46" s="43">
        <f>'Pod Library'!I52</f>
        <v/>
      </c>
      <c r="K46" s="9">
        <f>'Pod Library'!J52</f>
        <v/>
      </c>
      <c r="L46" s="13">
        <f>'Pod Plan'!F10</f>
        <v/>
      </c>
      <c r="M46" s="36">
        <f>K46*L46</f>
        <v/>
      </c>
      <c r="N46" s="46">
        <f>M46*INDEX('Logic Tree'!$J$85:$N$87,MATCH(I46,'Logic Tree'!$I$85:$I$87,0),MATCH(H46,'Logic Tree'!$J$84:$N$84,0))</f>
        <v/>
      </c>
    </row>
    <row r="47" ht="15" customHeight="1" s="73">
      <c r="B47" s="19" t="n">
        <v>2</v>
      </c>
      <c r="C47" s="11" t="inlineStr">
        <is>
          <t>TEAM</t>
        </is>
      </c>
      <c r="D47" s="35" t="inlineStr">
        <is>
          <t>POSR</t>
        </is>
      </c>
      <c r="E47" s="35" t="inlineStr">
        <is>
          <t>TEAM</t>
        </is>
      </c>
      <c r="F47" s="49">
        <f>'Pod Library'!E53</f>
        <v/>
      </c>
      <c r="G47" s="43">
        <f>'Pod Library'!F53</f>
        <v/>
      </c>
      <c r="H47" s="43">
        <f>'Pod Library'!G53</f>
        <v/>
      </c>
      <c r="I47" s="43">
        <f>'Pod Library'!H53</f>
        <v/>
      </c>
      <c r="J47" s="43">
        <f>'Pod Library'!I53</f>
        <v/>
      </c>
      <c r="K47" s="9">
        <f>'Pod Library'!J53</f>
        <v/>
      </c>
      <c r="L47" s="13">
        <f>'Pod Plan'!F10</f>
        <v/>
      </c>
      <c r="M47" s="36">
        <f>K47*L47</f>
        <v/>
      </c>
      <c r="N47" s="46">
        <f>M47*INDEX('Logic Tree'!$J$85:$N$87,MATCH(I47,'Logic Tree'!$I$85:$I$87,0),MATCH(H47,'Logic Tree'!$J$84:$N$84,0))</f>
        <v/>
      </c>
    </row>
    <row r="48" ht="15" customHeight="1" s="73">
      <c r="B48" s="19" t="n">
        <v>2</v>
      </c>
      <c r="C48" s="11" t="inlineStr">
        <is>
          <t>TEAM</t>
        </is>
      </c>
      <c r="D48" s="35" t="inlineStr">
        <is>
          <t>POSR</t>
        </is>
      </c>
      <c r="E48" s="35" t="inlineStr">
        <is>
          <t>TEAM</t>
        </is>
      </c>
      <c r="F48" s="49">
        <f>'Pod Library'!E54</f>
        <v/>
      </c>
      <c r="G48" s="43">
        <f>'Pod Library'!F54</f>
        <v/>
      </c>
      <c r="H48" s="43">
        <f>'Pod Library'!G54</f>
        <v/>
      </c>
      <c r="I48" s="43">
        <f>'Pod Library'!H54</f>
        <v/>
      </c>
      <c r="J48" s="43">
        <f>'Pod Library'!I54</f>
        <v/>
      </c>
      <c r="K48" s="9">
        <f>'Pod Library'!J54</f>
        <v/>
      </c>
      <c r="L48" s="13">
        <f>'Pod Plan'!F10</f>
        <v/>
      </c>
      <c r="M48" s="36">
        <f>K48*L48</f>
        <v/>
      </c>
      <c r="N48" s="46">
        <f>M48*INDEX('Logic Tree'!$J$85:$N$87,MATCH(I48,'Logic Tree'!$I$85:$I$87,0),MATCH(H48,'Logic Tree'!$J$84:$N$84,0))</f>
        <v/>
      </c>
    </row>
    <row r="49" ht="15" customHeight="1" s="73">
      <c r="B49" s="19" t="n">
        <v>2</v>
      </c>
      <c r="C49" s="11" t="inlineStr">
        <is>
          <t>TEAM</t>
        </is>
      </c>
      <c r="D49" s="35" t="inlineStr">
        <is>
          <t>POSR</t>
        </is>
      </c>
      <c r="E49" s="35" t="inlineStr">
        <is>
          <t>TEAM</t>
        </is>
      </c>
      <c r="F49" s="49">
        <f>'Pod Library'!E55</f>
        <v/>
      </c>
      <c r="G49" s="43">
        <f>'Pod Library'!F55</f>
        <v/>
      </c>
      <c r="H49" s="43">
        <f>'Pod Library'!G55</f>
        <v/>
      </c>
      <c r="I49" s="43">
        <f>'Pod Library'!H55</f>
        <v/>
      </c>
      <c r="J49" s="43">
        <f>'Pod Library'!I55</f>
        <v/>
      </c>
      <c r="K49" s="9">
        <f>'Pod Library'!J55</f>
        <v/>
      </c>
      <c r="L49" s="13">
        <f>'Pod Plan'!F10</f>
        <v/>
      </c>
      <c r="M49" s="36">
        <f>K49*L49</f>
        <v/>
      </c>
      <c r="N49" s="46">
        <f>M49*INDEX('Logic Tree'!$J$85:$N$87,MATCH(I49,'Logic Tree'!$I$85:$I$87,0),MATCH(H49,'Logic Tree'!$J$84:$N$84,0))</f>
        <v/>
      </c>
    </row>
    <row r="50" ht="15" customHeight="1" s="73">
      <c r="B50" s="19" t="n">
        <v>2</v>
      </c>
      <c r="C50" s="11" t="inlineStr">
        <is>
          <t>TEAM</t>
        </is>
      </c>
      <c r="D50" s="35" t="inlineStr">
        <is>
          <t>POSR</t>
        </is>
      </c>
      <c r="E50" s="35" t="inlineStr">
        <is>
          <t>TEAM</t>
        </is>
      </c>
      <c r="F50" s="49">
        <f>'Pod Library'!E56</f>
        <v/>
      </c>
      <c r="G50" s="43">
        <f>'Pod Library'!F56</f>
        <v/>
      </c>
      <c r="H50" s="43">
        <f>'Pod Library'!G56</f>
        <v/>
      </c>
      <c r="I50" s="43">
        <f>'Pod Library'!H56</f>
        <v/>
      </c>
      <c r="J50" s="43">
        <f>'Pod Library'!I56</f>
        <v/>
      </c>
      <c r="K50" s="9">
        <f>'Pod Library'!J56</f>
        <v/>
      </c>
      <c r="L50" s="13">
        <f>'Pod Plan'!F10</f>
        <v/>
      </c>
      <c r="M50" s="36">
        <f>K50*L50</f>
        <v/>
      </c>
      <c r="N50" s="46">
        <f>M50*INDEX('Logic Tree'!$J$85:$N$87,MATCH(I50,'Logic Tree'!$I$85:$I$87,0),MATCH(H50,'Logic Tree'!$J$84:$N$84,0))</f>
        <v/>
      </c>
    </row>
    <row r="51" ht="15" customHeight="1" s="73">
      <c r="B51" s="19" t="n">
        <v>2</v>
      </c>
      <c r="C51" s="11" t="inlineStr">
        <is>
          <t>TEAM</t>
        </is>
      </c>
      <c r="D51" s="35" t="inlineStr">
        <is>
          <t>POSR</t>
        </is>
      </c>
      <c r="E51" s="35" t="inlineStr">
        <is>
          <t>TEAM</t>
        </is>
      </c>
      <c r="F51" s="49">
        <f>'Pod Library'!E57</f>
        <v/>
      </c>
      <c r="G51" s="43">
        <f>'Pod Library'!F57</f>
        <v/>
      </c>
      <c r="H51" s="43">
        <f>'Pod Library'!G57</f>
        <v/>
      </c>
      <c r="I51" s="43">
        <f>'Pod Library'!H57</f>
        <v/>
      </c>
      <c r="J51" s="43">
        <f>'Pod Library'!I57</f>
        <v/>
      </c>
      <c r="K51" s="9">
        <f>'Pod Library'!J57</f>
        <v/>
      </c>
      <c r="L51" s="13">
        <f>'Pod Plan'!F10</f>
        <v/>
      </c>
      <c r="M51" s="36">
        <f>K51*L51</f>
        <v/>
      </c>
      <c r="N51" s="46">
        <f>M51*INDEX('Logic Tree'!$J$85:$N$87,MATCH(I51,'Logic Tree'!$I$85:$I$87,0),MATCH(H51,'Logic Tree'!$J$84:$N$84,0))</f>
        <v/>
      </c>
    </row>
    <row r="52" ht="15" customHeight="1" s="73">
      <c r="B52" s="19" t="n">
        <v>2</v>
      </c>
      <c r="C52" s="11" t="inlineStr">
        <is>
          <t>TEAM</t>
        </is>
      </c>
      <c r="D52" s="35" t="inlineStr">
        <is>
          <t>POSR</t>
        </is>
      </c>
      <c r="E52" s="35" t="inlineStr">
        <is>
          <t>TEAM</t>
        </is>
      </c>
      <c r="F52" s="49">
        <f>'Pod Library'!E58</f>
        <v/>
      </c>
      <c r="G52" s="43">
        <f>'Pod Library'!F58</f>
        <v/>
      </c>
      <c r="H52" s="43">
        <f>'Pod Library'!G58</f>
        <v/>
      </c>
      <c r="I52" s="43">
        <f>'Pod Library'!H58</f>
        <v/>
      </c>
      <c r="J52" s="43">
        <f>'Pod Library'!I58</f>
        <v/>
      </c>
      <c r="K52" s="9">
        <f>'Pod Library'!J58</f>
        <v/>
      </c>
      <c r="L52" s="13">
        <f>'Pod Plan'!F10</f>
        <v/>
      </c>
      <c r="M52" s="36">
        <f>K52*L52</f>
        <v/>
      </c>
      <c r="N52" s="46">
        <f>M52*INDEX('Logic Tree'!$J$85:$N$87,MATCH(I52,'Logic Tree'!$I$85:$I$87,0),MATCH(H52,'Logic Tree'!$J$84:$N$84,0))</f>
        <v/>
      </c>
    </row>
    <row r="53" ht="15" customHeight="1" s="73">
      <c r="B53" s="19" t="n">
        <v>2</v>
      </c>
      <c r="C53" s="11" t="inlineStr">
        <is>
          <t>TEAM</t>
        </is>
      </c>
      <c r="D53" s="35" t="inlineStr">
        <is>
          <t>POSR</t>
        </is>
      </c>
      <c r="E53" s="35" t="inlineStr">
        <is>
          <t>TEAM</t>
        </is>
      </c>
      <c r="F53" s="49">
        <f>'Pod Library'!E59</f>
        <v/>
      </c>
      <c r="G53" s="43">
        <f>'Pod Library'!F59</f>
        <v/>
      </c>
      <c r="H53" s="43">
        <f>'Pod Library'!G59</f>
        <v/>
      </c>
      <c r="I53" s="43">
        <f>'Pod Library'!H59</f>
        <v/>
      </c>
      <c r="J53" s="43">
        <f>'Pod Library'!I59</f>
        <v/>
      </c>
      <c r="K53" s="9">
        <f>'Pod Library'!J59</f>
        <v/>
      </c>
      <c r="L53" s="13">
        <f>'Pod Plan'!F10</f>
        <v/>
      </c>
      <c r="M53" s="36">
        <f>K53*L53</f>
        <v/>
      </c>
      <c r="N53" s="46">
        <f>M53*INDEX('Logic Tree'!$J$85:$N$87,MATCH(I53,'Logic Tree'!$I$85:$I$87,0),MATCH(H53,'Logic Tree'!$J$84:$N$84,0))</f>
        <v/>
      </c>
    </row>
    <row r="54" ht="15" customHeight="1" s="73">
      <c r="B54" s="19" t="n">
        <v>2</v>
      </c>
      <c r="C54" s="11" t="inlineStr">
        <is>
          <t>TEAM</t>
        </is>
      </c>
      <c r="D54" s="35" t="inlineStr">
        <is>
          <t>POSR</t>
        </is>
      </c>
      <c r="E54" s="35" t="inlineStr">
        <is>
          <t>TEAM</t>
        </is>
      </c>
      <c r="F54" s="49">
        <f>'Pod Library'!E60</f>
        <v/>
      </c>
      <c r="G54" s="43">
        <f>'Pod Library'!F60</f>
        <v/>
      </c>
      <c r="H54" s="43">
        <f>'Pod Library'!G60</f>
        <v/>
      </c>
      <c r="I54" s="43">
        <f>'Pod Library'!H60</f>
        <v/>
      </c>
      <c r="J54" s="43">
        <f>'Pod Library'!I60</f>
        <v/>
      </c>
      <c r="K54" s="9">
        <f>'Pod Library'!J60</f>
        <v/>
      </c>
      <c r="L54" s="13">
        <f>'Pod Plan'!F10</f>
        <v/>
      </c>
      <c r="M54" s="36">
        <f>K54*L54</f>
        <v/>
      </c>
      <c r="N54" s="46">
        <f>M54*INDEX('Logic Tree'!$J$85:$N$87,MATCH(I54,'Logic Tree'!$I$85:$I$87,0),MATCH(H54,'Logic Tree'!$J$84:$N$84,0))</f>
        <v/>
      </c>
    </row>
    <row r="55" ht="15" customHeight="1" s="73">
      <c r="B55" s="19" t="n">
        <v>2</v>
      </c>
      <c r="C55" s="11" t="inlineStr">
        <is>
          <t>TEAM</t>
        </is>
      </c>
      <c r="D55" s="35" t="inlineStr">
        <is>
          <t>POSR</t>
        </is>
      </c>
      <c r="E55" s="35" t="inlineStr">
        <is>
          <t>TEAM</t>
        </is>
      </c>
      <c r="F55" s="49">
        <f>'Pod Library'!E61</f>
        <v/>
      </c>
      <c r="G55" s="43">
        <f>'Pod Library'!F61</f>
        <v/>
      </c>
      <c r="H55" s="43">
        <f>'Pod Library'!G61</f>
        <v/>
      </c>
      <c r="I55" s="43">
        <f>'Pod Library'!H61</f>
        <v/>
      </c>
      <c r="J55" s="43">
        <f>'Pod Library'!I61</f>
        <v/>
      </c>
      <c r="K55" s="9">
        <f>'Pod Library'!J61</f>
        <v/>
      </c>
      <c r="L55" s="13">
        <f>'Pod Plan'!F10</f>
        <v/>
      </c>
      <c r="M55" s="36">
        <f>K55*L55</f>
        <v/>
      </c>
      <c r="N55" s="46">
        <f>M55*INDEX('Logic Tree'!$J$85:$N$87,MATCH(I55,'Logic Tree'!$I$85:$I$87,0),MATCH(H55,'Logic Tree'!$J$84:$N$84,0))</f>
        <v/>
      </c>
    </row>
    <row r="56" ht="15" customHeight="1" s="73">
      <c r="B56" s="19" t="n">
        <v>2</v>
      </c>
      <c r="C56" s="11" t="inlineStr">
        <is>
          <t>TEAM</t>
        </is>
      </c>
      <c r="D56" s="35" t="inlineStr">
        <is>
          <t>POSR</t>
        </is>
      </c>
      <c r="E56" s="35" t="inlineStr">
        <is>
          <t>TEAM</t>
        </is>
      </c>
      <c r="F56" s="49">
        <f>'Pod Library'!E62</f>
        <v/>
      </c>
      <c r="G56" s="43">
        <f>'Pod Library'!F62</f>
        <v/>
      </c>
      <c r="H56" s="43">
        <f>'Pod Library'!G62</f>
        <v/>
      </c>
      <c r="I56" s="43">
        <f>'Pod Library'!H62</f>
        <v/>
      </c>
      <c r="J56" s="43">
        <f>'Pod Library'!I62</f>
        <v/>
      </c>
      <c r="K56" s="9">
        <f>'Pod Library'!J62</f>
        <v/>
      </c>
      <c r="L56" s="13">
        <f>'Pod Plan'!F10</f>
        <v/>
      </c>
      <c r="M56" s="36">
        <f>K56*L56</f>
        <v/>
      </c>
      <c r="N56" s="46">
        <f>M56*INDEX('Logic Tree'!$J$85:$N$87,MATCH(I56,'Logic Tree'!$I$85:$I$87,0),MATCH(H56,'Logic Tree'!$J$84:$N$84,0))</f>
        <v/>
      </c>
    </row>
    <row r="57" ht="15" customHeight="1" s="73">
      <c r="B57" s="19" t="n">
        <v>3</v>
      </c>
      <c r="C57" s="11" t="inlineStr">
        <is>
          <t>TEAM</t>
        </is>
      </c>
      <c r="D57" s="35" t="inlineStr">
        <is>
          <t>POSW</t>
        </is>
      </c>
      <c r="E57" s="35" t="inlineStr">
        <is>
          <t>TEAM</t>
        </is>
      </c>
      <c r="F57" s="49">
        <f>'Pod Library'!E65</f>
        <v/>
      </c>
      <c r="G57" s="43">
        <f>'Pod Library'!F65</f>
        <v/>
      </c>
      <c r="H57" s="43">
        <f>'Pod Library'!G65</f>
        <v/>
      </c>
      <c r="I57" s="43">
        <f>'Pod Library'!H65</f>
        <v/>
      </c>
      <c r="J57" s="43">
        <f>'Pod Library'!I65</f>
        <v/>
      </c>
      <c r="K57" s="9">
        <f>'Pod Library'!J65</f>
        <v/>
      </c>
      <c r="L57" s="13">
        <f>'Pod Plan'!F13</f>
        <v/>
      </c>
      <c r="M57" s="36">
        <f>K57*L57</f>
        <v/>
      </c>
      <c r="N57" s="46">
        <f>M57*INDEX('Logic Tree'!$J$85:$N$87,MATCH(I57,'Logic Tree'!$I$85:$I$87,0),MATCH(H57,'Logic Tree'!$J$84:$N$84,0))</f>
        <v/>
      </c>
    </row>
    <row r="58" ht="15" customHeight="1" s="73">
      <c r="B58" s="19" t="n">
        <v>3</v>
      </c>
      <c r="C58" s="11" t="inlineStr">
        <is>
          <t>TEAM</t>
        </is>
      </c>
      <c r="D58" s="35" t="inlineStr">
        <is>
          <t>POSW</t>
        </is>
      </c>
      <c r="E58" s="35" t="inlineStr">
        <is>
          <t>TEAM</t>
        </is>
      </c>
      <c r="F58" s="49">
        <f>'Pod Library'!E66</f>
        <v/>
      </c>
      <c r="G58" s="43">
        <f>'Pod Library'!F66</f>
        <v/>
      </c>
      <c r="H58" s="43">
        <f>'Pod Library'!G66</f>
        <v/>
      </c>
      <c r="I58" s="43">
        <f>'Pod Library'!H66</f>
        <v/>
      </c>
      <c r="J58" s="43">
        <f>'Pod Library'!I66</f>
        <v/>
      </c>
      <c r="K58" s="9">
        <f>'Pod Library'!J66</f>
        <v/>
      </c>
      <c r="L58" s="13">
        <f>'Pod Plan'!F13</f>
        <v/>
      </c>
      <c r="M58" s="36">
        <f>K58*L58</f>
        <v/>
      </c>
      <c r="N58" s="46">
        <f>M58*INDEX('Logic Tree'!$J$85:$N$87,MATCH(I58,'Logic Tree'!$I$85:$I$87,0),MATCH(H58,'Logic Tree'!$J$84:$N$84,0))</f>
        <v/>
      </c>
    </row>
    <row r="59" ht="15" customHeight="1" s="73">
      <c r="B59" s="19" t="n">
        <v>3</v>
      </c>
      <c r="C59" s="11" t="inlineStr">
        <is>
          <t>TEAM</t>
        </is>
      </c>
      <c r="D59" s="35" t="inlineStr">
        <is>
          <t>POSW</t>
        </is>
      </c>
      <c r="E59" s="35" t="inlineStr">
        <is>
          <t>TEAM</t>
        </is>
      </c>
      <c r="F59" s="49">
        <f>'Pod Library'!E67</f>
        <v/>
      </c>
      <c r="G59" s="43">
        <f>'Pod Library'!F67</f>
        <v/>
      </c>
      <c r="H59" s="43">
        <f>'Pod Library'!G67</f>
        <v/>
      </c>
      <c r="I59" s="43">
        <f>'Pod Library'!H67</f>
        <v/>
      </c>
      <c r="J59" s="43">
        <f>'Pod Library'!I67</f>
        <v/>
      </c>
      <c r="K59" s="9">
        <f>'Pod Library'!J67</f>
        <v/>
      </c>
      <c r="L59" s="13">
        <f>'Pod Plan'!F13</f>
        <v/>
      </c>
      <c r="M59" s="36">
        <f>K59*L59</f>
        <v/>
      </c>
      <c r="N59" s="46">
        <f>M59*INDEX('Logic Tree'!$J$85:$N$87,MATCH(I59,'Logic Tree'!$I$85:$I$87,0),MATCH(H59,'Logic Tree'!$J$84:$N$84,0))</f>
        <v/>
      </c>
    </row>
    <row r="60" ht="15" customHeight="1" s="73">
      <c r="B60" s="19" t="n">
        <v>3</v>
      </c>
      <c r="C60" s="11" t="inlineStr">
        <is>
          <t>TEAM</t>
        </is>
      </c>
      <c r="D60" s="35" t="inlineStr">
        <is>
          <t>POSW</t>
        </is>
      </c>
      <c r="E60" s="35" t="inlineStr">
        <is>
          <t>TEAM</t>
        </is>
      </c>
      <c r="F60" s="49">
        <f>'Pod Library'!E68</f>
        <v/>
      </c>
      <c r="G60" s="43">
        <f>'Pod Library'!F68</f>
        <v/>
      </c>
      <c r="H60" s="43">
        <f>'Pod Library'!G68</f>
        <v/>
      </c>
      <c r="I60" s="43">
        <f>'Pod Library'!H68</f>
        <v/>
      </c>
      <c r="J60" s="43">
        <f>'Pod Library'!I68</f>
        <v/>
      </c>
      <c r="K60" s="9">
        <f>'Pod Library'!J68</f>
        <v/>
      </c>
      <c r="L60" s="13">
        <f>'Pod Plan'!F13</f>
        <v/>
      </c>
      <c r="M60" s="36">
        <f>K60*L60</f>
        <v/>
      </c>
      <c r="N60" s="46">
        <f>M60*INDEX('Logic Tree'!$J$85:$N$87,MATCH(I60,'Logic Tree'!$I$85:$I$87,0),MATCH(H60,'Logic Tree'!$J$84:$N$84,0))</f>
        <v/>
      </c>
    </row>
    <row r="61" ht="15" customHeight="1" s="73">
      <c r="B61" s="19" t="n">
        <v>3</v>
      </c>
      <c r="C61" s="11" t="inlineStr">
        <is>
          <t>TEAM</t>
        </is>
      </c>
      <c r="D61" s="35" t="inlineStr">
        <is>
          <t>POSW</t>
        </is>
      </c>
      <c r="E61" s="35" t="inlineStr">
        <is>
          <t>TEAM</t>
        </is>
      </c>
      <c r="F61" s="49">
        <f>'Pod Library'!E69</f>
        <v/>
      </c>
      <c r="G61" s="43">
        <f>'Pod Library'!F69</f>
        <v/>
      </c>
      <c r="H61" s="43">
        <f>'Pod Library'!G69</f>
        <v/>
      </c>
      <c r="I61" s="43">
        <f>'Pod Library'!H69</f>
        <v/>
      </c>
      <c r="J61" s="43">
        <f>'Pod Library'!I69</f>
        <v/>
      </c>
      <c r="K61" s="9">
        <f>'Pod Library'!J69</f>
        <v/>
      </c>
      <c r="L61" s="13">
        <f>'Pod Plan'!F13</f>
        <v/>
      </c>
      <c r="M61" s="36">
        <f>K61*L61</f>
        <v/>
      </c>
      <c r="N61" s="46">
        <f>M61*INDEX('Logic Tree'!$J$85:$N$87,MATCH(I61,'Logic Tree'!$I$85:$I$87,0),MATCH(H61,'Logic Tree'!$J$84:$N$84,0))</f>
        <v/>
      </c>
    </row>
    <row r="62" ht="15" customHeight="1" s="73">
      <c r="B62" s="19" t="n">
        <v>3</v>
      </c>
      <c r="C62" s="11" t="inlineStr">
        <is>
          <t>TEAM</t>
        </is>
      </c>
      <c r="D62" s="35" t="inlineStr">
        <is>
          <t>POSW</t>
        </is>
      </c>
      <c r="E62" s="35" t="inlineStr">
        <is>
          <t>TEAM</t>
        </is>
      </c>
      <c r="F62" s="49">
        <f>'Pod Library'!E70</f>
        <v/>
      </c>
      <c r="G62" s="43">
        <f>'Pod Library'!F70</f>
        <v/>
      </c>
      <c r="H62" s="43">
        <f>'Pod Library'!G70</f>
        <v/>
      </c>
      <c r="I62" s="43">
        <f>'Pod Library'!H70</f>
        <v/>
      </c>
      <c r="J62" s="43">
        <f>'Pod Library'!I70</f>
        <v/>
      </c>
      <c r="K62" s="9">
        <f>'Pod Library'!J70</f>
        <v/>
      </c>
      <c r="L62" s="13">
        <f>'Pod Plan'!F13</f>
        <v/>
      </c>
      <c r="M62" s="36">
        <f>K62*L62</f>
        <v/>
      </c>
      <c r="N62" s="46">
        <f>M62*INDEX('Logic Tree'!$J$85:$N$87,MATCH(I62,'Logic Tree'!$I$85:$I$87,0),MATCH(H62,'Logic Tree'!$J$84:$N$84,0))</f>
        <v/>
      </c>
    </row>
    <row r="63" ht="15" customHeight="1" s="73">
      <c r="B63" s="19" t="n">
        <v>3</v>
      </c>
      <c r="C63" s="11" t="inlineStr">
        <is>
          <t>TEAM</t>
        </is>
      </c>
      <c r="D63" s="35" t="inlineStr">
        <is>
          <t>POSW</t>
        </is>
      </c>
      <c r="E63" s="35" t="inlineStr">
        <is>
          <t>TEAM</t>
        </is>
      </c>
      <c r="F63" s="49">
        <f>'Pod Library'!E71</f>
        <v/>
      </c>
      <c r="G63" s="43">
        <f>'Pod Library'!F71</f>
        <v/>
      </c>
      <c r="H63" s="43">
        <f>'Pod Library'!G71</f>
        <v/>
      </c>
      <c r="I63" s="43">
        <f>'Pod Library'!H71</f>
        <v/>
      </c>
      <c r="J63" s="43">
        <f>'Pod Library'!I71</f>
        <v/>
      </c>
      <c r="K63" s="9">
        <f>'Pod Library'!J71</f>
        <v/>
      </c>
      <c r="L63" s="13">
        <f>'Pod Plan'!F13</f>
        <v/>
      </c>
      <c r="M63" s="36">
        <f>K63*L63</f>
        <v/>
      </c>
      <c r="N63" s="46">
        <f>M63*INDEX('Logic Tree'!$J$85:$N$87,MATCH(I63,'Logic Tree'!$I$85:$I$87,0),MATCH(H63,'Logic Tree'!$J$84:$N$84,0))</f>
        <v/>
      </c>
    </row>
    <row r="64" ht="15" customHeight="1" s="73">
      <c r="B64" s="19" t="n">
        <v>3</v>
      </c>
      <c r="C64" s="11" t="inlineStr">
        <is>
          <t>TEAM</t>
        </is>
      </c>
      <c r="D64" s="35" t="inlineStr">
        <is>
          <t>POSW</t>
        </is>
      </c>
      <c r="E64" s="35" t="inlineStr">
        <is>
          <t>TEAM</t>
        </is>
      </c>
      <c r="F64" s="49">
        <f>'Pod Library'!E72</f>
        <v/>
      </c>
      <c r="G64" s="43">
        <f>'Pod Library'!F72</f>
        <v/>
      </c>
      <c r="H64" s="43">
        <f>'Pod Library'!G72</f>
        <v/>
      </c>
      <c r="I64" s="43">
        <f>'Pod Library'!H72</f>
        <v/>
      </c>
      <c r="J64" s="43">
        <f>'Pod Library'!I72</f>
        <v/>
      </c>
      <c r="K64" s="9">
        <f>'Pod Library'!J72</f>
        <v/>
      </c>
      <c r="L64" s="13">
        <f>'Pod Plan'!F13</f>
        <v/>
      </c>
      <c r="M64" s="36">
        <f>K64*L64</f>
        <v/>
      </c>
      <c r="N64" s="46">
        <f>M64*INDEX('Logic Tree'!$J$85:$N$87,MATCH(I64,'Logic Tree'!$I$85:$I$87,0),MATCH(H64,'Logic Tree'!$J$84:$N$84,0))</f>
        <v/>
      </c>
    </row>
    <row r="65" ht="15" customHeight="1" s="73">
      <c r="B65" s="19" t="n">
        <v>3</v>
      </c>
      <c r="C65" s="11" t="inlineStr">
        <is>
          <t>TEAM</t>
        </is>
      </c>
      <c r="D65" s="35" t="inlineStr">
        <is>
          <t>POSW</t>
        </is>
      </c>
      <c r="E65" s="35" t="inlineStr">
        <is>
          <t>TEAM</t>
        </is>
      </c>
      <c r="F65" s="49">
        <f>'Pod Library'!E73</f>
        <v/>
      </c>
      <c r="G65" s="43">
        <f>'Pod Library'!F73</f>
        <v/>
      </c>
      <c r="H65" s="43">
        <f>'Pod Library'!G73</f>
        <v/>
      </c>
      <c r="I65" s="43">
        <f>'Pod Library'!H73</f>
        <v/>
      </c>
      <c r="J65" s="43">
        <f>'Pod Library'!I73</f>
        <v/>
      </c>
      <c r="K65" s="9">
        <f>'Pod Library'!J73</f>
        <v/>
      </c>
      <c r="L65" s="13">
        <f>'Pod Plan'!F13</f>
        <v/>
      </c>
      <c r="M65" s="36">
        <f>K65*L65</f>
        <v/>
      </c>
      <c r="N65" s="46">
        <f>M65*INDEX('Logic Tree'!$J$85:$N$87,MATCH(I65,'Logic Tree'!$I$85:$I$87,0),MATCH(H65,'Logic Tree'!$J$84:$N$84,0))</f>
        <v/>
      </c>
    </row>
    <row r="66" ht="15" customHeight="1" s="73">
      <c r="B66" s="19" t="n">
        <v>3</v>
      </c>
      <c r="C66" s="11" t="inlineStr">
        <is>
          <t>TEAM</t>
        </is>
      </c>
      <c r="D66" s="35" t="inlineStr">
        <is>
          <t>POSW</t>
        </is>
      </c>
      <c r="E66" s="35" t="inlineStr">
        <is>
          <t>TEAM</t>
        </is>
      </c>
      <c r="F66" s="49">
        <f>'Pod Library'!E74</f>
        <v/>
      </c>
      <c r="G66" s="43">
        <f>'Pod Library'!F74</f>
        <v/>
      </c>
      <c r="H66" s="43">
        <f>'Pod Library'!G74</f>
        <v/>
      </c>
      <c r="I66" s="43">
        <f>'Pod Library'!H74</f>
        <v/>
      </c>
      <c r="J66" s="43">
        <f>'Pod Library'!I74</f>
        <v/>
      </c>
      <c r="K66" s="9">
        <f>'Pod Library'!J74</f>
        <v/>
      </c>
      <c r="L66" s="13">
        <f>'Pod Plan'!F13</f>
        <v/>
      </c>
      <c r="M66" s="36">
        <f>K66*L66</f>
        <v/>
      </c>
      <c r="N66" s="46">
        <f>M66*INDEX('Logic Tree'!$J$85:$N$87,MATCH(I66,'Logic Tree'!$I$85:$I$87,0),MATCH(H66,'Logic Tree'!$J$84:$N$84,0))</f>
        <v/>
      </c>
    </row>
    <row r="67" ht="15" customHeight="1" s="73">
      <c r="B67" s="19" t="n">
        <v>3</v>
      </c>
      <c r="C67" s="11" t="inlineStr">
        <is>
          <t>TEAM</t>
        </is>
      </c>
      <c r="D67" s="35" t="inlineStr">
        <is>
          <t>POSW</t>
        </is>
      </c>
      <c r="E67" s="35" t="inlineStr">
        <is>
          <t>TEAM</t>
        </is>
      </c>
      <c r="F67" s="49">
        <f>'Pod Library'!E75</f>
        <v/>
      </c>
      <c r="G67" s="43">
        <f>'Pod Library'!F75</f>
        <v/>
      </c>
      <c r="H67" s="43">
        <f>'Pod Library'!G75</f>
        <v/>
      </c>
      <c r="I67" s="43">
        <f>'Pod Library'!H75</f>
        <v/>
      </c>
      <c r="J67" s="43">
        <f>'Pod Library'!I75</f>
        <v/>
      </c>
      <c r="K67" s="9">
        <f>'Pod Library'!J75</f>
        <v/>
      </c>
      <c r="L67" s="13">
        <f>'Pod Plan'!F13</f>
        <v/>
      </c>
      <c r="M67" s="36">
        <f>K67*L67</f>
        <v/>
      </c>
      <c r="N67" s="46">
        <f>M67*INDEX('Logic Tree'!$J$85:$N$87,MATCH(I67,'Logic Tree'!$I$85:$I$87,0),MATCH(H67,'Logic Tree'!$J$84:$N$84,0))</f>
        <v/>
      </c>
    </row>
    <row r="68" ht="15" customHeight="1" s="73">
      <c r="B68" s="19" t="n">
        <v>3</v>
      </c>
      <c r="C68" s="11" t="inlineStr">
        <is>
          <t>TEAM</t>
        </is>
      </c>
      <c r="D68" s="35" t="inlineStr">
        <is>
          <t>POSW</t>
        </is>
      </c>
      <c r="E68" s="35" t="inlineStr">
        <is>
          <t>TEAM</t>
        </is>
      </c>
      <c r="F68" s="49">
        <f>'Pod Library'!E76</f>
        <v/>
      </c>
      <c r="G68" s="43">
        <f>'Pod Library'!F76</f>
        <v/>
      </c>
      <c r="H68" s="43">
        <f>'Pod Library'!G76</f>
        <v/>
      </c>
      <c r="I68" s="43">
        <f>'Pod Library'!H76</f>
        <v/>
      </c>
      <c r="J68" s="43">
        <f>'Pod Library'!I76</f>
        <v/>
      </c>
      <c r="K68" s="9">
        <f>'Pod Library'!J76</f>
        <v/>
      </c>
      <c r="L68" s="13">
        <f>'Pod Plan'!F13</f>
        <v/>
      </c>
      <c r="M68" s="36">
        <f>K68*L68</f>
        <v/>
      </c>
      <c r="N68" s="46">
        <f>M68*INDEX('Logic Tree'!$J$85:$N$87,MATCH(I68,'Logic Tree'!$I$85:$I$87,0),MATCH(H68,'Logic Tree'!$J$84:$N$84,0))</f>
        <v/>
      </c>
    </row>
    <row r="69" ht="15" customHeight="1" s="73">
      <c r="B69" s="19" t="n">
        <v>3</v>
      </c>
      <c r="C69" s="11" t="inlineStr">
        <is>
          <t>TEAM</t>
        </is>
      </c>
      <c r="D69" s="35" t="inlineStr">
        <is>
          <t>POSW</t>
        </is>
      </c>
      <c r="E69" s="35" t="inlineStr">
        <is>
          <t>TEAM</t>
        </is>
      </c>
      <c r="F69" s="49">
        <f>'Pod Library'!E77</f>
        <v/>
      </c>
      <c r="G69" s="43">
        <f>'Pod Library'!F77</f>
        <v/>
      </c>
      <c r="H69" s="43">
        <f>'Pod Library'!G77</f>
        <v/>
      </c>
      <c r="I69" s="43">
        <f>'Pod Library'!H77</f>
        <v/>
      </c>
      <c r="J69" s="43">
        <f>'Pod Library'!I77</f>
        <v/>
      </c>
      <c r="K69" s="9">
        <f>'Pod Library'!J77</f>
        <v/>
      </c>
      <c r="L69" s="13">
        <f>'Pod Plan'!F13</f>
        <v/>
      </c>
      <c r="M69" s="36">
        <f>K69*L69</f>
        <v/>
      </c>
      <c r="N69" s="46">
        <f>M69*INDEX('Logic Tree'!$J$85:$N$87,MATCH(I69,'Logic Tree'!$I$85:$I$87,0),MATCH(H69,'Logic Tree'!$J$84:$N$84,0))</f>
        <v/>
      </c>
    </row>
    <row r="70" ht="15" customHeight="1" s="73">
      <c r="B70" s="19" t="n">
        <v>3</v>
      </c>
      <c r="C70" s="11" t="inlineStr">
        <is>
          <t>TEAM</t>
        </is>
      </c>
      <c r="D70" s="35" t="inlineStr">
        <is>
          <t>POSR</t>
        </is>
      </c>
      <c r="E70" s="35" t="inlineStr">
        <is>
          <t>TEAM</t>
        </is>
      </c>
      <c r="F70" s="49">
        <f>'Pod Library'!E80</f>
        <v/>
      </c>
      <c r="G70" s="43">
        <f>'Pod Library'!F80</f>
        <v/>
      </c>
      <c r="H70" s="43">
        <f>'Pod Library'!G80</f>
        <v/>
      </c>
      <c r="I70" s="43">
        <f>'Pod Library'!H80</f>
        <v/>
      </c>
      <c r="J70" s="43">
        <f>'Pod Library'!I80</f>
        <v/>
      </c>
      <c r="K70" s="9">
        <f>'Pod Library'!J80</f>
        <v/>
      </c>
      <c r="L70" s="13">
        <f>'Pod Plan'!F14</f>
        <v/>
      </c>
      <c r="M70" s="36">
        <f>K70*L70</f>
        <v/>
      </c>
      <c r="N70" s="46">
        <f>M70*INDEX('Logic Tree'!$J$85:$N$87,MATCH(I70,'Logic Tree'!$I$85:$I$87,0),MATCH(H70,'Logic Tree'!$J$84:$N$84,0))</f>
        <v/>
      </c>
    </row>
    <row r="71" ht="15" customHeight="1" s="73">
      <c r="B71" s="19" t="n">
        <v>3</v>
      </c>
      <c r="C71" s="11" t="inlineStr">
        <is>
          <t>TEAM</t>
        </is>
      </c>
      <c r="D71" s="35" t="inlineStr">
        <is>
          <t>POSR</t>
        </is>
      </c>
      <c r="E71" s="35" t="inlineStr">
        <is>
          <t>TEAM</t>
        </is>
      </c>
      <c r="F71" s="49">
        <f>'Pod Library'!E81</f>
        <v/>
      </c>
      <c r="G71" s="43">
        <f>'Pod Library'!F81</f>
        <v/>
      </c>
      <c r="H71" s="43">
        <f>'Pod Library'!G81</f>
        <v/>
      </c>
      <c r="I71" s="43">
        <f>'Pod Library'!H81</f>
        <v/>
      </c>
      <c r="J71" s="43">
        <f>'Pod Library'!I81</f>
        <v/>
      </c>
      <c r="K71" s="9">
        <f>'Pod Library'!J81</f>
        <v/>
      </c>
      <c r="L71" s="13">
        <f>'Pod Plan'!F14</f>
        <v/>
      </c>
      <c r="M71" s="36">
        <f>K71*L71</f>
        <v/>
      </c>
      <c r="N71" s="46">
        <f>M71*INDEX('Logic Tree'!$J$85:$N$87,MATCH(I71,'Logic Tree'!$I$85:$I$87,0),MATCH(H71,'Logic Tree'!$J$84:$N$84,0))</f>
        <v/>
      </c>
    </row>
    <row r="72" ht="15" customHeight="1" s="73">
      <c r="B72" s="19" t="n">
        <v>3</v>
      </c>
      <c r="C72" s="11" t="inlineStr">
        <is>
          <t>TEAM</t>
        </is>
      </c>
      <c r="D72" s="35" t="inlineStr">
        <is>
          <t>POSR</t>
        </is>
      </c>
      <c r="E72" s="35" t="inlineStr">
        <is>
          <t>TEAM</t>
        </is>
      </c>
      <c r="F72" s="49">
        <f>'Pod Library'!E82</f>
        <v/>
      </c>
      <c r="G72" s="43">
        <f>'Pod Library'!F82</f>
        <v/>
      </c>
      <c r="H72" s="43">
        <f>'Pod Library'!G82</f>
        <v/>
      </c>
      <c r="I72" s="43">
        <f>'Pod Library'!H82</f>
        <v/>
      </c>
      <c r="J72" s="43">
        <f>'Pod Library'!I82</f>
        <v/>
      </c>
      <c r="K72" s="9">
        <f>'Pod Library'!J82</f>
        <v/>
      </c>
      <c r="L72" s="13">
        <f>'Pod Plan'!F14</f>
        <v/>
      </c>
      <c r="M72" s="36">
        <f>K72*L72</f>
        <v/>
      </c>
      <c r="N72" s="46">
        <f>M72*INDEX('Logic Tree'!$J$85:$N$87,MATCH(I72,'Logic Tree'!$I$85:$I$87,0),MATCH(H72,'Logic Tree'!$J$84:$N$84,0))</f>
        <v/>
      </c>
    </row>
    <row r="73" ht="15" customHeight="1" s="73">
      <c r="B73" s="19" t="n">
        <v>3</v>
      </c>
      <c r="C73" s="11" t="inlineStr">
        <is>
          <t>TEAM</t>
        </is>
      </c>
      <c r="D73" s="35" t="inlineStr">
        <is>
          <t>POSR</t>
        </is>
      </c>
      <c r="E73" s="35" t="inlineStr">
        <is>
          <t>TEAM</t>
        </is>
      </c>
      <c r="F73" s="49">
        <f>'Pod Library'!E83</f>
        <v/>
      </c>
      <c r="G73" s="43">
        <f>'Pod Library'!F83</f>
        <v/>
      </c>
      <c r="H73" s="43">
        <f>'Pod Library'!G83</f>
        <v/>
      </c>
      <c r="I73" s="43">
        <f>'Pod Library'!H83</f>
        <v/>
      </c>
      <c r="J73" s="43">
        <f>'Pod Library'!I83</f>
        <v/>
      </c>
      <c r="K73" s="9">
        <f>'Pod Library'!J83</f>
        <v/>
      </c>
      <c r="L73" s="13">
        <f>'Pod Plan'!F14</f>
        <v/>
      </c>
      <c r="M73" s="36">
        <f>K73*L73</f>
        <v/>
      </c>
      <c r="N73" s="46">
        <f>M73*INDEX('Logic Tree'!$J$85:$N$87,MATCH(I73,'Logic Tree'!$I$85:$I$87,0),MATCH(H73,'Logic Tree'!$J$84:$N$84,0))</f>
        <v/>
      </c>
    </row>
    <row r="74" ht="15" customHeight="1" s="73">
      <c r="B74" s="19" t="n">
        <v>3</v>
      </c>
      <c r="C74" s="11" t="inlineStr">
        <is>
          <t>TEAM</t>
        </is>
      </c>
      <c r="D74" s="35" t="inlineStr">
        <is>
          <t>POSR</t>
        </is>
      </c>
      <c r="E74" s="35" t="inlineStr">
        <is>
          <t>TEAM</t>
        </is>
      </c>
      <c r="F74" s="49">
        <f>'Pod Library'!E84</f>
        <v/>
      </c>
      <c r="G74" s="43">
        <f>'Pod Library'!F84</f>
        <v/>
      </c>
      <c r="H74" s="43">
        <f>'Pod Library'!G84</f>
        <v/>
      </c>
      <c r="I74" s="43">
        <f>'Pod Library'!H84</f>
        <v/>
      </c>
      <c r="J74" s="43">
        <f>'Pod Library'!I84</f>
        <v/>
      </c>
      <c r="K74" s="9">
        <f>'Pod Library'!J84</f>
        <v/>
      </c>
      <c r="L74" s="13">
        <f>'Pod Plan'!F14</f>
        <v/>
      </c>
      <c r="M74" s="36">
        <f>K74*L74</f>
        <v/>
      </c>
      <c r="N74" s="46">
        <f>M74*INDEX('Logic Tree'!$J$85:$N$87,MATCH(I74,'Logic Tree'!$I$85:$I$87,0),MATCH(H74,'Logic Tree'!$J$84:$N$84,0))</f>
        <v/>
      </c>
    </row>
    <row r="75" ht="15" customHeight="1" s="73">
      <c r="B75" s="19" t="n">
        <v>3</v>
      </c>
      <c r="C75" s="11" t="inlineStr">
        <is>
          <t>TEAM</t>
        </is>
      </c>
      <c r="D75" s="35" t="inlineStr">
        <is>
          <t>POSR</t>
        </is>
      </c>
      <c r="E75" s="35" t="inlineStr">
        <is>
          <t>TEAM</t>
        </is>
      </c>
      <c r="F75" s="49">
        <f>'Pod Library'!E85</f>
        <v/>
      </c>
      <c r="G75" s="43">
        <f>'Pod Library'!F85</f>
        <v/>
      </c>
      <c r="H75" s="43">
        <f>'Pod Library'!G85</f>
        <v/>
      </c>
      <c r="I75" s="43">
        <f>'Pod Library'!H85</f>
        <v/>
      </c>
      <c r="J75" s="43">
        <f>'Pod Library'!I85</f>
        <v/>
      </c>
      <c r="K75" s="9">
        <f>'Pod Library'!J85</f>
        <v/>
      </c>
      <c r="L75" s="13">
        <f>'Pod Plan'!F14</f>
        <v/>
      </c>
      <c r="M75" s="36">
        <f>K75*L75</f>
        <v/>
      </c>
      <c r="N75" s="46">
        <f>M75*INDEX('Logic Tree'!$J$85:$N$87,MATCH(I75,'Logic Tree'!$I$85:$I$87,0),MATCH(H75,'Logic Tree'!$J$84:$N$84,0))</f>
        <v/>
      </c>
    </row>
    <row r="76" ht="15" customHeight="1" s="73">
      <c r="B76" s="19" t="n">
        <v>3</v>
      </c>
      <c r="C76" s="11" t="inlineStr">
        <is>
          <t>TEAM</t>
        </is>
      </c>
      <c r="D76" s="35" t="inlineStr">
        <is>
          <t>POSR</t>
        </is>
      </c>
      <c r="E76" s="35" t="inlineStr">
        <is>
          <t>TEAM</t>
        </is>
      </c>
      <c r="F76" s="49">
        <f>'Pod Library'!E86</f>
        <v/>
      </c>
      <c r="G76" s="43">
        <f>'Pod Library'!F86</f>
        <v/>
      </c>
      <c r="H76" s="43">
        <f>'Pod Library'!G86</f>
        <v/>
      </c>
      <c r="I76" s="43">
        <f>'Pod Library'!H86</f>
        <v/>
      </c>
      <c r="J76" s="43">
        <f>'Pod Library'!I86</f>
        <v/>
      </c>
      <c r="K76" s="9">
        <f>'Pod Library'!J86</f>
        <v/>
      </c>
      <c r="L76" s="13">
        <f>'Pod Plan'!F14</f>
        <v/>
      </c>
      <c r="M76" s="36">
        <f>K76*L76</f>
        <v/>
      </c>
      <c r="N76" s="46">
        <f>M76*INDEX('Logic Tree'!$J$85:$N$87,MATCH(I76,'Logic Tree'!$I$85:$I$87,0),MATCH(H76,'Logic Tree'!$J$84:$N$84,0))</f>
        <v/>
      </c>
    </row>
    <row r="77" ht="15" customHeight="1" s="73">
      <c r="B77" s="19" t="n">
        <v>3</v>
      </c>
      <c r="C77" s="11" t="inlineStr">
        <is>
          <t>TEAM</t>
        </is>
      </c>
      <c r="D77" s="35" t="inlineStr">
        <is>
          <t>POSR</t>
        </is>
      </c>
      <c r="E77" s="35" t="inlineStr">
        <is>
          <t>TEAM</t>
        </is>
      </c>
      <c r="F77" s="49">
        <f>'Pod Library'!E87</f>
        <v/>
      </c>
      <c r="G77" s="43">
        <f>'Pod Library'!F87</f>
        <v/>
      </c>
      <c r="H77" s="43">
        <f>'Pod Library'!G87</f>
        <v/>
      </c>
      <c r="I77" s="43">
        <f>'Pod Library'!H87</f>
        <v/>
      </c>
      <c r="J77" s="43">
        <f>'Pod Library'!I87</f>
        <v/>
      </c>
      <c r="K77" s="9">
        <f>'Pod Library'!J87</f>
        <v/>
      </c>
      <c r="L77" s="13">
        <f>'Pod Plan'!F14</f>
        <v/>
      </c>
      <c r="M77" s="36">
        <f>K77*L77</f>
        <v/>
      </c>
      <c r="N77" s="46">
        <f>M77*INDEX('Logic Tree'!$J$85:$N$87,MATCH(I77,'Logic Tree'!$I$85:$I$87,0),MATCH(H77,'Logic Tree'!$J$84:$N$84,0))</f>
        <v/>
      </c>
    </row>
    <row r="78" ht="15" customHeight="1" s="73">
      <c r="B78" s="19" t="n">
        <v>3</v>
      </c>
      <c r="C78" s="11" t="inlineStr">
        <is>
          <t>TEAM</t>
        </is>
      </c>
      <c r="D78" s="35" t="inlineStr">
        <is>
          <t>POSR</t>
        </is>
      </c>
      <c r="E78" s="35" t="inlineStr">
        <is>
          <t>TEAM</t>
        </is>
      </c>
      <c r="F78" s="49">
        <f>'Pod Library'!E88</f>
        <v/>
      </c>
      <c r="G78" s="43">
        <f>'Pod Library'!F88</f>
        <v/>
      </c>
      <c r="H78" s="43">
        <f>'Pod Library'!G88</f>
        <v/>
      </c>
      <c r="I78" s="43">
        <f>'Pod Library'!H88</f>
        <v/>
      </c>
      <c r="J78" s="43">
        <f>'Pod Library'!I88</f>
        <v/>
      </c>
      <c r="K78" s="9">
        <f>'Pod Library'!J88</f>
        <v/>
      </c>
      <c r="L78" s="13">
        <f>'Pod Plan'!F14</f>
        <v/>
      </c>
      <c r="M78" s="36">
        <f>K78*L78</f>
        <v/>
      </c>
      <c r="N78" s="46">
        <f>M78*INDEX('Logic Tree'!$J$85:$N$87,MATCH(I78,'Logic Tree'!$I$85:$I$87,0),MATCH(H78,'Logic Tree'!$J$84:$N$84,0))</f>
        <v/>
      </c>
    </row>
    <row r="79" ht="15" customHeight="1" s="73">
      <c r="B79" s="19" t="n">
        <v>3</v>
      </c>
      <c r="C79" s="11" t="inlineStr">
        <is>
          <t>TEAM</t>
        </is>
      </c>
      <c r="D79" s="35" t="inlineStr">
        <is>
          <t>POSR</t>
        </is>
      </c>
      <c r="E79" s="35" t="inlineStr">
        <is>
          <t>TEAM</t>
        </is>
      </c>
      <c r="F79" s="49">
        <f>'Pod Library'!E89</f>
        <v/>
      </c>
      <c r="G79" s="43">
        <f>'Pod Library'!F89</f>
        <v/>
      </c>
      <c r="H79" s="43">
        <f>'Pod Library'!G89</f>
        <v/>
      </c>
      <c r="I79" s="43">
        <f>'Pod Library'!H89</f>
        <v/>
      </c>
      <c r="J79" s="43">
        <f>'Pod Library'!I89</f>
        <v/>
      </c>
      <c r="K79" s="9">
        <f>'Pod Library'!J89</f>
        <v/>
      </c>
      <c r="L79" s="13">
        <f>'Pod Plan'!F14</f>
        <v/>
      </c>
      <c r="M79" s="36">
        <f>K79*L79</f>
        <v/>
      </c>
      <c r="N79" s="46">
        <f>M79*INDEX('Logic Tree'!$J$85:$N$87,MATCH(I79,'Logic Tree'!$I$85:$I$87,0),MATCH(H79,'Logic Tree'!$J$84:$N$84,0))</f>
        <v/>
      </c>
    </row>
    <row r="80" ht="15" customHeight="1" s="73">
      <c r="B80" s="19" t="n">
        <v>3</v>
      </c>
      <c r="C80" s="11" t="inlineStr">
        <is>
          <t>TEAM</t>
        </is>
      </c>
      <c r="D80" s="35" t="inlineStr">
        <is>
          <t>POSR</t>
        </is>
      </c>
      <c r="E80" s="35" t="inlineStr">
        <is>
          <t>TEAM</t>
        </is>
      </c>
      <c r="F80" s="49">
        <f>'Pod Library'!E90</f>
        <v/>
      </c>
      <c r="G80" s="43">
        <f>'Pod Library'!F90</f>
        <v/>
      </c>
      <c r="H80" s="43">
        <f>'Pod Library'!G90</f>
        <v/>
      </c>
      <c r="I80" s="43">
        <f>'Pod Library'!H90</f>
        <v/>
      </c>
      <c r="J80" s="43">
        <f>'Pod Library'!I90</f>
        <v/>
      </c>
      <c r="K80" s="9">
        <f>'Pod Library'!J90</f>
        <v/>
      </c>
      <c r="L80" s="13">
        <f>'Pod Plan'!F14</f>
        <v/>
      </c>
      <c r="M80" s="36">
        <f>K80*L80</f>
        <v/>
      </c>
      <c r="N80" s="46">
        <f>M80*INDEX('Logic Tree'!$J$85:$N$87,MATCH(I80,'Logic Tree'!$I$85:$I$87,0),MATCH(H80,'Logic Tree'!$J$84:$N$84,0))</f>
        <v/>
      </c>
    </row>
    <row r="81" ht="15" customHeight="1" s="73">
      <c r="B81" s="19" t="n">
        <v>3</v>
      </c>
      <c r="C81" s="11" t="inlineStr">
        <is>
          <t>TEAM</t>
        </is>
      </c>
      <c r="D81" s="35" t="inlineStr">
        <is>
          <t>POSR</t>
        </is>
      </c>
      <c r="E81" s="35" t="inlineStr">
        <is>
          <t>TEAM</t>
        </is>
      </c>
      <c r="F81" s="49">
        <f>'Pod Library'!E91</f>
        <v/>
      </c>
      <c r="G81" s="43">
        <f>'Pod Library'!F91</f>
        <v/>
      </c>
      <c r="H81" s="43">
        <f>'Pod Library'!G91</f>
        <v/>
      </c>
      <c r="I81" s="43">
        <f>'Pod Library'!H91</f>
        <v/>
      </c>
      <c r="J81" s="43">
        <f>'Pod Library'!I91</f>
        <v/>
      </c>
      <c r="K81" s="9">
        <f>'Pod Library'!J91</f>
        <v/>
      </c>
      <c r="L81" s="13">
        <f>'Pod Plan'!F14</f>
        <v/>
      </c>
      <c r="M81" s="36">
        <f>K81*L81</f>
        <v/>
      </c>
      <c r="N81" s="46">
        <f>M81*INDEX('Logic Tree'!$J$85:$N$87,MATCH(I81,'Logic Tree'!$I$85:$I$87,0),MATCH(H81,'Logic Tree'!$J$84:$N$84,0))</f>
        <v/>
      </c>
    </row>
    <row r="82" ht="15" customHeight="1" s="73">
      <c r="B82" s="19" t="n">
        <v>3</v>
      </c>
      <c r="C82" s="11" t="inlineStr">
        <is>
          <t>TEAM</t>
        </is>
      </c>
      <c r="D82" s="35" t="inlineStr">
        <is>
          <t>POSR</t>
        </is>
      </c>
      <c r="E82" s="35" t="inlineStr">
        <is>
          <t>TEAM</t>
        </is>
      </c>
      <c r="F82" s="49">
        <f>'Pod Library'!E92</f>
        <v/>
      </c>
      <c r="G82" s="43">
        <f>'Pod Library'!F92</f>
        <v/>
      </c>
      <c r="H82" s="43">
        <f>'Pod Library'!G92</f>
        <v/>
      </c>
      <c r="I82" s="43">
        <f>'Pod Library'!H92</f>
        <v/>
      </c>
      <c r="J82" s="43">
        <f>'Pod Library'!I92</f>
        <v/>
      </c>
      <c r="K82" s="9">
        <f>'Pod Library'!J92</f>
        <v/>
      </c>
      <c r="L82" s="13">
        <f>'Pod Plan'!F14</f>
        <v/>
      </c>
      <c r="M82" s="36">
        <f>K82*L82</f>
        <v/>
      </c>
      <c r="N82" s="46">
        <f>M82*INDEX('Logic Tree'!$J$85:$N$87,MATCH(I82,'Logic Tree'!$I$85:$I$87,0),MATCH(H82,'Logic Tree'!$J$84:$N$84,0))</f>
        <v/>
      </c>
    </row>
    <row r="83" ht="15" customHeight="1" s="73">
      <c r="B83" s="19" t="n">
        <v>4</v>
      </c>
      <c r="C83" s="11" t="inlineStr">
        <is>
          <t>TEAM</t>
        </is>
      </c>
      <c r="D83" s="35" t="inlineStr">
        <is>
          <t>POSW</t>
        </is>
      </c>
      <c r="E83" s="35" t="inlineStr">
        <is>
          <t>TEAM</t>
        </is>
      </c>
      <c r="F83" s="49">
        <f>'Pod Library'!E95</f>
        <v/>
      </c>
      <c r="G83" s="43">
        <f>'Pod Library'!F95</f>
        <v/>
      </c>
      <c r="H83" s="43">
        <f>'Pod Library'!G95</f>
        <v/>
      </c>
      <c r="I83" s="43">
        <f>'Pod Library'!H95</f>
        <v/>
      </c>
      <c r="J83" s="43">
        <f>'Pod Library'!I95</f>
        <v/>
      </c>
      <c r="K83" s="9">
        <f>'Pod Library'!J95</f>
        <v/>
      </c>
      <c r="L83" s="13">
        <f>'Pod Plan'!F17</f>
        <v/>
      </c>
      <c r="M83" s="36">
        <f>K83*L83</f>
        <v/>
      </c>
      <c r="N83" s="46">
        <f>M83*INDEX('Logic Tree'!$J$85:$N$87,MATCH(I83,'Logic Tree'!$I$85:$I$87,0),MATCH(H83,'Logic Tree'!$J$84:$N$84,0))</f>
        <v/>
      </c>
    </row>
    <row r="84" ht="15" customHeight="1" s="73">
      <c r="B84" s="19" t="n">
        <v>4</v>
      </c>
      <c r="C84" s="11" t="inlineStr">
        <is>
          <t>TEAM</t>
        </is>
      </c>
      <c r="D84" s="35" t="inlineStr">
        <is>
          <t>POSW</t>
        </is>
      </c>
      <c r="E84" s="35" t="inlineStr">
        <is>
          <t>TEAM</t>
        </is>
      </c>
      <c r="F84" s="49">
        <f>'Pod Library'!E96</f>
        <v/>
      </c>
      <c r="G84" s="43">
        <f>'Pod Library'!F96</f>
        <v/>
      </c>
      <c r="H84" s="43">
        <f>'Pod Library'!G96</f>
        <v/>
      </c>
      <c r="I84" s="43">
        <f>'Pod Library'!H96</f>
        <v/>
      </c>
      <c r="J84" s="43">
        <f>'Pod Library'!I96</f>
        <v/>
      </c>
      <c r="K84" s="9">
        <f>'Pod Library'!J96</f>
        <v/>
      </c>
      <c r="L84" s="13">
        <f>'Pod Plan'!F17</f>
        <v/>
      </c>
      <c r="M84" s="36">
        <f>K84*L84</f>
        <v/>
      </c>
      <c r="N84" s="46">
        <f>M84*INDEX('Logic Tree'!$J$85:$N$87,MATCH(I84,'Logic Tree'!$I$85:$I$87,0),MATCH(H84,'Logic Tree'!$J$84:$N$84,0))</f>
        <v/>
      </c>
    </row>
    <row r="85" ht="15" customHeight="1" s="73">
      <c r="B85" s="19" t="n">
        <v>4</v>
      </c>
      <c r="C85" s="11" t="inlineStr">
        <is>
          <t>TEAM</t>
        </is>
      </c>
      <c r="D85" s="35" t="inlineStr">
        <is>
          <t>POSW</t>
        </is>
      </c>
      <c r="E85" s="35" t="inlineStr">
        <is>
          <t>TEAM</t>
        </is>
      </c>
      <c r="F85" s="49">
        <f>'Pod Library'!E97</f>
        <v/>
      </c>
      <c r="G85" s="43">
        <f>'Pod Library'!F97</f>
        <v/>
      </c>
      <c r="H85" s="43">
        <f>'Pod Library'!G97</f>
        <v/>
      </c>
      <c r="I85" s="43">
        <f>'Pod Library'!H97</f>
        <v/>
      </c>
      <c r="J85" s="43">
        <f>'Pod Library'!I97</f>
        <v/>
      </c>
      <c r="K85" s="9">
        <f>'Pod Library'!J97</f>
        <v/>
      </c>
      <c r="L85" s="13">
        <f>'Pod Plan'!F17</f>
        <v/>
      </c>
      <c r="M85" s="36">
        <f>K85*L85</f>
        <v/>
      </c>
      <c r="N85" s="46">
        <f>M85*INDEX('Logic Tree'!$J$85:$N$87,MATCH(I85,'Logic Tree'!$I$85:$I$87,0),MATCH(H85,'Logic Tree'!$J$84:$N$84,0))</f>
        <v/>
      </c>
    </row>
    <row r="86" ht="15" customHeight="1" s="73">
      <c r="B86" s="19" t="n">
        <v>4</v>
      </c>
      <c r="C86" s="11" t="inlineStr">
        <is>
          <t>TEAM</t>
        </is>
      </c>
      <c r="D86" s="35" t="inlineStr">
        <is>
          <t>POSW</t>
        </is>
      </c>
      <c r="E86" s="35" t="inlineStr">
        <is>
          <t>TEAM</t>
        </is>
      </c>
      <c r="F86" s="49">
        <f>'Pod Library'!E98</f>
        <v/>
      </c>
      <c r="G86" s="43">
        <f>'Pod Library'!F98</f>
        <v/>
      </c>
      <c r="H86" s="43">
        <f>'Pod Library'!G98</f>
        <v/>
      </c>
      <c r="I86" s="43">
        <f>'Pod Library'!H98</f>
        <v/>
      </c>
      <c r="J86" s="43">
        <f>'Pod Library'!I98</f>
        <v/>
      </c>
      <c r="K86" s="9">
        <f>'Pod Library'!J98</f>
        <v/>
      </c>
      <c r="L86" s="13">
        <f>'Pod Plan'!F17</f>
        <v/>
      </c>
      <c r="M86" s="36">
        <f>K86*L86</f>
        <v/>
      </c>
      <c r="N86" s="46">
        <f>M86*INDEX('Logic Tree'!$J$85:$N$87,MATCH(I86,'Logic Tree'!$I$85:$I$87,0),MATCH(H86,'Logic Tree'!$J$84:$N$84,0))</f>
        <v/>
      </c>
    </row>
    <row r="87" ht="15" customHeight="1" s="73">
      <c r="B87" s="19" t="n">
        <v>4</v>
      </c>
      <c r="C87" s="11" t="inlineStr">
        <is>
          <t>TEAM</t>
        </is>
      </c>
      <c r="D87" s="35" t="inlineStr">
        <is>
          <t>POSW</t>
        </is>
      </c>
      <c r="E87" s="35" t="inlineStr">
        <is>
          <t>TEAM</t>
        </is>
      </c>
      <c r="F87" s="49">
        <f>'Pod Library'!E99</f>
        <v/>
      </c>
      <c r="G87" s="43">
        <f>'Pod Library'!F99</f>
        <v/>
      </c>
      <c r="H87" s="43">
        <f>'Pod Library'!G99</f>
        <v/>
      </c>
      <c r="I87" s="43">
        <f>'Pod Library'!H99</f>
        <v/>
      </c>
      <c r="J87" s="43">
        <f>'Pod Library'!I99</f>
        <v/>
      </c>
      <c r="K87" s="9">
        <f>'Pod Library'!J99</f>
        <v/>
      </c>
      <c r="L87" s="13">
        <f>'Pod Plan'!F17</f>
        <v/>
      </c>
      <c r="M87" s="36">
        <f>K87*L87</f>
        <v/>
      </c>
      <c r="N87" s="46">
        <f>M87*INDEX('Logic Tree'!$J$85:$N$87,MATCH(I87,'Logic Tree'!$I$85:$I$87,0),MATCH(H87,'Logic Tree'!$J$84:$N$84,0))</f>
        <v/>
      </c>
    </row>
    <row r="88" ht="15" customHeight="1" s="73">
      <c r="B88" s="19" t="n">
        <v>4</v>
      </c>
      <c r="C88" s="11" t="inlineStr">
        <is>
          <t>TEAM</t>
        </is>
      </c>
      <c r="D88" s="35" t="inlineStr">
        <is>
          <t>POSW</t>
        </is>
      </c>
      <c r="E88" s="35" t="inlineStr">
        <is>
          <t>TEAM</t>
        </is>
      </c>
      <c r="F88" s="49">
        <f>'Pod Library'!E100</f>
        <v/>
      </c>
      <c r="G88" s="43">
        <f>'Pod Library'!F100</f>
        <v/>
      </c>
      <c r="H88" s="43">
        <f>'Pod Library'!G100</f>
        <v/>
      </c>
      <c r="I88" s="43">
        <f>'Pod Library'!H100</f>
        <v/>
      </c>
      <c r="J88" s="43">
        <f>'Pod Library'!I100</f>
        <v/>
      </c>
      <c r="K88" s="9">
        <f>'Pod Library'!J100</f>
        <v/>
      </c>
      <c r="L88" s="13">
        <f>'Pod Plan'!F17</f>
        <v/>
      </c>
      <c r="M88" s="36">
        <f>K88*L88</f>
        <v/>
      </c>
      <c r="N88" s="46">
        <f>M88*INDEX('Logic Tree'!$J$85:$N$87,MATCH(I88,'Logic Tree'!$I$85:$I$87,0),MATCH(H88,'Logic Tree'!$J$84:$N$84,0))</f>
        <v/>
      </c>
    </row>
    <row r="89" ht="15" customHeight="1" s="73">
      <c r="B89" s="19" t="n">
        <v>4</v>
      </c>
      <c r="C89" s="11" t="inlineStr">
        <is>
          <t>TEAM</t>
        </is>
      </c>
      <c r="D89" s="35" t="inlineStr">
        <is>
          <t>POSW</t>
        </is>
      </c>
      <c r="E89" s="35" t="inlineStr">
        <is>
          <t>TEAM</t>
        </is>
      </c>
      <c r="F89" s="49">
        <f>'Pod Library'!E101</f>
        <v/>
      </c>
      <c r="G89" s="43">
        <f>'Pod Library'!F101</f>
        <v/>
      </c>
      <c r="H89" s="43">
        <f>'Pod Library'!G101</f>
        <v/>
      </c>
      <c r="I89" s="43">
        <f>'Pod Library'!H101</f>
        <v/>
      </c>
      <c r="J89" s="43">
        <f>'Pod Library'!I101</f>
        <v/>
      </c>
      <c r="K89" s="9">
        <f>'Pod Library'!J101</f>
        <v/>
      </c>
      <c r="L89" s="13">
        <f>'Pod Plan'!F17</f>
        <v/>
      </c>
      <c r="M89" s="36">
        <f>K89*L89</f>
        <v/>
      </c>
      <c r="N89" s="46">
        <f>M89*INDEX('Logic Tree'!$J$85:$N$87,MATCH(I89,'Logic Tree'!$I$85:$I$87,0),MATCH(H89,'Logic Tree'!$J$84:$N$84,0))</f>
        <v/>
      </c>
    </row>
    <row r="90" ht="15" customHeight="1" s="73">
      <c r="B90" s="19" t="n">
        <v>4</v>
      </c>
      <c r="C90" s="11" t="inlineStr">
        <is>
          <t>TEAM</t>
        </is>
      </c>
      <c r="D90" s="35" t="inlineStr">
        <is>
          <t>POSW</t>
        </is>
      </c>
      <c r="E90" s="35" t="inlineStr">
        <is>
          <t>TEAM</t>
        </is>
      </c>
      <c r="F90" s="49">
        <f>'Pod Library'!E102</f>
        <v/>
      </c>
      <c r="G90" s="43">
        <f>'Pod Library'!F102</f>
        <v/>
      </c>
      <c r="H90" s="43">
        <f>'Pod Library'!G102</f>
        <v/>
      </c>
      <c r="I90" s="43">
        <f>'Pod Library'!H102</f>
        <v/>
      </c>
      <c r="J90" s="43">
        <f>'Pod Library'!I102</f>
        <v/>
      </c>
      <c r="K90" s="9">
        <f>'Pod Library'!J102</f>
        <v/>
      </c>
      <c r="L90" s="13">
        <f>'Pod Plan'!F17</f>
        <v/>
      </c>
      <c r="M90" s="36">
        <f>K90*L90</f>
        <v/>
      </c>
      <c r="N90" s="46">
        <f>M90*INDEX('Logic Tree'!$J$85:$N$87,MATCH(I90,'Logic Tree'!$I$85:$I$87,0),MATCH(H90,'Logic Tree'!$J$84:$N$84,0))</f>
        <v/>
      </c>
    </row>
    <row r="91" ht="15" customHeight="1" s="73">
      <c r="B91" s="19" t="n">
        <v>4</v>
      </c>
      <c r="C91" s="11" t="inlineStr">
        <is>
          <t>TEAM</t>
        </is>
      </c>
      <c r="D91" s="35" t="inlineStr">
        <is>
          <t>POSW</t>
        </is>
      </c>
      <c r="E91" s="35" t="inlineStr">
        <is>
          <t>TEAM</t>
        </is>
      </c>
      <c r="F91" s="49">
        <f>'Pod Library'!E103</f>
        <v/>
      </c>
      <c r="G91" s="43">
        <f>'Pod Library'!F103</f>
        <v/>
      </c>
      <c r="H91" s="43">
        <f>'Pod Library'!G103</f>
        <v/>
      </c>
      <c r="I91" s="43">
        <f>'Pod Library'!H103</f>
        <v/>
      </c>
      <c r="J91" s="43">
        <f>'Pod Library'!I103</f>
        <v/>
      </c>
      <c r="K91" s="9">
        <f>'Pod Library'!J103</f>
        <v/>
      </c>
      <c r="L91" s="13">
        <f>'Pod Plan'!F17</f>
        <v/>
      </c>
      <c r="M91" s="36">
        <f>K91*L91</f>
        <v/>
      </c>
      <c r="N91" s="46">
        <f>M91*INDEX('Logic Tree'!$J$85:$N$87,MATCH(I91,'Logic Tree'!$I$85:$I$87,0),MATCH(H91,'Logic Tree'!$J$84:$N$84,0))</f>
        <v/>
      </c>
    </row>
    <row r="92" ht="15" customHeight="1" s="73">
      <c r="B92" s="19" t="n">
        <v>4</v>
      </c>
      <c r="C92" s="11" t="inlineStr">
        <is>
          <t>TEAM</t>
        </is>
      </c>
      <c r="D92" s="35" t="inlineStr">
        <is>
          <t>POSW</t>
        </is>
      </c>
      <c r="E92" s="35" t="inlineStr">
        <is>
          <t>TEAM</t>
        </is>
      </c>
      <c r="F92" s="49">
        <f>'Pod Library'!E104</f>
        <v/>
      </c>
      <c r="G92" s="43">
        <f>'Pod Library'!F104</f>
        <v/>
      </c>
      <c r="H92" s="43">
        <f>'Pod Library'!G104</f>
        <v/>
      </c>
      <c r="I92" s="43">
        <f>'Pod Library'!H104</f>
        <v/>
      </c>
      <c r="J92" s="43">
        <f>'Pod Library'!I104</f>
        <v/>
      </c>
      <c r="K92" s="9">
        <f>'Pod Library'!J104</f>
        <v/>
      </c>
      <c r="L92" s="13">
        <f>'Pod Plan'!F17</f>
        <v/>
      </c>
      <c r="M92" s="36">
        <f>K92*L92</f>
        <v/>
      </c>
      <c r="N92" s="46">
        <f>M92*INDEX('Logic Tree'!$J$85:$N$87,MATCH(I92,'Logic Tree'!$I$85:$I$87,0),MATCH(H92,'Logic Tree'!$J$84:$N$84,0))</f>
        <v/>
      </c>
    </row>
    <row r="93" ht="15" customHeight="1" s="73">
      <c r="B93" s="19" t="n">
        <v>4</v>
      </c>
      <c r="C93" s="11" t="inlineStr">
        <is>
          <t>TEAM</t>
        </is>
      </c>
      <c r="D93" s="35" t="inlineStr">
        <is>
          <t>POSW</t>
        </is>
      </c>
      <c r="E93" s="35" t="inlineStr">
        <is>
          <t>TEAM</t>
        </is>
      </c>
      <c r="F93" s="49">
        <f>'Pod Library'!E105</f>
        <v/>
      </c>
      <c r="G93" s="43">
        <f>'Pod Library'!F105</f>
        <v/>
      </c>
      <c r="H93" s="43">
        <f>'Pod Library'!G105</f>
        <v/>
      </c>
      <c r="I93" s="43">
        <f>'Pod Library'!H105</f>
        <v/>
      </c>
      <c r="J93" s="43">
        <f>'Pod Library'!I105</f>
        <v/>
      </c>
      <c r="K93" s="9">
        <f>'Pod Library'!J105</f>
        <v/>
      </c>
      <c r="L93" s="13">
        <f>'Pod Plan'!F17</f>
        <v/>
      </c>
      <c r="M93" s="36">
        <f>K93*L93</f>
        <v/>
      </c>
      <c r="N93" s="46">
        <f>M93*INDEX('Logic Tree'!$J$85:$N$87,MATCH(I93,'Logic Tree'!$I$85:$I$87,0),MATCH(H93,'Logic Tree'!$J$84:$N$84,0))</f>
        <v/>
      </c>
    </row>
    <row r="94" ht="15" customHeight="1" s="73">
      <c r="B94" s="19" t="n">
        <v>4</v>
      </c>
      <c r="C94" s="11" t="inlineStr">
        <is>
          <t>TEAM</t>
        </is>
      </c>
      <c r="D94" s="35" t="inlineStr">
        <is>
          <t>POSW</t>
        </is>
      </c>
      <c r="E94" s="35" t="inlineStr">
        <is>
          <t>TEAM</t>
        </is>
      </c>
      <c r="F94" s="49">
        <f>'Pod Library'!E106</f>
        <v/>
      </c>
      <c r="G94" s="43">
        <f>'Pod Library'!F106</f>
        <v/>
      </c>
      <c r="H94" s="43">
        <f>'Pod Library'!G106</f>
        <v/>
      </c>
      <c r="I94" s="43">
        <f>'Pod Library'!H106</f>
        <v/>
      </c>
      <c r="J94" s="43">
        <f>'Pod Library'!I106</f>
        <v/>
      </c>
      <c r="K94" s="9">
        <f>'Pod Library'!J106</f>
        <v/>
      </c>
      <c r="L94" s="13">
        <f>'Pod Plan'!F17</f>
        <v/>
      </c>
      <c r="M94" s="36">
        <f>K94*L94</f>
        <v/>
      </c>
      <c r="N94" s="46">
        <f>M94*INDEX('Logic Tree'!$J$85:$N$87,MATCH(I94,'Logic Tree'!$I$85:$I$87,0),MATCH(H94,'Logic Tree'!$J$84:$N$84,0))</f>
        <v/>
      </c>
    </row>
    <row r="95" ht="15" customHeight="1" s="73">
      <c r="B95" s="19" t="n">
        <v>4</v>
      </c>
      <c r="C95" s="11" t="inlineStr">
        <is>
          <t>TEAM</t>
        </is>
      </c>
      <c r="D95" s="35" t="inlineStr">
        <is>
          <t>POSR</t>
        </is>
      </c>
      <c r="E95" s="35" t="inlineStr">
        <is>
          <t>TEAM</t>
        </is>
      </c>
      <c r="F95" s="49">
        <f>'Pod Library'!E109</f>
        <v/>
      </c>
      <c r="G95" s="43">
        <f>'Pod Library'!F109</f>
        <v/>
      </c>
      <c r="H95" s="43">
        <f>'Pod Library'!G109</f>
        <v/>
      </c>
      <c r="I95" s="43">
        <f>'Pod Library'!H109</f>
        <v/>
      </c>
      <c r="J95" s="43">
        <f>'Pod Library'!I109</f>
        <v/>
      </c>
      <c r="K95" s="9">
        <f>'Pod Library'!J109</f>
        <v/>
      </c>
      <c r="L95" s="13">
        <f>'Pod Plan'!F18</f>
        <v/>
      </c>
      <c r="M95" s="36">
        <f>K95*L95</f>
        <v/>
      </c>
      <c r="N95" s="46">
        <f>M95*INDEX('Logic Tree'!$J$85:$N$87,MATCH(I95,'Logic Tree'!$I$85:$I$87,0),MATCH(H95,'Logic Tree'!$J$84:$N$84,0))</f>
        <v/>
      </c>
    </row>
    <row r="96" ht="15" customHeight="1" s="73">
      <c r="B96" s="19" t="n">
        <v>4</v>
      </c>
      <c r="C96" s="11" t="inlineStr">
        <is>
          <t>TEAM</t>
        </is>
      </c>
      <c r="D96" s="35" t="inlineStr">
        <is>
          <t>POSR</t>
        </is>
      </c>
      <c r="E96" s="35" t="inlineStr">
        <is>
          <t>TEAM</t>
        </is>
      </c>
      <c r="F96" s="49">
        <f>'Pod Library'!E110</f>
        <v/>
      </c>
      <c r="G96" s="43">
        <f>'Pod Library'!F110</f>
        <v/>
      </c>
      <c r="H96" s="43">
        <f>'Pod Library'!G110</f>
        <v/>
      </c>
      <c r="I96" s="43">
        <f>'Pod Library'!H110</f>
        <v/>
      </c>
      <c r="J96" s="43">
        <f>'Pod Library'!I110</f>
        <v/>
      </c>
      <c r="K96" s="9">
        <f>'Pod Library'!J110</f>
        <v/>
      </c>
      <c r="L96" s="13">
        <f>'Pod Plan'!F18</f>
        <v/>
      </c>
      <c r="M96" s="36">
        <f>K96*L96</f>
        <v/>
      </c>
      <c r="N96" s="46">
        <f>M96*INDEX('Logic Tree'!$J$85:$N$87,MATCH(I96,'Logic Tree'!$I$85:$I$87,0),MATCH(H96,'Logic Tree'!$J$84:$N$84,0))</f>
        <v/>
      </c>
    </row>
    <row r="97" ht="15" customHeight="1" s="73">
      <c r="B97" s="19" t="n">
        <v>4</v>
      </c>
      <c r="C97" s="11" t="inlineStr">
        <is>
          <t>TEAM</t>
        </is>
      </c>
      <c r="D97" s="35" t="inlineStr">
        <is>
          <t>POSR</t>
        </is>
      </c>
      <c r="E97" s="35" t="inlineStr">
        <is>
          <t>TEAM</t>
        </is>
      </c>
      <c r="F97" s="49">
        <f>'Pod Library'!E111</f>
        <v/>
      </c>
      <c r="G97" s="43">
        <f>'Pod Library'!F111</f>
        <v/>
      </c>
      <c r="H97" s="43">
        <f>'Pod Library'!G111</f>
        <v/>
      </c>
      <c r="I97" s="43">
        <f>'Pod Library'!H111</f>
        <v/>
      </c>
      <c r="J97" s="43">
        <f>'Pod Library'!I111</f>
        <v/>
      </c>
      <c r="K97" s="9">
        <f>'Pod Library'!J111</f>
        <v/>
      </c>
      <c r="L97" s="13">
        <f>'Pod Plan'!F18</f>
        <v/>
      </c>
      <c r="M97" s="36">
        <f>K97*L97</f>
        <v/>
      </c>
      <c r="N97" s="46">
        <f>M97*INDEX('Logic Tree'!$J$85:$N$87,MATCH(I97,'Logic Tree'!$I$85:$I$87,0),MATCH(H97,'Logic Tree'!$J$84:$N$84,0))</f>
        <v/>
      </c>
    </row>
    <row r="98" ht="15" customHeight="1" s="73">
      <c r="B98" s="19" t="n">
        <v>4</v>
      </c>
      <c r="C98" s="11" t="inlineStr">
        <is>
          <t>TEAM</t>
        </is>
      </c>
      <c r="D98" s="35" t="inlineStr">
        <is>
          <t>POSR</t>
        </is>
      </c>
      <c r="E98" s="35" t="inlineStr">
        <is>
          <t>TEAM</t>
        </is>
      </c>
      <c r="F98" s="49">
        <f>'Pod Library'!E112</f>
        <v/>
      </c>
      <c r="G98" s="43">
        <f>'Pod Library'!F112</f>
        <v/>
      </c>
      <c r="H98" s="43">
        <f>'Pod Library'!G112</f>
        <v/>
      </c>
      <c r="I98" s="43">
        <f>'Pod Library'!H112</f>
        <v/>
      </c>
      <c r="J98" s="43">
        <f>'Pod Library'!I112</f>
        <v/>
      </c>
      <c r="K98" s="9">
        <f>'Pod Library'!J112</f>
        <v/>
      </c>
      <c r="L98" s="13">
        <f>'Pod Plan'!F18</f>
        <v/>
      </c>
      <c r="M98" s="36">
        <f>K98*L98</f>
        <v/>
      </c>
      <c r="N98" s="46">
        <f>M98*INDEX('Logic Tree'!$J$85:$N$87,MATCH(I98,'Logic Tree'!$I$85:$I$87,0),MATCH(H98,'Logic Tree'!$J$84:$N$84,0))</f>
        <v/>
      </c>
    </row>
    <row r="99" ht="15" customHeight="1" s="73">
      <c r="B99" s="19" t="n">
        <v>4</v>
      </c>
      <c r="C99" s="11" t="inlineStr">
        <is>
          <t>TEAM</t>
        </is>
      </c>
      <c r="D99" s="35" t="inlineStr">
        <is>
          <t>POSR</t>
        </is>
      </c>
      <c r="E99" s="35" t="inlineStr">
        <is>
          <t>TEAM</t>
        </is>
      </c>
      <c r="F99" s="49">
        <f>'Pod Library'!E113</f>
        <v/>
      </c>
      <c r="G99" s="43">
        <f>'Pod Library'!F113</f>
        <v/>
      </c>
      <c r="H99" s="43">
        <f>'Pod Library'!G113</f>
        <v/>
      </c>
      <c r="I99" s="43">
        <f>'Pod Library'!H113</f>
        <v/>
      </c>
      <c r="J99" s="43">
        <f>'Pod Library'!I113</f>
        <v/>
      </c>
      <c r="K99" s="9">
        <f>'Pod Library'!J113</f>
        <v/>
      </c>
      <c r="L99" s="13">
        <f>'Pod Plan'!F18</f>
        <v/>
      </c>
      <c r="M99" s="36">
        <f>K99*L99</f>
        <v/>
      </c>
      <c r="N99" s="46">
        <f>M99*INDEX('Logic Tree'!$J$85:$N$87,MATCH(I99,'Logic Tree'!$I$85:$I$87,0),MATCH(H99,'Logic Tree'!$J$84:$N$84,0))</f>
        <v/>
      </c>
    </row>
    <row r="100" ht="15" customHeight="1" s="73">
      <c r="B100" s="19" t="n">
        <v>4</v>
      </c>
      <c r="C100" s="11" t="inlineStr">
        <is>
          <t>TEAM</t>
        </is>
      </c>
      <c r="D100" s="35" t="inlineStr">
        <is>
          <t>POSR</t>
        </is>
      </c>
      <c r="E100" s="35" t="inlineStr">
        <is>
          <t>TEAM</t>
        </is>
      </c>
      <c r="F100" s="49">
        <f>'Pod Library'!E114</f>
        <v/>
      </c>
      <c r="G100" s="43">
        <f>'Pod Library'!F114</f>
        <v/>
      </c>
      <c r="H100" s="43">
        <f>'Pod Library'!G114</f>
        <v/>
      </c>
      <c r="I100" s="43">
        <f>'Pod Library'!H114</f>
        <v/>
      </c>
      <c r="J100" s="43">
        <f>'Pod Library'!I114</f>
        <v/>
      </c>
      <c r="K100" s="9">
        <f>'Pod Library'!J114</f>
        <v/>
      </c>
      <c r="L100" s="13">
        <f>'Pod Plan'!F18</f>
        <v/>
      </c>
      <c r="M100" s="36">
        <f>K100*L100</f>
        <v/>
      </c>
      <c r="N100" s="46">
        <f>M100*INDEX('Logic Tree'!$J$85:$N$87,MATCH(I100,'Logic Tree'!$I$85:$I$87,0),MATCH(H100,'Logic Tree'!$J$84:$N$84,0))</f>
        <v/>
      </c>
    </row>
    <row r="101" ht="15" customHeight="1" s="73">
      <c r="B101" s="19" t="n">
        <v>4</v>
      </c>
      <c r="C101" s="11" t="inlineStr">
        <is>
          <t>TEAM</t>
        </is>
      </c>
      <c r="D101" s="35" t="inlineStr">
        <is>
          <t>POSR</t>
        </is>
      </c>
      <c r="E101" s="35" t="inlineStr">
        <is>
          <t>TEAM</t>
        </is>
      </c>
      <c r="F101" s="49">
        <f>'Pod Library'!E115</f>
        <v/>
      </c>
      <c r="G101" s="43">
        <f>'Pod Library'!F115</f>
        <v/>
      </c>
      <c r="H101" s="43">
        <f>'Pod Library'!G115</f>
        <v/>
      </c>
      <c r="I101" s="43">
        <f>'Pod Library'!H115</f>
        <v/>
      </c>
      <c r="J101" s="43">
        <f>'Pod Library'!I115</f>
        <v/>
      </c>
      <c r="K101" s="9">
        <f>'Pod Library'!J115</f>
        <v/>
      </c>
      <c r="L101" s="13">
        <f>'Pod Plan'!F18</f>
        <v/>
      </c>
      <c r="M101" s="36">
        <f>K101*L101</f>
        <v/>
      </c>
      <c r="N101" s="46">
        <f>M101*INDEX('Logic Tree'!$J$85:$N$87,MATCH(I101,'Logic Tree'!$I$85:$I$87,0),MATCH(H101,'Logic Tree'!$J$84:$N$84,0))</f>
        <v/>
      </c>
    </row>
    <row r="102" ht="15" customHeight="1" s="73">
      <c r="B102" s="19" t="n">
        <v>4</v>
      </c>
      <c r="C102" s="11" t="inlineStr">
        <is>
          <t>TEAM</t>
        </is>
      </c>
      <c r="D102" s="35" t="inlineStr">
        <is>
          <t>POSR</t>
        </is>
      </c>
      <c r="E102" s="35" t="inlineStr">
        <is>
          <t>TEAM</t>
        </is>
      </c>
      <c r="F102" s="49">
        <f>'Pod Library'!E116</f>
        <v/>
      </c>
      <c r="G102" s="43">
        <f>'Pod Library'!F116</f>
        <v/>
      </c>
      <c r="H102" s="43">
        <f>'Pod Library'!G116</f>
        <v/>
      </c>
      <c r="I102" s="43">
        <f>'Pod Library'!H116</f>
        <v/>
      </c>
      <c r="J102" s="43">
        <f>'Pod Library'!I116</f>
        <v/>
      </c>
      <c r="K102" s="9">
        <f>'Pod Library'!J116</f>
        <v/>
      </c>
      <c r="L102" s="13">
        <f>'Pod Plan'!F18</f>
        <v/>
      </c>
      <c r="M102" s="36">
        <f>K102*L102</f>
        <v/>
      </c>
      <c r="N102" s="46">
        <f>M102*INDEX('Logic Tree'!$J$85:$N$87,MATCH(I102,'Logic Tree'!$I$85:$I$87,0),MATCH(H102,'Logic Tree'!$J$84:$N$84,0))</f>
        <v/>
      </c>
    </row>
    <row r="103" ht="15" customHeight="1" s="73">
      <c r="B103" s="19" t="n">
        <v>4</v>
      </c>
      <c r="C103" s="11" t="inlineStr">
        <is>
          <t>TEAM</t>
        </is>
      </c>
      <c r="D103" s="35" t="inlineStr">
        <is>
          <t>POSR</t>
        </is>
      </c>
      <c r="E103" s="35" t="inlineStr">
        <is>
          <t>TEAM</t>
        </is>
      </c>
      <c r="F103" s="49">
        <f>'Pod Library'!E117</f>
        <v/>
      </c>
      <c r="G103" s="43">
        <f>'Pod Library'!F117</f>
        <v/>
      </c>
      <c r="H103" s="43">
        <f>'Pod Library'!G117</f>
        <v/>
      </c>
      <c r="I103" s="43">
        <f>'Pod Library'!H117</f>
        <v/>
      </c>
      <c r="J103" s="43">
        <f>'Pod Library'!I117</f>
        <v/>
      </c>
      <c r="K103" s="9">
        <f>'Pod Library'!J117</f>
        <v/>
      </c>
      <c r="L103" s="13">
        <f>'Pod Plan'!F18</f>
        <v/>
      </c>
      <c r="M103" s="36">
        <f>K103*L103</f>
        <v/>
      </c>
      <c r="N103" s="46">
        <f>M103*INDEX('Logic Tree'!$J$85:$N$87,MATCH(I103,'Logic Tree'!$I$85:$I$87,0),MATCH(H103,'Logic Tree'!$J$84:$N$84,0))</f>
        <v/>
      </c>
    </row>
    <row r="104" ht="15" customHeight="1" s="73">
      <c r="B104" s="19" t="n">
        <v>4</v>
      </c>
      <c r="C104" s="11" t="inlineStr">
        <is>
          <t>TEAM</t>
        </is>
      </c>
      <c r="D104" s="35" t="inlineStr">
        <is>
          <t>POSR</t>
        </is>
      </c>
      <c r="E104" s="35" t="inlineStr">
        <is>
          <t>TEAM</t>
        </is>
      </c>
      <c r="F104" s="49">
        <f>'Pod Library'!E118</f>
        <v/>
      </c>
      <c r="G104" s="43">
        <f>'Pod Library'!F118</f>
        <v/>
      </c>
      <c r="H104" s="43">
        <f>'Pod Library'!G118</f>
        <v/>
      </c>
      <c r="I104" s="43">
        <f>'Pod Library'!H118</f>
        <v/>
      </c>
      <c r="J104" s="43">
        <f>'Pod Library'!I118</f>
        <v/>
      </c>
      <c r="K104" s="9">
        <f>'Pod Library'!J118</f>
        <v/>
      </c>
      <c r="L104" s="13">
        <f>'Pod Plan'!F18</f>
        <v/>
      </c>
      <c r="M104" s="36">
        <f>K104*L104</f>
        <v/>
      </c>
      <c r="N104" s="46">
        <f>M104*INDEX('Logic Tree'!$J$85:$N$87,MATCH(I104,'Logic Tree'!$I$85:$I$87,0),MATCH(H104,'Logic Tree'!$J$84:$N$84,0))</f>
        <v/>
      </c>
    </row>
    <row r="105" ht="15" customHeight="1" s="73">
      <c r="B105" s="19" t="n">
        <v>4</v>
      </c>
      <c r="C105" s="11" t="inlineStr">
        <is>
          <t>TEAM</t>
        </is>
      </c>
      <c r="D105" s="35" t="inlineStr">
        <is>
          <t>POSR</t>
        </is>
      </c>
      <c r="E105" s="35" t="inlineStr">
        <is>
          <t>TEAM</t>
        </is>
      </c>
      <c r="F105" s="49">
        <f>'Pod Library'!E119</f>
        <v/>
      </c>
      <c r="G105" s="43">
        <f>'Pod Library'!F119</f>
        <v/>
      </c>
      <c r="H105" s="43">
        <f>'Pod Library'!G119</f>
        <v/>
      </c>
      <c r="I105" s="43">
        <f>'Pod Library'!H119</f>
        <v/>
      </c>
      <c r="J105" s="43">
        <f>'Pod Library'!I119</f>
        <v/>
      </c>
      <c r="K105" s="9">
        <f>'Pod Library'!J119</f>
        <v/>
      </c>
      <c r="L105" s="13">
        <f>'Pod Plan'!F18</f>
        <v/>
      </c>
      <c r="M105" s="36">
        <f>K105*L105</f>
        <v/>
      </c>
      <c r="N105" s="46">
        <f>M105*INDEX('Logic Tree'!$J$85:$N$87,MATCH(I105,'Logic Tree'!$I$85:$I$87,0),MATCH(H105,'Logic Tree'!$J$84:$N$84,0))</f>
        <v/>
      </c>
    </row>
    <row r="106" ht="15" customHeight="1" s="73">
      <c r="B106" s="19" t="n">
        <v>5</v>
      </c>
      <c r="C106" s="11" t="inlineStr">
        <is>
          <t>TEAM</t>
        </is>
      </c>
      <c r="D106" s="35" t="inlineStr">
        <is>
          <t>POSW</t>
        </is>
      </c>
      <c r="E106" s="35" t="inlineStr">
        <is>
          <t>TEAM</t>
        </is>
      </c>
      <c r="F106" s="49">
        <f>'Pod Library'!E122</f>
        <v/>
      </c>
      <c r="G106" s="43">
        <f>'Pod Library'!F122</f>
        <v/>
      </c>
      <c r="H106" s="43">
        <f>'Pod Library'!G122</f>
        <v/>
      </c>
      <c r="I106" s="43">
        <f>'Pod Library'!H122</f>
        <v/>
      </c>
      <c r="J106" s="43">
        <f>'Pod Library'!I122</f>
        <v/>
      </c>
      <c r="K106" s="9">
        <f>'Pod Library'!J122</f>
        <v/>
      </c>
      <c r="L106" s="13">
        <f>'Pod Plan'!F21</f>
        <v/>
      </c>
      <c r="M106" s="36">
        <f>K106*L106</f>
        <v/>
      </c>
      <c r="N106" s="46">
        <f>M106*INDEX('Logic Tree'!$J$85:$N$87,MATCH(I106,'Logic Tree'!$I$85:$I$87,0),MATCH(H106,'Logic Tree'!$J$84:$N$84,0))</f>
        <v/>
      </c>
    </row>
    <row r="107" ht="15" customHeight="1" s="73">
      <c r="B107" s="19" t="n">
        <v>5</v>
      </c>
      <c r="C107" s="11" t="inlineStr">
        <is>
          <t>TEAM</t>
        </is>
      </c>
      <c r="D107" s="35" t="inlineStr">
        <is>
          <t>POSW</t>
        </is>
      </c>
      <c r="E107" s="35" t="inlineStr">
        <is>
          <t>TEAM</t>
        </is>
      </c>
      <c r="F107" s="49">
        <f>'Pod Library'!E123</f>
        <v/>
      </c>
      <c r="G107" s="43">
        <f>'Pod Library'!F123</f>
        <v/>
      </c>
      <c r="H107" s="43">
        <f>'Pod Library'!G123</f>
        <v/>
      </c>
      <c r="I107" s="43">
        <f>'Pod Library'!H123</f>
        <v/>
      </c>
      <c r="J107" s="43">
        <f>'Pod Library'!I123</f>
        <v/>
      </c>
      <c r="K107" s="9">
        <f>'Pod Library'!J123</f>
        <v/>
      </c>
      <c r="L107" s="13">
        <f>'Pod Plan'!F21</f>
        <v/>
      </c>
      <c r="M107" s="36">
        <f>K107*L107</f>
        <v/>
      </c>
      <c r="N107" s="46">
        <f>M107*INDEX('Logic Tree'!$J$85:$N$87,MATCH(I107,'Logic Tree'!$I$85:$I$87,0),MATCH(H107,'Logic Tree'!$J$84:$N$84,0))</f>
        <v/>
      </c>
    </row>
    <row r="108" ht="15" customHeight="1" s="73">
      <c r="B108" s="19" t="n">
        <v>5</v>
      </c>
      <c r="C108" s="11" t="inlineStr">
        <is>
          <t>TEAM</t>
        </is>
      </c>
      <c r="D108" s="35" t="inlineStr">
        <is>
          <t>POSW</t>
        </is>
      </c>
      <c r="E108" s="35" t="inlineStr">
        <is>
          <t>TEAM</t>
        </is>
      </c>
      <c r="F108" s="49">
        <f>'Pod Library'!E124</f>
        <v/>
      </c>
      <c r="G108" s="43">
        <f>'Pod Library'!F124</f>
        <v/>
      </c>
      <c r="H108" s="43">
        <f>'Pod Library'!G124</f>
        <v/>
      </c>
      <c r="I108" s="43">
        <f>'Pod Library'!H124</f>
        <v/>
      </c>
      <c r="J108" s="43">
        <f>'Pod Library'!I124</f>
        <v/>
      </c>
      <c r="K108" s="9">
        <f>'Pod Library'!J124</f>
        <v/>
      </c>
      <c r="L108" s="13">
        <f>'Pod Plan'!F21</f>
        <v/>
      </c>
      <c r="M108" s="36">
        <f>K108*L108</f>
        <v/>
      </c>
      <c r="N108" s="46">
        <f>M108*INDEX('Logic Tree'!$J$85:$N$87,MATCH(I108,'Logic Tree'!$I$85:$I$87,0),MATCH(H108,'Logic Tree'!$J$84:$N$84,0))</f>
        <v/>
      </c>
    </row>
    <row r="109" ht="15" customHeight="1" s="73">
      <c r="B109" s="19" t="n">
        <v>5</v>
      </c>
      <c r="C109" s="11" t="inlineStr">
        <is>
          <t>TEAM</t>
        </is>
      </c>
      <c r="D109" s="35" t="inlineStr">
        <is>
          <t>POSW</t>
        </is>
      </c>
      <c r="E109" s="35" t="inlineStr">
        <is>
          <t>TEAM</t>
        </is>
      </c>
      <c r="F109" s="49">
        <f>'Pod Library'!E125</f>
        <v/>
      </c>
      <c r="G109" s="43">
        <f>'Pod Library'!F125</f>
        <v/>
      </c>
      <c r="H109" s="43">
        <f>'Pod Library'!G125</f>
        <v/>
      </c>
      <c r="I109" s="43">
        <f>'Pod Library'!H125</f>
        <v/>
      </c>
      <c r="J109" s="43">
        <f>'Pod Library'!I125</f>
        <v/>
      </c>
      <c r="K109" s="9">
        <f>'Pod Library'!J125</f>
        <v/>
      </c>
      <c r="L109" s="13">
        <f>'Pod Plan'!F21</f>
        <v/>
      </c>
      <c r="M109" s="36">
        <f>K109*L109</f>
        <v/>
      </c>
      <c r="N109" s="46">
        <f>M109*INDEX('Logic Tree'!$J$85:$N$87,MATCH(I109,'Logic Tree'!$I$85:$I$87,0),MATCH(H109,'Logic Tree'!$J$84:$N$84,0))</f>
        <v/>
      </c>
    </row>
    <row r="110" ht="15" customHeight="1" s="73">
      <c r="B110" s="19" t="n">
        <v>5</v>
      </c>
      <c r="C110" s="11" t="inlineStr">
        <is>
          <t>TEAM</t>
        </is>
      </c>
      <c r="D110" s="35" t="inlineStr">
        <is>
          <t>POSW</t>
        </is>
      </c>
      <c r="E110" s="35" t="inlineStr">
        <is>
          <t>TEAM</t>
        </is>
      </c>
      <c r="F110" s="49">
        <f>'Pod Library'!E126</f>
        <v/>
      </c>
      <c r="G110" s="43">
        <f>'Pod Library'!F126</f>
        <v/>
      </c>
      <c r="H110" s="43">
        <f>'Pod Library'!G126</f>
        <v/>
      </c>
      <c r="I110" s="43">
        <f>'Pod Library'!H126</f>
        <v/>
      </c>
      <c r="J110" s="43">
        <f>'Pod Library'!I126</f>
        <v/>
      </c>
      <c r="K110" s="9">
        <f>'Pod Library'!J126</f>
        <v/>
      </c>
      <c r="L110" s="13">
        <f>'Pod Plan'!F21</f>
        <v/>
      </c>
      <c r="M110" s="36">
        <f>K110*L110</f>
        <v/>
      </c>
      <c r="N110" s="46">
        <f>M110*INDEX('Logic Tree'!$J$85:$N$87,MATCH(I110,'Logic Tree'!$I$85:$I$87,0),MATCH(H110,'Logic Tree'!$J$84:$N$84,0))</f>
        <v/>
      </c>
    </row>
    <row r="111" ht="15" customHeight="1" s="73">
      <c r="B111" s="19" t="n">
        <v>5</v>
      </c>
      <c r="C111" s="11" t="inlineStr">
        <is>
          <t>TEAM</t>
        </is>
      </c>
      <c r="D111" s="35" t="inlineStr">
        <is>
          <t>POSW</t>
        </is>
      </c>
      <c r="E111" s="35" t="inlineStr">
        <is>
          <t>TEAM</t>
        </is>
      </c>
      <c r="F111" s="49">
        <f>'Pod Library'!E127</f>
        <v/>
      </c>
      <c r="G111" s="43">
        <f>'Pod Library'!F127</f>
        <v/>
      </c>
      <c r="H111" s="43">
        <f>'Pod Library'!G127</f>
        <v/>
      </c>
      <c r="I111" s="43">
        <f>'Pod Library'!H127</f>
        <v/>
      </c>
      <c r="J111" s="43">
        <f>'Pod Library'!I127</f>
        <v/>
      </c>
      <c r="K111" s="9">
        <f>'Pod Library'!J127</f>
        <v/>
      </c>
      <c r="L111" s="13">
        <f>'Pod Plan'!F21</f>
        <v/>
      </c>
      <c r="M111" s="36">
        <f>K111*L111</f>
        <v/>
      </c>
      <c r="N111" s="46">
        <f>M111*INDEX('Logic Tree'!$J$85:$N$87,MATCH(I111,'Logic Tree'!$I$85:$I$87,0),MATCH(H111,'Logic Tree'!$J$84:$N$84,0))</f>
        <v/>
      </c>
    </row>
    <row r="112" ht="15" customHeight="1" s="73">
      <c r="B112" s="19" t="n">
        <v>5</v>
      </c>
      <c r="C112" s="11" t="inlineStr">
        <is>
          <t>TEAM</t>
        </is>
      </c>
      <c r="D112" s="35" t="inlineStr">
        <is>
          <t>POSW</t>
        </is>
      </c>
      <c r="E112" s="35" t="inlineStr">
        <is>
          <t>TEAM</t>
        </is>
      </c>
      <c r="F112" s="49">
        <f>'Pod Library'!E128</f>
        <v/>
      </c>
      <c r="G112" s="43">
        <f>'Pod Library'!F128</f>
        <v/>
      </c>
      <c r="H112" s="43">
        <f>'Pod Library'!G128</f>
        <v/>
      </c>
      <c r="I112" s="43">
        <f>'Pod Library'!H128</f>
        <v/>
      </c>
      <c r="J112" s="43">
        <f>'Pod Library'!I128</f>
        <v/>
      </c>
      <c r="K112" s="9">
        <f>'Pod Library'!J128</f>
        <v/>
      </c>
      <c r="L112" s="13">
        <f>'Pod Plan'!F21</f>
        <v/>
      </c>
      <c r="M112" s="36">
        <f>K112*L112</f>
        <v/>
      </c>
      <c r="N112" s="46">
        <f>M112*INDEX('Logic Tree'!$J$85:$N$87,MATCH(I112,'Logic Tree'!$I$85:$I$87,0),MATCH(H112,'Logic Tree'!$J$84:$N$84,0))</f>
        <v/>
      </c>
    </row>
    <row r="113" ht="15" customHeight="1" s="73">
      <c r="B113" s="19" t="n">
        <v>5</v>
      </c>
      <c r="C113" s="11" t="inlineStr">
        <is>
          <t>TEAM</t>
        </is>
      </c>
      <c r="D113" s="35" t="inlineStr">
        <is>
          <t>POSW</t>
        </is>
      </c>
      <c r="E113" s="35" t="inlineStr">
        <is>
          <t>TEAM</t>
        </is>
      </c>
      <c r="F113" s="49">
        <f>'Pod Library'!E129</f>
        <v/>
      </c>
      <c r="G113" s="43">
        <f>'Pod Library'!F129</f>
        <v/>
      </c>
      <c r="H113" s="43">
        <f>'Pod Library'!G129</f>
        <v/>
      </c>
      <c r="I113" s="43">
        <f>'Pod Library'!H129</f>
        <v/>
      </c>
      <c r="J113" s="43">
        <f>'Pod Library'!I129</f>
        <v/>
      </c>
      <c r="K113" s="9">
        <f>'Pod Library'!J129</f>
        <v/>
      </c>
      <c r="L113" s="13">
        <f>'Pod Plan'!F21</f>
        <v/>
      </c>
      <c r="M113" s="36">
        <f>K113*L113</f>
        <v/>
      </c>
      <c r="N113" s="46">
        <f>M113*INDEX('Logic Tree'!$J$85:$N$87,MATCH(I113,'Logic Tree'!$I$85:$I$87,0),MATCH(H113,'Logic Tree'!$J$84:$N$84,0))</f>
        <v/>
      </c>
    </row>
    <row r="114" ht="15" customHeight="1" s="73">
      <c r="B114" s="19" t="n">
        <v>5</v>
      </c>
      <c r="C114" s="11" t="inlineStr">
        <is>
          <t>TEAM</t>
        </is>
      </c>
      <c r="D114" s="35" t="inlineStr">
        <is>
          <t>POSW</t>
        </is>
      </c>
      <c r="E114" s="35" t="inlineStr">
        <is>
          <t>TEAM</t>
        </is>
      </c>
      <c r="F114" s="49">
        <f>'Pod Library'!E130</f>
        <v/>
      </c>
      <c r="G114" s="43">
        <f>'Pod Library'!F130</f>
        <v/>
      </c>
      <c r="H114" s="43">
        <f>'Pod Library'!G130</f>
        <v/>
      </c>
      <c r="I114" s="43">
        <f>'Pod Library'!H130</f>
        <v/>
      </c>
      <c r="J114" s="43">
        <f>'Pod Library'!I130</f>
        <v/>
      </c>
      <c r="K114" s="9">
        <f>'Pod Library'!J130</f>
        <v/>
      </c>
      <c r="L114" s="13">
        <f>'Pod Plan'!F21</f>
        <v/>
      </c>
      <c r="M114" s="36">
        <f>K114*L114</f>
        <v/>
      </c>
      <c r="N114" s="46">
        <f>M114*INDEX('Logic Tree'!$J$85:$N$87,MATCH(I114,'Logic Tree'!$I$85:$I$87,0),MATCH(H114,'Logic Tree'!$J$84:$N$84,0))</f>
        <v/>
      </c>
    </row>
    <row r="115" ht="15" customHeight="1" s="73">
      <c r="B115" s="19" t="n">
        <v>5</v>
      </c>
      <c r="C115" s="11" t="inlineStr">
        <is>
          <t>TEAM</t>
        </is>
      </c>
      <c r="D115" s="35" t="inlineStr">
        <is>
          <t>POSW</t>
        </is>
      </c>
      <c r="E115" s="35" t="inlineStr">
        <is>
          <t>TEAM</t>
        </is>
      </c>
      <c r="F115" s="49">
        <f>'Pod Library'!E131</f>
        <v/>
      </c>
      <c r="G115" s="43">
        <f>'Pod Library'!F131</f>
        <v/>
      </c>
      <c r="H115" s="43">
        <f>'Pod Library'!G131</f>
        <v/>
      </c>
      <c r="I115" s="43">
        <f>'Pod Library'!H131</f>
        <v/>
      </c>
      <c r="J115" s="43">
        <f>'Pod Library'!I131</f>
        <v/>
      </c>
      <c r="K115" s="9">
        <f>'Pod Library'!J131</f>
        <v/>
      </c>
      <c r="L115" s="13">
        <f>'Pod Plan'!F21</f>
        <v/>
      </c>
      <c r="M115" s="36">
        <f>K115*L115</f>
        <v/>
      </c>
      <c r="N115" s="46">
        <f>M115*INDEX('Logic Tree'!$J$85:$N$87,MATCH(I115,'Logic Tree'!$I$85:$I$87,0),MATCH(H115,'Logic Tree'!$J$84:$N$84,0))</f>
        <v/>
      </c>
    </row>
    <row r="116" ht="15" customHeight="1" s="73">
      <c r="B116" s="19" t="n">
        <v>5</v>
      </c>
      <c r="C116" s="11" t="inlineStr">
        <is>
          <t>TEAM</t>
        </is>
      </c>
      <c r="D116" s="35" t="inlineStr">
        <is>
          <t>POSW</t>
        </is>
      </c>
      <c r="E116" s="35" t="inlineStr">
        <is>
          <t>TEAM</t>
        </is>
      </c>
      <c r="F116" s="49">
        <f>'Pod Library'!E132</f>
        <v/>
      </c>
      <c r="G116" s="43">
        <f>'Pod Library'!F132</f>
        <v/>
      </c>
      <c r="H116" s="43">
        <f>'Pod Library'!G132</f>
        <v/>
      </c>
      <c r="I116" s="43">
        <f>'Pod Library'!H132</f>
        <v/>
      </c>
      <c r="J116" s="43">
        <f>'Pod Library'!I132</f>
        <v/>
      </c>
      <c r="K116" s="9">
        <f>'Pod Library'!J132</f>
        <v/>
      </c>
      <c r="L116" s="13">
        <f>'Pod Plan'!F21</f>
        <v/>
      </c>
      <c r="M116" s="36">
        <f>K116*L116</f>
        <v/>
      </c>
      <c r="N116" s="46">
        <f>M116*INDEX('Logic Tree'!$J$85:$N$87,MATCH(I116,'Logic Tree'!$I$85:$I$87,0),MATCH(H116,'Logic Tree'!$J$84:$N$84,0))</f>
        <v/>
      </c>
    </row>
    <row r="117" ht="15" customHeight="1" s="73">
      <c r="B117" s="19" t="n">
        <v>5</v>
      </c>
      <c r="C117" s="11" t="inlineStr">
        <is>
          <t>TEAM</t>
        </is>
      </c>
      <c r="D117" s="35" t="inlineStr">
        <is>
          <t>POSW</t>
        </is>
      </c>
      <c r="E117" s="35" t="inlineStr">
        <is>
          <t>TEAM</t>
        </is>
      </c>
      <c r="F117" s="49">
        <f>'Pod Library'!E133</f>
        <v/>
      </c>
      <c r="G117" s="43">
        <f>'Pod Library'!F133</f>
        <v/>
      </c>
      <c r="H117" s="43">
        <f>'Pod Library'!G133</f>
        <v/>
      </c>
      <c r="I117" s="43">
        <f>'Pod Library'!H133</f>
        <v/>
      </c>
      <c r="J117" s="43">
        <f>'Pod Library'!I133</f>
        <v/>
      </c>
      <c r="K117" s="9">
        <f>'Pod Library'!J133</f>
        <v/>
      </c>
      <c r="L117" s="13">
        <f>'Pod Plan'!F21</f>
        <v/>
      </c>
      <c r="M117" s="36">
        <f>K117*L117</f>
        <v/>
      </c>
      <c r="N117" s="46">
        <f>M117*INDEX('Logic Tree'!$J$85:$N$87,MATCH(I117,'Logic Tree'!$I$85:$I$87,0),MATCH(H117,'Logic Tree'!$J$84:$N$84,0))</f>
        <v/>
      </c>
    </row>
    <row r="118" ht="15" customHeight="1" s="73">
      <c r="B118" s="19" t="n">
        <v>5</v>
      </c>
      <c r="C118" s="11" t="inlineStr">
        <is>
          <t>TEAM</t>
        </is>
      </c>
      <c r="D118" s="35" t="inlineStr">
        <is>
          <t>POSR</t>
        </is>
      </c>
      <c r="E118" s="35" t="inlineStr">
        <is>
          <t>TEAM</t>
        </is>
      </c>
      <c r="F118" s="49">
        <f>'Pod Library'!E136</f>
        <v/>
      </c>
      <c r="G118" s="43">
        <f>'Pod Library'!F136</f>
        <v/>
      </c>
      <c r="H118" s="43">
        <f>'Pod Library'!G136</f>
        <v/>
      </c>
      <c r="I118" s="43">
        <f>'Pod Library'!H136</f>
        <v/>
      </c>
      <c r="J118" s="43">
        <f>'Pod Library'!I136</f>
        <v/>
      </c>
      <c r="K118" s="9">
        <f>'Pod Library'!J136</f>
        <v/>
      </c>
      <c r="L118" s="13">
        <f>'Pod Plan'!F22</f>
        <v/>
      </c>
      <c r="M118" s="36">
        <f>K118*L118</f>
        <v/>
      </c>
      <c r="N118" s="46">
        <f>M118*INDEX('Logic Tree'!$J$85:$N$87,MATCH(I118,'Logic Tree'!$I$85:$I$87,0),MATCH(H118,'Logic Tree'!$J$84:$N$84,0))</f>
        <v/>
      </c>
    </row>
    <row r="119" ht="15" customHeight="1" s="73">
      <c r="B119" s="19" t="n">
        <v>5</v>
      </c>
      <c r="C119" s="11" t="inlineStr">
        <is>
          <t>TEAM</t>
        </is>
      </c>
      <c r="D119" s="35" t="inlineStr">
        <is>
          <t>POSR</t>
        </is>
      </c>
      <c r="E119" s="35" t="inlineStr">
        <is>
          <t>TEAM</t>
        </is>
      </c>
      <c r="F119" s="49">
        <f>'Pod Library'!E137</f>
        <v/>
      </c>
      <c r="G119" s="43">
        <f>'Pod Library'!F137</f>
        <v/>
      </c>
      <c r="H119" s="43">
        <f>'Pod Library'!G137</f>
        <v/>
      </c>
      <c r="I119" s="43">
        <f>'Pod Library'!H137</f>
        <v/>
      </c>
      <c r="J119" s="43">
        <f>'Pod Library'!I137</f>
        <v/>
      </c>
      <c r="K119" s="9">
        <f>'Pod Library'!J137</f>
        <v/>
      </c>
      <c r="L119" s="13">
        <f>'Pod Plan'!F22</f>
        <v/>
      </c>
      <c r="M119" s="36">
        <f>K119*L119</f>
        <v/>
      </c>
      <c r="N119" s="46">
        <f>M119*INDEX('Logic Tree'!$J$85:$N$87,MATCH(I119,'Logic Tree'!$I$85:$I$87,0),MATCH(H119,'Logic Tree'!$J$84:$N$84,0))</f>
        <v/>
      </c>
    </row>
    <row r="120" ht="15" customHeight="1" s="73">
      <c r="B120" s="19" t="n">
        <v>5</v>
      </c>
      <c r="C120" s="11" t="inlineStr">
        <is>
          <t>TEAM</t>
        </is>
      </c>
      <c r="D120" s="35" t="inlineStr">
        <is>
          <t>POSR</t>
        </is>
      </c>
      <c r="E120" s="35" t="inlineStr">
        <is>
          <t>TEAM</t>
        </is>
      </c>
      <c r="F120" s="49">
        <f>'Pod Library'!E138</f>
        <v/>
      </c>
      <c r="G120" s="43">
        <f>'Pod Library'!F138</f>
        <v/>
      </c>
      <c r="H120" s="43">
        <f>'Pod Library'!G138</f>
        <v/>
      </c>
      <c r="I120" s="43">
        <f>'Pod Library'!H138</f>
        <v/>
      </c>
      <c r="J120" s="43">
        <f>'Pod Library'!I138</f>
        <v/>
      </c>
      <c r="K120" s="9">
        <f>'Pod Library'!J138</f>
        <v/>
      </c>
      <c r="L120" s="13">
        <f>'Pod Plan'!F22</f>
        <v/>
      </c>
      <c r="M120" s="36">
        <f>K120*L120</f>
        <v/>
      </c>
      <c r="N120" s="46">
        <f>M120*INDEX('Logic Tree'!$J$85:$N$87,MATCH(I120,'Logic Tree'!$I$85:$I$87,0),MATCH(H120,'Logic Tree'!$J$84:$N$84,0))</f>
        <v/>
      </c>
    </row>
    <row r="121" ht="15" customHeight="1" s="73">
      <c r="B121" s="19" t="n">
        <v>5</v>
      </c>
      <c r="C121" s="11" t="inlineStr">
        <is>
          <t>TEAM</t>
        </is>
      </c>
      <c r="D121" s="35" t="inlineStr">
        <is>
          <t>POSR</t>
        </is>
      </c>
      <c r="E121" s="35" t="inlineStr">
        <is>
          <t>TEAM</t>
        </is>
      </c>
      <c r="F121" s="49">
        <f>'Pod Library'!E139</f>
        <v/>
      </c>
      <c r="G121" s="43">
        <f>'Pod Library'!F139</f>
        <v/>
      </c>
      <c r="H121" s="43">
        <f>'Pod Library'!G139</f>
        <v/>
      </c>
      <c r="I121" s="43">
        <f>'Pod Library'!H139</f>
        <v/>
      </c>
      <c r="J121" s="43">
        <f>'Pod Library'!I139</f>
        <v/>
      </c>
      <c r="K121" s="9">
        <f>'Pod Library'!J139</f>
        <v/>
      </c>
      <c r="L121" s="13">
        <f>'Pod Plan'!F22</f>
        <v/>
      </c>
      <c r="M121" s="36">
        <f>K121*L121</f>
        <v/>
      </c>
      <c r="N121" s="46">
        <f>M121*INDEX('Logic Tree'!$J$85:$N$87,MATCH(I121,'Logic Tree'!$I$85:$I$87,0),MATCH(H121,'Logic Tree'!$J$84:$N$84,0))</f>
        <v/>
      </c>
    </row>
    <row r="122" ht="15" customHeight="1" s="73">
      <c r="B122" s="19" t="n">
        <v>5</v>
      </c>
      <c r="C122" s="11" t="inlineStr">
        <is>
          <t>TEAM</t>
        </is>
      </c>
      <c r="D122" s="35" t="inlineStr">
        <is>
          <t>POSR</t>
        </is>
      </c>
      <c r="E122" s="35" t="inlineStr">
        <is>
          <t>TEAM</t>
        </is>
      </c>
      <c r="F122" s="49">
        <f>'Pod Library'!E140</f>
        <v/>
      </c>
      <c r="G122" s="43">
        <f>'Pod Library'!F140</f>
        <v/>
      </c>
      <c r="H122" s="43">
        <f>'Pod Library'!G140</f>
        <v/>
      </c>
      <c r="I122" s="43">
        <f>'Pod Library'!H140</f>
        <v/>
      </c>
      <c r="J122" s="43">
        <f>'Pod Library'!I140</f>
        <v/>
      </c>
      <c r="K122" s="9">
        <f>'Pod Library'!J140</f>
        <v/>
      </c>
      <c r="L122" s="13">
        <f>'Pod Plan'!F22</f>
        <v/>
      </c>
      <c r="M122" s="36">
        <f>K122*L122</f>
        <v/>
      </c>
      <c r="N122" s="46">
        <f>M122*INDEX('Logic Tree'!$J$85:$N$87,MATCH(I122,'Logic Tree'!$I$85:$I$87,0),MATCH(H122,'Logic Tree'!$J$84:$N$84,0))</f>
        <v/>
      </c>
    </row>
    <row r="123" ht="15" customHeight="1" s="73">
      <c r="B123" s="19" t="n">
        <v>5</v>
      </c>
      <c r="C123" s="11" t="inlineStr">
        <is>
          <t>TEAM</t>
        </is>
      </c>
      <c r="D123" s="35" t="inlineStr">
        <is>
          <t>POSR</t>
        </is>
      </c>
      <c r="E123" s="35" t="inlineStr">
        <is>
          <t>TEAM</t>
        </is>
      </c>
      <c r="F123" s="49">
        <f>'Pod Library'!E141</f>
        <v/>
      </c>
      <c r="G123" s="43">
        <f>'Pod Library'!F141</f>
        <v/>
      </c>
      <c r="H123" s="43">
        <f>'Pod Library'!G141</f>
        <v/>
      </c>
      <c r="I123" s="43">
        <f>'Pod Library'!H141</f>
        <v/>
      </c>
      <c r="J123" s="43">
        <f>'Pod Library'!I141</f>
        <v/>
      </c>
      <c r="K123" s="9">
        <f>'Pod Library'!J141</f>
        <v/>
      </c>
      <c r="L123" s="13">
        <f>'Pod Plan'!F22</f>
        <v/>
      </c>
      <c r="M123" s="36">
        <f>K123*L123</f>
        <v/>
      </c>
      <c r="N123" s="46">
        <f>M123*INDEX('Logic Tree'!$J$85:$N$87,MATCH(I123,'Logic Tree'!$I$85:$I$87,0),MATCH(H123,'Logic Tree'!$J$84:$N$84,0))</f>
        <v/>
      </c>
    </row>
    <row r="124" ht="15" customHeight="1" s="73">
      <c r="B124" s="19" t="n">
        <v>5</v>
      </c>
      <c r="C124" s="11" t="inlineStr">
        <is>
          <t>TEAM</t>
        </is>
      </c>
      <c r="D124" s="35" t="inlineStr">
        <is>
          <t>POSR</t>
        </is>
      </c>
      <c r="E124" s="35" t="inlineStr">
        <is>
          <t>TEAM</t>
        </is>
      </c>
      <c r="F124" s="49">
        <f>'Pod Library'!E142</f>
        <v/>
      </c>
      <c r="G124" s="43">
        <f>'Pod Library'!F142</f>
        <v/>
      </c>
      <c r="H124" s="43">
        <f>'Pod Library'!G142</f>
        <v/>
      </c>
      <c r="I124" s="43">
        <f>'Pod Library'!H142</f>
        <v/>
      </c>
      <c r="J124" s="43">
        <f>'Pod Library'!I142</f>
        <v/>
      </c>
      <c r="K124" s="9">
        <f>'Pod Library'!J142</f>
        <v/>
      </c>
      <c r="L124" s="13">
        <f>'Pod Plan'!F22</f>
        <v/>
      </c>
      <c r="M124" s="36">
        <f>K124*L124</f>
        <v/>
      </c>
      <c r="N124" s="46">
        <f>M124*INDEX('Logic Tree'!$J$85:$N$87,MATCH(I124,'Logic Tree'!$I$85:$I$87,0),MATCH(H124,'Logic Tree'!$J$84:$N$84,0))</f>
        <v/>
      </c>
    </row>
    <row r="125" ht="15" customHeight="1" s="73">
      <c r="B125" s="19" t="n">
        <v>5</v>
      </c>
      <c r="C125" s="11" t="inlineStr">
        <is>
          <t>TEAM</t>
        </is>
      </c>
      <c r="D125" s="35" t="inlineStr">
        <is>
          <t>POSR</t>
        </is>
      </c>
      <c r="E125" s="35" t="inlineStr">
        <is>
          <t>TEAM</t>
        </is>
      </c>
      <c r="F125" s="49">
        <f>'Pod Library'!E143</f>
        <v/>
      </c>
      <c r="G125" s="43">
        <f>'Pod Library'!F143</f>
        <v/>
      </c>
      <c r="H125" s="43">
        <f>'Pod Library'!G143</f>
        <v/>
      </c>
      <c r="I125" s="43">
        <f>'Pod Library'!H143</f>
        <v/>
      </c>
      <c r="J125" s="43">
        <f>'Pod Library'!I143</f>
        <v/>
      </c>
      <c r="K125" s="9">
        <f>'Pod Library'!J143</f>
        <v/>
      </c>
      <c r="L125" s="13">
        <f>'Pod Plan'!F22</f>
        <v/>
      </c>
      <c r="M125" s="36">
        <f>K125*L125</f>
        <v/>
      </c>
      <c r="N125" s="46">
        <f>M125*INDEX('Logic Tree'!$J$85:$N$87,MATCH(I125,'Logic Tree'!$I$85:$I$87,0),MATCH(H125,'Logic Tree'!$J$84:$N$84,0))</f>
        <v/>
      </c>
    </row>
    <row r="126" ht="15" customHeight="1" s="73">
      <c r="B126" s="19" t="n">
        <v>5</v>
      </c>
      <c r="C126" s="11" t="inlineStr">
        <is>
          <t>TEAM</t>
        </is>
      </c>
      <c r="D126" s="35" t="inlineStr">
        <is>
          <t>POSR</t>
        </is>
      </c>
      <c r="E126" s="35" t="inlineStr">
        <is>
          <t>TEAM</t>
        </is>
      </c>
      <c r="F126" s="49">
        <f>'Pod Library'!E144</f>
        <v/>
      </c>
      <c r="G126" s="43">
        <f>'Pod Library'!F144</f>
        <v/>
      </c>
      <c r="H126" s="43">
        <f>'Pod Library'!G144</f>
        <v/>
      </c>
      <c r="I126" s="43">
        <f>'Pod Library'!H144</f>
        <v/>
      </c>
      <c r="J126" s="43">
        <f>'Pod Library'!I144</f>
        <v/>
      </c>
      <c r="K126" s="9">
        <f>'Pod Library'!J144</f>
        <v/>
      </c>
      <c r="L126" s="13">
        <f>'Pod Plan'!F22</f>
        <v/>
      </c>
      <c r="M126" s="36">
        <f>K126*L126</f>
        <v/>
      </c>
      <c r="N126" s="46">
        <f>M126*INDEX('Logic Tree'!$J$85:$N$87,MATCH(I126,'Logic Tree'!$I$85:$I$87,0),MATCH(H126,'Logic Tree'!$J$84:$N$84,0))</f>
        <v/>
      </c>
    </row>
    <row r="127" ht="15" customHeight="1" s="73">
      <c r="B127" s="19" t="n">
        <v>5</v>
      </c>
      <c r="C127" s="11" t="inlineStr">
        <is>
          <t>TEAM</t>
        </is>
      </c>
      <c r="D127" s="35" t="inlineStr">
        <is>
          <t>POSR</t>
        </is>
      </c>
      <c r="E127" s="35" t="inlineStr">
        <is>
          <t>TEAM</t>
        </is>
      </c>
      <c r="F127" s="49">
        <f>'Pod Library'!E145</f>
        <v/>
      </c>
      <c r="G127" s="43">
        <f>'Pod Library'!F145</f>
        <v/>
      </c>
      <c r="H127" s="43">
        <f>'Pod Library'!G145</f>
        <v/>
      </c>
      <c r="I127" s="43">
        <f>'Pod Library'!H145</f>
        <v/>
      </c>
      <c r="J127" s="43">
        <f>'Pod Library'!I145</f>
        <v/>
      </c>
      <c r="K127" s="9">
        <f>'Pod Library'!J145</f>
        <v/>
      </c>
      <c r="L127" s="13">
        <f>'Pod Plan'!F22</f>
        <v/>
      </c>
      <c r="M127" s="36">
        <f>K127*L127</f>
        <v/>
      </c>
      <c r="N127" s="46">
        <f>M127*INDEX('Logic Tree'!$J$85:$N$87,MATCH(I127,'Logic Tree'!$I$85:$I$87,0),MATCH(H127,'Logic Tree'!$J$84:$N$84,0))</f>
        <v/>
      </c>
    </row>
    <row r="128" ht="15" customHeight="1" s="73">
      <c r="B128" s="19" t="n">
        <v>5</v>
      </c>
      <c r="C128" s="11" t="inlineStr">
        <is>
          <t>TEAM</t>
        </is>
      </c>
      <c r="D128" s="35" t="inlineStr">
        <is>
          <t>POSR</t>
        </is>
      </c>
      <c r="E128" s="35" t="inlineStr">
        <is>
          <t>TEAM</t>
        </is>
      </c>
      <c r="F128" s="49">
        <f>'Pod Library'!E146</f>
        <v/>
      </c>
      <c r="G128" s="43">
        <f>'Pod Library'!F146</f>
        <v/>
      </c>
      <c r="H128" s="43">
        <f>'Pod Library'!G146</f>
        <v/>
      </c>
      <c r="I128" s="43">
        <f>'Pod Library'!H146</f>
        <v/>
      </c>
      <c r="J128" s="43">
        <f>'Pod Library'!I146</f>
        <v/>
      </c>
      <c r="K128" s="9">
        <f>'Pod Library'!J146</f>
        <v/>
      </c>
      <c r="L128" s="13">
        <f>'Pod Plan'!F22</f>
        <v/>
      </c>
      <c r="M128" s="36">
        <f>K128*L128</f>
        <v/>
      </c>
      <c r="N128" s="46">
        <f>M128*INDEX('Logic Tree'!$J$85:$N$87,MATCH(I128,'Logic Tree'!$I$85:$I$87,0),MATCH(H128,'Logic Tree'!$J$84:$N$84,0))</f>
        <v/>
      </c>
    </row>
    <row r="129" ht="15" customHeight="1" s="73">
      <c r="B129" s="19">
        <f>'Horizontal Teams'!B5</f>
        <v/>
      </c>
      <c r="C129" s="11" t="inlineStr">
        <is>
          <t>HZ</t>
        </is>
      </c>
      <c r="D129" s="43">
        <f>'Horizontal Teams'!C5</f>
        <v/>
      </c>
      <c r="E129" s="35" t="inlineStr">
        <is>
          <t>HZ</t>
        </is>
      </c>
      <c r="F129" s="49">
        <f>'Horizontal Teams'!E5</f>
        <v/>
      </c>
      <c r="G129" s="43">
        <f>'Horizontal Teams'!D5</f>
        <v/>
      </c>
      <c r="H129" s="43">
        <f>'Horizontal Teams'!F5</f>
        <v/>
      </c>
      <c r="I129" s="43">
        <f>'Horizontal Teams'!G5</f>
        <v/>
      </c>
      <c r="J129" s="43">
        <f>'Horizontal Teams'!H5</f>
        <v/>
      </c>
      <c r="K129" s="9">
        <f>'Horizontal Teams'!I5</f>
        <v/>
      </c>
      <c r="L129" s="19" t="n">
        <v>1</v>
      </c>
      <c r="M129" s="36">
        <f>K129*L129</f>
        <v/>
      </c>
      <c r="N129" s="46">
        <f>M129*INDEX('Logic Tree'!$J$85:$N$87,MATCH(I129,'Logic Tree'!$I$85:$I$87,0),MATCH(H129,'Logic Tree'!$J$84:$N$84,0))</f>
        <v/>
      </c>
    </row>
    <row r="130" ht="15" customHeight="1" s="73">
      <c r="B130" s="19">
        <f>'Horizontal Teams'!B6</f>
        <v/>
      </c>
      <c r="C130" s="11" t="inlineStr">
        <is>
          <t>HZ</t>
        </is>
      </c>
      <c r="D130" s="43">
        <f>'Horizontal Teams'!C6</f>
        <v/>
      </c>
      <c r="E130" s="35" t="inlineStr">
        <is>
          <t>HZ</t>
        </is>
      </c>
      <c r="F130" s="49">
        <f>'Horizontal Teams'!E6</f>
        <v/>
      </c>
      <c r="G130" s="43">
        <f>'Horizontal Teams'!D6</f>
        <v/>
      </c>
      <c r="H130" s="43">
        <f>'Horizontal Teams'!F6</f>
        <v/>
      </c>
      <c r="I130" s="43">
        <f>'Horizontal Teams'!G6</f>
        <v/>
      </c>
      <c r="J130" s="43">
        <f>'Horizontal Teams'!H6</f>
        <v/>
      </c>
      <c r="K130" s="9">
        <f>'Horizontal Teams'!I6</f>
        <v/>
      </c>
      <c r="L130" s="19" t="n">
        <v>1</v>
      </c>
      <c r="M130" s="36">
        <f>K130*L130</f>
        <v/>
      </c>
      <c r="N130" s="46">
        <f>M130*INDEX('Logic Tree'!$J$85:$N$87,MATCH(I130,'Logic Tree'!$I$85:$I$87,0),MATCH(H130,'Logic Tree'!$J$84:$N$84,0))</f>
        <v/>
      </c>
    </row>
    <row r="131" ht="15" customHeight="1" s="73">
      <c r="B131" s="19">
        <f>'Horizontal Teams'!B7</f>
        <v/>
      </c>
      <c r="C131" s="11" t="inlineStr">
        <is>
          <t>HZ</t>
        </is>
      </c>
      <c r="D131" s="43">
        <f>'Horizontal Teams'!C7</f>
        <v/>
      </c>
      <c r="E131" s="35" t="inlineStr">
        <is>
          <t>HZ</t>
        </is>
      </c>
      <c r="F131" s="49">
        <f>'Horizontal Teams'!E7</f>
        <v/>
      </c>
      <c r="G131" s="43">
        <f>'Horizontal Teams'!D7</f>
        <v/>
      </c>
      <c r="H131" s="43">
        <f>'Horizontal Teams'!F7</f>
        <v/>
      </c>
      <c r="I131" s="43">
        <f>'Horizontal Teams'!G7</f>
        <v/>
      </c>
      <c r="J131" s="43">
        <f>'Horizontal Teams'!H7</f>
        <v/>
      </c>
      <c r="K131" s="9">
        <f>'Horizontal Teams'!I7</f>
        <v/>
      </c>
      <c r="L131" s="19" t="n">
        <v>1</v>
      </c>
      <c r="M131" s="36">
        <f>K131*L131</f>
        <v/>
      </c>
      <c r="N131" s="46">
        <f>M131*INDEX('Logic Tree'!$J$85:$N$87,MATCH(I131,'Logic Tree'!$I$85:$I$87,0),MATCH(H131,'Logic Tree'!$J$84:$N$84,0))</f>
        <v/>
      </c>
    </row>
    <row r="132" ht="15" customHeight="1" s="73">
      <c r="B132" s="19">
        <f>'Horizontal Teams'!B8</f>
        <v/>
      </c>
      <c r="C132" s="11" t="inlineStr">
        <is>
          <t>HZ</t>
        </is>
      </c>
      <c r="D132" s="43">
        <f>'Horizontal Teams'!C8</f>
        <v/>
      </c>
      <c r="E132" s="35" t="inlineStr">
        <is>
          <t>HZ</t>
        </is>
      </c>
      <c r="F132" s="49">
        <f>'Horizontal Teams'!E8</f>
        <v/>
      </c>
      <c r="G132" s="43">
        <f>'Horizontal Teams'!D8</f>
        <v/>
      </c>
      <c r="H132" s="43">
        <f>'Horizontal Teams'!F8</f>
        <v/>
      </c>
      <c r="I132" s="43">
        <f>'Horizontal Teams'!G8</f>
        <v/>
      </c>
      <c r="J132" s="43">
        <f>'Horizontal Teams'!H8</f>
        <v/>
      </c>
      <c r="K132" s="9">
        <f>'Horizontal Teams'!I8</f>
        <v/>
      </c>
      <c r="L132" s="19" t="n">
        <v>1</v>
      </c>
      <c r="M132" s="36">
        <f>K132*L132</f>
        <v/>
      </c>
      <c r="N132" s="46">
        <f>M132*INDEX('Logic Tree'!$J$85:$N$87,MATCH(I132,'Logic Tree'!$I$85:$I$87,0),MATCH(H132,'Logic Tree'!$J$84:$N$84,0))</f>
        <v/>
      </c>
    </row>
    <row r="133" ht="15" customHeight="1" s="73">
      <c r="B133" s="19">
        <f>'Horizontal Teams'!B9</f>
        <v/>
      </c>
      <c r="C133" s="11" t="inlineStr">
        <is>
          <t>HZ</t>
        </is>
      </c>
      <c r="D133" s="43">
        <f>'Horizontal Teams'!C9</f>
        <v/>
      </c>
      <c r="E133" s="35" t="inlineStr">
        <is>
          <t>HZ</t>
        </is>
      </c>
      <c r="F133" s="49">
        <f>'Horizontal Teams'!E9</f>
        <v/>
      </c>
      <c r="G133" s="43">
        <f>'Horizontal Teams'!D9</f>
        <v/>
      </c>
      <c r="H133" s="43">
        <f>'Horizontal Teams'!F9</f>
        <v/>
      </c>
      <c r="I133" s="43">
        <f>'Horizontal Teams'!G9</f>
        <v/>
      </c>
      <c r="J133" s="43">
        <f>'Horizontal Teams'!H9</f>
        <v/>
      </c>
      <c r="K133" s="9">
        <f>'Horizontal Teams'!I9</f>
        <v/>
      </c>
      <c r="L133" s="19" t="n">
        <v>1</v>
      </c>
      <c r="M133" s="36">
        <f>K133*L133</f>
        <v/>
      </c>
      <c r="N133" s="46">
        <f>M133*INDEX('Logic Tree'!$J$85:$N$87,MATCH(I133,'Logic Tree'!$I$85:$I$87,0),MATCH(H133,'Logic Tree'!$J$84:$N$84,0))</f>
        <v/>
      </c>
    </row>
    <row r="134" ht="15" customHeight="1" s="73">
      <c r="B134" s="19">
        <f>'Horizontal Teams'!B10</f>
        <v/>
      </c>
      <c r="C134" s="11" t="inlineStr">
        <is>
          <t>HZ</t>
        </is>
      </c>
      <c r="D134" s="43">
        <f>'Horizontal Teams'!C10</f>
        <v/>
      </c>
      <c r="E134" s="35" t="inlineStr">
        <is>
          <t>HZ</t>
        </is>
      </c>
      <c r="F134" s="49">
        <f>'Horizontal Teams'!E10</f>
        <v/>
      </c>
      <c r="G134" s="43">
        <f>'Horizontal Teams'!D10</f>
        <v/>
      </c>
      <c r="H134" s="43">
        <f>'Horizontal Teams'!F10</f>
        <v/>
      </c>
      <c r="I134" s="43">
        <f>'Horizontal Teams'!G10</f>
        <v/>
      </c>
      <c r="J134" s="43">
        <f>'Horizontal Teams'!H10</f>
        <v/>
      </c>
      <c r="K134" s="9">
        <f>'Horizontal Teams'!I10</f>
        <v/>
      </c>
      <c r="L134" s="19" t="n">
        <v>1</v>
      </c>
      <c r="M134" s="36">
        <f>K134*L134</f>
        <v/>
      </c>
      <c r="N134" s="46">
        <f>M134*INDEX('Logic Tree'!$J$85:$N$87,MATCH(I134,'Logic Tree'!$I$85:$I$87,0),MATCH(H134,'Logic Tree'!$J$84:$N$84,0))</f>
        <v/>
      </c>
    </row>
    <row r="135" ht="15" customHeight="1" s="73">
      <c r="B135" s="19">
        <f>'Horizontal Teams'!B11</f>
        <v/>
      </c>
      <c r="C135" s="11" t="inlineStr">
        <is>
          <t>HZ</t>
        </is>
      </c>
      <c r="D135" s="43">
        <f>'Horizontal Teams'!C11</f>
        <v/>
      </c>
      <c r="E135" s="35" t="inlineStr">
        <is>
          <t>HZ</t>
        </is>
      </c>
      <c r="F135" s="49">
        <f>'Horizontal Teams'!E11</f>
        <v/>
      </c>
      <c r="G135" s="43">
        <f>'Horizontal Teams'!D11</f>
        <v/>
      </c>
      <c r="H135" s="43">
        <f>'Horizontal Teams'!F11</f>
        <v/>
      </c>
      <c r="I135" s="43">
        <f>'Horizontal Teams'!G11</f>
        <v/>
      </c>
      <c r="J135" s="43">
        <f>'Horizontal Teams'!H11</f>
        <v/>
      </c>
      <c r="K135" s="9">
        <f>'Horizontal Teams'!I11</f>
        <v/>
      </c>
      <c r="L135" s="19" t="n">
        <v>1</v>
      </c>
      <c r="M135" s="36">
        <f>K135*L135</f>
        <v/>
      </c>
      <c r="N135" s="46">
        <f>M135*INDEX('Logic Tree'!$J$85:$N$87,MATCH(I135,'Logic Tree'!$I$85:$I$87,0),MATCH(H135,'Logic Tree'!$J$84:$N$84,0))</f>
        <v/>
      </c>
    </row>
    <row r="136" ht="15" customHeight="1" s="73">
      <c r="B136" s="19">
        <f>'Horizontal Teams'!B12</f>
        <v/>
      </c>
      <c r="C136" s="11" t="inlineStr">
        <is>
          <t>HZ</t>
        </is>
      </c>
      <c r="D136" s="43">
        <f>'Horizontal Teams'!C12</f>
        <v/>
      </c>
      <c r="E136" s="35" t="inlineStr">
        <is>
          <t>HZ</t>
        </is>
      </c>
      <c r="F136" s="49">
        <f>'Horizontal Teams'!E12</f>
        <v/>
      </c>
      <c r="G136" s="43">
        <f>'Horizontal Teams'!D12</f>
        <v/>
      </c>
      <c r="H136" s="43">
        <f>'Horizontal Teams'!F12</f>
        <v/>
      </c>
      <c r="I136" s="43">
        <f>'Horizontal Teams'!G12</f>
        <v/>
      </c>
      <c r="J136" s="43">
        <f>'Horizontal Teams'!H12</f>
        <v/>
      </c>
      <c r="K136" s="9">
        <f>'Horizontal Teams'!I12</f>
        <v/>
      </c>
      <c r="L136" s="19" t="n">
        <v>1</v>
      </c>
      <c r="M136" s="36">
        <f>K136*L136</f>
        <v/>
      </c>
      <c r="N136" s="46">
        <f>M136*INDEX('Logic Tree'!$J$85:$N$87,MATCH(I136,'Logic Tree'!$I$85:$I$87,0),MATCH(H136,'Logic Tree'!$J$84:$N$84,0))</f>
        <v/>
      </c>
    </row>
    <row r="137" ht="15" customHeight="1" s="73">
      <c r="B137" s="19">
        <f>'Horizontal Teams'!B13</f>
        <v/>
      </c>
      <c r="C137" s="11" t="inlineStr">
        <is>
          <t>HZ</t>
        </is>
      </c>
      <c r="D137" s="43">
        <f>'Horizontal Teams'!C13</f>
        <v/>
      </c>
      <c r="E137" s="35" t="inlineStr">
        <is>
          <t>HZ</t>
        </is>
      </c>
      <c r="F137" s="49">
        <f>'Horizontal Teams'!E13</f>
        <v/>
      </c>
      <c r="G137" s="43">
        <f>'Horizontal Teams'!D13</f>
        <v/>
      </c>
      <c r="H137" s="43">
        <f>'Horizontal Teams'!F13</f>
        <v/>
      </c>
      <c r="I137" s="43">
        <f>'Horizontal Teams'!G13</f>
        <v/>
      </c>
      <c r="J137" s="43">
        <f>'Horizontal Teams'!H13</f>
        <v/>
      </c>
      <c r="K137" s="9">
        <f>'Horizontal Teams'!I13</f>
        <v/>
      </c>
      <c r="L137" s="19" t="n">
        <v>1</v>
      </c>
      <c r="M137" s="36">
        <f>K137*L137</f>
        <v/>
      </c>
      <c r="N137" s="46">
        <f>M137*INDEX('Logic Tree'!$J$85:$N$87,MATCH(I137,'Logic Tree'!$I$85:$I$87,0),MATCH(H137,'Logic Tree'!$J$84:$N$84,0))</f>
        <v/>
      </c>
    </row>
    <row r="138" ht="15" customHeight="1" s="73">
      <c r="B138" s="19">
        <f>'Horizontal Teams'!B14</f>
        <v/>
      </c>
      <c r="C138" s="11" t="inlineStr">
        <is>
          <t>HZ</t>
        </is>
      </c>
      <c r="D138" s="43">
        <f>'Horizontal Teams'!C14</f>
        <v/>
      </c>
      <c r="E138" s="35" t="inlineStr">
        <is>
          <t>HZ</t>
        </is>
      </c>
      <c r="F138" s="49">
        <f>'Horizontal Teams'!E14</f>
        <v/>
      </c>
      <c r="G138" s="43">
        <f>'Horizontal Teams'!D14</f>
        <v/>
      </c>
      <c r="H138" s="43">
        <f>'Horizontal Teams'!F14</f>
        <v/>
      </c>
      <c r="I138" s="43">
        <f>'Horizontal Teams'!G14</f>
        <v/>
      </c>
      <c r="J138" s="43">
        <f>'Horizontal Teams'!H14</f>
        <v/>
      </c>
      <c r="K138" s="9">
        <f>'Horizontal Teams'!I14</f>
        <v/>
      </c>
      <c r="L138" s="19" t="n">
        <v>1</v>
      </c>
      <c r="M138" s="36">
        <f>K138*L138</f>
        <v/>
      </c>
      <c r="N138" s="46">
        <f>M138*INDEX('Logic Tree'!$J$85:$N$87,MATCH(I138,'Logic Tree'!$I$85:$I$87,0),MATCH(H138,'Logic Tree'!$J$84:$N$84,0))</f>
        <v/>
      </c>
    </row>
    <row r="139" ht="15" customHeight="1" s="73">
      <c r="B139" s="19">
        <f>'Horizontal Teams'!B15</f>
        <v/>
      </c>
      <c r="C139" s="11" t="inlineStr">
        <is>
          <t>HZ</t>
        </is>
      </c>
      <c r="D139" s="43">
        <f>'Horizontal Teams'!C15</f>
        <v/>
      </c>
      <c r="E139" s="35" t="inlineStr">
        <is>
          <t>HZ</t>
        </is>
      </c>
      <c r="F139" s="49">
        <f>'Horizontal Teams'!E15</f>
        <v/>
      </c>
      <c r="G139" s="43">
        <f>'Horizontal Teams'!D15</f>
        <v/>
      </c>
      <c r="H139" s="43">
        <f>'Horizontal Teams'!F15</f>
        <v/>
      </c>
      <c r="I139" s="43">
        <f>'Horizontal Teams'!G15</f>
        <v/>
      </c>
      <c r="J139" s="43">
        <f>'Horizontal Teams'!H15</f>
        <v/>
      </c>
      <c r="K139" s="9">
        <f>'Horizontal Teams'!I15</f>
        <v/>
      </c>
      <c r="L139" s="19" t="n">
        <v>1</v>
      </c>
      <c r="M139" s="36">
        <f>K139*L139</f>
        <v/>
      </c>
      <c r="N139" s="46">
        <f>M139*INDEX('Logic Tree'!$J$85:$N$87,MATCH(I139,'Logic Tree'!$I$85:$I$87,0),MATCH(H139,'Logic Tree'!$J$84:$N$84,0))</f>
        <v/>
      </c>
    </row>
    <row r="140" ht="15" customHeight="1" s="73">
      <c r="B140" s="19">
        <f>'Horizontal Teams'!B16</f>
        <v/>
      </c>
      <c r="C140" s="11" t="inlineStr">
        <is>
          <t>HZ</t>
        </is>
      </c>
      <c r="D140" s="43">
        <f>'Horizontal Teams'!C16</f>
        <v/>
      </c>
      <c r="E140" s="35" t="inlineStr">
        <is>
          <t>HZ</t>
        </is>
      </c>
      <c r="F140" s="49">
        <f>'Horizontal Teams'!E16</f>
        <v/>
      </c>
      <c r="G140" s="43">
        <f>'Horizontal Teams'!D16</f>
        <v/>
      </c>
      <c r="H140" s="43">
        <f>'Horizontal Teams'!F16</f>
        <v/>
      </c>
      <c r="I140" s="43">
        <f>'Horizontal Teams'!G16</f>
        <v/>
      </c>
      <c r="J140" s="43">
        <f>'Horizontal Teams'!H16</f>
        <v/>
      </c>
      <c r="K140" s="9">
        <f>'Horizontal Teams'!I16</f>
        <v/>
      </c>
      <c r="L140" s="19" t="n">
        <v>1</v>
      </c>
      <c r="M140" s="36">
        <f>K140*L140</f>
        <v/>
      </c>
      <c r="N140" s="46">
        <f>M140*INDEX('Logic Tree'!$J$85:$N$87,MATCH(I140,'Logic Tree'!$I$85:$I$87,0),MATCH(H140,'Logic Tree'!$J$84:$N$84,0))</f>
        <v/>
      </c>
    </row>
    <row r="141" ht="15" customHeight="1" s="73">
      <c r="B141" s="19">
        <f>'Horizontal Teams'!B17</f>
        <v/>
      </c>
      <c r="C141" s="11" t="inlineStr">
        <is>
          <t>HZ</t>
        </is>
      </c>
      <c r="D141" s="43">
        <f>'Horizontal Teams'!C17</f>
        <v/>
      </c>
      <c r="E141" s="35" t="inlineStr">
        <is>
          <t>HZ</t>
        </is>
      </c>
      <c r="F141" s="49">
        <f>'Horizontal Teams'!E17</f>
        <v/>
      </c>
      <c r="G141" s="43">
        <f>'Horizontal Teams'!D17</f>
        <v/>
      </c>
      <c r="H141" s="43">
        <f>'Horizontal Teams'!F17</f>
        <v/>
      </c>
      <c r="I141" s="43">
        <f>'Horizontal Teams'!G17</f>
        <v/>
      </c>
      <c r="J141" s="43">
        <f>'Horizontal Teams'!H17</f>
        <v/>
      </c>
      <c r="K141" s="9">
        <f>'Horizontal Teams'!I17</f>
        <v/>
      </c>
      <c r="L141" s="19" t="n">
        <v>1</v>
      </c>
      <c r="M141" s="36">
        <f>K141*L141</f>
        <v/>
      </c>
      <c r="N141" s="46">
        <f>M141*INDEX('Logic Tree'!$J$85:$N$87,MATCH(I141,'Logic Tree'!$I$85:$I$87,0),MATCH(H141,'Logic Tree'!$J$84:$N$84,0))</f>
        <v/>
      </c>
    </row>
    <row r="142" ht="15" customHeight="1" s="73">
      <c r="B142" s="19">
        <f>'Horizontal Teams'!B20</f>
        <v/>
      </c>
      <c r="C142" s="11" t="inlineStr">
        <is>
          <t>HZ</t>
        </is>
      </c>
      <c r="D142" s="43">
        <f>'Horizontal Teams'!C20</f>
        <v/>
      </c>
      <c r="E142" s="35" t="inlineStr">
        <is>
          <t>HZ</t>
        </is>
      </c>
      <c r="F142" s="49">
        <f>'Horizontal Teams'!E20</f>
        <v/>
      </c>
      <c r="G142" s="43">
        <f>'Horizontal Teams'!D20</f>
        <v/>
      </c>
      <c r="H142" s="43">
        <f>'Horizontal Teams'!F20</f>
        <v/>
      </c>
      <c r="I142" s="43">
        <f>'Horizontal Teams'!G20</f>
        <v/>
      </c>
      <c r="J142" s="43">
        <f>'Horizontal Teams'!H20</f>
        <v/>
      </c>
      <c r="K142" s="9">
        <f>'Horizontal Teams'!I20</f>
        <v/>
      </c>
      <c r="L142" s="19" t="n">
        <v>1</v>
      </c>
      <c r="M142" s="36">
        <f>K142*L142</f>
        <v/>
      </c>
      <c r="N142" s="46">
        <f>M142*INDEX('Logic Tree'!$J$85:$N$87,MATCH(I142,'Logic Tree'!$I$85:$I$87,0),MATCH(H142,'Logic Tree'!$J$84:$N$84,0))</f>
        <v/>
      </c>
    </row>
    <row r="143" ht="15" customHeight="1" s="73">
      <c r="B143" s="19">
        <f>'Horizontal Teams'!B21</f>
        <v/>
      </c>
      <c r="C143" s="11" t="inlineStr">
        <is>
          <t>HZ</t>
        </is>
      </c>
      <c r="D143" s="43">
        <f>'Horizontal Teams'!C21</f>
        <v/>
      </c>
      <c r="E143" s="35" t="inlineStr">
        <is>
          <t>HZ</t>
        </is>
      </c>
      <c r="F143" s="49">
        <f>'Horizontal Teams'!E21</f>
        <v/>
      </c>
      <c r="G143" s="43">
        <f>'Horizontal Teams'!D21</f>
        <v/>
      </c>
      <c r="H143" s="43">
        <f>'Horizontal Teams'!F21</f>
        <v/>
      </c>
      <c r="I143" s="43">
        <f>'Horizontal Teams'!G21</f>
        <v/>
      </c>
      <c r="J143" s="43">
        <f>'Horizontal Teams'!H21</f>
        <v/>
      </c>
      <c r="K143" s="9">
        <f>'Horizontal Teams'!I21</f>
        <v/>
      </c>
      <c r="L143" s="19" t="n">
        <v>1</v>
      </c>
      <c r="M143" s="36">
        <f>K143*L143</f>
        <v/>
      </c>
      <c r="N143" s="46">
        <f>M143*INDEX('Logic Tree'!$J$85:$N$87,MATCH(I143,'Logic Tree'!$I$85:$I$87,0),MATCH(H143,'Logic Tree'!$J$84:$N$84,0))</f>
        <v/>
      </c>
    </row>
    <row r="144" ht="15" customHeight="1" s="73">
      <c r="B144" s="19">
        <f>'Horizontal Teams'!B22</f>
        <v/>
      </c>
      <c r="C144" s="11" t="inlineStr">
        <is>
          <t>HZ</t>
        </is>
      </c>
      <c r="D144" s="43">
        <f>'Horizontal Teams'!C22</f>
        <v/>
      </c>
      <c r="E144" s="35" t="inlineStr">
        <is>
          <t>HZ</t>
        </is>
      </c>
      <c r="F144" s="49">
        <f>'Horizontal Teams'!E22</f>
        <v/>
      </c>
      <c r="G144" s="43">
        <f>'Horizontal Teams'!D22</f>
        <v/>
      </c>
      <c r="H144" s="43">
        <f>'Horizontal Teams'!F22</f>
        <v/>
      </c>
      <c r="I144" s="43">
        <f>'Horizontal Teams'!G22</f>
        <v/>
      </c>
      <c r="J144" s="43">
        <f>'Horizontal Teams'!H22</f>
        <v/>
      </c>
      <c r="K144" s="9">
        <f>'Horizontal Teams'!I22</f>
        <v/>
      </c>
      <c r="L144" s="19" t="n">
        <v>1</v>
      </c>
      <c r="M144" s="36">
        <f>K144*L144</f>
        <v/>
      </c>
      <c r="N144" s="46">
        <f>M144*INDEX('Logic Tree'!$J$85:$N$87,MATCH(I144,'Logic Tree'!$I$85:$I$87,0),MATCH(H144,'Logic Tree'!$J$84:$N$84,0))</f>
        <v/>
      </c>
    </row>
    <row r="145" ht="15" customHeight="1" s="73">
      <c r="B145" s="19">
        <f>'Horizontal Teams'!B23</f>
        <v/>
      </c>
      <c r="C145" s="11" t="inlineStr">
        <is>
          <t>HZ</t>
        </is>
      </c>
      <c r="D145" s="43">
        <f>'Horizontal Teams'!C23</f>
        <v/>
      </c>
      <c r="E145" s="35" t="inlineStr">
        <is>
          <t>HZ</t>
        </is>
      </c>
      <c r="F145" s="49">
        <f>'Horizontal Teams'!E23</f>
        <v/>
      </c>
      <c r="G145" s="43">
        <f>'Horizontal Teams'!D23</f>
        <v/>
      </c>
      <c r="H145" s="43">
        <f>'Horizontal Teams'!F23</f>
        <v/>
      </c>
      <c r="I145" s="43">
        <f>'Horizontal Teams'!G23</f>
        <v/>
      </c>
      <c r="J145" s="43">
        <f>'Horizontal Teams'!H23</f>
        <v/>
      </c>
      <c r="K145" s="9">
        <f>'Horizontal Teams'!I23</f>
        <v/>
      </c>
      <c r="L145" s="19" t="n">
        <v>1</v>
      </c>
      <c r="M145" s="36">
        <f>K145*L145</f>
        <v/>
      </c>
      <c r="N145" s="46">
        <f>M145*INDEX('Logic Tree'!$J$85:$N$87,MATCH(I145,'Logic Tree'!$I$85:$I$87,0),MATCH(H145,'Logic Tree'!$J$84:$N$84,0))</f>
        <v/>
      </c>
    </row>
    <row r="146" ht="15" customHeight="1" s="73">
      <c r="B146" s="19">
        <f>'Horizontal Teams'!B24</f>
        <v/>
      </c>
      <c r="C146" s="11" t="inlineStr">
        <is>
          <t>HZ</t>
        </is>
      </c>
      <c r="D146" s="43">
        <f>'Horizontal Teams'!C24</f>
        <v/>
      </c>
      <c r="E146" s="35" t="inlineStr">
        <is>
          <t>HZ</t>
        </is>
      </c>
      <c r="F146" s="49">
        <f>'Horizontal Teams'!E24</f>
        <v/>
      </c>
      <c r="G146" s="43">
        <f>'Horizontal Teams'!D24</f>
        <v/>
      </c>
      <c r="H146" s="43">
        <f>'Horizontal Teams'!F24</f>
        <v/>
      </c>
      <c r="I146" s="43">
        <f>'Horizontal Teams'!G24</f>
        <v/>
      </c>
      <c r="J146" s="43">
        <f>'Horizontal Teams'!H24</f>
        <v/>
      </c>
      <c r="K146" s="9">
        <f>'Horizontal Teams'!I24</f>
        <v/>
      </c>
      <c r="L146" s="19" t="n">
        <v>1</v>
      </c>
      <c r="M146" s="36">
        <f>K146*L146</f>
        <v/>
      </c>
      <c r="N146" s="46">
        <f>M146*INDEX('Logic Tree'!$J$85:$N$87,MATCH(I146,'Logic Tree'!$I$85:$I$87,0),MATCH(H146,'Logic Tree'!$J$84:$N$84,0))</f>
        <v/>
      </c>
    </row>
    <row r="147" ht="15" customHeight="1" s="73">
      <c r="B147" s="19">
        <f>'Horizontal Teams'!B25</f>
        <v/>
      </c>
      <c r="C147" s="11" t="inlineStr">
        <is>
          <t>HZ</t>
        </is>
      </c>
      <c r="D147" s="43">
        <f>'Horizontal Teams'!C25</f>
        <v/>
      </c>
      <c r="E147" s="35" t="inlineStr">
        <is>
          <t>HZ</t>
        </is>
      </c>
      <c r="F147" s="49">
        <f>'Horizontal Teams'!E25</f>
        <v/>
      </c>
      <c r="G147" s="43">
        <f>'Horizontal Teams'!D25</f>
        <v/>
      </c>
      <c r="H147" s="43">
        <f>'Horizontal Teams'!F25</f>
        <v/>
      </c>
      <c r="I147" s="43">
        <f>'Horizontal Teams'!G25</f>
        <v/>
      </c>
      <c r="J147" s="43">
        <f>'Horizontal Teams'!H25</f>
        <v/>
      </c>
      <c r="K147" s="9">
        <f>'Horizontal Teams'!I25</f>
        <v/>
      </c>
      <c r="L147" s="19" t="n">
        <v>1</v>
      </c>
      <c r="M147" s="36">
        <f>K147*L147</f>
        <v/>
      </c>
      <c r="N147" s="46">
        <f>M147*INDEX('Logic Tree'!$J$85:$N$87,MATCH(I147,'Logic Tree'!$I$85:$I$87,0),MATCH(H147,'Logic Tree'!$J$84:$N$84,0))</f>
        <v/>
      </c>
    </row>
    <row r="148" ht="15" customHeight="1" s="73">
      <c r="B148" s="19">
        <f>'Horizontal Teams'!B26</f>
        <v/>
      </c>
      <c r="C148" s="11" t="inlineStr">
        <is>
          <t>HZ</t>
        </is>
      </c>
      <c r="D148" s="43">
        <f>'Horizontal Teams'!C26</f>
        <v/>
      </c>
      <c r="E148" s="35" t="inlineStr">
        <is>
          <t>HZ</t>
        </is>
      </c>
      <c r="F148" s="49">
        <f>'Horizontal Teams'!E26</f>
        <v/>
      </c>
      <c r="G148" s="43">
        <f>'Horizontal Teams'!D26</f>
        <v/>
      </c>
      <c r="H148" s="43">
        <f>'Horizontal Teams'!F26</f>
        <v/>
      </c>
      <c r="I148" s="43">
        <f>'Horizontal Teams'!G26</f>
        <v/>
      </c>
      <c r="J148" s="43">
        <f>'Horizontal Teams'!H26</f>
        <v/>
      </c>
      <c r="K148" s="9">
        <f>'Horizontal Teams'!I26</f>
        <v/>
      </c>
      <c r="L148" s="19" t="n">
        <v>1</v>
      </c>
      <c r="M148" s="36">
        <f>K148*L148</f>
        <v/>
      </c>
      <c r="N148" s="46">
        <f>M148*INDEX('Logic Tree'!$J$85:$N$87,MATCH(I148,'Logic Tree'!$I$85:$I$87,0),MATCH(H148,'Logic Tree'!$J$84:$N$84,0))</f>
        <v/>
      </c>
    </row>
    <row r="149" ht="15" customHeight="1" s="73">
      <c r="B149" s="19">
        <f>'Horizontal Teams'!B27</f>
        <v/>
      </c>
      <c r="C149" s="11" t="inlineStr">
        <is>
          <t>HZ</t>
        </is>
      </c>
      <c r="D149" s="43">
        <f>'Horizontal Teams'!C27</f>
        <v/>
      </c>
      <c r="E149" s="35" t="inlineStr">
        <is>
          <t>HZ</t>
        </is>
      </c>
      <c r="F149" s="49">
        <f>'Horizontal Teams'!E27</f>
        <v/>
      </c>
      <c r="G149" s="43">
        <f>'Horizontal Teams'!D27</f>
        <v/>
      </c>
      <c r="H149" s="43">
        <f>'Horizontal Teams'!F27</f>
        <v/>
      </c>
      <c r="I149" s="43">
        <f>'Horizontal Teams'!G27</f>
        <v/>
      </c>
      <c r="J149" s="43">
        <f>'Horizontal Teams'!H27</f>
        <v/>
      </c>
      <c r="K149" s="9">
        <f>'Horizontal Teams'!I27</f>
        <v/>
      </c>
      <c r="L149" s="19" t="n">
        <v>1</v>
      </c>
      <c r="M149" s="36">
        <f>K149*L149</f>
        <v/>
      </c>
      <c r="N149" s="46">
        <f>M149*INDEX('Logic Tree'!$J$85:$N$87,MATCH(I149,'Logic Tree'!$I$85:$I$87,0),MATCH(H149,'Logic Tree'!$J$84:$N$84,0))</f>
        <v/>
      </c>
    </row>
    <row r="150" ht="15" customHeight="1" s="73">
      <c r="B150" s="19">
        <f>'Horizontal Teams'!B28</f>
        <v/>
      </c>
      <c r="C150" s="11" t="inlineStr">
        <is>
          <t>HZ</t>
        </is>
      </c>
      <c r="D150" s="43">
        <f>'Horizontal Teams'!C28</f>
        <v/>
      </c>
      <c r="E150" s="35" t="inlineStr">
        <is>
          <t>HZ</t>
        </is>
      </c>
      <c r="F150" s="49">
        <f>'Horizontal Teams'!E28</f>
        <v/>
      </c>
      <c r="G150" s="43">
        <f>'Horizontal Teams'!D28</f>
        <v/>
      </c>
      <c r="H150" s="43">
        <f>'Horizontal Teams'!F28</f>
        <v/>
      </c>
      <c r="I150" s="43">
        <f>'Horizontal Teams'!G28</f>
        <v/>
      </c>
      <c r="J150" s="43">
        <f>'Horizontal Teams'!H28</f>
        <v/>
      </c>
      <c r="K150" s="9">
        <f>'Horizontal Teams'!I28</f>
        <v/>
      </c>
      <c r="L150" s="19" t="n">
        <v>1</v>
      </c>
      <c r="M150" s="36">
        <f>K150*L150</f>
        <v/>
      </c>
      <c r="N150" s="46">
        <f>M150*INDEX('Logic Tree'!$J$85:$N$87,MATCH(I150,'Logic Tree'!$I$85:$I$87,0),MATCH(H150,'Logic Tree'!$J$84:$N$84,0))</f>
        <v/>
      </c>
    </row>
    <row r="151" ht="15" customHeight="1" s="73">
      <c r="B151" s="19">
        <f>'Horizontal Teams'!B29</f>
        <v/>
      </c>
      <c r="C151" s="11" t="inlineStr">
        <is>
          <t>HZ</t>
        </is>
      </c>
      <c r="D151" s="43">
        <f>'Horizontal Teams'!C29</f>
        <v/>
      </c>
      <c r="E151" s="35" t="inlineStr">
        <is>
          <t>HZ</t>
        </is>
      </c>
      <c r="F151" s="49">
        <f>'Horizontal Teams'!E29</f>
        <v/>
      </c>
      <c r="G151" s="43">
        <f>'Horizontal Teams'!D29</f>
        <v/>
      </c>
      <c r="H151" s="43">
        <f>'Horizontal Teams'!F29</f>
        <v/>
      </c>
      <c r="I151" s="43">
        <f>'Horizontal Teams'!G29</f>
        <v/>
      </c>
      <c r="J151" s="43">
        <f>'Horizontal Teams'!H29</f>
        <v/>
      </c>
      <c r="K151" s="9">
        <f>'Horizontal Teams'!I29</f>
        <v/>
      </c>
      <c r="L151" s="19" t="n">
        <v>1</v>
      </c>
      <c r="M151" s="36">
        <f>K151*L151</f>
        <v/>
      </c>
      <c r="N151" s="46">
        <f>M151*INDEX('Logic Tree'!$J$85:$N$87,MATCH(I151,'Logic Tree'!$I$85:$I$87,0),MATCH(H151,'Logic Tree'!$J$84:$N$84,0))</f>
        <v/>
      </c>
    </row>
    <row r="152" ht="15" customHeight="1" s="73">
      <c r="B152" s="19">
        <f>'Horizontal Teams'!B30</f>
        <v/>
      </c>
      <c r="C152" s="11" t="inlineStr">
        <is>
          <t>HZ</t>
        </is>
      </c>
      <c r="D152" s="43">
        <f>'Horizontal Teams'!C30</f>
        <v/>
      </c>
      <c r="E152" s="35" t="inlineStr">
        <is>
          <t>HZ</t>
        </is>
      </c>
      <c r="F152" s="49">
        <f>'Horizontal Teams'!E30</f>
        <v/>
      </c>
      <c r="G152" s="43">
        <f>'Horizontal Teams'!D30</f>
        <v/>
      </c>
      <c r="H152" s="43">
        <f>'Horizontal Teams'!F30</f>
        <v/>
      </c>
      <c r="I152" s="43">
        <f>'Horizontal Teams'!G30</f>
        <v/>
      </c>
      <c r="J152" s="43">
        <f>'Horizontal Teams'!H30</f>
        <v/>
      </c>
      <c r="K152" s="9">
        <f>'Horizontal Teams'!I30</f>
        <v/>
      </c>
      <c r="L152" s="19" t="n">
        <v>1</v>
      </c>
      <c r="M152" s="36">
        <f>K152*L152</f>
        <v/>
      </c>
      <c r="N152" s="46">
        <f>M152*INDEX('Logic Tree'!$J$85:$N$87,MATCH(I152,'Logic Tree'!$I$85:$I$87,0),MATCH(H152,'Logic Tree'!$J$84:$N$84,0))</f>
        <v/>
      </c>
    </row>
    <row r="153" ht="15" customHeight="1" s="73">
      <c r="B153" s="19">
        <f>'Horizontal Teams'!B31</f>
        <v/>
      </c>
      <c r="C153" s="11" t="inlineStr">
        <is>
          <t>HZ</t>
        </is>
      </c>
      <c r="D153" s="43">
        <f>'Horizontal Teams'!C31</f>
        <v/>
      </c>
      <c r="E153" s="35" t="inlineStr">
        <is>
          <t>HZ</t>
        </is>
      </c>
      <c r="F153" s="49">
        <f>'Horizontal Teams'!E31</f>
        <v/>
      </c>
      <c r="G153" s="43">
        <f>'Horizontal Teams'!D31</f>
        <v/>
      </c>
      <c r="H153" s="43">
        <f>'Horizontal Teams'!F31</f>
        <v/>
      </c>
      <c r="I153" s="43">
        <f>'Horizontal Teams'!G31</f>
        <v/>
      </c>
      <c r="J153" s="43">
        <f>'Horizontal Teams'!H31</f>
        <v/>
      </c>
      <c r="K153" s="9">
        <f>'Horizontal Teams'!I31</f>
        <v/>
      </c>
      <c r="L153" s="19" t="n">
        <v>1</v>
      </c>
      <c r="M153" s="36">
        <f>K153*L153</f>
        <v/>
      </c>
      <c r="N153" s="46">
        <f>M153*INDEX('Logic Tree'!$J$85:$N$87,MATCH(I153,'Logic Tree'!$I$85:$I$87,0),MATCH(H153,'Logic Tree'!$J$84:$N$84,0))</f>
        <v/>
      </c>
    </row>
    <row r="154" ht="15" customHeight="1" s="73">
      <c r="B154" s="19">
        <f>'Horizontal Teams'!B34</f>
        <v/>
      </c>
      <c r="C154" s="11" t="inlineStr">
        <is>
          <t>HZ</t>
        </is>
      </c>
      <c r="D154" s="43">
        <f>'Horizontal Teams'!C34</f>
        <v/>
      </c>
      <c r="E154" s="35" t="inlineStr">
        <is>
          <t>HZ</t>
        </is>
      </c>
      <c r="F154" s="49">
        <f>'Horizontal Teams'!E34</f>
        <v/>
      </c>
      <c r="G154" s="43">
        <f>'Horizontal Teams'!D34</f>
        <v/>
      </c>
      <c r="H154" s="43">
        <f>'Horizontal Teams'!F34</f>
        <v/>
      </c>
      <c r="I154" s="43">
        <f>'Horizontal Teams'!G34</f>
        <v/>
      </c>
      <c r="J154" s="43">
        <f>'Horizontal Teams'!H34</f>
        <v/>
      </c>
      <c r="K154" s="9">
        <f>'Horizontal Teams'!I34</f>
        <v/>
      </c>
      <c r="L154" s="19" t="n">
        <v>1</v>
      </c>
      <c r="M154" s="36">
        <f>K154*L154</f>
        <v/>
      </c>
      <c r="N154" s="46">
        <f>M154*INDEX('Logic Tree'!$J$85:$N$87,MATCH(I154,'Logic Tree'!$I$85:$I$87,0),MATCH(H154,'Logic Tree'!$J$84:$N$84,0))</f>
        <v/>
      </c>
    </row>
    <row r="155" ht="15" customHeight="1" s="73">
      <c r="B155" s="19">
        <f>'Horizontal Teams'!B35</f>
        <v/>
      </c>
      <c r="C155" s="11" t="inlineStr">
        <is>
          <t>HZ</t>
        </is>
      </c>
      <c r="D155" s="43">
        <f>'Horizontal Teams'!C35</f>
        <v/>
      </c>
      <c r="E155" s="35" t="inlineStr">
        <is>
          <t>HZ</t>
        </is>
      </c>
      <c r="F155" s="49">
        <f>'Horizontal Teams'!E35</f>
        <v/>
      </c>
      <c r="G155" s="43">
        <f>'Horizontal Teams'!D35</f>
        <v/>
      </c>
      <c r="H155" s="43">
        <f>'Horizontal Teams'!F35</f>
        <v/>
      </c>
      <c r="I155" s="43">
        <f>'Horizontal Teams'!G35</f>
        <v/>
      </c>
      <c r="J155" s="43">
        <f>'Horizontal Teams'!H35</f>
        <v/>
      </c>
      <c r="K155" s="9">
        <f>'Horizontal Teams'!I35</f>
        <v/>
      </c>
      <c r="L155" s="19" t="n">
        <v>1</v>
      </c>
      <c r="M155" s="36">
        <f>K155*L155</f>
        <v/>
      </c>
      <c r="N155" s="46">
        <f>M155*INDEX('Logic Tree'!$J$85:$N$87,MATCH(I155,'Logic Tree'!$I$85:$I$87,0),MATCH(H155,'Logic Tree'!$J$84:$N$84,0))</f>
        <v/>
      </c>
    </row>
    <row r="156" ht="15" customHeight="1" s="73">
      <c r="B156" s="19">
        <f>'Horizontal Teams'!B36</f>
        <v/>
      </c>
      <c r="C156" s="11" t="inlineStr">
        <is>
          <t>HZ</t>
        </is>
      </c>
      <c r="D156" s="43">
        <f>'Horizontal Teams'!C36</f>
        <v/>
      </c>
      <c r="E156" s="35" t="inlineStr">
        <is>
          <t>HZ</t>
        </is>
      </c>
      <c r="F156" s="49">
        <f>'Horizontal Teams'!E36</f>
        <v/>
      </c>
      <c r="G156" s="43">
        <f>'Horizontal Teams'!D36</f>
        <v/>
      </c>
      <c r="H156" s="43">
        <f>'Horizontal Teams'!F36</f>
        <v/>
      </c>
      <c r="I156" s="43">
        <f>'Horizontal Teams'!G36</f>
        <v/>
      </c>
      <c r="J156" s="43">
        <f>'Horizontal Teams'!H36</f>
        <v/>
      </c>
      <c r="K156" s="9">
        <f>'Horizontal Teams'!I36</f>
        <v/>
      </c>
      <c r="L156" s="19" t="n">
        <v>1</v>
      </c>
      <c r="M156" s="36">
        <f>K156*L156</f>
        <v/>
      </c>
      <c r="N156" s="46">
        <f>M156*INDEX('Logic Tree'!$J$85:$N$87,MATCH(I156,'Logic Tree'!$I$85:$I$87,0),MATCH(H156,'Logic Tree'!$J$84:$N$84,0))</f>
        <v/>
      </c>
    </row>
    <row r="157" ht="15" customHeight="1" s="73">
      <c r="B157" s="19">
        <f>'Horizontal Teams'!B37</f>
        <v/>
      </c>
      <c r="C157" s="11" t="inlineStr">
        <is>
          <t>HZ</t>
        </is>
      </c>
      <c r="D157" s="43">
        <f>'Horizontal Teams'!C37</f>
        <v/>
      </c>
      <c r="E157" s="35" t="inlineStr">
        <is>
          <t>HZ</t>
        </is>
      </c>
      <c r="F157" s="49">
        <f>'Horizontal Teams'!E37</f>
        <v/>
      </c>
      <c r="G157" s="43">
        <f>'Horizontal Teams'!D37</f>
        <v/>
      </c>
      <c r="H157" s="43">
        <f>'Horizontal Teams'!F37</f>
        <v/>
      </c>
      <c r="I157" s="43">
        <f>'Horizontal Teams'!G37</f>
        <v/>
      </c>
      <c r="J157" s="43">
        <f>'Horizontal Teams'!H37</f>
        <v/>
      </c>
      <c r="K157" s="9">
        <f>'Horizontal Teams'!I37</f>
        <v/>
      </c>
      <c r="L157" s="19" t="n">
        <v>1</v>
      </c>
      <c r="M157" s="36">
        <f>K157*L157</f>
        <v/>
      </c>
      <c r="N157" s="46">
        <f>M157*INDEX('Logic Tree'!$J$85:$N$87,MATCH(I157,'Logic Tree'!$I$85:$I$87,0),MATCH(H157,'Logic Tree'!$J$84:$N$84,0))</f>
        <v/>
      </c>
    </row>
    <row r="158" ht="15" customHeight="1" s="73">
      <c r="B158" s="19">
        <f>'Horizontal Teams'!B38</f>
        <v/>
      </c>
      <c r="C158" s="11" t="inlineStr">
        <is>
          <t>HZ</t>
        </is>
      </c>
      <c r="D158" s="43">
        <f>'Horizontal Teams'!C38</f>
        <v/>
      </c>
      <c r="E158" s="35" t="inlineStr">
        <is>
          <t>HZ</t>
        </is>
      </c>
      <c r="F158" s="49">
        <f>'Horizontal Teams'!E38</f>
        <v/>
      </c>
      <c r="G158" s="43">
        <f>'Horizontal Teams'!D38</f>
        <v/>
      </c>
      <c r="H158" s="43">
        <f>'Horizontal Teams'!F38</f>
        <v/>
      </c>
      <c r="I158" s="43">
        <f>'Horizontal Teams'!G38</f>
        <v/>
      </c>
      <c r="J158" s="43">
        <f>'Horizontal Teams'!H38</f>
        <v/>
      </c>
      <c r="K158" s="9">
        <f>'Horizontal Teams'!I38</f>
        <v/>
      </c>
      <c r="L158" s="19" t="n">
        <v>1</v>
      </c>
      <c r="M158" s="36">
        <f>K158*L158</f>
        <v/>
      </c>
      <c r="N158" s="46">
        <f>M158*INDEX('Logic Tree'!$J$85:$N$87,MATCH(I158,'Logic Tree'!$I$85:$I$87,0),MATCH(H158,'Logic Tree'!$J$84:$N$84,0))</f>
        <v/>
      </c>
    </row>
    <row r="159" ht="15" customHeight="1" s="73">
      <c r="B159" s="19">
        <f>'Horizontal Teams'!B39</f>
        <v/>
      </c>
      <c r="C159" s="11" t="inlineStr">
        <is>
          <t>HZ</t>
        </is>
      </c>
      <c r="D159" s="43">
        <f>'Horizontal Teams'!C39</f>
        <v/>
      </c>
      <c r="E159" s="35" t="inlineStr">
        <is>
          <t>HZ</t>
        </is>
      </c>
      <c r="F159" s="49">
        <f>'Horizontal Teams'!E39</f>
        <v/>
      </c>
      <c r="G159" s="43">
        <f>'Horizontal Teams'!D39</f>
        <v/>
      </c>
      <c r="H159" s="43">
        <f>'Horizontal Teams'!F39</f>
        <v/>
      </c>
      <c r="I159" s="43">
        <f>'Horizontal Teams'!G39</f>
        <v/>
      </c>
      <c r="J159" s="43">
        <f>'Horizontal Teams'!H39</f>
        <v/>
      </c>
      <c r="K159" s="9">
        <f>'Horizontal Teams'!I39</f>
        <v/>
      </c>
      <c r="L159" s="19" t="n">
        <v>1</v>
      </c>
      <c r="M159" s="36">
        <f>K159*L159</f>
        <v/>
      </c>
      <c r="N159" s="46">
        <f>M159*INDEX('Logic Tree'!$J$85:$N$87,MATCH(I159,'Logic Tree'!$I$85:$I$87,0),MATCH(H159,'Logic Tree'!$J$84:$N$84,0))</f>
        <v/>
      </c>
    </row>
    <row r="160" ht="15" customHeight="1" s="73">
      <c r="B160" s="19">
        <f>'Horizontal Teams'!B40</f>
        <v/>
      </c>
      <c r="C160" s="11" t="inlineStr">
        <is>
          <t>HZ</t>
        </is>
      </c>
      <c r="D160" s="43">
        <f>'Horizontal Teams'!C40</f>
        <v/>
      </c>
      <c r="E160" s="35" t="inlineStr">
        <is>
          <t>HZ</t>
        </is>
      </c>
      <c r="F160" s="49">
        <f>'Horizontal Teams'!E40</f>
        <v/>
      </c>
      <c r="G160" s="43">
        <f>'Horizontal Teams'!D40</f>
        <v/>
      </c>
      <c r="H160" s="43">
        <f>'Horizontal Teams'!F40</f>
        <v/>
      </c>
      <c r="I160" s="43">
        <f>'Horizontal Teams'!G40</f>
        <v/>
      </c>
      <c r="J160" s="43">
        <f>'Horizontal Teams'!H40</f>
        <v/>
      </c>
      <c r="K160" s="9">
        <f>'Horizontal Teams'!I40</f>
        <v/>
      </c>
      <c r="L160" s="19" t="n">
        <v>1</v>
      </c>
      <c r="M160" s="36">
        <f>K160*L160</f>
        <v/>
      </c>
      <c r="N160" s="46">
        <f>M160*INDEX('Logic Tree'!$J$85:$N$87,MATCH(I160,'Logic Tree'!$I$85:$I$87,0),MATCH(H160,'Logic Tree'!$J$84:$N$84,0))</f>
        <v/>
      </c>
    </row>
    <row r="161" ht="15" customHeight="1" s="73">
      <c r="B161" s="19">
        <f>'Horizontal Teams'!B41</f>
        <v/>
      </c>
      <c r="C161" s="11" t="inlineStr">
        <is>
          <t>HZ</t>
        </is>
      </c>
      <c r="D161" s="43">
        <f>'Horizontal Teams'!C41</f>
        <v/>
      </c>
      <c r="E161" s="35" t="inlineStr">
        <is>
          <t>HZ</t>
        </is>
      </c>
      <c r="F161" s="49">
        <f>'Horizontal Teams'!E41</f>
        <v/>
      </c>
      <c r="G161" s="43">
        <f>'Horizontal Teams'!D41</f>
        <v/>
      </c>
      <c r="H161" s="43">
        <f>'Horizontal Teams'!F41</f>
        <v/>
      </c>
      <c r="I161" s="43">
        <f>'Horizontal Teams'!G41</f>
        <v/>
      </c>
      <c r="J161" s="43">
        <f>'Horizontal Teams'!H41</f>
        <v/>
      </c>
      <c r="K161" s="9">
        <f>'Horizontal Teams'!I41</f>
        <v/>
      </c>
      <c r="L161" s="19" t="n">
        <v>1</v>
      </c>
      <c r="M161" s="36">
        <f>K161*L161</f>
        <v/>
      </c>
      <c r="N161" s="46">
        <f>M161*INDEX('Logic Tree'!$J$85:$N$87,MATCH(I161,'Logic Tree'!$I$85:$I$87,0),MATCH(H161,'Logic Tree'!$J$84:$N$84,0))</f>
        <v/>
      </c>
    </row>
    <row r="162" ht="15" customHeight="1" s="73">
      <c r="B162" s="19">
        <f>'Horizontal Teams'!B42</f>
        <v/>
      </c>
      <c r="C162" s="11" t="inlineStr">
        <is>
          <t>HZ</t>
        </is>
      </c>
      <c r="D162" s="43">
        <f>'Horizontal Teams'!C42</f>
        <v/>
      </c>
      <c r="E162" s="35" t="inlineStr">
        <is>
          <t>HZ</t>
        </is>
      </c>
      <c r="F162" s="49">
        <f>'Horizontal Teams'!E42</f>
        <v/>
      </c>
      <c r="G162" s="43">
        <f>'Horizontal Teams'!D42</f>
        <v/>
      </c>
      <c r="H162" s="43">
        <f>'Horizontal Teams'!F42</f>
        <v/>
      </c>
      <c r="I162" s="43">
        <f>'Horizontal Teams'!G42</f>
        <v/>
      </c>
      <c r="J162" s="43">
        <f>'Horizontal Teams'!H42</f>
        <v/>
      </c>
      <c r="K162" s="9">
        <f>'Horizontal Teams'!I42</f>
        <v/>
      </c>
      <c r="L162" s="19" t="n">
        <v>1</v>
      </c>
      <c r="M162" s="36">
        <f>K162*L162</f>
        <v/>
      </c>
      <c r="N162" s="46">
        <f>M162*INDEX('Logic Tree'!$J$85:$N$87,MATCH(I162,'Logic Tree'!$I$85:$I$87,0),MATCH(H162,'Logic Tree'!$J$84:$N$84,0))</f>
        <v/>
      </c>
    </row>
    <row r="163" ht="15" customHeight="1" s="73">
      <c r="B163" s="19">
        <f>'Horizontal Teams'!B43</f>
        <v/>
      </c>
      <c r="C163" s="11" t="inlineStr">
        <is>
          <t>HZ</t>
        </is>
      </c>
      <c r="D163" s="43">
        <f>'Horizontal Teams'!C43</f>
        <v/>
      </c>
      <c r="E163" s="35" t="inlineStr">
        <is>
          <t>HZ</t>
        </is>
      </c>
      <c r="F163" s="49">
        <f>'Horizontal Teams'!E43</f>
        <v/>
      </c>
      <c r="G163" s="43">
        <f>'Horizontal Teams'!D43</f>
        <v/>
      </c>
      <c r="H163" s="43">
        <f>'Horizontal Teams'!F43</f>
        <v/>
      </c>
      <c r="I163" s="43">
        <f>'Horizontal Teams'!G43</f>
        <v/>
      </c>
      <c r="J163" s="43">
        <f>'Horizontal Teams'!H43</f>
        <v/>
      </c>
      <c r="K163" s="9">
        <f>'Horizontal Teams'!I43</f>
        <v/>
      </c>
      <c r="L163" s="19" t="n">
        <v>1</v>
      </c>
      <c r="M163" s="36">
        <f>K163*L163</f>
        <v/>
      </c>
      <c r="N163" s="46">
        <f>M163*INDEX('Logic Tree'!$J$85:$N$87,MATCH(I163,'Logic Tree'!$I$85:$I$87,0),MATCH(H163,'Logic Tree'!$J$84:$N$84,0))</f>
        <v/>
      </c>
    </row>
    <row r="164" ht="15" customHeight="1" s="73">
      <c r="B164" s="19">
        <f>'Horizontal Teams'!B46</f>
        <v/>
      </c>
      <c r="C164" s="11" t="inlineStr">
        <is>
          <t>HZ</t>
        </is>
      </c>
      <c r="D164" s="43">
        <f>'Horizontal Teams'!C46</f>
        <v/>
      </c>
      <c r="E164" s="35" t="inlineStr">
        <is>
          <t>HZ</t>
        </is>
      </c>
      <c r="F164" s="49">
        <f>'Horizontal Teams'!E46</f>
        <v/>
      </c>
      <c r="G164" s="43">
        <f>'Horizontal Teams'!D46</f>
        <v/>
      </c>
      <c r="H164" s="43">
        <f>'Horizontal Teams'!F46</f>
        <v/>
      </c>
      <c r="I164" s="43">
        <f>'Horizontal Teams'!G46</f>
        <v/>
      </c>
      <c r="J164" s="43">
        <f>'Horizontal Teams'!H46</f>
        <v/>
      </c>
      <c r="K164" s="9">
        <f>'Horizontal Teams'!I46</f>
        <v/>
      </c>
      <c r="L164" s="19" t="n">
        <v>1</v>
      </c>
      <c r="M164" s="36">
        <f>K164*L164</f>
        <v/>
      </c>
      <c r="N164" s="46">
        <f>M164*INDEX('Logic Tree'!$J$85:$N$87,MATCH(I164,'Logic Tree'!$I$85:$I$87,0),MATCH(H164,'Logic Tree'!$J$84:$N$84,0))</f>
        <v/>
      </c>
    </row>
    <row r="165" ht="15" customHeight="1" s="73">
      <c r="B165" s="19">
        <f>'Horizontal Teams'!B47</f>
        <v/>
      </c>
      <c r="C165" s="11" t="inlineStr">
        <is>
          <t>HZ</t>
        </is>
      </c>
      <c r="D165" s="43">
        <f>'Horizontal Teams'!C47</f>
        <v/>
      </c>
      <c r="E165" s="35" t="inlineStr">
        <is>
          <t>HZ</t>
        </is>
      </c>
      <c r="F165" s="49">
        <f>'Horizontal Teams'!E47</f>
        <v/>
      </c>
      <c r="G165" s="43">
        <f>'Horizontal Teams'!D47</f>
        <v/>
      </c>
      <c r="H165" s="43">
        <f>'Horizontal Teams'!F47</f>
        <v/>
      </c>
      <c r="I165" s="43">
        <f>'Horizontal Teams'!G47</f>
        <v/>
      </c>
      <c r="J165" s="43">
        <f>'Horizontal Teams'!H47</f>
        <v/>
      </c>
      <c r="K165" s="9">
        <f>'Horizontal Teams'!I47</f>
        <v/>
      </c>
      <c r="L165" s="19" t="n">
        <v>1</v>
      </c>
      <c r="M165" s="36">
        <f>K165*L165</f>
        <v/>
      </c>
      <c r="N165" s="46">
        <f>M165*INDEX('Logic Tree'!$J$85:$N$87,MATCH(I165,'Logic Tree'!$I$85:$I$87,0),MATCH(H165,'Logic Tree'!$J$84:$N$84,0))</f>
        <v/>
      </c>
    </row>
    <row r="166" ht="15" customHeight="1" s="73">
      <c r="B166" s="19">
        <f>'Horizontal Teams'!B48</f>
        <v/>
      </c>
      <c r="C166" s="11" t="inlineStr">
        <is>
          <t>HZ</t>
        </is>
      </c>
      <c r="D166" s="43">
        <f>'Horizontal Teams'!C48</f>
        <v/>
      </c>
      <c r="E166" s="35" t="inlineStr">
        <is>
          <t>HZ</t>
        </is>
      </c>
      <c r="F166" s="49">
        <f>'Horizontal Teams'!E48</f>
        <v/>
      </c>
      <c r="G166" s="43">
        <f>'Horizontal Teams'!D48</f>
        <v/>
      </c>
      <c r="H166" s="43">
        <f>'Horizontal Teams'!F48</f>
        <v/>
      </c>
      <c r="I166" s="43">
        <f>'Horizontal Teams'!G48</f>
        <v/>
      </c>
      <c r="J166" s="43">
        <f>'Horizontal Teams'!H48</f>
        <v/>
      </c>
      <c r="K166" s="9">
        <f>'Horizontal Teams'!I48</f>
        <v/>
      </c>
      <c r="L166" s="19" t="n">
        <v>1</v>
      </c>
      <c r="M166" s="36">
        <f>K166*L166</f>
        <v/>
      </c>
      <c r="N166" s="46">
        <f>M166*INDEX('Logic Tree'!$J$85:$N$87,MATCH(I166,'Logic Tree'!$I$85:$I$87,0),MATCH(H166,'Logic Tree'!$J$84:$N$84,0))</f>
        <v/>
      </c>
    </row>
    <row r="167" ht="15" customHeight="1" s="73">
      <c r="B167" s="19">
        <f>'Horizontal Teams'!B49</f>
        <v/>
      </c>
      <c r="C167" s="11" t="inlineStr">
        <is>
          <t>HZ</t>
        </is>
      </c>
      <c r="D167" s="43">
        <f>'Horizontal Teams'!C49</f>
        <v/>
      </c>
      <c r="E167" s="35" t="inlineStr">
        <is>
          <t>HZ</t>
        </is>
      </c>
      <c r="F167" s="49">
        <f>'Horizontal Teams'!E49</f>
        <v/>
      </c>
      <c r="G167" s="43">
        <f>'Horizontal Teams'!D49</f>
        <v/>
      </c>
      <c r="H167" s="43">
        <f>'Horizontal Teams'!F49</f>
        <v/>
      </c>
      <c r="I167" s="43">
        <f>'Horizontal Teams'!G49</f>
        <v/>
      </c>
      <c r="J167" s="43">
        <f>'Horizontal Teams'!H49</f>
        <v/>
      </c>
      <c r="K167" s="9">
        <f>'Horizontal Teams'!I49</f>
        <v/>
      </c>
      <c r="L167" s="19" t="n">
        <v>1</v>
      </c>
      <c r="M167" s="36">
        <f>K167*L167</f>
        <v/>
      </c>
      <c r="N167" s="46">
        <f>M167*INDEX('Logic Tree'!$J$85:$N$87,MATCH(I167,'Logic Tree'!$I$85:$I$87,0),MATCH(H167,'Logic Tree'!$J$84:$N$84,0))</f>
        <v/>
      </c>
    </row>
    <row r="168" ht="15" customHeight="1" s="73">
      <c r="B168" s="19">
        <f>'Horizontal Teams'!B50</f>
        <v/>
      </c>
      <c r="C168" s="11" t="inlineStr">
        <is>
          <t>HZ</t>
        </is>
      </c>
      <c r="D168" s="43">
        <f>'Horizontal Teams'!C50</f>
        <v/>
      </c>
      <c r="E168" s="35" t="inlineStr">
        <is>
          <t>HZ</t>
        </is>
      </c>
      <c r="F168" s="49">
        <f>'Horizontal Teams'!E50</f>
        <v/>
      </c>
      <c r="G168" s="43">
        <f>'Horizontal Teams'!D50</f>
        <v/>
      </c>
      <c r="H168" s="43">
        <f>'Horizontal Teams'!F50</f>
        <v/>
      </c>
      <c r="I168" s="43">
        <f>'Horizontal Teams'!G50</f>
        <v/>
      </c>
      <c r="J168" s="43">
        <f>'Horizontal Teams'!H50</f>
        <v/>
      </c>
      <c r="K168" s="9">
        <f>'Horizontal Teams'!I50</f>
        <v/>
      </c>
      <c r="L168" s="19" t="n">
        <v>1</v>
      </c>
      <c r="M168" s="36">
        <f>K168*L168</f>
        <v/>
      </c>
      <c r="N168" s="46">
        <f>M168*INDEX('Logic Tree'!$J$85:$N$87,MATCH(I168,'Logic Tree'!$I$85:$I$87,0),MATCH(H168,'Logic Tree'!$J$84:$N$84,0))</f>
        <v/>
      </c>
    </row>
    <row r="169" ht="15" customHeight="1" s="73">
      <c r="B169" s="19">
        <f>'Horizontal Teams'!B51</f>
        <v/>
      </c>
      <c r="C169" s="11" t="inlineStr">
        <is>
          <t>HZ</t>
        </is>
      </c>
      <c r="D169" s="43">
        <f>'Horizontal Teams'!C51</f>
        <v/>
      </c>
      <c r="E169" s="35" t="inlineStr">
        <is>
          <t>HZ</t>
        </is>
      </c>
      <c r="F169" s="49">
        <f>'Horizontal Teams'!E51</f>
        <v/>
      </c>
      <c r="G169" s="43">
        <f>'Horizontal Teams'!D51</f>
        <v/>
      </c>
      <c r="H169" s="43">
        <f>'Horizontal Teams'!F51</f>
        <v/>
      </c>
      <c r="I169" s="43">
        <f>'Horizontal Teams'!G51</f>
        <v/>
      </c>
      <c r="J169" s="43">
        <f>'Horizontal Teams'!H51</f>
        <v/>
      </c>
      <c r="K169" s="9">
        <f>'Horizontal Teams'!I51</f>
        <v/>
      </c>
      <c r="L169" s="19" t="n">
        <v>1</v>
      </c>
      <c r="M169" s="36">
        <f>K169*L169</f>
        <v/>
      </c>
      <c r="N169" s="46">
        <f>M169*INDEX('Logic Tree'!$J$85:$N$87,MATCH(I169,'Logic Tree'!$I$85:$I$87,0),MATCH(H169,'Logic Tree'!$J$84:$N$84,0))</f>
        <v/>
      </c>
    </row>
    <row r="170" ht="15" customHeight="1" s="73">
      <c r="B170" s="19">
        <f>'Horizontal Teams'!B52</f>
        <v/>
      </c>
      <c r="C170" s="11" t="inlineStr">
        <is>
          <t>HZ</t>
        </is>
      </c>
      <c r="D170" s="43">
        <f>'Horizontal Teams'!C52</f>
        <v/>
      </c>
      <c r="E170" s="35" t="inlineStr">
        <is>
          <t>HZ</t>
        </is>
      </c>
      <c r="F170" s="49">
        <f>'Horizontal Teams'!E52</f>
        <v/>
      </c>
      <c r="G170" s="43">
        <f>'Horizontal Teams'!D52</f>
        <v/>
      </c>
      <c r="H170" s="43">
        <f>'Horizontal Teams'!F52</f>
        <v/>
      </c>
      <c r="I170" s="43">
        <f>'Horizontal Teams'!G52</f>
        <v/>
      </c>
      <c r="J170" s="43">
        <f>'Horizontal Teams'!H52</f>
        <v/>
      </c>
      <c r="K170" s="9">
        <f>'Horizontal Teams'!I52</f>
        <v/>
      </c>
      <c r="L170" s="19" t="n">
        <v>1</v>
      </c>
      <c r="M170" s="36">
        <f>K170*L170</f>
        <v/>
      </c>
      <c r="N170" s="46">
        <f>M170*INDEX('Logic Tree'!$J$85:$N$87,MATCH(I170,'Logic Tree'!$I$85:$I$87,0),MATCH(H170,'Logic Tree'!$J$84:$N$84,0))</f>
        <v/>
      </c>
    </row>
    <row r="171" ht="15" customHeight="1" s="73">
      <c r="B171" s="19">
        <f>'Horizontal Teams'!B53</f>
        <v/>
      </c>
      <c r="C171" s="11" t="inlineStr">
        <is>
          <t>HZ</t>
        </is>
      </c>
      <c r="D171" s="43">
        <f>'Horizontal Teams'!C53</f>
        <v/>
      </c>
      <c r="E171" s="35" t="inlineStr">
        <is>
          <t>HZ</t>
        </is>
      </c>
      <c r="F171" s="49">
        <f>'Horizontal Teams'!E53</f>
        <v/>
      </c>
      <c r="G171" s="43">
        <f>'Horizontal Teams'!D53</f>
        <v/>
      </c>
      <c r="H171" s="43">
        <f>'Horizontal Teams'!F53</f>
        <v/>
      </c>
      <c r="I171" s="43">
        <f>'Horizontal Teams'!G53</f>
        <v/>
      </c>
      <c r="J171" s="43">
        <f>'Horizontal Teams'!H53</f>
        <v/>
      </c>
      <c r="K171" s="9">
        <f>'Horizontal Teams'!I53</f>
        <v/>
      </c>
      <c r="L171" s="19" t="n">
        <v>1</v>
      </c>
      <c r="M171" s="36">
        <f>K171*L171</f>
        <v/>
      </c>
      <c r="N171" s="46">
        <f>M171*INDEX('Logic Tree'!$J$85:$N$87,MATCH(I171,'Logic Tree'!$I$85:$I$87,0),MATCH(H171,'Logic Tree'!$J$84:$N$84,0))</f>
        <v/>
      </c>
    </row>
    <row r="172" ht="15" customHeight="1" s="73">
      <c r="B172" s="19">
        <f>'Horizontal Teams'!B54</f>
        <v/>
      </c>
      <c r="C172" s="11" t="inlineStr">
        <is>
          <t>HZ</t>
        </is>
      </c>
      <c r="D172" s="43">
        <f>'Horizontal Teams'!C54</f>
        <v/>
      </c>
      <c r="E172" s="35" t="inlineStr">
        <is>
          <t>HZ</t>
        </is>
      </c>
      <c r="F172" s="49">
        <f>'Horizontal Teams'!E54</f>
        <v/>
      </c>
      <c r="G172" s="43">
        <f>'Horizontal Teams'!D54</f>
        <v/>
      </c>
      <c r="H172" s="43">
        <f>'Horizontal Teams'!F54</f>
        <v/>
      </c>
      <c r="I172" s="43">
        <f>'Horizontal Teams'!G54</f>
        <v/>
      </c>
      <c r="J172" s="43">
        <f>'Horizontal Teams'!H54</f>
        <v/>
      </c>
      <c r="K172" s="9">
        <f>'Horizontal Teams'!I54</f>
        <v/>
      </c>
      <c r="L172" s="19" t="n">
        <v>1</v>
      </c>
      <c r="M172" s="36">
        <f>K172*L172</f>
        <v/>
      </c>
      <c r="N172" s="46">
        <f>M172*INDEX('Logic Tree'!$J$85:$N$87,MATCH(I172,'Logic Tree'!$I$85:$I$87,0),MATCH(H172,'Logic Tree'!$J$84:$N$84,0))</f>
        <v/>
      </c>
    </row>
    <row r="173" ht="15" customHeight="1" s="73">
      <c r="B173" s="19">
        <f>'Horizontal Teams'!B55</f>
        <v/>
      </c>
      <c r="C173" s="11" t="inlineStr">
        <is>
          <t>HZ</t>
        </is>
      </c>
      <c r="D173" s="43">
        <f>'Horizontal Teams'!C55</f>
        <v/>
      </c>
      <c r="E173" s="35" t="inlineStr">
        <is>
          <t>HZ</t>
        </is>
      </c>
      <c r="F173" s="49">
        <f>'Horizontal Teams'!E55</f>
        <v/>
      </c>
      <c r="G173" s="43">
        <f>'Horizontal Teams'!D55</f>
        <v/>
      </c>
      <c r="H173" s="43">
        <f>'Horizontal Teams'!F55</f>
        <v/>
      </c>
      <c r="I173" s="43">
        <f>'Horizontal Teams'!G55</f>
        <v/>
      </c>
      <c r="J173" s="43">
        <f>'Horizontal Teams'!H55</f>
        <v/>
      </c>
      <c r="K173" s="9">
        <f>'Horizontal Teams'!I55</f>
        <v/>
      </c>
      <c r="L173" s="19" t="n">
        <v>1</v>
      </c>
      <c r="M173" s="36">
        <f>K173*L173</f>
        <v/>
      </c>
      <c r="N173" s="46">
        <f>M173*INDEX('Logic Tree'!$J$85:$N$87,MATCH(I173,'Logic Tree'!$I$85:$I$87,0),MATCH(H173,'Logic Tree'!$J$84:$N$84,0))</f>
        <v/>
      </c>
    </row>
    <row r="174" ht="15" customHeight="1" s="73">
      <c r="B174" s="19">
        <f>'Horizontal Teams'!B56</f>
        <v/>
      </c>
      <c r="C174" s="11" t="inlineStr">
        <is>
          <t>HZ</t>
        </is>
      </c>
      <c r="D174" s="43">
        <f>'Horizontal Teams'!C56</f>
        <v/>
      </c>
      <c r="E174" s="35" t="inlineStr">
        <is>
          <t>HZ</t>
        </is>
      </c>
      <c r="F174" s="49">
        <f>'Horizontal Teams'!E56</f>
        <v/>
      </c>
      <c r="G174" s="43">
        <f>'Horizontal Teams'!D56</f>
        <v/>
      </c>
      <c r="H174" s="43">
        <f>'Horizontal Teams'!F56</f>
        <v/>
      </c>
      <c r="I174" s="43">
        <f>'Horizontal Teams'!G56</f>
        <v/>
      </c>
      <c r="J174" s="43">
        <f>'Horizontal Teams'!H56</f>
        <v/>
      </c>
      <c r="K174" s="9">
        <f>'Horizontal Teams'!I56</f>
        <v/>
      </c>
      <c r="L174" s="19" t="n">
        <v>1</v>
      </c>
      <c r="M174" s="36">
        <f>K174*L174</f>
        <v/>
      </c>
      <c r="N174" s="46">
        <f>M174*INDEX('Logic Tree'!$J$85:$N$87,MATCH(I174,'Logic Tree'!$I$85:$I$87,0),MATCH(H174,'Logic Tree'!$J$84:$N$84,0))</f>
        <v/>
      </c>
    </row>
    <row r="175" ht="15" customHeight="1" s="73">
      <c r="B175" s="19">
        <f>'Horizontal Teams'!B59</f>
        <v/>
      </c>
      <c r="C175" s="11" t="inlineStr">
        <is>
          <t>HZ</t>
        </is>
      </c>
      <c r="D175" s="43">
        <f>'Horizontal Teams'!C59</f>
        <v/>
      </c>
      <c r="E175" s="35" t="inlineStr">
        <is>
          <t>HZ</t>
        </is>
      </c>
      <c r="F175" s="49">
        <f>'Horizontal Teams'!E59</f>
        <v/>
      </c>
      <c r="G175" s="43">
        <f>'Horizontal Teams'!D59</f>
        <v/>
      </c>
      <c r="H175" s="43">
        <f>'Horizontal Teams'!F59</f>
        <v/>
      </c>
      <c r="I175" s="43">
        <f>'Horizontal Teams'!G59</f>
        <v/>
      </c>
      <c r="J175" s="43">
        <f>'Horizontal Teams'!H59</f>
        <v/>
      </c>
      <c r="K175" s="9">
        <f>'Horizontal Teams'!I59</f>
        <v/>
      </c>
      <c r="L175" s="19" t="n">
        <v>1</v>
      </c>
      <c r="M175" s="36">
        <f>K175*L175</f>
        <v/>
      </c>
      <c r="N175" s="46">
        <f>M175*INDEX('Logic Tree'!$J$85:$N$87,MATCH(I175,'Logic Tree'!$I$85:$I$87,0),MATCH(H175,'Logic Tree'!$J$84:$N$84,0))</f>
        <v/>
      </c>
    </row>
    <row r="176" ht="15" customHeight="1" s="73">
      <c r="B176" s="19">
        <f>'Horizontal Teams'!B60</f>
        <v/>
      </c>
      <c r="C176" s="11" t="inlineStr">
        <is>
          <t>HZ</t>
        </is>
      </c>
      <c r="D176" s="43">
        <f>'Horizontal Teams'!C60</f>
        <v/>
      </c>
      <c r="E176" s="35" t="inlineStr">
        <is>
          <t>HZ</t>
        </is>
      </c>
      <c r="F176" s="49">
        <f>'Horizontal Teams'!E60</f>
        <v/>
      </c>
      <c r="G176" s="43">
        <f>'Horizontal Teams'!D60</f>
        <v/>
      </c>
      <c r="H176" s="43">
        <f>'Horizontal Teams'!F60</f>
        <v/>
      </c>
      <c r="I176" s="43">
        <f>'Horizontal Teams'!G60</f>
        <v/>
      </c>
      <c r="J176" s="43">
        <f>'Horizontal Teams'!H60</f>
        <v/>
      </c>
      <c r="K176" s="9">
        <f>'Horizontal Teams'!I60</f>
        <v/>
      </c>
      <c r="L176" s="19" t="n">
        <v>1</v>
      </c>
      <c r="M176" s="36">
        <f>K176*L176</f>
        <v/>
      </c>
      <c r="N176" s="46">
        <f>M176*INDEX('Logic Tree'!$J$85:$N$87,MATCH(I176,'Logic Tree'!$I$85:$I$87,0),MATCH(H176,'Logic Tree'!$J$84:$N$84,0))</f>
        <v/>
      </c>
    </row>
    <row r="177" ht="15" customHeight="1" s="73">
      <c r="B177" s="19">
        <f>'Horizontal Teams'!B61</f>
        <v/>
      </c>
      <c r="C177" s="11" t="inlineStr">
        <is>
          <t>HZ</t>
        </is>
      </c>
      <c r="D177" s="43">
        <f>'Horizontal Teams'!C61</f>
        <v/>
      </c>
      <c r="E177" s="35" t="inlineStr">
        <is>
          <t>HZ</t>
        </is>
      </c>
      <c r="F177" s="49">
        <f>'Horizontal Teams'!E61</f>
        <v/>
      </c>
      <c r="G177" s="43">
        <f>'Horizontal Teams'!D61</f>
        <v/>
      </c>
      <c r="H177" s="43">
        <f>'Horizontal Teams'!F61</f>
        <v/>
      </c>
      <c r="I177" s="43">
        <f>'Horizontal Teams'!G61</f>
        <v/>
      </c>
      <c r="J177" s="43">
        <f>'Horizontal Teams'!H61</f>
        <v/>
      </c>
      <c r="K177" s="9">
        <f>'Horizontal Teams'!I61</f>
        <v/>
      </c>
      <c r="L177" s="19" t="n">
        <v>1</v>
      </c>
      <c r="M177" s="36">
        <f>K177*L177</f>
        <v/>
      </c>
      <c r="N177" s="46">
        <f>M177*INDEX('Logic Tree'!$J$85:$N$87,MATCH(I177,'Logic Tree'!$I$85:$I$87,0),MATCH(H177,'Logic Tree'!$J$84:$N$84,0))</f>
        <v/>
      </c>
    </row>
    <row r="178" ht="15" customHeight="1" s="73">
      <c r="B178" s="19">
        <f>'Horizontal Teams'!B62</f>
        <v/>
      </c>
      <c r="C178" s="11" t="inlineStr">
        <is>
          <t>HZ</t>
        </is>
      </c>
      <c r="D178" s="43">
        <f>'Horizontal Teams'!C62</f>
        <v/>
      </c>
      <c r="E178" s="35" t="inlineStr">
        <is>
          <t>HZ</t>
        </is>
      </c>
      <c r="F178" s="49">
        <f>'Horizontal Teams'!E62</f>
        <v/>
      </c>
      <c r="G178" s="43">
        <f>'Horizontal Teams'!D62</f>
        <v/>
      </c>
      <c r="H178" s="43">
        <f>'Horizontal Teams'!F62</f>
        <v/>
      </c>
      <c r="I178" s="43">
        <f>'Horizontal Teams'!G62</f>
        <v/>
      </c>
      <c r="J178" s="43">
        <f>'Horizontal Teams'!H62</f>
        <v/>
      </c>
      <c r="K178" s="9">
        <f>'Horizontal Teams'!I62</f>
        <v/>
      </c>
      <c r="L178" s="19" t="n">
        <v>1</v>
      </c>
      <c r="M178" s="36">
        <f>K178*L178</f>
        <v/>
      </c>
      <c r="N178" s="46">
        <f>M178*INDEX('Logic Tree'!$J$85:$N$87,MATCH(I178,'Logic Tree'!$I$85:$I$87,0),MATCH(H178,'Logic Tree'!$J$84:$N$84,0))</f>
        <v/>
      </c>
    </row>
    <row r="179" ht="15" customHeight="1" s="73">
      <c r="B179" s="19">
        <f>'Horizontal Teams'!B63</f>
        <v/>
      </c>
      <c r="C179" s="11" t="inlineStr">
        <is>
          <t>HZ</t>
        </is>
      </c>
      <c r="D179" s="43">
        <f>'Horizontal Teams'!C63</f>
        <v/>
      </c>
      <c r="E179" s="35" t="inlineStr">
        <is>
          <t>HZ</t>
        </is>
      </c>
      <c r="F179" s="49">
        <f>'Horizontal Teams'!E63</f>
        <v/>
      </c>
      <c r="G179" s="43">
        <f>'Horizontal Teams'!D63</f>
        <v/>
      </c>
      <c r="H179" s="43">
        <f>'Horizontal Teams'!F63</f>
        <v/>
      </c>
      <c r="I179" s="43">
        <f>'Horizontal Teams'!G63</f>
        <v/>
      </c>
      <c r="J179" s="43">
        <f>'Horizontal Teams'!H63</f>
        <v/>
      </c>
      <c r="K179" s="9">
        <f>'Horizontal Teams'!I63</f>
        <v/>
      </c>
      <c r="L179" s="19" t="n">
        <v>1</v>
      </c>
      <c r="M179" s="36">
        <f>K179*L179</f>
        <v/>
      </c>
      <c r="N179" s="46">
        <f>M179*INDEX('Logic Tree'!$J$85:$N$87,MATCH(I179,'Logic Tree'!$I$85:$I$87,0),MATCH(H179,'Logic Tree'!$J$84:$N$84,0))</f>
        <v/>
      </c>
    </row>
    <row r="180" ht="15" customHeight="1" s="73">
      <c r="B180" s="19">
        <f>'Horizontal Teams'!B64</f>
        <v/>
      </c>
      <c r="C180" s="11" t="inlineStr">
        <is>
          <t>HZ</t>
        </is>
      </c>
      <c r="D180" s="43">
        <f>'Horizontal Teams'!C64</f>
        <v/>
      </c>
      <c r="E180" s="35" t="inlineStr">
        <is>
          <t>HZ</t>
        </is>
      </c>
      <c r="F180" s="49">
        <f>'Horizontal Teams'!E64</f>
        <v/>
      </c>
      <c r="G180" s="43">
        <f>'Horizontal Teams'!D64</f>
        <v/>
      </c>
      <c r="H180" s="43">
        <f>'Horizontal Teams'!F64</f>
        <v/>
      </c>
      <c r="I180" s="43">
        <f>'Horizontal Teams'!G64</f>
        <v/>
      </c>
      <c r="J180" s="43">
        <f>'Horizontal Teams'!H64</f>
        <v/>
      </c>
      <c r="K180" s="9">
        <f>'Horizontal Teams'!I64</f>
        <v/>
      </c>
      <c r="L180" s="19" t="n">
        <v>1</v>
      </c>
      <c r="M180" s="36">
        <f>K180*L180</f>
        <v/>
      </c>
      <c r="N180" s="46">
        <f>M180*INDEX('Logic Tree'!$J$85:$N$87,MATCH(I180,'Logic Tree'!$I$85:$I$87,0),MATCH(H180,'Logic Tree'!$J$84:$N$84,0))</f>
        <v/>
      </c>
    </row>
    <row r="181" ht="15" customHeight="1" s="73">
      <c r="B181" s="19">
        <f>'Horizontal Teams'!B65</f>
        <v/>
      </c>
      <c r="C181" s="11" t="inlineStr">
        <is>
          <t>HZ</t>
        </is>
      </c>
      <c r="D181" s="43">
        <f>'Horizontal Teams'!C65</f>
        <v/>
      </c>
      <c r="E181" s="35" t="inlineStr">
        <is>
          <t>HZ</t>
        </is>
      </c>
      <c r="F181" s="49">
        <f>'Horizontal Teams'!E65</f>
        <v/>
      </c>
      <c r="G181" s="43">
        <f>'Horizontal Teams'!D65</f>
        <v/>
      </c>
      <c r="H181" s="43">
        <f>'Horizontal Teams'!F65</f>
        <v/>
      </c>
      <c r="I181" s="43">
        <f>'Horizontal Teams'!G65</f>
        <v/>
      </c>
      <c r="J181" s="43">
        <f>'Horizontal Teams'!H65</f>
        <v/>
      </c>
      <c r="K181" s="9">
        <f>'Horizontal Teams'!I65</f>
        <v/>
      </c>
      <c r="L181" s="19" t="n">
        <v>1</v>
      </c>
      <c r="M181" s="36">
        <f>K181*L181</f>
        <v/>
      </c>
      <c r="N181" s="46">
        <f>M181*INDEX('Logic Tree'!$J$85:$N$87,MATCH(I181,'Logic Tree'!$I$85:$I$87,0),MATCH(H181,'Logic Tree'!$J$84:$N$84,0))</f>
        <v/>
      </c>
    </row>
    <row r="182" ht="15" customHeight="1" s="73">
      <c r="B182" s="19">
        <f>'Horizontal Teams'!B66</f>
        <v/>
      </c>
      <c r="C182" s="11" t="inlineStr">
        <is>
          <t>HZ</t>
        </is>
      </c>
      <c r="D182" s="43">
        <f>'Horizontal Teams'!C66</f>
        <v/>
      </c>
      <c r="E182" s="35" t="inlineStr">
        <is>
          <t>HZ</t>
        </is>
      </c>
      <c r="F182" s="49">
        <f>'Horizontal Teams'!E66</f>
        <v/>
      </c>
      <c r="G182" s="43">
        <f>'Horizontal Teams'!D66</f>
        <v/>
      </c>
      <c r="H182" s="43">
        <f>'Horizontal Teams'!F66</f>
        <v/>
      </c>
      <c r="I182" s="43">
        <f>'Horizontal Teams'!G66</f>
        <v/>
      </c>
      <c r="J182" s="43">
        <f>'Horizontal Teams'!H66</f>
        <v/>
      </c>
      <c r="K182" s="9">
        <f>'Horizontal Teams'!I66</f>
        <v/>
      </c>
      <c r="L182" s="19" t="n">
        <v>1</v>
      </c>
      <c r="M182" s="36">
        <f>K182*L182</f>
        <v/>
      </c>
      <c r="N182" s="46">
        <f>M182*INDEX('Logic Tree'!$J$85:$N$87,MATCH(I182,'Logic Tree'!$I$85:$I$87,0),MATCH(H182,'Logic Tree'!$J$84:$N$84,0))</f>
        <v/>
      </c>
    </row>
    <row r="183" ht="15" customHeight="1" s="73">
      <c r="B183" s="19">
        <f>'Horizontal Teams'!B67</f>
        <v/>
      </c>
      <c r="C183" s="11" t="inlineStr">
        <is>
          <t>HZ</t>
        </is>
      </c>
      <c r="D183" s="43">
        <f>'Horizontal Teams'!C67</f>
        <v/>
      </c>
      <c r="E183" s="35" t="inlineStr">
        <is>
          <t>HZ</t>
        </is>
      </c>
      <c r="F183" s="49">
        <f>'Horizontal Teams'!E67</f>
        <v/>
      </c>
      <c r="G183" s="43">
        <f>'Horizontal Teams'!D67</f>
        <v/>
      </c>
      <c r="H183" s="43">
        <f>'Horizontal Teams'!F67</f>
        <v/>
      </c>
      <c r="I183" s="43">
        <f>'Horizontal Teams'!G67</f>
        <v/>
      </c>
      <c r="J183" s="43">
        <f>'Horizontal Teams'!H67</f>
        <v/>
      </c>
      <c r="K183" s="9">
        <f>'Horizontal Teams'!I67</f>
        <v/>
      </c>
      <c r="L183" s="19" t="n">
        <v>1</v>
      </c>
      <c r="M183" s="36">
        <f>K183*L183</f>
        <v/>
      </c>
      <c r="N183" s="46">
        <f>M183*INDEX('Logic Tree'!$J$85:$N$87,MATCH(I183,'Logic Tree'!$I$85:$I$87,0),MATCH(H183,'Logic Tree'!$J$84:$N$84,0))</f>
        <v/>
      </c>
    </row>
    <row r="184" ht="15" customHeight="1" s="73">
      <c r="B184" s="19">
        <f>'Horizontal Teams'!B68</f>
        <v/>
      </c>
      <c r="C184" s="11" t="inlineStr">
        <is>
          <t>HZ</t>
        </is>
      </c>
      <c r="D184" s="43">
        <f>'Horizontal Teams'!C68</f>
        <v/>
      </c>
      <c r="E184" s="35" t="inlineStr">
        <is>
          <t>HZ</t>
        </is>
      </c>
      <c r="F184" s="49">
        <f>'Horizontal Teams'!E68</f>
        <v/>
      </c>
      <c r="G184" s="43">
        <f>'Horizontal Teams'!D68</f>
        <v/>
      </c>
      <c r="H184" s="43">
        <f>'Horizontal Teams'!F68</f>
        <v/>
      </c>
      <c r="I184" s="43">
        <f>'Horizontal Teams'!G68</f>
        <v/>
      </c>
      <c r="J184" s="43">
        <f>'Horizontal Teams'!H68</f>
        <v/>
      </c>
      <c r="K184" s="9">
        <f>'Horizontal Teams'!I68</f>
        <v/>
      </c>
      <c r="L184" s="19" t="n">
        <v>1</v>
      </c>
      <c r="M184" s="36">
        <f>K184*L184</f>
        <v/>
      </c>
      <c r="N184" s="46">
        <f>M184*INDEX('Logic Tree'!$J$85:$N$87,MATCH(I184,'Logic Tree'!$I$85:$I$87,0),MATCH(H184,'Logic Tree'!$J$84:$N$84,0))</f>
        <v/>
      </c>
    </row>
    <row r="185" ht="15" customHeight="1" s="73">
      <c r="B185" s="19" t="n"/>
      <c r="C185" s="11" t="n"/>
      <c r="D185" s="43" t="n"/>
      <c r="E185" s="35" t="n"/>
      <c r="F185" s="49" t="n"/>
      <c r="G185" s="43" t="n"/>
      <c r="H185" s="43" t="n"/>
      <c r="I185" s="43" t="n"/>
      <c r="J185" s="43" t="n"/>
      <c r="K185" s="9" t="n"/>
      <c r="L185" s="19" t="n"/>
      <c r="M185" s="46" t="n"/>
      <c r="N185" s="46" t="n"/>
    </row>
    <row r="186" ht="15" customHeight="1" s="73">
      <c r="B186" s="19" t="n"/>
      <c r="C186" s="11" t="n"/>
      <c r="D186" s="43" t="n"/>
      <c r="E186" s="35" t="n"/>
      <c r="F186" s="49" t="n"/>
      <c r="G186" s="43" t="n"/>
      <c r="H186" s="43" t="n"/>
      <c r="I186" s="43" t="n"/>
      <c r="J186" s="43" t="n"/>
      <c r="K186" s="9" t="n"/>
      <c r="L186" s="19" t="n"/>
      <c r="M186" s="46" t="n"/>
      <c r="N186" s="46" t="n"/>
    </row>
    <row r="187" ht="15" customHeight="1" s="73">
      <c r="B187" s="19" t="n"/>
      <c r="C187" s="11" t="n"/>
      <c r="D187" s="43" t="n"/>
      <c r="E187" s="35" t="n"/>
      <c r="F187" s="49" t="n"/>
      <c r="G187" s="43" t="n"/>
      <c r="H187" s="43" t="n"/>
      <c r="I187" s="43" t="n"/>
      <c r="J187" s="43" t="n"/>
      <c r="K187" s="9" t="n"/>
      <c r="L187" s="19" t="n"/>
      <c r="M187" s="46" t="n"/>
      <c r="N187" s="46" t="n"/>
    </row>
    <row r="188" ht="15" customHeight="1" s="73">
      <c r="B188" s="19" t="n"/>
      <c r="C188" s="11" t="n"/>
      <c r="D188" s="43" t="n"/>
      <c r="E188" s="35" t="n"/>
      <c r="F188" s="49" t="n"/>
      <c r="G188" s="43" t="n"/>
      <c r="H188" s="43" t="n"/>
      <c r="I188" s="43" t="n"/>
      <c r="J188" s="43" t="n"/>
      <c r="K188" s="9" t="n"/>
      <c r="L188" s="19" t="n"/>
      <c r="M188" s="46" t="n"/>
      <c r="N188" s="46" t="n"/>
    </row>
    <row r="189" ht="15" customHeight="1" s="73">
      <c r="B189" s="19" t="n"/>
      <c r="C189" s="11" t="n"/>
      <c r="D189" s="43" t="n"/>
      <c r="E189" s="35" t="n"/>
      <c r="F189" s="49" t="n"/>
      <c r="G189" s="43" t="n"/>
      <c r="H189" s="43" t="n"/>
      <c r="I189" s="43" t="n"/>
      <c r="J189" s="43" t="n"/>
      <c r="K189" s="9" t="n"/>
      <c r="L189" s="19" t="n"/>
      <c r="M189" s="46" t="n"/>
      <c r="N189" s="46" t="n"/>
    </row>
    <row r="190" ht="15" customHeight="1" s="73">
      <c r="B190" s="19" t="n"/>
      <c r="C190" s="11" t="n"/>
      <c r="D190" s="43" t="n"/>
      <c r="E190" s="35" t="n"/>
      <c r="F190" s="49" t="n"/>
      <c r="G190" s="43" t="n"/>
      <c r="H190" s="43" t="n"/>
      <c r="I190" s="43" t="n"/>
      <c r="J190" s="43" t="n"/>
      <c r="K190" s="9" t="n"/>
      <c r="L190" s="19" t="n"/>
      <c r="M190" s="46" t="n"/>
      <c r="N190" s="46" t="n"/>
    </row>
    <row r="191" ht="15" customHeight="1" s="73">
      <c r="B191" s="19" t="n"/>
      <c r="C191" s="11" t="n"/>
      <c r="D191" s="43" t="n"/>
      <c r="E191" s="35" t="n"/>
      <c r="F191" s="49" t="n"/>
      <c r="G191" s="43" t="n"/>
      <c r="H191" s="43" t="n"/>
      <c r="I191" s="43" t="n"/>
      <c r="J191" s="43" t="n"/>
      <c r="K191" s="9" t="n"/>
      <c r="L191" s="19" t="n"/>
      <c r="M191" s="46" t="n"/>
      <c r="N191" s="46" t="n"/>
    </row>
    <row r="192" ht="15" customHeight="1" s="73">
      <c r="B192" s="19" t="n"/>
      <c r="C192" s="11" t="n"/>
      <c r="D192" s="43" t="n"/>
      <c r="E192" s="35" t="n"/>
      <c r="F192" s="49" t="n"/>
      <c r="G192" s="43" t="n"/>
      <c r="H192" s="43" t="n"/>
      <c r="I192" s="43" t="n"/>
      <c r="J192" s="43" t="n"/>
      <c r="K192" s="9" t="n"/>
      <c r="L192" s="19" t="n"/>
      <c r="M192" s="46" t="n"/>
      <c r="N192" s="46" t="n"/>
    </row>
    <row r="193" ht="15" customHeight="1" s="73">
      <c r="B193" s="19" t="n"/>
      <c r="C193" s="11" t="n"/>
      <c r="D193" s="43" t="n"/>
      <c r="E193" s="35" t="n"/>
      <c r="F193" s="49" t="n"/>
      <c r="G193" s="43" t="n"/>
      <c r="H193" s="43" t="n"/>
      <c r="I193" s="43" t="n"/>
      <c r="J193" s="43" t="n"/>
      <c r="K193" s="9" t="n"/>
      <c r="L193" s="19" t="n"/>
      <c r="M193" s="46" t="n"/>
      <c r="N193" s="46" t="n"/>
    </row>
    <row r="194" ht="15" customHeight="1" s="73">
      <c r="B194" s="19" t="n"/>
      <c r="C194" s="11" t="n"/>
      <c r="D194" s="43" t="n"/>
      <c r="E194" s="35" t="n"/>
      <c r="F194" s="49" t="n"/>
      <c r="G194" s="43" t="n"/>
      <c r="H194" s="43" t="n"/>
      <c r="I194" s="43" t="n"/>
      <c r="J194" s="43" t="n"/>
      <c r="K194" s="9" t="n"/>
      <c r="L194" s="19" t="n"/>
      <c r="M194" s="46" t="n"/>
      <c r="N194" s="46" t="n"/>
    </row>
    <row r="195" ht="15" customHeight="1" s="73">
      <c r="B195" s="19" t="n"/>
      <c r="C195" s="11" t="n"/>
      <c r="D195" s="43" t="n"/>
      <c r="E195" s="35" t="n"/>
      <c r="F195" s="49" t="n"/>
      <c r="G195" s="43" t="n"/>
      <c r="H195" s="43" t="n"/>
      <c r="I195" s="43" t="n"/>
      <c r="J195" s="43" t="n"/>
      <c r="K195" s="9" t="n"/>
      <c r="L195" s="19" t="n"/>
      <c r="M195" s="46" t="n"/>
      <c r="N195" s="46" t="n"/>
    </row>
    <row r="196" ht="15" customHeight="1" s="73">
      <c r="B196" s="19" t="n"/>
      <c r="C196" s="11" t="n"/>
      <c r="D196" s="35" t="n"/>
      <c r="E196" s="35" t="n"/>
      <c r="F196" s="49" t="n"/>
      <c r="G196" s="43" t="n"/>
      <c r="H196" s="43" t="n"/>
      <c r="I196" s="43" t="n"/>
      <c r="J196" s="43" t="n"/>
      <c r="K196" s="9" t="n"/>
      <c r="L196" s="13" t="n"/>
      <c r="M196" s="46" t="n"/>
      <c r="N196" s="46" t="n"/>
    </row>
    <row r="197" ht="15" customHeight="1" s="73">
      <c r="B197" s="19" t="n"/>
      <c r="C197" s="11" t="n"/>
      <c r="D197" s="35" t="n"/>
      <c r="E197" s="35" t="n"/>
      <c r="F197" s="49" t="n"/>
      <c r="G197" s="43" t="n"/>
      <c r="H197" s="43" t="n"/>
      <c r="I197" s="43" t="n"/>
      <c r="J197" s="43" t="n"/>
      <c r="K197" s="9" t="n"/>
      <c r="L197" s="13" t="n"/>
      <c r="M197" s="46" t="n"/>
      <c r="N197" s="46" t="n"/>
    </row>
    <row r="198" ht="15" customHeight="1" s="73">
      <c r="B198" s="19" t="n"/>
      <c r="C198" s="11" t="n"/>
      <c r="D198" s="35" t="n"/>
      <c r="E198" s="35" t="n"/>
      <c r="F198" s="49" t="n"/>
      <c r="G198" s="43" t="n"/>
      <c r="H198" s="43" t="n"/>
      <c r="I198" s="43" t="n"/>
      <c r="J198" s="43" t="n"/>
      <c r="K198" s="9" t="n"/>
      <c r="L198" s="13" t="n"/>
      <c r="M198" s="46" t="n"/>
      <c r="N198" s="46" t="n"/>
    </row>
    <row r="199" ht="15" customHeight="1" s="73">
      <c r="B199" s="19" t="n"/>
      <c r="C199" s="11" t="n"/>
      <c r="D199" s="35" t="n"/>
      <c r="E199" s="35" t="n"/>
      <c r="F199" s="49" t="n"/>
      <c r="G199" s="43" t="n"/>
      <c r="H199" s="43" t="n"/>
      <c r="I199" s="43" t="n"/>
      <c r="J199" s="43" t="n"/>
      <c r="K199" s="9" t="n"/>
      <c r="L199" s="13" t="n"/>
      <c r="M199" s="46" t="n"/>
      <c r="N199" s="46" t="n"/>
    </row>
    <row r="200" ht="15" customHeight="1" s="73">
      <c r="B200" s="19" t="n"/>
      <c r="C200" s="11" t="n"/>
      <c r="D200" s="35" t="n"/>
      <c r="E200" s="35" t="n"/>
      <c r="F200" s="49" t="n"/>
      <c r="G200" s="43" t="n"/>
      <c r="H200" s="43" t="n"/>
      <c r="I200" s="43" t="n"/>
      <c r="J200" s="43" t="n"/>
      <c r="K200" s="9" t="n"/>
      <c r="L200" s="13" t="n"/>
      <c r="M200" s="46" t="n"/>
      <c r="N200" s="46" t="n"/>
    </row>
    <row r="201" ht="15" customHeight="1" s="73">
      <c r="B201" s="19" t="n"/>
      <c r="C201" s="11" t="n"/>
      <c r="D201" s="35" t="n"/>
      <c r="E201" s="35" t="n"/>
      <c r="F201" s="49" t="n"/>
      <c r="G201" s="43" t="n"/>
      <c r="H201" s="43" t="n"/>
      <c r="I201" s="43" t="n"/>
      <c r="J201" s="43" t="n"/>
      <c r="K201" s="9" t="n"/>
      <c r="L201" s="13" t="n"/>
      <c r="M201" s="46" t="n"/>
      <c r="N201" s="46" t="n"/>
    </row>
    <row r="202" ht="15" customHeight="1" s="73">
      <c r="B202" s="19" t="n"/>
      <c r="C202" s="11" t="n"/>
      <c r="D202" s="35" t="n"/>
      <c r="E202" s="35" t="n"/>
      <c r="F202" s="49" t="n"/>
      <c r="G202" s="43" t="n"/>
      <c r="H202" s="43" t="n"/>
      <c r="I202" s="43" t="n"/>
      <c r="J202" s="43" t="n"/>
      <c r="K202" s="9" t="n"/>
      <c r="L202" s="13" t="n"/>
      <c r="M202" s="46" t="n"/>
      <c r="N202" s="46" t="n"/>
    </row>
    <row r="203" ht="15" customHeight="1" s="73">
      <c r="B203" s="19" t="n"/>
      <c r="C203" s="11" t="n"/>
      <c r="D203" s="35" t="n"/>
      <c r="E203" s="35" t="n"/>
      <c r="F203" s="49" t="n"/>
      <c r="G203" s="43" t="n"/>
      <c r="H203" s="43" t="n"/>
      <c r="I203" s="43" t="n"/>
      <c r="J203" s="43" t="n"/>
      <c r="K203" s="9" t="n"/>
      <c r="L203" s="13" t="n"/>
      <c r="M203" s="46" t="n"/>
      <c r="N203" s="46" t="n"/>
    </row>
    <row r="204" ht="15" customHeight="1" s="73">
      <c r="B204" s="19" t="n"/>
      <c r="C204" s="11" t="n"/>
      <c r="D204" s="35" t="n"/>
      <c r="E204" s="35" t="n"/>
      <c r="F204" s="49" t="n"/>
      <c r="G204" s="43" t="n"/>
      <c r="H204" s="43" t="n"/>
      <c r="I204" s="43" t="n"/>
      <c r="J204" s="43" t="n"/>
      <c r="K204" s="9" t="n"/>
      <c r="L204" s="13" t="n"/>
      <c r="M204" s="46" t="n"/>
      <c r="N204" s="46" t="n"/>
    </row>
    <row r="205" ht="15" customHeight="1" s="73">
      <c r="B205" s="19" t="n"/>
      <c r="C205" s="11" t="n"/>
      <c r="D205" s="35" t="n"/>
      <c r="E205" s="35" t="n"/>
      <c r="F205" s="49" t="n"/>
      <c r="G205" s="43" t="n"/>
      <c r="H205" s="43" t="n"/>
      <c r="I205" s="43" t="n"/>
      <c r="J205" s="43" t="n"/>
      <c r="K205" s="9" t="n"/>
      <c r="L205" s="13" t="n"/>
      <c r="M205" s="46" t="n"/>
      <c r="N205" s="46" t="n"/>
    </row>
    <row r="206" ht="15" customHeight="1" s="73">
      <c r="B206" s="19" t="n"/>
      <c r="C206" s="11" t="n"/>
      <c r="D206" s="35" t="n"/>
      <c r="E206" s="35" t="n"/>
      <c r="F206" s="49" t="n"/>
      <c r="G206" s="43" t="n"/>
      <c r="H206" s="43" t="n"/>
      <c r="I206" s="43" t="n"/>
      <c r="J206" s="43" t="n"/>
      <c r="K206" s="9" t="n"/>
      <c r="L206" s="13" t="n"/>
      <c r="M206" s="46" t="n"/>
      <c r="N206" s="46" t="n"/>
    </row>
    <row r="207" ht="15" customHeight="1" s="73">
      <c r="B207" s="19" t="n"/>
      <c r="C207" s="11" t="n"/>
      <c r="D207" s="35" t="n"/>
      <c r="E207" s="35" t="n"/>
      <c r="F207" s="49" t="n"/>
      <c r="G207" s="43" t="n"/>
      <c r="H207" s="43" t="n"/>
      <c r="I207" s="43" t="n"/>
      <c r="J207" s="43" t="n"/>
      <c r="K207" s="9" t="n"/>
      <c r="L207" s="13" t="n"/>
      <c r="M207" s="46" t="n"/>
      <c r="N207" s="46" t="n"/>
    </row>
    <row r="208" ht="15" customHeight="1" s="73">
      <c r="B208" s="19" t="n"/>
      <c r="C208" s="11" t="n"/>
      <c r="D208" s="35" t="n"/>
      <c r="E208" s="35" t="n"/>
      <c r="F208" s="49" t="n"/>
      <c r="G208" s="43" t="n"/>
      <c r="H208" s="43" t="n"/>
      <c r="I208" s="43" t="n"/>
      <c r="J208" s="43" t="n"/>
      <c r="K208" s="9" t="n"/>
      <c r="L208" s="13" t="n"/>
      <c r="M208" s="46" t="n"/>
      <c r="N208" s="46" t="n"/>
    </row>
    <row r="209" ht="15" customHeight="1" s="73">
      <c r="B209" s="19" t="n"/>
      <c r="C209" s="11" t="n"/>
      <c r="D209" s="35" t="n"/>
      <c r="E209" s="35" t="n"/>
      <c r="F209" s="49" t="n"/>
      <c r="G209" s="43" t="n"/>
      <c r="H209" s="43" t="n"/>
      <c r="I209" s="43" t="n"/>
      <c r="J209" s="43" t="n"/>
      <c r="K209" s="9" t="n"/>
      <c r="L209" s="13" t="n"/>
      <c r="M209" s="46" t="n"/>
      <c r="N209" s="46" t="n"/>
    </row>
    <row r="210" ht="15" customHeight="1" s="73">
      <c r="B210" s="19" t="n"/>
      <c r="C210" s="11" t="n"/>
      <c r="D210" s="35" t="n"/>
      <c r="E210" s="35" t="n"/>
      <c r="F210" s="49" t="n"/>
      <c r="G210" s="43" t="n"/>
      <c r="H210" s="43" t="n"/>
      <c r="I210" s="43" t="n"/>
      <c r="J210" s="43" t="n"/>
      <c r="K210" s="9" t="n"/>
      <c r="L210" s="13" t="n"/>
      <c r="M210" s="46" t="n"/>
      <c r="N210" s="46" t="n"/>
    </row>
    <row r="211" ht="15" customHeight="1" s="73">
      <c r="B211" s="19" t="n"/>
      <c r="C211" s="11" t="n"/>
      <c r="D211" s="35" t="n"/>
      <c r="E211" s="35" t="n"/>
      <c r="F211" s="49" t="n"/>
      <c r="G211" s="43" t="n"/>
      <c r="H211" s="43" t="n"/>
      <c r="I211" s="43" t="n"/>
      <c r="J211" s="43" t="n"/>
      <c r="K211" s="9" t="n"/>
      <c r="L211" s="13" t="n"/>
      <c r="M211" s="46" t="n"/>
      <c r="N211" s="46" t="n"/>
    </row>
    <row r="212" ht="15" customHeight="1" s="73">
      <c r="B212" s="19" t="n"/>
      <c r="C212" s="11" t="n"/>
      <c r="D212" s="35" t="n"/>
      <c r="E212" s="35" t="n"/>
      <c r="F212" s="49" t="n"/>
      <c r="G212" s="43" t="n"/>
      <c r="H212" s="43" t="n"/>
      <c r="I212" s="43" t="n"/>
      <c r="J212" s="43" t="n"/>
      <c r="K212" s="9" t="n"/>
      <c r="L212" s="13" t="n"/>
      <c r="M212" s="46" t="n"/>
      <c r="N212" s="46" t="n"/>
    </row>
    <row r="213" ht="15" customHeight="1" s="73">
      <c r="B213" s="19" t="n"/>
      <c r="C213" s="11" t="n"/>
      <c r="D213" s="35" t="n"/>
      <c r="E213" s="35" t="n"/>
      <c r="F213" s="49" t="n"/>
      <c r="G213" s="43" t="n"/>
      <c r="H213" s="43" t="n"/>
      <c r="I213" s="43" t="n"/>
      <c r="J213" s="43" t="n"/>
      <c r="K213" s="9" t="n"/>
      <c r="L213" s="13" t="n"/>
      <c r="M213" s="46" t="n"/>
      <c r="N213" s="46" t="n"/>
    </row>
    <row r="214" ht="15" customHeight="1" s="73">
      <c r="B214" s="19" t="n"/>
      <c r="C214" s="11" t="n"/>
      <c r="D214" s="35" t="n"/>
      <c r="E214" s="35" t="n"/>
      <c r="F214" s="49" t="n"/>
      <c r="G214" s="43" t="n"/>
      <c r="H214" s="43" t="n"/>
      <c r="I214" s="43" t="n"/>
      <c r="J214" s="43" t="n"/>
      <c r="K214" s="9" t="n"/>
      <c r="L214" s="13" t="n"/>
      <c r="M214" s="46" t="n"/>
      <c r="N214" s="46" t="n"/>
    </row>
    <row r="215" ht="15" customHeight="1" s="73">
      <c r="B215" s="19" t="n"/>
      <c r="C215" s="11" t="n"/>
      <c r="D215" s="35" t="n"/>
      <c r="E215" s="35" t="n"/>
      <c r="F215" s="49" t="n"/>
      <c r="G215" s="43" t="n"/>
      <c r="H215" s="43" t="n"/>
      <c r="I215" s="43" t="n"/>
      <c r="J215" s="43" t="n"/>
      <c r="K215" s="9" t="n"/>
      <c r="L215" s="13" t="n"/>
      <c r="M215" s="46" t="n"/>
      <c r="N215" s="46" t="n"/>
    </row>
    <row r="216" ht="15" customHeight="1" s="73">
      <c r="B216" s="19" t="n"/>
      <c r="C216" s="11" t="n"/>
      <c r="D216" s="35" t="n"/>
      <c r="E216" s="35" t="n"/>
      <c r="F216" s="49" t="n"/>
      <c r="G216" s="43" t="n"/>
      <c r="H216" s="43" t="n"/>
      <c r="I216" s="43" t="n"/>
      <c r="J216" s="43" t="n"/>
      <c r="K216" s="9" t="n"/>
      <c r="L216" s="13" t="n"/>
      <c r="M216" s="46" t="n"/>
      <c r="N216" s="46" t="n"/>
    </row>
    <row r="217" ht="15" customHeight="1" s="73">
      <c r="B217" s="19" t="n"/>
      <c r="C217" s="11" t="n"/>
      <c r="D217" s="35" t="n"/>
      <c r="E217" s="35" t="n"/>
      <c r="F217" s="49" t="n"/>
      <c r="G217" s="43" t="n"/>
      <c r="H217" s="43" t="n"/>
      <c r="I217" s="43" t="n"/>
      <c r="J217" s="43" t="n"/>
      <c r="K217" s="9" t="n"/>
      <c r="L217" s="13" t="n"/>
      <c r="M217" s="46" t="n"/>
      <c r="N217" s="46" t="n"/>
    </row>
    <row r="218" ht="15" customHeight="1" s="73">
      <c r="B218" s="19" t="n"/>
      <c r="C218" s="11" t="n"/>
      <c r="D218" s="43" t="n"/>
      <c r="E218" s="35" t="n"/>
      <c r="F218" s="49" t="n"/>
      <c r="G218" s="43" t="n"/>
      <c r="H218" s="43" t="n"/>
      <c r="I218" s="43" t="n"/>
      <c r="J218" s="43" t="n"/>
      <c r="K218" s="9" t="n"/>
      <c r="L218" s="19" t="n"/>
      <c r="M218" s="46" t="n"/>
      <c r="N218" s="46" t="n"/>
    </row>
    <row r="219" ht="15" customHeight="1" s="73">
      <c r="B219" s="19" t="n"/>
      <c r="C219" s="11" t="n"/>
      <c r="D219" s="43" t="n"/>
      <c r="E219" s="35" t="n"/>
      <c r="F219" s="49" t="n"/>
      <c r="G219" s="43" t="n"/>
      <c r="H219" s="43" t="n"/>
      <c r="I219" s="43" t="n"/>
      <c r="J219" s="43" t="n"/>
      <c r="K219" s="9" t="n"/>
      <c r="L219" s="19" t="n"/>
      <c r="M219" s="46" t="n"/>
      <c r="N219" s="46" t="n"/>
    </row>
    <row r="220" ht="15" customHeight="1" s="73">
      <c r="B220" s="19" t="n"/>
      <c r="C220" s="11" t="n"/>
      <c r="D220" s="43" t="n"/>
      <c r="E220" s="35" t="n"/>
      <c r="F220" s="49" t="n"/>
      <c r="G220" s="43" t="n"/>
      <c r="H220" s="43" t="n"/>
      <c r="I220" s="43" t="n"/>
      <c r="J220" s="43" t="n"/>
      <c r="K220" s="9" t="n"/>
      <c r="L220" s="19" t="n"/>
      <c r="M220" s="46" t="n"/>
      <c r="N220" s="46" t="n"/>
    </row>
    <row r="221" ht="15" customHeight="1" s="73">
      <c r="B221" s="19" t="n"/>
      <c r="C221" s="11" t="n"/>
      <c r="D221" s="43" t="n"/>
      <c r="E221" s="35" t="n"/>
      <c r="F221" s="49" t="n"/>
      <c r="G221" s="43" t="n"/>
      <c r="H221" s="43" t="n"/>
      <c r="I221" s="43" t="n"/>
      <c r="J221" s="43" t="n"/>
      <c r="K221" s="9" t="n"/>
      <c r="L221" s="19" t="n"/>
      <c r="M221" s="46" t="n"/>
      <c r="N221" s="46" t="n"/>
    </row>
    <row r="222" ht="15" customHeight="1" s="73">
      <c r="B222" s="19" t="n"/>
      <c r="C222" s="11" t="n"/>
      <c r="D222" s="43" t="n"/>
      <c r="E222" s="35" t="n"/>
      <c r="F222" s="49" t="n"/>
      <c r="G222" s="43" t="n"/>
      <c r="H222" s="43" t="n"/>
      <c r="I222" s="43" t="n"/>
      <c r="J222" s="43" t="n"/>
      <c r="K222" s="9" t="n"/>
      <c r="L222" s="19" t="n"/>
      <c r="M222" s="46" t="n"/>
      <c r="N222" s="46" t="n"/>
    </row>
    <row r="223" ht="15" customHeight="1" s="73">
      <c r="B223" s="19" t="n"/>
      <c r="C223" s="11" t="n"/>
      <c r="D223" s="43" t="n"/>
      <c r="E223" s="35" t="n"/>
      <c r="F223" s="49" t="n"/>
      <c r="G223" s="43" t="n"/>
      <c r="H223" s="43" t="n"/>
      <c r="I223" s="43" t="n"/>
      <c r="J223" s="43" t="n"/>
      <c r="K223" s="9" t="n"/>
      <c r="L223" s="19" t="n"/>
      <c r="M223" s="46" t="n"/>
      <c r="N223" s="46" t="n"/>
    </row>
    <row r="224" ht="15" customHeight="1" s="73">
      <c r="B224" s="19" t="n"/>
      <c r="C224" s="11" t="n"/>
      <c r="D224" s="43" t="n"/>
      <c r="E224" s="35" t="n"/>
      <c r="F224" s="49" t="n"/>
      <c r="G224" s="43" t="n"/>
      <c r="H224" s="43" t="n"/>
      <c r="I224" s="43" t="n"/>
      <c r="J224" s="43" t="n"/>
      <c r="K224" s="9" t="n"/>
      <c r="L224" s="19" t="n"/>
      <c r="M224" s="46" t="n"/>
      <c r="N224" s="46" t="n"/>
    </row>
    <row r="225" ht="15" customHeight="1" s="73">
      <c r="B225" s="19" t="n"/>
      <c r="C225" s="11" t="n"/>
      <c r="D225" s="43" t="n"/>
      <c r="E225" s="35" t="n"/>
      <c r="F225" s="49" t="n"/>
      <c r="G225" s="43" t="n"/>
      <c r="H225" s="43" t="n"/>
      <c r="I225" s="43" t="n"/>
      <c r="J225" s="43" t="n"/>
      <c r="K225" s="9" t="n"/>
      <c r="L225" s="19" t="n"/>
      <c r="M225" s="46" t="n"/>
      <c r="N225" s="46" t="n"/>
    </row>
    <row r="226" ht="15" customHeight="1" s="73">
      <c r="B226" s="19" t="n"/>
      <c r="C226" s="11" t="n"/>
      <c r="D226" s="43" t="n"/>
      <c r="E226" s="35" t="n"/>
      <c r="F226" s="49" t="n"/>
      <c r="G226" s="43" t="n"/>
      <c r="H226" s="43" t="n"/>
      <c r="I226" s="43" t="n"/>
      <c r="J226" s="43" t="n"/>
      <c r="K226" s="9" t="n"/>
      <c r="L226" s="19" t="n"/>
      <c r="M226" s="46" t="n"/>
      <c r="N226" s="46" t="n"/>
    </row>
    <row r="227" ht="15" customHeight="1" s="73">
      <c r="B227" s="19" t="n"/>
      <c r="C227" s="11" t="n"/>
      <c r="D227" s="43" t="n"/>
      <c r="E227" s="35" t="n"/>
      <c r="F227" s="49" t="n"/>
      <c r="G227" s="43" t="n"/>
      <c r="H227" s="43" t="n"/>
      <c r="I227" s="43" t="n"/>
      <c r="J227" s="43" t="n"/>
      <c r="K227" s="9" t="n"/>
      <c r="L227" s="19" t="n"/>
      <c r="M227" s="46" t="n"/>
      <c r="N227" s="46" t="n"/>
    </row>
    <row r="228" ht="15" customHeight="1" s="73">
      <c r="B228" s="19" t="n"/>
      <c r="C228" s="11" t="n"/>
      <c r="D228" s="43" t="n"/>
      <c r="E228" s="35" t="n"/>
      <c r="F228" s="49" t="n"/>
      <c r="G228" s="43" t="n"/>
      <c r="H228" s="43" t="n"/>
      <c r="I228" s="43" t="n"/>
      <c r="J228" s="43" t="n"/>
      <c r="K228" s="9" t="n"/>
      <c r="L228" s="19" t="n"/>
      <c r="M228" s="46" t="n"/>
      <c r="N228" s="46" t="n"/>
    </row>
    <row r="229" ht="15" customHeight="1" s="73">
      <c r="B229" s="19" t="n"/>
      <c r="C229" s="11" t="n"/>
      <c r="D229" s="43" t="n"/>
      <c r="E229" s="35" t="n"/>
      <c r="F229" s="49" t="n"/>
      <c r="G229" s="43" t="n"/>
      <c r="H229" s="43" t="n"/>
      <c r="I229" s="43" t="n"/>
      <c r="J229" s="43" t="n"/>
      <c r="K229" s="9" t="n"/>
      <c r="L229" s="19" t="n"/>
      <c r="M229" s="46" t="n"/>
      <c r="N229" s="46" t="n"/>
    </row>
    <row r="230" ht="15" customHeight="1" s="73">
      <c r="B230" s="19" t="n"/>
      <c r="C230" s="11" t="n"/>
      <c r="D230" s="43" t="n"/>
      <c r="E230" s="35" t="n"/>
      <c r="F230" s="49" t="n"/>
      <c r="G230" s="43" t="n"/>
      <c r="H230" s="43" t="n"/>
      <c r="I230" s="43" t="n"/>
      <c r="J230" s="43" t="n"/>
      <c r="K230" s="9" t="n"/>
      <c r="L230" s="19" t="n"/>
      <c r="M230" s="46" t="n"/>
      <c r="N230" s="46" t="n"/>
    </row>
    <row r="231" ht="15" customHeight="1" s="73">
      <c r="B231" s="19" t="n"/>
      <c r="C231" s="11" t="n"/>
      <c r="D231" s="43" t="n"/>
      <c r="E231" s="35" t="n"/>
      <c r="F231" s="49" t="n"/>
      <c r="G231" s="43" t="n"/>
      <c r="H231" s="43" t="n"/>
      <c r="I231" s="43" t="n"/>
      <c r="J231" s="43" t="n"/>
      <c r="K231" s="9" t="n"/>
      <c r="L231" s="19" t="n"/>
      <c r="M231" s="46" t="n"/>
      <c r="N231" s="46" t="n"/>
    </row>
    <row r="232" ht="15" customHeight="1" s="73">
      <c r="B232" s="19" t="n"/>
      <c r="C232" s="11" t="n"/>
      <c r="D232" s="43" t="n"/>
      <c r="E232" s="35" t="n"/>
      <c r="F232" s="49" t="n"/>
      <c r="G232" s="43" t="n"/>
      <c r="H232" s="43" t="n"/>
      <c r="I232" s="43" t="n"/>
      <c r="J232" s="43" t="n"/>
      <c r="K232" s="9" t="n"/>
      <c r="L232" s="19" t="n"/>
      <c r="M232" s="46" t="n"/>
      <c r="N232" s="46" t="n"/>
    </row>
    <row r="233" ht="15" customHeight="1" s="73">
      <c r="B233" s="19" t="n"/>
      <c r="C233" s="11" t="n"/>
      <c r="D233" s="43" t="n"/>
      <c r="E233" s="35" t="n"/>
      <c r="F233" s="49" t="n"/>
      <c r="G233" s="43" t="n"/>
      <c r="H233" s="43" t="n"/>
      <c r="I233" s="43" t="n"/>
      <c r="J233" s="43" t="n"/>
      <c r="K233" s="9" t="n"/>
      <c r="L233" s="19" t="n"/>
      <c r="M233" s="46" t="n"/>
      <c r="N233" s="46" t="n"/>
    </row>
    <row r="234" ht="15" customHeight="1" s="73">
      <c r="B234" s="19" t="n"/>
      <c r="C234" s="11" t="n"/>
      <c r="D234" s="43" t="n"/>
      <c r="E234" s="35" t="n"/>
      <c r="F234" s="49" t="n"/>
      <c r="G234" s="43" t="n"/>
      <c r="H234" s="43" t="n"/>
      <c r="I234" s="43" t="n"/>
      <c r="J234" s="43" t="n"/>
      <c r="K234" s="9" t="n"/>
      <c r="L234" s="19" t="n"/>
      <c r="M234" s="46" t="n"/>
      <c r="N234" s="46" t="n"/>
    </row>
    <row r="235" ht="15" customHeight="1" s="73">
      <c r="B235" s="19" t="n"/>
      <c r="C235" s="11" t="n"/>
      <c r="D235" s="43" t="n"/>
      <c r="E235" s="35" t="n"/>
      <c r="F235" s="49" t="n"/>
      <c r="G235" s="43" t="n"/>
      <c r="H235" s="43" t="n"/>
      <c r="I235" s="43" t="n"/>
      <c r="J235" s="43" t="n"/>
      <c r="K235" s="9" t="n"/>
      <c r="L235" s="19" t="n"/>
      <c r="M235" s="46" t="n"/>
      <c r="N235" s="46" t="n"/>
    </row>
  </sheetData>
  <mergeCells count="2">
    <mergeCell ref="A2:N2"/>
    <mergeCell ref="A1:N1"/>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163"/>
  <sheetViews>
    <sheetView zoomScaleNormal="100" workbookViewId="0">
      <pane xSplit="1" ySplit="27" topLeftCell="B28" activePane="bottomRight" state="frozen"/>
      <selection pane="topRight" activeCell="B1" sqref="B1"/>
      <selection pane="bottomLeft" activeCell="A28" sqref="A28"/>
      <selection pane="bottomRight" activeCell="A1" sqref="A1"/>
    </sheetView>
  </sheetViews>
  <sheetFormatPr baseColWidth="8" defaultColWidth="8.6328125" defaultRowHeight="14.5"/>
  <cols>
    <col width="2.453125" customWidth="1" style="73" min="1" max="1"/>
    <col width="30" customWidth="1" style="73" min="2" max="2"/>
    <col width="9" customWidth="1" style="73" min="3" max="5"/>
    <col width="11" customWidth="1" style="73" min="6" max="6"/>
    <col width="10" customWidth="1" style="73" min="7" max="8"/>
    <col width="11" customWidth="1" style="73" min="9" max="9"/>
    <col width="10" customWidth="1" style="73" min="10" max="11"/>
    <col width="54" customWidth="1" style="73" min="12" max="12"/>
  </cols>
  <sheetData>
    <row r="1" ht="25.5" customHeight="1" s="73">
      <c r="A1" s="72" t="inlineStr">
        <is>
          <t>SIT loading  —  turning fractional FTE into whole people and whole months</t>
        </is>
      </c>
    </row>
    <row r="2" ht="15" customHeight="1" s="73">
      <c r="A2" s="75" t="inlineStr">
        <is>
          <t>The seat ledger is a demand model, not a roster. Regenerated for the restated two-stream, team-only design: every delivery unit is a 12-seat TEAM, 7 of them in Year 1 falling to 4 by Year 4.</t>
        </is>
      </c>
    </row>
    <row r="4" ht="15" customHeight="1" s="73">
      <c r="A4" s="76" t="inlineStr">
        <is>
          <t>A.  WHY YOU CANNOT ROUND THE SEAT LEDGER</t>
        </is>
      </c>
    </row>
    <row r="5" ht="15" customHeight="1" s="73">
      <c r="B5" s="5" t="inlineStr">
        <is>
          <t>Approach</t>
        </is>
      </c>
      <c r="C5" s="5" t="inlineStr">
        <is>
          <t>Y1</t>
        </is>
      </c>
      <c r="D5" s="5" t="inlineStr">
        <is>
          <t>Y2</t>
        </is>
      </c>
      <c r="E5" s="5" t="inlineStr">
        <is>
          <t>Y3</t>
        </is>
      </c>
      <c r="F5" s="5" t="inlineStr">
        <is>
          <t>Y4</t>
        </is>
      </c>
      <c r="G5" s="5" t="inlineStr">
        <is>
          <t>Y5</t>
        </is>
      </c>
      <c r="H5" s="5" t="inlineStr">
        <is>
          <t>Verdict</t>
        </is>
      </c>
    </row>
    <row r="6" ht="23.25" customHeight="1" s="73">
      <c r="B6" s="14" t="inlineStr">
        <is>
          <t>Modelled FTE (the commercial number)</t>
        </is>
      </c>
      <c r="C6" s="15" t="n">
        <v>106</v>
      </c>
      <c r="D6" s="15" t="n">
        <v>85</v>
      </c>
      <c r="E6" s="15" t="n">
        <v>72.5</v>
      </c>
      <c r="F6" s="15" t="n">
        <v>64.5</v>
      </c>
      <c r="G6" s="15" t="n">
        <v>58.5</v>
      </c>
    </row>
    <row r="7" ht="30" customHeight="1" s="73">
      <c r="B7" s="50" t="inlineStr">
        <is>
          <t>Round every ledger row UP to whole heads</t>
        </is>
      </c>
      <c r="C7" s="51" t="n">
        <v>111</v>
      </c>
      <c r="D7" s="51" t="n">
        <v>88</v>
      </c>
      <c r="E7" s="51" t="n">
        <v>77</v>
      </c>
      <c r="F7" s="51" t="n">
        <v>69</v>
      </c>
      <c r="G7" s="51" t="n">
        <v>68</v>
      </c>
      <c r="H7" s="82" t="inlineStr">
        <is>
          <t>INFLATES Year 1 by 16 people — 15%. 242 ledger rows each round up by up to 0.99 of a person.</t>
        </is>
      </c>
    </row>
    <row r="8" ht="30" customHeight="1" s="73">
      <c r="B8" s="52" t="inlineStr">
        <is>
          <t>Round every ledger row to nearest</t>
        </is>
      </c>
      <c r="C8" s="16" t="n">
        <v>108</v>
      </c>
      <c r="D8" s="16" t="n">
        <v>85</v>
      </c>
      <c r="E8" s="16" t="n">
        <v>74</v>
      </c>
      <c r="F8" s="16" t="n">
        <v>64</v>
      </c>
      <c r="G8" s="16" t="n">
        <v>60</v>
      </c>
      <c r="H8" s="82" t="inlineStr">
        <is>
          <t>Total is roughly right but every individual line is wrong, and the FTC / FTE / MGCC split drifts. It also implies each pod has its own dedicated architect, tester and support engineer.</t>
        </is>
      </c>
    </row>
    <row r="9" ht="30" customHeight="1" s="73">
      <c r="B9" s="14" t="inlineStr">
        <is>
          <t>This sheet — aggregate first, then whole people and months</t>
        </is>
      </c>
      <c r="C9" s="15" t="n">
        <v>106</v>
      </c>
      <c r="D9" s="15" t="n">
        <v>85</v>
      </c>
      <c r="E9" s="15" t="n">
        <v>72.5</v>
      </c>
      <c r="F9" s="15" t="n">
        <v>64.5</v>
      </c>
      <c r="G9" s="15" t="n">
        <v>58.5</v>
      </c>
      <c r="H9" s="82" t="inlineStr">
        <is>
          <t>Exact on total, on each sourcing type and on person-months.</t>
        </is>
      </c>
    </row>
    <row r="11" ht="15" customHeight="1" s="73">
      <c r="A11" s="76" t="inlineStr">
        <is>
          <t>B.  THE RULE</t>
        </is>
      </c>
    </row>
    <row r="12" ht="27.75" customHeight="1" s="73">
      <c r="B12" s="77" t="inlineStr">
        <is>
          <t>Aggregate the ledger to the level at which a person is actually hired — year x role x band x location x sourcing — and only then convert to bodies. A pod seat of 0.23 is not a person; the same role summed across six pods is.</t>
        </is>
      </c>
    </row>
    <row r="13" ht="18.75" customHeight="1" s="73">
      <c r="B13" s="5" t="inlineStr">
        <is>
          <t>Treatment</t>
        </is>
      </c>
      <c r="C13" s="5" t="inlineStr">
        <is>
          <t>When it applies</t>
        </is>
      </c>
      <c r="D13" s="5" t="inlineStr">
        <is>
          <t>How SIT loads it</t>
        </is>
      </c>
      <c r="E13" s="5" t="inlineStr">
        <is>
          <t>Example</t>
        </is>
      </c>
    </row>
    <row r="14" ht="42" customHeight="1" s="73">
      <c r="B14" s="24" t="inlineStr">
        <is>
          <t>RAMPED</t>
        </is>
      </c>
      <c r="C14" s="79" t="inlineStr">
        <is>
          <t>Delivery roles — engineers, testers, analysts inside pods and teams. The work is divisible over time and people join and leave pods.</t>
        </is>
      </c>
      <c r="D14" s="80" t="n"/>
      <c r="E14" s="80" t="n"/>
      <c r="F14" s="81" t="n"/>
      <c r="G14" s="79" t="inlineStr">
        <is>
          <t>floor(FTE) people for 12 months, plus one person for the remaining months.</t>
        </is>
      </c>
      <c r="H14" s="80" t="n"/>
      <c r="I14" s="81" t="n"/>
      <c r="J14" s="82" t="inlineStr">
        <is>
          <t>7.73 FTE  =  7 people all year  +  1 person for 8.7 months</t>
        </is>
      </c>
      <c r="K14" s="80" t="n"/>
      <c r="L14" s="81" t="n"/>
    </row>
    <row r="15" ht="42" customHeight="1" s="73">
      <c r="B15" s="24" t="inlineStr">
        <is>
          <t>SHARED</t>
        </is>
      </c>
      <c r="C15" s="79" t="inlineStr">
        <is>
          <t>Roles that need continuous presence — leads, architects, service delivery managers, PMO — and any line below 0.5 FTE.</t>
        </is>
      </c>
      <c r="D15" s="80" t="n"/>
      <c r="E15" s="80" t="n"/>
      <c r="F15" s="81" t="n"/>
      <c r="G15" s="79" t="inlineStr">
        <is>
          <t>One person at a partial allocation for the whole year, the balance of their time on another domain.</t>
        </is>
      </c>
      <c r="H15" s="80" t="n"/>
      <c r="I15" s="81" t="n"/>
      <c r="J15" s="82" t="inlineStr">
        <is>
          <t>0.95 FTE  =  1 Chief Architect at 95%, 5% elsewhere</t>
        </is>
      </c>
      <c r="K15" s="80" t="n"/>
      <c r="L15" s="81" t="n"/>
    </row>
    <row r="16" ht="15" customHeight="1" s="73">
      <c r="B16" s="78" t="inlineStr">
        <is>
          <t>Both give identical person-months. Neither loads a partial person into a month and neither allocates anybody above 100%. Person-months is the invariant SIT must reproduce: FTE x 12.</t>
        </is>
      </c>
    </row>
    <row r="18" ht="15" customHeight="1" s="73">
      <c r="A18" s="76" t="inlineStr">
        <is>
          <t>C.  RECONCILIATION  —  what SIT must tie back to</t>
        </is>
      </c>
    </row>
    <row r="19" ht="15" customHeight="1" s="73">
      <c r="B19" s="5" t="inlineStr">
        <is>
          <t>Measure</t>
        </is>
      </c>
      <c r="C19" s="5" t="inlineStr">
        <is>
          <t>Y1</t>
        </is>
      </c>
      <c r="D19" s="5" t="inlineStr">
        <is>
          <t>Y2</t>
        </is>
      </c>
      <c r="E19" s="5" t="inlineStr">
        <is>
          <t>Y3</t>
        </is>
      </c>
      <c r="F19" s="5" t="inlineStr">
        <is>
          <t>Y4</t>
        </is>
      </c>
      <c r="G19" s="5" t="inlineStr">
        <is>
          <t>Y5</t>
        </is>
      </c>
      <c r="H19" s="5" t="inlineStr">
        <is>
          <t>Note</t>
        </is>
      </c>
    </row>
    <row r="20" ht="25.5" customHeight="1" s="73">
      <c r="B20" s="14" t="inlineStr">
        <is>
          <t>Modelled FTE</t>
        </is>
      </c>
      <c r="C20" s="15" t="n">
        <v>106</v>
      </c>
      <c r="D20" s="15" t="n">
        <v>85</v>
      </c>
      <c r="E20" s="15" t="n">
        <v>72.5</v>
      </c>
      <c r="F20" s="15" t="n">
        <v>64.5</v>
      </c>
      <c r="G20" s="15" t="n">
        <v>58.5</v>
      </c>
      <c r="H20" s="82" t="inlineStr">
        <is>
          <t>From the seat ledger. This is the commercial number and it does not change.</t>
        </is>
      </c>
    </row>
    <row r="21" ht="25.5" customHeight="1" s="73">
      <c r="B21" s="14" t="inlineStr">
        <is>
          <t>Person-months  =  FTE x 12</t>
        </is>
      </c>
      <c r="C21" s="37" t="n">
        <v>1272</v>
      </c>
      <c r="D21" s="37" t="n">
        <v>1020</v>
      </c>
      <c r="E21" s="37" t="n">
        <v>870</v>
      </c>
      <c r="F21" s="37" t="n">
        <v>774</v>
      </c>
      <c r="G21" s="37" t="n">
        <v>702</v>
      </c>
      <c r="H21" s="82" t="inlineStr">
        <is>
          <t>THE INVARIANT. SIT's monthly loading must sum to this.</t>
        </is>
      </c>
    </row>
    <row r="22" ht="25.5" customHeight="1" s="73">
      <c r="B22" s="79" t="inlineStr">
        <is>
          <t>Bodies to requisition</t>
        </is>
      </c>
      <c r="C22" s="13" t="n">
        <v>111</v>
      </c>
      <c r="D22" s="13" t="n">
        <v>88</v>
      </c>
      <c r="E22" s="13" t="n">
        <v>77</v>
      </c>
      <c r="F22" s="13" t="n">
        <v>69</v>
      </c>
      <c r="G22" s="13" t="n">
        <v>68</v>
      </c>
      <c r="H22" s="82" t="inlineStr">
        <is>
          <t>Named people. Higher than FTE because some are part-year or part-allocated.</t>
        </is>
      </c>
    </row>
    <row r="23" ht="25.5" customHeight="1" s="73">
      <c r="B23" s="79" t="inlineStr">
        <is>
          <t xml:space="preserve">  — of which full-time, all year</t>
        </is>
      </c>
      <c r="C23" s="13" t="n">
        <v>101</v>
      </c>
      <c r="D23" s="13" t="n">
        <v>82</v>
      </c>
      <c r="E23" s="13" t="n">
        <v>68</v>
      </c>
      <c r="F23" s="13" t="n">
        <v>60</v>
      </c>
      <c r="G23" s="13" t="n">
        <v>49</v>
      </c>
      <c r="H23" s="82" t="inlineStr">
        <is>
          <t>The core roster. Everything else is a partial assignment.</t>
        </is>
      </c>
    </row>
    <row r="24" ht="25.5" customHeight="1" s="73">
      <c r="B24" s="79" t="inlineStr">
        <is>
          <t>Average allocation across all bodies</t>
        </is>
      </c>
      <c r="C24" s="30" t="n">
        <v>0.955</v>
      </c>
      <c r="D24" s="30" t="n">
        <v>0.9659</v>
      </c>
      <c r="E24" s="30" t="n">
        <v>0.9416</v>
      </c>
      <c r="F24" s="30" t="n">
        <v>0.9348</v>
      </c>
      <c r="G24" s="30" t="n">
        <v>0.8603</v>
      </c>
      <c r="H24" s="82" t="inlineStr">
        <is>
          <t>If this drops below about 70% the pod design is too fragmented — check it.</t>
        </is>
      </c>
    </row>
    <row r="26" ht="15" customHeight="1" s="73">
      <c r="A26" s="76" t="inlineStr">
        <is>
          <t>D.  THE REQUISITION PLAN  —  load these lines into SIT</t>
        </is>
      </c>
    </row>
    <row r="27" ht="27.75" customHeight="1" s="73">
      <c r="B27" s="5" t="inlineStr">
        <is>
          <t>Year</t>
        </is>
      </c>
      <c r="C27" s="5" t="inlineStr">
        <is>
          <t>Sourcing</t>
        </is>
      </c>
      <c r="D27" s="5" t="inlineStr">
        <is>
          <t>Role</t>
        </is>
      </c>
      <c r="E27" s="5" t="inlineStr">
        <is>
          <t>Band</t>
        </is>
      </c>
      <c r="F27" s="5" t="inlineStr">
        <is>
          <t>Location</t>
        </is>
      </c>
      <c r="G27" s="5" t="inlineStr">
        <is>
          <t>Unit type</t>
        </is>
      </c>
      <c r="H27" s="5" t="inlineStr">
        <is>
          <t>Modelled FTE</t>
        </is>
      </c>
      <c r="I27" s="5" t="inlineStr">
        <is>
          <t>Person-months</t>
        </is>
      </c>
      <c r="J27" s="5" t="inlineStr">
        <is>
          <t>Treatment</t>
        </is>
      </c>
      <c r="K27" s="5" t="inlineStr">
        <is>
          <t>Full-time heads</t>
        </is>
      </c>
      <c r="L27" s="5" t="inlineStr">
        <is>
          <t>+1 head for (months)</t>
        </is>
      </c>
      <c r="M27" s="5" t="inlineStr">
        <is>
          <t>Allocation of the part head</t>
        </is>
      </c>
    </row>
    <row r="28" ht="15" customHeight="1" s="73">
      <c r="B28" s="19" t="n">
        <v>1</v>
      </c>
      <c r="C28" s="11" t="inlineStr">
        <is>
          <t>FTC</t>
        </is>
      </c>
      <c r="D28" s="11" t="inlineStr">
        <is>
          <t>BSA</t>
        </is>
      </c>
      <c r="E28" s="35" t="inlineStr">
        <is>
          <t>E3</t>
        </is>
      </c>
      <c r="F28" s="35" t="inlineStr">
        <is>
          <t>ON</t>
        </is>
      </c>
      <c r="G28" s="35" t="inlineStr">
        <is>
          <t>Delivery</t>
        </is>
      </c>
      <c r="H28" s="53" t="n">
        <v>7</v>
      </c>
      <c r="I28" s="36" t="n">
        <v>84</v>
      </c>
      <c r="J28" s="54" t="inlineStr">
        <is>
          <t>RAMPED</t>
        </is>
      </c>
      <c r="K28" s="55" t="n">
        <v>7</v>
      </c>
      <c r="L28" s="9" t="n"/>
      <c r="M28" s="30" t="n"/>
    </row>
    <row r="29" ht="15" customHeight="1" s="73">
      <c r="B29" s="19" t="n">
        <v>1</v>
      </c>
      <c r="C29" s="11" t="inlineStr">
        <is>
          <t>FTC</t>
        </is>
      </c>
      <c r="D29" s="11" t="inlineStr">
        <is>
          <t>DEV</t>
        </is>
      </c>
      <c r="E29" s="35" t="inlineStr">
        <is>
          <t>E2</t>
        </is>
      </c>
      <c r="F29" s="35" t="inlineStr">
        <is>
          <t>OFF</t>
        </is>
      </c>
      <c r="G29" s="35" t="inlineStr">
        <is>
          <t>Delivery</t>
        </is>
      </c>
      <c r="H29" s="53" t="n">
        <v>3.5</v>
      </c>
      <c r="I29" s="36" t="n">
        <v>42</v>
      </c>
      <c r="J29" s="54" t="inlineStr">
        <is>
          <t>RAMPED</t>
        </is>
      </c>
      <c r="K29" s="55" t="n">
        <v>3</v>
      </c>
      <c r="L29" s="9" t="n">
        <v>6</v>
      </c>
      <c r="M29" s="30" t="n"/>
    </row>
    <row r="30" ht="15" customHeight="1" s="73">
      <c r="B30" s="19" t="n">
        <v>1</v>
      </c>
      <c r="C30" s="11" t="inlineStr">
        <is>
          <t>FTC</t>
        </is>
      </c>
      <c r="D30" s="11" t="inlineStr">
        <is>
          <t>DEV</t>
        </is>
      </c>
      <c r="E30" s="35" t="inlineStr">
        <is>
          <t>E2</t>
        </is>
      </c>
      <c r="F30" s="35" t="inlineStr">
        <is>
          <t>ON</t>
        </is>
      </c>
      <c r="G30" s="35" t="inlineStr">
        <is>
          <t>Delivery</t>
        </is>
      </c>
      <c r="H30" s="53" t="n">
        <v>8.5</v>
      </c>
      <c r="I30" s="36" t="n">
        <v>102</v>
      </c>
      <c r="J30" s="54" t="inlineStr">
        <is>
          <t>RAMPED</t>
        </is>
      </c>
      <c r="K30" s="55" t="n">
        <v>8</v>
      </c>
      <c r="L30" s="9" t="n">
        <v>6</v>
      </c>
      <c r="M30" s="30" t="n"/>
    </row>
    <row r="31" ht="15" customHeight="1" s="73">
      <c r="B31" s="19" t="n">
        <v>1</v>
      </c>
      <c r="C31" s="11" t="inlineStr">
        <is>
          <t>FTC</t>
        </is>
      </c>
      <c r="D31" s="11" t="inlineStr">
        <is>
          <t>DEV</t>
        </is>
      </c>
      <c r="E31" s="35" t="inlineStr">
        <is>
          <t>E3</t>
        </is>
      </c>
      <c r="F31" s="35" t="inlineStr">
        <is>
          <t>ON</t>
        </is>
      </c>
      <c r="G31" s="35" t="inlineStr">
        <is>
          <t>Delivery</t>
        </is>
      </c>
      <c r="H31" s="53" t="n">
        <v>13.5</v>
      </c>
      <c r="I31" s="36" t="n">
        <v>162</v>
      </c>
      <c r="J31" s="54" t="inlineStr">
        <is>
          <t>RAMPED</t>
        </is>
      </c>
      <c r="K31" s="55" t="n">
        <v>13</v>
      </c>
      <c r="L31" s="9" t="n">
        <v>6</v>
      </c>
      <c r="M31" s="30" t="n"/>
    </row>
    <row r="32" ht="15" customHeight="1" s="73">
      <c r="B32" s="19" t="n">
        <v>1</v>
      </c>
      <c r="C32" s="11" t="inlineStr">
        <is>
          <t>FTC</t>
        </is>
      </c>
      <c r="D32" s="11" t="inlineStr">
        <is>
          <t>DEV</t>
        </is>
      </c>
      <c r="E32" s="35" t="inlineStr">
        <is>
          <t>E4</t>
        </is>
      </c>
      <c r="F32" s="35" t="inlineStr">
        <is>
          <t>ON</t>
        </is>
      </c>
      <c r="G32" s="35" t="inlineStr">
        <is>
          <t>Delivery</t>
        </is>
      </c>
      <c r="H32" s="53" t="n">
        <v>7</v>
      </c>
      <c r="I32" s="36" t="n">
        <v>84</v>
      </c>
      <c r="J32" s="54" t="inlineStr">
        <is>
          <t>RAMPED</t>
        </is>
      </c>
      <c r="K32" s="55" t="n">
        <v>7</v>
      </c>
      <c r="L32" s="9" t="n"/>
      <c r="M32" s="30" t="n"/>
    </row>
    <row r="33" ht="15" customHeight="1" s="73">
      <c r="B33" s="19" t="n">
        <v>1</v>
      </c>
      <c r="C33" s="11" t="inlineStr">
        <is>
          <t>FTC</t>
        </is>
      </c>
      <c r="D33" s="11" t="inlineStr">
        <is>
          <t>MNT</t>
        </is>
      </c>
      <c r="E33" s="35" t="inlineStr">
        <is>
          <t>E2</t>
        </is>
      </c>
      <c r="F33" s="35" t="inlineStr">
        <is>
          <t>OFF</t>
        </is>
      </c>
      <c r="G33" s="35" t="inlineStr">
        <is>
          <t>Delivery</t>
        </is>
      </c>
      <c r="H33" s="53" t="n">
        <v>2</v>
      </c>
      <c r="I33" s="36" t="n">
        <v>24</v>
      </c>
      <c r="J33" s="54" t="inlineStr">
        <is>
          <t>RAMPED</t>
        </is>
      </c>
      <c r="K33" s="55" t="n">
        <v>2</v>
      </c>
      <c r="L33" s="9" t="n"/>
      <c r="M33" s="30" t="n"/>
    </row>
    <row r="34" ht="15" customHeight="1" s="73">
      <c r="B34" s="19" t="n">
        <v>1</v>
      </c>
      <c r="C34" s="11" t="inlineStr">
        <is>
          <t>FTC</t>
        </is>
      </c>
      <c r="D34" s="11" t="inlineStr">
        <is>
          <t>MNT</t>
        </is>
      </c>
      <c r="E34" s="35" t="inlineStr">
        <is>
          <t>E2</t>
        </is>
      </c>
      <c r="F34" s="35" t="inlineStr">
        <is>
          <t>ON</t>
        </is>
      </c>
      <c r="G34" s="35" t="inlineStr">
        <is>
          <t>Delivery</t>
        </is>
      </c>
      <c r="H34" s="53" t="n">
        <v>1.5</v>
      </c>
      <c r="I34" s="36" t="n">
        <v>18</v>
      </c>
      <c r="J34" s="54" t="inlineStr">
        <is>
          <t>RAMPED</t>
        </is>
      </c>
      <c r="K34" s="55" t="n">
        <v>1</v>
      </c>
      <c r="L34" s="9" t="n">
        <v>6</v>
      </c>
      <c r="M34" s="30" t="n"/>
    </row>
    <row r="35" ht="15" customHeight="1" s="73">
      <c r="B35" s="19" t="n">
        <v>1</v>
      </c>
      <c r="C35" s="11" t="inlineStr">
        <is>
          <t>FTC</t>
        </is>
      </c>
      <c r="D35" s="11" t="inlineStr">
        <is>
          <t>MNT</t>
        </is>
      </c>
      <c r="E35" s="35" t="inlineStr">
        <is>
          <t>E3</t>
        </is>
      </c>
      <c r="F35" s="35" t="inlineStr">
        <is>
          <t>ON</t>
        </is>
      </c>
      <c r="G35" s="35" t="inlineStr">
        <is>
          <t>Horizontal</t>
        </is>
      </c>
      <c r="H35" s="53" t="n">
        <v>1</v>
      </c>
      <c r="I35" s="36" t="n">
        <v>12</v>
      </c>
      <c r="J35" s="54" t="inlineStr">
        <is>
          <t>SHARED</t>
        </is>
      </c>
      <c r="K35" s="55" t="n">
        <v>1</v>
      </c>
      <c r="L35" s="9" t="n"/>
      <c r="M35" s="30" t="n"/>
    </row>
    <row r="36" ht="15" customHeight="1" s="73">
      <c r="B36" s="19" t="n">
        <v>1</v>
      </c>
      <c r="C36" s="11" t="inlineStr">
        <is>
          <t>FTC</t>
        </is>
      </c>
      <c r="D36" s="11" t="inlineStr">
        <is>
          <t>OTH</t>
        </is>
      </c>
      <c r="E36" s="35" t="inlineStr">
        <is>
          <t>E3</t>
        </is>
      </c>
      <c r="F36" s="35" t="inlineStr">
        <is>
          <t>OFF</t>
        </is>
      </c>
      <c r="G36" s="35" t="inlineStr">
        <is>
          <t>Horizontal</t>
        </is>
      </c>
      <c r="H36" s="53" t="n">
        <v>1</v>
      </c>
      <c r="I36" s="36" t="n">
        <v>12</v>
      </c>
      <c r="J36" s="54" t="inlineStr">
        <is>
          <t>SHARED</t>
        </is>
      </c>
      <c r="K36" s="55" t="n">
        <v>1</v>
      </c>
      <c r="L36" s="9" t="n"/>
      <c r="M36" s="30" t="n"/>
    </row>
    <row r="37" ht="15" customHeight="1" s="73">
      <c r="B37" s="19" t="n">
        <v>1</v>
      </c>
      <c r="C37" s="11" t="inlineStr">
        <is>
          <t>FTC</t>
        </is>
      </c>
      <c r="D37" s="11" t="inlineStr">
        <is>
          <t>OTH</t>
        </is>
      </c>
      <c r="E37" s="35" t="inlineStr">
        <is>
          <t>E4</t>
        </is>
      </c>
      <c r="F37" s="35" t="inlineStr">
        <is>
          <t>ON</t>
        </is>
      </c>
      <c r="G37" s="35" t="inlineStr">
        <is>
          <t>Delivery</t>
        </is>
      </c>
      <c r="H37" s="53" t="n">
        <v>2</v>
      </c>
      <c r="I37" s="36" t="n">
        <v>24</v>
      </c>
      <c r="J37" s="54" t="inlineStr">
        <is>
          <t>SHARED</t>
        </is>
      </c>
      <c r="K37" s="55" t="n">
        <v>2</v>
      </c>
      <c r="L37" s="9" t="n"/>
      <c r="M37" s="30" t="n"/>
    </row>
    <row r="38" ht="15" customHeight="1" s="73">
      <c r="B38" s="19" t="n">
        <v>1</v>
      </c>
      <c r="C38" s="11" t="inlineStr">
        <is>
          <t>FTC</t>
        </is>
      </c>
      <c r="D38" s="11" t="inlineStr">
        <is>
          <t>OTH</t>
        </is>
      </c>
      <c r="E38" s="35" t="inlineStr">
        <is>
          <t>E5</t>
        </is>
      </c>
      <c r="F38" s="35" t="inlineStr">
        <is>
          <t>ON</t>
        </is>
      </c>
      <c r="G38" s="35" t="inlineStr">
        <is>
          <t>Horizontal</t>
        </is>
      </c>
      <c r="H38" s="53" t="n">
        <v>0.5</v>
      </c>
      <c r="I38" s="36" t="n">
        <v>6</v>
      </c>
      <c r="J38" s="54" t="inlineStr">
        <is>
          <t>SHARED</t>
        </is>
      </c>
      <c r="K38" s="55" t="n">
        <v>0</v>
      </c>
      <c r="L38" s="9" t="n">
        <v>6</v>
      </c>
      <c r="M38" s="30" t="n">
        <v>0.5</v>
      </c>
    </row>
    <row r="39" ht="15" customHeight="1" s="73">
      <c r="B39" s="19" t="n">
        <v>1</v>
      </c>
      <c r="C39" s="11" t="inlineStr">
        <is>
          <t>FTC</t>
        </is>
      </c>
      <c r="D39" s="11" t="inlineStr">
        <is>
          <t>PM</t>
        </is>
      </c>
      <c r="E39" s="35" t="inlineStr">
        <is>
          <t>E5</t>
        </is>
      </c>
      <c r="F39" s="35" t="inlineStr">
        <is>
          <t>ON</t>
        </is>
      </c>
      <c r="G39" s="35" t="inlineStr">
        <is>
          <t>Horizontal</t>
        </is>
      </c>
      <c r="H39" s="53" t="n">
        <v>1.5</v>
      </c>
      <c r="I39" s="36" t="n">
        <v>18</v>
      </c>
      <c r="J39" s="54" t="inlineStr">
        <is>
          <t>SHARED</t>
        </is>
      </c>
      <c r="K39" s="55" t="n">
        <v>1</v>
      </c>
      <c r="L39" s="9" t="n">
        <v>6</v>
      </c>
      <c r="M39" s="30" t="n">
        <v>0.5</v>
      </c>
    </row>
    <row r="40" ht="15" customHeight="1" s="73">
      <c r="B40" s="19" t="n">
        <v>1</v>
      </c>
      <c r="C40" s="11" t="inlineStr">
        <is>
          <t>FTC</t>
        </is>
      </c>
      <c r="D40" s="11" t="inlineStr">
        <is>
          <t>TEST</t>
        </is>
      </c>
      <c r="E40" s="35" t="inlineStr">
        <is>
          <t>E1</t>
        </is>
      </c>
      <c r="F40" s="35" t="inlineStr">
        <is>
          <t>OFF</t>
        </is>
      </c>
      <c r="G40" s="35" t="inlineStr">
        <is>
          <t>Delivery</t>
        </is>
      </c>
      <c r="H40" s="53" t="n">
        <v>2</v>
      </c>
      <c r="I40" s="36" t="n">
        <v>24</v>
      </c>
      <c r="J40" s="54" t="inlineStr">
        <is>
          <t>RAMPED</t>
        </is>
      </c>
      <c r="K40" s="55" t="n">
        <v>2</v>
      </c>
      <c r="L40" s="9" t="n"/>
      <c r="M40" s="30" t="n"/>
    </row>
    <row r="41" ht="15" customHeight="1" s="73">
      <c r="B41" s="19" t="n">
        <v>1</v>
      </c>
      <c r="C41" s="11" t="inlineStr">
        <is>
          <t>FTC</t>
        </is>
      </c>
      <c r="D41" s="11" t="inlineStr">
        <is>
          <t>TEST</t>
        </is>
      </c>
      <c r="E41" s="35" t="inlineStr">
        <is>
          <t>E2</t>
        </is>
      </c>
      <c r="F41" s="35" t="inlineStr">
        <is>
          <t>ON</t>
        </is>
      </c>
      <c r="G41" s="35" t="inlineStr">
        <is>
          <t>Delivery</t>
        </is>
      </c>
      <c r="H41" s="53" t="n">
        <v>10</v>
      </c>
      <c r="I41" s="36" t="n">
        <v>120</v>
      </c>
      <c r="J41" s="54" t="inlineStr">
        <is>
          <t>RAMPED</t>
        </is>
      </c>
      <c r="K41" s="55" t="n">
        <v>10</v>
      </c>
      <c r="L41" s="9" t="n"/>
      <c r="M41" s="30" t="n"/>
    </row>
    <row r="42" ht="15" customHeight="1" s="73">
      <c r="B42" s="19" t="n">
        <v>1</v>
      </c>
      <c r="C42" s="11" t="inlineStr">
        <is>
          <t>FTC</t>
        </is>
      </c>
      <c r="D42" s="11" t="inlineStr">
        <is>
          <t>TEST</t>
        </is>
      </c>
      <c r="E42" s="35" t="inlineStr">
        <is>
          <t>E4</t>
        </is>
      </c>
      <c r="F42" s="35" t="inlineStr">
        <is>
          <t>ON</t>
        </is>
      </c>
      <c r="G42" s="35" t="inlineStr">
        <is>
          <t>Horizontal</t>
        </is>
      </c>
      <c r="H42" s="53" t="n">
        <v>1</v>
      </c>
      <c r="I42" s="36" t="n">
        <v>12</v>
      </c>
      <c r="J42" s="54" t="inlineStr">
        <is>
          <t>SHARED</t>
        </is>
      </c>
      <c r="K42" s="55" t="n">
        <v>1</v>
      </c>
      <c r="L42" s="9" t="n"/>
      <c r="M42" s="30" t="n"/>
    </row>
    <row r="43" ht="15" customHeight="1" s="73">
      <c r="B43" s="19" t="n">
        <v>1</v>
      </c>
      <c r="C43" s="11" t="inlineStr">
        <is>
          <t>FTE</t>
        </is>
      </c>
      <c r="D43" s="11" t="inlineStr">
        <is>
          <t>BSA</t>
        </is>
      </c>
      <c r="E43" s="35" t="inlineStr">
        <is>
          <t>E4</t>
        </is>
      </c>
      <c r="F43" s="35" t="inlineStr">
        <is>
          <t>ON</t>
        </is>
      </c>
      <c r="G43" s="35" t="inlineStr">
        <is>
          <t>Delivery</t>
        </is>
      </c>
      <c r="H43" s="53" t="n">
        <v>4</v>
      </c>
      <c r="I43" s="36" t="n">
        <v>48</v>
      </c>
      <c r="J43" s="54" t="inlineStr">
        <is>
          <t>RAMPED</t>
        </is>
      </c>
      <c r="K43" s="55" t="n">
        <v>4</v>
      </c>
      <c r="L43" s="9" t="n"/>
      <c r="M43" s="30" t="n"/>
    </row>
    <row r="44" ht="15" customHeight="1" s="73">
      <c r="B44" s="19" t="n">
        <v>1</v>
      </c>
      <c r="C44" s="11" t="inlineStr">
        <is>
          <t>FTE</t>
        </is>
      </c>
      <c r="D44" s="11" t="inlineStr">
        <is>
          <t>BSA</t>
        </is>
      </c>
      <c r="E44" s="35" t="inlineStr">
        <is>
          <t>E4</t>
        </is>
      </c>
      <c r="F44" s="35" t="inlineStr">
        <is>
          <t>ON</t>
        </is>
      </c>
      <c r="G44" s="35" t="inlineStr">
        <is>
          <t>Horizontal</t>
        </is>
      </c>
      <c r="H44" s="53" t="n">
        <v>1.5</v>
      </c>
      <c r="I44" s="36" t="n">
        <v>18</v>
      </c>
      <c r="J44" s="54" t="inlineStr">
        <is>
          <t>SHARED</t>
        </is>
      </c>
      <c r="K44" s="55" t="n">
        <v>1</v>
      </c>
      <c r="L44" s="9" t="n">
        <v>6</v>
      </c>
      <c r="M44" s="30" t="n">
        <v>0.5</v>
      </c>
    </row>
    <row r="45" ht="15" customHeight="1" s="73">
      <c r="B45" s="19" t="n">
        <v>1</v>
      </c>
      <c r="C45" s="11" t="inlineStr">
        <is>
          <t>FTE</t>
        </is>
      </c>
      <c r="D45" s="11" t="inlineStr">
        <is>
          <t>BSA</t>
        </is>
      </c>
      <c r="E45" s="35" t="inlineStr">
        <is>
          <t>E5</t>
        </is>
      </c>
      <c r="F45" s="35" t="inlineStr">
        <is>
          <t>ON</t>
        </is>
      </c>
      <c r="G45" s="35" t="inlineStr">
        <is>
          <t>Horizontal</t>
        </is>
      </c>
      <c r="H45" s="53" t="n">
        <v>2</v>
      </c>
      <c r="I45" s="36" t="n">
        <v>24</v>
      </c>
      <c r="J45" s="54" t="inlineStr">
        <is>
          <t>SHARED</t>
        </is>
      </c>
      <c r="K45" s="55" t="n">
        <v>2</v>
      </c>
      <c r="L45" s="9" t="n"/>
      <c r="M45" s="30" t="n"/>
    </row>
    <row r="46" ht="15" customHeight="1" s="73">
      <c r="B46" s="19" t="n">
        <v>1</v>
      </c>
      <c r="C46" s="11" t="inlineStr">
        <is>
          <t>FTE</t>
        </is>
      </c>
      <c r="D46" s="11" t="inlineStr">
        <is>
          <t>MNT</t>
        </is>
      </c>
      <c r="E46" s="35" t="inlineStr">
        <is>
          <t>E3</t>
        </is>
      </c>
      <c r="F46" s="35" t="inlineStr">
        <is>
          <t>ON</t>
        </is>
      </c>
      <c r="G46" s="35" t="inlineStr">
        <is>
          <t>Delivery</t>
        </is>
      </c>
      <c r="H46" s="53" t="n">
        <v>3</v>
      </c>
      <c r="I46" s="36" t="n">
        <v>36</v>
      </c>
      <c r="J46" s="54" t="inlineStr">
        <is>
          <t>RAMPED</t>
        </is>
      </c>
      <c r="K46" s="55" t="n">
        <v>3</v>
      </c>
      <c r="L46" s="9" t="n"/>
      <c r="M46" s="30" t="n"/>
    </row>
    <row r="47" ht="15" customHeight="1" s="73">
      <c r="B47" s="19" t="n">
        <v>1</v>
      </c>
      <c r="C47" s="11" t="inlineStr">
        <is>
          <t>FTE</t>
        </is>
      </c>
      <c r="D47" s="11" t="inlineStr">
        <is>
          <t>MNT</t>
        </is>
      </c>
      <c r="E47" s="35" t="inlineStr">
        <is>
          <t>E3</t>
        </is>
      </c>
      <c r="F47" s="35" t="inlineStr">
        <is>
          <t>ON</t>
        </is>
      </c>
      <c r="G47" s="35" t="inlineStr">
        <is>
          <t>Horizontal</t>
        </is>
      </c>
      <c r="H47" s="53" t="n">
        <v>2</v>
      </c>
      <c r="I47" s="36" t="n">
        <v>24</v>
      </c>
      <c r="J47" s="54" t="inlineStr">
        <is>
          <t>SHARED</t>
        </is>
      </c>
      <c r="K47" s="55" t="n">
        <v>2</v>
      </c>
      <c r="L47" s="9" t="n"/>
      <c r="M47" s="30" t="n"/>
    </row>
    <row r="48" ht="15" customHeight="1" s="73">
      <c r="B48" s="19" t="n">
        <v>1</v>
      </c>
      <c r="C48" s="11" t="inlineStr">
        <is>
          <t>FTE</t>
        </is>
      </c>
      <c r="D48" s="11" t="inlineStr">
        <is>
          <t>PM</t>
        </is>
      </c>
      <c r="E48" s="35" t="inlineStr">
        <is>
          <t>E4</t>
        </is>
      </c>
      <c r="F48" s="35" t="inlineStr">
        <is>
          <t>ON</t>
        </is>
      </c>
      <c r="G48" s="35" t="inlineStr">
        <is>
          <t>Delivery</t>
        </is>
      </c>
      <c r="H48" s="53" t="n">
        <v>7</v>
      </c>
      <c r="I48" s="36" t="n">
        <v>84</v>
      </c>
      <c r="J48" s="54" t="inlineStr">
        <is>
          <t>SHARED</t>
        </is>
      </c>
      <c r="K48" s="55" t="n">
        <v>7</v>
      </c>
      <c r="L48" s="9" t="n"/>
      <c r="M48" s="30" t="n"/>
    </row>
    <row r="49" ht="15" customHeight="1" s="73">
      <c r="B49" s="19" t="n">
        <v>1</v>
      </c>
      <c r="C49" s="11" t="inlineStr">
        <is>
          <t>FTE</t>
        </is>
      </c>
      <c r="D49" s="11" t="inlineStr">
        <is>
          <t>PM</t>
        </is>
      </c>
      <c r="E49" s="35" t="inlineStr">
        <is>
          <t>E4</t>
        </is>
      </c>
      <c r="F49" s="35" t="inlineStr">
        <is>
          <t>ON</t>
        </is>
      </c>
      <c r="G49" s="35" t="inlineStr">
        <is>
          <t>Horizontal</t>
        </is>
      </c>
      <c r="H49" s="53" t="n">
        <v>6.5</v>
      </c>
      <c r="I49" s="36" t="n">
        <v>78</v>
      </c>
      <c r="J49" s="54" t="inlineStr">
        <is>
          <t>SHARED</t>
        </is>
      </c>
      <c r="K49" s="55" t="n">
        <v>6</v>
      </c>
      <c r="L49" s="9" t="n">
        <v>6</v>
      </c>
      <c r="M49" s="30" t="n">
        <v>0.5</v>
      </c>
    </row>
    <row r="50" ht="15" customHeight="1" s="73">
      <c r="B50" s="19" t="n">
        <v>1</v>
      </c>
      <c r="C50" s="11" t="inlineStr">
        <is>
          <t>MGCC</t>
        </is>
      </c>
      <c r="D50" s="11" t="inlineStr">
        <is>
          <t>DEV</t>
        </is>
      </c>
      <c r="E50" s="35" t="inlineStr">
        <is>
          <t>E3</t>
        </is>
      </c>
      <c r="F50" s="35" t="inlineStr">
        <is>
          <t>OFF</t>
        </is>
      </c>
      <c r="G50" s="35" t="inlineStr">
        <is>
          <t>Delivery</t>
        </is>
      </c>
      <c r="H50" s="53" t="n">
        <v>6</v>
      </c>
      <c r="I50" s="36" t="n">
        <v>72</v>
      </c>
      <c r="J50" s="54" t="inlineStr">
        <is>
          <t>RAMPED</t>
        </is>
      </c>
      <c r="K50" s="55" t="n">
        <v>6</v>
      </c>
      <c r="L50" s="9" t="n"/>
      <c r="M50" s="30" t="n"/>
    </row>
    <row r="51" ht="15" customHeight="1" s="73">
      <c r="B51" s="19" t="n">
        <v>1</v>
      </c>
      <c r="C51" s="11" t="inlineStr">
        <is>
          <t>MGCC</t>
        </is>
      </c>
      <c r="D51" s="11" t="inlineStr">
        <is>
          <t>DEV</t>
        </is>
      </c>
      <c r="E51" s="35" t="inlineStr">
        <is>
          <t>E3</t>
        </is>
      </c>
      <c r="F51" s="35" t="inlineStr">
        <is>
          <t>OFF</t>
        </is>
      </c>
      <c r="G51" s="35" t="inlineStr">
        <is>
          <t>Horizontal</t>
        </is>
      </c>
      <c r="H51" s="53" t="n">
        <v>3</v>
      </c>
      <c r="I51" s="36" t="n">
        <v>36</v>
      </c>
      <c r="J51" s="54" t="inlineStr">
        <is>
          <t>SHARED</t>
        </is>
      </c>
      <c r="K51" s="55" t="n">
        <v>3</v>
      </c>
      <c r="L51" s="9" t="n"/>
      <c r="M51" s="30" t="n"/>
    </row>
    <row r="52" ht="15" customHeight="1" s="73">
      <c r="B52" s="19" t="n">
        <v>1</v>
      </c>
      <c r="C52" s="11" t="inlineStr">
        <is>
          <t>MGCC</t>
        </is>
      </c>
      <c r="D52" s="11" t="inlineStr">
        <is>
          <t>TEST</t>
        </is>
      </c>
      <c r="E52" s="35" t="inlineStr">
        <is>
          <t>E2</t>
        </is>
      </c>
      <c r="F52" s="35" t="inlineStr">
        <is>
          <t>OFF</t>
        </is>
      </c>
      <c r="G52" s="35" t="inlineStr">
        <is>
          <t>Delivery</t>
        </is>
      </c>
      <c r="H52" s="53" t="n">
        <v>2</v>
      </c>
      <c r="I52" s="36" t="n">
        <v>24</v>
      </c>
      <c r="J52" s="54" t="inlineStr">
        <is>
          <t>RAMPED</t>
        </is>
      </c>
      <c r="K52" s="55" t="n">
        <v>2</v>
      </c>
      <c r="L52" s="9" t="n"/>
      <c r="M52" s="30" t="n"/>
    </row>
    <row r="53" ht="15" customHeight="1" s="73">
      <c r="B53" s="19" t="n">
        <v>1</v>
      </c>
      <c r="C53" s="11" t="inlineStr">
        <is>
          <t>PT</t>
        </is>
      </c>
      <c r="D53" s="11" t="inlineStr">
        <is>
          <t>BSA</t>
        </is>
      </c>
      <c r="E53" s="35" t="inlineStr">
        <is>
          <t>E3</t>
        </is>
      </c>
      <c r="F53" s="35" t="inlineStr">
        <is>
          <t>ON</t>
        </is>
      </c>
      <c r="G53" s="35" t="inlineStr">
        <is>
          <t>Delivery</t>
        </is>
      </c>
      <c r="H53" s="53" t="n">
        <v>1.5</v>
      </c>
      <c r="I53" s="36" t="n">
        <v>18</v>
      </c>
      <c r="J53" s="54" t="inlineStr">
        <is>
          <t>RAMPED</t>
        </is>
      </c>
      <c r="K53" s="55" t="n">
        <v>1</v>
      </c>
      <c r="L53" s="9" t="n">
        <v>6</v>
      </c>
      <c r="M53" s="30" t="n"/>
    </row>
    <row r="54" ht="15" customHeight="1" s="73">
      <c r="B54" s="19" t="n">
        <v>1</v>
      </c>
      <c r="C54" s="11" t="inlineStr">
        <is>
          <t>PT</t>
        </is>
      </c>
      <c r="D54" s="11" t="inlineStr">
        <is>
          <t>DEV</t>
        </is>
      </c>
      <c r="E54" s="35" t="inlineStr">
        <is>
          <t>E3</t>
        </is>
      </c>
      <c r="F54" s="35" t="inlineStr">
        <is>
          <t>ON</t>
        </is>
      </c>
      <c r="G54" s="35" t="inlineStr">
        <is>
          <t>Delivery</t>
        </is>
      </c>
      <c r="H54" s="53" t="n">
        <v>3.5</v>
      </c>
      <c r="I54" s="36" t="n">
        <v>42</v>
      </c>
      <c r="J54" s="54" t="inlineStr">
        <is>
          <t>RAMPED</t>
        </is>
      </c>
      <c r="K54" s="55" t="n">
        <v>3</v>
      </c>
      <c r="L54" s="9" t="n">
        <v>6</v>
      </c>
      <c r="M54" s="30" t="n"/>
    </row>
    <row r="55" ht="15" customHeight="1" s="73">
      <c r="B55" s="19" t="n">
        <v>1</v>
      </c>
      <c r="C55" s="11" t="inlineStr">
        <is>
          <t>PT</t>
        </is>
      </c>
      <c r="D55" s="11" t="inlineStr">
        <is>
          <t>MNT</t>
        </is>
      </c>
      <c r="E55" s="35" t="inlineStr">
        <is>
          <t>E3</t>
        </is>
      </c>
      <c r="F55" s="35" t="inlineStr">
        <is>
          <t>ON</t>
        </is>
      </c>
      <c r="G55" s="35" t="inlineStr">
        <is>
          <t>Horizontal</t>
        </is>
      </c>
      <c r="H55" s="53" t="n">
        <v>2</v>
      </c>
      <c r="I55" s="36" t="n">
        <v>24</v>
      </c>
      <c r="J55" s="54" t="inlineStr">
        <is>
          <t>SHARED</t>
        </is>
      </c>
      <c r="K55" s="55" t="n">
        <v>2</v>
      </c>
      <c r="L55" s="9" t="n"/>
      <c r="M55" s="30" t="n"/>
    </row>
    <row r="56" ht="15" customHeight="1" s="73">
      <c r="B56" s="19" t="n">
        <v>2</v>
      </c>
      <c r="C56" s="11" t="inlineStr">
        <is>
          <t>FTC</t>
        </is>
      </c>
      <c r="D56" s="11" t="inlineStr">
        <is>
          <t>BSA</t>
        </is>
      </c>
      <c r="E56" s="35" t="inlineStr">
        <is>
          <t>E3</t>
        </is>
      </c>
      <c r="F56" s="35" t="inlineStr">
        <is>
          <t>ON</t>
        </is>
      </c>
      <c r="G56" s="35" t="inlineStr">
        <is>
          <t>Delivery</t>
        </is>
      </c>
      <c r="H56" s="53" t="n">
        <v>6</v>
      </c>
      <c r="I56" s="36" t="n">
        <v>72</v>
      </c>
      <c r="J56" s="54" t="inlineStr">
        <is>
          <t>RAMPED</t>
        </is>
      </c>
      <c r="K56" s="55" t="n">
        <v>6</v>
      </c>
      <c r="L56" s="9" t="n"/>
      <c r="M56" s="30" t="n"/>
    </row>
    <row r="57" ht="15" customHeight="1" s="73">
      <c r="B57" s="19" t="n">
        <v>2</v>
      </c>
      <c r="C57" s="11" t="inlineStr">
        <is>
          <t>FTC</t>
        </is>
      </c>
      <c r="D57" s="11" t="inlineStr">
        <is>
          <t>DEV</t>
        </is>
      </c>
      <c r="E57" s="35" t="inlineStr">
        <is>
          <t>E2</t>
        </is>
      </c>
      <c r="F57" s="35" t="inlineStr">
        <is>
          <t>OFF</t>
        </is>
      </c>
      <c r="G57" s="35" t="inlineStr">
        <is>
          <t>Delivery</t>
        </is>
      </c>
      <c r="H57" s="53" t="n">
        <v>6.5</v>
      </c>
      <c r="I57" s="36" t="n">
        <v>78</v>
      </c>
      <c r="J57" s="54" t="inlineStr">
        <is>
          <t>RAMPED</t>
        </is>
      </c>
      <c r="K57" s="55" t="n">
        <v>6</v>
      </c>
      <c r="L57" s="9" t="n">
        <v>6</v>
      </c>
      <c r="M57" s="30" t="n"/>
    </row>
    <row r="58" ht="15" customHeight="1" s="73">
      <c r="B58" s="19" t="n">
        <v>2</v>
      </c>
      <c r="C58" s="11" t="inlineStr">
        <is>
          <t>FTC</t>
        </is>
      </c>
      <c r="D58" s="11" t="inlineStr">
        <is>
          <t>DEV</t>
        </is>
      </c>
      <c r="E58" s="35" t="inlineStr">
        <is>
          <t>E2</t>
        </is>
      </c>
      <c r="F58" s="35" t="inlineStr">
        <is>
          <t>ON</t>
        </is>
      </c>
      <c r="G58" s="35" t="inlineStr">
        <is>
          <t>Delivery</t>
        </is>
      </c>
      <c r="H58" s="53" t="n">
        <v>3.5</v>
      </c>
      <c r="I58" s="36" t="n">
        <v>42</v>
      </c>
      <c r="J58" s="54" t="inlineStr">
        <is>
          <t>RAMPED</t>
        </is>
      </c>
      <c r="K58" s="55" t="n">
        <v>3</v>
      </c>
      <c r="L58" s="9" t="n">
        <v>6</v>
      </c>
      <c r="M58" s="30" t="n"/>
    </row>
    <row r="59" ht="15" customHeight="1" s="73">
      <c r="B59" s="19" t="n">
        <v>2</v>
      </c>
      <c r="C59" s="11" t="inlineStr">
        <is>
          <t>FTC</t>
        </is>
      </c>
      <c r="D59" s="11" t="inlineStr">
        <is>
          <t>DEV</t>
        </is>
      </c>
      <c r="E59" s="35" t="inlineStr">
        <is>
          <t>E3</t>
        </is>
      </c>
      <c r="F59" s="35" t="inlineStr">
        <is>
          <t>ON</t>
        </is>
      </c>
      <c r="G59" s="35" t="inlineStr">
        <is>
          <t>Delivery</t>
        </is>
      </c>
      <c r="H59" s="53" t="n">
        <v>7</v>
      </c>
      <c r="I59" s="36" t="n">
        <v>84</v>
      </c>
      <c r="J59" s="54" t="inlineStr">
        <is>
          <t>RAMPED</t>
        </is>
      </c>
      <c r="K59" s="55" t="n">
        <v>7</v>
      </c>
      <c r="L59" s="9" t="n"/>
      <c r="M59" s="30" t="n"/>
    </row>
    <row r="60" ht="15" customHeight="1" s="73">
      <c r="B60" s="19" t="n">
        <v>2</v>
      </c>
      <c r="C60" s="11" t="inlineStr">
        <is>
          <t>FTC</t>
        </is>
      </c>
      <c r="D60" s="11" t="inlineStr">
        <is>
          <t>DEV</t>
        </is>
      </c>
      <c r="E60" s="35" t="inlineStr">
        <is>
          <t>E4</t>
        </is>
      </c>
      <c r="F60" s="35" t="inlineStr">
        <is>
          <t>ON</t>
        </is>
      </c>
      <c r="G60" s="35" t="inlineStr">
        <is>
          <t>Delivery</t>
        </is>
      </c>
      <c r="H60" s="53" t="n">
        <v>6</v>
      </c>
      <c r="I60" s="36" t="n">
        <v>72</v>
      </c>
      <c r="J60" s="54" t="inlineStr">
        <is>
          <t>RAMPED</t>
        </is>
      </c>
      <c r="K60" s="55" t="n">
        <v>6</v>
      </c>
      <c r="L60" s="9" t="n"/>
      <c r="M60" s="30" t="n"/>
    </row>
    <row r="61" ht="15" customHeight="1" s="73">
      <c r="B61" s="19" t="n">
        <v>2</v>
      </c>
      <c r="C61" s="11" t="inlineStr">
        <is>
          <t>FTC</t>
        </is>
      </c>
      <c r="D61" s="11" t="inlineStr">
        <is>
          <t>MNT</t>
        </is>
      </c>
      <c r="E61" s="35" t="inlineStr">
        <is>
          <t>E2</t>
        </is>
      </c>
      <c r="F61" s="35" t="inlineStr">
        <is>
          <t>OFF</t>
        </is>
      </c>
      <c r="G61" s="35" t="inlineStr">
        <is>
          <t>Delivery</t>
        </is>
      </c>
      <c r="H61" s="53" t="n">
        <v>2</v>
      </c>
      <c r="I61" s="36" t="n">
        <v>24</v>
      </c>
      <c r="J61" s="54" t="inlineStr">
        <is>
          <t>RAMPED</t>
        </is>
      </c>
      <c r="K61" s="55" t="n">
        <v>2</v>
      </c>
      <c r="L61" s="9" t="n"/>
      <c r="M61" s="30" t="n"/>
    </row>
    <row r="62" ht="15" customHeight="1" s="73">
      <c r="B62" s="19" t="n">
        <v>2</v>
      </c>
      <c r="C62" s="11" t="inlineStr">
        <is>
          <t>FTC</t>
        </is>
      </c>
      <c r="D62" s="11" t="inlineStr">
        <is>
          <t>MNT</t>
        </is>
      </c>
      <c r="E62" s="35" t="inlineStr">
        <is>
          <t>E2</t>
        </is>
      </c>
      <c r="F62" s="35" t="inlineStr">
        <is>
          <t>ON</t>
        </is>
      </c>
      <c r="G62" s="35" t="inlineStr">
        <is>
          <t>Delivery</t>
        </is>
      </c>
      <c r="H62" s="53" t="n">
        <v>1</v>
      </c>
      <c r="I62" s="36" t="n">
        <v>12</v>
      </c>
      <c r="J62" s="54" t="inlineStr">
        <is>
          <t>RAMPED</t>
        </is>
      </c>
      <c r="K62" s="55" t="n">
        <v>1</v>
      </c>
      <c r="L62" s="9" t="n"/>
      <c r="M62" s="30" t="n"/>
    </row>
    <row r="63" ht="15" customHeight="1" s="73">
      <c r="B63" s="19" t="n">
        <v>2</v>
      </c>
      <c r="C63" s="11" t="inlineStr">
        <is>
          <t>FTC</t>
        </is>
      </c>
      <c r="D63" s="11" t="inlineStr">
        <is>
          <t>MNT</t>
        </is>
      </c>
      <c r="E63" s="35" t="inlineStr">
        <is>
          <t>E3</t>
        </is>
      </c>
      <c r="F63" s="35" t="inlineStr">
        <is>
          <t>ON</t>
        </is>
      </c>
      <c r="G63" s="35" t="inlineStr">
        <is>
          <t>Horizontal</t>
        </is>
      </c>
      <c r="H63" s="53" t="n">
        <v>1</v>
      </c>
      <c r="I63" s="36" t="n">
        <v>12</v>
      </c>
      <c r="J63" s="54" t="inlineStr">
        <is>
          <t>SHARED</t>
        </is>
      </c>
      <c r="K63" s="55" t="n">
        <v>1</v>
      </c>
      <c r="L63" s="9" t="n"/>
      <c r="M63" s="30" t="n"/>
    </row>
    <row r="64" ht="15" customHeight="1" s="73">
      <c r="B64" s="19" t="n">
        <v>2</v>
      </c>
      <c r="C64" s="11" t="inlineStr">
        <is>
          <t>FTC</t>
        </is>
      </c>
      <c r="D64" s="11" t="inlineStr">
        <is>
          <t>OTH</t>
        </is>
      </c>
      <c r="E64" s="35" t="inlineStr">
        <is>
          <t>E3</t>
        </is>
      </c>
      <c r="F64" s="35" t="inlineStr">
        <is>
          <t>OFF</t>
        </is>
      </c>
      <c r="G64" s="35" t="inlineStr">
        <is>
          <t>Horizontal</t>
        </is>
      </c>
      <c r="H64" s="53" t="n">
        <v>1</v>
      </c>
      <c r="I64" s="36" t="n">
        <v>12</v>
      </c>
      <c r="J64" s="54" t="inlineStr">
        <is>
          <t>SHARED</t>
        </is>
      </c>
      <c r="K64" s="55" t="n">
        <v>1</v>
      </c>
      <c r="L64" s="9" t="n"/>
      <c r="M64" s="30" t="n"/>
    </row>
    <row r="65" ht="15" customHeight="1" s="73">
      <c r="B65" s="19" t="n">
        <v>2</v>
      </c>
      <c r="C65" s="11" t="inlineStr">
        <is>
          <t>FTC</t>
        </is>
      </c>
      <c r="D65" s="11" t="inlineStr">
        <is>
          <t>OTH</t>
        </is>
      </c>
      <c r="E65" s="35" t="inlineStr">
        <is>
          <t>E4</t>
        </is>
      </c>
      <c r="F65" s="35" t="inlineStr">
        <is>
          <t>ON</t>
        </is>
      </c>
      <c r="G65" s="35" t="inlineStr">
        <is>
          <t>Delivery</t>
        </is>
      </c>
      <c r="H65" s="53" t="n">
        <v>2</v>
      </c>
      <c r="I65" s="36" t="n">
        <v>24</v>
      </c>
      <c r="J65" s="54" t="inlineStr">
        <is>
          <t>SHARED</t>
        </is>
      </c>
      <c r="K65" s="55" t="n">
        <v>2</v>
      </c>
      <c r="L65" s="9" t="n"/>
      <c r="M65" s="30" t="n"/>
    </row>
    <row r="66" ht="15" customHeight="1" s="73">
      <c r="B66" s="19" t="n">
        <v>2</v>
      </c>
      <c r="C66" s="11" t="inlineStr">
        <is>
          <t>FTC</t>
        </is>
      </c>
      <c r="D66" s="11" t="inlineStr">
        <is>
          <t>OTH</t>
        </is>
      </c>
      <c r="E66" s="35" t="inlineStr">
        <is>
          <t>E5</t>
        </is>
      </c>
      <c r="F66" s="35" t="inlineStr">
        <is>
          <t>ON</t>
        </is>
      </c>
      <c r="G66" s="35" t="inlineStr">
        <is>
          <t>Horizontal</t>
        </is>
      </c>
      <c r="H66" s="53" t="n">
        <v>0.5</v>
      </c>
      <c r="I66" s="36" t="n">
        <v>6</v>
      </c>
      <c r="J66" s="54" t="inlineStr">
        <is>
          <t>SHARED</t>
        </is>
      </c>
      <c r="K66" s="55" t="n">
        <v>0</v>
      </c>
      <c r="L66" s="9" t="n">
        <v>6</v>
      </c>
      <c r="M66" s="30" t="n">
        <v>0.5</v>
      </c>
    </row>
    <row r="67" ht="15" customHeight="1" s="73">
      <c r="B67" s="19" t="n">
        <v>2</v>
      </c>
      <c r="C67" s="11" t="inlineStr">
        <is>
          <t>FTC</t>
        </is>
      </c>
      <c r="D67" s="11" t="inlineStr">
        <is>
          <t>PM</t>
        </is>
      </c>
      <c r="E67" s="35" t="inlineStr">
        <is>
          <t>E5</t>
        </is>
      </c>
      <c r="F67" s="35" t="inlineStr">
        <is>
          <t>ON</t>
        </is>
      </c>
      <c r="G67" s="35" t="inlineStr">
        <is>
          <t>Horizontal</t>
        </is>
      </c>
      <c r="H67" s="53" t="n">
        <v>1</v>
      </c>
      <c r="I67" s="36" t="n">
        <v>12</v>
      </c>
      <c r="J67" s="54" t="inlineStr">
        <is>
          <t>SHARED</t>
        </is>
      </c>
      <c r="K67" s="55" t="n">
        <v>1</v>
      </c>
      <c r="L67" s="9" t="n"/>
      <c r="M67" s="30" t="n"/>
    </row>
    <row r="68" ht="15" customHeight="1" s="73">
      <c r="B68" s="19" t="n">
        <v>2</v>
      </c>
      <c r="C68" s="11" t="inlineStr">
        <is>
          <t>FTC</t>
        </is>
      </c>
      <c r="D68" s="11" t="inlineStr">
        <is>
          <t>TEST</t>
        </is>
      </c>
      <c r="E68" s="35" t="inlineStr">
        <is>
          <t>E1</t>
        </is>
      </c>
      <c r="F68" s="35" t="inlineStr">
        <is>
          <t>OFF</t>
        </is>
      </c>
      <c r="G68" s="35" t="inlineStr">
        <is>
          <t>Delivery</t>
        </is>
      </c>
      <c r="H68" s="53" t="n">
        <v>3</v>
      </c>
      <c r="I68" s="36" t="n">
        <v>36</v>
      </c>
      <c r="J68" s="54" t="inlineStr">
        <is>
          <t>RAMPED</t>
        </is>
      </c>
      <c r="K68" s="55" t="n">
        <v>3</v>
      </c>
      <c r="L68" s="9" t="n"/>
      <c r="M68" s="30" t="n"/>
    </row>
    <row r="69" ht="15" customHeight="1" s="73">
      <c r="B69" s="19" t="n">
        <v>2</v>
      </c>
      <c r="C69" s="11" t="inlineStr">
        <is>
          <t>FTC</t>
        </is>
      </c>
      <c r="D69" s="11" t="inlineStr">
        <is>
          <t>TEST</t>
        </is>
      </c>
      <c r="E69" s="35" t="inlineStr">
        <is>
          <t>E2</t>
        </is>
      </c>
      <c r="F69" s="35" t="inlineStr">
        <is>
          <t>ON</t>
        </is>
      </c>
      <c r="G69" s="35" t="inlineStr">
        <is>
          <t>Delivery</t>
        </is>
      </c>
      <c r="H69" s="53" t="n">
        <v>3</v>
      </c>
      <c r="I69" s="36" t="n">
        <v>36</v>
      </c>
      <c r="J69" s="54" t="inlineStr">
        <is>
          <t>RAMPED</t>
        </is>
      </c>
      <c r="K69" s="55" t="n">
        <v>3</v>
      </c>
      <c r="L69" s="9" t="n"/>
      <c r="M69" s="30" t="n"/>
    </row>
    <row r="70" ht="15" customHeight="1" s="73">
      <c r="B70" s="19" t="n">
        <v>2</v>
      </c>
      <c r="C70" s="11" t="inlineStr">
        <is>
          <t>FTC</t>
        </is>
      </c>
      <c r="D70" s="11" t="inlineStr">
        <is>
          <t>TEST</t>
        </is>
      </c>
      <c r="E70" s="35" t="inlineStr">
        <is>
          <t>E4</t>
        </is>
      </c>
      <c r="F70" s="35" t="inlineStr">
        <is>
          <t>ON</t>
        </is>
      </c>
      <c r="G70" s="35" t="inlineStr">
        <is>
          <t>Horizontal</t>
        </is>
      </c>
      <c r="H70" s="53" t="n">
        <v>0.5</v>
      </c>
      <c r="I70" s="36" t="n">
        <v>6</v>
      </c>
      <c r="J70" s="54" t="inlineStr">
        <is>
          <t>SHARED</t>
        </is>
      </c>
      <c r="K70" s="55" t="n">
        <v>0</v>
      </c>
      <c r="L70" s="9" t="n">
        <v>6</v>
      </c>
      <c r="M70" s="30" t="n">
        <v>0.5</v>
      </c>
    </row>
    <row r="71" ht="15" customHeight="1" s="73">
      <c r="B71" s="19" t="n">
        <v>2</v>
      </c>
      <c r="C71" s="11" t="inlineStr">
        <is>
          <t>FTE</t>
        </is>
      </c>
      <c r="D71" s="11" t="inlineStr">
        <is>
          <t>BSA</t>
        </is>
      </c>
      <c r="E71" s="35" t="inlineStr">
        <is>
          <t>E4</t>
        </is>
      </c>
      <c r="F71" s="35" t="inlineStr">
        <is>
          <t>ON</t>
        </is>
      </c>
      <c r="G71" s="35" t="inlineStr">
        <is>
          <t>Delivery</t>
        </is>
      </c>
      <c r="H71" s="53" t="n">
        <v>6</v>
      </c>
      <c r="I71" s="36" t="n">
        <v>72</v>
      </c>
      <c r="J71" s="54" t="inlineStr">
        <is>
          <t>RAMPED</t>
        </is>
      </c>
      <c r="K71" s="55" t="n">
        <v>6</v>
      </c>
      <c r="L71" s="9" t="n"/>
      <c r="M71" s="30" t="n"/>
    </row>
    <row r="72" ht="15" customHeight="1" s="73">
      <c r="B72" s="19" t="n">
        <v>2</v>
      </c>
      <c r="C72" s="11" t="inlineStr">
        <is>
          <t>FTE</t>
        </is>
      </c>
      <c r="D72" s="11" t="inlineStr">
        <is>
          <t>BSA</t>
        </is>
      </c>
      <c r="E72" s="35" t="inlineStr">
        <is>
          <t>E4</t>
        </is>
      </c>
      <c r="F72" s="35" t="inlineStr">
        <is>
          <t>ON</t>
        </is>
      </c>
      <c r="G72" s="35" t="inlineStr">
        <is>
          <t>Horizontal</t>
        </is>
      </c>
      <c r="H72" s="53" t="n">
        <v>1</v>
      </c>
      <c r="I72" s="36" t="n">
        <v>12</v>
      </c>
      <c r="J72" s="54" t="inlineStr">
        <is>
          <t>SHARED</t>
        </is>
      </c>
      <c r="K72" s="55" t="n">
        <v>1</v>
      </c>
      <c r="L72" s="9" t="n"/>
      <c r="M72" s="30" t="n"/>
    </row>
    <row r="73" ht="15" customHeight="1" s="73">
      <c r="B73" s="19" t="n">
        <v>2</v>
      </c>
      <c r="C73" s="11" t="inlineStr">
        <is>
          <t>FTE</t>
        </is>
      </c>
      <c r="D73" s="11" t="inlineStr">
        <is>
          <t>BSA</t>
        </is>
      </c>
      <c r="E73" s="35" t="inlineStr">
        <is>
          <t>E5</t>
        </is>
      </c>
      <c r="F73" s="35" t="inlineStr">
        <is>
          <t>ON</t>
        </is>
      </c>
      <c r="G73" s="35" t="inlineStr">
        <is>
          <t>Horizontal</t>
        </is>
      </c>
      <c r="H73" s="53" t="n">
        <v>1.5</v>
      </c>
      <c r="I73" s="36" t="n">
        <v>18</v>
      </c>
      <c r="J73" s="54" t="inlineStr">
        <is>
          <t>SHARED</t>
        </is>
      </c>
      <c r="K73" s="55" t="n">
        <v>1</v>
      </c>
      <c r="L73" s="9" t="n">
        <v>6</v>
      </c>
      <c r="M73" s="30" t="n">
        <v>0.5</v>
      </c>
    </row>
    <row r="74" ht="15" customHeight="1" s="73">
      <c r="B74" s="19" t="n">
        <v>2</v>
      </c>
      <c r="C74" s="11" t="inlineStr">
        <is>
          <t>FTE</t>
        </is>
      </c>
      <c r="D74" s="11" t="inlineStr">
        <is>
          <t>MNT</t>
        </is>
      </c>
      <c r="E74" s="35" t="inlineStr">
        <is>
          <t>E3</t>
        </is>
      </c>
      <c r="F74" s="35" t="inlineStr">
        <is>
          <t>ON</t>
        </is>
      </c>
      <c r="G74" s="35" t="inlineStr">
        <is>
          <t>Delivery</t>
        </is>
      </c>
      <c r="H74" s="53" t="n">
        <v>3</v>
      </c>
      <c r="I74" s="36" t="n">
        <v>36</v>
      </c>
      <c r="J74" s="54" t="inlineStr">
        <is>
          <t>RAMPED</t>
        </is>
      </c>
      <c r="K74" s="55" t="n">
        <v>3</v>
      </c>
      <c r="L74" s="9" t="n"/>
      <c r="M74" s="30" t="n"/>
    </row>
    <row r="75" ht="15" customHeight="1" s="73">
      <c r="B75" s="19" t="n">
        <v>2</v>
      </c>
      <c r="C75" s="11" t="inlineStr">
        <is>
          <t>FTE</t>
        </is>
      </c>
      <c r="D75" s="11" t="inlineStr">
        <is>
          <t>MNT</t>
        </is>
      </c>
      <c r="E75" s="35" t="inlineStr">
        <is>
          <t>E3</t>
        </is>
      </c>
      <c r="F75" s="35" t="inlineStr">
        <is>
          <t>ON</t>
        </is>
      </c>
      <c r="G75" s="35" t="inlineStr">
        <is>
          <t>Horizontal</t>
        </is>
      </c>
      <c r="H75" s="53" t="n">
        <v>1</v>
      </c>
      <c r="I75" s="36" t="n">
        <v>12</v>
      </c>
      <c r="J75" s="54" t="inlineStr">
        <is>
          <t>SHARED</t>
        </is>
      </c>
      <c r="K75" s="55" t="n">
        <v>1</v>
      </c>
      <c r="L75" s="9" t="n"/>
      <c r="M75" s="30" t="n"/>
    </row>
    <row r="76" ht="15" customHeight="1" s="73">
      <c r="B76" s="19" t="n">
        <v>2</v>
      </c>
      <c r="C76" s="11" t="inlineStr">
        <is>
          <t>FTE</t>
        </is>
      </c>
      <c r="D76" s="11" t="inlineStr">
        <is>
          <t>PM</t>
        </is>
      </c>
      <c r="E76" s="35" t="inlineStr">
        <is>
          <t>E4</t>
        </is>
      </c>
      <c r="F76" s="35" t="inlineStr">
        <is>
          <t>ON</t>
        </is>
      </c>
      <c r="G76" s="35" t="inlineStr">
        <is>
          <t>Delivery</t>
        </is>
      </c>
      <c r="H76" s="53" t="n">
        <v>7</v>
      </c>
      <c r="I76" s="36" t="n">
        <v>84</v>
      </c>
      <c r="J76" s="54" t="inlineStr">
        <is>
          <t>SHARED</t>
        </is>
      </c>
      <c r="K76" s="55" t="n">
        <v>7</v>
      </c>
      <c r="L76" s="9" t="n"/>
      <c r="M76" s="30" t="n"/>
    </row>
    <row r="77" ht="15" customHeight="1" s="73">
      <c r="B77" s="19" t="n">
        <v>2</v>
      </c>
      <c r="C77" s="11" t="inlineStr">
        <is>
          <t>FTE</t>
        </is>
      </c>
      <c r="D77" s="11" t="inlineStr">
        <is>
          <t>PM</t>
        </is>
      </c>
      <c r="E77" s="35" t="inlineStr">
        <is>
          <t>E4</t>
        </is>
      </c>
      <c r="F77" s="35" t="inlineStr">
        <is>
          <t>ON</t>
        </is>
      </c>
      <c r="G77" s="35" t="inlineStr">
        <is>
          <t>Horizontal</t>
        </is>
      </c>
      <c r="H77" s="53" t="n">
        <v>1.5</v>
      </c>
      <c r="I77" s="36" t="n">
        <v>18</v>
      </c>
      <c r="J77" s="54" t="inlineStr">
        <is>
          <t>SHARED</t>
        </is>
      </c>
      <c r="K77" s="55" t="n">
        <v>1</v>
      </c>
      <c r="L77" s="9" t="n">
        <v>6</v>
      </c>
      <c r="M77" s="30" t="n">
        <v>0.5</v>
      </c>
    </row>
    <row r="78" ht="15" customHeight="1" s="73">
      <c r="B78" s="19" t="n">
        <v>2</v>
      </c>
      <c r="C78" s="11" t="inlineStr">
        <is>
          <t>MGCC</t>
        </is>
      </c>
      <c r="D78" s="11" t="inlineStr">
        <is>
          <t>DEV</t>
        </is>
      </c>
      <c r="E78" s="35" t="inlineStr">
        <is>
          <t>E3</t>
        </is>
      </c>
      <c r="F78" s="35" t="inlineStr">
        <is>
          <t>OFF</t>
        </is>
      </c>
      <c r="G78" s="35" t="inlineStr">
        <is>
          <t>Delivery</t>
        </is>
      </c>
      <c r="H78" s="53" t="n">
        <v>8</v>
      </c>
      <c r="I78" s="36" t="n">
        <v>96</v>
      </c>
      <c r="J78" s="54" t="inlineStr">
        <is>
          <t>RAMPED</t>
        </is>
      </c>
      <c r="K78" s="55" t="n">
        <v>8</v>
      </c>
      <c r="L78" s="9" t="n"/>
      <c r="M78" s="30" t="n"/>
    </row>
    <row r="79" ht="15" customHeight="1" s="73">
      <c r="B79" s="19" t="n">
        <v>2</v>
      </c>
      <c r="C79" s="11" t="inlineStr">
        <is>
          <t>MGCC</t>
        </is>
      </c>
      <c r="D79" s="11" t="inlineStr">
        <is>
          <t>DEV</t>
        </is>
      </c>
      <c r="E79" s="35" t="inlineStr">
        <is>
          <t>E3</t>
        </is>
      </c>
      <c r="F79" s="35" t="inlineStr">
        <is>
          <t>OFF</t>
        </is>
      </c>
      <c r="G79" s="35" t="inlineStr">
        <is>
          <t>Horizontal</t>
        </is>
      </c>
      <c r="H79" s="53" t="n">
        <v>2</v>
      </c>
      <c r="I79" s="36" t="n">
        <v>24</v>
      </c>
      <c r="J79" s="54" t="inlineStr">
        <is>
          <t>SHARED</t>
        </is>
      </c>
      <c r="K79" s="55" t="n">
        <v>2</v>
      </c>
      <c r="L79" s="9" t="n"/>
      <c r="M79" s="30" t="n"/>
    </row>
    <row r="80" ht="15" customHeight="1" s="73">
      <c r="B80" s="19" t="n">
        <v>2</v>
      </c>
      <c r="C80" s="11" t="inlineStr">
        <is>
          <t>MGCC</t>
        </is>
      </c>
      <c r="D80" s="11" t="inlineStr">
        <is>
          <t>MNT</t>
        </is>
      </c>
      <c r="E80" s="35" t="inlineStr">
        <is>
          <t>E2</t>
        </is>
      </c>
      <c r="F80" s="35" t="inlineStr">
        <is>
          <t>OFF</t>
        </is>
      </c>
      <c r="G80" s="35" t="inlineStr">
        <is>
          <t>Delivery</t>
        </is>
      </c>
      <c r="H80" s="53" t="n">
        <v>1</v>
      </c>
      <c r="I80" s="36" t="n">
        <v>12</v>
      </c>
      <c r="J80" s="54" t="inlineStr">
        <is>
          <t>RAMPED</t>
        </is>
      </c>
      <c r="K80" s="55" t="n">
        <v>1</v>
      </c>
      <c r="L80" s="9" t="n"/>
      <c r="M80" s="30" t="n"/>
    </row>
    <row r="81" ht="15" customHeight="1" s="73">
      <c r="B81" s="19" t="n">
        <v>2</v>
      </c>
      <c r="C81" s="11" t="inlineStr">
        <is>
          <t>MGCC</t>
        </is>
      </c>
      <c r="D81" s="11" t="inlineStr">
        <is>
          <t>TEST</t>
        </is>
      </c>
      <c r="E81" s="35" t="inlineStr">
        <is>
          <t>E2</t>
        </is>
      </c>
      <c r="F81" s="35" t="inlineStr">
        <is>
          <t>OFF</t>
        </is>
      </c>
      <c r="G81" s="35" t="inlineStr">
        <is>
          <t>Delivery</t>
        </is>
      </c>
      <c r="H81" s="53" t="n">
        <v>2</v>
      </c>
      <c r="I81" s="36" t="n">
        <v>24</v>
      </c>
      <c r="J81" s="54" t="inlineStr">
        <is>
          <t>RAMPED</t>
        </is>
      </c>
      <c r="K81" s="55" t="n">
        <v>2</v>
      </c>
      <c r="L81" s="9" t="n"/>
      <c r="M81" s="30" t="n"/>
    </row>
    <row r="82" ht="15" customHeight="1" s="73">
      <c r="B82" s="19" t="n">
        <v>2</v>
      </c>
      <c r="C82" s="11" t="inlineStr">
        <is>
          <t>PT</t>
        </is>
      </c>
      <c r="D82" s="11" t="inlineStr">
        <is>
          <t>BSA</t>
        </is>
      </c>
      <c r="E82" s="35" t="inlineStr">
        <is>
          <t>E3</t>
        </is>
      </c>
      <c r="F82" s="35" t="inlineStr">
        <is>
          <t>ON</t>
        </is>
      </c>
      <c r="G82" s="35" t="inlineStr">
        <is>
          <t>Delivery</t>
        </is>
      </c>
      <c r="H82" s="53" t="n">
        <v>1</v>
      </c>
      <c r="I82" s="36" t="n">
        <v>12</v>
      </c>
      <c r="J82" s="54" t="inlineStr">
        <is>
          <t>RAMPED</t>
        </is>
      </c>
      <c r="K82" s="55" t="n">
        <v>1</v>
      </c>
      <c r="L82" s="9" t="n"/>
      <c r="M82" s="30" t="n"/>
    </row>
    <row r="83" ht="15" customHeight="1" s="73">
      <c r="B83" s="19" t="n">
        <v>2</v>
      </c>
      <c r="C83" s="11" t="inlineStr">
        <is>
          <t>PT</t>
        </is>
      </c>
      <c r="D83" s="11" t="inlineStr">
        <is>
          <t>DEV</t>
        </is>
      </c>
      <c r="E83" s="35" t="inlineStr">
        <is>
          <t>E3</t>
        </is>
      </c>
      <c r="F83" s="35" t="inlineStr">
        <is>
          <t>ON</t>
        </is>
      </c>
      <c r="G83" s="35" t="inlineStr">
        <is>
          <t>Delivery</t>
        </is>
      </c>
      <c r="H83" s="53" t="n">
        <v>4</v>
      </c>
      <c r="I83" s="36" t="n">
        <v>48</v>
      </c>
      <c r="J83" s="54" t="inlineStr">
        <is>
          <t>RAMPED</t>
        </is>
      </c>
      <c r="K83" s="55" t="n">
        <v>4</v>
      </c>
      <c r="L83" s="9" t="n"/>
      <c r="M83" s="30" t="n"/>
    </row>
    <row r="84" ht="15" customHeight="1" s="73">
      <c r="B84" s="19" t="n">
        <v>2</v>
      </c>
      <c r="C84" s="11" t="inlineStr">
        <is>
          <t>PT</t>
        </is>
      </c>
      <c r="D84" s="11" t="inlineStr">
        <is>
          <t>MNT</t>
        </is>
      </c>
      <c r="E84" s="35" t="inlineStr">
        <is>
          <t>E3</t>
        </is>
      </c>
      <c r="F84" s="35" t="inlineStr">
        <is>
          <t>ON</t>
        </is>
      </c>
      <c r="G84" s="35" t="inlineStr">
        <is>
          <t>Horizontal</t>
        </is>
      </c>
      <c r="H84" s="53" t="n">
        <v>2</v>
      </c>
      <c r="I84" s="36" t="n">
        <v>24</v>
      </c>
      <c r="J84" s="54" t="inlineStr">
        <is>
          <t>SHARED</t>
        </is>
      </c>
      <c r="K84" s="55" t="n">
        <v>2</v>
      </c>
      <c r="L84" s="9" t="n"/>
      <c r="M84" s="30" t="n"/>
    </row>
    <row r="85" ht="15" customHeight="1" s="73">
      <c r="B85" s="19" t="n">
        <v>3</v>
      </c>
      <c r="C85" s="11" t="inlineStr">
        <is>
          <t>FTC</t>
        </is>
      </c>
      <c r="D85" s="11" t="inlineStr">
        <is>
          <t>BSA</t>
        </is>
      </c>
      <c r="E85" s="35" t="inlineStr">
        <is>
          <t>E3</t>
        </is>
      </c>
      <c r="F85" s="35" t="inlineStr">
        <is>
          <t>ON</t>
        </is>
      </c>
      <c r="G85" s="35" t="inlineStr">
        <is>
          <t>Delivery</t>
        </is>
      </c>
      <c r="H85" s="53" t="n">
        <v>5</v>
      </c>
      <c r="I85" s="36" t="n">
        <v>60</v>
      </c>
      <c r="J85" s="54" t="inlineStr">
        <is>
          <t>RAMPED</t>
        </is>
      </c>
      <c r="K85" s="55" t="n">
        <v>5</v>
      </c>
      <c r="L85" s="9" t="n"/>
      <c r="M85" s="30" t="n"/>
    </row>
    <row r="86" ht="15" customHeight="1" s="73">
      <c r="B86" s="19" t="n">
        <v>3</v>
      </c>
      <c r="C86" s="11" t="inlineStr">
        <is>
          <t>FTC</t>
        </is>
      </c>
      <c r="D86" s="11" t="inlineStr">
        <is>
          <t>DEV</t>
        </is>
      </c>
      <c r="E86" s="35" t="inlineStr">
        <is>
          <t>E2</t>
        </is>
      </c>
      <c r="F86" s="35" t="inlineStr">
        <is>
          <t>OFF</t>
        </is>
      </c>
      <c r="G86" s="35" t="inlineStr">
        <is>
          <t>Delivery</t>
        </is>
      </c>
      <c r="H86" s="53" t="n">
        <v>6</v>
      </c>
      <c r="I86" s="36" t="n">
        <v>72</v>
      </c>
      <c r="J86" s="54" t="inlineStr">
        <is>
          <t>RAMPED</t>
        </is>
      </c>
      <c r="K86" s="55" t="n">
        <v>6</v>
      </c>
      <c r="L86" s="9" t="n"/>
      <c r="M86" s="30" t="n"/>
    </row>
    <row r="87" ht="15" customHeight="1" s="73">
      <c r="B87" s="19" t="n">
        <v>3</v>
      </c>
      <c r="C87" s="11" t="inlineStr">
        <is>
          <t>FTC</t>
        </is>
      </c>
      <c r="D87" s="11" t="inlineStr">
        <is>
          <t>DEV</t>
        </is>
      </c>
      <c r="E87" s="35" t="inlineStr">
        <is>
          <t>E2</t>
        </is>
      </c>
      <c r="F87" s="35" t="inlineStr">
        <is>
          <t>ON</t>
        </is>
      </c>
      <c r="G87" s="35" t="inlineStr">
        <is>
          <t>Delivery</t>
        </is>
      </c>
      <c r="H87" s="53" t="n">
        <v>0.5</v>
      </c>
      <c r="I87" s="36" t="n">
        <v>6</v>
      </c>
      <c r="J87" s="54" t="inlineStr">
        <is>
          <t>RAMPED</t>
        </is>
      </c>
      <c r="K87" s="55" t="n">
        <v>0</v>
      </c>
      <c r="L87" s="9" t="n">
        <v>6</v>
      </c>
      <c r="M87" s="30" t="n"/>
    </row>
    <row r="88" ht="15" customHeight="1" s="73">
      <c r="B88" s="19" t="n">
        <v>3</v>
      </c>
      <c r="C88" s="11" t="inlineStr">
        <is>
          <t>FTC</t>
        </is>
      </c>
      <c r="D88" s="11" t="inlineStr">
        <is>
          <t>DEV</t>
        </is>
      </c>
      <c r="E88" s="35" t="inlineStr">
        <is>
          <t>E3</t>
        </is>
      </c>
      <c r="F88" s="35" t="inlineStr">
        <is>
          <t>OFF</t>
        </is>
      </c>
      <c r="G88" s="35" t="inlineStr">
        <is>
          <t>Delivery</t>
        </is>
      </c>
      <c r="H88" s="53" t="n">
        <v>1.5</v>
      </c>
      <c r="I88" s="36" t="n">
        <v>18</v>
      </c>
      <c r="J88" s="54" t="inlineStr">
        <is>
          <t>RAMPED</t>
        </is>
      </c>
      <c r="K88" s="55" t="n">
        <v>1</v>
      </c>
      <c r="L88" s="9" t="n">
        <v>6</v>
      </c>
      <c r="M88" s="30" t="n"/>
    </row>
    <row r="89" ht="15" customHeight="1" s="73">
      <c r="B89" s="19" t="n">
        <v>3</v>
      </c>
      <c r="C89" s="11" t="inlineStr">
        <is>
          <t>FTC</t>
        </is>
      </c>
      <c r="D89" s="11" t="inlineStr">
        <is>
          <t>DEV</t>
        </is>
      </c>
      <c r="E89" s="35" t="inlineStr">
        <is>
          <t>E3</t>
        </is>
      </c>
      <c r="F89" s="35" t="inlineStr">
        <is>
          <t>ON</t>
        </is>
      </c>
      <c r="G89" s="35" t="inlineStr">
        <is>
          <t>Delivery</t>
        </is>
      </c>
      <c r="H89" s="53" t="n">
        <v>5</v>
      </c>
      <c r="I89" s="36" t="n">
        <v>60</v>
      </c>
      <c r="J89" s="54" t="inlineStr">
        <is>
          <t>RAMPED</t>
        </is>
      </c>
      <c r="K89" s="55" t="n">
        <v>5</v>
      </c>
      <c r="L89" s="9" t="n"/>
      <c r="M89" s="30" t="n"/>
    </row>
    <row r="90" ht="15" customHeight="1" s="73">
      <c r="B90" s="19" t="n">
        <v>3</v>
      </c>
      <c r="C90" s="11" t="inlineStr">
        <is>
          <t>FTC</t>
        </is>
      </c>
      <c r="D90" s="11" t="inlineStr">
        <is>
          <t>DEV</t>
        </is>
      </c>
      <c r="E90" s="35" t="inlineStr">
        <is>
          <t>E4</t>
        </is>
      </c>
      <c r="F90" s="35" t="inlineStr">
        <is>
          <t>ON</t>
        </is>
      </c>
      <c r="G90" s="35" t="inlineStr">
        <is>
          <t>Delivery</t>
        </is>
      </c>
      <c r="H90" s="53" t="n">
        <v>5</v>
      </c>
      <c r="I90" s="36" t="n">
        <v>60</v>
      </c>
      <c r="J90" s="54" t="inlineStr">
        <is>
          <t>RAMPED</t>
        </is>
      </c>
      <c r="K90" s="55" t="n">
        <v>5</v>
      </c>
      <c r="L90" s="9" t="n"/>
      <c r="M90" s="30" t="n"/>
    </row>
    <row r="91" ht="15" customHeight="1" s="73">
      <c r="B91" s="19" t="n">
        <v>3</v>
      </c>
      <c r="C91" s="11" t="inlineStr">
        <is>
          <t>FTC</t>
        </is>
      </c>
      <c r="D91" s="11" t="inlineStr">
        <is>
          <t>MNT</t>
        </is>
      </c>
      <c r="E91" s="35" t="inlineStr">
        <is>
          <t>E2</t>
        </is>
      </c>
      <c r="F91" s="35" t="inlineStr">
        <is>
          <t>OFF</t>
        </is>
      </c>
      <c r="G91" s="35" t="inlineStr">
        <is>
          <t>Delivery</t>
        </is>
      </c>
      <c r="H91" s="53" t="n">
        <v>1.5</v>
      </c>
      <c r="I91" s="36" t="n">
        <v>18</v>
      </c>
      <c r="J91" s="54" t="inlineStr">
        <is>
          <t>RAMPED</t>
        </is>
      </c>
      <c r="K91" s="55" t="n">
        <v>1</v>
      </c>
      <c r="L91" s="9" t="n">
        <v>6</v>
      </c>
      <c r="M91" s="30" t="n"/>
    </row>
    <row r="92" ht="15" customHeight="1" s="73">
      <c r="B92" s="19" t="n">
        <v>3</v>
      </c>
      <c r="C92" s="11" t="inlineStr">
        <is>
          <t>FTC</t>
        </is>
      </c>
      <c r="D92" s="11" t="inlineStr">
        <is>
          <t>MNT</t>
        </is>
      </c>
      <c r="E92" s="35" t="inlineStr">
        <is>
          <t>E2</t>
        </is>
      </c>
      <c r="F92" s="35" t="inlineStr">
        <is>
          <t>ON</t>
        </is>
      </c>
      <c r="G92" s="35" t="inlineStr">
        <is>
          <t>Delivery</t>
        </is>
      </c>
      <c r="H92" s="53" t="n">
        <v>1</v>
      </c>
      <c r="I92" s="36" t="n">
        <v>12</v>
      </c>
      <c r="J92" s="54" t="inlineStr">
        <is>
          <t>RAMPED</t>
        </is>
      </c>
      <c r="K92" s="55" t="n">
        <v>1</v>
      </c>
      <c r="L92" s="9" t="n"/>
      <c r="M92" s="30" t="n"/>
    </row>
    <row r="93" ht="15" customHeight="1" s="73">
      <c r="B93" s="19" t="n">
        <v>3</v>
      </c>
      <c r="C93" s="11" t="inlineStr">
        <is>
          <t>FTC</t>
        </is>
      </c>
      <c r="D93" s="11" t="inlineStr">
        <is>
          <t>OTH</t>
        </is>
      </c>
      <c r="E93" s="35" t="inlineStr">
        <is>
          <t>E3</t>
        </is>
      </c>
      <c r="F93" s="35" t="inlineStr">
        <is>
          <t>OFF</t>
        </is>
      </c>
      <c r="G93" s="35" t="inlineStr">
        <is>
          <t>Horizontal</t>
        </is>
      </c>
      <c r="H93" s="53" t="n">
        <v>0.5</v>
      </c>
      <c r="I93" s="36" t="n">
        <v>6</v>
      </c>
      <c r="J93" s="54" t="inlineStr">
        <is>
          <t>SHARED</t>
        </is>
      </c>
      <c r="K93" s="55" t="n">
        <v>0</v>
      </c>
      <c r="L93" s="9" t="n">
        <v>6</v>
      </c>
      <c r="M93" s="30" t="n">
        <v>0.5</v>
      </c>
    </row>
    <row r="94" ht="15" customHeight="1" s="73">
      <c r="B94" s="19" t="n">
        <v>3</v>
      </c>
      <c r="C94" s="11" t="inlineStr">
        <is>
          <t>FTC</t>
        </is>
      </c>
      <c r="D94" s="11" t="inlineStr">
        <is>
          <t>OTH</t>
        </is>
      </c>
      <c r="E94" s="35" t="inlineStr">
        <is>
          <t>E4</t>
        </is>
      </c>
      <c r="F94" s="35" t="inlineStr">
        <is>
          <t>ON</t>
        </is>
      </c>
      <c r="G94" s="35" t="inlineStr">
        <is>
          <t>Delivery</t>
        </is>
      </c>
      <c r="H94" s="53" t="n">
        <v>1.5</v>
      </c>
      <c r="I94" s="36" t="n">
        <v>18</v>
      </c>
      <c r="J94" s="54" t="inlineStr">
        <is>
          <t>SHARED</t>
        </is>
      </c>
      <c r="K94" s="55" t="n">
        <v>1</v>
      </c>
      <c r="L94" s="9" t="n">
        <v>6</v>
      </c>
      <c r="M94" s="30" t="n">
        <v>0.5</v>
      </c>
    </row>
    <row r="95" ht="15" customHeight="1" s="73">
      <c r="B95" s="19" t="n">
        <v>3</v>
      </c>
      <c r="C95" s="11" t="inlineStr">
        <is>
          <t>FTC</t>
        </is>
      </c>
      <c r="D95" s="11" t="inlineStr">
        <is>
          <t>OTH</t>
        </is>
      </c>
      <c r="E95" s="35" t="inlineStr">
        <is>
          <t>E5</t>
        </is>
      </c>
      <c r="F95" s="35" t="inlineStr">
        <is>
          <t>ON</t>
        </is>
      </c>
      <c r="G95" s="35" t="inlineStr">
        <is>
          <t>Horizontal</t>
        </is>
      </c>
      <c r="H95" s="53" t="n">
        <v>0.5</v>
      </c>
      <c r="I95" s="36" t="n">
        <v>6</v>
      </c>
      <c r="J95" s="54" t="inlineStr">
        <is>
          <t>SHARED</t>
        </is>
      </c>
      <c r="K95" s="55" t="n">
        <v>0</v>
      </c>
      <c r="L95" s="9" t="n">
        <v>6</v>
      </c>
      <c r="M95" s="30" t="n">
        <v>0.5</v>
      </c>
    </row>
    <row r="96" ht="15" customHeight="1" s="73">
      <c r="B96" s="19" t="n">
        <v>3</v>
      </c>
      <c r="C96" s="11" t="inlineStr">
        <is>
          <t>FTC</t>
        </is>
      </c>
      <c r="D96" s="11" t="inlineStr">
        <is>
          <t>PM</t>
        </is>
      </c>
      <c r="E96" s="35" t="inlineStr">
        <is>
          <t>E5</t>
        </is>
      </c>
      <c r="F96" s="35" t="inlineStr">
        <is>
          <t>ON</t>
        </is>
      </c>
      <c r="G96" s="35" t="inlineStr">
        <is>
          <t>Horizontal</t>
        </is>
      </c>
      <c r="H96" s="53" t="n">
        <v>1</v>
      </c>
      <c r="I96" s="36" t="n">
        <v>12</v>
      </c>
      <c r="J96" s="54" t="inlineStr">
        <is>
          <t>SHARED</t>
        </is>
      </c>
      <c r="K96" s="55" t="n">
        <v>1</v>
      </c>
      <c r="L96" s="9" t="n"/>
      <c r="M96" s="30" t="n"/>
    </row>
    <row r="97" ht="15" customHeight="1" s="73">
      <c r="B97" s="19" t="n">
        <v>3</v>
      </c>
      <c r="C97" s="11" t="inlineStr">
        <is>
          <t>FTC</t>
        </is>
      </c>
      <c r="D97" s="11" t="inlineStr">
        <is>
          <t>TEST</t>
        </is>
      </c>
      <c r="E97" s="35" t="inlineStr">
        <is>
          <t>E1</t>
        </is>
      </c>
      <c r="F97" s="35" t="inlineStr">
        <is>
          <t>OFF</t>
        </is>
      </c>
      <c r="G97" s="35" t="inlineStr">
        <is>
          <t>Delivery</t>
        </is>
      </c>
      <c r="H97" s="53" t="n">
        <v>4</v>
      </c>
      <c r="I97" s="36" t="n">
        <v>48</v>
      </c>
      <c r="J97" s="54" t="inlineStr">
        <is>
          <t>RAMPED</t>
        </is>
      </c>
      <c r="K97" s="55" t="n">
        <v>4</v>
      </c>
      <c r="L97" s="9" t="n"/>
      <c r="M97" s="30" t="n"/>
    </row>
    <row r="98" ht="15" customHeight="1" s="73">
      <c r="B98" s="19" t="n">
        <v>3</v>
      </c>
      <c r="C98" s="11" t="inlineStr">
        <is>
          <t>FTC</t>
        </is>
      </c>
      <c r="D98" s="11" t="inlineStr">
        <is>
          <t>TEST</t>
        </is>
      </c>
      <c r="E98" s="35" t="inlineStr">
        <is>
          <t>E2</t>
        </is>
      </c>
      <c r="F98" s="35" t="inlineStr">
        <is>
          <t>ON</t>
        </is>
      </c>
      <c r="G98" s="35" t="inlineStr">
        <is>
          <t>Delivery</t>
        </is>
      </c>
      <c r="H98" s="53" t="n">
        <v>1</v>
      </c>
      <c r="I98" s="36" t="n">
        <v>12</v>
      </c>
      <c r="J98" s="54" t="inlineStr">
        <is>
          <t>RAMPED</t>
        </is>
      </c>
      <c r="K98" s="55" t="n">
        <v>1</v>
      </c>
      <c r="L98" s="9" t="n"/>
      <c r="M98" s="30" t="n"/>
    </row>
    <row r="99" ht="15" customHeight="1" s="73">
      <c r="B99" s="19" t="n">
        <v>3</v>
      </c>
      <c r="C99" s="11" t="inlineStr">
        <is>
          <t>FTE</t>
        </is>
      </c>
      <c r="D99" s="11" t="inlineStr">
        <is>
          <t>BSA</t>
        </is>
      </c>
      <c r="E99" s="35" t="inlineStr">
        <is>
          <t>E4</t>
        </is>
      </c>
      <c r="F99" s="35" t="inlineStr">
        <is>
          <t>ON</t>
        </is>
      </c>
      <c r="G99" s="35" t="inlineStr">
        <is>
          <t>Delivery</t>
        </is>
      </c>
      <c r="H99" s="53" t="n">
        <v>3</v>
      </c>
      <c r="I99" s="36" t="n">
        <v>36</v>
      </c>
      <c r="J99" s="54" t="inlineStr">
        <is>
          <t>RAMPED</t>
        </is>
      </c>
      <c r="K99" s="55" t="n">
        <v>3</v>
      </c>
      <c r="L99" s="9" t="n"/>
      <c r="M99" s="30" t="n"/>
    </row>
    <row r="100" ht="15" customHeight="1" s="73">
      <c r="B100" s="19" t="n">
        <v>3</v>
      </c>
      <c r="C100" s="11" t="inlineStr">
        <is>
          <t>FTE</t>
        </is>
      </c>
      <c r="D100" s="11" t="inlineStr">
        <is>
          <t>BSA</t>
        </is>
      </c>
      <c r="E100" s="35" t="inlineStr">
        <is>
          <t>E4</t>
        </is>
      </c>
      <c r="F100" s="35" t="inlineStr">
        <is>
          <t>ON</t>
        </is>
      </c>
      <c r="G100" s="35" t="inlineStr">
        <is>
          <t>Horizontal</t>
        </is>
      </c>
      <c r="H100" s="53" t="n">
        <v>1.5</v>
      </c>
      <c r="I100" s="36" t="n">
        <v>18</v>
      </c>
      <c r="J100" s="54" t="inlineStr">
        <is>
          <t>SHARED</t>
        </is>
      </c>
      <c r="K100" s="55" t="n">
        <v>1</v>
      </c>
      <c r="L100" s="9" t="n">
        <v>6</v>
      </c>
      <c r="M100" s="30" t="n">
        <v>0.5</v>
      </c>
    </row>
    <row r="101" ht="15" customHeight="1" s="73">
      <c r="B101" s="19" t="n">
        <v>3</v>
      </c>
      <c r="C101" s="11" t="inlineStr">
        <is>
          <t>FTE</t>
        </is>
      </c>
      <c r="D101" s="11" t="inlineStr">
        <is>
          <t>BSA</t>
        </is>
      </c>
      <c r="E101" s="35" t="inlineStr">
        <is>
          <t>E5</t>
        </is>
      </c>
      <c r="F101" s="35" t="inlineStr">
        <is>
          <t>ON</t>
        </is>
      </c>
      <c r="G101" s="35" t="inlineStr">
        <is>
          <t>Horizontal</t>
        </is>
      </c>
      <c r="H101" s="53" t="n">
        <v>1.5</v>
      </c>
      <c r="I101" s="36" t="n">
        <v>18</v>
      </c>
      <c r="J101" s="54" t="inlineStr">
        <is>
          <t>SHARED</t>
        </is>
      </c>
      <c r="K101" s="55" t="n">
        <v>1</v>
      </c>
      <c r="L101" s="9" t="n">
        <v>6</v>
      </c>
      <c r="M101" s="30" t="n">
        <v>0.5</v>
      </c>
    </row>
    <row r="102" ht="15" customHeight="1" s="73">
      <c r="B102" s="19" t="n">
        <v>3</v>
      </c>
      <c r="C102" s="11" t="inlineStr">
        <is>
          <t>FTE</t>
        </is>
      </c>
      <c r="D102" s="11" t="inlineStr">
        <is>
          <t>MNT</t>
        </is>
      </c>
      <c r="E102" s="35" t="inlineStr">
        <is>
          <t>E3</t>
        </is>
      </c>
      <c r="F102" s="35" t="inlineStr">
        <is>
          <t>ON</t>
        </is>
      </c>
      <c r="G102" s="35" t="inlineStr">
        <is>
          <t>Delivery</t>
        </is>
      </c>
      <c r="H102" s="53" t="n">
        <v>2</v>
      </c>
      <c r="I102" s="36" t="n">
        <v>24</v>
      </c>
      <c r="J102" s="54" t="inlineStr">
        <is>
          <t>RAMPED</t>
        </is>
      </c>
      <c r="K102" s="55" t="n">
        <v>2</v>
      </c>
      <c r="L102" s="9" t="n"/>
      <c r="M102" s="30" t="n"/>
    </row>
    <row r="103" ht="15" customHeight="1" s="73">
      <c r="B103" s="19" t="n">
        <v>3</v>
      </c>
      <c r="C103" s="11" t="inlineStr">
        <is>
          <t>FTE</t>
        </is>
      </c>
      <c r="D103" s="11" t="inlineStr">
        <is>
          <t>MNT</t>
        </is>
      </c>
      <c r="E103" s="35" t="inlineStr">
        <is>
          <t>E3</t>
        </is>
      </c>
      <c r="F103" s="35" t="inlineStr">
        <is>
          <t>ON</t>
        </is>
      </c>
      <c r="G103" s="35" t="inlineStr">
        <is>
          <t>Horizontal</t>
        </is>
      </c>
      <c r="H103" s="53" t="n">
        <v>2</v>
      </c>
      <c r="I103" s="36" t="n">
        <v>24</v>
      </c>
      <c r="J103" s="54" t="inlineStr">
        <is>
          <t>SHARED</t>
        </is>
      </c>
      <c r="K103" s="55" t="n">
        <v>2</v>
      </c>
      <c r="L103" s="9" t="n"/>
      <c r="M103" s="30" t="n"/>
    </row>
    <row r="104" ht="15" customHeight="1" s="73">
      <c r="B104" s="19" t="n">
        <v>3</v>
      </c>
      <c r="C104" s="11" t="inlineStr">
        <is>
          <t>FTE</t>
        </is>
      </c>
      <c r="D104" s="11" t="inlineStr">
        <is>
          <t>PM</t>
        </is>
      </c>
      <c r="E104" s="35" t="inlineStr">
        <is>
          <t>E4</t>
        </is>
      </c>
      <c r="F104" s="35" t="inlineStr">
        <is>
          <t>ON</t>
        </is>
      </c>
      <c r="G104" s="35" t="inlineStr">
        <is>
          <t>Delivery</t>
        </is>
      </c>
      <c r="H104" s="53" t="n">
        <v>6</v>
      </c>
      <c r="I104" s="36" t="n">
        <v>72</v>
      </c>
      <c r="J104" s="54" t="inlineStr">
        <is>
          <t>SHARED</t>
        </is>
      </c>
      <c r="K104" s="55" t="n">
        <v>6</v>
      </c>
      <c r="L104" s="9" t="n"/>
      <c r="M104" s="30" t="n"/>
    </row>
    <row r="105" ht="15" customHeight="1" s="73">
      <c r="B105" s="19" t="n">
        <v>3</v>
      </c>
      <c r="C105" s="11" t="inlineStr">
        <is>
          <t>FTE</t>
        </is>
      </c>
      <c r="D105" s="11" t="inlineStr">
        <is>
          <t>PM</t>
        </is>
      </c>
      <c r="E105" s="35" t="inlineStr">
        <is>
          <t>E4</t>
        </is>
      </c>
      <c r="F105" s="35" t="inlineStr">
        <is>
          <t>ON</t>
        </is>
      </c>
      <c r="G105" s="35" t="inlineStr">
        <is>
          <t>Horizontal</t>
        </is>
      </c>
      <c r="H105" s="53" t="n">
        <v>1.5</v>
      </c>
      <c r="I105" s="36" t="n">
        <v>18</v>
      </c>
      <c r="J105" s="54" t="inlineStr">
        <is>
          <t>SHARED</t>
        </is>
      </c>
      <c r="K105" s="55" t="n">
        <v>1</v>
      </c>
      <c r="L105" s="9" t="n">
        <v>6</v>
      </c>
      <c r="M105" s="30" t="n">
        <v>0.5</v>
      </c>
    </row>
    <row r="106" ht="15" customHeight="1" s="73">
      <c r="B106" s="19" t="n">
        <v>3</v>
      </c>
      <c r="C106" s="11" t="inlineStr">
        <is>
          <t>MGCC</t>
        </is>
      </c>
      <c r="D106" s="11" t="inlineStr">
        <is>
          <t>DEV</t>
        </is>
      </c>
      <c r="E106" s="35" t="inlineStr">
        <is>
          <t>E3</t>
        </is>
      </c>
      <c r="F106" s="35" t="inlineStr">
        <is>
          <t>OFF</t>
        </is>
      </c>
      <c r="G106" s="35" t="inlineStr">
        <is>
          <t>Delivery</t>
        </is>
      </c>
      <c r="H106" s="53" t="n">
        <v>6</v>
      </c>
      <c r="I106" s="36" t="n">
        <v>72</v>
      </c>
      <c r="J106" s="54" t="inlineStr">
        <is>
          <t>RAMPED</t>
        </is>
      </c>
      <c r="K106" s="55" t="n">
        <v>6</v>
      </c>
      <c r="L106" s="9" t="n"/>
      <c r="M106" s="30" t="n"/>
    </row>
    <row r="107" ht="15" customHeight="1" s="73">
      <c r="B107" s="19" t="n">
        <v>3</v>
      </c>
      <c r="C107" s="11" t="inlineStr">
        <is>
          <t>MGCC</t>
        </is>
      </c>
      <c r="D107" s="11" t="inlineStr">
        <is>
          <t>DEV</t>
        </is>
      </c>
      <c r="E107" s="35" t="inlineStr">
        <is>
          <t>E3</t>
        </is>
      </c>
      <c r="F107" s="35" t="inlineStr">
        <is>
          <t>OFF</t>
        </is>
      </c>
      <c r="G107" s="35" t="inlineStr">
        <is>
          <t>Horizontal</t>
        </is>
      </c>
      <c r="H107" s="53" t="n">
        <v>2</v>
      </c>
      <c r="I107" s="36" t="n">
        <v>24</v>
      </c>
      <c r="J107" s="54" t="inlineStr">
        <is>
          <t>SHARED</t>
        </is>
      </c>
      <c r="K107" s="55" t="n">
        <v>2</v>
      </c>
      <c r="L107" s="9" t="n"/>
      <c r="M107" s="30" t="n"/>
    </row>
    <row r="108" ht="15" customHeight="1" s="73">
      <c r="B108" s="19" t="n">
        <v>3</v>
      </c>
      <c r="C108" s="11" t="inlineStr">
        <is>
          <t>MGCC</t>
        </is>
      </c>
      <c r="D108" s="11" t="inlineStr">
        <is>
          <t>MNT</t>
        </is>
      </c>
      <c r="E108" s="35" t="inlineStr">
        <is>
          <t>E2</t>
        </is>
      </c>
      <c r="F108" s="35" t="inlineStr">
        <is>
          <t>OFF</t>
        </is>
      </c>
      <c r="G108" s="35" t="inlineStr">
        <is>
          <t>Delivery</t>
        </is>
      </c>
      <c r="H108" s="53" t="n">
        <v>4</v>
      </c>
      <c r="I108" s="36" t="n">
        <v>48</v>
      </c>
      <c r="J108" s="54" t="inlineStr">
        <is>
          <t>RAMPED</t>
        </is>
      </c>
      <c r="K108" s="55" t="n">
        <v>4</v>
      </c>
      <c r="L108" s="9" t="n"/>
      <c r="M108" s="30" t="n"/>
    </row>
    <row r="109" ht="15" customHeight="1" s="73">
      <c r="B109" s="19" t="n">
        <v>3</v>
      </c>
      <c r="C109" s="11" t="inlineStr">
        <is>
          <t>MGCC</t>
        </is>
      </c>
      <c r="D109" s="11" t="inlineStr">
        <is>
          <t>TEST</t>
        </is>
      </c>
      <c r="E109" s="35" t="inlineStr">
        <is>
          <t>E2</t>
        </is>
      </c>
      <c r="F109" s="35" t="inlineStr">
        <is>
          <t>OFF</t>
        </is>
      </c>
      <c r="G109" s="35" t="inlineStr">
        <is>
          <t>Delivery</t>
        </is>
      </c>
      <c r="H109" s="53" t="n">
        <v>3</v>
      </c>
      <c r="I109" s="36" t="n">
        <v>36</v>
      </c>
      <c r="J109" s="54" t="inlineStr">
        <is>
          <t>RAMPED</t>
        </is>
      </c>
      <c r="K109" s="55" t="n">
        <v>3</v>
      </c>
      <c r="L109" s="9" t="n"/>
      <c r="M109" s="30" t="n"/>
    </row>
    <row r="110" ht="15" customHeight="1" s="73">
      <c r="B110" s="19" t="n">
        <v>3</v>
      </c>
      <c r="C110" s="11" t="inlineStr">
        <is>
          <t>PT</t>
        </is>
      </c>
      <c r="D110" s="11" t="inlineStr">
        <is>
          <t>BSA</t>
        </is>
      </c>
      <c r="E110" s="35" t="inlineStr">
        <is>
          <t>E3</t>
        </is>
      </c>
      <c r="F110" s="35" t="inlineStr">
        <is>
          <t>ON</t>
        </is>
      </c>
      <c r="G110" s="35" t="inlineStr">
        <is>
          <t>Delivery</t>
        </is>
      </c>
      <c r="H110" s="53" t="n">
        <v>1</v>
      </c>
      <c r="I110" s="36" t="n">
        <v>12</v>
      </c>
      <c r="J110" s="54" t="inlineStr">
        <is>
          <t>RAMPED</t>
        </is>
      </c>
      <c r="K110" s="55" t="n">
        <v>1</v>
      </c>
      <c r="L110" s="9" t="n"/>
      <c r="M110" s="30" t="n"/>
    </row>
    <row r="111" ht="15" customHeight="1" s="73">
      <c r="B111" s="19" t="n">
        <v>3</v>
      </c>
      <c r="C111" s="11" t="inlineStr">
        <is>
          <t>PT</t>
        </is>
      </c>
      <c r="D111" s="11" t="inlineStr">
        <is>
          <t>DEV</t>
        </is>
      </c>
      <c r="E111" s="35" t="inlineStr">
        <is>
          <t>E3</t>
        </is>
      </c>
      <c r="F111" s="35" t="inlineStr">
        <is>
          <t>ON</t>
        </is>
      </c>
      <c r="G111" s="35" t="inlineStr">
        <is>
          <t>Delivery</t>
        </is>
      </c>
      <c r="H111" s="53" t="n">
        <v>3</v>
      </c>
      <c r="I111" s="36" t="n">
        <v>36</v>
      </c>
      <c r="J111" s="54" t="inlineStr">
        <is>
          <t>RAMPED</t>
        </is>
      </c>
      <c r="K111" s="55" t="n">
        <v>3</v>
      </c>
      <c r="L111" s="9" t="n"/>
      <c r="M111" s="30" t="n"/>
    </row>
    <row r="112" ht="15" customHeight="1" s="73">
      <c r="B112" s="19" t="n">
        <v>3</v>
      </c>
      <c r="C112" s="11" t="inlineStr">
        <is>
          <t>PT</t>
        </is>
      </c>
      <c r="D112" s="11" t="inlineStr">
        <is>
          <t>MNT</t>
        </is>
      </c>
      <c r="E112" s="35" t="inlineStr">
        <is>
          <t>E3</t>
        </is>
      </c>
      <c r="F112" s="35" t="inlineStr">
        <is>
          <t>ON</t>
        </is>
      </c>
      <c r="G112" s="35" t="inlineStr">
        <is>
          <t>Horizontal</t>
        </is>
      </c>
      <c r="H112" s="53" t="n">
        <v>2</v>
      </c>
      <c r="I112" s="36" t="n">
        <v>24</v>
      </c>
      <c r="J112" s="54" t="inlineStr">
        <is>
          <t>SHARED</t>
        </is>
      </c>
      <c r="K112" s="55" t="n">
        <v>2</v>
      </c>
      <c r="L112" s="9" t="n"/>
      <c r="M112" s="30" t="n"/>
    </row>
    <row r="113" ht="15" customHeight="1" s="73">
      <c r="B113" s="19" t="n">
        <v>4</v>
      </c>
      <c r="C113" s="11" t="inlineStr">
        <is>
          <t>FTC</t>
        </is>
      </c>
      <c r="D113" s="11" t="inlineStr">
        <is>
          <t>BSA</t>
        </is>
      </c>
      <c r="E113" s="35" t="inlineStr">
        <is>
          <t>E3</t>
        </is>
      </c>
      <c r="F113" s="35" t="inlineStr">
        <is>
          <t>ON</t>
        </is>
      </c>
      <c r="G113" s="35" t="inlineStr">
        <is>
          <t>Delivery</t>
        </is>
      </c>
      <c r="H113" s="53" t="n">
        <v>4</v>
      </c>
      <c r="I113" s="36" t="n">
        <v>48</v>
      </c>
      <c r="J113" s="54" t="inlineStr">
        <is>
          <t>RAMPED</t>
        </is>
      </c>
      <c r="K113" s="55" t="n">
        <v>4</v>
      </c>
      <c r="L113" s="9" t="n"/>
      <c r="M113" s="30" t="n"/>
    </row>
    <row r="114" ht="15" customHeight="1" s="73">
      <c r="B114" s="19" t="n">
        <v>4</v>
      </c>
      <c r="C114" s="11" t="inlineStr">
        <is>
          <t>FTC</t>
        </is>
      </c>
      <c r="D114" s="11" t="inlineStr">
        <is>
          <t>DEV</t>
        </is>
      </c>
      <c r="E114" s="35" t="inlineStr">
        <is>
          <t>E2</t>
        </is>
      </c>
      <c r="F114" s="35" t="inlineStr">
        <is>
          <t>OFF</t>
        </is>
      </c>
      <c r="G114" s="35" t="inlineStr">
        <is>
          <t>Delivery</t>
        </is>
      </c>
      <c r="H114" s="53" t="n">
        <v>6</v>
      </c>
      <c r="I114" s="36" t="n">
        <v>72</v>
      </c>
      <c r="J114" s="54" t="inlineStr">
        <is>
          <t>RAMPED</t>
        </is>
      </c>
      <c r="K114" s="55" t="n">
        <v>6</v>
      </c>
      <c r="L114" s="9" t="n"/>
      <c r="M114" s="30" t="n"/>
    </row>
    <row r="115" ht="15" customHeight="1" s="73">
      <c r="B115" s="19" t="n">
        <v>4</v>
      </c>
      <c r="C115" s="11" t="inlineStr">
        <is>
          <t>FTC</t>
        </is>
      </c>
      <c r="D115" s="11" t="inlineStr">
        <is>
          <t>DEV</t>
        </is>
      </c>
      <c r="E115" s="35" t="inlineStr">
        <is>
          <t>E3</t>
        </is>
      </c>
      <c r="F115" s="35" t="inlineStr">
        <is>
          <t>OFF</t>
        </is>
      </c>
      <c r="G115" s="35" t="inlineStr">
        <is>
          <t>Delivery</t>
        </is>
      </c>
      <c r="H115" s="53" t="n">
        <v>3</v>
      </c>
      <c r="I115" s="36" t="n">
        <v>36</v>
      </c>
      <c r="J115" s="54" t="inlineStr">
        <is>
          <t>RAMPED</t>
        </is>
      </c>
      <c r="K115" s="55" t="n">
        <v>3</v>
      </c>
      <c r="L115" s="9" t="n"/>
      <c r="M115" s="30" t="n"/>
    </row>
    <row r="116" ht="15" customHeight="1" s="73">
      <c r="B116" s="19" t="n">
        <v>4</v>
      </c>
      <c r="C116" s="11" t="inlineStr">
        <is>
          <t>FTC</t>
        </is>
      </c>
      <c r="D116" s="11" t="inlineStr">
        <is>
          <t>DEV</t>
        </is>
      </c>
      <c r="E116" s="35" t="inlineStr">
        <is>
          <t>E4</t>
        </is>
      </c>
      <c r="F116" s="35" t="inlineStr">
        <is>
          <t>ON</t>
        </is>
      </c>
      <c r="G116" s="35" t="inlineStr">
        <is>
          <t>Delivery</t>
        </is>
      </c>
      <c r="H116" s="53" t="n">
        <v>4</v>
      </c>
      <c r="I116" s="36" t="n">
        <v>48</v>
      </c>
      <c r="J116" s="54" t="inlineStr">
        <is>
          <t>RAMPED</t>
        </is>
      </c>
      <c r="K116" s="55" t="n">
        <v>4</v>
      </c>
      <c r="L116" s="9" t="n"/>
      <c r="M116" s="30" t="n"/>
    </row>
    <row r="117" ht="15" customHeight="1" s="73">
      <c r="B117" s="19" t="n">
        <v>4</v>
      </c>
      <c r="C117" s="11" t="inlineStr">
        <is>
          <t>FTC</t>
        </is>
      </c>
      <c r="D117" s="11" t="inlineStr">
        <is>
          <t>MNT</t>
        </is>
      </c>
      <c r="E117" s="35" t="inlineStr">
        <is>
          <t>E2</t>
        </is>
      </c>
      <c r="F117" s="35" t="inlineStr">
        <is>
          <t>OFF</t>
        </is>
      </c>
      <c r="G117" s="35" t="inlineStr">
        <is>
          <t>Delivery</t>
        </is>
      </c>
      <c r="H117" s="53" t="n">
        <v>2</v>
      </c>
      <c r="I117" s="36" t="n">
        <v>24</v>
      </c>
      <c r="J117" s="54" t="inlineStr">
        <is>
          <t>RAMPED</t>
        </is>
      </c>
      <c r="K117" s="55" t="n">
        <v>2</v>
      </c>
      <c r="L117" s="9" t="n"/>
      <c r="M117" s="30" t="n"/>
    </row>
    <row r="118" ht="15" customHeight="1" s="73">
      <c r="B118" s="19" t="n">
        <v>4</v>
      </c>
      <c r="C118" s="11" t="inlineStr">
        <is>
          <t>FTC</t>
        </is>
      </c>
      <c r="D118" s="11" t="inlineStr">
        <is>
          <t>MNT</t>
        </is>
      </c>
      <c r="E118" s="35" t="inlineStr">
        <is>
          <t>E2</t>
        </is>
      </c>
      <c r="F118" s="35" t="inlineStr">
        <is>
          <t>OFF</t>
        </is>
      </c>
      <c r="G118" s="35" t="inlineStr">
        <is>
          <t>Horizontal</t>
        </is>
      </c>
      <c r="H118" s="53" t="n">
        <v>1.5</v>
      </c>
      <c r="I118" s="36" t="n">
        <v>18</v>
      </c>
      <c r="J118" s="54" t="inlineStr">
        <is>
          <t>SHARED</t>
        </is>
      </c>
      <c r="K118" s="55" t="n">
        <v>1</v>
      </c>
      <c r="L118" s="9" t="n">
        <v>6</v>
      </c>
      <c r="M118" s="30" t="n">
        <v>0.5</v>
      </c>
    </row>
    <row r="119" ht="15" customHeight="1" s="73">
      <c r="B119" s="19" t="n">
        <v>4</v>
      </c>
      <c r="C119" s="11" t="inlineStr">
        <is>
          <t>FTC</t>
        </is>
      </c>
      <c r="D119" s="11" t="inlineStr">
        <is>
          <t>MNT</t>
        </is>
      </c>
      <c r="E119" s="35" t="inlineStr">
        <is>
          <t>E2</t>
        </is>
      </c>
      <c r="F119" s="35" t="inlineStr">
        <is>
          <t>ON</t>
        </is>
      </c>
      <c r="G119" s="35" t="inlineStr">
        <is>
          <t>Delivery</t>
        </is>
      </c>
      <c r="H119" s="53" t="n">
        <v>0.5</v>
      </c>
      <c r="I119" s="36" t="n">
        <v>6</v>
      </c>
      <c r="J119" s="54" t="inlineStr">
        <is>
          <t>RAMPED</t>
        </is>
      </c>
      <c r="K119" s="55" t="n">
        <v>0</v>
      </c>
      <c r="L119" s="9" t="n">
        <v>6</v>
      </c>
      <c r="M119" s="30" t="n"/>
    </row>
    <row r="120" ht="15" customHeight="1" s="73">
      <c r="B120" s="19" t="n">
        <v>4</v>
      </c>
      <c r="C120" s="11" t="inlineStr">
        <is>
          <t>FTC</t>
        </is>
      </c>
      <c r="D120" s="11" t="inlineStr">
        <is>
          <t>OTH</t>
        </is>
      </c>
      <c r="E120" s="35" t="inlineStr">
        <is>
          <t>E3</t>
        </is>
      </c>
      <c r="F120" s="35" t="inlineStr">
        <is>
          <t>OFF</t>
        </is>
      </c>
      <c r="G120" s="35" t="inlineStr">
        <is>
          <t>Horizontal</t>
        </is>
      </c>
      <c r="H120" s="53" t="n">
        <v>0.5</v>
      </c>
      <c r="I120" s="36" t="n">
        <v>6</v>
      </c>
      <c r="J120" s="54" t="inlineStr">
        <is>
          <t>SHARED</t>
        </is>
      </c>
      <c r="K120" s="55" t="n">
        <v>0</v>
      </c>
      <c r="L120" s="9" t="n">
        <v>6</v>
      </c>
      <c r="M120" s="30" t="n">
        <v>0.5</v>
      </c>
    </row>
    <row r="121" ht="15" customHeight="1" s="73">
      <c r="B121" s="19" t="n">
        <v>4</v>
      </c>
      <c r="C121" s="11" t="inlineStr">
        <is>
          <t>FTC</t>
        </is>
      </c>
      <c r="D121" s="11" t="inlineStr">
        <is>
          <t>OTH</t>
        </is>
      </c>
      <c r="E121" s="35" t="inlineStr">
        <is>
          <t>E4</t>
        </is>
      </c>
      <c r="F121" s="35" t="inlineStr">
        <is>
          <t>ON</t>
        </is>
      </c>
      <c r="G121" s="35" t="inlineStr">
        <is>
          <t>Delivery</t>
        </is>
      </c>
      <c r="H121" s="53" t="n">
        <v>1.5</v>
      </c>
      <c r="I121" s="36" t="n">
        <v>18</v>
      </c>
      <c r="J121" s="54" t="inlineStr">
        <is>
          <t>SHARED</t>
        </is>
      </c>
      <c r="K121" s="55" t="n">
        <v>1</v>
      </c>
      <c r="L121" s="9" t="n">
        <v>6</v>
      </c>
      <c r="M121" s="30" t="n">
        <v>0.5</v>
      </c>
    </row>
    <row r="122" ht="15" customHeight="1" s="73">
      <c r="B122" s="19" t="n">
        <v>4</v>
      </c>
      <c r="C122" s="11" t="inlineStr">
        <is>
          <t>FTC</t>
        </is>
      </c>
      <c r="D122" s="11" t="inlineStr">
        <is>
          <t>OTH</t>
        </is>
      </c>
      <c r="E122" s="35" t="inlineStr">
        <is>
          <t>E5</t>
        </is>
      </c>
      <c r="F122" s="35" t="inlineStr">
        <is>
          <t>ON</t>
        </is>
      </c>
      <c r="G122" s="35" t="inlineStr">
        <is>
          <t>Horizontal</t>
        </is>
      </c>
      <c r="H122" s="53" t="n">
        <v>0.5</v>
      </c>
      <c r="I122" s="36" t="n">
        <v>6</v>
      </c>
      <c r="J122" s="54" t="inlineStr">
        <is>
          <t>SHARED</t>
        </is>
      </c>
      <c r="K122" s="55" t="n">
        <v>0</v>
      </c>
      <c r="L122" s="9" t="n">
        <v>6</v>
      </c>
      <c r="M122" s="30" t="n">
        <v>0.5</v>
      </c>
    </row>
    <row r="123" ht="15" customHeight="1" s="73">
      <c r="B123" s="19" t="n">
        <v>4</v>
      </c>
      <c r="C123" s="11" t="inlineStr">
        <is>
          <t>FTC</t>
        </is>
      </c>
      <c r="D123" s="11" t="inlineStr">
        <is>
          <t>PM</t>
        </is>
      </c>
      <c r="E123" s="35" t="inlineStr">
        <is>
          <t>E5</t>
        </is>
      </c>
      <c r="F123" s="35" t="inlineStr">
        <is>
          <t>ON</t>
        </is>
      </c>
      <c r="G123" s="35" t="inlineStr">
        <is>
          <t>Horizontal</t>
        </is>
      </c>
      <c r="H123" s="53" t="n">
        <v>1</v>
      </c>
      <c r="I123" s="36" t="n">
        <v>12</v>
      </c>
      <c r="J123" s="54" t="inlineStr">
        <is>
          <t>SHARED</t>
        </is>
      </c>
      <c r="K123" s="55" t="n">
        <v>1</v>
      </c>
      <c r="L123" s="9" t="n"/>
      <c r="M123" s="30" t="n"/>
    </row>
    <row r="124" ht="15" customHeight="1" s="73">
      <c r="B124" s="19" t="n">
        <v>4</v>
      </c>
      <c r="C124" s="11" t="inlineStr">
        <is>
          <t>FTC</t>
        </is>
      </c>
      <c r="D124" s="11" t="inlineStr">
        <is>
          <t>TEST</t>
        </is>
      </c>
      <c r="E124" s="35" t="inlineStr">
        <is>
          <t>E1</t>
        </is>
      </c>
      <c r="F124" s="35" t="inlineStr">
        <is>
          <t>OFF</t>
        </is>
      </c>
      <c r="G124" s="35" t="inlineStr">
        <is>
          <t>Delivery</t>
        </is>
      </c>
      <c r="H124" s="53" t="n">
        <v>3.5</v>
      </c>
      <c r="I124" s="36" t="n">
        <v>42</v>
      </c>
      <c r="J124" s="54" t="inlineStr">
        <is>
          <t>RAMPED</t>
        </is>
      </c>
      <c r="K124" s="55" t="n">
        <v>3</v>
      </c>
      <c r="L124" s="9" t="n">
        <v>6</v>
      </c>
      <c r="M124" s="30" t="n"/>
    </row>
    <row r="125" ht="15" customHeight="1" s="73">
      <c r="B125" s="19" t="n">
        <v>4</v>
      </c>
      <c r="C125" s="11" t="inlineStr">
        <is>
          <t>FTE</t>
        </is>
      </c>
      <c r="D125" s="11" t="inlineStr">
        <is>
          <t>BSA</t>
        </is>
      </c>
      <c r="E125" s="35" t="inlineStr">
        <is>
          <t>E4</t>
        </is>
      </c>
      <c r="F125" s="35" t="inlineStr">
        <is>
          <t>ON</t>
        </is>
      </c>
      <c r="G125" s="35" t="inlineStr">
        <is>
          <t>Delivery</t>
        </is>
      </c>
      <c r="H125" s="53" t="n">
        <v>3</v>
      </c>
      <c r="I125" s="36" t="n">
        <v>36</v>
      </c>
      <c r="J125" s="54" t="inlineStr">
        <is>
          <t>RAMPED</t>
        </is>
      </c>
      <c r="K125" s="55" t="n">
        <v>3</v>
      </c>
      <c r="L125" s="9" t="n"/>
      <c r="M125" s="30" t="n"/>
    </row>
    <row r="126" ht="15" customHeight="1" s="73">
      <c r="B126" s="19" t="n">
        <v>4</v>
      </c>
      <c r="C126" s="11" t="inlineStr">
        <is>
          <t>FTE</t>
        </is>
      </c>
      <c r="D126" s="11" t="inlineStr">
        <is>
          <t>BSA</t>
        </is>
      </c>
      <c r="E126" s="35" t="inlineStr">
        <is>
          <t>E4</t>
        </is>
      </c>
      <c r="F126" s="35" t="inlineStr">
        <is>
          <t>ON</t>
        </is>
      </c>
      <c r="G126" s="35" t="inlineStr">
        <is>
          <t>Horizontal</t>
        </is>
      </c>
      <c r="H126" s="53" t="n">
        <v>1.5</v>
      </c>
      <c r="I126" s="36" t="n">
        <v>18</v>
      </c>
      <c r="J126" s="54" t="inlineStr">
        <is>
          <t>SHARED</t>
        </is>
      </c>
      <c r="K126" s="55" t="n">
        <v>1</v>
      </c>
      <c r="L126" s="9" t="n">
        <v>6</v>
      </c>
      <c r="M126" s="30" t="n">
        <v>0.5</v>
      </c>
    </row>
    <row r="127" ht="15" customHeight="1" s="73">
      <c r="B127" s="19" t="n">
        <v>4</v>
      </c>
      <c r="C127" s="11" t="inlineStr">
        <is>
          <t>FTE</t>
        </is>
      </c>
      <c r="D127" s="11" t="inlineStr">
        <is>
          <t>BSA</t>
        </is>
      </c>
      <c r="E127" s="35" t="inlineStr">
        <is>
          <t>E5</t>
        </is>
      </c>
      <c r="F127" s="35" t="inlineStr">
        <is>
          <t>ON</t>
        </is>
      </c>
      <c r="G127" s="35" t="inlineStr">
        <is>
          <t>Horizontal</t>
        </is>
      </c>
      <c r="H127" s="53" t="n">
        <v>2</v>
      </c>
      <c r="I127" s="36" t="n">
        <v>24</v>
      </c>
      <c r="J127" s="54" t="inlineStr">
        <is>
          <t>SHARED</t>
        </is>
      </c>
      <c r="K127" s="55" t="n">
        <v>2</v>
      </c>
      <c r="L127" s="9" t="n"/>
      <c r="M127" s="30" t="n"/>
    </row>
    <row r="128" ht="15" customHeight="1" s="73">
      <c r="B128" s="19" t="n">
        <v>4</v>
      </c>
      <c r="C128" s="11" t="inlineStr">
        <is>
          <t>FTE</t>
        </is>
      </c>
      <c r="D128" s="11" t="inlineStr">
        <is>
          <t>MNT</t>
        </is>
      </c>
      <c r="E128" s="35" t="inlineStr">
        <is>
          <t>E3</t>
        </is>
      </c>
      <c r="F128" s="35" t="inlineStr">
        <is>
          <t>ON</t>
        </is>
      </c>
      <c r="G128" s="35" t="inlineStr">
        <is>
          <t>Delivery</t>
        </is>
      </c>
      <c r="H128" s="53" t="n">
        <v>1</v>
      </c>
      <c r="I128" s="36" t="n">
        <v>12</v>
      </c>
      <c r="J128" s="54" t="inlineStr">
        <is>
          <t>RAMPED</t>
        </is>
      </c>
      <c r="K128" s="55" t="n">
        <v>1</v>
      </c>
      <c r="L128" s="9" t="n"/>
      <c r="M128" s="30" t="n"/>
    </row>
    <row r="129" ht="15" customHeight="1" s="73">
      <c r="B129" s="19" t="n">
        <v>4</v>
      </c>
      <c r="C129" s="11" t="inlineStr">
        <is>
          <t>FTE</t>
        </is>
      </c>
      <c r="D129" s="11" t="inlineStr">
        <is>
          <t>MNT</t>
        </is>
      </c>
      <c r="E129" s="35" t="inlineStr">
        <is>
          <t>E3</t>
        </is>
      </c>
      <c r="F129" s="35" t="inlineStr">
        <is>
          <t>ON</t>
        </is>
      </c>
      <c r="G129" s="35" t="inlineStr">
        <is>
          <t>Horizontal</t>
        </is>
      </c>
      <c r="H129" s="53" t="n">
        <v>3</v>
      </c>
      <c r="I129" s="36" t="n">
        <v>36</v>
      </c>
      <c r="J129" s="54" t="inlineStr">
        <is>
          <t>SHARED</t>
        </is>
      </c>
      <c r="K129" s="55" t="n">
        <v>3</v>
      </c>
      <c r="L129" s="9" t="n"/>
      <c r="M129" s="30" t="n"/>
    </row>
    <row r="130" ht="15" customHeight="1" s="73">
      <c r="B130" s="19" t="n">
        <v>4</v>
      </c>
      <c r="C130" s="11" t="inlineStr">
        <is>
          <t>FTE</t>
        </is>
      </c>
      <c r="D130" s="11" t="inlineStr">
        <is>
          <t>PM</t>
        </is>
      </c>
      <c r="E130" s="35" t="inlineStr">
        <is>
          <t>E4</t>
        </is>
      </c>
      <c r="F130" s="35" t="inlineStr">
        <is>
          <t>ON</t>
        </is>
      </c>
      <c r="G130" s="35" t="inlineStr">
        <is>
          <t>Delivery</t>
        </is>
      </c>
      <c r="H130" s="53" t="n">
        <v>4.5</v>
      </c>
      <c r="I130" s="36" t="n">
        <v>54</v>
      </c>
      <c r="J130" s="54" t="inlineStr">
        <is>
          <t>SHARED</t>
        </is>
      </c>
      <c r="K130" s="55" t="n">
        <v>4</v>
      </c>
      <c r="L130" s="9" t="n">
        <v>6</v>
      </c>
      <c r="M130" s="30" t="n">
        <v>0.5</v>
      </c>
    </row>
    <row r="131" ht="15" customHeight="1" s="73">
      <c r="B131" s="19" t="n">
        <v>4</v>
      </c>
      <c r="C131" s="11" t="inlineStr">
        <is>
          <t>FTE</t>
        </is>
      </c>
      <c r="D131" s="11" t="inlineStr">
        <is>
          <t>PM</t>
        </is>
      </c>
      <c r="E131" s="35" t="inlineStr">
        <is>
          <t>E4</t>
        </is>
      </c>
      <c r="F131" s="35" t="inlineStr">
        <is>
          <t>ON</t>
        </is>
      </c>
      <c r="G131" s="35" t="inlineStr">
        <is>
          <t>Horizontal</t>
        </is>
      </c>
      <c r="H131" s="53" t="n">
        <v>2.5</v>
      </c>
      <c r="I131" s="36" t="n">
        <v>30</v>
      </c>
      <c r="J131" s="54" t="inlineStr">
        <is>
          <t>SHARED</t>
        </is>
      </c>
      <c r="K131" s="55" t="n">
        <v>2</v>
      </c>
      <c r="L131" s="9" t="n">
        <v>6</v>
      </c>
      <c r="M131" s="30" t="n">
        <v>0.5</v>
      </c>
    </row>
    <row r="132" ht="15" customHeight="1" s="73">
      <c r="B132" s="19" t="n">
        <v>4</v>
      </c>
      <c r="C132" s="11" t="inlineStr">
        <is>
          <t>MGCC</t>
        </is>
      </c>
      <c r="D132" s="11" t="inlineStr">
        <is>
          <t>DEV</t>
        </is>
      </c>
      <c r="E132" s="35" t="inlineStr">
        <is>
          <t>E3</t>
        </is>
      </c>
      <c r="F132" s="35" t="inlineStr">
        <is>
          <t>OFF</t>
        </is>
      </c>
      <c r="G132" s="35" t="inlineStr">
        <is>
          <t>Delivery</t>
        </is>
      </c>
      <c r="H132" s="53" t="n">
        <v>6</v>
      </c>
      <c r="I132" s="36" t="n">
        <v>72</v>
      </c>
      <c r="J132" s="54" t="inlineStr">
        <is>
          <t>RAMPED</t>
        </is>
      </c>
      <c r="K132" s="55" t="n">
        <v>6</v>
      </c>
      <c r="L132" s="9" t="n"/>
      <c r="M132" s="30" t="n"/>
    </row>
    <row r="133" ht="15" customHeight="1" s="73">
      <c r="B133" s="19" t="n">
        <v>4</v>
      </c>
      <c r="C133" s="11" t="inlineStr">
        <is>
          <t>MGCC</t>
        </is>
      </c>
      <c r="D133" s="11" t="inlineStr">
        <is>
          <t>DEV</t>
        </is>
      </c>
      <c r="E133" s="35" t="inlineStr">
        <is>
          <t>E3</t>
        </is>
      </c>
      <c r="F133" s="35" t="inlineStr">
        <is>
          <t>OFF</t>
        </is>
      </c>
      <c r="G133" s="35" t="inlineStr">
        <is>
          <t>Horizontal</t>
        </is>
      </c>
      <c r="H133" s="53" t="n">
        <v>3</v>
      </c>
      <c r="I133" s="36" t="n">
        <v>36</v>
      </c>
      <c r="J133" s="54" t="inlineStr">
        <is>
          <t>SHARED</t>
        </is>
      </c>
      <c r="K133" s="55" t="n">
        <v>3</v>
      </c>
      <c r="L133" s="9" t="n"/>
      <c r="M133" s="30" t="n"/>
    </row>
    <row r="134" ht="15" customHeight="1" s="73">
      <c r="B134" s="19" t="n">
        <v>4</v>
      </c>
      <c r="C134" s="11" t="inlineStr">
        <is>
          <t>MGCC</t>
        </is>
      </c>
      <c r="D134" s="11" t="inlineStr">
        <is>
          <t>MNT</t>
        </is>
      </c>
      <c r="E134" s="35" t="inlineStr">
        <is>
          <t>E2</t>
        </is>
      </c>
      <c r="F134" s="35" t="inlineStr">
        <is>
          <t>OFF</t>
        </is>
      </c>
      <c r="G134" s="35" t="inlineStr">
        <is>
          <t>Delivery</t>
        </is>
      </c>
      <c r="H134" s="53" t="n">
        <v>2</v>
      </c>
      <c r="I134" s="36" t="n">
        <v>24</v>
      </c>
      <c r="J134" s="54" t="inlineStr">
        <is>
          <t>RAMPED</t>
        </is>
      </c>
      <c r="K134" s="55" t="n">
        <v>2</v>
      </c>
      <c r="L134" s="9" t="n"/>
      <c r="M134" s="30" t="n"/>
    </row>
    <row r="135" ht="15" customHeight="1" s="73">
      <c r="B135" s="19" t="n">
        <v>4</v>
      </c>
      <c r="C135" s="11" t="inlineStr">
        <is>
          <t>MGCC</t>
        </is>
      </c>
      <c r="D135" s="11" t="inlineStr">
        <is>
          <t>TEST</t>
        </is>
      </c>
      <c r="E135" s="35" t="inlineStr">
        <is>
          <t>E2</t>
        </is>
      </c>
      <c r="F135" s="35" t="inlineStr">
        <is>
          <t>OFF</t>
        </is>
      </c>
      <c r="G135" s="35" t="inlineStr">
        <is>
          <t>Delivery</t>
        </is>
      </c>
      <c r="H135" s="53" t="n">
        <v>3</v>
      </c>
      <c r="I135" s="36" t="n">
        <v>36</v>
      </c>
      <c r="J135" s="54" t="inlineStr">
        <is>
          <t>RAMPED</t>
        </is>
      </c>
      <c r="K135" s="55" t="n">
        <v>3</v>
      </c>
      <c r="L135" s="9" t="n"/>
      <c r="M135" s="30" t="n"/>
    </row>
    <row r="136" ht="15" customHeight="1" s="73">
      <c r="B136" s="19" t="n">
        <v>4</v>
      </c>
      <c r="C136" s="11" t="inlineStr">
        <is>
          <t>PT</t>
        </is>
      </c>
      <c r="D136" s="11" t="inlineStr">
        <is>
          <t>BSA</t>
        </is>
      </c>
      <c r="E136" s="35" t="inlineStr">
        <is>
          <t>E3</t>
        </is>
      </c>
      <c r="F136" s="35" t="inlineStr">
        <is>
          <t>ON</t>
        </is>
      </c>
      <c r="G136" s="35" t="inlineStr">
        <is>
          <t>Delivery</t>
        </is>
      </c>
      <c r="H136" s="53" t="n">
        <v>1</v>
      </c>
      <c r="I136" s="36" t="n">
        <v>12</v>
      </c>
      <c r="J136" s="54" t="inlineStr">
        <is>
          <t>RAMPED</t>
        </is>
      </c>
      <c r="K136" s="55" t="n">
        <v>1</v>
      </c>
      <c r="L136" s="9" t="n"/>
      <c r="M136" s="30" t="n"/>
    </row>
    <row r="137" ht="15" customHeight="1" s="73">
      <c r="B137" s="19" t="n">
        <v>4</v>
      </c>
      <c r="C137" s="11" t="inlineStr">
        <is>
          <t>PT</t>
        </is>
      </c>
      <c r="D137" s="11" t="inlineStr">
        <is>
          <t>DEV</t>
        </is>
      </c>
      <c r="E137" s="35" t="inlineStr">
        <is>
          <t>E3</t>
        </is>
      </c>
      <c r="F137" s="35" t="inlineStr">
        <is>
          <t>ON</t>
        </is>
      </c>
      <c r="G137" s="35" t="inlineStr">
        <is>
          <t>Delivery</t>
        </is>
      </c>
      <c r="H137" s="53" t="n">
        <v>3</v>
      </c>
      <c r="I137" s="36" t="n">
        <v>36</v>
      </c>
      <c r="J137" s="54" t="inlineStr">
        <is>
          <t>RAMPED</t>
        </is>
      </c>
      <c r="K137" s="55" t="n">
        <v>3</v>
      </c>
      <c r="L137" s="9" t="n"/>
      <c r="M137" s="30" t="n"/>
    </row>
    <row r="138" ht="15" customHeight="1" s="73">
      <c r="B138" s="19" t="n">
        <v>4</v>
      </c>
      <c r="C138" s="11" t="inlineStr">
        <is>
          <t>PT</t>
        </is>
      </c>
      <c r="D138" s="11" t="inlineStr">
        <is>
          <t>MNT</t>
        </is>
      </c>
      <c r="E138" s="35" t="inlineStr">
        <is>
          <t>E3</t>
        </is>
      </c>
      <c r="F138" s="35" t="inlineStr">
        <is>
          <t>ON</t>
        </is>
      </c>
      <c r="G138" s="35" t="inlineStr">
        <is>
          <t>Horizontal</t>
        </is>
      </c>
      <c r="H138" s="53" t="n">
        <v>1</v>
      </c>
      <c r="I138" s="36" t="n">
        <v>12</v>
      </c>
      <c r="J138" s="54" t="inlineStr">
        <is>
          <t>SHARED</t>
        </is>
      </c>
      <c r="K138" s="55" t="n">
        <v>1</v>
      </c>
      <c r="L138" s="9" t="n"/>
      <c r="M138" s="30" t="n"/>
    </row>
    <row r="139" ht="15" customHeight="1" s="73">
      <c r="B139" s="19" t="n">
        <v>5</v>
      </c>
      <c r="C139" s="11" t="inlineStr">
        <is>
          <t>FTC</t>
        </is>
      </c>
      <c r="D139" s="11" t="inlineStr">
        <is>
          <t>BSA</t>
        </is>
      </c>
      <c r="E139" s="35" t="inlineStr">
        <is>
          <t>E3</t>
        </is>
      </c>
      <c r="F139" s="35" t="inlineStr">
        <is>
          <t>ON</t>
        </is>
      </c>
      <c r="G139" s="35" t="inlineStr">
        <is>
          <t>Delivery</t>
        </is>
      </c>
      <c r="H139" s="53" t="n">
        <v>2.5</v>
      </c>
      <c r="I139" s="36" t="n">
        <v>30</v>
      </c>
      <c r="J139" s="54" t="inlineStr">
        <is>
          <t>RAMPED</t>
        </is>
      </c>
      <c r="K139" s="55" t="n">
        <v>2</v>
      </c>
      <c r="L139" s="9" t="n">
        <v>6</v>
      </c>
      <c r="M139" s="30" t="n"/>
    </row>
    <row r="140" ht="15" customHeight="1" s="73">
      <c r="B140" s="19" t="n">
        <v>5</v>
      </c>
      <c r="C140" s="11" t="inlineStr">
        <is>
          <t>FTC</t>
        </is>
      </c>
      <c r="D140" s="11" t="inlineStr">
        <is>
          <t>DEV</t>
        </is>
      </c>
      <c r="E140" s="35" t="inlineStr">
        <is>
          <t>E2</t>
        </is>
      </c>
      <c r="F140" s="35" t="inlineStr">
        <is>
          <t>OFF</t>
        </is>
      </c>
      <c r="G140" s="35" t="inlineStr">
        <is>
          <t>Delivery</t>
        </is>
      </c>
      <c r="H140" s="53" t="n">
        <v>6.5</v>
      </c>
      <c r="I140" s="36" t="n">
        <v>78</v>
      </c>
      <c r="J140" s="54" t="inlineStr">
        <is>
          <t>RAMPED</t>
        </is>
      </c>
      <c r="K140" s="55" t="n">
        <v>6</v>
      </c>
      <c r="L140" s="9" t="n">
        <v>6</v>
      </c>
      <c r="M140" s="30" t="n"/>
    </row>
    <row r="141" ht="15" customHeight="1" s="73">
      <c r="B141" s="19" t="n">
        <v>5</v>
      </c>
      <c r="C141" s="11" t="inlineStr">
        <is>
          <t>FTC</t>
        </is>
      </c>
      <c r="D141" s="11" t="inlineStr">
        <is>
          <t>DEV</t>
        </is>
      </c>
      <c r="E141" s="35" t="inlineStr">
        <is>
          <t>E3</t>
        </is>
      </c>
      <c r="F141" s="35" t="inlineStr">
        <is>
          <t>OFF</t>
        </is>
      </c>
      <c r="G141" s="35" t="inlineStr">
        <is>
          <t>Delivery</t>
        </is>
      </c>
      <c r="H141" s="53" t="n">
        <v>3</v>
      </c>
      <c r="I141" s="36" t="n">
        <v>36</v>
      </c>
      <c r="J141" s="54" t="inlineStr">
        <is>
          <t>RAMPED</t>
        </is>
      </c>
      <c r="K141" s="55" t="n">
        <v>3</v>
      </c>
      <c r="L141" s="9" t="n"/>
      <c r="M141" s="30" t="n"/>
    </row>
    <row r="142" ht="15" customHeight="1" s="73">
      <c r="B142" s="19" t="n">
        <v>5</v>
      </c>
      <c r="C142" s="11" t="inlineStr">
        <is>
          <t>FTC</t>
        </is>
      </c>
      <c r="D142" s="11" t="inlineStr">
        <is>
          <t>DEV</t>
        </is>
      </c>
      <c r="E142" s="35" t="inlineStr">
        <is>
          <t>E4</t>
        </is>
      </c>
      <c r="F142" s="35" t="inlineStr">
        <is>
          <t>ON</t>
        </is>
      </c>
      <c r="G142" s="35" t="inlineStr">
        <is>
          <t>Delivery</t>
        </is>
      </c>
      <c r="H142" s="53" t="n">
        <v>4</v>
      </c>
      <c r="I142" s="36" t="n">
        <v>48</v>
      </c>
      <c r="J142" s="54" t="inlineStr">
        <is>
          <t>RAMPED</t>
        </is>
      </c>
      <c r="K142" s="55" t="n">
        <v>4</v>
      </c>
      <c r="L142" s="9" t="n"/>
      <c r="M142" s="30" t="n"/>
    </row>
    <row r="143" ht="15" customHeight="1" s="73">
      <c r="B143" s="19" t="n">
        <v>5</v>
      </c>
      <c r="C143" s="11" t="inlineStr">
        <is>
          <t>FTC</t>
        </is>
      </c>
      <c r="D143" s="11" t="inlineStr">
        <is>
          <t>MNT</t>
        </is>
      </c>
      <c r="E143" s="35" t="inlineStr">
        <is>
          <t>E2</t>
        </is>
      </c>
      <c r="F143" s="35" t="inlineStr">
        <is>
          <t>OFF</t>
        </is>
      </c>
      <c r="G143" s="35" t="inlineStr">
        <is>
          <t>Delivery</t>
        </is>
      </c>
      <c r="H143" s="53" t="n">
        <v>3.5</v>
      </c>
      <c r="I143" s="36" t="n">
        <v>42</v>
      </c>
      <c r="J143" s="54" t="inlineStr">
        <is>
          <t>RAMPED</t>
        </is>
      </c>
      <c r="K143" s="55" t="n">
        <v>3</v>
      </c>
      <c r="L143" s="9" t="n">
        <v>6</v>
      </c>
      <c r="M143" s="30" t="n"/>
    </row>
    <row r="144" ht="15" customHeight="1" s="73">
      <c r="B144" s="19" t="n">
        <v>5</v>
      </c>
      <c r="C144" s="11" t="inlineStr">
        <is>
          <t>FTC</t>
        </is>
      </c>
      <c r="D144" s="11" t="inlineStr">
        <is>
          <t>MNT</t>
        </is>
      </c>
      <c r="E144" s="35" t="inlineStr">
        <is>
          <t>E2</t>
        </is>
      </c>
      <c r="F144" s="35" t="inlineStr">
        <is>
          <t>ON</t>
        </is>
      </c>
      <c r="G144" s="35" t="inlineStr">
        <is>
          <t>Delivery</t>
        </is>
      </c>
      <c r="H144" s="53" t="n">
        <v>0.5</v>
      </c>
      <c r="I144" s="36" t="n">
        <v>6</v>
      </c>
      <c r="J144" s="54" t="inlineStr">
        <is>
          <t>RAMPED</t>
        </is>
      </c>
      <c r="K144" s="55" t="n">
        <v>0</v>
      </c>
      <c r="L144" s="9" t="n">
        <v>6</v>
      </c>
      <c r="M144" s="30" t="n"/>
    </row>
    <row r="145" ht="15" customHeight="1" s="73">
      <c r="B145" s="19" t="n">
        <v>5</v>
      </c>
      <c r="C145" s="11" t="inlineStr">
        <is>
          <t>FTC</t>
        </is>
      </c>
      <c r="D145" s="11" t="inlineStr">
        <is>
          <t>OTH</t>
        </is>
      </c>
      <c r="E145" s="35" t="inlineStr">
        <is>
          <t>E3</t>
        </is>
      </c>
      <c r="F145" s="35" t="inlineStr">
        <is>
          <t>OFF</t>
        </is>
      </c>
      <c r="G145" s="35" t="inlineStr">
        <is>
          <t>Horizontal</t>
        </is>
      </c>
      <c r="H145" s="53" t="n">
        <v>0.5</v>
      </c>
      <c r="I145" s="36" t="n">
        <v>6</v>
      </c>
      <c r="J145" s="54" t="inlineStr">
        <is>
          <t>SHARED</t>
        </is>
      </c>
      <c r="K145" s="55" t="n">
        <v>0</v>
      </c>
      <c r="L145" s="9" t="n">
        <v>6</v>
      </c>
      <c r="M145" s="30" t="n">
        <v>0.5</v>
      </c>
    </row>
    <row r="146" ht="15" customHeight="1" s="73">
      <c r="B146" s="19" t="n">
        <v>5</v>
      </c>
      <c r="C146" s="11" t="inlineStr">
        <is>
          <t>FTC</t>
        </is>
      </c>
      <c r="D146" s="11" t="inlineStr">
        <is>
          <t>OTH</t>
        </is>
      </c>
      <c r="E146" s="35" t="inlineStr">
        <is>
          <t>E4</t>
        </is>
      </c>
      <c r="F146" s="35" t="inlineStr">
        <is>
          <t>OFF</t>
        </is>
      </c>
      <c r="G146" s="35" t="inlineStr">
        <is>
          <t>Delivery</t>
        </is>
      </c>
      <c r="H146" s="53" t="n">
        <v>1.5</v>
      </c>
      <c r="I146" s="36" t="n">
        <v>18</v>
      </c>
      <c r="J146" s="54" t="inlineStr">
        <is>
          <t>SHARED</t>
        </is>
      </c>
      <c r="K146" s="55" t="n">
        <v>1</v>
      </c>
      <c r="L146" s="9" t="n">
        <v>6</v>
      </c>
      <c r="M146" s="30" t="n">
        <v>0.5</v>
      </c>
    </row>
    <row r="147" ht="15" customHeight="1" s="73">
      <c r="B147" s="19" t="n">
        <v>5</v>
      </c>
      <c r="C147" s="11" t="inlineStr">
        <is>
          <t>FTC</t>
        </is>
      </c>
      <c r="D147" s="11" t="inlineStr">
        <is>
          <t>OTH</t>
        </is>
      </c>
      <c r="E147" s="35" t="inlineStr">
        <is>
          <t>E5</t>
        </is>
      </c>
      <c r="F147" s="35" t="inlineStr">
        <is>
          <t>ON</t>
        </is>
      </c>
      <c r="G147" s="35" t="inlineStr">
        <is>
          <t>Horizontal</t>
        </is>
      </c>
      <c r="H147" s="53" t="n">
        <v>0.5</v>
      </c>
      <c r="I147" s="36" t="n">
        <v>6</v>
      </c>
      <c r="J147" s="54" t="inlineStr">
        <is>
          <t>SHARED</t>
        </is>
      </c>
      <c r="K147" s="55" t="n">
        <v>0</v>
      </c>
      <c r="L147" s="9" t="n">
        <v>6</v>
      </c>
      <c r="M147" s="30" t="n">
        <v>0.5</v>
      </c>
    </row>
    <row r="148" ht="15" customHeight="1" s="73">
      <c r="B148" s="19" t="n">
        <v>5</v>
      </c>
      <c r="C148" s="11" t="inlineStr">
        <is>
          <t>FTC</t>
        </is>
      </c>
      <c r="D148" s="11" t="inlineStr">
        <is>
          <t>PM</t>
        </is>
      </c>
      <c r="E148" s="35" t="inlineStr">
        <is>
          <t>E5</t>
        </is>
      </c>
      <c r="F148" s="35" t="inlineStr">
        <is>
          <t>ON</t>
        </is>
      </c>
      <c r="G148" s="35" t="inlineStr">
        <is>
          <t>Horizontal</t>
        </is>
      </c>
      <c r="H148" s="53" t="n">
        <v>1</v>
      </c>
      <c r="I148" s="36" t="n">
        <v>12</v>
      </c>
      <c r="J148" s="54" t="inlineStr">
        <is>
          <t>SHARED</t>
        </is>
      </c>
      <c r="K148" s="55" t="n">
        <v>1</v>
      </c>
      <c r="L148" s="9" t="n"/>
      <c r="M148" s="30" t="n"/>
    </row>
    <row r="149" ht="15" customHeight="1" s="73">
      <c r="B149" s="19" t="n">
        <v>5</v>
      </c>
      <c r="C149" s="11" t="inlineStr">
        <is>
          <t>FTC</t>
        </is>
      </c>
      <c r="D149" s="11" t="inlineStr">
        <is>
          <t>TEST</t>
        </is>
      </c>
      <c r="E149" s="35" t="inlineStr">
        <is>
          <t>E1</t>
        </is>
      </c>
      <c r="F149" s="35" t="inlineStr">
        <is>
          <t>OFF</t>
        </is>
      </c>
      <c r="G149" s="35" t="inlineStr">
        <is>
          <t>Delivery</t>
        </is>
      </c>
      <c r="H149" s="53" t="n">
        <v>3.5</v>
      </c>
      <c r="I149" s="36" t="n">
        <v>42</v>
      </c>
      <c r="J149" s="54" t="inlineStr">
        <is>
          <t>RAMPED</t>
        </is>
      </c>
      <c r="K149" s="55" t="n">
        <v>3</v>
      </c>
      <c r="L149" s="9" t="n">
        <v>6</v>
      </c>
      <c r="M149" s="30" t="n"/>
    </row>
    <row r="150" ht="15" customHeight="1" s="73">
      <c r="B150" s="19" t="n">
        <v>5</v>
      </c>
      <c r="C150" s="11" t="inlineStr">
        <is>
          <t>FTE</t>
        </is>
      </c>
      <c r="D150" s="11" t="inlineStr">
        <is>
          <t>BSA</t>
        </is>
      </c>
      <c r="E150" s="35" t="inlineStr">
        <is>
          <t>E4</t>
        </is>
      </c>
      <c r="F150" s="35" t="inlineStr">
        <is>
          <t>ON</t>
        </is>
      </c>
      <c r="G150" s="35" t="inlineStr">
        <is>
          <t>Delivery</t>
        </is>
      </c>
      <c r="H150" s="53" t="n">
        <v>1.5</v>
      </c>
      <c r="I150" s="36" t="n">
        <v>18</v>
      </c>
      <c r="J150" s="54" t="inlineStr">
        <is>
          <t>RAMPED</t>
        </is>
      </c>
      <c r="K150" s="55" t="n">
        <v>1</v>
      </c>
      <c r="L150" s="9" t="n">
        <v>6</v>
      </c>
      <c r="M150" s="30" t="n"/>
    </row>
    <row r="151" ht="15" customHeight="1" s="73">
      <c r="B151" s="19" t="n">
        <v>5</v>
      </c>
      <c r="C151" s="11" t="inlineStr">
        <is>
          <t>FTE</t>
        </is>
      </c>
      <c r="D151" s="11" t="inlineStr">
        <is>
          <t>BSA</t>
        </is>
      </c>
      <c r="E151" s="35" t="inlineStr">
        <is>
          <t>E4</t>
        </is>
      </c>
      <c r="F151" s="35" t="inlineStr">
        <is>
          <t>ON</t>
        </is>
      </c>
      <c r="G151" s="35" t="inlineStr">
        <is>
          <t>Horizontal</t>
        </is>
      </c>
      <c r="H151" s="53" t="n">
        <v>1.5</v>
      </c>
      <c r="I151" s="36" t="n">
        <v>18</v>
      </c>
      <c r="J151" s="54" t="inlineStr">
        <is>
          <t>SHARED</t>
        </is>
      </c>
      <c r="K151" s="55" t="n">
        <v>1</v>
      </c>
      <c r="L151" s="9" t="n">
        <v>6</v>
      </c>
      <c r="M151" s="30" t="n">
        <v>0.5</v>
      </c>
    </row>
    <row r="152" ht="15" customHeight="1" s="73">
      <c r="B152" s="19" t="n">
        <v>5</v>
      </c>
      <c r="C152" s="11" t="inlineStr">
        <is>
          <t>FTE</t>
        </is>
      </c>
      <c r="D152" s="11" t="inlineStr">
        <is>
          <t>BSA</t>
        </is>
      </c>
      <c r="E152" s="35" t="inlineStr">
        <is>
          <t>E5</t>
        </is>
      </c>
      <c r="F152" s="35" t="inlineStr">
        <is>
          <t>ON</t>
        </is>
      </c>
      <c r="G152" s="35" t="inlineStr">
        <is>
          <t>Horizontal</t>
        </is>
      </c>
      <c r="H152" s="53" t="n">
        <v>1.5</v>
      </c>
      <c r="I152" s="36" t="n">
        <v>18</v>
      </c>
      <c r="J152" s="54" t="inlineStr">
        <is>
          <t>SHARED</t>
        </is>
      </c>
      <c r="K152" s="55" t="n">
        <v>1</v>
      </c>
      <c r="L152" s="9" t="n">
        <v>6</v>
      </c>
      <c r="M152" s="30" t="n">
        <v>0.5</v>
      </c>
    </row>
    <row r="153" ht="15" customHeight="1" s="73">
      <c r="B153" s="19" t="n">
        <v>5</v>
      </c>
      <c r="C153" s="11" t="inlineStr">
        <is>
          <t>FTE</t>
        </is>
      </c>
      <c r="D153" s="11" t="inlineStr">
        <is>
          <t>MNT</t>
        </is>
      </c>
      <c r="E153" s="35" t="inlineStr">
        <is>
          <t>E3</t>
        </is>
      </c>
      <c r="F153" s="35" t="inlineStr">
        <is>
          <t>ON</t>
        </is>
      </c>
      <c r="G153" s="35" t="inlineStr">
        <is>
          <t>Delivery</t>
        </is>
      </c>
      <c r="H153" s="53" t="n">
        <v>2</v>
      </c>
      <c r="I153" s="36" t="n">
        <v>24</v>
      </c>
      <c r="J153" s="54" t="inlineStr">
        <is>
          <t>RAMPED</t>
        </is>
      </c>
      <c r="K153" s="55" t="n">
        <v>2</v>
      </c>
      <c r="L153" s="9" t="n"/>
      <c r="M153" s="30" t="n"/>
    </row>
    <row r="154" ht="15" customHeight="1" s="73">
      <c r="B154" s="19" t="n">
        <v>5</v>
      </c>
      <c r="C154" s="11" t="inlineStr">
        <is>
          <t>FTE</t>
        </is>
      </c>
      <c r="D154" s="11" t="inlineStr">
        <is>
          <t>MNT</t>
        </is>
      </c>
      <c r="E154" s="35" t="inlineStr">
        <is>
          <t>E3</t>
        </is>
      </c>
      <c r="F154" s="35" t="inlineStr">
        <is>
          <t>ON</t>
        </is>
      </c>
      <c r="G154" s="35" t="inlineStr">
        <is>
          <t>Horizontal</t>
        </is>
      </c>
      <c r="H154" s="53" t="n">
        <v>1.5</v>
      </c>
      <c r="I154" s="36" t="n">
        <v>18</v>
      </c>
      <c r="J154" s="54" t="inlineStr">
        <is>
          <t>SHARED</t>
        </is>
      </c>
      <c r="K154" s="55" t="n">
        <v>1</v>
      </c>
      <c r="L154" s="9" t="n">
        <v>6</v>
      </c>
      <c r="M154" s="30" t="n">
        <v>0.5</v>
      </c>
    </row>
    <row r="155" ht="15" customHeight="1" s="73">
      <c r="B155" s="19" t="n">
        <v>5</v>
      </c>
      <c r="C155" s="11" t="inlineStr">
        <is>
          <t>FTE</t>
        </is>
      </c>
      <c r="D155" s="11" t="inlineStr">
        <is>
          <t>PM</t>
        </is>
      </c>
      <c r="E155" s="35" t="inlineStr">
        <is>
          <t>E4</t>
        </is>
      </c>
      <c r="F155" s="35" t="inlineStr">
        <is>
          <t>ON</t>
        </is>
      </c>
      <c r="G155" s="35" t="inlineStr">
        <is>
          <t>Delivery</t>
        </is>
      </c>
      <c r="H155" s="53" t="n">
        <v>4.5</v>
      </c>
      <c r="I155" s="36" t="n">
        <v>54</v>
      </c>
      <c r="J155" s="54" t="inlineStr">
        <is>
          <t>SHARED</t>
        </is>
      </c>
      <c r="K155" s="55" t="n">
        <v>4</v>
      </c>
      <c r="L155" s="9" t="n">
        <v>6</v>
      </c>
      <c r="M155" s="30" t="n">
        <v>0.5</v>
      </c>
    </row>
    <row r="156" ht="15" customHeight="1" s="73">
      <c r="B156" s="19" t="n">
        <v>5</v>
      </c>
      <c r="C156" s="11" t="inlineStr">
        <is>
          <t>FTE</t>
        </is>
      </c>
      <c r="D156" s="11" t="inlineStr">
        <is>
          <t>PM</t>
        </is>
      </c>
      <c r="E156" s="35" t="inlineStr">
        <is>
          <t>E4</t>
        </is>
      </c>
      <c r="F156" s="35" t="inlineStr">
        <is>
          <t>ON</t>
        </is>
      </c>
      <c r="G156" s="35" t="inlineStr">
        <is>
          <t>Horizontal</t>
        </is>
      </c>
      <c r="H156" s="53" t="n">
        <v>1.5</v>
      </c>
      <c r="I156" s="36" t="n">
        <v>18</v>
      </c>
      <c r="J156" s="54" t="inlineStr">
        <is>
          <t>SHARED</t>
        </is>
      </c>
      <c r="K156" s="55" t="n">
        <v>1</v>
      </c>
      <c r="L156" s="9" t="n">
        <v>6</v>
      </c>
      <c r="M156" s="30" t="n">
        <v>0.5</v>
      </c>
    </row>
    <row r="157" ht="15" customHeight="1" s="73">
      <c r="B157" s="19" t="n">
        <v>5</v>
      </c>
      <c r="C157" s="11" t="inlineStr">
        <is>
          <t>MGCC</t>
        </is>
      </c>
      <c r="D157" s="11" t="inlineStr">
        <is>
          <t>DEV</t>
        </is>
      </c>
      <c r="E157" s="35" t="inlineStr">
        <is>
          <t>E3</t>
        </is>
      </c>
      <c r="F157" s="35" t="inlineStr">
        <is>
          <t>OFF</t>
        </is>
      </c>
      <c r="G157" s="35" t="inlineStr">
        <is>
          <t>Delivery</t>
        </is>
      </c>
      <c r="H157" s="53" t="n">
        <v>7.5</v>
      </c>
      <c r="I157" s="36" t="n">
        <v>90</v>
      </c>
      <c r="J157" s="54" t="inlineStr">
        <is>
          <t>RAMPED</t>
        </is>
      </c>
      <c r="K157" s="55" t="n">
        <v>7</v>
      </c>
      <c r="L157" s="9" t="n">
        <v>6</v>
      </c>
      <c r="M157" s="30" t="n"/>
    </row>
    <row r="158" ht="15" customHeight="1" s="73">
      <c r="B158" s="19" t="n">
        <v>5</v>
      </c>
      <c r="C158" s="11" t="inlineStr">
        <is>
          <t>MGCC</t>
        </is>
      </c>
      <c r="D158" s="11" t="inlineStr">
        <is>
          <t>DEV</t>
        </is>
      </c>
      <c r="E158" s="35" t="inlineStr">
        <is>
          <t>E3</t>
        </is>
      </c>
      <c r="F158" s="35" t="inlineStr">
        <is>
          <t>OFF</t>
        </is>
      </c>
      <c r="G158" s="35" t="inlineStr">
        <is>
          <t>Horizontal</t>
        </is>
      </c>
      <c r="H158" s="53" t="n">
        <v>1.5</v>
      </c>
      <c r="I158" s="36" t="n">
        <v>18</v>
      </c>
      <c r="J158" s="54" t="inlineStr">
        <is>
          <t>SHARED</t>
        </is>
      </c>
      <c r="K158" s="55" t="n">
        <v>1</v>
      </c>
      <c r="L158" s="9" t="n">
        <v>6</v>
      </c>
      <c r="M158" s="30" t="n">
        <v>0.5</v>
      </c>
    </row>
    <row r="159" ht="15" customHeight="1" s="73">
      <c r="B159" s="19" t="n">
        <v>5</v>
      </c>
      <c r="C159" s="11" t="inlineStr">
        <is>
          <t>MGCC</t>
        </is>
      </c>
      <c r="D159" s="11" t="inlineStr">
        <is>
          <t>MNT</t>
        </is>
      </c>
      <c r="E159" s="35" t="inlineStr">
        <is>
          <t>E2</t>
        </is>
      </c>
      <c r="F159" s="35" t="inlineStr">
        <is>
          <t>OFF</t>
        </is>
      </c>
      <c r="G159" s="35" t="inlineStr">
        <is>
          <t>Delivery</t>
        </is>
      </c>
      <c r="H159" s="53" t="n">
        <v>1.5</v>
      </c>
      <c r="I159" s="36" t="n">
        <v>18</v>
      </c>
      <c r="J159" s="54" t="inlineStr">
        <is>
          <t>RAMPED</t>
        </is>
      </c>
      <c r="K159" s="55" t="n">
        <v>1</v>
      </c>
      <c r="L159" s="9" t="n">
        <v>6</v>
      </c>
      <c r="M159" s="30" t="n"/>
    </row>
    <row r="160" ht="15" customHeight="1" s="73">
      <c r="B160" s="19" t="n">
        <v>5</v>
      </c>
      <c r="C160" s="11" t="inlineStr">
        <is>
          <t>MGCC</t>
        </is>
      </c>
      <c r="D160" s="11" t="inlineStr">
        <is>
          <t>TEST</t>
        </is>
      </c>
      <c r="E160" s="35" t="inlineStr">
        <is>
          <t>E2</t>
        </is>
      </c>
      <c r="F160" s="35" t="inlineStr">
        <is>
          <t>OFF</t>
        </is>
      </c>
      <c r="G160" s="35" t="inlineStr">
        <is>
          <t>Delivery</t>
        </is>
      </c>
      <c r="H160" s="53" t="n">
        <v>3</v>
      </c>
      <c r="I160" s="36" t="n">
        <v>36</v>
      </c>
      <c r="J160" s="54" t="inlineStr">
        <is>
          <t>RAMPED</t>
        </is>
      </c>
      <c r="K160" s="55" t="n">
        <v>3</v>
      </c>
      <c r="L160" s="9" t="n"/>
      <c r="M160" s="30" t="n"/>
    </row>
    <row r="161" ht="15" customHeight="1" s="73">
      <c r="B161" s="19" t="n">
        <v>5</v>
      </c>
      <c r="C161" s="11" t="inlineStr">
        <is>
          <t>PT</t>
        </is>
      </c>
      <c r="D161" s="11" t="inlineStr">
        <is>
          <t>BSA</t>
        </is>
      </c>
      <c r="E161" s="35" t="inlineStr">
        <is>
          <t>E3</t>
        </is>
      </c>
      <c r="F161" s="35" t="inlineStr">
        <is>
          <t>ON</t>
        </is>
      </c>
      <c r="G161" s="35" t="inlineStr">
        <is>
          <t>Delivery</t>
        </is>
      </c>
      <c r="H161" s="53" t="n">
        <v>0.5</v>
      </c>
      <c r="I161" s="36" t="n">
        <v>6</v>
      </c>
      <c r="J161" s="54" t="inlineStr">
        <is>
          <t>RAMPED</t>
        </is>
      </c>
      <c r="K161" s="55" t="n">
        <v>0</v>
      </c>
      <c r="L161" s="9" t="n">
        <v>6</v>
      </c>
      <c r="M161" s="30" t="n"/>
    </row>
    <row r="162" ht="15" customHeight="1" s="73">
      <c r="B162" s="19" t="n">
        <v>5</v>
      </c>
      <c r="C162" s="11" t="inlineStr">
        <is>
          <t>PT</t>
        </is>
      </c>
      <c r="D162" s="11" t="inlineStr">
        <is>
          <t>DEV</t>
        </is>
      </c>
      <c r="E162" s="35" t="inlineStr">
        <is>
          <t>E3</t>
        </is>
      </c>
      <c r="F162" s="35" t="inlineStr">
        <is>
          <t>ON</t>
        </is>
      </c>
      <c r="G162" s="35" t="inlineStr">
        <is>
          <t>Delivery</t>
        </is>
      </c>
      <c r="H162" s="53" t="n">
        <v>2.5</v>
      </c>
      <c r="I162" s="36" t="n">
        <v>30</v>
      </c>
      <c r="J162" s="54" t="inlineStr">
        <is>
          <t>RAMPED</t>
        </is>
      </c>
      <c r="K162" s="55" t="n">
        <v>2</v>
      </c>
      <c r="L162" s="9" t="n">
        <v>6</v>
      </c>
      <c r="M162" s="30" t="n"/>
    </row>
    <row r="163" ht="15" customHeight="1" s="73">
      <c r="B163" s="19" t="n">
        <v>5</v>
      </c>
      <c r="C163" s="11" t="inlineStr">
        <is>
          <t>PT</t>
        </is>
      </c>
      <c r="D163" s="11" t="inlineStr">
        <is>
          <t>MNT</t>
        </is>
      </c>
      <c r="E163" s="35" t="inlineStr">
        <is>
          <t>E3</t>
        </is>
      </c>
      <c r="F163" s="35" t="inlineStr">
        <is>
          <t>ON</t>
        </is>
      </c>
      <c r="G163" s="35" t="inlineStr">
        <is>
          <t>Horizontal</t>
        </is>
      </c>
      <c r="H163" s="53" t="n">
        <v>1</v>
      </c>
      <c r="I163" s="36" t="n">
        <v>12</v>
      </c>
      <c r="J163" s="54" t="inlineStr">
        <is>
          <t>SHARED</t>
        </is>
      </c>
      <c r="K163" s="55" t="n">
        <v>1</v>
      </c>
      <c r="L163" s="9" t="n"/>
      <c r="M163" s="30" t="n"/>
    </row>
    <row r="164" ht="15" customHeight="1" s="73"/>
    <row r="165" ht="15" customHeight="1" s="73"/>
    <row r="166" ht="15" customHeight="1" s="73"/>
    <row r="167" ht="15" customHeight="1" s="73"/>
    <row r="168" ht="15" customHeight="1" s="73"/>
    <row r="169" ht="15" customHeight="1" s="73"/>
    <row r="170" ht="15" customHeight="1" s="73"/>
    <row r="171" ht="15" customHeight="1" s="73"/>
    <row r="172" ht="15" customHeight="1" s="73"/>
    <row r="173" ht="15" customHeight="1" s="73"/>
    <row r="175" ht="30" customHeight="1" s="73"/>
  </sheetData>
  <mergeCells count="13">
    <mergeCell ref="A2:L2"/>
    <mergeCell ref="G15:I15"/>
    <mergeCell ref="B12:L12"/>
    <mergeCell ref="J14:L14"/>
    <mergeCell ref="G14:I14"/>
    <mergeCell ref="B16:L16"/>
    <mergeCell ref="A11:L11"/>
    <mergeCell ref="A1:L1"/>
    <mergeCell ref="C15:F15"/>
    <mergeCell ref="A18:L18"/>
    <mergeCell ref="C14:F14"/>
    <mergeCell ref="A4:L4"/>
    <mergeCell ref="J15:L1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L37"/>
  <sheetViews>
    <sheetView zoomScaleNormal="100" workbookViewId="0">
      <selection activeCell="A1" sqref="A1"/>
    </sheetView>
  </sheetViews>
  <sheetFormatPr baseColWidth="8" defaultColWidth="8.6328125" defaultRowHeight="14.5"/>
  <cols>
    <col width="2.453125" customWidth="1" style="73" min="1" max="1"/>
    <col width="40" customWidth="1" style="73" min="2" max="2"/>
    <col width="12" customWidth="1" style="73" min="3" max="8"/>
    <col width="4" customWidth="1" style="73" min="9" max="9"/>
    <col width="50" customWidth="1" style="73" min="10" max="10"/>
  </cols>
  <sheetData>
    <row r="1" ht="25.5" customHeight="1" s="73">
      <c r="A1" s="72" t="inlineStr">
        <is>
          <t>Unit cost sensitivity  —  four levers now, not three</t>
        </is>
      </c>
    </row>
    <row r="2" ht="15" customHeight="1" s="73">
      <c r="A2" s="75" t="inlineStr">
        <is>
          <t>Productivity, offshore share and seniority, plus the agile conversion, which which the other three all depend on.</t>
        </is>
      </c>
    </row>
    <row r="4" ht="15" customHeight="1" s="73">
      <c r="A4" s="76" t="inlineStr">
        <is>
          <t>A.  THE MODEL  —  unit cost = k x (1 - productivity) x average cost per head</t>
        </is>
      </c>
    </row>
    <row r="5" ht="27.75" customHeight="1" s="73">
      <c r="B5" s="78" t="inlineStr">
        <is>
          <t>average cost per head = offshore x [senior x OFF_SR + (1-senior) x OFF_JM] + onshore x [senior x ON_SR + (1-senior) x ON_JM]</t>
        </is>
      </c>
    </row>
    <row r="7" ht="15" customHeight="1" s="73">
      <c r="A7" s="76" t="inlineStr">
        <is>
          <t>B.  TIER COST PARAMETERS  —  from the Year-5 roster</t>
        </is>
      </c>
    </row>
    <row r="8" ht="15" customHeight="1" s="73">
      <c r="B8" s="5" t="inlineStr">
        <is>
          <t>Tier</t>
        </is>
      </c>
      <c r="C8" s="5" t="inlineStr">
        <is>
          <t>Onshore Tokyo</t>
        </is>
      </c>
      <c r="D8" s="5" t="inlineStr">
        <is>
          <t>Offshore</t>
        </is>
      </c>
    </row>
    <row r="9" ht="15" customHeight="1" s="73">
      <c r="B9" s="79" t="inlineStr">
        <is>
          <t>Junior / mid  (E1-E3)</t>
        </is>
      </c>
      <c r="C9" s="48">
        <f>IFERROR((SUMIFS('Seat Ledger'!$N$5:$N$235,'Seat Ledger'!$B$5:$B$235,5,'Seat Ledger'!$I$5:$I$235,"ON",'Seat Ledger'!$H$5:$H$235,"E1") + SUMIFS('Seat Ledger'!$N$5:$N$235,'Seat Ledger'!$B$5:$B$235,5,'Seat Ledger'!$I$5:$I$235,"ON",'Seat Ledger'!$H$5:$H$235,"E2") + SUMIFS('Seat Ledger'!$N$5:$N$235,'Seat Ledger'!$B$5:$B$235,5,'Seat Ledger'!$I$5:$I$235,"ON",'Seat Ledger'!$H$5:$H$235,"E3"))/(SUMIFS('Seat Ledger'!$M$5:$M$235,'Seat Ledger'!$B$5:$B$235,5,'Seat Ledger'!$I$5:$I$235,"ON",'Seat Ledger'!$H$5:$H$235,"E1") + SUMIFS('Seat Ledger'!$M$5:$M$235,'Seat Ledger'!$B$5:$B$235,5,'Seat Ledger'!$I$5:$I$235,"ON",'Seat Ledger'!$H$5:$H$235,"E2") + SUMIFS('Seat Ledger'!$M$5:$M$235,'Seat Ledger'!$B$5:$B$235,5,'Seat Ledger'!$I$5:$I$235,"ON",'Seat Ledger'!$H$5:$H$235,"E3")),0)</f>
        <v/>
      </c>
      <c r="D9" s="48">
        <f>IFERROR((SUMIFS('Seat Ledger'!$N$5:$N$235,'Seat Ledger'!$B$5:$B$235,5,'Seat Ledger'!$I$5:$I$235,"OFF",'Seat Ledger'!$H$5:$H$235,"E1") + SUMIFS('Seat Ledger'!$N$5:$N$235,'Seat Ledger'!$B$5:$B$235,5,'Seat Ledger'!$I$5:$I$235,"OFF",'Seat Ledger'!$H$5:$H$235,"E2") + SUMIFS('Seat Ledger'!$N$5:$N$235,'Seat Ledger'!$B$5:$B$235,5,'Seat Ledger'!$I$5:$I$235,"OFF",'Seat Ledger'!$H$5:$H$235,"E3"))/(SUMIFS('Seat Ledger'!$M$5:$M$235,'Seat Ledger'!$B$5:$B$235,5,'Seat Ledger'!$I$5:$I$235,"OFF",'Seat Ledger'!$H$5:$H$235,"E1") + SUMIFS('Seat Ledger'!$M$5:$M$235,'Seat Ledger'!$B$5:$B$235,5,'Seat Ledger'!$I$5:$I$235,"OFF",'Seat Ledger'!$H$5:$H$235,"E2") + SUMIFS('Seat Ledger'!$M$5:$M$235,'Seat Ledger'!$B$5:$B$235,5,'Seat Ledger'!$I$5:$I$235,"OFF",'Seat Ledger'!$H$5:$H$235,"E3")),0)</f>
        <v/>
      </c>
    </row>
    <row r="10" ht="15" customHeight="1" s="73">
      <c r="B10" s="79" t="inlineStr">
        <is>
          <t>Senior  (E4-E5)</t>
        </is>
      </c>
      <c r="C10" s="48">
        <f>IFERROR((SUMIFS('Seat Ledger'!$N$5:$N$235,'Seat Ledger'!$B$5:$B$235,5,'Seat Ledger'!$I$5:$I$235,"ON",'Seat Ledger'!$H$5:$H$235,"E4") + SUMIFS('Seat Ledger'!$N$5:$N$235,'Seat Ledger'!$B$5:$B$235,5,'Seat Ledger'!$I$5:$I$235,"ON",'Seat Ledger'!$H$5:$H$235,"E5"))/(SUMIFS('Seat Ledger'!$M$5:$M$235,'Seat Ledger'!$B$5:$B$235,5,'Seat Ledger'!$I$5:$I$235,"ON",'Seat Ledger'!$H$5:$H$235,"E4") + SUMIFS('Seat Ledger'!$M$5:$M$235,'Seat Ledger'!$B$5:$B$235,5,'Seat Ledger'!$I$5:$I$235,"ON",'Seat Ledger'!$H$5:$H$235,"E5")),0)</f>
        <v/>
      </c>
      <c r="D10" s="48">
        <f>IFERROR((SUMIFS('Seat Ledger'!$N$5:$N$235,'Seat Ledger'!$B$5:$B$235,5,'Seat Ledger'!$I$5:$I$235,"OFF",'Seat Ledger'!$H$5:$H$235,"E4") + SUMIFS('Seat Ledger'!$N$5:$N$235,'Seat Ledger'!$B$5:$B$235,5,'Seat Ledger'!$I$5:$I$235,"OFF",'Seat Ledger'!$H$5:$H$235,"E5"))/(SUMIFS('Seat Ledger'!$M$5:$M$235,'Seat Ledger'!$B$5:$B$235,5,'Seat Ledger'!$I$5:$I$235,"OFF",'Seat Ledger'!$H$5:$H$235,"E4") + SUMIFS('Seat Ledger'!$M$5:$M$235,'Seat Ledger'!$B$5:$B$235,5,'Seat Ledger'!$I$5:$I$235,"OFF",'Seat Ledger'!$H$5:$H$235,"E5")),0)</f>
        <v/>
      </c>
    </row>
    <row r="12" ht="15" customHeight="1" s="73">
      <c r="A12" s="76" t="inlineStr">
        <is>
          <t>C.  BASE CASE</t>
        </is>
      </c>
    </row>
    <row r="13" ht="15" customHeight="1" s="73">
      <c r="B13" s="5" t="inlineStr">
        <is>
          <t>Measure</t>
        </is>
      </c>
      <c r="C13" s="5" t="inlineStr">
        <is>
          <t>Year 1</t>
        </is>
      </c>
      <c r="D13" s="5" t="inlineStr">
        <is>
          <t>Year 2</t>
        </is>
      </c>
      <c r="E13" s="5" t="inlineStr">
        <is>
          <t>Year 3</t>
        </is>
      </c>
      <c r="F13" s="5" t="inlineStr">
        <is>
          <t>Year 4</t>
        </is>
      </c>
      <c r="G13" s="5" t="inlineStr">
        <is>
          <t>Year 5</t>
        </is>
      </c>
    </row>
    <row r="14" ht="15" customHeight="1" s="73">
      <c r="B14" s="79" t="inlineStr">
        <is>
          <t>Delivered productivity</t>
        </is>
      </c>
      <c r="C14" s="12">
        <f>'Glidepath &amp; 50-50'!C25</f>
        <v/>
      </c>
      <c r="D14" s="12">
        <f>'Glidepath &amp; 50-50'!D25</f>
        <v/>
      </c>
      <c r="E14" s="12">
        <f>'Glidepath &amp; 50-50'!E25</f>
        <v/>
      </c>
      <c r="F14" s="12">
        <f>'Glidepath &amp; 50-50'!F25</f>
        <v/>
      </c>
      <c r="G14" s="12">
        <f>'Glidepath &amp; 50-50'!G25</f>
        <v/>
      </c>
    </row>
    <row r="15" ht="15" customHeight="1" s="73">
      <c r="B15" s="79" t="inlineStr">
        <is>
          <t>Whole-team offshore share</t>
        </is>
      </c>
      <c r="C15" s="12">
        <f>'Team Build-Up'!C54</f>
        <v/>
      </c>
      <c r="D15" s="12">
        <f>'Team Build-Up'!D54</f>
        <v/>
      </c>
      <c r="E15" s="12">
        <f>'Team Build-Up'!E54</f>
        <v/>
      </c>
      <c r="F15" s="12">
        <f>'Team Build-Up'!F54</f>
        <v/>
      </c>
      <c r="G15" s="12">
        <f>'Team Build-Up'!G54</f>
        <v/>
      </c>
    </row>
    <row r="16" ht="15" customHeight="1" s="73">
      <c r="B16" s="79" t="inlineStr">
        <is>
          <t>Senior share (E4+E5)</t>
        </is>
      </c>
      <c r="C16" s="12">
        <f>'Team Build-Up'!C76</f>
        <v/>
      </c>
      <c r="D16" s="12">
        <f>'Team Build-Up'!D76</f>
        <v/>
      </c>
      <c r="E16" s="12">
        <f>'Team Build-Up'!E76</f>
        <v/>
      </c>
      <c r="F16" s="12">
        <f>'Team Build-Up'!F76</f>
        <v/>
      </c>
      <c r="G16" s="12">
        <f>'Team Build-Up'!G76</f>
        <v/>
      </c>
    </row>
    <row r="17" ht="15" customHeight="1" s="73">
      <c r="B17" s="79" t="inlineStr">
        <is>
          <t>Agile share</t>
        </is>
      </c>
      <c r="C17" s="12">
        <f>'Delivery Mode'!C18</f>
        <v/>
      </c>
      <c r="D17" s="12">
        <f>'Delivery Mode'!D18</f>
        <v/>
      </c>
      <c r="E17" s="12">
        <f>'Delivery Mode'!E18</f>
        <v/>
      </c>
      <c r="F17" s="12">
        <f>'Delivery Mode'!F18</f>
        <v/>
      </c>
      <c r="G17" s="12">
        <f>'Delivery Mode'!G18</f>
        <v/>
      </c>
    </row>
    <row r="18" ht="15" customHeight="1" s="73">
      <c r="B18" s="14" t="inlineStr">
        <is>
          <t>Unit cost index — actual</t>
        </is>
      </c>
      <c r="C18" s="56">
        <f>'Cost &amp; Commercial'!C9</f>
        <v/>
      </c>
      <c r="D18" s="56">
        <f>'Cost &amp; Commercial'!D9</f>
        <v/>
      </c>
      <c r="E18" s="56">
        <f>'Cost &amp; Commercial'!E9</f>
        <v/>
      </c>
      <c r="F18" s="56">
        <f>'Cost &amp; Commercial'!F9</f>
        <v/>
      </c>
      <c r="G18" s="56">
        <f>'Cost &amp; Commercial'!G9</f>
        <v/>
      </c>
    </row>
    <row r="19" ht="15" customHeight="1" s="73">
      <c r="B19" s="79" t="inlineStr">
        <is>
          <t>Unit cost index — two-tier formula</t>
        </is>
      </c>
      <c r="C19" s="48">
        <f>(1-C14)*(C15*(C16*$D$10+(1-C16)*$D$9)+(1-C15)*(C16*$C$10+(1-C16)*$C$9))</f>
        <v/>
      </c>
      <c r="D19" s="48">
        <f>(1-D14)*(D15*(D16*$D$10+(1-D16)*$D$9)+(1-D15)*(D16*$C$10+(1-D16)*$C$9))</f>
        <v/>
      </c>
      <c r="E19" s="48">
        <f>(1-E14)*(E15*(E16*$D$10+(1-E16)*$D$9)+(1-E15)*(E16*$C$10+(1-E16)*$C$9))</f>
        <v/>
      </c>
      <c r="F19" s="48">
        <f>(1-F14)*(F15*(F16*$D$10+(1-F16)*$D$9)+(1-F15)*(F16*$C$10+(1-F16)*$C$9))</f>
        <v/>
      </c>
      <c r="G19" s="48">
        <f>(1-G14)*(G15*(G16*$D$10+(1-G16)*$D$9)+(1-G15)*(G16*$C$10+(1-G16)*$C$9))</f>
        <v/>
      </c>
    </row>
    <row r="20" ht="15" customHeight="1" s="73">
      <c r="B20" s="24" t="inlineStr">
        <is>
          <t>CALIBRATION  k  =  actual / formula, at Year 5</t>
        </is>
      </c>
      <c r="G20" s="57">
        <f>IF(G19=0,1,G18/G19)</f>
        <v/>
      </c>
    </row>
    <row r="22" ht="15" customHeight="1" s="73">
      <c r="A22" s="76" t="inlineStr">
        <is>
          <t>D.  GRID  —  offshore share x productivity, at the Year-5 senior share</t>
        </is>
      </c>
    </row>
    <row r="23" ht="15" customHeight="1" s="73">
      <c r="B23" s="5" t="inlineStr">
        <is>
          <t>Offshore v   Productivity &gt;</t>
        </is>
      </c>
      <c r="C23" s="58" t="n">
        <v>0.35</v>
      </c>
      <c r="D23" s="58" t="n">
        <v>0.4</v>
      </c>
      <c r="E23" s="58" t="n">
        <v>0.45</v>
      </c>
      <c r="F23" s="58" t="n">
        <v>0.5</v>
      </c>
      <c r="G23" s="58" t="n">
        <v>0.55</v>
      </c>
      <c r="H23" s="58" t="n">
        <v>0.6</v>
      </c>
    </row>
    <row r="24" ht="15" customHeight="1" s="73">
      <c r="B24" s="23" t="n">
        <v>0.45</v>
      </c>
      <c r="C24" s="48">
        <f>$G$20*(1-C$23)*($B24*($G$16*$D$10+(1-$G$16)*$D$9)+(1-$B24)*($G$16*$C$10+(1-$G$16)*$C$9))</f>
        <v/>
      </c>
      <c r="D24" s="48">
        <f>$G$20*(1-D$23)*($B24*($G$16*$D$10+(1-$G$16)*$D$9)+(1-$B24)*($G$16*$C$10+(1-$G$16)*$C$9))</f>
        <v/>
      </c>
      <c r="E24" s="48">
        <f>$G$20*(1-E$23)*($B24*($G$16*$D$10+(1-$G$16)*$D$9)+(1-$B24)*($G$16*$C$10+(1-$G$16)*$C$9))</f>
        <v/>
      </c>
      <c r="F24" s="48">
        <f>$G$20*(1-F$23)*($B24*($G$16*$D$10+(1-$G$16)*$D$9)+(1-$B24)*($G$16*$C$10+(1-$G$16)*$C$9))</f>
        <v/>
      </c>
      <c r="G24" s="48">
        <f>$G$20*(1-G$23)*($B24*($G$16*$D$10+(1-$G$16)*$D$9)+(1-$B24)*($G$16*$C$10+(1-$G$16)*$C$9))</f>
        <v/>
      </c>
      <c r="H24" s="48">
        <f>$G$20*(1-H$23)*($B24*($G$16*$D$10+(1-$G$16)*$D$9)+(1-$B24)*($G$16*$C$10+(1-$G$16)*$C$9))</f>
        <v/>
      </c>
    </row>
    <row r="25" ht="15" customHeight="1" s="73">
      <c r="B25" s="23" t="n">
        <v>0.55</v>
      </c>
      <c r="C25" s="48">
        <f>$G$20*(1-C$23)*($B25*($G$16*$D$10+(1-$G$16)*$D$9)+(1-$B25)*($G$16*$C$10+(1-$G$16)*$C$9))</f>
        <v/>
      </c>
      <c r="D25" s="48">
        <f>$G$20*(1-D$23)*($B25*($G$16*$D$10+(1-$G$16)*$D$9)+(1-$B25)*($G$16*$C$10+(1-$G$16)*$C$9))</f>
        <v/>
      </c>
      <c r="E25" s="48">
        <f>$G$20*(1-E$23)*($B25*($G$16*$D$10+(1-$G$16)*$D$9)+(1-$B25)*($G$16*$C$10+(1-$G$16)*$C$9))</f>
        <v/>
      </c>
      <c r="F25" s="48">
        <f>$G$20*(1-F$23)*($B25*($G$16*$D$10+(1-$G$16)*$D$9)+(1-$B25)*($G$16*$C$10+(1-$G$16)*$C$9))</f>
        <v/>
      </c>
      <c r="G25" s="48">
        <f>$G$20*(1-G$23)*($B25*($G$16*$D$10+(1-$G$16)*$D$9)+(1-$B25)*($G$16*$C$10+(1-$G$16)*$C$9))</f>
        <v/>
      </c>
      <c r="H25" s="48">
        <f>$G$20*(1-H$23)*($B25*($G$16*$D$10+(1-$G$16)*$D$9)+(1-$B25)*($G$16*$C$10+(1-$G$16)*$C$9))</f>
        <v/>
      </c>
    </row>
    <row r="26" ht="15" customHeight="1" s="73">
      <c r="B26" s="23" t="n">
        <v>0.65</v>
      </c>
      <c r="C26" s="48">
        <f>$G$20*(1-C$23)*($B26*($G$16*$D$10+(1-$G$16)*$D$9)+(1-$B26)*($G$16*$C$10+(1-$G$16)*$C$9))</f>
        <v/>
      </c>
      <c r="D26" s="48">
        <f>$G$20*(1-D$23)*($B26*($G$16*$D$10+(1-$G$16)*$D$9)+(1-$B26)*($G$16*$C$10+(1-$G$16)*$C$9))</f>
        <v/>
      </c>
      <c r="E26" s="48">
        <f>$G$20*(1-E$23)*($B26*($G$16*$D$10+(1-$G$16)*$D$9)+(1-$B26)*($G$16*$C$10+(1-$G$16)*$C$9))</f>
        <v/>
      </c>
      <c r="F26" s="48">
        <f>$G$20*(1-F$23)*($B26*($G$16*$D$10+(1-$G$16)*$D$9)+(1-$B26)*($G$16*$C$10+(1-$G$16)*$C$9))</f>
        <v/>
      </c>
      <c r="G26" s="48">
        <f>$G$20*(1-G$23)*($B26*($G$16*$D$10+(1-$G$16)*$D$9)+(1-$B26)*($G$16*$C$10+(1-$G$16)*$C$9))</f>
        <v/>
      </c>
      <c r="H26" s="48">
        <f>$G$20*(1-H$23)*($B26*($G$16*$D$10+(1-$G$16)*$D$9)+(1-$B26)*($G$16*$C$10+(1-$G$16)*$C$9))</f>
        <v/>
      </c>
    </row>
    <row r="27" ht="15" customHeight="1" s="73">
      <c r="B27" s="23" t="n">
        <v>0.75</v>
      </c>
      <c r="C27" s="48">
        <f>$G$20*(1-C$23)*($B27*($G$16*$D$10+(1-$G$16)*$D$9)+(1-$B27)*($G$16*$C$10+(1-$G$16)*$C$9))</f>
        <v/>
      </c>
      <c r="D27" s="48">
        <f>$G$20*(1-D$23)*($B27*($G$16*$D$10+(1-$G$16)*$D$9)+(1-$B27)*($G$16*$C$10+(1-$G$16)*$C$9))</f>
        <v/>
      </c>
      <c r="E27" s="48">
        <f>$G$20*(1-E$23)*($B27*($G$16*$D$10+(1-$G$16)*$D$9)+(1-$B27)*($G$16*$C$10+(1-$G$16)*$C$9))</f>
        <v/>
      </c>
      <c r="F27" s="48">
        <f>$G$20*(1-F$23)*($B27*($G$16*$D$10+(1-$G$16)*$D$9)+(1-$B27)*($G$16*$C$10+(1-$G$16)*$C$9))</f>
        <v/>
      </c>
      <c r="G27" s="48">
        <f>$G$20*(1-G$23)*($B27*($G$16*$D$10+(1-$G$16)*$D$9)+(1-$B27)*($G$16*$C$10+(1-$G$16)*$C$9))</f>
        <v/>
      </c>
      <c r="H27" s="48">
        <f>$G$20*(1-H$23)*($B27*($G$16*$D$10+(1-$G$16)*$D$9)+(1-$B27)*($G$16*$C$10+(1-$G$16)*$C$9))</f>
        <v/>
      </c>
    </row>
    <row r="28" ht="15" customHeight="1" s="73">
      <c r="B28" s="23" t="n">
        <v>0.85</v>
      </c>
      <c r="C28" s="48">
        <f>$G$20*(1-C$23)*($B28*($G$16*$D$10+(1-$G$16)*$D$9)+(1-$B28)*($G$16*$C$10+(1-$G$16)*$C$9))</f>
        <v/>
      </c>
      <c r="D28" s="48">
        <f>$G$20*(1-D$23)*($B28*($G$16*$D$10+(1-$G$16)*$D$9)+(1-$B28)*($G$16*$C$10+(1-$G$16)*$C$9))</f>
        <v/>
      </c>
      <c r="E28" s="48">
        <f>$G$20*(1-E$23)*($B28*($G$16*$D$10+(1-$G$16)*$D$9)+(1-$B28)*($G$16*$C$10+(1-$G$16)*$C$9))</f>
        <v/>
      </c>
      <c r="F28" s="48">
        <f>$G$20*(1-F$23)*($B28*($G$16*$D$10+(1-$G$16)*$D$9)+(1-$B28)*($G$16*$C$10+(1-$G$16)*$C$9))</f>
        <v/>
      </c>
      <c r="G28" s="48">
        <f>$G$20*(1-G$23)*($B28*($G$16*$D$10+(1-$G$16)*$D$9)+(1-$B28)*($G$16*$C$10+(1-$G$16)*$C$9))</f>
        <v/>
      </c>
      <c r="H28" s="48">
        <f>$G$20*(1-H$23)*($B28*($G$16*$D$10+(1-$G$16)*$D$9)+(1-$B28)*($G$16*$C$10+(1-$G$16)*$C$9))</f>
        <v/>
      </c>
    </row>
    <row r="30" ht="15" customHeight="1" s="73">
      <c r="A30" s="76" t="inlineStr">
        <is>
          <t>E.  TORNADO  —  one lever at a time, +/- 10 points from the Year-5 base</t>
        </is>
      </c>
    </row>
    <row r="31" ht="15" customHeight="1" s="73">
      <c r="B31" s="5" t="inlineStr">
        <is>
          <t>Lever</t>
        </is>
      </c>
      <c r="C31" s="5" t="inlineStr">
        <is>
          <t>-10 points</t>
        </is>
      </c>
      <c r="D31" s="5" t="inlineStr">
        <is>
          <t>Base</t>
        </is>
      </c>
      <c r="E31" s="5" t="inlineStr">
        <is>
          <t>+10 points</t>
        </is>
      </c>
      <c r="F31" s="5" t="inlineStr">
        <is>
          <t>Swing</t>
        </is>
      </c>
      <c r="G31" s="5" t="inlineStr">
        <is>
          <t>Reading</t>
        </is>
      </c>
    </row>
    <row r="32" ht="27.75" customHeight="1" s="73">
      <c r="B32" s="4" t="inlineStr">
        <is>
          <t>Productivity</t>
        </is>
      </c>
      <c r="C32" s="48">
        <f>$G$20*(1-($G$14-0.1))*(($G$15)*(($G$16)*$D$10+(1-($G$16))*$D$9)+(1-($G$15))*(($G$16)*$C$10+(1-($G$16))*$C$9))</f>
        <v/>
      </c>
      <c r="D32" s="48">
        <f>$G$20*(1-($G$14))*(($G$15)*(($G$16)*$D$10+(1-($G$16))*$D$9)+(1-($G$15))*(($G$16)*$C$10+(1-($G$16))*$C$9))</f>
        <v/>
      </c>
      <c r="E32" s="48">
        <f>$G$20*(1-($G$14+0.1))*(($G$15)*(($G$16)*$D$10+(1-($G$16))*$D$9)+(1-($G$15))*(($G$16)*$C$10+(1-($G$16))*$C$9))</f>
        <v/>
      </c>
      <c r="F32" s="56">
        <f>ABS(E32-C32)</f>
        <v/>
      </c>
      <c r="G32" s="82" t="inlineStr">
        <is>
          <t>Scales unit cost one for one. The only linear lever.</t>
        </is>
      </c>
    </row>
    <row r="33" ht="54.75" customHeight="1" s="73">
      <c r="B33" s="4" t="inlineStr">
        <is>
          <t>Offshore share</t>
        </is>
      </c>
      <c r="C33" s="48">
        <f>$G$20*(1-($G$14))*(($G$15-0.1)*(($G$16)*$D$10+(1-($G$16))*$D$9)+(1-($G$15-0.1))*(($G$16)*$C$10+(1-($G$16))*$C$9))</f>
        <v/>
      </c>
      <c r="D33" s="48">
        <f>$G$20*(1-($G$14))*(($G$15)*(($G$16)*$D$10+(1-($G$16))*$D$9)+(1-($G$15))*(($G$16)*$C$10+(1-($G$16))*$C$9))</f>
        <v/>
      </c>
      <c r="E33" s="48">
        <f>$G$20*(1-($G$14))*(($G$15+0.1)*(($G$16)*$D$10+(1-($G$16))*$D$9)+(1-($G$15+0.1))*(($G$16)*$C$10+(1-($G$16))*$C$9))</f>
        <v/>
      </c>
      <c r="F33" s="56">
        <f>ABS(E33-C33)</f>
        <v/>
      </c>
      <c r="G33" s="82" t="inlineStr">
        <is>
          <t>Second largest — and now bounded by a measured start rather than an assumed one.</t>
        </is>
      </c>
    </row>
    <row r="34" ht="54.75" customHeight="1" s="73">
      <c r="B34" s="4" t="inlineStr">
        <is>
          <t>Senior share</t>
        </is>
      </c>
      <c r="C34" s="48">
        <f>$G$20*(1-($G$14))*(($G$15)*(($G$16-0.1)*$D$10+(1-($G$16-0.1))*$D$9)+(1-($G$15))*(($G$16-0.1)*$C$10+(1-($G$16-0.1))*$C$9))</f>
        <v/>
      </c>
      <c r="D34" s="48">
        <f>$G$20*(1-($G$14))*(($G$15)*(($G$16)*$D$10+(1-($G$16))*$D$9)+(1-($G$15))*(($G$16)*$C$10+(1-($G$16))*$C$9))</f>
        <v/>
      </c>
      <c r="E34" s="48">
        <f>$G$20*(1-($G$14))*(($G$15)*(($G$16+0.1)*$D$10+(1-($G$16+0.1))*$D$9)+(1-($G$15))*(($G$16+0.1)*$C$10+(1-($G$16+0.1))*$C$9))</f>
        <v/>
      </c>
      <c r="F34" s="56">
        <f>ABS(E34-C34)</f>
        <v/>
      </c>
      <c r="G34" s="82" t="inlineStr">
        <is>
          <t>Works against the other two. A richer shape gives back part of what offshore wins.</t>
        </is>
      </c>
    </row>
    <row r="35" ht="48" customHeight="1" s="73">
      <c r="B35" s="24" t="inlineStr">
        <is>
          <t>Agile conversion — the fourth lever</t>
        </is>
      </c>
      <c r="G35" s="82" t="inlineStr">
        <is>
          <t>Not a direct term in the unit-cost formula. It works through productivity: the operating-model component is scaled by the agile share, so a one-year slip in the conversion costs about 5 points of Year-2 capability and roughly 0.05 of the unit cost index. It is the lever with the longest lead time and the least evidence behind it.</t>
        </is>
      </c>
    </row>
    <row r="37" ht="18.75" customHeight="1" s="73">
      <c r="B37" s="78" t="inlineStr">
        <is>
          <t>Swings are full 20-point ranges. Halve them for a per-ten-point read.</t>
        </is>
      </c>
    </row>
  </sheetData>
  <mergeCells count="7">
    <mergeCell ref="A22:K22"/>
    <mergeCell ref="A2:L2"/>
    <mergeCell ref="A12:K12"/>
    <mergeCell ref="A4:K4"/>
    <mergeCell ref="A30:K30"/>
    <mergeCell ref="A7:K7"/>
    <mergeCell ref="A1:L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2026-09-14T04:12:07Z</dcterms:created>
  <dcterms:modified xmlns:dcterms="http://purl.org/dc/terms/" xmlns:xsi="http://www.w3.org/2001/XMLSchema-instance" xsi:type="dcterms:W3CDTF">2026-09-17T18:59:37Z</dcterms:modified>
  <cp:lastModifiedBy>Mukesh Kumar Prasad</cp:lastModifiedBy>
  <cp:revision>0</cp:revision>
</cp:coreProperties>
</file>