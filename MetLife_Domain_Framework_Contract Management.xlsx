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pgemini.sharepoint.com/sites/MetLifeJapanOnsiteSIConsolidation/Shared Documents/Root/RFP/5_WIP Response/Estimates/"/>
    </mc:Choice>
  </mc:AlternateContent>
  <xr:revisionPtr revIDLastSave="18" documentId="8_{B8C5554D-FF75-4D38-9B1F-6DE1289E0E36}" xr6:coauthVersionLast="47" xr6:coauthVersionMax="47" xr10:uidLastSave="{C06CCA49-4A55-4E70-8065-14CBC97B0FC5}"/>
  <bookViews>
    <workbookView xWindow="-110" yWindow="-110" windowWidth="19420" windowHeight="10300" firstSheet="3" activeTab="6" xr2:uid="{00000000-000D-0000-FFFF-FFFF00000000}"/>
  </bookViews>
  <sheets>
    <sheet name="README" sheetId="1" r:id="rId1"/>
    <sheet name="Logic Tree" sheetId="2" r:id="rId2"/>
    <sheet name="Inventory" sheetId="3" r:id="rId3"/>
    <sheet name="Value Streams" sheetId="4" r:id="rId4"/>
    <sheet name="Pod Library" sheetId="5" r:id="rId5"/>
    <sheet name="Pod Plan" sheetId="6" r:id="rId6"/>
    <sheet name="Horizontal Teams" sheetId="7" r:id="rId7"/>
    <sheet name="Team Build-Up" sheetId="8" r:id="rId8"/>
    <sheet name="Glidepath &amp; 50-50" sheetId="9" r:id="rId9"/>
    <sheet name="Cost &amp; Commercial" sheetId="10" r:id="rId10"/>
    <sheet name="Seat Ledger" sheetId="11" r:id="rId11"/>
  </sheets>
  <definedNames>
    <definedName name="_xlnm._FilterDatabase" localSheetId="10" hidden="1">'Seat Ledger'!$A$4:$M$393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3" i="11" l="1"/>
  <c r="J393" i="11"/>
  <c r="I393" i="11"/>
  <c r="H393" i="11"/>
  <c r="G393" i="11"/>
  <c r="F393" i="11"/>
  <c r="E393" i="11"/>
  <c r="C393" i="11"/>
  <c r="A393" i="11"/>
  <c r="L392" i="11"/>
  <c r="J392" i="11"/>
  <c r="I392" i="11"/>
  <c r="H392" i="11"/>
  <c r="G392" i="11"/>
  <c r="F392" i="11"/>
  <c r="E392" i="11"/>
  <c r="C392" i="11"/>
  <c r="A392" i="11"/>
  <c r="L391" i="11"/>
  <c r="J391" i="11"/>
  <c r="I391" i="11"/>
  <c r="H391" i="11"/>
  <c r="G391" i="11"/>
  <c r="F391" i="11"/>
  <c r="E391" i="11"/>
  <c r="C391" i="11"/>
  <c r="A391" i="11"/>
  <c r="J390" i="11"/>
  <c r="L390" i="11" s="1"/>
  <c r="I390" i="11"/>
  <c r="H390" i="11"/>
  <c r="G390" i="11"/>
  <c r="F390" i="11"/>
  <c r="E390" i="11"/>
  <c r="C390" i="11"/>
  <c r="A390" i="11"/>
  <c r="J389" i="11"/>
  <c r="L389" i="11" s="1"/>
  <c r="I389" i="11"/>
  <c r="H389" i="11"/>
  <c r="G389" i="11"/>
  <c r="F389" i="11"/>
  <c r="E389" i="11"/>
  <c r="C389" i="11"/>
  <c r="A389" i="11"/>
  <c r="J388" i="11"/>
  <c r="L388" i="11" s="1"/>
  <c r="I388" i="11"/>
  <c r="H388" i="11"/>
  <c r="G388" i="11"/>
  <c r="F388" i="11"/>
  <c r="E388" i="11"/>
  <c r="C388" i="11"/>
  <c r="A388" i="11"/>
  <c r="J387" i="11"/>
  <c r="L387" i="11" s="1"/>
  <c r="I387" i="11"/>
  <c r="H387" i="11"/>
  <c r="G387" i="11"/>
  <c r="F387" i="11"/>
  <c r="E387" i="11"/>
  <c r="C387" i="11"/>
  <c r="A387" i="11"/>
  <c r="L386" i="11"/>
  <c r="J386" i="11"/>
  <c r="I386" i="11"/>
  <c r="H386" i="11"/>
  <c r="G386" i="11"/>
  <c r="F386" i="11"/>
  <c r="E386" i="11"/>
  <c r="C386" i="11"/>
  <c r="A386" i="11"/>
  <c r="L385" i="11"/>
  <c r="J385" i="11"/>
  <c r="I385" i="11"/>
  <c r="H385" i="11"/>
  <c r="G385" i="11"/>
  <c r="F385" i="11"/>
  <c r="E385" i="11"/>
  <c r="C385" i="11"/>
  <c r="A385" i="11"/>
  <c r="L384" i="11"/>
  <c r="J384" i="11"/>
  <c r="I384" i="11"/>
  <c r="H384" i="11"/>
  <c r="G384" i="11"/>
  <c r="F384" i="11"/>
  <c r="E384" i="11"/>
  <c r="C384" i="11"/>
  <c r="A384" i="11"/>
  <c r="J383" i="11"/>
  <c r="L383" i="11" s="1"/>
  <c r="I383" i="11"/>
  <c r="H383" i="11"/>
  <c r="G383" i="11"/>
  <c r="F383" i="11"/>
  <c r="E383" i="11"/>
  <c r="C383" i="11"/>
  <c r="A383" i="11"/>
  <c r="J382" i="11"/>
  <c r="L382" i="11" s="1"/>
  <c r="I382" i="11"/>
  <c r="H382" i="11"/>
  <c r="G382" i="11"/>
  <c r="F382" i="11"/>
  <c r="E382" i="11"/>
  <c r="C382" i="11"/>
  <c r="A382" i="11"/>
  <c r="L381" i="11"/>
  <c r="J381" i="11"/>
  <c r="I381" i="11"/>
  <c r="H381" i="11"/>
  <c r="G381" i="11"/>
  <c r="F381" i="11"/>
  <c r="E381" i="11"/>
  <c r="C381" i="11"/>
  <c r="A381" i="11"/>
  <c r="L380" i="11"/>
  <c r="J380" i="11"/>
  <c r="I380" i="11"/>
  <c r="H380" i="11"/>
  <c r="G380" i="11"/>
  <c r="F380" i="11"/>
  <c r="E380" i="11"/>
  <c r="C380" i="11"/>
  <c r="A380" i="11"/>
  <c r="J379" i="11"/>
  <c r="L379" i="11" s="1"/>
  <c r="I379" i="11"/>
  <c r="H379" i="11"/>
  <c r="G379" i="11"/>
  <c r="F379" i="11"/>
  <c r="E379" i="11"/>
  <c r="C379" i="11"/>
  <c r="A379" i="11"/>
  <c r="J378" i="11"/>
  <c r="L378" i="11" s="1"/>
  <c r="I378" i="11"/>
  <c r="H378" i="11"/>
  <c r="G378" i="11"/>
  <c r="F378" i="11"/>
  <c r="E378" i="11"/>
  <c r="C378" i="11"/>
  <c r="A378" i="11"/>
  <c r="L377" i="11"/>
  <c r="J377" i="11"/>
  <c r="I377" i="11"/>
  <c r="H377" i="11"/>
  <c r="G377" i="11"/>
  <c r="F377" i="11"/>
  <c r="E377" i="11"/>
  <c r="C377" i="11"/>
  <c r="A377" i="11"/>
  <c r="L376" i="11"/>
  <c r="J376" i="11"/>
  <c r="I376" i="11"/>
  <c r="H376" i="11"/>
  <c r="G376" i="11"/>
  <c r="F376" i="11"/>
  <c r="E376" i="11"/>
  <c r="C376" i="11"/>
  <c r="A376" i="11"/>
  <c r="J375" i="11"/>
  <c r="L375" i="11" s="1"/>
  <c r="I375" i="11"/>
  <c r="H375" i="11"/>
  <c r="G375" i="11"/>
  <c r="F375" i="11"/>
  <c r="E375" i="11"/>
  <c r="C375" i="11"/>
  <c r="A375" i="11"/>
  <c r="J374" i="11"/>
  <c r="L374" i="11" s="1"/>
  <c r="I374" i="11"/>
  <c r="H374" i="11"/>
  <c r="G374" i="11"/>
  <c r="F374" i="11"/>
  <c r="E374" i="11"/>
  <c r="C374" i="11"/>
  <c r="A374" i="11"/>
  <c r="L373" i="11"/>
  <c r="J373" i="11"/>
  <c r="I373" i="11"/>
  <c r="H373" i="11"/>
  <c r="G373" i="11"/>
  <c r="F373" i="11"/>
  <c r="E373" i="11"/>
  <c r="C373" i="11"/>
  <c r="A373" i="11"/>
  <c r="L372" i="11"/>
  <c r="J372" i="11"/>
  <c r="I372" i="11"/>
  <c r="H372" i="11"/>
  <c r="G372" i="11"/>
  <c r="F372" i="11"/>
  <c r="E372" i="11"/>
  <c r="C372" i="11"/>
  <c r="A372" i="11"/>
  <c r="J371" i="11"/>
  <c r="L371" i="11" s="1"/>
  <c r="I371" i="11"/>
  <c r="H371" i="11"/>
  <c r="G371" i="11"/>
  <c r="F371" i="11"/>
  <c r="E371" i="11"/>
  <c r="C371" i="11"/>
  <c r="A371" i="11"/>
  <c r="J370" i="11"/>
  <c r="L370" i="11" s="1"/>
  <c r="I370" i="11"/>
  <c r="H370" i="11"/>
  <c r="G370" i="11"/>
  <c r="F370" i="11"/>
  <c r="E370" i="11"/>
  <c r="C370" i="11"/>
  <c r="A370" i="11"/>
  <c r="L369" i="11"/>
  <c r="J369" i="11"/>
  <c r="I369" i="11"/>
  <c r="H369" i="11"/>
  <c r="G369" i="11"/>
  <c r="F369" i="11"/>
  <c r="E369" i="11"/>
  <c r="C369" i="11"/>
  <c r="A369" i="11"/>
  <c r="L368" i="11"/>
  <c r="D59" i="8" s="1"/>
  <c r="J368" i="11"/>
  <c r="I368" i="11"/>
  <c r="H368" i="11"/>
  <c r="G368" i="11"/>
  <c r="F368" i="11"/>
  <c r="E368" i="11"/>
  <c r="C368" i="11"/>
  <c r="A368" i="11"/>
  <c r="J367" i="11"/>
  <c r="L367" i="11" s="1"/>
  <c r="I367" i="11"/>
  <c r="H367" i="11"/>
  <c r="G367" i="11"/>
  <c r="F367" i="11"/>
  <c r="E367" i="11"/>
  <c r="C367" i="11"/>
  <c r="A367" i="11"/>
  <c r="J366" i="11"/>
  <c r="L366" i="11" s="1"/>
  <c r="I366" i="11"/>
  <c r="H366" i="11"/>
  <c r="G366" i="11"/>
  <c r="F366" i="11"/>
  <c r="E366" i="11"/>
  <c r="C366" i="11"/>
  <c r="A366" i="11"/>
  <c r="L365" i="11"/>
  <c r="J365" i="11"/>
  <c r="I365" i="11"/>
  <c r="H365" i="11"/>
  <c r="G365" i="11"/>
  <c r="F365" i="11"/>
  <c r="E365" i="11"/>
  <c r="C365" i="11"/>
  <c r="A365" i="11"/>
  <c r="L364" i="11"/>
  <c r="J364" i="11"/>
  <c r="I364" i="11"/>
  <c r="H364" i="11"/>
  <c r="G364" i="11"/>
  <c r="F364" i="11"/>
  <c r="E364" i="11"/>
  <c r="C364" i="11"/>
  <c r="A364" i="11"/>
  <c r="J363" i="11"/>
  <c r="L363" i="11" s="1"/>
  <c r="I363" i="11"/>
  <c r="H363" i="11"/>
  <c r="G363" i="11"/>
  <c r="F363" i="11"/>
  <c r="E363" i="11"/>
  <c r="C363" i="11"/>
  <c r="A363" i="11"/>
  <c r="J362" i="11"/>
  <c r="L362" i="11" s="1"/>
  <c r="I362" i="11"/>
  <c r="H362" i="11"/>
  <c r="G362" i="11"/>
  <c r="F362" i="11"/>
  <c r="E362" i="11"/>
  <c r="C362" i="11"/>
  <c r="A362" i="11"/>
  <c r="L361" i="11"/>
  <c r="J361" i="11"/>
  <c r="I361" i="11"/>
  <c r="H361" i="11"/>
  <c r="G361" i="11"/>
  <c r="F361" i="11"/>
  <c r="E361" i="11"/>
  <c r="C361" i="11"/>
  <c r="A361" i="11"/>
  <c r="L360" i="11"/>
  <c r="J360" i="11"/>
  <c r="I360" i="11"/>
  <c r="H360" i="11"/>
  <c r="G360" i="11"/>
  <c r="F360" i="11"/>
  <c r="E360" i="11"/>
  <c r="C360" i="11"/>
  <c r="A360" i="11"/>
  <c r="J359" i="11"/>
  <c r="L359" i="11" s="1"/>
  <c r="I359" i="11"/>
  <c r="H359" i="11"/>
  <c r="G359" i="11"/>
  <c r="F359" i="11"/>
  <c r="E359" i="11"/>
  <c r="C359" i="11"/>
  <c r="A359" i="11"/>
  <c r="J358" i="11"/>
  <c r="L358" i="11" s="1"/>
  <c r="I358" i="11"/>
  <c r="H358" i="11"/>
  <c r="G358" i="11"/>
  <c r="F358" i="11"/>
  <c r="E358" i="11"/>
  <c r="C358" i="11"/>
  <c r="A358" i="11"/>
  <c r="L357" i="11"/>
  <c r="J357" i="11"/>
  <c r="I357" i="11"/>
  <c r="H357" i="11"/>
  <c r="G357" i="11"/>
  <c r="F357" i="11"/>
  <c r="E357" i="11"/>
  <c r="C357" i="11"/>
  <c r="A357" i="11"/>
  <c r="L356" i="11"/>
  <c r="J356" i="11"/>
  <c r="I356" i="11"/>
  <c r="H356" i="11"/>
  <c r="G356" i="11"/>
  <c r="F356" i="11"/>
  <c r="E356" i="11"/>
  <c r="C356" i="11"/>
  <c r="A356" i="11"/>
  <c r="J355" i="11"/>
  <c r="L355" i="11" s="1"/>
  <c r="I355" i="11"/>
  <c r="H355" i="11"/>
  <c r="G355" i="11"/>
  <c r="F355" i="11"/>
  <c r="E355" i="11"/>
  <c r="C355" i="11"/>
  <c r="A355" i="11"/>
  <c r="J354" i="11"/>
  <c r="L354" i="11" s="1"/>
  <c r="I354" i="11"/>
  <c r="H354" i="11"/>
  <c r="G354" i="11"/>
  <c r="F354" i="11"/>
  <c r="E354" i="11"/>
  <c r="C354" i="11"/>
  <c r="A354" i="11"/>
  <c r="L353" i="11"/>
  <c r="J353" i="11"/>
  <c r="I353" i="11"/>
  <c r="H353" i="11"/>
  <c r="G353" i="11"/>
  <c r="F353" i="11"/>
  <c r="E353" i="11"/>
  <c r="C353" i="11"/>
  <c r="A353" i="11"/>
  <c r="L352" i="11"/>
  <c r="J352" i="11"/>
  <c r="I352" i="11"/>
  <c r="H352" i="11"/>
  <c r="G352" i="11"/>
  <c r="F352" i="11"/>
  <c r="E352" i="11"/>
  <c r="C352" i="11"/>
  <c r="A352" i="11"/>
  <c r="J351" i="11"/>
  <c r="L351" i="11" s="1"/>
  <c r="I351" i="11"/>
  <c r="H351" i="11"/>
  <c r="G351" i="11"/>
  <c r="F351" i="11"/>
  <c r="E351" i="11"/>
  <c r="C351" i="11"/>
  <c r="A351" i="11"/>
  <c r="J350" i="11"/>
  <c r="L350" i="11" s="1"/>
  <c r="I350" i="11"/>
  <c r="H350" i="11"/>
  <c r="G350" i="11"/>
  <c r="F350" i="11"/>
  <c r="E350" i="11"/>
  <c r="C350" i="11"/>
  <c r="A350" i="11"/>
  <c r="L349" i="11"/>
  <c r="J349" i="11"/>
  <c r="I349" i="11"/>
  <c r="H349" i="11"/>
  <c r="G349" i="11"/>
  <c r="F349" i="11"/>
  <c r="E349" i="11"/>
  <c r="C349" i="11"/>
  <c r="A349" i="11"/>
  <c r="L348" i="11"/>
  <c r="J348" i="11"/>
  <c r="I348" i="11"/>
  <c r="H348" i="11"/>
  <c r="G348" i="11"/>
  <c r="F348" i="11"/>
  <c r="E348" i="11"/>
  <c r="C348" i="11"/>
  <c r="A348" i="11"/>
  <c r="J347" i="11"/>
  <c r="L347" i="11" s="1"/>
  <c r="I347" i="11"/>
  <c r="H347" i="11"/>
  <c r="G347" i="11"/>
  <c r="F347" i="11"/>
  <c r="E347" i="11"/>
  <c r="C347" i="11"/>
  <c r="A347" i="11"/>
  <c r="J346" i="11"/>
  <c r="L346" i="11" s="1"/>
  <c r="I346" i="11"/>
  <c r="H346" i="11"/>
  <c r="G346" i="11"/>
  <c r="F346" i="11"/>
  <c r="E346" i="11"/>
  <c r="C346" i="11"/>
  <c r="A346" i="11"/>
  <c r="L345" i="11"/>
  <c r="J345" i="11"/>
  <c r="I345" i="11"/>
  <c r="H345" i="11"/>
  <c r="G345" i="11"/>
  <c r="F345" i="11"/>
  <c r="E345" i="11"/>
  <c r="C345" i="11"/>
  <c r="A345" i="11"/>
  <c r="L344" i="11"/>
  <c r="J344" i="11"/>
  <c r="I344" i="11"/>
  <c r="H344" i="11"/>
  <c r="G344" i="11"/>
  <c r="F344" i="11"/>
  <c r="E344" i="11"/>
  <c r="C344" i="11"/>
  <c r="A344" i="11"/>
  <c r="J343" i="11"/>
  <c r="L343" i="11" s="1"/>
  <c r="I343" i="11"/>
  <c r="H343" i="11"/>
  <c r="G343" i="11"/>
  <c r="F343" i="11"/>
  <c r="E343" i="11"/>
  <c r="C343" i="11"/>
  <c r="A343" i="11"/>
  <c r="J342" i="11"/>
  <c r="L342" i="11" s="1"/>
  <c r="I342" i="11"/>
  <c r="H342" i="11"/>
  <c r="G342" i="11"/>
  <c r="F342" i="11"/>
  <c r="E342" i="11"/>
  <c r="C342" i="11"/>
  <c r="A342" i="11"/>
  <c r="L341" i="11"/>
  <c r="J341" i="11"/>
  <c r="I341" i="11"/>
  <c r="H341" i="11"/>
  <c r="G341" i="11"/>
  <c r="F341" i="11"/>
  <c r="E341" i="11"/>
  <c r="C341" i="11"/>
  <c r="A341" i="11"/>
  <c r="L340" i="11"/>
  <c r="J340" i="11"/>
  <c r="I340" i="11"/>
  <c r="H340" i="11"/>
  <c r="G340" i="11"/>
  <c r="F340" i="11"/>
  <c r="E340" i="11"/>
  <c r="C340" i="11"/>
  <c r="A340" i="11"/>
  <c r="J339" i="11"/>
  <c r="L339" i="11" s="1"/>
  <c r="I339" i="11"/>
  <c r="H339" i="11"/>
  <c r="G339" i="11"/>
  <c r="F339" i="11"/>
  <c r="E339" i="11"/>
  <c r="C339" i="11"/>
  <c r="A339" i="11"/>
  <c r="J338" i="11"/>
  <c r="L338" i="11" s="1"/>
  <c r="I338" i="11"/>
  <c r="H338" i="11"/>
  <c r="G338" i="11"/>
  <c r="F338" i="11"/>
  <c r="E338" i="11"/>
  <c r="C338" i="11"/>
  <c r="A338" i="11"/>
  <c r="L337" i="11"/>
  <c r="J337" i="11"/>
  <c r="I337" i="11"/>
  <c r="H337" i="11"/>
  <c r="G337" i="11"/>
  <c r="F337" i="11"/>
  <c r="E337" i="11"/>
  <c r="C337" i="11"/>
  <c r="A337" i="11"/>
  <c r="L336" i="11"/>
  <c r="J336" i="11"/>
  <c r="I336" i="11"/>
  <c r="H336" i="11"/>
  <c r="G336" i="11"/>
  <c r="F336" i="11"/>
  <c r="E336" i="11"/>
  <c r="C336" i="11"/>
  <c r="A336" i="11"/>
  <c r="J335" i="11"/>
  <c r="L335" i="11" s="1"/>
  <c r="I335" i="11"/>
  <c r="H335" i="11"/>
  <c r="G335" i="11"/>
  <c r="F335" i="11"/>
  <c r="E335" i="11"/>
  <c r="C335" i="11"/>
  <c r="A335" i="11"/>
  <c r="J334" i="11"/>
  <c r="L334" i="11" s="1"/>
  <c r="I334" i="11"/>
  <c r="H334" i="11"/>
  <c r="G334" i="11"/>
  <c r="F334" i="11"/>
  <c r="E334" i="11"/>
  <c r="C334" i="11"/>
  <c r="A334" i="11"/>
  <c r="L333" i="11"/>
  <c r="J333" i="11"/>
  <c r="I333" i="11"/>
  <c r="H333" i="11"/>
  <c r="G333" i="11"/>
  <c r="F333" i="11"/>
  <c r="E333" i="11"/>
  <c r="C333" i="11"/>
  <c r="A333" i="11"/>
  <c r="L332" i="11"/>
  <c r="J332" i="11"/>
  <c r="I332" i="11"/>
  <c r="H332" i="11"/>
  <c r="G332" i="11"/>
  <c r="F332" i="11"/>
  <c r="E332" i="11"/>
  <c r="C332" i="11"/>
  <c r="A332" i="11"/>
  <c r="J331" i="11"/>
  <c r="L331" i="11" s="1"/>
  <c r="I331" i="11"/>
  <c r="H331" i="11"/>
  <c r="G331" i="11"/>
  <c r="F331" i="11"/>
  <c r="E331" i="11"/>
  <c r="C331" i="11"/>
  <c r="A331" i="11"/>
  <c r="J330" i="11"/>
  <c r="L330" i="11" s="1"/>
  <c r="I330" i="11"/>
  <c r="H330" i="11"/>
  <c r="G330" i="11"/>
  <c r="F330" i="11"/>
  <c r="E330" i="11"/>
  <c r="C330" i="11"/>
  <c r="A330" i="11"/>
  <c r="L329" i="11"/>
  <c r="J329" i="11"/>
  <c r="I329" i="11"/>
  <c r="H329" i="11"/>
  <c r="G329" i="11"/>
  <c r="F329" i="11"/>
  <c r="E329" i="11"/>
  <c r="C329" i="11"/>
  <c r="A329" i="11"/>
  <c r="K328" i="11"/>
  <c r="J328" i="11"/>
  <c r="I328" i="11"/>
  <c r="H328" i="11"/>
  <c r="G328" i="11"/>
  <c r="F328" i="11"/>
  <c r="E328" i="11"/>
  <c r="K327" i="11"/>
  <c r="L327" i="11" s="1"/>
  <c r="J327" i="11"/>
  <c r="I327" i="11"/>
  <c r="H327" i="11"/>
  <c r="G327" i="11"/>
  <c r="F327" i="11"/>
  <c r="E327" i="11"/>
  <c r="K326" i="11"/>
  <c r="L326" i="11" s="1"/>
  <c r="J326" i="11"/>
  <c r="I326" i="11"/>
  <c r="H326" i="11"/>
  <c r="G326" i="11"/>
  <c r="F326" i="11"/>
  <c r="E326" i="11"/>
  <c r="K325" i="11"/>
  <c r="L325" i="11" s="1"/>
  <c r="J325" i="11"/>
  <c r="I325" i="11"/>
  <c r="H325" i="11"/>
  <c r="G325" i="11"/>
  <c r="F325" i="11"/>
  <c r="E325" i="11"/>
  <c r="K324" i="11"/>
  <c r="L324" i="11" s="1"/>
  <c r="J324" i="11"/>
  <c r="I324" i="11"/>
  <c r="H324" i="11"/>
  <c r="G324" i="11"/>
  <c r="F324" i="11"/>
  <c r="E324" i="11"/>
  <c r="K323" i="11"/>
  <c r="L323" i="11" s="1"/>
  <c r="M323" i="11" s="1"/>
  <c r="J323" i="11"/>
  <c r="I323" i="11"/>
  <c r="H323" i="11"/>
  <c r="G323" i="11"/>
  <c r="F323" i="11"/>
  <c r="E323" i="11"/>
  <c r="K322" i="11"/>
  <c r="L322" i="11" s="1"/>
  <c r="J322" i="11"/>
  <c r="I322" i="11"/>
  <c r="H322" i="11"/>
  <c r="G322" i="11"/>
  <c r="F322" i="11"/>
  <c r="E322" i="11"/>
  <c r="K321" i="11"/>
  <c r="L321" i="11" s="1"/>
  <c r="J321" i="11"/>
  <c r="I321" i="11"/>
  <c r="H321" i="11"/>
  <c r="G321" i="11"/>
  <c r="F321" i="11"/>
  <c r="E321" i="11"/>
  <c r="K320" i="11"/>
  <c r="J320" i="11"/>
  <c r="I320" i="11"/>
  <c r="H320" i="11"/>
  <c r="G320" i="11"/>
  <c r="F320" i="11"/>
  <c r="E320" i="11"/>
  <c r="K319" i="11"/>
  <c r="J319" i="11"/>
  <c r="I319" i="11"/>
  <c r="H319" i="11"/>
  <c r="G319" i="11"/>
  <c r="F319" i="11"/>
  <c r="E319" i="11"/>
  <c r="K318" i="11"/>
  <c r="L318" i="11" s="1"/>
  <c r="J318" i="11"/>
  <c r="I318" i="11"/>
  <c r="H318" i="11"/>
  <c r="G318" i="11"/>
  <c r="F318" i="11"/>
  <c r="E318" i="11"/>
  <c r="K317" i="11"/>
  <c r="J317" i="11"/>
  <c r="I317" i="11"/>
  <c r="H317" i="11"/>
  <c r="G317" i="11"/>
  <c r="F317" i="11"/>
  <c r="E317" i="11"/>
  <c r="K316" i="11"/>
  <c r="L316" i="11" s="1"/>
  <c r="J316" i="11"/>
  <c r="I316" i="11"/>
  <c r="H316" i="11"/>
  <c r="G316" i="11"/>
  <c r="F316" i="11"/>
  <c r="E316" i="11"/>
  <c r="K315" i="11"/>
  <c r="L315" i="11" s="1"/>
  <c r="J315" i="11"/>
  <c r="I315" i="11"/>
  <c r="H315" i="11"/>
  <c r="G315" i="11"/>
  <c r="F315" i="11"/>
  <c r="E315" i="11"/>
  <c r="K314" i="11"/>
  <c r="L314" i="11" s="1"/>
  <c r="J314" i="11"/>
  <c r="I314" i="11"/>
  <c r="H314" i="11"/>
  <c r="G314" i="11"/>
  <c r="F314" i="11"/>
  <c r="E314" i="11"/>
  <c r="K313" i="11"/>
  <c r="L313" i="11" s="1"/>
  <c r="J313" i="11"/>
  <c r="I313" i="11"/>
  <c r="H313" i="11"/>
  <c r="G313" i="11"/>
  <c r="F313" i="11"/>
  <c r="E313" i="11"/>
  <c r="K312" i="11"/>
  <c r="J312" i="11"/>
  <c r="I312" i="11"/>
  <c r="H312" i="11"/>
  <c r="G312" i="11"/>
  <c r="F312" i="11"/>
  <c r="E312" i="11"/>
  <c r="K311" i="11"/>
  <c r="J311" i="11"/>
  <c r="I311" i="11"/>
  <c r="H311" i="11"/>
  <c r="G311" i="11"/>
  <c r="F311" i="11"/>
  <c r="E311" i="11"/>
  <c r="K310" i="11"/>
  <c r="J310" i="11"/>
  <c r="I310" i="11"/>
  <c r="H310" i="11"/>
  <c r="G310" i="11"/>
  <c r="F310" i="11"/>
  <c r="E310" i="11"/>
  <c r="K309" i="11"/>
  <c r="L309" i="11" s="1"/>
  <c r="M309" i="11" s="1"/>
  <c r="J309" i="11"/>
  <c r="I309" i="11"/>
  <c r="H309" i="11"/>
  <c r="G309" i="11"/>
  <c r="F309" i="11"/>
  <c r="E309" i="11"/>
  <c r="K308" i="11"/>
  <c r="L308" i="11" s="1"/>
  <c r="J308" i="11"/>
  <c r="I308" i="11"/>
  <c r="H308" i="11"/>
  <c r="G308" i="11"/>
  <c r="F308" i="11"/>
  <c r="E308" i="11"/>
  <c r="K307" i="11"/>
  <c r="L307" i="11" s="1"/>
  <c r="J307" i="11"/>
  <c r="I307" i="11"/>
  <c r="H307" i="11"/>
  <c r="G307" i="11"/>
  <c r="F307" i="11"/>
  <c r="E307" i="11"/>
  <c r="K306" i="11"/>
  <c r="L306" i="11" s="1"/>
  <c r="J306" i="11"/>
  <c r="I306" i="11"/>
  <c r="H306" i="11"/>
  <c r="G306" i="11"/>
  <c r="F306" i="11"/>
  <c r="E306" i="11"/>
  <c r="K305" i="11"/>
  <c r="L305" i="11" s="1"/>
  <c r="J305" i="11"/>
  <c r="I305" i="11"/>
  <c r="H305" i="11"/>
  <c r="G305" i="11"/>
  <c r="F305" i="11"/>
  <c r="E305" i="11"/>
  <c r="K304" i="11"/>
  <c r="J304" i="11"/>
  <c r="I304" i="11"/>
  <c r="H304" i="11"/>
  <c r="G304" i="11"/>
  <c r="F304" i="11"/>
  <c r="E304" i="11"/>
  <c r="K303" i="11"/>
  <c r="J303" i="11"/>
  <c r="I303" i="11"/>
  <c r="H303" i="11"/>
  <c r="G303" i="11"/>
  <c r="F303" i="11"/>
  <c r="E303" i="11"/>
  <c r="K302" i="11"/>
  <c r="L302" i="11" s="1"/>
  <c r="J302" i="11"/>
  <c r="I302" i="11"/>
  <c r="H302" i="11"/>
  <c r="G302" i="11"/>
  <c r="F302" i="11"/>
  <c r="E302" i="11"/>
  <c r="K301" i="11"/>
  <c r="J301" i="11"/>
  <c r="I301" i="11"/>
  <c r="H301" i="11"/>
  <c r="G301" i="11"/>
  <c r="F301" i="11"/>
  <c r="E301" i="11"/>
  <c r="K300" i="11"/>
  <c r="L300" i="11" s="1"/>
  <c r="M300" i="11" s="1"/>
  <c r="J300" i="11"/>
  <c r="I300" i="11"/>
  <c r="H300" i="11"/>
  <c r="G300" i="11"/>
  <c r="F300" i="11"/>
  <c r="E300" i="11"/>
  <c r="K299" i="11"/>
  <c r="L299" i="11" s="1"/>
  <c r="J299" i="11"/>
  <c r="I299" i="11"/>
  <c r="H299" i="11"/>
  <c r="G299" i="11"/>
  <c r="F299" i="11"/>
  <c r="E299" i="11"/>
  <c r="K298" i="11"/>
  <c r="L298" i="11" s="1"/>
  <c r="J298" i="11"/>
  <c r="I298" i="11"/>
  <c r="H298" i="11"/>
  <c r="G298" i="11"/>
  <c r="F298" i="11"/>
  <c r="E298" i="11"/>
  <c r="K297" i="11"/>
  <c r="L297" i="11" s="1"/>
  <c r="J297" i="11"/>
  <c r="I297" i="11"/>
  <c r="H297" i="11"/>
  <c r="G297" i="11"/>
  <c r="F297" i="11"/>
  <c r="E297" i="11"/>
  <c r="K296" i="11"/>
  <c r="J296" i="11"/>
  <c r="I296" i="11"/>
  <c r="H296" i="11"/>
  <c r="G296" i="11"/>
  <c r="F296" i="11"/>
  <c r="E296" i="11"/>
  <c r="K295" i="11"/>
  <c r="J295" i="11"/>
  <c r="I295" i="11"/>
  <c r="H295" i="11"/>
  <c r="G295" i="11"/>
  <c r="F295" i="11"/>
  <c r="E295" i="11"/>
  <c r="K294" i="11"/>
  <c r="J294" i="11"/>
  <c r="I294" i="11"/>
  <c r="H294" i="11"/>
  <c r="G294" i="11"/>
  <c r="F294" i="11"/>
  <c r="E294" i="11"/>
  <c r="K293" i="11"/>
  <c r="J293" i="11"/>
  <c r="I293" i="11"/>
  <c r="H293" i="11"/>
  <c r="G293" i="11"/>
  <c r="F293" i="11"/>
  <c r="E293" i="11"/>
  <c r="K292" i="11"/>
  <c r="L292" i="11" s="1"/>
  <c r="J292" i="11"/>
  <c r="I292" i="11"/>
  <c r="H292" i="11"/>
  <c r="G292" i="11"/>
  <c r="F292" i="11"/>
  <c r="E292" i="11"/>
  <c r="K291" i="11"/>
  <c r="L291" i="11" s="1"/>
  <c r="J291" i="11"/>
  <c r="I291" i="11"/>
  <c r="H291" i="11"/>
  <c r="G291" i="11"/>
  <c r="F291" i="11"/>
  <c r="E291" i="11"/>
  <c r="K290" i="11"/>
  <c r="L290" i="11" s="1"/>
  <c r="J290" i="11"/>
  <c r="I290" i="11"/>
  <c r="H290" i="11"/>
  <c r="G290" i="11"/>
  <c r="F290" i="11"/>
  <c r="E290" i="11"/>
  <c r="K289" i="11"/>
  <c r="L289" i="11" s="1"/>
  <c r="J289" i="11"/>
  <c r="I289" i="11"/>
  <c r="H289" i="11"/>
  <c r="G289" i="11"/>
  <c r="F289" i="11"/>
  <c r="E289" i="11"/>
  <c r="K288" i="11"/>
  <c r="J288" i="11"/>
  <c r="I288" i="11"/>
  <c r="H288" i="11"/>
  <c r="G288" i="11"/>
  <c r="F288" i="11"/>
  <c r="E288" i="11"/>
  <c r="K287" i="11"/>
  <c r="J287" i="11"/>
  <c r="I287" i="11"/>
  <c r="H287" i="11"/>
  <c r="G287" i="11"/>
  <c r="F287" i="11"/>
  <c r="E287" i="11"/>
  <c r="K286" i="11"/>
  <c r="J286" i="11"/>
  <c r="I286" i="11"/>
  <c r="H286" i="11"/>
  <c r="G286" i="11"/>
  <c r="F286" i="11"/>
  <c r="E286" i="11"/>
  <c r="K285" i="11"/>
  <c r="J285" i="11"/>
  <c r="I285" i="11"/>
  <c r="H285" i="11"/>
  <c r="G285" i="11"/>
  <c r="F285" i="11"/>
  <c r="E285" i="11"/>
  <c r="K284" i="11"/>
  <c r="L284" i="11" s="1"/>
  <c r="J284" i="11"/>
  <c r="I284" i="11"/>
  <c r="H284" i="11"/>
  <c r="G284" i="11"/>
  <c r="F284" i="11"/>
  <c r="E284" i="11"/>
  <c r="K283" i="11"/>
  <c r="L283" i="11" s="1"/>
  <c r="J283" i="11"/>
  <c r="I283" i="11"/>
  <c r="H283" i="11"/>
  <c r="G283" i="11"/>
  <c r="F283" i="11"/>
  <c r="E283" i="11"/>
  <c r="K282" i="11"/>
  <c r="L282" i="11" s="1"/>
  <c r="J282" i="11"/>
  <c r="I282" i="11"/>
  <c r="H282" i="11"/>
  <c r="G282" i="11"/>
  <c r="F282" i="11"/>
  <c r="E282" i="11"/>
  <c r="K281" i="11"/>
  <c r="L281" i="11" s="1"/>
  <c r="J281" i="11"/>
  <c r="I281" i="11"/>
  <c r="H281" i="11"/>
  <c r="G281" i="11"/>
  <c r="F281" i="11"/>
  <c r="E281" i="11"/>
  <c r="K280" i="11"/>
  <c r="J280" i="11"/>
  <c r="L280" i="11" s="1"/>
  <c r="I280" i="11"/>
  <c r="H280" i="11"/>
  <c r="G280" i="11"/>
  <c r="F280" i="11"/>
  <c r="E280" i="11"/>
  <c r="K279" i="11"/>
  <c r="J279" i="11"/>
  <c r="I279" i="11"/>
  <c r="H279" i="11"/>
  <c r="G279" i="11"/>
  <c r="F279" i="11"/>
  <c r="E279" i="11"/>
  <c r="K278" i="11"/>
  <c r="J278" i="11"/>
  <c r="I278" i="11"/>
  <c r="H278" i="11"/>
  <c r="G278" i="11"/>
  <c r="F278" i="11"/>
  <c r="E278" i="11"/>
  <c r="K277" i="11"/>
  <c r="L277" i="11" s="1"/>
  <c r="M277" i="11" s="1"/>
  <c r="J277" i="11"/>
  <c r="I277" i="11"/>
  <c r="H277" i="11"/>
  <c r="G277" i="11"/>
  <c r="F277" i="11"/>
  <c r="E277" i="11"/>
  <c r="K276" i="11"/>
  <c r="L276" i="11" s="1"/>
  <c r="J276" i="11"/>
  <c r="I276" i="11"/>
  <c r="H276" i="11"/>
  <c r="G276" i="11"/>
  <c r="F276" i="11"/>
  <c r="E276" i="11"/>
  <c r="K275" i="11"/>
  <c r="L275" i="11" s="1"/>
  <c r="J275" i="11"/>
  <c r="I275" i="11"/>
  <c r="H275" i="11"/>
  <c r="G275" i="11"/>
  <c r="F275" i="11"/>
  <c r="E275" i="11"/>
  <c r="K274" i="11"/>
  <c r="L274" i="11" s="1"/>
  <c r="J274" i="11"/>
  <c r="I274" i="11"/>
  <c r="H274" i="11"/>
  <c r="G274" i="11"/>
  <c r="F274" i="11"/>
  <c r="E274" i="11"/>
  <c r="K273" i="11"/>
  <c r="L273" i="11" s="1"/>
  <c r="J273" i="11"/>
  <c r="I273" i="11"/>
  <c r="H273" i="11"/>
  <c r="G273" i="11"/>
  <c r="F273" i="11"/>
  <c r="E273" i="11"/>
  <c r="K272" i="11"/>
  <c r="J272" i="11"/>
  <c r="I272" i="11"/>
  <c r="H272" i="11"/>
  <c r="G272" i="11"/>
  <c r="F272" i="11"/>
  <c r="E272" i="11"/>
  <c r="K271" i="11"/>
  <c r="J271" i="11"/>
  <c r="I271" i="11"/>
  <c r="H271" i="11"/>
  <c r="G271" i="11"/>
  <c r="F271" i="11"/>
  <c r="E271" i="11"/>
  <c r="K270" i="11"/>
  <c r="L270" i="11" s="1"/>
  <c r="J270" i="11"/>
  <c r="I270" i="11"/>
  <c r="H270" i="11"/>
  <c r="G270" i="11"/>
  <c r="F270" i="11"/>
  <c r="E270" i="11"/>
  <c r="K269" i="11"/>
  <c r="L269" i="11" s="1"/>
  <c r="J269" i="11"/>
  <c r="I269" i="11"/>
  <c r="H269" i="11"/>
  <c r="G269" i="11"/>
  <c r="F269" i="11"/>
  <c r="E269" i="11"/>
  <c r="K268" i="11"/>
  <c r="L268" i="11" s="1"/>
  <c r="J268" i="11"/>
  <c r="I268" i="11"/>
  <c r="H268" i="11"/>
  <c r="G268" i="11"/>
  <c r="F268" i="11"/>
  <c r="E268" i="11"/>
  <c r="K267" i="11"/>
  <c r="L267" i="11" s="1"/>
  <c r="J267" i="11"/>
  <c r="I267" i="11"/>
  <c r="H267" i="11"/>
  <c r="G267" i="11"/>
  <c r="F267" i="11"/>
  <c r="E267" i="11"/>
  <c r="K266" i="11"/>
  <c r="L266" i="11" s="1"/>
  <c r="J266" i="11"/>
  <c r="I266" i="11"/>
  <c r="H266" i="11"/>
  <c r="G266" i="11"/>
  <c r="F266" i="11"/>
  <c r="E266" i="11"/>
  <c r="K265" i="11"/>
  <c r="L265" i="11" s="1"/>
  <c r="J265" i="11"/>
  <c r="I265" i="11"/>
  <c r="H265" i="11"/>
  <c r="G265" i="11"/>
  <c r="F265" i="11"/>
  <c r="E265" i="11"/>
  <c r="K264" i="11"/>
  <c r="J264" i="11"/>
  <c r="L264" i="11" s="1"/>
  <c r="I264" i="11"/>
  <c r="H264" i="11"/>
  <c r="G264" i="11"/>
  <c r="F264" i="11"/>
  <c r="E264" i="11"/>
  <c r="K263" i="11"/>
  <c r="J263" i="11"/>
  <c r="I263" i="11"/>
  <c r="H263" i="11"/>
  <c r="G263" i="11"/>
  <c r="F263" i="11"/>
  <c r="E263" i="11"/>
  <c r="K262" i="11"/>
  <c r="L262" i="11" s="1"/>
  <c r="J262" i="11"/>
  <c r="I262" i="11"/>
  <c r="H262" i="11"/>
  <c r="G262" i="11"/>
  <c r="F262" i="11"/>
  <c r="E262" i="11"/>
  <c r="K261" i="11"/>
  <c r="J261" i="11"/>
  <c r="I261" i="11"/>
  <c r="H261" i="11"/>
  <c r="G261" i="11"/>
  <c r="F261" i="11"/>
  <c r="E261" i="11"/>
  <c r="K260" i="11"/>
  <c r="L260" i="11" s="1"/>
  <c r="M260" i="11" s="1"/>
  <c r="J260" i="11"/>
  <c r="I260" i="11"/>
  <c r="H260" i="11"/>
  <c r="G260" i="11"/>
  <c r="F260" i="11"/>
  <c r="E260" i="11"/>
  <c r="K259" i="11"/>
  <c r="L259" i="11" s="1"/>
  <c r="J259" i="11"/>
  <c r="I259" i="11"/>
  <c r="H259" i="11"/>
  <c r="G259" i="11"/>
  <c r="F259" i="11"/>
  <c r="E259" i="11"/>
  <c r="K258" i="11"/>
  <c r="L258" i="11" s="1"/>
  <c r="J258" i="11"/>
  <c r="I258" i="11"/>
  <c r="H258" i="11"/>
  <c r="G258" i="11"/>
  <c r="F258" i="11"/>
  <c r="E258" i="11"/>
  <c r="K257" i="11"/>
  <c r="L257" i="11" s="1"/>
  <c r="J257" i="11"/>
  <c r="I257" i="11"/>
  <c r="H257" i="11"/>
  <c r="G257" i="11"/>
  <c r="F257" i="11"/>
  <c r="E257" i="11"/>
  <c r="K256" i="11"/>
  <c r="J256" i="11"/>
  <c r="I256" i="11"/>
  <c r="H256" i="11"/>
  <c r="G256" i="11"/>
  <c r="F256" i="11"/>
  <c r="E256" i="11"/>
  <c r="K255" i="11"/>
  <c r="J255" i="11"/>
  <c r="I255" i="11"/>
  <c r="H255" i="11"/>
  <c r="G255" i="11"/>
  <c r="F255" i="11"/>
  <c r="E255" i="11"/>
  <c r="K254" i="11"/>
  <c r="J254" i="11"/>
  <c r="I254" i="11"/>
  <c r="H254" i="11"/>
  <c r="G254" i="11"/>
  <c r="F254" i="11"/>
  <c r="E254" i="11"/>
  <c r="K253" i="11"/>
  <c r="J253" i="11"/>
  <c r="I253" i="11"/>
  <c r="H253" i="11"/>
  <c r="G253" i="11"/>
  <c r="F253" i="11"/>
  <c r="E253" i="11"/>
  <c r="K252" i="11"/>
  <c r="L252" i="11" s="1"/>
  <c r="J252" i="11"/>
  <c r="I252" i="11"/>
  <c r="H252" i="11"/>
  <c r="G252" i="11"/>
  <c r="F252" i="11"/>
  <c r="E252" i="11"/>
  <c r="K251" i="11"/>
  <c r="L251" i="11" s="1"/>
  <c r="J251" i="11"/>
  <c r="I251" i="11"/>
  <c r="H251" i="11"/>
  <c r="G251" i="11"/>
  <c r="F251" i="11"/>
  <c r="E251" i="11"/>
  <c r="K250" i="11"/>
  <c r="L250" i="11" s="1"/>
  <c r="J250" i="11"/>
  <c r="I250" i="11"/>
  <c r="H250" i="11"/>
  <c r="G250" i="11"/>
  <c r="F250" i="11"/>
  <c r="E250" i="11"/>
  <c r="K249" i="11"/>
  <c r="L249" i="11" s="1"/>
  <c r="J249" i="11"/>
  <c r="I249" i="11"/>
  <c r="H249" i="11"/>
  <c r="G249" i="11"/>
  <c r="F249" i="11"/>
  <c r="E249" i="11"/>
  <c r="K248" i="11"/>
  <c r="J248" i="11"/>
  <c r="I248" i="11"/>
  <c r="H248" i="11"/>
  <c r="G248" i="11"/>
  <c r="F248" i="11"/>
  <c r="E248" i="11"/>
  <c r="K247" i="11"/>
  <c r="J247" i="11"/>
  <c r="I247" i="11"/>
  <c r="H247" i="11"/>
  <c r="G247" i="11"/>
  <c r="F247" i="11"/>
  <c r="E247" i="11"/>
  <c r="K246" i="11"/>
  <c r="J246" i="11"/>
  <c r="I246" i="11"/>
  <c r="H246" i="11"/>
  <c r="G246" i="11"/>
  <c r="F246" i="11"/>
  <c r="E246" i="11"/>
  <c r="K245" i="11"/>
  <c r="J245" i="11"/>
  <c r="I245" i="11"/>
  <c r="H245" i="11"/>
  <c r="G245" i="11"/>
  <c r="F245" i="11"/>
  <c r="E245" i="11"/>
  <c r="K244" i="11"/>
  <c r="L244" i="11" s="1"/>
  <c r="J244" i="11"/>
  <c r="I244" i="11"/>
  <c r="H244" i="11"/>
  <c r="G244" i="11"/>
  <c r="F244" i="11"/>
  <c r="E244" i="11"/>
  <c r="K243" i="11"/>
  <c r="L243" i="11" s="1"/>
  <c r="J243" i="11"/>
  <c r="I243" i="11"/>
  <c r="H243" i="11"/>
  <c r="G243" i="11"/>
  <c r="F243" i="11"/>
  <c r="E243" i="11"/>
  <c r="K242" i="11"/>
  <c r="L242" i="11" s="1"/>
  <c r="J242" i="11"/>
  <c r="I242" i="11"/>
  <c r="H242" i="11"/>
  <c r="G242" i="11"/>
  <c r="F242" i="11"/>
  <c r="E242" i="11"/>
  <c r="K241" i="11"/>
  <c r="L241" i="11" s="1"/>
  <c r="J241" i="11"/>
  <c r="I241" i="11"/>
  <c r="H241" i="11"/>
  <c r="G241" i="11"/>
  <c r="F241" i="11"/>
  <c r="E241" i="11"/>
  <c r="K240" i="11"/>
  <c r="J240" i="11"/>
  <c r="I240" i="11"/>
  <c r="H240" i="11"/>
  <c r="G240" i="11"/>
  <c r="F240" i="11"/>
  <c r="E240" i="11"/>
  <c r="K239" i="11"/>
  <c r="J239" i="11"/>
  <c r="I239" i="11"/>
  <c r="H239" i="11"/>
  <c r="G239" i="11"/>
  <c r="F239" i="11"/>
  <c r="E239" i="11"/>
  <c r="K238" i="11"/>
  <c r="J238" i="11"/>
  <c r="I238" i="11"/>
  <c r="H238" i="11"/>
  <c r="G238" i="11"/>
  <c r="F238" i="11"/>
  <c r="E238" i="11"/>
  <c r="K237" i="11"/>
  <c r="L237" i="11" s="1"/>
  <c r="J237" i="11"/>
  <c r="I237" i="11"/>
  <c r="H237" i="11"/>
  <c r="G237" i="11"/>
  <c r="F237" i="11"/>
  <c r="E237" i="11"/>
  <c r="K236" i="11"/>
  <c r="L236" i="11" s="1"/>
  <c r="J236" i="11"/>
  <c r="I236" i="11"/>
  <c r="H236" i="11"/>
  <c r="G236" i="11"/>
  <c r="F236" i="11"/>
  <c r="E236" i="11"/>
  <c r="K235" i="11"/>
  <c r="L235" i="11" s="1"/>
  <c r="J235" i="11"/>
  <c r="I235" i="11"/>
  <c r="H235" i="11"/>
  <c r="G235" i="11"/>
  <c r="F235" i="11"/>
  <c r="E235" i="11"/>
  <c r="K234" i="11"/>
  <c r="L234" i="11" s="1"/>
  <c r="M234" i="11" s="1"/>
  <c r="J234" i="11"/>
  <c r="I234" i="11"/>
  <c r="H234" i="11"/>
  <c r="G234" i="11"/>
  <c r="F234" i="11"/>
  <c r="E234" i="11"/>
  <c r="K233" i="11"/>
  <c r="L233" i="11" s="1"/>
  <c r="J233" i="11"/>
  <c r="I233" i="11"/>
  <c r="H233" i="11"/>
  <c r="G233" i="11"/>
  <c r="F233" i="11"/>
  <c r="E233" i="11"/>
  <c r="K232" i="11"/>
  <c r="J232" i="11"/>
  <c r="I232" i="11"/>
  <c r="H232" i="11"/>
  <c r="G232" i="11"/>
  <c r="F232" i="11"/>
  <c r="E232" i="11"/>
  <c r="K231" i="11"/>
  <c r="J231" i="11"/>
  <c r="I231" i="11"/>
  <c r="H231" i="11"/>
  <c r="G231" i="11"/>
  <c r="F231" i="11"/>
  <c r="E231" i="11"/>
  <c r="K230" i="11"/>
  <c r="L230" i="11" s="1"/>
  <c r="J230" i="11"/>
  <c r="I230" i="11"/>
  <c r="H230" i="11"/>
  <c r="G230" i="11"/>
  <c r="F230" i="11"/>
  <c r="E230" i="11"/>
  <c r="K229" i="11"/>
  <c r="J229" i="11"/>
  <c r="I229" i="11"/>
  <c r="H229" i="11"/>
  <c r="G229" i="11"/>
  <c r="F229" i="11"/>
  <c r="E229" i="11"/>
  <c r="K228" i="11"/>
  <c r="L228" i="11" s="1"/>
  <c r="J228" i="11"/>
  <c r="I228" i="11"/>
  <c r="H228" i="11"/>
  <c r="G228" i="11"/>
  <c r="F228" i="11"/>
  <c r="E228" i="11"/>
  <c r="K227" i="11"/>
  <c r="L227" i="11" s="1"/>
  <c r="J227" i="11"/>
  <c r="I227" i="11"/>
  <c r="H227" i="11"/>
  <c r="G227" i="11"/>
  <c r="F227" i="11"/>
  <c r="E227" i="11"/>
  <c r="K226" i="11"/>
  <c r="J226" i="11"/>
  <c r="I226" i="11"/>
  <c r="H226" i="11"/>
  <c r="G226" i="11"/>
  <c r="F226" i="11"/>
  <c r="E226" i="11"/>
  <c r="K225" i="11"/>
  <c r="L225" i="11" s="1"/>
  <c r="J225" i="11"/>
  <c r="I225" i="11"/>
  <c r="H225" i="11"/>
  <c r="G225" i="11"/>
  <c r="F225" i="11"/>
  <c r="E225" i="11"/>
  <c r="K224" i="11"/>
  <c r="J224" i="11"/>
  <c r="I224" i="11"/>
  <c r="H224" i="11"/>
  <c r="G224" i="11"/>
  <c r="F224" i="11"/>
  <c r="E224" i="11"/>
  <c r="K223" i="11"/>
  <c r="J223" i="11"/>
  <c r="I223" i="11"/>
  <c r="H223" i="11"/>
  <c r="G223" i="11"/>
  <c r="F223" i="11"/>
  <c r="E223" i="11"/>
  <c r="K222" i="11"/>
  <c r="J222" i="11"/>
  <c r="I222" i="11"/>
  <c r="H222" i="11"/>
  <c r="G222" i="11"/>
  <c r="F222" i="11"/>
  <c r="E222" i="11"/>
  <c r="K221" i="11"/>
  <c r="J221" i="11"/>
  <c r="I221" i="11"/>
  <c r="H221" i="11"/>
  <c r="G221" i="11"/>
  <c r="F221" i="11"/>
  <c r="E221" i="11"/>
  <c r="K220" i="11"/>
  <c r="L220" i="11" s="1"/>
  <c r="M220" i="11" s="1"/>
  <c r="J220" i="11"/>
  <c r="I220" i="11"/>
  <c r="H220" i="11"/>
  <c r="G220" i="11"/>
  <c r="F220" i="11"/>
  <c r="E220" i="11"/>
  <c r="K219" i="11"/>
  <c r="L219" i="11" s="1"/>
  <c r="J219" i="11"/>
  <c r="I219" i="11"/>
  <c r="H219" i="11"/>
  <c r="G219" i="11"/>
  <c r="F219" i="11"/>
  <c r="E219" i="11"/>
  <c r="K218" i="11"/>
  <c r="J218" i="11"/>
  <c r="I218" i="11"/>
  <c r="H218" i="11"/>
  <c r="G218" i="11"/>
  <c r="F218" i="11"/>
  <c r="E218" i="11"/>
  <c r="K217" i="11"/>
  <c r="L217" i="11" s="1"/>
  <c r="J217" i="11"/>
  <c r="I217" i="11"/>
  <c r="H217" i="11"/>
  <c r="G217" i="11"/>
  <c r="F217" i="11"/>
  <c r="E217" i="11"/>
  <c r="K216" i="11"/>
  <c r="J216" i="11"/>
  <c r="I216" i="11"/>
  <c r="H216" i="11"/>
  <c r="G216" i="11"/>
  <c r="F216" i="11"/>
  <c r="E216" i="11"/>
  <c r="K215" i="11"/>
  <c r="J215" i="11"/>
  <c r="I215" i="11"/>
  <c r="H215" i="11"/>
  <c r="G215" i="11"/>
  <c r="F215" i="11"/>
  <c r="E215" i="11"/>
  <c r="K214" i="11"/>
  <c r="J214" i="11"/>
  <c r="I214" i="11"/>
  <c r="H214" i="11"/>
  <c r="G214" i="11"/>
  <c r="F214" i="11"/>
  <c r="E214" i="11"/>
  <c r="K213" i="11"/>
  <c r="L213" i="11" s="1"/>
  <c r="J213" i="11"/>
  <c r="I213" i="11"/>
  <c r="H213" i="11"/>
  <c r="G213" i="11"/>
  <c r="F213" i="11"/>
  <c r="E213" i="11"/>
  <c r="K212" i="11"/>
  <c r="L212" i="11" s="1"/>
  <c r="J212" i="11"/>
  <c r="I212" i="11"/>
  <c r="H212" i="11"/>
  <c r="G212" i="11"/>
  <c r="F212" i="11"/>
  <c r="E212" i="11"/>
  <c r="K211" i="11"/>
  <c r="L211" i="11" s="1"/>
  <c r="J211" i="11"/>
  <c r="I211" i="11"/>
  <c r="H211" i="11"/>
  <c r="G211" i="11"/>
  <c r="F211" i="11"/>
  <c r="E211" i="11"/>
  <c r="K210" i="11"/>
  <c r="J210" i="11"/>
  <c r="I210" i="11"/>
  <c r="H210" i="11"/>
  <c r="G210" i="11"/>
  <c r="F210" i="11"/>
  <c r="E210" i="11"/>
  <c r="K209" i="11"/>
  <c r="L209" i="11" s="1"/>
  <c r="J209" i="11"/>
  <c r="I209" i="11"/>
  <c r="H209" i="11"/>
  <c r="G209" i="11"/>
  <c r="F209" i="11"/>
  <c r="E209" i="11"/>
  <c r="K208" i="11"/>
  <c r="J208" i="11"/>
  <c r="I208" i="11"/>
  <c r="H208" i="11"/>
  <c r="G208" i="11"/>
  <c r="F208" i="11"/>
  <c r="E208" i="11"/>
  <c r="K207" i="11"/>
  <c r="J207" i="11"/>
  <c r="I207" i="11"/>
  <c r="H207" i="11"/>
  <c r="G207" i="11"/>
  <c r="F207" i="11"/>
  <c r="E207" i="11"/>
  <c r="K206" i="11"/>
  <c r="L206" i="11" s="1"/>
  <c r="J206" i="11"/>
  <c r="I206" i="11"/>
  <c r="H206" i="11"/>
  <c r="G206" i="11"/>
  <c r="F206" i="11"/>
  <c r="E206" i="11"/>
  <c r="K205" i="11"/>
  <c r="L205" i="11" s="1"/>
  <c r="J205" i="11"/>
  <c r="I205" i="11"/>
  <c r="H205" i="11"/>
  <c r="G205" i="11"/>
  <c r="F205" i="11"/>
  <c r="E205" i="11"/>
  <c r="K204" i="11"/>
  <c r="L204" i="11" s="1"/>
  <c r="M204" i="11" s="1"/>
  <c r="J204" i="11"/>
  <c r="I204" i="11"/>
  <c r="H204" i="11"/>
  <c r="G204" i="11"/>
  <c r="F204" i="11"/>
  <c r="E204" i="11"/>
  <c r="K203" i="11"/>
  <c r="L203" i="11" s="1"/>
  <c r="J203" i="11"/>
  <c r="I203" i="11"/>
  <c r="H203" i="11"/>
  <c r="G203" i="11"/>
  <c r="F203" i="11"/>
  <c r="E203" i="11"/>
  <c r="K202" i="11"/>
  <c r="J202" i="11"/>
  <c r="I202" i="11"/>
  <c r="H202" i="11"/>
  <c r="G202" i="11"/>
  <c r="F202" i="11"/>
  <c r="E202" i="11"/>
  <c r="K201" i="11"/>
  <c r="L201" i="11" s="1"/>
  <c r="J201" i="11"/>
  <c r="I201" i="11"/>
  <c r="H201" i="11"/>
  <c r="G201" i="11"/>
  <c r="F201" i="11"/>
  <c r="E201" i="11"/>
  <c r="K200" i="11"/>
  <c r="J200" i="11"/>
  <c r="I200" i="11"/>
  <c r="H200" i="11"/>
  <c r="G200" i="11"/>
  <c r="F200" i="11"/>
  <c r="E200" i="11"/>
  <c r="K199" i="11"/>
  <c r="J199" i="11"/>
  <c r="I199" i="11"/>
  <c r="H199" i="11"/>
  <c r="G199" i="11"/>
  <c r="F199" i="11"/>
  <c r="E199" i="11"/>
  <c r="K198" i="11"/>
  <c r="L198" i="11" s="1"/>
  <c r="J198" i="11"/>
  <c r="I198" i="11"/>
  <c r="H198" i="11"/>
  <c r="G198" i="11"/>
  <c r="F198" i="11"/>
  <c r="E198" i="11"/>
  <c r="K197" i="11"/>
  <c r="L197" i="11" s="1"/>
  <c r="J197" i="11"/>
  <c r="I197" i="11"/>
  <c r="H197" i="11"/>
  <c r="G197" i="11"/>
  <c r="F197" i="11"/>
  <c r="E197" i="11"/>
  <c r="K196" i="11"/>
  <c r="L196" i="11" s="1"/>
  <c r="J196" i="11"/>
  <c r="I196" i="11"/>
  <c r="H196" i="11"/>
  <c r="G196" i="11"/>
  <c r="F196" i="11"/>
  <c r="E196" i="11"/>
  <c r="K195" i="11"/>
  <c r="L195" i="11" s="1"/>
  <c r="J195" i="11"/>
  <c r="I195" i="11"/>
  <c r="H195" i="11"/>
  <c r="G195" i="11"/>
  <c r="F195" i="11"/>
  <c r="E195" i="11"/>
  <c r="K194" i="11"/>
  <c r="J194" i="11"/>
  <c r="I194" i="11"/>
  <c r="H194" i="11"/>
  <c r="G194" i="11"/>
  <c r="F194" i="11"/>
  <c r="E194" i="11"/>
  <c r="K193" i="11"/>
  <c r="L193" i="11" s="1"/>
  <c r="J193" i="11"/>
  <c r="I193" i="11"/>
  <c r="H193" i="11"/>
  <c r="G193" i="11"/>
  <c r="F193" i="11"/>
  <c r="E193" i="11"/>
  <c r="K192" i="11"/>
  <c r="J192" i="11"/>
  <c r="I192" i="11"/>
  <c r="H192" i="11"/>
  <c r="G192" i="11"/>
  <c r="F192" i="11"/>
  <c r="E192" i="11"/>
  <c r="K191" i="11"/>
  <c r="J191" i="11"/>
  <c r="I191" i="11"/>
  <c r="H191" i="11"/>
  <c r="G191" i="11"/>
  <c r="F191" i="11"/>
  <c r="E191" i="11"/>
  <c r="K190" i="11"/>
  <c r="L190" i="11" s="1"/>
  <c r="J190" i="11"/>
  <c r="I190" i="11"/>
  <c r="H190" i="11"/>
  <c r="G190" i="11"/>
  <c r="F190" i="11"/>
  <c r="E190" i="11"/>
  <c r="K189" i="11"/>
  <c r="J189" i="11"/>
  <c r="I189" i="11"/>
  <c r="H189" i="11"/>
  <c r="G189" i="11"/>
  <c r="F189" i="11"/>
  <c r="E189" i="11"/>
  <c r="K188" i="11"/>
  <c r="L188" i="11" s="1"/>
  <c r="J188" i="11"/>
  <c r="I188" i="11"/>
  <c r="H188" i="11"/>
  <c r="G188" i="11"/>
  <c r="F188" i="11"/>
  <c r="E188" i="11"/>
  <c r="K187" i="11"/>
  <c r="L187" i="11" s="1"/>
  <c r="J187" i="11"/>
  <c r="I187" i="11"/>
  <c r="H187" i="11"/>
  <c r="G187" i="11"/>
  <c r="F187" i="11"/>
  <c r="E187" i="11"/>
  <c r="K186" i="11"/>
  <c r="J186" i="11"/>
  <c r="I186" i="11"/>
  <c r="H186" i="11"/>
  <c r="G186" i="11"/>
  <c r="F186" i="11"/>
  <c r="E186" i="11"/>
  <c r="K185" i="11"/>
  <c r="L185" i="11" s="1"/>
  <c r="J185" i="11"/>
  <c r="I185" i="11"/>
  <c r="H185" i="11"/>
  <c r="G185" i="11"/>
  <c r="F185" i="11"/>
  <c r="E185" i="11"/>
  <c r="K184" i="11"/>
  <c r="J184" i="11"/>
  <c r="I184" i="11"/>
  <c r="H184" i="11"/>
  <c r="G184" i="11"/>
  <c r="F184" i="11"/>
  <c r="E184" i="11"/>
  <c r="K183" i="11"/>
  <c r="J183" i="11"/>
  <c r="I183" i="11"/>
  <c r="H183" i="11"/>
  <c r="G183" i="11"/>
  <c r="F183" i="11"/>
  <c r="E183" i="11"/>
  <c r="K182" i="11"/>
  <c r="J182" i="11"/>
  <c r="I182" i="11"/>
  <c r="H182" i="11"/>
  <c r="G182" i="11"/>
  <c r="F182" i="11"/>
  <c r="E182" i="11"/>
  <c r="K181" i="11"/>
  <c r="J181" i="11"/>
  <c r="I181" i="11"/>
  <c r="H181" i="11"/>
  <c r="G181" i="11"/>
  <c r="F181" i="11"/>
  <c r="E181" i="11"/>
  <c r="K180" i="11"/>
  <c r="L180" i="11" s="1"/>
  <c r="J180" i="11"/>
  <c r="I180" i="11"/>
  <c r="H180" i="11"/>
  <c r="G180" i="11"/>
  <c r="F180" i="11"/>
  <c r="E180" i="11"/>
  <c r="K179" i="11"/>
  <c r="L179" i="11" s="1"/>
  <c r="J179" i="11"/>
  <c r="I179" i="11"/>
  <c r="H179" i="11"/>
  <c r="G179" i="11"/>
  <c r="F179" i="11"/>
  <c r="E179" i="11"/>
  <c r="K178" i="11"/>
  <c r="J178" i="11"/>
  <c r="I178" i="11"/>
  <c r="H178" i="11"/>
  <c r="G178" i="11"/>
  <c r="F178" i="11"/>
  <c r="E178" i="11"/>
  <c r="K177" i="11"/>
  <c r="L177" i="11" s="1"/>
  <c r="J177" i="11"/>
  <c r="I177" i="11"/>
  <c r="H177" i="11"/>
  <c r="G177" i="11"/>
  <c r="F177" i="11"/>
  <c r="E177" i="11"/>
  <c r="K176" i="11"/>
  <c r="J176" i="11"/>
  <c r="I176" i="11"/>
  <c r="H176" i="11"/>
  <c r="G176" i="11"/>
  <c r="F176" i="11"/>
  <c r="E176" i="11"/>
  <c r="K175" i="11"/>
  <c r="J175" i="11"/>
  <c r="I175" i="11"/>
  <c r="H175" i="11"/>
  <c r="G175" i="11"/>
  <c r="F175" i="11"/>
  <c r="E175" i="11"/>
  <c r="K174" i="11"/>
  <c r="J174" i="11"/>
  <c r="I174" i="11"/>
  <c r="H174" i="11"/>
  <c r="G174" i="11"/>
  <c r="F174" i="11"/>
  <c r="E174" i="11"/>
  <c r="K173" i="11"/>
  <c r="L173" i="11" s="1"/>
  <c r="J173" i="11"/>
  <c r="I173" i="11"/>
  <c r="H173" i="11"/>
  <c r="G173" i="11"/>
  <c r="F173" i="11"/>
  <c r="E173" i="11"/>
  <c r="K172" i="11"/>
  <c r="L172" i="11" s="1"/>
  <c r="J172" i="11"/>
  <c r="I172" i="11"/>
  <c r="H172" i="11"/>
  <c r="G172" i="11"/>
  <c r="F172" i="11"/>
  <c r="E172" i="11"/>
  <c r="K171" i="11"/>
  <c r="J171" i="11"/>
  <c r="I171" i="11"/>
  <c r="H171" i="11"/>
  <c r="G171" i="11"/>
  <c r="F171" i="11"/>
  <c r="E171" i="11"/>
  <c r="K170" i="11"/>
  <c r="J170" i="11"/>
  <c r="I170" i="11"/>
  <c r="H170" i="11"/>
  <c r="G170" i="11"/>
  <c r="F170" i="11"/>
  <c r="E170" i="11"/>
  <c r="K169" i="11"/>
  <c r="L169" i="11" s="1"/>
  <c r="J169" i="11"/>
  <c r="I169" i="11"/>
  <c r="H169" i="11"/>
  <c r="G169" i="11"/>
  <c r="F169" i="11"/>
  <c r="E169" i="11"/>
  <c r="K168" i="11"/>
  <c r="J168" i="11"/>
  <c r="I168" i="11"/>
  <c r="H168" i="11"/>
  <c r="G168" i="11"/>
  <c r="F168" i="11"/>
  <c r="E168" i="11"/>
  <c r="K167" i="11"/>
  <c r="J167" i="11"/>
  <c r="I167" i="11"/>
  <c r="H167" i="11"/>
  <c r="G167" i="11"/>
  <c r="F167" i="11"/>
  <c r="E167" i="11"/>
  <c r="K166" i="11"/>
  <c r="J166" i="11"/>
  <c r="I166" i="11"/>
  <c r="H166" i="11"/>
  <c r="G166" i="11"/>
  <c r="F166" i="11"/>
  <c r="E166" i="11"/>
  <c r="K165" i="11"/>
  <c r="J165" i="11"/>
  <c r="I165" i="11"/>
  <c r="H165" i="11"/>
  <c r="G165" i="11"/>
  <c r="F165" i="11"/>
  <c r="E165" i="11"/>
  <c r="K164" i="11"/>
  <c r="L164" i="11" s="1"/>
  <c r="J164" i="11"/>
  <c r="I164" i="11"/>
  <c r="H164" i="11"/>
  <c r="G164" i="11"/>
  <c r="F164" i="11"/>
  <c r="E164" i="11"/>
  <c r="K163" i="11"/>
  <c r="L163" i="11" s="1"/>
  <c r="J163" i="11"/>
  <c r="I163" i="11"/>
  <c r="H163" i="11"/>
  <c r="G163" i="11"/>
  <c r="F163" i="11"/>
  <c r="E163" i="11"/>
  <c r="K162" i="11"/>
  <c r="J162" i="11"/>
  <c r="I162" i="11"/>
  <c r="H162" i="11"/>
  <c r="G162" i="11"/>
  <c r="F162" i="11"/>
  <c r="E162" i="11"/>
  <c r="K161" i="11"/>
  <c r="L161" i="11" s="1"/>
  <c r="J161" i="11"/>
  <c r="I161" i="11"/>
  <c r="H161" i="11"/>
  <c r="G161" i="11"/>
  <c r="F161" i="11"/>
  <c r="E161" i="11"/>
  <c r="K160" i="11"/>
  <c r="J160" i="11"/>
  <c r="I160" i="11"/>
  <c r="H160" i="11"/>
  <c r="G160" i="11"/>
  <c r="F160" i="11"/>
  <c r="E160" i="11"/>
  <c r="K159" i="11"/>
  <c r="J159" i="11"/>
  <c r="I159" i="11"/>
  <c r="H159" i="11"/>
  <c r="G159" i="11"/>
  <c r="F159" i="11"/>
  <c r="E159" i="11"/>
  <c r="K158" i="11"/>
  <c r="L158" i="11" s="1"/>
  <c r="M158" i="11" s="1"/>
  <c r="J158" i="11"/>
  <c r="I158" i="11"/>
  <c r="H158" i="11"/>
  <c r="G158" i="11"/>
  <c r="F158" i="11"/>
  <c r="E158" i="11"/>
  <c r="K157" i="11"/>
  <c r="L157" i="11" s="1"/>
  <c r="M157" i="11" s="1"/>
  <c r="J157" i="11"/>
  <c r="I157" i="11"/>
  <c r="H157" i="11"/>
  <c r="G157" i="11"/>
  <c r="F157" i="11"/>
  <c r="E157" i="11"/>
  <c r="K156" i="11"/>
  <c r="L156" i="11" s="1"/>
  <c r="J156" i="11"/>
  <c r="I156" i="11"/>
  <c r="H156" i="11"/>
  <c r="G156" i="11"/>
  <c r="F156" i="11"/>
  <c r="E156" i="11"/>
  <c r="K155" i="11"/>
  <c r="J155" i="11"/>
  <c r="I155" i="11"/>
  <c r="H155" i="11"/>
  <c r="G155" i="11"/>
  <c r="F155" i="11"/>
  <c r="E155" i="11"/>
  <c r="K154" i="11"/>
  <c r="J154" i="11"/>
  <c r="I154" i="11"/>
  <c r="H154" i="11"/>
  <c r="G154" i="11"/>
  <c r="F154" i="11"/>
  <c r="E154" i="11"/>
  <c r="K153" i="11"/>
  <c r="L153" i="11" s="1"/>
  <c r="J153" i="11"/>
  <c r="I153" i="11"/>
  <c r="H153" i="11"/>
  <c r="G153" i="11"/>
  <c r="F153" i="11"/>
  <c r="E153" i="11"/>
  <c r="K152" i="11"/>
  <c r="J152" i="11"/>
  <c r="I152" i="11"/>
  <c r="H152" i="11"/>
  <c r="G152" i="11"/>
  <c r="F152" i="11"/>
  <c r="E152" i="11"/>
  <c r="K151" i="11"/>
  <c r="J151" i="11"/>
  <c r="I151" i="11"/>
  <c r="H151" i="11"/>
  <c r="G151" i="11"/>
  <c r="F151" i="11"/>
  <c r="E151" i="11"/>
  <c r="K150" i="11"/>
  <c r="L150" i="11" s="1"/>
  <c r="J150" i="11"/>
  <c r="I150" i="11"/>
  <c r="H150" i="11"/>
  <c r="G150" i="11"/>
  <c r="F150" i="11"/>
  <c r="E150" i="11"/>
  <c r="K149" i="11"/>
  <c r="J149" i="11"/>
  <c r="I149" i="11"/>
  <c r="H149" i="11"/>
  <c r="G149" i="11"/>
  <c r="F149" i="11"/>
  <c r="E149" i="11"/>
  <c r="K148" i="11"/>
  <c r="L148" i="11" s="1"/>
  <c r="J148" i="11"/>
  <c r="I148" i="11"/>
  <c r="H148" i="11"/>
  <c r="G148" i="11"/>
  <c r="F148" i="11"/>
  <c r="E148" i="11"/>
  <c r="K147" i="11"/>
  <c r="L147" i="11" s="1"/>
  <c r="J147" i="11"/>
  <c r="I147" i="11"/>
  <c r="H147" i="11"/>
  <c r="G147" i="11"/>
  <c r="F147" i="11"/>
  <c r="E147" i="11"/>
  <c r="K146" i="11"/>
  <c r="J146" i="11"/>
  <c r="I146" i="11"/>
  <c r="H146" i="11"/>
  <c r="G146" i="11"/>
  <c r="F146" i="11"/>
  <c r="E146" i="11"/>
  <c r="K145" i="11"/>
  <c r="L145" i="11" s="1"/>
  <c r="J145" i="11"/>
  <c r="I145" i="11"/>
  <c r="H145" i="11"/>
  <c r="G145" i="11"/>
  <c r="F145" i="11"/>
  <c r="E145" i="11"/>
  <c r="K144" i="11"/>
  <c r="J144" i="11"/>
  <c r="I144" i="11"/>
  <c r="H144" i="11"/>
  <c r="G144" i="11"/>
  <c r="F144" i="11"/>
  <c r="E144" i="11"/>
  <c r="K143" i="11"/>
  <c r="J143" i="11"/>
  <c r="I143" i="11"/>
  <c r="H143" i="11"/>
  <c r="G143" i="11"/>
  <c r="F143" i="11"/>
  <c r="E143" i="11"/>
  <c r="K142" i="11"/>
  <c r="J142" i="11"/>
  <c r="I142" i="11"/>
  <c r="H142" i="11"/>
  <c r="G142" i="11"/>
  <c r="F142" i="11"/>
  <c r="E142" i="11"/>
  <c r="K141" i="11"/>
  <c r="L141" i="11" s="1"/>
  <c r="J141" i="11"/>
  <c r="I141" i="11"/>
  <c r="H141" i="11"/>
  <c r="G141" i="11"/>
  <c r="F141" i="11"/>
  <c r="E141" i="11"/>
  <c r="K140" i="11"/>
  <c r="L140" i="11" s="1"/>
  <c r="J140" i="11"/>
  <c r="I140" i="11"/>
  <c r="H140" i="11"/>
  <c r="G140" i="11"/>
  <c r="F140" i="11"/>
  <c r="E140" i="11"/>
  <c r="K139" i="11"/>
  <c r="J139" i="11"/>
  <c r="I139" i="11"/>
  <c r="H139" i="11"/>
  <c r="G139" i="11"/>
  <c r="F139" i="11"/>
  <c r="E139" i="11"/>
  <c r="K138" i="11"/>
  <c r="J138" i="11"/>
  <c r="I138" i="11"/>
  <c r="H138" i="11"/>
  <c r="G138" i="11"/>
  <c r="F138" i="11"/>
  <c r="E138" i="11"/>
  <c r="K137" i="11"/>
  <c r="L137" i="11" s="1"/>
  <c r="J137" i="11"/>
  <c r="I137" i="11"/>
  <c r="H137" i="11"/>
  <c r="G137" i="11"/>
  <c r="F137" i="11"/>
  <c r="E137" i="11"/>
  <c r="K136" i="11"/>
  <c r="J136" i="11"/>
  <c r="I136" i="11"/>
  <c r="H136" i="11"/>
  <c r="G136" i="11"/>
  <c r="F136" i="11"/>
  <c r="E136" i="11"/>
  <c r="K135" i="11"/>
  <c r="J135" i="11"/>
  <c r="I135" i="11"/>
  <c r="H135" i="11"/>
  <c r="G135" i="11"/>
  <c r="F135" i="11"/>
  <c r="E135" i="11"/>
  <c r="K134" i="11"/>
  <c r="J134" i="11"/>
  <c r="I134" i="11"/>
  <c r="H134" i="11"/>
  <c r="G134" i="11"/>
  <c r="F134" i="11"/>
  <c r="E134" i="11"/>
  <c r="K133" i="11"/>
  <c r="J133" i="11"/>
  <c r="I133" i="11"/>
  <c r="H133" i="11"/>
  <c r="G133" i="11"/>
  <c r="F133" i="11"/>
  <c r="E133" i="11"/>
  <c r="K132" i="11"/>
  <c r="L132" i="11" s="1"/>
  <c r="M132" i="11" s="1"/>
  <c r="J132" i="11"/>
  <c r="I132" i="11"/>
  <c r="H132" i="11"/>
  <c r="G132" i="11"/>
  <c r="F132" i="11"/>
  <c r="E132" i="11"/>
  <c r="K131" i="11"/>
  <c r="L131" i="11" s="1"/>
  <c r="J131" i="11"/>
  <c r="I131" i="11"/>
  <c r="H131" i="11"/>
  <c r="G131" i="11"/>
  <c r="F131" i="11"/>
  <c r="E131" i="11"/>
  <c r="K130" i="11"/>
  <c r="J130" i="11"/>
  <c r="I130" i="11"/>
  <c r="H130" i="11"/>
  <c r="G130" i="11"/>
  <c r="F130" i="11"/>
  <c r="E130" i="11"/>
  <c r="K129" i="11"/>
  <c r="L129" i="11" s="1"/>
  <c r="J129" i="11"/>
  <c r="I129" i="11"/>
  <c r="H129" i="11"/>
  <c r="G129" i="11"/>
  <c r="F129" i="11"/>
  <c r="E129" i="11"/>
  <c r="K128" i="11"/>
  <c r="J128" i="11"/>
  <c r="I128" i="11"/>
  <c r="H128" i="11"/>
  <c r="G128" i="11"/>
  <c r="F128" i="11"/>
  <c r="E128" i="11"/>
  <c r="K127" i="11"/>
  <c r="J127" i="11"/>
  <c r="I127" i="11"/>
  <c r="H127" i="11"/>
  <c r="G127" i="11"/>
  <c r="F127" i="11"/>
  <c r="E127" i="11"/>
  <c r="K126" i="11"/>
  <c r="L126" i="11" s="1"/>
  <c r="J126" i="11"/>
  <c r="I126" i="11"/>
  <c r="H126" i="11"/>
  <c r="G126" i="11"/>
  <c r="F126" i="11"/>
  <c r="E126" i="11"/>
  <c r="K125" i="11"/>
  <c r="L125" i="11" s="1"/>
  <c r="J125" i="11"/>
  <c r="I125" i="11"/>
  <c r="H125" i="11"/>
  <c r="G125" i="11"/>
  <c r="F125" i="11"/>
  <c r="E125" i="11"/>
  <c r="K124" i="11"/>
  <c r="L124" i="11" s="1"/>
  <c r="J124" i="11"/>
  <c r="I124" i="11"/>
  <c r="H124" i="11"/>
  <c r="G124" i="11"/>
  <c r="F124" i="11"/>
  <c r="E124" i="11"/>
  <c r="K123" i="11"/>
  <c r="J123" i="11"/>
  <c r="I123" i="11"/>
  <c r="H123" i="11"/>
  <c r="G123" i="11"/>
  <c r="F123" i="11"/>
  <c r="E123" i="11"/>
  <c r="K122" i="11"/>
  <c r="J122" i="11"/>
  <c r="I122" i="11"/>
  <c r="H122" i="11"/>
  <c r="G122" i="11"/>
  <c r="F122" i="11"/>
  <c r="E122" i="11"/>
  <c r="K121" i="11"/>
  <c r="L121" i="11" s="1"/>
  <c r="J121" i="11"/>
  <c r="I121" i="11"/>
  <c r="H121" i="11"/>
  <c r="G121" i="11"/>
  <c r="F121" i="11"/>
  <c r="E121" i="11"/>
  <c r="K120" i="11"/>
  <c r="J120" i="11"/>
  <c r="I120" i="11"/>
  <c r="H120" i="11"/>
  <c r="G120" i="11"/>
  <c r="F120" i="11"/>
  <c r="E120" i="11"/>
  <c r="K119" i="11"/>
  <c r="J119" i="11"/>
  <c r="I119" i="11"/>
  <c r="H119" i="11"/>
  <c r="G119" i="11"/>
  <c r="F119" i="11"/>
  <c r="E119" i="11"/>
  <c r="K118" i="11"/>
  <c r="L118" i="11" s="1"/>
  <c r="J118" i="11"/>
  <c r="I118" i="11"/>
  <c r="H118" i="11"/>
  <c r="G118" i="11"/>
  <c r="F118" i="11"/>
  <c r="E118" i="11"/>
  <c r="K117" i="11"/>
  <c r="J117" i="11"/>
  <c r="I117" i="11"/>
  <c r="H117" i="11"/>
  <c r="G117" i="11"/>
  <c r="F117" i="11"/>
  <c r="E117" i="11"/>
  <c r="K116" i="11"/>
  <c r="L116" i="11" s="1"/>
  <c r="J116" i="11"/>
  <c r="I116" i="11"/>
  <c r="H116" i="11"/>
  <c r="G116" i="11"/>
  <c r="F116" i="11"/>
  <c r="E116" i="11"/>
  <c r="K115" i="11"/>
  <c r="L115" i="11" s="1"/>
  <c r="J115" i="11"/>
  <c r="I115" i="11"/>
  <c r="H115" i="11"/>
  <c r="G115" i="11"/>
  <c r="F115" i="11"/>
  <c r="E115" i="11"/>
  <c r="K114" i="11"/>
  <c r="J114" i="11"/>
  <c r="I114" i="11"/>
  <c r="H114" i="11"/>
  <c r="G114" i="11"/>
  <c r="F114" i="11"/>
  <c r="E114" i="11"/>
  <c r="K113" i="11"/>
  <c r="L113" i="11" s="1"/>
  <c r="J113" i="11"/>
  <c r="I113" i="11"/>
  <c r="H113" i="11"/>
  <c r="G113" i="11"/>
  <c r="F113" i="11"/>
  <c r="E113" i="11"/>
  <c r="K112" i="11"/>
  <c r="J112" i="11"/>
  <c r="I112" i="11"/>
  <c r="H112" i="11"/>
  <c r="G112" i="11"/>
  <c r="F112" i="11"/>
  <c r="E112" i="11"/>
  <c r="K111" i="11"/>
  <c r="J111" i="11"/>
  <c r="I111" i="11"/>
  <c r="H111" i="11"/>
  <c r="G111" i="11"/>
  <c r="F111" i="11"/>
  <c r="E111" i="11"/>
  <c r="K110" i="11"/>
  <c r="J110" i="11"/>
  <c r="I110" i="11"/>
  <c r="H110" i="11"/>
  <c r="G110" i="11"/>
  <c r="F110" i="11"/>
  <c r="E110" i="11"/>
  <c r="K109" i="11"/>
  <c r="L109" i="11" s="1"/>
  <c r="J109" i="11"/>
  <c r="I109" i="11"/>
  <c r="H109" i="11"/>
  <c r="G109" i="11"/>
  <c r="F109" i="11"/>
  <c r="E109" i="11"/>
  <c r="K108" i="11"/>
  <c r="L108" i="11" s="1"/>
  <c r="J108" i="11"/>
  <c r="I108" i="11"/>
  <c r="H108" i="11"/>
  <c r="G108" i="11"/>
  <c r="F108" i="11"/>
  <c r="E108" i="11"/>
  <c r="K107" i="11"/>
  <c r="J107" i="11"/>
  <c r="I107" i="11"/>
  <c r="H107" i="11"/>
  <c r="G107" i="11"/>
  <c r="F107" i="11"/>
  <c r="E107" i="11"/>
  <c r="K106" i="11"/>
  <c r="J106" i="11"/>
  <c r="I106" i="11"/>
  <c r="H106" i="11"/>
  <c r="G106" i="11"/>
  <c r="F106" i="11"/>
  <c r="E106" i="11"/>
  <c r="K105" i="11"/>
  <c r="L105" i="11" s="1"/>
  <c r="J105" i="11"/>
  <c r="I105" i="11"/>
  <c r="H105" i="11"/>
  <c r="G105" i="11"/>
  <c r="F105" i="11"/>
  <c r="E105" i="11"/>
  <c r="K104" i="11"/>
  <c r="J104" i="11"/>
  <c r="I104" i="11"/>
  <c r="H104" i="11"/>
  <c r="G104" i="11"/>
  <c r="F104" i="11"/>
  <c r="E104" i="11"/>
  <c r="K103" i="11"/>
  <c r="J103" i="11"/>
  <c r="I103" i="11"/>
  <c r="H103" i="11"/>
  <c r="G103" i="11"/>
  <c r="F103" i="11"/>
  <c r="E103" i="11"/>
  <c r="K102" i="11"/>
  <c r="J102" i="11"/>
  <c r="I102" i="11"/>
  <c r="H102" i="11"/>
  <c r="G102" i="11"/>
  <c r="F102" i="11"/>
  <c r="E102" i="11"/>
  <c r="K101" i="11"/>
  <c r="J101" i="11"/>
  <c r="I101" i="11"/>
  <c r="H101" i="11"/>
  <c r="G101" i="11"/>
  <c r="F101" i="11"/>
  <c r="E101" i="11"/>
  <c r="K100" i="11"/>
  <c r="L100" i="11" s="1"/>
  <c r="M100" i="11" s="1"/>
  <c r="J100" i="11"/>
  <c r="I100" i="11"/>
  <c r="H100" i="11"/>
  <c r="G100" i="11"/>
  <c r="F100" i="11"/>
  <c r="E100" i="11"/>
  <c r="K99" i="11"/>
  <c r="L99" i="11" s="1"/>
  <c r="M99" i="11" s="1"/>
  <c r="J99" i="11"/>
  <c r="I99" i="11"/>
  <c r="H99" i="11"/>
  <c r="G99" i="11"/>
  <c r="F99" i="11"/>
  <c r="E99" i="11"/>
  <c r="K98" i="11"/>
  <c r="J98" i="11"/>
  <c r="I98" i="11"/>
  <c r="H98" i="11"/>
  <c r="G98" i="11"/>
  <c r="F98" i="11"/>
  <c r="E98" i="11"/>
  <c r="K97" i="11"/>
  <c r="L97" i="11" s="1"/>
  <c r="J97" i="11"/>
  <c r="I97" i="11"/>
  <c r="H97" i="11"/>
  <c r="G97" i="11"/>
  <c r="F97" i="11"/>
  <c r="E97" i="11"/>
  <c r="K96" i="11"/>
  <c r="J96" i="11"/>
  <c r="I96" i="11"/>
  <c r="H96" i="11"/>
  <c r="G96" i="11"/>
  <c r="F96" i="11"/>
  <c r="E96" i="11"/>
  <c r="K95" i="11"/>
  <c r="J95" i="11"/>
  <c r="I95" i="11"/>
  <c r="H95" i="11"/>
  <c r="G95" i="11"/>
  <c r="F95" i="11"/>
  <c r="E95" i="11"/>
  <c r="K94" i="11"/>
  <c r="L94" i="11" s="1"/>
  <c r="J94" i="11"/>
  <c r="I94" i="11"/>
  <c r="H94" i="11"/>
  <c r="G94" i="11"/>
  <c r="F94" i="11"/>
  <c r="E94" i="11"/>
  <c r="K93" i="11"/>
  <c r="L93" i="11" s="1"/>
  <c r="J93" i="11"/>
  <c r="I93" i="11"/>
  <c r="H93" i="11"/>
  <c r="G93" i="11"/>
  <c r="F93" i="11"/>
  <c r="E93" i="11"/>
  <c r="K92" i="11"/>
  <c r="L92" i="11" s="1"/>
  <c r="J92" i="11"/>
  <c r="I92" i="11"/>
  <c r="H92" i="11"/>
  <c r="G92" i="11"/>
  <c r="F92" i="11"/>
  <c r="E92" i="11"/>
  <c r="K91" i="11"/>
  <c r="J91" i="11"/>
  <c r="I91" i="11"/>
  <c r="H91" i="11"/>
  <c r="G91" i="11"/>
  <c r="F91" i="11"/>
  <c r="E91" i="11"/>
  <c r="K90" i="11"/>
  <c r="J90" i="11"/>
  <c r="I90" i="11"/>
  <c r="H90" i="11"/>
  <c r="G90" i="11"/>
  <c r="F90" i="11"/>
  <c r="E90" i="11"/>
  <c r="K89" i="11"/>
  <c r="L89" i="11" s="1"/>
  <c r="J89" i="11"/>
  <c r="I89" i="11"/>
  <c r="H89" i="11"/>
  <c r="G89" i="11"/>
  <c r="F89" i="11"/>
  <c r="E89" i="11"/>
  <c r="K88" i="11"/>
  <c r="J88" i="11"/>
  <c r="I88" i="11"/>
  <c r="H88" i="11"/>
  <c r="G88" i="11"/>
  <c r="F88" i="11"/>
  <c r="E88" i="11"/>
  <c r="K87" i="11"/>
  <c r="J87" i="11"/>
  <c r="I87" i="11"/>
  <c r="H87" i="11"/>
  <c r="G87" i="11"/>
  <c r="F87" i="11"/>
  <c r="E87" i="11"/>
  <c r="K86" i="11"/>
  <c r="L86" i="11" s="1"/>
  <c r="J86" i="11"/>
  <c r="I86" i="11"/>
  <c r="H86" i="11"/>
  <c r="G86" i="11"/>
  <c r="F86" i="11"/>
  <c r="E86" i="11"/>
  <c r="K85" i="11"/>
  <c r="J85" i="11"/>
  <c r="I85" i="11"/>
  <c r="H85" i="11"/>
  <c r="G85" i="11"/>
  <c r="F85" i="11"/>
  <c r="E85" i="11"/>
  <c r="K84" i="11"/>
  <c r="L84" i="11" s="1"/>
  <c r="J84" i="11"/>
  <c r="I84" i="11"/>
  <c r="H84" i="11"/>
  <c r="G84" i="11"/>
  <c r="F84" i="11"/>
  <c r="E84" i="11"/>
  <c r="K83" i="11"/>
  <c r="L83" i="11" s="1"/>
  <c r="J83" i="11"/>
  <c r="I83" i="11"/>
  <c r="H83" i="11"/>
  <c r="G83" i="11"/>
  <c r="F83" i="11"/>
  <c r="E83" i="11"/>
  <c r="K82" i="11"/>
  <c r="J82" i="11"/>
  <c r="I82" i="11"/>
  <c r="H82" i="11"/>
  <c r="G82" i="11"/>
  <c r="F82" i="11"/>
  <c r="E82" i="11"/>
  <c r="K81" i="11"/>
  <c r="L81" i="11" s="1"/>
  <c r="J81" i="11"/>
  <c r="I81" i="11"/>
  <c r="H81" i="11"/>
  <c r="G81" i="11"/>
  <c r="F81" i="11"/>
  <c r="E81" i="11"/>
  <c r="K80" i="11"/>
  <c r="J80" i="11"/>
  <c r="I80" i="11"/>
  <c r="H80" i="11"/>
  <c r="G80" i="11"/>
  <c r="F80" i="11"/>
  <c r="E80" i="11"/>
  <c r="K79" i="11"/>
  <c r="J79" i="11"/>
  <c r="I79" i="11"/>
  <c r="H79" i="11"/>
  <c r="G79" i="11"/>
  <c r="F79" i="11"/>
  <c r="E79" i="11"/>
  <c r="K78" i="11"/>
  <c r="J78" i="11"/>
  <c r="I78" i="11"/>
  <c r="H78" i="11"/>
  <c r="G78" i="11"/>
  <c r="F78" i="11"/>
  <c r="E78" i="11"/>
  <c r="K77" i="11"/>
  <c r="L77" i="11" s="1"/>
  <c r="J77" i="11"/>
  <c r="I77" i="11"/>
  <c r="H77" i="11"/>
  <c r="G77" i="11"/>
  <c r="F77" i="11"/>
  <c r="E77" i="11"/>
  <c r="K76" i="11"/>
  <c r="J76" i="11"/>
  <c r="I76" i="11"/>
  <c r="H76" i="11"/>
  <c r="G76" i="11"/>
  <c r="F76" i="11"/>
  <c r="E76" i="11"/>
  <c r="K75" i="11"/>
  <c r="J75" i="11"/>
  <c r="I75" i="11"/>
  <c r="H75" i="11"/>
  <c r="G75" i="11"/>
  <c r="F75" i="11"/>
  <c r="E75" i="11"/>
  <c r="K74" i="11"/>
  <c r="L74" i="11" s="1"/>
  <c r="M74" i="11" s="1"/>
  <c r="J74" i="11"/>
  <c r="I74" i="11"/>
  <c r="H74" i="11"/>
  <c r="G74" i="11"/>
  <c r="F74" i="11"/>
  <c r="E74" i="11"/>
  <c r="K73" i="11"/>
  <c r="L73" i="11" s="1"/>
  <c r="M73" i="11" s="1"/>
  <c r="J73" i="11"/>
  <c r="I73" i="11"/>
  <c r="H73" i="11"/>
  <c r="G73" i="11"/>
  <c r="F73" i="11"/>
  <c r="E73" i="11"/>
  <c r="K72" i="11"/>
  <c r="J72" i="11"/>
  <c r="L72" i="11" s="1"/>
  <c r="I72" i="11"/>
  <c r="H72" i="11"/>
  <c r="G72" i="11"/>
  <c r="F72" i="11"/>
  <c r="E72" i="11"/>
  <c r="K71" i="11"/>
  <c r="J71" i="11"/>
  <c r="I71" i="11"/>
  <c r="H71" i="11"/>
  <c r="G71" i="11"/>
  <c r="F71" i="11"/>
  <c r="E71" i="11"/>
  <c r="K70" i="11"/>
  <c r="L70" i="11" s="1"/>
  <c r="J70" i="11"/>
  <c r="I70" i="11"/>
  <c r="H70" i="11"/>
  <c r="G70" i="11"/>
  <c r="F70" i="11"/>
  <c r="E70" i="11"/>
  <c r="K69" i="11"/>
  <c r="L69" i="11" s="1"/>
  <c r="J69" i="11"/>
  <c r="I69" i="11"/>
  <c r="H69" i="11"/>
  <c r="G69" i="11"/>
  <c r="F69" i="11"/>
  <c r="E69" i="11"/>
  <c r="K68" i="11"/>
  <c r="L68" i="11" s="1"/>
  <c r="J68" i="11"/>
  <c r="I68" i="11"/>
  <c r="H68" i="11"/>
  <c r="G68" i="11"/>
  <c r="F68" i="11"/>
  <c r="E68" i="11"/>
  <c r="K67" i="11"/>
  <c r="J67" i="11"/>
  <c r="I67" i="11"/>
  <c r="H67" i="11"/>
  <c r="G67" i="11"/>
  <c r="F67" i="11"/>
  <c r="E67" i="11"/>
  <c r="K66" i="11"/>
  <c r="L66" i="11" s="1"/>
  <c r="J66" i="11"/>
  <c r="I66" i="11"/>
  <c r="H66" i="11"/>
  <c r="G66" i="11"/>
  <c r="F66" i="11"/>
  <c r="E66" i="11"/>
  <c r="K65" i="11"/>
  <c r="L65" i="11" s="1"/>
  <c r="J65" i="11"/>
  <c r="I65" i="11"/>
  <c r="H65" i="11"/>
  <c r="G65" i="11"/>
  <c r="F65" i="11"/>
  <c r="E65" i="11"/>
  <c r="K64" i="11"/>
  <c r="J64" i="11"/>
  <c r="I64" i="11"/>
  <c r="H64" i="11"/>
  <c r="G64" i="11"/>
  <c r="F64" i="11"/>
  <c r="E64" i="11"/>
  <c r="K63" i="11"/>
  <c r="J63" i="11"/>
  <c r="I63" i="11"/>
  <c r="H63" i="11"/>
  <c r="G63" i="11"/>
  <c r="F63" i="11"/>
  <c r="E63" i="11"/>
  <c r="K62" i="11"/>
  <c r="J62" i="11"/>
  <c r="I62" i="11"/>
  <c r="H62" i="11"/>
  <c r="G62" i="11"/>
  <c r="F62" i="11"/>
  <c r="E62" i="11"/>
  <c r="K61" i="11"/>
  <c r="L61" i="11" s="1"/>
  <c r="J61" i="11"/>
  <c r="I61" i="11"/>
  <c r="H61" i="11"/>
  <c r="G61" i="11"/>
  <c r="F61" i="11"/>
  <c r="E61" i="11"/>
  <c r="K60" i="11"/>
  <c r="J60" i="11"/>
  <c r="I60" i="11"/>
  <c r="H60" i="11"/>
  <c r="G60" i="11"/>
  <c r="F60" i="11"/>
  <c r="E60" i="11"/>
  <c r="K59" i="11"/>
  <c r="J59" i="11"/>
  <c r="I59" i="11"/>
  <c r="H59" i="11"/>
  <c r="G59" i="11"/>
  <c r="F59" i="11"/>
  <c r="E59" i="11"/>
  <c r="K58" i="11"/>
  <c r="L58" i="11" s="1"/>
  <c r="J58" i="11"/>
  <c r="I58" i="11"/>
  <c r="H58" i="11"/>
  <c r="G58" i="11"/>
  <c r="F58" i="11"/>
  <c r="E58" i="11"/>
  <c r="K57" i="11"/>
  <c r="L57" i="11" s="1"/>
  <c r="J57" i="11"/>
  <c r="I57" i="11"/>
  <c r="H57" i="11"/>
  <c r="G57" i="11"/>
  <c r="F57" i="11"/>
  <c r="E57" i="11"/>
  <c r="K56" i="11"/>
  <c r="J56" i="11"/>
  <c r="L56" i="11" s="1"/>
  <c r="I56" i="11"/>
  <c r="H56" i="11"/>
  <c r="G56" i="11"/>
  <c r="F56" i="11"/>
  <c r="E56" i="11"/>
  <c r="K55" i="11"/>
  <c r="J55" i="11"/>
  <c r="I55" i="11"/>
  <c r="H55" i="11"/>
  <c r="G55" i="11"/>
  <c r="F55" i="11"/>
  <c r="E55" i="11"/>
  <c r="K54" i="11"/>
  <c r="L54" i="11" s="1"/>
  <c r="J54" i="11"/>
  <c r="I54" i="11"/>
  <c r="H54" i="11"/>
  <c r="G54" i="11"/>
  <c r="F54" i="11"/>
  <c r="E54" i="11"/>
  <c r="K53" i="11"/>
  <c r="L53" i="11" s="1"/>
  <c r="J53" i="11"/>
  <c r="I53" i="11"/>
  <c r="H53" i="11"/>
  <c r="G53" i="11"/>
  <c r="F53" i="11"/>
  <c r="E53" i="11"/>
  <c r="K52" i="11"/>
  <c r="J52" i="11"/>
  <c r="I52" i="11"/>
  <c r="H52" i="11"/>
  <c r="G52" i="11"/>
  <c r="F52" i="11"/>
  <c r="E52" i="11"/>
  <c r="K51" i="11"/>
  <c r="J51" i="11"/>
  <c r="I51" i="11"/>
  <c r="H51" i="11"/>
  <c r="G51" i="11"/>
  <c r="F51" i="11"/>
  <c r="E51" i="11"/>
  <c r="K50" i="11"/>
  <c r="L50" i="11" s="1"/>
  <c r="M50" i="11" s="1"/>
  <c r="J50" i="11"/>
  <c r="I50" i="11"/>
  <c r="H50" i="11"/>
  <c r="G50" i="11"/>
  <c r="F50" i="11"/>
  <c r="E50" i="11"/>
  <c r="K49" i="11"/>
  <c r="J49" i="11"/>
  <c r="I49" i="11"/>
  <c r="H49" i="11"/>
  <c r="G49" i="11"/>
  <c r="F49" i="11"/>
  <c r="E49" i="11"/>
  <c r="K48" i="11"/>
  <c r="J48" i="11"/>
  <c r="I48" i="11"/>
  <c r="H48" i="11"/>
  <c r="G48" i="11"/>
  <c r="F48" i="11"/>
  <c r="E48" i="11"/>
  <c r="K47" i="11"/>
  <c r="L47" i="11" s="1"/>
  <c r="J47" i="11"/>
  <c r="I47" i="11"/>
  <c r="H47" i="11"/>
  <c r="G47" i="11"/>
  <c r="F47" i="11"/>
  <c r="E47" i="11"/>
  <c r="K46" i="11"/>
  <c r="L46" i="11" s="1"/>
  <c r="J46" i="11"/>
  <c r="I46" i="11"/>
  <c r="H46" i="11"/>
  <c r="G46" i="11"/>
  <c r="F46" i="11"/>
  <c r="E46" i="11"/>
  <c r="K45" i="11"/>
  <c r="L45" i="11" s="1"/>
  <c r="J45" i="11"/>
  <c r="I45" i="11"/>
  <c r="H45" i="11"/>
  <c r="G45" i="11"/>
  <c r="F45" i="11"/>
  <c r="E45" i="11"/>
  <c r="K44" i="11"/>
  <c r="J44" i="11"/>
  <c r="I44" i="11"/>
  <c r="H44" i="11"/>
  <c r="G44" i="11"/>
  <c r="F44" i="11"/>
  <c r="E44" i="11"/>
  <c r="K43" i="11"/>
  <c r="J43" i="11"/>
  <c r="I43" i="11"/>
  <c r="H43" i="11"/>
  <c r="G43" i="11"/>
  <c r="F43" i="11"/>
  <c r="E43" i="11"/>
  <c r="K42" i="11"/>
  <c r="L42" i="11" s="1"/>
  <c r="J42" i="11"/>
  <c r="I42" i="11"/>
  <c r="H42" i="11"/>
  <c r="G42" i="11"/>
  <c r="F42" i="11"/>
  <c r="E42" i="11"/>
  <c r="K41" i="11"/>
  <c r="J41" i="11"/>
  <c r="I41" i="11"/>
  <c r="H41" i="11"/>
  <c r="G41" i="11"/>
  <c r="F41" i="11"/>
  <c r="E41" i="11"/>
  <c r="K40" i="11"/>
  <c r="J40" i="11"/>
  <c r="I40" i="11"/>
  <c r="H40" i="11"/>
  <c r="G40" i="11"/>
  <c r="F40" i="11"/>
  <c r="E40" i="11"/>
  <c r="K39" i="11"/>
  <c r="L39" i="11" s="1"/>
  <c r="M39" i="11" s="1"/>
  <c r="J39" i="11"/>
  <c r="I39" i="11"/>
  <c r="H39" i="11"/>
  <c r="G39" i="11"/>
  <c r="F39" i="11"/>
  <c r="E39" i="11"/>
  <c r="K38" i="11"/>
  <c r="L38" i="11" s="1"/>
  <c r="M38" i="11" s="1"/>
  <c r="J38" i="11"/>
  <c r="I38" i="11"/>
  <c r="H38" i="11"/>
  <c r="G38" i="11"/>
  <c r="F38" i="11"/>
  <c r="E38" i="11"/>
  <c r="K37" i="11"/>
  <c r="L37" i="11" s="1"/>
  <c r="J37" i="11"/>
  <c r="I37" i="11"/>
  <c r="H37" i="11"/>
  <c r="G37" i="11"/>
  <c r="F37" i="11"/>
  <c r="E37" i="11"/>
  <c r="K36" i="11"/>
  <c r="J36" i="11"/>
  <c r="I36" i="11"/>
  <c r="H36" i="11"/>
  <c r="G36" i="11"/>
  <c r="F36" i="11"/>
  <c r="E36" i="11"/>
  <c r="K35" i="11"/>
  <c r="J35" i="11"/>
  <c r="I35" i="11"/>
  <c r="H35" i="11"/>
  <c r="G35" i="11"/>
  <c r="F35" i="11"/>
  <c r="E35" i="11"/>
  <c r="K34" i="11"/>
  <c r="L34" i="11" s="1"/>
  <c r="J34" i="11"/>
  <c r="I34" i="11"/>
  <c r="H34" i="11"/>
  <c r="G34" i="11"/>
  <c r="F34" i="11"/>
  <c r="E34" i="11"/>
  <c r="K33" i="11"/>
  <c r="J33" i="11"/>
  <c r="I33" i="11"/>
  <c r="H33" i="11"/>
  <c r="G33" i="11"/>
  <c r="F33" i="11"/>
  <c r="E33" i="11"/>
  <c r="K32" i="11"/>
  <c r="J32" i="11"/>
  <c r="I32" i="11"/>
  <c r="H32" i="11"/>
  <c r="G32" i="11"/>
  <c r="F32" i="11"/>
  <c r="E32" i="11"/>
  <c r="K31" i="11"/>
  <c r="L31" i="11" s="1"/>
  <c r="J31" i="11"/>
  <c r="I31" i="11"/>
  <c r="H31" i="11"/>
  <c r="G31" i="11"/>
  <c r="F31" i="11"/>
  <c r="E31" i="11"/>
  <c r="K30" i="11"/>
  <c r="L30" i="11" s="1"/>
  <c r="J30" i="11"/>
  <c r="I30" i="11"/>
  <c r="H30" i="11"/>
  <c r="G30" i="11"/>
  <c r="F30" i="11"/>
  <c r="E30" i="11"/>
  <c r="K29" i="11"/>
  <c r="L29" i="11" s="1"/>
  <c r="J29" i="11"/>
  <c r="I29" i="11"/>
  <c r="H29" i="11"/>
  <c r="G29" i="11"/>
  <c r="F29" i="11"/>
  <c r="E29" i="11"/>
  <c r="K28" i="11"/>
  <c r="J28" i="11"/>
  <c r="I28" i="11"/>
  <c r="H28" i="11"/>
  <c r="G28" i="11"/>
  <c r="F28" i="11"/>
  <c r="E28" i="11"/>
  <c r="K27" i="11"/>
  <c r="J27" i="11"/>
  <c r="I27" i="11"/>
  <c r="H27" i="11"/>
  <c r="G27" i="11"/>
  <c r="F27" i="11"/>
  <c r="E27" i="11"/>
  <c r="K26" i="11"/>
  <c r="L26" i="11" s="1"/>
  <c r="M26" i="11" s="1"/>
  <c r="J26" i="11"/>
  <c r="I26" i="11"/>
  <c r="H26" i="11"/>
  <c r="G26" i="11"/>
  <c r="F26" i="11"/>
  <c r="E26" i="11"/>
  <c r="K25" i="11"/>
  <c r="J25" i="11"/>
  <c r="I25" i="11"/>
  <c r="H25" i="11"/>
  <c r="G25" i="11"/>
  <c r="F25" i="11"/>
  <c r="E25" i="11"/>
  <c r="K24" i="11"/>
  <c r="J24" i="11"/>
  <c r="I24" i="11"/>
  <c r="H24" i="11"/>
  <c r="G24" i="11"/>
  <c r="F24" i="11"/>
  <c r="E24" i="11"/>
  <c r="K23" i="11"/>
  <c r="L23" i="11" s="1"/>
  <c r="M23" i="11" s="1"/>
  <c r="J23" i="11"/>
  <c r="I23" i="11"/>
  <c r="H23" i="11"/>
  <c r="G23" i="11"/>
  <c r="F23" i="11"/>
  <c r="E23" i="11"/>
  <c r="K22" i="11"/>
  <c r="L22" i="11" s="1"/>
  <c r="J22" i="11"/>
  <c r="I22" i="11"/>
  <c r="H22" i="11"/>
  <c r="G22" i="11"/>
  <c r="F22" i="11"/>
  <c r="E22" i="11"/>
  <c r="K21" i="11"/>
  <c r="L21" i="11" s="1"/>
  <c r="J21" i="11"/>
  <c r="I21" i="11"/>
  <c r="H21" i="11"/>
  <c r="G21" i="11"/>
  <c r="F21" i="11"/>
  <c r="E21" i="11"/>
  <c r="K20" i="11"/>
  <c r="J20" i="11"/>
  <c r="I20" i="11"/>
  <c r="H20" i="11"/>
  <c r="G20" i="11"/>
  <c r="F20" i="11"/>
  <c r="E20" i="11"/>
  <c r="K19" i="11"/>
  <c r="J19" i="11"/>
  <c r="I19" i="11"/>
  <c r="H19" i="11"/>
  <c r="G19" i="11"/>
  <c r="F19" i="11"/>
  <c r="E19" i="11"/>
  <c r="K18" i="11"/>
  <c r="L18" i="11" s="1"/>
  <c r="J18" i="11"/>
  <c r="I18" i="11"/>
  <c r="H18" i="11"/>
  <c r="G18" i="11"/>
  <c r="F18" i="11"/>
  <c r="E18" i="11"/>
  <c r="K17" i="11"/>
  <c r="J17" i="11"/>
  <c r="I17" i="11"/>
  <c r="H17" i="11"/>
  <c r="G17" i="11"/>
  <c r="F17" i="11"/>
  <c r="E17" i="11"/>
  <c r="K16" i="11"/>
  <c r="J16" i="11"/>
  <c r="I16" i="11"/>
  <c r="H16" i="11"/>
  <c r="G16" i="11"/>
  <c r="F16" i="11"/>
  <c r="E16" i="11"/>
  <c r="K15" i="11"/>
  <c r="L15" i="11" s="1"/>
  <c r="J15" i="11"/>
  <c r="I15" i="11"/>
  <c r="H15" i="11"/>
  <c r="G15" i="11"/>
  <c r="F15" i="11"/>
  <c r="E15" i="11"/>
  <c r="K14" i="11"/>
  <c r="L14" i="11" s="1"/>
  <c r="M14" i="11" s="1"/>
  <c r="J14" i="11"/>
  <c r="I14" i="11"/>
  <c r="H14" i="11"/>
  <c r="G14" i="11"/>
  <c r="F14" i="11"/>
  <c r="E14" i="11"/>
  <c r="K13" i="11"/>
  <c r="L13" i="11" s="1"/>
  <c r="J13" i="11"/>
  <c r="I13" i="11"/>
  <c r="H13" i="11"/>
  <c r="G13" i="11"/>
  <c r="F13" i="11"/>
  <c r="E13" i="11"/>
  <c r="K12" i="11"/>
  <c r="J12" i="11"/>
  <c r="I12" i="11"/>
  <c r="H12" i="11"/>
  <c r="G12" i="11"/>
  <c r="F12" i="11"/>
  <c r="E12" i="11"/>
  <c r="K11" i="11"/>
  <c r="J11" i="11"/>
  <c r="I11" i="11"/>
  <c r="H11" i="11"/>
  <c r="G11" i="11"/>
  <c r="F11" i="11"/>
  <c r="E11" i="11"/>
  <c r="K10" i="11"/>
  <c r="L10" i="11" s="1"/>
  <c r="M10" i="11" s="1"/>
  <c r="J10" i="11"/>
  <c r="I10" i="11"/>
  <c r="H10" i="11"/>
  <c r="G10" i="11"/>
  <c r="F10" i="11"/>
  <c r="E10" i="11"/>
  <c r="K9" i="11"/>
  <c r="J9" i="11"/>
  <c r="I9" i="11"/>
  <c r="H9" i="11"/>
  <c r="G9" i="11"/>
  <c r="F9" i="11"/>
  <c r="E9" i="11"/>
  <c r="K8" i="11"/>
  <c r="J8" i="11"/>
  <c r="I8" i="11"/>
  <c r="H8" i="11"/>
  <c r="G8" i="11"/>
  <c r="F8" i="11"/>
  <c r="E8" i="11"/>
  <c r="K7" i="11"/>
  <c r="L7" i="11" s="1"/>
  <c r="J7" i="11"/>
  <c r="I7" i="11"/>
  <c r="H7" i="11"/>
  <c r="G7" i="11"/>
  <c r="F7" i="11"/>
  <c r="E7" i="11"/>
  <c r="K6" i="11"/>
  <c r="L6" i="11" s="1"/>
  <c r="J6" i="11"/>
  <c r="I6" i="11"/>
  <c r="H6" i="11"/>
  <c r="G6" i="11"/>
  <c r="F6" i="11"/>
  <c r="E6" i="11"/>
  <c r="K5" i="11"/>
  <c r="L5" i="11" s="1"/>
  <c r="J5" i="11"/>
  <c r="I5" i="11"/>
  <c r="H5" i="11"/>
  <c r="G5" i="11"/>
  <c r="F5" i="11"/>
  <c r="E5" i="11"/>
  <c r="E24" i="10"/>
  <c r="D24" i="10"/>
  <c r="C38" i="9"/>
  <c r="E37" i="9"/>
  <c r="D37" i="9"/>
  <c r="C37" i="9"/>
  <c r="E36" i="9"/>
  <c r="D36" i="9"/>
  <c r="C36" i="9"/>
  <c r="C12" i="9"/>
  <c r="E59" i="8"/>
  <c r="G56" i="8"/>
  <c r="G55" i="8"/>
  <c r="I54" i="8"/>
  <c r="G54" i="8"/>
  <c r="H53" i="8"/>
  <c r="G53" i="8"/>
  <c r="G52" i="8"/>
  <c r="G51" i="8"/>
  <c r="E31" i="8"/>
  <c r="D31" i="8"/>
  <c r="E20" i="8"/>
  <c r="E34" i="9" s="1"/>
  <c r="D20" i="8"/>
  <c r="D34" i="9" s="1"/>
  <c r="C20" i="8"/>
  <c r="C34" i="9" s="1"/>
  <c r="H6" i="8"/>
  <c r="G6" i="8"/>
  <c r="F6" i="8"/>
  <c r="E6" i="8"/>
  <c r="D6" i="8"/>
  <c r="C6" i="8"/>
  <c r="J83" i="7"/>
  <c r="J82" i="7"/>
  <c r="J75" i="7"/>
  <c r="J69" i="7"/>
  <c r="J58" i="7"/>
  <c r="J57" i="7"/>
  <c r="J50" i="7"/>
  <c r="J43" i="7"/>
  <c r="J32" i="7"/>
  <c r="J31" i="7"/>
  <c r="J23" i="7"/>
  <c r="J15" i="7"/>
  <c r="F27" i="6"/>
  <c r="E27" i="6"/>
  <c r="H26" i="6"/>
  <c r="G26" i="6"/>
  <c r="I56" i="8" s="1"/>
  <c r="H25" i="6"/>
  <c r="G25" i="6"/>
  <c r="I55" i="8" s="1"/>
  <c r="H24" i="6"/>
  <c r="H27" i="6" s="1"/>
  <c r="G24" i="6"/>
  <c r="H23" i="6"/>
  <c r="G23" i="6"/>
  <c r="I53" i="8" s="1"/>
  <c r="H22" i="6"/>
  <c r="G22" i="6"/>
  <c r="I52" i="8" s="1"/>
  <c r="H21" i="6"/>
  <c r="G21" i="6"/>
  <c r="I51" i="8" s="1"/>
  <c r="F19" i="6"/>
  <c r="E19" i="6"/>
  <c r="H18" i="6"/>
  <c r="G18" i="6"/>
  <c r="H17" i="6"/>
  <c r="G17" i="6"/>
  <c r="H16" i="6"/>
  <c r="H19" i="6" s="1"/>
  <c r="G16" i="6"/>
  <c r="H15" i="6"/>
  <c r="G15" i="6"/>
  <c r="H14" i="6"/>
  <c r="G14" i="6"/>
  <c r="H13" i="6"/>
  <c r="G13" i="6"/>
  <c r="G19" i="6" s="1"/>
  <c r="F11" i="6"/>
  <c r="E11" i="6"/>
  <c r="H10" i="6"/>
  <c r="G10" i="6"/>
  <c r="H56" i="8" s="1"/>
  <c r="H9" i="6"/>
  <c r="G9" i="6"/>
  <c r="H55" i="8" s="1"/>
  <c r="H8" i="6"/>
  <c r="H11" i="6" s="1"/>
  <c r="G8" i="6"/>
  <c r="H54" i="8" s="1"/>
  <c r="H7" i="6"/>
  <c r="G7" i="6"/>
  <c r="H6" i="6"/>
  <c r="G6" i="6"/>
  <c r="H52" i="8" s="1"/>
  <c r="H5" i="6"/>
  <c r="G5" i="6"/>
  <c r="G11" i="6" s="1"/>
  <c r="J69" i="5"/>
  <c r="J59" i="5"/>
  <c r="J49" i="5"/>
  <c r="J38" i="5"/>
  <c r="J27" i="5"/>
  <c r="J15" i="5"/>
  <c r="J10" i="4"/>
  <c r="I10" i="4"/>
  <c r="K10" i="4" s="1"/>
  <c r="D10" i="4"/>
  <c r="J9" i="4"/>
  <c r="I9" i="4"/>
  <c r="K9" i="4" s="1"/>
  <c r="D9" i="4"/>
  <c r="J8" i="4"/>
  <c r="I8" i="4"/>
  <c r="K8" i="4" s="1"/>
  <c r="D8" i="4"/>
  <c r="J7" i="4"/>
  <c r="I7" i="4"/>
  <c r="K7" i="4" s="1"/>
  <c r="E7" i="4"/>
  <c r="D7" i="4"/>
  <c r="J6" i="4"/>
  <c r="I6" i="4"/>
  <c r="K6" i="4" s="1"/>
  <c r="D6" i="4"/>
  <c r="J5" i="4"/>
  <c r="J11" i="4" s="1"/>
  <c r="I5" i="4"/>
  <c r="I11" i="4" s="1"/>
  <c r="D5" i="4"/>
  <c r="D11" i="4" s="1"/>
  <c r="AF146" i="3"/>
  <c r="AE146" i="3"/>
  <c r="AD146" i="3"/>
  <c r="AC146" i="3"/>
  <c r="AB146" i="3"/>
  <c r="AA146" i="3"/>
  <c r="AF145" i="3"/>
  <c r="AE145" i="3"/>
  <c r="AD145" i="3"/>
  <c r="AC145" i="3"/>
  <c r="AB145" i="3"/>
  <c r="AA145" i="3"/>
  <c r="AF144" i="3"/>
  <c r="AE144" i="3"/>
  <c r="AD144" i="3"/>
  <c r="AC144" i="3"/>
  <c r="AB144" i="3"/>
  <c r="AA144" i="3"/>
  <c r="AF143" i="3"/>
  <c r="AE143" i="3"/>
  <c r="AD143" i="3"/>
  <c r="AC143" i="3"/>
  <c r="AB143" i="3"/>
  <c r="AA143" i="3"/>
  <c r="AF142" i="3"/>
  <c r="AE142" i="3"/>
  <c r="AD142" i="3"/>
  <c r="AC142" i="3"/>
  <c r="AB142" i="3"/>
  <c r="AA142" i="3"/>
  <c r="AF141" i="3"/>
  <c r="AE141" i="3"/>
  <c r="AD141" i="3"/>
  <c r="AC141" i="3"/>
  <c r="AB141" i="3"/>
  <c r="AA141" i="3"/>
  <c r="AF140" i="3"/>
  <c r="AE140" i="3"/>
  <c r="AD140" i="3"/>
  <c r="AC140" i="3"/>
  <c r="AB140" i="3"/>
  <c r="AA140" i="3"/>
  <c r="AF139" i="3"/>
  <c r="AE139" i="3"/>
  <c r="AD139" i="3"/>
  <c r="AC139" i="3"/>
  <c r="AB139" i="3"/>
  <c r="AA139" i="3"/>
  <c r="AF138" i="3"/>
  <c r="AE138" i="3"/>
  <c r="AD138" i="3"/>
  <c r="AC138" i="3"/>
  <c r="AB138" i="3"/>
  <c r="AA138" i="3"/>
  <c r="AF137" i="3"/>
  <c r="AE137" i="3"/>
  <c r="AD137" i="3"/>
  <c r="AC137" i="3"/>
  <c r="AB137" i="3"/>
  <c r="AA137" i="3"/>
  <c r="AF136" i="3"/>
  <c r="AE136" i="3"/>
  <c r="AD136" i="3"/>
  <c r="AC136" i="3"/>
  <c r="AB136" i="3"/>
  <c r="AA136" i="3"/>
  <c r="AF135" i="3"/>
  <c r="AE135" i="3"/>
  <c r="AD135" i="3"/>
  <c r="AC135" i="3"/>
  <c r="AB135" i="3"/>
  <c r="AA135" i="3"/>
  <c r="AF134" i="3"/>
  <c r="AE134" i="3"/>
  <c r="AD134" i="3"/>
  <c r="AC134" i="3"/>
  <c r="AB134" i="3"/>
  <c r="AA134" i="3"/>
  <c r="AF133" i="3"/>
  <c r="AE133" i="3"/>
  <c r="AD133" i="3"/>
  <c r="AC133" i="3"/>
  <c r="AB133" i="3"/>
  <c r="AA133" i="3"/>
  <c r="AF132" i="3"/>
  <c r="AE132" i="3"/>
  <c r="AD132" i="3"/>
  <c r="AC132" i="3"/>
  <c r="AB132" i="3"/>
  <c r="AA132" i="3"/>
  <c r="AF131" i="3"/>
  <c r="AE131" i="3"/>
  <c r="AD131" i="3"/>
  <c r="AC131" i="3"/>
  <c r="AB131" i="3"/>
  <c r="AA131" i="3"/>
  <c r="AF130" i="3"/>
  <c r="AE130" i="3"/>
  <c r="AD130" i="3"/>
  <c r="AC130" i="3"/>
  <c r="AB130" i="3"/>
  <c r="AA130" i="3"/>
  <c r="AF129" i="3"/>
  <c r="AE129" i="3"/>
  <c r="AD129" i="3"/>
  <c r="AC129" i="3"/>
  <c r="AB129" i="3"/>
  <c r="AA129" i="3"/>
  <c r="AF128" i="3"/>
  <c r="AE128" i="3"/>
  <c r="AD128" i="3"/>
  <c r="AC128" i="3"/>
  <c r="AB128" i="3"/>
  <c r="AA128" i="3"/>
  <c r="AF127" i="3"/>
  <c r="AE127" i="3"/>
  <c r="AD127" i="3"/>
  <c r="AC127" i="3"/>
  <c r="AB127" i="3"/>
  <c r="AA127" i="3"/>
  <c r="AF126" i="3"/>
  <c r="AE126" i="3"/>
  <c r="AD126" i="3"/>
  <c r="AC126" i="3"/>
  <c r="AB126" i="3"/>
  <c r="AA126" i="3"/>
  <c r="AF125" i="3"/>
  <c r="AE125" i="3"/>
  <c r="AD125" i="3"/>
  <c r="AC125" i="3"/>
  <c r="AB125" i="3"/>
  <c r="AA125" i="3"/>
  <c r="AF124" i="3"/>
  <c r="AE124" i="3"/>
  <c r="AD124" i="3"/>
  <c r="AC124" i="3"/>
  <c r="AB124" i="3"/>
  <c r="AA124" i="3"/>
  <c r="AF123" i="3"/>
  <c r="AE123" i="3"/>
  <c r="AD123" i="3"/>
  <c r="AC123" i="3"/>
  <c r="AB123" i="3"/>
  <c r="AA123" i="3"/>
  <c r="AF122" i="3"/>
  <c r="AE122" i="3"/>
  <c r="AD122" i="3"/>
  <c r="AC122" i="3"/>
  <c r="AB122" i="3"/>
  <c r="AA122" i="3"/>
  <c r="AF121" i="3"/>
  <c r="AE121" i="3"/>
  <c r="AD121" i="3"/>
  <c r="AC121" i="3"/>
  <c r="AB121" i="3"/>
  <c r="AA121" i="3"/>
  <c r="AF120" i="3"/>
  <c r="AE120" i="3"/>
  <c r="AD120" i="3"/>
  <c r="AC120" i="3"/>
  <c r="AB120" i="3"/>
  <c r="AA120" i="3"/>
  <c r="AF119" i="3"/>
  <c r="AE119" i="3"/>
  <c r="AD119" i="3"/>
  <c r="AC119" i="3"/>
  <c r="AB119" i="3"/>
  <c r="AA119" i="3"/>
  <c r="AF118" i="3"/>
  <c r="AE118" i="3"/>
  <c r="AD118" i="3"/>
  <c r="AC118" i="3"/>
  <c r="AB118" i="3"/>
  <c r="AA118" i="3"/>
  <c r="AF117" i="3"/>
  <c r="AE117" i="3"/>
  <c r="AD117" i="3"/>
  <c r="AC117" i="3"/>
  <c r="AB117" i="3"/>
  <c r="AA117" i="3"/>
  <c r="AF116" i="3"/>
  <c r="AE116" i="3"/>
  <c r="AD116" i="3"/>
  <c r="AC116" i="3"/>
  <c r="AB116" i="3"/>
  <c r="AA116" i="3"/>
  <c r="AF115" i="3"/>
  <c r="AE115" i="3"/>
  <c r="AD115" i="3"/>
  <c r="AC115" i="3"/>
  <c r="AB115" i="3"/>
  <c r="AA115" i="3"/>
  <c r="AF114" i="3"/>
  <c r="AE114" i="3"/>
  <c r="AD114" i="3"/>
  <c r="AC114" i="3"/>
  <c r="AB114" i="3"/>
  <c r="AA114" i="3"/>
  <c r="AF113" i="3"/>
  <c r="AE113" i="3"/>
  <c r="AD113" i="3"/>
  <c r="AC113" i="3"/>
  <c r="AB113" i="3"/>
  <c r="AA113" i="3"/>
  <c r="AF112" i="3"/>
  <c r="AE112" i="3"/>
  <c r="AD112" i="3"/>
  <c r="AC112" i="3"/>
  <c r="AB112" i="3"/>
  <c r="AA112" i="3"/>
  <c r="AF111" i="3"/>
  <c r="AE111" i="3"/>
  <c r="AD111" i="3"/>
  <c r="AC111" i="3"/>
  <c r="AB111" i="3"/>
  <c r="AA111" i="3"/>
  <c r="AF110" i="3"/>
  <c r="AE110" i="3"/>
  <c r="AD110" i="3"/>
  <c r="AC110" i="3"/>
  <c r="AB110" i="3"/>
  <c r="AA110" i="3"/>
  <c r="AF109" i="3"/>
  <c r="AE109" i="3"/>
  <c r="AD109" i="3"/>
  <c r="AC109" i="3"/>
  <c r="AB109" i="3"/>
  <c r="AA109" i="3"/>
  <c r="AF108" i="3"/>
  <c r="AE108" i="3"/>
  <c r="AD108" i="3"/>
  <c r="AC108" i="3"/>
  <c r="AB108" i="3"/>
  <c r="AA108" i="3"/>
  <c r="AF107" i="3"/>
  <c r="AE107" i="3"/>
  <c r="AD107" i="3"/>
  <c r="AC107" i="3"/>
  <c r="AB107" i="3"/>
  <c r="AA107" i="3"/>
  <c r="AF106" i="3"/>
  <c r="AE106" i="3"/>
  <c r="AD106" i="3"/>
  <c r="AC106" i="3"/>
  <c r="AB106" i="3"/>
  <c r="AA106" i="3"/>
  <c r="AF105" i="3"/>
  <c r="AE105" i="3"/>
  <c r="AD105" i="3"/>
  <c r="AC105" i="3"/>
  <c r="AB105" i="3"/>
  <c r="AA105" i="3"/>
  <c r="AF104" i="3"/>
  <c r="AE104" i="3"/>
  <c r="AD104" i="3"/>
  <c r="AC104" i="3"/>
  <c r="AB104" i="3"/>
  <c r="AA104" i="3"/>
  <c r="AF103" i="3"/>
  <c r="AE103" i="3"/>
  <c r="AD103" i="3"/>
  <c r="AC103" i="3"/>
  <c r="AB103" i="3"/>
  <c r="AA103" i="3"/>
  <c r="AF102" i="3"/>
  <c r="AE102" i="3"/>
  <c r="AD102" i="3"/>
  <c r="AC102" i="3"/>
  <c r="AB102" i="3"/>
  <c r="AA102" i="3"/>
  <c r="AF101" i="3"/>
  <c r="AE101" i="3"/>
  <c r="AD101" i="3"/>
  <c r="AC101" i="3"/>
  <c r="AB101" i="3"/>
  <c r="AA101" i="3"/>
  <c r="AF100" i="3"/>
  <c r="AE100" i="3"/>
  <c r="AD100" i="3"/>
  <c r="AC100" i="3"/>
  <c r="AB100" i="3"/>
  <c r="AA100" i="3"/>
  <c r="AF99" i="3"/>
  <c r="AE99" i="3"/>
  <c r="AD99" i="3"/>
  <c r="AC99" i="3"/>
  <c r="AB99" i="3"/>
  <c r="AA99" i="3"/>
  <c r="AF98" i="3"/>
  <c r="AE98" i="3"/>
  <c r="AD98" i="3"/>
  <c r="AC98" i="3"/>
  <c r="AB98" i="3"/>
  <c r="AA98" i="3"/>
  <c r="AF97" i="3"/>
  <c r="AE97" i="3"/>
  <c r="AD97" i="3"/>
  <c r="AC97" i="3"/>
  <c r="AB97" i="3"/>
  <c r="AA97" i="3"/>
  <c r="AF96" i="3"/>
  <c r="AE96" i="3"/>
  <c r="AD96" i="3"/>
  <c r="AC96" i="3"/>
  <c r="AB96" i="3"/>
  <c r="AA96" i="3"/>
  <c r="AF95" i="3"/>
  <c r="AE95" i="3"/>
  <c r="AD95" i="3"/>
  <c r="AC95" i="3"/>
  <c r="AB95" i="3"/>
  <c r="AA95" i="3"/>
  <c r="AF94" i="3"/>
  <c r="AE94" i="3"/>
  <c r="AD94" i="3"/>
  <c r="AC94" i="3"/>
  <c r="AB94" i="3"/>
  <c r="AA94" i="3"/>
  <c r="AF93" i="3"/>
  <c r="AE93" i="3"/>
  <c r="AD93" i="3"/>
  <c r="AC93" i="3"/>
  <c r="AB93" i="3"/>
  <c r="AA93" i="3"/>
  <c r="AF92" i="3"/>
  <c r="AE92" i="3"/>
  <c r="AD92" i="3"/>
  <c r="AC92" i="3"/>
  <c r="AB92" i="3"/>
  <c r="AA92" i="3"/>
  <c r="AF91" i="3"/>
  <c r="AE91" i="3"/>
  <c r="AD91" i="3"/>
  <c r="AC91" i="3"/>
  <c r="AB91" i="3"/>
  <c r="AA91" i="3"/>
  <c r="AF90" i="3"/>
  <c r="AE90" i="3"/>
  <c r="AD90" i="3"/>
  <c r="AC90" i="3"/>
  <c r="AB90" i="3"/>
  <c r="AA90" i="3"/>
  <c r="AF89" i="3"/>
  <c r="AE89" i="3"/>
  <c r="AD89" i="3"/>
  <c r="AC89" i="3"/>
  <c r="AB89" i="3"/>
  <c r="AA89" i="3"/>
  <c r="AF88" i="3"/>
  <c r="AE88" i="3"/>
  <c r="AD88" i="3"/>
  <c r="AC88" i="3"/>
  <c r="AB88" i="3"/>
  <c r="AA88" i="3"/>
  <c r="AF87" i="3"/>
  <c r="AE87" i="3"/>
  <c r="AD87" i="3"/>
  <c r="AC87" i="3"/>
  <c r="AB87" i="3"/>
  <c r="AA87" i="3"/>
  <c r="AF86" i="3"/>
  <c r="AE86" i="3"/>
  <c r="AD86" i="3"/>
  <c r="AC86" i="3"/>
  <c r="AB86" i="3"/>
  <c r="AA86" i="3"/>
  <c r="AF85" i="3"/>
  <c r="AE85" i="3"/>
  <c r="AD85" i="3"/>
  <c r="AC85" i="3"/>
  <c r="AB85" i="3"/>
  <c r="AA85" i="3"/>
  <c r="AF84" i="3"/>
  <c r="AE84" i="3"/>
  <c r="AD84" i="3"/>
  <c r="AC84" i="3"/>
  <c r="AB84" i="3"/>
  <c r="AA84" i="3"/>
  <c r="AF83" i="3"/>
  <c r="AE83" i="3"/>
  <c r="AD83" i="3"/>
  <c r="AC83" i="3"/>
  <c r="AB83" i="3"/>
  <c r="AA83" i="3"/>
  <c r="AF82" i="3"/>
  <c r="AE82" i="3"/>
  <c r="AD82" i="3"/>
  <c r="AC82" i="3"/>
  <c r="AB82" i="3"/>
  <c r="AA82" i="3"/>
  <c r="AF81" i="3"/>
  <c r="AE81" i="3"/>
  <c r="AD81" i="3"/>
  <c r="AC81" i="3"/>
  <c r="AB81" i="3"/>
  <c r="AA81" i="3"/>
  <c r="AF80" i="3"/>
  <c r="AE80" i="3"/>
  <c r="AD80" i="3"/>
  <c r="AC80" i="3"/>
  <c r="AB80" i="3"/>
  <c r="AA80" i="3"/>
  <c r="AF79" i="3"/>
  <c r="AE79" i="3"/>
  <c r="AD79" i="3"/>
  <c r="AC79" i="3"/>
  <c r="AB79" i="3"/>
  <c r="AA79" i="3"/>
  <c r="AF78" i="3"/>
  <c r="AE78" i="3"/>
  <c r="AD78" i="3"/>
  <c r="AC78" i="3"/>
  <c r="AB78" i="3"/>
  <c r="AA78" i="3"/>
  <c r="AF77" i="3"/>
  <c r="AE77" i="3"/>
  <c r="AD77" i="3"/>
  <c r="AC77" i="3"/>
  <c r="AB77" i="3"/>
  <c r="AA77" i="3"/>
  <c r="AF76" i="3"/>
  <c r="AE76" i="3"/>
  <c r="AD76" i="3"/>
  <c r="AC76" i="3"/>
  <c r="AB76" i="3"/>
  <c r="AA76" i="3"/>
  <c r="AF75" i="3"/>
  <c r="AE75" i="3"/>
  <c r="AD75" i="3"/>
  <c r="AC75" i="3"/>
  <c r="AB75" i="3"/>
  <c r="AA75" i="3"/>
  <c r="AF74" i="3"/>
  <c r="AE74" i="3"/>
  <c r="AD74" i="3"/>
  <c r="AC74" i="3"/>
  <c r="AB74" i="3"/>
  <c r="AA74" i="3"/>
  <c r="AF73" i="3"/>
  <c r="AE73" i="3"/>
  <c r="AD73" i="3"/>
  <c r="AC73" i="3"/>
  <c r="AB73" i="3"/>
  <c r="AA73" i="3"/>
  <c r="AF72" i="3"/>
  <c r="AE72" i="3"/>
  <c r="AD72" i="3"/>
  <c r="AC72" i="3"/>
  <c r="AB72" i="3"/>
  <c r="AA72" i="3"/>
  <c r="AF71" i="3"/>
  <c r="AE71" i="3"/>
  <c r="AD71" i="3"/>
  <c r="AC71" i="3"/>
  <c r="AB71" i="3"/>
  <c r="AA71" i="3"/>
  <c r="AF70" i="3"/>
  <c r="AE70" i="3"/>
  <c r="AD70" i="3"/>
  <c r="AC70" i="3"/>
  <c r="AB70" i="3"/>
  <c r="AA70" i="3"/>
  <c r="AF69" i="3"/>
  <c r="AE69" i="3"/>
  <c r="AD69" i="3"/>
  <c r="AC69" i="3"/>
  <c r="AB69" i="3"/>
  <c r="AA69" i="3"/>
  <c r="AF68" i="3"/>
  <c r="AE68" i="3"/>
  <c r="AD68" i="3"/>
  <c r="AC68" i="3"/>
  <c r="AB68" i="3"/>
  <c r="AA68" i="3"/>
  <c r="AF67" i="3"/>
  <c r="AE67" i="3"/>
  <c r="AD67" i="3"/>
  <c r="AC67" i="3"/>
  <c r="AB67" i="3"/>
  <c r="AA67" i="3"/>
  <c r="AF66" i="3"/>
  <c r="AE66" i="3"/>
  <c r="AD66" i="3"/>
  <c r="AC66" i="3"/>
  <c r="AB66" i="3"/>
  <c r="AA66" i="3"/>
  <c r="AF65" i="3"/>
  <c r="AE65" i="3"/>
  <c r="AD65" i="3"/>
  <c r="AC65" i="3"/>
  <c r="AB65" i="3"/>
  <c r="AA65" i="3"/>
  <c r="AF64" i="3"/>
  <c r="AE64" i="3"/>
  <c r="AD64" i="3"/>
  <c r="E9" i="4" s="1"/>
  <c r="AC64" i="3"/>
  <c r="AB64" i="3"/>
  <c r="AA64" i="3"/>
  <c r="AF63" i="3"/>
  <c r="AE63" i="3"/>
  <c r="AD63" i="3"/>
  <c r="AC63" i="3"/>
  <c r="AB63" i="3"/>
  <c r="AA63" i="3"/>
  <c r="AF62" i="3"/>
  <c r="AE62" i="3"/>
  <c r="AD62" i="3"/>
  <c r="AC62" i="3"/>
  <c r="AB62" i="3"/>
  <c r="AA62" i="3"/>
  <c r="AF61" i="3"/>
  <c r="AE61" i="3"/>
  <c r="AD61" i="3"/>
  <c r="AC61" i="3"/>
  <c r="AB61" i="3"/>
  <c r="AA61" i="3"/>
  <c r="AF60" i="3"/>
  <c r="AE60" i="3"/>
  <c r="AD60" i="3"/>
  <c r="AC60" i="3"/>
  <c r="AB60" i="3"/>
  <c r="AA60" i="3"/>
  <c r="AF59" i="3"/>
  <c r="AE59" i="3"/>
  <c r="AD59" i="3"/>
  <c r="AC59" i="3"/>
  <c r="AB59" i="3"/>
  <c r="AA59" i="3"/>
  <c r="AF58" i="3"/>
  <c r="AE58" i="3"/>
  <c r="AD58" i="3"/>
  <c r="AC58" i="3"/>
  <c r="AB58" i="3"/>
  <c r="AA58" i="3"/>
  <c r="AF57" i="3"/>
  <c r="AE57" i="3"/>
  <c r="AD57" i="3"/>
  <c r="AC57" i="3"/>
  <c r="AB57" i="3"/>
  <c r="AA57" i="3"/>
  <c r="AF56" i="3"/>
  <c r="AE56" i="3"/>
  <c r="AD56" i="3"/>
  <c r="AC56" i="3"/>
  <c r="AB56" i="3"/>
  <c r="AA56" i="3"/>
  <c r="AF55" i="3"/>
  <c r="AE55" i="3"/>
  <c r="AD55" i="3"/>
  <c r="AC55" i="3"/>
  <c r="AB55" i="3"/>
  <c r="AA55" i="3"/>
  <c r="AF54" i="3"/>
  <c r="AE54" i="3"/>
  <c r="AD54" i="3"/>
  <c r="AC54" i="3"/>
  <c r="AB54" i="3"/>
  <c r="AA54" i="3"/>
  <c r="AF53" i="3"/>
  <c r="AE53" i="3"/>
  <c r="AD53" i="3"/>
  <c r="AC53" i="3"/>
  <c r="AB53" i="3"/>
  <c r="AA53" i="3"/>
  <c r="AF52" i="3"/>
  <c r="AE52" i="3"/>
  <c r="AD52" i="3"/>
  <c r="AC52" i="3"/>
  <c r="AB52" i="3"/>
  <c r="AA52" i="3"/>
  <c r="AF51" i="3"/>
  <c r="AE51" i="3"/>
  <c r="AD51" i="3"/>
  <c r="AC51" i="3"/>
  <c r="AB51" i="3"/>
  <c r="AA51" i="3"/>
  <c r="AF50" i="3"/>
  <c r="AE50" i="3"/>
  <c r="AD50" i="3"/>
  <c r="AC50" i="3"/>
  <c r="AB50" i="3"/>
  <c r="AA50" i="3"/>
  <c r="AF49" i="3"/>
  <c r="AE49" i="3"/>
  <c r="AD49" i="3"/>
  <c r="AC49" i="3"/>
  <c r="AB49" i="3"/>
  <c r="AA49" i="3"/>
  <c r="AF48" i="3"/>
  <c r="AE48" i="3"/>
  <c r="AD48" i="3"/>
  <c r="AC48" i="3"/>
  <c r="AB48" i="3"/>
  <c r="AA48" i="3"/>
  <c r="AF47" i="3"/>
  <c r="AE47" i="3"/>
  <c r="AD47" i="3"/>
  <c r="AC47" i="3"/>
  <c r="AB47" i="3"/>
  <c r="AA47" i="3"/>
  <c r="AF46" i="3"/>
  <c r="AE46" i="3"/>
  <c r="AD46" i="3"/>
  <c r="AC46" i="3"/>
  <c r="AB46" i="3"/>
  <c r="AA46" i="3"/>
  <c r="AF45" i="3"/>
  <c r="AE45" i="3"/>
  <c r="AD45" i="3"/>
  <c r="AC45" i="3"/>
  <c r="AB45" i="3"/>
  <c r="AA45" i="3"/>
  <c r="AF44" i="3"/>
  <c r="AE44" i="3"/>
  <c r="AD44" i="3"/>
  <c r="AC44" i="3"/>
  <c r="AB44" i="3"/>
  <c r="AA44" i="3"/>
  <c r="AF43" i="3"/>
  <c r="AE43" i="3"/>
  <c r="AD43" i="3"/>
  <c r="AC43" i="3"/>
  <c r="AB43" i="3"/>
  <c r="AA43" i="3"/>
  <c r="AF42" i="3"/>
  <c r="AE42" i="3"/>
  <c r="AD42" i="3"/>
  <c r="AC42" i="3"/>
  <c r="AB42" i="3"/>
  <c r="AA42" i="3"/>
  <c r="AF41" i="3"/>
  <c r="AE41" i="3"/>
  <c r="AD41" i="3"/>
  <c r="AC41" i="3"/>
  <c r="AB41" i="3"/>
  <c r="AA41" i="3"/>
  <c r="AF40" i="3"/>
  <c r="AE40" i="3"/>
  <c r="AD40" i="3"/>
  <c r="AC40" i="3"/>
  <c r="AB40" i="3"/>
  <c r="AA40" i="3"/>
  <c r="AF39" i="3"/>
  <c r="AE39" i="3"/>
  <c r="AD39" i="3"/>
  <c r="AC39" i="3"/>
  <c r="AB39" i="3"/>
  <c r="AA39" i="3"/>
  <c r="AF38" i="3"/>
  <c r="AE38" i="3"/>
  <c r="AD38" i="3"/>
  <c r="E18" i="2" s="1"/>
  <c r="AC38" i="3"/>
  <c r="AB38" i="3"/>
  <c r="AA38" i="3"/>
  <c r="AF37" i="3"/>
  <c r="AE37" i="3"/>
  <c r="AD37" i="3"/>
  <c r="AC37" i="3"/>
  <c r="AB37" i="3"/>
  <c r="AA37" i="3"/>
  <c r="AF36" i="3"/>
  <c r="AE36" i="3"/>
  <c r="AD36" i="3"/>
  <c r="AC36" i="3"/>
  <c r="AB36" i="3"/>
  <c r="AA36" i="3"/>
  <c r="AF35" i="3"/>
  <c r="AE35" i="3"/>
  <c r="AD35" i="3"/>
  <c r="AC35" i="3"/>
  <c r="AB35" i="3"/>
  <c r="AA35" i="3"/>
  <c r="AF34" i="3"/>
  <c r="AE34" i="3"/>
  <c r="AD34" i="3"/>
  <c r="AC34" i="3"/>
  <c r="AB34" i="3"/>
  <c r="AA34" i="3"/>
  <c r="AF33" i="3"/>
  <c r="AE33" i="3"/>
  <c r="AD33" i="3"/>
  <c r="AC33" i="3"/>
  <c r="AB33" i="3"/>
  <c r="AA33" i="3"/>
  <c r="AF32" i="3"/>
  <c r="AE32" i="3"/>
  <c r="AD32" i="3"/>
  <c r="AC32" i="3"/>
  <c r="AB32" i="3"/>
  <c r="AA32" i="3"/>
  <c r="AF31" i="3"/>
  <c r="AE31" i="3"/>
  <c r="AD31" i="3"/>
  <c r="AC31" i="3"/>
  <c r="AB31" i="3"/>
  <c r="AA31" i="3"/>
  <c r="AF30" i="3"/>
  <c r="AE30" i="3"/>
  <c r="AD30" i="3"/>
  <c r="AC30" i="3"/>
  <c r="AB30" i="3"/>
  <c r="AA30" i="3"/>
  <c r="AF29" i="3"/>
  <c r="AE29" i="3"/>
  <c r="AD29" i="3"/>
  <c r="AC29" i="3"/>
  <c r="AB29" i="3"/>
  <c r="AA29" i="3"/>
  <c r="AF28" i="3"/>
  <c r="AE28" i="3"/>
  <c r="AD28" i="3"/>
  <c r="AC28" i="3"/>
  <c r="AB28" i="3"/>
  <c r="AA28" i="3"/>
  <c r="AF27" i="3"/>
  <c r="F9" i="4" s="1"/>
  <c r="AE27" i="3"/>
  <c r="AD27" i="3"/>
  <c r="AC27" i="3"/>
  <c r="AB27" i="3"/>
  <c r="AA27" i="3"/>
  <c r="AF26" i="3"/>
  <c r="AE26" i="3"/>
  <c r="AD26" i="3"/>
  <c r="AC26" i="3"/>
  <c r="AB26" i="3"/>
  <c r="AA26" i="3"/>
  <c r="AF25" i="3"/>
  <c r="AE25" i="3"/>
  <c r="AD25" i="3"/>
  <c r="AC25" i="3"/>
  <c r="AB25" i="3"/>
  <c r="AA25" i="3"/>
  <c r="AF24" i="3"/>
  <c r="AE24" i="3"/>
  <c r="AD24" i="3"/>
  <c r="AC24" i="3"/>
  <c r="AB24" i="3"/>
  <c r="AA24" i="3"/>
  <c r="AF23" i="3"/>
  <c r="AE23" i="3"/>
  <c r="AD23" i="3"/>
  <c r="AC23" i="3"/>
  <c r="AB23" i="3"/>
  <c r="AA23" i="3"/>
  <c r="AF22" i="3"/>
  <c r="AE22" i="3"/>
  <c r="AD22" i="3"/>
  <c r="AC22" i="3"/>
  <c r="AB22" i="3"/>
  <c r="AA22" i="3"/>
  <c r="AF21" i="3"/>
  <c r="AE21" i="3"/>
  <c r="AD21" i="3"/>
  <c r="AC21" i="3"/>
  <c r="AB21" i="3"/>
  <c r="AA21" i="3"/>
  <c r="AF20" i="3"/>
  <c r="AE20" i="3"/>
  <c r="AD20" i="3"/>
  <c r="AC20" i="3"/>
  <c r="AB20" i="3"/>
  <c r="AA20" i="3"/>
  <c r="AF19" i="3"/>
  <c r="AE19" i="3"/>
  <c r="AD19" i="3"/>
  <c r="AC19" i="3"/>
  <c r="AB19" i="3"/>
  <c r="AA19" i="3"/>
  <c r="AF18" i="3"/>
  <c r="AE18" i="3"/>
  <c r="AD18" i="3"/>
  <c r="AC18" i="3"/>
  <c r="AB18" i="3"/>
  <c r="AA18" i="3"/>
  <c r="AF17" i="3"/>
  <c r="AE17" i="3"/>
  <c r="AD17" i="3"/>
  <c r="AC17" i="3"/>
  <c r="AB17" i="3"/>
  <c r="AA17" i="3"/>
  <c r="AF16" i="3"/>
  <c r="AE16" i="3"/>
  <c r="AD16" i="3"/>
  <c r="AC16" i="3"/>
  <c r="AB16" i="3"/>
  <c r="AA16" i="3"/>
  <c r="AF15" i="3"/>
  <c r="AE15" i="3"/>
  <c r="AD15" i="3"/>
  <c r="AC15" i="3"/>
  <c r="AB15" i="3"/>
  <c r="AA15" i="3"/>
  <c r="AF14" i="3"/>
  <c r="AE14" i="3"/>
  <c r="AD14" i="3"/>
  <c r="AC14" i="3"/>
  <c r="AB14" i="3"/>
  <c r="AA14" i="3"/>
  <c r="AF13" i="3"/>
  <c r="F10" i="4" s="1"/>
  <c r="AE13" i="3"/>
  <c r="AD13" i="3"/>
  <c r="E10" i="4" s="1"/>
  <c r="AC13" i="3"/>
  <c r="AB13" i="3"/>
  <c r="AA13" i="3"/>
  <c r="AF12" i="3"/>
  <c r="AE12" i="3"/>
  <c r="AD12" i="3"/>
  <c r="AC12" i="3"/>
  <c r="AB12" i="3"/>
  <c r="AA12" i="3"/>
  <c r="AF11" i="3"/>
  <c r="F7" i="4" s="1"/>
  <c r="AE11" i="3"/>
  <c r="AD11" i="3"/>
  <c r="AC11" i="3"/>
  <c r="AB11" i="3"/>
  <c r="AA11" i="3"/>
  <c r="AF10" i="3"/>
  <c r="AE10" i="3"/>
  <c r="AD10" i="3"/>
  <c r="AC10" i="3"/>
  <c r="AB10" i="3"/>
  <c r="AA10" i="3"/>
  <c r="AF9" i="3"/>
  <c r="F8" i="4" s="1"/>
  <c r="AE9" i="3"/>
  <c r="AD9" i="3"/>
  <c r="E8" i="4" s="1"/>
  <c r="AC9" i="3"/>
  <c r="AB9" i="3"/>
  <c r="AA9" i="3"/>
  <c r="AF8" i="3"/>
  <c r="AE8" i="3"/>
  <c r="AD8" i="3"/>
  <c r="E6" i="4" s="1"/>
  <c r="AC8" i="3"/>
  <c r="AB8" i="3"/>
  <c r="AA8" i="3"/>
  <c r="C8" i="2" s="1"/>
  <c r="C8" i="9" s="1"/>
  <c r="AF7" i="3"/>
  <c r="F6" i="4" s="1"/>
  <c r="AE7" i="3"/>
  <c r="AD7" i="3"/>
  <c r="AC7" i="3"/>
  <c r="C10" i="2" s="1"/>
  <c r="C10" i="9" s="1"/>
  <c r="AB7" i="3"/>
  <c r="C9" i="2" s="1"/>
  <c r="C9" i="9" s="1"/>
  <c r="AA7" i="3"/>
  <c r="AF6" i="3"/>
  <c r="F5" i="4" s="1"/>
  <c r="AE6" i="3"/>
  <c r="AD6" i="3"/>
  <c r="E20" i="2" s="1"/>
  <c r="AC6" i="3"/>
  <c r="AB6" i="3"/>
  <c r="AA6" i="3"/>
  <c r="AF5" i="3"/>
  <c r="AE5" i="3"/>
  <c r="AD5" i="3"/>
  <c r="AC5" i="3"/>
  <c r="AB5" i="3"/>
  <c r="AA5" i="3"/>
  <c r="N74" i="2"/>
  <c r="M74" i="2"/>
  <c r="L74" i="2"/>
  <c r="K74" i="2"/>
  <c r="J74" i="2"/>
  <c r="N73" i="2"/>
  <c r="M73" i="2"/>
  <c r="L73" i="2"/>
  <c r="K73" i="2"/>
  <c r="J73" i="2"/>
  <c r="E69" i="2"/>
  <c r="E38" i="9" s="1"/>
  <c r="C47" i="9" s="1"/>
  <c r="D69" i="2"/>
  <c r="D38" i="9" s="1"/>
  <c r="C69" i="2"/>
  <c r="F42" i="2"/>
  <c r="E42" i="2"/>
  <c r="D42" i="2"/>
  <c r="C42" i="2"/>
  <c r="C31" i="2"/>
  <c r="D20" i="2"/>
  <c r="E19" i="2"/>
  <c r="D19" i="2"/>
  <c r="D18" i="2"/>
  <c r="E17" i="2"/>
  <c r="D17" i="2"/>
  <c r="D21" i="2" s="1"/>
  <c r="C11" i="2"/>
  <c r="C6" i="2"/>
  <c r="C6" i="9" s="1"/>
  <c r="C58" i="8" l="1"/>
  <c r="D57" i="8"/>
  <c r="D46" i="8"/>
  <c r="E46" i="8"/>
  <c r="L67" i="11"/>
  <c r="L75" i="11"/>
  <c r="M75" i="11" s="1"/>
  <c r="L138" i="11"/>
  <c r="M138" i="11" s="1"/>
  <c r="C57" i="8"/>
  <c r="E11" i="8"/>
  <c r="E58" i="8"/>
  <c r="L82" i="11"/>
  <c r="L226" i="11"/>
  <c r="M226" i="11" s="1"/>
  <c r="L311" i="11"/>
  <c r="M311" i="11" s="1"/>
  <c r="L60" i="11"/>
  <c r="M60" i="11" s="1"/>
  <c r="L110" i="11"/>
  <c r="M110" i="11" s="1"/>
  <c r="L43" i="11"/>
  <c r="M43" i="11" s="1"/>
  <c r="L231" i="11"/>
  <c r="C11" i="8"/>
  <c r="C59" i="8"/>
  <c r="D11" i="8"/>
  <c r="E57" i="8"/>
  <c r="L117" i="11"/>
  <c r="M117" i="11" s="1"/>
  <c r="L144" i="11"/>
  <c r="M144" i="11" s="1"/>
  <c r="L168" i="11"/>
  <c r="M168" i="11" s="1"/>
  <c r="L176" i="11"/>
  <c r="L184" i="11"/>
  <c r="M184" i="11" s="1"/>
  <c r="L286" i="11"/>
  <c r="M286" i="11" s="1"/>
  <c r="L107" i="11"/>
  <c r="M107" i="11" s="1"/>
  <c r="L142" i="11"/>
  <c r="M142" i="11" s="1"/>
  <c r="L166" i="11"/>
  <c r="M166" i="11" s="1"/>
  <c r="L12" i="11"/>
  <c r="M12" i="11" s="1"/>
  <c r="L20" i="11"/>
  <c r="M20" i="11" s="1"/>
  <c r="L122" i="11"/>
  <c r="L149" i="11"/>
  <c r="M149" i="11" s="1"/>
  <c r="L189" i="11"/>
  <c r="M189" i="11" s="1"/>
  <c r="L199" i="11"/>
  <c r="M199" i="11" s="1"/>
  <c r="L91" i="11"/>
  <c r="M91" i="11" s="1"/>
  <c r="L293" i="11"/>
  <c r="M293" i="11" s="1"/>
  <c r="L51" i="11"/>
  <c r="M51" i="11" s="1"/>
  <c r="L218" i="11"/>
  <c r="M218" i="11" s="1"/>
  <c r="E19" i="8"/>
  <c r="E33" i="9" s="1"/>
  <c r="E40" i="9" s="1"/>
  <c r="D58" i="8"/>
  <c r="L9" i="11"/>
  <c r="L17" i="11"/>
  <c r="L25" i="11"/>
  <c r="M25" i="11" s="1"/>
  <c r="L35" i="11"/>
  <c r="M35" i="11" s="1"/>
  <c r="L48" i="11"/>
  <c r="M48" i="11" s="1"/>
  <c r="L59" i="11"/>
  <c r="M59" i="11" s="1"/>
  <c r="L96" i="11"/>
  <c r="L106" i="11"/>
  <c r="M106" i="11" s="1"/>
  <c r="L154" i="11"/>
  <c r="M154" i="11" s="1"/>
  <c r="L165" i="11"/>
  <c r="M165" i="11" s="1"/>
  <c r="L192" i="11"/>
  <c r="L216" i="11"/>
  <c r="M216" i="11" s="1"/>
  <c r="L247" i="11"/>
  <c r="M247" i="11" s="1"/>
  <c r="C46" i="8"/>
  <c r="L288" i="11"/>
  <c r="M288" i="11" s="1"/>
  <c r="L33" i="11"/>
  <c r="M33" i="11" s="1"/>
  <c r="M82" i="11"/>
  <c r="L103" i="11"/>
  <c r="M103" i="11" s="1"/>
  <c r="L114" i="11"/>
  <c r="M114" i="11" s="1"/>
  <c r="L134" i="11"/>
  <c r="M134" i="11" s="1"/>
  <c r="L152" i="11"/>
  <c r="M152" i="11" s="1"/>
  <c r="L181" i="11"/>
  <c r="M181" i="11" s="1"/>
  <c r="L202" i="11"/>
  <c r="M202" i="11" s="1"/>
  <c r="L214" i="11"/>
  <c r="M214" i="11" s="1"/>
  <c r="L222" i="11"/>
  <c r="M222" i="11" s="1"/>
  <c r="L245" i="11"/>
  <c r="M245" i="11" s="1"/>
  <c r="L296" i="11"/>
  <c r="M296" i="11" s="1"/>
  <c r="L11" i="11"/>
  <c r="M11" i="11" s="1"/>
  <c r="L24" i="11"/>
  <c r="M24" i="11" s="1"/>
  <c r="L36" i="11"/>
  <c r="M36" i="11" s="1"/>
  <c r="L49" i="11"/>
  <c r="M49" i="11" s="1"/>
  <c r="L62" i="11"/>
  <c r="M62" i="11" s="1"/>
  <c r="L85" i="11"/>
  <c r="M85" i="11" s="1"/>
  <c r="L120" i="11"/>
  <c r="M120" i="11" s="1"/>
  <c r="L133" i="11"/>
  <c r="M133" i="11" s="1"/>
  <c r="L155" i="11"/>
  <c r="M155" i="11" s="1"/>
  <c r="L167" i="11"/>
  <c r="M167" i="11" s="1"/>
  <c r="L178" i="11"/>
  <c r="M178" i="11" s="1"/>
  <c r="L221" i="11"/>
  <c r="M221" i="11" s="1"/>
  <c r="L232" i="11"/>
  <c r="M232" i="11" s="1"/>
  <c r="L246" i="11"/>
  <c r="M246" i="11" s="1"/>
  <c r="L256" i="11"/>
  <c r="M256" i="11" s="1"/>
  <c r="L272" i="11"/>
  <c r="M272" i="11" s="1"/>
  <c r="L287" i="11"/>
  <c r="M287" i="11" s="1"/>
  <c r="L310" i="11"/>
  <c r="M310" i="11" s="1"/>
  <c r="L320" i="11"/>
  <c r="M320" i="11" s="1"/>
  <c r="L8" i="11"/>
  <c r="M8" i="11" s="1"/>
  <c r="M195" i="11"/>
  <c r="L229" i="11"/>
  <c r="M229" i="11" s="1"/>
  <c r="L254" i="11"/>
  <c r="M254" i="11" s="1"/>
  <c r="L285" i="11"/>
  <c r="M285" i="11" s="1"/>
  <c r="L295" i="11"/>
  <c r="L19" i="11"/>
  <c r="M19" i="11" s="1"/>
  <c r="L32" i="11"/>
  <c r="M32" i="11" s="1"/>
  <c r="L44" i="11"/>
  <c r="M44" i="11" s="1"/>
  <c r="L80" i="11"/>
  <c r="M80" i="11" s="1"/>
  <c r="L104" i="11"/>
  <c r="M104" i="11" s="1"/>
  <c r="L128" i="11"/>
  <c r="M128" i="11" s="1"/>
  <c r="L139" i="11"/>
  <c r="M139" i="11" s="1"/>
  <c r="L174" i="11"/>
  <c r="M174" i="11" s="1"/>
  <c r="L186" i="11"/>
  <c r="M186" i="11" s="1"/>
  <c r="L200" i="11"/>
  <c r="M200" i="11" s="1"/>
  <c r="L240" i="11"/>
  <c r="L253" i="11"/>
  <c r="M253" i="11" s="1"/>
  <c r="L294" i="11"/>
  <c r="M294" i="11" s="1"/>
  <c r="L304" i="11"/>
  <c r="M304" i="11" s="1"/>
  <c r="L317" i="11"/>
  <c r="L16" i="11"/>
  <c r="M16" i="11" s="1"/>
  <c r="L28" i="11"/>
  <c r="M28" i="11" s="1"/>
  <c r="L41" i="11"/>
  <c r="M41" i="11" s="1"/>
  <c r="L78" i="11"/>
  <c r="L90" i="11"/>
  <c r="M90" i="11" s="1"/>
  <c r="L102" i="11"/>
  <c r="M102" i="11" s="1"/>
  <c r="L112" i="11"/>
  <c r="M112" i="11" s="1"/>
  <c r="L136" i="11"/>
  <c r="M136" i="11" s="1"/>
  <c r="L160" i="11"/>
  <c r="M160" i="11" s="1"/>
  <c r="L171" i="11"/>
  <c r="M171" i="11" s="1"/>
  <c r="L183" i="11"/>
  <c r="M183" i="11" s="1"/>
  <c r="L210" i="11"/>
  <c r="M210" i="11" s="1"/>
  <c r="L224" i="11"/>
  <c r="M224" i="11" s="1"/>
  <c r="L238" i="11"/>
  <c r="M238" i="11" s="1"/>
  <c r="L263" i="11"/>
  <c r="M263" i="11" s="1"/>
  <c r="L328" i="11"/>
  <c r="M328" i="11" s="1"/>
  <c r="L27" i="11"/>
  <c r="L40" i="11"/>
  <c r="M40" i="11" s="1"/>
  <c r="L52" i="11"/>
  <c r="M52" i="11" s="1"/>
  <c r="L64" i="11"/>
  <c r="M64" i="11" s="1"/>
  <c r="L76" i="11"/>
  <c r="M76" i="11" s="1"/>
  <c r="L88" i="11"/>
  <c r="M88" i="11" s="1"/>
  <c r="L101" i="11"/>
  <c r="M101" i="11" s="1"/>
  <c r="L123" i="11"/>
  <c r="M123" i="11" s="1"/>
  <c r="L135" i="11"/>
  <c r="M135" i="11" s="1"/>
  <c r="L146" i="11"/>
  <c r="M146" i="11" s="1"/>
  <c r="L170" i="11"/>
  <c r="M170" i="11" s="1"/>
  <c r="L182" i="11"/>
  <c r="M182" i="11" s="1"/>
  <c r="L194" i="11"/>
  <c r="M194" i="11" s="1"/>
  <c r="L208" i="11"/>
  <c r="M208" i="11" s="1"/>
  <c r="L223" i="11"/>
  <c r="M223" i="11" s="1"/>
  <c r="L248" i="11"/>
  <c r="M248" i="11" s="1"/>
  <c r="L261" i="11"/>
  <c r="M261" i="11" s="1"/>
  <c r="L278" i="11"/>
  <c r="M278" i="11" s="1"/>
  <c r="L301" i="11"/>
  <c r="M301" i="11" s="1"/>
  <c r="L312" i="11"/>
  <c r="E21" i="2"/>
  <c r="F11" i="4"/>
  <c r="H8" i="4"/>
  <c r="G8" i="4"/>
  <c r="H7" i="4"/>
  <c r="H10" i="4"/>
  <c r="G10" i="4"/>
  <c r="H6" i="4"/>
  <c r="G6" i="4"/>
  <c r="H9" i="4"/>
  <c r="G9" i="4"/>
  <c r="M235" i="11"/>
  <c r="M322" i="11"/>
  <c r="M299" i="11"/>
  <c r="K5" i="4"/>
  <c r="K11" i="4" s="1"/>
  <c r="M61" i="11"/>
  <c r="M205" i="11"/>
  <c r="M381" i="11"/>
  <c r="M373" i="11"/>
  <c r="M325" i="11"/>
  <c r="M211" i="11"/>
  <c r="M156" i="11"/>
  <c r="M53" i="11"/>
  <c r="M13" i="11"/>
  <c r="M22" i="11"/>
  <c r="M34" i="11"/>
  <c r="M47" i="11"/>
  <c r="M83" i="11"/>
  <c r="M131" i="11"/>
  <c r="M140" i="11"/>
  <c r="M141" i="11"/>
  <c r="M188" i="11"/>
  <c r="M203" i="11"/>
  <c r="M242" i="11"/>
  <c r="M244" i="11"/>
  <c r="M250" i="11"/>
  <c r="M259" i="11"/>
  <c r="M268" i="11"/>
  <c r="M306" i="11"/>
  <c r="M308" i="11"/>
  <c r="M314" i="11"/>
  <c r="M318" i="11"/>
  <c r="M341" i="11"/>
  <c r="M179" i="11"/>
  <c r="M290" i="11"/>
  <c r="M283" i="11"/>
  <c r="M269" i="11"/>
  <c r="M96" i="11"/>
  <c r="M68" i="11"/>
  <c r="M56" i="11"/>
  <c r="M45" i="11"/>
  <c r="M5" i="11"/>
  <c r="C7" i="2"/>
  <c r="C13" i="8"/>
  <c r="M7" i="11"/>
  <c r="M46" i="11"/>
  <c r="M58" i="11"/>
  <c r="M67" i="11"/>
  <c r="M70" i="11"/>
  <c r="M94" i="11"/>
  <c r="M116" i="11"/>
  <c r="M164" i="11"/>
  <c r="M187" i="11"/>
  <c r="M228" i="11"/>
  <c r="M267" i="11"/>
  <c r="M284" i="11"/>
  <c r="E35" i="8"/>
  <c r="M109" i="11"/>
  <c r="M180" i="11"/>
  <c r="M206" i="11"/>
  <c r="M124" i="11"/>
  <c r="M21" i="11"/>
  <c r="M84" i="11"/>
  <c r="M365" i="11"/>
  <c r="M361" i="11"/>
  <c r="M357" i="11"/>
  <c r="M386" i="11"/>
  <c r="M212" i="11"/>
  <c r="M385" i="11"/>
  <c r="M324" i="11"/>
  <c r="M307" i="11"/>
  <c r="M243" i="11"/>
  <c r="M276" i="11"/>
  <c r="M275" i="11"/>
  <c r="D13" i="8"/>
  <c r="E41" i="8"/>
  <c r="M6" i="11"/>
  <c r="M18" i="11"/>
  <c r="M31" i="11"/>
  <c r="M57" i="11"/>
  <c r="M69" i="11"/>
  <c r="M78" i="11"/>
  <c r="M93" i="11"/>
  <c r="M115" i="11"/>
  <c r="M163" i="11"/>
  <c r="M172" i="11"/>
  <c r="M173" i="11"/>
  <c r="M227" i="11"/>
  <c r="M252" i="11"/>
  <c r="M316" i="11"/>
  <c r="M274" i="11"/>
  <c r="M369" i="11"/>
  <c r="M353" i="11"/>
  <c r="M349" i="11"/>
  <c r="M329" i="11"/>
  <c r="M219" i="11"/>
  <c r="M282" i="11"/>
  <c r="M29" i="11"/>
  <c r="M108" i="11"/>
  <c r="M266" i="11"/>
  <c r="M92" i="11"/>
  <c r="M72" i="11"/>
  <c r="G7" i="4"/>
  <c r="E13" i="8"/>
  <c r="H51" i="8"/>
  <c r="M30" i="11"/>
  <c r="M42" i="11"/>
  <c r="M66" i="11"/>
  <c r="M126" i="11"/>
  <c r="M148" i="11"/>
  <c r="M197" i="11"/>
  <c r="M213" i="11"/>
  <c r="M251" i="11"/>
  <c r="M292" i="11"/>
  <c r="M302" i="11"/>
  <c r="M315" i="11"/>
  <c r="M258" i="11"/>
  <c r="M298" i="11"/>
  <c r="E5" i="4"/>
  <c r="M377" i="11"/>
  <c r="M345" i="11"/>
  <c r="M337" i="11"/>
  <c r="M333" i="11"/>
  <c r="M37" i="11"/>
  <c r="G27" i="6"/>
  <c r="M15" i="11"/>
  <c r="M54" i="11"/>
  <c r="M65" i="11"/>
  <c r="M77" i="11"/>
  <c r="M122" i="11"/>
  <c r="M125" i="11"/>
  <c r="M147" i="11"/>
  <c r="M196" i="11"/>
  <c r="M236" i="11"/>
  <c r="M237" i="11"/>
  <c r="M291" i="11"/>
  <c r="M97" i="11"/>
  <c r="M129" i="11"/>
  <c r="M161" i="11"/>
  <c r="M198" i="11"/>
  <c r="L215" i="11"/>
  <c r="M217" i="11"/>
  <c r="M262" i="11"/>
  <c r="L279" i="11"/>
  <c r="M281" i="11"/>
  <c r="M326" i="11"/>
  <c r="M332" i="11"/>
  <c r="M348" i="11"/>
  <c r="M364" i="11"/>
  <c r="M225" i="11"/>
  <c r="M270" i="11"/>
  <c r="M289" i="11"/>
  <c r="M334" i="11"/>
  <c r="M335" i="11"/>
  <c r="M350" i="11"/>
  <c r="M351" i="11"/>
  <c r="M366" i="11"/>
  <c r="M367" i="11"/>
  <c r="M372" i="11"/>
  <c r="M382" i="11"/>
  <c r="M383" i="11"/>
  <c r="M105" i="11"/>
  <c r="M137" i="11"/>
  <c r="M169" i="11"/>
  <c r="M176" i="11"/>
  <c r="M231" i="11"/>
  <c r="M233" i="11"/>
  <c r="M240" i="11"/>
  <c r="M297" i="11"/>
  <c r="M336" i="11"/>
  <c r="M352" i="11"/>
  <c r="L63" i="11"/>
  <c r="M63" i="11" s="1"/>
  <c r="L79" i="11"/>
  <c r="M79" i="11" s="1"/>
  <c r="L111" i="11"/>
  <c r="M111" i="11" s="1"/>
  <c r="L143" i="11"/>
  <c r="L175" i="11"/>
  <c r="M177" i="11"/>
  <c r="L239" i="11"/>
  <c r="M241" i="11"/>
  <c r="L303" i="11"/>
  <c r="M303" i="11" s="1"/>
  <c r="M305" i="11"/>
  <c r="M312" i="11"/>
  <c r="M338" i="11"/>
  <c r="M339" i="11"/>
  <c r="M354" i="11"/>
  <c r="M355" i="11"/>
  <c r="M370" i="11"/>
  <c r="M371" i="11"/>
  <c r="M376" i="11"/>
  <c r="M81" i="11"/>
  <c r="M113" i="11"/>
  <c r="M145" i="11"/>
  <c r="M185" i="11"/>
  <c r="M192" i="11"/>
  <c r="M230" i="11"/>
  <c r="M249" i="11"/>
  <c r="M313" i="11"/>
  <c r="M340" i="11"/>
  <c r="M356" i="11"/>
  <c r="M387" i="11"/>
  <c r="M388" i="11"/>
  <c r="M389" i="11"/>
  <c r="M390" i="11"/>
  <c r="L87" i="11"/>
  <c r="M87" i="11" s="1"/>
  <c r="L119" i="11"/>
  <c r="M119" i="11" s="1"/>
  <c r="L151" i="11"/>
  <c r="M151" i="11" s="1"/>
  <c r="L191" i="11"/>
  <c r="M191" i="11" s="1"/>
  <c r="M193" i="11"/>
  <c r="L255" i="11"/>
  <c r="M257" i="11"/>
  <c r="M264" i="11"/>
  <c r="L319" i="11"/>
  <c r="M321" i="11"/>
  <c r="M342" i="11"/>
  <c r="M343" i="11"/>
  <c r="M358" i="11"/>
  <c r="M359" i="11"/>
  <c r="M374" i="11"/>
  <c r="M375" i="11"/>
  <c r="M380" i="11"/>
  <c r="M391" i="11"/>
  <c r="M89" i="11"/>
  <c r="L98" i="11"/>
  <c r="M98" i="11" s="1"/>
  <c r="M121" i="11"/>
  <c r="L130" i="11"/>
  <c r="M153" i="11"/>
  <c r="L162" i="11"/>
  <c r="M201" i="11"/>
  <c r="M265" i="11"/>
  <c r="M344" i="11"/>
  <c r="M360" i="11"/>
  <c r="M392" i="11"/>
  <c r="L55" i="11"/>
  <c r="M55" i="11" s="1"/>
  <c r="L71" i="11"/>
  <c r="M86" i="11"/>
  <c r="L95" i="11"/>
  <c r="M95" i="11" s="1"/>
  <c r="M118" i="11"/>
  <c r="L127" i="11"/>
  <c r="M150" i="11"/>
  <c r="L159" i="11"/>
  <c r="M159" i="11" s="1"/>
  <c r="M190" i="11"/>
  <c r="L207" i="11"/>
  <c r="M207" i="11" s="1"/>
  <c r="M209" i="11"/>
  <c r="L271" i="11"/>
  <c r="M273" i="11"/>
  <c r="M280" i="11"/>
  <c r="M327" i="11"/>
  <c r="M330" i="11"/>
  <c r="M331" i="11"/>
  <c r="M346" i="11"/>
  <c r="M347" i="11"/>
  <c r="M362" i="11"/>
  <c r="M363" i="11"/>
  <c r="M368" i="11"/>
  <c r="M378" i="11"/>
  <c r="M379" i="11"/>
  <c r="M384" i="11"/>
  <c r="M393" i="11"/>
  <c r="C42" i="8" l="1"/>
  <c r="C35" i="8"/>
  <c r="C52" i="8"/>
  <c r="E25" i="8"/>
  <c r="E34" i="8"/>
  <c r="E54" i="8"/>
  <c r="C31" i="8"/>
  <c r="M17" i="11"/>
  <c r="C26" i="10" s="1"/>
  <c r="E25" i="10"/>
  <c r="M9" i="11"/>
  <c r="C28" i="10" s="1"/>
  <c r="C26" i="8"/>
  <c r="C51" i="8"/>
  <c r="D54" i="8"/>
  <c r="M27" i="11"/>
  <c r="M317" i="11"/>
  <c r="E20" i="10" s="1"/>
  <c r="M295" i="11"/>
  <c r="E32" i="8"/>
  <c r="E43" i="8"/>
  <c r="E42" i="8"/>
  <c r="C33" i="8"/>
  <c r="M162" i="11"/>
  <c r="D28" i="10" s="1"/>
  <c r="D53" i="8"/>
  <c r="D35" i="8"/>
  <c r="M319" i="11"/>
  <c r="E56" i="8"/>
  <c r="H5" i="4"/>
  <c r="G5" i="4"/>
  <c r="G11" i="4" s="1"/>
  <c r="E11" i="4"/>
  <c r="H11" i="4" s="1"/>
  <c r="E28" i="10"/>
  <c r="C10" i="8"/>
  <c r="C12" i="8" s="1"/>
  <c r="C18" i="8"/>
  <c r="M271" i="11"/>
  <c r="E53" i="8"/>
  <c r="M130" i="11"/>
  <c r="D26" i="10" s="1"/>
  <c r="D33" i="8"/>
  <c r="D18" i="8"/>
  <c r="D42" i="8"/>
  <c r="M215" i="11"/>
  <c r="D56" i="8"/>
  <c r="D26" i="8"/>
  <c r="C53" i="8"/>
  <c r="D55" i="8"/>
  <c r="C11" i="9"/>
  <c r="C43" i="2"/>
  <c r="C7" i="9"/>
  <c r="C58" i="2"/>
  <c r="F20" i="2"/>
  <c r="F17" i="2"/>
  <c r="C13" i="2"/>
  <c r="C12" i="2"/>
  <c r="F19" i="2"/>
  <c r="F18" i="2"/>
  <c r="C21" i="10"/>
  <c r="M127" i="11"/>
  <c r="D25" i="8"/>
  <c r="D10" i="8"/>
  <c r="D12" i="8" s="1"/>
  <c r="D44" i="8"/>
  <c r="D19" i="8"/>
  <c r="D33" i="9" s="1"/>
  <c r="D40" i="9" s="1"/>
  <c r="D34" i="8"/>
  <c r="D51" i="8"/>
  <c r="C25" i="10"/>
  <c r="C24" i="10"/>
  <c r="C44" i="8"/>
  <c r="E55" i="8"/>
  <c r="C19" i="8"/>
  <c r="C33" i="9" s="1"/>
  <c r="C40" i="9" s="1"/>
  <c r="M175" i="11"/>
  <c r="D21" i="10" s="1"/>
  <c r="D43" i="8"/>
  <c r="C56" i="8"/>
  <c r="M71" i="11"/>
  <c r="C54" i="8"/>
  <c r="M143" i="11"/>
  <c r="D41" i="8"/>
  <c r="D52" i="8"/>
  <c r="D45" i="8"/>
  <c r="M239" i="11"/>
  <c r="E44" i="8"/>
  <c r="E33" i="8"/>
  <c r="E10" i="8"/>
  <c r="E12" i="8" s="1"/>
  <c r="E51" i="8"/>
  <c r="E18" i="8"/>
  <c r="E26" i="8"/>
  <c r="M255" i="11"/>
  <c r="E52" i="8"/>
  <c r="D32" i="8"/>
  <c r="C32" i="8"/>
  <c r="C43" i="8"/>
  <c r="C25" i="8"/>
  <c r="C45" i="8"/>
  <c r="M279" i="11"/>
  <c r="E45" i="8"/>
  <c r="C55" i="8"/>
  <c r="C41" i="8"/>
  <c r="C34" i="8"/>
  <c r="E27" i="10" l="1"/>
  <c r="D20" i="10"/>
  <c r="D22" i="10" s="1"/>
  <c r="E21" i="10"/>
  <c r="E22" i="10" s="1"/>
  <c r="C6" i="10"/>
  <c r="C9" i="10" s="1"/>
  <c r="E26" i="10"/>
  <c r="C27" i="10"/>
  <c r="D14" i="8"/>
  <c r="E60" i="8"/>
  <c r="D36" i="8"/>
  <c r="C60" i="8"/>
  <c r="C62" i="2"/>
  <c r="C25" i="9" s="1"/>
  <c r="E62" i="2"/>
  <c r="E25" i="9" s="1"/>
  <c r="D62" i="2"/>
  <c r="D25" i="9" s="1"/>
  <c r="C36" i="8"/>
  <c r="D60" i="8"/>
  <c r="C52" i="2"/>
  <c r="C53" i="2" s="1"/>
  <c r="C18" i="9" s="1"/>
  <c r="E52" i="2"/>
  <c r="E53" i="2" s="1"/>
  <c r="E18" i="9" s="1"/>
  <c r="D52" i="2"/>
  <c r="D53" i="2" s="1"/>
  <c r="D18" i="9" s="1"/>
  <c r="D32" i="9"/>
  <c r="D39" i="9" s="1"/>
  <c r="D14" i="10" s="1"/>
  <c r="D15" i="10" s="1"/>
  <c r="D21" i="8"/>
  <c r="C14" i="8"/>
  <c r="E6" i="10"/>
  <c r="E9" i="10" s="1"/>
  <c r="E14" i="8"/>
  <c r="C20" i="10"/>
  <c r="C22" i="10" s="1"/>
  <c r="E32" i="9"/>
  <c r="E39" i="9" s="1"/>
  <c r="E14" i="10" s="1"/>
  <c r="E15" i="10" s="1"/>
  <c r="E21" i="8"/>
  <c r="C32" i="9"/>
  <c r="C21" i="8"/>
  <c r="C31" i="9"/>
  <c r="C16" i="9"/>
  <c r="C47" i="8"/>
  <c r="G31" i="8"/>
  <c r="G44" i="8"/>
  <c r="C7" i="10"/>
  <c r="G45" i="8"/>
  <c r="G41" i="8"/>
  <c r="G33" i="8"/>
  <c r="G35" i="8"/>
  <c r="C37" i="8"/>
  <c r="G46" i="8"/>
  <c r="G42" i="8"/>
  <c r="G34" i="8"/>
  <c r="C27" i="8"/>
  <c r="C24" i="9" s="1"/>
  <c r="G43" i="8"/>
  <c r="G32" i="8"/>
  <c r="E7" i="10"/>
  <c r="E31" i="9"/>
  <c r="E47" i="8"/>
  <c r="I45" i="8"/>
  <c r="I46" i="8"/>
  <c r="I42" i="8"/>
  <c r="I34" i="8"/>
  <c r="E27" i="8"/>
  <c r="E24" i="9" s="1"/>
  <c r="E16" i="9"/>
  <c r="E37" i="8"/>
  <c r="I41" i="8"/>
  <c r="I43" i="8"/>
  <c r="I35" i="8"/>
  <c r="I31" i="8"/>
  <c r="I32" i="8"/>
  <c r="I44" i="8"/>
  <c r="I33" i="8"/>
  <c r="E36" i="8"/>
  <c r="D31" i="9"/>
  <c r="D7" i="10"/>
  <c r="H45" i="8"/>
  <c r="H41" i="8"/>
  <c r="H33" i="8"/>
  <c r="D47" i="8"/>
  <c r="D16" i="9"/>
  <c r="H46" i="8"/>
  <c r="H42" i="8"/>
  <c r="H34" i="8"/>
  <c r="D27" i="8"/>
  <c r="D24" i="9" s="1"/>
  <c r="D37" i="8"/>
  <c r="H32" i="8"/>
  <c r="H43" i="8"/>
  <c r="H35" i="8"/>
  <c r="H31" i="8"/>
  <c r="H44" i="8"/>
  <c r="D6" i="10"/>
  <c r="D9" i="10" s="1"/>
  <c r="D25" i="10"/>
  <c r="D27" i="10"/>
  <c r="E17" i="9"/>
  <c r="D17" i="9"/>
  <c r="C17" i="9"/>
  <c r="F21" i="2"/>
  <c r="E26" i="9" l="1"/>
  <c r="C26" i="9"/>
  <c r="D26" i="9"/>
  <c r="C8" i="10"/>
  <c r="E8" i="10"/>
  <c r="E19" i="9"/>
  <c r="C19" i="9"/>
  <c r="E10" i="10"/>
  <c r="D10" i="10"/>
  <c r="C10" i="10"/>
  <c r="E41" i="9"/>
  <c r="E35" i="9"/>
  <c r="E42" i="9"/>
  <c r="E43" i="9" s="1"/>
  <c r="C42" i="9"/>
  <c r="C43" i="9" s="1"/>
  <c r="C35" i="9"/>
  <c r="C48" i="9"/>
  <c r="C39" i="9"/>
  <c r="C14" i="10" s="1"/>
  <c r="C15" i="10" s="1"/>
  <c r="C46" i="9"/>
  <c r="D8" i="10"/>
  <c r="D19" i="9"/>
  <c r="D41" i="9"/>
  <c r="D42" i="9"/>
  <c r="D43" i="9" s="1"/>
  <c r="D35" i="9"/>
  <c r="C41" i="9" l="1"/>
  <c r="E16" i="10"/>
  <c r="D16" i="10"/>
  <c r="C16" i="10"/>
</calcChain>
</file>

<file path=xl/sharedStrings.xml><?xml version="1.0" encoding="utf-8"?>
<sst xmlns="http://schemas.openxmlformats.org/spreadsheetml/2006/main" count="4046" uniqueCount="791">
  <si>
    <t>MetLife Japan  |  Contract Management  —  Operating Model &amp; Pricing Engine</t>
  </si>
  <si>
    <t>INTERNAL — Capgemini review copy. Not for issue to MetLife. Built from Appendix 3 v2 (142 apps / 1,504.0 units).</t>
  </si>
  <si>
    <t>HOW THIS WORKBOOK IS BUILT</t>
  </si>
  <si>
    <t>Direction of travel</t>
  </si>
  <si>
    <t>Everything is bottom-up. You define seats in pods; the workbook derives headcount, productivity, offshore share, experience mix and cost. Nothing is asserted.</t>
  </si>
  <si>
    <t>The two logic trees</t>
  </si>
  <si>
    <t>'Logic Tree' derives a TARGET productivity and offshore % for any domain from its archetype mix. 'Glidepath &amp; 50-50' compares that target against what the pod design actually delivers. The gap is the transition &amp; enablement drag.</t>
  </si>
  <si>
    <t>Re-using for another domain</t>
  </si>
  <si>
    <t>Change the domain on 'Logic Tree' cell C6. The archetype mix, effort base and target percentages re-derive from 'Inventory'. The pod library and pod plan must then be re-cut for that domain's value streams.</t>
  </si>
  <si>
    <t>CELL COLOUR CONVENTION</t>
  </si>
  <si>
    <t>Blue text</t>
  </si>
  <si>
    <t>Input. Change these.</t>
  </si>
  <si>
    <t>Black text</t>
  </si>
  <si>
    <t>Formula. Do not overwrite.</t>
  </si>
  <si>
    <t>Green text</t>
  </si>
  <si>
    <t>Link to another sheet in this workbook.</t>
  </si>
  <si>
    <t>Amber fill</t>
  </si>
  <si>
    <t>Key assumption requiring sign-off before this model is used to price.</t>
  </si>
  <si>
    <t>SHEET MAP</t>
  </si>
  <si>
    <t>Logic Tree</t>
  </si>
  <si>
    <t>Parametric drivers. Phase effort mix, AI-addressable ceiling per archetype, realisation curve, offshore ceiling, re-badge plan, cost index.</t>
  </si>
  <si>
    <t>Inventory</t>
  </si>
  <si>
    <t>All 142 applications with derived archetype. Filter to a domain to see its mix.</t>
  </si>
  <si>
    <t>Value Streams</t>
  </si>
  <si>
    <t>The six functional value streams inside Contract Management and the AD / AMS split of each.</t>
  </si>
  <si>
    <t>Pod Library</t>
  </si>
  <si>
    <t>INPUT. Every seat in every pod archetype, for Y1 / Y2 / Y3. Role, skill family, experience band, location, sourcing.</t>
  </si>
  <si>
    <t>Pod Plan</t>
  </si>
  <si>
    <t>INPUT. How many co-sourced and fully-sourced pods each value stream runs in each year.</t>
  </si>
  <si>
    <t>Horizontal Teams</t>
  </si>
  <si>
    <t>INPUT. Seats in the three cross-cutting teams that are not value-stream bounded.</t>
  </si>
  <si>
    <t>Seat Ledger</t>
  </si>
  <si>
    <t>Computed. Every pod-library line multiplied out by the pod plan, plus the horizontal seats. All roll-ups read from here.</t>
  </si>
  <si>
    <t>Team Build-Up</t>
  </si>
  <si>
    <t>Computed. Headcount by year, by value stream, by sourcing, by location, by experience band and by skill family.</t>
  </si>
  <si>
    <t>Glidepath &amp; 50-50</t>
  </si>
  <si>
    <t>Computed. Productivity target vs delivered, offshore target vs delivered, and the re-badge volume needed to reach 50:50.</t>
  </si>
  <si>
    <t>Cost &amp; Commercial</t>
  </si>
  <si>
    <t>Computed. Cost index, cost per unit of original scope, and the Capgemini billable position after re-badging.</t>
  </si>
  <si>
    <t>ASSUMPTIONS THAT NEED SIGN-OFF</t>
  </si>
  <si>
    <t>Cost index</t>
  </si>
  <si>
    <t>Relative only. Onshore Tokyo E2 = 1.00, offshore at roughly one third at like-for-like band. Replace with the approved rate card before pricing.</t>
  </si>
  <si>
    <t>AI-addressable ceilings</t>
  </si>
  <si>
    <t>Derived from published evidence, not from a Capgemini delivery baseline. See the sources block on the Logic Tree sheet.</t>
  </si>
  <si>
    <t>Re-badge feasibility</t>
  </si>
  <si>
    <t>Assumes transfer of employment (転籍) is achievable with individual consent and that MetLife will accept the receiving cost base. Not tested.</t>
  </si>
  <si>
    <t>Effort unit = one person</t>
  </si>
  <si>
    <t>Appendix 3 states effort in FTE-equivalents. One unit is treated as one seat throughout.</t>
  </si>
  <si>
    <t>Built</t>
  </si>
  <si>
    <t>September 2026 · Capgemini · Contract Management domain model v2</t>
  </si>
  <si>
    <t>Logic Tree  —  parametric drivers for productivity and offshore share</t>
  </si>
  <si>
    <t>Change the blue cells. Every downstream number re-derives. Amber cells need sign-off.</t>
  </si>
  <si>
    <t>A.  DOMAIN SELECTION AND EFFORT BASE</t>
  </si>
  <si>
    <t>Domain</t>
  </si>
  <si>
    <t>contract management</t>
  </si>
  <si>
    <t>Type any domain name from the Inventory sheet, lower case.</t>
  </si>
  <si>
    <t>Applications in domain</t>
  </si>
  <si>
    <t>Total effort (units)</t>
  </si>
  <si>
    <t>Current FTC</t>
  </si>
  <si>
    <t>Current FTE</t>
  </si>
  <si>
    <t>Current MGCC</t>
  </si>
  <si>
    <t>AD effort (%PRJ weighted)</t>
  </si>
  <si>
    <t>AMS effort</t>
  </si>
  <si>
    <t>AD share of effort</t>
  </si>
  <si>
    <t>B.  ARCHETYPE MIX OF THE SELECTED DOMAIN  —  this is what drives the applicable percentages</t>
  </si>
  <si>
    <t>Archetype</t>
  </si>
  <si>
    <t>Definition</t>
  </si>
  <si>
    <t>Apps</t>
  </si>
  <si>
    <t>Effort</t>
  </si>
  <si>
    <t>Share of effort</t>
  </si>
  <si>
    <t>A</t>
  </si>
  <si>
    <t>Language-locked — Japanese business content bound to the application</t>
  </si>
  <si>
    <t>B</t>
  </si>
  <si>
    <t>Offshore-ready — modern stack, documented, no language lock</t>
  </si>
  <si>
    <t>C</t>
  </si>
  <si>
    <t>MGCC-destined — flagged Priority Transfer Target</t>
  </si>
  <si>
    <t>D</t>
  </si>
  <si>
    <t>Legacy-coupled core — mainframe / AS400, COBOL / Assembler</t>
  </si>
  <si>
    <t>Total</t>
  </si>
  <si>
    <t>C.  PRODUCTIVITY TREE  —  LEVEL 1 : where the effort sits across the delivery lifecycle</t>
  </si>
  <si>
    <t>Delivery phase</t>
  </si>
  <si>
    <t>Requirements &amp; impact analysis</t>
  </si>
  <si>
    <t>Design &amp; architecture</t>
  </si>
  <si>
    <t>Build &amp; code</t>
  </si>
  <si>
    <t>Test &amp; quality assurance</t>
  </si>
  <si>
    <t>Release &amp; deploy</t>
  </si>
  <si>
    <t>Run, monitor &amp; coordinate</t>
  </si>
  <si>
    <t>Total (must equal 100%)</t>
  </si>
  <si>
    <t>D.  PRODUCTIVITY TREE  —  LEVEL 2 : how much of each phase AI can address, by archetype</t>
  </si>
  <si>
    <t>The ceiling if the capability were fully mature and fully adopted. Not a forecast.</t>
  </si>
  <si>
    <t>Weighted AI ceiling by archetype</t>
  </si>
  <si>
    <t>Applicable AI ceiling for THIS domain</t>
  </si>
  <si>
    <t>E.  PRODUCTIVITY TREE  —  LEVEL 3 : realisation curve, and the two non-AI components</t>
  </si>
  <si>
    <t>Driver</t>
  </si>
  <si>
    <t>Year 1</t>
  </si>
  <si>
    <t>Year 2</t>
  </si>
  <si>
    <t>Year 3</t>
  </si>
  <si>
    <t>Basis</t>
  </si>
  <si>
    <t>AI realisation — share of ceiling captured</t>
  </si>
  <si>
    <t>Adoption, guardrails and substrate maturity. Not a tool licence count.</t>
  </si>
  <si>
    <t>Classical ADM productivity (cumulative)</t>
  </si>
  <si>
    <t>Standardisation, defect reduction, shift-left. Industry contractual norm 4-6% p.a.</t>
  </si>
  <si>
    <t>Operating-model productivity (cumulative)</t>
  </si>
  <si>
    <t>Pod consolidation, span of control, one release train instead of many.</t>
  </si>
  <si>
    <t>AI-attributable productivity</t>
  </si>
  <si>
    <t>Gross productivity  =  1 - (1-AI) x (1-classical) x (1-operating model)</t>
  </si>
  <si>
    <t>F.  OFFSHORE TREE</t>
  </si>
  <si>
    <t>Offshore-able ceiling of the archetype</t>
  </si>
  <si>
    <t>Applicable offshore ceiling for THIS domain</t>
  </si>
  <si>
    <t>Offshore realisation — share of ceiling reached</t>
  </si>
  <si>
    <t>Target offshore share</t>
  </si>
  <si>
    <t>G.  RE-BADGE PLAN  —  the only lever that moves the FTC : (FTE+MGCC) ratio</t>
  </si>
  <si>
    <t>Productivity shrinks both sides of the ratio, so it cannot move it. Transfer of employment can.</t>
  </si>
  <si>
    <t>Transfer in year</t>
  </si>
  <si>
    <t>Capgemini to MetLife Japan (FTE)</t>
  </si>
  <si>
    <t>Capgemini to MetLife MGCC Hyderabad</t>
  </si>
  <si>
    <t>Cumulative transferred</t>
  </si>
  <si>
    <t>H.  COST INDEX  —  relative only, onshore Tokyo band E2 = 1.00</t>
  </si>
  <si>
    <t>Location</t>
  </si>
  <si>
    <t>E1  0-3y</t>
  </si>
  <si>
    <t>E2  3-6y</t>
  </si>
  <si>
    <t>E3  6-10y</t>
  </si>
  <si>
    <t>E4  10-15y</t>
  </si>
  <si>
    <t>E5  15y+</t>
  </si>
  <si>
    <t>key</t>
  </si>
  <si>
    <t>E1</t>
  </si>
  <si>
    <t>E2</t>
  </si>
  <si>
    <t>E3</t>
  </si>
  <si>
    <t>E4</t>
  </si>
  <si>
    <t>E5</t>
  </si>
  <si>
    <t>Onshore Tokyo</t>
  </si>
  <si>
    <t>ON</t>
  </si>
  <si>
    <t>Offshore Hyderabad</t>
  </si>
  <si>
    <t>OFF</t>
  </si>
  <si>
    <t>Lookup keys for the Seat Ledger. Do not edit — mirrors the block on the left.</t>
  </si>
  <si>
    <t>I.  EVIDENCE BASE FOR THE AI CEILINGS</t>
  </si>
  <si>
    <t>•</t>
  </si>
  <si>
    <t>Bain Technology Report 2025 — team-level productivity gain from AI coding assistants 10-15%, materially below task-level results.</t>
  </si>
  <si>
    <t>Randomised field experiment, 4,867 developers at Microsoft, Accenture and a Fortune 100 firm — 26.1% increase in completed tasks.</t>
  </si>
  <si>
    <t>METR randomised controlled trial 2025 — experienced developers were 19% SLOWER with AI on large unfamiliar codebases. This is why archetype D build is capped at 20%.</t>
  </si>
  <si>
    <t>DORA State of AI-assisted Software Development 2025 — AI improves throughput but degrades stability without automated testing and fast feedback. Drives the QE horizontal.</t>
  </si>
  <si>
    <t>Keyhole Software COBOL to Spring Batch migration — 20-30% acceleration on a bounded legacy scope.</t>
  </si>
  <si>
    <t>Deloitte 2026 Software Industry Outlook — 30-35% projected across the SDLC. A projection, not a measurement.</t>
  </si>
  <si>
    <t>MSP AI benchmarks 2026 — 20-40% MTTR reduction on tier-one categories, 15-25% technician throughput. Drives the run and support ceilings.</t>
  </si>
  <si>
    <t>Application inventory  —  Appendix 3 v2, with derived archetype and value stream</t>
  </si>
  <si>
    <t>Archetype is DERIVED, not asserted: mainframe language → D; else Priority Transfer Target → C; else SaaS → A; else B.</t>
  </si>
  <si>
    <t>#</t>
  </si>
  <si>
    <t>EAI ID</t>
  </si>
  <si>
    <t>Application</t>
  </si>
  <si>
    <t>Long name</t>
  </si>
  <si>
    <t>Group</t>
  </si>
  <si>
    <t>Team</t>
  </si>
  <si>
    <t>Class</t>
  </si>
  <si>
    <t>Critical</t>
  </si>
  <si>
    <t>Hosting</t>
  </si>
  <si>
    <t>Primary code language</t>
  </si>
  <si>
    <t>Cloud platform</t>
  </si>
  <si>
    <t>Priority transfer</t>
  </si>
  <si>
    <t>% of PRJ</t>
  </si>
  <si>
    <t>Target FTC</t>
  </si>
  <si>
    <t>Target FTE/MGCC</t>
  </si>
  <si>
    <t>App count</t>
  </si>
  <si>
    <t>FTC</t>
  </si>
  <si>
    <t>FTE</t>
  </si>
  <si>
    <t>MGCC</t>
  </si>
  <si>
    <t>AD share</t>
  </si>
  <si>
    <t>AD effort</t>
  </si>
  <si>
    <t>Value stream</t>
  </si>
  <si>
    <t>Global Sales Comp - Japan</t>
  </si>
  <si>
    <t>fee management</t>
  </si>
  <si>
    <t>Core Insurance Systems Group 34956</t>
  </si>
  <si>
    <t>Commission Systems Team 34958</t>
  </si>
  <si>
    <t>Core Business Application</t>
  </si>
  <si>
    <t>N</t>
  </si>
  <si>
    <t>Yes</t>
  </si>
  <si>
    <t>Other#Infomatica workflow Bash shell Dos batch</t>
  </si>
  <si>
    <t>Software as a Service (SaaS)</t>
  </si>
  <si>
    <t>LC POSPMC MF-JPN</t>
  </si>
  <si>
    <t>LifeComm POSPMC</t>
  </si>
  <si>
    <t>Policy Admin Systems Team 34957</t>
  </si>
  <si>
    <t>Y</t>
  </si>
  <si>
    <t>Assembler, COBOL, MU(EASYPLUS), JCL</t>
  </si>
  <si>
    <t>VS1</t>
  </si>
  <si>
    <t>LC Billing MF-JPN</t>
  </si>
  <si>
    <t>LifeComm Billing</t>
  </si>
  <si>
    <t>COBOL, Assembler, MU(EASYPLUS), JCL</t>
  </si>
  <si>
    <t>VS2</t>
  </si>
  <si>
    <t>LC Collection MF-JPN</t>
  </si>
  <si>
    <t>LifeComm Collection</t>
  </si>
  <si>
    <t>LC Corresponding MF-JPN</t>
  </si>
  <si>
    <t>LifeComm Corresponding</t>
  </si>
  <si>
    <t>VS4</t>
  </si>
  <si>
    <t>LC UWI MF-JPN</t>
  </si>
  <si>
    <t>LifeComm  UWI</t>
  </si>
  <si>
    <t>LC AAPerf MF-JPN</t>
  </si>
  <si>
    <t>LifeComm AgentAgencyPerformance</t>
  </si>
  <si>
    <t>VS3</t>
  </si>
  <si>
    <t>LC Payment MF-JPN</t>
  </si>
  <si>
    <t>LifeComm Payment</t>
  </si>
  <si>
    <t>LC GL/SC MF-JPN</t>
  </si>
  <si>
    <t>LifeComm GL/SC</t>
  </si>
  <si>
    <t>VS6</t>
  </si>
  <si>
    <t>LC Valuation MF-JPN</t>
  </si>
  <si>
    <t>LifeComm Valuation</t>
  </si>
  <si>
    <t>LC AACOMP MF-JPN</t>
  </si>
  <si>
    <t>LifeComm AgentAgencyComp</t>
  </si>
  <si>
    <t>Processor-I MF-JPN</t>
  </si>
  <si>
    <t>Claim payment (Processor-I)</t>
  </si>
  <si>
    <t>COBOL, MU(EASYPLUS), Assembler, JCL</t>
  </si>
  <si>
    <t>LC Submit MF-JPN</t>
  </si>
  <si>
    <t>Submit Online</t>
  </si>
  <si>
    <t>LC Micro MF-JPN</t>
  </si>
  <si>
    <t>Micro-Index</t>
  </si>
  <si>
    <t>Foreign MF-JPN</t>
  </si>
  <si>
    <t>Foreign</t>
  </si>
  <si>
    <t>CT Salary  MF-JPN</t>
  </si>
  <si>
    <t>CT Salary System</t>
  </si>
  <si>
    <t>TaxCertification MF-JPN</t>
  </si>
  <si>
    <t>TaxCertification</t>
  </si>
  <si>
    <t>SWINGMANAGER MF-JPN</t>
  </si>
  <si>
    <t>SWING MANAGER</t>
  </si>
  <si>
    <t>PremCollectDBMF-JPN</t>
  </si>
  <si>
    <t>Premium Collection History DB</t>
  </si>
  <si>
    <t>MCFA CP DB MF-JPN</t>
  </si>
  <si>
    <t>MCFA Coupon DB</t>
  </si>
  <si>
    <t>Maturity MF-JPN</t>
  </si>
  <si>
    <t>Payment  maturity existing benefit etc</t>
  </si>
  <si>
    <t>LC Reins MF-JPN</t>
  </si>
  <si>
    <t>Reinsurance</t>
  </si>
  <si>
    <t>ASP Bridge(H) MF-JPN</t>
  </si>
  <si>
    <t>ASP Bridge (HOST)</t>
  </si>
  <si>
    <t>Common Service Business Application</t>
  </si>
  <si>
    <t>VS5</t>
  </si>
  <si>
    <t>CCA MF-JPN</t>
  </si>
  <si>
    <t>Client Contract Administration</t>
  </si>
  <si>
    <t>C04NWC-JPN</t>
  </si>
  <si>
    <t>CenterServer</t>
  </si>
  <si>
    <t>new contract related</t>
  </si>
  <si>
    <t>Customer Service and Operations Systems Group 34965</t>
  </si>
  <si>
    <t>New Business Team 34966</t>
  </si>
  <si>
    <t>C/C++</t>
  </si>
  <si>
    <t>C03WRE-JPN</t>
  </si>
  <si>
    <t>POS Workflow Payment Workflow (Restoring cancelled</t>
  </si>
  <si>
    <t>storage and preservation related</t>
  </si>
  <si>
    <t>Policy Servicing Team 34967</t>
  </si>
  <si>
    <t>VB.NET</t>
  </si>
  <si>
    <t>C12WNC-JPN</t>
  </si>
  <si>
    <t>POS Workflow Payment Workflow (Claim Transaction A</t>
  </si>
  <si>
    <t>insurance claims and benefits payment related</t>
  </si>
  <si>
    <t>Claims Team 34968</t>
  </si>
  <si>
    <t>VB.NET; C/C++; JAVA</t>
  </si>
  <si>
    <t>C03WRD-JPN</t>
  </si>
  <si>
    <t>POS Workflow Payment Workflow (Reduction of paymen</t>
  </si>
  <si>
    <t>C03PCA-JPN</t>
  </si>
  <si>
    <t>Add Coverage</t>
  </si>
  <si>
    <t>VB</t>
  </si>
  <si>
    <t>C10CSS-JPN</t>
  </si>
  <si>
    <t>FSC Call Support</t>
  </si>
  <si>
    <t>customer care / call center related</t>
  </si>
  <si>
    <t>Customer Care Team 34969</t>
  </si>
  <si>
    <t>C04VAS-JPN</t>
  </si>
  <si>
    <t>Voucher Approval System for AS400</t>
  </si>
  <si>
    <t>corporate related</t>
  </si>
  <si>
    <t>Corporate Systems Team 34959</t>
  </si>
  <si>
    <t>C04SYM-JPN</t>
  </si>
  <si>
    <t>Renewal symap Business Work Flow</t>
  </si>
  <si>
    <t>C03VSV-JPN</t>
  </si>
  <si>
    <t>Variable Annuity Sun View</t>
  </si>
  <si>
    <t>PinID tool_JPN</t>
  </si>
  <si>
    <t>PinID Increase tool</t>
  </si>
  <si>
    <t>C11VCM-JPN</t>
  </si>
  <si>
    <t>Deposit Control System</t>
  </si>
  <si>
    <t>C04OSI-JPN</t>
  </si>
  <si>
    <t>S Sum Total System(Open)</t>
  </si>
  <si>
    <t>JAVA</t>
  </si>
  <si>
    <t>W03FIC-JPN</t>
  </si>
  <si>
    <t>Guidance Refusal Information Administration System</t>
  </si>
  <si>
    <t>Platform as a Service (PaaS)</t>
  </si>
  <si>
    <t>C03APO-JPN</t>
  </si>
  <si>
    <t>Apollocs</t>
  </si>
  <si>
    <t>Other#APOLLOCS</t>
  </si>
  <si>
    <t>Z04IMA-JPN</t>
  </si>
  <si>
    <t>Image Search</t>
  </si>
  <si>
    <t>CSS; JAVA;HTML; VB.NET</t>
  </si>
  <si>
    <t>W05AMS-JPN</t>
  </si>
  <si>
    <t>Annuity Information Management System(AIMS)</t>
  </si>
  <si>
    <t>W02OPS-JPN</t>
  </si>
  <si>
    <t>Insurance Planning for Operator</t>
  </si>
  <si>
    <t>marketing/direct business related</t>
  </si>
  <si>
    <t>Customer and Channel Engineering 34961</t>
  </si>
  <si>
    <t>W04RRE-JPN</t>
  </si>
  <si>
    <t>Rule Engine</t>
  </si>
  <si>
    <t>W03PIU-JPN</t>
  </si>
  <si>
    <t>IS universal life insurance simulation</t>
  </si>
  <si>
    <t>W08HTN-JPN</t>
  </si>
  <si>
    <t>conservation contact personnel entry system</t>
  </si>
  <si>
    <t>W08NAV-JPN</t>
  </si>
  <si>
    <t>Branch Marketing Information System</t>
  </si>
  <si>
    <t>sales / insurance recruitment</t>
  </si>
  <si>
    <t>Distribution F2F Team 34962</t>
  </si>
  <si>
    <t>W08SFE-JPN</t>
  </si>
  <si>
    <t>commission Inquiry</t>
  </si>
  <si>
    <t>W08CIS-JPN</t>
  </si>
  <si>
    <t>Career Information System</t>
  </si>
  <si>
    <t>W08NAR-JPN</t>
  </si>
  <si>
    <t>producers information entry system</t>
  </si>
  <si>
    <t>W13WWF-JPN</t>
  </si>
  <si>
    <t>Web work flow</t>
  </si>
  <si>
    <t>P08MMS-JPN</t>
  </si>
  <si>
    <t>Medical Management System</t>
  </si>
  <si>
    <t>WPSYEC-JPN</t>
  </si>
  <si>
    <t>Direct Marketing Site</t>
  </si>
  <si>
    <t>Marketing and Leads Team 34964</t>
  </si>
  <si>
    <t>W07IPC-JPN</t>
  </si>
  <si>
    <t>Internet Prospective Information</t>
  </si>
  <si>
    <t>W01LOI-JPN</t>
  </si>
  <si>
    <t>Japan Authorization / login</t>
  </si>
  <si>
    <t>common service platform</t>
  </si>
  <si>
    <t>Japan Platform Team 35775</t>
  </si>
  <si>
    <t>W01MAS-JPN</t>
  </si>
  <si>
    <t>Common Framework(Master4)</t>
  </si>
  <si>
    <t>A04MMP-JPN</t>
  </si>
  <si>
    <t>AS400 Mass Marketing System</t>
  </si>
  <si>
    <t>Other#RPG</t>
  </si>
  <si>
    <t>P02BKE-JPN</t>
  </si>
  <si>
    <t>Sales illustration system (based on EXCEL) for BAN</t>
  </si>
  <si>
    <t>Distribution Banca Team 34963</t>
  </si>
  <si>
    <t>Other#VBA</t>
  </si>
  <si>
    <t>WPSC2S-JPN</t>
  </si>
  <si>
    <t>Call Control System</t>
  </si>
  <si>
    <t>B13ITS-JPN</t>
  </si>
  <si>
    <t>ITS-PCIS(Mutual Fund System(Including Bestway)</t>
  </si>
  <si>
    <t>W13WEP-JPN</t>
  </si>
  <si>
    <t>Web Payment</t>
  </si>
  <si>
    <t>Data Send System for BANC  MF-JP</t>
  </si>
  <si>
    <t>Data Send System for BANC</t>
  </si>
  <si>
    <t>CCMDNT-JPN</t>
  </si>
  <si>
    <t>.NET Common Infrastructure</t>
  </si>
  <si>
    <t>VB.NET; C #</t>
  </si>
  <si>
    <t>BCMHRP-JPN</t>
  </si>
  <si>
    <t>Data cooperation</t>
  </si>
  <si>
    <t>data infrastructure</t>
  </si>
  <si>
    <t>Data Platforms Team 34980</t>
  </si>
  <si>
    <t>Other#MS-DOS ,AWK,VBScript,JAVA</t>
  </si>
  <si>
    <t>Running on both on-premises and Azure.  The on-premises version will be decommissioned by the end of 2027.</t>
  </si>
  <si>
    <t>WPSCUS-JPN</t>
  </si>
  <si>
    <t>Customer Support System</t>
  </si>
  <si>
    <t>JavaScript; Other#APEX</t>
  </si>
  <si>
    <t>WAANSO-JPN</t>
  </si>
  <si>
    <t>New Submit Online System</t>
  </si>
  <si>
    <t>WZZHYO-JPN</t>
  </si>
  <si>
    <t>Report Template Management System</t>
  </si>
  <si>
    <t>EAADRS-JPN</t>
  </si>
  <si>
    <t>Dr.SUM</t>
  </si>
  <si>
    <t>WPMWCC-JPN</t>
  </si>
  <si>
    <t>Web Contact Center</t>
  </si>
  <si>
    <t>WGLRPC-JPN</t>
  </si>
  <si>
    <t>ReportConnection</t>
  </si>
  <si>
    <t>Policy UWIBATCH MF-JPN</t>
  </si>
  <si>
    <t>Policy Underwriting and Issue Batch</t>
  </si>
  <si>
    <t>Other#ASM; Cobol</t>
  </si>
  <si>
    <t>WAAATF-JPN</t>
  </si>
  <si>
    <t>Agents Target Following system</t>
  </si>
  <si>
    <t>ZGLEST-JPN</t>
  </si>
  <si>
    <t>eSTATION</t>
  </si>
  <si>
    <t>JavaScript; VB.NET; C#;HTML</t>
  </si>
  <si>
    <t>CMESB-JPN</t>
  </si>
  <si>
    <t>Enterprise Service Bus</t>
  </si>
  <si>
    <t>JAVA; Other#ESQL</t>
  </si>
  <si>
    <t>WPMAUD-JPN</t>
  </si>
  <si>
    <t>Unknown Address Tracking System</t>
  </si>
  <si>
    <t>No</t>
  </si>
  <si>
    <t>WCMPXS-JPN</t>
  </si>
  <si>
    <t>ProductXpress</t>
  </si>
  <si>
    <t>Infrastructure Application</t>
  </si>
  <si>
    <t>Other#Peculiar Language, Implemented in PX designer.</t>
  </si>
  <si>
    <t>WUIURE-JPN</t>
  </si>
  <si>
    <t>Pre-Underwriting</t>
  </si>
  <si>
    <t>LINC MF-JPN</t>
  </si>
  <si>
    <t>LINC</t>
  </si>
  <si>
    <t>A06TOG-JPN</t>
  </si>
  <si>
    <t>Group Policy Management System</t>
  </si>
  <si>
    <t>Other#RPG; Cobol</t>
  </si>
  <si>
    <t>W06TGR-JPN</t>
  </si>
  <si>
    <t>Group Policy Inquiry System for Intranet</t>
  </si>
  <si>
    <t>VB.NET; JAVA</t>
  </si>
  <si>
    <t>WAAICM-JPN</t>
  </si>
  <si>
    <t>ICM</t>
  </si>
  <si>
    <t>JAVA; C#; Other#ETL JAVA(ADJP) SQL</t>
  </si>
  <si>
    <t>WAACPS-JPN</t>
  </si>
  <si>
    <t>Commission and Performance System</t>
  </si>
  <si>
    <t>OMSIKN-JPN</t>
  </si>
  <si>
    <t>Conservation contract transferring system</t>
  </si>
  <si>
    <t>OMSTAT-JPN</t>
  </si>
  <si>
    <t>Conservation contract allowance system</t>
  </si>
  <si>
    <t>ZGLEDQ-JPN</t>
  </si>
  <si>
    <t>FATCA Oracle EDQ</t>
  </si>
  <si>
    <t>JAVA; C #</t>
  </si>
  <si>
    <t>WGLWLF-JPN</t>
  </si>
  <si>
    <t>Watch List Filtering system</t>
  </si>
  <si>
    <t>WZZMNB-JPN</t>
  </si>
  <si>
    <t>My number management system</t>
  </si>
  <si>
    <t>BCMETL-JPN</t>
  </si>
  <si>
    <t>Informatica Platform</t>
  </si>
  <si>
    <t>Other#Used UI for development and stored data as XML</t>
  </si>
  <si>
    <t>WPSCFC-JPN</t>
  </si>
  <si>
    <t>c-Force</t>
  </si>
  <si>
    <t>Other#APEX;HTML; JavaScript</t>
  </si>
  <si>
    <t>CGLFJM-JPN</t>
  </si>
  <si>
    <t>Misconduct Management system</t>
  </si>
  <si>
    <t>WGLBSR-JPN</t>
  </si>
  <si>
    <t>BSRec</t>
  </si>
  <si>
    <t>JP-RPASS</t>
  </si>
  <si>
    <t>JAPAN_BluePrism RPA</t>
  </si>
  <si>
    <t>Other#COTS from BluePrism</t>
  </si>
  <si>
    <t>W03CCP-JPN</t>
  </si>
  <si>
    <t>Customer Communication Preferences</t>
  </si>
  <si>
    <t>JP-Banca Report</t>
  </si>
  <si>
    <t>Japan Banca Report</t>
  </si>
  <si>
    <t>Infrastructure as a Service (IaaS); Platform as a Service (PaaS)</t>
  </si>
  <si>
    <t>LPS-JPN(EUC081)</t>
  </si>
  <si>
    <t>Life Plan Simulation Japan</t>
  </si>
  <si>
    <t>PHP</t>
  </si>
  <si>
    <t>CIT-JPN(EUC082)</t>
  </si>
  <si>
    <t>Inheritance Tax Simulation</t>
  </si>
  <si>
    <t>CMIAPI-JPN</t>
  </si>
  <si>
    <t>API Hub</t>
  </si>
  <si>
    <t>K2</t>
  </si>
  <si>
    <t>Japan K2 - Digital Workflows</t>
  </si>
  <si>
    <t>JP-PCI-RPASS</t>
  </si>
  <si>
    <t>Japan PCI Robotics Process Automation Service</t>
  </si>
  <si>
    <t>Other#This is coded within blueprism</t>
  </si>
  <si>
    <t>RBRARS-JPN</t>
  </si>
  <si>
    <t>RBWF Report Automatic Recognition System</t>
  </si>
  <si>
    <t>CMEAPI-JP</t>
  </si>
  <si>
    <t>Japan Partner API</t>
  </si>
  <si>
    <t>JP-WCMAUT</t>
  </si>
  <si>
    <t>JP Authentication Platform</t>
  </si>
  <si>
    <t>Himawari</t>
  </si>
  <si>
    <t>Himawari (Call Center Platform)</t>
  </si>
  <si>
    <t>JavaScript;HTML; Other#APEX</t>
  </si>
  <si>
    <t>JP-QA Shared Service</t>
  </si>
  <si>
    <t>Japan QA Shared Service- multiple projects</t>
  </si>
  <si>
    <t>Platform</t>
  </si>
  <si>
    <t>Other#Selenese, but supports others</t>
  </si>
  <si>
    <t>JP-DB2-CONNECT</t>
  </si>
  <si>
    <t>Japan DB2 Connect Proxy</t>
  </si>
  <si>
    <t>Other#COTS</t>
  </si>
  <si>
    <t>JP-Payroll</t>
  </si>
  <si>
    <t>Japan Payroll System</t>
  </si>
  <si>
    <t>Other# N-A(SaaS)</t>
  </si>
  <si>
    <t>JP-OLB Batch</t>
  </si>
  <si>
    <t>Japan - Direct Marketing Batch Applications</t>
  </si>
  <si>
    <t>ASP B_O-JPN</t>
  </si>
  <si>
    <t>ASP Bridge (OPEN)</t>
  </si>
  <si>
    <t>JAVA; C#; VB.NET</t>
  </si>
  <si>
    <t>WCMCCMJPN</t>
  </si>
  <si>
    <t>Inspire - Forms Management</t>
  </si>
  <si>
    <t>JavaScript</t>
  </si>
  <si>
    <t>Digital Portal</t>
  </si>
  <si>
    <t>Digital Portals for Policy Administration</t>
  </si>
  <si>
    <t>JAVA; JavaScript</t>
  </si>
  <si>
    <t>JP - Remote Closing</t>
  </si>
  <si>
    <t>JP - Remote Sales Closing</t>
  </si>
  <si>
    <t>PaymentService</t>
  </si>
  <si>
    <t>Payment Common Service - JP</t>
  </si>
  <si>
    <t>JP-GSSP</t>
  </si>
  <si>
    <t>Japan Sales Platform (GSSP)</t>
  </si>
  <si>
    <t>Business Content Management</t>
  </si>
  <si>
    <t>Other#n/a</t>
  </si>
  <si>
    <t>Software as a Service (SaaS); Platform as a Service (PaaS)</t>
  </si>
  <si>
    <t>DSP</t>
  </si>
  <si>
    <t>Digital Servicing Platform</t>
  </si>
  <si>
    <t>PL/SQL</t>
  </si>
  <si>
    <t>JDPREP</t>
  </si>
  <si>
    <t>Japan Data Platform and Reporting-JP</t>
  </si>
  <si>
    <t>Other#Transact SQL</t>
  </si>
  <si>
    <t>Kintone-JPN</t>
  </si>
  <si>
    <t>kintone and paperlogic electronic contract system</t>
  </si>
  <si>
    <t>Other#Vendor Managed</t>
  </si>
  <si>
    <t>POS-IMS</t>
  </si>
  <si>
    <t>POS - Integrated Management System</t>
  </si>
  <si>
    <t>AppsPortal</t>
  </si>
  <si>
    <t>Enterprise Apps Portal</t>
  </si>
  <si>
    <t>JavaScript; JAVA</t>
  </si>
  <si>
    <t>Scan Manager</t>
  </si>
  <si>
    <t>Digital Scan Manager</t>
  </si>
  <si>
    <t>ODMoC</t>
  </si>
  <si>
    <t>IBM Operational Decision Manager on Cloud</t>
  </si>
  <si>
    <t>Other#IRL Vendor supported language</t>
  </si>
  <si>
    <t>External Portal</t>
  </si>
  <si>
    <t>External Apps Portal</t>
  </si>
  <si>
    <t>Distribution Systems - Internal</t>
  </si>
  <si>
    <t>Corporate Batch</t>
  </si>
  <si>
    <t>OpenBatch system for Corporate</t>
  </si>
  <si>
    <t>Claim Batch</t>
  </si>
  <si>
    <t>OpenBatch system for Claim</t>
  </si>
  <si>
    <t>Customer Care Batch</t>
  </si>
  <si>
    <t>Open Batch System for Customer Care</t>
  </si>
  <si>
    <t>Other#ETL (Infomatica)</t>
  </si>
  <si>
    <t>AURA</t>
  </si>
  <si>
    <t>AURA Underwriting</t>
  </si>
  <si>
    <t>POS Batch</t>
  </si>
  <si>
    <t>OpenBatch system for Policy Servicing</t>
  </si>
  <si>
    <t>Distribution Marketing batches</t>
  </si>
  <si>
    <t>Distribution Marketing related batches</t>
  </si>
  <si>
    <t>HIMAWARI backend apps</t>
  </si>
  <si>
    <t>HIMAWARI backend applications</t>
  </si>
  <si>
    <t>New Business Batch</t>
  </si>
  <si>
    <t>OpenBatch system for New Business</t>
  </si>
  <si>
    <t>WCC</t>
  </si>
  <si>
    <t>Web Credit Card</t>
  </si>
  <si>
    <t>JAVA; HTML5; JavaScript</t>
  </si>
  <si>
    <t>PDF Auto Loader Batch</t>
  </si>
  <si>
    <t>Open Batch System for PDF Auto Loader</t>
  </si>
  <si>
    <t>IVR Tekigosei</t>
  </si>
  <si>
    <t>Confirming UnitLink product suitability via IVR</t>
  </si>
  <si>
    <t>Other# N-A</t>
  </si>
  <si>
    <t>W09WSD-JPN BIS</t>
  </si>
  <si>
    <t>Call Center WSD BIS</t>
  </si>
  <si>
    <t>NBAPPS-JPN</t>
  </si>
  <si>
    <t>New Business Operation Apps</t>
  </si>
  <si>
    <t>SCS</t>
  </si>
  <si>
    <t>Sales Compensation System</t>
  </si>
  <si>
    <t>JAVA; Other#SQL</t>
  </si>
  <si>
    <t>Pega for Claims</t>
  </si>
  <si>
    <t>Pega for Claims - Pega Workflow</t>
  </si>
  <si>
    <t>RAPS</t>
  </si>
  <si>
    <t>Retirement Allowance Payment System</t>
  </si>
  <si>
    <t>Commission System Support Tool</t>
  </si>
  <si>
    <t>Support Tool for Commission System</t>
  </si>
  <si>
    <t>MDRS</t>
  </si>
  <si>
    <t>Maturity and Deferral Related System</t>
  </si>
  <si>
    <t>JP-BANCA</t>
  </si>
  <si>
    <t>Japan Sales Platform-BANCA</t>
  </si>
  <si>
    <t>Commission calculation</t>
  </si>
  <si>
    <t>Commission Calculation Service</t>
  </si>
  <si>
    <t>Vcalc-JPN</t>
  </si>
  <si>
    <t>Variable Insurance Guarantee Calculation System</t>
  </si>
  <si>
    <t>Helper columns U..AH are what the Logic Tree reads. Columns B..T are the source pack, unmodified.</t>
  </si>
  <si>
    <t>Contract Management  —  six functional value streams</t>
  </si>
  <si>
    <t>Reconciles to 28 applications and 230.75 effort units exactly. Every application sits in one and only one stream.</t>
  </si>
  <si>
    <t>Code</t>
  </si>
  <si>
    <t>Y1 co-src pods</t>
  </si>
  <si>
    <t>Y1 full-src pods</t>
  </si>
  <si>
    <t>Y1 people</t>
  </si>
  <si>
    <t>Policy Administration &amp; Contract Servicing</t>
  </si>
  <si>
    <t>Billing, Collections &amp; Payments</t>
  </si>
  <si>
    <t>Agency &amp; Commission</t>
  </si>
  <si>
    <t>Correspondence, Documents &amp; Tax</t>
  </si>
  <si>
    <t>New Business, Underwriting &amp; Interfaces</t>
  </si>
  <si>
    <t>Finance, Valuation &amp; Reinsurance</t>
  </si>
  <si>
    <t>Application-to-value-stream mapping</t>
  </si>
  <si>
    <t>Applications</t>
  </si>
  <si>
    <t>LifeComm POSPMC · LifeComm  UWI · Submit Online · Micro-Index · Foreign · SWING MANAGER · Premium Collection History DB · MCFA Coupon DB · Client Contract Administration · LINC</t>
  </si>
  <si>
    <t>LifeComm Billing · LifeComm Collection · LifeComm Payment · Claim payment (Processor-I) · Payment  maturity existing benefit etc</t>
  </si>
  <si>
    <t>LifeComm AgentAgencyPerformance · LifeComm AgentAgencyComp</t>
  </si>
  <si>
    <t>LifeComm Corresponding · TaxCertification · Open Batch System for PDF Auto Loader</t>
  </si>
  <si>
    <t>ASP Bridge (HOST) · Data Send System for BANC · Policy Underwriting and Issue Batch</t>
  </si>
  <si>
    <t>LifeComm GL/SC · LifeComm Valuation · CT Salary System · Reinsurance · PinID Increase tool</t>
  </si>
  <si>
    <t>Pod library  —  every seat, in every pod archetype, in every year</t>
  </si>
  <si>
    <t>INPUT SHEET. Change a location from ON to OFF, delete a seat, or add one — the whole model re-derives. Pod size must stay in the 8-10 band.</t>
  </si>
  <si>
    <t>Year</t>
  </si>
  <si>
    <t>Pod type</t>
  </si>
  <si>
    <t>Seat</t>
  </si>
  <si>
    <t>Role</t>
  </si>
  <si>
    <t>Skill</t>
  </si>
  <si>
    <t>Exp</t>
  </si>
  <si>
    <t>Sourcing</t>
  </si>
  <si>
    <t>Count</t>
  </si>
  <si>
    <t>CO</t>
  </si>
  <si>
    <t>Product Owner</t>
  </si>
  <si>
    <t>LEAD</t>
  </si>
  <si>
    <t>Contract Domain SME</t>
  </si>
  <si>
    <t>BA</t>
  </si>
  <si>
    <t>Application Owner (Technical)</t>
  </si>
  <si>
    <t>ENG</t>
  </si>
  <si>
    <t>Pod Delivery Lead</t>
  </si>
  <si>
    <t>Solution Architect - Mainframe</t>
  </si>
  <si>
    <t>Business Analyst (bilingual)</t>
  </si>
  <si>
    <t>Senior Developer COBOL/Assembler</t>
  </si>
  <si>
    <t>DEV</t>
  </si>
  <si>
    <t>Developer COBOL/JCL</t>
  </si>
  <si>
    <t>Test Engineer</t>
  </si>
  <si>
    <t>TEST</t>
  </si>
  <si>
    <t>Pod size — Year 1 co-sourced</t>
  </si>
  <si>
    <t>8 to 10 seats</t>
  </si>
  <si>
    <t>FS</t>
  </si>
  <si>
    <t>Pod Lead (output owner)</t>
  </si>
  <si>
    <t>Solution Architect</t>
  </si>
  <si>
    <t>Senior Developer</t>
  </si>
  <si>
    <t>Developer</t>
  </si>
  <si>
    <t>Test Lead</t>
  </si>
  <si>
    <t>Pod size — Year 1 fully-sourced</t>
  </si>
  <si>
    <t>AI Orchestrator - Mainframe</t>
  </si>
  <si>
    <t>AI-embedded Senior Developer</t>
  </si>
  <si>
    <t>Quality Engineer (SDET)</t>
  </si>
  <si>
    <t>Pod size — Year 2 co-sourced</t>
  </si>
  <si>
    <t>AI Orchestrator</t>
  </si>
  <si>
    <t>AI Engineer (agent build)</t>
  </si>
  <si>
    <t>Pod size — Year 2 fully-sourced</t>
  </si>
  <si>
    <t>Pod Lead / AI Orchestrator</t>
  </si>
  <si>
    <t>AI-embedded Senior Engineer</t>
  </si>
  <si>
    <t>Pod size — Year 3 co-sourced</t>
  </si>
  <si>
    <t>Engineer</t>
  </si>
  <si>
    <t>Pod size — Year 3 fully-sourced</t>
  </si>
  <si>
    <t>Pod plan  —  how many pods each value stream runs, each year</t>
  </si>
  <si>
    <t>INPUT SHEET. Fewer pods and smaller pods is how productivity shows up in the headcount. Nothing else reduces it.</t>
  </si>
  <si>
    <t>VS</t>
  </si>
  <si>
    <t>Co-sourced pods</t>
  </si>
  <si>
    <t>Fully-sourced pods</t>
  </si>
  <si>
    <t>Pods</t>
  </si>
  <si>
    <t>People</t>
  </si>
  <si>
    <t>Year 1 total</t>
  </si>
  <si>
    <t>Year 2 total</t>
  </si>
  <si>
    <t>Year 3 total</t>
  </si>
  <si>
    <t>Horizontal teams  —  work that is not value-stream bounded</t>
  </si>
  <si>
    <t>INPUT SHEET. Batch and production control, the regression and test-data factory, and the thin architecture and release-train layer.</t>
  </si>
  <si>
    <t>Team name</t>
  </si>
  <si>
    <t>H1</t>
  </si>
  <si>
    <t>Production &amp; Batch Operations Command</t>
  </si>
  <si>
    <t>Service Delivery Manager</t>
  </si>
  <si>
    <t>Major Incident Manager</t>
  </si>
  <si>
    <t>OPS</t>
  </si>
  <si>
    <t>Batch &amp; Production Control Lead</t>
  </si>
  <si>
    <t>Batch &amp; Production Control</t>
  </si>
  <si>
    <t>Mainframe Operations Engineer</t>
  </si>
  <si>
    <t>L2 Application Support</t>
  </si>
  <si>
    <t>Problem &amp; Change Analyst</t>
  </si>
  <si>
    <t>H1 total</t>
  </si>
  <si>
    <t>H2</t>
  </si>
  <si>
    <t>Quality Engineering &amp; Test Data Factory</t>
  </si>
  <si>
    <t>Head of Quality Engineering</t>
  </si>
  <si>
    <t>Test Architect</t>
  </si>
  <si>
    <t>Test Data Management Lead</t>
  </si>
  <si>
    <t>Regression Automation Engineer</t>
  </si>
  <si>
    <t>Test Data Engineer</t>
  </si>
  <si>
    <t>Environment Engineer</t>
  </si>
  <si>
    <t>H2 total</t>
  </si>
  <si>
    <t>H3</t>
  </si>
  <si>
    <t>Domain Architecture, Release Train &amp; Governance</t>
  </si>
  <si>
    <t>Domain Delivery Head</t>
  </si>
  <si>
    <t>Chief Architect - Contract</t>
  </si>
  <si>
    <t>Release Train Engineer</t>
  </si>
  <si>
    <t>Transition &amp; Substrate Lead</t>
  </si>
  <si>
    <t>AI Enablement Lead</t>
  </si>
  <si>
    <t>Service &amp; Contract Manager</t>
  </si>
  <si>
    <t>PMO &amp; Reporting Analyst</t>
  </si>
  <si>
    <t>H3 total</t>
  </si>
  <si>
    <t>Year 1 horizontal total</t>
  </si>
  <si>
    <t>AIOps / Auto-remediation Engineer</t>
  </si>
  <si>
    <t>AI Test Generation Engineer</t>
  </si>
  <si>
    <t>Year 2 horizontal total</t>
  </si>
  <si>
    <t>Year 3 horizontal total</t>
  </si>
  <si>
    <t>Team build-up  —  headcount, sourcing, location, experience and skill, all derived from the seat ledger</t>
  </si>
  <si>
    <t>Nothing on this sheet is typed. Change a seat on Pod Library or a pod count on Pod Plan and every figure here moves.</t>
  </si>
  <si>
    <t>A.  POD SIZES  (read from the Pod Library)</t>
  </si>
  <si>
    <t>Pod size</t>
  </si>
  <si>
    <t>Y1 co-src</t>
  </si>
  <si>
    <t>Y1 full-src</t>
  </si>
  <si>
    <t>Y2 co-src</t>
  </si>
  <si>
    <t>Y2 full-src</t>
  </si>
  <si>
    <t>Y3 co-src</t>
  </si>
  <si>
    <t>Y3 full-src</t>
  </si>
  <si>
    <t>Seats per pod</t>
  </si>
  <si>
    <t>B.  HEADCOUNT</t>
  </si>
  <si>
    <t>Measure</t>
  </si>
  <si>
    <t>People in value-stream pods</t>
  </si>
  <si>
    <t>People in horizontal teams</t>
  </si>
  <si>
    <t>TOTAL PEOPLE</t>
  </si>
  <si>
    <t>Number of pods</t>
  </si>
  <si>
    <t>Average pod size</t>
  </si>
  <si>
    <t>C.  SOURCING  —  before any transfer of employment</t>
  </si>
  <si>
    <t>Capgemini (FTC)</t>
  </si>
  <si>
    <t>MetLife Japan (FTE)</t>
  </si>
  <si>
    <t>MetLife MGCC (Hyderabad)</t>
  </si>
  <si>
    <t>Check — sums to total</t>
  </si>
  <si>
    <t>D.  LOCATION</t>
  </si>
  <si>
    <t>Offshore share  (delivered, bottom-up)</t>
  </si>
  <si>
    <t>E.  EXPERIENCE MIX  —  built grounds-up from named seats, not applied as a percentage</t>
  </si>
  <si>
    <t>Experience band</t>
  </si>
  <si>
    <t>Y1 %</t>
  </si>
  <si>
    <t>Y2 %</t>
  </si>
  <si>
    <t>Y3 %</t>
  </si>
  <si>
    <t>E1  Associate  0-3 years</t>
  </si>
  <si>
    <t>E2  Engineer  3-6 years</t>
  </si>
  <si>
    <t>E3  Senior  6-10 years</t>
  </si>
  <si>
    <t>E4  Lead / specialist  10-15 years</t>
  </si>
  <si>
    <t>E5  Principal / architect  15 years+</t>
  </si>
  <si>
    <t>Talent shape</t>
  </si>
  <si>
    <t>Senior share  (E4 + E5)</t>
  </si>
  <si>
    <t>F.  SKILL DISTRIBUTION  —  also grounds-up</t>
  </si>
  <si>
    <t>Skill family</t>
  </si>
  <si>
    <t>Leadership &amp; delivery management</t>
  </si>
  <si>
    <t>Business analysis &amp; domain</t>
  </si>
  <si>
    <t>Development</t>
  </si>
  <si>
    <t>Engineering, AI &amp; platform</t>
  </si>
  <si>
    <t>Test &amp; quality engineering</t>
  </si>
  <si>
    <t>Operations &amp; production support</t>
  </si>
  <si>
    <t>G.  BY VALUE STREAM AND HORIZONTAL TEAM</t>
  </si>
  <si>
    <t>Unit</t>
  </si>
  <si>
    <t>Y1 pods</t>
  </si>
  <si>
    <t>Y3 pods</t>
  </si>
  <si>
    <t>VS1  Policy Administration &amp; Contract Servicing</t>
  </si>
  <si>
    <t>VS2  Billing, Collections &amp; Payments</t>
  </si>
  <si>
    <t>VS3  Agency &amp; Commission</t>
  </si>
  <si>
    <t>VS4  Correspondence, Documents &amp; Tax</t>
  </si>
  <si>
    <t>VS5  New Business, Underwriting &amp; Interfaces</t>
  </si>
  <si>
    <t>VS6  Finance, Valuation &amp; Reinsurance</t>
  </si>
  <si>
    <t>H1  Production &amp; Batch Operations Command</t>
  </si>
  <si>
    <t>H2  Quality Engineering &amp; Test Data Factory</t>
  </si>
  <si>
    <t>H3  Domain Architecture, Release Train &amp; Governance</t>
  </si>
  <si>
    <t>TOTAL</t>
  </si>
  <si>
    <t>Glidepath  —  target from the logic tree, delivered from the pod design, and the transfer needed for 50:50</t>
  </si>
  <si>
    <t>The tree says what the archetype mix should allow. The pod design says what we have actually staffed to. The gap is transition drag.</t>
  </si>
  <si>
    <t>A.  BASELINE  —  MetLife current state for this domain</t>
  </si>
  <si>
    <t>Value</t>
  </si>
  <si>
    <t>Current Capgemini FTC</t>
  </si>
  <si>
    <t>Current MetLife FTE</t>
  </si>
  <si>
    <t>Current MetLife MGCC</t>
  </si>
  <si>
    <t>MetLife Appendix 3 Year-3 target FTC</t>
  </si>
  <si>
    <t>Implied MetLife productivity assumption</t>
  </si>
  <si>
    <t>Appendix 3 v2 halves every application and leaves the portfolio unchanged, so it assumes zero productivity.</t>
  </si>
  <si>
    <t>B.  PRODUCTIVITY  —  target vs delivered</t>
  </si>
  <si>
    <t>Headcount delivered by the pod design</t>
  </si>
  <si>
    <t>Year 1 absorbs the whole of the drag: knowledge acquisition, substrate build and dual running are real work that consumes the productivity earned.</t>
  </si>
  <si>
    <t>Delivered productivity vs baseline</t>
  </si>
  <si>
    <t>Target productivity from the logic tree</t>
  </si>
  <si>
    <t>Transition &amp; enablement drag  (target less delivered)</t>
  </si>
  <si>
    <t>C.  OFFSHORE  —  target vs delivered</t>
  </si>
  <si>
    <t>Delivered offshore share (bottom-up from seats)</t>
  </si>
  <si>
    <t>Target offshore share from the logic tree</t>
  </si>
  <si>
    <t>Variance</t>
  </si>
  <si>
    <t>D.  THE 50:50 SOLVE</t>
  </si>
  <si>
    <t>Productivity shrinks the Capgemini side and the MetLife side together, so it cannot move the ratio. Only transfer of employment can.</t>
  </si>
  <si>
    <t>Total people</t>
  </si>
  <si>
    <t>Capgemini FTC before transfer</t>
  </si>
  <si>
    <t>MetLife FTE before transfer</t>
  </si>
  <si>
    <t>MetLife MGCC before transfer</t>
  </si>
  <si>
    <t>Ratio before transfer  FTC : MetLife</t>
  </si>
  <si>
    <t>Transferred to MetLife FTE this year</t>
  </si>
  <si>
    <t>Transferred to MetLife MGCC this year</t>
  </si>
  <si>
    <t>Capgemini FTC after transfer</t>
  </si>
  <si>
    <t>MetLife side after transfer</t>
  </si>
  <si>
    <t>RATIO ACHIEVED  —  Capgemini share</t>
  </si>
  <si>
    <t>A negative shortfall means the plan transfers more than 50:50 requires.</t>
  </si>
  <si>
    <t>Transfer required for exactly 50:50 (cumulative)</t>
  </si>
  <si>
    <t>Shortfall against 50:50</t>
  </si>
  <si>
    <t>Of the fall in the Capgemini population from Year 1 to Year 3:</t>
  </si>
  <si>
    <t xml:space="preserve">  attributable to productivity and offshore mix</t>
  </si>
  <si>
    <t>Transfer moves revenue rather than creating efficiency. It has to be priced separately.</t>
  </si>
  <si>
    <t xml:space="preserve">  attributable to transfer of employment</t>
  </si>
  <si>
    <t xml:space="preserve">  total reduction in Capgemini headcount</t>
  </si>
  <si>
    <t>Cost and commercial position  —  relative index only, pending the approved rate card</t>
  </si>
  <si>
    <t>Onshore Tokyo band E2 = 1.00. Every figure moves if the cost index on the Logic Tree changes.</t>
  </si>
  <si>
    <t>A.  TOTAL COST OF DELIVERING THE DOMAIN  (MetLife view — all three sourcing types)</t>
  </si>
  <si>
    <t>Total cost index</t>
  </si>
  <si>
    <t>Headcount</t>
  </si>
  <si>
    <t>Average cost per head</t>
  </si>
  <si>
    <t>Watch this line. Average cost per head falls in Year 2 on offshore leverage, then rises in Year 3 as juniors leave and the shape turns obelisk.</t>
  </si>
  <si>
    <t>Cost per unit of original scope</t>
  </si>
  <si>
    <t>Unit cost reduction vs Year 1</t>
  </si>
  <si>
    <t>This is the number to quote commercially, not the headcount reduction.</t>
  </si>
  <si>
    <t>B.  CAPGEMINI BILLABLE POSITION  (after transfer of employment)</t>
  </si>
  <si>
    <t>Capgemini heads billed</t>
  </si>
  <si>
    <t>Capgemini cost index (approximate — transfers assumed at average band)</t>
  </si>
  <si>
    <t>Capgemini position vs Year 1</t>
  </si>
  <si>
    <t>The Capgemini revenue base falls far faster than the domain cost base. Productivity plus transfer, compounding in the same direction.</t>
  </si>
  <si>
    <t>C.  COST BY LOCATION AND BY EXPERIENCE BAND</t>
  </si>
  <si>
    <t>Split</t>
  </si>
  <si>
    <t>Onshore Tokyo — cost index</t>
  </si>
  <si>
    <t>Offshore Hyderabad — cost index</t>
  </si>
  <si>
    <t>Onshore share of cost</t>
  </si>
  <si>
    <t>E1 — cost index</t>
  </si>
  <si>
    <t>E2 — cost index</t>
  </si>
  <si>
    <t>E3 — cost index</t>
  </si>
  <si>
    <t>E4 — cost index</t>
  </si>
  <si>
    <t>E5 — cost index</t>
  </si>
  <si>
    <t>D.  WHAT THIS MEANS FOR THE PRICING SUBMISSION</t>
  </si>
  <si>
    <t>•  Appendix 5 is priced by 領域. Contract Management is 99.4% archetype D, the hardest archetype in the portfolio.</t>
  </si>
  <si>
    <t>•  The portfolio-wide productivity commitment cannot be applied uniformly across domains. Applying it here under-prices this domain.</t>
  </si>
  <si>
    <t>•  Transfer of employment is a commercial event, not a delivery efficiency. Price the transition and the substrate build in Years 1 and 2, when the revenue is still there.</t>
  </si>
  <si>
    <t>•  The Year 3 exit revenue for this domain is roughly a third of Day 1. Everything that has to be recovered must be recovered early.</t>
  </si>
  <si>
    <t>Seat ledger  —  every pod-library line multiplied out by the pod plan, plus every horizontal seat</t>
  </si>
  <si>
    <t>Computed. This is the single table every roll-up reads. Do not edit; edit Pod Library, Pod Plan or Horizontal Teams instead.</t>
  </si>
  <si>
    <t>Origin</t>
  </si>
  <si>
    <t>Seats/pod</t>
  </si>
  <si>
    <t>Heads</t>
  </si>
  <si>
    <t>POD</t>
  </si>
  <si>
    <t>HZ</t>
  </si>
  <si>
    <t>Database Engineer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</si>
</sst>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0.000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8.5"/>
      <color rgb="FF595959"/>
      <name val="Arial"/>
    </font>
    <font>
      <b/>
      <sz val="11"/>
      <color rgb="FF00385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sz val="10"/>
      <color rgb="FF008000"/>
      <name val="Arial"/>
    </font>
    <font>
      <b/>
      <sz val="9"/>
      <color rgb="FFFFFFFF"/>
      <name val="Arial"/>
    </font>
    <font>
      <sz val="10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00385F"/>
      </patternFill>
    </fill>
    <fill>
      <patternFill patternType="solid">
        <fgColor rgb="FFDCEEF9"/>
      </patternFill>
    </fill>
    <fill>
      <patternFill patternType="solid">
        <fgColor rgb="FFFFF2CC"/>
      </patternFill>
    </fill>
    <fill>
      <patternFill patternType="solid">
        <fgColor rgb="FF0090DA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/>
    <xf numFmtId="0" fontId="2" fillId="0" borderId="1" xfId="0" applyFont="1" applyBorder="1"/>
    <xf numFmtId="0" fontId="6" fillId="4" borderId="1" xfId="0" applyFont="1" applyFill="1" applyBorder="1"/>
    <xf numFmtId="0" fontId="2" fillId="0" borderId="0" xfId="0" applyFont="1"/>
    <xf numFmtId="0" fontId="5" fillId="0" borderId="1" xfId="0" applyFont="1" applyBorder="1"/>
    <xf numFmtId="3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8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4" fillId="6" borderId="1" xfId="0" applyFont="1" applyFill="1" applyBorder="1"/>
    <xf numFmtId="165" fontId="4" fillId="6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4" fontId="6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/>
    <xf numFmtId="165" fontId="5" fillId="0" borderId="1" xfId="0" applyNumberFormat="1" applyFont="1" applyBorder="1"/>
    <xf numFmtId="3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3" fillId="0" borderId="0" xfId="0" applyFont="1"/>
    <xf numFmtId="3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/>
    <xf numFmtId="3" fontId="4" fillId="6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/>
    <xf numFmtId="3" fontId="4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5" fontId="7" fillId="6" borderId="1" xfId="0" applyNumberFormat="1" applyFont="1" applyFill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0" fillId="0" borderId="0" xfId="0"/>
    <xf numFmtId="0" fontId="2" fillId="0" borderId="0" xfId="0" applyFont="1" applyAlignment="1">
      <alignment indent="1"/>
    </xf>
    <xf numFmtId="0" fontId="3" fillId="3" borderId="0" xfId="0" applyFont="1" applyFill="1" applyAlignment="1">
      <alignment vertical="center" indent="1"/>
    </xf>
    <xf numFmtId="0" fontId="2" fillId="0" borderId="1" xfId="0" applyFont="1" applyBorder="1"/>
    <xf numFmtId="0" fontId="0" fillId="0" borderId="2" xfId="0" applyBorder="1"/>
    <xf numFmtId="0" fontId="0" fillId="0" borderId="3" xfId="0" applyBorder="1"/>
    <xf numFmtId="0" fontId="5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opLeftCell="A9" workbookViewId="0">
      <selection activeCell="C9" sqref="C9"/>
    </sheetView>
  </sheetViews>
  <sheetFormatPr defaultRowHeight="14.5" x14ac:dyDescent="0.35"/>
  <cols>
    <col min="1" max="1" width="3" customWidth="1"/>
    <col min="2" max="2" width="26" customWidth="1"/>
    <col min="3" max="3" width="92" customWidth="1"/>
  </cols>
  <sheetData>
    <row r="1" spans="1:8" ht="26.15" customHeight="1" x14ac:dyDescent="0.35">
      <c r="A1" s="48" t="s">
        <v>0</v>
      </c>
      <c r="B1" s="49"/>
      <c r="C1" s="49"/>
      <c r="D1" s="49"/>
      <c r="E1" s="49"/>
      <c r="F1" s="49"/>
      <c r="G1" s="49"/>
      <c r="H1" s="49"/>
    </row>
    <row r="2" spans="1:8" x14ac:dyDescent="0.35">
      <c r="A2" s="50" t="s">
        <v>1</v>
      </c>
      <c r="B2" s="49"/>
      <c r="C2" s="49"/>
      <c r="D2" s="49"/>
      <c r="E2" s="49"/>
      <c r="F2" s="49"/>
      <c r="G2" s="49"/>
      <c r="H2" s="49"/>
    </row>
    <row r="4" spans="1:8" ht="19.149999999999999" customHeight="1" x14ac:dyDescent="0.35">
      <c r="A4" s="51" t="s">
        <v>2</v>
      </c>
      <c r="B4" s="49"/>
      <c r="C4" s="49"/>
    </row>
    <row r="5" spans="1:8" ht="26.15" customHeight="1" x14ac:dyDescent="0.35">
      <c r="B5" s="1" t="s">
        <v>3</v>
      </c>
      <c r="C5" s="2" t="s">
        <v>4</v>
      </c>
    </row>
    <row r="6" spans="1:8" ht="26.15" customHeight="1" x14ac:dyDescent="0.35">
      <c r="B6" s="1" t="s">
        <v>5</v>
      </c>
      <c r="C6" s="2" t="s">
        <v>6</v>
      </c>
    </row>
    <row r="7" spans="1:8" ht="26.15" customHeight="1" x14ac:dyDescent="0.35">
      <c r="B7" s="1" t="s">
        <v>7</v>
      </c>
      <c r="C7" s="2" t="s">
        <v>8</v>
      </c>
    </row>
    <row r="8" spans="1:8" ht="19.149999999999999" customHeight="1" x14ac:dyDescent="0.35">
      <c r="A8" s="51" t="s">
        <v>9</v>
      </c>
      <c r="B8" s="49"/>
      <c r="C8" s="49"/>
    </row>
    <row r="9" spans="1:8" ht="26.15" customHeight="1" x14ac:dyDescent="0.35">
      <c r="B9" s="1" t="s">
        <v>10</v>
      </c>
      <c r="C9" s="2" t="s">
        <v>11</v>
      </c>
    </row>
    <row r="10" spans="1:8" ht="26.15" customHeight="1" x14ac:dyDescent="0.35">
      <c r="B10" s="1" t="s">
        <v>12</v>
      </c>
      <c r="C10" s="2" t="s">
        <v>13</v>
      </c>
    </row>
    <row r="11" spans="1:8" ht="26.15" customHeight="1" x14ac:dyDescent="0.35">
      <c r="B11" s="1" t="s">
        <v>14</v>
      </c>
      <c r="C11" s="2" t="s">
        <v>15</v>
      </c>
    </row>
    <row r="12" spans="1:8" ht="26.15" customHeight="1" x14ac:dyDescent="0.35">
      <c r="B12" s="1" t="s">
        <v>16</v>
      </c>
      <c r="C12" s="2" t="s">
        <v>17</v>
      </c>
    </row>
    <row r="13" spans="1:8" ht="19.149999999999999" customHeight="1" x14ac:dyDescent="0.35">
      <c r="A13" s="51" t="s">
        <v>18</v>
      </c>
      <c r="B13" s="49"/>
      <c r="C13" s="49"/>
    </row>
    <row r="14" spans="1:8" ht="26.15" customHeight="1" x14ac:dyDescent="0.35">
      <c r="B14" s="1" t="s">
        <v>19</v>
      </c>
      <c r="C14" s="2" t="s">
        <v>20</v>
      </c>
    </row>
    <row r="15" spans="1:8" ht="26.15" customHeight="1" x14ac:dyDescent="0.35">
      <c r="B15" s="1" t="s">
        <v>21</v>
      </c>
      <c r="C15" s="2" t="s">
        <v>22</v>
      </c>
    </row>
    <row r="16" spans="1:8" ht="26.15" customHeight="1" x14ac:dyDescent="0.35">
      <c r="B16" s="1" t="s">
        <v>23</v>
      </c>
      <c r="C16" s="2" t="s">
        <v>24</v>
      </c>
    </row>
    <row r="17" spans="1:3" ht="26.15" customHeight="1" x14ac:dyDescent="0.35">
      <c r="B17" s="1" t="s">
        <v>25</v>
      </c>
      <c r="C17" s="2" t="s">
        <v>26</v>
      </c>
    </row>
    <row r="18" spans="1:3" ht="26.15" customHeight="1" x14ac:dyDescent="0.35">
      <c r="B18" s="1" t="s">
        <v>27</v>
      </c>
      <c r="C18" s="2" t="s">
        <v>28</v>
      </c>
    </row>
    <row r="19" spans="1:3" ht="26.15" customHeight="1" x14ac:dyDescent="0.35">
      <c r="B19" s="1" t="s">
        <v>29</v>
      </c>
      <c r="C19" s="2" t="s">
        <v>30</v>
      </c>
    </row>
    <row r="20" spans="1:3" ht="26.15" customHeight="1" x14ac:dyDescent="0.35">
      <c r="B20" s="1" t="s">
        <v>31</v>
      </c>
      <c r="C20" s="2" t="s">
        <v>32</v>
      </c>
    </row>
    <row r="21" spans="1:3" ht="26.15" customHeight="1" x14ac:dyDescent="0.35">
      <c r="B21" s="1" t="s">
        <v>33</v>
      </c>
      <c r="C21" s="2" t="s">
        <v>34</v>
      </c>
    </row>
    <row r="22" spans="1:3" ht="26.15" customHeight="1" x14ac:dyDescent="0.35">
      <c r="B22" s="1" t="s">
        <v>35</v>
      </c>
      <c r="C22" s="2" t="s">
        <v>36</v>
      </c>
    </row>
    <row r="23" spans="1:3" ht="26.15" customHeight="1" x14ac:dyDescent="0.35">
      <c r="B23" s="1" t="s">
        <v>37</v>
      </c>
      <c r="C23" s="2" t="s">
        <v>38</v>
      </c>
    </row>
    <row r="24" spans="1:3" ht="19.149999999999999" customHeight="1" x14ac:dyDescent="0.35">
      <c r="A24" s="51" t="s">
        <v>39</v>
      </c>
      <c r="B24" s="49"/>
      <c r="C24" s="49"/>
    </row>
    <row r="25" spans="1:3" ht="26.15" customHeight="1" x14ac:dyDescent="0.35">
      <c r="B25" s="1" t="s">
        <v>40</v>
      </c>
      <c r="C25" s="2" t="s">
        <v>41</v>
      </c>
    </row>
    <row r="26" spans="1:3" ht="26.15" customHeight="1" x14ac:dyDescent="0.35">
      <c r="B26" s="1" t="s">
        <v>42</v>
      </c>
      <c r="C26" s="2" t="s">
        <v>43</v>
      </c>
    </row>
    <row r="27" spans="1:3" ht="26.15" customHeight="1" x14ac:dyDescent="0.35">
      <c r="B27" s="1" t="s">
        <v>44</v>
      </c>
      <c r="C27" s="2" t="s">
        <v>45</v>
      </c>
    </row>
    <row r="28" spans="1:3" ht="26.15" customHeight="1" x14ac:dyDescent="0.35">
      <c r="B28" s="1" t="s">
        <v>46</v>
      </c>
      <c r="C28" s="2" t="s">
        <v>47</v>
      </c>
    </row>
    <row r="30" spans="1:3" x14ac:dyDescent="0.35">
      <c r="B30" s="3" t="s">
        <v>48</v>
      </c>
      <c r="C30" s="4" t="s">
        <v>49</v>
      </c>
    </row>
  </sheetData>
  <mergeCells count="6">
    <mergeCell ref="A24:C24"/>
    <mergeCell ref="A13:C13"/>
    <mergeCell ref="A8:C8"/>
    <mergeCell ref="A2:H2"/>
    <mergeCell ref="A1:H1"/>
    <mergeCell ref="A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3"/>
  <sheetViews>
    <sheetView topLeftCell="A33" workbookViewId="0">
      <selection activeCell="F57" sqref="F57"/>
    </sheetView>
  </sheetViews>
  <sheetFormatPr defaultRowHeight="14.5" x14ac:dyDescent="0.35"/>
  <cols>
    <col min="1" max="1" width="2" customWidth="1"/>
    <col min="2" max="2" width="39.26953125" customWidth="1"/>
    <col min="3" max="3" width="62" customWidth="1"/>
    <col min="4" max="8" width="13" customWidth="1"/>
    <col min="9" max="9" width="40" customWidth="1"/>
  </cols>
  <sheetData>
    <row r="1" spans="1:10" ht="26.15" customHeight="1" x14ac:dyDescent="0.35">
      <c r="A1" s="48" t="s">
        <v>50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35">
      <c r="A2" s="50" t="s">
        <v>51</v>
      </c>
      <c r="B2" s="49"/>
      <c r="C2" s="49"/>
      <c r="D2" s="49"/>
      <c r="E2" s="49"/>
      <c r="F2" s="49"/>
      <c r="G2" s="49"/>
      <c r="H2" s="49"/>
      <c r="I2" s="49"/>
      <c r="J2" s="49"/>
    </row>
    <row r="4" spans="1:10" ht="19.149999999999999" customHeight="1" x14ac:dyDescent="0.35">
      <c r="A4" s="51" t="s">
        <v>52</v>
      </c>
      <c r="B4" s="49"/>
      <c r="C4" s="49"/>
      <c r="D4" s="49"/>
      <c r="E4" s="49"/>
      <c r="F4" s="49"/>
      <c r="G4" s="49"/>
      <c r="H4" s="49"/>
      <c r="I4" s="49"/>
    </row>
    <row r="5" spans="1:10" x14ac:dyDescent="0.35">
      <c r="B5" s="3" t="s">
        <v>53</v>
      </c>
      <c r="C5" s="5" t="s">
        <v>54</v>
      </c>
      <c r="I5" s="6" t="s">
        <v>55</v>
      </c>
    </row>
    <row r="6" spans="1:10" x14ac:dyDescent="0.35">
      <c r="B6" s="7" t="s">
        <v>56</v>
      </c>
      <c r="C6" s="8">
        <f>SUMIFS(Inventory!$U:$U,Inventory!$E:$E,$C$5)</f>
        <v>28</v>
      </c>
    </row>
    <row r="7" spans="1:10" x14ac:dyDescent="0.35">
      <c r="B7" s="7" t="s">
        <v>57</v>
      </c>
      <c r="C7" s="9">
        <f>SUMIFS(Inventory!$AD:$AD,Inventory!$E:$E,$C$5)</f>
        <v>230.75000000000003</v>
      </c>
    </row>
    <row r="8" spans="1:10" x14ac:dyDescent="0.35">
      <c r="B8" s="7" t="s">
        <v>58</v>
      </c>
      <c r="C8" s="9">
        <f>SUMIFS(Inventory!$AA:$AA,Inventory!$E:$E,$C$5)</f>
        <v>203.93583333333333</v>
      </c>
    </row>
    <row r="9" spans="1:10" x14ac:dyDescent="0.35">
      <c r="B9" s="7" t="s">
        <v>59</v>
      </c>
      <c r="C9" s="9">
        <f>SUMIFS(Inventory!$AB:$AB,Inventory!$E:$E,$C$5)</f>
        <v>26.814166666666662</v>
      </c>
    </row>
    <row r="10" spans="1:10" x14ac:dyDescent="0.35">
      <c r="B10" s="7" t="s">
        <v>60</v>
      </c>
      <c r="C10" s="9">
        <f>SUMIFS(Inventory!$AC:$AC,Inventory!$E:$E,$C$5)</f>
        <v>0</v>
      </c>
    </row>
    <row r="11" spans="1:10" x14ac:dyDescent="0.35">
      <c r="B11" s="7" t="s">
        <v>61</v>
      </c>
      <c r="C11" s="9">
        <f>SUMIFS(Inventory!$AF:$AF,Inventory!$E:$E,$C$5)</f>
        <v>182.8019166666667</v>
      </c>
    </row>
    <row r="12" spans="1:10" x14ac:dyDescent="0.35">
      <c r="B12" s="7" t="s">
        <v>62</v>
      </c>
      <c r="C12" s="9">
        <f>C7-C11</f>
        <v>47.948083333333329</v>
      </c>
    </row>
    <row r="13" spans="1:10" x14ac:dyDescent="0.35">
      <c r="B13" s="7" t="s">
        <v>63</v>
      </c>
      <c r="C13" s="10">
        <f>IF(C7=0,0,C11/C7)</f>
        <v>0.7922076561935717</v>
      </c>
    </row>
    <row r="15" spans="1:10" ht="19.149999999999999" customHeight="1" x14ac:dyDescent="0.35">
      <c r="A15" s="51" t="s">
        <v>64</v>
      </c>
      <c r="B15" s="49"/>
      <c r="C15" s="49"/>
      <c r="D15" s="49"/>
      <c r="E15" s="49"/>
      <c r="F15" s="49"/>
      <c r="G15" s="49"/>
      <c r="H15" s="49"/>
      <c r="I15" s="49"/>
    </row>
    <row r="16" spans="1:10" ht="28.15" customHeight="1" x14ac:dyDescent="0.35">
      <c r="B16" s="11" t="s">
        <v>65</v>
      </c>
      <c r="C16" s="11" t="s">
        <v>66</v>
      </c>
      <c r="D16" s="11" t="s">
        <v>67</v>
      </c>
      <c r="E16" s="11" t="s">
        <v>68</v>
      </c>
      <c r="F16" s="11" t="s">
        <v>69</v>
      </c>
    </row>
    <row r="17" spans="1:9" x14ac:dyDescent="0.35">
      <c r="B17" s="12" t="s">
        <v>70</v>
      </c>
      <c r="C17" s="7" t="s">
        <v>71</v>
      </c>
      <c r="D17" s="13">
        <f>SUMIFS(Inventory!$U:$U,Inventory!$E:$E,$C$5,Inventory!$AG:$AG,$B17)</f>
        <v>0</v>
      </c>
      <c r="E17" s="14">
        <f>SUMIFS(Inventory!$AD:$AD,Inventory!$E:$E,$C$5,Inventory!$AG:$AG,$B17)</f>
        <v>0</v>
      </c>
      <c r="F17" s="15">
        <f>IF($C$7=0,0,E17/$C$7)</f>
        <v>0</v>
      </c>
    </row>
    <row r="18" spans="1:9" x14ac:dyDescent="0.35">
      <c r="B18" s="12" t="s">
        <v>72</v>
      </c>
      <c r="C18" s="7" t="s">
        <v>73</v>
      </c>
      <c r="D18" s="13">
        <f>SUMIFS(Inventory!$U:$U,Inventory!$E:$E,$C$5,Inventory!$AG:$AG,$B18)</f>
        <v>2</v>
      </c>
      <c r="E18" s="14">
        <f>SUMIFS(Inventory!$AD:$AD,Inventory!$E:$E,$C$5,Inventory!$AG:$AG,$B18)</f>
        <v>1.4797083333333327</v>
      </c>
      <c r="F18" s="15">
        <f>IF($C$7=0,0,E18/$C$7)</f>
        <v>6.4126038280967823E-3</v>
      </c>
    </row>
    <row r="19" spans="1:9" x14ac:dyDescent="0.35">
      <c r="B19" s="12" t="s">
        <v>74</v>
      </c>
      <c r="C19" s="7" t="s">
        <v>75</v>
      </c>
      <c r="D19" s="13">
        <f>SUMIFS(Inventory!$U:$U,Inventory!$E:$E,$C$5,Inventory!$AG:$AG,$B19)</f>
        <v>0</v>
      </c>
      <c r="E19" s="14">
        <f>SUMIFS(Inventory!$AD:$AD,Inventory!$E:$E,$C$5,Inventory!$AG:$AG,$B19)</f>
        <v>0</v>
      </c>
      <c r="F19" s="15">
        <f>IF($C$7=0,0,E19/$C$7)</f>
        <v>0</v>
      </c>
    </row>
    <row r="20" spans="1:9" x14ac:dyDescent="0.35">
      <c r="B20" s="12" t="s">
        <v>76</v>
      </c>
      <c r="C20" s="7" t="s">
        <v>77</v>
      </c>
      <c r="D20" s="13">
        <f>SUMIFS(Inventory!$U:$U,Inventory!$E:$E,$C$5,Inventory!$AG:$AG,$B20)</f>
        <v>26</v>
      </c>
      <c r="E20" s="14">
        <f>SUMIFS(Inventory!$AD:$AD,Inventory!$E:$E,$C$5,Inventory!$AG:$AG,$B20)</f>
        <v>229.27029166666668</v>
      </c>
      <c r="F20" s="15">
        <f>IF($C$7=0,0,E20/$C$7)</f>
        <v>0.99358739617190317</v>
      </c>
    </row>
    <row r="21" spans="1:9" x14ac:dyDescent="0.35">
      <c r="B21" s="3" t="s">
        <v>78</v>
      </c>
      <c r="C21" s="7"/>
      <c r="D21" s="16">
        <f>SUM(D17:D20)</f>
        <v>28</v>
      </c>
      <c r="E21" s="17">
        <f>SUM(E17:E20)</f>
        <v>230.75</v>
      </c>
      <c r="F21" s="18">
        <f>SUM(F17:F20)</f>
        <v>1</v>
      </c>
    </row>
    <row r="23" spans="1:9" ht="19.149999999999999" customHeight="1" x14ac:dyDescent="0.35">
      <c r="A23" s="51" t="s">
        <v>79</v>
      </c>
      <c r="B23" s="49"/>
      <c r="C23" s="49"/>
      <c r="D23" s="49"/>
      <c r="E23" s="49"/>
      <c r="F23" s="49"/>
      <c r="G23" s="49"/>
      <c r="H23" s="49"/>
      <c r="I23" s="49"/>
    </row>
    <row r="24" spans="1:9" ht="28.15" customHeight="1" x14ac:dyDescent="0.35">
      <c r="B24" s="11" t="s">
        <v>80</v>
      </c>
      <c r="C24" s="11" t="s">
        <v>69</v>
      </c>
    </row>
    <row r="25" spans="1:9" x14ac:dyDescent="0.35">
      <c r="B25" s="7" t="s">
        <v>81</v>
      </c>
      <c r="C25" s="19">
        <v>0.1</v>
      </c>
    </row>
    <row r="26" spans="1:9" x14ac:dyDescent="0.35">
      <c r="B26" s="7" t="s">
        <v>82</v>
      </c>
      <c r="C26" s="19">
        <v>0.05</v>
      </c>
    </row>
    <row r="27" spans="1:9" x14ac:dyDescent="0.35">
      <c r="B27" s="7" t="s">
        <v>83</v>
      </c>
      <c r="C27" s="19">
        <v>0.4</v>
      </c>
    </row>
    <row r="28" spans="1:9" x14ac:dyDescent="0.35">
      <c r="B28" s="7" t="s">
        <v>84</v>
      </c>
      <c r="C28" s="19">
        <v>0.25</v>
      </c>
    </row>
    <row r="29" spans="1:9" x14ac:dyDescent="0.35">
      <c r="B29" s="7" t="s">
        <v>85</v>
      </c>
      <c r="C29" s="19">
        <v>0.05</v>
      </c>
    </row>
    <row r="30" spans="1:9" x14ac:dyDescent="0.35">
      <c r="B30" s="7" t="s">
        <v>86</v>
      </c>
      <c r="C30" s="19">
        <v>0.15</v>
      </c>
    </row>
    <row r="31" spans="1:9" x14ac:dyDescent="0.35">
      <c r="B31" s="3" t="s">
        <v>87</v>
      </c>
      <c r="C31" s="18">
        <f>SUM(C25:C30)</f>
        <v>1</v>
      </c>
    </row>
    <row r="33" spans="1:9" ht="19.149999999999999" customHeight="1" x14ac:dyDescent="0.35">
      <c r="A33" s="51" t="s">
        <v>88</v>
      </c>
      <c r="B33" s="49"/>
      <c r="C33" s="49"/>
      <c r="D33" s="49"/>
      <c r="E33" s="49"/>
      <c r="F33" s="49"/>
      <c r="G33" s="49"/>
      <c r="H33" s="49"/>
      <c r="I33" s="49"/>
    </row>
    <row r="34" spans="1:9" x14ac:dyDescent="0.35">
      <c r="B34" s="6" t="s">
        <v>89</v>
      </c>
    </row>
    <row r="35" spans="1:9" ht="28.15" customHeight="1" x14ac:dyDescent="0.35">
      <c r="B35" s="11" t="s">
        <v>80</v>
      </c>
      <c r="C35" s="11" t="s">
        <v>70</v>
      </c>
      <c r="D35" s="11" t="s">
        <v>72</v>
      </c>
      <c r="E35" s="11" t="s">
        <v>74</v>
      </c>
      <c r="F35" s="11" t="s">
        <v>76</v>
      </c>
    </row>
    <row r="36" spans="1:9" x14ac:dyDescent="0.35">
      <c r="B36" s="7" t="s">
        <v>81</v>
      </c>
      <c r="C36" s="19">
        <v>0.22</v>
      </c>
      <c r="D36" s="19">
        <v>0.35</v>
      </c>
      <c r="E36" s="19">
        <v>0.35</v>
      </c>
      <c r="F36" s="19">
        <v>0.35</v>
      </c>
    </row>
    <row r="37" spans="1:9" x14ac:dyDescent="0.35">
      <c r="B37" s="7" t="s">
        <v>82</v>
      </c>
      <c r="C37" s="19">
        <v>0.2</v>
      </c>
      <c r="D37" s="19">
        <v>0.3</v>
      </c>
      <c r="E37" s="19">
        <v>0.3</v>
      </c>
      <c r="F37" s="19">
        <v>0.22</v>
      </c>
    </row>
    <row r="38" spans="1:9" x14ac:dyDescent="0.35">
      <c r="B38" s="7" t="s">
        <v>83</v>
      </c>
      <c r="C38" s="19">
        <v>0.32</v>
      </c>
      <c r="D38" s="19">
        <v>0.55000000000000004</v>
      </c>
      <c r="E38" s="19">
        <v>0.5</v>
      </c>
      <c r="F38" s="19">
        <v>0.2</v>
      </c>
    </row>
    <row r="39" spans="1:9" x14ac:dyDescent="0.35">
      <c r="B39" s="7" t="s">
        <v>84</v>
      </c>
      <c r="C39" s="19">
        <v>0.38</v>
      </c>
      <c r="D39" s="19">
        <v>0.6</v>
      </c>
      <c r="E39" s="19">
        <v>0.55000000000000004</v>
      </c>
      <c r="F39" s="19">
        <v>0.4</v>
      </c>
    </row>
    <row r="40" spans="1:9" x14ac:dyDescent="0.35">
      <c r="B40" s="7" t="s">
        <v>85</v>
      </c>
      <c r="C40" s="19">
        <v>0.3</v>
      </c>
      <c r="D40" s="19">
        <v>0.5</v>
      </c>
      <c r="E40" s="19">
        <v>0.45</v>
      </c>
      <c r="F40" s="19">
        <v>0.25</v>
      </c>
    </row>
    <row r="41" spans="1:9" x14ac:dyDescent="0.35">
      <c r="B41" s="7" t="s">
        <v>86</v>
      </c>
      <c r="C41" s="19">
        <v>0.3</v>
      </c>
      <c r="D41" s="19">
        <v>0.4</v>
      </c>
      <c r="E41" s="19">
        <v>0.4</v>
      </c>
      <c r="F41" s="19">
        <v>0.3</v>
      </c>
    </row>
    <row r="42" spans="1:9" x14ac:dyDescent="0.35">
      <c r="B42" s="3" t="s">
        <v>90</v>
      </c>
      <c r="C42" s="18">
        <f>SUMPRODUCT($C$25:$C$30,C36:C41)</f>
        <v>0.315</v>
      </c>
      <c r="D42" s="18">
        <f>SUMPRODUCT($C$25:$C$30,D36:D41)</f>
        <v>0.50500000000000012</v>
      </c>
      <c r="E42" s="18">
        <f>SUMPRODUCT($C$25:$C$30,E36:E41)</f>
        <v>0.47000000000000003</v>
      </c>
      <c r="F42" s="18">
        <f>SUMPRODUCT($C$25:$C$30,F36:F41)</f>
        <v>0.28350000000000003</v>
      </c>
    </row>
    <row r="43" spans="1:9" x14ac:dyDescent="0.35">
      <c r="B43" s="20" t="s">
        <v>91</v>
      </c>
      <c r="C43" s="21">
        <f>IF($C$7=0,0,(C42*$E$17+D42*$E$18+E42*$E$19+F42*$E$20)/$C$7)</f>
        <v>0.2849203917479235</v>
      </c>
    </row>
    <row r="46" spans="1:9" ht="19.149999999999999" customHeight="1" x14ac:dyDescent="0.35">
      <c r="A46" s="51" t="s">
        <v>92</v>
      </c>
      <c r="B46" s="49"/>
      <c r="C46" s="49"/>
      <c r="D46" s="49"/>
      <c r="E46" s="49"/>
      <c r="F46" s="49"/>
      <c r="G46" s="49"/>
      <c r="H46" s="49"/>
      <c r="I46" s="49"/>
    </row>
    <row r="47" spans="1:9" ht="28.15" customHeight="1" x14ac:dyDescent="0.35">
      <c r="B47" s="11" t="s">
        <v>93</v>
      </c>
      <c r="C47" s="11" t="s">
        <v>94</v>
      </c>
      <c r="D47" s="11" t="s">
        <v>95</v>
      </c>
      <c r="E47" s="11" t="s">
        <v>96</v>
      </c>
      <c r="F47" s="11" t="s">
        <v>97</v>
      </c>
    </row>
    <row r="48" spans="1:9" x14ac:dyDescent="0.35">
      <c r="B48" s="7" t="s">
        <v>98</v>
      </c>
      <c r="C48" s="19">
        <v>0.25</v>
      </c>
      <c r="D48" s="19">
        <v>0.55000000000000004</v>
      </c>
      <c r="E48" s="19">
        <v>0.75</v>
      </c>
      <c r="F48" s="4" t="s">
        <v>99</v>
      </c>
    </row>
    <row r="49" spans="1:9" x14ac:dyDescent="0.35">
      <c r="B49" s="7" t="s">
        <v>100</v>
      </c>
      <c r="C49" s="19">
        <v>0.02</v>
      </c>
      <c r="D49" s="19">
        <v>0.05</v>
      </c>
      <c r="E49" s="19">
        <v>7.0000000000000007E-2</v>
      </c>
      <c r="F49" s="4" t="s">
        <v>101</v>
      </c>
    </row>
    <row r="50" spans="1:9" x14ac:dyDescent="0.35">
      <c r="B50" s="7" t="s">
        <v>102</v>
      </c>
      <c r="C50" s="19">
        <v>0.03</v>
      </c>
      <c r="D50" s="19">
        <v>0.06</v>
      </c>
      <c r="E50" s="19">
        <v>0.08</v>
      </c>
      <c r="F50" s="4" t="s">
        <v>103</v>
      </c>
    </row>
    <row r="52" spans="1:9" x14ac:dyDescent="0.35">
      <c r="B52" s="3" t="s">
        <v>104</v>
      </c>
      <c r="C52" s="15">
        <f>$C$43*C$48</f>
        <v>7.1230097936980874E-2</v>
      </c>
      <c r="D52" s="15">
        <f>$C$43*D$48</f>
        <v>0.15670621546135793</v>
      </c>
      <c r="E52" s="15">
        <f>$C$43*E$48</f>
        <v>0.21369029381094262</v>
      </c>
    </row>
    <row r="53" spans="1:9" x14ac:dyDescent="0.35">
      <c r="B53" s="20" t="s">
        <v>105</v>
      </c>
      <c r="C53" s="21">
        <f>1-(1-C52)*(1-C$49)*(1-C$50)</f>
        <v>0.11711133109889404</v>
      </c>
      <c r="D53" s="21">
        <f>1-(1-D52)*(1-D$49)*(1-D$50)</f>
        <v>0.2469386504069927</v>
      </c>
      <c r="E53" s="21">
        <f>1-(1-E52)*(1-E$49)*(1-E$50)</f>
        <v>0.32723341538464246</v>
      </c>
    </row>
    <row r="55" spans="1:9" ht="19.149999999999999" customHeight="1" x14ac:dyDescent="0.35">
      <c r="A55" s="51" t="s">
        <v>106</v>
      </c>
      <c r="B55" s="49"/>
      <c r="C55" s="49"/>
      <c r="D55" s="49"/>
      <c r="E55" s="49"/>
      <c r="F55" s="49"/>
      <c r="G55" s="49"/>
      <c r="H55" s="49"/>
      <c r="I55" s="49"/>
    </row>
    <row r="56" spans="1:9" ht="28.15" customHeight="1" x14ac:dyDescent="0.35">
      <c r="B56" s="11" t="s">
        <v>93</v>
      </c>
      <c r="C56" s="11" t="s">
        <v>70</v>
      </c>
      <c r="D56" s="11" t="s">
        <v>72</v>
      </c>
      <c r="E56" s="11" t="s">
        <v>74</v>
      </c>
      <c r="F56" s="11" t="s">
        <v>76</v>
      </c>
    </row>
    <row r="57" spans="1:9" x14ac:dyDescent="0.35">
      <c r="B57" s="7" t="s">
        <v>107</v>
      </c>
      <c r="C57" s="19">
        <v>0.15</v>
      </c>
      <c r="D57" s="19">
        <v>0.78</v>
      </c>
      <c r="E57" s="19">
        <v>0.85</v>
      </c>
      <c r="F57" s="19">
        <v>0.65</v>
      </c>
    </row>
    <row r="58" spans="1:9" x14ac:dyDescent="0.35">
      <c r="B58" s="20" t="s">
        <v>108</v>
      </c>
      <c r="C58" s="21">
        <f>IF($C$7=0,0,(C57*$E$17+D57*$E$18+E57*$E$19+F57*$E$20)/$C$7)</f>
        <v>0.65083363849765252</v>
      </c>
    </row>
    <row r="60" spans="1:9" ht="28.15" customHeight="1" x14ac:dyDescent="0.35">
      <c r="B60" s="11" t="s">
        <v>93</v>
      </c>
      <c r="C60" s="11" t="s">
        <v>94</v>
      </c>
      <c r="D60" s="11" t="s">
        <v>95</v>
      </c>
      <c r="E60" s="11" t="s">
        <v>96</v>
      </c>
    </row>
    <row r="61" spans="1:9" x14ac:dyDescent="0.35">
      <c r="B61" s="7" t="s">
        <v>109</v>
      </c>
      <c r="C61" s="19">
        <v>0.56999999999999995</v>
      </c>
      <c r="D61" s="19">
        <v>0.85</v>
      </c>
      <c r="E61" s="19">
        <v>0.93</v>
      </c>
    </row>
    <row r="62" spans="1:9" x14ac:dyDescent="0.35">
      <c r="B62" s="20" t="s">
        <v>110</v>
      </c>
      <c r="C62" s="21">
        <f>$C$58*C61</f>
        <v>0.37097517394366192</v>
      </c>
      <c r="D62" s="21">
        <f>$C$58*D61</f>
        <v>0.5532085927230046</v>
      </c>
      <c r="E62" s="21">
        <f>$C$58*E61</f>
        <v>0.60527528380281692</v>
      </c>
    </row>
    <row r="64" spans="1:9" ht="19.149999999999999" customHeight="1" x14ac:dyDescent="0.35">
      <c r="A64" s="51" t="s">
        <v>111</v>
      </c>
      <c r="B64" s="49"/>
      <c r="C64" s="49"/>
      <c r="D64" s="49"/>
      <c r="E64" s="49"/>
      <c r="F64" s="49"/>
      <c r="G64" s="49"/>
      <c r="H64" s="49"/>
      <c r="I64" s="49"/>
    </row>
    <row r="65" spans="1:14" x14ac:dyDescent="0.35">
      <c r="B65" s="6" t="s">
        <v>112</v>
      </c>
    </row>
    <row r="66" spans="1:14" ht="28.15" customHeight="1" x14ac:dyDescent="0.35">
      <c r="B66" s="11" t="s">
        <v>113</v>
      </c>
      <c r="C66" s="11" t="s">
        <v>94</v>
      </c>
      <c r="D66" s="11" t="s">
        <v>95</v>
      </c>
      <c r="E66" s="11" t="s">
        <v>96</v>
      </c>
    </row>
    <row r="67" spans="1:14" x14ac:dyDescent="0.35">
      <c r="B67" s="7" t="s">
        <v>114</v>
      </c>
      <c r="C67" s="22">
        <v>0</v>
      </c>
      <c r="D67" s="22">
        <v>6</v>
      </c>
      <c r="E67" s="22">
        <v>9</v>
      </c>
    </row>
    <row r="68" spans="1:14" x14ac:dyDescent="0.35">
      <c r="B68" s="7" t="s">
        <v>115</v>
      </c>
      <c r="C68" s="22">
        <v>0</v>
      </c>
      <c r="D68" s="22">
        <v>14</v>
      </c>
      <c r="E68" s="22">
        <v>21</v>
      </c>
    </row>
    <row r="69" spans="1:14" x14ac:dyDescent="0.35">
      <c r="B69" s="3" t="s">
        <v>116</v>
      </c>
      <c r="C69" s="16">
        <f>SUM($C$67:C68)</f>
        <v>0</v>
      </c>
      <c r="D69" s="16">
        <f>SUM($C$67:D68)</f>
        <v>20</v>
      </c>
      <c r="E69" s="16">
        <f>SUM($C$67:E68)</f>
        <v>50</v>
      </c>
    </row>
    <row r="71" spans="1:14" ht="19.149999999999999" customHeight="1" x14ac:dyDescent="0.35">
      <c r="A71" s="51" t="s">
        <v>117</v>
      </c>
      <c r="B71" s="49"/>
      <c r="C71" s="49"/>
      <c r="D71" s="49"/>
      <c r="E71" s="49"/>
      <c r="F71" s="49"/>
      <c r="G71" s="49"/>
      <c r="H71" s="49"/>
      <c r="I71" s="49"/>
    </row>
    <row r="72" spans="1:14" ht="28.15" customHeight="1" x14ac:dyDescent="0.35">
      <c r="B72" s="11" t="s">
        <v>118</v>
      </c>
      <c r="C72" s="11" t="s">
        <v>119</v>
      </c>
      <c r="D72" s="11" t="s">
        <v>120</v>
      </c>
      <c r="E72" s="11" t="s">
        <v>121</v>
      </c>
      <c r="F72" s="11" t="s">
        <v>122</v>
      </c>
      <c r="G72" s="11" t="s">
        <v>123</v>
      </c>
      <c r="I72" s="37" t="s">
        <v>124</v>
      </c>
      <c r="J72" s="37" t="s">
        <v>125</v>
      </c>
      <c r="K72" s="37" t="s">
        <v>126</v>
      </c>
      <c r="L72" s="37" t="s">
        <v>127</v>
      </c>
      <c r="M72" s="37" t="s">
        <v>128</v>
      </c>
      <c r="N72" s="37" t="s">
        <v>129</v>
      </c>
    </row>
    <row r="73" spans="1:14" x14ac:dyDescent="0.35">
      <c r="B73" s="7" t="s">
        <v>130</v>
      </c>
      <c r="C73" s="23">
        <v>0.72</v>
      </c>
      <c r="D73" s="23">
        <v>1</v>
      </c>
      <c r="E73" s="23">
        <v>1.35</v>
      </c>
      <c r="F73" s="23">
        <v>1.85</v>
      </c>
      <c r="G73" s="23">
        <v>2.5499999999999998</v>
      </c>
      <c r="I73" s="37" t="s">
        <v>131</v>
      </c>
      <c r="J73" s="38">
        <f t="shared" ref="J73:N74" si="0">C73</f>
        <v>0.72</v>
      </c>
      <c r="K73" s="38">
        <f t="shared" si="0"/>
        <v>1</v>
      </c>
      <c r="L73" s="38">
        <f t="shared" si="0"/>
        <v>1.35</v>
      </c>
      <c r="M73" s="38">
        <f t="shared" si="0"/>
        <v>1.85</v>
      </c>
      <c r="N73" s="38">
        <f t="shared" si="0"/>
        <v>2.5499999999999998</v>
      </c>
    </row>
    <row r="74" spans="1:14" x14ac:dyDescent="0.35">
      <c r="B74" s="7" t="s">
        <v>132</v>
      </c>
      <c r="C74" s="23">
        <v>0.22</v>
      </c>
      <c r="D74" s="23">
        <v>0.3</v>
      </c>
      <c r="E74" s="23">
        <v>0.42</v>
      </c>
      <c r="F74" s="23">
        <v>0.6</v>
      </c>
      <c r="G74" s="23">
        <v>0.85</v>
      </c>
      <c r="I74" s="37" t="s">
        <v>133</v>
      </c>
      <c r="J74" s="38">
        <f t="shared" si="0"/>
        <v>0.22</v>
      </c>
      <c r="K74" s="38">
        <f t="shared" si="0"/>
        <v>0.3</v>
      </c>
      <c r="L74" s="38">
        <f t="shared" si="0"/>
        <v>0.42</v>
      </c>
      <c r="M74" s="38">
        <f t="shared" si="0"/>
        <v>0.6</v>
      </c>
      <c r="N74" s="38">
        <f t="shared" si="0"/>
        <v>0.85</v>
      </c>
    </row>
    <row r="75" spans="1:14" x14ac:dyDescent="0.35">
      <c r="I75" s="6" t="s">
        <v>134</v>
      </c>
    </row>
    <row r="76" spans="1:14" ht="19.149999999999999" customHeight="1" x14ac:dyDescent="0.35">
      <c r="A76" s="51" t="s">
        <v>135</v>
      </c>
      <c r="B76" s="49"/>
      <c r="C76" s="49"/>
      <c r="D76" s="49"/>
      <c r="E76" s="49"/>
      <c r="F76" s="49"/>
      <c r="G76" s="49"/>
      <c r="H76" s="49"/>
      <c r="I76" s="49"/>
    </row>
    <row r="77" spans="1:14" x14ac:dyDescent="0.35">
      <c r="B77" s="24" t="s">
        <v>136</v>
      </c>
      <c r="C77" s="52" t="s">
        <v>137</v>
      </c>
      <c r="D77" s="53"/>
      <c r="E77" s="53"/>
      <c r="F77" s="53"/>
      <c r="G77" s="53"/>
      <c r="H77" s="53"/>
      <c r="I77" s="54"/>
    </row>
    <row r="78" spans="1:14" x14ac:dyDescent="0.35">
      <c r="B78" s="24" t="s">
        <v>136</v>
      </c>
      <c r="C78" s="52" t="s">
        <v>138</v>
      </c>
      <c r="D78" s="53"/>
      <c r="E78" s="53"/>
      <c r="F78" s="53"/>
      <c r="G78" s="53"/>
      <c r="H78" s="53"/>
      <c r="I78" s="54"/>
    </row>
    <row r="79" spans="1:14" x14ac:dyDescent="0.35">
      <c r="B79" s="24" t="s">
        <v>136</v>
      </c>
      <c r="C79" s="52" t="s">
        <v>139</v>
      </c>
      <c r="D79" s="53"/>
      <c r="E79" s="53"/>
      <c r="F79" s="53"/>
      <c r="G79" s="53"/>
      <c r="H79" s="53"/>
      <c r="I79" s="54"/>
    </row>
    <row r="80" spans="1:14" x14ac:dyDescent="0.35">
      <c r="B80" s="24" t="s">
        <v>136</v>
      </c>
      <c r="C80" s="52" t="s">
        <v>140</v>
      </c>
      <c r="D80" s="53"/>
      <c r="E80" s="53"/>
      <c r="F80" s="53"/>
      <c r="G80" s="53"/>
      <c r="H80" s="53"/>
      <c r="I80" s="54"/>
    </row>
    <row r="81" spans="2:9" x14ac:dyDescent="0.35">
      <c r="B81" s="24" t="s">
        <v>136</v>
      </c>
      <c r="C81" s="52" t="s">
        <v>141</v>
      </c>
      <c r="D81" s="53"/>
      <c r="E81" s="53"/>
      <c r="F81" s="53"/>
      <c r="G81" s="53"/>
      <c r="H81" s="53"/>
      <c r="I81" s="54"/>
    </row>
    <row r="82" spans="2:9" x14ac:dyDescent="0.35">
      <c r="B82" s="24" t="s">
        <v>136</v>
      </c>
      <c r="C82" s="52" t="s">
        <v>142</v>
      </c>
      <c r="D82" s="53"/>
      <c r="E82" s="53"/>
      <c r="F82" s="53"/>
      <c r="G82" s="53"/>
      <c r="H82" s="53"/>
      <c r="I82" s="54"/>
    </row>
    <row r="83" spans="2:9" x14ac:dyDescent="0.35">
      <c r="B83" s="24" t="s">
        <v>136</v>
      </c>
      <c r="C83" s="52" t="s">
        <v>143</v>
      </c>
      <c r="D83" s="53"/>
      <c r="E83" s="53"/>
      <c r="F83" s="53"/>
      <c r="G83" s="53"/>
      <c r="H83" s="53"/>
      <c r="I83" s="54"/>
    </row>
  </sheetData>
  <mergeCells count="18">
    <mergeCell ref="A1:J1"/>
    <mergeCell ref="A33:I33"/>
    <mergeCell ref="A71:I71"/>
    <mergeCell ref="C82:I82"/>
    <mergeCell ref="C77:I77"/>
    <mergeCell ref="C83:I83"/>
    <mergeCell ref="A23:I23"/>
    <mergeCell ref="A2:J2"/>
    <mergeCell ref="A55:I55"/>
    <mergeCell ref="A4:I4"/>
    <mergeCell ref="C81:I81"/>
    <mergeCell ref="C80:I80"/>
    <mergeCell ref="C78:I78"/>
    <mergeCell ref="A46:I46"/>
    <mergeCell ref="A76:I76"/>
    <mergeCell ref="C79:I79"/>
    <mergeCell ref="A15:I15"/>
    <mergeCell ref="A64:I6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48"/>
  <sheetViews>
    <sheetView workbookViewId="0">
      <pane xSplit="2" ySplit="4" topLeftCell="C5" activePane="bottomRight" state="frozen"/>
      <selection pane="topRight"/>
      <selection pane="bottomLeft"/>
      <selection pane="bottomRight" sqref="A1:AG1"/>
    </sheetView>
  </sheetViews>
  <sheetFormatPr defaultRowHeight="14.5" x14ac:dyDescent="0.35"/>
  <cols>
    <col min="1" max="1" width="5" customWidth="1"/>
    <col min="2" max="2" width="9" customWidth="1"/>
    <col min="3" max="3" width="26" customWidth="1"/>
    <col min="4" max="4" width="30" customWidth="1"/>
    <col min="5" max="5" width="20" customWidth="1"/>
    <col min="6" max="6" width="24" customWidth="1"/>
    <col min="7" max="7" width="26" customWidth="1"/>
    <col min="8" max="8" width="22" customWidth="1"/>
    <col min="9" max="9" width="9" customWidth="1"/>
    <col min="10" max="10" width="12" customWidth="1"/>
    <col min="11" max="11" width="30" customWidth="1"/>
    <col min="12" max="12" width="20" customWidth="1"/>
    <col min="13" max="13" width="12" customWidth="1"/>
    <col min="14" max="16" width="11" customWidth="1"/>
    <col min="17" max="17" width="10" customWidth="1"/>
    <col min="18" max="18" width="9" customWidth="1"/>
    <col min="19" max="19" width="11" customWidth="1"/>
    <col min="20" max="20" width="13" customWidth="1"/>
    <col min="21" max="21" width="10" customWidth="1"/>
    <col min="27" max="32" width="9" customWidth="1"/>
    <col min="33" max="33" width="10" customWidth="1"/>
    <col min="34" max="34" width="12" customWidth="1"/>
  </cols>
  <sheetData>
    <row r="1" spans="1:34" ht="26.15" customHeight="1" x14ac:dyDescent="0.35">
      <c r="A1" s="48" t="s">
        <v>144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</row>
    <row r="2" spans="1:34" x14ac:dyDescent="0.35">
      <c r="A2" s="50" t="s">
        <v>145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</row>
    <row r="4" spans="1:34" ht="28.15" customHeight="1" x14ac:dyDescent="0.35">
      <c r="A4" s="11" t="s">
        <v>146</v>
      </c>
      <c r="B4" s="11" t="s">
        <v>147</v>
      </c>
      <c r="C4" s="11" t="s">
        <v>148</v>
      </c>
      <c r="D4" s="11" t="s">
        <v>149</v>
      </c>
      <c r="E4" s="11" t="s">
        <v>53</v>
      </c>
      <c r="F4" s="11" t="s">
        <v>150</v>
      </c>
      <c r="G4" s="11" t="s">
        <v>151</v>
      </c>
      <c r="H4" s="11" t="s">
        <v>152</v>
      </c>
      <c r="I4" s="11" t="s">
        <v>153</v>
      </c>
      <c r="J4" s="11" t="s">
        <v>154</v>
      </c>
      <c r="K4" s="11" t="s">
        <v>155</v>
      </c>
      <c r="L4" s="11" t="s">
        <v>156</v>
      </c>
      <c r="M4" s="11" t="s">
        <v>157</v>
      </c>
      <c r="N4" s="11" t="s">
        <v>58</v>
      </c>
      <c r="O4" s="11" t="s">
        <v>59</v>
      </c>
      <c r="P4" s="11" t="s">
        <v>60</v>
      </c>
      <c r="Q4" s="11" t="s">
        <v>78</v>
      </c>
      <c r="R4" s="11" t="s">
        <v>158</v>
      </c>
      <c r="S4" s="11" t="s">
        <v>159</v>
      </c>
      <c r="T4" s="11" t="s">
        <v>160</v>
      </c>
      <c r="U4" s="11" t="s">
        <v>161</v>
      </c>
      <c r="AA4" s="11" t="s">
        <v>162</v>
      </c>
      <c r="AB4" s="11" t="s">
        <v>163</v>
      </c>
      <c r="AC4" s="11" t="s">
        <v>164</v>
      </c>
      <c r="AD4" s="11" t="s">
        <v>68</v>
      </c>
      <c r="AE4" s="11" t="s">
        <v>165</v>
      </c>
      <c r="AF4" s="11" t="s">
        <v>166</v>
      </c>
      <c r="AG4" s="11" t="s">
        <v>65</v>
      </c>
      <c r="AH4" s="11" t="s">
        <v>167</v>
      </c>
    </row>
    <row r="5" spans="1:34" x14ac:dyDescent="0.35">
      <c r="A5" s="25">
        <v>1</v>
      </c>
      <c r="B5" s="7">
        <v>9629</v>
      </c>
      <c r="C5" s="7" t="s">
        <v>168</v>
      </c>
      <c r="D5" s="7" t="s">
        <v>168</v>
      </c>
      <c r="E5" s="7" t="s">
        <v>169</v>
      </c>
      <c r="F5" s="7" t="s">
        <v>170</v>
      </c>
      <c r="G5" s="7" t="s">
        <v>171</v>
      </c>
      <c r="H5" s="7" t="s">
        <v>172</v>
      </c>
      <c r="I5" s="7" t="s">
        <v>173</v>
      </c>
      <c r="J5" s="7" t="s">
        <v>174</v>
      </c>
      <c r="K5" s="7" t="s">
        <v>175</v>
      </c>
      <c r="L5" s="7" t="s">
        <v>176</v>
      </c>
      <c r="M5" s="7" t="s">
        <v>173</v>
      </c>
      <c r="N5" s="26">
        <v>0</v>
      </c>
      <c r="O5" s="26">
        <v>0</v>
      </c>
      <c r="P5" s="26">
        <v>0</v>
      </c>
      <c r="Q5" s="26">
        <v>0</v>
      </c>
      <c r="R5" s="27">
        <v>0</v>
      </c>
      <c r="S5" s="26"/>
      <c r="T5" s="26"/>
      <c r="U5" s="28">
        <v>1</v>
      </c>
      <c r="AA5" s="29">
        <f t="shared" ref="AA5:AA36" si="0">N5</f>
        <v>0</v>
      </c>
      <c r="AB5" s="29">
        <f t="shared" ref="AB5:AB36" si="1">O5</f>
        <v>0</v>
      </c>
      <c r="AC5" s="29">
        <f t="shared" ref="AC5:AC36" si="2">P5</f>
        <v>0</v>
      </c>
      <c r="AD5" s="29">
        <f t="shared" ref="AD5:AD36" si="3">Q5</f>
        <v>0</v>
      </c>
      <c r="AE5" s="15">
        <f t="shared" ref="AE5:AE36" si="4">R5</f>
        <v>0</v>
      </c>
      <c r="AF5" s="29">
        <f t="shared" ref="AF5:AF36" si="5">Q5*R5</f>
        <v>0</v>
      </c>
      <c r="AG5" s="12" t="s">
        <v>70</v>
      </c>
      <c r="AH5" s="24"/>
    </row>
    <row r="6" spans="1:34" x14ac:dyDescent="0.35">
      <c r="A6" s="25">
        <v>2</v>
      </c>
      <c r="B6" s="7">
        <v>9796</v>
      </c>
      <c r="C6" s="7" t="s">
        <v>177</v>
      </c>
      <c r="D6" s="7" t="s">
        <v>178</v>
      </c>
      <c r="E6" s="7" t="s">
        <v>54</v>
      </c>
      <c r="F6" s="7" t="s">
        <v>170</v>
      </c>
      <c r="G6" s="7" t="s">
        <v>179</v>
      </c>
      <c r="H6" s="7" t="s">
        <v>172</v>
      </c>
      <c r="I6" s="7" t="s">
        <v>180</v>
      </c>
      <c r="J6" s="7" t="s">
        <v>174</v>
      </c>
      <c r="K6" s="7" t="s">
        <v>181</v>
      </c>
      <c r="L6" s="7"/>
      <c r="M6" s="7" t="s">
        <v>173</v>
      </c>
      <c r="N6" s="26">
        <v>59.558958333333358</v>
      </c>
      <c r="O6" s="26">
        <v>7.7541666666666673</v>
      </c>
      <c r="P6" s="26">
        <v>0</v>
      </c>
      <c r="Q6" s="26">
        <v>67.313125000000028</v>
      </c>
      <c r="R6" s="27">
        <v>0.71176374097424044</v>
      </c>
      <c r="S6" s="26">
        <v>33.656562500000007</v>
      </c>
      <c r="T6" s="26">
        <v>33.656562500000007</v>
      </c>
      <c r="U6" s="28">
        <v>1</v>
      </c>
      <c r="AA6" s="29">
        <f t="shared" si="0"/>
        <v>59.558958333333358</v>
      </c>
      <c r="AB6" s="29">
        <f t="shared" si="1"/>
        <v>7.7541666666666673</v>
      </c>
      <c r="AC6" s="29">
        <f t="shared" si="2"/>
        <v>0</v>
      </c>
      <c r="AD6" s="29">
        <f t="shared" si="3"/>
        <v>67.313125000000028</v>
      </c>
      <c r="AE6" s="15">
        <f t="shared" si="4"/>
        <v>0.71176374097424044</v>
      </c>
      <c r="AF6" s="29">
        <f t="shared" si="5"/>
        <v>47.911041666666691</v>
      </c>
      <c r="AG6" s="12" t="s">
        <v>76</v>
      </c>
      <c r="AH6" s="24" t="s">
        <v>182</v>
      </c>
    </row>
    <row r="7" spans="1:34" x14ac:dyDescent="0.35">
      <c r="A7" s="25">
        <v>3</v>
      </c>
      <c r="B7" s="7">
        <v>9800</v>
      </c>
      <c r="C7" s="7" t="s">
        <v>183</v>
      </c>
      <c r="D7" s="7" t="s">
        <v>184</v>
      </c>
      <c r="E7" s="7" t="s">
        <v>54</v>
      </c>
      <c r="F7" s="7" t="s">
        <v>170</v>
      </c>
      <c r="G7" s="7" t="s">
        <v>179</v>
      </c>
      <c r="H7" s="7" t="s">
        <v>172</v>
      </c>
      <c r="I7" s="7" t="s">
        <v>180</v>
      </c>
      <c r="J7" s="7" t="s">
        <v>174</v>
      </c>
      <c r="K7" s="7" t="s">
        <v>185</v>
      </c>
      <c r="L7" s="7"/>
      <c r="M7" s="7" t="s">
        <v>173</v>
      </c>
      <c r="N7" s="26">
        <v>20.89216666666665</v>
      </c>
      <c r="O7" s="26">
        <v>1.85375</v>
      </c>
      <c r="P7" s="26">
        <v>0</v>
      </c>
      <c r="Q7" s="26">
        <v>22.745916666666648</v>
      </c>
      <c r="R7" s="27">
        <v>0.94285787558939149</v>
      </c>
      <c r="S7" s="26">
        <v>11.37295833333333</v>
      </c>
      <c r="T7" s="26">
        <v>11.37295833333333</v>
      </c>
      <c r="U7" s="28">
        <v>1</v>
      </c>
      <c r="AA7" s="29">
        <f t="shared" si="0"/>
        <v>20.89216666666665</v>
      </c>
      <c r="AB7" s="29">
        <f t="shared" si="1"/>
        <v>1.85375</v>
      </c>
      <c r="AC7" s="29">
        <f t="shared" si="2"/>
        <v>0</v>
      </c>
      <c r="AD7" s="29">
        <f t="shared" si="3"/>
        <v>22.745916666666648</v>
      </c>
      <c r="AE7" s="15">
        <f t="shared" si="4"/>
        <v>0.94285787558939149</v>
      </c>
      <c r="AF7" s="29">
        <f t="shared" si="5"/>
        <v>21.446166666666649</v>
      </c>
      <c r="AG7" s="12" t="s">
        <v>76</v>
      </c>
      <c r="AH7" s="24" t="s">
        <v>186</v>
      </c>
    </row>
    <row r="8" spans="1:34" x14ac:dyDescent="0.35">
      <c r="A8" s="25">
        <v>4</v>
      </c>
      <c r="B8" s="7">
        <v>9801</v>
      </c>
      <c r="C8" s="7" t="s">
        <v>187</v>
      </c>
      <c r="D8" s="7" t="s">
        <v>188</v>
      </c>
      <c r="E8" s="7" t="s">
        <v>54</v>
      </c>
      <c r="F8" s="7" t="s">
        <v>170</v>
      </c>
      <c r="G8" s="7" t="s">
        <v>179</v>
      </c>
      <c r="H8" s="7" t="s">
        <v>172</v>
      </c>
      <c r="I8" s="7" t="s">
        <v>180</v>
      </c>
      <c r="J8" s="7" t="s">
        <v>174</v>
      </c>
      <c r="K8" s="7" t="s">
        <v>185</v>
      </c>
      <c r="L8" s="7"/>
      <c r="M8" s="7" t="s">
        <v>173</v>
      </c>
      <c r="N8" s="26">
        <v>0</v>
      </c>
      <c r="O8" s="26">
        <v>0</v>
      </c>
      <c r="P8" s="26">
        <v>0</v>
      </c>
      <c r="Q8" s="26">
        <v>0</v>
      </c>
      <c r="R8" s="27">
        <v>0</v>
      </c>
      <c r="S8" s="26"/>
      <c r="T8" s="26"/>
      <c r="U8" s="28">
        <v>1</v>
      </c>
      <c r="AA8" s="29">
        <f t="shared" si="0"/>
        <v>0</v>
      </c>
      <c r="AB8" s="29">
        <f t="shared" si="1"/>
        <v>0</v>
      </c>
      <c r="AC8" s="29">
        <f t="shared" si="2"/>
        <v>0</v>
      </c>
      <c r="AD8" s="29">
        <f t="shared" si="3"/>
        <v>0</v>
      </c>
      <c r="AE8" s="15">
        <f t="shared" si="4"/>
        <v>0</v>
      </c>
      <c r="AF8" s="29">
        <f t="shared" si="5"/>
        <v>0</v>
      </c>
      <c r="AG8" s="12" t="s">
        <v>76</v>
      </c>
      <c r="AH8" s="24" t="s">
        <v>186</v>
      </c>
    </row>
    <row r="9" spans="1:34" x14ac:dyDescent="0.35">
      <c r="A9" s="25">
        <v>5</v>
      </c>
      <c r="B9" s="7">
        <v>9802</v>
      </c>
      <c r="C9" s="7" t="s">
        <v>189</v>
      </c>
      <c r="D9" s="7" t="s">
        <v>190</v>
      </c>
      <c r="E9" s="7" t="s">
        <v>54</v>
      </c>
      <c r="F9" s="7" t="s">
        <v>170</v>
      </c>
      <c r="G9" s="7" t="s">
        <v>179</v>
      </c>
      <c r="H9" s="7" t="s">
        <v>172</v>
      </c>
      <c r="I9" s="7" t="s">
        <v>180</v>
      </c>
      <c r="J9" s="7" t="s">
        <v>174</v>
      </c>
      <c r="K9" s="7" t="s">
        <v>185</v>
      </c>
      <c r="L9" s="7"/>
      <c r="M9" s="7" t="s">
        <v>173</v>
      </c>
      <c r="N9" s="26">
        <v>15.953625000000001</v>
      </c>
      <c r="O9" s="26">
        <v>1.6541666666666659</v>
      </c>
      <c r="P9" s="26">
        <v>0</v>
      </c>
      <c r="Q9" s="26">
        <v>17.607791666666671</v>
      </c>
      <c r="R9" s="27">
        <v>0.98287216596819116</v>
      </c>
      <c r="S9" s="26">
        <v>8.8038958333333337</v>
      </c>
      <c r="T9" s="26">
        <v>8.8038958333333337</v>
      </c>
      <c r="U9" s="28">
        <v>1</v>
      </c>
      <c r="AA9" s="29">
        <f t="shared" si="0"/>
        <v>15.953625000000001</v>
      </c>
      <c r="AB9" s="29">
        <f t="shared" si="1"/>
        <v>1.6541666666666659</v>
      </c>
      <c r="AC9" s="29">
        <f t="shared" si="2"/>
        <v>0</v>
      </c>
      <c r="AD9" s="29">
        <f t="shared" si="3"/>
        <v>17.607791666666671</v>
      </c>
      <c r="AE9" s="15">
        <f t="shared" si="4"/>
        <v>0.98287216596819116</v>
      </c>
      <c r="AF9" s="29">
        <f t="shared" si="5"/>
        <v>17.306208333333338</v>
      </c>
      <c r="AG9" s="12" t="s">
        <v>76</v>
      </c>
      <c r="AH9" s="24" t="s">
        <v>191</v>
      </c>
    </row>
    <row r="10" spans="1:34" x14ac:dyDescent="0.35">
      <c r="A10" s="25">
        <v>6</v>
      </c>
      <c r="B10" s="7">
        <v>9803</v>
      </c>
      <c r="C10" s="7" t="s">
        <v>192</v>
      </c>
      <c r="D10" s="7" t="s">
        <v>193</v>
      </c>
      <c r="E10" s="7" t="s">
        <v>54</v>
      </c>
      <c r="F10" s="7" t="s">
        <v>170</v>
      </c>
      <c r="G10" s="7" t="s">
        <v>179</v>
      </c>
      <c r="H10" s="7" t="s">
        <v>172</v>
      </c>
      <c r="I10" s="7" t="s">
        <v>180</v>
      </c>
      <c r="J10" s="7" t="s">
        <v>174</v>
      </c>
      <c r="K10" s="7" t="s">
        <v>181</v>
      </c>
      <c r="L10" s="7"/>
      <c r="M10" s="7" t="s">
        <v>173</v>
      </c>
      <c r="N10" s="26">
        <v>8.8045833333333299</v>
      </c>
      <c r="O10" s="26">
        <v>0.85</v>
      </c>
      <c r="P10" s="26">
        <v>0</v>
      </c>
      <c r="Q10" s="26">
        <v>9.6545833333333295</v>
      </c>
      <c r="R10" s="27">
        <v>0.94821112597643609</v>
      </c>
      <c r="S10" s="26">
        <v>4.8272916666666648</v>
      </c>
      <c r="T10" s="26">
        <v>4.8272916666666648</v>
      </c>
      <c r="U10" s="28">
        <v>1</v>
      </c>
      <c r="AA10" s="29">
        <f t="shared" si="0"/>
        <v>8.8045833333333299</v>
      </c>
      <c r="AB10" s="29">
        <f t="shared" si="1"/>
        <v>0.85</v>
      </c>
      <c r="AC10" s="29">
        <f t="shared" si="2"/>
        <v>0</v>
      </c>
      <c r="AD10" s="29">
        <f t="shared" si="3"/>
        <v>9.6545833333333295</v>
      </c>
      <c r="AE10" s="15">
        <f t="shared" si="4"/>
        <v>0.94821112597643609</v>
      </c>
      <c r="AF10" s="29">
        <f t="shared" si="5"/>
        <v>9.1545833333333295</v>
      </c>
      <c r="AG10" s="12" t="s">
        <v>76</v>
      </c>
      <c r="AH10" s="24" t="s">
        <v>182</v>
      </c>
    </row>
    <row r="11" spans="1:34" x14ac:dyDescent="0.35">
      <c r="A11" s="25">
        <v>7</v>
      </c>
      <c r="B11" s="7">
        <v>9804</v>
      </c>
      <c r="C11" s="7" t="s">
        <v>194</v>
      </c>
      <c r="D11" s="7" t="s">
        <v>195</v>
      </c>
      <c r="E11" s="7" t="s">
        <v>54</v>
      </c>
      <c r="F11" s="7" t="s">
        <v>170</v>
      </c>
      <c r="G11" s="7" t="s">
        <v>179</v>
      </c>
      <c r="H11" s="7" t="s">
        <v>172</v>
      </c>
      <c r="I11" s="7" t="s">
        <v>180</v>
      </c>
      <c r="J11" s="7" t="s">
        <v>174</v>
      </c>
      <c r="K11" s="7" t="s">
        <v>185</v>
      </c>
      <c r="L11" s="7"/>
      <c r="M11" s="7" t="s">
        <v>173</v>
      </c>
      <c r="N11" s="26">
        <v>10.784166666666669</v>
      </c>
      <c r="O11" s="26">
        <v>0.74583333333333335</v>
      </c>
      <c r="P11" s="26">
        <v>0</v>
      </c>
      <c r="Q11" s="26">
        <v>11.53</v>
      </c>
      <c r="R11" s="27">
        <v>0.83304423243712056</v>
      </c>
      <c r="S11" s="26">
        <v>5.7650000000000006</v>
      </c>
      <c r="T11" s="26">
        <v>5.7650000000000006</v>
      </c>
      <c r="U11" s="28">
        <v>1</v>
      </c>
      <c r="AA11" s="29">
        <f t="shared" si="0"/>
        <v>10.784166666666669</v>
      </c>
      <c r="AB11" s="29">
        <f t="shared" si="1"/>
        <v>0.74583333333333335</v>
      </c>
      <c r="AC11" s="29">
        <f t="shared" si="2"/>
        <v>0</v>
      </c>
      <c r="AD11" s="29">
        <f t="shared" si="3"/>
        <v>11.53</v>
      </c>
      <c r="AE11" s="15">
        <f t="shared" si="4"/>
        <v>0.83304423243712056</v>
      </c>
      <c r="AF11" s="29">
        <f t="shared" si="5"/>
        <v>9.6049999999999986</v>
      </c>
      <c r="AG11" s="12" t="s">
        <v>76</v>
      </c>
      <c r="AH11" s="24" t="s">
        <v>196</v>
      </c>
    </row>
    <row r="12" spans="1:34" x14ac:dyDescent="0.35">
      <c r="A12" s="25">
        <v>8</v>
      </c>
      <c r="B12" s="7">
        <v>9805</v>
      </c>
      <c r="C12" s="7" t="s">
        <v>197</v>
      </c>
      <c r="D12" s="7" t="s">
        <v>198</v>
      </c>
      <c r="E12" s="7" t="s">
        <v>54</v>
      </c>
      <c r="F12" s="7" t="s">
        <v>170</v>
      </c>
      <c r="G12" s="7" t="s">
        <v>179</v>
      </c>
      <c r="H12" s="7" t="s">
        <v>172</v>
      </c>
      <c r="I12" s="7" t="s">
        <v>180</v>
      </c>
      <c r="J12" s="7" t="s">
        <v>174</v>
      </c>
      <c r="K12" s="7" t="s">
        <v>185</v>
      </c>
      <c r="L12" s="7"/>
      <c r="M12" s="7" t="s">
        <v>173</v>
      </c>
      <c r="N12" s="26">
        <v>2.8966666666666661</v>
      </c>
      <c r="O12" s="26">
        <v>2.5000000000000001E-2</v>
      </c>
      <c r="P12" s="26">
        <v>0</v>
      </c>
      <c r="Q12" s="26">
        <v>2.921666666666666</v>
      </c>
      <c r="R12" s="27">
        <v>0.90587564175698809</v>
      </c>
      <c r="S12" s="26">
        <v>1.460833333333333</v>
      </c>
      <c r="T12" s="26">
        <v>1.460833333333333</v>
      </c>
      <c r="U12" s="28">
        <v>1</v>
      </c>
      <c r="AA12" s="29">
        <f t="shared" si="0"/>
        <v>2.8966666666666661</v>
      </c>
      <c r="AB12" s="29">
        <f t="shared" si="1"/>
        <v>2.5000000000000001E-2</v>
      </c>
      <c r="AC12" s="29">
        <f t="shared" si="2"/>
        <v>0</v>
      </c>
      <c r="AD12" s="29">
        <f t="shared" si="3"/>
        <v>2.921666666666666</v>
      </c>
      <c r="AE12" s="15">
        <f t="shared" si="4"/>
        <v>0.90587564175698809</v>
      </c>
      <c r="AF12" s="29">
        <f t="shared" si="5"/>
        <v>2.6466666666666661</v>
      </c>
      <c r="AG12" s="12" t="s">
        <v>76</v>
      </c>
      <c r="AH12" s="24" t="s">
        <v>186</v>
      </c>
    </row>
    <row r="13" spans="1:34" x14ac:dyDescent="0.35">
      <c r="A13" s="25">
        <v>9</v>
      </c>
      <c r="B13" s="7">
        <v>9806</v>
      </c>
      <c r="C13" s="7" t="s">
        <v>199</v>
      </c>
      <c r="D13" s="7" t="s">
        <v>200</v>
      </c>
      <c r="E13" s="7" t="s">
        <v>54</v>
      </c>
      <c r="F13" s="7" t="s">
        <v>170</v>
      </c>
      <c r="G13" s="7" t="s">
        <v>179</v>
      </c>
      <c r="H13" s="7" t="s">
        <v>172</v>
      </c>
      <c r="I13" s="7" t="s">
        <v>180</v>
      </c>
      <c r="J13" s="7" t="s">
        <v>174</v>
      </c>
      <c r="K13" s="7" t="s">
        <v>185</v>
      </c>
      <c r="L13" s="7"/>
      <c r="M13" s="7" t="s">
        <v>173</v>
      </c>
      <c r="N13" s="26">
        <v>5.2887500000000012</v>
      </c>
      <c r="O13" s="26">
        <v>1.0249999999999999</v>
      </c>
      <c r="P13" s="26">
        <v>0</v>
      </c>
      <c r="Q13" s="26">
        <v>6.3137500000000006</v>
      </c>
      <c r="R13" s="27">
        <v>0.83765590972084747</v>
      </c>
      <c r="S13" s="26">
        <v>3.1568749999999999</v>
      </c>
      <c r="T13" s="26">
        <v>3.1568749999999999</v>
      </c>
      <c r="U13" s="28">
        <v>1</v>
      </c>
      <c r="AA13" s="29">
        <f t="shared" si="0"/>
        <v>5.2887500000000012</v>
      </c>
      <c r="AB13" s="29">
        <f t="shared" si="1"/>
        <v>1.0249999999999999</v>
      </c>
      <c r="AC13" s="29">
        <f t="shared" si="2"/>
        <v>0</v>
      </c>
      <c r="AD13" s="29">
        <f t="shared" si="3"/>
        <v>6.3137500000000006</v>
      </c>
      <c r="AE13" s="15">
        <f t="shared" si="4"/>
        <v>0.83765590972084747</v>
      </c>
      <c r="AF13" s="29">
        <f t="shared" si="5"/>
        <v>5.2887500000000012</v>
      </c>
      <c r="AG13" s="12" t="s">
        <v>76</v>
      </c>
      <c r="AH13" s="24" t="s">
        <v>201</v>
      </c>
    </row>
    <row r="14" spans="1:34" x14ac:dyDescent="0.35">
      <c r="A14" s="25">
        <v>10</v>
      </c>
      <c r="B14" s="7">
        <v>9807</v>
      </c>
      <c r="C14" s="7" t="s">
        <v>202</v>
      </c>
      <c r="D14" s="7" t="s">
        <v>203</v>
      </c>
      <c r="E14" s="7" t="s">
        <v>54</v>
      </c>
      <c r="F14" s="7" t="s">
        <v>170</v>
      </c>
      <c r="G14" s="7" t="s">
        <v>179</v>
      </c>
      <c r="H14" s="7" t="s">
        <v>172</v>
      </c>
      <c r="I14" s="7" t="s">
        <v>173</v>
      </c>
      <c r="J14" s="7" t="s">
        <v>174</v>
      </c>
      <c r="K14" s="7" t="s">
        <v>185</v>
      </c>
      <c r="L14" s="7"/>
      <c r="M14" s="7" t="s">
        <v>173</v>
      </c>
      <c r="N14" s="26">
        <v>9.7687500000000007</v>
      </c>
      <c r="O14" s="26">
        <v>1.4833333333333329</v>
      </c>
      <c r="P14" s="26">
        <v>0</v>
      </c>
      <c r="Q14" s="26">
        <v>11.25208333333333</v>
      </c>
      <c r="R14" s="27">
        <v>0.85632290316608028</v>
      </c>
      <c r="S14" s="26">
        <v>5.6260416666666666</v>
      </c>
      <c r="T14" s="26">
        <v>5.6260416666666666</v>
      </c>
      <c r="U14" s="28">
        <v>1</v>
      </c>
      <c r="AA14" s="29">
        <f t="shared" si="0"/>
        <v>9.7687500000000007</v>
      </c>
      <c r="AB14" s="29">
        <f t="shared" si="1"/>
        <v>1.4833333333333329</v>
      </c>
      <c r="AC14" s="29">
        <f t="shared" si="2"/>
        <v>0</v>
      </c>
      <c r="AD14" s="29">
        <f t="shared" si="3"/>
        <v>11.25208333333333</v>
      </c>
      <c r="AE14" s="15">
        <f t="shared" si="4"/>
        <v>0.85632290316608028</v>
      </c>
      <c r="AF14" s="29">
        <f t="shared" si="5"/>
        <v>9.6354166666666625</v>
      </c>
      <c r="AG14" s="12" t="s">
        <v>76</v>
      </c>
      <c r="AH14" s="24" t="s">
        <v>201</v>
      </c>
    </row>
    <row r="15" spans="1:34" x14ac:dyDescent="0.35">
      <c r="A15" s="25">
        <v>11</v>
      </c>
      <c r="B15" s="7">
        <v>9808</v>
      </c>
      <c r="C15" s="7" t="s">
        <v>204</v>
      </c>
      <c r="D15" s="7" t="s">
        <v>205</v>
      </c>
      <c r="E15" s="7" t="s">
        <v>54</v>
      </c>
      <c r="F15" s="7" t="s">
        <v>170</v>
      </c>
      <c r="G15" s="7" t="s">
        <v>179</v>
      </c>
      <c r="H15" s="7" t="s">
        <v>172</v>
      </c>
      <c r="I15" s="7" t="s">
        <v>180</v>
      </c>
      <c r="J15" s="7" t="s">
        <v>174</v>
      </c>
      <c r="K15" s="7" t="s">
        <v>185</v>
      </c>
      <c r="L15" s="7"/>
      <c r="M15" s="7" t="s">
        <v>173</v>
      </c>
      <c r="N15" s="26">
        <v>13.545708333333341</v>
      </c>
      <c r="O15" s="26">
        <v>3.1437499999999998</v>
      </c>
      <c r="P15" s="26">
        <v>0</v>
      </c>
      <c r="Q15" s="26">
        <v>16.689458333333341</v>
      </c>
      <c r="R15" s="27">
        <v>0.72662384189620677</v>
      </c>
      <c r="S15" s="26">
        <v>8.344729166666669</v>
      </c>
      <c r="T15" s="26">
        <v>8.344729166666669</v>
      </c>
      <c r="U15" s="28">
        <v>1</v>
      </c>
      <c r="AA15" s="29">
        <f t="shared" si="0"/>
        <v>13.545708333333341</v>
      </c>
      <c r="AB15" s="29">
        <f t="shared" si="1"/>
        <v>3.1437499999999998</v>
      </c>
      <c r="AC15" s="29">
        <f t="shared" si="2"/>
        <v>0</v>
      </c>
      <c r="AD15" s="29">
        <f t="shared" si="3"/>
        <v>16.689458333333341</v>
      </c>
      <c r="AE15" s="15">
        <f t="shared" si="4"/>
        <v>0.72662384189620677</v>
      </c>
      <c r="AF15" s="29">
        <f t="shared" si="5"/>
        <v>12.126958333333336</v>
      </c>
      <c r="AG15" s="12" t="s">
        <v>76</v>
      </c>
      <c r="AH15" s="24" t="s">
        <v>196</v>
      </c>
    </row>
    <row r="16" spans="1:34" x14ac:dyDescent="0.35">
      <c r="A16" s="25">
        <v>12</v>
      </c>
      <c r="B16" s="7">
        <v>9810</v>
      </c>
      <c r="C16" s="7" t="s">
        <v>206</v>
      </c>
      <c r="D16" s="7" t="s">
        <v>207</v>
      </c>
      <c r="E16" s="7" t="s">
        <v>54</v>
      </c>
      <c r="F16" s="7" t="s">
        <v>170</v>
      </c>
      <c r="G16" s="7" t="s">
        <v>179</v>
      </c>
      <c r="H16" s="7" t="s">
        <v>172</v>
      </c>
      <c r="I16" s="7" t="s">
        <v>180</v>
      </c>
      <c r="J16" s="7" t="s">
        <v>174</v>
      </c>
      <c r="K16" s="7" t="s">
        <v>208</v>
      </c>
      <c r="L16" s="7"/>
      <c r="M16" s="7" t="s">
        <v>173</v>
      </c>
      <c r="N16" s="26">
        <v>7.6683333333333339</v>
      </c>
      <c r="O16" s="26">
        <v>1.1291666666666671</v>
      </c>
      <c r="P16" s="26">
        <v>0</v>
      </c>
      <c r="Q16" s="26">
        <v>8.7975000000000012</v>
      </c>
      <c r="R16" s="27">
        <v>0.75561238988348978</v>
      </c>
      <c r="S16" s="26">
        <v>4.3987500000000006</v>
      </c>
      <c r="T16" s="26">
        <v>4.3987500000000006</v>
      </c>
      <c r="U16" s="28">
        <v>1</v>
      </c>
      <c r="AA16" s="29">
        <f t="shared" si="0"/>
        <v>7.6683333333333339</v>
      </c>
      <c r="AB16" s="29">
        <f t="shared" si="1"/>
        <v>1.1291666666666671</v>
      </c>
      <c r="AC16" s="29">
        <f t="shared" si="2"/>
        <v>0</v>
      </c>
      <c r="AD16" s="29">
        <f t="shared" si="3"/>
        <v>8.7975000000000012</v>
      </c>
      <c r="AE16" s="15">
        <f t="shared" si="4"/>
        <v>0.75561238988348978</v>
      </c>
      <c r="AF16" s="29">
        <f t="shared" si="5"/>
        <v>6.6475000000000026</v>
      </c>
      <c r="AG16" s="12" t="s">
        <v>76</v>
      </c>
      <c r="AH16" s="24" t="s">
        <v>186</v>
      </c>
    </row>
    <row r="17" spans="1:34" x14ac:dyDescent="0.35">
      <c r="A17" s="25">
        <v>13</v>
      </c>
      <c r="B17" s="7">
        <v>9811</v>
      </c>
      <c r="C17" s="7" t="s">
        <v>209</v>
      </c>
      <c r="D17" s="7" t="s">
        <v>210</v>
      </c>
      <c r="E17" s="7" t="s">
        <v>54</v>
      </c>
      <c r="F17" s="7" t="s">
        <v>170</v>
      </c>
      <c r="G17" s="7" t="s">
        <v>179</v>
      </c>
      <c r="H17" s="7" t="s">
        <v>172</v>
      </c>
      <c r="I17" s="7" t="s">
        <v>180</v>
      </c>
      <c r="J17" s="7" t="s">
        <v>174</v>
      </c>
      <c r="K17" s="7" t="s">
        <v>208</v>
      </c>
      <c r="L17" s="7"/>
      <c r="M17" s="7" t="s">
        <v>173</v>
      </c>
      <c r="N17" s="26">
        <v>1.968333333333333</v>
      </c>
      <c r="O17" s="26">
        <v>0.16458333333333339</v>
      </c>
      <c r="P17" s="26">
        <v>0</v>
      </c>
      <c r="Q17" s="26">
        <v>2.132916666666667</v>
      </c>
      <c r="R17" s="27">
        <v>0.95311584293807383</v>
      </c>
      <c r="S17" s="26">
        <v>1.0664583333333331</v>
      </c>
      <c r="T17" s="26">
        <v>1.0664583333333331</v>
      </c>
      <c r="U17" s="28">
        <v>1</v>
      </c>
      <c r="AA17" s="29">
        <f t="shared" si="0"/>
        <v>1.968333333333333</v>
      </c>
      <c r="AB17" s="29">
        <f t="shared" si="1"/>
        <v>0.16458333333333339</v>
      </c>
      <c r="AC17" s="29">
        <f t="shared" si="2"/>
        <v>0</v>
      </c>
      <c r="AD17" s="29">
        <f t="shared" si="3"/>
        <v>2.132916666666667</v>
      </c>
      <c r="AE17" s="15">
        <f t="shared" si="4"/>
        <v>0.95311584293807383</v>
      </c>
      <c r="AF17" s="29">
        <f t="shared" si="5"/>
        <v>2.0329166666666669</v>
      </c>
      <c r="AG17" s="12" t="s">
        <v>76</v>
      </c>
      <c r="AH17" s="24" t="s">
        <v>182</v>
      </c>
    </row>
    <row r="18" spans="1:34" x14ac:dyDescent="0.35">
      <c r="A18" s="25">
        <v>14</v>
      </c>
      <c r="B18" s="7">
        <v>9813</v>
      </c>
      <c r="C18" s="7" t="s">
        <v>211</v>
      </c>
      <c r="D18" s="7" t="s">
        <v>212</v>
      </c>
      <c r="E18" s="7" t="s">
        <v>54</v>
      </c>
      <c r="F18" s="7" t="s">
        <v>170</v>
      </c>
      <c r="G18" s="7" t="s">
        <v>179</v>
      </c>
      <c r="H18" s="7" t="s">
        <v>172</v>
      </c>
      <c r="I18" s="7" t="s">
        <v>180</v>
      </c>
      <c r="J18" s="7" t="s">
        <v>174</v>
      </c>
      <c r="K18" s="7" t="s">
        <v>208</v>
      </c>
      <c r="L18" s="7"/>
      <c r="M18" s="7" t="s">
        <v>173</v>
      </c>
      <c r="N18" s="26">
        <v>2.1175000000000002</v>
      </c>
      <c r="O18" s="26">
        <v>0</v>
      </c>
      <c r="P18" s="26">
        <v>0</v>
      </c>
      <c r="Q18" s="26">
        <v>2.1175000000000002</v>
      </c>
      <c r="R18" s="27">
        <v>0.64580873671782768</v>
      </c>
      <c r="S18" s="26">
        <v>1.0587500000000001</v>
      </c>
      <c r="T18" s="26">
        <v>1.0587500000000001</v>
      </c>
      <c r="U18" s="28">
        <v>1</v>
      </c>
      <c r="AA18" s="29">
        <f t="shared" si="0"/>
        <v>2.1175000000000002</v>
      </c>
      <c r="AB18" s="29">
        <f t="shared" si="1"/>
        <v>0</v>
      </c>
      <c r="AC18" s="29">
        <f t="shared" si="2"/>
        <v>0</v>
      </c>
      <c r="AD18" s="29">
        <f t="shared" si="3"/>
        <v>2.1175000000000002</v>
      </c>
      <c r="AE18" s="15">
        <f t="shared" si="4"/>
        <v>0.64580873671782768</v>
      </c>
      <c r="AF18" s="29">
        <f t="shared" si="5"/>
        <v>1.3675000000000002</v>
      </c>
      <c r="AG18" s="12" t="s">
        <v>76</v>
      </c>
      <c r="AH18" s="24" t="s">
        <v>182</v>
      </c>
    </row>
    <row r="19" spans="1:34" x14ac:dyDescent="0.35">
      <c r="A19" s="25">
        <v>15</v>
      </c>
      <c r="B19" s="7">
        <v>9814</v>
      </c>
      <c r="C19" s="7" t="s">
        <v>213</v>
      </c>
      <c r="D19" s="7" t="s">
        <v>214</v>
      </c>
      <c r="E19" s="7" t="s">
        <v>54</v>
      </c>
      <c r="F19" s="7" t="s">
        <v>170</v>
      </c>
      <c r="G19" s="7" t="s">
        <v>179</v>
      </c>
      <c r="H19" s="7" t="s">
        <v>172</v>
      </c>
      <c r="I19" s="7" t="s">
        <v>173</v>
      </c>
      <c r="J19" s="7" t="s">
        <v>174</v>
      </c>
      <c r="K19" s="7" t="s">
        <v>208</v>
      </c>
      <c r="L19" s="7"/>
      <c r="M19" s="7" t="s">
        <v>173</v>
      </c>
      <c r="N19" s="26">
        <v>0</v>
      </c>
      <c r="O19" s="26">
        <v>0</v>
      </c>
      <c r="P19" s="26">
        <v>0</v>
      </c>
      <c r="Q19" s="26">
        <v>0</v>
      </c>
      <c r="R19" s="27">
        <v>0</v>
      </c>
      <c r="S19" s="26"/>
      <c r="T19" s="26"/>
      <c r="U19" s="28">
        <v>1</v>
      </c>
      <c r="AA19" s="29">
        <f t="shared" si="0"/>
        <v>0</v>
      </c>
      <c r="AB19" s="29">
        <f t="shared" si="1"/>
        <v>0</v>
      </c>
      <c r="AC19" s="29">
        <f t="shared" si="2"/>
        <v>0</v>
      </c>
      <c r="AD19" s="29">
        <f t="shared" si="3"/>
        <v>0</v>
      </c>
      <c r="AE19" s="15">
        <f t="shared" si="4"/>
        <v>0</v>
      </c>
      <c r="AF19" s="29">
        <f t="shared" si="5"/>
        <v>0</v>
      </c>
      <c r="AG19" s="12" t="s">
        <v>76</v>
      </c>
      <c r="AH19" s="24" t="s">
        <v>182</v>
      </c>
    </row>
    <row r="20" spans="1:34" x14ac:dyDescent="0.35">
      <c r="A20" s="25">
        <v>16</v>
      </c>
      <c r="B20" s="7">
        <v>9816</v>
      </c>
      <c r="C20" s="7" t="s">
        <v>215</v>
      </c>
      <c r="D20" s="7" t="s">
        <v>216</v>
      </c>
      <c r="E20" s="7" t="s">
        <v>54</v>
      </c>
      <c r="F20" s="7" t="s">
        <v>170</v>
      </c>
      <c r="G20" s="7" t="s">
        <v>179</v>
      </c>
      <c r="H20" s="7" t="s">
        <v>172</v>
      </c>
      <c r="I20" s="7" t="s">
        <v>180</v>
      </c>
      <c r="J20" s="7" t="s">
        <v>174</v>
      </c>
      <c r="K20" s="7" t="s">
        <v>208</v>
      </c>
      <c r="L20" s="7"/>
      <c r="M20" s="7" t="s">
        <v>173</v>
      </c>
      <c r="N20" s="26">
        <v>0.2</v>
      </c>
      <c r="O20" s="26">
        <v>0</v>
      </c>
      <c r="P20" s="26">
        <v>0</v>
      </c>
      <c r="Q20" s="26">
        <v>0.2</v>
      </c>
      <c r="R20" s="27">
        <v>0</v>
      </c>
      <c r="S20" s="26">
        <v>9.9999999999999992E-2</v>
      </c>
      <c r="T20" s="26">
        <v>9.9999999999999992E-2</v>
      </c>
      <c r="U20" s="28">
        <v>1</v>
      </c>
      <c r="AA20" s="29">
        <f t="shared" si="0"/>
        <v>0.2</v>
      </c>
      <c r="AB20" s="29">
        <f t="shared" si="1"/>
        <v>0</v>
      </c>
      <c r="AC20" s="29">
        <f t="shared" si="2"/>
        <v>0</v>
      </c>
      <c r="AD20" s="29">
        <f t="shared" si="3"/>
        <v>0.2</v>
      </c>
      <c r="AE20" s="15">
        <f t="shared" si="4"/>
        <v>0</v>
      </c>
      <c r="AF20" s="29">
        <f t="shared" si="5"/>
        <v>0</v>
      </c>
      <c r="AG20" s="12" t="s">
        <v>76</v>
      </c>
      <c r="AH20" s="24" t="s">
        <v>201</v>
      </c>
    </row>
    <row r="21" spans="1:34" x14ac:dyDescent="0.35">
      <c r="A21" s="25">
        <v>17</v>
      </c>
      <c r="B21" s="7">
        <v>9817</v>
      </c>
      <c r="C21" s="7" t="s">
        <v>217</v>
      </c>
      <c r="D21" s="7" t="s">
        <v>218</v>
      </c>
      <c r="E21" s="7" t="s">
        <v>54</v>
      </c>
      <c r="F21" s="7" t="s">
        <v>170</v>
      </c>
      <c r="G21" s="7" t="s">
        <v>179</v>
      </c>
      <c r="H21" s="7" t="s">
        <v>172</v>
      </c>
      <c r="I21" s="7" t="s">
        <v>173</v>
      </c>
      <c r="J21" s="7" t="s">
        <v>174</v>
      </c>
      <c r="K21" s="7" t="s">
        <v>208</v>
      </c>
      <c r="L21" s="7"/>
      <c r="M21" s="7" t="s">
        <v>173</v>
      </c>
      <c r="N21" s="26">
        <v>1.6648750000000001</v>
      </c>
      <c r="O21" s="26">
        <v>0</v>
      </c>
      <c r="P21" s="26">
        <v>0</v>
      </c>
      <c r="Q21" s="26">
        <v>1.6648750000000001</v>
      </c>
      <c r="R21" s="27">
        <v>0.40748804965337743</v>
      </c>
      <c r="S21" s="26">
        <v>0.83243749999999994</v>
      </c>
      <c r="T21" s="26">
        <v>0.83243749999999994</v>
      </c>
      <c r="U21" s="28">
        <v>1</v>
      </c>
      <c r="AA21" s="29">
        <f t="shared" si="0"/>
        <v>1.6648750000000001</v>
      </c>
      <c r="AB21" s="29">
        <f t="shared" si="1"/>
        <v>0</v>
      </c>
      <c r="AC21" s="29">
        <f t="shared" si="2"/>
        <v>0</v>
      </c>
      <c r="AD21" s="29">
        <f t="shared" si="3"/>
        <v>1.6648750000000001</v>
      </c>
      <c r="AE21" s="15">
        <f t="shared" si="4"/>
        <v>0.40748804965337743</v>
      </c>
      <c r="AF21" s="29">
        <f t="shared" si="5"/>
        <v>0.67841666666666678</v>
      </c>
      <c r="AG21" s="12" t="s">
        <v>76</v>
      </c>
      <c r="AH21" s="24" t="s">
        <v>191</v>
      </c>
    </row>
    <row r="22" spans="1:34" x14ac:dyDescent="0.35">
      <c r="A22" s="25">
        <v>18</v>
      </c>
      <c r="B22" s="7">
        <v>9818</v>
      </c>
      <c r="C22" s="7" t="s">
        <v>219</v>
      </c>
      <c r="D22" s="7" t="s">
        <v>220</v>
      </c>
      <c r="E22" s="7" t="s">
        <v>54</v>
      </c>
      <c r="F22" s="7" t="s">
        <v>170</v>
      </c>
      <c r="G22" s="7" t="s">
        <v>179</v>
      </c>
      <c r="H22" s="7" t="s">
        <v>172</v>
      </c>
      <c r="I22" s="7" t="s">
        <v>173</v>
      </c>
      <c r="J22" s="7" t="s">
        <v>174</v>
      </c>
      <c r="K22" s="7" t="s">
        <v>208</v>
      </c>
      <c r="L22" s="7"/>
      <c r="M22" s="7" t="s">
        <v>173</v>
      </c>
      <c r="N22" s="26">
        <v>0</v>
      </c>
      <c r="O22" s="26">
        <v>0</v>
      </c>
      <c r="P22" s="26">
        <v>0</v>
      </c>
      <c r="Q22" s="26">
        <v>0</v>
      </c>
      <c r="R22" s="27">
        <v>0</v>
      </c>
      <c r="S22" s="26"/>
      <c r="T22" s="26"/>
      <c r="U22" s="28">
        <v>1</v>
      </c>
      <c r="AA22" s="29">
        <f t="shared" si="0"/>
        <v>0</v>
      </c>
      <c r="AB22" s="29">
        <f t="shared" si="1"/>
        <v>0</v>
      </c>
      <c r="AC22" s="29">
        <f t="shared" si="2"/>
        <v>0</v>
      </c>
      <c r="AD22" s="29">
        <f t="shared" si="3"/>
        <v>0</v>
      </c>
      <c r="AE22" s="15">
        <f t="shared" si="4"/>
        <v>0</v>
      </c>
      <c r="AF22" s="29">
        <f t="shared" si="5"/>
        <v>0</v>
      </c>
      <c r="AG22" s="12" t="s">
        <v>76</v>
      </c>
      <c r="AH22" s="24" t="s">
        <v>182</v>
      </c>
    </row>
    <row r="23" spans="1:34" x14ac:dyDescent="0.35">
      <c r="A23" s="25">
        <v>19</v>
      </c>
      <c r="B23" s="7">
        <v>9819</v>
      </c>
      <c r="C23" s="7" t="s">
        <v>221</v>
      </c>
      <c r="D23" s="7" t="s">
        <v>222</v>
      </c>
      <c r="E23" s="7" t="s">
        <v>54</v>
      </c>
      <c r="F23" s="7" t="s">
        <v>170</v>
      </c>
      <c r="G23" s="7" t="s">
        <v>179</v>
      </c>
      <c r="H23" s="7" t="s">
        <v>172</v>
      </c>
      <c r="I23" s="7" t="s">
        <v>173</v>
      </c>
      <c r="J23" s="7" t="s">
        <v>174</v>
      </c>
      <c r="K23" s="7" t="s">
        <v>208</v>
      </c>
      <c r="L23" s="7"/>
      <c r="M23" s="7" t="s">
        <v>173</v>
      </c>
      <c r="N23" s="26">
        <v>0</v>
      </c>
      <c r="O23" s="26">
        <v>0</v>
      </c>
      <c r="P23" s="26">
        <v>0</v>
      </c>
      <c r="Q23" s="26">
        <v>0</v>
      </c>
      <c r="R23" s="27">
        <v>0</v>
      </c>
      <c r="S23" s="26"/>
      <c r="T23" s="26"/>
      <c r="U23" s="28">
        <v>1</v>
      </c>
      <c r="AA23" s="29">
        <f t="shared" si="0"/>
        <v>0</v>
      </c>
      <c r="AB23" s="29">
        <f t="shared" si="1"/>
        <v>0</v>
      </c>
      <c r="AC23" s="29">
        <f t="shared" si="2"/>
        <v>0</v>
      </c>
      <c r="AD23" s="29">
        <f t="shared" si="3"/>
        <v>0</v>
      </c>
      <c r="AE23" s="15">
        <f t="shared" si="4"/>
        <v>0</v>
      </c>
      <c r="AF23" s="29">
        <f t="shared" si="5"/>
        <v>0</v>
      </c>
      <c r="AG23" s="12" t="s">
        <v>76</v>
      </c>
      <c r="AH23" s="24" t="s">
        <v>182</v>
      </c>
    </row>
    <row r="24" spans="1:34" x14ac:dyDescent="0.35">
      <c r="A24" s="25">
        <v>20</v>
      </c>
      <c r="B24" s="7">
        <v>9820</v>
      </c>
      <c r="C24" s="7" t="s">
        <v>223</v>
      </c>
      <c r="D24" s="7" t="s">
        <v>224</v>
      </c>
      <c r="E24" s="7" t="s">
        <v>54</v>
      </c>
      <c r="F24" s="7" t="s">
        <v>170</v>
      </c>
      <c r="G24" s="7" t="s">
        <v>179</v>
      </c>
      <c r="H24" s="7" t="s">
        <v>172</v>
      </c>
      <c r="I24" s="7" t="s">
        <v>180</v>
      </c>
      <c r="J24" s="7" t="s">
        <v>174</v>
      </c>
      <c r="K24" s="7" t="s">
        <v>208</v>
      </c>
      <c r="L24" s="7"/>
      <c r="M24" s="7" t="s">
        <v>173</v>
      </c>
      <c r="N24" s="26">
        <v>0</v>
      </c>
      <c r="O24" s="26">
        <v>0</v>
      </c>
      <c r="P24" s="26">
        <v>0</v>
      </c>
      <c r="Q24" s="26">
        <v>0</v>
      </c>
      <c r="R24" s="27">
        <v>0</v>
      </c>
      <c r="S24" s="26"/>
      <c r="T24" s="26"/>
      <c r="U24" s="28">
        <v>1</v>
      </c>
      <c r="AA24" s="29">
        <f t="shared" si="0"/>
        <v>0</v>
      </c>
      <c r="AB24" s="29">
        <f t="shared" si="1"/>
        <v>0</v>
      </c>
      <c r="AC24" s="29">
        <f t="shared" si="2"/>
        <v>0</v>
      </c>
      <c r="AD24" s="29">
        <f t="shared" si="3"/>
        <v>0</v>
      </c>
      <c r="AE24" s="15">
        <f t="shared" si="4"/>
        <v>0</v>
      </c>
      <c r="AF24" s="29">
        <f t="shared" si="5"/>
        <v>0</v>
      </c>
      <c r="AG24" s="12" t="s">
        <v>76</v>
      </c>
      <c r="AH24" s="24" t="s">
        <v>182</v>
      </c>
    </row>
    <row r="25" spans="1:34" x14ac:dyDescent="0.35">
      <c r="A25" s="25">
        <v>21</v>
      </c>
      <c r="B25" s="7">
        <v>9821</v>
      </c>
      <c r="C25" s="7" t="s">
        <v>225</v>
      </c>
      <c r="D25" s="7" t="s">
        <v>226</v>
      </c>
      <c r="E25" s="7" t="s">
        <v>54</v>
      </c>
      <c r="F25" s="7" t="s">
        <v>170</v>
      </c>
      <c r="G25" s="7" t="s">
        <v>179</v>
      </c>
      <c r="H25" s="7" t="s">
        <v>172</v>
      </c>
      <c r="I25" s="7" t="s">
        <v>180</v>
      </c>
      <c r="J25" s="7" t="s">
        <v>174</v>
      </c>
      <c r="K25" s="7" t="s">
        <v>208</v>
      </c>
      <c r="L25" s="7"/>
      <c r="M25" s="7" t="s">
        <v>173</v>
      </c>
      <c r="N25" s="26">
        <v>4.378333333333333</v>
      </c>
      <c r="O25" s="26">
        <v>0.97083333333333321</v>
      </c>
      <c r="P25" s="26">
        <v>0</v>
      </c>
      <c r="Q25" s="26">
        <v>5.3491666666666662</v>
      </c>
      <c r="R25" s="27">
        <v>0.62610998597912448</v>
      </c>
      <c r="S25" s="26">
        <v>2.6745833333333331</v>
      </c>
      <c r="T25" s="26">
        <v>2.6745833333333331</v>
      </c>
      <c r="U25" s="28">
        <v>1</v>
      </c>
      <c r="AA25" s="29">
        <f t="shared" si="0"/>
        <v>4.378333333333333</v>
      </c>
      <c r="AB25" s="29">
        <f t="shared" si="1"/>
        <v>0.97083333333333321</v>
      </c>
      <c r="AC25" s="29">
        <f t="shared" si="2"/>
        <v>0</v>
      </c>
      <c r="AD25" s="29">
        <f t="shared" si="3"/>
        <v>5.3491666666666662</v>
      </c>
      <c r="AE25" s="15">
        <f t="shared" si="4"/>
        <v>0.62610998597912448</v>
      </c>
      <c r="AF25" s="29">
        <f t="shared" si="5"/>
        <v>3.3491666666666666</v>
      </c>
      <c r="AG25" s="12" t="s">
        <v>76</v>
      </c>
      <c r="AH25" s="24" t="s">
        <v>186</v>
      </c>
    </row>
    <row r="26" spans="1:34" x14ac:dyDescent="0.35">
      <c r="A26" s="25">
        <v>22</v>
      </c>
      <c r="B26" s="7">
        <v>9822</v>
      </c>
      <c r="C26" s="7" t="s">
        <v>227</v>
      </c>
      <c r="D26" s="7" t="s">
        <v>228</v>
      </c>
      <c r="E26" s="7" t="s">
        <v>54</v>
      </c>
      <c r="F26" s="7" t="s">
        <v>170</v>
      </c>
      <c r="G26" s="7" t="s">
        <v>179</v>
      </c>
      <c r="H26" s="7" t="s">
        <v>172</v>
      </c>
      <c r="I26" s="7" t="s">
        <v>173</v>
      </c>
      <c r="J26" s="7" t="s">
        <v>174</v>
      </c>
      <c r="K26" s="7" t="s">
        <v>208</v>
      </c>
      <c r="L26" s="7"/>
      <c r="M26" s="7" t="s">
        <v>173</v>
      </c>
      <c r="N26" s="26">
        <v>6.0129166666666656</v>
      </c>
      <c r="O26" s="26">
        <v>0.25416666666666671</v>
      </c>
      <c r="P26" s="26">
        <v>0</v>
      </c>
      <c r="Q26" s="26">
        <v>6.267083333333332</v>
      </c>
      <c r="R26" s="27">
        <v>0.78990758593178645</v>
      </c>
      <c r="S26" s="26">
        <v>3.133541666666666</v>
      </c>
      <c r="T26" s="26">
        <v>3.133541666666666</v>
      </c>
      <c r="U26" s="28">
        <v>1</v>
      </c>
      <c r="AA26" s="29">
        <f t="shared" si="0"/>
        <v>6.0129166666666656</v>
      </c>
      <c r="AB26" s="29">
        <f t="shared" si="1"/>
        <v>0.25416666666666671</v>
      </c>
      <c r="AC26" s="29">
        <f t="shared" si="2"/>
        <v>0</v>
      </c>
      <c r="AD26" s="29">
        <f t="shared" si="3"/>
        <v>6.267083333333332</v>
      </c>
      <c r="AE26" s="15">
        <f t="shared" si="4"/>
        <v>0.78990758593178645</v>
      </c>
      <c r="AF26" s="29">
        <f t="shared" si="5"/>
        <v>4.9504166666666656</v>
      </c>
      <c r="AG26" s="12" t="s">
        <v>76</v>
      </c>
      <c r="AH26" s="24" t="s">
        <v>201</v>
      </c>
    </row>
    <row r="27" spans="1:34" x14ac:dyDescent="0.35">
      <c r="A27" s="25">
        <v>23</v>
      </c>
      <c r="B27" s="7">
        <v>9823</v>
      </c>
      <c r="C27" s="7" t="s">
        <v>229</v>
      </c>
      <c r="D27" s="7" t="s">
        <v>230</v>
      </c>
      <c r="E27" s="7" t="s">
        <v>54</v>
      </c>
      <c r="F27" s="7" t="s">
        <v>170</v>
      </c>
      <c r="G27" s="7" t="s">
        <v>179</v>
      </c>
      <c r="H27" s="7" t="s">
        <v>231</v>
      </c>
      <c r="I27" s="7" t="s">
        <v>180</v>
      </c>
      <c r="J27" s="7" t="s">
        <v>174</v>
      </c>
      <c r="K27" s="7" t="s">
        <v>208</v>
      </c>
      <c r="L27" s="7"/>
      <c r="M27" s="7" t="s">
        <v>173</v>
      </c>
      <c r="N27" s="26">
        <v>6.7267083333333364</v>
      </c>
      <c r="O27" s="26">
        <v>1.4624999999999999</v>
      </c>
      <c r="P27" s="26">
        <v>0</v>
      </c>
      <c r="Q27" s="26">
        <v>8.189208333333335</v>
      </c>
      <c r="R27" s="27">
        <v>0.72808726932294032</v>
      </c>
      <c r="S27" s="26">
        <v>4.0946041666666666</v>
      </c>
      <c r="T27" s="26">
        <v>4.0946041666666666</v>
      </c>
      <c r="U27" s="28">
        <v>1</v>
      </c>
      <c r="AA27" s="29">
        <f t="shared" si="0"/>
        <v>6.7267083333333364</v>
      </c>
      <c r="AB27" s="29">
        <f t="shared" si="1"/>
        <v>1.4624999999999999</v>
      </c>
      <c r="AC27" s="29">
        <f t="shared" si="2"/>
        <v>0</v>
      </c>
      <c r="AD27" s="29">
        <f t="shared" si="3"/>
        <v>8.189208333333335</v>
      </c>
      <c r="AE27" s="15">
        <f t="shared" si="4"/>
        <v>0.72808726932294032</v>
      </c>
      <c r="AF27" s="29">
        <f t="shared" si="5"/>
        <v>5.962458333333335</v>
      </c>
      <c r="AG27" s="12" t="s">
        <v>76</v>
      </c>
      <c r="AH27" s="24" t="s">
        <v>232</v>
      </c>
    </row>
    <row r="28" spans="1:34" x14ac:dyDescent="0.35">
      <c r="A28" s="25">
        <v>24</v>
      </c>
      <c r="B28" s="7">
        <v>9824</v>
      </c>
      <c r="C28" s="7" t="s">
        <v>233</v>
      </c>
      <c r="D28" s="7" t="s">
        <v>234</v>
      </c>
      <c r="E28" s="7" t="s">
        <v>54</v>
      </c>
      <c r="F28" s="7" t="s">
        <v>170</v>
      </c>
      <c r="G28" s="7" t="s">
        <v>179</v>
      </c>
      <c r="H28" s="7" t="s">
        <v>172</v>
      </c>
      <c r="I28" s="7" t="s">
        <v>180</v>
      </c>
      <c r="J28" s="7" t="s">
        <v>174</v>
      </c>
      <c r="K28" s="7" t="s">
        <v>208</v>
      </c>
      <c r="L28" s="7"/>
      <c r="M28" s="7" t="s">
        <v>173</v>
      </c>
      <c r="N28" s="26">
        <v>1.630833333333334</v>
      </c>
      <c r="O28" s="26">
        <v>0</v>
      </c>
      <c r="P28" s="26">
        <v>0</v>
      </c>
      <c r="Q28" s="26">
        <v>1.630833333333334</v>
      </c>
      <c r="R28" s="27">
        <v>0.38681655595298942</v>
      </c>
      <c r="S28" s="26">
        <v>0.81541666666666679</v>
      </c>
      <c r="T28" s="26">
        <v>0.81541666666666679</v>
      </c>
      <c r="U28" s="28">
        <v>1</v>
      </c>
      <c r="AA28" s="29">
        <f t="shared" si="0"/>
        <v>1.630833333333334</v>
      </c>
      <c r="AB28" s="29">
        <f t="shared" si="1"/>
        <v>0</v>
      </c>
      <c r="AC28" s="29">
        <f t="shared" si="2"/>
        <v>0</v>
      </c>
      <c r="AD28" s="29">
        <f t="shared" si="3"/>
        <v>1.630833333333334</v>
      </c>
      <c r="AE28" s="15">
        <f t="shared" si="4"/>
        <v>0.38681655595298942</v>
      </c>
      <c r="AF28" s="29">
        <f t="shared" si="5"/>
        <v>0.6308333333333338</v>
      </c>
      <c r="AG28" s="12" t="s">
        <v>76</v>
      </c>
      <c r="AH28" s="24" t="s">
        <v>182</v>
      </c>
    </row>
    <row r="29" spans="1:34" x14ac:dyDescent="0.35">
      <c r="A29" s="25">
        <v>25</v>
      </c>
      <c r="B29" s="7">
        <v>9833</v>
      </c>
      <c r="C29" s="7" t="s">
        <v>235</v>
      </c>
      <c r="D29" s="7" t="s">
        <v>236</v>
      </c>
      <c r="E29" s="7" t="s">
        <v>237</v>
      </c>
      <c r="F29" s="7" t="s">
        <v>238</v>
      </c>
      <c r="G29" s="7" t="s">
        <v>239</v>
      </c>
      <c r="H29" s="7" t="s">
        <v>172</v>
      </c>
      <c r="I29" s="7" t="s">
        <v>173</v>
      </c>
      <c r="J29" s="7" t="s">
        <v>174</v>
      </c>
      <c r="K29" s="7" t="s">
        <v>240</v>
      </c>
      <c r="L29" s="7"/>
      <c r="M29" s="7" t="s">
        <v>173</v>
      </c>
      <c r="N29" s="26">
        <v>8.7316666666666691</v>
      </c>
      <c r="O29" s="26">
        <v>0.1104166666666667</v>
      </c>
      <c r="P29" s="26">
        <v>0</v>
      </c>
      <c r="Q29" s="26">
        <v>8.8420833333333366</v>
      </c>
      <c r="R29" s="27">
        <v>0.91687479383629433</v>
      </c>
      <c r="S29" s="26">
        <v>4.4210416666666683</v>
      </c>
      <c r="T29" s="26">
        <v>4.4210416666666683</v>
      </c>
      <c r="U29" s="28">
        <v>1</v>
      </c>
      <c r="AA29" s="29">
        <f t="shared" si="0"/>
        <v>8.7316666666666691</v>
      </c>
      <c r="AB29" s="29">
        <f t="shared" si="1"/>
        <v>0.1104166666666667</v>
      </c>
      <c r="AC29" s="29">
        <f t="shared" si="2"/>
        <v>0</v>
      </c>
      <c r="AD29" s="29">
        <f t="shared" si="3"/>
        <v>8.8420833333333366</v>
      </c>
      <c r="AE29" s="15">
        <f t="shared" si="4"/>
        <v>0.91687479383629433</v>
      </c>
      <c r="AF29" s="29">
        <f t="shared" si="5"/>
        <v>8.1070833333333372</v>
      </c>
      <c r="AG29" s="12" t="s">
        <v>72</v>
      </c>
      <c r="AH29" s="24"/>
    </row>
    <row r="30" spans="1:34" x14ac:dyDescent="0.35">
      <c r="A30" s="25">
        <v>26</v>
      </c>
      <c r="B30" s="7">
        <v>9834</v>
      </c>
      <c r="C30" s="7" t="s">
        <v>241</v>
      </c>
      <c r="D30" s="7" t="s">
        <v>242</v>
      </c>
      <c r="E30" s="7" t="s">
        <v>243</v>
      </c>
      <c r="F30" s="7" t="s">
        <v>238</v>
      </c>
      <c r="G30" s="7" t="s">
        <v>244</v>
      </c>
      <c r="H30" s="7" t="s">
        <v>172</v>
      </c>
      <c r="I30" s="7" t="s">
        <v>180</v>
      </c>
      <c r="J30" s="7" t="s">
        <v>174</v>
      </c>
      <c r="K30" s="7" t="s">
        <v>245</v>
      </c>
      <c r="L30" s="7"/>
      <c r="M30" s="7" t="s">
        <v>173</v>
      </c>
      <c r="N30" s="26">
        <v>0.2</v>
      </c>
      <c r="O30" s="26">
        <v>0.2</v>
      </c>
      <c r="P30" s="26">
        <v>0</v>
      </c>
      <c r="Q30" s="26">
        <v>0.37083333333333329</v>
      </c>
      <c r="R30" s="27">
        <v>0.32584269662921339</v>
      </c>
      <c r="S30" s="26">
        <v>0.1854166666666667</v>
      </c>
      <c r="T30" s="26">
        <v>0.1854166666666667</v>
      </c>
      <c r="U30" s="28">
        <v>1</v>
      </c>
      <c r="AA30" s="29">
        <f t="shared" si="0"/>
        <v>0.2</v>
      </c>
      <c r="AB30" s="29">
        <f t="shared" si="1"/>
        <v>0.2</v>
      </c>
      <c r="AC30" s="29">
        <f t="shared" si="2"/>
        <v>0</v>
      </c>
      <c r="AD30" s="29">
        <f t="shared" si="3"/>
        <v>0.37083333333333329</v>
      </c>
      <c r="AE30" s="15">
        <f t="shared" si="4"/>
        <v>0.32584269662921339</v>
      </c>
      <c r="AF30" s="29">
        <f t="shared" si="5"/>
        <v>0.12083333333333329</v>
      </c>
      <c r="AG30" s="12" t="s">
        <v>72</v>
      </c>
      <c r="AH30" s="24"/>
    </row>
    <row r="31" spans="1:34" x14ac:dyDescent="0.35">
      <c r="A31" s="25">
        <v>27</v>
      </c>
      <c r="B31" s="7">
        <v>9835</v>
      </c>
      <c r="C31" s="7" t="s">
        <v>246</v>
      </c>
      <c r="D31" s="7" t="s">
        <v>247</v>
      </c>
      <c r="E31" s="7" t="s">
        <v>248</v>
      </c>
      <c r="F31" s="7" t="s">
        <v>238</v>
      </c>
      <c r="G31" s="7" t="s">
        <v>249</v>
      </c>
      <c r="H31" s="7" t="s">
        <v>172</v>
      </c>
      <c r="I31" s="7" t="s">
        <v>180</v>
      </c>
      <c r="J31" s="7" t="s">
        <v>174</v>
      </c>
      <c r="K31" s="7" t="s">
        <v>250</v>
      </c>
      <c r="L31" s="7"/>
      <c r="M31" s="7" t="s">
        <v>173</v>
      </c>
      <c r="N31" s="26">
        <v>29.379874999999991</v>
      </c>
      <c r="O31" s="26">
        <v>5.6166666666666663</v>
      </c>
      <c r="P31" s="26">
        <v>0</v>
      </c>
      <c r="Q31" s="26">
        <v>34.996541666666651</v>
      </c>
      <c r="R31" s="27">
        <v>0.90522873093412803</v>
      </c>
      <c r="S31" s="26">
        <v>17.498270833333329</v>
      </c>
      <c r="T31" s="26">
        <v>17.498270833333329</v>
      </c>
      <c r="U31" s="28">
        <v>1</v>
      </c>
      <c r="AA31" s="29">
        <f t="shared" si="0"/>
        <v>29.379874999999991</v>
      </c>
      <c r="AB31" s="29">
        <f t="shared" si="1"/>
        <v>5.6166666666666663</v>
      </c>
      <c r="AC31" s="29">
        <f t="shared" si="2"/>
        <v>0</v>
      </c>
      <c r="AD31" s="29">
        <f t="shared" si="3"/>
        <v>34.996541666666651</v>
      </c>
      <c r="AE31" s="15">
        <f t="shared" si="4"/>
        <v>0.90522873093412803</v>
      </c>
      <c r="AF31" s="29">
        <f t="shared" si="5"/>
        <v>31.679874999999988</v>
      </c>
      <c r="AG31" s="12" t="s">
        <v>72</v>
      </c>
      <c r="AH31" s="24"/>
    </row>
    <row r="32" spans="1:34" x14ac:dyDescent="0.35">
      <c r="A32" s="25">
        <v>28</v>
      </c>
      <c r="B32" s="7">
        <v>9836</v>
      </c>
      <c r="C32" s="7" t="s">
        <v>251</v>
      </c>
      <c r="D32" s="7" t="s">
        <v>252</v>
      </c>
      <c r="E32" s="7" t="s">
        <v>243</v>
      </c>
      <c r="F32" s="7" t="s">
        <v>238</v>
      </c>
      <c r="G32" s="7" t="s">
        <v>244</v>
      </c>
      <c r="H32" s="7" t="s">
        <v>172</v>
      </c>
      <c r="I32" s="7" t="s">
        <v>180</v>
      </c>
      <c r="J32" s="7" t="s">
        <v>174</v>
      </c>
      <c r="K32" s="7" t="s">
        <v>245</v>
      </c>
      <c r="L32" s="7"/>
      <c r="M32" s="7" t="s">
        <v>173</v>
      </c>
      <c r="N32" s="26">
        <v>0.3</v>
      </c>
      <c r="O32" s="26">
        <v>0.3</v>
      </c>
      <c r="P32" s="26">
        <v>0</v>
      </c>
      <c r="Q32" s="26">
        <v>2.5258333333333329</v>
      </c>
      <c r="R32" s="27">
        <v>0.90102276476410426</v>
      </c>
      <c r="S32" s="26">
        <v>1.262916666666666</v>
      </c>
      <c r="T32" s="26">
        <v>1.262916666666666</v>
      </c>
      <c r="U32" s="28">
        <v>1</v>
      </c>
      <c r="AA32" s="29">
        <f t="shared" si="0"/>
        <v>0.3</v>
      </c>
      <c r="AB32" s="29">
        <f t="shared" si="1"/>
        <v>0.3</v>
      </c>
      <c r="AC32" s="29">
        <f t="shared" si="2"/>
        <v>0</v>
      </c>
      <c r="AD32" s="29">
        <f t="shared" si="3"/>
        <v>2.5258333333333329</v>
      </c>
      <c r="AE32" s="15">
        <f t="shared" si="4"/>
        <v>0.90102276476410426</v>
      </c>
      <c r="AF32" s="29">
        <f t="shared" si="5"/>
        <v>2.2758333333333329</v>
      </c>
      <c r="AG32" s="12" t="s">
        <v>72</v>
      </c>
      <c r="AH32" s="24"/>
    </row>
    <row r="33" spans="1:34" x14ac:dyDescent="0.35">
      <c r="A33" s="25">
        <v>29</v>
      </c>
      <c r="B33" s="7">
        <v>9842</v>
      </c>
      <c r="C33" s="7" t="s">
        <v>253</v>
      </c>
      <c r="D33" s="7" t="s">
        <v>254</v>
      </c>
      <c r="E33" s="7" t="s">
        <v>243</v>
      </c>
      <c r="F33" s="7" t="s">
        <v>238</v>
      </c>
      <c r="G33" s="7" t="s">
        <v>244</v>
      </c>
      <c r="H33" s="7" t="s">
        <v>172</v>
      </c>
      <c r="I33" s="7" t="s">
        <v>173</v>
      </c>
      <c r="J33" s="7" t="s">
        <v>174</v>
      </c>
      <c r="K33" s="7" t="s">
        <v>255</v>
      </c>
      <c r="L33" s="7"/>
      <c r="M33" s="7" t="s">
        <v>173</v>
      </c>
      <c r="N33" s="26">
        <v>0.3</v>
      </c>
      <c r="O33" s="26">
        <v>0.3</v>
      </c>
      <c r="P33" s="26">
        <v>0</v>
      </c>
      <c r="Q33" s="26">
        <v>2.88625</v>
      </c>
      <c r="R33" s="27">
        <v>0.90298830662624519</v>
      </c>
      <c r="S33" s="26">
        <v>1.443125</v>
      </c>
      <c r="T33" s="26">
        <v>1.443125</v>
      </c>
      <c r="U33" s="28">
        <v>1</v>
      </c>
      <c r="AA33" s="29">
        <f t="shared" si="0"/>
        <v>0.3</v>
      </c>
      <c r="AB33" s="29">
        <f t="shared" si="1"/>
        <v>0.3</v>
      </c>
      <c r="AC33" s="29">
        <f t="shared" si="2"/>
        <v>0</v>
      </c>
      <c r="AD33" s="29">
        <f t="shared" si="3"/>
        <v>2.88625</v>
      </c>
      <c r="AE33" s="15">
        <f t="shared" si="4"/>
        <v>0.90298830662624519</v>
      </c>
      <c r="AF33" s="29">
        <f t="shared" si="5"/>
        <v>2.6062500000000002</v>
      </c>
      <c r="AG33" s="12" t="s">
        <v>72</v>
      </c>
      <c r="AH33" s="24"/>
    </row>
    <row r="34" spans="1:34" x14ac:dyDescent="0.35">
      <c r="A34" s="25">
        <v>30</v>
      </c>
      <c r="B34" s="7">
        <v>9843</v>
      </c>
      <c r="C34" s="7" t="s">
        <v>256</v>
      </c>
      <c r="D34" s="7" t="s">
        <v>257</v>
      </c>
      <c r="E34" s="7" t="s">
        <v>258</v>
      </c>
      <c r="F34" s="7" t="s">
        <v>238</v>
      </c>
      <c r="G34" s="7" t="s">
        <v>259</v>
      </c>
      <c r="H34" s="7" t="s">
        <v>172</v>
      </c>
      <c r="I34" s="7" t="s">
        <v>173</v>
      </c>
      <c r="J34" s="7" t="s">
        <v>174</v>
      </c>
      <c r="K34" s="7" t="s">
        <v>245</v>
      </c>
      <c r="L34" s="7"/>
      <c r="M34" s="7" t="s">
        <v>173</v>
      </c>
      <c r="N34" s="26">
        <v>1.212083333333333</v>
      </c>
      <c r="O34" s="26">
        <v>0.20833333333333329</v>
      </c>
      <c r="P34" s="26">
        <v>0</v>
      </c>
      <c r="Q34" s="26">
        <v>1.4204166666666671</v>
      </c>
      <c r="R34" s="27">
        <v>0.63596362569668519</v>
      </c>
      <c r="S34" s="26">
        <v>0.71020833333333333</v>
      </c>
      <c r="T34" s="26">
        <v>0.71020833333333333</v>
      </c>
      <c r="U34" s="28">
        <v>1</v>
      </c>
      <c r="AA34" s="29">
        <f t="shared" si="0"/>
        <v>1.212083333333333</v>
      </c>
      <c r="AB34" s="29">
        <f t="shared" si="1"/>
        <v>0.20833333333333329</v>
      </c>
      <c r="AC34" s="29">
        <f t="shared" si="2"/>
        <v>0</v>
      </c>
      <c r="AD34" s="29">
        <f t="shared" si="3"/>
        <v>1.4204166666666671</v>
      </c>
      <c r="AE34" s="15">
        <f t="shared" si="4"/>
        <v>0.63596362569668519</v>
      </c>
      <c r="AF34" s="29">
        <f t="shared" si="5"/>
        <v>0.90333333333333354</v>
      </c>
      <c r="AG34" s="12" t="s">
        <v>72</v>
      </c>
      <c r="AH34" s="24"/>
    </row>
    <row r="35" spans="1:34" x14ac:dyDescent="0.35">
      <c r="A35" s="25">
        <v>31</v>
      </c>
      <c r="B35" s="7">
        <v>9844</v>
      </c>
      <c r="C35" s="7" t="s">
        <v>260</v>
      </c>
      <c r="D35" s="7" t="s">
        <v>261</v>
      </c>
      <c r="E35" s="7" t="s">
        <v>262</v>
      </c>
      <c r="F35" s="7" t="s">
        <v>170</v>
      </c>
      <c r="G35" s="7" t="s">
        <v>263</v>
      </c>
      <c r="H35" s="7" t="s">
        <v>172</v>
      </c>
      <c r="I35" s="7" t="s">
        <v>180</v>
      </c>
      <c r="J35" s="7" t="s">
        <v>174</v>
      </c>
      <c r="K35" s="7" t="s">
        <v>245</v>
      </c>
      <c r="L35" s="7"/>
      <c r="M35" s="7" t="s">
        <v>173</v>
      </c>
      <c r="N35" s="26">
        <v>0.67083333333333339</v>
      </c>
      <c r="O35" s="26">
        <v>0.68333333333333324</v>
      </c>
      <c r="P35" s="26">
        <v>0</v>
      </c>
      <c r="Q35" s="26">
        <v>1.354166666666667</v>
      </c>
      <c r="R35" s="27">
        <v>0.36923076923076931</v>
      </c>
      <c r="S35" s="26">
        <v>0.67708333333333326</v>
      </c>
      <c r="T35" s="26">
        <v>0.67708333333333326</v>
      </c>
      <c r="U35" s="28">
        <v>1</v>
      </c>
      <c r="AA35" s="29">
        <f t="shared" si="0"/>
        <v>0.67083333333333339</v>
      </c>
      <c r="AB35" s="29">
        <f t="shared" si="1"/>
        <v>0.68333333333333324</v>
      </c>
      <c r="AC35" s="29">
        <f t="shared" si="2"/>
        <v>0</v>
      </c>
      <c r="AD35" s="29">
        <f t="shared" si="3"/>
        <v>1.354166666666667</v>
      </c>
      <c r="AE35" s="15">
        <f t="shared" si="4"/>
        <v>0.36923076923076931</v>
      </c>
      <c r="AF35" s="29">
        <f t="shared" si="5"/>
        <v>0.50000000000000022</v>
      </c>
      <c r="AG35" s="12" t="s">
        <v>72</v>
      </c>
      <c r="AH35" s="24"/>
    </row>
    <row r="36" spans="1:34" x14ac:dyDescent="0.35">
      <c r="A36" s="25">
        <v>32</v>
      </c>
      <c r="B36" s="7">
        <v>9845</v>
      </c>
      <c r="C36" s="7" t="s">
        <v>264</v>
      </c>
      <c r="D36" s="7" t="s">
        <v>265</v>
      </c>
      <c r="E36" s="7" t="s">
        <v>237</v>
      </c>
      <c r="F36" s="7" t="s">
        <v>238</v>
      </c>
      <c r="G36" s="7" t="s">
        <v>239</v>
      </c>
      <c r="H36" s="7" t="s">
        <v>172</v>
      </c>
      <c r="I36" s="7" t="s">
        <v>173</v>
      </c>
      <c r="J36" s="7" t="s">
        <v>174</v>
      </c>
      <c r="K36" s="7" t="s">
        <v>245</v>
      </c>
      <c r="L36" s="7"/>
      <c r="M36" s="7" t="s">
        <v>173</v>
      </c>
      <c r="N36" s="26">
        <v>3.4049166666666668</v>
      </c>
      <c r="O36" s="26">
        <v>0</v>
      </c>
      <c r="P36" s="26">
        <v>0</v>
      </c>
      <c r="Q36" s="26">
        <v>3.4049166666666668</v>
      </c>
      <c r="R36" s="27">
        <v>0.84091632198536437</v>
      </c>
      <c r="S36" s="26">
        <v>1.702458333333333</v>
      </c>
      <c r="T36" s="26">
        <v>1.702458333333333</v>
      </c>
      <c r="U36" s="28">
        <v>1</v>
      </c>
      <c r="AA36" s="29">
        <f t="shared" si="0"/>
        <v>3.4049166666666668</v>
      </c>
      <c r="AB36" s="29">
        <f t="shared" si="1"/>
        <v>0</v>
      </c>
      <c r="AC36" s="29">
        <f t="shared" si="2"/>
        <v>0</v>
      </c>
      <c r="AD36" s="29">
        <f t="shared" si="3"/>
        <v>3.4049166666666668</v>
      </c>
      <c r="AE36" s="15">
        <f t="shared" si="4"/>
        <v>0.84091632198536437</v>
      </c>
      <c r="AF36" s="29">
        <f t="shared" si="5"/>
        <v>2.8632500000000003</v>
      </c>
      <c r="AG36" s="12" t="s">
        <v>72</v>
      </c>
      <c r="AH36" s="24"/>
    </row>
    <row r="37" spans="1:34" x14ac:dyDescent="0.35">
      <c r="A37" s="25">
        <v>33</v>
      </c>
      <c r="B37" s="7">
        <v>9846</v>
      </c>
      <c r="C37" s="7" t="s">
        <v>266</v>
      </c>
      <c r="D37" s="7" t="s">
        <v>267</v>
      </c>
      <c r="E37" s="7" t="s">
        <v>258</v>
      </c>
      <c r="F37" s="7" t="s">
        <v>238</v>
      </c>
      <c r="G37" s="7" t="s">
        <v>259</v>
      </c>
      <c r="H37" s="7" t="s">
        <v>172</v>
      </c>
      <c r="I37" s="7" t="s">
        <v>173</v>
      </c>
      <c r="J37" s="7" t="s">
        <v>174</v>
      </c>
      <c r="K37" s="7" t="s">
        <v>245</v>
      </c>
      <c r="L37" s="7"/>
      <c r="M37" s="7" t="s">
        <v>173</v>
      </c>
      <c r="N37" s="26">
        <v>3.125E-2</v>
      </c>
      <c r="O37" s="26">
        <v>0.4</v>
      </c>
      <c r="P37" s="26">
        <v>0</v>
      </c>
      <c r="Q37" s="26">
        <v>0.43125000000000002</v>
      </c>
      <c r="R37" s="27">
        <v>0.92753623188405798</v>
      </c>
      <c r="S37" s="26">
        <v>0.21562500000000001</v>
      </c>
      <c r="T37" s="26">
        <v>0.21562500000000001</v>
      </c>
      <c r="U37" s="28">
        <v>1</v>
      </c>
      <c r="AA37" s="29">
        <f t="shared" ref="AA37:AA68" si="6">N37</f>
        <v>3.125E-2</v>
      </c>
      <c r="AB37" s="29">
        <f t="shared" ref="AB37:AB68" si="7">O37</f>
        <v>0.4</v>
      </c>
      <c r="AC37" s="29">
        <f t="shared" ref="AC37:AC68" si="8">P37</f>
        <v>0</v>
      </c>
      <c r="AD37" s="29">
        <f t="shared" ref="AD37:AD68" si="9">Q37</f>
        <v>0.43125000000000002</v>
      </c>
      <c r="AE37" s="15">
        <f t="shared" ref="AE37:AE68" si="10">R37</f>
        <v>0.92753623188405798</v>
      </c>
      <c r="AF37" s="29">
        <f t="shared" ref="AF37:AF68" si="11">Q37*R37</f>
        <v>0.4</v>
      </c>
      <c r="AG37" s="12" t="s">
        <v>72</v>
      </c>
      <c r="AH37" s="24"/>
    </row>
    <row r="38" spans="1:34" x14ac:dyDescent="0.35">
      <c r="A38" s="25">
        <v>34</v>
      </c>
      <c r="B38" s="7">
        <v>9847</v>
      </c>
      <c r="C38" s="7" t="s">
        <v>268</v>
      </c>
      <c r="D38" s="7" t="s">
        <v>269</v>
      </c>
      <c r="E38" s="7" t="s">
        <v>54</v>
      </c>
      <c r="F38" s="7" t="s">
        <v>170</v>
      </c>
      <c r="G38" s="7" t="s">
        <v>179</v>
      </c>
      <c r="H38" s="7" t="s">
        <v>172</v>
      </c>
      <c r="I38" s="7" t="s">
        <v>173</v>
      </c>
      <c r="J38" s="7" t="s">
        <v>174</v>
      </c>
      <c r="K38" s="7" t="s">
        <v>245</v>
      </c>
      <c r="L38" s="7"/>
      <c r="M38" s="7" t="s">
        <v>173</v>
      </c>
      <c r="N38" s="26">
        <v>0.15262500000000001</v>
      </c>
      <c r="O38" s="26">
        <v>0.3</v>
      </c>
      <c r="P38" s="26">
        <v>0</v>
      </c>
      <c r="Q38" s="26">
        <v>0.45262499999999989</v>
      </c>
      <c r="R38" s="27">
        <v>1</v>
      </c>
      <c r="S38" s="26">
        <v>0.2263125</v>
      </c>
      <c r="T38" s="26">
        <v>0.2263125</v>
      </c>
      <c r="U38" s="28">
        <v>1</v>
      </c>
      <c r="AA38" s="29">
        <f t="shared" si="6"/>
        <v>0.15262500000000001</v>
      </c>
      <c r="AB38" s="29">
        <f t="shared" si="7"/>
        <v>0.3</v>
      </c>
      <c r="AC38" s="29">
        <f t="shared" si="8"/>
        <v>0</v>
      </c>
      <c r="AD38" s="29">
        <f t="shared" si="9"/>
        <v>0.45262499999999989</v>
      </c>
      <c r="AE38" s="15">
        <f t="shared" si="10"/>
        <v>1</v>
      </c>
      <c r="AF38" s="29">
        <f t="shared" si="11"/>
        <v>0.45262499999999989</v>
      </c>
      <c r="AG38" s="12" t="s">
        <v>72</v>
      </c>
      <c r="AH38" s="24" t="s">
        <v>201</v>
      </c>
    </row>
    <row r="39" spans="1:34" x14ac:dyDescent="0.35">
      <c r="A39" s="25">
        <v>35</v>
      </c>
      <c r="B39" s="7">
        <v>9848</v>
      </c>
      <c r="C39" s="7" t="s">
        <v>270</v>
      </c>
      <c r="D39" s="7" t="s">
        <v>271</v>
      </c>
      <c r="E39" s="7" t="s">
        <v>237</v>
      </c>
      <c r="F39" s="7" t="s">
        <v>238</v>
      </c>
      <c r="G39" s="7" t="s">
        <v>239</v>
      </c>
      <c r="H39" s="7" t="s">
        <v>172</v>
      </c>
      <c r="I39" s="7" t="s">
        <v>173</v>
      </c>
      <c r="J39" s="7" t="s">
        <v>174</v>
      </c>
      <c r="K39" s="7" t="s">
        <v>245</v>
      </c>
      <c r="L39" s="7"/>
      <c r="M39" s="7" t="s">
        <v>173</v>
      </c>
      <c r="N39" s="26">
        <v>0.88541666666666663</v>
      </c>
      <c r="O39" s="26">
        <v>0</v>
      </c>
      <c r="P39" s="26">
        <v>0</v>
      </c>
      <c r="Q39" s="26">
        <v>0.88541666666666663</v>
      </c>
      <c r="R39" s="27">
        <v>0.83058823529411763</v>
      </c>
      <c r="S39" s="26">
        <v>0.44270833333333331</v>
      </c>
      <c r="T39" s="26">
        <v>0.44270833333333331</v>
      </c>
      <c r="U39" s="28">
        <v>1</v>
      </c>
      <c r="AA39" s="29">
        <f t="shared" si="6"/>
        <v>0.88541666666666663</v>
      </c>
      <c r="AB39" s="29">
        <f t="shared" si="7"/>
        <v>0</v>
      </c>
      <c r="AC39" s="29">
        <f t="shared" si="8"/>
        <v>0</v>
      </c>
      <c r="AD39" s="29">
        <f t="shared" si="9"/>
        <v>0.88541666666666663</v>
      </c>
      <c r="AE39" s="15">
        <f t="shared" si="10"/>
        <v>0.83058823529411763</v>
      </c>
      <c r="AF39" s="29">
        <f t="shared" si="11"/>
        <v>0.73541666666666661</v>
      </c>
      <c r="AG39" s="12" t="s">
        <v>72</v>
      </c>
      <c r="AH39" s="24"/>
    </row>
    <row r="40" spans="1:34" x14ac:dyDescent="0.35">
      <c r="A40" s="25">
        <v>36</v>
      </c>
      <c r="B40" s="7">
        <v>9849</v>
      </c>
      <c r="C40" s="7" t="s">
        <v>272</v>
      </c>
      <c r="D40" s="7" t="s">
        <v>273</v>
      </c>
      <c r="E40" s="7" t="s">
        <v>237</v>
      </c>
      <c r="F40" s="7" t="s">
        <v>238</v>
      </c>
      <c r="G40" s="7" t="s">
        <v>239</v>
      </c>
      <c r="H40" s="7" t="s">
        <v>231</v>
      </c>
      <c r="I40" s="7" t="s">
        <v>173</v>
      </c>
      <c r="J40" s="7" t="s">
        <v>174</v>
      </c>
      <c r="K40" s="7" t="s">
        <v>274</v>
      </c>
      <c r="L40" s="7"/>
      <c r="M40" s="7" t="s">
        <v>173</v>
      </c>
      <c r="N40" s="26">
        <v>5.1862499999999994</v>
      </c>
      <c r="O40" s="26">
        <v>0.3833333333333333</v>
      </c>
      <c r="P40" s="26">
        <v>0</v>
      </c>
      <c r="Q40" s="26">
        <v>5.5695833333333322</v>
      </c>
      <c r="R40" s="27">
        <v>0.83152539836911799</v>
      </c>
      <c r="S40" s="26">
        <v>2.7847916666666661</v>
      </c>
      <c r="T40" s="26">
        <v>2.7847916666666661</v>
      </c>
      <c r="U40" s="28">
        <v>1</v>
      </c>
      <c r="AA40" s="29">
        <f t="shared" si="6"/>
        <v>5.1862499999999994</v>
      </c>
      <c r="AB40" s="29">
        <f t="shared" si="7"/>
        <v>0.3833333333333333</v>
      </c>
      <c r="AC40" s="29">
        <f t="shared" si="8"/>
        <v>0</v>
      </c>
      <c r="AD40" s="29">
        <f t="shared" si="9"/>
        <v>5.5695833333333322</v>
      </c>
      <c r="AE40" s="15">
        <f t="shared" si="10"/>
        <v>0.83152539836911799</v>
      </c>
      <c r="AF40" s="29">
        <f t="shared" si="11"/>
        <v>4.6312499999999988</v>
      </c>
      <c r="AG40" s="12" t="s">
        <v>72</v>
      </c>
      <c r="AH40" s="24"/>
    </row>
    <row r="41" spans="1:34" x14ac:dyDescent="0.35">
      <c r="A41" s="25">
        <v>37</v>
      </c>
      <c r="B41" s="7">
        <v>9851</v>
      </c>
      <c r="C41" s="7" t="s">
        <v>275</v>
      </c>
      <c r="D41" s="7" t="s">
        <v>276</v>
      </c>
      <c r="E41" s="7" t="s">
        <v>262</v>
      </c>
      <c r="F41" s="7" t="s">
        <v>170</v>
      </c>
      <c r="G41" s="7" t="s">
        <v>263</v>
      </c>
      <c r="H41" s="7" t="s">
        <v>172</v>
      </c>
      <c r="I41" s="7" t="s">
        <v>173</v>
      </c>
      <c r="J41" s="7" t="s">
        <v>174</v>
      </c>
      <c r="K41" s="7" t="s">
        <v>274</v>
      </c>
      <c r="L41" s="7" t="s">
        <v>277</v>
      </c>
      <c r="M41" s="7" t="s">
        <v>173</v>
      </c>
      <c r="N41" s="26">
        <v>0.29166666666666657</v>
      </c>
      <c r="O41" s="26">
        <v>0.1166666666666667</v>
      </c>
      <c r="P41" s="26">
        <v>0</v>
      </c>
      <c r="Q41" s="26">
        <v>0.40833333333333333</v>
      </c>
      <c r="R41" s="27">
        <v>0.82653061224489799</v>
      </c>
      <c r="S41" s="26">
        <v>0.20416666666666669</v>
      </c>
      <c r="T41" s="26">
        <v>0.20416666666666669</v>
      </c>
      <c r="U41" s="28">
        <v>1</v>
      </c>
      <c r="AA41" s="29">
        <f t="shared" si="6"/>
        <v>0.29166666666666657</v>
      </c>
      <c r="AB41" s="29">
        <f t="shared" si="7"/>
        <v>0.1166666666666667</v>
      </c>
      <c r="AC41" s="29">
        <f t="shared" si="8"/>
        <v>0</v>
      </c>
      <c r="AD41" s="29">
        <f t="shared" si="9"/>
        <v>0.40833333333333333</v>
      </c>
      <c r="AE41" s="15">
        <f t="shared" si="10"/>
        <v>0.82653061224489799</v>
      </c>
      <c r="AF41" s="29">
        <f t="shared" si="11"/>
        <v>0.33750000000000002</v>
      </c>
      <c r="AG41" s="12" t="s">
        <v>72</v>
      </c>
      <c r="AH41" s="24"/>
    </row>
    <row r="42" spans="1:34" x14ac:dyDescent="0.35">
      <c r="A42" s="25">
        <v>38</v>
      </c>
      <c r="B42" s="7">
        <v>9852</v>
      </c>
      <c r="C42" s="7" t="s">
        <v>278</v>
      </c>
      <c r="D42" s="7" t="s">
        <v>279</v>
      </c>
      <c r="E42" s="7" t="s">
        <v>262</v>
      </c>
      <c r="F42" s="7" t="s">
        <v>170</v>
      </c>
      <c r="G42" s="7" t="s">
        <v>263</v>
      </c>
      <c r="H42" s="7" t="s">
        <v>172</v>
      </c>
      <c r="I42" s="7" t="s">
        <v>173</v>
      </c>
      <c r="J42" s="7" t="s">
        <v>174</v>
      </c>
      <c r="K42" s="7" t="s">
        <v>280</v>
      </c>
      <c r="L42" s="7"/>
      <c r="M42" s="7" t="s">
        <v>173</v>
      </c>
      <c r="N42" s="26">
        <v>0.5083333333333333</v>
      </c>
      <c r="O42" s="26">
        <v>0</v>
      </c>
      <c r="P42" s="26">
        <v>0</v>
      </c>
      <c r="Q42" s="26">
        <v>0.5083333333333333</v>
      </c>
      <c r="R42" s="27">
        <v>0.36885245901639352</v>
      </c>
      <c r="S42" s="26">
        <v>0.25416666666666671</v>
      </c>
      <c r="T42" s="26">
        <v>0.25416666666666671</v>
      </c>
      <c r="U42" s="28">
        <v>1</v>
      </c>
      <c r="AA42" s="29">
        <f t="shared" si="6"/>
        <v>0.5083333333333333</v>
      </c>
      <c r="AB42" s="29">
        <f t="shared" si="7"/>
        <v>0</v>
      </c>
      <c r="AC42" s="29">
        <f t="shared" si="8"/>
        <v>0</v>
      </c>
      <c r="AD42" s="29">
        <f t="shared" si="9"/>
        <v>0.5083333333333333</v>
      </c>
      <c r="AE42" s="15">
        <f t="shared" si="10"/>
        <v>0.36885245901639352</v>
      </c>
      <c r="AF42" s="29">
        <f t="shared" si="11"/>
        <v>0.18750000000000003</v>
      </c>
      <c r="AG42" s="12" t="s">
        <v>72</v>
      </c>
      <c r="AH42" s="24"/>
    </row>
    <row r="43" spans="1:34" x14ac:dyDescent="0.35">
      <c r="A43" s="25">
        <v>39</v>
      </c>
      <c r="B43" s="7">
        <v>9854</v>
      </c>
      <c r="C43" s="7" t="s">
        <v>281</v>
      </c>
      <c r="D43" s="7" t="s">
        <v>282</v>
      </c>
      <c r="E43" s="7" t="s">
        <v>237</v>
      </c>
      <c r="F43" s="7" t="s">
        <v>238</v>
      </c>
      <c r="G43" s="7" t="s">
        <v>239</v>
      </c>
      <c r="H43" s="7" t="s">
        <v>172</v>
      </c>
      <c r="I43" s="7" t="s">
        <v>173</v>
      </c>
      <c r="J43" s="7" t="s">
        <v>174</v>
      </c>
      <c r="K43" s="7" t="s">
        <v>283</v>
      </c>
      <c r="L43" s="7"/>
      <c r="M43" s="7" t="s">
        <v>173</v>
      </c>
      <c r="N43" s="26">
        <v>1.4004166666666671</v>
      </c>
      <c r="O43" s="26">
        <v>0</v>
      </c>
      <c r="P43" s="26">
        <v>0</v>
      </c>
      <c r="Q43" s="26">
        <v>1.4004166666666671</v>
      </c>
      <c r="R43" s="27">
        <v>0.92859268074977674</v>
      </c>
      <c r="S43" s="26">
        <v>0.70020833333333332</v>
      </c>
      <c r="T43" s="26">
        <v>0.70020833333333332</v>
      </c>
      <c r="U43" s="28">
        <v>1</v>
      </c>
      <c r="AA43" s="29">
        <f t="shared" si="6"/>
        <v>1.4004166666666671</v>
      </c>
      <c r="AB43" s="29">
        <f t="shared" si="7"/>
        <v>0</v>
      </c>
      <c r="AC43" s="29">
        <f t="shared" si="8"/>
        <v>0</v>
      </c>
      <c r="AD43" s="29">
        <f t="shared" si="9"/>
        <v>1.4004166666666671</v>
      </c>
      <c r="AE43" s="15">
        <f t="shared" si="10"/>
        <v>0.92859268074977674</v>
      </c>
      <c r="AF43" s="29">
        <f t="shared" si="11"/>
        <v>1.300416666666667</v>
      </c>
      <c r="AG43" s="12" t="s">
        <v>72</v>
      </c>
      <c r="AH43" s="24"/>
    </row>
    <row r="44" spans="1:34" x14ac:dyDescent="0.35">
      <c r="A44" s="25">
        <v>40</v>
      </c>
      <c r="B44" s="7">
        <v>9857</v>
      </c>
      <c r="C44" s="7" t="s">
        <v>284</v>
      </c>
      <c r="D44" s="7" t="s">
        <v>285</v>
      </c>
      <c r="E44" s="7" t="s">
        <v>248</v>
      </c>
      <c r="F44" s="7" t="s">
        <v>238</v>
      </c>
      <c r="G44" s="7" t="s">
        <v>249</v>
      </c>
      <c r="H44" s="7" t="s">
        <v>172</v>
      </c>
      <c r="I44" s="7" t="s">
        <v>180</v>
      </c>
      <c r="J44" s="7" t="s">
        <v>174</v>
      </c>
      <c r="K44" s="7" t="s">
        <v>274</v>
      </c>
      <c r="L44" s="7"/>
      <c r="M44" s="7" t="s">
        <v>173</v>
      </c>
      <c r="N44" s="26">
        <v>20.211666666666648</v>
      </c>
      <c r="O44" s="26">
        <v>1.8166666666666671</v>
      </c>
      <c r="P44" s="26">
        <v>0</v>
      </c>
      <c r="Q44" s="26">
        <v>22.028333333333322</v>
      </c>
      <c r="R44" s="27">
        <v>0.92547476734508582</v>
      </c>
      <c r="S44" s="26">
        <v>11.014166666666661</v>
      </c>
      <c r="T44" s="26">
        <v>11.014166666666661</v>
      </c>
      <c r="U44" s="28">
        <v>1</v>
      </c>
      <c r="AA44" s="29">
        <f t="shared" si="6"/>
        <v>20.211666666666648</v>
      </c>
      <c r="AB44" s="29">
        <f t="shared" si="7"/>
        <v>1.8166666666666671</v>
      </c>
      <c r="AC44" s="29">
        <f t="shared" si="8"/>
        <v>0</v>
      </c>
      <c r="AD44" s="29">
        <f t="shared" si="9"/>
        <v>22.028333333333322</v>
      </c>
      <c r="AE44" s="15">
        <f t="shared" si="10"/>
        <v>0.92547476734508582</v>
      </c>
      <c r="AF44" s="29">
        <f t="shared" si="11"/>
        <v>20.386666666666656</v>
      </c>
      <c r="AG44" s="12" t="s">
        <v>72</v>
      </c>
      <c r="AH44" s="24"/>
    </row>
    <row r="45" spans="1:34" x14ac:dyDescent="0.35">
      <c r="A45" s="25">
        <v>41</v>
      </c>
      <c r="B45" s="7">
        <v>9858</v>
      </c>
      <c r="C45" s="7" t="s">
        <v>286</v>
      </c>
      <c r="D45" s="7" t="s">
        <v>287</v>
      </c>
      <c r="E45" s="7" t="s">
        <v>288</v>
      </c>
      <c r="F45" s="7" t="s">
        <v>289</v>
      </c>
      <c r="G45" s="7"/>
      <c r="H45" s="7" t="s">
        <v>172</v>
      </c>
      <c r="I45" s="7" t="s">
        <v>173</v>
      </c>
      <c r="J45" s="7" t="s">
        <v>174</v>
      </c>
      <c r="K45" s="7" t="s">
        <v>274</v>
      </c>
      <c r="L45" s="7"/>
      <c r="M45" s="7" t="s">
        <v>173</v>
      </c>
      <c r="N45" s="26">
        <v>4.8333333333333339</v>
      </c>
      <c r="O45" s="26">
        <v>1</v>
      </c>
      <c r="P45" s="26">
        <v>1.083333333333333</v>
      </c>
      <c r="Q45" s="26">
        <v>6.916666666666667</v>
      </c>
      <c r="R45" s="27">
        <v>0.71084337349397586</v>
      </c>
      <c r="S45" s="26">
        <v>3.458333333333333</v>
      </c>
      <c r="T45" s="26">
        <v>3.458333333333333</v>
      </c>
      <c r="U45" s="28">
        <v>1</v>
      </c>
      <c r="AA45" s="29">
        <f t="shared" si="6"/>
        <v>4.8333333333333339</v>
      </c>
      <c r="AB45" s="29">
        <f t="shared" si="7"/>
        <v>1</v>
      </c>
      <c r="AC45" s="29">
        <f t="shared" si="8"/>
        <v>1.083333333333333</v>
      </c>
      <c r="AD45" s="29">
        <f t="shared" si="9"/>
        <v>6.916666666666667</v>
      </c>
      <c r="AE45" s="15">
        <f t="shared" si="10"/>
        <v>0.71084337349397586</v>
      </c>
      <c r="AF45" s="29">
        <f t="shared" si="11"/>
        <v>4.916666666666667</v>
      </c>
      <c r="AG45" s="12" t="s">
        <v>72</v>
      </c>
      <c r="AH45" s="24"/>
    </row>
    <row r="46" spans="1:34" x14ac:dyDescent="0.35">
      <c r="A46" s="25">
        <v>42</v>
      </c>
      <c r="B46" s="7">
        <v>9861</v>
      </c>
      <c r="C46" s="7" t="s">
        <v>290</v>
      </c>
      <c r="D46" s="7" t="s">
        <v>291</v>
      </c>
      <c r="E46" s="7" t="s">
        <v>237</v>
      </c>
      <c r="F46" s="7" t="s">
        <v>238</v>
      </c>
      <c r="G46" s="7" t="s">
        <v>239</v>
      </c>
      <c r="H46" s="7" t="s">
        <v>172</v>
      </c>
      <c r="I46" s="7" t="s">
        <v>180</v>
      </c>
      <c r="J46" s="7" t="s">
        <v>174</v>
      </c>
      <c r="K46" s="7" t="s">
        <v>274</v>
      </c>
      <c r="L46" s="7"/>
      <c r="M46" s="7" t="s">
        <v>173</v>
      </c>
      <c r="N46" s="26">
        <v>6.3152916666666679</v>
      </c>
      <c r="O46" s="26">
        <v>0</v>
      </c>
      <c r="P46" s="26">
        <v>0</v>
      </c>
      <c r="Q46" s="26">
        <v>6.3152916666666679</v>
      </c>
      <c r="R46" s="27">
        <v>0.87325737132753167</v>
      </c>
      <c r="S46" s="26">
        <v>3.1576458333333339</v>
      </c>
      <c r="T46" s="26">
        <v>3.1576458333333339</v>
      </c>
      <c r="U46" s="28">
        <v>1</v>
      </c>
      <c r="AA46" s="29">
        <f t="shared" si="6"/>
        <v>6.3152916666666679</v>
      </c>
      <c r="AB46" s="29">
        <f t="shared" si="7"/>
        <v>0</v>
      </c>
      <c r="AC46" s="29">
        <f t="shared" si="8"/>
        <v>0</v>
      </c>
      <c r="AD46" s="29">
        <f t="shared" si="9"/>
        <v>6.3152916666666679</v>
      </c>
      <c r="AE46" s="15">
        <f t="shared" si="10"/>
        <v>0.87325737132753167</v>
      </c>
      <c r="AF46" s="29">
        <f t="shared" si="11"/>
        <v>5.5148750000000009</v>
      </c>
      <c r="AG46" s="12" t="s">
        <v>72</v>
      </c>
      <c r="AH46" s="24"/>
    </row>
    <row r="47" spans="1:34" x14ac:dyDescent="0.35">
      <c r="A47" s="25">
        <v>43</v>
      </c>
      <c r="B47" s="7">
        <v>9879</v>
      </c>
      <c r="C47" s="7" t="s">
        <v>292</v>
      </c>
      <c r="D47" s="7" t="s">
        <v>293</v>
      </c>
      <c r="E47" s="7" t="s">
        <v>243</v>
      </c>
      <c r="F47" s="7" t="s">
        <v>238</v>
      </c>
      <c r="G47" s="7" t="s">
        <v>244</v>
      </c>
      <c r="H47" s="7" t="s">
        <v>172</v>
      </c>
      <c r="I47" s="7" t="s">
        <v>173</v>
      </c>
      <c r="J47" s="7" t="s">
        <v>174</v>
      </c>
      <c r="K47" s="7" t="s">
        <v>274</v>
      </c>
      <c r="L47" s="7"/>
      <c r="M47" s="7" t="s">
        <v>173</v>
      </c>
      <c r="N47" s="26">
        <v>0.2</v>
      </c>
      <c r="O47" s="26">
        <v>0.1</v>
      </c>
      <c r="P47" s="26">
        <v>0</v>
      </c>
      <c r="Q47" s="26">
        <v>0.30833333333333329</v>
      </c>
      <c r="R47" s="27">
        <v>0.67567567567567566</v>
      </c>
      <c r="S47" s="26">
        <v>0.15416666666666659</v>
      </c>
      <c r="T47" s="26">
        <v>0.15416666666666659</v>
      </c>
      <c r="U47" s="28">
        <v>1</v>
      </c>
      <c r="AA47" s="29">
        <f t="shared" si="6"/>
        <v>0.2</v>
      </c>
      <c r="AB47" s="29">
        <f t="shared" si="7"/>
        <v>0.1</v>
      </c>
      <c r="AC47" s="29">
        <f t="shared" si="8"/>
        <v>0</v>
      </c>
      <c r="AD47" s="29">
        <f t="shared" si="9"/>
        <v>0.30833333333333329</v>
      </c>
      <c r="AE47" s="15">
        <f t="shared" si="10"/>
        <v>0.67567567567567566</v>
      </c>
      <c r="AF47" s="29">
        <f t="shared" si="11"/>
        <v>0.20833333333333329</v>
      </c>
      <c r="AG47" s="12" t="s">
        <v>72</v>
      </c>
      <c r="AH47" s="24"/>
    </row>
    <row r="48" spans="1:34" x14ac:dyDescent="0.35">
      <c r="A48" s="25">
        <v>44</v>
      </c>
      <c r="B48" s="7">
        <v>9890</v>
      </c>
      <c r="C48" s="7" t="s">
        <v>294</v>
      </c>
      <c r="D48" s="7" t="s">
        <v>295</v>
      </c>
      <c r="E48" s="7" t="s">
        <v>262</v>
      </c>
      <c r="F48" s="7" t="s">
        <v>170</v>
      </c>
      <c r="G48" s="7" t="s">
        <v>263</v>
      </c>
      <c r="H48" s="7" t="s">
        <v>172</v>
      </c>
      <c r="I48" s="7" t="s">
        <v>173</v>
      </c>
      <c r="J48" s="7" t="s">
        <v>174</v>
      </c>
      <c r="K48" s="7" t="s">
        <v>274</v>
      </c>
      <c r="L48" s="7"/>
      <c r="M48" s="7" t="s">
        <v>173</v>
      </c>
      <c r="N48" s="26">
        <v>1.5054583333333329</v>
      </c>
      <c r="O48" s="26">
        <v>4.5833333333333337E-2</v>
      </c>
      <c r="P48" s="26">
        <v>0</v>
      </c>
      <c r="Q48" s="26">
        <v>1.551291666666667</v>
      </c>
      <c r="R48" s="27">
        <v>7.2009884236254748E-2</v>
      </c>
      <c r="S48" s="26">
        <v>0.77564583333333326</v>
      </c>
      <c r="T48" s="26">
        <v>0.77564583333333326</v>
      </c>
      <c r="U48" s="28">
        <v>1</v>
      </c>
      <c r="AA48" s="29">
        <f t="shared" si="6"/>
        <v>1.5054583333333329</v>
      </c>
      <c r="AB48" s="29">
        <f t="shared" si="7"/>
        <v>4.5833333333333337E-2</v>
      </c>
      <c r="AC48" s="29">
        <f t="shared" si="8"/>
        <v>0</v>
      </c>
      <c r="AD48" s="29">
        <f t="shared" si="9"/>
        <v>1.551291666666667</v>
      </c>
      <c r="AE48" s="15">
        <f t="shared" si="10"/>
        <v>7.2009884236254748E-2</v>
      </c>
      <c r="AF48" s="29">
        <f t="shared" si="11"/>
        <v>0.11170833333333338</v>
      </c>
      <c r="AG48" s="12" t="s">
        <v>72</v>
      </c>
      <c r="AH48" s="24"/>
    </row>
    <row r="49" spans="1:34" x14ac:dyDescent="0.35">
      <c r="A49" s="25">
        <v>45</v>
      </c>
      <c r="B49" s="7">
        <v>9894</v>
      </c>
      <c r="C49" s="7" t="s">
        <v>296</v>
      </c>
      <c r="D49" s="7" t="s">
        <v>297</v>
      </c>
      <c r="E49" s="7" t="s">
        <v>298</v>
      </c>
      <c r="F49" s="7" t="s">
        <v>289</v>
      </c>
      <c r="G49" s="7" t="s">
        <v>299</v>
      </c>
      <c r="H49" s="7" t="s">
        <v>172</v>
      </c>
      <c r="I49" s="7" t="s">
        <v>173</v>
      </c>
      <c r="J49" s="7" t="s">
        <v>174</v>
      </c>
      <c r="K49" s="7" t="s">
        <v>255</v>
      </c>
      <c r="L49" s="7"/>
      <c r="M49" s="7" t="s">
        <v>173</v>
      </c>
      <c r="N49" s="26">
        <v>2.841874999999999</v>
      </c>
      <c r="O49" s="26">
        <v>0.3520833333333333</v>
      </c>
      <c r="P49" s="26">
        <v>0</v>
      </c>
      <c r="Q49" s="26">
        <v>3.1939583333333328</v>
      </c>
      <c r="R49" s="27">
        <v>0.79192485813058511</v>
      </c>
      <c r="S49" s="26">
        <v>1.596979166666666</v>
      </c>
      <c r="T49" s="26">
        <v>1.596979166666666</v>
      </c>
      <c r="U49" s="28">
        <v>1</v>
      </c>
      <c r="AA49" s="29">
        <f t="shared" si="6"/>
        <v>2.841874999999999</v>
      </c>
      <c r="AB49" s="29">
        <f t="shared" si="7"/>
        <v>0.3520833333333333</v>
      </c>
      <c r="AC49" s="29">
        <f t="shared" si="8"/>
        <v>0</v>
      </c>
      <c r="AD49" s="29">
        <f t="shared" si="9"/>
        <v>3.1939583333333328</v>
      </c>
      <c r="AE49" s="15">
        <f t="shared" si="10"/>
        <v>0.79192485813058511</v>
      </c>
      <c r="AF49" s="29">
        <f t="shared" si="11"/>
        <v>2.5293749999999995</v>
      </c>
      <c r="AG49" s="12" t="s">
        <v>72</v>
      </c>
      <c r="AH49" s="24"/>
    </row>
    <row r="50" spans="1:34" x14ac:dyDescent="0.35">
      <c r="A50" s="25">
        <v>46</v>
      </c>
      <c r="B50" s="7">
        <v>9896</v>
      </c>
      <c r="C50" s="7" t="s">
        <v>300</v>
      </c>
      <c r="D50" s="7" t="s">
        <v>301</v>
      </c>
      <c r="E50" s="7" t="s">
        <v>262</v>
      </c>
      <c r="F50" s="7" t="s">
        <v>170</v>
      </c>
      <c r="G50" s="7" t="s">
        <v>263</v>
      </c>
      <c r="H50" s="7" t="s">
        <v>172</v>
      </c>
      <c r="I50" s="7" t="s">
        <v>173</v>
      </c>
      <c r="J50" s="7" t="s">
        <v>174</v>
      </c>
      <c r="K50" s="7" t="s">
        <v>274</v>
      </c>
      <c r="L50" s="7"/>
      <c r="M50" s="7" t="s">
        <v>173</v>
      </c>
      <c r="N50" s="26">
        <v>1.091375</v>
      </c>
      <c r="O50" s="26">
        <v>0.105</v>
      </c>
      <c r="P50" s="26">
        <v>0</v>
      </c>
      <c r="Q50" s="26">
        <v>1.196375</v>
      </c>
      <c r="R50" s="27">
        <v>0.98955177097481983</v>
      </c>
      <c r="S50" s="26">
        <v>0.59818749999999998</v>
      </c>
      <c r="T50" s="26">
        <v>0.59818749999999998</v>
      </c>
      <c r="U50" s="28">
        <v>1</v>
      </c>
      <c r="AA50" s="29">
        <f t="shared" si="6"/>
        <v>1.091375</v>
      </c>
      <c r="AB50" s="29">
        <f t="shared" si="7"/>
        <v>0.105</v>
      </c>
      <c r="AC50" s="29">
        <f t="shared" si="8"/>
        <v>0</v>
      </c>
      <c r="AD50" s="29">
        <f t="shared" si="9"/>
        <v>1.196375</v>
      </c>
      <c r="AE50" s="15">
        <f t="shared" si="10"/>
        <v>0.98955177097481983</v>
      </c>
      <c r="AF50" s="29">
        <f t="shared" si="11"/>
        <v>1.183875</v>
      </c>
      <c r="AG50" s="12" t="s">
        <v>72</v>
      </c>
      <c r="AH50" s="24"/>
    </row>
    <row r="51" spans="1:34" x14ac:dyDescent="0.35">
      <c r="A51" s="25">
        <v>47</v>
      </c>
      <c r="B51" s="7">
        <v>9899</v>
      </c>
      <c r="C51" s="7" t="s">
        <v>302</v>
      </c>
      <c r="D51" s="7" t="s">
        <v>303</v>
      </c>
      <c r="E51" s="7" t="s">
        <v>262</v>
      </c>
      <c r="F51" s="7" t="s">
        <v>170</v>
      </c>
      <c r="G51" s="7" t="s">
        <v>263</v>
      </c>
      <c r="H51" s="7" t="s">
        <v>172</v>
      </c>
      <c r="I51" s="7" t="s">
        <v>173</v>
      </c>
      <c r="J51" s="7" t="s">
        <v>174</v>
      </c>
      <c r="K51" s="7" t="s">
        <v>274</v>
      </c>
      <c r="L51" s="7"/>
      <c r="M51" s="7" t="s">
        <v>173</v>
      </c>
      <c r="N51" s="26">
        <v>1.2041249999999999</v>
      </c>
      <c r="O51" s="26">
        <v>0.52916666666666679</v>
      </c>
      <c r="P51" s="26">
        <v>0</v>
      </c>
      <c r="Q51" s="26">
        <v>1.7332916666666669</v>
      </c>
      <c r="R51" s="27">
        <v>0.82691891632010373</v>
      </c>
      <c r="S51" s="26">
        <v>0.86664583333333334</v>
      </c>
      <c r="T51" s="26">
        <v>0.86664583333333334</v>
      </c>
      <c r="U51" s="28">
        <v>1</v>
      </c>
      <c r="AA51" s="29">
        <f t="shared" si="6"/>
        <v>1.2041249999999999</v>
      </c>
      <c r="AB51" s="29">
        <f t="shared" si="7"/>
        <v>0.52916666666666679</v>
      </c>
      <c r="AC51" s="29">
        <f t="shared" si="8"/>
        <v>0</v>
      </c>
      <c r="AD51" s="29">
        <f t="shared" si="9"/>
        <v>1.7332916666666669</v>
      </c>
      <c r="AE51" s="15">
        <f t="shared" si="10"/>
        <v>0.82691891632010373</v>
      </c>
      <c r="AF51" s="29">
        <f t="shared" si="11"/>
        <v>1.4332916666666666</v>
      </c>
      <c r="AG51" s="12" t="s">
        <v>72</v>
      </c>
      <c r="AH51" s="24"/>
    </row>
    <row r="52" spans="1:34" x14ac:dyDescent="0.35">
      <c r="A52" s="25">
        <v>48</v>
      </c>
      <c r="B52" s="7">
        <v>9906</v>
      </c>
      <c r="C52" s="7" t="s">
        <v>304</v>
      </c>
      <c r="D52" s="7" t="s">
        <v>305</v>
      </c>
      <c r="E52" s="7" t="s">
        <v>262</v>
      </c>
      <c r="F52" s="7" t="s">
        <v>170</v>
      </c>
      <c r="G52" s="7" t="s">
        <v>263</v>
      </c>
      <c r="H52" s="7" t="s">
        <v>172</v>
      </c>
      <c r="I52" s="7" t="s">
        <v>173</v>
      </c>
      <c r="J52" s="7" t="s">
        <v>174</v>
      </c>
      <c r="K52" s="7" t="s">
        <v>274</v>
      </c>
      <c r="L52" s="7"/>
      <c r="M52" s="7" t="s">
        <v>173</v>
      </c>
      <c r="N52" s="26">
        <v>1.286041666666667</v>
      </c>
      <c r="O52" s="26">
        <v>0.14541666666666661</v>
      </c>
      <c r="P52" s="26">
        <v>0</v>
      </c>
      <c r="Q52" s="26">
        <v>1.4314583333333331</v>
      </c>
      <c r="R52" s="27">
        <v>0.950516664241013</v>
      </c>
      <c r="S52" s="26">
        <v>0.71572916666666653</v>
      </c>
      <c r="T52" s="26">
        <v>0.71572916666666653</v>
      </c>
      <c r="U52" s="28">
        <v>1</v>
      </c>
      <c r="AA52" s="29">
        <f t="shared" si="6"/>
        <v>1.286041666666667</v>
      </c>
      <c r="AB52" s="29">
        <f t="shared" si="7"/>
        <v>0.14541666666666661</v>
      </c>
      <c r="AC52" s="29">
        <f t="shared" si="8"/>
        <v>0</v>
      </c>
      <c r="AD52" s="29">
        <f t="shared" si="9"/>
        <v>1.4314583333333331</v>
      </c>
      <c r="AE52" s="15">
        <f t="shared" si="10"/>
        <v>0.950516664241013</v>
      </c>
      <c r="AF52" s="29">
        <f t="shared" si="11"/>
        <v>1.3606249999999998</v>
      </c>
      <c r="AG52" s="12" t="s">
        <v>72</v>
      </c>
      <c r="AH52" s="24"/>
    </row>
    <row r="53" spans="1:34" x14ac:dyDescent="0.35">
      <c r="A53" s="25">
        <v>49</v>
      </c>
      <c r="B53" s="7">
        <v>9907</v>
      </c>
      <c r="C53" s="7" t="s">
        <v>306</v>
      </c>
      <c r="D53" s="7" t="s">
        <v>307</v>
      </c>
      <c r="E53" s="7" t="s">
        <v>262</v>
      </c>
      <c r="F53" s="7" t="s">
        <v>170</v>
      </c>
      <c r="G53" s="7" t="s">
        <v>263</v>
      </c>
      <c r="H53" s="7" t="s">
        <v>172</v>
      </c>
      <c r="I53" s="7" t="s">
        <v>173</v>
      </c>
      <c r="J53" s="7" t="s">
        <v>174</v>
      </c>
      <c r="K53" s="7" t="s">
        <v>274</v>
      </c>
      <c r="L53" s="7"/>
      <c r="M53" s="7" t="s">
        <v>173</v>
      </c>
      <c r="N53" s="26">
        <v>0.38583333333333342</v>
      </c>
      <c r="O53" s="26">
        <v>0</v>
      </c>
      <c r="P53" s="26">
        <v>0</v>
      </c>
      <c r="Q53" s="26">
        <v>0.38583333333333342</v>
      </c>
      <c r="R53" s="27">
        <v>0.35205183585313171</v>
      </c>
      <c r="S53" s="26">
        <v>0.19291666666666671</v>
      </c>
      <c r="T53" s="26">
        <v>0.19291666666666671</v>
      </c>
      <c r="U53" s="28">
        <v>1</v>
      </c>
      <c r="AA53" s="29">
        <f t="shared" si="6"/>
        <v>0.38583333333333342</v>
      </c>
      <c r="AB53" s="29">
        <f t="shared" si="7"/>
        <v>0</v>
      </c>
      <c r="AC53" s="29">
        <f t="shared" si="8"/>
        <v>0</v>
      </c>
      <c r="AD53" s="29">
        <f t="shared" si="9"/>
        <v>0.38583333333333342</v>
      </c>
      <c r="AE53" s="15">
        <f t="shared" si="10"/>
        <v>0.35205183585313171</v>
      </c>
      <c r="AF53" s="29">
        <f t="shared" si="11"/>
        <v>0.13583333333333336</v>
      </c>
      <c r="AG53" s="12" t="s">
        <v>72</v>
      </c>
      <c r="AH53" s="24"/>
    </row>
    <row r="54" spans="1:34" x14ac:dyDescent="0.35">
      <c r="A54" s="25">
        <v>50</v>
      </c>
      <c r="B54" s="7">
        <v>9910</v>
      </c>
      <c r="C54" s="7" t="s">
        <v>308</v>
      </c>
      <c r="D54" s="7" t="s">
        <v>309</v>
      </c>
      <c r="E54" s="7" t="s">
        <v>237</v>
      </c>
      <c r="F54" s="7" t="s">
        <v>238</v>
      </c>
      <c r="G54" s="7" t="s">
        <v>239</v>
      </c>
      <c r="H54" s="7" t="s">
        <v>172</v>
      </c>
      <c r="I54" s="7" t="s">
        <v>173</v>
      </c>
      <c r="J54" s="7" t="s">
        <v>174</v>
      </c>
      <c r="K54" s="7" t="s">
        <v>245</v>
      </c>
      <c r="L54" s="7"/>
      <c r="M54" s="7" t="s">
        <v>173</v>
      </c>
      <c r="N54" s="26">
        <v>6.25E-2</v>
      </c>
      <c r="O54" s="26">
        <v>0</v>
      </c>
      <c r="P54" s="26">
        <v>0</v>
      </c>
      <c r="Q54" s="26">
        <v>6.25E-2</v>
      </c>
      <c r="R54" s="27">
        <v>1</v>
      </c>
      <c r="S54" s="26">
        <v>3.125E-2</v>
      </c>
      <c r="T54" s="26">
        <v>3.125E-2</v>
      </c>
      <c r="U54" s="28">
        <v>1</v>
      </c>
      <c r="AA54" s="29">
        <f t="shared" si="6"/>
        <v>6.25E-2</v>
      </c>
      <c r="AB54" s="29">
        <f t="shared" si="7"/>
        <v>0</v>
      </c>
      <c r="AC54" s="29">
        <f t="shared" si="8"/>
        <v>0</v>
      </c>
      <c r="AD54" s="29">
        <f t="shared" si="9"/>
        <v>6.25E-2</v>
      </c>
      <c r="AE54" s="15">
        <f t="shared" si="10"/>
        <v>1</v>
      </c>
      <c r="AF54" s="29">
        <f t="shared" si="11"/>
        <v>6.25E-2</v>
      </c>
      <c r="AG54" s="12" t="s">
        <v>72</v>
      </c>
      <c r="AH54" s="24"/>
    </row>
    <row r="55" spans="1:34" x14ac:dyDescent="0.35">
      <c r="A55" s="25">
        <v>51</v>
      </c>
      <c r="B55" s="7">
        <v>9920</v>
      </c>
      <c r="C55" s="7" t="s">
        <v>310</v>
      </c>
      <c r="D55" s="7" t="s">
        <v>311</v>
      </c>
      <c r="E55" s="7" t="s">
        <v>288</v>
      </c>
      <c r="F55" s="7" t="s">
        <v>289</v>
      </c>
      <c r="G55" s="7" t="s">
        <v>312</v>
      </c>
      <c r="H55" s="7" t="s">
        <v>172</v>
      </c>
      <c r="I55" s="7" t="s">
        <v>173</v>
      </c>
      <c r="J55" s="7" t="s">
        <v>174</v>
      </c>
      <c r="K55" s="7" t="s">
        <v>274</v>
      </c>
      <c r="L55" s="7"/>
      <c r="M55" s="7" t="s">
        <v>173</v>
      </c>
      <c r="N55" s="26">
        <v>10.3375</v>
      </c>
      <c r="O55" s="26">
        <v>3.558333333333334</v>
      </c>
      <c r="P55" s="26">
        <v>5.1816666666666684</v>
      </c>
      <c r="Q55" s="26">
        <v>19.077500000000001</v>
      </c>
      <c r="R55" s="27">
        <v>0.93360415847639022</v>
      </c>
      <c r="S55" s="26">
        <v>9.5387500000000021</v>
      </c>
      <c r="T55" s="26">
        <v>9.5387500000000021</v>
      </c>
      <c r="U55" s="28">
        <v>1</v>
      </c>
      <c r="AA55" s="29">
        <f t="shared" si="6"/>
        <v>10.3375</v>
      </c>
      <c r="AB55" s="29">
        <f t="shared" si="7"/>
        <v>3.558333333333334</v>
      </c>
      <c r="AC55" s="29">
        <f t="shared" si="8"/>
        <v>5.1816666666666684</v>
      </c>
      <c r="AD55" s="29">
        <f t="shared" si="9"/>
        <v>19.077500000000001</v>
      </c>
      <c r="AE55" s="15">
        <f t="shared" si="10"/>
        <v>0.93360415847639022</v>
      </c>
      <c r="AF55" s="29">
        <f t="shared" si="11"/>
        <v>17.810833333333335</v>
      </c>
      <c r="AG55" s="12" t="s">
        <v>72</v>
      </c>
      <c r="AH55" s="24"/>
    </row>
    <row r="56" spans="1:34" x14ac:dyDescent="0.35">
      <c r="A56" s="25">
        <v>52</v>
      </c>
      <c r="B56" s="7">
        <v>9921</v>
      </c>
      <c r="C56" s="7" t="s">
        <v>313</v>
      </c>
      <c r="D56" s="7" t="s">
        <v>314</v>
      </c>
      <c r="E56" s="7" t="s">
        <v>288</v>
      </c>
      <c r="F56" s="7" t="s">
        <v>289</v>
      </c>
      <c r="G56" s="7" t="s">
        <v>312</v>
      </c>
      <c r="H56" s="7" t="s">
        <v>172</v>
      </c>
      <c r="I56" s="7" t="s">
        <v>173</v>
      </c>
      <c r="J56" s="7" t="s">
        <v>174</v>
      </c>
      <c r="K56" s="7" t="s">
        <v>274</v>
      </c>
      <c r="L56" s="7" t="s">
        <v>277</v>
      </c>
      <c r="M56" s="7" t="s">
        <v>173</v>
      </c>
      <c r="N56" s="26">
        <v>0.3041666666666667</v>
      </c>
      <c r="O56" s="26">
        <v>4.1666666666666657E-2</v>
      </c>
      <c r="P56" s="26">
        <v>0</v>
      </c>
      <c r="Q56" s="26">
        <v>0.34583333333333338</v>
      </c>
      <c r="R56" s="27">
        <v>1</v>
      </c>
      <c r="S56" s="26">
        <v>0.17291666666666669</v>
      </c>
      <c r="T56" s="26">
        <v>0.17291666666666669</v>
      </c>
      <c r="U56" s="28">
        <v>1</v>
      </c>
      <c r="AA56" s="29">
        <f t="shared" si="6"/>
        <v>0.3041666666666667</v>
      </c>
      <c r="AB56" s="29">
        <f t="shared" si="7"/>
        <v>4.1666666666666657E-2</v>
      </c>
      <c r="AC56" s="29">
        <f t="shared" si="8"/>
        <v>0</v>
      </c>
      <c r="AD56" s="29">
        <f t="shared" si="9"/>
        <v>0.34583333333333338</v>
      </c>
      <c r="AE56" s="15">
        <f t="shared" si="10"/>
        <v>1</v>
      </c>
      <c r="AF56" s="29">
        <f t="shared" si="11"/>
        <v>0.34583333333333338</v>
      </c>
      <c r="AG56" s="12" t="s">
        <v>72</v>
      </c>
      <c r="AH56" s="24"/>
    </row>
    <row r="57" spans="1:34" x14ac:dyDescent="0.35">
      <c r="A57" s="25">
        <v>53</v>
      </c>
      <c r="B57" s="7">
        <v>9926</v>
      </c>
      <c r="C57" s="7" t="s">
        <v>315</v>
      </c>
      <c r="D57" s="7" t="s">
        <v>316</v>
      </c>
      <c r="E57" s="7" t="s">
        <v>317</v>
      </c>
      <c r="F57" s="7" t="s">
        <v>318</v>
      </c>
      <c r="G57" s="7" t="s">
        <v>318</v>
      </c>
      <c r="H57" s="7" t="s">
        <v>231</v>
      </c>
      <c r="I57" s="7" t="s">
        <v>173</v>
      </c>
      <c r="J57" s="7" t="s">
        <v>174</v>
      </c>
      <c r="K57" s="7" t="s">
        <v>274</v>
      </c>
      <c r="L57" s="7"/>
      <c r="M57" s="7" t="s">
        <v>173</v>
      </c>
      <c r="N57" s="26">
        <v>7.4999999999999997E-2</v>
      </c>
      <c r="O57" s="26">
        <v>0</v>
      </c>
      <c r="P57" s="26">
        <v>0</v>
      </c>
      <c r="Q57" s="26">
        <v>7.4999999999999997E-2</v>
      </c>
      <c r="R57" s="27">
        <v>0</v>
      </c>
      <c r="S57" s="26">
        <v>3.7499999999999999E-2</v>
      </c>
      <c r="T57" s="26">
        <v>3.7499999999999999E-2</v>
      </c>
      <c r="U57" s="28">
        <v>1</v>
      </c>
      <c r="AA57" s="29">
        <f t="shared" si="6"/>
        <v>7.4999999999999997E-2</v>
      </c>
      <c r="AB57" s="29">
        <f t="shared" si="7"/>
        <v>0</v>
      </c>
      <c r="AC57" s="29">
        <f t="shared" si="8"/>
        <v>0</v>
      </c>
      <c r="AD57" s="29">
        <f t="shared" si="9"/>
        <v>7.4999999999999997E-2</v>
      </c>
      <c r="AE57" s="15">
        <f t="shared" si="10"/>
        <v>0</v>
      </c>
      <c r="AF57" s="29">
        <f t="shared" si="11"/>
        <v>0</v>
      </c>
      <c r="AG57" s="12" t="s">
        <v>72</v>
      </c>
      <c r="AH57" s="24"/>
    </row>
    <row r="58" spans="1:34" x14ac:dyDescent="0.35">
      <c r="A58" s="25">
        <v>54</v>
      </c>
      <c r="B58" s="7">
        <v>9928</v>
      </c>
      <c r="C58" s="7" t="s">
        <v>319</v>
      </c>
      <c r="D58" s="7" t="s">
        <v>320</v>
      </c>
      <c r="E58" s="7" t="s">
        <v>317</v>
      </c>
      <c r="F58" s="7" t="s">
        <v>318</v>
      </c>
      <c r="G58" s="7" t="s">
        <v>318</v>
      </c>
      <c r="H58" s="7" t="s">
        <v>231</v>
      </c>
      <c r="I58" s="7" t="s">
        <v>173</v>
      </c>
      <c r="J58" s="7" t="s">
        <v>174</v>
      </c>
      <c r="K58" s="7" t="s">
        <v>274</v>
      </c>
      <c r="L58" s="7" t="s">
        <v>277</v>
      </c>
      <c r="M58" s="7" t="s">
        <v>173</v>
      </c>
      <c r="N58" s="26">
        <v>1.397083333333333</v>
      </c>
      <c r="O58" s="26">
        <v>1</v>
      </c>
      <c r="P58" s="26">
        <v>0</v>
      </c>
      <c r="Q58" s="26">
        <v>2.3970833333333341</v>
      </c>
      <c r="R58" s="27">
        <v>0.86441856422735963</v>
      </c>
      <c r="S58" s="26">
        <v>1.1985416666666671</v>
      </c>
      <c r="T58" s="26">
        <v>1.1985416666666671</v>
      </c>
      <c r="U58" s="28">
        <v>1</v>
      </c>
      <c r="AA58" s="29">
        <f t="shared" si="6"/>
        <v>1.397083333333333</v>
      </c>
      <c r="AB58" s="29">
        <f t="shared" si="7"/>
        <v>1</v>
      </c>
      <c r="AC58" s="29">
        <f t="shared" si="8"/>
        <v>0</v>
      </c>
      <c r="AD58" s="29">
        <f t="shared" si="9"/>
        <v>2.3970833333333341</v>
      </c>
      <c r="AE58" s="15">
        <f t="shared" si="10"/>
        <v>0.86441856422735963</v>
      </c>
      <c r="AF58" s="29">
        <f t="shared" si="11"/>
        <v>2.0720833333333339</v>
      </c>
      <c r="AG58" s="12" t="s">
        <v>72</v>
      </c>
      <c r="AH58" s="24"/>
    </row>
    <row r="59" spans="1:34" x14ac:dyDescent="0.35">
      <c r="A59" s="25">
        <v>55</v>
      </c>
      <c r="B59" s="7">
        <v>9930</v>
      </c>
      <c r="C59" s="7" t="s">
        <v>321</v>
      </c>
      <c r="D59" s="7" t="s">
        <v>322</v>
      </c>
      <c r="E59" s="7" t="s">
        <v>262</v>
      </c>
      <c r="F59" s="7" t="s">
        <v>170</v>
      </c>
      <c r="G59" s="7" t="s">
        <v>263</v>
      </c>
      <c r="H59" s="7" t="s">
        <v>172</v>
      </c>
      <c r="I59" s="7" t="s">
        <v>180</v>
      </c>
      <c r="J59" s="7" t="s">
        <v>174</v>
      </c>
      <c r="K59" s="7" t="s">
        <v>323</v>
      </c>
      <c r="L59" s="7"/>
      <c r="M59" s="7" t="s">
        <v>173</v>
      </c>
      <c r="N59" s="26">
        <v>2.4083333333333332</v>
      </c>
      <c r="O59" s="26">
        <v>7.4999999999999997E-2</v>
      </c>
      <c r="P59" s="26">
        <v>0</v>
      </c>
      <c r="Q59" s="26">
        <v>2.4833333333333329</v>
      </c>
      <c r="R59" s="27">
        <v>0.89932885906040272</v>
      </c>
      <c r="S59" s="26">
        <v>1.2416666666666669</v>
      </c>
      <c r="T59" s="26">
        <v>1.2416666666666669</v>
      </c>
      <c r="U59" s="28">
        <v>1</v>
      </c>
      <c r="AA59" s="29">
        <f t="shared" si="6"/>
        <v>2.4083333333333332</v>
      </c>
      <c r="AB59" s="29">
        <f t="shared" si="7"/>
        <v>7.4999999999999997E-2</v>
      </c>
      <c r="AC59" s="29">
        <f t="shared" si="8"/>
        <v>0</v>
      </c>
      <c r="AD59" s="29">
        <f t="shared" si="9"/>
        <v>2.4833333333333329</v>
      </c>
      <c r="AE59" s="15">
        <f t="shared" si="10"/>
        <v>0.89932885906040272</v>
      </c>
      <c r="AF59" s="29">
        <f t="shared" si="11"/>
        <v>2.2333333333333329</v>
      </c>
      <c r="AG59" s="12" t="s">
        <v>76</v>
      </c>
      <c r="AH59" s="24"/>
    </row>
    <row r="60" spans="1:34" x14ac:dyDescent="0.35">
      <c r="A60" s="25">
        <v>56</v>
      </c>
      <c r="B60" s="7">
        <v>9931</v>
      </c>
      <c r="C60" s="7" t="s">
        <v>324</v>
      </c>
      <c r="D60" s="7" t="s">
        <v>325</v>
      </c>
      <c r="E60" s="7" t="s">
        <v>298</v>
      </c>
      <c r="F60" s="7" t="s">
        <v>289</v>
      </c>
      <c r="G60" s="7" t="s">
        <v>326</v>
      </c>
      <c r="H60" s="7" t="s">
        <v>172</v>
      </c>
      <c r="I60" s="7" t="s">
        <v>173</v>
      </c>
      <c r="J60" s="7" t="s">
        <v>174</v>
      </c>
      <c r="K60" s="7" t="s">
        <v>327</v>
      </c>
      <c r="L60" s="7"/>
      <c r="M60" s="7" t="s">
        <v>173</v>
      </c>
      <c r="N60" s="26">
        <v>13</v>
      </c>
      <c r="O60" s="26">
        <v>2.2749999999999999</v>
      </c>
      <c r="P60" s="26">
        <v>0</v>
      </c>
      <c r="Q60" s="26">
        <v>15.275</v>
      </c>
      <c r="R60" s="27">
        <v>0.91728849185496575</v>
      </c>
      <c r="S60" s="26">
        <v>7.6375000000000002</v>
      </c>
      <c r="T60" s="26">
        <v>7.6375000000000002</v>
      </c>
      <c r="U60" s="28">
        <v>1</v>
      </c>
      <c r="AA60" s="29">
        <f t="shared" si="6"/>
        <v>13</v>
      </c>
      <c r="AB60" s="29">
        <f t="shared" si="7"/>
        <v>2.2749999999999999</v>
      </c>
      <c r="AC60" s="29">
        <f t="shared" si="8"/>
        <v>0</v>
      </c>
      <c r="AD60" s="29">
        <f t="shared" si="9"/>
        <v>15.275</v>
      </c>
      <c r="AE60" s="15">
        <f t="shared" si="10"/>
        <v>0.91728849185496575</v>
      </c>
      <c r="AF60" s="29">
        <f t="shared" si="11"/>
        <v>14.011581713084603</v>
      </c>
      <c r="AG60" s="12" t="s">
        <v>72</v>
      </c>
      <c r="AH60" s="24"/>
    </row>
    <row r="61" spans="1:34" x14ac:dyDescent="0.35">
      <c r="A61" s="25">
        <v>57</v>
      </c>
      <c r="B61" s="7">
        <v>9940</v>
      </c>
      <c r="C61" s="7" t="s">
        <v>328</v>
      </c>
      <c r="D61" s="7" t="s">
        <v>329</v>
      </c>
      <c r="E61" s="7" t="s">
        <v>262</v>
      </c>
      <c r="F61" s="7" t="s">
        <v>170</v>
      </c>
      <c r="G61" s="7" t="s">
        <v>263</v>
      </c>
      <c r="H61" s="7" t="s">
        <v>172</v>
      </c>
      <c r="I61" s="7" t="s">
        <v>173</v>
      </c>
      <c r="J61" s="7" t="s">
        <v>174</v>
      </c>
      <c r="K61" s="7" t="s">
        <v>274</v>
      </c>
      <c r="L61" s="7"/>
      <c r="M61" s="7" t="s">
        <v>173</v>
      </c>
      <c r="N61" s="26">
        <v>0.38750000000000012</v>
      </c>
      <c r="O61" s="26">
        <v>2.5000000000000001E-2</v>
      </c>
      <c r="P61" s="26">
        <v>0</v>
      </c>
      <c r="Q61" s="26">
        <v>0.41250000000000009</v>
      </c>
      <c r="R61" s="27">
        <v>0.81818181818181812</v>
      </c>
      <c r="S61" s="26">
        <v>0.20624999999999999</v>
      </c>
      <c r="T61" s="26">
        <v>0.20624999999999999</v>
      </c>
      <c r="U61" s="28">
        <v>1</v>
      </c>
      <c r="AA61" s="29">
        <f t="shared" si="6"/>
        <v>0.38750000000000012</v>
      </c>
      <c r="AB61" s="29">
        <f t="shared" si="7"/>
        <v>2.5000000000000001E-2</v>
      </c>
      <c r="AC61" s="29">
        <f t="shared" si="8"/>
        <v>0</v>
      </c>
      <c r="AD61" s="29">
        <f t="shared" si="9"/>
        <v>0.41250000000000009</v>
      </c>
      <c r="AE61" s="15">
        <f t="shared" si="10"/>
        <v>0.81818181818181812</v>
      </c>
      <c r="AF61" s="29">
        <f t="shared" si="11"/>
        <v>0.33750000000000002</v>
      </c>
      <c r="AG61" s="12" t="s">
        <v>72</v>
      </c>
      <c r="AH61" s="24"/>
    </row>
    <row r="62" spans="1:34" x14ac:dyDescent="0.35">
      <c r="A62" s="25">
        <v>58</v>
      </c>
      <c r="B62" s="7">
        <v>9941</v>
      </c>
      <c r="C62" s="7" t="s">
        <v>330</v>
      </c>
      <c r="D62" s="7" t="s">
        <v>331</v>
      </c>
      <c r="E62" s="7" t="s">
        <v>262</v>
      </c>
      <c r="F62" s="7" t="s">
        <v>170</v>
      </c>
      <c r="G62" s="7" t="s">
        <v>263</v>
      </c>
      <c r="H62" s="7" t="s">
        <v>172</v>
      </c>
      <c r="I62" s="7" t="s">
        <v>173</v>
      </c>
      <c r="J62" s="7" t="s">
        <v>174</v>
      </c>
      <c r="K62" s="7" t="s">
        <v>274</v>
      </c>
      <c r="L62" s="7" t="s">
        <v>176</v>
      </c>
      <c r="M62" s="7" t="s">
        <v>173</v>
      </c>
      <c r="N62" s="26">
        <v>0.92916458333333329</v>
      </c>
      <c r="O62" s="26">
        <v>8.7499999999999994E-2</v>
      </c>
      <c r="P62" s="26">
        <v>0</v>
      </c>
      <c r="Q62" s="26">
        <v>1.016664583333333</v>
      </c>
      <c r="R62" s="27">
        <v>0.41311355146219558</v>
      </c>
      <c r="S62" s="26">
        <v>0.5083322916666666</v>
      </c>
      <c r="T62" s="26">
        <v>0.5083322916666666</v>
      </c>
      <c r="U62" s="28">
        <v>1</v>
      </c>
      <c r="AA62" s="29">
        <f t="shared" si="6"/>
        <v>0.92916458333333329</v>
      </c>
      <c r="AB62" s="29">
        <f t="shared" si="7"/>
        <v>8.7499999999999994E-2</v>
      </c>
      <c r="AC62" s="29">
        <f t="shared" si="8"/>
        <v>0</v>
      </c>
      <c r="AD62" s="29">
        <f t="shared" si="9"/>
        <v>1.016664583333333</v>
      </c>
      <c r="AE62" s="15">
        <f t="shared" si="10"/>
        <v>0.41311355146219558</v>
      </c>
      <c r="AF62" s="29">
        <f t="shared" si="11"/>
        <v>0.41999791666666647</v>
      </c>
      <c r="AG62" s="12" t="s">
        <v>70</v>
      </c>
      <c r="AH62" s="24"/>
    </row>
    <row r="63" spans="1:34" x14ac:dyDescent="0.35">
      <c r="A63" s="25">
        <v>59</v>
      </c>
      <c r="B63" s="7">
        <v>9947</v>
      </c>
      <c r="C63" s="7" t="s">
        <v>332</v>
      </c>
      <c r="D63" s="7" t="s">
        <v>333</v>
      </c>
      <c r="E63" s="7" t="s">
        <v>243</v>
      </c>
      <c r="F63" s="7" t="s">
        <v>238</v>
      </c>
      <c r="G63" s="7" t="s">
        <v>244</v>
      </c>
      <c r="H63" s="7" t="s">
        <v>172</v>
      </c>
      <c r="I63" s="7" t="s">
        <v>180</v>
      </c>
      <c r="J63" s="7" t="s">
        <v>174</v>
      </c>
      <c r="K63" s="7" t="s">
        <v>274</v>
      </c>
      <c r="L63" s="7"/>
      <c r="M63" s="7" t="s">
        <v>173</v>
      </c>
      <c r="N63" s="26">
        <v>9</v>
      </c>
      <c r="O63" s="26">
        <v>1.154166666666667</v>
      </c>
      <c r="P63" s="26">
        <v>0</v>
      </c>
      <c r="Q63" s="26">
        <v>10</v>
      </c>
      <c r="R63" s="27">
        <v>0.75904634544925254</v>
      </c>
      <c r="S63" s="26">
        <v>5</v>
      </c>
      <c r="T63" s="26">
        <v>5</v>
      </c>
      <c r="U63" s="28">
        <v>1</v>
      </c>
      <c r="AA63" s="29">
        <f t="shared" si="6"/>
        <v>9</v>
      </c>
      <c r="AB63" s="29">
        <f t="shared" si="7"/>
        <v>1.154166666666667</v>
      </c>
      <c r="AC63" s="29">
        <f t="shared" si="8"/>
        <v>0</v>
      </c>
      <c r="AD63" s="29">
        <f t="shared" si="9"/>
        <v>10</v>
      </c>
      <c r="AE63" s="15">
        <f t="shared" si="10"/>
        <v>0.75904634544925254</v>
      </c>
      <c r="AF63" s="29">
        <f t="shared" si="11"/>
        <v>7.5904634544925251</v>
      </c>
      <c r="AG63" s="12" t="s">
        <v>72</v>
      </c>
      <c r="AH63" s="24"/>
    </row>
    <row r="64" spans="1:34" x14ac:dyDescent="0.35">
      <c r="A64" s="25">
        <v>60</v>
      </c>
      <c r="B64" s="7">
        <v>9948</v>
      </c>
      <c r="C64" s="7" t="s">
        <v>334</v>
      </c>
      <c r="D64" s="7" t="s">
        <v>335</v>
      </c>
      <c r="E64" s="7" t="s">
        <v>54</v>
      </c>
      <c r="F64" s="7" t="s">
        <v>170</v>
      </c>
      <c r="G64" s="7" t="s">
        <v>179</v>
      </c>
      <c r="H64" s="7" t="s">
        <v>172</v>
      </c>
      <c r="I64" s="7" t="s">
        <v>180</v>
      </c>
      <c r="J64" s="7" t="s">
        <v>174</v>
      </c>
      <c r="K64" s="7" t="s">
        <v>208</v>
      </c>
      <c r="L64" s="7"/>
      <c r="M64" s="7" t="s">
        <v>173</v>
      </c>
      <c r="N64" s="26">
        <v>9.2697083333333321</v>
      </c>
      <c r="O64" s="26">
        <v>2.8458333333333332</v>
      </c>
      <c r="P64" s="26">
        <v>0</v>
      </c>
      <c r="Q64" s="26">
        <v>12.115541666666671</v>
      </c>
      <c r="R64" s="27">
        <v>0.77129926093550627</v>
      </c>
      <c r="S64" s="26">
        <v>6.0577708333333327</v>
      </c>
      <c r="T64" s="26">
        <v>6.0577708333333327</v>
      </c>
      <c r="U64" s="28">
        <v>1</v>
      </c>
      <c r="AA64" s="29">
        <f t="shared" si="6"/>
        <v>9.2697083333333321</v>
      </c>
      <c r="AB64" s="29">
        <f t="shared" si="7"/>
        <v>2.8458333333333332</v>
      </c>
      <c r="AC64" s="29">
        <f t="shared" si="8"/>
        <v>0</v>
      </c>
      <c r="AD64" s="29">
        <f t="shared" si="9"/>
        <v>12.115541666666671</v>
      </c>
      <c r="AE64" s="15">
        <f t="shared" si="10"/>
        <v>0.77129926093550627</v>
      </c>
      <c r="AF64" s="29">
        <f t="shared" si="11"/>
        <v>9.3447083333333349</v>
      </c>
      <c r="AG64" s="12" t="s">
        <v>76</v>
      </c>
      <c r="AH64" s="24" t="s">
        <v>232</v>
      </c>
    </row>
    <row r="65" spans="1:34" x14ac:dyDescent="0.35">
      <c r="A65" s="25">
        <v>61</v>
      </c>
      <c r="B65" s="7">
        <v>9949</v>
      </c>
      <c r="C65" s="7" t="s">
        <v>336</v>
      </c>
      <c r="D65" s="7" t="s">
        <v>337</v>
      </c>
      <c r="E65" s="7" t="s">
        <v>262</v>
      </c>
      <c r="F65" s="7" t="s">
        <v>170</v>
      </c>
      <c r="G65" s="7" t="s">
        <v>263</v>
      </c>
      <c r="H65" s="7" t="s">
        <v>231</v>
      </c>
      <c r="I65" s="7" t="s">
        <v>173</v>
      </c>
      <c r="J65" s="7" t="s">
        <v>174</v>
      </c>
      <c r="K65" s="7" t="s">
        <v>338</v>
      </c>
      <c r="L65" s="7"/>
      <c r="M65" s="7" t="s">
        <v>173</v>
      </c>
      <c r="N65" s="26">
        <v>6.6666666666666666E-2</v>
      </c>
      <c r="O65" s="26">
        <v>0</v>
      </c>
      <c r="P65" s="26">
        <v>0</v>
      </c>
      <c r="Q65" s="26">
        <v>6.6666666666666666E-2</v>
      </c>
      <c r="R65" s="27">
        <v>0</v>
      </c>
      <c r="S65" s="26">
        <v>3.3333333333333333E-2</v>
      </c>
      <c r="T65" s="26">
        <v>3.3333333333333333E-2</v>
      </c>
      <c r="U65" s="28">
        <v>1</v>
      </c>
      <c r="AA65" s="29">
        <f t="shared" si="6"/>
        <v>6.6666666666666666E-2</v>
      </c>
      <c r="AB65" s="29">
        <f t="shared" si="7"/>
        <v>0</v>
      </c>
      <c r="AC65" s="29">
        <f t="shared" si="8"/>
        <v>0</v>
      </c>
      <c r="AD65" s="29">
        <f t="shared" si="9"/>
        <v>6.6666666666666666E-2</v>
      </c>
      <c r="AE65" s="15">
        <f t="shared" si="10"/>
        <v>0</v>
      </c>
      <c r="AF65" s="29">
        <f t="shared" si="11"/>
        <v>0</v>
      </c>
      <c r="AG65" s="12" t="s">
        <v>72</v>
      </c>
      <c r="AH65" s="24"/>
    </row>
    <row r="66" spans="1:34" x14ac:dyDescent="0.35">
      <c r="A66" s="25">
        <v>62</v>
      </c>
      <c r="B66" s="7">
        <v>9951</v>
      </c>
      <c r="C66" s="7" t="s">
        <v>339</v>
      </c>
      <c r="D66" s="7" t="s">
        <v>340</v>
      </c>
      <c r="E66" s="7" t="s">
        <v>341</v>
      </c>
      <c r="F66" s="7" t="s">
        <v>342</v>
      </c>
      <c r="G66" s="7" t="s">
        <v>342</v>
      </c>
      <c r="H66" s="7" t="s">
        <v>231</v>
      </c>
      <c r="I66" s="7" t="s">
        <v>173</v>
      </c>
      <c r="J66" s="7" t="s">
        <v>174</v>
      </c>
      <c r="K66" s="7" t="s">
        <v>343</v>
      </c>
      <c r="L66" s="7" t="s">
        <v>344</v>
      </c>
      <c r="M66" s="7" t="s">
        <v>180</v>
      </c>
      <c r="N66" s="26">
        <v>7</v>
      </c>
      <c r="O66" s="26">
        <v>1</v>
      </c>
      <c r="P66" s="26">
        <v>0</v>
      </c>
      <c r="Q66" s="26">
        <v>7.9270416666666641</v>
      </c>
      <c r="R66" s="27">
        <v>0.77923668455550354</v>
      </c>
      <c r="S66" s="26">
        <v>3.963520833333332</v>
      </c>
      <c r="T66" s="26">
        <v>3.963520833333332</v>
      </c>
      <c r="U66" s="28">
        <v>1</v>
      </c>
      <c r="AA66" s="29">
        <f t="shared" si="6"/>
        <v>7</v>
      </c>
      <c r="AB66" s="29">
        <f t="shared" si="7"/>
        <v>1</v>
      </c>
      <c r="AC66" s="29">
        <f t="shared" si="8"/>
        <v>0</v>
      </c>
      <c r="AD66" s="29">
        <f t="shared" si="9"/>
        <v>7.9270416666666641</v>
      </c>
      <c r="AE66" s="15">
        <f t="shared" si="10"/>
        <v>0.77923668455550354</v>
      </c>
      <c r="AF66" s="29">
        <f t="shared" si="11"/>
        <v>6.1770416666666641</v>
      </c>
      <c r="AG66" s="12" t="s">
        <v>74</v>
      </c>
      <c r="AH66" s="24"/>
    </row>
    <row r="67" spans="1:34" x14ac:dyDescent="0.35">
      <c r="A67" s="25">
        <v>63</v>
      </c>
      <c r="B67" s="7">
        <v>9962</v>
      </c>
      <c r="C67" s="7" t="s">
        <v>345</v>
      </c>
      <c r="D67" s="7" t="s">
        <v>346</v>
      </c>
      <c r="E67" s="7" t="s">
        <v>288</v>
      </c>
      <c r="F67" s="7" t="s">
        <v>289</v>
      </c>
      <c r="G67" s="7" t="s">
        <v>312</v>
      </c>
      <c r="H67" s="7" t="s">
        <v>172</v>
      </c>
      <c r="I67" s="7" t="s">
        <v>173</v>
      </c>
      <c r="J67" s="7" t="s">
        <v>174</v>
      </c>
      <c r="K67" s="7" t="s">
        <v>347</v>
      </c>
      <c r="L67" s="7" t="s">
        <v>277</v>
      </c>
      <c r="M67" s="7" t="s">
        <v>173</v>
      </c>
      <c r="N67" s="26">
        <v>8.9216666666666686</v>
      </c>
      <c r="O67" s="26">
        <v>2.4104166666666669</v>
      </c>
      <c r="P67" s="26">
        <v>1.52</v>
      </c>
      <c r="Q67" s="26">
        <v>12.852083333333329</v>
      </c>
      <c r="R67" s="27">
        <v>0.82739503971470241</v>
      </c>
      <c r="S67" s="26">
        <v>6.4260416666666673</v>
      </c>
      <c r="T67" s="26">
        <v>6.4260416666666673</v>
      </c>
      <c r="U67" s="28">
        <v>1</v>
      </c>
      <c r="AA67" s="29">
        <f t="shared" si="6"/>
        <v>8.9216666666666686</v>
      </c>
      <c r="AB67" s="29">
        <f t="shared" si="7"/>
        <v>2.4104166666666669</v>
      </c>
      <c r="AC67" s="29">
        <f t="shared" si="8"/>
        <v>1.52</v>
      </c>
      <c r="AD67" s="29">
        <f t="shared" si="9"/>
        <v>12.852083333333329</v>
      </c>
      <c r="AE67" s="15">
        <f t="shared" si="10"/>
        <v>0.82739503971470241</v>
      </c>
      <c r="AF67" s="29">
        <f t="shared" si="11"/>
        <v>10.633749999999996</v>
      </c>
      <c r="AG67" s="12" t="s">
        <v>72</v>
      </c>
      <c r="AH67" s="24"/>
    </row>
    <row r="68" spans="1:34" x14ac:dyDescent="0.35">
      <c r="A68" s="25">
        <v>64</v>
      </c>
      <c r="B68" s="7">
        <v>9964</v>
      </c>
      <c r="C68" s="7" t="s">
        <v>348</v>
      </c>
      <c r="D68" s="7" t="s">
        <v>349</v>
      </c>
      <c r="E68" s="7" t="s">
        <v>262</v>
      </c>
      <c r="F68" s="7" t="s">
        <v>170</v>
      </c>
      <c r="G68" s="7" t="s">
        <v>263</v>
      </c>
      <c r="H68" s="7" t="s">
        <v>172</v>
      </c>
      <c r="I68" s="7" t="s">
        <v>173</v>
      </c>
      <c r="J68" s="7" t="s">
        <v>174</v>
      </c>
      <c r="K68" s="7" t="s">
        <v>274</v>
      </c>
      <c r="L68" s="7"/>
      <c r="M68" s="7" t="s">
        <v>173</v>
      </c>
      <c r="N68" s="26">
        <v>1.9533333333333329</v>
      </c>
      <c r="O68" s="26">
        <v>0.36249999999999988</v>
      </c>
      <c r="P68" s="26">
        <v>0</v>
      </c>
      <c r="Q68" s="26">
        <v>2.315833333333333</v>
      </c>
      <c r="R68" s="27">
        <v>0.90824037423533643</v>
      </c>
      <c r="S68" s="26">
        <v>1.1579166666666669</v>
      </c>
      <c r="T68" s="26">
        <v>1.1579166666666669</v>
      </c>
      <c r="U68" s="28">
        <v>1</v>
      </c>
      <c r="AA68" s="29">
        <f t="shared" si="6"/>
        <v>1.9533333333333329</v>
      </c>
      <c r="AB68" s="29">
        <f t="shared" si="7"/>
        <v>0.36249999999999988</v>
      </c>
      <c r="AC68" s="29">
        <f t="shared" si="8"/>
        <v>0</v>
      </c>
      <c r="AD68" s="29">
        <f t="shared" si="9"/>
        <v>2.315833333333333</v>
      </c>
      <c r="AE68" s="15">
        <f t="shared" si="10"/>
        <v>0.90824037423533643</v>
      </c>
      <c r="AF68" s="29">
        <f t="shared" si="11"/>
        <v>2.1033333333333331</v>
      </c>
      <c r="AG68" s="12" t="s">
        <v>72</v>
      </c>
      <c r="AH68" s="24"/>
    </row>
    <row r="69" spans="1:34" x14ac:dyDescent="0.35">
      <c r="A69" s="25">
        <v>65</v>
      </c>
      <c r="B69" s="7">
        <v>9965</v>
      </c>
      <c r="C69" s="7" t="s">
        <v>350</v>
      </c>
      <c r="D69" s="7" t="s">
        <v>351</v>
      </c>
      <c r="E69" s="7" t="s">
        <v>262</v>
      </c>
      <c r="F69" s="7" t="s">
        <v>170</v>
      </c>
      <c r="G69" s="7" t="s">
        <v>263</v>
      </c>
      <c r="H69" s="7" t="s">
        <v>172</v>
      </c>
      <c r="I69" s="7" t="s">
        <v>173</v>
      </c>
      <c r="J69" s="7" t="s">
        <v>174</v>
      </c>
      <c r="K69" s="7" t="s">
        <v>274</v>
      </c>
      <c r="L69" s="7"/>
      <c r="M69" s="7" t="s">
        <v>173</v>
      </c>
      <c r="N69" s="26">
        <v>2.5000000000000001E-2</v>
      </c>
      <c r="O69" s="26">
        <v>3.7499999999999999E-2</v>
      </c>
      <c r="P69" s="26">
        <v>0</v>
      </c>
      <c r="Q69" s="26">
        <v>6.25E-2</v>
      </c>
      <c r="R69" s="27">
        <v>0.2</v>
      </c>
      <c r="S69" s="26">
        <v>3.125E-2</v>
      </c>
      <c r="T69" s="26">
        <v>3.125E-2</v>
      </c>
      <c r="U69" s="28">
        <v>1</v>
      </c>
      <c r="AA69" s="29">
        <f t="shared" ref="AA69:AA100" si="12">N69</f>
        <v>2.5000000000000001E-2</v>
      </c>
      <c r="AB69" s="29">
        <f t="shared" ref="AB69:AB100" si="13">O69</f>
        <v>3.7499999999999999E-2</v>
      </c>
      <c r="AC69" s="29">
        <f t="shared" ref="AC69:AC100" si="14">P69</f>
        <v>0</v>
      </c>
      <c r="AD69" s="29">
        <f t="shared" ref="AD69:AD100" si="15">Q69</f>
        <v>6.25E-2</v>
      </c>
      <c r="AE69" s="15">
        <f t="shared" ref="AE69:AE100" si="16">R69</f>
        <v>0.2</v>
      </c>
      <c r="AF69" s="29">
        <f t="shared" ref="AF69:AF100" si="17">Q69*R69</f>
        <v>1.2500000000000001E-2</v>
      </c>
      <c r="AG69" s="12" t="s">
        <v>72</v>
      </c>
      <c r="AH69" s="24"/>
    </row>
    <row r="70" spans="1:34" x14ac:dyDescent="0.35">
      <c r="A70" s="25">
        <v>66</v>
      </c>
      <c r="B70" s="7">
        <v>9969</v>
      </c>
      <c r="C70" s="7" t="s">
        <v>352</v>
      </c>
      <c r="D70" s="7" t="s">
        <v>353</v>
      </c>
      <c r="E70" s="7" t="s">
        <v>262</v>
      </c>
      <c r="F70" s="7" t="s">
        <v>170</v>
      </c>
      <c r="G70" s="7" t="s">
        <v>263</v>
      </c>
      <c r="H70" s="7" t="s">
        <v>172</v>
      </c>
      <c r="I70" s="7" t="s">
        <v>173</v>
      </c>
      <c r="J70" s="7" t="s">
        <v>174</v>
      </c>
      <c r="K70" s="7" t="s">
        <v>274</v>
      </c>
      <c r="L70" s="7"/>
      <c r="M70" s="7" t="s">
        <v>173</v>
      </c>
      <c r="N70" s="26">
        <v>0.31237500000000001</v>
      </c>
      <c r="O70" s="26">
        <v>2.5000000000000001E-2</v>
      </c>
      <c r="P70" s="26">
        <v>0</v>
      </c>
      <c r="Q70" s="26">
        <v>0.33737499999999998</v>
      </c>
      <c r="R70" s="27">
        <v>0.67580585402000737</v>
      </c>
      <c r="S70" s="26">
        <v>0.16868749999999999</v>
      </c>
      <c r="T70" s="26">
        <v>0.16868749999999999</v>
      </c>
      <c r="U70" s="28">
        <v>1</v>
      </c>
      <c r="AA70" s="29">
        <f t="shared" si="12"/>
        <v>0.31237500000000001</v>
      </c>
      <c r="AB70" s="29">
        <f t="shared" si="13"/>
        <v>2.5000000000000001E-2</v>
      </c>
      <c r="AC70" s="29">
        <f t="shared" si="14"/>
        <v>0</v>
      </c>
      <c r="AD70" s="29">
        <f t="shared" si="15"/>
        <v>0.33737499999999998</v>
      </c>
      <c r="AE70" s="15">
        <f t="shared" si="16"/>
        <v>0.67580585402000737</v>
      </c>
      <c r="AF70" s="29">
        <f t="shared" si="17"/>
        <v>0.22799999999999998</v>
      </c>
      <c r="AG70" s="12" t="s">
        <v>72</v>
      </c>
      <c r="AH70" s="24"/>
    </row>
    <row r="71" spans="1:34" x14ac:dyDescent="0.35">
      <c r="A71" s="25">
        <v>67</v>
      </c>
      <c r="B71" s="7">
        <v>9975</v>
      </c>
      <c r="C71" s="7" t="s">
        <v>354</v>
      </c>
      <c r="D71" s="7" t="s">
        <v>355</v>
      </c>
      <c r="E71" s="7" t="s">
        <v>258</v>
      </c>
      <c r="F71" s="7" t="s">
        <v>238</v>
      </c>
      <c r="G71" s="7" t="s">
        <v>259</v>
      </c>
      <c r="H71" s="7" t="s">
        <v>172</v>
      </c>
      <c r="I71" s="7" t="s">
        <v>173</v>
      </c>
      <c r="J71" s="7" t="s">
        <v>174</v>
      </c>
      <c r="K71" s="7" t="s">
        <v>274</v>
      </c>
      <c r="L71" s="7"/>
      <c r="M71" s="7" t="s">
        <v>173</v>
      </c>
      <c r="N71" s="26">
        <v>1.111666666666667</v>
      </c>
      <c r="O71" s="26">
        <v>0</v>
      </c>
      <c r="P71" s="26">
        <v>0</v>
      </c>
      <c r="Q71" s="26">
        <v>1.111666666666667</v>
      </c>
      <c r="R71" s="27">
        <v>0.5850824587706146</v>
      </c>
      <c r="S71" s="26">
        <v>0.5558333333333334</v>
      </c>
      <c r="T71" s="26">
        <v>0.5558333333333334</v>
      </c>
      <c r="U71" s="28">
        <v>1</v>
      </c>
      <c r="AA71" s="29">
        <f t="shared" si="12"/>
        <v>1.111666666666667</v>
      </c>
      <c r="AB71" s="29">
        <f t="shared" si="13"/>
        <v>0</v>
      </c>
      <c r="AC71" s="29">
        <f t="shared" si="14"/>
        <v>0</v>
      </c>
      <c r="AD71" s="29">
        <f t="shared" si="15"/>
        <v>1.111666666666667</v>
      </c>
      <c r="AE71" s="15">
        <f t="shared" si="16"/>
        <v>0.5850824587706146</v>
      </c>
      <c r="AF71" s="29">
        <f t="shared" si="17"/>
        <v>0.65041666666666675</v>
      </c>
      <c r="AG71" s="12" t="s">
        <v>72</v>
      </c>
      <c r="AH71" s="24"/>
    </row>
    <row r="72" spans="1:34" x14ac:dyDescent="0.35">
      <c r="A72" s="25">
        <v>68</v>
      </c>
      <c r="B72" s="7">
        <v>9977</v>
      </c>
      <c r="C72" s="7" t="s">
        <v>356</v>
      </c>
      <c r="D72" s="7" t="s">
        <v>357</v>
      </c>
      <c r="E72" s="7" t="s">
        <v>298</v>
      </c>
      <c r="F72" s="7" t="s">
        <v>289</v>
      </c>
      <c r="G72" s="7" t="s">
        <v>299</v>
      </c>
      <c r="H72" s="7" t="s">
        <v>172</v>
      </c>
      <c r="I72" s="7" t="s">
        <v>173</v>
      </c>
      <c r="J72" s="7" t="s">
        <v>174</v>
      </c>
      <c r="K72" s="7" t="s">
        <v>274</v>
      </c>
      <c r="L72" s="7"/>
      <c r="M72" s="7" t="s">
        <v>173</v>
      </c>
      <c r="N72" s="26">
        <v>1</v>
      </c>
      <c r="O72" s="26">
        <v>1</v>
      </c>
      <c r="P72" s="26">
        <v>0</v>
      </c>
      <c r="Q72" s="26">
        <v>0.45791666666666669</v>
      </c>
      <c r="R72" s="27">
        <v>0</v>
      </c>
      <c r="S72" s="26">
        <v>0.22895833333333329</v>
      </c>
      <c r="T72" s="26">
        <v>0.22895833333333329</v>
      </c>
      <c r="U72" s="28">
        <v>1</v>
      </c>
      <c r="AA72" s="29">
        <f t="shared" si="12"/>
        <v>1</v>
      </c>
      <c r="AB72" s="29">
        <f t="shared" si="13"/>
        <v>1</v>
      </c>
      <c r="AC72" s="29">
        <f t="shared" si="14"/>
        <v>0</v>
      </c>
      <c r="AD72" s="29">
        <f t="shared" si="15"/>
        <v>0.45791666666666669</v>
      </c>
      <c r="AE72" s="15">
        <f t="shared" si="16"/>
        <v>0</v>
      </c>
      <c r="AF72" s="29">
        <f t="shared" si="17"/>
        <v>0</v>
      </c>
      <c r="AG72" s="12" t="s">
        <v>72</v>
      </c>
      <c r="AH72" s="24"/>
    </row>
    <row r="73" spans="1:34" x14ac:dyDescent="0.35">
      <c r="A73" s="25">
        <v>69</v>
      </c>
      <c r="B73" s="7">
        <v>9980</v>
      </c>
      <c r="C73" s="7" t="s">
        <v>358</v>
      </c>
      <c r="D73" s="7" t="s">
        <v>359</v>
      </c>
      <c r="E73" s="7" t="s">
        <v>54</v>
      </c>
      <c r="F73" s="7" t="s">
        <v>170</v>
      </c>
      <c r="G73" s="7" t="s">
        <v>179</v>
      </c>
      <c r="H73" s="7" t="s">
        <v>172</v>
      </c>
      <c r="I73" s="7" t="s">
        <v>180</v>
      </c>
      <c r="J73" s="7" t="s">
        <v>174</v>
      </c>
      <c r="K73" s="7" t="s">
        <v>360</v>
      </c>
      <c r="L73" s="7"/>
      <c r="M73" s="7" t="s">
        <v>173</v>
      </c>
      <c r="N73" s="26">
        <v>12.606875000000009</v>
      </c>
      <c r="O73" s="26">
        <v>1.1416666666666671</v>
      </c>
      <c r="P73" s="26">
        <v>0</v>
      </c>
      <c r="Q73" s="26">
        <v>13.74854166666667</v>
      </c>
      <c r="R73" s="27">
        <v>0.81496522358431966</v>
      </c>
      <c r="S73" s="26">
        <v>6.8742708333333367</v>
      </c>
      <c r="T73" s="26">
        <v>6.8742708333333367</v>
      </c>
      <c r="U73" s="28">
        <v>1</v>
      </c>
      <c r="AA73" s="29">
        <f t="shared" si="12"/>
        <v>12.606875000000009</v>
      </c>
      <c r="AB73" s="29">
        <f t="shared" si="13"/>
        <v>1.1416666666666671</v>
      </c>
      <c r="AC73" s="29">
        <f t="shared" si="14"/>
        <v>0</v>
      </c>
      <c r="AD73" s="29">
        <f t="shared" si="15"/>
        <v>13.74854166666667</v>
      </c>
      <c r="AE73" s="15">
        <f t="shared" si="16"/>
        <v>0.81496522358431966</v>
      </c>
      <c r="AF73" s="29">
        <f t="shared" si="17"/>
        <v>11.204583333333337</v>
      </c>
      <c r="AG73" s="12" t="s">
        <v>76</v>
      </c>
      <c r="AH73" s="24" t="s">
        <v>232</v>
      </c>
    </row>
    <row r="74" spans="1:34" x14ac:dyDescent="0.35">
      <c r="A74" s="25">
        <v>70</v>
      </c>
      <c r="B74" s="7">
        <v>9983</v>
      </c>
      <c r="C74" s="7" t="s">
        <v>361</v>
      </c>
      <c r="D74" s="7" t="s">
        <v>362</v>
      </c>
      <c r="E74" s="7" t="s">
        <v>298</v>
      </c>
      <c r="F74" s="7" t="s">
        <v>289</v>
      </c>
      <c r="G74" s="7" t="s">
        <v>299</v>
      </c>
      <c r="H74" s="7" t="s">
        <v>172</v>
      </c>
      <c r="I74" s="7" t="s">
        <v>173</v>
      </c>
      <c r="J74" s="7" t="s">
        <v>174</v>
      </c>
      <c r="K74" s="7" t="s">
        <v>274</v>
      </c>
      <c r="L74" s="7" t="s">
        <v>277</v>
      </c>
      <c r="M74" s="7" t="s">
        <v>173</v>
      </c>
      <c r="N74" s="26">
        <v>6.6141666666666667</v>
      </c>
      <c r="O74" s="26">
        <v>0.6479166666666667</v>
      </c>
      <c r="P74" s="26">
        <v>0</v>
      </c>
      <c r="Q74" s="26">
        <v>7.262083333333333</v>
      </c>
      <c r="R74" s="27">
        <v>0.93912444775948134</v>
      </c>
      <c r="S74" s="26">
        <v>3.6310416666666669</v>
      </c>
      <c r="T74" s="26">
        <v>3.6310416666666669</v>
      </c>
      <c r="U74" s="28">
        <v>1</v>
      </c>
      <c r="AA74" s="29">
        <f t="shared" si="12"/>
        <v>6.6141666666666667</v>
      </c>
      <c r="AB74" s="29">
        <f t="shared" si="13"/>
        <v>0.6479166666666667</v>
      </c>
      <c r="AC74" s="29">
        <f t="shared" si="14"/>
        <v>0</v>
      </c>
      <c r="AD74" s="29">
        <f t="shared" si="15"/>
        <v>7.262083333333333</v>
      </c>
      <c r="AE74" s="15">
        <f t="shared" si="16"/>
        <v>0.93912444775948134</v>
      </c>
      <c r="AF74" s="29">
        <f t="shared" si="17"/>
        <v>6.8199999999999994</v>
      </c>
      <c r="AG74" s="12" t="s">
        <v>72</v>
      </c>
      <c r="AH74" s="24"/>
    </row>
    <row r="75" spans="1:34" x14ac:dyDescent="0.35">
      <c r="A75" s="25">
        <v>71</v>
      </c>
      <c r="B75" s="7">
        <v>9986</v>
      </c>
      <c r="C75" s="7" t="s">
        <v>363</v>
      </c>
      <c r="D75" s="7" t="s">
        <v>364</v>
      </c>
      <c r="E75" s="7" t="s">
        <v>262</v>
      </c>
      <c r="F75" s="7" t="s">
        <v>170</v>
      </c>
      <c r="G75" s="7" t="s">
        <v>263</v>
      </c>
      <c r="H75" s="7" t="s">
        <v>172</v>
      </c>
      <c r="I75" s="7" t="s">
        <v>173</v>
      </c>
      <c r="J75" s="7" t="s">
        <v>174</v>
      </c>
      <c r="K75" s="7" t="s">
        <v>365</v>
      </c>
      <c r="L75" s="7"/>
      <c r="M75" s="7" t="s">
        <v>173</v>
      </c>
      <c r="N75" s="26">
        <v>2.4426666666666672</v>
      </c>
      <c r="O75" s="26">
        <v>0.5708333333333333</v>
      </c>
      <c r="P75" s="26">
        <v>0</v>
      </c>
      <c r="Q75" s="26">
        <v>3.0135000000000001</v>
      </c>
      <c r="R75" s="27">
        <v>0.2751507106907804</v>
      </c>
      <c r="S75" s="26">
        <v>1.50675</v>
      </c>
      <c r="T75" s="26">
        <v>1.50675</v>
      </c>
      <c r="U75" s="28">
        <v>1</v>
      </c>
      <c r="AA75" s="29">
        <f t="shared" si="12"/>
        <v>2.4426666666666672</v>
      </c>
      <c r="AB75" s="29">
        <f t="shared" si="13"/>
        <v>0.5708333333333333</v>
      </c>
      <c r="AC75" s="29">
        <f t="shared" si="14"/>
        <v>0</v>
      </c>
      <c r="AD75" s="29">
        <f t="shared" si="15"/>
        <v>3.0135000000000001</v>
      </c>
      <c r="AE75" s="15">
        <f t="shared" si="16"/>
        <v>0.2751507106907804</v>
      </c>
      <c r="AF75" s="29">
        <f t="shared" si="17"/>
        <v>0.82916666666666672</v>
      </c>
      <c r="AG75" s="12" t="s">
        <v>72</v>
      </c>
      <c r="AH75" s="24"/>
    </row>
    <row r="76" spans="1:34" x14ac:dyDescent="0.35">
      <c r="A76" s="25">
        <v>72</v>
      </c>
      <c r="B76" s="7">
        <v>9992</v>
      </c>
      <c r="C76" s="7" t="s">
        <v>366</v>
      </c>
      <c r="D76" s="7" t="s">
        <v>367</v>
      </c>
      <c r="E76" s="7" t="s">
        <v>317</v>
      </c>
      <c r="F76" s="7" t="s">
        <v>318</v>
      </c>
      <c r="G76" s="7" t="s">
        <v>318</v>
      </c>
      <c r="H76" s="7" t="s">
        <v>231</v>
      </c>
      <c r="I76" s="7" t="s">
        <v>173</v>
      </c>
      <c r="J76" s="7" t="s">
        <v>174</v>
      </c>
      <c r="K76" s="7" t="s">
        <v>368</v>
      </c>
      <c r="L76" s="7"/>
      <c r="M76" s="7" t="s">
        <v>173</v>
      </c>
      <c r="N76" s="26">
        <v>7.2083333333333339</v>
      </c>
      <c r="O76" s="26">
        <v>2.995833333333334</v>
      </c>
      <c r="P76" s="26">
        <v>2.520833333333333</v>
      </c>
      <c r="Q76" s="26">
        <v>12.725</v>
      </c>
      <c r="R76" s="27">
        <v>0.93778650949574338</v>
      </c>
      <c r="S76" s="26">
        <v>6.3625000000000007</v>
      </c>
      <c r="T76" s="26">
        <v>6.3625000000000007</v>
      </c>
      <c r="U76" s="28">
        <v>1</v>
      </c>
      <c r="AA76" s="29">
        <f t="shared" si="12"/>
        <v>7.2083333333333339</v>
      </c>
      <c r="AB76" s="29">
        <f t="shared" si="13"/>
        <v>2.995833333333334</v>
      </c>
      <c r="AC76" s="29">
        <f t="shared" si="14"/>
        <v>2.520833333333333</v>
      </c>
      <c r="AD76" s="29">
        <f t="shared" si="15"/>
        <v>12.725</v>
      </c>
      <c r="AE76" s="15">
        <f t="shared" si="16"/>
        <v>0.93778650949574338</v>
      </c>
      <c r="AF76" s="29">
        <f t="shared" si="17"/>
        <v>11.933333333333334</v>
      </c>
      <c r="AG76" s="12" t="s">
        <v>72</v>
      </c>
      <c r="AH76" s="24"/>
    </row>
    <row r="77" spans="1:34" x14ac:dyDescent="0.35">
      <c r="A77" s="25">
        <v>73</v>
      </c>
      <c r="B77" s="7">
        <v>9994</v>
      </c>
      <c r="C77" s="7" t="s">
        <v>369</v>
      </c>
      <c r="D77" s="7" t="s">
        <v>370</v>
      </c>
      <c r="E77" s="7" t="s">
        <v>243</v>
      </c>
      <c r="F77" s="7" t="s">
        <v>238</v>
      </c>
      <c r="G77" s="7" t="s">
        <v>244</v>
      </c>
      <c r="H77" s="7" t="s">
        <v>172</v>
      </c>
      <c r="I77" s="7" t="s">
        <v>173</v>
      </c>
      <c r="J77" s="7" t="s">
        <v>371</v>
      </c>
      <c r="K77" s="7" t="s">
        <v>274</v>
      </c>
      <c r="L77" s="7" t="s">
        <v>277</v>
      </c>
      <c r="M77" s="7" t="s">
        <v>173</v>
      </c>
      <c r="N77" s="26">
        <v>0.79999999999999993</v>
      </c>
      <c r="O77" s="26">
        <v>0.2</v>
      </c>
      <c r="P77" s="26">
        <v>0</v>
      </c>
      <c r="Q77" s="26">
        <v>1.1729166666666659</v>
      </c>
      <c r="R77" s="27">
        <v>0.42806394316163421</v>
      </c>
      <c r="S77" s="26">
        <v>0.58645833333333319</v>
      </c>
      <c r="T77" s="26">
        <v>0.58645833333333319</v>
      </c>
      <c r="U77" s="28">
        <v>1</v>
      </c>
      <c r="AA77" s="29">
        <f t="shared" si="12"/>
        <v>0.79999999999999993</v>
      </c>
      <c r="AB77" s="29">
        <f t="shared" si="13"/>
        <v>0.2</v>
      </c>
      <c r="AC77" s="29">
        <f t="shared" si="14"/>
        <v>0</v>
      </c>
      <c r="AD77" s="29">
        <f t="shared" si="15"/>
        <v>1.1729166666666659</v>
      </c>
      <c r="AE77" s="15">
        <f t="shared" si="16"/>
        <v>0.42806394316163421</v>
      </c>
      <c r="AF77" s="29">
        <f t="shared" si="17"/>
        <v>0.5020833333333331</v>
      </c>
      <c r="AG77" s="12" t="s">
        <v>72</v>
      </c>
      <c r="AH77" s="24"/>
    </row>
    <row r="78" spans="1:34" x14ac:dyDescent="0.35">
      <c r="A78" s="25">
        <v>74</v>
      </c>
      <c r="B78" s="7">
        <v>9995</v>
      </c>
      <c r="C78" s="7" t="s">
        <v>372</v>
      </c>
      <c r="D78" s="7" t="s">
        <v>373</v>
      </c>
      <c r="E78" s="7" t="s">
        <v>262</v>
      </c>
      <c r="F78" s="7" t="s">
        <v>170</v>
      </c>
      <c r="G78" s="7" t="s">
        <v>263</v>
      </c>
      <c r="H78" s="7" t="s">
        <v>374</v>
      </c>
      <c r="I78" s="7" t="s">
        <v>173</v>
      </c>
      <c r="J78" s="7" t="s">
        <v>174</v>
      </c>
      <c r="K78" s="7" t="s">
        <v>375</v>
      </c>
      <c r="L78" s="7"/>
      <c r="M78" s="7" t="s">
        <v>173</v>
      </c>
      <c r="N78" s="26">
        <v>0.77916666666666667</v>
      </c>
      <c r="O78" s="26">
        <v>0</v>
      </c>
      <c r="P78" s="26">
        <v>0</v>
      </c>
      <c r="Q78" s="26">
        <v>0.77916666666666667</v>
      </c>
      <c r="R78" s="27">
        <v>0.67914438502673802</v>
      </c>
      <c r="S78" s="26">
        <v>0.38958333333333328</v>
      </c>
      <c r="T78" s="26">
        <v>0.38958333333333328</v>
      </c>
      <c r="U78" s="28">
        <v>1</v>
      </c>
      <c r="AA78" s="29">
        <f t="shared" si="12"/>
        <v>0.77916666666666667</v>
      </c>
      <c r="AB78" s="29">
        <f t="shared" si="13"/>
        <v>0</v>
      </c>
      <c r="AC78" s="29">
        <f t="shared" si="14"/>
        <v>0</v>
      </c>
      <c r="AD78" s="29">
        <f t="shared" si="15"/>
        <v>0.77916666666666667</v>
      </c>
      <c r="AE78" s="15">
        <f t="shared" si="16"/>
        <v>0.67914438502673802</v>
      </c>
      <c r="AF78" s="29">
        <f t="shared" si="17"/>
        <v>0.52916666666666667</v>
      </c>
      <c r="AG78" s="12" t="s">
        <v>72</v>
      </c>
      <c r="AH78" s="24"/>
    </row>
    <row r="79" spans="1:34" x14ac:dyDescent="0.35">
      <c r="A79" s="25">
        <v>75</v>
      </c>
      <c r="B79" s="7">
        <v>9996</v>
      </c>
      <c r="C79" s="7" t="s">
        <v>376</v>
      </c>
      <c r="D79" s="7" t="s">
        <v>377</v>
      </c>
      <c r="E79" s="7" t="s">
        <v>237</v>
      </c>
      <c r="F79" s="7" t="s">
        <v>238</v>
      </c>
      <c r="G79" s="7" t="s">
        <v>239</v>
      </c>
      <c r="H79" s="7" t="s">
        <v>172</v>
      </c>
      <c r="I79" s="7" t="s">
        <v>173</v>
      </c>
      <c r="J79" s="7" t="s">
        <v>174</v>
      </c>
      <c r="K79" s="7" t="s">
        <v>274</v>
      </c>
      <c r="L79" s="7"/>
      <c r="M79" s="7" t="s">
        <v>173</v>
      </c>
      <c r="N79" s="26">
        <v>0.22625000000000001</v>
      </c>
      <c r="O79" s="26">
        <v>0</v>
      </c>
      <c r="P79" s="26">
        <v>0</v>
      </c>
      <c r="Q79" s="26">
        <v>0.22625000000000001</v>
      </c>
      <c r="R79" s="27">
        <v>0.33701657458563528</v>
      </c>
      <c r="S79" s="26">
        <v>0.113125</v>
      </c>
      <c r="T79" s="26">
        <v>0.113125</v>
      </c>
      <c r="U79" s="28">
        <v>1</v>
      </c>
      <c r="AA79" s="29">
        <f t="shared" si="12"/>
        <v>0.22625000000000001</v>
      </c>
      <c r="AB79" s="29">
        <f t="shared" si="13"/>
        <v>0</v>
      </c>
      <c r="AC79" s="29">
        <f t="shared" si="14"/>
        <v>0</v>
      </c>
      <c r="AD79" s="29">
        <f t="shared" si="15"/>
        <v>0.22625000000000001</v>
      </c>
      <c r="AE79" s="15">
        <f t="shared" si="16"/>
        <v>0.33701657458563528</v>
      </c>
      <c r="AF79" s="29">
        <f t="shared" si="17"/>
        <v>7.6249999999999984E-2</v>
      </c>
      <c r="AG79" s="12" t="s">
        <v>72</v>
      </c>
      <c r="AH79" s="24"/>
    </row>
    <row r="80" spans="1:34" x14ac:dyDescent="0.35">
      <c r="A80" s="25">
        <v>76</v>
      </c>
      <c r="B80" s="7">
        <v>9999</v>
      </c>
      <c r="C80" s="7" t="s">
        <v>378</v>
      </c>
      <c r="D80" s="7" t="s">
        <v>379</v>
      </c>
      <c r="E80" s="7" t="s">
        <v>54</v>
      </c>
      <c r="F80" s="7" t="s">
        <v>170</v>
      </c>
      <c r="G80" s="7" t="s">
        <v>179</v>
      </c>
      <c r="H80" s="7" t="s">
        <v>172</v>
      </c>
      <c r="I80" s="7" t="s">
        <v>180</v>
      </c>
      <c r="J80" s="7" t="s">
        <v>174</v>
      </c>
      <c r="K80" s="7" t="s">
        <v>208</v>
      </c>
      <c r="L80" s="7"/>
      <c r="M80" s="7" t="s">
        <v>173</v>
      </c>
      <c r="N80" s="26">
        <v>1.0287500000000001</v>
      </c>
      <c r="O80" s="26">
        <v>0</v>
      </c>
      <c r="P80" s="26">
        <v>0</v>
      </c>
      <c r="Q80" s="26">
        <v>1.0287500000000001</v>
      </c>
      <c r="R80" s="27">
        <v>0.12920210611583641</v>
      </c>
      <c r="S80" s="26">
        <v>0.51437500000000003</v>
      </c>
      <c r="T80" s="26">
        <v>0.51437500000000003</v>
      </c>
      <c r="U80" s="28">
        <v>1</v>
      </c>
      <c r="AA80" s="29">
        <f t="shared" si="12"/>
        <v>1.0287500000000001</v>
      </c>
      <c r="AB80" s="29">
        <f t="shared" si="13"/>
        <v>0</v>
      </c>
      <c r="AC80" s="29">
        <f t="shared" si="14"/>
        <v>0</v>
      </c>
      <c r="AD80" s="29">
        <f t="shared" si="15"/>
        <v>1.0287500000000001</v>
      </c>
      <c r="AE80" s="15">
        <f t="shared" si="16"/>
        <v>0.12920210611583641</v>
      </c>
      <c r="AF80" s="29">
        <f t="shared" si="17"/>
        <v>0.13291666666666671</v>
      </c>
      <c r="AG80" s="12" t="s">
        <v>76</v>
      </c>
      <c r="AH80" s="24" t="s">
        <v>182</v>
      </c>
    </row>
    <row r="81" spans="1:34" x14ac:dyDescent="0.35">
      <c r="A81" s="25">
        <v>77</v>
      </c>
      <c r="B81" s="7">
        <v>10001</v>
      </c>
      <c r="C81" s="7" t="s">
        <v>380</v>
      </c>
      <c r="D81" s="7" t="s">
        <v>381</v>
      </c>
      <c r="E81" s="7" t="s">
        <v>262</v>
      </c>
      <c r="F81" s="7" t="s">
        <v>170</v>
      </c>
      <c r="G81" s="7" t="s">
        <v>263</v>
      </c>
      <c r="H81" s="7" t="s">
        <v>172</v>
      </c>
      <c r="I81" s="7" t="s">
        <v>180</v>
      </c>
      <c r="J81" s="7" t="s">
        <v>174</v>
      </c>
      <c r="K81" s="7" t="s">
        <v>382</v>
      </c>
      <c r="L81" s="7"/>
      <c r="M81" s="7" t="s">
        <v>173</v>
      </c>
      <c r="N81" s="26">
        <v>2.729166666666667</v>
      </c>
      <c r="O81" s="26">
        <v>3.0249999999999999</v>
      </c>
      <c r="P81" s="26">
        <v>0</v>
      </c>
      <c r="Q81" s="26">
        <v>5.7541666666666664</v>
      </c>
      <c r="R81" s="27">
        <v>0.34540188269370031</v>
      </c>
      <c r="S81" s="26">
        <v>2.8770833333333332</v>
      </c>
      <c r="T81" s="26">
        <v>2.8770833333333332</v>
      </c>
      <c r="U81" s="28">
        <v>1</v>
      </c>
      <c r="AA81" s="29">
        <f t="shared" si="12"/>
        <v>2.729166666666667</v>
      </c>
      <c r="AB81" s="29">
        <f t="shared" si="13"/>
        <v>3.0249999999999999</v>
      </c>
      <c r="AC81" s="29">
        <f t="shared" si="14"/>
        <v>0</v>
      </c>
      <c r="AD81" s="29">
        <f t="shared" si="15"/>
        <v>5.7541666666666664</v>
      </c>
      <c r="AE81" s="15">
        <f t="shared" si="16"/>
        <v>0.34540188269370031</v>
      </c>
      <c r="AF81" s="29">
        <f t="shared" si="17"/>
        <v>1.9875000000000005</v>
      </c>
      <c r="AG81" s="12" t="s">
        <v>76</v>
      </c>
      <c r="AH81" s="24"/>
    </row>
    <row r="82" spans="1:34" x14ac:dyDescent="0.35">
      <c r="A82" s="25">
        <v>78</v>
      </c>
      <c r="B82" s="7">
        <v>10032</v>
      </c>
      <c r="C82" s="7" t="s">
        <v>383</v>
      </c>
      <c r="D82" s="7" t="s">
        <v>384</v>
      </c>
      <c r="E82" s="7" t="s">
        <v>262</v>
      </c>
      <c r="F82" s="7" t="s">
        <v>170</v>
      </c>
      <c r="G82" s="7" t="s">
        <v>263</v>
      </c>
      <c r="H82" s="7" t="s">
        <v>172</v>
      </c>
      <c r="I82" s="7" t="s">
        <v>180</v>
      </c>
      <c r="J82" s="7" t="s">
        <v>174</v>
      </c>
      <c r="K82" s="7" t="s">
        <v>385</v>
      </c>
      <c r="L82" s="7"/>
      <c r="M82" s="7" t="s">
        <v>173</v>
      </c>
      <c r="N82" s="26">
        <v>1.8583333333333329</v>
      </c>
      <c r="O82" s="26">
        <v>0.94166666666666676</v>
      </c>
      <c r="P82" s="26">
        <v>0</v>
      </c>
      <c r="Q82" s="26">
        <v>2.8</v>
      </c>
      <c r="R82" s="27">
        <v>0.26934523809523808</v>
      </c>
      <c r="S82" s="26">
        <v>1.4</v>
      </c>
      <c r="T82" s="26">
        <v>1.4</v>
      </c>
      <c r="U82" s="28">
        <v>1</v>
      </c>
      <c r="AA82" s="29">
        <f t="shared" si="12"/>
        <v>1.8583333333333329</v>
      </c>
      <c r="AB82" s="29">
        <f t="shared" si="13"/>
        <v>0.94166666666666676</v>
      </c>
      <c r="AC82" s="29">
        <f t="shared" si="14"/>
        <v>0</v>
      </c>
      <c r="AD82" s="29">
        <f t="shared" si="15"/>
        <v>2.8</v>
      </c>
      <c r="AE82" s="15">
        <f t="shared" si="16"/>
        <v>0.26934523809523808</v>
      </c>
      <c r="AF82" s="29">
        <f t="shared" si="17"/>
        <v>0.75416666666666654</v>
      </c>
      <c r="AG82" s="12" t="s">
        <v>72</v>
      </c>
      <c r="AH82" s="24"/>
    </row>
    <row r="83" spans="1:34" x14ac:dyDescent="0.35">
      <c r="A83" s="25">
        <v>79</v>
      </c>
      <c r="B83" s="7">
        <v>11004</v>
      </c>
      <c r="C83" s="7" t="s">
        <v>386</v>
      </c>
      <c r="D83" s="7" t="s">
        <v>387</v>
      </c>
      <c r="E83" s="7" t="s">
        <v>169</v>
      </c>
      <c r="F83" s="7" t="s">
        <v>170</v>
      </c>
      <c r="G83" s="7" t="s">
        <v>171</v>
      </c>
      <c r="H83" s="7" t="s">
        <v>172</v>
      </c>
      <c r="I83" s="7" t="s">
        <v>173</v>
      </c>
      <c r="J83" s="7" t="s">
        <v>174</v>
      </c>
      <c r="K83" s="7" t="s">
        <v>388</v>
      </c>
      <c r="L83" s="7" t="s">
        <v>176</v>
      </c>
      <c r="M83" s="7" t="s">
        <v>173</v>
      </c>
      <c r="N83" s="26">
        <v>21.50612499999999</v>
      </c>
      <c r="O83" s="26">
        <v>7.7291666666666643</v>
      </c>
      <c r="P83" s="26">
        <v>0</v>
      </c>
      <c r="Q83" s="26">
        <v>29.235291666666651</v>
      </c>
      <c r="R83" s="27">
        <v>0.83096913405173833</v>
      </c>
      <c r="S83" s="26">
        <v>14.617645833333331</v>
      </c>
      <c r="T83" s="26">
        <v>14.617645833333331</v>
      </c>
      <c r="U83" s="28">
        <v>1</v>
      </c>
      <c r="AA83" s="29">
        <f t="shared" si="12"/>
        <v>21.50612499999999</v>
      </c>
      <c r="AB83" s="29">
        <f t="shared" si="13"/>
        <v>7.7291666666666643</v>
      </c>
      <c r="AC83" s="29">
        <f t="shared" si="14"/>
        <v>0</v>
      </c>
      <c r="AD83" s="29">
        <f t="shared" si="15"/>
        <v>29.235291666666651</v>
      </c>
      <c r="AE83" s="15">
        <f t="shared" si="16"/>
        <v>0.83096913405173833</v>
      </c>
      <c r="AF83" s="29">
        <f t="shared" si="17"/>
        <v>24.293624999999988</v>
      </c>
      <c r="AG83" s="12" t="s">
        <v>70</v>
      </c>
      <c r="AH83" s="24"/>
    </row>
    <row r="84" spans="1:34" x14ac:dyDescent="0.35">
      <c r="A84" s="25">
        <v>80</v>
      </c>
      <c r="B84" s="7">
        <v>11005</v>
      </c>
      <c r="C84" s="7" t="s">
        <v>389</v>
      </c>
      <c r="D84" s="7" t="s">
        <v>390</v>
      </c>
      <c r="E84" s="7" t="s">
        <v>262</v>
      </c>
      <c r="F84" s="7" t="s">
        <v>170</v>
      </c>
      <c r="G84" s="7" t="s">
        <v>263</v>
      </c>
      <c r="H84" s="7" t="s">
        <v>172</v>
      </c>
      <c r="I84" s="7" t="s">
        <v>173</v>
      </c>
      <c r="J84" s="7" t="s">
        <v>174</v>
      </c>
      <c r="K84" s="7" t="s">
        <v>274</v>
      </c>
      <c r="L84" s="7" t="s">
        <v>277</v>
      </c>
      <c r="M84" s="7" t="s">
        <v>173</v>
      </c>
      <c r="N84" s="26">
        <v>0.36249999999999999</v>
      </c>
      <c r="O84" s="26">
        <v>4.1666666666666657E-2</v>
      </c>
      <c r="P84" s="26">
        <v>0.5</v>
      </c>
      <c r="Q84" s="26">
        <v>0.90416666666666667</v>
      </c>
      <c r="R84" s="27">
        <v>0.44700460829493088</v>
      </c>
      <c r="S84" s="26">
        <v>0.45208333333333328</v>
      </c>
      <c r="T84" s="26">
        <v>0.45208333333333328</v>
      </c>
      <c r="U84" s="28">
        <v>1</v>
      </c>
      <c r="AA84" s="29">
        <f t="shared" si="12"/>
        <v>0.36249999999999999</v>
      </c>
      <c r="AB84" s="29">
        <f t="shared" si="13"/>
        <v>4.1666666666666657E-2</v>
      </c>
      <c r="AC84" s="29">
        <f t="shared" si="14"/>
        <v>0.5</v>
      </c>
      <c r="AD84" s="29">
        <f t="shared" si="15"/>
        <v>0.90416666666666667</v>
      </c>
      <c r="AE84" s="15">
        <f t="shared" si="16"/>
        <v>0.44700460829493088</v>
      </c>
      <c r="AF84" s="29">
        <f t="shared" si="17"/>
        <v>0.40416666666666667</v>
      </c>
      <c r="AG84" s="12" t="s">
        <v>72</v>
      </c>
      <c r="AH84" s="24"/>
    </row>
    <row r="85" spans="1:34" x14ac:dyDescent="0.35">
      <c r="A85" s="25">
        <v>81</v>
      </c>
      <c r="B85" s="7">
        <v>11007</v>
      </c>
      <c r="C85" s="7" t="s">
        <v>391</v>
      </c>
      <c r="D85" s="7" t="s">
        <v>392</v>
      </c>
      <c r="E85" s="7" t="s">
        <v>262</v>
      </c>
      <c r="F85" s="7" t="s">
        <v>170</v>
      </c>
      <c r="G85" s="7" t="s">
        <v>263</v>
      </c>
      <c r="H85" s="7" t="s">
        <v>172</v>
      </c>
      <c r="I85" s="7" t="s">
        <v>173</v>
      </c>
      <c r="J85" s="7" t="s">
        <v>174</v>
      </c>
      <c r="K85" s="7" t="s">
        <v>274</v>
      </c>
      <c r="L85" s="7"/>
      <c r="M85" s="7" t="s">
        <v>173</v>
      </c>
      <c r="N85" s="26">
        <v>0.23491666666666669</v>
      </c>
      <c r="O85" s="26">
        <v>7.2916666666666657E-2</v>
      </c>
      <c r="P85" s="26">
        <v>0</v>
      </c>
      <c r="Q85" s="26">
        <v>0.30783333333333329</v>
      </c>
      <c r="R85" s="27">
        <v>0.95939361126150513</v>
      </c>
      <c r="S85" s="26">
        <v>0.15391666666666659</v>
      </c>
      <c r="T85" s="26">
        <v>0.15391666666666659</v>
      </c>
      <c r="U85" s="28">
        <v>1</v>
      </c>
      <c r="AA85" s="29">
        <f t="shared" si="12"/>
        <v>0.23491666666666669</v>
      </c>
      <c r="AB85" s="29">
        <f t="shared" si="13"/>
        <v>7.2916666666666657E-2</v>
      </c>
      <c r="AC85" s="29">
        <f t="shared" si="14"/>
        <v>0</v>
      </c>
      <c r="AD85" s="29">
        <f t="shared" si="15"/>
        <v>0.30783333333333329</v>
      </c>
      <c r="AE85" s="15">
        <f t="shared" si="16"/>
        <v>0.95939361126150513</v>
      </c>
      <c r="AF85" s="29">
        <f t="shared" si="17"/>
        <v>0.29533333333333328</v>
      </c>
      <c r="AG85" s="12" t="s">
        <v>72</v>
      </c>
      <c r="AH85" s="24"/>
    </row>
    <row r="86" spans="1:34" x14ac:dyDescent="0.35">
      <c r="A86" s="25">
        <v>82</v>
      </c>
      <c r="B86" s="7">
        <v>11008</v>
      </c>
      <c r="C86" s="7" t="s">
        <v>393</v>
      </c>
      <c r="D86" s="7" t="s">
        <v>394</v>
      </c>
      <c r="E86" s="7" t="s">
        <v>288</v>
      </c>
      <c r="F86" s="7" t="s">
        <v>289</v>
      </c>
      <c r="G86" s="7" t="s">
        <v>312</v>
      </c>
      <c r="H86" s="7" t="s">
        <v>172</v>
      </c>
      <c r="I86" s="7" t="s">
        <v>173</v>
      </c>
      <c r="J86" s="7" t="s">
        <v>174</v>
      </c>
      <c r="K86" s="7" t="s">
        <v>274</v>
      </c>
      <c r="L86" s="7"/>
      <c r="M86" s="7" t="s">
        <v>173</v>
      </c>
      <c r="N86" s="26">
        <v>0.13541666666666671</v>
      </c>
      <c r="O86" s="26">
        <v>1.666666666666667E-2</v>
      </c>
      <c r="P86" s="26">
        <v>0</v>
      </c>
      <c r="Q86" s="26">
        <v>0.15208333333333329</v>
      </c>
      <c r="R86" s="27">
        <v>0.52054794520547942</v>
      </c>
      <c r="S86" s="26">
        <v>7.6041666666666674E-2</v>
      </c>
      <c r="T86" s="26">
        <v>7.6041666666666674E-2</v>
      </c>
      <c r="U86" s="28">
        <v>1</v>
      </c>
      <c r="AA86" s="29">
        <f t="shared" si="12"/>
        <v>0.13541666666666671</v>
      </c>
      <c r="AB86" s="29">
        <f t="shared" si="13"/>
        <v>1.666666666666667E-2</v>
      </c>
      <c r="AC86" s="29">
        <f t="shared" si="14"/>
        <v>0</v>
      </c>
      <c r="AD86" s="29">
        <f t="shared" si="15"/>
        <v>0.15208333333333329</v>
      </c>
      <c r="AE86" s="15">
        <f t="shared" si="16"/>
        <v>0.52054794520547942</v>
      </c>
      <c r="AF86" s="29">
        <f t="shared" si="17"/>
        <v>7.9166666666666635E-2</v>
      </c>
      <c r="AG86" s="12" t="s">
        <v>72</v>
      </c>
      <c r="AH86" s="24"/>
    </row>
    <row r="87" spans="1:34" x14ac:dyDescent="0.35">
      <c r="A87" s="25">
        <v>83</v>
      </c>
      <c r="B87" s="7">
        <v>11010</v>
      </c>
      <c r="C87" s="7" t="s">
        <v>395</v>
      </c>
      <c r="D87" s="7" t="s">
        <v>396</v>
      </c>
      <c r="E87" s="7" t="s">
        <v>262</v>
      </c>
      <c r="F87" s="7" t="s">
        <v>170</v>
      </c>
      <c r="G87" s="7" t="s">
        <v>263</v>
      </c>
      <c r="H87" s="7" t="s">
        <v>172</v>
      </c>
      <c r="I87" s="7" t="s">
        <v>173</v>
      </c>
      <c r="J87" s="7" t="s">
        <v>174</v>
      </c>
      <c r="K87" s="7" t="s">
        <v>397</v>
      </c>
      <c r="L87" s="7" t="s">
        <v>277</v>
      </c>
      <c r="M87" s="7" t="s">
        <v>173</v>
      </c>
      <c r="N87" s="26">
        <v>1.2583333333333331</v>
      </c>
      <c r="O87" s="26">
        <v>2.9166666666666671E-2</v>
      </c>
      <c r="P87" s="26">
        <v>0.5</v>
      </c>
      <c r="Q87" s="26">
        <v>1.7875000000000001</v>
      </c>
      <c r="R87" s="27">
        <v>0.55710955710955723</v>
      </c>
      <c r="S87" s="26">
        <v>0.89374999999999982</v>
      </c>
      <c r="T87" s="26">
        <v>0.89374999999999982</v>
      </c>
      <c r="U87" s="28">
        <v>1</v>
      </c>
      <c r="AA87" s="29">
        <f t="shared" si="12"/>
        <v>1.2583333333333331</v>
      </c>
      <c r="AB87" s="29">
        <f t="shared" si="13"/>
        <v>2.9166666666666671E-2</v>
      </c>
      <c r="AC87" s="29">
        <f t="shared" si="14"/>
        <v>0.5</v>
      </c>
      <c r="AD87" s="29">
        <f t="shared" si="15"/>
        <v>1.7875000000000001</v>
      </c>
      <c r="AE87" s="15">
        <f t="shared" si="16"/>
        <v>0.55710955710955723</v>
      </c>
      <c r="AF87" s="29">
        <f t="shared" si="17"/>
        <v>0.99583333333333357</v>
      </c>
      <c r="AG87" s="12" t="s">
        <v>72</v>
      </c>
      <c r="AH87" s="24"/>
    </row>
    <row r="88" spans="1:34" x14ac:dyDescent="0.35">
      <c r="A88" s="25">
        <v>84</v>
      </c>
      <c r="B88" s="7">
        <v>11011</v>
      </c>
      <c r="C88" s="7" t="s">
        <v>398</v>
      </c>
      <c r="D88" s="7" t="s">
        <v>399</v>
      </c>
      <c r="E88" s="7" t="s">
        <v>262</v>
      </c>
      <c r="F88" s="7" t="s">
        <v>170</v>
      </c>
      <c r="G88" s="7" t="s">
        <v>263</v>
      </c>
      <c r="H88" s="7" t="s">
        <v>172</v>
      </c>
      <c r="I88" s="7" t="s">
        <v>173</v>
      </c>
      <c r="J88" s="7" t="s">
        <v>174</v>
      </c>
      <c r="K88" s="7" t="s">
        <v>274</v>
      </c>
      <c r="L88" s="7"/>
      <c r="M88" s="7" t="s">
        <v>173</v>
      </c>
      <c r="N88" s="26">
        <v>6.0791666666666666</v>
      </c>
      <c r="O88" s="26">
        <v>1.0708333333333331</v>
      </c>
      <c r="P88" s="26">
        <v>0</v>
      </c>
      <c r="Q88" s="26">
        <v>7.15</v>
      </c>
      <c r="R88" s="27">
        <v>0.90384615384615385</v>
      </c>
      <c r="S88" s="26">
        <v>3.5750000000000002</v>
      </c>
      <c r="T88" s="26">
        <v>3.5750000000000002</v>
      </c>
      <c r="U88" s="28">
        <v>1</v>
      </c>
      <c r="AA88" s="29">
        <f t="shared" si="12"/>
        <v>6.0791666666666666</v>
      </c>
      <c r="AB88" s="29">
        <f t="shared" si="13"/>
        <v>1.0708333333333331</v>
      </c>
      <c r="AC88" s="29">
        <f t="shared" si="14"/>
        <v>0</v>
      </c>
      <c r="AD88" s="29">
        <f t="shared" si="15"/>
        <v>7.15</v>
      </c>
      <c r="AE88" s="15">
        <f t="shared" si="16"/>
        <v>0.90384615384615385</v>
      </c>
      <c r="AF88" s="29">
        <f t="shared" si="17"/>
        <v>6.4625000000000004</v>
      </c>
      <c r="AG88" s="12" t="s">
        <v>72</v>
      </c>
      <c r="AH88" s="24"/>
    </row>
    <row r="89" spans="1:34" x14ac:dyDescent="0.35">
      <c r="A89" s="25">
        <v>85</v>
      </c>
      <c r="B89" s="7">
        <v>11012</v>
      </c>
      <c r="C89" s="7" t="s">
        <v>400</v>
      </c>
      <c r="D89" s="7" t="s">
        <v>401</v>
      </c>
      <c r="E89" s="7" t="s">
        <v>248</v>
      </c>
      <c r="F89" s="7" t="s">
        <v>238</v>
      </c>
      <c r="G89" s="7" t="s">
        <v>249</v>
      </c>
      <c r="H89" s="7" t="s">
        <v>172</v>
      </c>
      <c r="I89" s="7" t="s">
        <v>173</v>
      </c>
      <c r="J89" s="7" t="s">
        <v>174</v>
      </c>
      <c r="K89" s="7" t="s">
        <v>274</v>
      </c>
      <c r="L89" s="7"/>
      <c r="M89" s="7" t="s">
        <v>173</v>
      </c>
      <c r="N89" s="26">
        <v>1.652333333333333</v>
      </c>
      <c r="O89" s="26">
        <v>0.29166666666666669</v>
      </c>
      <c r="P89" s="26">
        <v>0</v>
      </c>
      <c r="Q89" s="26">
        <v>1.944</v>
      </c>
      <c r="R89" s="27">
        <v>0.83217592592592593</v>
      </c>
      <c r="S89" s="26">
        <v>0.97200000000000009</v>
      </c>
      <c r="T89" s="26">
        <v>0.97200000000000009</v>
      </c>
      <c r="U89" s="28">
        <v>1</v>
      </c>
      <c r="AA89" s="29">
        <f t="shared" si="12"/>
        <v>1.652333333333333</v>
      </c>
      <c r="AB89" s="29">
        <f t="shared" si="13"/>
        <v>0.29166666666666669</v>
      </c>
      <c r="AC89" s="29">
        <f t="shared" si="14"/>
        <v>0</v>
      </c>
      <c r="AD89" s="29">
        <f t="shared" si="15"/>
        <v>1.944</v>
      </c>
      <c r="AE89" s="15">
        <f t="shared" si="16"/>
        <v>0.83217592592592593</v>
      </c>
      <c r="AF89" s="29">
        <f t="shared" si="17"/>
        <v>1.61775</v>
      </c>
      <c r="AG89" s="12" t="s">
        <v>72</v>
      </c>
      <c r="AH89" s="24"/>
    </row>
    <row r="90" spans="1:34" x14ac:dyDescent="0.35">
      <c r="A90" s="25">
        <v>86</v>
      </c>
      <c r="B90" s="7">
        <v>11014</v>
      </c>
      <c r="C90" s="7" t="s">
        <v>402</v>
      </c>
      <c r="D90" s="7" t="s">
        <v>403</v>
      </c>
      <c r="E90" s="7" t="s">
        <v>341</v>
      </c>
      <c r="F90" s="7" t="s">
        <v>342</v>
      </c>
      <c r="G90" s="7" t="s">
        <v>342</v>
      </c>
      <c r="H90" s="7" t="s">
        <v>231</v>
      </c>
      <c r="I90" s="7" t="s">
        <v>173</v>
      </c>
      <c r="J90" s="7" t="s">
        <v>174</v>
      </c>
      <c r="K90" s="7" t="s">
        <v>404</v>
      </c>
      <c r="L90" s="7"/>
      <c r="M90" s="7" t="s">
        <v>180</v>
      </c>
      <c r="N90" s="26">
        <v>29.097916666666659</v>
      </c>
      <c r="O90" s="26">
        <v>6.8250000000000011</v>
      </c>
      <c r="P90" s="26">
        <v>6.8500000000000014</v>
      </c>
      <c r="Q90" s="26">
        <v>42.772916666666667</v>
      </c>
      <c r="R90" s="27">
        <v>0.88284058253372955</v>
      </c>
      <c r="S90" s="26">
        <v>21.38645833333333</v>
      </c>
      <c r="T90" s="26">
        <v>21.38645833333333</v>
      </c>
      <c r="U90" s="28">
        <v>1</v>
      </c>
      <c r="AA90" s="29">
        <f t="shared" si="12"/>
        <v>29.097916666666659</v>
      </c>
      <c r="AB90" s="29">
        <f t="shared" si="13"/>
        <v>6.8250000000000011</v>
      </c>
      <c r="AC90" s="29">
        <f t="shared" si="14"/>
        <v>6.8500000000000014</v>
      </c>
      <c r="AD90" s="29">
        <f t="shared" si="15"/>
        <v>42.772916666666667</v>
      </c>
      <c r="AE90" s="15">
        <f t="shared" si="16"/>
        <v>0.88284058253372955</v>
      </c>
      <c r="AF90" s="29">
        <f t="shared" si="17"/>
        <v>37.76166666666667</v>
      </c>
      <c r="AG90" s="12" t="s">
        <v>74</v>
      </c>
      <c r="AH90" s="24"/>
    </row>
    <row r="91" spans="1:34" x14ac:dyDescent="0.35">
      <c r="A91" s="25">
        <v>87</v>
      </c>
      <c r="B91" s="7">
        <v>11203</v>
      </c>
      <c r="C91" s="7" t="s">
        <v>405</v>
      </c>
      <c r="D91" s="7" t="s">
        <v>406</v>
      </c>
      <c r="E91" s="7" t="s">
        <v>298</v>
      </c>
      <c r="F91" s="7" t="s">
        <v>289</v>
      </c>
      <c r="G91" s="7" t="s">
        <v>299</v>
      </c>
      <c r="H91" s="7" t="s">
        <v>172</v>
      </c>
      <c r="I91" s="7" t="s">
        <v>173</v>
      </c>
      <c r="J91" s="7" t="s">
        <v>371</v>
      </c>
      <c r="K91" s="7" t="s">
        <v>407</v>
      </c>
      <c r="L91" s="7" t="s">
        <v>176</v>
      </c>
      <c r="M91" s="7" t="s">
        <v>180</v>
      </c>
      <c r="N91" s="26">
        <v>20.833333333333329</v>
      </c>
      <c r="O91" s="26">
        <v>10.00416666666667</v>
      </c>
      <c r="P91" s="26">
        <v>12.725</v>
      </c>
      <c r="Q91" s="26">
        <v>43.5625</v>
      </c>
      <c r="R91" s="27">
        <v>0.86915351506456251</v>
      </c>
      <c r="S91" s="26">
        <v>21.78125</v>
      </c>
      <c r="T91" s="26">
        <v>21.78125</v>
      </c>
      <c r="U91" s="28">
        <v>1</v>
      </c>
      <c r="AA91" s="29">
        <f t="shared" si="12"/>
        <v>20.833333333333329</v>
      </c>
      <c r="AB91" s="29">
        <f t="shared" si="13"/>
        <v>10.00416666666667</v>
      </c>
      <c r="AC91" s="29">
        <f t="shared" si="14"/>
        <v>12.725</v>
      </c>
      <c r="AD91" s="29">
        <f t="shared" si="15"/>
        <v>43.5625</v>
      </c>
      <c r="AE91" s="15">
        <f t="shared" si="16"/>
        <v>0.86915351506456251</v>
      </c>
      <c r="AF91" s="29">
        <f t="shared" si="17"/>
        <v>37.862500000000004</v>
      </c>
      <c r="AG91" s="12" t="s">
        <v>74</v>
      </c>
      <c r="AH91" s="24"/>
    </row>
    <row r="92" spans="1:34" x14ac:dyDescent="0.35">
      <c r="A92" s="25">
        <v>88</v>
      </c>
      <c r="B92" s="7">
        <v>11288</v>
      </c>
      <c r="C92" s="7" t="s">
        <v>408</v>
      </c>
      <c r="D92" s="7" t="s">
        <v>409</v>
      </c>
      <c r="E92" s="7" t="s">
        <v>262</v>
      </c>
      <c r="F92" s="7" t="s">
        <v>170</v>
      </c>
      <c r="G92" s="7" t="s">
        <v>263</v>
      </c>
      <c r="H92" s="7" t="s">
        <v>172</v>
      </c>
      <c r="I92" s="7" t="s">
        <v>173</v>
      </c>
      <c r="J92" s="7" t="s">
        <v>174</v>
      </c>
      <c r="K92" s="7" t="s">
        <v>255</v>
      </c>
      <c r="L92" s="7"/>
      <c r="M92" s="7" t="s">
        <v>173</v>
      </c>
      <c r="N92" s="26">
        <v>9.166666666666666E-2</v>
      </c>
      <c r="O92" s="26">
        <v>0</v>
      </c>
      <c r="P92" s="26">
        <v>0</v>
      </c>
      <c r="Q92" s="26">
        <v>9.166666666666666E-2</v>
      </c>
      <c r="R92" s="27">
        <v>0.27272727272727271</v>
      </c>
      <c r="S92" s="26">
        <v>4.583333333333333E-2</v>
      </c>
      <c r="T92" s="26">
        <v>4.583333333333333E-2</v>
      </c>
      <c r="U92" s="28">
        <v>1</v>
      </c>
      <c r="AA92" s="29">
        <f t="shared" si="12"/>
        <v>9.166666666666666E-2</v>
      </c>
      <c r="AB92" s="29">
        <f t="shared" si="13"/>
        <v>0</v>
      </c>
      <c r="AC92" s="29">
        <f t="shared" si="14"/>
        <v>0</v>
      </c>
      <c r="AD92" s="29">
        <f t="shared" si="15"/>
        <v>9.166666666666666E-2</v>
      </c>
      <c r="AE92" s="15">
        <f t="shared" si="16"/>
        <v>0.27272727272727271</v>
      </c>
      <c r="AF92" s="29">
        <f t="shared" si="17"/>
        <v>2.4999999999999998E-2</v>
      </c>
      <c r="AG92" s="12" t="s">
        <v>72</v>
      </c>
      <c r="AH92" s="24"/>
    </row>
    <row r="93" spans="1:34" x14ac:dyDescent="0.35">
      <c r="A93" s="25">
        <v>89</v>
      </c>
      <c r="B93" s="7">
        <v>11308</v>
      </c>
      <c r="C93" s="7" t="s">
        <v>410</v>
      </c>
      <c r="D93" s="7" t="s">
        <v>411</v>
      </c>
      <c r="E93" s="7" t="s">
        <v>262</v>
      </c>
      <c r="F93" s="7" t="s">
        <v>170</v>
      </c>
      <c r="G93" s="7" t="s">
        <v>263</v>
      </c>
      <c r="H93" s="7" t="s">
        <v>172</v>
      </c>
      <c r="I93" s="7" t="s">
        <v>173</v>
      </c>
      <c r="J93" s="7" t="s">
        <v>174</v>
      </c>
      <c r="K93" s="7" t="s">
        <v>274</v>
      </c>
      <c r="L93" s="7"/>
      <c r="M93" s="7" t="s">
        <v>173</v>
      </c>
      <c r="N93" s="26">
        <v>0.48125000000000001</v>
      </c>
      <c r="O93" s="26">
        <v>6.25E-2</v>
      </c>
      <c r="P93" s="26">
        <v>0</v>
      </c>
      <c r="Q93" s="26">
        <v>0.54374999999999996</v>
      </c>
      <c r="R93" s="27">
        <v>0.37931034482758619</v>
      </c>
      <c r="S93" s="26">
        <v>0.27187499999999998</v>
      </c>
      <c r="T93" s="26">
        <v>0.27187499999999998</v>
      </c>
      <c r="U93" s="28">
        <v>1</v>
      </c>
      <c r="AA93" s="29">
        <f t="shared" si="12"/>
        <v>0.48125000000000001</v>
      </c>
      <c r="AB93" s="29">
        <f t="shared" si="13"/>
        <v>6.25E-2</v>
      </c>
      <c r="AC93" s="29">
        <f t="shared" si="14"/>
        <v>0</v>
      </c>
      <c r="AD93" s="29">
        <f t="shared" si="15"/>
        <v>0.54374999999999996</v>
      </c>
      <c r="AE93" s="15">
        <f t="shared" si="16"/>
        <v>0.37931034482758619</v>
      </c>
      <c r="AF93" s="29">
        <f t="shared" si="17"/>
        <v>0.20624999999999996</v>
      </c>
      <c r="AG93" s="12" t="s">
        <v>72</v>
      </c>
      <c r="AH93" s="24"/>
    </row>
    <row r="94" spans="1:34" x14ac:dyDescent="0.35">
      <c r="A94" s="25">
        <v>90</v>
      </c>
      <c r="B94" s="7">
        <v>11604</v>
      </c>
      <c r="C94" s="7" t="s">
        <v>412</v>
      </c>
      <c r="D94" s="7" t="s">
        <v>413</v>
      </c>
      <c r="E94" s="7" t="s">
        <v>243</v>
      </c>
      <c r="F94" s="7" t="s">
        <v>238</v>
      </c>
      <c r="G94" s="7" t="s">
        <v>244</v>
      </c>
      <c r="H94" s="7" t="s">
        <v>231</v>
      </c>
      <c r="I94" s="7" t="s">
        <v>173</v>
      </c>
      <c r="J94" s="7" t="s">
        <v>174</v>
      </c>
      <c r="K94" s="7" t="s">
        <v>414</v>
      </c>
      <c r="L94" s="7"/>
      <c r="M94" s="7" t="s">
        <v>173</v>
      </c>
      <c r="N94" s="26">
        <v>5.6624583333333343</v>
      </c>
      <c r="O94" s="26">
        <v>4.0750000000000002</v>
      </c>
      <c r="P94" s="26">
        <v>0</v>
      </c>
      <c r="Q94" s="26">
        <v>9.7374583333333344</v>
      </c>
      <c r="R94" s="27">
        <v>0.89730379676421379</v>
      </c>
      <c r="S94" s="26">
        <v>4.8687291666666672</v>
      </c>
      <c r="T94" s="26">
        <v>4.8687291666666672</v>
      </c>
      <c r="U94" s="28">
        <v>1</v>
      </c>
      <c r="AA94" s="29">
        <f t="shared" si="12"/>
        <v>5.6624583333333343</v>
      </c>
      <c r="AB94" s="29">
        <f t="shared" si="13"/>
        <v>4.0750000000000002</v>
      </c>
      <c r="AC94" s="29">
        <f t="shared" si="14"/>
        <v>0</v>
      </c>
      <c r="AD94" s="29">
        <f t="shared" si="15"/>
        <v>9.7374583333333344</v>
      </c>
      <c r="AE94" s="15">
        <f t="shared" si="16"/>
        <v>0.89730379676421379</v>
      </c>
      <c r="AF94" s="29">
        <f t="shared" si="17"/>
        <v>8.7374583333333344</v>
      </c>
      <c r="AG94" s="12" t="s">
        <v>72</v>
      </c>
      <c r="AH94" s="24"/>
    </row>
    <row r="95" spans="1:34" x14ac:dyDescent="0.35">
      <c r="A95" s="25">
        <v>91</v>
      </c>
      <c r="B95" s="7">
        <v>11893</v>
      </c>
      <c r="C95" s="7" t="s">
        <v>415</v>
      </c>
      <c r="D95" s="7" t="s">
        <v>416</v>
      </c>
      <c r="E95" s="7" t="s">
        <v>243</v>
      </c>
      <c r="F95" s="7" t="s">
        <v>238</v>
      </c>
      <c r="G95" s="7" t="s">
        <v>244</v>
      </c>
      <c r="H95" s="7" t="s">
        <v>172</v>
      </c>
      <c r="I95" s="7" t="s">
        <v>173</v>
      </c>
      <c r="J95" s="7" t="s">
        <v>174</v>
      </c>
      <c r="K95" s="7" t="s">
        <v>274</v>
      </c>
      <c r="L95" s="7" t="s">
        <v>277</v>
      </c>
      <c r="M95" s="7" t="s">
        <v>173</v>
      </c>
      <c r="N95" s="26">
        <v>0.2</v>
      </c>
      <c r="O95" s="26">
        <v>0.2</v>
      </c>
      <c r="P95" s="26">
        <v>0</v>
      </c>
      <c r="Q95" s="26">
        <v>0.35416666666666669</v>
      </c>
      <c r="R95" s="27">
        <v>0.56470588235294117</v>
      </c>
      <c r="S95" s="26">
        <v>0.17708333333333329</v>
      </c>
      <c r="T95" s="26">
        <v>0.17708333333333329</v>
      </c>
      <c r="U95" s="28">
        <v>1</v>
      </c>
      <c r="AA95" s="29">
        <f t="shared" si="12"/>
        <v>0.2</v>
      </c>
      <c r="AB95" s="29">
        <f t="shared" si="13"/>
        <v>0.2</v>
      </c>
      <c r="AC95" s="29">
        <f t="shared" si="14"/>
        <v>0</v>
      </c>
      <c r="AD95" s="29">
        <f t="shared" si="15"/>
        <v>0.35416666666666669</v>
      </c>
      <c r="AE95" s="15">
        <f t="shared" si="16"/>
        <v>0.56470588235294117</v>
      </c>
      <c r="AF95" s="29">
        <f t="shared" si="17"/>
        <v>0.2</v>
      </c>
      <c r="AG95" s="12" t="s">
        <v>72</v>
      </c>
      <c r="AH95" s="24"/>
    </row>
    <row r="96" spans="1:34" x14ac:dyDescent="0.35">
      <c r="A96" s="25">
        <v>92</v>
      </c>
      <c r="B96" s="7">
        <v>11986</v>
      </c>
      <c r="C96" s="7" t="s">
        <v>417</v>
      </c>
      <c r="D96" s="7" t="s">
        <v>418</v>
      </c>
      <c r="E96" s="7" t="s">
        <v>298</v>
      </c>
      <c r="F96" s="7" t="s">
        <v>289</v>
      </c>
      <c r="G96" s="7" t="s">
        <v>326</v>
      </c>
      <c r="H96" s="7" t="s">
        <v>231</v>
      </c>
      <c r="I96" s="7" t="s">
        <v>173</v>
      </c>
      <c r="J96" s="7" t="s">
        <v>174</v>
      </c>
      <c r="K96" s="7" t="s">
        <v>274</v>
      </c>
      <c r="L96" s="7" t="s">
        <v>419</v>
      </c>
      <c r="M96" s="7" t="s">
        <v>173</v>
      </c>
      <c r="N96" s="26">
        <v>6</v>
      </c>
      <c r="O96" s="26">
        <v>6</v>
      </c>
      <c r="P96" s="26">
        <v>3</v>
      </c>
      <c r="Q96" s="26">
        <v>15</v>
      </c>
      <c r="R96" s="27">
        <v>1</v>
      </c>
      <c r="S96" s="26">
        <v>7.5</v>
      </c>
      <c r="T96" s="26">
        <v>7.5</v>
      </c>
      <c r="U96" s="28">
        <v>1</v>
      </c>
      <c r="AA96" s="29">
        <f t="shared" si="12"/>
        <v>6</v>
      </c>
      <c r="AB96" s="29">
        <f t="shared" si="13"/>
        <v>6</v>
      </c>
      <c r="AC96" s="29">
        <f t="shared" si="14"/>
        <v>3</v>
      </c>
      <c r="AD96" s="29">
        <f t="shared" si="15"/>
        <v>15</v>
      </c>
      <c r="AE96" s="15">
        <f t="shared" si="16"/>
        <v>1</v>
      </c>
      <c r="AF96" s="29">
        <f t="shared" si="17"/>
        <v>15</v>
      </c>
      <c r="AG96" s="12" t="s">
        <v>72</v>
      </c>
      <c r="AH96" s="24"/>
    </row>
    <row r="97" spans="1:34" x14ac:dyDescent="0.35">
      <c r="A97" s="25">
        <v>93</v>
      </c>
      <c r="B97" s="7">
        <v>12021</v>
      </c>
      <c r="C97" s="7" t="s">
        <v>420</v>
      </c>
      <c r="D97" s="7" t="s">
        <v>421</v>
      </c>
      <c r="E97" s="7" t="s">
        <v>288</v>
      </c>
      <c r="F97" s="7" t="s">
        <v>289</v>
      </c>
      <c r="G97" s="7" t="s">
        <v>312</v>
      </c>
      <c r="H97" s="7" t="s">
        <v>172</v>
      </c>
      <c r="I97" s="7" t="s">
        <v>173</v>
      </c>
      <c r="J97" s="7" t="s">
        <v>174</v>
      </c>
      <c r="K97" s="7" t="s">
        <v>422</v>
      </c>
      <c r="L97" s="7"/>
      <c r="M97" s="7" t="s">
        <v>173</v>
      </c>
      <c r="N97" s="26">
        <v>0</v>
      </c>
      <c r="O97" s="26">
        <v>0</v>
      </c>
      <c r="P97" s="26">
        <v>0</v>
      </c>
      <c r="Q97" s="26">
        <v>0</v>
      </c>
      <c r="R97" s="27">
        <v>0</v>
      </c>
      <c r="S97" s="26"/>
      <c r="T97" s="26"/>
      <c r="U97" s="28">
        <v>1</v>
      </c>
      <c r="AA97" s="29">
        <f t="shared" si="12"/>
        <v>0</v>
      </c>
      <c r="AB97" s="29">
        <f t="shared" si="13"/>
        <v>0</v>
      </c>
      <c r="AC97" s="29">
        <f t="shared" si="14"/>
        <v>0</v>
      </c>
      <c r="AD97" s="29">
        <f t="shared" si="15"/>
        <v>0</v>
      </c>
      <c r="AE97" s="15">
        <f t="shared" si="16"/>
        <v>0</v>
      </c>
      <c r="AF97" s="29">
        <f t="shared" si="17"/>
        <v>0</v>
      </c>
      <c r="AG97" s="12" t="s">
        <v>72</v>
      </c>
      <c r="AH97" s="24"/>
    </row>
    <row r="98" spans="1:34" x14ac:dyDescent="0.35">
      <c r="A98" s="25">
        <v>94</v>
      </c>
      <c r="B98" s="7">
        <v>12030</v>
      </c>
      <c r="C98" s="7" t="s">
        <v>423</v>
      </c>
      <c r="D98" s="7" t="s">
        <v>424</v>
      </c>
      <c r="E98" s="7" t="s">
        <v>288</v>
      </c>
      <c r="F98" s="7" t="s">
        <v>289</v>
      </c>
      <c r="G98" s="7" t="s">
        <v>312</v>
      </c>
      <c r="H98" s="7" t="s">
        <v>172</v>
      </c>
      <c r="I98" s="7" t="s">
        <v>173</v>
      </c>
      <c r="J98" s="7" t="s">
        <v>174</v>
      </c>
      <c r="K98" s="7" t="s">
        <v>274</v>
      </c>
      <c r="L98" s="7"/>
      <c r="M98" s="7" t="s">
        <v>173</v>
      </c>
      <c r="N98" s="26">
        <v>0</v>
      </c>
      <c r="O98" s="26">
        <v>0</v>
      </c>
      <c r="P98" s="26">
        <v>0</v>
      </c>
      <c r="Q98" s="26">
        <v>0</v>
      </c>
      <c r="R98" s="27">
        <v>0</v>
      </c>
      <c r="S98" s="26"/>
      <c r="T98" s="26"/>
      <c r="U98" s="28">
        <v>1</v>
      </c>
      <c r="AA98" s="29">
        <f t="shared" si="12"/>
        <v>0</v>
      </c>
      <c r="AB98" s="29">
        <f t="shared" si="13"/>
        <v>0</v>
      </c>
      <c r="AC98" s="29">
        <f t="shared" si="14"/>
        <v>0</v>
      </c>
      <c r="AD98" s="29">
        <f t="shared" si="15"/>
        <v>0</v>
      </c>
      <c r="AE98" s="15">
        <f t="shared" si="16"/>
        <v>0</v>
      </c>
      <c r="AF98" s="29">
        <f t="shared" si="17"/>
        <v>0</v>
      </c>
      <c r="AG98" s="12" t="s">
        <v>72</v>
      </c>
      <c r="AH98" s="24"/>
    </row>
    <row r="99" spans="1:34" x14ac:dyDescent="0.35">
      <c r="A99" s="25">
        <v>95</v>
      </c>
      <c r="B99" s="7">
        <v>12038</v>
      </c>
      <c r="C99" s="7" t="s">
        <v>425</v>
      </c>
      <c r="D99" s="7" t="s">
        <v>426</v>
      </c>
      <c r="E99" s="7" t="s">
        <v>317</v>
      </c>
      <c r="F99" s="7" t="s">
        <v>318</v>
      </c>
      <c r="G99" s="7" t="s">
        <v>318</v>
      </c>
      <c r="H99" s="7" t="s">
        <v>231</v>
      </c>
      <c r="I99" s="7" t="s">
        <v>173</v>
      </c>
      <c r="J99" s="7" t="s">
        <v>174</v>
      </c>
      <c r="K99" s="7" t="s">
        <v>274</v>
      </c>
      <c r="L99" s="7" t="s">
        <v>277</v>
      </c>
      <c r="M99" s="7" t="s">
        <v>173</v>
      </c>
      <c r="N99" s="26">
        <v>19.24666666666667</v>
      </c>
      <c r="O99" s="26">
        <v>4.1333333333333329</v>
      </c>
      <c r="P99" s="26">
        <v>16.91041666666667</v>
      </c>
      <c r="Q99" s="26">
        <v>40.290416666666673</v>
      </c>
      <c r="R99" s="27">
        <v>0.94847823613969406</v>
      </c>
      <c r="S99" s="26">
        <v>20.145208333333329</v>
      </c>
      <c r="T99" s="26">
        <v>20.145208333333329</v>
      </c>
      <c r="U99" s="28">
        <v>1</v>
      </c>
      <c r="AA99" s="29">
        <f t="shared" si="12"/>
        <v>19.24666666666667</v>
      </c>
      <c r="AB99" s="29">
        <f t="shared" si="13"/>
        <v>4.1333333333333329</v>
      </c>
      <c r="AC99" s="29">
        <f t="shared" si="14"/>
        <v>16.91041666666667</v>
      </c>
      <c r="AD99" s="29">
        <f t="shared" si="15"/>
        <v>40.290416666666673</v>
      </c>
      <c r="AE99" s="15">
        <f t="shared" si="16"/>
        <v>0.94847823613969406</v>
      </c>
      <c r="AF99" s="29">
        <f t="shared" si="17"/>
        <v>38.214583333333337</v>
      </c>
      <c r="AG99" s="12" t="s">
        <v>72</v>
      </c>
      <c r="AH99" s="24"/>
    </row>
    <row r="100" spans="1:34" x14ac:dyDescent="0.35">
      <c r="A100" s="25">
        <v>96</v>
      </c>
      <c r="B100" s="7">
        <v>12117</v>
      </c>
      <c r="C100" s="7" t="s">
        <v>427</v>
      </c>
      <c r="D100" s="7" t="s">
        <v>428</v>
      </c>
      <c r="E100" s="7" t="s">
        <v>243</v>
      </c>
      <c r="F100" s="7" t="s">
        <v>238</v>
      </c>
      <c r="G100" s="7" t="s">
        <v>244</v>
      </c>
      <c r="H100" s="7" t="s">
        <v>172</v>
      </c>
      <c r="I100" s="7" t="s">
        <v>180</v>
      </c>
      <c r="J100" s="7" t="s">
        <v>174</v>
      </c>
      <c r="K100" s="7" t="s">
        <v>245</v>
      </c>
      <c r="L100" s="7"/>
      <c r="M100" s="7" t="s">
        <v>173</v>
      </c>
      <c r="N100" s="26">
        <v>6</v>
      </c>
      <c r="O100" s="26">
        <v>15.5375</v>
      </c>
      <c r="P100" s="26">
        <v>11</v>
      </c>
      <c r="Q100" s="26">
        <v>62.64237500000003</v>
      </c>
      <c r="R100" s="27">
        <v>0.8631983009371319</v>
      </c>
      <c r="S100" s="26">
        <v>31.321187500000011</v>
      </c>
      <c r="T100" s="26">
        <v>31.321187500000011</v>
      </c>
      <c r="U100" s="28">
        <v>1</v>
      </c>
      <c r="AA100" s="29">
        <f t="shared" si="12"/>
        <v>6</v>
      </c>
      <c r="AB100" s="29">
        <f t="shared" si="13"/>
        <v>15.5375</v>
      </c>
      <c r="AC100" s="29">
        <f t="shared" si="14"/>
        <v>11</v>
      </c>
      <c r="AD100" s="29">
        <f t="shared" si="15"/>
        <v>62.64237500000003</v>
      </c>
      <c r="AE100" s="15">
        <f t="shared" si="16"/>
        <v>0.8631983009371319</v>
      </c>
      <c r="AF100" s="29">
        <f t="shared" si="17"/>
        <v>54.072791666666696</v>
      </c>
      <c r="AG100" s="12" t="s">
        <v>72</v>
      </c>
      <c r="AH100" s="24"/>
    </row>
    <row r="101" spans="1:34" x14ac:dyDescent="0.35">
      <c r="A101" s="25">
        <v>97</v>
      </c>
      <c r="B101" s="7">
        <v>12198</v>
      </c>
      <c r="C101" s="7" t="s">
        <v>429</v>
      </c>
      <c r="D101" s="7" t="s">
        <v>430</v>
      </c>
      <c r="E101" s="7" t="s">
        <v>243</v>
      </c>
      <c r="F101" s="7" t="s">
        <v>238</v>
      </c>
      <c r="G101" s="7" t="s">
        <v>244</v>
      </c>
      <c r="H101" s="7" t="s">
        <v>231</v>
      </c>
      <c r="I101" s="7" t="s">
        <v>173</v>
      </c>
      <c r="J101" s="7" t="s">
        <v>174</v>
      </c>
      <c r="K101" s="7" t="s">
        <v>431</v>
      </c>
      <c r="L101" s="7"/>
      <c r="M101" s="7" t="s">
        <v>173</v>
      </c>
      <c r="N101" s="26">
        <v>1</v>
      </c>
      <c r="O101" s="26">
        <v>2</v>
      </c>
      <c r="P101" s="26">
        <v>0</v>
      </c>
      <c r="Q101" s="26">
        <v>3</v>
      </c>
      <c r="R101" s="27">
        <v>0</v>
      </c>
      <c r="S101" s="26">
        <v>1.5</v>
      </c>
      <c r="T101" s="26">
        <v>1.5</v>
      </c>
      <c r="U101" s="28">
        <v>1</v>
      </c>
      <c r="AA101" s="29">
        <f t="shared" ref="AA101:AA132" si="18">N101</f>
        <v>1</v>
      </c>
      <c r="AB101" s="29">
        <f t="shared" ref="AB101:AB132" si="19">O101</f>
        <v>2</v>
      </c>
      <c r="AC101" s="29">
        <f t="shared" ref="AC101:AC132" si="20">P101</f>
        <v>0</v>
      </c>
      <c r="AD101" s="29">
        <f t="shared" ref="AD101:AD132" si="21">Q101</f>
        <v>3</v>
      </c>
      <c r="AE101" s="15">
        <f t="shared" ref="AE101:AE132" si="22">R101</f>
        <v>0</v>
      </c>
      <c r="AF101" s="29">
        <f t="shared" ref="AF101:AF132" si="23">Q101*R101</f>
        <v>0</v>
      </c>
      <c r="AG101" s="12" t="s">
        <v>72</v>
      </c>
      <c r="AH101" s="24"/>
    </row>
    <row r="102" spans="1:34" x14ac:dyDescent="0.35">
      <c r="A102" s="25">
        <v>98</v>
      </c>
      <c r="B102" s="7">
        <v>12520</v>
      </c>
      <c r="C102" s="7" t="s">
        <v>432</v>
      </c>
      <c r="D102" s="7" t="s">
        <v>433</v>
      </c>
      <c r="E102" s="7" t="s">
        <v>237</v>
      </c>
      <c r="F102" s="7" t="s">
        <v>238</v>
      </c>
      <c r="G102" s="7" t="s">
        <v>239</v>
      </c>
      <c r="H102" s="7" t="s">
        <v>172</v>
      </c>
      <c r="I102" s="7" t="s">
        <v>173</v>
      </c>
      <c r="J102" s="7" t="s">
        <v>174</v>
      </c>
      <c r="K102" s="7" t="s">
        <v>274</v>
      </c>
      <c r="L102" s="7"/>
      <c r="M102" s="7" t="s">
        <v>173</v>
      </c>
      <c r="N102" s="26">
        <v>0.125</v>
      </c>
      <c r="O102" s="26">
        <v>0</v>
      </c>
      <c r="P102" s="26">
        <v>0</v>
      </c>
      <c r="Q102" s="26">
        <v>0.125</v>
      </c>
      <c r="R102" s="27">
        <v>1</v>
      </c>
      <c r="S102" s="26">
        <v>6.25E-2</v>
      </c>
      <c r="T102" s="26">
        <v>6.25E-2</v>
      </c>
      <c r="U102" s="28">
        <v>1</v>
      </c>
      <c r="AA102" s="29">
        <f t="shared" si="18"/>
        <v>0.125</v>
      </c>
      <c r="AB102" s="29">
        <f t="shared" si="19"/>
        <v>0</v>
      </c>
      <c r="AC102" s="29">
        <f t="shared" si="20"/>
        <v>0</v>
      </c>
      <c r="AD102" s="29">
        <f t="shared" si="21"/>
        <v>0.125</v>
      </c>
      <c r="AE102" s="15">
        <f t="shared" si="22"/>
        <v>1</v>
      </c>
      <c r="AF102" s="29">
        <f t="shared" si="23"/>
        <v>0.125</v>
      </c>
      <c r="AG102" s="12" t="s">
        <v>72</v>
      </c>
      <c r="AH102" s="24"/>
    </row>
    <row r="103" spans="1:34" x14ac:dyDescent="0.35">
      <c r="A103" s="25">
        <v>99</v>
      </c>
      <c r="B103" s="7">
        <v>12527</v>
      </c>
      <c r="C103" s="7" t="s">
        <v>434</v>
      </c>
      <c r="D103" s="7" t="s">
        <v>435</v>
      </c>
      <c r="E103" s="7" t="s">
        <v>317</v>
      </c>
      <c r="F103" s="7" t="s">
        <v>318</v>
      </c>
      <c r="G103" s="7" t="s">
        <v>318</v>
      </c>
      <c r="H103" s="7" t="s">
        <v>231</v>
      </c>
      <c r="I103" s="7" t="s">
        <v>173</v>
      </c>
      <c r="J103" s="7" t="s">
        <v>174</v>
      </c>
      <c r="K103" s="7" t="s">
        <v>274</v>
      </c>
      <c r="L103" s="7" t="s">
        <v>277</v>
      </c>
      <c r="M103" s="7" t="s">
        <v>173</v>
      </c>
      <c r="N103" s="26">
        <v>0.1083333333333333</v>
      </c>
      <c r="O103" s="26">
        <v>0</v>
      </c>
      <c r="P103" s="26">
        <v>2.5000000000000001E-2</v>
      </c>
      <c r="Q103" s="26">
        <v>0.1333333333333333</v>
      </c>
      <c r="R103" s="27">
        <v>1</v>
      </c>
      <c r="S103" s="26">
        <v>6.6666666666666666E-2</v>
      </c>
      <c r="T103" s="26">
        <v>6.6666666666666666E-2</v>
      </c>
      <c r="U103" s="28">
        <v>1</v>
      </c>
      <c r="AA103" s="29">
        <f t="shared" si="18"/>
        <v>0.1083333333333333</v>
      </c>
      <c r="AB103" s="29">
        <f t="shared" si="19"/>
        <v>0</v>
      </c>
      <c r="AC103" s="29">
        <f t="shared" si="20"/>
        <v>2.5000000000000001E-2</v>
      </c>
      <c r="AD103" s="29">
        <f t="shared" si="21"/>
        <v>0.1333333333333333</v>
      </c>
      <c r="AE103" s="15">
        <f t="shared" si="22"/>
        <v>1</v>
      </c>
      <c r="AF103" s="29">
        <f t="shared" si="23"/>
        <v>0.1333333333333333</v>
      </c>
      <c r="AG103" s="12" t="s">
        <v>72</v>
      </c>
      <c r="AH103" s="24"/>
    </row>
    <row r="104" spans="1:34" x14ac:dyDescent="0.35">
      <c r="A104" s="25">
        <v>100</v>
      </c>
      <c r="B104" s="7">
        <v>12607</v>
      </c>
      <c r="C104" s="7" t="s">
        <v>436</v>
      </c>
      <c r="D104" s="7" t="s">
        <v>437</v>
      </c>
      <c r="E104" s="7" t="s">
        <v>317</v>
      </c>
      <c r="F104" s="7" t="s">
        <v>318</v>
      </c>
      <c r="G104" s="7" t="s">
        <v>318</v>
      </c>
      <c r="H104" s="7" t="s">
        <v>231</v>
      </c>
      <c r="I104" s="7" t="s">
        <v>173</v>
      </c>
      <c r="J104" s="7" t="s">
        <v>174</v>
      </c>
      <c r="K104" s="7" t="s">
        <v>274</v>
      </c>
      <c r="L104" s="7" t="s">
        <v>277</v>
      </c>
      <c r="M104" s="7" t="s">
        <v>173</v>
      </c>
      <c r="N104" s="26">
        <v>1.3374999999999999</v>
      </c>
      <c r="O104" s="26">
        <v>0</v>
      </c>
      <c r="P104" s="26">
        <v>1</v>
      </c>
      <c r="Q104" s="26">
        <v>2.3374999999999999</v>
      </c>
      <c r="R104" s="27">
        <v>1</v>
      </c>
      <c r="S104" s="26">
        <v>1.16875</v>
      </c>
      <c r="T104" s="26">
        <v>1.16875</v>
      </c>
      <c r="U104" s="28">
        <v>1</v>
      </c>
      <c r="AA104" s="29">
        <f t="shared" si="18"/>
        <v>1.3374999999999999</v>
      </c>
      <c r="AB104" s="29">
        <f t="shared" si="19"/>
        <v>0</v>
      </c>
      <c r="AC104" s="29">
        <f t="shared" si="20"/>
        <v>1</v>
      </c>
      <c r="AD104" s="29">
        <f t="shared" si="21"/>
        <v>2.3374999999999999</v>
      </c>
      <c r="AE104" s="15">
        <f t="shared" si="22"/>
        <v>1</v>
      </c>
      <c r="AF104" s="29">
        <f t="shared" si="23"/>
        <v>2.3374999999999999</v>
      </c>
      <c r="AG104" s="12" t="s">
        <v>72</v>
      </c>
      <c r="AH104" s="24"/>
    </row>
    <row r="105" spans="1:34" x14ac:dyDescent="0.35">
      <c r="A105" s="25">
        <v>101</v>
      </c>
      <c r="B105" s="7">
        <v>12646</v>
      </c>
      <c r="C105" s="7" t="s">
        <v>438</v>
      </c>
      <c r="D105" s="7" t="s">
        <v>439</v>
      </c>
      <c r="E105" s="7" t="s">
        <v>258</v>
      </c>
      <c r="F105" s="7" t="s">
        <v>238</v>
      </c>
      <c r="G105" s="7" t="s">
        <v>259</v>
      </c>
      <c r="H105" s="7" t="s">
        <v>172</v>
      </c>
      <c r="I105" s="7" t="s">
        <v>180</v>
      </c>
      <c r="J105" s="7" t="s">
        <v>371</v>
      </c>
      <c r="K105" s="7" t="s">
        <v>440</v>
      </c>
      <c r="L105" s="7" t="s">
        <v>176</v>
      </c>
      <c r="M105" s="7" t="s">
        <v>173</v>
      </c>
      <c r="N105" s="26">
        <v>9.5833333333333321</v>
      </c>
      <c r="O105" s="26">
        <v>11.3375</v>
      </c>
      <c r="P105" s="26">
        <v>7.0833333333333357</v>
      </c>
      <c r="Q105" s="26">
        <v>28.00416666666667</v>
      </c>
      <c r="R105" s="27">
        <v>0.81223032286862074</v>
      </c>
      <c r="S105" s="26">
        <v>14.00208333333333</v>
      </c>
      <c r="T105" s="26">
        <v>14.00208333333333</v>
      </c>
      <c r="U105" s="28">
        <v>1</v>
      </c>
      <c r="AA105" s="29">
        <f t="shared" si="18"/>
        <v>9.5833333333333321</v>
      </c>
      <c r="AB105" s="29">
        <f t="shared" si="19"/>
        <v>11.3375</v>
      </c>
      <c r="AC105" s="29">
        <f t="shared" si="20"/>
        <v>7.0833333333333357</v>
      </c>
      <c r="AD105" s="29">
        <f t="shared" si="21"/>
        <v>28.00416666666667</v>
      </c>
      <c r="AE105" s="15">
        <f t="shared" si="22"/>
        <v>0.81223032286862074</v>
      </c>
      <c r="AF105" s="29">
        <f t="shared" si="23"/>
        <v>22.745833333333337</v>
      </c>
      <c r="AG105" s="12" t="s">
        <v>70</v>
      </c>
      <c r="AH105" s="24"/>
    </row>
    <row r="106" spans="1:34" x14ac:dyDescent="0.35">
      <c r="A106" s="25">
        <v>102</v>
      </c>
      <c r="B106" s="7">
        <v>12654</v>
      </c>
      <c r="C106" s="7" t="s">
        <v>441</v>
      </c>
      <c r="D106" s="7" t="s">
        <v>442</v>
      </c>
      <c r="E106" s="7" t="s">
        <v>317</v>
      </c>
      <c r="F106" s="7" t="s">
        <v>238</v>
      </c>
      <c r="G106" s="7"/>
      <c r="H106" s="7" t="s">
        <v>443</v>
      </c>
      <c r="I106" s="7" t="s">
        <v>173</v>
      </c>
      <c r="J106" s="7" t="s">
        <v>174</v>
      </c>
      <c r="K106" s="7" t="s">
        <v>444</v>
      </c>
      <c r="L106" s="7"/>
      <c r="M106" s="7" t="s">
        <v>173</v>
      </c>
      <c r="N106" s="26">
        <v>0</v>
      </c>
      <c r="O106" s="26">
        <v>0.25</v>
      </c>
      <c r="P106" s="26">
        <v>0</v>
      </c>
      <c r="Q106" s="26">
        <v>0.25</v>
      </c>
      <c r="R106" s="27">
        <v>1</v>
      </c>
      <c r="S106" s="26">
        <v>0.125</v>
      </c>
      <c r="T106" s="26">
        <v>0.125</v>
      </c>
      <c r="U106" s="28">
        <v>1</v>
      </c>
      <c r="AA106" s="29">
        <f t="shared" si="18"/>
        <v>0</v>
      </c>
      <c r="AB106" s="29">
        <f t="shared" si="19"/>
        <v>0.25</v>
      </c>
      <c r="AC106" s="29">
        <f t="shared" si="20"/>
        <v>0</v>
      </c>
      <c r="AD106" s="29">
        <f t="shared" si="21"/>
        <v>0.25</v>
      </c>
      <c r="AE106" s="15">
        <f t="shared" si="22"/>
        <v>1</v>
      </c>
      <c r="AF106" s="29">
        <f t="shared" si="23"/>
        <v>0.25</v>
      </c>
      <c r="AG106" s="12" t="s">
        <v>72</v>
      </c>
      <c r="AH106" s="24"/>
    </row>
    <row r="107" spans="1:34" x14ac:dyDescent="0.35">
      <c r="A107" s="25">
        <v>103</v>
      </c>
      <c r="B107" s="7">
        <v>12675</v>
      </c>
      <c r="C107" s="7" t="s">
        <v>445</v>
      </c>
      <c r="D107" s="7" t="s">
        <v>446</v>
      </c>
      <c r="E107" s="7" t="s">
        <v>243</v>
      </c>
      <c r="F107" s="7" t="s">
        <v>238</v>
      </c>
      <c r="G107" s="7" t="s">
        <v>244</v>
      </c>
      <c r="H107" s="7" t="s">
        <v>443</v>
      </c>
      <c r="I107" s="7" t="s">
        <v>173</v>
      </c>
      <c r="J107" s="7" t="s">
        <v>174</v>
      </c>
      <c r="K107" s="7" t="s">
        <v>447</v>
      </c>
      <c r="L107" s="7"/>
      <c r="M107" s="7" t="s">
        <v>173</v>
      </c>
      <c r="N107" s="26">
        <v>0</v>
      </c>
      <c r="O107" s="26">
        <v>0.1</v>
      </c>
      <c r="P107" s="26">
        <v>0</v>
      </c>
      <c r="Q107" s="26">
        <v>0.1</v>
      </c>
      <c r="R107" s="27">
        <v>0</v>
      </c>
      <c r="S107" s="26">
        <v>0.05</v>
      </c>
      <c r="T107" s="26">
        <v>0.05</v>
      </c>
      <c r="U107" s="28">
        <v>1</v>
      </c>
      <c r="AA107" s="29">
        <f t="shared" si="18"/>
        <v>0</v>
      </c>
      <c r="AB107" s="29">
        <f t="shared" si="19"/>
        <v>0.1</v>
      </c>
      <c r="AC107" s="29">
        <f t="shared" si="20"/>
        <v>0</v>
      </c>
      <c r="AD107" s="29">
        <f t="shared" si="21"/>
        <v>0.1</v>
      </c>
      <c r="AE107" s="15">
        <f t="shared" si="22"/>
        <v>0</v>
      </c>
      <c r="AF107" s="29">
        <f t="shared" si="23"/>
        <v>0</v>
      </c>
      <c r="AG107" s="12" t="s">
        <v>72</v>
      </c>
      <c r="AH107" s="24"/>
    </row>
    <row r="108" spans="1:34" x14ac:dyDescent="0.35">
      <c r="A108" s="25">
        <v>104</v>
      </c>
      <c r="B108" s="7">
        <v>12721</v>
      </c>
      <c r="C108" s="7" t="s">
        <v>448</v>
      </c>
      <c r="D108" s="7" t="s">
        <v>449</v>
      </c>
      <c r="E108" s="7" t="s">
        <v>262</v>
      </c>
      <c r="F108" s="7" t="s">
        <v>170</v>
      </c>
      <c r="G108" s="7" t="s">
        <v>263</v>
      </c>
      <c r="H108" s="7" t="s">
        <v>172</v>
      </c>
      <c r="I108" s="7" t="s">
        <v>173</v>
      </c>
      <c r="J108" s="7" t="s">
        <v>371</v>
      </c>
      <c r="K108" s="7" t="s">
        <v>450</v>
      </c>
      <c r="L108" s="7" t="s">
        <v>176</v>
      </c>
      <c r="M108" s="7" t="s">
        <v>173</v>
      </c>
      <c r="N108" s="26">
        <v>0.24166666666666661</v>
      </c>
      <c r="O108" s="26">
        <v>0</v>
      </c>
      <c r="P108" s="26">
        <v>0</v>
      </c>
      <c r="Q108" s="26">
        <v>0.24166666666666661</v>
      </c>
      <c r="R108" s="27">
        <v>0.93103448275862066</v>
      </c>
      <c r="S108" s="26">
        <v>0.12083333333333331</v>
      </c>
      <c r="T108" s="26">
        <v>0.12083333333333331</v>
      </c>
      <c r="U108" s="28">
        <v>1</v>
      </c>
      <c r="AA108" s="29">
        <f t="shared" si="18"/>
        <v>0.24166666666666661</v>
      </c>
      <c r="AB108" s="29">
        <f t="shared" si="19"/>
        <v>0</v>
      </c>
      <c r="AC108" s="29">
        <f t="shared" si="20"/>
        <v>0</v>
      </c>
      <c r="AD108" s="29">
        <f t="shared" si="21"/>
        <v>0.24166666666666661</v>
      </c>
      <c r="AE108" s="15">
        <f t="shared" si="22"/>
        <v>0.93103448275862066</v>
      </c>
      <c r="AF108" s="29">
        <f t="shared" si="23"/>
        <v>0.22499999999999995</v>
      </c>
      <c r="AG108" s="12" t="s">
        <v>70</v>
      </c>
      <c r="AH108" s="24"/>
    </row>
    <row r="109" spans="1:34" x14ac:dyDescent="0.35">
      <c r="A109" s="25">
        <v>105</v>
      </c>
      <c r="B109" s="7">
        <v>12820</v>
      </c>
      <c r="C109" s="7" t="s">
        <v>451</v>
      </c>
      <c r="D109" s="7" t="s">
        <v>452</v>
      </c>
      <c r="E109" s="7" t="s">
        <v>288</v>
      </c>
      <c r="F109" s="7" t="s">
        <v>289</v>
      </c>
      <c r="G109" s="7" t="s">
        <v>312</v>
      </c>
      <c r="H109" s="7" t="s">
        <v>172</v>
      </c>
      <c r="I109" s="7" t="s">
        <v>173</v>
      </c>
      <c r="J109" s="7" t="s">
        <v>174</v>
      </c>
      <c r="K109" s="7" t="s">
        <v>274</v>
      </c>
      <c r="L109" s="7"/>
      <c r="M109" s="7" t="s">
        <v>173</v>
      </c>
      <c r="N109" s="26">
        <v>0.36249999999999999</v>
      </c>
      <c r="O109" s="26">
        <v>0</v>
      </c>
      <c r="P109" s="26">
        <v>0</v>
      </c>
      <c r="Q109" s="26">
        <v>0.36249999999999999</v>
      </c>
      <c r="R109" s="27">
        <v>1</v>
      </c>
      <c r="S109" s="26">
        <v>0.18124999999999999</v>
      </c>
      <c r="T109" s="26">
        <v>0.18124999999999999</v>
      </c>
      <c r="U109" s="28">
        <v>1</v>
      </c>
      <c r="AA109" s="29">
        <f t="shared" si="18"/>
        <v>0.36249999999999999</v>
      </c>
      <c r="AB109" s="29">
        <f t="shared" si="19"/>
        <v>0</v>
      </c>
      <c r="AC109" s="29">
        <f t="shared" si="20"/>
        <v>0</v>
      </c>
      <c r="AD109" s="29">
        <f t="shared" si="21"/>
        <v>0.36249999999999999</v>
      </c>
      <c r="AE109" s="15">
        <f t="shared" si="22"/>
        <v>1</v>
      </c>
      <c r="AF109" s="29">
        <f t="shared" si="23"/>
        <v>0.36249999999999999</v>
      </c>
      <c r="AG109" s="12" t="s">
        <v>72</v>
      </c>
      <c r="AH109" s="24"/>
    </row>
    <row r="110" spans="1:34" x14ac:dyDescent="0.35">
      <c r="A110" s="25">
        <v>106</v>
      </c>
      <c r="B110" s="7">
        <v>12890</v>
      </c>
      <c r="C110" s="7" t="s">
        <v>453</v>
      </c>
      <c r="D110" s="7" t="s">
        <v>454</v>
      </c>
      <c r="E110" s="7" t="s">
        <v>262</v>
      </c>
      <c r="F110" s="7" t="s">
        <v>170</v>
      </c>
      <c r="G110" s="7" t="s">
        <v>263</v>
      </c>
      <c r="H110" s="7" t="s">
        <v>231</v>
      </c>
      <c r="I110" s="7" t="s">
        <v>180</v>
      </c>
      <c r="J110" s="7" t="s">
        <v>174</v>
      </c>
      <c r="K110" s="7" t="s">
        <v>455</v>
      </c>
      <c r="L110" s="7"/>
      <c r="M110" s="7" t="s">
        <v>173</v>
      </c>
      <c r="N110" s="26">
        <v>1.2346250000000001</v>
      </c>
      <c r="O110" s="26">
        <v>6.25E-2</v>
      </c>
      <c r="P110" s="26">
        <v>0</v>
      </c>
      <c r="Q110" s="26">
        <v>1.2971250000000001</v>
      </c>
      <c r="R110" s="27">
        <v>0.85063120362339784</v>
      </c>
      <c r="S110" s="26">
        <v>0.64856249999999993</v>
      </c>
      <c r="T110" s="26">
        <v>0.64856249999999993</v>
      </c>
      <c r="U110" s="28">
        <v>1</v>
      </c>
      <c r="AA110" s="29">
        <f t="shared" si="18"/>
        <v>1.2346250000000001</v>
      </c>
      <c r="AB110" s="29">
        <f t="shared" si="19"/>
        <v>6.25E-2</v>
      </c>
      <c r="AC110" s="29">
        <f t="shared" si="20"/>
        <v>0</v>
      </c>
      <c r="AD110" s="29">
        <f t="shared" si="21"/>
        <v>1.2971250000000001</v>
      </c>
      <c r="AE110" s="15">
        <f t="shared" si="22"/>
        <v>0.85063120362339784</v>
      </c>
      <c r="AF110" s="29">
        <f t="shared" si="23"/>
        <v>1.103375</v>
      </c>
      <c r="AG110" s="12" t="s">
        <v>72</v>
      </c>
      <c r="AH110" s="24"/>
    </row>
    <row r="111" spans="1:34" x14ac:dyDescent="0.35">
      <c r="A111" s="25">
        <v>107</v>
      </c>
      <c r="B111" s="7">
        <v>12894</v>
      </c>
      <c r="C111" s="7" t="s">
        <v>456</v>
      </c>
      <c r="D111" s="7" t="s">
        <v>457</v>
      </c>
      <c r="E111" s="7" t="s">
        <v>258</v>
      </c>
      <c r="F111" s="7" t="s">
        <v>238</v>
      </c>
      <c r="G111" s="7" t="s">
        <v>259</v>
      </c>
      <c r="H111" s="7" t="s">
        <v>231</v>
      </c>
      <c r="I111" s="7" t="s">
        <v>173</v>
      </c>
      <c r="J111" s="7" t="s">
        <v>174</v>
      </c>
      <c r="K111" s="7" t="s">
        <v>458</v>
      </c>
      <c r="L111" s="7" t="s">
        <v>277</v>
      </c>
      <c r="M111" s="7" t="s">
        <v>173</v>
      </c>
      <c r="N111" s="26">
        <v>2.6333333333333342</v>
      </c>
      <c r="O111" s="26">
        <v>2.7791666666666668</v>
      </c>
      <c r="P111" s="26">
        <v>2.9187500000000002</v>
      </c>
      <c r="Q111" s="26">
        <v>8.3312500000000007</v>
      </c>
      <c r="R111" s="27">
        <v>0.92748187046761688</v>
      </c>
      <c r="S111" s="26">
        <v>4.1656250000000004</v>
      </c>
      <c r="T111" s="26">
        <v>4.1656250000000004</v>
      </c>
      <c r="U111" s="28">
        <v>1</v>
      </c>
      <c r="AA111" s="29">
        <f t="shared" si="18"/>
        <v>2.6333333333333342</v>
      </c>
      <c r="AB111" s="29">
        <f t="shared" si="19"/>
        <v>2.7791666666666668</v>
      </c>
      <c r="AC111" s="29">
        <f t="shared" si="20"/>
        <v>2.9187500000000002</v>
      </c>
      <c r="AD111" s="29">
        <f t="shared" si="21"/>
        <v>8.3312500000000007</v>
      </c>
      <c r="AE111" s="15">
        <f t="shared" si="22"/>
        <v>0.92748187046761688</v>
      </c>
      <c r="AF111" s="29">
        <f t="shared" si="23"/>
        <v>7.7270833333333337</v>
      </c>
      <c r="AG111" s="12" t="s">
        <v>72</v>
      </c>
      <c r="AH111" s="24"/>
    </row>
    <row r="112" spans="1:34" x14ac:dyDescent="0.35">
      <c r="A112" s="25">
        <v>108</v>
      </c>
      <c r="B112" s="7">
        <v>12932</v>
      </c>
      <c r="C112" s="7" t="s">
        <v>459</v>
      </c>
      <c r="D112" s="7" t="s">
        <v>460</v>
      </c>
      <c r="E112" s="7" t="s">
        <v>258</v>
      </c>
      <c r="F112" s="7" t="s">
        <v>238</v>
      </c>
      <c r="G112" s="7" t="s">
        <v>259</v>
      </c>
      <c r="H112" s="7" t="s">
        <v>172</v>
      </c>
      <c r="I112" s="7" t="s">
        <v>173</v>
      </c>
      <c r="J112" s="7" t="s">
        <v>174</v>
      </c>
      <c r="K112" s="7" t="s">
        <v>461</v>
      </c>
      <c r="L112" s="7" t="s">
        <v>277</v>
      </c>
      <c r="M112" s="7" t="s">
        <v>173</v>
      </c>
      <c r="N112" s="26">
        <v>35.819583333333327</v>
      </c>
      <c r="O112" s="26">
        <v>25.000000000000071</v>
      </c>
      <c r="P112" s="26">
        <v>12.866666666666671</v>
      </c>
      <c r="Q112" s="26">
        <v>73.686250000000058</v>
      </c>
      <c r="R112" s="27">
        <v>0.91167506375567586</v>
      </c>
      <c r="S112" s="26">
        <v>36.843125000000029</v>
      </c>
      <c r="T112" s="26">
        <v>36.843125000000029</v>
      </c>
      <c r="U112" s="28">
        <v>1</v>
      </c>
      <c r="AA112" s="29">
        <f t="shared" si="18"/>
        <v>35.819583333333327</v>
      </c>
      <c r="AB112" s="29">
        <f t="shared" si="19"/>
        <v>25.000000000000071</v>
      </c>
      <c r="AC112" s="29">
        <f t="shared" si="20"/>
        <v>12.866666666666671</v>
      </c>
      <c r="AD112" s="29">
        <f t="shared" si="21"/>
        <v>73.686250000000058</v>
      </c>
      <c r="AE112" s="15">
        <f t="shared" si="22"/>
        <v>0.91167506375567586</v>
      </c>
      <c r="AF112" s="29">
        <f t="shared" si="23"/>
        <v>67.177916666666718</v>
      </c>
      <c r="AG112" s="12" t="s">
        <v>72</v>
      </c>
      <c r="AH112" s="24"/>
    </row>
    <row r="113" spans="1:34" x14ac:dyDescent="0.35">
      <c r="A113" s="25">
        <v>109</v>
      </c>
      <c r="B113" s="7">
        <v>12991</v>
      </c>
      <c r="C113" s="7" t="s">
        <v>462</v>
      </c>
      <c r="D113" s="7" t="s">
        <v>463</v>
      </c>
      <c r="E113" s="7" t="s">
        <v>298</v>
      </c>
      <c r="F113" s="7" t="s">
        <v>289</v>
      </c>
      <c r="G113" s="7" t="s">
        <v>299</v>
      </c>
      <c r="H113" s="7" t="s">
        <v>231</v>
      </c>
      <c r="I113" s="7" t="s">
        <v>173</v>
      </c>
      <c r="J113" s="7" t="s">
        <v>174</v>
      </c>
      <c r="K113" s="7" t="s">
        <v>274</v>
      </c>
      <c r="L113" s="7" t="s">
        <v>277</v>
      </c>
      <c r="M113" s="7" t="s">
        <v>180</v>
      </c>
      <c r="N113" s="26">
        <v>4.6458333333333321</v>
      </c>
      <c r="O113" s="26">
        <v>4.5625</v>
      </c>
      <c r="P113" s="26">
        <v>3</v>
      </c>
      <c r="Q113" s="26">
        <v>12.20833333333333</v>
      </c>
      <c r="R113" s="27">
        <v>1</v>
      </c>
      <c r="S113" s="26">
        <v>6.1041666666666661</v>
      </c>
      <c r="T113" s="26">
        <v>6.1041666666666661</v>
      </c>
      <c r="U113" s="28">
        <v>1</v>
      </c>
      <c r="AA113" s="29">
        <f t="shared" si="18"/>
        <v>4.6458333333333321</v>
      </c>
      <c r="AB113" s="29">
        <f t="shared" si="19"/>
        <v>4.5625</v>
      </c>
      <c r="AC113" s="29">
        <f t="shared" si="20"/>
        <v>3</v>
      </c>
      <c r="AD113" s="29">
        <f t="shared" si="21"/>
        <v>12.20833333333333</v>
      </c>
      <c r="AE113" s="15">
        <f t="shared" si="22"/>
        <v>1</v>
      </c>
      <c r="AF113" s="29">
        <f t="shared" si="23"/>
        <v>12.20833333333333</v>
      </c>
      <c r="AG113" s="12" t="s">
        <v>74</v>
      </c>
      <c r="AH113" s="24"/>
    </row>
    <row r="114" spans="1:34" x14ac:dyDescent="0.35">
      <c r="A114" s="25">
        <v>110</v>
      </c>
      <c r="B114" s="7">
        <v>13139</v>
      </c>
      <c r="C114" s="7" t="s">
        <v>464</v>
      </c>
      <c r="D114" s="7" t="s">
        <v>465</v>
      </c>
      <c r="E114" s="7" t="s">
        <v>317</v>
      </c>
      <c r="F114" s="7" t="s">
        <v>318</v>
      </c>
      <c r="G114" s="7" t="s">
        <v>318</v>
      </c>
      <c r="H114" s="7" t="s">
        <v>231</v>
      </c>
      <c r="I114" s="7" t="s">
        <v>173</v>
      </c>
      <c r="J114" s="7" t="s">
        <v>174</v>
      </c>
      <c r="K114" s="7" t="s">
        <v>274</v>
      </c>
      <c r="L114" s="7" t="s">
        <v>277</v>
      </c>
      <c r="M114" s="7" t="s">
        <v>173</v>
      </c>
      <c r="N114" s="26">
        <v>0</v>
      </c>
      <c r="O114" s="26">
        <v>1.3</v>
      </c>
      <c r="P114" s="26">
        <v>0.69166666666666665</v>
      </c>
      <c r="Q114" s="26">
        <v>1.9916666666666669</v>
      </c>
      <c r="R114" s="27">
        <v>1</v>
      </c>
      <c r="S114" s="26">
        <v>0.99583333333333335</v>
      </c>
      <c r="T114" s="26">
        <v>0.99583333333333335</v>
      </c>
      <c r="U114" s="28">
        <v>1</v>
      </c>
      <c r="AA114" s="29">
        <f t="shared" si="18"/>
        <v>0</v>
      </c>
      <c r="AB114" s="29">
        <f t="shared" si="19"/>
        <v>1.3</v>
      </c>
      <c r="AC114" s="29">
        <f t="shared" si="20"/>
        <v>0.69166666666666665</v>
      </c>
      <c r="AD114" s="29">
        <f t="shared" si="21"/>
        <v>1.9916666666666669</v>
      </c>
      <c r="AE114" s="15">
        <f t="shared" si="22"/>
        <v>1</v>
      </c>
      <c r="AF114" s="29">
        <f t="shared" si="23"/>
        <v>1.9916666666666669</v>
      </c>
      <c r="AG114" s="12" t="s">
        <v>72</v>
      </c>
      <c r="AH114" s="24"/>
    </row>
    <row r="115" spans="1:34" x14ac:dyDescent="0.35">
      <c r="A115" s="25">
        <v>111</v>
      </c>
      <c r="B115" s="7">
        <v>13197</v>
      </c>
      <c r="C115" s="7" t="s">
        <v>466</v>
      </c>
      <c r="D115" s="7" t="s">
        <v>467</v>
      </c>
      <c r="E115" s="7" t="s">
        <v>298</v>
      </c>
      <c r="F115" s="7" t="s">
        <v>289</v>
      </c>
      <c r="G115" s="7" t="s">
        <v>299</v>
      </c>
      <c r="H115" s="7" t="s">
        <v>172</v>
      </c>
      <c r="I115" s="7" t="s">
        <v>180</v>
      </c>
      <c r="J115" s="7" t="s">
        <v>174</v>
      </c>
      <c r="K115" s="7" t="s">
        <v>461</v>
      </c>
      <c r="L115" s="7" t="s">
        <v>277</v>
      </c>
      <c r="M115" s="7" t="s">
        <v>180</v>
      </c>
      <c r="N115" s="26">
        <v>151.77083333333329</v>
      </c>
      <c r="O115" s="26">
        <v>30.937500000000011</v>
      </c>
      <c r="P115" s="26">
        <v>47.204166666666673</v>
      </c>
      <c r="Q115" s="26">
        <v>229.91249999999999</v>
      </c>
      <c r="R115" s="27">
        <v>0.94717193135069511</v>
      </c>
      <c r="S115" s="26">
        <v>114.95625</v>
      </c>
      <c r="T115" s="26">
        <v>114.95625</v>
      </c>
      <c r="U115" s="28">
        <v>1</v>
      </c>
      <c r="AA115" s="29">
        <f t="shared" si="18"/>
        <v>151.77083333333329</v>
      </c>
      <c r="AB115" s="29">
        <f t="shared" si="19"/>
        <v>30.937500000000011</v>
      </c>
      <c r="AC115" s="29">
        <f t="shared" si="20"/>
        <v>47.204166666666673</v>
      </c>
      <c r="AD115" s="29">
        <f t="shared" si="21"/>
        <v>229.91249999999999</v>
      </c>
      <c r="AE115" s="15">
        <f t="shared" si="22"/>
        <v>0.94717193135069511</v>
      </c>
      <c r="AF115" s="29">
        <f t="shared" si="23"/>
        <v>217.76666666666668</v>
      </c>
      <c r="AG115" s="12" t="s">
        <v>74</v>
      </c>
      <c r="AH115" s="24"/>
    </row>
    <row r="116" spans="1:34" x14ac:dyDescent="0.35">
      <c r="A116" s="25">
        <v>112</v>
      </c>
      <c r="B116" s="7">
        <v>13262</v>
      </c>
      <c r="C116" s="7" t="s">
        <v>468</v>
      </c>
      <c r="D116" s="7" t="s">
        <v>468</v>
      </c>
      <c r="E116" s="7" t="s">
        <v>262</v>
      </c>
      <c r="F116" s="7" t="s">
        <v>170</v>
      </c>
      <c r="G116" s="7" t="s">
        <v>263</v>
      </c>
      <c r="H116" s="7" t="s">
        <v>231</v>
      </c>
      <c r="I116" s="7" t="s">
        <v>173</v>
      </c>
      <c r="J116" s="7" t="s">
        <v>371</v>
      </c>
      <c r="K116" s="7" t="s">
        <v>469</v>
      </c>
      <c r="L116" s="7" t="s">
        <v>470</v>
      </c>
      <c r="M116" s="7" t="s">
        <v>173</v>
      </c>
      <c r="N116" s="26">
        <v>1.513333333333333</v>
      </c>
      <c r="O116" s="26">
        <v>1.75</v>
      </c>
      <c r="P116" s="26">
        <v>0.5</v>
      </c>
      <c r="Q116" s="26">
        <v>3.7633333333333332</v>
      </c>
      <c r="R116" s="27">
        <v>0.21147032772364921</v>
      </c>
      <c r="S116" s="26">
        <v>1.881666666666667</v>
      </c>
      <c r="T116" s="26">
        <v>1.881666666666667</v>
      </c>
      <c r="U116" s="28">
        <v>1</v>
      </c>
      <c r="AA116" s="29">
        <f t="shared" si="18"/>
        <v>1.513333333333333</v>
      </c>
      <c r="AB116" s="29">
        <f t="shared" si="19"/>
        <v>1.75</v>
      </c>
      <c r="AC116" s="29">
        <f t="shared" si="20"/>
        <v>0.5</v>
      </c>
      <c r="AD116" s="29">
        <f t="shared" si="21"/>
        <v>3.7633333333333332</v>
      </c>
      <c r="AE116" s="15">
        <f t="shared" si="22"/>
        <v>0.21147032772364921</v>
      </c>
      <c r="AF116" s="29">
        <f t="shared" si="23"/>
        <v>0.79583333333333317</v>
      </c>
      <c r="AG116" s="12" t="s">
        <v>70</v>
      </c>
      <c r="AH116" s="24"/>
    </row>
    <row r="117" spans="1:34" x14ac:dyDescent="0.35">
      <c r="A117" s="25">
        <v>113</v>
      </c>
      <c r="B117" s="7">
        <v>13274</v>
      </c>
      <c r="C117" s="7" t="s">
        <v>471</v>
      </c>
      <c r="D117" s="7" t="s">
        <v>472</v>
      </c>
      <c r="E117" s="7" t="s">
        <v>243</v>
      </c>
      <c r="F117" s="7" t="s">
        <v>238</v>
      </c>
      <c r="G117" s="7" t="s">
        <v>244</v>
      </c>
      <c r="H117" s="7" t="s">
        <v>443</v>
      </c>
      <c r="I117" s="7" t="s">
        <v>173</v>
      </c>
      <c r="J117" s="7" t="s">
        <v>174</v>
      </c>
      <c r="K117" s="7" t="s">
        <v>473</v>
      </c>
      <c r="L117" s="7"/>
      <c r="M117" s="7" t="s">
        <v>173</v>
      </c>
      <c r="N117" s="26">
        <v>0</v>
      </c>
      <c r="O117" s="26">
        <v>1</v>
      </c>
      <c r="P117" s="26">
        <v>0</v>
      </c>
      <c r="Q117" s="26">
        <v>1</v>
      </c>
      <c r="R117" s="27">
        <v>1</v>
      </c>
      <c r="S117" s="26">
        <v>0.5</v>
      </c>
      <c r="T117" s="26">
        <v>0.5</v>
      </c>
      <c r="U117" s="28">
        <v>1</v>
      </c>
      <c r="AA117" s="29">
        <f t="shared" si="18"/>
        <v>0</v>
      </c>
      <c r="AB117" s="29">
        <f t="shared" si="19"/>
        <v>1</v>
      </c>
      <c r="AC117" s="29">
        <f t="shared" si="20"/>
        <v>0</v>
      </c>
      <c r="AD117" s="29">
        <f t="shared" si="21"/>
        <v>1</v>
      </c>
      <c r="AE117" s="15">
        <f t="shared" si="22"/>
        <v>1</v>
      </c>
      <c r="AF117" s="29">
        <f t="shared" si="23"/>
        <v>1</v>
      </c>
      <c r="AG117" s="12" t="s">
        <v>72</v>
      </c>
      <c r="AH117" s="24"/>
    </row>
    <row r="118" spans="1:34" x14ac:dyDescent="0.35">
      <c r="A118" s="25">
        <v>114</v>
      </c>
      <c r="B118" s="7">
        <v>13314</v>
      </c>
      <c r="C118" s="7" t="s">
        <v>474</v>
      </c>
      <c r="D118" s="7" t="s">
        <v>475</v>
      </c>
      <c r="E118" s="7" t="s">
        <v>341</v>
      </c>
      <c r="F118" s="7" t="s">
        <v>342</v>
      </c>
      <c r="G118" s="7" t="s">
        <v>342</v>
      </c>
      <c r="H118" s="7" t="s">
        <v>443</v>
      </c>
      <c r="I118" s="7" t="s">
        <v>173</v>
      </c>
      <c r="J118" s="7" t="s">
        <v>174</v>
      </c>
      <c r="K118" s="7" t="s">
        <v>476</v>
      </c>
      <c r="L118" s="7" t="s">
        <v>277</v>
      </c>
      <c r="M118" s="7" t="s">
        <v>173</v>
      </c>
      <c r="N118" s="26">
        <v>28.606677083333331</v>
      </c>
      <c r="O118" s="26">
        <v>11</v>
      </c>
      <c r="P118" s="26">
        <v>9.1416666666666639</v>
      </c>
      <c r="Q118" s="26">
        <v>50.065010416666659</v>
      </c>
      <c r="R118" s="27">
        <v>0.86264109519268806</v>
      </c>
      <c r="S118" s="26">
        <v>25.03250520833333</v>
      </c>
      <c r="T118" s="26">
        <v>25.03250520833333</v>
      </c>
      <c r="U118" s="28">
        <v>1</v>
      </c>
      <c r="AA118" s="29">
        <f t="shared" si="18"/>
        <v>28.606677083333331</v>
      </c>
      <c r="AB118" s="29">
        <f t="shared" si="19"/>
        <v>11</v>
      </c>
      <c r="AC118" s="29">
        <f t="shared" si="20"/>
        <v>9.1416666666666639</v>
      </c>
      <c r="AD118" s="29">
        <f t="shared" si="21"/>
        <v>50.065010416666659</v>
      </c>
      <c r="AE118" s="15">
        <f t="shared" si="22"/>
        <v>0.86264109519268806</v>
      </c>
      <c r="AF118" s="29">
        <f t="shared" si="23"/>
        <v>43.188135416666661</v>
      </c>
      <c r="AG118" s="12" t="s">
        <v>72</v>
      </c>
      <c r="AH118" s="24"/>
    </row>
    <row r="119" spans="1:34" x14ac:dyDescent="0.35">
      <c r="A119" s="25">
        <v>115</v>
      </c>
      <c r="B119" s="7">
        <v>13405</v>
      </c>
      <c r="C119" s="7" t="s">
        <v>477</v>
      </c>
      <c r="D119" s="7" t="s">
        <v>478</v>
      </c>
      <c r="E119" s="7" t="s">
        <v>262</v>
      </c>
      <c r="F119" s="7" t="s">
        <v>170</v>
      </c>
      <c r="G119" s="7" t="s">
        <v>263</v>
      </c>
      <c r="H119" s="7" t="s">
        <v>231</v>
      </c>
      <c r="I119" s="7" t="s">
        <v>173</v>
      </c>
      <c r="J119" s="7" t="s">
        <v>371</v>
      </c>
      <c r="K119" s="7" t="s">
        <v>479</v>
      </c>
      <c r="L119" s="7" t="s">
        <v>176</v>
      </c>
      <c r="M119" s="7" t="s">
        <v>173</v>
      </c>
      <c r="N119" s="26">
        <v>0</v>
      </c>
      <c r="O119" s="26">
        <v>0</v>
      </c>
      <c r="P119" s="26">
        <v>0</v>
      </c>
      <c r="Q119" s="26">
        <v>0</v>
      </c>
      <c r="R119" s="27">
        <v>0</v>
      </c>
      <c r="S119" s="26"/>
      <c r="T119" s="26"/>
      <c r="U119" s="28">
        <v>1</v>
      </c>
      <c r="AA119" s="29">
        <f t="shared" si="18"/>
        <v>0</v>
      </c>
      <c r="AB119" s="29">
        <f t="shared" si="19"/>
        <v>0</v>
      </c>
      <c r="AC119" s="29">
        <f t="shared" si="20"/>
        <v>0</v>
      </c>
      <c r="AD119" s="29">
        <f t="shared" si="21"/>
        <v>0</v>
      </c>
      <c r="AE119" s="15">
        <f t="shared" si="22"/>
        <v>0</v>
      </c>
      <c r="AF119" s="29">
        <f t="shared" si="23"/>
        <v>0</v>
      </c>
      <c r="AG119" s="12" t="s">
        <v>70</v>
      </c>
      <c r="AH119" s="24"/>
    </row>
    <row r="120" spans="1:34" x14ac:dyDescent="0.35">
      <c r="A120" s="25">
        <v>116</v>
      </c>
      <c r="B120" s="7">
        <v>13453</v>
      </c>
      <c r="C120" s="7" t="s">
        <v>480</v>
      </c>
      <c r="D120" s="7" t="s">
        <v>481</v>
      </c>
      <c r="E120" s="7" t="s">
        <v>243</v>
      </c>
      <c r="F120" s="7" t="s">
        <v>238</v>
      </c>
      <c r="G120" s="7" t="s">
        <v>244</v>
      </c>
      <c r="H120" s="7" t="s">
        <v>443</v>
      </c>
      <c r="I120" s="7" t="s">
        <v>173</v>
      </c>
      <c r="J120" s="7" t="s">
        <v>174</v>
      </c>
      <c r="K120" s="7" t="s">
        <v>385</v>
      </c>
      <c r="L120" s="7"/>
      <c r="M120" s="7" t="s">
        <v>173</v>
      </c>
      <c r="N120" s="26">
        <v>0.89999999999999991</v>
      </c>
      <c r="O120" s="26">
        <v>0.3</v>
      </c>
      <c r="P120" s="26">
        <v>0</v>
      </c>
      <c r="Q120" s="26">
        <v>9.9375</v>
      </c>
      <c r="R120" s="27">
        <v>0.90440251572327046</v>
      </c>
      <c r="S120" s="26">
        <v>4.96875</v>
      </c>
      <c r="T120" s="26">
        <v>4.96875</v>
      </c>
      <c r="U120" s="28">
        <v>1</v>
      </c>
      <c r="AA120" s="29">
        <f t="shared" si="18"/>
        <v>0.89999999999999991</v>
      </c>
      <c r="AB120" s="29">
        <f t="shared" si="19"/>
        <v>0.3</v>
      </c>
      <c r="AC120" s="29">
        <f t="shared" si="20"/>
        <v>0</v>
      </c>
      <c r="AD120" s="29">
        <f t="shared" si="21"/>
        <v>9.9375</v>
      </c>
      <c r="AE120" s="15">
        <f t="shared" si="22"/>
        <v>0.90440251572327046</v>
      </c>
      <c r="AF120" s="29">
        <f t="shared" si="23"/>
        <v>8.9875000000000007</v>
      </c>
      <c r="AG120" s="12" t="s">
        <v>72</v>
      </c>
      <c r="AH120" s="24"/>
    </row>
    <row r="121" spans="1:34" x14ac:dyDescent="0.35">
      <c r="A121" s="25">
        <v>117</v>
      </c>
      <c r="B121" s="7">
        <v>13476</v>
      </c>
      <c r="C121" s="7" t="s">
        <v>482</v>
      </c>
      <c r="D121" s="7" t="s">
        <v>483</v>
      </c>
      <c r="E121" s="7" t="s">
        <v>317</v>
      </c>
      <c r="F121" s="7" t="s">
        <v>238</v>
      </c>
      <c r="G121" s="7"/>
      <c r="H121" s="7" t="s">
        <v>172</v>
      </c>
      <c r="I121" s="7" t="s">
        <v>173</v>
      </c>
      <c r="J121" s="7" t="s">
        <v>174</v>
      </c>
      <c r="K121" s="7" t="s">
        <v>484</v>
      </c>
      <c r="L121" s="7" t="s">
        <v>277</v>
      </c>
      <c r="M121" s="7" t="s">
        <v>180</v>
      </c>
      <c r="N121" s="26">
        <v>57.149875000000023</v>
      </c>
      <c r="O121" s="26">
        <v>23.302083333333329</v>
      </c>
      <c r="P121" s="26">
        <v>42.086666666666673</v>
      </c>
      <c r="Q121" s="26">
        <v>122.538625</v>
      </c>
      <c r="R121" s="27">
        <v>0.88077908768221724</v>
      </c>
      <c r="S121" s="26">
        <v>61.269312500000012</v>
      </c>
      <c r="T121" s="26">
        <v>61.269312500000012</v>
      </c>
      <c r="U121" s="28">
        <v>1</v>
      </c>
      <c r="AA121" s="29">
        <f t="shared" si="18"/>
        <v>57.149875000000023</v>
      </c>
      <c r="AB121" s="29">
        <f t="shared" si="19"/>
        <v>23.302083333333329</v>
      </c>
      <c r="AC121" s="29">
        <f t="shared" si="20"/>
        <v>42.086666666666673</v>
      </c>
      <c r="AD121" s="29">
        <f t="shared" si="21"/>
        <v>122.538625</v>
      </c>
      <c r="AE121" s="15">
        <f t="shared" si="22"/>
        <v>0.88077908768221724</v>
      </c>
      <c r="AF121" s="29">
        <f t="shared" si="23"/>
        <v>107.92945833333333</v>
      </c>
      <c r="AG121" s="12" t="s">
        <v>74</v>
      </c>
      <c r="AH121" s="24"/>
    </row>
    <row r="122" spans="1:34" x14ac:dyDescent="0.35">
      <c r="A122" s="25">
        <v>118</v>
      </c>
      <c r="B122" s="7">
        <v>13500</v>
      </c>
      <c r="C122" s="7" t="s">
        <v>485</v>
      </c>
      <c r="D122" s="7" t="s">
        <v>486</v>
      </c>
      <c r="E122" s="7" t="s">
        <v>243</v>
      </c>
      <c r="F122" s="7" t="s">
        <v>238</v>
      </c>
      <c r="G122" s="7" t="s">
        <v>244</v>
      </c>
      <c r="H122" s="7" t="s">
        <v>172</v>
      </c>
      <c r="I122" s="7" t="s">
        <v>173</v>
      </c>
      <c r="J122" s="7" t="s">
        <v>174</v>
      </c>
      <c r="K122" s="7" t="s">
        <v>245</v>
      </c>
      <c r="L122" s="7"/>
      <c r="M122" s="7" t="s">
        <v>173</v>
      </c>
      <c r="N122" s="26">
        <v>0.5</v>
      </c>
      <c r="O122" s="26">
        <v>0.2</v>
      </c>
      <c r="P122" s="26">
        <v>0</v>
      </c>
      <c r="Q122" s="26">
        <v>0.59583333333333333</v>
      </c>
      <c r="R122" s="27">
        <v>0.66433566433566438</v>
      </c>
      <c r="S122" s="26">
        <v>0.29791666666666672</v>
      </c>
      <c r="T122" s="26">
        <v>0.29791666666666672</v>
      </c>
      <c r="U122" s="28">
        <v>1</v>
      </c>
      <c r="AA122" s="29">
        <f t="shared" si="18"/>
        <v>0.5</v>
      </c>
      <c r="AB122" s="29">
        <f t="shared" si="19"/>
        <v>0.2</v>
      </c>
      <c r="AC122" s="29">
        <f t="shared" si="20"/>
        <v>0</v>
      </c>
      <c r="AD122" s="29">
        <f t="shared" si="21"/>
        <v>0.59583333333333333</v>
      </c>
      <c r="AE122" s="15">
        <f t="shared" si="22"/>
        <v>0.66433566433566438</v>
      </c>
      <c r="AF122" s="29">
        <f t="shared" si="23"/>
        <v>0.39583333333333337</v>
      </c>
      <c r="AG122" s="12" t="s">
        <v>72</v>
      </c>
      <c r="AH122" s="24"/>
    </row>
    <row r="123" spans="1:34" x14ac:dyDescent="0.35">
      <c r="A123" s="25">
        <v>119</v>
      </c>
      <c r="B123" s="7">
        <v>13676</v>
      </c>
      <c r="C123" s="7" t="s">
        <v>487</v>
      </c>
      <c r="D123" s="7" t="s">
        <v>488</v>
      </c>
      <c r="E123" s="7" t="s">
        <v>317</v>
      </c>
      <c r="F123" s="7" t="s">
        <v>318</v>
      </c>
      <c r="G123" s="7" t="s">
        <v>318</v>
      </c>
      <c r="H123" s="7" t="s">
        <v>172</v>
      </c>
      <c r="I123" s="7" t="s">
        <v>173</v>
      </c>
      <c r="J123" s="7" t="s">
        <v>371</v>
      </c>
      <c r="K123" s="7" t="s">
        <v>489</v>
      </c>
      <c r="L123" s="7" t="s">
        <v>176</v>
      </c>
      <c r="M123" s="7" t="s">
        <v>173</v>
      </c>
      <c r="N123" s="26">
        <v>11.572916666666661</v>
      </c>
      <c r="O123" s="26">
        <v>2.333333333333333</v>
      </c>
      <c r="P123" s="26">
        <v>2.135416666666667</v>
      </c>
      <c r="Q123" s="26">
        <v>16.041666666666661</v>
      </c>
      <c r="R123" s="27">
        <v>0.93766233766233764</v>
      </c>
      <c r="S123" s="26">
        <v>8.0208333333333321</v>
      </c>
      <c r="T123" s="26">
        <v>8.0208333333333321</v>
      </c>
      <c r="U123" s="28">
        <v>1</v>
      </c>
      <c r="AA123" s="29">
        <f t="shared" si="18"/>
        <v>11.572916666666661</v>
      </c>
      <c r="AB123" s="29">
        <f t="shared" si="19"/>
        <v>2.333333333333333</v>
      </c>
      <c r="AC123" s="29">
        <f t="shared" si="20"/>
        <v>2.135416666666667</v>
      </c>
      <c r="AD123" s="29">
        <f t="shared" si="21"/>
        <v>16.041666666666661</v>
      </c>
      <c r="AE123" s="15">
        <f t="shared" si="22"/>
        <v>0.93766233766233764</v>
      </c>
      <c r="AF123" s="29">
        <f t="shared" si="23"/>
        <v>15.041666666666661</v>
      </c>
      <c r="AG123" s="12" t="s">
        <v>70</v>
      </c>
      <c r="AH123" s="24"/>
    </row>
    <row r="124" spans="1:34" x14ac:dyDescent="0.35">
      <c r="A124" s="25">
        <v>120</v>
      </c>
      <c r="B124" s="7">
        <v>13721</v>
      </c>
      <c r="C124" s="7" t="s">
        <v>490</v>
      </c>
      <c r="D124" s="7" t="s">
        <v>491</v>
      </c>
      <c r="E124" s="7" t="s">
        <v>169</v>
      </c>
      <c r="F124" s="7" t="s">
        <v>170</v>
      </c>
      <c r="G124" s="7" t="s">
        <v>171</v>
      </c>
      <c r="H124" s="7" t="s">
        <v>172</v>
      </c>
      <c r="I124" s="7" t="s">
        <v>173</v>
      </c>
      <c r="J124" s="7" t="s">
        <v>174</v>
      </c>
      <c r="K124" s="7" t="s">
        <v>461</v>
      </c>
      <c r="L124" s="7" t="s">
        <v>277</v>
      </c>
      <c r="M124" s="7" t="s">
        <v>173</v>
      </c>
      <c r="N124" s="26">
        <v>1.666666666666667</v>
      </c>
      <c r="O124" s="26">
        <v>0.70833333333333337</v>
      </c>
      <c r="P124" s="26">
        <v>0.58333333333333337</v>
      </c>
      <c r="Q124" s="26">
        <v>2.958333333333333</v>
      </c>
      <c r="R124" s="27">
        <v>0.91549295774647887</v>
      </c>
      <c r="S124" s="26">
        <v>1.479166666666667</v>
      </c>
      <c r="T124" s="26">
        <v>1.479166666666667</v>
      </c>
      <c r="U124" s="28">
        <v>1</v>
      </c>
      <c r="AA124" s="29">
        <f t="shared" si="18"/>
        <v>1.666666666666667</v>
      </c>
      <c r="AB124" s="29">
        <f t="shared" si="19"/>
        <v>0.70833333333333337</v>
      </c>
      <c r="AC124" s="29">
        <f t="shared" si="20"/>
        <v>0.58333333333333337</v>
      </c>
      <c r="AD124" s="29">
        <f t="shared" si="21"/>
        <v>2.958333333333333</v>
      </c>
      <c r="AE124" s="15">
        <f t="shared" si="22"/>
        <v>0.91549295774647887</v>
      </c>
      <c r="AF124" s="29">
        <f t="shared" si="23"/>
        <v>2.708333333333333</v>
      </c>
      <c r="AG124" s="12" t="s">
        <v>72</v>
      </c>
      <c r="AH124" s="24"/>
    </row>
    <row r="125" spans="1:34" x14ac:dyDescent="0.35">
      <c r="A125" s="25">
        <v>121</v>
      </c>
      <c r="B125" s="7">
        <v>13738</v>
      </c>
      <c r="C125" s="7" t="s">
        <v>492</v>
      </c>
      <c r="D125" s="7" t="s">
        <v>492</v>
      </c>
      <c r="E125" s="7" t="s">
        <v>298</v>
      </c>
      <c r="F125" s="7" t="s">
        <v>289</v>
      </c>
      <c r="G125" s="7" t="s">
        <v>299</v>
      </c>
      <c r="H125" s="7" t="s">
        <v>172</v>
      </c>
      <c r="I125" s="7" t="s">
        <v>173</v>
      </c>
      <c r="J125" s="7" t="s">
        <v>371</v>
      </c>
      <c r="K125" s="7" t="s">
        <v>274</v>
      </c>
      <c r="L125" s="7" t="s">
        <v>277</v>
      </c>
      <c r="M125" s="7" t="s">
        <v>180</v>
      </c>
      <c r="N125" s="26">
        <v>0.33333333333333343</v>
      </c>
      <c r="O125" s="26">
        <v>0.25</v>
      </c>
      <c r="P125" s="26">
        <v>8.3333333333333329E-2</v>
      </c>
      <c r="Q125" s="26">
        <v>0.66666666666666674</v>
      </c>
      <c r="R125" s="27">
        <v>1</v>
      </c>
      <c r="S125" s="26">
        <v>0.33333333333333343</v>
      </c>
      <c r="T125" s="26">
        <v>0.33333333333333343</v>
      </c>
      <c r="U125" s="28">
        <v>1</v>
      </c>
      <c r="AA125" s="29">
        <f t="shared" si="18"/>
        <v>0.33333333333333343</v>
      </c>
      <c r="AB125" s="29">
        <f t="shared" si="19"/>
        <v>0.25</v>
      </c>
      <c r="AC125" s="29">
        <f t="shared" si="20"/>
        <v>8.3333333333333329E-2</v>
      </c>
      <c r="AD125" s="29">
        <f t="shared" si="21"/>
        <v>0.66666666666666674</v>
      </c>
      <c r="AE125" s="15">
        <f t="shared" si="22"/>
        <v>1</v>
      </c>
      <c r="AF125" s="29">
        <f t="shared" si="23"/>
        <v>0.66666666666666674</v>
      </c>
      <c r="AG125" s="12" t="s">
        <v>74</v>
      </c>
      <c r="AH125" s="24"/>
    </row>
    <row r="126" spans="1:34" x14ac:dyDescent="0.35">
      <c r="A126" s="25">
        <v>122</v>
      </c>
      <c r="B126" s="7">
        <v>13812</v>
      </c>
      <c r="C126" s="7" t="s">
        <v>493</v>
      </c>
      <c r="D126" s="7" t="s">
        <v>494</v>
      </c>
      <c r="E126" s="7" t="s">
        <v>262</v>
      </c>
      <c r="F126" s="7" t="s">
        <v>170</v>
      </c>
      <c r="G126" s="7" t="s">
        <v>263</v>
      </c>
      <c r="H126" s="7" t="s">
        <v>172</v>
      </c>
      <c r="I126" s="7" t="s">
        <v>173</v>
      </c>
      <c r="J126" s="7" t="s">
        <v>174</v>
      </c>
      <c r="K126" s="7" t="s">
        <v>245</v>
      </c>
      <c r="L126" s="7"/>
      <c r="M126" s="7" t="s">
        <v>173</v>
      </c>
      <c r="N126" s="26">
        <v>2.0400000000000009</v>
      </c>
      <c r="O126" s="26">
        <v>1.7</v>
      </c>
      <c r="P126" s="26">
        <v>0</v>
      </c>
      <c r="Q126" s="26">
        <v>3.7400000000000011</v>
      </c>
      <c r="R126" s="27">
        <v>0.30837789661319082</v>
      </c>
      <c r="S126" s="26">
        <v>1.870000000000001</v>
      </c>
      <c r="T126" s="26">
        <v>1.870000000000001</v>
      </c>
      <c r="U126" s="28">
        <v>1</v>
      </c>
      <c r="AA126" s="29">
        <f t="shared" si="18"/>
        <v>2.0400000000000009</v>
      </c>
      <c r="AB126" s="29">
        <f t="shared" si="19"/>
        <v>1.7</v>
      </c>
      <c r="AC126" s="29">
        <f t="shared" si="20"/>
        <v>0</v>
      </c>
      <c r="AD126" s="29">
        <f t="shared" si="21"/>
        <v>3.7400000000000011</v>
      </c>
      <c r="AE126" s="15">
        <f t="shared" si="22"/>
        <v>0.30837789661319082</v>
      </c>
      <c r="AF126" s="29">
        <f t="shared" si="23"/>
        <v>1.153333333333334</v>
      </c>
      <c r="AG126" s="12" t="s">
        <v>72</v>
      </c>
      <c r="AH126" s="24"/>
    </row>
    <row r="127" spans="1:34" x14ac:dyDescent="0.35">
      <c r="A127" s="25">
        <v>123</v>
      </c>
      <c r="B127" s="7">
        <v>13820</v>
      </c>
      <c r="C127" s="7" t="s">
        <v>495</v>
      </c>
      <c r="D127" s="7" t="s">
        <v>496</v>
      </c>
      <c r="E127" s="7" t="s">
        <v>248</v>
      </c>
      <c r="F127" s="7" t="s">
        <v>238</v>
      </c>
      <c r="G127" s="7" t="s">
        <v>249</v>
      </c>
      <c r="H127" s="7" t="s">
        <v>231</v>
      </c>
      <c r="I127" s="7" t="s">
        <v>173</v>
      </c>
      <c r="J127" s="7" t="s">
        <v>174</v>
      </c>
      <c r="K127" s="7" t="s">
        <v>274</v>
      </c>
      <c r="L127" s="7" t="s">
        <v>277</v>
      </c>
      <c r="M127" s="7" t="s">
        <v>173</v>
      </c>
      <c r="N127" s="26">
        <v>20.59041666666667</v>
      </c>
      <c r="O127" s="26">
        <v>5.0458333333333316</v>
      </c>
      <c r="P127" s="26">
        <v>18.145833333333329</v>
      </c>
      <c r="Q127" s="26">
        <v>43.782083333333333</v>
      </c>
      <c r="R127" s="27">
        <v>0.98365960200614777</v>
      </c>
      <c r="S127" s="26">
        <v>21.89104166666667</v>
      </c>
      <c r="T127" s="26">
        <v>21.89104166666667</v>
      </c>
      <c r="U127" s="28">
        <v>1</v>
      </c>
      <c r="AA127" s="29">
        <f t="shared" si="18"/>
        <v>20.59041666666667</v>
      </c>
      <c r="AB127" s="29">
        <f t="shared" si="19"/>
        <v>5.0458333333333316</v>
      </c>
      <c r="AC127" s="29">
        <f t="shared" si="20"/>
        <v>18.145833333333329</v>
      </c>
      <c r="AD127" s="29">
        <f t="shared" si="21"/>
        <v>43.782083333333333</v>
      </c>
      <c r="AE127" s="15">
        <f t="shared" si="22"/>
        <v>0.98365960200614777</v>
      </c>
      <c r="AF127" s="29">
        <f t="shared" si="23"/>
        <v>43.066666666666663</v>
      </c>
      <c r="AG127" s="12" t="s">
        <v>72</v>
      </c>
      <c r="AH127" s="24"/>
    </row>
    <row r="128" spans="1:34" x14ac:dyDescent="0.35">
      <c r="A128" s="25">
        <v>124</v>
      </c>
      <c r="B128" s="7">
        <v>13856</v>
      </c>
      <c r="C128" s="7" t="s">
        <v>497</v>
      </c>
      <c r="D128" s="7" t="s">
        <v>498</v>
      </c>
      <c r="E128" s="7" t="s">
        <v>258</v>
      </c>
      <c r="F128" s="7" t="s">
        <v>238</v>
      </c>
      <c r="G128" s="7" t="s">
        <v>259</v>
      </c>
      <c r="H128" s="7" t="s">
        <v>172</v>
      </c>
      <c r="I128" s="7" t="s">
        <v>173</v>
      </c>
      <c r="J128" s="7" t="s">
        <v>174</v>
      </c>
      <c r="K128" s="7" t="s">
        <v>499</v>
      </c>
      <c r="L128" s="7"/>
      <c r="M128" s="7" t="s">
        <v>173</v>
      </c>
      <c r="N128" s="26">
        <v>4.4024999999999999</v>
      </c>
      <c r="O128" s="26">
        <v>1.958333333333333</v>
      </c>
      <c r="P128" s="26">
        <v>4.1666666666666657E-2</v>
      </c>
      <c r="Q128" s="26">
        <v>6.4025000000000007</v>
      </c>
      <c r="R128" s="27">
        <v>0.95769881556683589</v>
      </c>
      <c r="S128" s="26">
        <v>3.2012499999999999</v>
      </c>
      <c r="T128" s="26">
        <v>3.2012499999999999</v>
      </c>
      <c r="U128" s="28">
        <v>1</v>
      </c>
      <c r="AA128" s="29">
        <f t="shared" si="18"/>
        <v>4.4024999999999999</v>
      </c>
      <c r="AB128" s="29">
        <f t="shared" si="19"/>
        <v>1.958333333333333</v>
      </c>
      <c r="AC128" s="29">
        <f t="shared" si="20"/>
        <v>4.1666666666666657E-2</v>
      </c>
      <c r="AD128" s="29">
        <f t="shared" si="21"/>
        <v>6.4025000000000007</v>
      </c>
      <c r="AE128" s="15">
        <f t="shared" si="22"/>
        <v>0.95769881556683589</v>
      </c>
      <c r="AF128" s="29">
        <f t="shared" si="23"/>
        <v>6.1316666666666677</v>
      </c>
      <c r="AG128" s="12" t="s">
        <v>72</v>
      </c>
      <c r="AH128" s="24"/>
    </row>
    <row r="129" spans="1:34" x14ac:dyDescent="0.35">
      <c r="A129" s="25">
        <v>125</v>
      </c>
      <c r="B129" s="7">
        <v>13863</v>
      </c>
      <c r="C129" s="7" t="s">
        <v>500</v>
      </c>
      <c r="D129" s="7" t="s">
        <v>501</v>
      </c>
      <c r="E129" s="7" t="s">
        <v>237</v>
      </c>
      <c r="F129" s="7" t="s">
        <v>238</v>
      </c>
      <c r="G129" s="7" t="s">
        <v>239</v>
      </c>
      <c r="H129" s="7" t="s">
        <v>231</v>
      </c>
      <c r="I129" s="7" t="s">
        <v>173</v>
      </c>
      <c r="J129" s="7" t="s">
        <v>371</v>
      </c>
      <c r="K129" s="7" t="s">
        <v>274</v>
      </c>
      <c r="L129" s="7" t="s">
        <v>176</v>
      </c>
      <c r="M129" s="7" t="s">
        <v>173</v>
      </c>
      <c r="N129" s="26">
        <v>1</v>
      </c>
      <c r="O129" s="26">
        <v>0</v>
      </c>
      <c r="P129" s="26">
        <v>0</v>
      </c>
      <c r="Q129" s="26">
        <v>0</v>
      </c>
      <c r="R129" s="27">
        <v>0</v>
      </c>
      <c r="S129" s="26">
        <v>0</v>
      </c>
      <c r="T129" s="26">
        <v>0</v>
      </c>
      <c r="U129" s="28">
        <v>1</v>
      </c>
      <c r="AA129" s="29">
        <f t="shared" si="18"/>
        <v>1</v>
      </c>
      <c r="AB129" s="29">
        <f t="shared" si="19"/>
        <v>0</v>
      </c>
      <c r="AC129" s="29">
        <f t="shared" si="20"/>
        <v>0</v>
      </c>
      <c r="AD129" s="29">
        <f t="shared" si="21"/>
        <v>0</v>
      </c>
      <c r="AE129" s="15">
        <f t="shared" si="22"/>
        <v>0</v>
      </c>
      <c r="AF129" s="29">
        <f t="shared" si="23"/>
        <v>0</v>
      </c>
      <c r="AG129" s="12" t="s">
        <v>70</v>
      </c>
      <c r="AH129" s="24"/>
    </row>
    <row r="130" spans="1:34" x14ac:dyDescent="0.35">
      <c r="A130" s="25">
        <v>126</v>
      </c>
      <c r="B130" s="7">
        <v>13884</v>
      </c>
      <c r="C130" s="7" t="s">
        <v>502</v>
      </c>
      <c r="D130" s="7" t="s">
        <v>503</v>
      </c>
      <c r="E130" s="7" t="s">
        <v>243</v>
      </c>
      <c r="F130" s="7" t="s">
        <v>238</v>
      </c>
      <c r="G130" s="7" t="s">
        <v>244</v>
      </c>
      <c r="H130" s="7" t="s">
        <v>172</v>
      </c>
      <c r="I130" s="7" t="s">
        <v>173</v>
      </c>
      <c r="J130" s="7" t="s">
        <v>174</v>
      </c>
      <c r="K130" s="7" t="s">
        <v>274</v>
      </c>
      <c r="L130" s="7"/>
      <c r="M130" s="7" t="s">
        <v>173</v>
      </c>
      <c r="N130" s="26">
        <v>0.4</v>
      </c>
      <c r="O130" s="26">
        <v>0.3</v>
      </c>
      <c r="P130" s="26">
        <v>0</v>
      </c>
      <c r="Q130" s="26">
        <v>4.2762499999999992</v>
      </c>
      <c r="R130" s="27">
        <v>0.90909090909090917</v>
      </c>
      <c r="S130" s="26">
        <v>2.1381250000000001</v>
      </c>
      <c r="T130" s="26">
        <v>2.1381250000000001</v>
      </c>
      <c r="U130" s="28">
        <v>1</v>
      </c>
      <c r="AA130" s="29">
        <f t="shared" si="18"/>
        <v>0.4</v>
      </c>
      <c r="AB130" s="29">
        <f t="shared" si="19"/>
        <v>0.3</v>
      </c>
      <c r="AC130" s="29">
        <f t="shared" si="20"/>
        <v>0</v>
      </c>
      <c r="AD130" s="29">
        <f t="shared" si="21"/>
        <v>4.2762499999999992</v>
      </c>
      <c r="AE130" s="15">
        <f t="shared" si="22"/>
        <v>0.90909090909090917</v>
      </c>
      <c r="AF130" s="29">
        <f t="shared" si="23"/>
        <v>3.8874999999999997</v>
      </c>
      <c r="AG130" s="12" t="s">
        <v>72</v>
      </c>
      <c r="AH130" s="24"/>
    </row>
    <row r="131" spans="1:34" x14ac:dyDescent="0.35">
      <c r="A131" s="25">
        <v>127</v>
      </c>
      <c r="B131" s="7">
        <v>13888</v>
      </c>
      <c r="C131" s="7" t="s">
        <v>504</v>
      </c>
      <c r="D131" s="7" t="s">
        <v>505</v>
      </c>
      <c r="E131" s="7" t="s">
        <v>288</v>
      </c>
      <c r="F131" s="7" t="s">
        <v>289</v>
      </c>
      <c r="G131" s="7" t="s">
        <v>312</v>
      </c>
      <c r="H131" s="7" t="s">
        <v>231</v>
      </c>
      <c r="I131" s="7" t="s">
        <v>173</v>
      </c>
      <c r="J131" s="7" t="s">
        <v>174</v>
      </c>
      <c r="K131" s="7" t="s">
        <v>473</v>
      </c>
      <c r="L131" s="7"/>
      <c r="M131" s="7" t="s">
        <v>173</v>
      </c>
      <c r="N131" s="26">
        <v>2.947500000000002</v>
      </c>
      <c r="O131" s="26">
        <v>0.49999999999999989</v>
      </c>
      <c r="P131" s="26">
        <v>1</v>
      </c>
      <c r="Q131" s="26">
        <v>4.4475000000000016</v>
      </c>
      <c r="R131" s="27">
        <v>0.2407719692711261</v>
      </c>
      <c r="S131" s="26">
        <v>2.2237500000000008</v>
      </c>
      <c r="T131" s="26">
        <v>2.2237500000000008</v>
      </c>
      <c r="U131" s="28">
        <v>1</v>
      </c>
      <c r="AA131" s="29">
        <f t="shared" si="18"/>
        <v>2.947500000000002</v>
      </c>
      <c r="AB131" s="29">
        <f t="shared" si="19"/>
        <v>0.49999999999999989</v>
      </c>
      <c r="AC131" s="29">
        <f t="shared" si="20"/>
        <v>1</v>
      </c>
      <c r="AD131" s="29">
        <f t="shared" si="21"/>
        <v>4.4475000000000016</v>
      </c>
      <c r="AE131" s="15">
        <f t="shared" si="22"/>
        <v>0.2407719692711261</v>
      </c>
      <c r="AF131" s="29">
        <f t="shared" si="23"/>
        <v>1.0708333333333337</v>
      </c>
      <c r="AG131" s="12" t="s">
        <v>72</v>
      </c>
      <c r="AH131" s="24"/>
    </row>
    <row r="132" spans="1:34" x14ac:dyDescent="0.35">
      <c r="A132" s="25">
        <v>128</v>
      </c>
      <c r="B132" s="7">
        <v>13971</v>
      </c>
      <c r="C132" s="7" t="s">
        <v>506</v>
      </c>
      <c r="D132" s="7" t="s">
        <v>507</v>
      </c>
      <c r="E132" s="7" t="s">
        <v>258</v>
      </c>
      <c r="F132" s="7" t="s">
        <v>238</v>
      </c>
      <c r="G132" s="7" t="s">
        <v>259</v>
      </c>
      <c r="H132" s="7" t="s">
        <v>172</v>
      </c>
      <c r="I132" s="7" t="s">
        <v>173</v>
      </c>
      <c r="J132" s="7" t="s">
        <v>174</v>
      </c>
      <c r="K132" s="7" t="s">
        <v>245</v>
      </c>
      <c r="L132" s="7"/>
      <c r="M132" s="7" t="s">
        <v>173</v>
      </c>
      <c r="N132" s="26">
        <v>0.95416666666666661</v>
      </c>
      <c r="O132" s="26">
        <v>0.54999999999999993</v>
      </c>
      <c r="P132" s="26">
        <v>0</v>
      </c>
      <c r="Q132" s="26">
        <v>1.504166666666666</v>
      </c>
      <c r="R132" s="27">
        <v>0.29362880886426601</v>
      </c>
      <c r="S132" s="26">
        <v>0.75208333333333321</v>
      </c>
      <c r="T132" s="26">
        <v>0.75208333333333321</v>
      </c>
      <c r="U132" s="28">
        <v>1</v>
      </c>
      <c r="AA132" s="29">
        <f t="shared" si="18"/>
        <v>0.95416666666666661</v>
      </c>
      <c r="AB132" s="29">
        <f t="shared" si="19"/>
        <v>0.54999999999999993</v>
      </c>
      <c r="AC132" s="29">
        <f t="shared" si="20"/>
        <v>0</v>
      </c>
      <c r="AD132" s="29">
        <f t="shared" si="21"/>
        <v>1.504166666666666</v>
      </c>
      <c r="AE132" s="15">
        <f t="shared" si="22"/>
        <v>0.29362880886426601</v>
      </c>
      <c r="AF132" s="29">
        <f t="shared" si="23"/>
        <v>0.4416666666666666</v>
      </c>
      <c r="AG132" s="12" t="s">
        <v>72</v>
      </c>
      <c r="AH132" s="24"/>
    </row>
    <row r="133" spans="1:34" x14ac:dyDescent="0.35">
      <c r="A133" s="25">
        <v>129</v>
      </c>
      <c r="B133" s="7">
        <v>13982</v>
      </c>
      <c r="C133" s="7" t="s">
        <v>508</v>
      </c>
      <c r="D133" s="7" t="s">
        <v>509</v>
      </c>
      <c r="E133" s="7" t="s">
        <v>237</v>
      </c>
      <c r="F133" s="7" t="s">
        <v>238</v>
      </c>
      <c r="G133" s="7" t="s">
        <v>239</v>
      </c>
      <c r="H133" s="7" t="s">
        <v>172</v>
      </c>
      <c r="I133" s="7" t="s">
        <v>173</v>
      </c>
      <c r="J133" s="7" t="s">
        <v>174</v>
      </c>
      <c r="K133" s="7" t="s">
        <v>274</v>
      </c>
      <c r="L133" s="7"/>
      <c r="M133" s="7" t="s">
        <v>173</v>
      </c>
      <c r="N133" s="26">
        <v>0.86916666666666664</v>
      </c>
      <c r="O133" s="26">
        <v>3.3333333333333333E-2</v>
      </c>
      <c r="P133" s="26">
        <v>0</v>
      </c>
      <c r="Q133" s="26">
        <v>0.90249999999999997</v>
      </c>
      <c r="R133" s="27">
        <v>1</v>
      </c>
      <c r="S133" s="26">
        <v>0.45124999999999998</v>
      </c>
      <c r="T133" s="26">
        <v>0.45124999999999998</v>
      </c>
      <c r="U133" s="28">
        <v>1</v>
      </c>
      <c r="AA133" s="29">
        <f t="shared" ref="AA133:AA146" si="24">N133</f>
        <v>0.86916666666666664</v>
      </c>
      <c r="AB133" s="29">
        <f t="shared" ref="AB133:AB146" si="25">O133</f>
        <v>3.3333333333333333E-2</v>
      </c>
      <c r="AC133" s="29">
        <f t="shared" ref="AC133:AC146" si="26">P133</f>
        <v>0</v>
      </c>
      <c r="AD133" s="29">
        <f t="shared" ref="AD133:AD146" si="27">Q133</f>
        <v>0.90249999999999997</v>
      </c>
      <c r="AE133" s="15">
        <f t="shared" ref="AE133:AE146" si="28">R133</f>
        <v>1</v>
      </c>
      <c r="AF133" s="29">
        <f t="shared" ref="AF133:AF146" si="29">Q133*R133</f>
        <v>0.90249999999999997</v>
      </c>
      <c r="AG133" s="12" t="s">
        <v>72</v>
      </c>
      <c r="AH133" s="24"/>
    </row>
    <row r="134" spans="1:34" x14ac:dyDescent="0.35">
      <c r="A134" s="25">
        <v>130</v>
      </c>
      <c r="B134" s="7">
        <v>14049</v>
      </c>
      <c r="C134" s="7" t="s">
        <v>510</v>
      </c>
      <c r="D134" s="7" t="s">
        <v>511</v>
      </c>
      <c r="E134" s="7" t="s">
        <v>298</v>
      </c>
      <c r="F134" s="7" t="s">
        <v>289</v>
      </c>
      <c r="G134" s="7" t="s">
        <v>299</v>
      </c>
      <c r="H134" s="7" t="s">
        <v>231</v>
      </c>
      <c r="I134" s="7" t="s">
        <v>173</v>
      </c>
      <c r="J134" s="7" t="s">
        <v>174</v>
      </c>
      <c r="K134" s="7" t="s">
        <v>512</v>
      </c>
      <c r="L134" s="7" t="s">
        <v>277</v>
      </c>
      <c r="M134" s="7" t="s">
        <v>180</v>
      </c>
      <c r="N134" s="26">
        <v>0</v>
      </c>
      <c r="O134" s="26">
        <v>0</v>
      </c>
      <c r="P134" s="26">
        <v>0.125</v>
      </c>
      <c r="Q134" s="26">
        <v>0.125</v>
      </c>
      <c r="R134" s="27">
        <v>1</v>
      </c>
      <c r="S134" s="26">
        <v>6.25E-2</v>
      </c>
      <c r="T134" s="26">
        <v>6.25E-2</v>
      </c>
      <c r="U134" s="28">
        <v>1</v>
      </c>
      <c r="AA134" s="29">
        <f t="shared" si="24"/>
        <v>0</v>
      </c>
      <c r="AB134" s="29">
        <f t="shared" si="25"/>
        <v>0</v>
      </c>
      <c r="AC134" s="29">
        <f t="shared" si="26"/>
        <v>0.125</v>
      </c>
      <c r="AD134" s="29">
        <f t="shared" si="27"/>
        <v>0.125</v>
      </c>
      <c r="AE134" s="15">
        <f t="shared" si="28"/>
        <v>1</v>
      </c>
      <c r="AF134" s="29">
        <f t="shared" si="29"/>
        <v>0.125</v>
      </c>
      <c r="AG134" s="12" t="s">
        <v>74</v>
      </c>
      <c r="AH134" s="24"/>
    </row>
    <row r="135" spans="1:34" x14ac:dyDescent="0.35">
      <c r="A135" s="25">
        <v>131</v>
      </c>
      <c r="B135" s="7">
        <v>14059</v>
      </c>
      <c r="C135" s="7" t="s">
        <v>513</v>
      </c>
      <c r="D135" s="7" t="s">
        <v>514</v>
      </c>
      <c r="E135" s="7" t="s">
        <v>54</v>
      </c>
      <c r="F135" s="7" t="s">
        <v>170</v>
      </c>
      <c r="G135" s="7" t="s">
        <v>179</v>
      </c>
      <c r="H135" s="7" t="s">
        <v>172</v>
      </c>
      <c r="I135" s="7" t="s">
        <v>173</v>
      </c>
      <c r="J135" s="7" t="s">
        <v>174</v>
      </c>
      <c r="K135" s="7" t="s">
        <v>274</v>
      </c>
      <c r="L135" s="7"/>
      <c r="M135" s="7" t="s">
        <v>173</v>
      </c>
      <c r="N135" s="26">
        <v>1.0166666666666671</v>
      </c>
      <c r="O135" s="26">
        <v>1.041666666666667E-2</v>
      </c>
      <c r="P135" s="26">
        <v>0</v>
      </c>
      <c r="Q135" s="26">
        <v>1.0270833333333329</v>
      </c>
      <c r="R135" s="27">
        <v>0.9026369168356998</v>
      </c>
      <c r="S135" s="26">
        <v>0.51354166666666667</v>
      </c>
      <c r="T135" s="26">
        <v>0.51354166666666667</v>
      </c>
      <c r="U135" s="28">
        <v>1</v>
      </c>
      <c r="AA135" s="29">
        <f t="shared" si="24"/>
        <v>1.0166666666666671</v>
      </c>
      <c r="AB135" s="29">
        <f t="shared" si="25"/>
        <v>1.041666666666667E-2</v>
      </c>
      <c r="AC135" s="29">
        <f t="shared" si="26"/>
        <v>0</v>
      </c>
      <c r="AD135" s="29">
        <f t="shared" si="27"/>
        <v>1.0270833333333329</v>
      </c>
      <c r="AE135" s="15">
        <f t="shared" si="28"/>
        <v>0.9026369168356998</v>
      </c>
      <c r="AF135" s="29">
        <f t="shared" si="29"/>
        <v>0.92708333333333293</v>
      </c>
      <c r="AG135" s="12" t="s">
        <v>72</v>
      </c>
      <c r="AH135" s="24" t="s">
        <v>191</v>
      </c>
    </row>
    <row r="136" spans="1:34" x14ac:dyDescent="0.35">
      <c r="A136" s="25">
        <v>132</v>
      </c>
      <c r="B136" s="7">
        <v>14097</v>
      </c>
      <c r="C136" s="7" t="s">
        <v>515</v>
      </c>
      <c r="D136" s="7" t="s">
        <v>516</v>
      </c>
      <c r="E136" s="7" t="s">
        <v>298</v>
      </c>
      <c r="F136" s="7" t="s">
        <v>289</v>
      </c>
      <c r="G136" s="7" t="s">
        <v>299</v>
      </c>
      <c r="H136" s="7" t="s">
        <v>231</v>
      </c>
      <c r="I136" s="7" t="s">
        <v>173</v>
      </c>
      <c r="J136" s="7" t="s">
        <v>371</v>
      </c>
      <c r="K136" s="7" t="s">
        <v>517</v>
      </c>
      <c r="L136" s="7" t="s">
        <v>176</v>
      </c>
      <c r="M136" s="7" t="s">
        <v>180</v>
      </c>
      <c r="N136" s="26">
        <v>8.3333333333333329E-2</v>
      </c>
      <c r="O136" s="26">
        <v>0</v>
      </c>
      <c r="P136" s="26">
        <v>8.3333333333333329E-2</v>
      </c>
      <c r="Q136" s="26">
        <v>0.16666666666666671</v>
      </c>
      <c r="R136" s="27">
        <v>1</v>
      </c>
      <c r="S136" s="26">
        <v>8.3333333333333329E-2</v>
      </c>
      <c r="T136" s="26">
        <v>8.3333333333333329E-2</v>
      </c>
      <c r="U136" s="28">
        <v>1</v>
      </c>
      <c r="AA136" s="29">
        <f t="shared" si="24"/>
        <v>8.3333333333333329E-2</v>
      </c>
      <c r="AB136" s="29">
        <f t="shared" si="25"/>
        <v>0</v>
      </c>
      <c r="AC136" s="29">
        <f t="shared" si="26"/>
        <v>8.3333333333333329E-2</v>
      </c>
      <c r="AD136" s="29">
        <f t="shared" si="27"/>
        <v>0.16666666666666671</v>
      </c>
      <c r="AE136" s="15">
        <f t="shared" si="28"/>
        <v>1</v>
      </c>
      <c r="AF136" s="29">
        <f t="shared" si="29"/>
        <v>0.16666666666666671</v>
      </c>
      <c r="AG136" s="12" t="s">
        <v>74</v>
      </c>
      <c r="AH136" s="24"/>
    </row>
    <row r="137" spans="1:34" x14ac:dyDescent="0.35">
      <c r="A137" s="25">
        <v>133</v>
      </c>
      <c r="B137" s="7">
        <v>14217</v>
      </c>
      <c r="C137" s="7" t="s">
        <v>518</v>
      </c>
      <c r="D137" s="7" t="s">
        <v>519</v>
      </c>
      <c r="E137" s="7" t="s">
        <v>298</v>
      </c>
      <c r="F137" s="7" t="s">
        <v>289</v>
      </c>
      <c r="G137" s="7" t="s">
        <v>326</v>
      </c>
      <c r="H137" s="7" t="s">
        <v>172</v>
      </c>
      <c r="I137" s="7" t="s">
        <v>173</v>
      </c>
      <c r="J137" s="7" t="s">
        <v>174</v>
      </c>
      <c r="K137" s="7" t="s">
        <v>245</v>
      </c>
      <c r="L137" s="7"/>
      <c r="M137" s="7" t="s">
        <v>173</v>
      </c>
      <c r="N137" s="26">
        <v>0.80833333333333335</v>
      </c>
      <c r="O137" s="26">
        <v>7.4999999999999997E-2</v>
      </c>
      <c r="P137" s="26">
        <v>0</v>
      </c>
      <c r="Q137" s="26">
        <v>0.8833333333333333</v>
      </c>
      <c r="R137" s="27">
        <v>0.48113207547169817</v>
      </c>
      <c r="S137" s="26">
        <v>0.44166666666666671</v>
      </c>
      <c r="T137" s="26">
        <v>0.44166666666666671</v>
      </c>
      <c r="U137" s="28">
        <v>1</v>
      </c>
      <c r="AA137" s="29">
        <f t="shared" si="24"/>
        <v>0.80833333333333335</v>
      </c>
      <c r="AB137" s="29">
        <f t="shared" si="25"/>
        <v>7.4999999999999997E-2</v>
      </c>
      <c r="AC137" s="29">
        <f t="shared" si="26"/>
        <v>0</v>
      </c>
      <c r="AD137" s="29">
        <f t="shared" si="27"/>
        <v>0.8833333333333333</v>
      </c>
      <c r="AE137" s="15">
        <f t="shared" si="28"/>
        <v>0.48113207547169817</v>
      </c>
      <c r="AF137" s="29">
        <f t="shared" si="29"/>
        <v>0.42500000000000004</v>
      </c>
      <c r="AG137" s="12" t="s">
        <v>72</v>
      </c>
      <c r="AH137" s="24"/>
    </row>
    <row r="138" spans="1:34" x14ac:dyDescent="0.35">
      <c r="A138" s="25">
        <v>134</v>
      </c>
      <c r="B138" s="7">
        <v>14267</v>
      </c>
      <c r="C138" s="7" t="s">
        <v>520</v>
      </c>
      <c r="D138" s="7" t="s">
        <v>521</v>
      </c>
      <c r="E138" s="7" t="s">
        <v>237</v>
      </c>
      <c r="F138" s="7" t="s">
        <v>238</v>
      </c>
      <c r="G138" s="7" t="s">
        <v>239</v>
      </c>
      <c r="H138" s="7" t="s">
        <v>231</v>
      </c>
      <c r="I138" s="7" t="s">
        <v>173</v>
      </c>
      <c r="J138" s="7" t="s">
        <v>174</v>
      </c>
      <c r="K138" s="7" t="s">
        <v>274</v>
      </c>
      <c r="L138" s="7"/>
      <c r="M138" s="7" t="s">
        <v>173</v>
      </c>
      <c r="N138" s="26">
        <v>12.25666666666668</v>
      </c>
      <c r="O138" s="26">
        <v>0.5</v>
      </c>
      <c r="P138" s="26">
        <v>0</v>
      </c>
      <c r="Q138" s="26">
        <v>12.75666666666668</v>
      </c>
      <c r="R138" s="27">
        <v>0.88241442383067681</v>
      </c>
      <c r="S138" s="26">
        <v>6.3783333333333383</v>
      </c>
      <c r="T138" s="26">
        <v>6.3783333333333383</v>
      </c>
      <c r="U138" s="28">
        <v>1</v>
      </c>
      <c r="AA138" s="29">
        <f t="shared" si="24"/>
        <v>12.25666666666668</v>
      </c>
      <c r="AB138" s="29">
        <f t="shared" si="25"/>
        <v>0.5</v>
      </c>
      <c r="AC138" s="29">
        <f t="shared" si="26"/>
        <v>0</v>
      </c>
      <c r="AD138" s="29">
        <f t="shared" si="27"/>
        <v>12.75666666666668</v>
      </c>
      <c r="AE138" s="15">
        <f t="shared" si="28"/>
        <v>0.88241442383067681</v>
      </c>
      <c r="AF138" s="29">
        <f t="shared" si="29"/>
        <v>11.256666666666678</v>
      </c>
      <c r="AG138" s="12" t="s">
        <v>72</v>
      </c>
      <c r="AH138" s="24"/>
    </row>
    <row r="139" spans="1:34" x14ac:dyDescent="0.35">
      <c r="A139" s="25">
        <v>135</v>
      </c>
      <c r="B139" s="7">
        <v>14285</v>
      </c>
      <c r="C139" s="7" t="s">
        <v>522</v>
      </c>
      <c r="D139" s="7" t="s">
        <v>523</v>
      </c>
      <c r="E139" s="7" t="s">
        <v>169</v>
      </c>
      <c r="F139" s="7" t="s">
        <v>170</v>
      </c>
      <c r="G139" s="7" t="s">
        <v>171</v>
      </c>
      <c r="H139" s="7" t="s">
        <v>172</v>
      </c>
      <c r="I139" s="7" t="s">
        <v>173</v>
      </c>
      <c r="J139" s="7" t="s">
        <v>174</v>
      </c>
      <c r="K139" s="7" t="s">
        <v>524</v>
      </c>
      <c r="L139" s="7" t="s">
        <v>277</v>
      </c>
      <c r="M139" s="7" t="s">
        <v>173</v>
      </c>
      <c r="N139" s="26">
        <v>14.975</v>
      </c>
      <c r="O139" s="26">
        <v>1.341666666666667</v>
      </c>
      <c r="P139" s="26">
        <v>0</v>
      </c>
      <c r="Q139" s="26">
        <v>16.31666666666667</v>
      </c>
      <c r="R139" s="27">
        <v>0.98774259448416757</v>
      </c>
      <c r="S139" s="26">
        <v>8.158333333333335</v>
      </c>
      <c r="T139" s="26">
        <v>8.158333333333335</v>
      </c>
      <c r="U139" s="28">
        <v>1</v>
      </c>
      <c r="AA139" s="29">
        <f t="shared" si="24"/>
        <v>14.975</v>
      </c>
      <c r="AB139" s="29">
        <f t="shared" si="25"/>
        <v>1.341666666666667</v>
      </c>
      <c r="AC139" s="29">
        <f t="shared" si="26"/>
        <v>0</v>
      </c>
      <c r="AD139" s="29">
        <f t="shared" si="27"/>
        <v>16.31666666666667</v>
      </c>
      <c r="AE139" s="15">
        <f t="shared" si="28"/>
        <v>0.98774259448416757</v>
      </c>
      <c r="AF139" s="29">
        <f t="shared" si="29"/>
        <v>16.116666666666671</v>
      </c>
      <c r="AG139" s="12" t="s">
        <v>72</v>
      </c>
      <c r="AH139" s="24"/>
    </row>
    <row r="140" spans="1:34" x14ac:dyDescent="0.35">
      <c r="A140" s="25">
        <v>136</v>
      </c>
      <c r="B140" s="7">
        <v>14322</v>
      </c>
      <c r="C140" s="7" t="s">
        <v>525</v>
      </c>
      <c r="D140" s="7" t="s">
        <v>526</v>
      </c>
      <c r="E140" s="7" t="s">
        <v>248</v>
      </c>
      <c r="F140" s="7" t="s">
        <v>238</v>
      </c>
      <c r="G140" s="7" t="s">
        <v>249</v>
      </c>
      <c r="H140" s="7" t="s">
        <v>172</v>
      </c>
      <c r="I140" s="7" t="s">
        <v>173</v>
      </c>
      <c r="J140" s="7" t="s">
        <v>371</v>
      </c>
      <c r="K140" s="7" t="s">
        <v>274</v>
      </c>
      <c r="L140" s="7" t="s">
        <v>176</v>
      </c>
      <c r="M140" s="7" t="s">
        <v>173</v>
      </c>
      <c r="N140" s="26">
        <v>11.491666666666671</v>
      </c>
      <c r="O140" s="26">
        <v>0.70833333333333337</v>
      </c>
      <c r="P140" s="26">
        <v>4.5</v>
      </c>
      <c r="Q140" s="26">
        <v>16.7</v>
      </c>
      <c r="R140" s="27">
        <v>0.98702594810379252</v>
      </c>
      <c r="S140" s="26">
        <v>8.3500000000000014</v>
      </c>
      <c r="T140" s="26">
        <v>8.3500000000000014</v>
      </c>
      <c r="U140" s="28">
        <v>1</v>
      </c>
      <c r="AA140" s="29">
        <f t="shared" si="24"/>
        <v>11.491666666666671</v>
      </c>
      <c r="AB140" s="29">
        <f t="shared" si="25"/>
        <v>0.70833333333333337</v>
      </c>
      <c r="AC140" s="29">
        <f t="shared" si="26"/>
        <v>4.5</v>
      </c>
      <c r="AD140" s="29">
        <f t="shared" si="27"/>
        <v>16.7</v>
      </c>
      <c r="AE140" s="15">
        <f t="shared" si="28"/>
        <v>0.98702594810379252</v>
      </c>
      <c r="AF140" s="29">
        <f t="shared" si="29"/>
        <v>16.483333333333334</v>
      </c>
      <c r="AG140" s="12" t="s">
        <v>70</v>
      </c>
      <c r="AH140" s="24"/>
    </row>
    <row r="141" spans="1:34" x14ac:dyDescent="0.35">
      <c r="A141" s="25">
        <v>137</v>
      </c>
      <c r="B141" s="7">
        <v>14376</v>
      </c>
      <c r="C141" s="7" t="s">
        <v>527</v>
      </c>
      <c r="D141" s="7" t="s">
        <v>528</v>
      </c>
      <c r="E141" s="7" t="s">
        <v>262</v>
      </c>
      <c r="F141" s="7" t="s">
        <v>170</v>
      </c>
      <c r="G141" s="7" t="s">
        <v>263</v>
      </c>
      <c r="H141" s="7" t="s">
        <v>172</v>
      </c>
      <c r="I141" s="7" t="s">
        <v>173</v>
      </c>
      <c r="J141" s="7" t="s">
        <v>174</v>
      </c>
      <c r="K141" s="7" t="s">
        <v>245</v>
      </c>
      <c r="L141" s="7"/>
      <c r="M141" s="7" t="s">
        <v>173</v>
      </c>
      <c r="N141" s="26">
        <v>0.27479166666666671</v>
      </c>
      <c r="O141" s="26">
        <v>0</v>
      </c>
      <c r="P141" s="26">
        <v>0</v>
      </c>
      <c r="Q141" s="26">
        <v>0.27479166666666671</v>
      </c>
      <c r="R141" s="27">
        <v>0.7725549658832449</v>
      </c>
      <c r="S141" s="26">
        <v>0.13739583333333341</v>
      </c>
      <c r="T141" s="26">
        <v>0.13739583333333341</v>
      </c>
      <c r="U141" s="28">
        <v>1</v>
      </c>
      <c r="AA141" s="29">
        <f t="shared" si="24"/>
        <v>0.27479166666666671</v>
      </c>
      <c r="AB141" s="29">
        <f t="shared" si="25"/>
        <v>0</v>
      </c>
      <c r="AC141" s="29">
        <f t="shared" si="26"/>
        <v>0</v>
      </c>
      <c r="AD141" s="29">
        <f t="shared" si="27"/>
        <v>0.27479166666666671</v>
      </c>
      <c r="AE141" s="15">
        <f t="shared" si="28"/>
        <v>0.7725549658832449</v>
      </c>
      <c r="AF141" s="29">
        <f t="shared" si="29"/>
        <v>0.21229166666666671</v>
      </c>
      <c r="AG141" s="12" t="s">
        <v>72</v>
      </c>
      <c r="AH141" s="24"/>
    </row>
    <row r="142" spans="1:34" x14ac:dyDescent="0.35">
      <c r="A142" s="25">
        <v>138</v>
      </c>
      <c r="B142" s="7">
        <v>14377</v>
      </c>
      <c r="C142" s="7" t="s">
        <v>529</v>
      </c>
      <c r="D142" s="7" t="s">
        <v>530</v>
      </c>
      <c r="E142" s="7" t="s">
        <v>262</v>
      </c>
      <c r="F142" s="7" t="s">
        <v>170</v>
      </c>
      <c r="G142" s="7" t="s">
        <v>263</v>
      </c>
      <c r="H142" s="7" t="s">
        <v>172</v>
      </c>
      <c r="I142" s="7" t="s">
        <v>173</v>
      </c>
      <c r="J142" s="7" t="s">
        <v>174</v>
      </c>
      <c r="K142" s="7" t="s">
        <v>245</v>
      </c>
      <c r="L142" s="7"/>
      <c r="M142" s="7" t="s">
        <v>173</v>
      </c>
      <c r="N142" s="26">
        <v>0.59708333333333341</v>
      </c>
      <c r="O142" s="26">
        <v>0.12916666666666671</v>
      </c>
      <c r="P142" s="26">
        <v>0</v>
      </c>
      <c r="Q142" s="26">
        <v>0.72625000000000006</v>
      </c>
      <c r="R142" s="27">
        <v>0.97991967871485952</v>
      </c>
      <c r="S142" s="26">
        <v>0.36312499999999998</v>
      </c>
      <c r="T142" s="26">
        <v>0.36312499999999998</v>
      </c>
      <c r="U142" s="28">
        <v>1</v>
      </c>
      <c r="AA142" s="29">
        <f t="shared" si="24"/>
        <v>0.59708333333333341</v>
      </c>
      <c r="AB142" s="29">
        <f t="shared" si="25"/>
        <v>0.12916666666666671</v>
      </c>
      <c r="AC142" s="29">
        <f t="shared" si="26"/>
        <v>0</v>
      </c>
      <c r="AD142" s="29">
        <f t="shared" si="27"/>
        <v>0.72625000000000006</v>
      </c>
      <c r="AE142" s="15">
        <f t="shared" si="28"/>
        <v>0.97991967871485952</v>
      </c>
      <c r="AF142" s="29">
        <f t="shared" si="29"/>
        <v>0.71166666666666678</v>
      </c>
      <c r="AG142" s="12" t="s">
        <v>72</v>
      </c>
      <c r="AH142" s="24"/>
    </row>
    <row r="143" spans="1:34" x14ac:dyDescent="0.35">
      <c r="A143" s="25">
        <v>139</v>
      </c>
      <c r="B143" s="7">
        <v>14423</v>
      </c>
      <c r="C143" s="7" t="s">
        <v>531</v>
      </c>
      <c r="D143" s="7" t="s">
        <v>532</v>
      </c>
      <c r="E143" s="7" t="s">
        <v>248</v>
      </c>
      <c r="F143" s="7" t="s">
        <v>238</v>
      </c>
      <c r="G143" s="7" t="s">
        <v>249</v>
      </c>
      <c r="H143" s="7" t="s">
        <v>172</v>
      </c>
      <c r="I143" s="7" t="s">
        <v>180</v>
      </c>
      <c r="J143" s="7" t="s">
        <v>174</v>
      </c>
      <c r="K143" s="7" t="s">
        <v>245</v>
      </c>
      <c r="L143" s="7"/>
      <c r="M143" s="7" t="s">
        <v>173</v>
      </c>
      <c r="N143" s="26">
        <v>2.1225000000000001</v>
      </c>
      <c r="O143" s="26">
        <v>0</v>
      </c>
      <c r="P143" s="26">
        <v>0</v>
      </c>
      <c r="Q143" s="26">
        <v>2.1225000000000001</v>
      </c>
      <c r="R143" s="27">
        <v>0.75068708284255981</v>
      </c>
      <c r="S143" s="26">
        <v>1.06125</v>
      </c>
      <c r="T143" s="26">
        <v>1.06125</v>
      </c>
      <c r="U143" s="28">
        <v>1</v>
      </c>
      <c r="AA143" s="29">
        <f t="shared" si="24"/>
        <v>2.1225000000000001</v>
      </c>
      <c r="AB143" s="29">
        <f t="shared" si="25"/>
        <v>0</v>
      </c>
      <c r="AC143" s="29">
        <f t="shared" si="26"/>
        <v>0</v>
      </c>
      <c r="AD143" s="29">
        <f t="shared" si="27"/>
        <v>2.1225000000000001</v>
      </c>
      <c r="AE143" s="15">
        <f t="shared" si="28"/>
        <v>0.75068708284255981</v>
      </c>
      <c r="AF143" s="29">
        <f t="shared" si="29"/>
        <v>1.5933333333333333</v>
      </c>
      <c r="AG143" s="12" t="s">
        <v>72</v>
      </c>
      <c r="AH143" s="24"/>
    </row>
    <row r="144" spans="1:34" x14ac:dyDescent="0.35">
      <c r="A144" s="25">
        <v>140</v>
      </c>
      <c r="B144" s="7">
        <v>14595</v>
      </c>
      <c r="C144" s="7" t="s">
        <v>533</v>
      </c>
      <c r="D144" s="7" t="s">
        <v>534</v>
      </c>
      <c r="E144" s="7" t="s">
        <v>298</v>
      </c>
      <c r="F144" s="7" t="s">
        <v>289</v>
      </c>
      <c r="G144" s="7"/>
      <c r="H144" s="7" t="s">
        <v>172</v>
      </c>
      <c r="I144" s="7" t="s">
        <v>173</v>
      </c>
      <c r="J144" s="7" t="s">
        <v>174</v>
      </c>
      <c r="K144" s="7" t="s">
        <v>484</v>
      </c>
      <c r="L144" s="7" t="s">
        <v>277</v>
      </c>
      <c r="M144" s="7" t="s">
        <v>180</v>
      </c>
      <c r="N144" s="26">
        <v>60</v>
      </c>
      <c r="O144" s="26">
        <v>25</v>
      </c>
      <c r="P144" s="26">
        <v>25</v>
      </c>
      <c r="Q144" s="26">
        <v>110</v>
      </c>
      <c r="R144" s="27">
        <v>0.99242965891407664</v>
      </c>
      <c r="S144" s="26">
        <v>55</v>
      </c>
      <c r="T144" s="26">
        <v>55</v>
      </c>
      <c r="U144" s="28">
        <v>1</v>
      </c>
      <c r="AA144" s="29">
        <f t="shared" si="24"/>
        <v>60</v>
      </c>
      <c r="AB144" s="29">
        <f t="shared" si="25"/>
        <v>25</v>
      </c>
      <c r="AC144" s="29">
        <f t="shared" si="26"/>
        <v>25</v>
      </c>
      <c r="AD144" s="29">
        <f t="shared" si="27"/>
        <v>110</v>
      </c>
      <c r="AE144" s="15">
        <f t="shared" si="28"/>
        <v>0.99242965891407664</v>
      </c>
      <c r="AF144" s="29">
        <f t="shared" si="29"/>
        <v>109.16726248054843</v>
      </c>
      <c r="AG144" s="12" t="s">
        <v>74</v>
      </c>
      <c r="AH144" s="24"/>
    </row>
    <row r="145" spans="1:34" x14ac:dyDescent="0.35">
      <c r="A145" s="25">
        <v>141</v>
      </c>
      <c r="B145" s="7">
        <v>14701</v>
      </c>
      <c r="C145" s="7" t="s">
        <v>535</v>
      </c>
      <c r="D145" s="7" t="s">
        <v>536</v>
      </c>
      <c r="E145" s="7" t="s">
        <v>169</v>
      </c>
      <c r="F145" s="7" t="s">
        <v>170</v>
      </c>
      <c r="G145" s="7" t="s">
        <v>171</v>
      </c>
      <c r="H145" s="7" t="s">
        <v>231</v>
      </c>
      <c r="I145" s="7" t="s">
        <v>173</v>
      </c>
      <c r="J145" s="7" t="s">
        <v>174</v>
      </c>
      <c r="K145" s="7" t="s">
        <v>274</v>
      </c>
      <c r="L145" s="7" t="s">
        <v>277</v>
      </c>
      <c r="M145" s="7" t="s">
        <v>173</v>
      </c>
      <c r="N145" s="26">
        <v>0</v>
      </c>
      <c r="O145" s="26">
        <v>0</v>
      </c>
      <c r="P145" s="26">
        <v>0</v>
      </c>
      <c r="Q145" s="26">
        <v>0</v>
      </c>
      <c r="R145" s="27">
        <v>0</v>
      </c>
      <c r="S145" s="26">
        <v>0</v>
      </c>
      <c r="T145" s="26">
        <v>0</v>
      </c>
      <c r="U145" s="28">
        <v>1</v>
      </c>
      <c r="AA145" s="29">
        <f t="shared" si="24"/>
        <v>0</v>
      </c>
      <c r="AB145" s="29">
        <f t="shared" si="25"/>
        <v>0</v>
      </c>
      <c r="AC145" s="29">
        <f t="shared" si="26"/>
        <v>0</v>
      </c>
      <c r="AD145" s="29">
        <f t="shared" si="27"/>
        <v>0</v>
      </c>
      <c r="AE145" s="15">
        <f t="shared" si="28"/>
        <v>0</v>
      </c>
      <c r="AF145" s="29">
        <f t="shared" si="29"/>
        <v>0</v>
      </c>
      <c r="AG145" s="12" t="s">
        <v>72</v>
      </c>
      <c r="AH145" s="24"/>
    </row>
    <row r="146" spans="1:34" x14ac:dyDescent="0.35">
      <c r="A146" s="25">
        <v>142</v>
      </c>
      <c r="B146" s="7">
        <v>14930</v>
      </c>
      <c r="C146" s="7" t="s">
        <v>537</v>
      </c>
      <c r="D146" s="7" t="s">
        <v>538</v>
      </c>
      <c r="E146" s="7" t="s">
        <v>262</v>
      </c>
      <c r="F146" s="7" t="s">
        <v>170</v>
      </c>
      <c r="G146" s="7" t="s">
        <v>263</v>
      </c>
      <c r="H146" s="7" t="s">
        <v>172</v>
      </c>
      <c r="I146" s="7" t="s">
        <v>173</v>
      </c>
      <c r="J146" s="7" t="s">
        <v>174</v>
      </c>
      <c r="K146" s="7" t="s">
        <v>274</v>
      </c>
      <c r="L146" s="7" t="s">
        <v>277</v>
      </c>
      <c r="M146" s="7" t="s">
        <v>173</v>
      </c>
      <c r="N146" s="26">
        <v>1.5</v>
      </c>
      <c r="O146" s="26">
        <v>0.5</v>
      </c>
      <c r="P146" s="26">
        <v>0</v>
      </c>
      <c r="Q146" s="26">
        <v>2</v>
      </c>
      <c r="R146" s="27">
        <v>1</v>
      </c>
      <c r="S146" s="26">
        <v>1</v>
      </c>
      <c r="T146" s="26">
        <v>1</v>
      </c>
      <c r="U146" s="28">
        <v>1</v>
      </c>
      <c r="AA146" s="29">
        <f t="shared" si="24"/>
        <v>1.5</v>
      </c>
      <c r="AB146" s="29">
        <f t="shared" si="25"/>
        <v>0.5</v>
      </c>
      <c r="AC146" s="29">
        <f t="shared" si="26"/>
        <v>0</v>
      </c>
      <c r="AD146" s="29">
        <f t="shared" si="27"/>
        <v>2</v>
      </c>
      <c r="AE146" s="15">
        <f t="shared" si="28"/>
        <v>1</v>
      </c>
      <c r="AF146" s="29">
        <f t="shared" si="29"/>
        <v>2</v>
      </c>
      <c r="AG146" s="12" t="s">
        <v>72</v>
      </c>
      <c r="AH146" s="24"/>
    </row>
    <row r="148" spans="1:34" x14ac:dyDescent="0.35">
      <c r="C148" s="6" t="s">
        <v>539</v>
      </c>
    </row>
  </sheetData>
  <mergeCells count="2">
    <mergeCell ref="A2:AG2"/>
    <mergeCell ref="A1:A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"/>
  <sheetViews>
    <sheetView topLeftCell="A17" workbookViewId="0">
      <selection activeCell="G11" sqref="G11"/>
    </sheetView>
  </sheetViews>
  <sheetFormatPr defaultRowHeight="14.5" x14ac:dyDescent="0.35"/>
  <cols>
    <col min="1" max="1" width="2" customWidth="1"/>
    <col min="2" max="2" width="8" customWidth="1"/>
    <col min="3" max="3" width="46" customWidth="1"/>
    <col min="4" max="4" width="9" customWidth="1"/>
    <col min="5" max="11" width="11" customWidth="1"/>
  </cols>
  <sheetData>
    <row r="1" spans="1:11" ht="26.15" customHeight="1" x14ac:dyDescent="0.35">
      <c r="A1" s="48" t="s">
        <v>540</v>
      </c>
      <c r="B1" s="49"/>
      <c r="C1" s="49"/>
      <c r="D1" s="49"/>
      <c r="E1" s="49"/>
      <c r="F1" s="49"/>
      <c r="G1" s="49"/>
      <c r="H1" s="49"/>
      <c r="I1" s="49"/>
      <c r="J1" s="49"/>
    </row>
    <row r="2" spans="1:11" x14ac:dyDescent="0.35">
      <c r="A2" s="50" t="s">
        <v>541</v>
      </c>
      <c r="B2" s="49"/>
      <c r="C2" s="49"/>
      <c r="D2" s="49"/>
      <c r="E2" s="49"/>
      <c r="F2" s="49"/>
      <c r="G2" s="49"/>
      <c r="H2" s="49"/>
      <c r="I2" s="49"/>
      <c r="J2" s="49"/>
    </row>
    <row r="4" spans="1:11" ht="28.15" customHeight="1" x14ac:dyDescent="0.35">
      <c r="B4" s="11" t="s">
        <v>542</v>
      </c>
      <c r="C4" s="11" t="s">
        <v>167</v>
      </c>
      <c r="D4" s="11" t="s">
        <v>67</v>
      </c>
      <c r="E4" s="11" t="s">
        <v>68</v>
      </c>
      <c r="F4" s="11" t="s">
        <v>166</v>
      </c>
      <c r="G4" s="11" t="s">
        <v>62</v>
      </c>
      <c r="H4" s="11" t="s">
        <v>165</v>
      </c>
      <c r="I4" s="11" t="s">
        <v>543</v>
      </c>
      <c r="J4" s="11" t="s">
        <v>544</v>
      </c>
      <c r="K4" s="11" t="s">
        <v>545</v>
      </c>
    </row>
    <row r="5" spans="1:11" x14ac:dyDescent="0.35">
      <c r="B5" s="12" t="s">
        <v>182</v>
      </c>
      <c r="C5" s="7" t="s">
        <v>546</v>
      </c>
      <c r="D5" s="13">
        <f>SUMIFS(Inventory!$U:$U,Inventory!$AH:$AH,$B5)</f>
        <v>10</v>
      </c>
      <c r="E5" s="14">
        <f>SUMIFS(Inventory!$AD:$AD,Inventory!$AH:$AH,$B5)</f>
        <v>83.877708333333374</v>
      </c>
      <c r="F5" s="14">
        <f>SUMIFS(Inventory!$AF:$AF,Inventory!$AH:$AH,$B5)</f>
        <v>61.229791666666685</v>
      </c>
      <c r="G5" s="29">
        <f t="shared" ref="G5:G10" si="0">E5-F5</f>
        <v>22.647916666666688</v>
      </c>
      <c r="H5" s="15">
        <f t="shared" ref="H5:H11" si="1">IF(E5=0,0,F5/E5)</f>
        <v>0.72998884785141049</v>
      </c>
      <c r="I5" s="13">
        <f>SUMIFS('Pod Plan'!$E:$E,'Pod Plan'!$B:$B,1,'Pod Plan'!$C:$C,$B5)</f>
        <v>3</v>
      </c>
      <c r="J5" s="13">
        <f>SUMIFS('Pod Plan'!$F:$F,'Pod Plan'!$B:$B,1,'Pod Plan'!$C:$C,$B5)</f>
        <v>3</v>
      </c>
      <c r="K5" s="28">
        <f>I5*'Team Build-Up'!$C$6+J5*'Team Build-Up'!$D$6</f>
        <v>60</v>
      </c>
    </row>
    <row r="6" spans="1:11" x14ac:dyDescent="0.35">
      <c r="B6" s="12" t="s">
        <v>186</v>
      </c>
      <c r="C6" s="7" t="s">
        <v>547</v>
      </c>
      <c r="D6" s="13">
        <f>SUMIFS(Inventory!$U:$U,Inventory!$AH:$AH,$B6)</f>
        <v>5</v>
      </c>
      <c r="E6" s="14">
        <f>SUMIFS(Inventory!$AD:$AD,Inventory!$AH:$AH,$B6)</f>
        <v>39.814249999999987</v>
      </c>
      <c r="F6" s="14">
        <f>SUMIFS(Inventory!$AF:$AF,Inventory!$AH:$AH,$B6)</f>
        <v>34.089499999999987</v>
      </c>
      <c r="G6" s="29">
        <f t="shared" si="0"/>
        <v>5.7247500000000002</v>
      </c>
      <c r="H6" s="15">
        <f t="shared" si="1"/>
        <v>0.85621354163396268</v>
      </c>
      <c r="I6" s="13">
        <f>SUMIFS('Pod Plan'!$E:$E,'Pod Plan'!$B:$B,1,'Pod Plan'!$C:$C,$B6)</f>
        <v>2</v>
      </c>
      <c r="J6" s="13">
        <f>SUMIFS('Pod Plan'!$F:$F,'Pod Plan'!$B:$B,1,'Pod Plan'!$C:$C,$B6)</f>
        <v>1</v>
      </c>
      <c r="K6" s="28">
        <f>I6*'Team Build-Up'!$C$6+J6*'Team Build-Up'!$D$6</f>
        <v>30</v>
      </c>
    </row>
    <row r="7" spans="1:11" x14ac:dyDescent="0.35">
      <c r="B7" s="12" t="s">
        <v>196</v>
      </c>
      <c r="C7" s="7" t="s">
        <v>548</v>
      </c>
      <c r="D7" s="13">
        <f>SUMIFS(Inventory!$U:$U,Inventory!$AH:$AH,$B7)</f>
        <v>2</v>
      </c>
      <c r="E7" s="14">
        <f>SUMIFS(Inventory!$AD:$AD,Inventory!$AH:$AH,$B7)</f>
        <v>28.219458333333343</v>
      </c>
      <c r="F7" s="14">
        <f>SUMIFS(Inventory!$AF:$AF,Inventory!$AH:$AH,$B7)</f>
        <v>21.731958333333335</v>
      </c>
      <c r="G7" s="29">
        <f t="shared" si="0"/>
        <v>6.4875000000000078</v>
      </c>
      <c r="H7" s="15">
        <f t="shared" si="1"/>
        <v>0.77010543847551982</v>
      </c>
      <c r="I7" s="13">
        <f>SUMIFS('Pod Plan'!$E:$E,'Pod Plan'!$B:$B,1,'Pod Plan'!$C:$C,$B7)</f>
        <v>1</v>
      </c>
      <c r="J7" s="13">
        <f>SUMIFS('Pod Plan'!$F:$F,'Pod Plan'!$B:$B,1,'Pod Plan'!$C:$C,$B7)</f>
        <v>1</v>
      </c>
      <c r="K7" s="28">
        <f>I7*'Team Build-Up'!$C$6+J7*'Team Build-Up'!$D$6</f>
        <v>20</v>
      </c>
    </row>
    <row r="8" spans="1:11" x14ac:dyDescent="0.35">
      <c r="B8" s="12" t="s">
        <v>191</v>
      </c>
      <c r="C8" s="7" t="s">
        <v>549</v>
      </c>
      <c r="D8" s="13">
        <f>SUMIFS(Inventory!$U:$U,Inventory!$AH:$AH,$B8)</f>
        <v>3</v>
      </c>
      <c r="E8" s="14">
        <f>SUMIFS(Inventory!$AD:$AD,Inventory!$AH:$AH,$B8)</f>
        <v>20.299750000000003</v>
      </c>
      <c r="F8" s="14">
        <f>SUMIFS(Inventory!$AF:$AF,Inventory!$AH:$AH,$B8)</f>
        <v>18.911708333333337</v>
      </c>
      <c r="G8" s="29">
        <f t="shared" si="0"/>
        <v>1.3880416666666662</v>
      </c>
      <c r="H8" s="15">
        <f t="shared" si="1"/>
        <v>0.93162272113367572</v>
      </c>
      <c r="I8" s="13">
        <f>SUMIFS('Pod Plan'!$E:$E,'Pod Plan'!$B:$B,1,'Pod Plan'!$C:$C,$B8)</f>
        <v>1</v>
      </c>
      <c r="J8" s="13">
        <f>SUMIFS('Pod Plan'!$F:$F,'Pod Plan'!$B:$B,1,'Pod Plan'!$C:$C,$B8)</f>
        <v>1</v>
      </c>
      <c r="K8" s="28">
        <f>I8*'Team Build-Up'!$C$6+J8*'Team Build-Up'!$D$6</f>
        <v>20</v>
      </c>
    </row>
    <row r="9" spans="1:11" x14ac:dyDescent="0.35">
      <c r="B9" s="12" t="s">
        <v>232</v>
      </c>
      <c r="C9" s="7" t="s">
        <v>550</v>
      </c>
      <c r="D9" s="13">
        <f>SUMIFS(Inventory!$U:$U,Inventory!$AH:$AH,$B9)</f>
        <v>3</v>
      </c>
      <c r="E9" s="14">
        <f>SUMIFS(Inventory!$AD:$AD,Inventory!$AH:$AH,$B9)</f>
        <v>34.053291666666674</v>
      </c>
      <c r="F9" s="14">
        <f>SUMIFS(Inventory!$AF:$AF,Inventory!$AH:$AH,$B9)</f>
        <v>26.511750000000006</v>
      </c>
      <c r="G9" s="29">
        <f t="shared" si="0"/>
        <v>7.5415416666666673</v>
      </c>
      <c r="H9" s="15">
        <f t="shared" si="1"/>
        <v>0.77853707240734193</v>
      </c>
      <c r="I9" s="13">
        <f>SUMIFS('Pod Plan'!$E:$E,'Pod Plan'!$B:$B,1,'Pod Plan'!$C:$C,$B9)</f>
        <v>1</v>
      </c>
      <c r="J9" s="13">
        <f>SUMIFS('Pod Plan'!$F:$F,'Pod Plan'!$B:$B,1,'Pod Plan'!$C:$C,$B9)</f>
        <v>2</v>
      </c>
      <c r="K9" s="28">
        <f>I9*'Team Build-Up'!$C$6+J9*'Team Build-Up'!$D$6</f>
        <v>30</v>
      </c>
    </row>
    <row r="10" spans="1:11" x14ac:dyDescent="0.35">
      <c r="B10" s="12" t="s">
        <v>201</v>
      </c>
      <c r="C10" s="7" t="s">
        <v>551</v>
      </c>
      <c r="D10" s="13">
        <f>SUMIFS(Inventory!$U:$U,Inventory!$AH:$AH,$B10)</f>
        <v>5</v>
      </c>
      <c r="E10" s="14">
        <f>SUMIFS(Inventory!$AD:$AD,Inventory!$AH:$AH,$B10)</f>
        <v>24.485541666666663</v>
      </c>
      <c r="F10" s="14">
        <f>SUMIFS(Inventory!$AF:$AF,Inventory!$AH:$AH,$B10)</f>
        <v>20.327208333333331</v>
      </c>
      <c r="G10" s="29">
        <f t="shared" si="0"/>
        <v>4.1583333333333314</v>
      </c>
      <c r="H10" s="15">
        <f t="shared" si="1"/>
        <v>0.83017188715109091</v>
      </c>
      <c r="I10" s="13">
        <f>SUMIFS('Pod Plan'!$E:$E,'Pod Plan'!$B:$B,1,'Pod Plan'!$C:$C,$B10)</f>
        <v>1</v>
      </c>
      <c r="J10" s="13">
        <f>SUMIFS('Pod Plan'!$F:$F,'Pod Plan'!$B:$B,1,'Pod Plan'!$C:$C,$B10)</f>
        <v>1</v>
      </c>
      <c r="K10" s="28">
        <f>I10*'Team Build-Up'!$C$6+J10*'Team Build-Up'!$D$6</f>
        <v>20</v>
      </c>
    </row>
    <row r="11" spans="1:11" x14ac:dyDescent="0.35">
      <c r="C11" s="3" t="s">
        <v>78</v>
      </c>
      <c r="D11" s="16">
        <f>SUM(D5:D10)</f>
        <v>28</v>
      </c>
      <c r="E11" s="17">
        <f>SUM(E5:E10)</f>
        <v>230.75000000000006</v>
      </c>
      <c r="F11" s="17">
        <f>SUM(F5:F10)</f>
        <v>182.80191666666667</v>
      </c>
      <c r="G11" s="17">
        <f>SUM(G5:G10)</f>
        <v>47.948083333333365</v>
      </c>
      <c r="H11" s="18">
        <f t="shared" si="1"/>
        <v>0.79220765619357147</v>
      </c>
      <c r="I11" s="16">
        <f>SUM(I5:I10)</f>
        <v>9</v>
      </c>
      <c r="J11" s="16">
        <f>SUM(J5:J10)</f>
        <v>9</v>
      </c>
      <c r="K11" s="16">
        <f>SUM(K5:K10)</f>
        <v>180</v>
      </c>
    </row>
    <row r="13" spans="1:11" x14ac:dyDescent="0.35">
      <c r="C13" s="30" t="s">
        <v>552</v>
      </c>
    </row>
    <row r="14" spans="1:11" ht="28.15" customHeight="1" x14ac:dyDescent="0.35">
      <c r="B14" s="11" t="s">
        <v>167</v>
      </c>
      <c r="C14" s="11" t="s">
        <v>553</v>
      </c>
    </row>
    <row r="15" spans="1:11" ht="30" customHeight="1" x14ac:dyDescent="0.35">
      <c r="B15" s="12" t="s">
        <v>182</v>
      </c>
      <c r="C15" s="55" t="s">
        <v>554</v>
      </c>
      <c r="D15" s="53"/>
      <c r="E15" s="53"/>
      <c r="F15" s="53"/>
      <c r="G15" s="53"/>
      <c r="H15" s="53"/>
      <c r="I15" s="53"/>
      <c r="J15" s="53"/>
      <c r="K15" s="54"/>
    </row>
    <row r="16" spans="1:11" ht="30" customHeight="1" x14ac:dyDescent="0.35">
      <c r="B16" s="12" t="s">
        <v>186</v>
      </c>
      <c r="C16" s="55" t="s">
        <v>555</v>
      </c>
      <c r="D16" s="53"/>
      <c r="E16" s="53"/>
      <c r="F16" s="53"/>
      <c r="G16" s="53"/>
      <c r="H16" s="53"/>
      <c r="I16" s="53"/>
      <c r="J16" s="53"/>
      <c r="K16" s="54"/>
    </row>
    <row r="17" spans="2:11" ht="30" customHeight="1" x14ac:dyDescent="0.35">
      <c r="B17" s="12" t="s">
        <v>196</v>
      </c>
      <c r="C17" s="55" t="s">
        <v>556</v>
      </c>
      <c r="D17" s="53"/>
      <c r="E17" s="53"/>
      <c r="F17" s="53"/>
      <c r="G17" s="53"/>
      <c r="H17" s="53"/>
      <c r="I17" s="53"/>
      <c r="J17" s="53"/>
      <c r="K17" s="54"/>
    </row>
    <row r="18" spans="2:11" ht="30" customHeight="1" x14ac:dyDescent="0.35">
      <c r="B18" s="12" t="s">
        <v>191</v>
      </c>
      <c r="C18" s="55" t="s">
        <v>557</v>
      </c>
      <c r="D18" s="53"/>
      <c r="E18" s="53"/>
      <c r="F18" s="53"/>
      <c r="G18" s="53"/>
      <c r="H18" s="53"/>
      <c r="I18" s="53"/>
      <c r="J18" s="53"/>
      <c r="K18" s="54"/>
    </row>
    <row r="19" spans="2:11" ht="30" customHeight="1" x14ac:dyDescent="0.35">
      <c r="B19" s="12" t="s">
        <v>232</v>
      </c>
      <c r="C19" s="55" t="s">
        <v>558</v>
      </c>
      <c r="D19" s="53"/>
      <c r="E19" s="53"/>
      <c r="F19" s="53"/>
      <c r="G19" s="53"/>
      <c r="H19" s="53"/>
      <c r="I19" s="53"/>
      <c r="J19" s="53"/>
      <c r="K19" s="54"/>
    </row>
    <row r="20" spans="2:11" ht="30" customHeight="1" x14ac:dyDescent="0.35">
      <c r="B20" s="12" t="s">
        <v>201</v>
      </c>
      <c r="C20" s="55" t="s">
        <v>559</v>
      </c>
      <c r="D20" s="53"/>
      <c r="E20" s="53"/>
      <c r="F20" s="53"/>
      <c r="G20" s="53"/>
      <c r="H20" s="53"/>
      <c r="I20" s="53"/>
      <c r="J20" s="53"/>
      <c r="K20" s="54"/>
    </row>
  </sheetData>
  <mergeCells count="8">
    <mergeCell ref="C20:K20"/>
    <mergeCell ref="C16:K16"/>
    <mergeCell ref="A1:J1"/>
    <mergeCell ref="C15:K15"/>
    <mergeCell ref="C19:K19"/>
    <mergeCell ref="C18:K18"/>
    <mergeCell ref="C17:K17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69"/>
  <sheetViews>
    <sheetView workbookViewId="0">
      <pane xSplit="1" ySplit="4" topLeftCell="B5" activePane="bottomRight" state="frozen"/>
      <selection pane="topRight"/>
      <selection pane="bottomLeft"/>
      <selection pane="bottomRight" activeCell="E5" sqref="E5"/>
    </sheetView>
  </sheetViews>
  <sheetFormatPr defaultRowHeight="14.5" x14ac:dyDescent="0.35"/>
  <cols>
    <col min="1" max="1" width="2" customWidth="1"/>
    <col min="2" max="2" width="7" customWidth="1"/>
    <col min="3" max="3" width="10" customWidth="1"/>
    <col min="4" max="4" width="7" customWidth="1"/>
    <col min="5" max="5" width="42" customWidth="1"/>
    <col min="6" max="6" width="9" customWidth="1"/>
    <col min="7" max="7" width="8" customWidth="1"/>
    <col min="8" max="8" width="10" customWidth="1"/>
    <col min="9" max="9" width="11" customWidth="1"/>
    <col min="10" max="10" width="8" customWidth="1"/>
    <col min="11" max="11" width="40" customWidth="1"/>
  </cols>
  <sheetData>
    <row r="1" spans="1:11" ht="26.15" customHeight="1" x14ac:dyDescent="0.35">
      <c r="A1" s="48" t="s">
        <v>560</v>
      </c>
      <c r="B1" s="49"/>
      <c r="C1" s="49"/>
      <c r="D1" s="49"/>
      <c r="E1" s="49"/>
      <c r="F1" s="49"/>
      <c r="G1" s="49"/>
      <c r="H1" s="49"/>
      <c r="I1" s="49"/>
      <c r="J1" s="49"/>
    </row>
    <row r="2" spans="1:11" x14ac:dyDescent="0.35">
      <c r="A2" s="50" t="s">
        <v>561</v>
      </c>
      <c r="B2" s="49"/>
      <c r="C2" s="49"/>
      <c r="D2" s="49"/>
      <c r="E2" s="49"/>
      <c r="F2" s="49"/>
      <c r="G2" s="49"/>
      <c r="H2" s="49"/>
      <c r="I2" s="49"/>
      <c r="J2" s="49"/>
    </row>
    <row r="4" spans="1:11" ht="28.15" customHeight="1" x14ac:dyDescent="0.35">
      <c r="B4" s="11" t="s">
        <v>562</v>
      </c>
      <c r="C4" s="11" t="s">
        <v>563</v>
      </c>
      <c r="D4" s="11" t="s">
        <v>564</v>
      </c>
      <c r="E4" s="11" t="s">
        <v>565</v>
      </c>
      <c r="F4" s="11" t="s">
        <v>566</v>
      </c>
      <c r="G4" s="11" t="s">
        <v>567</v>
      </c>
      <c r="H4" s="11" t="s">
        <v>118</v>
      </c>
      <c r="I4" s="11" t="s">
        <v>568</v>
      </c>
      <c r="J4" s="11" t="s">
        <v>569</v>
      </c>
    </row>
    <row r="5" spans="1:11" x14ac:dyDescent="0.35">
      <c r="B5" s="31">
        <v>1</v>
      </c>
      <c r="C5" s="32" t="s">
        <v>570</v>
      </c>
      <c r="D5" s="25">
        <v>1</v>
      </c>
      <c r="E5" s="33" t="s">
        <v>571</v>
      </c>
      <c r="F5" s="32" t="s">
        <v>572</v>
      </c>
      <c r="G5" s="32" t="s">
        <v>128</v>
      </c>
      <c r="H5" s="32" t="s">
        <v>131</v>
      </c>
      <c r="I5" s="32" t="s">
        <v>163</v>
      </c>
      <c r="J5" s="31">
        <v>1</v>
      </c>
    </row>
    <row r="6" spans="1:11" x14ac:dyDescent="0.35">
      <c r="B6" s="31">
        <v>1</v>
      </c>
      <c r="C6" s="32" t="s">
        <v>570</v>
      </c>
      <c r="D6" s="25">
        <v>2</v>
      </c>
      <c r="E6" s="33" t="s">
        <v>573</v>
      </c>
      <c r="F6" s="32" t="s">
        <v>574</v>
      </c>
      <c r="G6" s="32" t="s">
        <v>129</v>
      </c>
      <c r="H6" s="32" t="s">
        <v>131</v>
      </c>
      <c r="I6" s="32" t="s">
        <v>163</v>
      </c>
      <c r="J6" s="31">
        <v>1</v>
      </c>
    </row>
    <row r="7" spans="1:11" x14ac:dyDescent="0.35">
      <c r="B7" s="31">
        <v>1</v>
      </c>
      <c r="C7" s="32" t="s">
        <v>570</v>
      </c>
      <c r="D7" s="25">
        <v>3</v>
      </c>
      <c r="E7" s="33" t="s">
        <v>575</v>
      </c>
      <c r="F7" s="32" t="s">
        <v>576</v>
      </c>
      <c r="G7" s="32" t="s">
        <v>128</v>
      </c>
      <c r="H7" s="32" t="s">
        <v>131</v>
      </c>
      <c r="I7" s="32" t="s">
        <v>163</v>
      </c>
      <c r="J7" s="31">
        <v>1</v>
      </c>
    </row>
    <row r="8" spans="1:11" x14ac:dyDescent="0.35">
      <c r="B8" s="31">
        <v>1</v>
      </c>
      <c r="C8" s="32" t="s">
        <v>570</v>
      </c>
      <c r="D8" s="25">
        <v>4</v>
      </c>
      <c r="E8" s="33" t="s">
        <v>577</v>
      </c>
      <c r="F8" s="32" t="s">
        <v>572</v>
      </c>
      <c r="G8" s="32" t="s">
        <v>128</v>
      </c>
      <c r="H8" s="32" t="s">
        <v>131</v>
      </c>
      <c r="I8" s="32" t="s">
        <v>162</v>
      </c>
      <c r="J8" s="31">
        <v>1</v>
      </c>
    </row>
    <row r="9" spans="1:11" x14ac:dyDescent="0.35">
      <c r="B9" s="31">
        <v>1</v>
      </c>
      <c r="C9" s="32" t="s">
        <v>570</v>
      </c>
      <c r="D9" s="25">
        <v>5</v>
      </c>
      <c r="E9" s="33" t="s">
        <v>578</v>
      </c>
      <c r="F9" s="32" t="s">
        <v>576</v>
      </c>
      <c r="G9" s="32" t="s">
        <v>129</v>
      </c>
      <c r="H9" s="32" t="s">
        <v>131</v>
      </c>
      <c r="I9" s="32" t="s">
        <v>162</v>
      </c>
      <c r="J9" s="31">
        <v>1</v>
      </c>
    </row>
    <row r="10" spans="1:11" x14ac:dyDescent="0.35">
      <c r="B10" s="31">
        <v>1</v>
      </c>
      <c r="C10" s="32" t="s">
        <v>570</v>
      </c>
      <c r="D10" s="25">
        <v>6</v>
      </c>
      <c r="E10" s="33" t="s">
        <v>579</v>
      </c>
      <c r="F10" s="32" t="s">
        <v>574</v>
      </c>
      <c r="G10" s="32" t="s">
        <v>127</v>
      </c>
      <c r="H10" s="32" t="s">
        <v>131</v>
      </c>
      <c r="I10" s="32" t="s">
        <v>162</v>
      </c>
      <c r="J10" s="31">
        <v>1</v>
      </c>
    </row>
    <row r="11" spans="1:11" x14ac:dyDescent="0.35">
      <c r="B11" s="31">
        <v>1</v>
      </c>
      <c r="C11" s="32" t="s">
        <v>570</v>
      </c>
      <c r="D11" s="25">
        <v>7</v>
      </c>
      <c r="E11" s="33" t="s">
        <v>580</v>
      </c>
      <c r="F11" s="32" t="s">
        <v>581</v>
      </c>
      <c r="G11" s="32" t="s">
        <v>128</v>
      </c>
      <c r="H11" s="32" t="s">
        <v>131</v>
      </c>
      <c r="I11" s="32" t="s">
        <v>162</v>
      </c>
      <c r="J11" s="31">
        <v>1</v>
      </c>
    </row>
    <row r="12" spans="1:11" x14ac:dyDescent="0.35">
      <c r="B12" s="31">
        <v>1</v>
      </c>
      <c r="C12" s="32" t="s">
        <v>570</v>
      </c>
      <c r="D12" s="25">
        <v>8</v>
      </c>
      <c r="E12" s="33" t="s">
        <v>582</v>
      </c>
      <c r="F12" s="32" t="s">
        <v>581</v>
      </c>
      <c r="G12" s="32" t="s">
        <v>126</v>
      </c>
      <c r="H12" s="32" t="s">
        <v>131</v>
      </c>
      <c r="I12" s="32" t="s">
        <v>162</v>
      </c>
      <c r="J12" s="31">
        <v>1</v>
      </c>
    </row>
    <row r="13" spans="1:11" x14ac:dyDescent="0.35">
      <c r="B13" s="31">
        <v>1</v>
      </c>
      <c r="C13" s="32" t="s">
        <v>570</v>
      </c>
      <c r="D13" s="25">
        <v>9</v>
      </c>
      <c r="E13" s="33" t="s">
        <v>582</v>
      </c>
      <c r="F13" s="32" t="s">
        <v>581</v>
      </c>
      <c r="G13" s="32" t="s">
        <v>126</v>
      </c>
      <c r="H13" s="32" t="s">
        <v>133</v>
      </c>
      <c r="I13" s="32" t="s">
        <v>162</v>
      </c>
      <c r="J13" s="31">
        <v>1</v>
      </c>
    </row>
    <row r="14" spans="1:11" x14ac:dyDescent="0.35">
      <c r="B14" s="31">
        <v>1</v>
      </c>
      <c r="C14" s="32" t="s">
        <v>570</v>
      </c>
      <c r="D14" s="25">
        <v>10</v>
      </c>
      <c r="E14" s="33" t="s">
        <v>583</v>
      </c>
      <c r="F14" s="32" t="s">
        <v>584</v>
      </c>
      <c r="G14" s="32" t="s">
        <v>126</v>
      </c>
      <c r="H14" s="32" t="s">
        <v>133</v>
      </c>
      <c r="I14" s="32" t="s">
        <v>162</v>
      </c>
      <c r="J14" s="31">
        <v>1</v>
      </c>
    </row>
    <row r="15" spans="1:11" x14ac:dyDescent="0.35">
      <c r="E15" s="20" t="s">
        <v>585</v>
      </c>
      <c r="J15" s="34">
        <f>SUM(J5:J14)</f>
        <v>10</v>
      </c>
      <c r="K15" s="6" t="s">
        <v>586</v>
      </c>
    </row>
    <row r="17" spans="2:11" x14ac:dyDescent="0.35">
      <c r="B17" s="31">
        <v>1</v>
      </c>
      <c r="C17" s="32" t="s">
        <v>587</v>
      </c>
      <c r="D17" s="25">
        <v>1</v>
      </c>
      <c r="E17" s="33" t="s">
        <v>588</v>
      </c>
      <c r="F17" s="32" t="s">
        <v>572</v>
      </c>
      <c r="G17" s="32" t="s">
        <v>128</v>
      </c>
      <c r="H17" s="32" t="s">
        <v>131</v>
      </c>
      <c r="I17" s="32" t="s">
        <v>162</v>
      </c>
      <c r="J17" s="31">
        <v>1</v>
      </c>
    </row>
    <row r="18" spans="2:11" x14ac:dyDescent="0.35">
      <c r="B18" s="31">
        <v>1</v>
      </c>
      <c r="C18" s="32" t="s">
        <v>587</v>
      </c>
      <c r="D18" s="25">
        <v>2</v>
      </c>
      <c r="E18" s="33" t="s">
        <v>589</v>
      </c>
      <c r="F18" s="32" t="s">
        <v>576</v>
      </c>
      <c r="G18" s="32" t="s">
        <v>128</v>
      </c>
      <c r="H18" s="32" t="s">
        <v>131</v>
      </c>
      <c r="I18" s="32" t="s">
        <v>162</v>
      </c>
      <c r="J18" s="31">
        <v>1</v>
      </c>
    </row>
    <row r="19" spans="2:11" x14ac:dyDescent="0.35">
      <c r="B19" s="31">
        <v>1</v>
      </c>
      <c r="C19" s="32" t="s">
        <v>587</v>
      </c>
      <c r="D19" s="25">
        <v>3</v>
      </c>
      <c r="E19" s="33" t="s">
        <v>579</v>
      </c>
      <c r="F19" s="32" t="s">
        <v>574</v>
      </c>
      <c r="G19" s="32" t="s">
        <v>127</v>
      </c>
      <c r="H19" s="32" t="s">
        <v>131</v>
      </c>
      <c r="I19" s="32" t="s">
        <v>162</v>
      </c>
      <c r="J19" s="31">
        <v>1</v>
      </c>
    </row>
    <row r="20" spans="2:11" x14ac:dyDescent="0.35">
      <c r="B20" s="31">
        <v>1</v>
      </c>
      <c r="C20" s="32" t="s">
        <v>587</v>
      </c>
      <c r="D20" s="25">
        <v>4</v>
      </c>
      <c r="E20" s="33" t="s">
        <v>590</v>
      </c>
      <c r="F20" s="32" t="s">
        <v>581</v>
      </c>
      <c r="G20" s="32" t="s">
        <v>127</v>
      </c>
      <c r="H20" s="32" t="s">
        <v>131</v>
      </c>
      <c r="I20" s="32" t="s">
        <v>162</v>
      </c>
      <c r="J20" s="31">
        <v>1</v>
      </c>
    </row>
    <row r="21" spans="2:11" x14ac:dyDescent="0.35">
      <c r="B21" s="31">
        <v>1</v>
      </c>
      <c r="C21" s="32" t="s">
        <v>587</v>
      </c>
      <c r="D21" s="25">
        <v>5</v>
      </c>
      <c r="E21" s="33" t="s">
        <v>591</v>
      </c>
      <c r="F21" s="32" t="s">
        <v>581</v>
      </c>
      <c r="G21" s="32" t="s">
        <v>126</v>
      </c>
      <c r="H21" s="32" t="s">
        <v>131</v>
      </c>
      <c r="I21" s="32" t="s">
        <v>162</v>
      </c>
      <c r="J21" s="31">
        <v>1</v>
      </c>
    </row>
    <row r="22" spans="2:11" x14ac:dyDescent="0.35">
      <c r="B22" s="31">
        <v>1</v>
      </c>
      <c r="C22" s="32" t="s">
        <v>587</v>
      </c>
      <c r="D22" s="25">
        <v>6</v>
      </c>
      <c r="E22" s="33" t="s">
        <v>591</v>
      </c>
      <c r="F22" s="32" t="s">
        <v>581</v>
      </c>
      <c r="G22" s="32" t="s">
        <v>126</v>
      </c>
      <c r="H22" s="32" t="s">
        <v>133</v>
      </c>
      <c r="I22" s="32" t="s">
        <v>162</v>
      </c>
      <c r="J22" s="31">
        <v>1</v>
      </c>
    </row>
    <row r="23" spans="2:11" x14ac:dyDescent="0.35">
      <c r="B23" s="31">
        <v>1</v>
      </c>
      <c r="C23" s="32" t="s">
        <v>587</v>
      </c>
      <c r="D23" s="25">
        <v>7</v>
      </c>
      <c r="E23" s="33" t="s">
        <v>591</v>
      </c>
      <c r="F23" s="32" t="s">
        <v>581</v>
      </c>
      <c r="G23" s="32" t="s">
        <v>125</v>
      </c>
      <c r="H23" s="32" t="s">
        <v>133</v>
      </c>
      <c r="I23" s="32" t="s">
        <v>162</v>
      </c>
      <c r="J23" s="31">
        <v>1</v>
      </c>
    </row>
    <row r="24" spans="2:11" x14ac:dyDescent="0.35">
      <c r="B24" s="31">
        <v>1</v>
      </c>
      <c r="C24" s="32" t="s">
        <v>587</v>
      </c>
      <c r="D24" s="25">
        <v>8</v>
      </c>
      <c r="E24" s="33" t="s">
        <v>592</v>
      </c>
      <c r="F24" s="32" t="s">
        <v>584</v>
      </c>
      <c r="G24" s="32" t="s">
        <v>127</v>
      </c>
      <c r="H24" s="32" t="s">
        <v>131</v>
      </c>
      <c r="I24" s="32" t="s">
        <v>162</v>
      </c>
      <c r="J24" s="31">
        <v>1</v>
      </c>
    </row>
    <row r="25" spans="2:11" x14ac:dyDescent="0.35">
      <c r="B25" s="31">
        <v>1</v>
      </c>
      <c r="C25" s="32" t="s">
        <v>587</v>
      </c>
      <c r="D25" s="25">
        <v>9</v>
      </c>
      <c r="E25" s="33" t="s">
        <v>583</v>
      </c>
      <c r="F25" s="32" t="s">
        <v>584</v>
      </c>
      <c r="G25" s="32" t="s">
        <v>126</v>
      </c>
      <c r="H25" s="32" t="s">
        <v>133</v>
      </c>
      <c r="I25" s="32" t="s">
        <v>162</v>
      </c>
      <c r="J25" s="31">
        <v>1</v>
      </c>
    </row>
    <row r="26" spans="2:11" x14ac:dyDescent="0.35">
      <c r="B26" s="31">
        <v>1</v>
      </c>
      <c r="C26" s="32" t="s">
        <v>587</v>
      </c>
      <c r="D26" s="25">
        <v>10</v>
      </c>
      <c r="E26" s="33" t="s">
        <v>583</v>
      </c>
      <c r="F26" s="32" t="s">
        <v>584</v>
      </c>
      <c r="G26" s="32" t="s">
        <v>125</v>
      </c>
      <c r="H26" s="32" t="s">
        <v>133</v>
      </c>
      <c r="I26" s="32" t="s">
        <v>162</v>
      </c>
      <c r="J26" s="31">
        <v>1</v>
      </c>
    </row>
    <row r="27" spans="2:11" x14ac:dyDescent="0.35">
      <c r="E27" s="20" t="s">
        <v>593</v>
      </c>
      <c r="J27" s="34">
        <f>SUM(J17:J26)</f>
        <v>10</v>
      </c>
      <c r="K27" s="6" t="s">
        <v>586</v>
      </c>
    </row>
    <row r="29" spans="2:11" x14ac:dyDescent="0.35">
      <c r="B29" s="31">
        <v>2</v>
      </c>
      <c r="C29" s="32" t="s">
        <v>570</v>
      </c>
      <c r="D29" s="25">
        <v>1</v>
      </c>
      <c r="E29" s="33" t="s">
        <v>571</v>
      </c>
      <c r="F29" s="32" t="s">
        <v>572</v>
      </c>
      <c r="G29" s="32" t="s">
        <v>128</v>
      </c>
      <c r="H29" s="32" t="s">
        <v>131</v>
      </c>
      <c r="I29" s="32" t="s">
        <v>163</v>
      </c>
      <c r="J29" s="31">
        <v>1</v>
      </c>
    </row>
    <row r="30" spans="2:11" x14ac:dyDescent="0.35">
      <c r="B30" s="31">
        <v>2</v>
      </c>
      <c r="C30" s="32" t="s">
        <v>570</v>
      </c>
      <c r="D30" s="25">
        <v>2</v>
      </c>
      <c r="E30" s="33" t="s">
        <v>573</v>
      </c>
      <c r="F30" s="32" t="s">
        <v>574</v>
      </c>
      <c r="G30" s="32" t="s">
        <v>129</v>
      </c>
      <c r="H30" s="32" t="s">
        <v>131</v>
      </c>
      <c r="I30" s="32" t="s">
        <v>163</v>
      </c>
      <c r="J30" s="31">
        <v>1</v>
      </c>
    </row>
    <row r="31" spans="2:11" x14ac:dyDescent="0.35">
      <c r="B31" s="31">
        <v>2</v>
      </c>
      <c r="C31" s="32" t="s">
        <v>570</v>
      </c>
      <c r="D31" s="25">
        <v>3</v>
      </c>
      <c r="E31" s="33" t="s">
        <v>575</v>
      </c>
      <c r="F31" s="32" t="s">
        <v>576</v>
      </c>
      <c r="G31" s="32" t="s">
        <v>128</v>
      </c>
      <c r="H31" s="32" t="s">
        <v>131</v>
      </c>
      <c r="I31" s="32" t="s">
        <v>163</v>
      </c>
      <c r="J31" s="31">
        <v>1</v>
      </c>
    </row>
    <row r="32" spans="2:11" x14ac:dyDescent="0.35">
      <c r="B32" s="31">
        <v>2</v>
      </c>
      <c r="C32" s="32" t="s">
        <v>570</v>
      </c>
      <c r="D32" s="25">
        <v>4</v>
      </c>
      <c r="E32" s="33" t="s">
        <v>577</v>
      </c>
      <c r="F32" s="32" t="s">
        <v>572</v>
      </c>
      <c r="G32" s="32" t="s">
        <v>128</v>
      </c>
      <c r="H32" s="32" t="s">
        <v>131</v>
      </c>
      <c r="I32" s="32" t="s">
        <v>162</v>
      </c>
      <c r="J32" s="31">
        <v>1</v>
      </c>
    </row>
    <row r="33" spans="2:11" x14ac:dyDescent="0.35">
      <c r="B33" s="31">
        <v>2</v>
      </c>
      <c r="C33" s="32" t="s">
        <v>570</v>
      </c>
      <c r="D33" s="25">
        <v>5</v>
      </c>
      <c r="E33" s="33" t="s">
        <v>594</v>
      </c>
      <c r="F33" s="32" t="s">
        <v>576</v>
      </c>
      <c r="G33" s="32" t="s">
        <v>129</v>
      </c>
      <c r="H33" s="32" t="s">
        <v>131</v>
      </c>
      <c r="I33" s="32" t="s">
        <v>162</v>
      </c>
      <c r="J33" s="31">
        <v>1</v>
      </c>
    </row>
    <row r="34" spans="2:11" x14ac:dyDescent="0.35">
      <c r="B34" s="31">
        <v>2</v>
      </c>
      <c r="C34" s="32" t="s">
        <v>570</v>
      </c>
      <c r="D34" s="25">
        <v>6</v>
      </c>
      <c r="E34" s="33" t="s">
        <v>579</v>
      </c>
      <c r="F34" s="32" t="s">
        <v>574</v>
      </c>
      <c r="G34" s="32" t="s">
        <v>127</v>
      </c>
      <c r="H34" s="32" t="s">
        <v>131</v>
      </c>
      <c r="I34" s="32" t="s">
        <v>162</v>
      </c>
      <c r="J34" s="31">
        <v>1</v>
      </c>
    </row>
    <row r="35" spans="2:11" x14ac:dyDescent="0.35">
      <c r="B35" s="31">
        <v>2</v>
      </c>
      <c r="C35" s="32" t="s">
        <v>570</v>
      </c>
      <c r="D35" s="25">
        <v>7</v>
      </c>
      <c r="E35" s="33" t="s">
        <v>595</v>
      </c>
      <c r="F35" s="32" t="s">
        <v>581</v>
      </c>
      <c r="G35" s="32" t="s">
        <v>128</v>
      </c>
      <c r="H35" s="32" t="s">
        <v>133</v>
      </c>
      <c r="I35" s="32" t="s">
        <v>162</v>
      </c>
      <c r="J35" s="31">
        <v>1</v>
      </c>
    </row>
    <row r="36" spans="2:11" x14ac:dyDescent="0.35">
      <c r="B36" s="31">
        <v>2</v>
      </c>
      <c r="C36" s="32" t="s">
        <v>570</v>
      </c>
      <c r="D36" s="25">
        <v>8</v>
      </c>
      <c r="E36" s="33" t="s">
        <v>582</v>
      </c>
      <c r="F36" s="32" t="s">
        <v>581</v>
      </c>
      <c r="G36" s="32" t="s">
        <v>126</v>
      </c>
      <c r="H36" s="32" t="s">
        <v>133</v>
      </c>
      <c r="I36" s="32" t="s">
        <v>162</v>
      </c>
      <c r="J36" s="31">
        <v>1</v>
      </c>
    </row>
    <row r="37" spans="2:11" x14ac:dyDescent="0.35">
      <c r="B37" s="31">
        <v>2</v>
      </c>
      <c r="C37" s="32" t="s">
        <v>570</v>
      </c>
      <c r="D37" s="25">
        <v>9</v>
      </c>
      <c r="E37" s="33" t="s">
        <v>596</v>
      </c>
      <c r="F37" s="32" t="s">
        <v>584</v>
      </c>
      <c r="G37" s="32" t="s">
        <v>127</v>
      </c>
      <c r="H37" s="32" t="s">
        <v>133</v>
      </c>
      <c r="I37" s="32" t="s">
        <v>162</v>
      </c>
      <c r="J37" s="31">
        <v>1</v>
      </c>
    </row>
    <row r="38" spans="2:11" x14ac:dyDescent="0.35">
      <c r="E38" s="20" t="s">
        <v>597</v>
      </c>
      <c r="J38" s="34">
        <f>SUM(J29:J37)</f>
        <v>9</v>
      </c>
      <c r="K38" s="6" t="s">
        <v>586</v>
      </c>
    </row>
    <row r="40" spans="2:11" x14ac:dyDescent="0.35">
      <c r="B40" s="31">
        <v>2</v>
      </c>
      <c r="C40" s="32" t="s">
        <v>587</v>
      </c>
      <c r="D40" s="25">
        <v>1</v>
      </c>
      <c r="E40" s="33" t="s">
        <v>588</v>
      </c>
      <c r="F40" s="32" t="s">
        <v>572</v>
      </c>
      <c r="G40" s="32" t="s">
        <v>128</v>
      </c>
      <c r="H40" s="32" t="s">
        <v>131</v>
      </c>
      <c r="I40" s="32" t="s">
        <v>162</v>
      </c>
      <c r="J40" s="31">
        <v>1</v>
      </c>
    </row>
    <row r="41" spans="2:11" x14ac:dyDescent="0.35">
      <c r="B41" s="31">
        <v>2</v>
      </c>
      <c r="C41" s="32" t="s">
        <v>587</v>
      </c>
      <c r="D41" s="25">
        <v>2</v>
      </c>
      <c r="E41" s="33" t="s">
        <v>598</v>
      </c>
      <c r="F41" s="32" t="s">
        <v>576</v>
      </c>
      <c r="G41" s="32" t="s">
        <v>128</v>
      </c>
      <c r="H41" s="32" t="s">
        <v>131</v>
      </c>
      <c r="I41" s="32" t="s">
        <v>162</v>
      </c>
      <c r="J41" s="31">
        <v>1</v>
      </c>
    </row>
    <row r="42" spans="2:11" x14ac:dyDescent="0.35">
      <c r="B42" s="31">
        <v>2</v>
      </c>
      <c r="C42" s="32" t="s">
        <v>587</v>
      </c>
      <c r="D42" s="25">
        <v>3</v>
      </c>
      <c r="E42" s="33" t="s">
        <v>579</v>
      </c>
      <c r="F42" s="32" t="s">
        <v>574</v>
      </c>
      <c r="G42" s="32" t="s">
        <v>127</v>
      </c>
      <c r="H42" s="32" t="s">
        <v>131</v>
      </c>
      <c r="I42" s="32" t="s">
        <v>162</v>
      </c>
      <c r="J42" s="31">
        <v>1</v>
      </c>
    </row>
    <row r="43" spans="2:11" x14ac:dyDescent="0.35">
      <c r="B43" s="31">
        <v>2</v>
      </c>
      <c r="C43" s="32" t="s">
        <v>587</v>
      </c>
      <c r="D43" s="25">
        <v>4</v>
      </c>
      <c r="E43" s="33" t="s">
        <v>595</v>
      </c>
      <c r="F43" s="32" t="s">
        <v>581</v>
      </c>
      <c r="G43" s="32" t="s">
        <v>128</v>
      </c>
      <c r="H43" s="32" t="s">
        <v>133</v>
      </c>
      <c r="I43" s="32" t="s">
        <v>162</v>
      </c>
      <c r="J43" s="31">
        <v>1</v>
      </c>
    </row>
    <row r="44" spans="2:11" x14ac:dyDescent="0.35">
      <c r="B44" s="31">
        <v>2</v>
      </c>
      <c r="C44" s="32" t="s">
        <v>587</v>
      </c>
      <c r="D44" s="25">
        <v>5</v>
      </c>
      <c r="E44" s="33" t="s">
        <v>591</v>
      </c>
      <c r="F44" s="32" t="s">
        <v>581</v>
      </c>
      <c r="G44" s="32" t="s">
        <v>126</v>
      </c>
      <c r="H44" s="32" t="s">
        <v>133</v>
      </c>
      <c r="I44" s="32" t="s">
        <v>162</v>
      </c>
      <c r="J44" s="31">
        <v>1</v>
      </c>
    </row>
    <row r="45" spans="2:11" x14ac:dyDescent="0.35">
      <c r="B45" s="31">
        <v>2</v>
      </c>
      <c r="C45" s="32" t="s">
        <v>587</v>
      </c>
      <c r="D45" s="25">
        <v>6</v>
      </c>
      <c r="E45" s="33" t="s">
        <v>591</v>
      </c>
      <c r="F45" s="32" t="s">
        <v>581</v>
      </c>
      <c r="G45" s="32" t="s">
        <v>126</v>
      </c>
      <c r="H45" s="32" t="s">
        <v>133</v>
      </c>
      <c r="I45" s="32" t="s">
        <v>162</v>
      </c>
      <c r="J45" s="31">
        <v>1</v>
      </c>
    </row>
    <row r="46" spans="2:11" x14ac:dyDescent="0.35">
      <c r="B46" s="31">
        <v>2</v>
      </c>
      <c r="C46" s="32" t="s">
        <v>587</v>
      </c>
      <c r="D46" s="25">
        <v>7</v>
      </c>
      <c r="E46" s="33" t="s">
        <v>599</v>
      </c>
      <c r="F46" s="32" t="s">
        <v>576</v>
      </c>
      <c r="G46" s="32" t="s">
        <v>127</v>
      </c>
      <c r="H46" s="32" t="s">
        <v>133</v>
      </c>
      <c r="I46" s="32" t="s">
        <v>162</v>
      </c>
      <c r="J46" s="31">
        <v>1</v>
      </c>
    </row>
    <row r="47" spans="2:11" x14ac:dyDescent="0.35">
      <c r="B47" s="31">
        <v>2</v>
      </c>
      <c r="C47" s="32" t="s">
        <v>587</v>
      </c>
      <c r="D47" s="25">
        <v>8</v>
      </c>
      <c r="E47" s="33" t="s">
        <v>596</v>
      </c>
      <c r="F47" s="32" t="s">
        <v>584</v>
      </c>
      <c r="G47" s="32" t="s">
        <v>127</v>
      </c>
      <c r="H47" s="32" t="s">
        <v>133</v>
      </c>
      <c r="I47" s="32" t="s">
        <v>162</v>
      </c>
      <c r="J47" s="31">
        <v>1</v>
      </c>
    </row>
    <row r="48" spans="2:11" x14ac:dyDescent="0.35">
      <c r="B48" s="31">
        <v>2</v>
      </c>
      <c r="C48" s="32" t="s">
        <v>587</v>
      </c>
      <c r="D48" s="25">
        <v>9</v>
      </c>
      <c r="E48" s="33" t="s">
        <v>596</v>
      </c>
      <c r="F48" s="32" t="s">
        <v>584</v>
      </c>
      <c r="G48" s="32" t="s">
        <v>126</v>
      </c>
      <c r="H48" s="32" t="s">
        <v>133</v>
      </c>
      <c r="I48" s="32" t="s">
        <v>162</v>
      </c>
      <c r="J48" s="31">
        <v>1</v>
      </c>
    </row>
    <row r="49" spans="2:11" x14ac:dyDescent="0.35">
      <c r="E49" s="20" t="s">
        <v>600</v>
      </c>
      <c r="J49" s="34">
        <f>SUM(J40:J48)</f>
        <v>9</v>
      </c>
      <c r="K49" s="6" t="s">
        <v>586</v>
      </c>
    </row>
    <row r="51" spans="2:11" x14ac:dyDescent="0.35">
      <c r="B51" s="31">
        <v>3</v>
      </c>
      <c r="C51" s="32" t="s">
        <v>570</v>
      </c>
      <c r="D51" s="25">
        <v>1</v>
      </c>
      <c r="E51" s="33" t="s">
        <v>571</v>
      </c>
      <c r="F51" s="32" t="s">
        <v>572</v>
      </c>
      <c r="G51" s="32" t="s">
        <v>128</v>
      </c>
      <c r="H51" s="32" t="s">
        <v>131</v>
      </c>
      <c r="I51" s="32" t="s">
        <v>163</v>
      </c>
      <c r="J51" s="31">
        <v>1</v>
      </c>
    </row>
    <row r="52" spans="2:11" x14ac:dyDescent="0.35">
      <c r="B52" s="31">
        <v>3</v>
      </c>
      <c r="C52" s="32" t="s">
        <v>570</v>
      </c>
      <c r="D52" s="25">
        <v>2</v>
      </c>
      <c r="E52" s="33" t="s">
        <v>573</v>
      </c>
      <c r="F52" s="32" t="s">
        <v>574</v>
      </c>
      <c r="G52" s="32" t="s">
        <v>129</v>
      </c>
      <c r="H52" s="32" t="s">
        <v>131</v>
      </c>
      <c r="I52" s="32" t="s">
        <v>163</v>
      </c>
      <c r="J52" s="31">
        <v>1</v>
      </c>
    </row>
    <row r="53" spans="2:11" x14ac:dyDescent="0.35">
      <c r="B53" s="31">
        <v>3</v>
      </c>
      <c r="C53" s="32" t="s">
        <v>570</v>
      </c>
      <c r="D53" s="25">
        <v>3</v>
      </c>
      <c r="E53" s="33" t="s">
        <v>575</v>
      </c>
      <c r="F53" s="32" t="s">
        <v>576</v>
      </c>
      <c r="G53" s="32" t="s">
        <v>128</v>
      </c>
      <c r="H53" s="32" t="s">
        <v>131</v>
      </c>
      <c r="I53" s="32" t="s">
        <v>163</v>
      </c>
      <c r="J53" s="31">
        <v>1</v>
      </c>
    </row>
    <row r="54" spans="2:11" x14ac:dyDescent="0.35">
      <c r="B54" s="31">
        <v>3</v>
      </c>
      <c r="C54" s="32" t="s">
        <v>570</v>
      </c>
      <c r="D54" s="25">
        <v>4</v>
      </c>
      <c r="E54" s="33" t="s">
        <v>601</v>
      </c>
      <c r="F54" s="32" t="s">
        <v>572</v>
      </c>
      <c r="G54" s="32" t="s">
        <v>129</v>
      </c>
      <c r="H54" s="32" t="s">
        <v>131</v>
      </c>
      <c r="I54" s="32" t="s">
        <v>162</v>
      </c>
      <c r="J54" s="31">
        <v>1</v>
      </c>
    </row>
    <row r="55" spans="2:11" x14ac:dyDescent="0.35">
      <c r="B55" s="31">
        <v>3</v>
      </c>
      <c r="C55" s="32" t="s">
        <v>570</v>
      </c>
      <c r="D55" s="25">
        <v>5</v>
      </c>
      <c r="E55" s="33" t="s">
        <v>579</v>
      </c>
      <c r="F55" s="32" t="s">
        <v>574</v>
      </c>
      <c r="G55" s="32" t="s">
        <v>128</v>
      </c>
      <c r="H55" s="32" t="s">
        <v>131</v>
      </c>
      <c r="I55" s="32" t="s">
        <v>162</v>
      </c>
      <c r="J55" s="31">
        <v>1</v>
      </c>
    </row>
    <row r="56" spans="2:11" x14ac:dyDescent="0.35">
      <c r="B56" s="31">
        <v>3</v>
      </c>
      <c r="C56" s="32" t="s">
        <v>570</v>
      </c>
      <c r="D56" s="25">
        <v>6</v>
      </c>
      <c r="E56" s="33" t="s">
        <v>602</v>
      </c>
      <c r="F56" s="32" t="s">
        <v>581</v>
      </c>
      <c r="G56" s="32" t="s">
        <v>128</v>
      </c>
      <c r="H56" s="32" t="s">
        <v>133</v>
      </c>
      <c r="I56" s="32" t="s">
        <v>162</v>
      </c>
      <c r="J56" s="31">
        <v>1</v>
      </c>
    </row>
    <row r="57" spans="2:11" x14ac:dyDescent="0.35">
      <c r="B57" s="31">
        <v>3</v>
      </c>
      <c r="C57" s="32" t="s">
        <v>570</v>
      </c>
      <c r="D57" s="25">
        <v>7</v>
      </c>
      <c r="E57" s="33" t="s">
        <v>599</v>
      </c>
      <c r="F57" s="32" t="s">
        <v>576</v>
      </c>
      <c r="G57" s="32" t="s">
        <v>127</v>
      </c>
      <c r="H57" s="32" t="s">
        <v>133</v>
      </c>
      <c r="I57" s="32" t="s">
        <v>162</v>
      </c>
      <c r="J57" s="31">
        <v>1</v>
      </c>
    </row>
    <row r="58" spans="2:11" x14ac:dyDescent="0.35">
      <c r="B58" s="31">
        <v>3</v>
      </c>
      <c r="C58" s="32" t="s">
        <v>570</v>
      </c>
      <c r="D58" s="25">
        <v>8</v>
      </c>
      <c r="E58" s="33" t="s">
        <v>596</v>
      </c>
      <c r="F58" s="32" t="s">
        <v>584</v>
      </c>
      <c r="G58" s="32" t="s">
        <v>127</v>
      </c>
      <c r="H58" s="32" t="s">
        <v>133</v>
      </c>
      <c r="I58" s="32" t="s">
        <v>162</v>
      </c>
      <c r="J58" s="31">
        <v>1</v>
      </c>
    </row>
    <row r="59" spans="2:11" x14ac:dyDescent="0.35">
      <c r="E59" s="20" t="s">
        <v>603</v>
      </c>
      <c r="J59" s="34">
        <f>SUM(J51:J58)</f>
        <v>8</v>
      </c>
      <c r="K59" s="6" t="s">
        <v>586</v>
      </c>
    </row>
    <row r="61" spans="2:11" x14ac:dyDescent="0.35">
      <c r="B61" s="31">
        <v>3</v>
      </c>
      <c r="C61" s="32" t="s">
        <v>587</v>
      </c>
      <c r="D61" s="25">
        <v>1</v>
      </c>
      <c r="E61" s="33" t="s">
        <v>588</v>
      </c>
      <c r="F61" s="32" t="s">
        <v>572</v>
      </c>
      <c r="G61" s="32" t="s">
        <v>128</v>
      </c>
      <c r="H61" s="32" t="s">
        <v>131</v>
      </c>
      <c r="I61" s="32" t="s">
        <v>162</v>
      </c>
      <c r="J61" s="31">
        <v>1</v>
      </c>
    </row>
    <row r="62" spans="2:11" x14ac:dyDescent="0.35">
      <c r="B62" s="31">
        <v>3</v>
      </c>
      <c r="C62" s="32" t="s">
        <v>587</v>
      </c>
      <c r="D62" s="25">
        <v>2</v>
      </c>
      <c r="E62" s="33" t="s">
        <v>579</v>
      </c>
      <c r="F62" s="32" t="s">
        <v>574</v>
      </c>
      <c r="G62" s="32" t="s">
        <v>128</v>
      </c>
      <c r="H62" s="32" t="s">
        <v>131</v>
      </c>
      <c r="I62" s="32" t="s">
        <v>162</v>
      </c>
      <c r="J62" s="31">
        <v>1</v>
      </c>
    </row>
    <row r="63" spans="2:11" x14ac:dyDescent="0.35">
      <c r="B63" s="31">
        <v>3</v>
      </c>
      <c r="C63" s="32" t="s">
        <v>587</v>
      </c>
      <c r="D63" s="25">
        <v>3</v>
      </c>
      <c r="E63" s="33" t="s">
        <v>598</v>
      </c>
      <c r="F63" s="32" t="s">
        <v>576</v>
      </c>
      <c r="G63" s="32" t="s">
        <v>128</v>
      </c>
      <c r="H63" s="32" t="s">
        <v>133</v>
      </c>
      <c r="I63" s="32" t="s">
        <v>162</v>
      </c>
      <c r="J63" s="31">
        <v>1</v>
      </c>
    </row>
    <row r="64" spans="2:11" x14ac:dyDescent="0.35">
      <c r="B64" s="31">
        <v>3</v>
      </c>
      <c r="C64" s="32" t="s">
        <v>587</v>
      </c>
      <c r="D64" s="25">
        <v>4</v>
      </c>
      <c r="E64" s="33" t="s">
        <v>602</v>
      </c>
      <c r="F64" s="32" t="s">
        <v>581</v>
      </c>
      <c r="G64" s="32" t="s">
        <v>128</v>
      </c>
      <c r="H64" s="32" t="s">
        <v>133</v>
      </c>
      <c r="I64" s="32" t="s">
        <v>162</v>
      </c>
      <c r="J64" s="31">
        <v>1</v>
      </c>
    </row>
    <row r="65" spans="2:11" x14ac:dyDescent="0.35">
      <c r="B65" s="31">
        <v>3</v>
      </c>
      <c r="C65" s="32" t="s">
        <v>587</v>
      </c>
      <c r="D65" s="25">
        <v>5</v>
      </c>
      <c r="E65" s="33" t="s">
        <v>604</v>
      </c>
      <c r="F65" s="32" t="s">
        <v>581</v>
      </c>
      <c r="G65" s="32" t="s">
        <v>126</v>
      </c>
      <c r="H65" s="32" t="s">
        <v>133</v>
      </c>
      <c r="I65" s="32" t="s">
        <v>162</v>
      </c>
      <c r="J65" s="31">
        <v>1</v>
      </c>
    </row>
    <row r="66" spans="2:11" x14ac:dyDescent="0.35">
      <c r="B66" s="31">
        <v>3</v>
      </c>
      <c r="C66" s="32" t="s">
        <v>587</v>
      </c>
      <c r="D66" s="25">
        <v>6</v>
      </c>
      <c r="E66" s="33" t="s">
        <v>599</v>
      </c>
      <c r="F66" s="32" t="s">
        <v>576</v>
      </c>
      <c r="G66" s="32" t="s">
        <v>127</v>
      </c>
      <c r="H66" s="32" t="s">
        <v>133</v>
      </c>
      <c r="I66" s="32" t="s">
        <v>162</v>
      </c>
      <c r="J66" s="31">
        <v>1</v>
      </c>
    </row>
    <row r="67" spans="2:11" x14ac:dyDescent="0.35">
      <c r="B67" s="31">
        <v>3</v>
      </c>
      <c r="C67" s="32" t="s">
        <v>587</v>
      </c>
      <c r="D67" s="25">
        <v>7</v>
      </c>
      <c r="E67" s="33" t="s">
        <v>596</v>
      </c>
      <c r="F67" s="32" t="s">
        <v>584</v>
      </c>
      <c r="G67" s="32" t="s">
        <v>127</v>
      </c>
      <c r="H67" s="32" t="s">
        <v>133</v>
      </c>
      <c r="I67" s="32" t="s">
        <v>162</v>
      </c>
      <c r="J67" s="31">
        <v>1</v>
      </c>
    </row>
    <row r="68" spans="2:11" x14ac:dyDescent="0.35">
      <c r="B68" s="31">
        <v>3</v>
      </c>
      <c r="C68" s="32" t="s">
        <v>587</v>
      </c>
      <c r="D68" s="25">
        <v>8</v>
      </c>
      <c r="E68" s="33" t="s">
        <v>596</v>
      </c>
      <c r="F68" s="32" t="s">
        <v>584</v>
      </c>
      <c r="G68" s="32" t="s">
        <v>126</v>
      </c>
      <c r="H68" s="32" t="s">
        <v>133</v>
      </c>
      <c r="I68" s="32" t="s">
        <v>162</v>
      </c>
      <c r="J68" s="31">
        <v>1</v>
      </c>
    </row>
    <row r="69" spans="2:11" x14ac:dyDescent="0.35">
      <c r="E69" s="20" t="s">
        <v>605</v>
      </c>
      <c r="J69" s="34">
        <f>SUM(J61:J68)</f>
        <v>8</v>
      </c>
      <c r="K69" s="6" t="s">
        <v>586</v>
      </c>
    </row>
  </sheetData>
  <mergeCells count="2">
    <mergeCell ref="A1:J1"/>
    <mergeCell ref="A2:J2"/>
  </mergeCells>
  <dataValidations count="4">
    <dataValidation type="list" sqref="H5:H71" xr:uid="{00000000-0002-0000-0400-000000000000}">
      <formula1>"ON,OFF"</formula1>
    </dataValidation>
    <dataValidation type="list" sqref="I5:I71" xr:uid="{00000000-0002-0000-0400-000001000000}">
      <formula1>"FTC,FTE,MGCC"</formula1>
    </dataValidation>
    <dataValidation type="list" sqref="G5:G71" xr:uid="{00000000-0002-0000-0400-000002000000}">
      <formula1>"E1,E2,E3,E4,E5"</formula1>
    </dataValidation>
    <dataValidation type="list" sqref="F5:F71" xr:uid="{00000000-0002-0000-0400-000003000000}">
      <formula1>"LEAD,BA,DEV,ENG,TEST,OPS"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7"/>
  <sheetViews>
    <sheetView workbookViewId="0">
      <selection activeCell="G5" sqref="G5"/>
    </sheetView>
  </sheetViews>
  <sheetFormatPr defaultRowHeight="14.5" x14ac:dyDescent="0.35"/>
  <cols>
    <col min="1" max="1" width="2" customWidth="1"/>
    <col min="2" max="3" width="8" customWidth="1"/>
    <col min="4" max="4" width="42" customWidth="1"/>
    <col min="5" max="6" width="14" customWidth="1"/>
    <col min="7" max="9" width="12" customWidth="1"/>
  </cols>
  <sheetData>
    <row r="1" spans="1:9" ht="26.15" customHeight="1" x14ac:dyDescent="0.35">
      <c r="A1" s="48" t="s">
        <v>606</v>
      </c>
      <c r="B1" s="49"/>
      <c r="C1" s="49"/>
      <c r="D1" s="49"/>
      <c r="E1" s="49"/>
      <c r="F1" s="49"/>
      <c r="G1" s="49"/>
      <c r="H1" s="49"/>
      <c r="I1" s="49"/>
    </row>
    <row r="2" spans="1:9" x14ac:dyDescent="0.35">
      <c r="A2" s="50" t="s">
        <v>607</v>
      </c>
      <c r="B2" s="49"/>
      <c r="C2" s="49"/>
      <c r="D2" s="49"/>
      <c r="E2" s="49"/>
      <c r="F2" s="49"/>
      <c r="G2" s="49"/>
      <c r="H2" s="49"/>
      <c r="I2" s="49"/>
    </row>
    <row r="4" spans="1:9" ht="28.15" customHeight="1" x14ac:dyDescent="0.35">
      <c r="B4" s="11" t="s">
        <v>562</v>
      </c>
      <c r="C4" s="11" t="s">
        <v>608</v>
      </c>
      <c r="D4" s="11" t="s">
        <v>167</v>
      </c>
      <c r="E4" s="11" t="s">
        <v>609</v>
      </c>
      <c r="F4" s="11" t="s">
        <v>610</v>
      </c>
      <c r="G4" s="11" t="s">
        <v>611</v>
      </c>
      <c r="H4" s="11" t="s">
        <v>612</v>
      </c>
    </row>
    <row r="5" spans="1:9" x14ac:dyDescent="0.35">
      <c r="B5" s="31">
        <v>1</v>
      </c>
      <c r="C5" s="32" t="s">
        <v>182</v>
      </c>
      <c r="D5" s="7" t="s">
        <v>546</v>
      </c>
      <c r="E5" s="31">
        <v>3</v>
      </c>
      <c r="F5" s="31">
        <v>3</v>
      </c>
      <c r="G5" s="28">
        <f t="shared" ref="G5:G10" si="0">E5+F5</f>
        <v>6</v>
      </c>
      <c r="H5" s="13">
        <f>E5*SUMIFS('Pod Library'!$J:$J,'Pod Library'!$B:$B,$B5,'Pod Library'!$C:$C,"CO")+F5*SUMIFS('Pod Library'!$J:$J,'Pod Library'!$B:$B,$B5,'Pod Library'!$C:$C,"FS")</f>
        <v>60</v>
      </c>
    </row>
    <row r="6" spans="1:9" x14ac:dyDescent="0.35">
      <c r="B6" s="31">
        <v>1</v>
      </c>
      <c r="C6" s="32" t="s">
        <v>186</v>
      </c>
      <c r="D6" s="7" t="s">
        <v>547</v>
      </c>
      <c r="E6" s="31">
        <v>2</v>
      </c>
      <c r="F6" s="31">
        <v>1</v>
      </c>
      <c r="G6" s="28">
        <f t="shared" si="0"/>
        <v>3</v>
      </c>
      <c r="H6" s="13">
        <f>E6*SUMIFS('Pod Library'!$J:$J,'Pod Library'!$B:$B,$B6,'Pod Library'!$C:$C,"CO")+F6*SUMIFS('Pod Library'!$J:$J,'Pod Library'!$B:$B,$B6,'Pod Library'!$C:$C,"FS")</f>
        <v>30</v>
      </c>
    </row>
    <row r="7" spans="1:9" x14ac:dyDescent="0.35">
      <c r="B7" s="31">
        <v>1</v>
      </c>
      <c r="C7" s="32" t="s">
        <v>196</v>
      </c>
      <c r="D7" s="7" t="s">
        <v>548</v>
      </c>
      <c r="E7" s="31">
        <v>1</v>
      </c>
      <c r="F7" s="31">
        <v>1</v>
      </c>
      <c r="G7" s="28">
        <f t="shared" si="0"/>
        <v>2</v>
      </c>
      <c r="H7" s="13">
        <f>E7*SUMIFS('Pod Library'!$J:$J,'Pod Library'!$B:$B,$B7,'Pod Library'!$C:$C,"CO")+F7*SUMIFS('Pod Library'!$J:$J,'Pod Library'!$B:$B,$B7,'Pod Library'!$C:$C,"FS")</f>
        <v>20</v>
      </c>
    </row>
    <row r="8" spans="1:9" x14ac:dyDescent="0.35">
      <c r="B8" s="31">
        <v>1</v>
      </c>
      <c r="C8" s="32" t="s">
        <v>191</v>
      </c>
      <c r="D8" s="7" t="s">
        <v>549</v>
      </c>
      <c r="E8" s="31">
        <v>1</v>
      </c>
      <c r="F8" s="31">
        <v>1</v>
      </c>
      <c r="G8" s="28">
        <f t="shared" si="0"/>
        <v>2</v>
      </c>
      <c r="H8" s="13">
        <f>E8*SUMIFS('Pod Library'!$J:$J,'Pod Library'!$B:$B,$B8,'Pod Library'!$C:$C,"CO")+F8*SUMIFS('Pod Library'!$J:$J,'Pod Library'!$B:$B,$B8,'Pod Library'!$C:$C,"FS")</f>
        <v>20</v>
      </c>
    </row>
    <row r="9" spans="1:9" x14ac:dyDescent="0.35">
      <c r="B9" s="31">
        <v>1</v>
      </c>
      <c r="C9" s="32" t="s">
        <v>232</v>
      </c>
      <c r="D9" s="7" t="s">
        <v>550</v>
      </c>
      <c r="E9" s="31">
        <v>1</v>
      </c>
      <c r="F9" s="31">
        <v>2</v>
      </c>
      <c r="G9" s="28">
        <f t="shared" si="0"/>
        <v>3</v>
      </c>
      <c r="H9" s="13">
        <f>E9*SUMIFS('Pod Library'!$J:$J,'Pod Library'!$B:$B,$B9,'Pod Library'!$C:$C,"CO")+F9*SUMIFS('Pod Library'!$J:$J,'Pod Library'!$B:$B,$B9,'Pod Library'!$C:$C,"FS")</f>
        <v>30</v>
      </c>
    </row>
    <row r="10" spans="1:9" x14ac:dyDescent="0.35">
      <c r="B10" s="31">
        <v>1</v>
      </c>
      <c r="C10" s="32" t="s">
        <v>201</v>
      </c>
      <c r="D10" s="7" t="s">
        <v>551</v>
      </c>
      <c r="E10" s="31">
        <v>1</v>
      </c>
      <c r="F10" s="31">
        <v>1</v>
      </c>
      <c r="G10" s="28">
        <f t="shared" si="0"/>
        <v>2</v>
      </c>
      <c r="H10" s="13">
        <f>E10*SUMIFS('Pod Library'!$J:$J,'Pod Library'!$B:$B,$B10,'Pod Library'!$C:$C,"CO")+F10*SUMIFS('Pod Library'!$J:$J,'Pod Library'!$B:$B,$B10,'Pod Library'!$C:$C,"FS")</f>
        <v>20</v>
      </c>
    </row>
    <row r="11" spans="1:9" x14ac:dyDescent="0.35">
      <c r="D11" s="20" t="s">
        <v>613</v>
      </c>
      <c r="E11" s="34">
        <f>SUM(E5:E10)</f>
        <v>9</v>
      </c>
      <c r="F11" s="34">
        <f>SUM(F5:F10)</f>
        <v>9</v>
      </c>
      <c r="G11" s="34">
        <f>SUM(G5:G10)</f>
        <v>18</v>
      </c>
      <c r="H11" s="34">
        <f>SUM(H5:H10)</f>
        <v>180</v>
      </c>
    </row>
    <row r="13" spans="1:9" x14ac:dyDescent="0.35">
      <c r="B13" s="31">
        <v>2</v>
      </c>
      <c r="C13" s="32" t="s">
        <v>182</v>
      </c>
      <c r="D13" s="7" t="s">
        <v>546</v>
      </c>
      <c r="E13" s="31">
        <v>3</v>
      </c>
      <c r="F13" s="31">
        <v>2</v>
      </c>
      <c r="G13" s="28">
        <f t="shared" ref="G13:G18" si="1">E13+F13</f>
        <v>5</v>
      </c>
      <c r="H13" s="13">
        <f>E13*SUMIFS('Pod Library'!$J:$J,'Pod Library'!$B:$B,$B13,'Pod Library'!$C:$C,"CO")+F13*SUMIFS('Pod Library'!$J:$J,'Pod Library'!$B:$B,$B13,'Pod Library'!$C:$C,"FS")</f>
        <v>45</v>
      </c>
    </row>
    <row r="14" spans="1:9" x14ac:dyDescent="0.35">
      <c r="B14" s="31">
        <v>2</v>
      </c>
      <c r="C14" s="32" t="s">
        <v>186</v>
      </c>
      <c r="D14" s="7" t="s">
        <v>547</v>
      </c>
      <c r="E14" s="31">
        <v>2</v>
      </c>
      <c r="F14" s="31">
        <v>1</v>
      </c>
      <c r="G14" s="28">
        <f t="shared" si="1"/>
        <v>3</v>
      </c>
      <c r="H14" s="13">
        <f>E14*SUMIFS('Pod Library'!$J:$J,'Pod Library'!$B:$B,$B14,'Pod Library'!$C:$C,"CO")+F14*SUMIFS('Pod Library'!$J:$J,'Pod Library'!$B:$B,$B14,'Pod Library'!$C:$C,"FS")</f>
        <v>27</v>
      </c>
    </row>
    <row r="15" spans="1:9" x14ac:dyDescent="0.35">
      <c r="B15" s="31">
        <v>2</v>
      </c>
      <c r="C15" s="32" t="s">
        <v>196</v>
      </c>
      <c r="D15" s="7" t="s">
        <v>548</v>
      </c>
      <c r="E15" s="31">
        <v>1</v>
      </c>
      <c r="F15" s="31">
        <v>1</v>
      </c>
      <c r="G15" s="28">
        <f t="shared" si="1"/>
        <v>2</v>
      </c>
      <c r="H15" s="13">
        <f>E15*SUMIFS('Pod Library'!$J:$J,'Pod Library'!$B:$B,$B15,'Pod Library'!$C:$C,"CO")+F15*SUMIFS('Pod Library'!$J:$J,'Pod Library'!$B:$B,$B15,'Pod Library'!$C:$C,"FS")</f>
        <v>18</v>
      </c>
    </row>
    <row r="16" spans="1:9" x14ac:dyDescent="0.35">
      <c r="B16" s="31">
        <v>2</v>
      </c>
      <c r="C16" s="32" t="s">
        <v>191</v>
      </c>
      <c r="D16" s="7" t="s">
        <v>549</v>
      </c>
      <c r="E16" s="31">
        <v>1</v>
      </c>
      <c r="F16" s="31">
        <v>0</v>
      </c>
      <c r="G16" s="28">
        <f t="shared" si="1"/>
        <v>1</v>
      </c>
      <c r="H16" s="13">
        <f>E16*SUMIFS('Pod Library'!$J:$J,'Pod Library'!$B:$B,$B16,'Pod Library'!$C:$C,"CO")+F16*SUMIFS('Pod Library'!$J:$J,'Pod Library'!$B:$B,$B16,'Pod Library'!$C:$C,"FS")</f>
        <v>9</v>
      </c>
    </row>
    <row r="17" spans="2:8" x14ac:dyDescent="0.35">
      <c r="B17" s="31">
        <v>2</v>
      </c>
      <c r="C17" s="32" t="s">
        <v>232</v>
      </c>
      <c r="D17" s="7" t="s">
        <v>550</v>
      </c>
      <c r="E17" s="31">
        <v>1</v>
      </c>
      <c r="F17" s="31">
        <v>2</v>
      </c>
      <c r="G17" s="28">
        <f t="shared" si="1"/>
        <v>3</v>
      </c>
      <c r="H17" s="13">
        <f>E17*SUMIFS('Pod Library'!$J:$J,'Pod Library'!$B:$B,$B17,'Pod Library'!$C:$C,"CO")+F17*SUMIFS('Pod Library'!$J:$J,'Pod Library'!$B:$B,$B17,'Pod Library'!$C:$C,"FS")</f>
        <v>27</v>
      </c>
    </row>
    <row r="18" spans="2:8" x14ac:dyDescent="0.35">
      <c r="B18" s="31">
        <v>2</v>
      </c>
      <c r="C18" s="32" t="s">
        <v>201</v>
      </c>
      <c r="D18" s="7" t="s">
        <v>551</v>
      </c>
      <c r="E18" s="31">
        <v>1</v>
      </c>
      <c r="F18" s="31">
        <v>1</v>
      </c>
      <c r="G18" s="28">
        <f t="shared" si="1"/>
        <v>2</v>
      </c>
      <c r="H18" s="13">
        <f>E18*SUMIFS('Pod Library'!$J:$J,'Pod Library'!$B:$B,$B18,'Pod Library'!$C:$C,"CO")+F18*SUMIFS('Pod Library'!$J:$J,'Pod Library'!$B:$B,$B18,'Pod Library'!$C:$C,"FS")</f>
        <v>18</v>
      </c>
    </row>
    <row r="19" spans="2:8" x14ac:dyDescent="0.35">
      <c r="D19" s="20" t="s">
        <v>614</v>
      </c>
      <c r="E19" s="34">
        <f>SUM(E13:E18)</f>
        <v>9</v>
      </c>
      <c r="F19" s="34">
        <f>SUM(F13:F18)</f>
        <v>7</v>
      </c>
      <c r="G19" s="34">
        <f>SUM(G13:G18)</f>
        <v>16</v>
      </c>
      <c r="H19" s="34">
        <f>SUM(H13:H18)</f>
        <v>144</v>
      </c>
    </row>
    <row r="21" spans="2:8" x14ac:dyDescent="0.35">
      <c r="B21" s="31">
        <v>3</v>
      </c>
      <c r="C21" s="32" t="s">
        <v>182</v>
      </c>
      <c r="D21" s="7" t="s">
        <v>546</v>
      </c>
      <c r="E21" s="31">
        <v>3</v>
      </c>
      <c r="F21" s="31">
        <v>2</v>
      </c>
      <c r="G21" s="28">
        <f t="shared" ref="G21:G26" si="2">E21+F21</f>
        <v>5</v>
      </c>
      <c r="H21" s="13">
        <f>E21*SUMIFS('Pod Library'!$J:$J,'Pod Library'!$B:$B,$B21,'Pod Library'!$C:$C,"CO")+F21*SUMIFS('Pod Library'!$J:$J,'Pod Library'!$B:$B,$B21,'Pod Library'!$C:$C,"FS")</f>
        <v>40</v>
      </c>
    </row>
    <row r="22" spans="2:8" x14ac:dyDescent="0.35">
      <c r="B22" s="31">
        <v>3</v>
      </c>
      <c r="C22" s="32" t="s">
        <v>186</v>
      </c>
      <c r="D22" s="7" t="s">
        <v>547</v>
      </c>
      <c r="E22" s="31">
        <v>2</v>
      </c>
      <c r="F22" s="31">
        <v>1</v>
      </c>
      <c r="G22" s="28">
        <f t="shared" si="2"/>
        <v>3</v>
      </c>
      <c r="H22" s="13">
        <f>E22*SUMIFS('Pod Library'!$J:$J,'Pod Library'!$B:$B,$B22,'Pod Library'!$C:$C,"CO")+F22*SUMIFS('Pod Library'!$J:$J,'Pod Library'!$B:$B,$B22,'Pod Library'!$C:$C,"FS")</f>
        <v>24</v>
      </c>
    </row>
    <row r="23" spans="2:8" x14ac:dyDescent="0.35">
      <c r="B23" s="31">
        <v>3</v>
      </c>
      <c r="C23" s="32" t="s">
        <v>196</v>
      </c>
      <c r="D23" s="7" t="s">
        <v>548</v>
      </c>
      <c r="E23" s="31">
        <v>1</v>
      </c>
      <c r="F23" s="31">
        <v>1</v>
      </c>
      <c r="G23" s="28">
        <f t="shared" si="2"/>
        <v>2</v>
      </c>
      <c r="H23" s="13">
        <f>E23*SUMIFS('Pod Library'!$J:$J,'Pod Library'!$B:$B,$B23,'Pod Library'!$C:$C,"CO")+F23*SUMIFS('Pod Library'!$J:$J,'Pod Library'!$B:$B,$B23,'Pod Library'!$C:$C,"FS")</f>
        <v>16</v>
      </c>
    </row>
    <row r="24" spans="2:8" x14ac:dyDescent="0.35">
      <c r="B24" s="31">
        <v>3</v>
      </c>
      <c r="C24" s="32" t="s">
        <v>191</v>
      </c>
      <c r="D24" s="7" t="s">
        <v>549</v>
      </c>
      <c r="E24" s="31">
        <v>1</v>
      </c>
      <c r="F24" s="31">
        <v>0</v>
      </c>
      <c r="G24" s="28">
        <f t="shared" si="2"/>
        <v>1</v>
      </c>
      <c r="H24" s="13">
        <f>E24*SUMIFS('Pod Library'!$J:$J,'Pod Library'!$B:$B,$B24,'Pod Library'!$C:$C,"CO")+F24*SUMIFS('Pod Library'!$J:$J,'Pod Library'!$B:$B,$B24,'Pod Library'!$C:$C,"FS")</f>
        <v>8</v>
      </c>
    </row>
    <row r="25" spans="2:8" x14ac:dyDescent="0.35">
      <c r="B25" s="31">
        <v>3</v>
      </c>
      <c r="C25" s="32" t="s">
        <v>232</v>
      </c>
      <c r="D25" s="7" t="s">
        <v>550</v>
      </c>
      <c r="E25" s="31">
        <v>1</v>
      </c>
      <c r="F25" s="31">
        <v>1</v>
      </c>
      <c r="G25" s="28">
        <f t="shared" si="2"/>
        <v>2</v>
      </c>
      <c r="H25" s="13">
        <f>E25*SUMIFS('Pod Library'!$J:$J,'Pod Library'!$B:$B,$B25,'Pod Library'!$C:$C,"CO")+F25*SUMIFS('Pod Library'!$J:$J,'Pod Library'!$B:$B,$B25,'Pod Library'!$C:$C,"FS")</f>
        <v>16</v>
      </c>
    </row>
    <row r="26" spans="2:8" x14ac:dyDescent="0.35">
      <c r="B26" s="31">
        <v>3</v>
      </c>
      <c r="C26" s="32" t="s">
        <v>201</v>
      </c>
      <c r="D26" s="7" t="s">
        <v>551</v>
      </c>
      <c r="E26" s="31">
        <v>1</v>
      </c>
      <c r="F26" s="31">
        <v>1</v>
      </c>
      <c r="G26" s="28">
        <f t="shared" si="2"/>
        <v>2</v>
      </c>
      <c r="H26" s="13">
        <f>E26*SUMIFS('Pod Library'!$J:$J,'Pod Library'!$B:$B,$B26,'Pod Library'!$C:$C,"CO")+F26*SUMIFS('Pod Library'!$J:$J,'Pod Library'!$B:$B,$B26,'Pod Library'!$C:$C,"FS")</f>
        <v>16</v>
      </c>
    </row>
    <row r="27" spans="2:8" x14ac:dyDescent="0.35">
      <c r="D27" s="20" t="s">
        <v>615</v>
      </c>
      <c r="E27" s="34">
        <f>SUM(E21:E26)</f>
        <v>9</v>
      </c>
      <c r="F27" s="34">
        <f>SUM(F21:F26)</f>
        <v>6</v>
      </c>
      <c r="G27" s="34">
        <f>SUM(G21:G26)</f>
        <v>15</v>
      </c>
      <c r="H27" s="34">
        <f>SUM(H21:H26)</f>
        <v>120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3"/>
  <sheetViews>
    <sheetView tabSelected="1" workbookViewId="0">
      <pane xSplit="1" ySplit="4" topLeftCell="B17" activePane="bottomRight" state="frozen"/>
      <selection pane="topRight"/>
      <selection pane="bottomLeft"/>
      <selection pane="bottomRight" activeCell="E22" sqref="E22"/>
    </sheetView>
  </sheetViews>
  <sheetFormatPr defaultRowHeight="14.5" x14ac:dyDescent="0.35"/>
  <cols>
    <col min="1" max="1" width="2" customWidth="1"/>
    <col min="2" max="2" width="7" customWidth="1"/>
    <col min="3" max="3" width="8" customWidth="1"/>
    <col min="4" max="4" width="44" customWidth="1"/>
    <col min="5" max="5" width="42" customWidth="1"/>
    <col min="6" max="6" width="9" customWidth="1"/>
    <col min="7" max="7" width="8" customWidth="1"/>
    <col min="8" max="8" width="10" customWidth="1"/>
    <col min="9" max="9" width="11" customWidth="1"/>
    <col min="10" max="10" width="8" customWidth="1"/>
  </cols>
  <sheetData>
    <row r="1" spans="1:10" ht="26.15" customHeight="1" x14ac:dyDescent="0.35">
      <c r="A1" s="48" t="s">
        <v>616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35">
      <c r="A2" s="50" t="s">
        <v>617</v>
      </c>
      <c r="B2" s="49"/>
      <c r="C2" s="49"/>
      <c r="D2" s="49"/>
      <c r="E2" s="49"/>
      <c r="F2" s="49"/>
      <c r="G2" s="49"/>
      <c r="H2" s="49"/>
      <c r="I2" s="49"/>
      <c r="J2" s="49"/>
    </row>
    <row r="4" spans="1:10" ht="28.15" customHeight="1" x14ac:dyDescent="0.35">
      <c r="B4" s="11" t="s">
        <v>562</v>
      </c>
      <c r="C4" s="11" t="s">
        <v>151</v>
      </c>
      <c r="D4" s="11" t="s">
        <v>618</v>
      </c>
      <c r="E4" s="11" t="s">
        <v>565</v>
      </c>
      <c r="F4" s="11" t="s">
        <v>566</v>
      </c>
      <c r="G4" s="11" t="s">
        <v>567</v>
      </c>
      <c r="H4" s="11" t="s">
        <v>118</v>
      </c>
      <c r="I4" s="11" t="s">
        <v>568</v>
      </c>
      <c r="J4" s="11" t="s">
        <v>569</v>
      </c>
    </row>
    <row r="5" spans="1:10" x14ac:dyDescent="0.35">
      <c r="B5" s="31">
        <v>1</v>
      </c>
      <c r="C5" s="32" t="s">
        <v>619</v>
      </c>
      <c r="D5" s="7" t="s">
        <v>620</v>
      </c>
      <c r="E5" s="33" t="s">
        <v>621</v>
      </c>
      <c r="F5" s="32" t="s">
        <v>572</v>
      </c>
      <c r="G5" s="32" t="s">
        <v>129</v>
      </c>
      <c r="H5" s="32" t="s">
        <v>131</v>
      </c>
      <c r="I5" s="32" t="s">
        <v>162</v>
      </c>
      <c r="J5" s="31">
        <v>1</v>
      </c>
    </row>
    <row r="6" spans="1:10" x14ac:dyDescent="0.35">
      <c r="B6" s="31">
        <v>1</v>
      </c>
      <c r="C6" s="32" t="s">
        <v>619</v>
      </c>
      <c r="D6" s="7" t="s">
        <v>620</v>
      </c>
      <c r="E6" s="33" t="s">
        <v>622</v>
      </c>
      <c r="F6" s="32" t="s">
        <v>623</v>
      </c>
      <c r="G6" s="32" t="s">
        <v>128</v>
      </c>
      <c r="H6" s="32" t="s">
        <v>131</v>
      </c>
      <c r="I6" s="32" t="s">
        <v>162</v>
      </c>
      <c r="J6" s="31">
        <v>1</v>
      </c>
    </row>
    <row r="7" spans="1:10" x14ac:dyDescent="0.35">
      <c r="B7" s="31">
        <v>1</v>
      </c>
      <c r="C7" s="32" t="s">
        <v>619</v>
      </c>
      <c r="D7" s="7" t="s">
        <v>620</v>
      </c>
      <c r="E7" s="33" t="s">
        <v>624</v>
      </c>
      <c r="F7" s="32" t="s">
        <v>623</v>
      </c>
      <c r="G7" s="32" t="s">
        <v>128</v>
      </c>
      <c r="H7" s="32" t="s">
        <v>131</v>
      </c>
      <c r="I7" s="32" t="s">
        <v>162</v>
      </c>
      <c r="J7" s="31">
        <v>1</v>
      </c>
    </row>
    <row r="8" spans="1:10" x14ac:dyDescent="0.35">
      <c r="B8" s="31">
        <v>1</v>
      </c>
      <c r="C8" s="32" t="s">
        <v>619</v>
      </c>
      <c r="D8" s="7" t="s">
        <v>620</v>
      </c>
      <c r="E8" s="33" t="s">
        <v>625</v>
      </c>
      <c r="F8" s="32" t="s">
        <v>623</v>
      </c>
      <c r="G8" s="32" t="s">
        <v>127</v>
      </c>
      <c r="H8" s="32" t="s">
        <v>131</v>
      </c>
      <c r="I8" s="32" t="s">
        <v>162</v>
      </c>
      <c r="J8" s="31">
        <v>4</v>
      </c>
    </row>
    <row r="9" spans="1:10" x14ac:dyDescent="0.35">
      <c r="B9" s="31">
        <v>1</v>
      </c>
      <c r="C9" s="32" t="s">
        <v>619</v>
      </c>
      <c r="D9" s="7" t="s">
        <v>620</v>
      </c>
      <c r="E9" s="33" t="s">
        <v>626</v>
      </c>
      <c r="F9" s="32" t="s">
        <v>623</v>
      </c>
      <c r="G9" s="32" t="s">
        <v>127</v>
      </c>
      <c r="H9" s="32" t="s">
        <v>131</v>
      </c>
      <c r="I9" s="32" t="s">
        <v>162</v>
      </c>
      <c r="J9" s="31">
        <v>3</v>
      </c>
    </row>
    <row r="10" spans="1:10" x14ac:dyDescent="0.35">
      <c r="B10" s="31">
        <v>1</v>
      </c>
      <c r="C10" s="32" t="s">
        <v>619</v>
      </c>
      <c r="D10" s="7" t="s">
        <v>620</v>
      </c>
      <c r="E10" s="33" t="s">
        <v>626</v>
      </c>
      <c r="F10" s="32" t="s">
        <v>623</v>
      </c>
      <c r="G10" s="32" t="s">
        <v>126</v>
      </c>
      <c r="H10" s="32" t="s">
        <v>133</v>
      </c>
      <c r="I10" s="32" t="s">
        <v>162</v>
      </c>
      <c r="J10" s="31">
        <v>4</v>
      </c>
    </row>
    <row r="11" spans="1:10" x14ac:dyDescent="0.35">
      <c r="B11" s="31">
        <v>1</v>
      </c>
      <c r="C11" s="32" t="s">
        <v>619</v>
      </c>
      <c r="D11" s="7" t="s">
        <v>620</v>
      </c>
      <c r="E11" s="33" t="s">
        <v>627</v>
      </c>
      <c r="F11" s="32" t="s">
        <v>623</v>
      </c>
      <c r="G11" s="32" t="s">
        <v>127</v>
      </c>
      <c r="H11" s="32" t="s">
        <v>131</v>
      </c>
      <c r="I11" s="32" t="s">
        <v>162</v>
      </c>
      <c r="J11" s="31">
        <v>4</v>
      </c>
    </row>
    <row r="12" spans="1:10" x14ac:dyDescent="0.35">
      <c r="B12" s="31">
        <v>1</v>
      </c>
      <c r="C12" s="32" t="s">
        <v>619</v>
      </c>
      <c r="D12" s="7" t="s">
        <v>620</v>
      </c>
      <c r="E12" s="33" t="s">
        <v>627</v>
      </c>
      <c r="F12" s="32" t="s">
        <v>623</v>
      </c>
      <c r="G12" s="32" t="s">
        <v>126</v>
      </c>
      <c r="H12" s="32" t="s">
        <v>133</v>
      </c>
      <c r="I12" s="32" t="s">
        <v>162</v>
      </c>
      <c r="J12" s="31">
        <v>4</v>
      </c>
    </row>
    <row r="13" spans="1:10" x14ac:dyDescent="0.35">
      <c r="B13" s="31">
        <v>1</v>
      </c>
      <c r="C13" s="32" t="s">
        <v>619</v>
      </c>
      <c r="D13" s="7" t="s">
        <v>620</v>
      </c>
      <c r="E13" s="33" t="s">
        <v>628</v>
      </c>
      <c r="F13" s="32" t="s">
        <v>623</v>
      </c>
      <c r="G13" s="32" t="s">
        <v>127</v>
      </c>
      <c r="H13" s="32" t="s">
        <v>131</v>
      </c>
      <c r="I13" s="32" t="s">
        <v>162</v>
      </c>
      <c r="J13" s="31">
        <v>2</v>
      </c>
    </row>
    <row r="14" spans="1:10" x14ac:dyDescent="0.35">
      <c r="B14" s="31">
        <v>1</v>
      </c>
      <c r="C14" s="32" t="s">
        <v>619</v>
      </c>
      <c r="D14" s="7" t="s">
        <v>620</v>
      </c>
      <c r="E14" s="33" t="s">
        <v>790</v>
      </c>
      <c r="F14" s="32" t="s">
        <v>576</v>
      </c>
      <c r="G14" s="32" t="s">
        <v>127</v>
      </c>
      <c r="H14" s="32" t="s">
        <v>133</v>
      </c>
      <c r="I14" s="32" t="s">
        <v>162</v>
      </c>
      <c r="J14" s="31">
        <v>2</v>
      </c>
    </row>
    <row r="15" spans="1:10" x14ac:dyDescent="0.35">
      <c r="E15" s="20" t="s">
        <v>629</v>
      </c>
      <c r="J15" s="34">
        <f>SUM(J5:J14)</f>
        <v>26</v>
      </c>
    </row>
    <row r="16" spans="1:10" x14ac:dyDescent="0.35">
      <c r="B16" s="31">
        <v>1</v>
      </c>
      <c r="C16" s="32" t="s">
        <v>630</v>
      </c>
      <c r="D16" s="7" t="s">
        <v>631</v>
      </c>
      <c r="E16" s="33" t="s">
        <v>632</v>
      </c>
      <c r="F16" s="32" t="s">
        <v>572</v>
      </c>
      <c r="G16" s="32" t="s">
        <v>129</v>
      </c>
      <c r="H16" s="32" t="s">
        <v>131</v>
      </c>
      <c r="I16" s="32" t="s">
        <v>162</v>
      </c>
      <c r="J16" s="31">
        <v>1</v>
      </c>
    </row>
    <row r="17" spans="2:10" x14ac:dyDescent="0.35">
      <c r="B17" s="31">
        <v>1</v>
      </c>
      <c r="C17" s="32" t="s">
        <v>630</v>
      </c>
      <c r="D17" s="7" t="s">
        <v>631</v>
      </c>
      <c r="E17" s="33" t="s">
        <v>633</v>
      </c>
      <c r="F17" s="32" t="s">
        <v>584</v>
      </c>
      <c r="G17" s="32" t="s">
        <v>128</v>
      </c>
      <c r="H17" s="32" t="s">
        <v>131</v>
      </c>
      <c r="I17" s="32" t="s">
        <v>162</v>
      </c>
      <c r="J17" s="31">
        <v>1</v>
      </c>
    </row>
    <row r="18" spans="2:10" x14ac:dyDescent="0.35">
      <c r="B18" s="31">
        <v>1</v>
      </c>
      <c r="C18" s="32" t="s">
        <v>630</v>
      </c>
      <c r="D18" s="7" t="s">
        <v>631</v>
      </c>
      <c r="E18" s="33" t="s">
        <v>634</v>
      </c>
      <c r="F18" s="32" t="s">
        <v>584</v>
      </c>
      <c r="G18" s="32" t="s">
        <v>128</v>
      </c>
      <c r="H18" s="32" t="s">
        <v>131</v>
      </c>
      <c r="I18" s="32" t="s">
        <v>162</v>
      </c>
      <c r="J18" s="31">
        <v>1</v>
      </c>
    </row>
    <row r="19" spans="2:10" x14ac:dyDescent="0.35">
      <c r="B19" s="31">
        <v>1</v>
      </c>
      <c r="C19" s="32" t="s">
        <v>630</v>
      </c>
      <c r="D19" s="7" t="s">
        <v>631</v>
      </c>
      <c r="E19" s="33" t="s">
        <v>635</v>
      </c>
      <c r="F19" s="32" t="s">
        <v>584</v>
      </c>
      <c r="G19" s="32" t="s">
        <v>127</v>
      </c>
      <c r="H19" s="32" t="s">
        <v>133</v>
      </c>
      <c r="I19" s="32" t="s">
        <v>162</v>
      </c>
      <c r="J19" s="31">
        <v>5</v>
      </c>
    </row>
    <row r="20" spans="2:10" x14ac:dyDescent="0.35">
      <c r="B20" s="31">
        <v>1</v>
      </c>
      <c r="C20" s="32" t="s">
        <v>630</v>
      </c>
      <c r="D20" s="7" t="s">
        <v>631</v>
      </c>
      <c r="E20" s="33" t="s">
        <v>635</v>
      </c>
      <c r="F20" s="32" t="s">
        <v>584</v>
      </c>
      <c r="G20" s="32" t="s">
        <v>126</v>
      </c>
      <c r="H20" s="32" t="s">
        <v>133</v>
      </c>
      <c r="I20" s="32" t="s">
        <v>162</v>
      </c>
      <c r="J20" s="31">
        <v>3</v>
      </c>
    </row>
    <row r="21" spans="2:10" x14ac:dyDescent="0.35">
      <c r="B21" s="31">
        <v>1</v>
      </c>
      <c r="C21" s="32" t="s">
        <v>630</v>
      </c>
      <c r="D21" s="7" t="s">
        <v>631</v>
      </c>
      <c r="E21" s="33" t="s">
        <v>636</v>
      </c>
      <c r="F21" s="32" t="s">
        <v>584</v>
      </c>
      <c r="G21" s="32" t="s">
        <v>126</v>
      </c>
      <c r="H21" s="32" t="s">
        <v>133</v>
      </c>
      <c r="I21" s="32" t="s">
        <v>162</v>
      </c>
      <c r="J21" s="31">
        <v>3</v>
      </c>
    </row>
    <row r="22" spans="2:10" x14ac:dyDescent="0.35">
      <c r="B22" s="31">
        <v>1</v>
      </c>
      <c r="C22" s="32" t="s">
        <v>630</v>
      </c>
      <c r="D22" s="7" t="s">
        <v>631</v>
      </c>
      <c r="E22" s="33" t="s">
        <v>637</v>
      </c>
      <c r="F22" s="32" t="s">
        <v>576</v>
      </c>
      <c r="G22" s="32" t="s">
        <v>127</v>
      </c>
      <c r="H22" s="32" t="s">
        <v>131</v>
      </c>
      <c r="I22" s="32" t="s">
        <v>162</v>
      </c>
      <c r="J22" s="31">
        <v>3</v>
      </c>
    </row>
    <row r="23" spans="2:10" x14ac:dyDescent="0.35">
      <c r="E23" s="20" t="s">
        <v>638</v>
      </c>
      <c r="J23" s="34">
        <f>SUM(J16:J22)</f>
        <v>17</v>
      </c>
    </row>
    <row r="24" spans="2:10" x14ac:dyDescent="0.35">
      <c r="B24" s="31">
        <v>1</v>
      </c>
      <c r="C24" s="32" t="s">
        <v>639</v>
      </c>
      <c r="D24" s="7" t="s">
        <v>640</v>
      </c>
      <c r="E24" s="33" t="s">
        <v>641</v>
      </c>
      <c r="F24" s="32" t="s">
        <v>572</v>
      </c>
      <c r="G24" s="32" t="s">
        <v>129</v>
      </c>
      <c r="H24" s="32" t="s">
        <v>131</v>
      </c>
      <c r="I24" s="32" t="s">
        <v>162</v>
      </c>
      <c r="J24" s="31">
        <v>1</v>
      </c>
    </row>
    <row r="25" spans="2:10" x14ac:dyDescent="0.35">
      <c r="B25" s="31">
        <v>1</v>
      </c>
      <c r="C25" s="32" t="s">
        <v>639</v>
      </c>
      <c r="D25" s="7" t="s">
        <v>640</v>
      </c>
      <c r="E25" s="33" t="s">
        <v>642</v>
      </c>
      <c r="F25" s="32" t="s">
        <v>576</v>
      </c>
      <c r="G25" s="32" t="s">
        <v>129</v>
      </c>
      <c r="H25" s="32" t="s">
        <v>131</v>
      </c>
      <c r="I25" s="32" t="s">
        <v>162</v>
      </c>
      <c r="J25" s="31">
        <v>1</v>
      </c>
    </row>
    <row r="26" spans="2:10" x14ac:dyDescent="0.35">
      <c r="B26" s="31">
        <v>1</v>
      </c>
      <c r="C26" s="32" t="s">
        <v>639</v>
      </c>
      <c r="D26" s="7" t="s">
        <v>640</v>
      </c>
      <c r="E26" s="33" t="s">
        <v>643</v>
      </c>
      <c r="F26" s="32" t="s">
        <v>572</v>
      </c>
      <c r="G26" s="32" t="s">
        <v>128</v>
      </c>
      <c r="H26" s="32" t="s">
        <v>131</v>
      </c>
      <c r="I26" s="32" t="s">
        <v>162</v>
      </c>
      <c r="J26" s="31">
        <v>2</v>
      </c>
    </row>
    <row r="27" spans="2:10" x14ac:dyDescent="0.35">
      <c r="B27" s="31">
        <v>1</v>
      </c>
      <c r="C27" s="32" t="s">
        <v>639</v>
      </c>
      <c r="D27" s="7" t="s">
        <v>640</v>
      </c>
      <c r="E27" s="33" t="s">
        <v>644</v>
      </c>
      <c r="F27" s="32" t="s">
        <v>576</v>
      </c>
      <c r="G27" s="32" t="s">
        <v>129</v>
      </c>
      <c r="H27" s="32" t="s">
        <v>131</v>
      </c>
      <c r="I27" s="32" t="s">
        <v>162</v>
      </c>
      <c r="J27" s="31">
        <v>1</v>
      </c>
    </row>
    <row r="28" spans="2:10" x14ac:dyDescent="0.35">
      <c r="B28" s="31">
        <v>1</v>
      </c>
      <c r="C28" s="32" t="s">
        <v>639</v>
      </c>
      <c r="D28" s="7" t="s">
        <v>640</v>
      </c>
      <c r="E28" s="33" t="s">
        <v>645</v>
      </c>
      <c r="F28" s="32" t="s">
        <v>576</v>
      </c>
      <c r="G28" s="32" t="s">
        <v>128</v>
      </c>
      <c r="H28" s="32" t="s">
        <v>131</v>
      </c>
      <c r="I28" s="32" t="s">
        <v>162</v>
      </c>
      <c r="J28" s="31">
        <v>1</v>
      </c>
    </row>
    <row r="29" spans="2:10" x14ac:dyDescent="0.35">
      <c r="B29" s="31">
        <v>1</v>
      </c>
      <c r="C29" s="32" t="s">
        <v>639</v>
      </c>
      <c r="D29" s="7" t="s">
        <v>640</v>
      </c>
      <c r="E29" s="33" t="s">
        <v>646</v>
      </c>
      <c r="F29" s="32" t="s">
        <v>572</v>
      </c>
      <c r="G29" s="32" t="s">
        <v>128</v>
      </c>
      <c r="H29" s="32" t="s">
        <v>131</v>
      </c>
      <c r="I29" s="32" t="s">
        <v>162</v>
      </c>
      <c r="J29" s="31">
        <v>1</v>
      </c>
    </row>
    <row r="30" spans="2:10" x14ac:dyDescent="0.35">
      <c r="B30" s="31">
        <v>1</v>
      </c>
      <c r="C30" s="32" t="s">
        <v>639</v>
      </c>
      <c r="D30" s="7" t="s">
        <v>640</v>
      </c>
      <c r="E30" s="33" t="s">
        <v>647</v>
      </c>
      <c r="F30" s="32" t="s">
        <v>623</v>
      </c>
      <c r="G30" s="32" t="s">
        <v>126</v>
      </c>
      <c r="H30" s="32" t="s">
        <v>133</v>
      </c>
      <c r="I30" s="32" t="s">
        <v>162</v>
      </c>
      <c r="J30" s="31">
        <v>1</v>
      </c>
    </row>
    <row r="31" spans="2:10" x14ac:dyDescent="0.35">
      <c r="E31" s="20" t="s">
        <v>648</v>
      </c>
      <c r="J31" s="34">
        <f>SUM(J24:J30)</f>
        <v>8</v>
      </c>
    </row>
    <row r="32" spans="2:10" x14ac:dyDescent="0.35">
      <c r="E32" s="35" t="s">
        <v>649</v>
      </c>
      <c r="J32" s="36">
        <f>SUMIFS($J$5:$J$31,$B$5:$B$31,1)</f>
        <v>51</v>
      </c>
    </row>
    <row r="34" spans="2:10" x14ac:dyDescent="0.35">
      <c r="B34" s="31">
        <v>2</v>
      </c>
      <c r="C34" s="32" t="s">
        <v>619</v>
      </c>
      <c r="D34" s="7" t="s">
        <v>620</v>
      </c>
      <c r="E34" s="33" t="s">
        <v>621</v>
      </c>
      <c r="F34" s="32" t="s">
        <v>572</v>
      </c>
      <c r="G34" s="32" t="s">
        <v>129</v>
      </c>
      <c r="H34" s="32" t="s">
        <v>131</v>
      </c>
      <c r="I34" s="32" t="s">
        <v>162</v>
      </c>
      <c r="J34" s="31">
        <v>1</v>
      </c>
    </row>
    <row r="35" spans="2:10" x14ac:dyDescent="0.35">
      <c r="B35" s="31">
        <v>2</v>
      </c>
      <c r="C35" s="32" t="s">
        <v>619</v>
      </c>
      <c r="D35" s="7" t="s">
        <v>620</v>
      </c>
      <c r="E35" s="33" t="s">
        <v>622</v>
      </c>
      <c r="F35" s="32" t="s">
        <v>623</v>
      </c>
      <c r="G35" s="32" t="s">
        <v>128</v>
      </c>
      <c r="H35" s="32" t="s">
        <v>131</v>
      </c>
      <c r="I35" s="32" t="s">
        <v>162</v>
      </c>
      <c r="J35" s="31">
        <v>1</v>
      </c>
    </row>
    <row r="36" spans="2:10" x14ac:dyDescent="0.35">
      <c r="B36" s="31">
        <v>2</v>
      </c>
      <c r="C36" s="32" t="s">
        <v>619</v>
      </c>
      <c r="D36" s="7" t="s">
        <v>620</v>
      </c>
      <c r="E36" s="33" t="s">
        <v>624</v>
      </c>
      <c r="F36" s="32" t="s">
        <v>623</v>
      </c>
      <c r="G36" s="32" t="s">
        <v>128</v>
      </c>
      <c r="H36" s="32" t="s">
        <v>131</v>
      </c>
      <c r="I36" s="32" t="s">
        <v>162</v>
      </c>
      <c r="J36" s="31">
        <v>1</v>
      </c>
    </row>
    <row r="37" spans="2:10" x14ac:dyDescent="0.35">
      <c r="B37" s="31">
        <v>2</v>
      </c>
      <c r="C37" s="32" t="s">
        <v>619</v>
      </c>
      <c r="D37" s="7" t="s">
        <v>620</v>
      </c>
      <c r="E37" s="33" t="s">
        <v>625</v>
      </c>
      <c r="F37" s="32" t="s">
        <v>623</v>
      </c>
      <c r="G37" s="32" t="s">
        <v>127</v>
      </c>
      <c r="H37" s="32" t="s">
        <v>131</v>
      </c>
      <c r="I37" s="32" t="s">
        <v>162</v>
      </c>
      <c r="J37" s="31">
        <v>2</v>
      </c>
    </row>
    <row r="38" spans="2:10" x14ac:dyDescent="0.35">
      <c r="B38" s="31">
        <v>2</v>
      </c>
      <c r="C38" s="32" t="s">
        <v>619</v>
      </c>
      <c r="D38" s="7" t="s">
        <v>620</v>
      </c>
      <c r="E38" s="33" t="s">
        <v>650</v>
      </c>
      <c r="F38" s="32" t="s">
        <v>576</v>
      </c>
      <c r="G38" s="32" t="s">
        <v>127</v>
      </c>
      <c r="H38" s="32" t="s">
        <v>133</v>
      </c>
      <c r="I38" s="32" t="s">
        <v>162</v>
      </c>
      <c r="J38" s="31">
        <v>3</v>
      </c>
    </row>
    <row r="39" spans="2:10" x14ac:dyDescent="0.35">
      <c r="B39" s="31">
        <v>2</v>
      </c>
      <c r="C39" s="32" t="s">
        <v>619</v>
      </c>
      <c r="D39" s="7" t="s">
        <v>620</v>
      </c>
      <c r="E39" s="33" t="s">
        <v>626</v>
      </c>
      <c r="F39" s="32" t="s">
        <v>623</v>
      </c>
      <c r="G39" s="32" t="s">
        <v>127</v>
      </c>
      <c r="H39" s="32" t="s">
        <v>131</v>
      </c>
      <c r="I39" s="32" t="s">
        <v>162</v>
      </c>
      <c r="J39" s="31">
        <v>2</v>
      </c>
    </row>
    <row r="40" spans="2:10" x14ac:dyDescent="0.35">
      <c r="B40" s="31">
        <v>2</v>
      </c>
      <c r="C40" s="32" t="s">
        <v>619</v>
      </c>
      <c r="D40" s="7" t="s">
        <v>620</v>
      </c>
      <c r="E40" s="33" t="s">
        <v>627</v>
      </c>
      <c r="F40" s="32" t="s">
        <v>623</v>
      </c>
      <c r="G40" s="32" t="s">
        <v>127</v>
      </c>
      <c r="H40" s="32" t="s">
        <v>131</v>
      </c>
      <c r="I40" s="32" t="s">
        <v>162</v>
      </c>
      <c r="J40" s="31">
        <v>2</v>
      </c>
    </row>
    <row r="41" spans="2:10" x14ac:dyDescent="0.35">
      <c r="B41" s="31">
        <v>2</v>
      </c>
      <c r="C41" s="32" t="s">
        <v>619</v>
      </c>
      <c r="D41" s="7" t="s">
        <v>620</v>
      </c>
      <c r="E41" s="33" t="s">
        <v>627</v>
      </c>
      <c r="F41" s="32" t="s">
        <v>623</v>
      </c>
      <c r="G41" s="32" t="s">
        <v>126</v>
      </c>
      <c r="H41" s="32" t="s">
        <v>133</v>
      </c>
      <c r="I41" s="32" t="s">
        <v>162</v>
      </c>
      <c r="J41" s="31">
        <v>4</v>
      </c>
    </row>
    <row r="42" spans="2:10" x14ac:dyDescent="0.35">
      <c r="B42" s="31">
        <v>2</v>
      </c>
      <c r="C42" s="32" t="s">
        <v>619</v>
      </c>
      <c r="D42" s="7" t="s">
        <v>620</v>
      </c>
      <c r="E42" s="33" t="s">
        <v>790</v>
      </c>
      <c r="F42" s="32" t="s">
        <v>576</v>
      </c>
      <c r="G42" s="32" t="s">
        <v>127</v>
      </c>
      <c r="H42" s="32" t="s">
        <v>133</v>
      </c>
      <c r="I42" s="32" t="s">
        <v>162</v>
      </c>
      <c r="J42" s="31">
        <v>2</v>
      </c>
    </row>
    <row r="43" spans="2:10" x14ac:dyDescent="0.35">
      <c r="E43" s="20" t="s">
        <v>629</v>
      </c>
      <c r="J43" s="34">
        <f>SUM(J34:J42)</f>
        <v>18</v>
      </c>
    </row>
    <row r="44" spans="2:10" x14ac:dyDescent="0.35">
      <c r="B44" s="31">
        <v>2</v>
      </c>
      <c r="C44" s="32" t="s">
        <v>630</v>
      </c>
      <c r="D44" s="7" t="s">
        <v>631</v>
      </c>
      <c r="E44" s="33" t="s">
        <v>632</v>
      </c>
      <c r="F44" s="32" t="s">
        <v>572</v>
      </c>
      <c r="G44" s="32" t="s">
        <v>129</v>
      </c>
      <c r="H44" s="32" t="s">
        <v>131</v>
      </c>
      <c r="I44" s="32" t="s">
        <v>162</v>
      </c>
      <c r="J44" s="31">
        <v>1</v>
      </c>
    </row>
    <row r="45" spans="2:10" x14ac:dyDescent="0.35">
      <c r="B45" s="31">
        <v>2</v>
      </c>
      <c r="C45" s="32" t="s">
        <v>630</v>
      </c>
      <c r="D45" s="7" t="s">
        <v>631</v>
      </c>
      <c r="E45" s="33" t="s">
        <v>633</v>
      </c>
      <c r="F45" s="32" t="s">
        <v>584</v>
      </c>
      <c r="G45" s="32" t="s">
        <v>128</v>
      </c>
      <c r="H45" s="32" t="s">
        <v>131</v>
      </c>
      <c r="I45" s="32" t="s">
        <v>162</v>
      </c>
      <c r="J45" s="31">
        <v>1</v>
      </c>
    </row>
    <row r="46" spans="2:10" x14ac:dyDescent="0.35">
      <c r="B46" s="31">
        <v>2</v>
      </c>
      <c r="C46" s="32" t="s">
        <v>630</v>
      </c>
      <c r="D46" s="7" t="s">
        <v>631</v>
      </c>
      <c r="E46" s="33" t="s">
        <v>651</v>
      </c>
      <c r="F46" s="32" t="s">
        <v>584</v>
      </c>
      <c r="G46" s="32" t="s">
        <v>127</v>
      </c>
      <c r="H46" s="32" t="s">
        <v>133</v>
      </c>
      <c r="I46" s="32" t="s">
        <v>162</v>
      </c>
      <c r="J46" s="31">
        <v>4</v>
      </c>
    </row>
    <row r="47" spans="2:10" x14ac:dyDescent="0.35">
      <c r="B47" s="31">
        <v>2</v>
      </c>
      <c r="C47" s="32" t="s">
        <v>630</v>
      </c>
      <c r="D47" s="7" t="s">
        <v>631</v>
      </c>
      <c r="E47" s="33" t="s">
        <v>635</v>
      </c>
      <c r="F47" s="32" t="s">
        <v>584</v>
      </c>
      <c r="G47" s="32" t="s">
        <v>127</v>
      </c>
      <c r="H47" s="32" t="s">
        <v>133</v>
      </c>
      <c r="I47" s="32" t="s">
        <v>162</v>
      </c>
      <c r="J47" s="31">
        <v>3</v>
      </c>
    </row>
    <row r="48" spans="2:10" x14ac:dyDescent="0.35">
      <c r="B48" s="31">
        <v>2</v>
      </c>
      <c r="C48" s="32" t="s">
        <v>630</v>
      </c>
      <c r="D48" s="7" t="s">
        <v>631</v>
      </c>
      <c r="E48" s="33" t="s">
        <v>636</v>
      </c>
      <c r="F48" s="32" t="s">
        <v>584</v>
      </c>
      <c r="G48" s="32" t="s">
        <v>126</v>
      </c>
      <c r="H48" s="32" t="s">
        <v>133</v>
      </c>
      <c r="I48" s="32" t="s">
        <v>162</v>
      </c>
      <c r="J48" s="31">
        <v>2</v>
      </c>
    </row>
    <row r="49" spans="2:10" x14ac:dyDescent="0.35">
      <c r="B49" s="31">
        <v>2</v>
      </c>
      <c r="C49" s="32" t="s">
        <v>630</v>
      </c>
      <c r="D49" s="7" t="s">
        <v>631</v>
      </c>
      <c r="E49" s="33" t="s">
        <v>637</v>
      </c>
      <c r="F49" s="32" t="s">
        <v>576</v>
      </c>
      <c r="G49" s="32" t="s">
        <v>127</v>
      </c>
      <c r="H49" s="32" t="s">
        <v>131</v>
      </c>
      <c r="I49" s="32" t="s">
        <v>162</v>
      </c>
      <c r="J49" s="31">
        <v>1</v>
      </c>
    </row>
    <row r="50" spans="2:10" x14ac:dyDescent="0.35">
      <c r="E50" s="20" t="s">
        <v>638</v>
      </c>
      <c r="J50" s="34">
        <f>SUM(J44:J49)</f>
        <v>12</v>
      </c>
    </row>
    <row r="51" spans="2:10" x14ac:dyDescent="0.35">
      <c r="B51" s="31">
        <v>2</v>
      </c>
      <c r="C51" s="32" t="s">
        <v>639</v>
      </c>
      <c r="D51" s="7" t="s">
        <v>640</v>
      </c>
      <c r="E51" s="33" t="s">
        <v>641</v>
      </c>
      <c r="F51" s="32" t="s">
        <v>572</v>
      </c>
      <c r="G51" s="32" t="s">
        <v>129</v>
      </c>
      <c r="H51" s="32" t="s">
        <v>131</v>
      </c>
      <c r="I51" s="32" t="s">
        <v>162</v>
      </c>
      <c r="J51" s="31">
        <v>1</v>
      </c>
    </row>
    <row r="52" spans="2:10" x14ac:dyDescent="0.35">
      <c r="B52" s="31">
        <v>2</v>
      </c>
      <c r="C52" s="32" t="s">
        <v>639</v>
      </c>
      <c r="D52" s="7" t="s">
        <v>640</v>
      </c>
      <c r="E52" s="33" t="s">
        <v>642</v>
      </c>
      <c r="F52" s="32" t="s">
        <v>576</v>
      </c>
      <c r="G52" s="32" t="s">
        <v>129</v>
      </c>
      <c r="H52" s="32" t="s">
        <v>131</v>
      </c>
      <c r="I52" s="32" t="s">
        <v>162</v>
      </c>
      <c r="J52" s="31">
        <v>1</v>
      </c>
    </row>
    <row r="53" spans="2:10" x14ac:dyDescent="0.35">
      <c r="B53" s="31">
        <v>2</v>
      </c>
      <c r="C53" s="32" t="s">
        <v>639</v>
      </c>
      <c r="D53" s="7" t="s">
        <v>640</v>
      </c>
      <c r="E53" s="33" t="s">
        <v>643</v>
      </c>
      <c r="F53" s="32" t="s">
        <v>572</v>
      </c>
      <c r="G53" s="32" t="s">
        <v>128</v>
      </c>
      <c r="H53" s="32" t="s">
        <v>131</v>
      </c>
      <c r="I53" s="32" t="s">
        <v>162</v>
      </c>
      <c r="J53" s="31">
        <v>1</v>
      </c>
    </row>
    <row r="54" spans="2:10" x14ac:dyDescent="0.35">
      <c r="B54" s="31">
        <v>2</v>
      </c>
      <c r="C54" s="32" t="s">
        <v>639</v>
      </c>
      <c r="D54" s="7" t="s">
        <v>640</v>
      </c>
      <c r="E54" s="33" t="s">
        <v>645</v>
      </c>
      <c r="F54" s="32" t="s">
        <v>576</v>
      </c>
      <c r="G54" s="32" t="s">
        <v>128</v>
      </c>
      <c r="H54" s="32" t="s">
        <v>131</v>
      </c>
      <c r="I54" s="32" t="s">
        <v>162</v>
      </c>
      <c r="J54" s="31">
        <v>1</v>
      </c>
    </row>
    <row r="55" spans="2:10" x14ac:dyDescent="0.35">
      <c r="B55" s="31">
        <v>2</v>
      </c>
      <c r="C55" s="32" t="s">
        <v>639</v>
      </c>
      <c r="D55" s="7" t="s">
        <v>640</v>
      </c>
      <c r="E55" s="33" t="s">
        <v>646</v>
      </c>
      <c r="F55" s="32" t="s">
        <v>572</v>
      </c>
      <c r="G55" s="32" t="s">
        <v>128</v>
      </c>
      <c r="H55" s="32" t="s">
        <v>131</v>
      </c>
      <c r="I55" s="32" t="s">
        <v>162</v>
      </c>
      <c r="J55" s="31">
        <v>1</v>
      </c>
    </row>
    <row r="56" spans="2:10" x14ac:dyDescent="0.35">
      <c r="B56" s="31">
        <v>2</v>
      </c>
      <c r="C56" s="32" t="s">
        <v>639</v>
      </c>
      <c r="D56" s="7" t="s">
        <v>640</v>
      </c>
      <c r="E56" s="33" t="s">
        <v>647</v>
      </c>
      <c r="F56" s="32" t="s">
        <v>623</v>
      </c>
      <c r="G56" s="32" t="s">
        <v>126</v>
      </c>
      <c r="H56" s="32" t="s">
        <v>133</v>
      </c>
      <c r="I56" s="32" t="s">
        <v>162</v>
      </c>
      <c r="J56" s="31">
        <v>1</v>
      </c>
    </row>
    <row r="57" spans="2:10" x14ac:dyDescent="0.35">
      <c r="E57" s="20" t="s">
        <v>648</v>
      </c>
      <c r="J57" s="34">
        <f>SUM(J51:J56)</f>
        <v>6</v>
      </c>
    </row>
    <row r="58" spans="2:10" x14ac:dyDescent="0.35">
      <c r="E58" s="35" t="s">
        <v>652</v>
      </c>
      <c r="J58" s="36">
        <f>SUMIFS($J$34:$J$57,$B$34:$B$57,2)</f>
        <v>36</v>
      </c>
    </row>
    <row r="60" spans="2:10" x14ac:dyDescent="0.35">
      <c r="B60" s="31">
        <v>3</v>
      </c>
      <c r="C60" s="32" t="s">
        <v>619</v>
      </c>
      <c r="D60" s="7" t="s">
        <v>620</v>
      </c>
      <c r="E60" s="33" t="s">
        <v>621</v>
      </c>
      <c r="F60" s="32" t="s">
        <v>572</v>
      </c>
      <c r="G60" s="32" t="s">
        <v>129</v>
      </c>
      <c r="H60" s="32" t="s">
        <v>131</v>
      </c>
      <c r="I60" s="32" t="s">
        <v>162</v>
      </c>
      <c r="J60" s="31">
        <v>1</v>
      </c>
    </row>
    <row r="61" spans="2:10" x14ac:dyDescent="0.35">
      <c r="B61" s="31">
        <v>3</v>
      </c>
      <c r="C61" s="32" t="s">
        <v>619</v>
      </c>
      <c r="D61" s="7" t="s">
        <v>620</v>
      </c>
      <c r="E61" s="33" t="s">
        <v>622</v>
      </c>
      <c r="F61" s="32" t="s">
        <v>623</v>
      </c>
      <c r="G61" s="32" t="s">
        <v>128</v>
      </c>
      <c r="H61" s="32" t="s">
        <v>131</v>
      </c>
      <c r="I61" s="32" t="s">
        <v>162</v>
      </c>
      <c r="J61" s="31">
        <v>1</v>
      </c>
    </row>
    <row r="62" spans="2:10" x14ac:dyDescent="0.35">
      <c r="B62" s="31">
        <v>3</v>
      </c>
      <c r="C62" s="32" t="s">
        <v>619</v>
      </c>
      <c r="D62" s="7" t="s">
        <v>620</v>
      </c>
      <c r="E62" s="33" t="s">
        <v>624</v>
      </c>
      <c r="F62" s="32" t="s">
        <v>623</v>
      </c>
      <c r="G62" s="32" t="s">
        <v>128</v>
      </c>
      <c r="H62" s="32" t="s">
        <v>131</v>
      </c>
      <c r="I62" s="32" t="s">
        <v>162</v>
      </c>
      <c r="J62" s="31">
        <v>1</v>
      </c>
    </row>
    <row r="63" spans="2:10" x14ac:dyDescent="0.35">
      <c r="B63" s="31">
        <v>3</v>
      </c>
      <c r="C63" s="32" t="s">
        <v>619</v>
      </c>
      <c r="D63" s="7" t="s">
        <v>620</v>
      </c>
      <c r="E63" s="33" t="s">
        <v>625</v>
      </c>
      <c r="F63" s="32" t="s">
        <v>623</v>
      </c>
      <c r="G63" s="32" t="s">
        <v>127</v>
      </c>
      <c r="H63" s="32" t="s">
        <v>131</v>
      </c>
      <c r="I63" s="32" t="s">
        <v>162</v>
      </c>
      <c r="J63" s="31">
        <v>1</v>
      </c>
    </row>
    <row r="64" spans="2:10" x14ac:dyDescent="0.35">
      <c r="B64" s="31">
        <v>3</v>
      </c>
      <c r="C64" s="32" t="s">
        <v>619</v>
      </c>
      <c r="D64" s="7" t="s">
        <v>620</v>
      </c>
      <c r="E64" s="33" t="s">
        <v>650</v>
      </c>
      <c r="F64" s="32" t="s">
        <v>576</v>
      </c>
      <c r="G64" s="32" t="s">
        <v>128</v>
      </c>
      <c r="H64" s="32" t="s">
        <v>133</v>
      </c>
      <c r="I64" s="32" t="s">
        <v>162</v>
      </c>
      <c r="J64" s="31">
        <v>4</v>
      </c>
    </row>
    <row r="65" spans="2:10" x14ac:dyDescent="0.35">
      <c r="B65" s="31">
        <v>3</v>
      </c>
      <c r="C65" s="32" t="s">
        <v>619</v>
      </c>
      <c r="D65" s="7" t="s">
        <v>620</v>
      </c>
      <c r="E65" s="33" t="s">
        <v>626</v>
      </c>
      <c r="F65" s="32" t="s">
        <v>623</v>
      </c>
      <c r="G65" s="32" t="s">
        <v>127</v>
      </c>
      <c r="H65" s="32" t="s">
        <v>131</v>
      </c>
      <c r="I65" s="32" t="s">
        <v>162</v>
      </c>
      <c r="J65" s="31">
        <v>1</v>
      </c>
    </row>
    <row r="66" spans="2:10" x14ac:dyDescent="0.35">
      <c r="B66" s="31">
        <v>3</v>
      </c>
      <c r="C66" s="32" t="s">
        <v>619</v>
      </c>
      <c r="D66" s="7" t="s">
        <v>620</v>
      </c>
      <c r="E66" s="33" t="s">
        <v>627</v>
      </c>
      <c r="F66" s="32" t="s">
        <v>623</v>
      </c>
      <c r="G66" s="32" t="s">
        <v>127</v>
      </c>
      <c r="H66" s="32" t="s">
        <v>131</v>
      </c>
      <c r="I66" s="32" t="s">
        <v>162</v>
      </c>
      <c r="J66" s="31">
        <v>2</v>
      </c>
    </row>
    <row r="67" spans="2:10" x14ac:dyDescent="0.35">
      <c r="B67" s="31">
        <v>3</v>
      </c>
      <c r="C67" s="32" t="s">
        <v>619</v>
      </c>
      <c r="D67" s="7" t="s">
        <v>620</v>
      </c>
      <c r="E67" s="33" t="s">
        <v>627</v>
      </c>
      <c r="F67" s="32" t="s">
        <v>623</v>
      </c>
      <c r="G67" s="32" t="s">
        <v>126</v>
      </c>
      <c r="H67" s="32" t="s">
        <v>133</v>
      </c>
      <c r="I67" s="32" t="s">
        <v>162</v>
      </c>
      <c r="J67" s="31">
        <v>4</v>
      </c>
    </row>
    <row r="68" spans="2:10" x14ac:dyDescent="0.35">
      <c r="B68" s="31">
        <v>3</v>
      </c>
      <c r="C68" s="32" t="s">
        <v>619</v>
      </c>
      <c r="D68" s="7" t="s">
        <v>620</v>
      </c>
      <c r="E68" s="33" t="s">
        <v>790</v>
      </c>
      <c r="F68" s="32" t="s">
        <v>576</v>
      </c>
      <c r="G68" s="32" t="s">
        <v>127</v>
      </c>
      <c r="H68" s="32" t="s">
        <v>133</v>
      </c>
      <c r="I68" s="32" t="s">
        <v>162</v>
      </c>
      <c r="J68" s="31">
        <v>2</v>
      </c>
    </row>
    <row r="69" spans="2:10" x14ac:dyDescent="0.35">
      <c r="E69" s="20" t="s">
        <v>629</v>
      </c>
      <c r="J69" s="34">
        <f>SUM(J60:J68)</f>
        <v>17</v>
      </c>
    </row>
    <row r="70" spans="2:10" x14ac:dyDescent="0.35">
      <c r="B70" s="31">
        <v>3</v>
      </c>
      <c r="C70" s="32" t="s">
        <v>630</v>
      </c>
      <c r="D70" s="7" t="s">
        <v>631</v>
      </c>
      <c r="E70" s="33" t="s">
        <v>632</v>
      </c>
      <c r="F70" s="32" t="s">
        <v>572</v>
      </c>
      <c r="G70" s="32" t="s">
        <v>129</v>
      </c>
      <c r="H70" s="32" t="s">
        <v>131</v>
      </c>
      <c r="I70" s="32" t="s">
        <v>162</v>
      </c>
      <c r="J70" s="31">
        <v>1</v>
      </c>
    </row>
    <row r="71" spans="2:10" x14ac:dyDescent="0.35">
      <c r="B71" s="31">
        <v>3</v>
      </c>
      <c r="C71" s="32" t="s">
        <v>630</v>
      </c>
      <c r="D71" s="7" t="s">
        <v>631</v>
      </c>
      <c r="E71" s="33" t="s">
        <v>633</v>
      </c>
      <c r="F71" s="32" t="s">
        <v>584</v>
      </c>
      <c r="G71" s="32" t="s">
        <v>128</v>
      </c>
      <c r="H71" s="32" t="s">
        <v>131</v>
      </c>
      <c r="I71" s="32" t="s">
        <v>162</v>
      </c>
      <c r="J71" s="31">
        <v>1</v>
      </c>
    </row>
    <row r="72" spans="2:10" x14ac:dyDescent="0.35">
      <c r="B72" s="31">
        <v>3</v>
      </c>
      <c r="C72" s="32" t="s">
        <v>630</v>
      </c>
      <c r="D72" s="7" t="s">
        <v>631</v>
      </c>
      <c r="E72" s="33" t="s">
        <v>651</v>
      </c>
      <c r="F72" s="32" t="s">
        <v>584</v>
      </c>
      <c r="G72" s="32" t="s">
        <v>128</v>
      </c>
      <c r="H72" s="32" t="s">
        <v>133</v>
      </c>
      <c r="I72" s="32" t="s">
        <v>162</v>
      </c>
      <c r="J72" s="31">
        <v>4</v>
      </c>
    </row>
    <row r="73" spans="2:10" x14ac:dyDescent="0.35">
      <c r="B73" s="31">
        <v>3</v>
      </c>
      <c r="C73" s="32" t="s">
        <v>630</v>
      </c>
      <c r="D73" s="7" t="s">
        <v>631</v>
      </c>
      <c r="E73" s="33" t="s">
        <v>635</v>
      </c>
      <c r="F73" s="32" t="s">
        <v>584</v>
      </c>
      <c r="G73" s="32" t="s">
        <v>127</v>
      </c>
      <c r="H73" s="32" t="s">
        <v>133</v>
      </c>
      <c r="I73" s="32" t="s">
        <v>162</v>
      </c>
      <c r="J73" s="31">
        <v>3</v>
      </c>
    </row>
    <row r="74" spans="2:10" x14ac:dyDescent="0.35">
      <c r="B74" s="31">
        <v>3</v>
      </c>
      <c r="C74" s="32" t="s">
        <v>630</v>
      </c>
      <c r="D74" s="7" t="s">
        <v>631</v>
      </c>
      <c r="E74" s="33" t="s">
        <v>636</v>
      </c>
      <c r="F74" s="32" t="s">
        <v>584</v>
      </c>
      <c r="G74" s="32" t="s">
        <v>126</v>
      </c>
      <c r="H74" s="32" t="s">
        <v>133</v>
      </c>
      <c r="I74" s="32" t="s">
        <v>162</v>
      </c>
      <c r="J74" s="31">
        <v>2</v>
      </c>
    </row>
    <row r="75" spans="2:10" x14ac:dyDescent="0.35">
      <c r="E75" s="20" t="s">
        <v>638</v>
      </c>
      <c r="J75" s="34">
        <f>SUM(J70:J74)</f>
        <v>11</v>
      </c>
    </row>
    <row r="76" spans="2:10" x14ac:dyDescent="0.35">
      <c r="B76" s="31">
        <v>3</v>
      </c>
      <c r="C76" s="32" t="s">
        <v>639</v>
      </c>
      <c r="D76" s="7" t="s">
        <v>640</v>
      </c>
      <c r="E76" s="33" t="s">
        <v>641</v>
      </c>
      <c r="F76" s="32" t="s">
        <v>572</v>
      </c>
      <c r="G76" s="32" t="s">
        <v>129</v>
      </c>
      <c r="H76" s="32" t="s">
        <v>131</v>
      </c>
      <c r="I76" s="32" t="s">
        <v>162</v>
      </c>
      <c r="J76" s="31">
        <v>1</v>
      </c>
    </row>
    <row r="77" spans="2:10" x14ac:dyDescent="0.35">
      <c r="B77" s="31">
        <v>3</v>
      </c>
      <c r="C77" s="32" t="s">
        <v>639</v>
      </c>
      <c r="D77" s="7" t="s">
        <v>640</v>
      </c>
      <c r="E77" s="33" t="s">
        <v>642</v>
      </c>
      <c r="F77" s="32" t="s">
        <v>576</v>
      </c>
      <c r="G77" s="32" t="s">
        <v>129</v>
      </c>
      <c r="H77" s="32" t="s">
        <v>131</v>
      </c>
      <c r="I77" s="32" t="s">
        <v>162</v>
      </c>
      <c r="J77" s="31">
        <v>1</v>
      </c>
    </row>
    <row r="78" spans="2:10" x14ac:dyDescent="0.35">
      <c r="B78" s="31">
        <v>3</v>
      </c>
      <c r="C78" s="32" t="s">
        <v>639</v>
      </c>
      <c r="D78" s="7" t="s">
        <v>640</v>
      </c>
      <c r="E78" s="33" t="s">
        <v>643</v>
      </c>
      <c r="F78" s="32" t="s">
        <v>572</v>
      </c>
      <c r="G78" s="32" t="s">
        <v>128</v>
      </c>
      <c r="H78" s="32" t="s">
        <v>131</v>
      </c>
      <c r="I78" s="32" t="s">
        <v>162</v>
      </c>
      <c r="J78" s="31">
        <v>1</v>
      </c>
    </row>
    <row r="79" spans="2:10" x14ac:dyDescent="0.35">
      <c r="B79" s="31">
        <v>3</v>
      </c>
      <c r="C79" s="32" t="s">
        <v>639</v>
      </c>
      <c r="D79" s="7" t="s">
        <v>640</v>
      </c>
      <c r="E79" s="33" t="s">
        <v>645</v>
      </c>
      <c r="F79" s="32" t="s">
        <v>576</v>
      </c>
      <c r="G79" s="32" t="s">
        <v>128</v>
      </c>
      <c r="H79" s="32" t="s">
        <v>131</v>
      </c>
      <c r="I79" s="32" t="s">
        <v>162</v>
      </c>
      <c r="J79" s="31">
        <v>1</v>
      </c>
    </row>
    <row r="80" spans="2:10" x14ac:dyDescent="0.35">
      <c r="B80" s="31">
        <v>3</v>
      </c>
      <c r="C80" s="32" t="s">
        <v>639</v>
      </c>
      <c r="D80" s="7" t="s">
        <v>640</v>
      </c>
      <c r="E80" s="33" t="s">
        <v>646</v>
      </c>
      <c r="F80" s="32" t="s">
        <v>572</v>
      </c>
      <c r="G80" s="32" t="s">
        <v>128</v>
      </c>
      <c r="H80" s="32" t="s">
        <v>131</v>
      </c>
      <c r="I80" s="32" t="s">
        <v>162</v>
      </c>
      <c r="J80" s="31">
        <v>1</v>
      </c>
    </row>
    <row r="81" spans="2:10" x14ac:dyDescent="0.35">
      <c r="B81" s="31">
        <v>3</v>
      </c>
      <c r="C81" s="32" t="s">
        <v>639</v>
      </c>
      <c r="D81" s="7" t="s">
        <v>640</v>
      </c>
      <c r="E81" s="33" t="s">
        <v>647</v>
      </c>
      <c r="F81" s="32" t="s">
        <v>623</v>
      </c>
      <c r="G81" s="32" t="s">
        <v>126</v>
      </c>
      <c r="H81" s="32" t="s">
        <v>133</v>
      </c>
      <c r="I81" s="32" t="s">
        <v>162</v>
      </c>
      <c r="J81" s="31">
        <v>1</v>
      </c>
    </row>
    <row r="82" spans="2:10" x14ac:dyDescent="0.35">
      <c r="E82" s="20" t="s">
        <v>648</v>
      </c>
      <c r="J82" s="34">
        <f>SUM(J76:J81)</f>
        <v>6</v>
      </c>
    </row>
    <row r="83" spans="2:10" x14ac:dyDescent="0.35">
      <c r="E83" s="35" t="s">
        <v>653</v>
      </c>
      <c r="J83" s="36">
        <f>SUMIFS($J$60:$J$82,$B$60:$B$82,3)</f>
        <v>34</v>
      </c>
    </row>
  </sheetData>
  <mergeCells count="2">
    <mergeCell ref="A1:J1"/>
    <mergeCell ref="A2:J2"/>
  </mergeCells>
  <dataValidations count="2">
    <dataValidation type="list" sqref="H5:H85" xr:uid="{00000000-0002-0000-0600-000000000000}">
      <formula1>"ON,OFF"</formula1>
    </dataValidation>
    <dataValidation type="list" sqref="I5:I85" xr:uid="{00000000-0002-0000-0600-000001000000}">
      <formula1>"FTC,FTE,MGCC"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0"/>
  <sheetViews>
    <sheetView topLeftCell="A35" workbookViewId="0">
      <selection activeCell="D26" sqref="D26"/>
    </sheetView>
  </sheetViews>
  <sheetFormatPr defaultRowHeight="14.5" x14ac:dyDescent="0.35"/>
  <cols>
    <col min="1" max="1" width="2" customWidth="1"/>
    <col min="2" max="2" width="44" customWidth="1"/>
    <col min="3" max="8" width="13" customWidth="1"/>
    <col min="9" max="9" width="10.7265625" customWidth="1"/>
    <col min="10" max="10" width="44" customWidth="1"/>
  </cols>
  <sheetData>
    <row r="1" spans="1:10" ht="26.15" customHeight="1" x14ac:dyDescent="0.35">
      <c r="A1" s="48" t="s">
        <v>654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35">
      <c r="A2" s="50" t="s">
        <v>655</v>
      </c>
      <c r="B2" s="49"/>
      <c r="C2" s="49"/>
      <c r="D2" s="49"/>
      <c r="E2" s="49"/>
      <c r="F2" s="49"/>
      <c r="G2" s="49"/>
      <c r="H2" s="49"/>
      <c r="I2" s="49"/>
      <c r="J2" s="49"/>
    </row>
    <row r="4" spans="1:10" ht="19.149999999999999" customHeight="1" x14ac:dyDescent="0.35">
      <c r="A4" s="51" t="s">
        <v>656</v>
      </c>
      <c r="B4" s="49"/>
      <c r="C4" s="49"/>
      <c r="D4" s="49"/>
      <c r="E4" s="49"/>
      <c r="F4" s="49"/>
      <c r="G4" s="49"/>
      <c r="H4" s="49"/>
    </row>
    <row r="5" spans="1:10" ht="28.15" customHeight="1" x14ac:dyDescent="0.35">
      <c r="B5" s="11" t="s">
        <v>657</v>
      </c>
      <c r="C5" s="11" t="s">
        <v>658</v>
      </c>
      <c r="D5" s="11" t="s">
        <v>659</v>
      </c>
      <c r="E5" s="11" t="s">
        <v>660</v>
      </c>
      <c r="F5" s="11" t="s">
        <v>661</v>
      </c>
      <c r="G5" s="11" t="s">
        <v>662</v>
      </c>
      <c r="H5" s="11" t="s">
        <v>663</v>
      </c>
    </row>
    <row r="6" spans="1:10" x14ac:dyDescent="0.35">
      <c r="B6" s="3" t="s">
        <v>664</v>
      </c>
      <c r="C6" s="13">
        <f>SUMIFS('Pod Library'!$J:$J,'Pod Library'!$B:$B,1,'Pod Library'!$C:$C,"CO")</f>
        <v>10</v>
      </c>
      <c r="D6" s="13">
        <f>SUMIFS('Pod Library'!$J:$J,'Pod Library'!$B:$B,1,'Pod Library'!$C:$C,"FS")</f>
        <v>10</v>
      </c>
      <c r="E6" s="13">
        <f>SUMIFS('Pod Library'!$J:$J,'Pod Library'!$B:$B,2,'Pod Library'!$C:$C,"CO")</f>
        <v>9</v>
      </c>
      <c r="F6" s="13">
        <f>SUMIFS('Pod Library'!$J:$J,'Pod Library'!$B:$B,2,'Pod Library'!$C:$C,"FS")</f>
        <v>9</v>
      </c>
      <c r="G6" s="13">
        <f>SUMIFS('Pod Library'!$J:$J,'Pod Library'!$B:$B,3,'Pod Library'!$C:$C,"CO")</f>
        <v>8</v>
      </c>
      <c r="H6" s="13">
        <f>SUMIFS('Pod Library'!$J:$J,'Pod Library'!$B:$B,3,'Pod Library'!$C:$C,"FS")</f>
        <v>8</v>
      </c>
    </row>
    <row r="8" spans="1:10" ht="19.149999999999999" customHeight="1" x14ac:dyDescent="0.35">
      <c r="A8" s="51" t="s">
        <v>665</v>
      </c>
      <c r="B8" s="49"/>
      <c r="C8" s="49"/>
      <c r="D8" s="49"/>
      <c r="E8" s="49"/>
      <c r="F8" s="49"/>
      <c r="G8" s="49"/>
      <c r="H8" s="49"/>
    </row>
    <row r="9" spans="1:10" ht="28.15" customHeight="1" x14ac:dyDescent="0.35">
      <c r="B9" s="11" t="s">
        <v>666</v>
      </c>
      <c r="C9" s="11" t="s">
        <v>94</v>
      </c>
      <c r="D9" s="11" t="s">
        <v>95</v>
      </c>
      <c r="E9" s="11" t="s">
        <v>96</v>
      </c>
    </row>
    <row r="10" spans="1:10" x14ac:dyDescent="0.35">
      <c r="B10" s="7" t="s">
        <v>667</v>
      </c>
      <c r="C10" s="25">
        <f>SUMIFS('Seat Ledger'!$L$5:$L$393,'Seat Ledger'!$A$5:$A$393,1,'Seat Ledger'!$B$5:$B$393,"POD")</f>
        <v>180</v>
      </c>
      <c r="D10" s="25">
        <f>SUMIFS('Seat Ledger'!$L$5:$L$393,'Seat Ledger'!$A$5:$A$393,2,'Seat Ledger'!$B$5:$B$393,"POD")</f>
        <v>144</v>
      </c>
      <c r="E10" s="25">
        <f>SUMIFS('Seat Ledger'!$L$5:$L$393,'Seat Ledger'!$A$5:$A$393,3,'Seat Ledger'!$B$5:$B$393,"POD")</f>
        <v>120</v>
      </c>
    </row>
    <row r="11" spans="1:10" x14ac:dyDescent="0.35">
      <c r="B11" s="7" t="s">
        <v>668</v>
      </c>
      <c r="C11" s="25">
        <f>SUMIFS('Seat Ledger'!$L$5:$L$393,'Seat Ledger'!$A$5:$A$393,1,'Seat Ledger'!$B$5:$B$393,"HZ")</f>
        <v>51</v>
      </c>
      <c r="D11" s="25">
        <f>SUMIFS('Seat Ledger'!$L$5:$L$393,'Seat Ledger'!$A$5:$A$393,2,'Seat Ledger'!$B$5:$B$393,"HZ")</f>
        <v>36</v>
      </c>
      <c r="E11" s="25">
        <f>SUMIFS('Seat Ledger'!$L$5:$L$393,'Seat Ledger'!$A$5:$A$393,3,'Seat Ledger'!$B$5:$B$393,"HZ")</f>
        <v>34</v>
      </c>
    </row>
    <row r="12" spans="1:10" x14ac:dyDescent="0.35">
      <c r="B12" s="20" t="s">
        <v>669</v>
      </c>
      <c r="C12" s="34">
        <f>C10+C11</f>
        <v>231</v>
      </c>
      <c r="D12" s="34">
        <f>D10+D11</f>
        <v>180</v>
      </c>
      <c r="E12" s="34">
        <f>E10+E11</f>
        <v>154</v>
      </c>
    </row>
    <row r="13" spans="1:10" x14ac:dyDescent="0.35">
      <c r="B13" s="7" t="s">
        <v>670</v>
      </c>
      <c r="C13" s="25">
        <f>SUMIFS('Pod Plan'!$G:$G,'Pod Plan'!$B:$B,1)</f>
        <v>18</v>
      </c>
      <c r="D13" s="25">
        <f>SUMIFS('Pod Plan'!$G:$G,'Pod Plan'!$B:$B,2)</f>
        <v>16</v>
      </c>
      <c r="E13" s="25">
        <f>SUMIFS('Pod Plan'!$G:$G,'Pod Plan'!$B:$B,3)</f>
        <v>15</v>
      </c>
    </row>
    <row r="14" spans="1:10" x14ac:dyDescent="0.35">
      <c r="B14" s="7" t="s">
        <v>671</v>
      </c>
      <c r="C14" s="39">
        <f>IF(C13=0,0,C10/C13)</f>
        <v>10</v>
      </c>
      <c r="D14" s="39">
        <f>IF(D13=0,0,D10/D13)</f>
        <v>9</v>
      </c>
      <c r="E14" s="39">
        <f>IF(E13=0,0,E10/E13)</f>
        <v>8</v>
      </c>
    </row>
    <row r="16" spans="1:10" ht="19.149999999999999" customHeight="1" x14ac:dyDescent="0.35">
      <c r="A16" s="51" t="s">
        <v>672</v>
      </c>
      <c r="B16" s="49"/>
      <c r="C16" s="49"/>
      <c r="D16" s="49"/>
      <c r="E16" s="49"/>
      <c r="F16" s="49"/>
      <c r="G16" s="49"/>
      <c r="H16" s="49"/>
    </row>
    <row r="17" spans="1:9" ht="28.15" customHeight="1" x14ac:dyDescent="0.35">
      <c r="B17" s="11" t="s">
        <v>666</v>
      </c>
      <c r="C17" s="11" t="s">
        <v>94</v>
      </c>
      <c r="D17" s="11" t="s">
        <v>95</v>
      </c>
      <c r="E17" s="11" t="s">
        <v>96</v>
      </c>
    </row>
    <row r="18" spans="1:9" x14ac:dyDescent="0.35">
      <c r="B18" s="7" t="s">
        <v>673</v>
      </c>
      <c r="C18" s="25">
        <f>SUMIFS('Seat Ledger'!$L$5:$L$393,'Seat Ledger'!$A$5:$A$393,1,'Seat Ledger'!$I$5:$I$393,"FTC")</f>
        <v>204</v>
      </c>
      <c r="D18" s="25">
        <f>SUMIFS('Seat Ledger'!$L$5:$L$393,'Seat Ledger'!$A$5:$A$393,2,'Seat Ledger'!$I$5:$I$393,"FTC")</f>
        <v>153</v>
      </c>
      <c r="E18" s="25">
        <f>SUMIFS('Seat Ledger'!$L$5:$L$393,'Seat Ledger'!$A$5:$A$393,3,'Seat Ledger'!$I$5:$I$393,"FTC")</f>
        <v>127</v>
      </c>
    </row>
    <row r="19" spans="1:9" x14ac:dyDescent="0.35">
      <c r="B19" s="7" t="s">
        <v>674</v>
      </c>
      <c r="C19" s="25">
        <f>SUMIFS('Seat Ledger'!$L$5:$L$393,'Seat Ledger'!$A$5:$A$393,1,'Seat Ledger'!$I$5:$I$393,"FTE")</f>
        <v>27</v>
      </c>
      <c r="D19" s="25">
        <f>SUMIFS('Seat Ledger'!$L$5:$L$393,'Seat Ledger'!$A$5:$A$393,2,'Seat Ledger'!$I$5:$I$393,"FTE")</f>
        <v>27</v>
      </c>
      <c r="E19" s="25">
        <f>SUMIFS('Seat Ledger'!$L$5:$L$393,'Seat Ledger'!$A$5:$A$393,3,'Seat Ledger'!$I$5:$I$393,"FTE")</f>
        <v>27</v>
      </c>
    </row>
    <row r="20" spans="1:9" x14ac:dyDescent="0.35">
      <c r="B20" s="7" t="s">
        <v>675</v>
      </c>
      <c r="C20" s="25">
        <f>SUMIFS('Seat Ledger'!$L$5:$L$393,'Seat Ledger'!$A$5:$A$393,1,'Seat Ledger'!$I$5:$I$393,"MGCC")</f>
        <v>0</v>
      </c>
      <c r="D20" s="25">
        <f>SUMIFS('Seat Ledger'!$L$5:$L$393,'Seat Ledger'!$A$5:$A$393,2,'Seat Ledger'!$I$5:$I$393,"MGCC")</f>
        <v>0</v>
      </c>
      <c r="E20" s="25">
        <f>SUMIFS('Seat Ledger'!$L$5:$L$393,'Seat Ledger'!$A$5:$A$393,3,'Seat Ledger'!$I$5:$I$393,"MGCC")</f>
        <v>0</v>
      </c>
    </row>
    <row r="21" spans="1:9" x14ac:dyDescent="0.35">
      <c r="B21" s="3" t="s">
        <v>676</v>
      </c>
      <c r="C21" s="16">
        <f>C18+C19+C20-C12</f>
        <v>0</v>
      </c>
      <c r="D21" s="16">
        <f>D18+D19+D20-D12</f>
        <v>0</v>
      </c>
      <c r="E21" s="16">
        <f>E18+E19+E20-E12</f>
        <v>0</v>
      </c>
    </row>
    <row r="23" spans="1:9" ht="19.149999999999999" customHeight="1" x14ac:dyDescent="0.35">
      <c r="A23" s="51" t="s">
        <v>677</v>
      </c>
      <c r="B23" s="49"/>
      <c r="C23" s="49"/>
      <c r="D23" s="49"/>
      <c r="E23" s="49"/>
      <c r="F23" s="49"/>
      <c r="G23" s="49"/>
      <c r="H23" s="49"/>
    </row>
    <row r="24" spans="1:9" ht="28.15" customHeight="1" x14ac:dyDescent="0.35">
      <c r="B24" s="11" t="s">
        <v>666</v>
      </c>
      <c r="C24" s="11" t="s">
        <v>94</v>
      </c>
      <c r="D24" s="11" t="s">
        <v>95</v>
      </c>
      <c r="E24" s="11" t="s">
        <v>96</v>
      </c>
    </row>
    <row r="25" spans="1:9" x14ac:dyDescent="0.35">
      <c r="B25" s="7" t="s">
        <v>130</v>
      </c>
      <c r="C25" s="25">
        <f>SUMIFS('Seat Ledger'!$L$5:$L$393,'Seat Ledger'!$A$5:$A$393,1,'Seat Ledger'!$H$5:$H$393,"ON")</f>
        <v>155</v>
      </c>
      <c r="D25" s="25">
        <f>SUMIFS('Seat Ledger'!$L$5:$L$393,'Seat Ledger'!$A$5:$A$393,2,'Seat Ledger'!$H$5:$H$393,"ON")</f>
        <v>92</v>
      </c>
      <c r="E25" s="25">
        <f>SUMIFS('Seat Ledger'!$L$5:$L$393,'Seat Ledger'!$A$5:$A$393,3,'Seat Ledger'!$H$5:$H$393,"ON")</f>
        <v>71</v>
      </c>
    </row>
    <row r="26" spans="1:9" x14ac:dyDescent="0.35">
      <c r="B26" s="7" t="s">
        <v>132</v>
      </c>
      <c r="C26" s="25">
        <f>SUMIFS('Seat Ledger'!$L$5:$L$393,'Seat Ledger'!$A$5:$A$393,1,'Seat Ledger'!$H$5:$H$393,"OFF")</f>
        <v>76</v>
      </c>
      <c r="D26" s="25">
        <f>SUMIFS('Seat Ledger'!$L$5:$L$393,'Seat Ledger'!$A$5:$A$393,2,'Seat Ledger'!$H$5:$H$393,"OFF")</f>
        <v>88</v>
      </c>
      <c r="E26" s="25">
        <f>SUMIFS('Seat Ledger'!$L$5:$L$393,'Seat Ledger'!$A$5:$A$393,3,'Seat Ledger'!$H$5:$H$393,"OFF")</f>
        <v>83</v>
      </c>
    </row>
    <row r="27" spans="1:9" x14ac:dyDescent="0.35">
      <c r="B27" s="20" t="s">
        <v>678</v>
      </c>
      <c r="C27" s="21">
        <f>IF(C12=0,0,C26/C12)</f>
        <v>0.32900432900432902</v>
      </c>
      <c r="D27" s="21">
        <f>IF(D12=0,0,D26/D12)</f>
        <v>0.48888888888888887</v>
      </c>
      <c r="E27" s="21">
        <f>IF(E12=0,0,E26/E12)</f>
        <v>0.53896103896103897</v>
      </c>
    </row>
    <row r="29" spans="1:9" ht="19.149999999999999" customHeight="1" x14ac:dyDescent="0.35">
      <c r="A29" s="51" t="s">
        <v>679</v>
      </c>
      <c r="B29" s="49"/>
      <c r="C29" s="49"/>
      <c r="D29" s="49"/>
      <c r="E29" s="49"/>
      <c r="F29" s="49"/>
      <c r="G29" s="49"/>
      <c r="H29" s="49"/>
    </row>
    <row r="30" spans="1:9" ht="28.15" customHeight="1" x14ac:dyDescent="0.35">
      <c r="B30" s="11" t="s">
        <v>680</v>
      </c>
      <c r="C30" s="11" t="s">
        <v>94</v>
      </c>
      <c r="D30" s="11" t="s">
        <v>95</v>
      </c>
      <c r="E30" s="11" t="s">
        <v>96</v>
      </c>
      <c r="F30" s="11"/>
      <c r="G30" s="11" t="s">
        <v>681</v>
      </c>
      <c r="H30" s="11" t="s">
        <v>682</v>
      </c>
      <c r="I30" s="11" t="s">
        <v>683</v>
      </c>
    </row>
    <row r="31" spans="1:9" x14ac:dyDescent="0.35">
      <c r="B31" s="7" t="s">
        <v>684</v>
      </c>
      <c r="C31" s="25">
        <f>SUMIFS('Seat Ledger'!$L$5:$L$393,'Seat Ledger'!$A$5:$A$393,1,'Seat Ledger'!$G$5:$G$393,"E1")</f>
        <v>18</v>
      </c>
      <c r="D31" s="25">
        <f>SUMIFS('Seat Ledger'!$L$5:$L$393,'Seat Ledger'!$A$5:$A$393,2,'Seat Ledger'!$G$5:$G$393,"E1")</f>
        <v>0</v>
      </c>
      <c r="E31" s="25">
        <f>SUMIFS('Seat Ledger'!$L$5:$L$393,'Seat Ledger'!$A$5:$A$393,3,'Seat Ledger'!$G$5:$G$393,"E1")</f>
        <v>0</v>
      </c>
      <c r="G31" s="40">
        <f t="shared" ref="G31:I35" si="0">IF(C$12=0,0,C31/C$12)</f>
        <v>7.792207792207792E-2</v>
      </c>
      <c r="H31" s="40">
        <f t="shared" si="0"/>
        <v>0</v>
      </c>
      <c r="I31" s="40">
        <f t="shared" si="0"/>
        <v>0</v>
      </c>
    </row>
    <row r="32" spans="1:9" x14ac:dyDescent="0.35">
      <c r="B32" s="7" t="s">
        <v>685</v>
      </c>
      <c r="C32" s="25">
        <f>SUMIFS('Seat Ledger'!$L$5:$L$393,'Seat Ledger'!$A$5:$A$393,1,'Seat Ledger'!$G$5:$G$393,"E2")</f>
        <v>69</v>
      </c>
      <c r="D32" s="25">
        <f>SUMIFS('Seat Ledger'!$L$5:$L$393,'Seat Ledger'!$A$5:$A$393,2,'Seat Ledger'!$G$5:$G$393,"E2")</f>
        <v>37</v>
      </c>
      <c r="E32" s="25">
        <f>SUMIFS('Seat Ledger'!$L$5:$L$393,'Seat Ledger'!$A$5:$A$393,3,'Seat Ledger'!$G$5:$G$393,"E2")</f>
        <v>19</v>
      </c>
      <c r="G32" s="40">
        <f t="shared" si="0"/>
        <v>0.29870129870129869</v>
      </c>
      <c r="H32" s="40">
        <f t="shared" si="0"/>
        <v>0.20555555555555555</v>
      </c>
      <c r="I32" s="40">
        <f t="shared" si="0"/>
        <v>0.12337662337662338</v>
      </c>
    </row>
    <row r="33" spans="1:9" x14ac:dyDescent="0.35">
      <c r="B33" s="7" t="s">
        <v>686</v>
      </c>
      <c r="C33" s="25">
        <f>SUMIFS('Seat Ledger'!$L$5:$L$393,'Seat Ledger'!$A$5:$A$393,1,'Seat Ledger'!$G$5:$G$393,"E3")</f>
        <v>59</v>
      </c>
      <c r="D33" s="25">
        <f>SUMIFS('Seat Ledger'!$L$5:$L$393,'Seat Ledger'!$A$5:$A$393,2,'Seat Ledger'!$G$5:$G$393,"E3")</f>
        <v>58</v>
      </c>
      <c r="E33" s="25">
        <f>SUMIFS('Seat Ledger'!$L$5:$L$393,'Seat Ledger'!$A$5:$A$393,3,'Seat Ledger'!$G$5:$G$393,"E3")</f>
        <v>39</v>
      </c>
      <c r="G33" s="40">
        <f t="shared" si="0"/>
        <v>0.25541125541125542</v>
      </c>
      <c r="H33" s="40">
        <f t="shared" si="0"/>
        <v>0.32222222222222224</v>
      </c>
      <c r="I33" s="40">
        <f t="shared" si="0"/>
        <v>0.25324675324675322</v>
      </c>
    </row>
    <row r="34" spans="1:9" x14ac:dyDescent="0.35">
      <c r="B34" s="7" t="s">
        <v>687</v>
      </c>
      <c r="C34" s="25">
        <f>SUMIFS('Seat Ledger'!$L$5:$L$393,'Seat Ledger'!$A$5:$A$393,1,'Seat Ledger'!$G$5:$G$393,"E4")</f>
        <v>62</v>
      </c>
      <c r="D34" s="25">
        <f>SUMIFS('Seat Ledger'!$L$5:$L$393,'Seat Ledger'!$A$5:$A$393,2,'Seat Ledger'!$G$5:$G$393,"E4")</f>
        <v>63</v>
      </c>
      <c r="E34" s="25">
        <f>SUMIFS('Seat Ledger'!$L$5:$L$393,'Seat Ledger'!$A$5:$A$393,3,'Seat Ledger'!$G$5:$G$393,"E4")</f>
        <v>74</v>
      </c>
      <c r="G34" s="40">
        <f t="shared" si="0"/>
        <v>0.26839826839826841</v>
      </c>
      <c r="H34" s="40">
        <f t="shared" si="0"/>
        <v>0.35</v>
      </c>
      <c r="I34" s="40">
        <f t="shared" si="0"/>
        <v>0.48051948051948051</v>
      </c>
    </row>
    <row r="35" spans="1:9" x14ac:dyDescent="0.35">
      <c r="B35" s="7" t="s">
        <v>688</v>
      </c>
      <c r="C35" s="25">
        <f>SUMIFS('Seat Ledger'!$L$5:$L$393,'Seat Ledger'!$A$5:$A$393,1,'Seat Ledger'!$G$5:$G$393,"E5")</f>
        <v>23</v>
      </c>
      <c r="D35" s="25">
        <f>SUMIFS('Seat Ledger'!$L$5:$L$393,'Seat Ledger'!$A$5:$A$393,2,'Seat Ledger'!$G$5:$G$393,"E5")</f>
        <v>22</v>
      </c>
      <c r="E35" s="25">
        <f>SUMIFS('Seat Ledger'!$L$5:$L$393,'Seat Ledger'!$A$5:$A$393,3,'Seat Ledger'!$G$5:$G$393,"E5")</f>
        <v>22</v>
      </c>
      <c r="G35" s="40">
        <f t="shared" si="0"/>
        <v>9.9567099567099568E-2</v>
      </c>
      <c r="H35" s="40">
        <f t="shared" si="0"/>
        <v>0.12222222222222222</v>
      </c>
      <c r="I35" s="40">
        <f t="shared" si="0"/>
        <v>0.14285714285714285</v>
      </c>
    </row>
    <row r="36" spans="1:9" x14ac:dyDescent="0.35">
      <c r="B36" s="20" t="s">
        <v>689</v>
      </c>
      <c r="C36" s="41" t="str">
        <f>IF((C34+C35)/C12&gt;0.55,"Obelisk",IF((C34+C35)/C12&gt;0.4,"Diamond","Pyramid"))</f>
        <v>Pyramid</v>
      </c>
      <c r="D36" s="41" t="str">
        <f>IF((D34+D35)/D12&gt;0.55,"Obelisk",IF((D34+D35)/D12&gt;0.4,"Diamond","Pyramid"))</f>
        <v>Diamond</v>
      </c>
      <c r="E36" s="41" t="str">
        <f>IF((E34+E35)/E12&gt;0.55,"Obelisk",IF((E34+E35)/E12&gt;0.4,"Diamond","Pyramid"))</f>
        <v>Obelisk</v>
      </c>
    </row>
    <row r="37" spans="1:9" x14ac:dyDescent="0.35">
      <c r="B37" s="3" t="s">
        <v>690</v>
      </c>
      <c r="C37" s="18">
        <f>IF(C12=0,0,(C34+C35)/C12)</f>
        <v>0.36796536796536794</v>
      </c>
      <c r="D37" s="18">
        <f>IF(D12=0,0,(D34+D35)/D12)</f>
        <v>0.47222222222222221</v>
      </c>
      <c r="E37" s="18">
        <f>IF(E12=0,0,(E34+E35)/E12)</f>
        <v>0.62337662337662336</v>
      </c>
    </row>
    <row r="39" spans="1:9" ht="19.149999999999999" customHeight="1" x14ac:dyDescent="0.35">
      <c r="A39" s="51" t="s">
        <v>691</v>
      </c>
      <c r="B39" s="49"/>
      <c r="C39" s="49"/>
      <c r="D39" s="49"/>
      <c r="E39" s="49"/>
      <c r="F39" s="49"/>
      <c r="G39" s="49"/>
      <c r="H39" s="49"/>
    </row>
    <row r="40" spans="1:9" ht="28.15" customHeight="1" x14ac:dyDescent="0.35">
      <c r="B40" s="11" t="s">
        <v>692</v>
      </c>
      <c r="C40" s="11" t="s">
        <v>94</v>
      </c>
      <c r="D40" s="11" t="s">
        <v>95</v>
      </c>
      <c r="E40" s="11" t="s">
        <v>96</v>
      </c>
      <c r="F40" s="11"/>
      <c r="G40" s="11" t="s">
        <v>681</v>
      </c>
      <c r="H40" s="11" t="s">
        <v>682</v>
      </c>
      <c r="I40" s="11" t="s">
        <v>683</v>
      </c>
    </row>
    <row r="41" spans="1:9" x14ac:dyDescent="0.35">
      <c r="B41" s="7" t="s">
        <v>693</v>
      </c>
      <c r="C41" s="25">
        <f>SUMIFS('Seat Ledger'!$L$5:$L$393,'Seat Ledger'!$A$5:$A$393,1,'Seat Ledger'!$F$5:$F$393,"LEAD")</f>
        <v>33</v>
      </c>
      <c r="D41" s="25">
        <f>SUMIFS('Seat Ledger'!$L$5:$L$393,'Seat Ledger'!$A$5:$A$393,2,'Seat Ledger'!$F$5:$F$393,"LEAD")</f>
        <v>30</v>
      </c>
      <c r="E41" s="25">
        <f>SUMIFS('Seat Ledger'!$L$5:$L$393,'Seat Ledger'!$A$5:$A$393,3,'Seat Ledger'!$F$5:$F$393,"LEAD")</f>
        <v>29</v>
      </c>
      <c r="G41" s="40">
        <f t="shared" ref="G41:I46" si="1">IF(C$12=0,0,C41/C$12)</f>
        <v>0.14285714285714285</v>
      </c>
      <c r="H41" s="40">
        <f t="shared" si="1"/>
        <v>0.16666666666666666</v>
      </c>
      <c r="I41" s="40">
        <f t="shared" si="1"/>
        <v>0.18831168831168832</v>
      </c>
    </row>
    <row r="42" spans="1:9" x14ac:dyDescent="0.35">
      <c r="B42" s="7" t="s">
        <v>694</v>
      </c>
      <c r="C42" s="25">
        <f>SUMIFS('Seat Ledger'!$L$5:$L$393,'Seat Ledger'!$A$5:$A$393,1,'Seat Ledger'!$F$5:$F$393,"BA")</f>
        <v>27</v>
      </c>
      <c r="D42" s="25">
        <f>SUMIFS('Seat Ledger'!$L$5:$L$393,'Seat Ledger'!$A$5:$A$393,2,'Seat Ledger'!$F$5:$F$393,"BA")</f>
        <v>25</v>
      </c>
      <c r="E42" s="25">
        <f>SUMIFS('Seat Ledger'!$L$5:$L$393,'Seat Ledger'!$A$5:$A$393,3,'Seat Ledger'!$F$5:$F$393,"BA")</f>
        <v>24</v>
      </c>
      <c r="G42" s="40">
        <f t="shared" si="1"/>
        <v>0.11688311688311688</v>
      </c>
      <c r="H42" s="40">
        <f t="shared" si="1"/>
        <v>0.1388888888888889</v>
      </c>
      <c r="I42" s="40">
        <f t="shared" si="1"/>
        <v>0.15584415584415584</v>
      </c>
    </row>
    <row r="43" spans="1:9" x14ac:dyDescent="0.35">
      <c r="B43" s="7" t="s">
        <v>695</v>
      </c>
      <c r="C43" s="25">
        <f>SUMIFS('Seat Ledger'!$L$5:$L$393,'Seat Ledger'!$A$5:$A$393,1,'Seat Ledger'!$F$5:$F$393,"DEV")</f>
        <v>63</v>
      </c>
      <c r="D43" s="25">
        <f>SUMIFS('Seat Ledger'!$L$5:$L$393,'Seat Ledger'!$A$5:$A$393,2,'Seat Ledger'!$F$5:$F$393,"DEV")</f>
        <v>39</v>
      </c>
      <c r="E43" s="25">
        <f>SUMIFS('Seat Ledger'!$L$5:$L$393,'Seat Ledger'!$A$5:$A$393,3,'Seat Ledger'!$F$5:$F$393,"DEV")</f>
        <v>21</v>
      </c>
      <c r="G43" s="40">
        <f t="shared" si="1"/>
        <v>0.27272727272727271</v>
      </c>
      <c r="H43" s="40">
        <f t="shared" si="1"/>
        <v>0.21666666666666667</v>
      </c>
      <c r="I43" s="40">
        <f t="shared" si="1"/>
        <v>0.13636363636363635</v>
      </c>
    </row>
    <row r="44" spans="1:9" x14ac:dyDescent="0.35">
      <c r="B44" s="7" t="s">
        <v>696</v>
      </c>
      <c r="C44" s="25">
        <f>SUMIFS('Seat Ledger'!$L$5:$L$393,'Seat Ledger'!$A$5:$A$393,1,'Seat Ledger'!$F$5:$F$393,"ENG")</f>
        <v>35</v>
      </c>
      <c r="D44" s="25">
        <f>SUMIFS('Seat Ledger'!$L$5:$L$393,'Seat Ledger'!$A$5:$A$393,2,'Seat Ledger'!$F$5:$F$393,"ENG")</f>
        <v>40</v>
      </c>
      <c r="E44" s="25">
        <f>SUMIFS('Seat Ledger'!$L$5:$L$393,'Seat Ledger'!$A$5:$A$393,3,'Seat Ledger'!$F$5:$F$393,"ENG")</f>
        <v>38</v>
      </c>
      <c r="G44" s="40">
        <f t="shared" si="1"/>
        <v>0.15151515151515152</v>
      </c>
      <c r="H44" s="40">
        <f t="shared" si="1"/>
        <v>0.22222222222222221</v>
      </c>
      <c r="I44" s="40">
        <f t="shared" si="1"/>
        <v>0.24675324675324675</v>
      </c>
    </row>
    <row r="45" spans="1:9" x14ac:dyDescent="0.35">
      <c r="B45" s="7" t="s">
        <v>697</v>
      </c>
      <c r="C45" s="25">
        <f>SUMIFS('Seat Ledger'!$L$5:$L$393,'Seat Ledger'!$A$5:$A$393,1,'Seat Ledger'!$F$5:$F$393,"TEST")</f>
        <v>49</v>
      </c>
      <c r="D45" s="25">
        <f>SUMIFS('Seat Ledger'!$L$5:$L$393,'Seat Ledger'!$A$5:$A$393,2,'Seat Ledger'!$F$5:$F$393,"TEST")</f>
        <v>33</v>
      </c>
      <c r="E45" s="25">
        <f>SUMIFS('Seat Ledger'!$L$5:$L$393,'Seat Ledger'!$A$5:$A$393,3,'Seat Ledger'!$F$5:$F$393,"TEST")</f>
        <v>31</v>
      </c>
      <c r="G45" s="40">
        <f t="shared" si="1"/>
        <v>0.21212121212121213</v>
      </c>
      <c r="H45" s="40">
        <f t="shared" si="1"/>
        <v>0.18333333333333332</v>
      </c>
      <c r="I45" s="40">
        <f t="shared" si="1"/>
        <v>0.20129870129870131</v>
      </c>
    </row>
    <row r="46" spans="1:9" x14ac:dyDescent="0.35">
      <c r="B46" s="7" t="s">
        <v>698</v>
      </c>
      <c r="C46" s="25">
        <f>SUMIFS('Seat Ledger'!$L$5:$L$393,'Seat Ledger'!$A$5:$A$393,1,'Seat Ledger'!$F$5:$F$393,"OPS")</f>
        <v>24</v>
      </c>
      <c r="D46" s="25">
        <f>SUMIFS('Seat Ledger'!$L$5:$L$393,'Seat Ledger'!$A$5:$A$393,2,'Seat Ledger'!$F$5:$F$393,"OPS")</f>
        <v>13</v>
      </c>
      <c r="E46" s="25">
        <f>SUMIFS('Seat Ledger'!$L$5:$L$393,'Seat Ledger'!$A$5:$A$393,3,'Seat Ledger'!$F$5:$F$393,"OPS")</f>
        <v>11</v>
      </c>
      <c r="G46" s="40">
        <f t="shared" si="1"/>
        <v>0.1038961038961039</v>
      </c>
      <c r="H46" s="40">
        <f t="shared" si="1"/>
        <v>7.2222222222222215E-2</v>
      </c>
      <c r="I46" s="40">
        <f t="shared" si="1"/>
        <v>7.1428571428571425E-2</v>
      </c>
    </row>
    <row r="47" spans="1:9" x14ac:dyDescent="0.35">
      <c r="B47" s="3" t="s">
        <v>676</v>
      </c>
      <c r="C47" s="16">
        <f>SUM(C41:C46)-C12</f>
        <v>0</v>
      </c>
      <c r="D47" s="16">
        <f>SUM(D41:D46)-D12</f>
        <v>0</v>
      </c>
      <c r="E47" s="16">
        <f>SUM(E41:E46)-E12</f>
        <v>0</v>
      </c>
    </row>
    <row r="49" spans="1:9" ht="19.149999999999999" customHeight="1" x14ac:dyDescent="0.35">
      <c r="A49" s="51" t="s">
        <v>699</v>
      </c>
      <c r="B49" s="49"/>
      <c r="C49" s="49"/>
      <c r="D49" s="49"/>
      <c r="E49" s="49"/>
      <c r="F49" s="49"/>
      <c r="G49" s="49"/>
      <c r="H49" s="49"/>
    </row>
    <row r="50" spans="1:9" ht="28.15" customHeight="1" x14ac:dyDescent="0.35">
      <c r="B50" s="11" t="s">
        <v>700</v>
      </c>
      <c r="C50" s="11" t="s">
        <v>94</v>
      </c>
      <c r="D50" s="11" t="s">
        <v>95</v>
      </c>
      <c r="E50" s="11" t="s">
        <v>96</v>
      </c>
      <c r="F50" s="11"/>
      <c r="G50" s="11" t="s">
        <v>543</v>
      </c>
      <c r="H50" s="11" t="s">
        <v>701</v>
      </c>
      <c r="I50" s="11" t="s">
        <v>702</v>
      </c>
    </row>
    <row r="51" spans="1:9" x14ac:dyDescent="0.35">
      <c r="B51" s="7" t="s">
        <v>703</v>
      </c>
      <c r="C51" s="25">
        <f>SUMIFS('Seat Ledger'!$L$5:$L$393,'Seat Ledger'!$A$5:$A$393,1,'Seat Ledger'!$C$5:$C$393,"VS1")</f>
        <v>60</v>
      </c>
      <c r="D51" s="25">
        <f>SUMIFS('Seat Ledger'!$L$5:$L$393,'Seat Ledger'!$A$5:$A$393,2,'Seat Ledger'!$C$5:$C$393,"VS1")</f>
        <v>45</v>
      </c>
      <c r="E51" s="25">
        <f>SUMIFS('Seat Ledger'!$L$5:$L$393,'Seat Ledger'!$A$5:$A$393,3,'Seat Ledger'!$C$5:$C$393,"VS1")</f>
        <v>40</v>
      </c>
      <c r="G51" s="13">
        <f>SUMIFS('Pod Plan'!$E:$E,'Pod Plan'!$B:$B,1,'Pod Plan'!$C:$C,"VS1")</f>
        <v>3</v>
      </c>
      <c r="H51" s="13">
        <f>SUMIFS('Pod Plan'!$G:$G,'Pod Plan'!$B:$B,1,'Pod Plan'!$C:$C,"VS1")</f>
        <v>6</v>
      </c>
      <c r="I51" s="13">
        <f>SUMIFS('Pod Plan'!$G:$G,'Pod Plan'!$B:$B,3,'Pod Plan'!$C:$C,"VS1")</f>
        <v>5</v>
      </c>
    </row>
    <row r="52" spans="1:9" x14ac:dyDescent="0.35">
      <c r="B52" s="7" t="s">
        <v>704</v>
      </c>
      <c r="C52" s="25">
        <f>SUMIFS('Seat Ledger'!$L$5:$L$393,'Seat Ledger'!$A$5:$A$393,1,'Seat Ledger'!$C$5:$C$393,"VS2")</f>
        <v>30</v>
      </c>
      <c r="D52" s="25">
        <f>SUMIFS('Seat Ledger'!$L$5:$L$393,'Seat Ledger'!$A$5:$A$393,2,'Seat Ledger'!$C$5:$C$393,"VS2")</f>
        <v>27</v>
      </c>
      <c r="E52" s="25">
        <f>SUMIFS('Seat Ledger'!$L$5:$L$393,'Seat Ledger'!$A$5:$A$393,3,'Seat Ledger'!$C$5:$C$393,"VS2")</f>
        <v>24</v>
      </c>
      <c r="G52" s="13">
        <f>SUMIFS('Pod Plan'!$E:$E,'Pod Plan'!$B:$B,1,'Pod Plan'!$C:$C,"VS2")</f>
        <v>2</v>
      </c>
      <c r="H52" s="13">
        <f>SUMIFS('Pod Plan'!$G:$G,'Pod Plan'!$B:$B,1,'Pod Plan'!$C:$C,"VS2")</f>
        <v>3</v>
      </c>
      <c r="I52" s="13">
        <f>SUMIFS('Pod Plan'!$G:$G,'Pod Plan'!$B:$B,3,'Pod Plan'!$C:$C,"VS2")</f>
        <v>3</v>
      </c>
    </row>
    <row r="53" spans="1:9" x14ac:dyDescent="0.35">
      <c r="B53" s="7" t="s">
        <v>705</v>
      </c>
      <c r="C53" s="25">
        <f>SUMIFS('Seat Ledger'!$L$5:$L$393,'Seat Ledger'!$A$5:$A$393,1,'Seat Ledger'!$C$5:$C$393,"VS3")</f>
        <v>20</v>
      </c>
      <c r="D53" s="25">
        <f>SUMIFS('Seat Ledger'!$L$5:$L$393,'Seat Ledger'!$A$5:$A$393,2,'Seat Ledger'!$C$5:$C$393,"VS3")</f>
        <v>18</v>
      </c>
      <c r="E53" s="25">
        <f>SUMIFS('Seat Ledger'!$L$5:$L$393,'Seat Ledger'!$A$5:$A$393,3,'Seat Ledger'!$C$5:$C$393,"VS3")</f>
        <v>16</v>
      </c>
      <c r="G53" s="13">
        <f>SUMIFS('Pod Plan'!$E:$E,'Pod Plan'!$B:$B,1,'Pod Plan'!$C:$C,"VS3")</f>
        <v>1</v>
      </c>
      <c r="H53" s="13">
        <f>SUMIFS('Pod Plan'!$G:$G,'Pod Plan'!$B:$B,1,'Pod Plan'!$C:$C,"VS3")</f>
        <v>2</v>
      </c>
      <c r="I53" s="13">
        <f>SUMIFS('Pod Plan'!$G:$G,'Pod Plan'!$B:$B,3,'Pod Plan'!$C:$C,"VS3")</f>
        <v>2</v>
      </c>
    </row>
    <row r="54" spans="1:9" x14ac:dyDescent="0.35">
      <c r="B54" s="7" t="s">
        <v>706</v>
      </c>
      <c r="C54" s="25">
        <f>SUMIFS('Seat Ledger'!$L$5:$L$393,'Seat Ledger'!$A$5:$A$393,1,'Seat Ledger'!$C$5:$C$393,"VS4")</f>
        <v>20</v>
      </c>
      <c r="D54" s="25">
        <f>SUMIFS('Seat Ledger'!$L$5:$L$393,'Seat Ledger'!$A$5:$A$393,2,'Seat Ledger'!$C$5:$C$393,"VS4")</f>
        <v>9</v>
      </c>
      <c r="E54" s="25">
        <f>SUMIFS('Seat Ledger'!$L$5:$L$393,'Seat Ledger'!$A$5:$A$393,3,'Seat Ledger'!$C$5:$C$393,"VS4")</f>
        <v>8</v>
      </c>
      <c r="G54" s="13">
        <f>SUMIFS('Pod Plan'!$E:$E,'Pod Plan'!$B:$B,1,'Pod Plan'!$C:$C,"VS4")</f>
        <v>1</v>
      </c>
      <c r="H54" s="13">
        <f>SUMIFS('Pod Plan'!$G:$G,'Pod Plan'!$B:$B,1,'Pod Plan'!$C:$C,"VS4")</f>
        <v>2</v>
      </c>
      <c r="I54" s="13">
        <f>SUMIFS('Pod Plan'!$G:$G,'Pod Plan'!$B:$B,3,'Pod Plan'!$C:$C,"VS4")</f>
        <v>1</v>
      </c>
    </row>
    <row r="55" spans="1:9" x14ac:dyDescent="0.35">
      <c r="B55" s="7" t="s">
        <v>707</v>
      </c>
      <c r="C55" s="25">
        <f>SUMIFS('Seat Ledger'!$L$5:$L$393,'Seat Ledger'!$A$5:$A$393,1,'Seat Ledger'!$C$5:$C$393,"VS5")</f>
        <v>30</v>
      </c>
      <c r="D55" s="25">
        <f>SUMIFS('Seat Ledger'!$L$5:$L$393,'Seat Ledger'!$A$5:$A$393,2,'Seat Ledger'!$C$5:$C$393,"VS5")</f>
        <v>27</v>
      </c>
      <c r="E55" s="25">
        <f>SUMIFS('Seat Ledger'!$L$5:$L$393,'Seat Ledger'!$A$5:$A$393,3,'Seat Ledger'!$C$5:$C$393,"VS5")</f>
        <v>16</v>
      </c>
      <c r="G55" s="13">
        <f>SUMIFS('Pod Plan'!$E:$E,'Pod Plan'!$B:$B,1,'Pod Plan'!$C:$C,"VS5")</f>
        <v>1</v>
      </c>
      <c r="H55" s="13">
        <f>SUMIFS('Pod Plan'!$G:$G,'Pod Plan'!$B:$B,1,'Pod Plan'!$C:$C,"VS5")</f>
        <v>3</v>
      </c>
      <c r="I55" s="13">
        <f>SUMIFS('Pod Plan'!$G:$G,'Pod Plan'!$B:$B,3,'Pod Plan'!$C:$C,"VS5")</f>
        <v>2</v>
      </c>
    </row>
    <row r="56" spans="1:9" x14ac:dyDescent="0.35">
      <c r="B56" s="7" t="s">
        <v>708</v>
      </c>
      <c r="C56" s="25">
        <f>SUMIFS('Seat Ledger'!$L$5:$L$393,'Seat Ledger'!$A$5:$A$393,1,'Seat Ledger'!$C$5:$C$393,"VS6")</f>
        <v>20</v>
      </c>
      <c r="D56" s="25">
        <f>SUMIFS('Seat Ledger'!$L$5:$L$393,'Seat Ledger'!$A$5:$A$393,2,'Seat Ledger'!$C$5:$C$393,"VS6")</f>
        <v>18</v>
      </c>
      <c r="E56" s="25">
        <f>SUMIFS('Seat Ledger'!$L$5:$L$393,'Seat Ledger'!$A$5:$A$393,3,'Seat Ledger'!$C$5:$C$393,"VS6")</f>
        <v>16</v>
      </c>
      <c r="G56" s="13">
        <f>SUMIFS('Pod Plan'!$E:$E,'Pod Plan'!$B:$B,1,'Pod Plan'!$C:$C,"VS6")</f>
        <v>1</v>
      </c>
      <c r="H56" s="13">
        <f>SUMIFS('Pod Plan'!$G:$G,'Pod Plan'!$B:$B,1,'Pod Plan'!$C:$C,"VS6")</f>
        <v>2</v>
      </c>
      <c r="I56" s="13">
        <f>SUMIFS('Pod Plan'!$G:$G,'Pod Plan'!$B:$B,3,'Pod Plan'!$C:$C,"VS6")</f>
        <v>2</v>
      </c>
    </row>
    <row r="57" spans="1:9" x14ac:dyDescent="0.35">
      <c r="B57" s="7" t="s">
        <v>709</v>
      </c>
      <c r="C57" s="25">
        <f>SUMIFS('Seat Ledger'!$L$5:$L$393,'Seat Ledger'!$A$5:$A$393,1,'Seat Ledger'!$C$5:$C$393,"H1")</f>
        <v>26</v>
      </c>
      <c r="D57" s="25">
        <f>SUMIFS('Seat Ledger'!$L$5:$L$393,'Seat Ledger'!$A$5:$A$393,2,'Seat Ledger'!$C$5:$C$393,"H1")</f>
        <v>18</v>
      </c>
      <c r="E57" s="25">
        <f>SUMIFS('Seat Ledger'!$L$5:$L$393,'Seat Ledger'!$A$5:$A$393,3,'Seat Ledger'!$C$5:$C$393,"H1")</f>
        <v>17</v>
      </c>
    </row>
    <row r="58" spans="1:9" x14ac:dyDescent="0.35">
      <c r="B58" s="7" t="s">
        <v>710</v>
      </c>
      <c r="C58" s="25">
        <f>SUMIFS('Seat Ledger'!$L$5:$L$393,'Seat Ledger'!$A$5:$A$393,1,'Seat Ledger'!$C$5:$C$393,"H2")</f>
        <v>17</v>
      </c>
      <c r="D58" s="25">
        <f>SUMIFS('Seat Ledger'!$L$5:$L$393,'Seat Ledger'!$A$5:$A$393,2,'Seat Ledger'!$C$5:$C$393,"H2")</f>
        <v>12</v>
      </c>
      <c r="E58" s="25">
        <f>SUMIFS('Seat Ledger'!$L$5:$L$393,'Seat Ledger'!$A$5:$A$393,3,'Seat Ledger'!$C$5:$C$393,"H2")</f>
        <v>11</v>
      </c>
    </row>
    <row r="59" spans="1:9" x14ac:dyDescent="0.35">
      <c r="B59" s="7" t="s">
        <v>711</v>
      </c>
      <c r="C59" s="25">
        <f>SUMIFS('Seat Ledger'!$L$5:$L$393,'Seat Ledger'!$A$5:$A$393,1,'Seat Ledger'!$C$5:$C$393,"H3")</f>
        <v>8</v>
      </c>
      <c r="D59" s="25">
        <f>SUMIFS('Seat Ledger'!$L$5:$L$393,'Seat Ledger'!$A$5:$A$393,2,'Seat Ledger'!$C$5:$C$393,"H3")</f>
        <v>6</v>
      </c>
      <c r="E59" s="25">
        <f>SUMIFS('Seat Ledger'!$L$5:$L$393,'Seat Ledger'!$A$5:$A$393,3,'Seat Ledger'!$C$5:$C$393,"H3")</f>
        <v>6</v>
      </c>
    </row>
    <row r="60" spans="1:9" x14ac:dyDescent="0.35">
      <c r="B60" s="20" t="s">
        <v>712</v>
      </c>
      <c r="C60" s="34">
        <f>SUM(C51:C59)</f>
        <v>231</v>
      </c>
      <c r="D60" s="34">
        <f>SUM(D51:D59)</f>
        <v>180</v>
      </c>
      <c r="E60" s="34">
        <f>SUM(E51:E59)</f>
        <v>154</v>
      </c>
    </row>
  </sheetData>
  <mergeCells count="9">
    <mergeCell ref="A1:J1"/>
    <mergeCell ref="A39:H39"/>
    <mergeCell ref="A29:H29"/>
    <mergeCell ref="A16:H16"/>
    <mergeCell ref="A49:H49"/>
    <mergeCell ref="A2:J2"/>
    <mergeCell ref="A23:H23"/>
    <mergeCell ref="A8:H8"/>
    <mergeCell ref="A4:H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8"/>
  <sheetViews>
    <sheetView topLeftCell="A13" workbookViewId="0">
      <selection activeCell="C19" sqref="C19"/>
    </sheetView>
  </sheetViews>
  <sheetFormatPr defaultRowHeight="14.5" x14ac:dyDescent="0.35"/>
  <cols>
    <col min="1" max="1" width="2" customWidth="1"/>
    <col min="2" max="2" width="50" customWidth="1"/>
    <col min="3" max="6" width="14" customWidth="1"/>
    <col min="7" max="7" width="3" customWidth="1"/>
    <col min="8" max="8" width="56" customWidth="1"/>
  </cols>
  <sheetData>
    <row r="1" spans="1:9" ht="26.15" customHeight="1" x14ac:dyDescent="0.35">
      <c r="A1" s="48" t="s">
        <v>713</v>
      </c>
      <c r="B1" s="49"/>
      <c r="C1" s="49"/>
      <c r="D1" s="49"/>
      <c r="E1" s="49"/>
      <c r="F1" s="49"/>
      <c r="G1" s="49"/>
      <c r="H1" s="49"/>
      <c r="I1" s="49"/>
    </row>
    <row r="2" spans="1:9" x14ac:dyDescent="0.35">
      <c r="A2" s="50" t="s">
        <v>714</v>
      </c>
      <c r="B2" s="49"/>
      <c r="C2" s="49"/>
      <c r="D2" s="49"/>
      <c r="E2" s="49"/>
      <c r="F2" s="49"/>
      <c r="G2" s="49"/>
      <c r="H2" s="49"/>
      <c r="I2" s="49"/>
    </row>
    <row r="4" spans="1:9" ht="19.149999999999999" customHeight="1" x14ac:dyDescent="0.35">
      <c r="A4" s="51" t="s">
        <v>715</v>
      </c>
      <c r="B4" s="49"/>
      <c r="C4" s="49"/>
      <c r="D4" s="49"/>
      <c r="E4" s="49"/>
      <c r="F4" s="49"/>
      <c r="G4" s="49"/>
      <c r="H4" s="49"/>
    </row>
    <row r="5" spans="1:9" ht="28.15" customHeight="1" x14ac:dyDescent="0.35">
      <c r="B5" s="11" t="s">
        <v>666</v>
      </c>
      <c r="C5" s="11" t="s">
        <v>716</v>
      </c>
    </row>
    <row r="6" spans="1:9" x14ac:dyDescent="0.35">
      <c r="B6" s="7" t="s">
        <v>553</v>
      </c>
      <c r="C6" s="13">
        <f>'Logic Tree'!C6</f>
        <v>28</v>
      </c>
    </row>
    <row r="7" spans="1:9" x14ac:dyDescent="0.35">
      <c r="B7" s="7" t="s">
        <v>57</v>
      </c>
      <c r="C7" s="14">
        <f>'Logic Tree'!C7</f>
        <v>230.75000000000003</v>
      </c>
    </row>
    <row r="8" spans="1:9" x14ac:dyDescent="0.35">
      <c r="B8" s="7" t="s">
        <v>717</v>
      </c>
      <c r="C8" s="14">
        <f>'Logic Tree'!C8</f>
        <v>203.93583333333333</v>
      </c>
    </row>
    <row r="9" spans="1:9" x14ac:dyDescent="0.35">
      <c r="B9" s="7" t="s">
        <v>718</v>
      </c>
      <c r="C9" s="14">
        <f>'Logic Tree'!C9</f>
        <v>26.814166666666662</v>
      </c>
    </row>
    <row r="10" spans="1:9" x14ac:dyDescent="0.35">
      <c r="B10" s="7" t="s">
        <v>719</v>
      </c>
      <c r="C10" s="14">
        <f>'Logic Tree'!C10</f>
        <v>0</v>
      </c>
    </row>
    <row r="11" spans="1:9" x14ac:dyDescent="0.35">
      <c r="B11" s="7" t="s">
        <v>720</v>
      </c>
      <c r="C11" s="14">
        <f>'Logic Tree'!C7/2</f>
        <v>115.37500000000001</v>
      </c>
    </row>
    <row r="12" spans="1:9" x14ac:dyDescent="0.35">
      <c r="B12" s="7" t="s">
        <v>721</v>
      </c>
      <c r="C12" s="42">
        <f>0</f>
        <v>0</v>
      </c>
      <c r="H12" s="6" t="s">
        <v>722</v>
      </c>
    </row>
    <row r="14" spans="1:9" ht="19.149999999999999" customHeight="1" x14ac:dyDescent="0.35">
      <c r="A14" s="51" t="s">
        <v>723</v>
      </c>
      <c r="B14" s="49"/>
      <c r="C14" s="49"/>
      <c r="D14" s="49"/>
      <c r="E14" s="49"/>
      <c r="F14" s="49"/>
      <c r="G14" s="49"/>
      <c r="H14" s="49"/>
    </row>
    <row r="15" spans="1:9" ht="28.15" customHeight="1" x14ac:dyDescent="0.35">
      <c r="B15" s="11" t="s">
        <v>666</v>
      </c>
      <c r="C15" s="11" t="s">
        <v>94</v>
      </c>
      <c r="D15" s="11" t="s">
        <v>95</v>
      </c>
      <c r="E15" s="11" t="s">
        <v>96</v>
      </c>
    </row>
    <row r="16" spans="1:9" x14ac:dyDescent="0.35">
      <c r="B16" s="7" t="s">
        <v>724</v>
      </c>
      <c r="C16" s="25">
        <f>'Team Build-Up'!C12</f>
        <v>231</v>
      </c>
      <c r="D16" s="25">
        <f>'Team Build-Up'!D12</f>
        <v>180</v>
      </c>
      <c r="E16" s="25">
        <f>'Team Build-Up'!E12</f>
        <v>154</v>
      </c>
      <c r="H16" s="6" t="s">
        <v>725</v>
      </c>
    </row>
    <row r="17" spans="1:8" x14ac:dyDescent="0.35">
      <c r="B17" s="20" t="s">
        <v>726</v>
      </c>
      <c r="C17" s="21">
        <f>IF($C$7=0,0,1-'Team Build-Up'!C12/$C$7)</f>
        <v>-1.0834236186347823E-3</v>
      </c>
      <c r="D17" s="21">
        <f>IF($C$7=0,0,1-'Team Build-Up'!D12/$C$7)</f>
        <v>0.21993499458288202</v>
      </c>
      <c r="E17" s="21">
        <f>IF($C$7=0,0,1-'Team Build-Up'!E12/$C$7)</f>
        <v>0.33261105092091015</v>
      </c>
    </row>
    <row r="18" spans="1:8" x14ac:dyDescent="0.35">
      <c r="B18" s="7" t="s">
        <v>727</v>
      </c>
      <c r="C18" s="40">
        <f>'Logic Tree'!C53</f>
        <v>0.11711133109889404</v>
      </c>
      <c r="D18" s="40">
        <f>'Logic Tree'!D53</f>
        <v>0.2469386504069927</v>
      </c>
      <c r="E18" s="40">
        <f>'Logic Tree'!E53</f>
        <v>0.32723341538464246</v>
      </c>
    </row>
    <row r="19" spans="1:8" x14ac:dyDescent="0.35">
      <c r="B19" s="3" t="s">
        <v>728</v>
      </c>
      <c r="C19" s="18">
        <f>C18-C17</f>
        <v>0.11819475471752883</v>
      </c>
      <c r="D19" s="18">
        <f>D18-D17</f>
        <v>2.7003655824110684E-2</v>
      </c>
      <c r="E19" s="18">
        <f>E18-E17</f>
        <v>-5.3776355362676886E-3</v>
      </c>
    </row>
    <row r="22" spans="1:8" ht="19.149999999999999" customHeight="1" x14ac:dyDescent="0.35">
      <c r="A22" s="51" t="s">
        <v>729</v>
      </c>
      <c r="B22" s="49"/>
      <c r="C22" s="49"/>
      <c r="D22" s="49"/>
      <c r="E22" s="49"/>
      <c r="F22" s="49"/>
      <c r="G22" s="49"/>
      <c r="H22" s="49"/>
    </row>
    <row r="23" spans="1:8" ht="28.15" customHeight="1" x14ac:dyDescent="0.35">
      <c r="B23" s="11" t="s">
        <v>666</v>
      </c>
      <c r="C23" s="11" t="s">
        <v>94</v>
      </c>
      <c r="D23" s="11" t="s">
        <v>95</v>
      </c>
      <c r="E23" s="11" t="s">
        <v>96</v>
      </c>
    </row>
    <row r="24" spans="1:8" x14ac:dyDescent="0.35">
      <c r="B24" s="20" t="s">
        <v>730</v>
      </c>
      <c r="C24" s="43">
        <f>'Team Build-Up'!C27</f>
        <v>0.32900432900432902</v>
      </c>
      <c r="D24" s="43">
        <f>'Team Build-Up'!D27</f>
        <v>0.48888888888888887</v>
      </c>
      <c r="E24" s="43">
        <f>'Team Build-Up'!E27</f>
        <v>0.53896103896103897</v>
      </c>
    </row>
    <row r="25" spans="1:8" x14ac:dyDescent="0.35">
      <c r="B25" s="7" t="s">
        <v>731</v>
      </c>
      <c r="C25" s="42">
        <f>'Logic Tree'!C62</f>
        <v>0.37097517394366192</v>
      </c>
      <c r="D25" s="42">
        <f>'Logic Tree'!D62</f>
        <v>0.5532085927230046</v>
      </c>
      <c r="E25" s="42">
        <f>'Logic Tree'!E62</f>
        <v>0.60527528380281692</v>
      </c>
    </row>
    <row r="26" spans="1:8" x14ac:dyDescent="0.35">
      <c r="B26" s="7" t="s">
        <v>732</v>
      </c>
      <c r="C26" s="40">
        <f>C24-C25</f>
        <v>-4.1970844939332896E-2</v>
      </c>
      <c r="D26" s="40">
        <f>D24-D25</f>
        <v>-6.4319703834115727E-2</v>
      </c>
      <c r="E26" s="40">
        <f>E24-E25</f>
        <v>-6.6314244841777947E-2</v>
      </c>
    </row>
    <row r="28" spans="1:8" ht="19.149999999999999" customHeight="1" x14ac:dyDescent="0.35">
      <c r="A28" s="51" t="s">
        <v>733</v>
      </c>
      <c r="B28" s="49"/>
      <c r="C28" s="49"/>
      <c r="D28" s="49"/>
      <c r="E28" s="49"/>
      <c r="F28" s="49"/>
      <c r="G28" s="49"/>
      <c r="H28" s="49"/>
    </row>
    <row r="29" spans="1:8" x14ac:dyDescent="0.35">
      <c r="B29" s="6" t="s">
        <v>734</v>
      </c>
    </row>
    <row r="30" spans="1:8" ht="28.15" customHeight="1" x14ac:dyDescent="0.35">
      <c r="B30" s="11" t="s">
        <v>666</v>
      </c>
      <c r="C30" s="11" t="s">
        <v>94</v>
      </c>
      <c r="D30" s="11" t="s">
        <v>95</v>
      </c>
      <c r="E30" s="11" t="s">
        <v>96</v>
      </c>
    </row>
    <row r="31" spans="1:8" x14ac:dyDescent="0.35">
      <c r="B31" s="7" t="s">
        <v>735</v>
      </c>
      <c r="C31" s="25">
        <f>'Team Build-Up'!C12</f>
        <v>231</v>
      </c>
      <c r="D31" s="25">
        <f>'Team Build-Up'!D12</f>
        <v>180</v>
      </c>
      <c r="E31" s="25">
        <f>'Team Build-Up'!E12</f>
        <v>154</v>
      </c>
    </row>
    <row r="32" spans="1:8" x14ac:dyDescent="0.35">
      <c r="B32" s="7" t="s">
        <v>736</v>
      </c>
      <c r="C32" s="25">
        <f>'Team Build-Up'!C18</f>
        <v>204</v>
      </c>
      <c r="D32" s="25">
        <f>'Team Build-Up'!D18</f>
        <v>153</v>
      </c>
      <c r="E32" s="25">
        <f>'Team Build-Up'!E18</f>
        <v>127</v>
      </c>
    </row>
    <row r="33" spans="2:8" x14ac:dyDescent="0.35">
      <c r="B33" s="7" t="s">
        <v>737</v>
      </c>
      <c r="C33" s="25">
        <f>'Team Build-Up'!C19</f>
        <v>27</v>
      </c>
      <c r="D33" s="25">
        <f>'Team Build-Up'!D19</f>
        <v>27</v>
      </c>
      <c r="E33" s="25">
        <f>'Team Build-Up'!E19</f>
        <v>27</v>
      </c>
    </row>
    <row r="34" spans="2:8" x14ac:dyDescent="0.35">
      <c r="B34" s="7" t="s">
        <v>738</v>
      </c>
      <c r="C34" s="25">
        <f>'Team Build-Up'!C20</f>
        <v>0</v>
      </c>
      <c r="D34" s="25">
        <f>'Team Build-Up'!D20</f>
        <v>0</v>
      </c>
      <c r="E34" s="25">
        <f>'Team Build-Up'!E20</f>
        <v>0</v>
      </c>
    </row>
    <row r="35" spans="2:8" x14ac:dyDescent="0.35">
      <c r="B35" s="3" t="s">
        <v>739</v>
      </c>
      <c r="C35" s="40">
        <f>IF(C31=0,0,C32/C31)</f>
        <v>0.88311688311688308</v>
      </c>
      <c r="D35" s="40">
        <f>IF(D31=0,0,D32/D31)</f>
        <v>0.85</v>
      </c>
      <c r="E35" s="40">
        <f>IF(E31=0,0,E32/E31)</f>
        <v>0.82467532467532467</v>
      </c>
    </row>
    <row r="36" spans="2:8" x14ac:dyDescent="0.35">
      <c r="B36" s="7" t="s">
        <v>740</v>
      </c>
      <c r="C36" s="25">
        <f>'Logic Tree'!C67</f>
        <v>0</v>
      </c>
      <c r="D36" s="25">
        <f>'Logic Tree'!D67</f>
        <v>6</v>
      </c>
      <c r="E36" s="25">
        <f>'Logic Tree'!E67</f>
        <v>9</v>
      </c>
    </row>
    <row r="37" spans="2:8" x14ac:dyDescent="0.35">
      <c r="B37" s="7" t="s">
        <v>741</v>
      </c>
      <c r="C37" s="25">
        <f>'Logic Tree'!C68</f>
        <v>0</v>
      </c>
      <c r="D37" s="25">
        <f>'Logic Tree'!D68</f>
        <v>14</v>
      </c>
      <c r="E37" s="25">
        <f>'Logic Tree'!E68</f>
        <v>21</v>
      </c>
    </row>
    <row r="38" spans="2:8" x14ac:dyDescent="0.35">
      <c r="B38" s="7" t="s">
        <v>116</v>
      </c>
      <c r="C38" s="25">
        <f>'Logic Tree'!C69</f>
        <v>0</v>
      </c>
      <c r="D38" s="25">
        <f>'Logic Tree'!D69</f>
        <v>20</v>
      </c>
      <c r="E38" s="25">
        <f>'Logic Tree'!E69</f>
        <v>50</v>
      </c>
    </row>
    <row r="39" spans="2:8" x14ac:dyDescent="0.35">
      <c r="B39" s="7" t="s">
        <v>742</v>
      </c>
      <c r="C39" s="25">
        <f>C32-C38</f>
        <v>204</v>
      </c>
      <c r="D39" s="25">
        <f>D32-D38</f>
        <v>133</v>
      </c>
      <c r="E39" s="25">
        <f>E32-E38</f>
        <v>77</v>
      </c>
    </row>
    <row r="40" spans="2:8" x14ac:dyDescent="0.35">
      <c r="B40" s="7" t="s">
        <v>743</v>
      </c>
      <c r="C40" s="25">
        <f>C33+C34+C38</f>
        <v>27</v>
      </c>
      <c r="D40" s="25">
        <f>D33+D34+D38</f>
        <v>47</v>
      </c>
      <c r="E40" s="25">
        <f>E33+E34+E38</f>
        <v>77</v>
      </c>
    </row>
    <row r="41" spans="2:8" x14ac:dyDescent="0.35">
      <c r="B41" s="20" t="s">
        <v>744</v>
      </c>
      <c r="C41" s="21">
        <f>IF(C31=0,0,C39/C31)</f>
        <v>0.88311688311688308</v>
      </c>
      <c r="D41" s="21">
        <f>IF(D31=0,0,D39/D31)</f>
        <v>0.73888888888888893</v>
      </c>
      <c r="E41" s="21">
        <f>IF(E31=0,0,E39/E31)</f>
        <v>0.5</v>
      </c>
      <c r="H41" s="6" t="s">
        <v>745</v>
      </c>
    </row>
    <row r="42" spans="2:8" x14ac:dyDescent="0.35">
      <c r="B42" s="7" t="s">
        <v>746</v>
      </c>
      <c r="C42" s="25">
        <f>C31/2-C33-C34</f>
        <v>88.5</v>
      </c>
      <c r="D42" s="25">
        <f>D31/2-D33-D34</f>
        <v>63</v>
      </c>
      <c r="E42" s="25">
        <f>E31/2-E33-E34</f>
        <v>50</v>
      </c>
    </row>
    <row r="43" spans="2:8" x14ac:dyDescent="0.35">
      <c r="B43" s="7" t="s">
        <v>747</v>
      </c>
      <c r="C43" s="25">
        <f>C42-C38</f>
        <v>88.5</v>
      </c>
      <c r="D43" s="25">
        <f>D42-D38</f>
        <v>43</v>
      </c>
      <c r="E43" s="25">
        <f>E42-E38</f>
        <v>0</v>
      </c>
    </row>
    <row r="45" spans="2:8" x14ac:dyDescent="0.35">
      <c r="B45" s="30" t="s">
        <v>748</v>
      </c>
    </row>
    <row r="46" spans="2:8" x14ac:dyDescent="0.35">
      <c r="B46" s="7" t="s">
        <v>749</v>
      </c>
      <c r="C46" s="16">
        <f>C32-E32</f>
        <v>77</v>
      </c>
      <c r="H46" s="6" t="s">
        <v>750</v>
      </c>
    </row>
    <row r="47" spans="2:8" x14ac:dyDescent="0.35">
      <c r="B47" s="7" t="s">
        <v>751</v>
      </c>
      <c r="C47" s="16">
        <f>E38</f>
        <v>50</v>
      </c>
    </row>
    <row r="48" spans="2:8" x14ac:dyDescent="0.35">
      <c r="B48" s="20" t="s">
        <v>752</v>
      </c>
      <c r="C48" s="34">
        <f>C32-E39</f>
        <v>127</v>
      </c>
    </row>
  </sheetData>
  <mergeCells count="6">
    <mergeCell ref="A4:H4"/>
    <mergeCell ref="A2:I2"/>
    <mergeCell ref="A1:I1"/>
    <mergeCell ref="A28:H28"/>
    <mergeCell ref="A14:H14"/>
    <mergeCell ref="A22:H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4"/>
  <sheetViews>
    <sheetView workbookViewId="0">
      <selection activeCell="C8" sqref="C8"/>
    </sheetView>
  </sheetViews>
  <sheetFormatPr defaultRowHeight="14.5" x14ac:dyDescent="0.35"/>
  <cols>
    <col min="1" max="1" width="2" customWidth="1"/>
    <col min="2" max="2" width="52" customWidth="1"/>
    <col min="3" max="5" width="14" customWidth="1"/>
    <col min="6" max="6" width="3" customWidth="1"/>
    <col min="7" max="7" width="60" customWidth="1"/>
  </cols>
  <sheetData>
    <row r="1" spans="1:9" ht="26.15" customHeight="1" x14ac:dyDescent="0.35">
      <c r="A1" s="48" t="s">
        <v>753</v>
      </c>
      <c r="B1" s="49"/>
      <c r="C1" s="49"/>
      <c r="D1" s="49"/>
      <c r="E1" s="49"/>
      <c r="F1" s="49"/>
      <c r="G1" s="49"/>
      <c r="H1" s="49"/>
      <c r="I1" s="49"/>
    </row>
    <row r="2" spans="1:9" x14ac:dyDescent="0.35">
      <c r="A2" s="50" t="s">
        <v>754</v>
      </c>
      <c r="B2" s="49"/>
      <c r="C2" s="49"/>
      <c r="D2" s="49"/>
      <c r="E2" s="49"/>
      <c r="F2" s="49"/>
      <c r="G2" s="49"/>
      <c r="H2" s="49"/>
      <c r="I2" s="49"/>
    </row>
    <row r="4" spans="1:9" ht="19.149999999999999" customHeight="1" x14ac:dyDescent="0.35">
      <c r="A4" s="51" t="s">
        <v>755</v>
      </c>
      <c r="B4" s="49"/>
      <c r="C4" s="49"/>
      <c r="D4" s="49"/>
      <c r="E4" s="49"/>
      <c r="F4" s="49"/>
      <c r="G4" s="49"/>
    </row>
    <row r="5" spans="1:9" ht="28.15" customHeight="1" x14ac:dyDescent="0.35">
      <c r="B5" s="11" t="s">
        <v>666</v>
      </c>
      <c r="C5" s="11" t="s">
        <v>94</v>
      </c>
      <c r="D5" s="11" t="s">
        <v>95</v>
      </c>
      <c r="E5" s="11" t="s">
        <v>96</v>
      </c>
    </row>
    <row r="6" spans="1:9" x14ac:dyDescent="0.35">
      <c r="B6" s="7" t="s">
        <v>756</v>
      </c>
      <c r="C6" s="39">
        <f>SUMIFS('Seat Ledger'!$M$5:$M$393,'Seat Ledger'!$A$5:$A$393,1)</f>
        <v>283.75</v>
      </c>
      <c r="D6" s="39">
        <f>SUMIFS('Seat Ledger'!$M$5:$M$393,'Seat Ledger'!$A$5:$A$393,2)</f>
        <v>209.49999999999977</v>
      </c>
      <c r="E6" s="39">
        <f>SUMIFS('Seat Ledger'!$M$5:$M$393,'Seat Ledger'!$A$5:$A$393,3)</f>
        <v>182.54999999999984</v>
      </c>
    </row>
    <row r="7" spans="1:9" x14ac:dyDescent="0.35">
      <c r="B7" s="7" t="s">
        <v>757</v>
      </c>
      <c r="C7" s="25">
        <f>'Team Build-Up'!C12</f>
        <v>231</v>
      </c>
      <c r="D7" s="25">
        <f>'Team Build-Up'!D12</f>
        <v>180</v>
      </c>
      <c r="E7" s="25">
        <f>'Team Build-Up'!E12</f>
        <v>154</v>
      </c>
    </row>
    <row r="8" spans="1:9" x14ac:dyDescent="0.35">
      <c r="B8" s="7" t="s">
        <v>758</v>
      </c>
      <c r="C8" s="44">
        <f>IF(C7=0,0,C6/C7)</f>
        <v>1.2283549783549783</v>
      </c>
      <c r="D8" s="44">
        <f>IF(D7=0,0,D6/D7)</f>
        <v>1.1638888888888876</v>
      </c>
      <c r="E8" s="44">
        <f>IF(E7=0,0,E6/E7)</f>
        <v>1.1853896103896093</v>
      </c>
      <c r="G8" s="6" t="s">
        <v>759</v>
      </c>
    </row>
    <row r="9" spans="1:9" x14ac:dyDescent="0.35">
      <c r="B9" s="7" t="s">
        <v>760</v>
      </c>
      <c r="C9" s="45">
        <f>IF('Glidepath &amp; 50-50'!$C$7=0,0,C6/'Glidepath &amp; 50-50'!$C$7)</f>
        <v>1.2296858071505958</v>
      </c>
      <c r="D9" s="45">
        <f>IF('Glidepath &amp; 50-50'!$C$7=0,0,D6/'Glidepath &amp; 50-50'!$C$7)</f>
        <v>0.90790899241603362</v>
      </c>
      <c r="E9" s="45">
        <f>IF('Glidepath &amp; 50-50'!$C$7=0,0,E6/'Glidepath &amp; 50-50'!$C$7)</f>
        <v>0.79111592632719319</v>
      </c>
    </row>
    <row r="10" spans="1:9" x14ac:dyDescent="0.35">
      <c r="B10" s="20" t="s">
        <v>761</v>
      </c>
      <c r="C10" s="21">
        <f>IF($C$9=0,0,1-C9/$C$9)</f>
        <v>0</v>
      </c>
      <c r="D10" s="21">
        <f>IF($C$9=0,0,1-D9/$C$9)</f>
        <v>0.26167400881057346</v>
      </c>
      <c r="E10" s="21">
        <f>IF($C$9=0,0,1-E9/$C$9)</f>
        <v>0.3566519823788552</v>
      </c>
      <c r="G10" s="6" t="s">
        <v>762</v>
      </c>
    </row>
    <row r="12" spans="1:9" ht="19.149999999999999" customHeight="1" x14ac:dyDescent="0.35">
      <c r="A12" s="51" t="s">
        <v>763</v>
      </c>
      <c r="B12" s="49"/>
      <c r="C12" s="49"/>
      <c r="D12" s="49"/>
      <c r="E12" s="49"/>
      <c r="F12" s="49"/>
      <c r="G12" s="49"/>
    </row>
    <row r="13" spans="1:9" ht="28.15" customHeight="1" x14ac:dyDescent="0.35">
      <c r="B13" s="11" t="s">
        <v>666</v>
      </c>
      <c r="C13" s="11" t="s">
        <v>94</v>
      </c>
      <c r="D13" s="11" t="s">
        <v>95</v>
      </c>
      <c r="E13" s="11" t="s">
        <v>96</v>
      </c>
    </row>
    <row r="14" spans="1:9" x14ac:dyDescent="0.35">
      <c r="B14" s="7" t="s">
        <v>764</v>
      </c>
      <c r="C14" s="13">
        <f>'Glidepath &amp; 50-50'!C39</f>
        <v>204</v>
      </c>
      <c r="D14" s="13">
        <f>'Glidepath &amp; 50-50'!D39</f>
        <v>133</v>
      </c>
      <c r="E14" s="13">
        <f>'Glidepath &amp; 50-50'!E39</f>
        <v>77</v>
      </c>
    </row>
    <row r="15" spans="1:9" x14ac:dyDescent="0.35">
      <c r="B15" s="7" t="s">
        <v>765</v>
      </c>
      <c r="C15" s="39">
        <f>SUMIFS('Seat Ledger'!$M$5:$M$393,'Seat Ledger'!$A$5:$A$393,1,'Seat Ledger'!$I$5:$I$393,"FTC")*IF(SUMIFS('Seat Ledger'!$L$5:$L$393,'Seat Ledger'!$A$5:$A$393,1,'Seat Ledger'!$I$5:$I$393,"FTC")=0,0,C14/SUMIFS('Seat Ledger'!$L$5:$L$393,'Seat Ledger'!$A$5:$A$393,1,'Seat Ledger'!$I$5:$I$393,"FTC"))</f>
        <v>227.4999999999998</v>
      </c>
      <c r="D15" s="39">
        <f>SUMIFS('Seat Ledger'!$M$5:$M$393,'Seat Ledger'!$A$5:$A$393,2,'Seat Ledger'!$I$5:$I$393,"FTC")*IF(SUMIFS('Seat Ledger'!$L$5:$L$393,'Seat Ledger'!$A$5:$A$393,2,'Seat Ledger'!$I$5:$I$393,"FTC")=0,0,D14/SUMIFS('Seat Ledger'!$L$5:$L$393,'Seat Ledger'!$A$5:$A$393,2,'Seat Ledger'!$I$5:$I$393,"FTC"))</f>
        <v>133.21732026143781</v>
      </c>
      <c r="E15" s="39">
        <f>SUMIFS('Seat Ledger'!$M$5:$M$393,'Seat Ledger'!$A$5:$A$393,3,'Seat Ledger'!$I$5:$I$393,"FTC")*IF(SUMIFS('Seat Ledger'!$L$5:$L$393,'Seat Ledger'!$A$5:$A$393,3,'Seat Ledger'!$I$5:$I$393,"FTC")=0,0,E14/SUMIFS('Seat Ledger'!$L$5:$L$393,'Seat Ledger'!$A$5:$A$393,3,'Seat Ledger'!$I$5:$I$393,"FTC"))</f>
        <v>76.575590551181051</v>
      </c>
    </row>
    <row r="16" spans="1:9" x14ac:dyDescent="0.35">
      <c r="B16" s="20" t="s">
        <v>766</v>
      </c>
      <c r="C16" s="21">
        <f>IF($C$15=0,0,C15/$C$15-1)</f>
        <v>0</v>
      </c>
      <c r="D16" s="21">
        <f>IF($C$15=0,0,D15/$C$15-1)</f>
        <v>-0.41442936148818499</v>
      </c>
      <c r="E16" s="21">
        <f>IF($C$15=0,0,E15/$C$15-1)</f>
        <v>-0.6634039975772259</v>
      </c>
      <c r="G16" s="6" t="s">
        <v>767</v>
      </c>
    </row>
    <row r="18" spans="1:7" ht="19.149999999999999" customHeight="1" x14ac:dyDescent="0.35">
      <c r="A18" s="51" t="s">
        <v>768</v>
      </c>
      <c r="B18" s="49"/>
      <c r="C18" s="49"/>
      <c r="D18" s="49"/>
      <c r="E18" s="49"/>
      <c r="F18" s="49"/>
      <c r="G18" s="49"/>
    </row>
    <row r="19" spans="1:7" ht="28.15" customHeight="1" x14ac:dyDescent="0.35">
      <c r="B19" s="11" t="s">
        <v>769</v>
      </c>
      <c r="C19" s="11" t="s">
        <v>94</v>
      </c>
      <c r="D19" s="11" t="s">
        <v>95</v>
      </c>
      <c r="E19" s="11" t="s">
        <v>96</v>
      </c>
    </row>
    <row r="20" spans="1:7" x14ac:dyDescent="0.35">
      <c r="B20" s="7" t="s">
        <v>770</v>
      </c>
      <c r="C20" s="39">
        <f>SUMIFS('Seat Ledger'!$M$5:$M$393,'Seat Ledger'!$A$5:$A$393,1,'Seat Ledger'!$H$5:$H$393,"ON")</f>
        <v>261.54999999999984</v>
      </c>
      <c r="D20" s="39">
        <f>SUMIFS('Seat Ledger'!$M$5:$M$393,'Seat Ledger'!$A$5:$A$393,2,'Seat Ledger'!$H$5:$H$393,"ON")</f>
        <v>174.09999999999988</v>
      </c>
      <c r="E20" s="39">
        <f>SUMIFS('Seat Ledger'!$M$5:$M$393,'Seat Ledger'!$A$5:$A$393,3,'Seat Ledger'!$H$5:$H$393,"ON")</f>
        <v>144.74999999999986</v>
      </c>
    </row>
    <row r="21" spans="1:7" x14ac:dyDescent="0.35">
      <c r="B21" s="7" t="s">
        <v>771</v>
      </c>
      <c r="C21" s="39">
        <f>SUMIFS('Seat Ledger'!$M$5:$M$393,'Seat Ledger'!$A$5:$A$393,1,'Seat Ledger'!$H$5:$H$393,"OFF")</f>
        <v>22.200000000000006</v>
      </c>
      <c r="D21" s="39">
        <f>SUMIFS('Seat Ledger'!$M$5:$M$393,'Seat Ledger'!$A$5:$A$393,2,'Seat Ledger'!$H$5:$H$393,"OFF")</f>
        <v>35.400000000000027</v>
      </c>
      <c r="E21" s="39">
        <f>SUMIFS('Seat Ledger'!$M$5:$M$393,'Seat Ledger'!$A$5:$A$393,3,'Seat Ledger'!$H$5:$H$393,"OFF")</f>
        <v>37.80000000000004</v>
      </c>
    </row>
    <row r="22" spans="1:7" x14ac:dyDescent="0.35">
      <c r="B22" s="3" t="s">
        <v>772</v>
      </c>
      <c r="C22" s="18">
        <f>IF((C20+C21)=0,0,C20/(C20+C21))</f>
        <v>0.92176211453744494</v>
      </c>
      <c r="D22" s="18">
        <f>IF((D20+D21)=0,0,D20/(D20+D21))</f>
        <v>0.83102625298329336</v>
      </c>
      <c r="E22" s="18">
        <f>IF((E20+E21)=0,0,E20/(E20+E21))</f>
        <v>0.7929334428923579</v>
      </c>
    </row>
    <row r="24" spans="1:7" x14ac:dyDescent="0.35">
      <c r="B24" s="7" t="s">
        <v>773</v>
      </c>
      <c r="C24" s="39">
        <f>SUMIFS('Seat Ledger'!$M$5:$M$393,'Seat Ledger'!$A$5:$A$393,1,'Seat Ledger'!$G$5:$G$393,"E1")</f>
        <v>3.9600000000000009</v>
      </c>
      <c r="D24" s="39">
        <f>SUMIFS('Seat Ledger'!$M$5:$M$393,'Seat Ledger'!$A$5:$A$393,2,'Seat Ledger'!$G$5:$G$393,"E1")</f>
        <v>0</v>
      </c>
      <c r="E24" s="39">
        <f>SUMIFS('Seat Ledger'!$M$5:$M$393,'Seat Ledger'!$A$5:$A$393,3,'Seat Ledger'!$G$5:$G$393,"E1")</f>
        <v>0</v>
      </c>
    </row>
    <row r="25" spans="1:7" x14ac:dyDescent="0.35">
      <c r="B25" s="7" t="s">
        <v>774</v>
      </c>
      <c r="C25" s="39">
        <f>SUMIFS('Seat Ledger'!$M$5:$M$393,'Seat Ledger'!$A$5:$A$393,1,'Seat Ledger'!$G$5:$G$393,"E2")</f>
        <v>33.300000000000004</v>
      </c>
      <c r="D25" s="39">
        <f>SUMIFS('Seat Ledger'!$M$5:$M$393,'Seat Ledger'!$A$5:$A$393,2,'Seat Ledger'!$G$5:$G$393,"E2")</f>
        <v>11.1</v>
      </c>
      <c r="E25" s="39">
        <f>SUMIFS('Seat Ledger'!$M$5:$M$393,'Seat Ledger'!$A$5:$A$393,3,'Seat Ledger'!$G$5:$G$393,"E2")</f>
        <v>5.6999999999999984</v>
      </c>
    </row>
    <row r="26" spans="1:7" x14ac:dyDescent="0.35">
      <c r="B26" s="7" t="s">
        <v>775</v>
      </c>
      <c r="C26" s="39">
        <f>SUMIFS('Seat Ledger'!$M$5:$M$393,'Seat Ledger'!$A$5:$A$393,1,'Seat Ledger'!$G$5:$G$393,"E3")</f>
        <v>73.140000000000015</v>
      </c>
      <c r="D26" s="39">
        <f>SUMIFS('Seat Ledger'!$M$5:$M$393,'Seat Ledger'!$A$5:$A$393,2,'Seat Ledger'!$G$5:$G$393,"E3")</f>
        <v>45.750000000000028</v>
      </c>
      <c r="E26" s="39">
        <f>SUMIFS('Seat Ledger'!$M$5:$M$393,'Seat Ledger'!$A$5:$A$393,3,'Seat Ledger'!$G$5:$G$393,"E3")</f>
        <v>20.100000000000001</v>
      </c>
    </row>
    <row r="27" spans="1:7" x14ac:dyDescent="0.35">
      <c r="B27" s="7" t="s">
        <v>776</v>
      </c>
      <c r="C27" s="39">
        <f>SUMIFS('Seat Ledger'!$M$5:$M$393,'Seat Ledger'!$A$5:$A$393,1,'Seat Ledger'!$G$5:$G$393,"E4")</f>
        <v>114.69999999999992</v>
      </c>
      <c r="D27" s="39">
        <f>SUMIFS('Seat Ledger'!$M$5:$M$393,'Seat Ledger'!$A$5:$A$393,2,'Seat Ledger'!$G$5:$G$393,"E4")</f>
        <v>96.549999999999955</v>
      </c>
      <c r="E27" s="39">
        <f>SUMIFS('Seat Ledger'!$M$5:$M$393,'Seat Ledger'!$A$5:$A$393,3,'Seat Ledger'!$G$5:$G$393,"E4")</f>
        <v>100.64999999999992</v>
      </c>
    </row>
    <row r="28" spans="1:7" x14ac:dyDescent="0.35">
      <c r="B28" s="7" t="s">
        <v>777</v>
      </c>
      <c r="C28" s="39">
        <f>SUMIFS('Seat Ledger'!$M$5:$M$393,'Seat Ledger'!$A$5:$A$393,1,'Seat Ledger'!$G$5:$G$393,"E5")</f>
        <v>58.64999999999997</v>
      </c>
      <c r="D28" s="39">
        <f>SUMIFS('Seat Ledger'!$M$5:$M$393,'Seat Ledger'!$A$5:$A$393,2,'Seat Ledger'!$G$5:$G$393,"E5")</f>
        <v>56.099999999999973</v>
      </c>
      <c r="E28" s="39">
        <f>SUMIFS('Seat Ledger'!$M$5:$M$393,'Seat Ledger'!$A$5:$A$393,3,'Seat Ledger'!$G$5:$G$393,"E5")</f>
        <v>56.099999999999973</v>
      </c>
    </row>
    <row r="30" spans="1:7" ht="19.149999999999999" customHeight="1" x14ac:dyDescent="0.35">
      <c r="A30" s="51" t="s">
        <v>778</v>
      </c>
      <c r="B30" s="49"/>
      <c r="C30" s="49"/>
      <c r="D30" s="49"/>
      <c r="E30" s="49"/>
      <c r="F30" s="49"/>
      <c r="G30" s="49"/>
    </row>
    <row r="31" spans="1:7" ht="26.15" customHeight="1" x14ac:dyDescent="0.35">
      <c r="B31" s="55" t="s">
        <v>779</v>
      </c>
      <c r="C31" s="49"/>
      <c r="D31" s="49"/>
      <c r="E31" s="49"/>
      <c r="F31" s="49"/>
      <c r="G31" s="49"/>
    </row>
    <row r="32" spans="1:7" ht="26.15" customHeight="1" x14ac:dyDescent="0.35">
      <c r="B32" s="55" t="s">
        <v>780</v>
      </c>
      <c r="C32" s="49"/>
      <c r="D32" s="49"/>
      <c r="E32" s="49"/>
      <c r="F32" s="49"/>
      <c r="G32" s="49"/>
    </row>
    <row r="33" spans="2:7" ht="26.15" customHeight="1" x14ac:dyDescent="0.35">
      <c r="B33" s="55" t="s">
        <v>781</v>
      </c>
      <c r="C33" s="49"/>
      <c r="D33" s="49"/>
      <c r="E33" s="49"/>
      <c r="F33" s="49"/>
      <c r="G33" s="49"/>
    </row>
    <row r="34" spans="2:7" ht="26.15" customHeight="1" x14ac:dyDescent="0.35">
      <c r="B34" s="55" t="s">
        <v>782</v>
      </c>
      <c r="C34" s="49"/>
      <c r="D34" s="49"/>
      <c r="E34" s="49"/>
      <c r="F34" s="49"/>
      <c r="G34" s="49"/>
    </row>
  </sheetData>
  <mergeCells count="10">
    <mergeCell ref="A1:I1"/>
    <mergeCell ref="B32:G32"/>
    <mergeCell ref="A30:G30"/>
    <mergeCell ref="B33:G33"/>
    <mergeCell ref="B34:G34"/>
    <mergeCell ref="A2:I2"/>
    <mergeCell ref="A18:G18"/>
    <mergeCell ref="B31:G31"/>
    <mergeCell ref="A12:G12"/>
    <mergeCell ref="A4:G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393"/>
  <sheetViews>
    <sheetView workbookViewId="0">
      <pane ySplit="4" topLeftCell="A287" activePane="bottomLeft" state="frozen"/>
      <selection pane="bottomLeft" activeCell="H9" sqref="H9"/>
    </sheetView>
  </sheetViews>
  <sheetFormatPr defaultRowHeight="14.5" x14ac:dyDescent="0.35"/>
  <cols>
    <col min="1" max="1" width="6" customWidth="1"/>
    <col min="2" max="2" width="8" customWidth="1"/>
    <col min="3" max="3" width="9" customWidth="1"/>
    <col min="4" max="4" width="10" customWidth="1"/>
    <col min="5" max="5" width="44" customWidth="1"/>
    <col min="6" max="6" width="9" customWidth="1"/>
    <col min="7" max="7" width="7" customWidth="1"/>
    <col min="8" max="8" width="10" customWidth="1"/>
    <col min="9" max="9" width="11" customWidth="1"/>
    <col min="10" max="10" width="9" customWidth="1"/>
    <col min="11" max="11" width="8" customWidth="1"/>
    <col min="12" max="12" width="9" customWidth="1"/>
    <col min="13" max="13" width="11" customWidth="1"/>
  </cols>
  <sheetData>
    <row r="1" spans="1:14" ht="26.15" customHeight="1" x14ac:dyDescent="0.35">
      <c r="A1" s="48" t="s">
        <v>783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</row>
    <row r="2" spans="1:14" x14ac:dyDescent="0.35">
      <c r="A2" s="50" t="s">
        <v>784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</row>
    <row r="4" spans="1:14" ht="28.15" customHeight="1" x14ac:dyDescent="0.35">
      <c r="A4" s="11" t="s">
        <v>562</v>
      </c>
      <c r="B4" s="11" t="s">
        <v>785</v>
      </c>
      <c r="C4" s="11" t="s">
        <v>700</v>
      </c>
      <c r="D4" s="11" t="s">
        <v>563</v>
      </c>
      <c r="E4" s="11" t="s">
        <v>565</v>
      </c>
      <c r="F4" s="11" t="s">
        <v>566</v>
      </c>
      <c r="G4" s="11" t="s">
        <v>567</v>
      </c>
      <c r="H4" s="11" t="s">
        <v>118</v>
      </c>
      <c r="I4" s="11" t="s">
        <v>568</v>
      </c>
      <c r="J4" s="11" t="s">
        <v>786</v>
      </c>
      <c r="K4" s="11" t="s">
        <v>611</v>
      </c>
      <c r="L4" s="11" t="s">
        <v>787</v>
      </c>
      <c r="M4" s="11" t="s">
        <v>40</v>
      </c>
    </row>
    <row r="5" spans="1:14" x14ac:dyDescent="0.35">
      <c r="A5" s="25">
        <v>1</v>
      </c>
      <c r="B5" s="24" t="s">
        <v>788</v>
      </c>
      <c r="C5" s="24" t="s">
        <v>182</v>
      </c>
      <c r="D5" s="24" t="s">
        <v>570</v>
      </c>
      <c r="E5" s="46" t="str">
        <f>'Pod Library'!E5</f>
        <v>Product Owner</v>
      </c>
      <c r="F5" s="47" t="str">
        <f>'Pod Library'!F5</f>
        <v>LEAD</v>
      </c>
      <c r="G5" s="47" t="str">
        <f>'Pod Library'!G5</f>
        <v>E4</v>
      </c>
      <c r="H5" s="47" t="str">
        <f>'Pod Library'!H5</f>
        <v>ON</v>
      </c>
      <c r="I5" s="47" t="str">
        <f>'Pod Library'!I5</f>
        <v>FTE</v>
      </c>
      <c r="J5" s="13">
        <f>'Pod Library'!J5</f>
        <v>1</v>
      </c>
      <c r="K5" s="13">
        <f>SUMIFS('Pod Plan'!$E:$E,'Pod Plan'!$B:$B,$A5,'Pod Plan'!$C:$C,$C5)</f>
        <v>3</v>
      </c>
      <c r="L5" s="25">
        <f t="shared" ref="L5:L68" si="0">J5*K5</f>
        <v>3</v>
      </c>
      <c r="M5" s="44">
        <f>L5*INDEX('Logic Tree'!$J$73:$N$74,MATCH(H5,'Logic Tree'!$I$73:$I$74,0),MATCH(G5,'Logic Tree'!$J$72:$N$72,0))</f>
        <v>5.5500000000000007</v>
      </c>
    </row>
    <row r="6" spans="1:14" x14ac:dyDescent="0.35">
      <c r="A6" s="25">
        <v>1</v>
      </c>
      <c r="B6" s="24" t="s">
        <v>788</v>
      </c>
      <c r="C6" s="24" t="s">
        <v>182</v>
      </c>
      <c r="D6" s="24" t="s">
        <v>570</v>
      </c>
      <c r="E6" s="46" t="str">
        <f>'Pod Library'!E6</f>
        <v>Contract Domain SME</v>
      </c>
      <c r="F6" s="47" t="str">
        <f>'Pod Library'!F6</f>
        <v>BA</v>
      </c>
      <c r="G6" s="47" t="str">
        <f>'Pod Library'!G6</f>
        <v>E5</v>
      </c>
      <c r="H6" s="47" t="str">
        <f>'Pod Library'!H6</f>
        <v>ON</v>
      </c>
      <c r="I6" s="47" t="str">
        <f>'Pod Library'!I6</f>
        <v>FTE</v>
      </c>
      <c r="J6" s="13">
        <f>'Pod Library'!J6</f>
        <v>1</v>
      </c>
      <c r="K6" s="13">
        <f>SUMIFS('Pod Plan'!$E:$E,'Pod Plan'!$B:$B,$A6,'Pod Plan'!$C:$C,$C6)</f>
        <v>3</v>
      </c>
      <c r="L6" s="25">
        <f t="shared" si="0"/>
        <v>3</v>
      </c>
      <c r="M6" s="44">
        <f>L6*INDEX('Logic Tree'!$J$73:$N$74,MATCH(H6,'Logic Tree'!$I$73:$I$74,0),MATCH(G6,'Logic Tree'!$J$72:$N$72,0))</f>
        <v>7.6499999999999995</v>
      </c>
    </row>
    <row r="7" spans="1:14" x14ac:dyDescent="0.35">
      <c r="A7" s="25">
        <v>1</v>
      </c>
      <c r="B7" s="24" t="s">
        <v>788</v>
      </c>
      <c r="C7" s="24" t="s">
        <v>182</v>
      </c>
      <c r="D7" s="24" t="s">
        <v>570</v>
      </c>
      <c r="E7" s="46" t="str">
        <f>'Pod Library'!E7</f>
        <v>Application Owner (Technical)</v>
      </c>
      <c r="F7" s="47" t="str">
        <f>'Pod Library'!F7</f>
        <v>ENG</v>
      </c>
      <c r="G7" s="47" t="str">
        <f>'Pod Library'!G7</f>
        <v>E4</v>
      </c>
      <c r="H7" s="47" t="str">
        <f>'Pod Library'!H7</f>
        <v>ON</v>
      </c>
      <c r="I7" s="47" t="str">
        <f>'Pod Library'!I7</f>
        <v>FTE</v>
      </c>
      <c r="J7" s="13">
        <f>'Pod Library'!J7</f>
        <v>1</v>
      </c>
      <c r="K7" s="13">
        <f>SUMIFS('Pod Plan'!$E:$E,'Pod Plan'!$B:$B,$A7,'Pod Plan'!$C:$C,$C7)</f>
        <v>3</v>
      </c>
      <c r="L7" s="25">
        <f t="shared" si="0"/>
        <v>3</v>
      </c>
      <c r="M7" s="44">
        <f>L7*INDEX('Logic Tree'!$J$73:$N$74,MATCH(H7,'Logic Tree'!$I$73:$I$74,0),MATCH(G7,'Logic Tree'!$J$72:$N$72,0))</f>
        <v>5.5500000000000007</v>
      </c>
    </row>
    <row r="8" spans="1:14" x14ac:dyDescent="0.35">
      <c r="A8" s="25">
        <v>1</v>
      </c>
      <c r="B8" s="24" t="s">
        <v>788</v>
      </c>
      <c r="C8" s="24" t="s">
        <v>182</v>
      </c>
      <c r="D8" s="24" t="s">
        <v>570</v>
      </c>
      <c r="E8" s="46" t="str">
        <f>'Pod Library'!E8</f>
        <v>Pod Delivery Lead</v>
      </c>
      <c r="F8" s="47" t="str">
        <f>'Pod Library'!F8</f>
        <v>LEAD</v>
      </c>
      <c r="G8" s="47" t="str">
        <f>'Pod Library'!G8</f>
        <v>E4</v>
      </c>
      <c r="H8" s="47" t="str">
        <f>'Pod Library'!H8</f>
        <v>ON</v>
      </c>
      <c r="I8" s="47" t="str">
        <f>'Pod Library'!I8</f>
        <v>FTC</v>
      </c>
      <c r="J8" s="13">
        <f>'Pod Library'!J8</f>
        <v>1</v>
      </c>
      <c r="K8" s="13">
        <f>SUMIFS('Pod Plan'!$E:$E,'Pod Plan'!$B:$B,$A8,'Pod Plan'!$C:$C,$C8)</f>
        <v>3</v>
      </c>
      <c r="L8" s="25">
        <f t="shared" si="0"/>
        <v>3</v>
      </c>
      <c r="M8" s="44">
        <f>L8*INDEX('Logic Tree'!$J$73:$N$74,MATCH(H8,'Logic Tree'!$I$73:$I$74,0),MATCH(G8,'Logic Tree'!$J$72:$N$72,0))</f>
        <v>5.5500000000000007</v>
      </c>
    </row>
    <row r="9" spans="1:14" x14ac:dyDescent="0.35">
      <c r="A9" s="25">
        <v>1</v>
      </c>
      <c r="B9" s="24" t="s">
        <v>788</v>
      </c>
      <c r="C9" s="24" t="s">
        <v>182</v>
      </c>
      <c r="D9" s="24" t="s">
        <v>570</v>
      </c>
      <c r="E9" s="46" t="str">
        <f>'Pod Library'!E9</f>
        <v>Solution Architect - Mainframe</v>
      </c>
      <c r="F9" s="47" t="str">
        <f>'Pod Library'!F9</f>
        <v>ENG</v>
      </c>
      <c r="G9" s="47" t="str">
        <f>'Pod Library'!G9</f>
        <v>E5</v>
      </c>
      <c r="H9" s="47" t="str">
        <f>'Pod Library'!H9</f>
        <v>ON</v>
      </c>
      <c r="I9" s="47" t="str">
        <f>'Pod Library'!I9</f>
        <v>FTC</v>
      </c>
      <c r="J9" s="13">
        <f>'Pod Library'!J9</f>
        <v>1</v>
      </c>
      <c r="K9" s="13">
        <f>SUMIFS('Pod Plan'!$E:$E,'Pod Plan'!$B:$B,$A9,'Pod Plan'!$C:$C,$C9)</f>
        <v>3</v>
      </c>
      <c r="L9" s="25">
        <f t="shared" si="0"/>
        <v>3</v>
      </c>
      <c r="M9" s="44">
        <f>L9*INDEX('Logic Tree'!$J$73:$N$74,MATCH(H9,'Logic Tree'!$I$73:$I$74,0),MATCH(G9,'Logic Tree'!$J$72:$N$72,0))</f>
        <v>7.6499999999999995</v>
      </c>
    </row>
    <row r="10" spans="1:14" x14ac:dyDescent="0.35">
      <c r="A10" s="25">
        <v>1</v>
      </c>
      <c r="B10" s="24" t="s">
        <v>788</v>
      </c>
      <c r="C10" s="24" t="s">
        <v>182</v>
      </c>
      <c r="D10" s="24" t="s">
        <v>570</v>
      </c>
      <c r="E10" s="46" t="str">
        <f>'Pod Library'!E10</f>
        <v>Business Analyst (bilingual)</v>
      </c>
      <c r="F10" s="47" t="str">
        <f>'Pod Library'!F10</f>
        <v>BA</v>
      </c>
      <c r="G10" s="47" t="str">
        <f>'Pod Library'!G10</f>
        <v>E3</v>
      </c>
      <c r="H10" s="47" t="str">
        <f>'Pod Library'!H10</f>
        <v>ON</v>
      </c>
      <c r="I10" s="47" t="str">
        <f>'Pod Library'!I10</f>
        <v>FTC</v>
      </c>
      <c r="J10" s="13">
        <f>'Pod Library'!J10</f>
        <v>1</v>
      </c>
      <c r="K10" s="13">
        <f>SUMIFS('Pod Plan'!$E:$E,'Pod Plan'!$B:$B,$A10,'Pod Plan'!$C:$C,$C10)</f>
        <v>3</v>
      </c>
      <c r="L10" s="25">
        <f t="shared" si="0"/>
        <v>3</v>
      </c>
      <c r="M10" s="44">
        <f>L10*INDEX('Logic Tree'!$J$73:$N$74,MATCH(H10,'Logic Tree'!$I$73:$I$74,0),MATCH(G10,'Logic Tree'!$J$72:$N$72,0))</f>
        <v>4.0500000000000007</v>
      </c>
    </row>
    <row r="11" spans="1:14" x14ac:dyDescent="0.35">
      <c r="A11" s="25">
        <v>1</v>
      </c>
      <c r="B11" s="24" t="s">
        <v>788</v>
      </c>
      <c r="C11" s="24" t="s">
        <v>182</v>
      </c>
      <c r="D11" s="24" t="s">
        <v>570</v>
      </c>
      <c r="E11" s="46" t="str">
        <f>'Pod Library'!E11</f>
        <v>Senior Developer COBOL/Assembler</v>
      </c>
      <c r="F11" s="47" t="str">
        <f>'Pod Library'!F11</f>
        <v>DEV</v>
      </c>
      <c r="G11" s="47" t="str">
        <f>'Pod Library'!G11</f>
        <v>E4</v>
      </c>
      <c r="H11" s="47" t="str">
        <f>'Pod Library'!H11</f>
        <v>ON</v>
      </c>
      <c r="I11" s="47" t="str">
        <f>'Pod Library'!I11</f>
        <v>FTC</v>
      </c>
      <c r="J11" s="13">
        <f>'Pod Library'!J11</f>
        <v>1</v>
      </c>
      <c r="K11" s="13">
        <f>SUMIFS('Pod Plan'!$E:$E,'Pod Plan'!$B:$B,$A11,'Pod Plan'!$C:$C,$C11)</f>
        <v>3</v>
      </c>
      <c r="L11" s="25">
        <f t="shared" si="0"/>
        <v>3</v>
      </c>
      <c r="M11" s="44">
        <f>L11*INDEX('Logic Tree'!$J$73:$N$74,MATCH(H11,'Logic Tree'!$I$73:$I$74,0),MATCH(G11,'Logic Tree'!$J$72:$N$72,0))</f>
        <v>5.5500000000000007</v>
      </c>
    </row>
    <row r="12" spans="1:14" x14ac:dyDescent="0.35">
      <c r="A12" s="25">
        <v>1</v>
      </c>
      <c r="B12" s="24" t="s">
        <v>788</v>
      </c>
      <c r="C12" s="24" t="s">
        <v>182</v>
      </c>
      <c r="D12" s="24" t="s">
        <v>570</v>
      </c>
      <c r="E12" s="46" t="str">
        <f>'Pod Library'!E12</f>
        <v>Developer COBOL/JCL</v>
      </c>
      <c r="F12" s="47" t="str">
        <f>'Pod Library'!F12</f>
        <v>DEV</v>
      </c>
      <c r="G12" s="47" t="str">
        <f>'Pod Library'!G12</f>
        <v>E2</v>
      </c>
      <c r="H12" s="47" t="str">
        <f>'Pod Library'!H12</f>
        <v>ON</v>
      </c>
      <c r="I12" s="47" t="str">
        <f>'Pod Library'!I12</f>
        <v>FTC</v>
      </c>
      <c r="J12" s="13">
        <f>'Pod Library'!J12</f>
        <v>1</v>
      </c>
      <c r="K12" s="13">
        <f>SUMIFS('Pod Plan'!$E:$E,'Pod Plan'!$B:$B,$A12,'Pod Plan'!$C:$C,$C12)</f>
        <v>3</v>
      </c>
      <c r="L12" s="25">
        <f t="shared" si="0"/>
        <v>3</v>
      </c>
      <c r="M12" s="44">
        <f>L12*INDEX('Logic Tree'!$J$73:$N$74,MATCH(H12,'Logic Tree'!$I$73:$I$74,0),MATCH(G12,'Logic Tree'!$J$72:$N$72,0))</f>
        <v>3</v>
      </c>
    </row>
    <row r="13" spans="1:14" x14ac:dyDescent="0.35">
      <c r="A13" s="25">
        <v>1</v>
      </c>
      <c r="B13" s="24" t="s">
        <v>788</v>
      </c>
      <c r="C13" s="24" t="s">
        <v>182</v>
      </c>
      <c r="D13" s="24" t="s">
        <v>570</v>
      </c>
      <c r="E13" s="46" t="str">
        <f>'Pod Library'!E13</f>
        <v>Developer COBOL/JCL</v>
      </c>
      <c r="F13" s="47" t="str">
        <f>'Pod Library'!F13</f>
        <v>DEV</v>
      </c>
      <c r="G13" s="47" t="str">
        <f>'Pod Library'!G13</f>
        <v>E2</v>
      </c>
      <c r="H13" s="47" t="str">
        <f>'Pod Library'!H13</f>
        <v>OFF</v>
      </c>
      <c r="I13" s="47" t="str">
        <f>'Pod Library'!I13</f>
        <v>FTC</v>
      </c>
      <c r="J13" s="13">
        <f>'Pod Library'!J13</f>
        <v>1</v>
      </c>
      <c r="K13" s="13">
        <f>SUMIFS('Pod Plan'!$E:$E,'Pod Plan'!$B:$B,$A13,'Pod Plan'!$C:$C,$C13)</f>
        <v>3</v>
      </c>
      <c r="L13" s="25">
        <f t="shared" si="0"/>
        <v>3</v>
      </c>
      <c r="M13" s="44">
        <f>L13*INDEX('Logic Tree'!$J$73:$N$74,MATCH(H13,'Logic Tree'!$I$73:$I$74,0),MATCH(G13,'Logic Tree'!$J$72:$N$72,0))</f>
        <v>0.89999999999999991</v>
      </c>
    </row>
    <row r="14" spans="1:14" x14ac:dyDescent="0.35">
      <c r="A14" s="25">
        <v>1</v>
      </c>
      <c r="B14" s="24" t="s">
        <v>788</v>
      </c>
      <c r="C14" s="24" t="s">
        <v>182</v>
      </c>
      <c r="D14" s="24" t="s">
        <v>570</v>
      </c>
      <c r="E14" s="46" t="str">
        <f>'Pod Library'!E14</f>
        <v>Test Engineer</v>
      </c>
      <c r="F14" s="47" t="str">
        <f>'Pod Library'!F14</f>
        <v>TEST</v>
      </c>
      <c r="G14" s="47" t="str">
        <f>'Pod Library'!G14</f>
        <v>E2</v>
      </c>
      <c r="H14" s="47" t="str">
        <f>'Pod Library'!H14</f>
        <v>OFF</v>
      </c>
      <c r="I14" s="47" t="str">
        <f>'Pod Library'!I14</f>
        <v>FTC</v>
      </c>
      <c r="J14" s="13">
        <f>'Pod Library'!J14</f>
        <v>1</v>
      </c>
      <c r="K14" s="13">
        <f>SUMIFS('Pod Plan'!$E:$E,'Pod Plan'!$B:$B,$A14,'Pod Plan'!$C:$C,$C14)</f>
        <v>3</v>
      </c>
      <c r="L14" s="25">
        <f t="shared" si="0"/>
        <v>3</v>
      </c>
      <c r="M14" s="44">
        <f>L14*INDEX('Logic Tree'!$J$73:$N$74,MATCH(H14,'Logic Tree'!$I$73:$I$74,0),MATCH(G14,'Logic Tree'!$J$72:$N$72,0))</f>
        <v>0.89999999999999991</v>
      </c>
    </row>
    <row r="15" spans="1:14" x14ac:dyDescent="0.35">
      <c r="A15" s="25">
        <v>1</v>
      </c>
      <c r="B15" s="24" t="s">
        <v>788</v>
      </c>
      <c r="C15" s="24" t="s">
        <v>182</v>
      </c>
      <c r="D15" s="24" t="s">
        <v>587</v>
      </c>
      <c r="E15" s="46" t="str">
        <f>'Pod Library'!E17</f>
        <v>Pod Lead (output owner)</v>
      </c>
      <c r="F15" s="47" t="str">
        <f>'Pod Library'!F17</f>
        <v>LEAD</v>
      </c>
      <c r="G15" s="47" t="str">
        <f>'Pod Library'!G17</f>
        <v>E4</v>
      </c>
      <c r="H15" s="47" t="str">
        <f>'Pod Library'!H17</f>
        <v>ON</v>
      </c>
      <c r="I15" s="47" t="str">
        <f>'Pod Library'!I17</f>
        <v>FTC</v>
      </c>
      <c r="J15" s="13">
        <f>'Pod Library'!J17</f>
        <v>1</v>
      </c>
      <c r="K15" s="13">
        <f>SUMIFS('Pod Plan'!$F:$F,'Pod Plan'!$B:$B,$A15,'Pod Plan'!$C:$C,$C15)</f>
        <v>3</v>
      </c>
      <c r="L15" s="25">
        <f t="shared" si="0"/>
        <v>3</v>
      </c>
      <c r="M15" s="44">
        <f>L15*INDEX('Logic Tree'!$J$73:$N$74,MATCH(H15,'Logic Tree'!$I$73:$I$74,0),MATCH(G15,'Logic Tree'!$J$72:$N$72,0))</f>
        <v>5.5500000000000007</v>
      </c>
    </row>
    <row r="16" spans="1:14" x14ac:dyDescent="0.35">
      <c r="A16" s="25">
        <v>1</v>
      </c>
      <c r="B16" s="24" t="s">
        <v>788</v>
      </c>
      <c r="C16" s="24" t="s">
        <v>182</v>
      </c>
      <c r="D16" s="24" t="s">
        <v>587</v>
      </c>
      <c r="E16" s="46" t="str">
        <f>'Pod Library'!E18</f>
        <v>Solution Architect</v>
      </c>
      <c r="F16" s="47" t="str">
        <f>'Pod Library'!F18</f>
        <v>ENG</v>
      </c>
      <c r="G16" s="47" t="str">
        <f>'Pod Library'!G18</f>
        <v>E4</v>
      </c>
      <c r="H16" s="47" t="str">
        <f>'Pod Library'!H18</f>
        <v>ON</v>
      </c>
      <c r="I16" s="47" t="str">
        <f>'Pod Library'!I18</f>
        <v>FTC</v>
      </c>
      <c r="J16" s="13">
        <f>'Pod Library'!J18</f>
        <v>1</v>
      </c>
      <c r="K16" s="13">
        <f>SUMIFS('Pod Plan'!$F:$F,'Pod Plan'!$B:$B,$A16,'Pod Plan'!$C:$C,$C16)</f>
        <v>3</v>
      </c>
      <c r="L16" s="25">
        <f t="shared" si="0"/>
        <v>3</v>
      </c>
      <c r="M16" s="44">
        <f>L16*INDEX('Logic Tree'!$J$73:$N$74,MATCH(H16,'Logic Tree'!$I$73:$I$74,0),MATCH(G16,'Logic Tree'!$J$72:$N$72,0))</f>
        <v>5.5500000000000007</v>
      </c>
    </row>
    <row r="17" spans="1:13" x14ac:dyDescent="0.35">
      <c r="A17" s="25">
        <v>1</v>
      </c>
      <c r="B17" s="24" t="s">
        <v>788</v>
      </c>
      <c r="C17" s="24" t="s">
        <v>182</v>
      </c>
      <c r="D17" s="24" t="s">
        <v>587</v>
      </c>
      <c r="E17" s="46" t="str">
        <f>'Pod Library'!E19</f>
        <v>Business Analyst (bilingual)</v>
      </c>
      <c r="F17" s="47" t="str">
        <f>'Pod Library'!F19</f>
        <v>BA</v>
      </c>
      <c r="G17" s="47" t="str">
        <f>'Pod Library'!G19</f>
        <v>E3</v>
      </c>
      <c r="H17" s="47" t="str">
        <f>'Pod Library'!H19</f>
        <v>ON</v>
      </c>
      <c r="I17" s="47" t="str">
        <f>'Pod Library'!I19</f>
        <v>FTC</v>
      </c>
      <c r="J17" s="13">
        <f>'Pod Library'!J19</f>
        <v>1</v>
      </c>
      <c r="K17" s="13">
        <f>SUMIFS('Pod Plan'!$F:$F,'Pod Plan'!$B:$B,$A17,'Pod Plan'!$C:$C,$C17)</f>
        <v>3</v>
      </c>
      <c r="L17" s="25">
        <f t="shared" si="0"/>
        <v>3</v>
      </c>
      <c r="M17" s="44">
        <f>L17*INDEX('Logic Tree'!$J$73:$N$74,MATCH(H17,'Logic Tree'!$I$73:$I$74,0),MATCH(G17,'Logic Tree'!$J$72:$N$72,0))</f>
        <v>4.0500000000000007</v>
      </c>
    </row>
    <row r="18" spans="1:13" x14ac:dyDescent="0.35">
      <c r="A18" s="25">
        <v>1</v>
      </c>
      <c r="B18" s="24" t="s">
        <v>788</v>
      </c>
      <c r="C18" s="24" t="s">
        <v>182</v>
      </c>
      <c r="D18" s="24" t="s">
        <v>587</v>
      </c>
      <c r="E18" s="46" t="str">
        <f>'Pod Library'!E20</f>
        <v>Senior Developer</v>
      </c>
      <c r="F18" s="47" t="str">
        <f>'Pod Library'!F20</f>
        <v>DEV</v>
      </c>
      <c r="G18" s="47" t="str">
        <f>'Pod Library'!G20</f>
        <v>E3</v>
      </c>
      <c r="H18" s="47" t="str">
        <f>'Pod Library'!H20</f>
        <v>ON</v>
      </c>
      <c r="I18" s="47" t="str">
        <f>'Pod Library'!I20</f>
        <v>FTC</v>
      </c>
      <c r="J18" s="13">
        <f>'Pod Library'!J20</f>
        <v>1</v>
      </c>
      <c r="K18" s="13">
        <f>SUMIFS('Pod Plan'!$F:$F,'Pod Plan'!$B:$B,$A18,'Pod Plan'!$C:$C,$C18)</f>
        <v>3</v>
      </c>
      <c r="L18" s="25">
        <f t="shared" si="0"/>
        <v>3</v>
      </c>
      <c r="M18" s="44">
        <f>L18*INDEX('Logic Tree'!$J$73:$N$74,MATCH(H18,'Logic Tree'!$I$73:$I$74,0),MATCH(G18,'Logic Tree'!$J$72:$N$72,0))</f>
        <v>4.0500000000000007</v>
      </c>
    </row>
    <row r="19" spans="1:13" x14ac:dyDescent="0.35">
      <c r="A19" s="25">
        <v>1</v>
      </c>
      <c r="B19" s="24" t="s">
        <v>788</v>
      </c>
      <c r="C19" s="24" t="s">
        <v>182</v>
      </c>
      <c r="D19" s="24" t="s">
        <v>587</v>
      </c>
      <c r="E19" s="46" t="str">
        <f>'Pod Library'!E21</f>
        <v>Developer</v>
      </c>
      <c r="F19" s="47" t="str">
        <f>'Pod Library'!F21</f>
        <v>DEV</v>
      </c>
      <c r="G19" s="47" t="str">
        <f>'Pod Library'!G21</f>
        <v>E2</v>
      </c>
      <c r="H19" s="47" t="str">
        <f>'Pod Library'!H21</f>
        <v>ON</v>
      </c>
      <c r="I19" s="47" t="str">
        <f>'Pod Library'!I21</f>
        <v>FTC</v>
      </c>
      <c r="J19" s="13">
        <f>'Pod Library'!J21</f>
        <v>1</v>
      </c>
      <c r="K19" s="13">
        <f>SUMIFS('Pod Plan'!$F:$F,'Pod Plan'!$B:$B,$A19,'Pod Plan'!$C:$C,$C19)</f>
        <v>3</v>
      </c>
      <c r="L19" s="25">
        <f t="shared" si="0"/>
        <v>3</v>
      </c>
      <c r="M19" s="44">
        <f>L19*INDEX('Logic Tree'!$J$73:$N$74,MATCH(H19,'Logic Tree'!$I$73:$I$74,0),MATCH(G19,'Logic Tree'!$J$72:$N$72,0))</f>
        <v>3</v>
      </c>
    </row>
    <row r="20" spans="1:13" x14ac:dyDescent="0.35">
      <c r="A20" s="25">
        <v>1</v>
      </c>
      <c r="B20" s="24" t="s">
        <v>788</v>
      </c>
      <c r="C20" s="24" t="s">
        <v>182</v>
      </c>
      <c r="D20" s="24" t="s">
        <v>587</v>
      </c>
      <c r="E20" s="46" t="str">
        <f>'Pod Library'!E22</f>
        <v>Developer</v>
      </c>
      <c r="F20" s="47" t="str">
        <f>'Pod Library'!F22</f>
        <v>DEV</v>
      </c>
      <c r="G20" s="47" t="str">
        <f>'Pod Library'!G22</f>
        <v>E2</v>
      </c>
      <c r="H20" s="47" t="str">
        <f>'Pod Library'!H22</f>
        <v>OFF</v>
      </c>
      <c r="I20" s="47" t="str">
        <f>'Pod Library'!I22</f>
        <v>FTC</v>
      </c>
      <c r="J20" s="13">
        <f>'Pod Library'!J22</f>
        <v>1</v>
      </c>
      <c r="K20" s="13">
        <f>SUMIFS('Pod Plan'!$F:$F,'Pod Plan'!$B:$B,$A20,'Pod Plan'!$C:$C,$C20)</f>
        <v>3</v>
      </c>
      <c r="L20" s="25">
        <f t="shared" si="0"/>
        <v>3</v>
      </c>
      <c r="M20" s="44">
        <f>L20*INDEX('Logic Tree'!$J$73:$N$74,MATCH(H20,'Logic Tree'!$I$73:$I$74,0),MATCH(G20,'Logic Tree'!$J$72:$N$72,0))</f>
        <v>0.89999999999999991</v>
      </c>
    </row>
    <row r="21" spans="1:13" x14ac:dyDescent="0.35">
      <c r="A21" s="25">
        <v>1</v>
      </c>
      <c r="B21" s="24" t="s">
        <v>788</v>
      </c>
      <c r="C21" s="24" t="s">
        <v>182</v>
      </c>
      <c r="D21" s="24" t="s">
        <v>587</v>
      </c>
      <c r="E21" s="46" t="str">
        <f>'Pod Library'!E23</f>
        <v>Developer</v>
      </c>
      <c r="F21" s="47" t="str">
        <f>'Pod Library'!F23</f>
        <v>DEV</v>
      </c>
      <c r="G21" s="47" t="str">
        <f>'Pod Library'!G23</f>
        <v>E1</v>
      </c>
      <c r="H21" s="47" t="str">
        <f>'Pod Library'!H23</f>
        <v>OFF</v>
      </c>
      <c r="I21" s="47" t="str">
        <f>'Pod Library'!I23</f>
        <v>FTC</v>
      </c>
      <c r="J21" s="13">
        <f>'Pod Library'!J23</f>
        <v>1</v>
      </c>
      <c r="K21" s="13">
        <f>SUMIFS('Pod Plan'!$F:$F,'Pod Plan'!$B:$B,$A21,'Pod Plan'!$C:$C,$C21)</f>
        <v>3</v>
      </c>
      <c r="L21" s="25">
        <f t="shared" si="0"/>
        <v>3</v>
      </c>
      <c r="M21" s="44">
        <f>L21*INDEX('Logic Tree'!$J$73:$N$74,MATCH(H21,'Logic Tree'!$I$73:$I$74,0),MATCH(G21,'Logic Tree'!$J$72:$N$72,0))</f>
        <v>0.66</v>
      </c>
    </row>
    <row r="22" spans="1:13" x14ac:dyDescent="0.35">
      <c r="A22" s="25">
        <v>1</v>
      </c>
      <c r="B22" s="24" t="s">
        <v>788</v>
      </c>
      <c r="C22" s="24" t="s">
        <v>182</v>
      </c>
      <c r="D22" s="24" t="s">
        <v>587</v>
      </c>
      <c r="E22" s="46" t="str">
        <f>'Pod Library'!E24</f>
        <v>Test Lead</v>
      </c>
      <c r="F22" s="47" t="str">
        <f>'Pod Library'!F24</f>
        <v>TEST</v>
      </c>
      <c r="G22" s="47" t="str">
        <f>'Pod Library'!G24</f>
        <v>E3</v>
      </c>
      <c r="H22" s="47" t="str">
        <f>'Pod Library'!H24</f>
        <v>ON</v>
      </c>
      <c r="I22" s="47" t="str">
        <f>'Pod Library'!I24</f>
        <v>FTC</v>
      </c>
      <c r="J22" s="13">
        <f>'Pod Library'!J24</f>
        <v>1</v>
      </c>
      <c r="K22" s="13">
        <f>SUMIFS('Pod Plan'!$F:$F,'Pod Plan'!$B:$B,$A22,'Pod Plan'!$C:$C,$C22)</f>
        <v>3</v>
      </c>
      <c r="L22" s="25">
        <f t="shared" si="0"/>
        <v>3</v>
      </c>
      <c r="M22" s="44">
        <f>L22*INDEX('Logic Tree'!$J$73:$N$74,MATCH(H22,'Logic Tree'!$I$73:$I$74,0),MATCH(G22,'Logic Tree'!$J$72:$N$72,0))</f>
        <v>4.0500000000000007</v>
      </c>
    </row>
    <row r="23" spans="1:13" x14ac:dyDescent="0.35">
      <c r="A23" s="25">
        <v>1</v>
      </c>
      <c r="B23" s="24" t="s">
        <v>788</v>
      </c>
      <c r="C23" s="24" t="s">
        <v>182</v>
      </c>
      <c r="D23" s="24" t="s">
        <v>587</v>
      </c>
      <c r="E23" s="46" t="str">
        <f>'Pod Library'!E25</f>
        <v>Test Engineer</v>
      </c>
      <c r="F23" s="47" t="str">
        <f>'Pod Library'!F25</f>
        <v>TEST</v>
      </c>
      <c r="G23" s="47" t="str">
        <f>'Pod Library'!G25</f>
        <v>E2</v>
      </c>
      <c r="H23" s="47" t="str">
        <f>'Pod Library'!H25</f>
        <v>OFF</v>
      </c>
      <c r="I23" s="47" t="str">
        <f>'Pod Library'!I25</f>
        <v>FTC</v>
      </c>
      <c r="J23" s="13">
        <f>'Pod Library'!J25</f>
        <v>1</v>
      </c>
      <c r="K23" s="13">
        <f>SUMIFS('Pod Plan'!$F:$F,'Pod Plan'!$B:$B,$A23,'Pod Plan'!$C:$C,$C23)</f>
        <v>3</v>
      </c>
      <c r="L23" s="25">
        <f t="shared" si="0"/>
        <v>3</v>
      </c>
      <c r="M23" s="44">
        <f>L23*INDEX('Logic Tree'!$J$73:$N$74,MATCH(H23,'Logic Tree'!$I$73:$I$74,0),MATCH(G23,'Logic Tree'!$J$72:$N$72,0))</f>
        <v>0.89999999999999991</v>
      </c>
    </row>
    <row r="24" spans="1:13" x14ac:dyDescent="0.35">
      <c r="A24" s="25">
        <v>1</v>
      </c>
      <c r="B24" s="24" t="s">
        <v>788</v>
      </c>
      <c r="C24" s="24" t="s">
        <v>182</v>
      </c>
      <c r="D24" s="24" t="s">
        <v>587</v>
      </c>
      <c r="E24" s="46" t="str">
        <f>'Pod Library'!E26</f>
        <v>Test Engineer</v>
      </c>
      <c r="F24" s="47" t="str">
        <f>'Pod Library'!F26</f>
        <v>TEST</v>
      </c>
      <c r="G24" s="47" t="str">
        <f>'Pod Library'!G26</f>
        <v>E1</v>
      </c>
      <c r="H24" s="47" t="str">
        <f>'Pod Library'!H26</f>
        <v>OFF</v>
      </c>
      <c r="I24" s="47" t="str">
        <f>'Pod Library'!I26</f>
        <v>FTC</v>
      </c>
      <c r="J24" s="13">
        <f>'Pod Library'!J26</f>
        <v>1</v>
      </c>
      <c r="K24" s="13">
        <f>SUMIFS('Pod Plan'!$F:$F,'Pod Plan'!$B:$B,$A24,'Pod Plan'!$C:$C,$C24)</f>
        <v>3</v>
      </c>
      <c r="L24" s="25">
        <f t="shared" si="0"/>
        <v>3</v>
      </c>
      <c r="M24" s="44">
        <f>L24*INDEX('Logic Tree'!$J$73:$N$74,MATCH(H24,'Logic Tree'!$I$73:$I$74,0),MATCH(G24,'Logic Tree'!$J$72:$N$72,0))</f>
        <v>0.66</v>
      </c>
    </row>
    <row r="25" spans="1:13" x14ac:dyDescent="0.35">
      <c r="A25" s="25">
        <v>1</v>
      </c>
      <c r="B25" s="24" t="s">
        <v>788</v>
      </c>
      <c r="C25" s="24" t="s">
        <v>186</v>
      </c>
      <c r="D25" s="24" t="s">
        <v>570</v>
      </c>
      <c r="E25" s="46" t="str">
        <f>'Pod Library'!E5</f>
        <v>Product Owner</v>
      </c>
      <c r="F25" s="47" t="str">
        <f>'Pod Library'!F5</f>
        <v>LEAD</v>
      </c>
      <c r="G25" s="47" t="str">
        <f>'Pod Library'!G5</f>
        <v>E4</v>
      </c>
      <c r="H25" s="47" t="str">
        <f>'Pod Library'!H5</f>
        <v>ON</v>
      </c>
      <c r="I25" s="47" t="str">
        <f>'Pod Library'!I5</f>
        <v>FTE</v>
      </c>
      <c r="J25" s="13">
        <f>'Pod Library'!J5</f>
        <v>1</v>
      </c>
      <c r="K25" s="13">
        <f>SUMIFS('Pod Plan'!$E:$E,'Pod Plan'!$B:$B,$A25,'Pod Plan'!$C:$C,$C25)</f>
        <v>2</v>
      </c>
      <c r="L25" s="25">
        <f t="shared" si="0"/>
        <v>2</v>
      </c>
      <c r="M25" s="44">
        <f>L25*INDEX('Logic Tree'!$J$73:$N$74,MATCH(H25,'Logic Tree'!$I$73:$I$74,0),MATCH(G25,'Logic Tree'!$J$72:$N$72,0))</f>
        <v>3.7</v>
      </c>
    </row>
    <row r="26" spans="1:13" x14ac:dyDescent="0.35">
      <c r="A26" s="25">
        <v>1</v>
      </c>
      <c r="B26" s="24" t="s">
        <v>788</v>
      </c>
      <c r="C26" s="24" t="s">
        <v>186</v>
      </c>
      <c r="D26" s="24" t="s">
        <v>570</v>
      </c>
      <c r="E26" s="46" t="str">
        <f>'Pod Library'!E6</f>
        <v>Contract Domain SME</v>
      </c>
      <c r="F26" s="47" t="str">
        <f>'Pod Library'!F6</f>
        <v>BA</v>
      </c>
      <c r="G26" s="47" t="str">
        <f>'Pod Library'!G6</f>
        <v>E5</v>
      </c>
      <c r="H26" s="47" t="str">
        <f>'Pod Library'!H6</f>
        <v>ON</v>
      </c>
      <c r="I26" s="47" t="str">
        <f>'Pod Library'!I6</f>
        <v>FTE</v>
      </c>
      <c r="J26" s="13">
        <f>'Pod Library'!J6</f>
        <v>1</v>
      </c>
      <c r="K26" s="13">
        <f>SUMIFS('Pod Plan'!$E:$E,'Pod Plan'!$B:$B,$A26,'Pod Plan'!$C:$C,$C26)</f>
        <v>2</v>
      </c>
      <c r="L26" s="25">
        <f t="shared" si="0"/>
        <v>2</v>
      </c>
      <c r="M26" s="44">
        <f>L26*INDEX('Logic Tree'!$J$73:$N$74,MATCH(H26,'Logic Tree'!$I$73:$I$74,0),MATCH(G26,'Logic Tree'!$J$72:$N$72,0))</f>
        <v>5.0999999999999996</v>
      </c>
    </row>
    <row r="27" spans="1:13" x14ac:dyDescent="0.35">
      <c r="A27" s="25">
        <v>1</v>
      </c>
      <c r="B27" s="24" t="s">
        <v>788</v>
      </c>
      <c r="C27" s="24" t="s">
        <v>186</v>
      </c>
      <c r="D27" s="24" t="s">
        <v>570</v>
      </c>
      <c r="E27" s="46" t="str">
        <f>'Pod Library'!E7</f>
        <v>Application Owner (Technical)</v>
      </c>
      <c r="F27" s="47" t="str">
        <f>'Pod Library'!F7</f>
        <v>ENG</v>
      </c>
      <c r="G27" s="47" t="str">
        <f>'Pod Library'!G7</f>
        <v>E4</v>
      </c>
      <c r="H27" s="47" t="str">
        <f>'Pod Library'!H7</f>
        <v>ON</v>
      </c>
      <c r="I27" s="47" t="str">
        <f>'Pod Library'!I7</f>
        <v>FTE</v>
      </c>
      <c r="J27" s="13">
        <f>'Pod Library'!J7</f>
        <v>1</v>
      </c>
      <c r="K27" s="13">
        <f>SUMIFS('Pod Plan'!$E:$E,'Pod Plan'!$B:$B,$A27,'Pod Plan'!$C:$C,$C27)</f>
        <v>2</v>
      </c>
      <c r="L27" s="25">
        <f t="shared" si="0"/>
        <v>2</v>
      </c>
      <c r="M27" s="44">
        <f>L27*INDEX('Logic Tree'!$J$73:$N$74,MATCH(H27,'Logic Tree'!$I$73:$I$74,0),MATCH(G27,'Logic Tree'!$J$72:$N$72,0))</f>
        <v>3.7</v>
      </c>
    </row>
    <row r="28" spans="1:13" x14ac:dyDescent="0.35">
      <c r="A28" s="25">
        <v>1</v>
      </c>
      <c r="B28" s="24" t="s">
        <v>788</v>
      </c>
      <c r="C28" s="24" t="s">
        <v>186</v>
      </c>
      <c r="D28" s="24" t="s">
        <v>570</v>
      </c>
      <c r="E28" s="46" t="str">
        <f>'Pod Library'!E8</f>
        <v>Pod Delivery Lead</v>
      </c>
      <c r="F28" s="47" t="str">
        <f>'Pod Library'!F8</f>
        <v>LEAD</v>
      </c>
      <c r="G28" s="47" t="str">
        <f>'Pod Library'!G8</f>
        <v>E4</v>
      </c>
      <c r="H28" s="47" t="str">
        <f>'Pod Library'!H8</f>
        <v>ON</v>
      </c>
      <c r="I28" s="47" t="str">
        <f>'Pod Library'!I8</f>
        <v>FTC</v>
      </c>
      <c r="J28" s="13">
        <f>'Pod Library'!J8</f>
        <v>1</v>
      </c>
      <c r="K28" s="13">
        <f>SUMIFS('Pod Plan'!$E:$E,'Pod Plan'!$B:$B,$A28,'Pod Plan'!$C:$C,$C28)</f>
        <v>2</v>
      </c>
      <c r="L28" s="25">
        <f t="shared" si="0"/>
        <v>2</v>
      </c>
      <c r="M28" s="44">
        <f>L28*INDEX('Logic Tree'!$J$73:$N$74,MATCH(H28,'Logic Tree'!$I$73:$I$74,0),MATCH(G28,'Logic Tree'!$J$72:$N$72,0))</f>
        <v>3.7</v>
      </c>
    </row>
    <row r="29" spans="1:13" x14ac:dyDescent="0.35">
      <c r="A29" s="25">
        <v>1</v>
      </c>
      <c r="B29" s="24" t="s">
        <v>788</v>
      </c>
      <c r="C29" s="24" t="s">
        <v>186</v>
      </c>
      <c r="D29" s="24" t="s">
        <v>570</v>
      </c>
      <c r="E29" s="46" t="str">
        <f>'Pod Library'!E9</f>
        <v>Solution Architect - Mainframe</v>
      </c>
      <c r="F29" s="47" t="str">
        <f>'Pod Library'!F9</f>
        <v>ENG</v>
      </c>
      <c r="G29" s="47" t="str">
        <f>'Pod Library'!G9</f>
        <v>E5</v>
      </c>
      <c r="H29" s="47" t="str">
        <f>'Pod Library'!H9</f>
        <v>ON</v>
      </c>
      <c r="I29" s="47" t="str">
        <f>'Pod Library'!I9</f>
        <v>FTC</v>
      </c>
      <c r="J29" s="13">
        <f>'Pod Library'!J9</f>
        <v>1</v>
      </c>
      <c r="K29" s="13">
        <f>SUMIFS('Pod Plan'!$E:$E,'Pod Plan'!$B:$B,$A29,'Pod Plan'!$C:$C,$C29)</f>
        <v>2</v>
      </c>
      <c r="L29" s="25">
        <f t="shared" si="0"/>
        <v>2</v>
      </c>
      <c r="M29" s="44">
        <f>L29*INDEX('Logic Tree'!$J$73:$N$74,MATCH(H29,'Logic Tree'!$I$73:$I$74,0),MATCH(G29,'Logic Tree'!$J$72:$N$72,0))</f>
        <v>5.0999999999999996</v>
      </c>
    </row>
    <row r="30" spans="1:13" x14ac:dyDescent="0.35">
      <c r="A30" s="25">
        <v>1</v>
      </c>
      <c r="B30" s="24" t="s">
        <v>788</v>
      </c>
      <c r="C30" s="24" t="s">
        <v>186</v>
      </c>
      <c r="D30" s="24" t="s">
        <v>570</v>
      </c>
      <c r="E30" s="46" t="str">
        <f>'Pod Library'!E10</f>
        <v>Business Analyst (bilingual)</v>
      </c>
      <c r="F30" s="47" t="str">
        <f>'Pod Library'!F10</f>
        <v>BA</v>
      </c>
      <c r="G30" s="47" t="str">
        <f>'Pod Library'!G10</f>
        <v>E3</v>
      </c>
      <c r="H30" s="47" t="str">
        <f>'Pod Library'!H10</f>
        <v>ON</v>
      </c>
      <c r="I30" s="47" t="str">
        <f>'Pod Library'!I10</f>
        <v>FTC</v>
      </c>
      <c r="J30" s="13">
        <f>'Pod Library'!J10</f>
        <v>1</v>
      </c>
      <c r="K30" s="13">
        <f>SUMIFS('Pod Plan'!$E:$E,'Pod Plan'!$B:$B,$A30,'Pod Plan'!$C:$C,$C30)</f>
        <v>2</v>
      </c>
      <c r="L30" s="25">
        <f t="shared" si="0"/>
        <v>2</v>
      </c>
      <c r="M30" s="44">
        <f>L30*INDEX('Logic Tree'!$J$73:$N$74,MATCH(H30,'Logic Tree'!$I$73:$I$74,0),MATCH(G30,'Logic Tree'!$J$72:$N$72,0))</f>
        <v>2.7</v>
      </c>
    </row>
    <row r="31" spans="1:13" x14ac:dyDescent="0.35">
      <c r="A31" s="25">
        <v>1</v>
      </c>
      <c r="B31" s="24" t="s">
        <v>788</v>
      </c>
      <c r="C31" s="24" t="s">
        <v>186</v>
      </c>
      <c r="D31" s="24" t="s">
        <v>570</v>
      </c>
      <c r="E31" s="46" t="str">
        <f>'Pod Library'!E11</f>
        <v>Senior Developer COBOL/Assembler</v>
      </c>
      <c r="F31" s="47" t="str">
        <f>'Pod Library'!F11</f>
        <v>DEV</v>
      </c>
      <c r="G31" s="47" t="str">
        <f>'Pod Library'!G11</f>
        <v>E4</v>
      </c>
      <c r="H31" s="47" t="str">
        <f>'Pod Library'!H11</f>
        <v>ON</v>
      </c>
      <c r="I31" s="47" t="str">
        <f>'Pod Library'!I11</f>
        <v>FTC</v>
      </c>
      <c r="J31" s="13">
        <f>'Pod Library'!J11</f>
        <v>1</v>
      </c>
      <c r="K31" s="13">
        <f>SUMIFS('Pod Plan'!$E:$E,'Pod Plan'!$B:$B,$A31,'Pod Plan'!$C:$C,$C31)</f>
        <v>2</v>
      </c>
      <c r="L31" s="25">
        <f t="shared" si="0"/>
        <v>2</v>
      </c>
      <c r="M31" s="44">
        <f>L31*INDEX('Logic Tree'!$J$73:$N$74,MATCH(H31,'Logic Tree'!$I$73:$I$74,0),MATCH(G31,'Logic Tree'!$J$72:$N$72,0))</f>
        <v>3.7</v>
      </c>
    </row>
    <row r="32" spans="1:13" x14ac:dyDescent="0.35">
      <c r="A32" s="25">
        <v>1</v>
      </c>
      <c r="B32" s="24" t="s">
        <v>788</v>
      </c>
      <c r="C32" s="24" t="s">
        <v>186</v>
      </c>
      <c r="D32" s="24" t="s">
        <v>570</v>
      </c>
      <c r="E32" s="46" t="str">
        <f>'Pod Library'!E12</f>
        <v>Developer COBOL/JCL</v>
      </c>
      <c r="F32" s="47" t="str">
        <f>'Pod Library'!F12</f>
        <v>DEV</v>
      </c>
      <c r="G32" s="47" t="str">
        <f>'Pod Library'!G12</f>
        <v>E2</v>
      </c>
      <c r="H32" s="47" t="str">
        <f>'Pod Library'!H12</f>
        <v>ON</v>
      </c>
      <c r="I32" s="47" t="str">
        <f>'Pod Library'!I12</f>
        <v>FTC</v>
      </c>
      <c r="J32" s="13">
        <f>'Pod Library'!J12</f>
        <v>1</v>
      </c>
      <c r="K32" s="13">
        <f>SUMIFS('Pod Plan'!$E:$E,'Pod Plan'!$B:$B,$A32,'Pod Plan'!$C:$C,$C32)</f>
        <v>2</v>
      </c>
      <c r="L32" s="25">
        <f t="shared" si="0"/>
        <v>2</v>
      </c>
      <c r="M32" s="44">
        <f>L32*INDEX('Logic Tree'!$J$73:$N$74,MATCH(H32,'Logic Tree'!$I$73:$I$74,0),MATCH(G32,'Logic Tree'!$J$72:$N$72,0))</f>
        <v>2</v>
      </c>
    </row>
    <row r="33" spans="1:13" x14ac:dyDescent="0.35">
      <c r="A33" s="25">
        <v>1</v>
      </c>
      <c r="B33" s="24" t="s">
        <v>788</v>
      </c>
      <c r="C33" s="24" t="s">
        <v>186</v>
      </c>
      <c r="D33" s="24" t="s">
        <v>570</v>
      </c>
      <c r="E33" s="46" t="str">
        <f>'Pod Library'!E13</f>
        <v>Developer COBOL/JCL</v>
      </c>
      <c r="F33" s="47" t="str">
        <f>'Pod Library'!F13</f>
        <v>DEV</v>
      </c>
      <c r="G33" s="47" t="str">
        <f>'Pod Library'!G13</f>
        <v>E2</v>
      </c>
      <c r="H33" s="47" t="str">
        <f>'Pod Library'!H13</f>
        <v>OFF</v>
      </c>
      <c r="I33" s="47" t="str">
        <f>'Pod Library'!I13</f>
        <v>FTC</v>
      </c>
      <c r="J33" s="13">
        <f>'Pod Library'!J13</f>
        <v>1</v>
      </c>
      <c r="K33" s="13">
        <f>SUMIFS('Pod Plan'!$E:$E,'Pod Plan'!$B:$B,$A33,'Pod Plan'!$C:$C,$C33)</f>
        <v>2</v>
      </c>
      <c r="L33" s="25">
        <f t="shared" si="0"/>
        <v>2</v>
      </c>
      <c r="M33" s="44">
        <f>L33*INDEX('Logic Tree'!$J$73:$N$74,MATCH(H33,'Logic Tree'!$I$73:$I$74,0),MATCH(G33,'Logic Tree'!$J$72:$N$72,0))</f>
        <v>0.6</v>
      </c>
    </row>
    <row r="34" spans="1:13" x14ac:dyDescent="0.35">
      <c r="A34" s="25">
        <v>1</v>
      </c>
      <c r="B34" s="24" t="s">
        <v>788</v>
      </c>
      <c r="C34" s="24" t="s">
        <v>186</v>
      </c>
      <c r="D34" s="24" t="s">
        <v>570</v>
      </c>
      <c r="E34" s="46" t="str">
        <f>'Pod Library'!E14</f>
        <v>Test Engineer</v>
      </c>
      <c r="F34" s="47" t="str">
        <f>'Pod Library'!F14</f>
        <v>TEST</v>
      </c>
      <c r="G34" s="47" t="str">
        <f>'Pod Library'!G14</f>
        <v>E2</v>
      </c>
      <c r="H34" s="47" t="str">
        <f>'Pod Library'!H14</f>
        <v>OFF</v>
      </c>
      <c r="I34" s="47" t="str">
        <f>'Pod Library'!I14</f>
        <v>FTC</v>
      </c>
      <c r="J34" s="13">
        <f>'Pod Library'!J14</f>
        <v>1</v>
      </c>
      <c r="K34" s="13">
        <f>SUMIFS('Pod Plan'!$E:$E,'Pod Plan'!$B:$B,$A34,'Pod Plan'!$C:$C,$C34)</f>
        <v>2</v>
      </c>
      <c r="L34" s="25">
        <f t="shared" si="0"/>
        <v>2</v>
      </c>
      <c r="M34" s="44">
        <f>L34*INDEX('Logic Tree'!$J$73:$N$74,MATCH(H34,'Logic Tree'!$I$73:$I$74,0),MATCH(G34,'Logic Tree'!$J$72:$N$72,0))</f>
        <v>0.6</v>
      </c>
    </row>
    <row r="35" spans="1:13" x14ac:dyDescent="0.35">
      <c r="A35" s="25">
        <v>1</v>
      </c>
      <c r="B35" s="24" t="s">
        <v>788</v>
      </c>
      <c r="C35" s="24" t="s">
        <v>186</v>
      </c>
      <c r="D35" s="24" t="s">
        <v>587</v>
      </c>
      <c r="E35" s="46" t="str">
        <f>'Pod Library'!E17</f>
        <v>Pod Lead (output owner)</v>
      </c>
      <c r="F35" s="47" t="str">
        <f>'Pod Library'!F17</f>
        <v>LEAD</v>
      </c>
      <c r="G35" s="47" t="str">
        <f>'Pod Library'!G17</f>
        <v>E4</v>
      </c>
      <c r="H35" s="47" t="str">
        <f>'Pod Library'!H17</f>
        <v>ON</v>
      </c>
      <c r="I35" s="47" t="str">
        <f>'Pod Library'!I17</f>
        <v>FTC</v>
      </c>
      <c r="J35" s="13">
        <f>'Pod Library'!J17</f>
        <v>1</v>
      </c>
      <c r="K35" s="13">
        <f>SUMIFS('Pod Plan'!$F:$F,'Pod Plan'!$B:$B,$A35,'Pod Plan'!$C:$C,$C35)</f>
        <v>1</v>
      </c>
      <c r="L35" s="25">
        <f t="shared" si="0"/>
        <v>1</v>
      </c>
      <c r="M35" s="44">
        <f>L35*INDEX('Logic Tree'!$J$73:$N$74,MATCH(H35,'Logic Tree'!$I$73:$I$74,0),MATCH(G35,'Logic Tree'!$J$72:$N$72,0))</f>
        <v>1.85</v>
      </c>
    </row>
    <row r="36" spans="1:13" x14ac:dyDescent="0.35">
      <c r="A36" s="25">
        <v>1</v>
      </c>
      <c r="B36" s="24" t="s">
        <v>788</v>
      </c>
      <c r="C36" s="24" t="s">
        <v>186</v>
      </c>
      <c r="D36" s="24" t="s">
        <v>587</v>
      </c>
      <c r="E36" s="46" t="str">
        <f>'Pod Library'!E18</f>
        <v>Solution Architect</v>
      </c>
      <c r="F36" s="47" t="str">
        <f>'Pod Library'!F18</f>
        <v>ENG</v>
      </c>
      <c r="G36" s="47" t="str">
        <f>'Pod Library'!G18</f>
        <v>E4</v>
      </c>
      <c r="H36" s="47" t="str">
        <f>'Pod Library'!H18</f>
        <v>ON</v>
      </c>
      <c r="I36" s="47" t="str">
        <f>'Pod Library'!I18</f>
        <v>FTC</v>
      </c>
      <c r="J36" s="13">
        <f>'Pod Library'!J18</f>
        <v>1</v>
      </c>
      <c r="K36" s="13">
        <f>SUMIFS('Pod Plan'!$F:$F,'Pod Plan'!$B:$B,$A36,'Pod Plan'!$C:$C,$C36)</f>
        <v>1</v>
      </c>
      <c r="L36" s="25">
        <f t="shared" si="0"/>
        <v>1</v>
      </c>
      <c r="M36" s="44">
        <f>L36*INDEX('Logic Tree'!$J$73:$N$74,MATCH(H36,'Logic Tree'!$I$73:$I$74,0),MATCH(G36,'Logic Tree'!$J$72:$N$72,0))</f>
        <v>1.85</v>
      </c>
    </row>
    <row r="37" spans="1:13" x14ac:dyDescent="0.35">
      <c r="A37" s="25">
        <v>1</v>
      </c>
      <c r="B37" s="24" t="s">
        <v>788</v>
      </c>
      <c r="C37" s="24" t="s">
        <v>186</v>
      </c>
      <c r="D37" s="24" t="s">
        <v>587</v>
      </c>
      <c r="E37" s="46" t="str">
        <f>'Pod Library'!E19</f>
        <v>Business Analyst (bilingual)</v>
      </c>
      <c r="F37" s="47" t="str">
        <f>'Pod Library'!F19</f>
        <v>BA</v>
      </c>
      <c r="G37" s="47" t="str">
        <f>'Pod Library'!G19</f>
        <v>E3</v>
      </c>
      <c r="H37" s="47" t="str">
        <f>'Pod Library'!H19</f>
        <v>ON</v>
      </c>
      <c r="I37" s="47" t="str">
        <f>'Pod Library'!I19</f>
        <v>FTC</v>
      </c>
      <c r="J37" s="13">
        <f>'Pod Library'!J19</f>
        <v>1</v>
      </c>
      <c r="K37" s="13">
        <f>SUMIFS('Pod Plan'!$F:$F,'Pod Plan'!$B:$B,$A37,'Pod Plan'!$C:$C,$C37)</f>
        <v>1</v>
      </c>
      <c r="L37" s="25">
        <f t="shared" si="0"/>
        <v>1</v>
      </c>
      <c r="M37" s="44">
        <f>L37*INDEX('Logic Tree'!$J$73:$N$74,MATCH(H37,'Logic Tree'!$I$73:$I$74,0),MATCH(G37,'Logic Tree'!$J$72:$N$72,0))</f>
        <v>1.35</v>
      </c>
    </row>
    <row r="38" spans="1:13" x14ac:dyDescent="0.35">
      <c r="A38" s="25">
        <v>1</v>
      </c>
      <c r="B38" s="24" t="s">
        <v>788</v>
      </c>
      <c r="C38" s="24" t="s">
        <v>186</v>
      </c>
      <c r="D38" s="24" t="s">
        <v>587</v>
      </c>
      <c r="E38" s="46" t="str">
        <f>'Pod Library'!E20</f>
        <v>Senior Developer</v>
      </c>
      <c r="F38" s="47" t="str">
        <f>'Pod Library'!F20</f>
        <v>DEV</v>
      </c>
      <c r="G38" s="47" t="str">
        <f>'Pod Library'!G20</f>
        <v>E3</v>
      </c>
      <c r="H38" s="47" t="str">
        <f>'Pod Library'!H20</f>
        <v>ON</v>
      </c>
      <c r="I38" s="47" t="str">
        <f>'Pod Library'!I20</f>
        <v>FTC</v>
      </c>
      <c r="J38" s="13">
        <f>'Pod Library'!J20</f>
        <v>1</v>
      </c>
      <c r="K38" s="13">
        <f>SUMIFS('Pod Plan'!$F:$F,'Pod Plan'!$B:$B,$A38,'Pod Plan'!$C:$C,$C38)</f>
        <v>1</v>
      </c>
      <c r="L38" s="25">
        <f t="shared" si="0"/>
        <v>1</v>
      </c>
      <c r="M38" s="44">
        <f>L38*INDEX('Logic Tree'!$J$73:$N$74,MATCH(H38,'Logic Tree'!$I$73:$I$74,0),MATCH(G38,'Logic Tree'!$J$72:$N$72,0))</f>
        <v>1.35</v>
      </c>
    </row>
    <row r="39" spans="1:13" x14ac:dyDescent="0.35">
      <c r="A39" s="25">
        <v>1</v>
      </c>
      <c r="B39" s="24" t="s">
        <v>788</v>
      </c>
      <c r="C39" s="24" t="s">
        <v>186</v>
      </c>
      <c r="D39" s="24" t="s">
        <v>587</v>
      </c>
      <c r="E39" s="46" t="str">
        <f>'Pod Library'!E21</f>
        <v>Developer</v>
      </c>
      <c r="F39" s="47" t="str">
        <f>'Pod Library'!F21</f>
        <v>DEV</v>
      </c>
      <c r="G39" s="47" t="str">
        <f>'Pod Library'!G21</f>
        <v>E2</v>
      </c>
      <c r="H39" s="47" t="str">
        <f>'Pod Library'!H21</f>
        <v>ON</v>
      </c>
      <c r="I39" s="47" t="str">
        <f>'Pod Library'!I21</f>
        <v>FTC</v>
      </c>
      <c r="J39" s="13">
        <f>'Pod Library'!J21</f>
        <v>1</v>
      </c>
      <c r="K39" s="13">
        <f>SUMIFS('Pod Plan'!$F:$F,'Pod Plan'!$B:$B,$A39,'Pod Plan'!$C:$C,$C39)</f>
        <v>1</v>
      </c>
      <c r="L39" s="25">
        <f t="shared" si="0"/>
        <v>1</v>
      </c>
      <c r="M39" s="44">
        <f>L39*INDEX('Logic Tree'!$J$73:$N$74,MATCH(H39,'Logic Tree'!$I$73:$I$74,0),MATCH(G39,'Logic Tree'!$J$72:$N$72,0))</f>
        <v>1</v>
      </c>
    </row>
    <row r="40" spans="1:13" x14ac:dyDescent="0.35">
      <c r="A40" s="25">
        <v>1</v>
      </c>
      <c r="B40" s="24" t="s">
        <v>788</v>
      </c>
      <c r="C40" s="24" t="s">
        <v>186</v>
      </c>
      <c r="D40" s="24" t="s">
        <v>587</v>
      </c>
      <c r="E40" s="46" t="str">
        <f>'Pod Library'!E22</f>
        <v>Developer</v>
      </c>
      <c r="F40" s="47" t="str">
        <f>'Pod Library'!F22</f>
        <v>DEV</v>
      </c>
      <c r="G40" s="47" t="str">
        <f>'Pod Library'!G22</f>
        <v>E2</v>
      </c>
      <c r="H40" s="47" t="str">
        <f>'Pod Library'!H22</f>
        <v>OFF</v>
      </c>
      <c r="I40" s="47" t="str">
        <f>'Pod Library'!I22</f>
        <v>FTC</v>
      </c>
      <c r="J40" s="13">
        <f>'Pod Library'!J22</f>
        <v>1</v>
      </c>
      <c r="K40" s="13">
        <f>SUMIFS('Pod Plan'!$F:$F,'Pod Plan'!$B:$B,$A40,'Pod Plan'!$C:$C,$C40)</f>
        <v>1</v>
      </c>
      <c r="L40" s="25">
        <f t="shared" si="0"/>
        <v>1</v>
      </c>
      <c r="M40" s="44">
        <f>L40*INDEX('Logic Tree'!$J$73:$N$74,MATCH(H40,'Logic Tree'!$I$73:$I$74,0),MATCH(G40,'Logic Tree'!$J$72:$N$72,0))</f>
        <v>0.3</v>
      </c>
    </row>
    <row r="41" spans="1:13" x14ac:dyDescent="0.35">
      <c r="A41" s="25">
        <v>1</v>
      </c>
      <c r="B41" s="24" t="s">
        <v>788</v>
      </c>
      <c r="C41" s="24" t="s">
        <v>186</v>
      </c>
      <c r="D41" s="24" t="s">
        <v>587</v>
      </c>
      <c r="E41" s="46" t="str">
        <f>'Pod Library'!E23</f>
        <v>Developer</v>
      </c>
      <c r="F41" s="47" t="str">
        <f>'Pod Library'!F23</f>
        <v>DEV</v>
      </c>
      <c r="G41" s="47" t="str">
        <f>'Pod Library'!G23</f>
        <v>E1</v>
      </c>
      <c r="H41" s="47" t="str">
        <f>'Pod Library'!H23</f>
        <v>OFF</v>
      </c>
      <c r="I41" s="47" t="str">
        <f>'Pod Library'!I23</f>
        <v>FTC</v>
      </c>
      <c r="J41" s="13">
        <f>'Pod Library'!J23</f>
        <v>1</v>
      </c>
      <c r="K41" s="13">
        <f>SUMIFS('Pod Plan'!$F:$F,'Pod Plan'!$B:$B,$A41,'Pod Plan'!$C:$C,$C41)</f>
        <v>1</v>
      </c>
      <c r="L41" s="25">
        <f t="shared" si="0"/>
        <v>1</v>
      </c>
      <c r="M41" s="44">
        <f>L41*INDEX('Logic Tree'!$J$73:$N$74,MATCH(H41,'Logic Tree'!$I$73:$I$74,0),MATCH(G41,'Logic Tree'!$J$72:$N$72,0))</f>
        <v>0.22</v>
      </c>
    </row>
    <row r="42" spans="1:13" x14ac:dyDescent="0.35">
      <c r="A42" s="25">
        <v>1</v>
      </c>
      <c r="B42" s="24" t="s">
        <v>788</v>
      </c>
      <c r="C42" s="24" t="s">
        <v>186</v>
      </c>
      <c r="D42" s="24" t="s">
        <v>587</v>
      </c>
      <c r="E42" s="46" t="str">
        <f>'Pod Library'!E24</f>
        <v>Test Lead</v>
      </c>
      <c r="F42" s="47" t="str">
        <f>'Pod Library'!F24</f>
        <v>TEST</v>
      </c>
      <c r="G42" s="47" t="str">
        <f>'Pod Library'!G24</f>
        <v>E3</v>
      </c>
      <c r="H42" s="47" t="str">
        <f>'Pod Library'!H24</f>
        <v>ON</v>
      </c>
      <c r="I42" s="47" t="str">
        <f>'Pod Library'!I24</f>
        <v>FTC</v>
      </c>
      <c r="J42" s="13">
        <f>'Pod Library'!J24</f>
        <v>1</v>
      </c>
      <c r="K42" s="13">
        <f>SUMIFS('Pod Plan'!$F:$F,'Pod Plan'!$B:$B,$A42,'Pod Plan'!$C:$C,$C42)</f>
        <v>1</v>
      </c>
      <c r="L42" s="25">
        <f t="shared" si="0"/>
        <v>1</v>
      </c>
      <c r="M42" s="44">
        <f>L42*INDEX('Logic Tree'!$J$73:$N$74,MATCH(H42,'Logic Tree'!$I$73:$I$74,0),MATCH(G42,'Logic Tree'!$J$72:$N$72,0))</f>
        <v>1.35</v>
      </c>
    </row>
    <row r="43" spans="1:13" x14ac:dyDescent="0.35">
      <c r="A43" s="25">
        <v>1</v>
      </c>
      <c r="B43" s="24" t="s">
        <v>788</v>
      </c>
      <c r="C43" s="24" t="s">
        <v>186</v>
      </c>
      <c r="D43" s="24" t="s">
        <v>587</v>
      </c>
      <c r="E43" s="46" t="str">
        <f>'Pod Library'!E25</f>
        <v>Test Engineer</v>
      </c>
      <c r="F43" s="47" t="str">
        <f>'Pod Library'!F25</f>
        <v>TEST</v>
      </c>
      <c r="G43" s="47" t="str">
        <f>'Pod Library'!G25</f>
        <v>E2</v>
      </c>
      <c r="H43" s="47" t="str">
        <f>'Pod Library'!H25</f>
        <v>OFF</v>
      </c>
      <c r="I43" s="47" t="str">
        <f>'Pod Library'!I25</f>
        <v>FTC</v>
      </c>
      <c r="J43" s="13">
        <f>'Pod Library'!J25</f>
        <v>1</v>
      </c>
      <c r="K43" s="13">
        <f>SUMIFS('Pod Plan'!$F:$F,'Pod Plan'!$B:$B,$A43,'Pod Plan'!$C:$C,$C43)</f>
        <v>1</v>
      </c>
      <c r="L43" s="25">
        <f t="shared" si="0"/>
        <v>1</v>
      </c>
      <c r="M43" s="44">
        <f>L43*INDEX('Logic Tree'!$J$73:$N$74,MATCH(H43,'Logic Tree'!$I$73:$I$74,0),MATCH(G43,'Logic Tree'!$J$72:$N$72,0))</f>
        <v>0.3</v>
      </c>
    </row>
    <row r="44" spans="1:13" x14ac:dyDescent="0.35">
      <c r="A44" s="25">
        <v>1</v>
      </c>
      <c r="B44" s="24" t="s">
        <v>788</v>
      </c>
      <c r="C44" s="24" t="s">
        <v>186</v>
      </c>
      <c r="D44" s="24" t="s">
        <v>587</v>
      </c>
      <c r="E44" s="46" t="str">
        <f>'Pod Library'!E26</f>
        <v>Test Engineer</v>
      </c>
      <c r="F44" s="47" t="str">
        <f>'Pod Library'!F26</f>
        <v>TEST</v>
      </c>
      <c r="G44" s="47" t="str">
        <f>'Pod Library'!G26</f>
        <v>E1</v>
      </c>
      <c r="H44" s="47" t="str">
        <f>'Pod Library'!H26</f>
        <v>OFF</v>
      </c>
      <c r="I44" s="47" t="str">
        <f>'Pod Library'!I26</f>
        <v>FTC</v>
      </c>
      <c r="J44" s="13">
        <f>'Pod Library'!J26</f>
        <v>1</v>
      </c>
      <c r="K44" s="13">
        <f>SUMIFS('Pod Plan'!$F:$F,'Pod Plan'!$B:$B,$A44,'Pod Plan'!$C:$C,$C44)</f>
        <v>1</v>
      </c>
      <c r="L44" s="25">
        <f t="shared" si="0"/>
        <v>1</v>
      </c>
      <c r="M44" s="44">
        <f>L44*INDEX('Logic Tree'!$J$73:$N$74,MATCH(H44,'Logic Tree'!$I$73:$I$74,0),MATCH(G44,'Logic Tree'!$J$72:$N$72,0))</f>
        <v>0.22</v>
      </c>
    </row>
    <row r="45" spans="1:13" x14ac:dyDescent="0.35">
      <c r="A45" s="25">
        <v>1</v>
      </c>
      <c r="B45" s="24" t="s">
        <v>788</v>
      </c>
      <c r="C45" s="24" t="s">
        <v>196</v>
      </c>
      <c r="D45" s="24" t="s">
        <v>570</v>
      </c>
      <c r="E45" s="46" t="str">
        <f>'Pod Library'!E5</f>
        <v>Product Owner</v>
      </c>
      <c r="F45" s="47" t="str">
        <f>'Pod Library'!F5</f>
        <v>LEAD</v>
      </c>
      <c r="G45" s="47" t="str">
        <f>'Pod Library'!G5</f>
        <v>E4</v>
      </c>
      <c r="H45" s="47" t="str">
        <f>'Pod Library'!H5</f>
        <v>ON</v>
      </c>
      <c r="I45" s="47" t="str">
        <f>'Pod Library'!I5</f>
        <v>FTE</v>
      </c>
      <c r="J45" s="13">
        <f>'Pod Library'!J5</f>
        <v>1</v>
      </c>
      <c r="K45" s="13">
        <f>SUMIFS('Pod Plan'!$E:$E,'Pod Plan'!$B:$B,$A45,'Pod Plan'!$C:$C,$C45)</f>
        <v>1</v>
      </c>
      <c r="L45" s="25">
        <f t="shared" si="0"/>
        <v>1</v>
      </c>
      <c r="M45" s="44">
        <f>L45*INDEX('Logic Tree'!$J$73:$N$74,MATCH(H45,'Logic Tree'!$I$73:$I$74,0),MATCH(G45,'Logic Tree'!$J$72:$N$72,0))</f>
        <v>1.85</v>
      </c>
    </row>
    <row r="46" spans="1:13" x14ac:dyDescent="0.35">
      <c r="A46" s="25">
        <v>1</v>
      </c>
      <c r="B46" s="24" t="s">
        <v>788</v>
      </c>
      <c r="C46" s="24" t="s">
        <v>196</v>
      </c>
      <c r="D46" s="24" t="s">
        <v>570</v>
      </c>
      <c r="E46" s="46" t="str">
        <f>'Pod Library'!E6</f>
        <v>Contract Domain SME</v>
      </c>
      <c r="F46" s="47" t="str">
        <f>'Pod Library'!F6</f>
        <v>BA</v>
      </c>
      <c r="G46" s="47" t="str">
        <f>'Pod Library'!G6</f>
        <v>E5</v>
      </c>
      <c r="H46" s="47" t="str">
        <f>'Pod Library'!H6</f>
        <v>ON</v>
      </c>
      <c r="I46" s="47" t="str">
        <f>'Pod Library'!I6</f>
        <v>FTE</v>
      </c>
      <c r="J46" s="13">
        <f>'Pod Library'!J6</f>
        <v>1</v>
      </c>
      <c r="K46" s="13">
        <f>SUMIFS('Pod Plan'!$E:$E,'Pod Plan'!$B:$B,$A46,'Pod Plan'!$C:$C,$C46)</f>
        <v>1</v>
      </c>
      <c r="L46" s="25">
        <f t="shared" si="0"/>
        <v>1</v>
      </c>
      <c r="M46" s="44">
        <f>L46*INDEX('Logic Tree'!$J$73:$N$74,MATCH(H46,'Logic Tree'!$I$73:$I$74,0),MATCH(G46,'Logic Tree'!$J$72:$N$72,0))</f>
        <v>2.5499999999999998</v>
      </c>
    </row>
    <row r="47" spans="1:13" x14ac:dyDescent="0.35">
      <c r="A47" s="25">
        <v>1</v>
      </c>
      <c r="B47" s="24" t="s">
        <v>788</v>
      </c>
      <c r="C47" s="24" t="s">
        <v>196</v>
      </c>
      <c r="D47" s="24" t="s">
        <v>570</v>
      </c>
      <c r="E47" s="46" t="str">
        <f>'Pod Library'!E7</f>
        <v>Application Owner (Technical)</v>
      </c>
      <c r="F47" s="47" t="str">
        <f>'Pod Library'!F7</f>
        <v>ENG</v>
      </c>
      <c r="G47" s="47" t="str">
        <f>'Pod Library'!G7</f>
        <v>E4</v>
      </c>
      <c r="H47" s="47" t="str">
        <f>'Pod Library'!H7</f>
        <v>ON</v>
      </c>
      <c r="I47" s="47" t="str">
        <f>'Pod Library'!I7</f>
        <v>FTE</v>
      </c>
      <c r="J47" s="13">
        <f>'Pod Library'!J7</f>
        <v>1</v>
      </c>
      <c r="K47" s="13">
        <f>SUMIFS('Pod Plan'!$E:$E,'Pod Plan'!$B:$B,$A47,'Pod Plan'!$C:$C,$C47)</f>
        <v>1</v>
      </c>
      <c r="L47" s="25">
        <f t="shared" si="0"/>
        <v>1</v>
      </c>
      <c r="M47" s="44">
        <f>L47*INDEX('Logic Tree'!$J$73:$N$74,MATCH(H47,'Logic Tree'!$I$73:$I$74,0),MATCH(G47,'Logic Tree'!$J$72:$N$72,0))</f>
        <v>1.85</v>
      </c>
    </row>
    <row r="48" spans="1:13" x14ac:dyDescent="0.35">
      <c r="A48" s="25">
        <v>1</v>
      </c>
      <c r="B48" s="24" t="s">
        <v>788</v>
      </c>
      <c r="C48" s="24" t="s">
        <v>196</v>
      </c>
      <c r="D48" s="24" t="s">
        <v>570</v>
      </c>
      <c r="E48" s="46" t="str">
        <f>'Pod Library'!E8</f>
        <v>Pod Delivery Lead</v>
      </c>
      <c r="F48" s="47" t="str">
        <f>'Pod Library'!F8</f>
        <v>LEAD</v>
      </c>
      <c r="G48" s="47" t="str">
        <f>'Pod Library'!G8</f>
        <v>E4</v>
      </c>
      <c r="H48" s="47" t="str">
        <f>'Pod Library'!H8</f>
        <v>ON</v>
      </c>
      <c r="I48" s="47" t="str">
        <f>'Pod Library'!I8</f>
        <v>FTC</v>
      </c>
      <c r="J48" s="13">
        <f>'Pod Library'!J8</f>
        <v>1</v>
      </c>
      <c r="K48" s="13">
        <f>SUMIFS('Pod Plan'!$E:$E,'Pod Plan'!$B:$B,$A48,'Pod Plan'!$C:$C,$C48)</f>
        <v>1</v>
      </c>
      <c r="L48" s="25">
        <f t="shared" si="0"/>
        <v>1</v>
      </c>
      <c r="M48" s="44">
        <f>L48*INDEX('Logic Tree'!$J$73:$N$74,MATCH(H48,'Logic Tree'!$I$73:$I$74,0),MATCH(G48,'Logic Tree'!$J$72:$N$72,0))</f>
        <v>1.85</v>
      </c>
    </row>
    <row r="49" spans="1:13" x14ac:dyDescent="0.35">
      <c r="A49" s="25">
        <v>1</v>
      </c>
      <c r="B49" s="24" t="s">
        <v>788</v>
      </c>
      <c r="C49" s="24" t="s">
        <v>196</v>
      </c>
      <c r="D49" s="24" t="s">
        <v>570</v>
      </c>
      <c r="E49" s="46" t="str">
        <f>'Pod Library'!E9</f>
        <v>Solution Architect - Mainframe</v>
      </c>
      <c r="F49" s="47" t="str">
        <f>'Pod Library'!F9</f>
        <v>ENG</v>
      </c>
      <c r="G49" s="47" t="str">
        <f>'Pod Library'!G9</f>
        <v>E5</v>
      </c>
      <c r="H49" s="47" t="str">
        <f>'Pod Library'!H9</f>
        <v>ON</v>
      </c>
      <c r="I49" s="47" t="str">
        <f>'Pod Library'!I9</f>
        <v>FTC</v>
      </c>
      <c r="J49" s="13">
        <f>'Pod Library'!J9</f>
        <v>1</v>
      </c>
      <c r="K49" s="13">
        <f>SUMIFS('Pod Plan'!$E:$E,'Pod Plan'!$B:$B,$A49,'Pod Plan'!$C:$C,$C49)</f>
        <v>1</v>
      </c>
      <c r="L49" s="25">
        <f t="shared" si="0"/>
        <v>1</v>
      </c>
      <c r="M49" s="44">
        <f>L49*INDEX('Logic Tree'!$J$73:$N$74,MATCH(H49,'Logic Tree'!$I$73:$I$74,0),MATCH(G49,'Logic Tree'!$J$72:$N$72,0))</f>
        <v>2.5499999999999998</v>
      </c>
    </row>
    <row r="50" spans="1:13" x14ac:dyDescent="0.35">
      <c r="A50" s="25">
        <v>1</v>
      </c>
      <c r="B50" s="24" t="s">
        <v>788</v>
      </c>
      <c r="C50" s="24" t="s">
        <v>196</v>
      </c>
      <c r="D50" s="24" t="s">
        <v>570</v>
      </c>
      <c r="E50" s="46" t="str">
        <f>'Pod Library'!E10</f>
        <v>Business Analyst (bilingual)</v>
      </c>
      <c r="F50" s="47" t="str">
        <f>'Pod Library'!F10</f>
        <v>BA</v>
      </c>
      <c r="G50" s="47" t="str">
        <f>'Pod Library'!G10</f>
        <v>E3</v>
      </c>
      <c r="H50" s="47" t="str">
        <f>'Pod Library'!H10</f>
        <v>ON</v>
      </c>
      <c r="I50" s="47" t="str">
        <f>'Pod Library'!I10</f>
        <v>FTC</v>
      </c>
      <c r="J50" s="13">
        <f>'Pod Library'!J10</f>
        <v>1</v>
      </c>
      <c r="K50" s="13">
        <f>SUMIFS('Pod Plan'!$E:$E,'Pod Plan'!$B:$B,$A50,'Pod Plan'!$C:$C,$C50)</f>
        <v>1</v>
      </c>
      <c r="L50" s="25">
        <f t="shared" si="0"/>
        <v>1</v>
      </c>
      <c r="M50" s="44">
        <f>L50*INDEX('Logic Tree'!$J$73:$N$74,MATCH(H50,'Logic Tree'!$I$73:$I$74,0),MATCH(G50,'Logic Tree'!$J$72:$N$72,0))</f>
        <v>1.35</v>
      </c>
    </row>
    <row r="51" spans="1:13" x14ac:dyDescent="0.35">
      <c r="A51" s="25">
        <v>1</v>
      </c>
      <c r="B51" s="24" t="s">
        <v>788</v>
      </c>
      <c r="C51" s="24" t="s">
        <v>196</v>
      </c>
      <c r="D51" s="24" t="s">
        <v>570</v>
      </c>
      <c r="E51" s="46" t="str">
        <f>'Pod Library'!E11</f>
        <v>Senior Developer COBOL/Assembler</v>
      </c>
      <c r="F51" s="47" t="str">
        <f>'Pod Library'!F11</f>
        <v>DEV</v>
      </c>
      <c r="G51" s="47" t="str">
        <f>'Pod Library'!G11</f>
        <v>E4</v>
      </c>
      <c r="H51" s="47" t="str">
        <f>'Pod Library'!H11</f>
        <v>ON</v>
      </c>
      <c r="I51" s="47" t="str">
        <f>'Pod Library'!I11</f>
        <v>FTC</v>
      </c>
      <c r="J51" s="13">
        <f>'Pod Library'!J11</f>
        <v>1</v>
      </c>
      <c r="K51" s="13">
        <f>SUMIFS('Pod Plan'!$E:$E,'Pod Plan'!$B:$B,$A51,'Pod Plan'!$C:$C,$C51)</f>
        <v>1</v>
      </c>
      <c r="L51" s="25">
        <f t="shared" si="0"/>
        <v>1</v>
      </c>
      <c r="M51" s="44">
        <f>L51*INDEX('Logic Tree'!$J$73:$N$74,MATCH(H51,'Logic Tree'!$I$73:$I$74,0),MATCH(G51,'Logic Tree'!$J$72:$N$72,0))</f>
        <v>1.85</v>
      </c>
    </row>
    <row r="52" spans="1:13" x14ac:dyDescent="0.35">
      <c r="A52" s="25">
        <v>1</v>
      </c>
      <c r="B52" s="24" t="s">
        <v>788</v>
      </c>
      <c r="C52" s="24" t="s">
        <v>196</v>
      </c>
      <c r="D52" s="24" t="s">
        <v>570</v>
      </c>
      <c r="E52" s="46" t="str">
        <f>'Pod Library'!E12</f>
        <v>Developer COBOL/JCL</v>
      </c>
      <c r="F52" s="47" t="str">
        <f>'Pod Library'!F12</f>
        <v>DEV</v>
      </c>
      <c r="G52" s="47" t="str">
        <f>'Pod Library'!G12</f>
        <v>E2</v>
      </c>
      <c r="H52" s="47" t="str">
        <f>'Pod Library'!H12</f>
        <v>ON</v>
      </c>
      <c r="I52" s="47" t="str">
        <f>'Pod Library'!I12</f>
        <v>FTC</v>
      </c>
      <c r="J52" s="13">
        <f>'Pod Library'!J12</f>
        <v>1</v>
      </c>
      <c r="K52" s="13">
        <f>SUMIFS('Pod Plan'!$E:$E,'Pod Plan'!$B:$B,$A52,'Pod Plan'!$C:$C,$C52)</f>
        <v>1</v>
      </c>
      <c r="L52" s="25">
        <f t="shared" si="0"/>
        <v>1</v>
      </c>
      <c r="M52" s="44">
        <f>L52*INDEX('Logic Tree'!$J$73:$N$74,MATCH(H52,'Logic Tree'!$I$73:$I$74,0),MATCH(G52,'Logic Tree'!$J$72:$N$72,0))</f>
        <v>1</v>
      </c>
    </row>
    <row r="53" spans="1:13" x14ac:dyDescent="0.35">
      <c r="A53" s="25">
        <v>1</v>
      </c>
      <c r="B53" s="24" t="s">
        <v>788</v>
      </c>
      <c r="C53" s="24" t="s">
        <v>196</v>
      </c>
      <c r="D53" s="24" t="s">
        <v>570</v>
      </c>
      <c r="E53" s="46" t="str">
        <f>'Pod Library'!E13</f>
        <v>Developer COBOL/JCL</v>
      </c>
      <c r="F53" s="47" t="str">
        <f>'Pod Library'!F13</f>
        <v>DEV</v>
      </c>
      <c r="G53" s="47" t="str">
        <f>'Pod Library'!G13</f>
        <v>E2</v>
      </c>
      <c r="H53" s="47" t="str">
        <f>'Pod Library'!H13</f>
        <v>OFF</v>
      </c>
      <c r="I53" s="47" t="str">
        <f>'Pod Library'!I13</f>
        <v>FTC</v>
      </c>
      <c r="J53" s="13">
        <f>'Pod Library'!J13</f>
        <v>1</v>
      </c>
      <c r="K53" s="13">
        <f>SUMIFS('Pod Plan'!$E:$E,'Pod Plan'!$B:$B,$A53,'Pod Plan'!$C:$C,$C53)</f>
        <v>1</v>
      </c>
      <c r="L53" s="25">
        <f t="shared" si="0"/>
        <v>1</v>
      </c>
      <c r="M53" s="44">
        <f>L53*INDEX('Logic Tree'!$J$73:$N$74,MATCH(H53,'Logic Tree'!$I$73:$I$74,0),MATCH(G53,'Logic Tree'!$J$72:$N$72,0))</f>
        <v>0.3</v>
      </c>
    </row>
    <row r="54" spans="1:13" x14ac:dyDescent="0.35">
      <c r="A54" s="25">
        <v>1</v>
      </c>
      <c r="B54" s="24" t="s">
        <v>788</v>
      </c>
      <c r="C54" s="24" t="s">
        <v>196</v>
      </c>
      <c r="D54" s="24" t="s">
        <v>570</v>
      </c>
      <c r="E54" s="46" t="str">
        <f>'Pod Library'!E14</f>
        <v>Test Engineer</v>
      </c>
      <c r="F54" s="47" t="str">
        <f>'Pod Library'!F14</f>
        <v>TEST</v>
      </c>
      <c r="G54" s="47" t="str">
        <f>'Pod Library'!G14</f>
        <v>E2</v>
      </c>
      <c r="H54" s="47" t="str">
        <f>'Pod Library'!H14</f>
        <v>OFF</v>
      </c>
      <c r="I54" s="47" t="str">
        <f>'Pod Library'!I14</f>
        <v>FTC</v>
      </c>
      <c r="J54" s="13">
        <f>'Pod Library'!J14</f>
        <v>1</v>
      </c>
      <c r="K54" s="13">
        <f>SUMIFS('Pod Plan'!$E:$E,'Pod Plan'!$B:$B,$A54,'Pod Plan'!$C:$C,$C54)</f>
        <v>1</v>
      </c>
      <c r="L54" s="25">
        <f t="shared" si="0"/>
        <v>1</v>
      </c>
      <c r="M54" s="44">
        <f>L54*INDEX('Logic Tree'!$J$73:$N$74,MATCH(H54,'Logic Tree'!$I$73:$I$74,0),MATCH(G54,'Logic Tree'!$J$72:$N$72,0))</f>
        <v>0.3</v>
      </c>
    </row>
    <row r="55" spans="1:13" x14ac:dyDescent="0.35">
      <c r="A55" s="25">
        <v>1</v>
      </c>
      <c r="B55" s="24" t="s">
        <v>788</v>
      </c>
      <c r="C55" s="24" t="s">
        <v>196</v>
      </c>
      <c r="D55" s="24" t="s">
        <v>587</v>
      </c>
      <c r="E55" s="46" t="str">
        <f>'Pod Library'!E17</f>
        <v>Pod Lead (output owner)</v>
      </c>
      <c r="F55" s="47" t="str">
        <f>'Pod Library'!F17</f>
        <v>LEAD</v>
      </c>
      <c r="G55" s="47" t="str">
        <f>'Pod Library'!G17</f>
        <v>E4</v>
      </c>
      <c r="H55" s="47" t="str">
        <f>'Pod Library'!H17</f>
        <v>ON</v>
      </c>
      <c r="I55" s="47" t="str">
        <f>'Pod Library'!I17</f>
        <v>FTC</v>
      </c>
      <c r="J55" s="13">
        <f>'Pod Library'!J17</f>
        <v>1</v>
      </c>
      <c r="K55" s="13">
        <f>SUMIFS('Pod Plan'!$F:$F,'Pod Plan'!$B:$B,$A55,'Pod Plan'!$C:$C,$C55)</f>
        <v>1</v>
      </c>
      <c r="L55" s="25">
        <f t="shared" si="0"/>
        <v>1</v>
      </c>
      <c r="M55" s="44">
        <f>L55*INDEX('Logic Tree'!$J$73:$N$74,MATCH(H55,'Logic Tree'!$I$73:$I$74,0),MATCH(G55,'Logic Tree'!$J$72:$N$72,0))</f>
        <v>1.85</v>
      </c>
    </row>
    <row r="56" spans="1:13" x14ac:dyDescent="0.35">
      <c r="A56" s="25">
        <v>1</v>
      </c>
      <c r="B56" s="24" t="s">
        <v>788</v>
      </c>
      <c r="C56" s="24" t="s">
        <v>196</v>
      </c>
      <c r="D56" s="24" t="s">
        <v>587</v>
      </c>
      <c r="E56" s="46" t="str">
        <f>'Pod Library'!E18</f>
        <v>Solution Architect</v>
      </c>
      <c r="F56" s="47" t="str">
        <f>'Pod Library'!F18</f>
        <v>ENG</v>
      </c>
      <c r="G56" s="47" t="str">
        <f>'Pod Library'!G18</f>
        <v>E4</v>
      </c>
      <c r="H56" s="47" t="str">
        <f>'Pod Library'!H18</f>
        <v>ON</v>
      </c>
      <c r="I56" s="47" t="str">
        <f>'Pod Library'!I18</f>
        <v>FTC</v>
      </c>
      <c r="J56" s="13">
        <f>'Pod Library'!J18</f>
        <v>1</v>
      </c>
      <c r="K56" s="13">
        <f>SUMIFS('Pod Plan'!$F:$F,'Pod Plan'!$B:$B,$A56,'Pod Plan'!$C:$C,$C56)</f>
        <v>1</v>
      </c>
      <c r="L56" s="25">
        <f t="shared" si="0"/>
        <v>1</v>
      </c>
      <c r="M56" s="44">
        <f>L56*INDEX('Logic Tree'!$J$73:$N$74,MATCH(H56,'Logic Tree'!$I$73:$I$74,0),MATCH(G56,'Logic Tree'!$J$72:$N$72,0))</f>
        <v>1.85</v>
      </c>
    </row>
    <row r="57" spans="1:13" x14ac:dyDescent="0.35">
      <c r="A57" s="25">
        <v>1</v>
      </c>
      <c r="B57" s="24" t="s">
        <v>788</v>
      </c>
      <c r="C57" s="24" t="s">
        <v>196</v>
      </c>
      <c r="D57" s="24" t="s">
        <v>587</v>
      </c>
      <c r="E57" s="46" t="str">
        <f>'Pod Library'!E19</f>
        <v>Business Analyst (bilingual)</v>
      </c>
      <c r="F57" s="47" t="str">
        <f>'Pod Library'!F19</f>
        <v>BA</v>
      </c>
      <c r="G57" s="47" t="str">
        <f>'Pod Library'!G19</f>
        <v>E3</v>
      </c>
      <c r="H57" s="47" t="str">
        <f>'Pod Library'!H19</f>
        <v>ON</v>
      </c>
      <c r="I57" s="47" t="str">
        <f>'Pod Library'!I19</f>
        <v>FTC</v>
      </c>
      <c r="J57" s="13">
        <f>'Pod Library'!J19</f>
        <v>1</v>
      </c>
      <c r="K57" s="13">
        <f>SUMIFS('Pod Plan'!$F:$F,'Pod Plan'!$B:$B,$A57,'Pod Plan'!$C:$C,$C57)</f>
        <v>1</v>
      </c>
      <c r="L57" s="25">
        <f t="shared" si="0"/>
        <v>1</v>
      </c>
      <c r="M57" s="44">
        <f>L57*INDEX('Logic Tree'!$J$73:$N$74,MATCH(H57,'Logic Tree'!$I$73:$I$74,0),MATCH(G57,'Logic Tree'!$J$72:$N$72,0))</f>
        <v>1.35</v>
      </c>
    </row>
    <row r="58" spans="1:13" x14ac:dyDescent="0.35">
      <c r="A58" s="25">
        <v>1</v>
      </c>
      <c r="B58" s="24" t="s">
        <v>788</v>
      </c>
      <c r="C58" s="24" t="s">
        <v>196</v>
      </c>
      <c r="D58" s="24" t="s">
        <v>587</v>
      </c>
      <c r="E58" s="46" t="str">
        <f>'Pod Library'!E20</f>
        <v>Senior Developer</v>
      </c>
      <c r="F58" s="47" t="str">
        <f>'Pod Library'!F20</f>
        <v>DEV</v>
      </c>
      <c r="G58" s="47" t="str">
        <f>'Pod Library'!G20</f>
        <v>E3</v>
      </c>
      <c r="H58" s="47" t="str">
        <f>'Pod Library'!H20</f>
        <v>ON</v>
      </c>
      <c r="I58" s="47" t="str">
        <f>'Pod Library'!I20</f>
        <v>FTC</v>
      </c>
      <c r="J58" s="13">
        <f>'Pod Library'!J20</f>
        <v>1</v>
      </c>
      <c r="K58" s="13">
        <f>SUMIFS('Pod Plan'!$F:$F,'Pod Plan'!$B:$B,$A58,'Pod Plan'!$C:$C,$C58)</f>
        <v>1</v>
      </c>
      <c r="L58" s="25">
        <f t="shared" si="0"/>
        <v>1</v>
      </c>
      <c r="M58" s="44">
        <f>L58*INDEX('Logic Tree'!$J$73:$N$74,MATCH(H58,'Logic Tree'!$I$73:$I$74,0),MATCH(G58,'Logic Tree'!$J$72:$N$72,0))</f>
        <v>1.35</v>
      </c>
    </row>
    <row r="59" spans="1:13" x14ac:dyDescent="0.35">
      <c r="A59" s="25">
        <v>1</v>
      </c>
      <c r="B59" s="24" t="s">
        <v>788</v>
      </c>
      <c r="C59" s="24" t="s">
        <v>196</v>
      </c>
      <c r="D59" s="24" t="s">
        <v>587</v>
      </c>
      <c r="E59" s="46" t="str">
        <f>'Pod Library'!E21</f>
        <v>Developer</v>
      </c>
      <c r="F59" s="47" t="str">
        <f>'Pod Library'!F21</f>
        <v>DEV</v>
      </c>
      <c r="G59" s="47" t="str">
        <f>'Pod Library'!G21</f>
        <v>E2</v>
      </c>
      <c r="H59" s="47" t="str">
        <f>'Pod Library'!H21</f>
        <v>ON</v>
      </c>
      <c r="I59" s="47" t="str">
        <f>'Pod Library'!I21</f>
        <v>FTC</v>
      </c>
      <c r="J59" s="13">
        <f>'Pod Library'!J21</f>
        <v>1</v>
      </c>
      <c r="K59" s="13">
        <f>SUMIFS('Pod Plan'!$F:$F,'Pod Plan'!$B:$B,$A59,'Pod Plan'!$C:$C,$C59)</f>
        <v>1</v>
      </c>
      <c r="L59" s="25">
        <f t="shared" si="0"/>
        <v>1</v>
      </c>
      <c r="M59" s="44">
        <f>L59*INDEX('Logic Tree'!$J$73:$N$74,MATCH(H59,'Logic Tree'!$I$73:$I$74,0),MATCH(G59,'Logic Tree'!$J$72:$N$72,0))</f>
        <v>1</v>
      </c>
    </row>
    <row r="60" spans="1:13" x14ac:dyDescent="0.35">
      <c r="A60" s="25">
        <v>1</v>
      </c>
      <c r="B60" s="24" t="s">
        <v>788</v>
      </c>
      <c r="C60" s="24" t="s">
        <v>196</v>
      </c>
      <c r="D60" s="24" t="s">
        <v>587</v>
      </c>
      <c r="E60" s="46" t="str">
        <f>'Pod Library'!E22</f>
        <v>Developer</v>
      </c>
      <c r="F60" s="47" t="str">
        <f>'Pod Library'!F22</f>
        <v>DEV</v>
      </c>
      <c r="G60" s="47" t="str">
        <f>'Pod Library'!G22</f>
        <v>E2</v>
      </c>
      <c r="H60" s="47" t="str">
        <f>'Pod Library'!H22</f>
        <v>OFF</v>
      </c>
      <c r="I60" s="47" t="str">
        <f>'Pod Library'!I22</f>
        <v>FTC</v>
      </c>
      <c r="J60" s="13">
        <f>'Pod Library'!J22</f>
        <v>1</v>
      </c>
      <c r="K60" s="13">
        <f>SUMIFS('Pod Plan'!$F:$F,'Pod Plan'!$B:$B,$A60,'Pod Plan'!$C:$C,$C60)</f>
        <v>1</v>
      </c>
      <c r="L60" s="25">
        <f t="shared" si="0"/>
        <v>1</v>
      </c>
      <c r="M60" s="44">
        <f>L60*INDEX('Logic Tree'!$J$73:$N$74,MATCH(H60,'Logic Tree'!$I$73:$I$74,0),MATCH(G60,'Logic Tree'!$J$72:$N$72,0))</f>
        <v>0.3</v>
      </c>
    </row>
    <row r="61" spans="1:13" x14ac:dyDescent="0.35">
      <c r="A61" s="25">
        <v>1</v>
      </c>
      <c r="B61" s="24" t="s">
        <v>788</v>
      </c>
      <c r="C61" s="24" t="s">
        <v>196</v>
      </c>
      <c r="D61" s="24" t="s">
        <v>587</v>
      </c>
      <c r="E61" s="46" t="str">
        <f>'Pod Library'!E23</f>
        <v>Developer</v>
      </c>
      <c r="F61" s="47" t="str">
        <f>'Pod Library'!F23</f>
        <v>DEV</v>
      </c>
      <c r="G61" s="47" t="str">
        <f>'Pod Library'!G23</f>
        <v>E1</v>
      </c>
      <c r="H61" s="47" t="str">
        <f>'Pod Library'!H23</f>
        <v>OFF</v>
      </c>
      <c r="I61" s="47" t="str">
        <f>'Pod Library'!I23</f>
        <v>FTC</v>
      </c>
      <c r="J61" s="13">
        <f>'Pod Library'!J23</f>
        <v>1</v>
      </c>
      <c r="K61" s="13">
        <f>SUMIFS('Pod Plan'!$F:$F,'Pod Plan'!$B:$B,$A61,'Pod Plan'!$C:$C,$C61)</f>
        <v>1</v>
      </c>
      <c r="L61" s="25">
        <f t="shared" si="0"/>
        <v>1</v>
      </c>
      <c r="M61" s="44">
        <f>L61*INDEX('Logic Tree'!$J$73:$N$74,MATCH(H61,'Logic Tree'!$I$73:$I$74,0),MATCH(G61,'Logic Tree'!$J$72:$N$72,0))</f>
        <v>0.22</v>
      </c>
    </row>
    <row r="62" spans="1:13" x14ac:dyDescent="0.35">
      <c r="A62" s="25">
        <v>1</v>
      </c>
      <c r="B62" s="24" t="s">
        <v>788</v>
      </c>
      <c r="C62" s="24" t="s">
        <v>196</v>
      </c>
      <c r="D62" s="24" t="s">
        <v>587</v>
      </c>
      <c r="E62" s="46" t="str">
        <f>'Pod Library'!E24</f>
        <v>Test Lead</v>
      </c>
      <c r="F62" s="47" t="str">
        <f>'Pod Library'!F24</f>
        <v>TEST</v>
      </c>
      <c r="G62" s="47" t="str">
        <f>'Pod Library'!G24</f>
        <v>E3</v>
      </c>
      <c r="H62" s="47" t="str">
        <f>'Pod Library'!H24</f>
        <v>ON</v>
      </c>
      <c r="I62" s="47" t="str">
        <f>'Pod Library'!I24</f>
        <v>FTC</v>
      </c>
      <c r="J62" s="13">
        <f>'Pod Library'!J24</f>
        <v>1</v>
      </c>
      <c r="K62" s="13">
        <f>SUMIFS('Pod Plan'!$F:$F,'Pod Plan'!$B:$B,$A62,'Pod Plan'!$C:$C,$C62)</f>
        <v>1</v>
      </c>
      <c r="L62" s="25">
        <f t="shared" si="0"/>
        <v>1</v>
      </c>
      <c r="M62" s="44">
        <f>L62*INDEX('Logic Tree'!$J$73:$N$74,MATCH(H62,'Logic Tree'!$I$73:$I$74,0),MATCH(G62,'Logic Tree'!$J$72:$N$72,0))</f>
        <v>1.35</v>
      </c>
    </row>
    <row r="63" spans="1:13" x14ac:dyDescent="0.35">
      <c r="A63" s="25">
        <v>1</v>
      </c>
      <c r="B63" s="24" t="s">
        <v>788</v>
      </c>
      <c r="C63" s="24" t="s">
        <v>196</v>
      </c>
      <c r="D63" s="24" t="s">
        <v>587</v>
      </c>
      <c r="E63" s="46" t="str">
        <f>'Pod Library'!E25</f>
        <v>Test Engineer</v>
      </c>
      <c r="F63" s="47" t="str">
        <f>'Pod Library'!F25</f>
        <v>TEST</v>
      </c>
      <c r="G63" s="47" t="str">
        <f>'Pod Library'!G25</f>
        <v>E2</v>
      </c>
      <c r="H63" s="47" t="str">
        <f>'Pod Library'!H25</f>
        <v>OFF</v>
      </c>
      <c r="I63" s="47" t="str">
        <f>'Pod Library'!I25</f>
        <v>FTC</v>
      </c>
      <c r="J63" s="13">
        <f>'Pod Library'!J25</f>
        <v>1</v>
      </c>
      <c r="K63" s="13">
        <f>SUMIFS('Pod Plan'!$F:$F,'Pod Plan'!$B:$B,$A63,'Pod Plan'!$C:$C,$C63)</f>
        <v>1</v>
      </c>
      <c r="L63" s="25">
        <f t="shared" si="0"/>
        <v>1</v>
      </c>
      <c r="M63" s="44">
        <f>L63*INDEX('Logic Tree'!$J$73:$N$74,MATCH(H63,'Logic Tree'!$I$73:$I$74,0),MATCH(G63,'Logic Tree'!$J$72:$N$72,0))</f>
        <v>0.3</v>
      </c>
    </row>
    <row r="64" spans="1:13" x14ac:dyDescent="0.35">
      <c r="A64" s="25">
        <v>1</v>
      </c>
      <c r="B64" s="24" t="s">
        <v>788</v>
      </c>
      <c r="C64" s="24" t="s">
        <v>196</v>
      </c>
      <c r="D64" s="24" t="s">
        <v>587</v>
      </c>
      <c r="E64" s="46" t="str">
        <f>'Pod Library'!E26</f>
        <v>Test Engineer</v>
      </c>
      <c r="F64" s="47" t="str">
        <f>'Pod Library'!F26</f>
        <v>TEST</v>
      </c>
      <c r="G64" s="47" t="str">
        <f>'Pod Library'!G26</f>
        <v>E1</v>
      </c>
      <c r="H64" s="47" t="str">
        <f>'Pod Library'!H26</f>
        <v>OFF</v>
      </c>
      <c r="I64" s="47" t="str">
        <f>'Pod Library'!I26</f>
        <v>FTC</v>
      </c>
      <c r="J64" s="13">
        <f>'Pod Library'!J26</f>
        <v>1</v>
      </c>
      <c r="K64" s="13">
        <f>SUMIFS('Pod Plan'!$F:$F,'Pod Plan'!$B:$B,$A64,'Pod Plan'!$C:$C,$C64)</f>
        <v>1</v>
      </c>
      <c r="L64" s="25">
        <f t="shared" si="0"/>
        <v>1</v>
      </c>
      <c r="M64" s="44">
        <f>L64*INDEX('Logic Tree'!$J$73:$N$74,MATCH(H64,'Logic Tree'!$I$73:$I$74,0),MATCH(G64,'Logic Tree'!$J$72:$N$72,0))</f>
        <v>0.22</v>
      </c>
    </row>
    <row r="65" spans="1:13" x14ac:dyDescent="0.35">
      <c r="A65" s="25">
        <v>1</v>
      </c>
      <c r="B65" s="24" t="s">
        <v>788</v>
      </c>
      <c r="C65" s="24" t="s">
        <v>191</v>
      </c>
      <c r="D65" s="24" t="s">
        <v>570</v>
      </c>
      <c r="E65" s="46" t="str">
        <f>'Pod Library'!E5</f>
        <v>Product Owner</v>
      </c>
      <c r="F65" s="47" t="str">
        <f>'Pod Library'!F5</f>
        <v>LEAD</v>
      </c>
      <c r="G65" s="47" t="str">
        <f>'Pod Library'!G5</f>
        <v>E4</v>
      </c>
      <c r="H65" s="47" t="str">
        <f>'Pod Library'!H5</f>
        <v>ON</v>
      </c>
      <c r="I65" s="47" t="str">
        <f>'Pod Library'!I5</f>
        <v>FTE</v>
      </c>
      <c r="J65" s="13">
        <f>'Pod Library'!J5</f>
        <v>1</v>
      </c>
      <c r="K65" s="13">
        <f>SUMIFS('Pod Plan'!$E:$E,'Pod Plan'!$B:$B,$A65,'Pod Plan'!$C:$C,$C65)</f>
        <v>1</v>
      </c>
      <c r="L65" s="25">
        <f t="shared" si="0"/>
        <v>1</v>
      </c>
      <c r="M65" s="44">
        <f>L65*INDEX('Logic Tree'!$J$73:$N$74,MATCH(H65,'Logic Tree'!$I$73:$I$74,0),MATCH(G65,'Logic Tree'!$J$72:$N$72,0))</f>
        <v>1.85</v>
      </c>
    </row>
    <row r="66" spans="1:13" x14ac:dyDescent="0.35">
      <c r="A66" s="25">
        <v>1</v>
      </c>
      <c r="B66" s="24" t="s">
        <v>788</v>
      </c>
      <c r="C66" s="24" t="s">
        <v>191</v>
      </c>
      <c r="D66" s="24" t="s">
        <v>570</v>
      </c>
      <c r="E66" s="46" t="str">
        <f>'Pod Library'!E6</f>
        <v>Contract Domain SME</v>
      </c>
      <c r="F66" s="47" t="str">
        <f>'Pod Library'!F6</f>
        <v>BA</v>
      </c>
      <c r="G66" s="47" t="str">
        <f>'Pod Library'!G6</f>
        <v>E5</v>
      </c>
      <c r="H66" s="47" t="str">
        <f>'Pod Library'!H6</f>
        <v>ON</v>
      </c>
      <c r="I66" s="47" t="str">
        <f>'Pod Library'!I6</f>
        <v>FTE</v>
      </c>
      <c r="J66" s="13">
        <f>'Pod Library'!J6</f>
        <v>1</v>
      </c>
      <c r="K66" s="13">
        <f>SUMIFS('Pod Plan'!$E:$E,'Pod Plan'!$B:$B,$A66,'Pod Plan'!$C:$C,$C66)</f>
        <v>1</v>
      </c>
      <c r="L66" s="25">
        <f t="shared" si="0"/>
        <v>1</v>
      </c>
      <c r="M66" s="44">
        <f>L66*INDEX('Logic Tree'!$J$73:$N$74,MATCH(H66,'Logic Tree'!$I$73:$I$74,0),MATCH(G66,'Logic Tree'!$J$72:$N$72,0))</f>
        <v>2.5499999999999998</v>
      </c>
    </row>
    <row r="67" spans="1:13" x14ac:dyDescent="0.35">
      <c r="A67" s="25">
        <v>1</v>
      </c>
      <c r="B67" s="24" t="s">
        <v>788</v>
      </c>
      <c r="C67" s="24" t="s">
        <v>191</v>
      </c>
      <c r="D67" s="24" t="s">
        <v>570</v>
      </c>
      <c r="E67" s="46" t="str">
        <f>'Pod Library'!E7</f>
        <v>Application Owner (Technical)</v>
      </c>
      <c r="F67" s="47" t="str">
        <f>'Pod Library'!F7</f>
        <v>ENG</v>
      </c>
      <c r="G67" s="47" t="str">
        <f>'Pod Library'!G7</f>
        <v>E4</v>
      </c>
      <c r="H67" s="47" t="str">
        <f>'Pod Library'!H7</f>
        <v>ON</v>
      </c>
      <c r="I67" s="47" t="str">
        <f>'Pod Library'!I7</f>
        <v>FTE</v>
      </c>
      <c r="J67" s="13">
        <f>'Pod Library'!J7</f>
        <v>1</v>
      </c>
      <c r="K67" s="13">
        <f>SUMIFS('Pod Plan'!$E:$E,'Pod Plan'!$B:$B,$A67,'Pod Plan'!$C:$C,$C67)</f>
        <v>1</v>
      </c>
      <c r="L67" s="25">
        <f t="shared" si="0"/>
        <v>1</v>
      </c>
      <c r="M67" s="44">
        <f>L67*INDEX('Logic Tree'!$J$73:$N$74,MATCH(H67,'Logic Tree'!$I$73:$I$74,0),MATCH(G67,'Logic Tree'!$J$72:$N$72,0))</f>
        <v>1.85</v>
      </c>
    </row>
    <row r="68" spans="1:13" x14ac:dyDescent="0.35">
      <c r="A68" s="25">
        <v>1</v>
      </c>
      <c r="B68" s="24" t="s">
        <v>788</v>
      </c>
      <c r="C68" s="24" t="s">
        <v>191</v>
      </c>
      <c r="D68" s="24" t="s">
        <v>570</v>
      </c>
      <c r="E68" s="46" t="str">
        <f>'Pod Library'!E8</f>
        <v>Pod Delivery Lead</v>
      </c>
      <c r="F68" s="47" t="str">
        <f>'Pod Library'!F8</f>
        <v>LEAD</v>
      </c>
      <c r="G68" s="47" t="str">
        <f>'Pod Library'!G8</f>
        <v>E4</v>
      </c>
      <c r="H68" s="47" t="str">
        <f>'Pod Library'!H8</f>
        <v>ON</v>
      </c>
      <c r="I68" s="47" t="str">
        <f>'Pod Library'!I8</f>
        <v>FTC</v>
      </c>
      <c r="J68" s="13">
        <f>'Pod Library'!J8</f>
        <v>1</v>
      </c>
      <c r="K68" s="13">
        <f>SUMIFS('Pod Plan'!$E:$E,'Pod Plan'!$B:$B,$A68,'Pod Plan'!$C:$C,$C68)</f>
        <v>1</v>
      </c>
      <c r="L68" s="25">
        <f t="shared" si="0"/>
        <v>1</v>
      </c>
      <c r="M68" s="44">
        <f>L68*INDEX('Logic Tree'!$J$73:$N$74,MATCH(H68,'Logic Tree'!$I$73:$I$74,0),MATCH(G68,'Logic Tree'!$J$72:$N$72,0))</f>
        <v>1.85</v>
      </c>
    </row>
    <row r="69" spans="1:13" x14ac:dyDescent="0.35">
      <c r="A69" s="25">
        <v>1</v>
      </c>
      <c r="B69" s="24" t="s">
        <v>788</v>
      </c>
      <c r="C69" s="24" t="s">
        <v>191</v>
      </c>
      <c r="D69" s="24" t="s">
        <v>570</v>
      </c>
      <c r="E69" s="46" t="str">
        <f>'Pod Library'!E9</f>
        <v>Solution Architect - Mainframe</v>
      </c>
      <c r="F69" s="47" t="str">
        <f>'Pod Library'!F9</f>
        <v>ENG</v>
      </c>
      <c r="G69" s="47" t="str">
        <f>'Pod Library'!G9</f>
        <v>E5</v>
      </c>
      <c r="H69" s="47" t="str">
        <f>'Pod Library'!H9</f>
        <v>ON</v>
      </c>
      <c r="I69" s="47" t="str">
        <f>'Pod Library'!I9</f>
        <v>FTC</v>
      </c>
      <c r="J69" s="13">
        <f>'Pod Library'!J9</f>
        <v>1</v>
      </c>
      <c r="K69" s="13">
        <f>SUMIFS('Pod Plan'!$E:$E,'Pod Plan'!$B:$B,$A69,'Pod Plan'!$C:$C,$C69)</f>
        <v>1</v>
      </c>
      <c r="L69" s="25">
        <f t="shared" ref="L69:L132" si="1">J69*K69</f>
        <v>1</v>
      </c>
      <c r="M69" s="44">
        <f>L69*INDEX('Logic Tree'!$J$73:$N$74,MATCH(H69,'Logic Tree'!$I$73:$I$74,0),MATCH(G69,'Logic Tree'!$J$72:$N$72,0))</f>
        <v>2.5499999999999998</v>
      </c>
    </row>
    <row r="70" spans="1:13" x14ac:dyDescent="0.35">
      <c r="A70" s="25">
        <v>1</v>
      </c>
      <c r="B70" s="24" t="s">
        <v>788</v>
      </c>
      <c r="C70" s="24" t="s">
        <v>191</v>
      </c>
      <c r="D70" s="24" t="s">
        <v>570</v>
      </c>
      <c r="E70" s="46" t="str">
        <f>'Pod Library'!E10</f>
        <v>Business Analyst (bilingual)</v>
      </c>
      <c r="F70" s="47" t="str">
        <f>'Pod Library'!F10</f>
        <v>BA</v>
      </c>
      <c r="G70" s="47" t="str">
        <f>'Pod Library'!G10</f>
        <v>E3</v>
      </c>
      <c r="H70" s="47" t="str">
        <f>'Pod Library'!H10</f>
        <v>ON</v>
      </c>
      <c r="I70" s="47" t="str">
        <f>'Pod Library'!I10</f>
        <v>FTC</v>
      </c>
      <c r="J70" s="13">
        <f>'Pod Library'!J10</f>
        <v>1</v>
      </c>
      <c r="K70" s="13">
        <f>SUMIFS('Pod Plan'!$E:$E,'Pod Plan'!$B:$B,$A70,'Pod Plan'!$C:$C,$C70)</f>
        <v>1</v>
      </c>
      <c r="L70" s="25">
        <f t="shared" si="1"/>
        <v>1</v>
      </c>
      <c r="M70" s="44">
        <f>L70*INDEX('Logic Tree'!$J$73:$N$74,MATCH(H70,'Logic Tree'!$I$73:$I$74,0),MATCH(G70,'Logic Tree'!$J$72:$N$72,0))</f>
        <v>1.35</v>
      </c>
    </row>
    <row r="71" spans="1:13" x14ac:dyDescent="0.35">
      <c r="A71" s="25">
        <v>1</v>
      </c>
      <c r="B71" s="24" t="s">
        <v>788</v>
      </c>
      <c r="C71" s="24" t="s">
        <v>191</v>
      </c>
      <c r="D71" s="24" t="s">
        <v>570</v>
      </c>
      <c r="E71" s="46" t="str">
        <f>'Pod Library'!E11</f>
        <v>Senior Developer COBOL/Assembler</v>
      </c>
      <c r="F71" s="47" t="str">
        <f>'Pod Library'!F11</f>
        <v>DEV</v>
      </c>
      <c r="G71" s="47" t="str">
        <f>'Pod Library'!G11</f>
        <v>E4</v>
      </c>
      <c r="H71" s="47" t="str">
        <f>'Pod Library'!H11</f>
        <v>ON</v>
      </c>
      <c r="I71" s="47" t="str">
        <f>'Pod Library'!I11</f>
        <v>FTC</v>
      </c>
      <c r="J71" s="13">
        <f>'Pod Library'!J11</f>
        <v>1</v>
      </c>
      <c r="K71" s="13">
        <f>SUMIFS('Pod Plan'!$E:$E,'Pod Plan'!$B:$B,$A71,'Pod Plan'!$C:$C,$C71)</f>
        <v>1</v>
      </c>
      <c r="L71" s="25">
        <f t="shared" si="1"/>
        <v>1</v>
      </c>
      <c r="M71" s="44">
        <f>L71*INDEX('Logic Tree'!$J$73:$N$74,MATCH(H71,'Logic Tree'!$I$73:$I$74,0),MATCH(G71,'Logic Tree'!$J$72:$N$72,0))</f>
        <v>1.85</v>
      </c>
    </row>
    <row r="72" spans="1:13" x14ac:dyDescent="0.35">
      <c r="A72" s="25">
        <v>1</v>
      </c>
      <c r="B72" s="24" t="s">
        <v>788</v>
      </c>
      <c r="C72" s="24" t="s">
        <v>191</v>
      </c>
      <c r="D72" s="24" t="s">
        <v>570</v>
      </c>
      <c r="E72" s="46" t="str">
        <f>'Pod Library'!E12</f>
        <v>Developer COBOL/JCL</v>
      </c>
      <c r="F72" s="47" t="str">
        <f>'Pod Library'!F12</f>
        <v>DEV</v>
      </c>
      <c r="G72" s="47" t="str">
        <f>'Pod Library'!G12</f>
        <v>E2</v>
      </c>
      <c r="H72" s="47" t="str">
        <f>'Pod Library'!H12</f>
        <v>ON</v>
      </c>
      <c r="I72" s="47" t="str">
        <f>'Pod Library'!I12</f>
        <v>FTC</v>
      </c>
      <c r="J72" s="13">
        <f>'Pod Library'!J12</f>
        <v>1</v>
      </c>
      <c r="K72" s="13">
        <f>SUMIFS('Pod Plan'!$E:$E,'Pod Plan'!$B:$B,$A72,'Pod Plan'!$C:$C,$C72)</f>
        <v>1</v>
      </c>
      <c r="L72" s="25">
        <f t="shared" si="1"/>
        <v>1</v>
      </c>
      <c r="M72" s="44">
        <f>L72*INDEX('Logic Tree'!$J$73:$N$74,MATCH(H72,'Logic Tree'!$I$73:$I$74,0),MATCH(G72,'Logic Tree'!$J$72:$N$72,0))</f>
        <v>1</v>
      </c>
    </row>
    <row r="73" spans="1:13" x14ac:dyDescent="0.35">
      <c r="A73" s="25">
        <v>1</v>
      </c>
      <c r="B73" s="24" t="s">
        <v>788</v>
      </c>
      <c r="C73" s="24" t="s">
        <v>191</v>
      </c>
      <c r="D73" s="24" t="s">
        <v>570</v>
      </c>
      <c r="E73" s="46" t="str">
        <f>'Pod Library'!E13</f>
        <v>Developer COBOL/JCL</v>
      </c>
      <c r="F73" s="47" t="str">
        <f>'Pod Library'!F13</f>
        <v>DEV</v>
      </c>
      <c r="G73" s="47" t="str">
        <f>'Pod Library'!G13</f>
        <v>E2</v>
      </c>
      <c r="H73" s="47" t="str">
        <f>'Pod Library'!H13</f>
        <v>OFF</v>
      </c>
      <c r="I73" s="47" t="str">
        <f>'Pod Library'!I13</f>
        <v>FTC</v>
      </c>
      <c r="J73" s="13">
        <f>'Pod Library'!J13</f>
        <v>1</v>
      </c>
      <c r="K73" s="13">
        <f>SUMIFS('Pod Plan'!$E:$E,'Pod Plan'!$B:$B,$A73,'Pod Plan'!$C:$C,$C73)</f>
        <v>1</v>
      </c>
      <c r="L73" s="25">
        <f t="shared" si="1"/>
        <v>1</v>
      </c>
      <c r="M73" s="44">
        <f>L73*INDEX('Logic Tree'!$J$73:$N$74,MATCH(H73,'Logic Tree'!$I$73:$I$74,0),MATCH(G73,'Logic Tree'!$J$72:$N$72,0))</f>
        <v>0.3</v>
      </c>
    </row>
    <row r="74" spans="1:13" x14ac:dyDescent="0.35">
      <c r="A74" s="25">
        <v>1</v>
      </c>
      <c r="B74" s="24" t="s">
        <v>788</v>
      </c>
      <c r="C74" s="24" t="s">
        <v>191</v>
      </c>
      <c r="D74" s="24" t="s">
        <v>570</v>
      </c>
      <c r="E74" s="46" t="str">
        <f>'Pod Library'!E14</f>
        <v>Test Engineer</v>
      </c>
      <c r="F74" s="47" t="str">
        <f>'Pod Library'!F14</f>
        <v>TEST</v>
      </c>
      <c r="G74" s="47" t="str">
        <f>'Pod Library'!G14</f>
        <v>E2</v>
      </c>
      <c r="H74" s="47" t="str">
        <f>'Pod Library'!H14</f>
        <v>OFF</v>
      </c>
      <c r="I74" s="47" t="str">
        <f>'Pod Library'!I14</f>
        <v>FTC</v>
      </c>
      <c r="J74" s="13">
        <f>'Pod Library'!J14</f>
        <v>1</v>
      </c>
      <c r="K74" s="13">
        <f>SUMIFS('Pod Plan'!$E:$E,'Pod Plan'!$B:$B,$A74,'Pod Plan'!$C:$C,$C74)</f>
        <v>1</v>
      </c>
      <c r="L74" s="25">
        <f t="shared" si="1"/>
        <v>1</v>
      </c>
      <c r="M74" s="44">
        <f>L74*INDEX('Logic Tree'!$J$73:$N$74,MATCH(H74,'Logic Tree'!$I$73:$I$74,0),MATCH(G74,'Logic Tree'!$J$72:$N$72,0))</f>
        <v>0.3</v>
      </c>
    </row>
    <row r="75" spans="1:13" x14ac:dyDescent="0.35">
      <c r="A75" s="25">
        <v>1</v>
      </c>
      <c r="B75" s="24" t="s">
        <v>788</v>
      </c>
      <c r="C75" s="24" t="s">
        <v>191</v>
      </c>
      <c r="D75" s="24" t="s">
        <v>587</v>
      </c>
      <c r="E75" s="46" t="str">
        <f>'Pod Library'!E17</f>
        <v>Pod Lead (output owner)</v>
      </c>
      <c r="F75" s="47" t="str">
        <f>'Pod Library'!F17</f>
        <v>LEAD</v>
      </c>
      <c r="G75" s="47" t="str">
        <f>'Pod Library'!G17</f>
        <v>E4</v>
      </c>
      <c r="H75" s="47" t="str">
        <f>'Pod Library'!H17</f>
        <v>ON</v>
      </c>
      <c r="I75" s="47" t="str">
        <f>'Pod Library'!I17</f>
        <v>FTC</v>
      </c>
      <c r="J75" s="13">
        <f>'Pod Library'!J17</f>
        <v>1</v>
      </c>
      <c r="K75" s="13">
        <f>SUMIFS('Pod Plan'!$F:$F,'Pod Plan'!$B:$B,$A75,'Pod Plan'!$C:$C,$C75)</f>
        <v>1</v>
      </c>
      <c r="L75" s="25">
        <f t="shared" si="1"/>
        <v>1</v>
      </c>
      <c r="M75" s="44">
        <f>L75*INDEX('Logic Tree'!$J$73:$N$74,MATCH(H75,'Logic Tree'!$I$73:$I$74,0),MATCH(G75,'Logic Tree'!$J$72:$N$72,0))</f>
        <v>1.85</v>
      </c>
    </row>
    <row r="76" spans="1:13" x14ac:dyDescent="0.35">
      <c r="A76" s="25">
        <v>1</v>
      </c>
      <c r="B76" s="24" t="s">
        <v>788</v>
      </c>
      <c r="C76" s="24" t="s">
        <v>191</v>
      </c>
      <c r="D76" s="24" t="s">
        <v>587</v>
      </c>
      <c r="E76" s="46" t="str">
        <f>'Pod Library'!E18</f>
        <v>Solution Architect</v>
      </c>
      <c r="F76" s="47" t="str">
        <f>'Pod Library'!F18</f>
        <v>ENG</v>
      </c>
      <c r="G76" s="47" t="str">
        <f>'Pod Library'!G18</f>
        <v>E4</v>
      </c>
      <c r="H76" s="47" t="str">
        <f>'Pod Library'!H18</f>
        <v>ON</v>
      </c>
      <c r="I76" s="47" t="str">
        <f>'Pod Library'!I18</f>
        <v>FTC</v>
      </c>
      <c r="J76" s="13">
        <f>'Pod Library'!J18</f>
        <v>1</v>
      </c>
      <c r="K76" s="13">
        <f>SUMIFS('Pod Plan'!$F:$F,'Pod Plan'!$B:$B,$A76,'Pod Plan'!$C:$C,$C76)</f>
        <v>1</v>
      </c>
      <c r="L76" s="25">
        <f t="shared" si="1"/>
        <v>1</v>
      </c>
      <c r="M76" s="44">
        <f>L76*INDEX('Logic Tree'!$J$73:$N$74,MATCH(H76,'Logic Tree'!$I$73:$I$74,0),MATCH(G76,'Logic Tree'!$J$72:$N$72,0))</f>
        <v>1.85</v>
      </c>
    </row>
    <row r="77" spans="1:13" x14ac:dyDescent="0.35">
      <c r="A77" s="25">
        <v>1</v>
      </c>
      <c r="B77" s="24" t="s">
        <v>788</v>
      </c>
      <c r="C77" s="24" t="s">
        <v>191</v>
      </c>
      <c r="D77" s="24" t="s">
        <v>587</v>
      </c>
      <c r="E77" s="46" t="str">
        <f>'Pod Library'!E19</f>
        <v>Business Analyst (bilingual)</v>
      </c>
      <c r="F77" s="47" t="str">
        <f>'Pod Library'!F19</f>
        <v>BA</v>
      </c>
      <c r="G77" s="47" t="str">
        <f>'Pod Library'!G19</f>
        <v>E3</v>
      </c>
      <c r="H77" s="47" t="str">
        <f>'Pod Library'!H19</f>
        <v>ON</v>
      </c>
      <c r="I77" s="47" t="str">
        <f>'Pod Library'!I19</f>
        <v>FTC</v>
      </c>
      <c r="J77" s="13">
        <f>'Pod Library'!J19</f>
        <v>1</v>
      </c>
      <c r="K77" s="13">
        <f>SUMIFS('Pod Plan'!$F:$F,'Pod Plan'!$B:$B,$A77,'Pod Plan'!$C:$C,$C77)</f>
        <v>1</v>
      </c>
      <c r="L77" s="25">
        <f t="shared" si="1"/>
        <v>1</v>
      </c>
      <c r="M77" s="44">
        <f>L77*INDEX('Logic Tree'!$J$73:$N$74,MATCH(H77,'Logic Tree'!$I$73:$I$74,0),MATCH(G77,'Logic Tree'!$J$72:$N$72,0))</f>
        <v>1.35</v>
      </c>
    </row>
    <row r="78" spans="1:13" x14ac:dyDescent="0.35">
      <c r="A78" s="25">
        <v>1</v>
      </c>
      <c r="B78" s="24" t="s">
        <v>788</v>
      </c>
      <c r="C78" s="24" t="s">
        <v>191</v>
      </c>
      <c r="D78" s="24" t="s">
        <v>587</v>
      </c>
      <c r="E78" s="46" t="str">
        <f>'Pod Library'!E20</f>
        <v>Senior Developer</v>
      </c>
      <c r="F78" s="47" t="str">
        <f>'Pod Library'!F20</f>
        <v>DEV</v>
      </c>
      <c r="G78" s="47" t="str">
        <f>'Pod Library'!G20</f>
        <v>E3</v>
      </c>
      <c r="H78" s="47" t="str">
        <f>'Pod Library'!H20</f>
        <v>ON</v>
      </c>
      <c r="I78" s="47" t="str">
        <f>'Pod Library'!I20</f>
        <v>FTC</v>
      </c>
      <c r="J78" s="13">
        <f>'Pod Library'!J20</f>
        <v>1</v>
      </c>
      <c r="K78" s="13">
        <f>SUMIFS('Pod Plan'!$F:$F,'Pod Plan'!$B:$B,$A78,'Pod Plan'!$C:$C,$C78)</f>
        <v>1</v>
      </c>
      <c r="L78" s="25">
        <f t="shared" si="1"/>
        <v>1</v>
      </c>
      <c r="M78" s="44">
        <f>L78*INDEX('Logic Tree'!$J$73:$N$74,MATCH(H78,'Logic Tree'!$I$73:$I$74,0),MATCH(G78,'Logic Tree'!$J$72:$N$72,0))</f>
        <v>1.35</v>
      </c>
    </row>
    <row r="79" spans="1:13" x14ac:dyDescent="0.35">
      <c r="A79" s="25">
        <v>1</v>
      </c>
      <c r="B79" s="24" t="s">
        <v>788</v>
      </c>
      <c r="C79" s="24" t="s">
        <v>191</v>
      </c>
      <c r="D79" s="24" t="s">
        <v>587</v>
      </c>
      <c r="E79" s="46" t="str">
        <f>'Pod Library'!E21</f>
        <v>Developer</v>
      </c>
      <c r="F79" s="47" t="str">
        <f>'Pod Library'!F21</f>
        <v>DEV</v>
      </c>
      <c r="G79" s="47" t="str">
        <f>'Pod Library'!G21</f>
        <v>E2</v>
      </c>
      <c r="H79" s="47" t="str">
        <f>'Pod Library'!H21</f>
        <v>ON</v>
      </c>
      <c r="I79" s="47" t="str">
        <f>'Pod Library'!I21</f>
        <v>FTC</v>
      </c>
      <c r="J79" s="13">
        <f>'Pod Library'!J21</f>
        <v>1</v>
      </c>
      <c r="K79" s="13">
        <f>SUMIFS('Pod Plan'!$F:$F,'Pod Plan'!$B:$B,$A79,'Pod Plan'!$C:$C,$C79)</f>
        <v>1</v>
      </c>
      <c r="L79" s="25">
        <f t="shared" si="1"/>
        <v>1</v>
      </c>
      <c r="M79" s="44">
        <f>L79*INDEX('Logic Tree'!$J$73:$N$74,MATCH(H79,'Logic Tree'!$I$73:$I$74,0),MATCH(G79,'Logic Tree'!$J$72:$N$72,0))</f>
        <v>1</v>
      </c>
    </row>
    <row r="80" spans="1:13" x14ac:dyDescent="0.35">
      <c r="A80" s="25">
        <v>1</v>
      </c>
      <c r="B80" s="24" t="s">
        <v>788</v>
      </c>
      <c r="C80" s="24" t="s">
        <v>191</v>
      </c>
      <c r="D80" s="24" t="s">
        <v>587</v>
      </c>
      <c r="E80" s="46" t="str">
        <f>'Pod Library'!E22</f>
        <v>Developer</v>
      </c>
      <c r="F80" s="47" t="str">
        <f>'Pod Library'!F22</f>
        <v>DEV</v>
      </c>
      <c r="G80" s="47" t="str">
        <f>'Pod Library'!G22</f>
        <v>E2</v>
      </c>
      <c r="H80" s="47" t="str">
        <f>'Pod Library'!H22</f>
        <v>OFF</v>
      </c>
      <c r="I80" s="47" t="str">
        <f>'Pod Library'!I22</f>
        <v>FTC</v>
      </c>
      <c r="J80" s="13">
        <f>'Pod Library'!J22</f>
        <v>1</v>
      </c>
      <c r="K80" s="13">
        <f>SUMIFS('Pod Plan'!$F:$F,'Pod Plan'!$B:$B,$A80,'Pod Plan'!$C:$C,$C80)</f>
        <v>1</v>
      </c>
      <c r="L80" s="25">
        <f t="shared" si="1"/>
        <v>1</v>
      </c>
      <c r="M80" s="44">
        <f>L80*INDEX('Logic Tree'!$J$73:$N$74,MATCH(H80,'Logic Tree'!$I$73:$I$74,0),MATCH(G80,'Logic Tree'!$J$72:$N$72,0))</f>
        <v>0.3</v>
      </c>
    </row>
    <row r="81" spans="1:13" x14ac:dyDescent="0.35">
      <c r="A81" s="25">
        <v>1</v>
      </c>
      <c r="B81" s="24" t="s">
        <v>788</v>
      </c>
      <c r="C81" s="24" t="s">
        <v>191</v>
      </c>
      <c r="D81" s="24" t="s">
        <v>587</v>
      </c>
      <c r="E81" s="46" t="str">
        <f>'Pod Library'!E23</f>
        <v>Developer</v>
      </c>
      <c r="F81" s="47" t="str">
        <f>'Pod Library'!F23</f>
        <v>DEV</v>
      </c>
      <c r="G81" s="47" t="str">
        <f>'Pod Library'!G23</f>
        <v>E1</v>
      </c>
      <c r="H81" s="47" t="str">
        <f>'Pod Library'!H23</f>
        <v>OFF</v>
      </c>
      <c r="I81" s="47" t="str">
        <f>'Pod Library'!I23</f>
        <v>FTC</v>
      </c>
      <c r="J81" s="13">
        <f>'Pod Library'!J23</f>
        <v>1</v>
      </c>
      <c r="K81" s="13">
        <f>SUMIFS('Pod Plan'!$F:$F,'Pod Plan'!$B:$B,$A81,'Pod Plan'!$C:$C,$C81)</f>
        <v>1</v>
      </c>
      <c r="L81" s="25">
        <f t="shared" si="1"/>
        <v>1</v>
      </c>
      <c r="M81" s="44">
        <f>L81*INDEX('Logic Tree'!$J$73:$N$74,MATCH(H81,'Logic Tree'!$I$73:$I$74,0),MATCH(G81,'Logic Tree'!$J$72:$N$72,0))</f>
        <v>0.22</v>
      </c>
    </row>
    <row r="82" spans="1:13" x14ac:dyDescent="0.35">
      <c r="A82" s="25">
        <v>1</v>
      </c>
      <c r="B82" s="24" t="s">
        <v>788</v>
      </c>
      <c r="C82" s="24" t="s">
        <v>191</v>
      </c>
      <c r="D82" s="24" t="s">
        <v>587</v>
      </c>
      <c r="E82" s="46" t="str">
        <f>'Pod Library'!E24</f>
        <v>Test Lead</v>
      </c>
      <c r="F82" s="47" t="str">
        <f>'Pod Library'!F24</f>
        <v>TEST</v>
      </c>
      <c r="G82" s="47" t="str">
        <f>'Pod Library'!G24</f>
        <v>E3</v>
      </c>
      <c r="H82" s="47" t="str">
        <f>'Pod Library'!H24</f>
        <v>ON</v>
      </c>
      <c r="I82" s="47" t="str">
        <f>'Pod Library'!I24</f>
        <v>FTC</v>
      </c>
      <c r="J82" s="13">
        <f>'Pod Library'!J24</f>
        <v>1</v>
      </c>
      <c r="K82" s="13">
        <f>SUMIFS('Pod Plan'!$F:$F,'Pod Plan'!$B:$B,$A82,'Pod Plan'!$C:$C,$C82)</f>
        <v>1</v>
      </c>
      <c r="L82" s="25">
        <f t="shared" si="1"/>
        <v>1</v>
      </c>
      <c r="M82" s="44">
        <f>L82*INDEX('Logic Tree'!$J$73:$N$74,MATCH(H82,'Logic Tree'!$I$73:$I$74,0),MATCH(G82,'Logic Tree'!$J$72:$N$72,0))</f>
        <v>1.35</v>
      </c>
    </row>
    <row r="83" spans="1:13" x14ac:dyDescent="0.35">
      <c r="A83" s="25">
        <v>1</v>
      </c>
      <c r="B83" s="24" t="s">
        <v>788</v>
      </c>
      <c r="C83" s="24" t="s">
        <v>191</v>
      </c>
      <c r="D83" s="24" t="s">
        <v>587</v>
      </c>
      <c r="E83" s="46" t="str">
        <f>'Pod Library'!E25</f>
        <v>Test Engineer</v>
      </c>
      <c r="F83" s="47" t="str">
        <f>'Pod Library'!F25</f>
        <v>TEST</v>
      </c>
      <c r="G83" s="47" t="str">
        <f>'Pod Library'!G25</f>
        <v>E2</v>
      </c>
      <c r="H83" s="47" t="str">
        <f>'Pod Library'!H25</f>
        <v>OFF</v>
      </c>
      <c r="I83" s="47" t="str">
        <f>'Pod Library'!I25</f>
        <v>FTC</v>
      </c>
      <c r="J83" s="13">
        <f>'Pod Library'!J25</f>
        <v>1</v>
      </c>
      <c r="K83" s="13">
        <f>SUMIFS('Pod Plan'!$F:$F,'Pod Plan'!$B:$B,$A83,'Pod Plan'!$C:$C,$C83)</f>
        <v>1</v>
      </c>
      <c r="L83" s="25">
        <f t="shared" si="1"/>
        <v>1</v>
      </c>
      <c r="M83" s="44">
        <f>L83*INDEX('Logic Tree'!$J$73:$N$74,MATCH(H83,'Logic Tree'!$I$73:$I$74,0),MATCH(G83,'Logic Tree'!$J$72:$N$72,0))</f>
        <v>0.3</v>
      </c>
    </row>
    <row r="84" spans="1:13" x14ac:dyDescent="0.35">
      <c r="A84" s="25">
        <v>1</v>
      </c>
      <c r="B84" s="24" t="s">
        <v>788</v>
      </c>
      <c r="C84" s="24" t="s">
        <v>191</v>
      </c>
      <c r="D84" s="24" t="s">
        <v>587</v>
      </c>
      <c r="E84" s="46" t="str">
        <f>'Pod Library'!E26</f>
        <v>Test Engineer</v>
      </c>
      <c r="F84" s="47" t="str">
        <f>'Pod Library'!F26</f>
        <v>TEST</v>
      </c>
      <c r="G84" s="47" t="str">
        <f>'Pod Library'!G26</f>
        <v>E1</v>
      </c>
      <c r="H84" s="47" t="str">
        <f>'Pod Library'!H26</f>
        <v>OFF</v>
      </c>
      <c r="I84" s="47" t="str">
        <f>'Pod Library'!I26</f>
        <v>FTC</v>
      </c>
      <c r="J84" s="13">
        <f>'Pod Library'!J26</f>
        <v>1</v>
      </c>
      <c r="K84" s="13">
        <f>SUMIFS('Pod Plan'!$F:$F,'Pod Plan'!$B:$B,$A84,'Pod Plan'!$C:$C,$C84)</f>
        <v>1</v>
      </c>
      <c r="L84" s="25">
        <f t="shared" si="1"/>
        <v>1</v>
      </c>
      <c r="M84" s="44">
        <f>L84*INDEX('Logic Tree'!$J$73:$N$74,MATCH(H84,'Logic Tree'!$I$73:$I$74,0),MATCH(G84,'Logic Tree'!$J$72:$N$72,0))</f>
        <v>0.22</v>
      </c>
    </row>
    <row r="85" spans="1:13" x14ac:dyDescent="0.35">
      <c r="A85" s="25">
        <v>1</v>
      </c>
      <c r="B85" s="24" t="s">
        <v>788</v>
      </c>
      <c r="C85" s="24" t="s">
        <v>232</v>
      </c>
      <c r="D85" s="24" t="s">
        <v>570</v>
      </c>
      <c r="E85" s="46" t="str">
        <f>'Pod Library'!E5</f>
        <v>Product Owner</v>
      </c>
      <c r="F85" s="47" t="str">
        <f>'Pod Library'!F5</f>
        <v>LEAD</v>
      </c>
      <c r="G85" s="47" t="str">
        <f>'Pod Library'!G5</f>
        <v>E4</v>
      </c>
      <c r="H85" s="47" t="str">
        <f>'Pod Library'!H5</f>
        <v>ON</v>
      </c>
      <c r="I85" s="47" t="str">
        <f>'Pod Library'!I5</f>
        <v>FTE</v>
      </c>
      <c r="J85" s="13">
        <f>'Pod Library'!J5</f>
        <v>1</v>
      </c>
      <c r="K85" s="13">
        <f>SUMIFS('Pod Plan'!$E:$E,'Pod Plan'!$B:$B,$A85,'Pod Plan'!$C:$C,$C85)</f>
        <v>1</v>
      </c>
      <c r="L85" s="25">
        <f t="shared" si="1"/>
        <v>1</v>
      </c>
      <c r="M85" s="44">
        <f>L85*INDEX('Logic Tree'!$J$73:$N$74,MATCH(H85,'Logic Tree'!$I$73:$I$74,0),MATCH(G85,'Logic Tree'!$J$72:$N$72,0))</f>
        <v>1.85</v>
      </c>
    </row>
    <row r="86" spans="1:13" x14ac:dyDescent="0.35">
      <c r="A86" s="25">
        <v>1</v>
      </c>
      <c r="B86" s="24" t="s">
        <v>788</v>
      </c>
      <c r="C86" s="24" t="s">
        <v>232</v>
      </c>
      <c r="D86" s="24" t="s">
        <v>570</v>
      </c>
      <c r="E86" s="46" t="str">
        <f>'Pod Library'!E6</f>
        <v>Contract Domain SME</v>
      </c>
      <c r="F86" s="47" t="str">
        <f>'Pod Library'!F6</f>
        <v>BA</v>
      </c>
      <c r="G86" s="47" t="str">
        <f>'Pod Library'!G6</f>
        <v>E5</v>
      </c>
      <c r="H86" s="47" t="str">
        <f>'Pod Library'!H6</f>
        <v>ON</v>
      </c>
      <c r="I86" s="47" t="str">
        <f>'Pod Library'!I6</f>
        <v>FTE</v>
      </c>
      <c r="J86" s="13">
        <f>'Pod Library'!J6</f>
        <v>1</v>
      </c>
      <c r="K86" s="13">
        <f>SUMIFS('Pod Plan'!$E:$E,'Pod Plan'!$B:$B,$A86,'Pod Plan'!$C:$C,$C86)</f>
        <v>1</v>
      </c>
      <c r="L86" s="25">
        <f t="shared" si="1"/>
        <v>1</v>
      </c>
      <c r="M86" s="44">
        <f>L86*INDEX('Logic Tree'!$J$73:$N$74,MATCH(H86,'Logic Tree'!$I$73:$I$74,0),MATCH(G86,'Logic Tree'!$J$72:$N$72,0))</f>
        <v>2.5499999999999998</v>
      </c>
    </row>
    <row r="87" spans="1:13" x14ac:dyDescent="0.35">
      <c r="A87" s="25">
        <v>1</v>
      </c>
      <c r="B87" s="24" t="s">
        <v>788</v>
      </c>
      <c r="C87" s="24" t="s">
        <v>232</v>
      </c>
      <c r="D87" s="24" t="s">
        <v>570</v>
      </c>
      <c r="E87" s="46" t="str">
        <f>'Pod Library'!E7</f>
        <v>Application Owner (Technical)</v>
      </c>
      <c r="F87" s="47" t="str">
        <f>'Pod Library'!F7</f>
        <v>ENG</v>
      </c>
      <c r="G87" s="47" t="str">
        <f>'Pod Library'!G7</f>
        <v>E4</v>
      </c>
      <c r="H87" s="47" t="str">
        <f>'Pod Library'!H7</f>
        <v>ON</v>
      </c>
      <c r="I87" s="47" t="str">
        <f>'Pod Library'!I7</f>
        <v>FTE</v>
      </c>
      <c r="J87" s="13">
        <f>'Pod Library'!J7</f>
        <v>1</v>
      </c>
      <c r="K87" s="13">
        <f>SUMIFS('Pod Plan'!$E:$E,'Pod Plan'!$B:$B,$A87,'Pod Plan'!$C:$C,$C87)</f>
        <v>1</v>
      </c>
      <c r="L87" s="25">
        <f t="shared" si="1"/>
        <v>1</v>
      </c>
      <c r="M87" s="44">
        <f>L87*INDEX('Logic Tree'!$J$73:$N$74,MATCH(H87,'Logic Tree'!$I$73:$I$74,0),MATCH(G87,'Logic Tree'!$J$72:$N$72,0))</f>
        <v>1.85</v>
      </c>
    </row>
    <row r="88" spans="1:13" x14ac:dyDescent="0.35">
      <c r="A88" s="25">
        <v>1</v>
      </c>
      <c r="B88" s="24" t="s">
        <v>788</v>
      </c>
      <c r="C88" s="24" t="s">
        <v>232</v>
      </c>
      <c r="D88" s="24" t="s">
        <v>570</v>
      </c>
      <c r="E88" s="46" t="str">
        <f>'Pod Library'!E8</f>
        <v>Pod Delivery Lead</v>
      </c>
      <c r="F88" s="47" t="str">
        <f>'Pod Library'!F8</f>
        <v>LEAD</v>
      </c>
      <c r="G88" s="47" t="str">
        <f>'Pod Library'!G8</f>
        <v>E4</v>
      </c>
      <c r="H88" s="47" t="str">
        <f>'Pod Library'!H8</f>
        <v>ON</v>
      </c>
      <c r="I88" s="47" t="str">
        <f>'Pod Library'!I8</f>
        <v>FTC</v>
      </c>
      <c r="J88" s="13">
        <f>'Pod Library'!J8</f>
        <v>1</v>
      </c>
      <c r="K88" s="13">
        <f>SUMIFS('Pod Plan'!$E:$E,'Pod Plan'!$B:$B,$A88,'Pod Plan'!$C:$C,$C88)</f>
        <v>1</v>
      </c>
      <c r="L88" s="25">
        <f t="shared" si="1"/>
        <v>1</v>
      </c>
      <c r="M88" s="44">
        <f>L88*INDEX('Logic Tree'!$J$73:$N$74,MATCH(H88,'Logic Tree'!$I$73:$I$74,0),MATCH(G88,'Logic Tree'!$J$72:$N$72,0))</f>
        <v>1.85</v>
      </c>
    </row>
    <row r="89" spans="1:13" x14ac:dyDescent="0.35">
      <c r="A89" s="25">
        <v>1</v>
      </c>
      <c r="B89" s="24" t="s">
        <v>788</v>
      </c>
      <c r="C89" s="24" t="s">
        <v>232</v>
      </c>
      <c r="D89" s="24" t="s">
        <v>570</v>
      </c>
      <c r="E89" s="46" t="str">
        <f>'Pod Library'!E9</f>
        <v>Solution Architect - Mainframe</v>
      </c>
      <c r="F89" s="47" t="str">
        <f>'Pod Library'!F9</f>
        <v>ENG</v>
      </c>
      <c r="G89" s="47" t="str">
        <f>'Pod Library'!G9</f>
        <v>E5</v>
      </c>
      <c r="H89" s="47" t="str">
        <f>'Pod Library'!H9</f>
        <v>ON</v>
      </c>
      <c r="I89" s="47" t="str">
        <f>'Pod Library'!I9</f>
        <v>FTC</v>
      </c>
      <c r="J89" s="13">
        <f>'Pod Library'!J9</f>
        <v>1</v>
      </c>
      <c r="K89" s="13">
        <f>SUMIFS('Pod Plan'!$E:$E,'Pod Plan'!$B:$B,$A89,'Pod Plan'!$C:$C,$C89)</f>
        <v>1</v>
      </c>
      <c r="L89" s="25">
        <f t="shared" si="1"/>
        <v>1</v>
      </c>
      <c r="M89" s="44">
        <f>L89*INDEX('Logic Tree'!$J$73:$N$74,MATCH(H89,'Logic Tree'!$I$73:$I$74,0),MATCH(G89,'Logic Tree'!$J$72:$N$72,0))</f>
        <v>2.5499999999999998</v>
      </c>
    </row>
    <row r="90" spans="1:13" x14ac:dyDescent="0.35">
      <c r="A90" s="25">
        <v>1</v>
      </c>
      <c r="B90" s="24" t="s">
        <v>788</v>
      </c>
      <c r="C90" s="24" t="s">
        <v>232</v>
      </c>
      <c r="D90" s="24" t="s">
        <v>570</v>
      </c>
      <c r="E90" s="46" t="str">
        <f>'Pod Library'!E10</f>
        <v>Business Analyst (bilingual)</v>
      </c>
      <c r="F90" s="47" t="str">
        <f>'Pod Library'!F10</f>
        <v>BA</v>
      </c>
      <c r="G90" s="47" t="str">
        <f>'Pod Library'!G10</f>
        <v>E3</v>
      </c>
      <c r="H90" s="47" t="str">
        <f>'Pod Library'!H10</f>
        <v>ON</v>
      </c>
      <c r="I90" s="47" t="str">
        <f>'Pod Library'!I10</f>
        <v>FTC</v>
      </c>
      <c r="J90" s="13">
        <f>'Pod Library'!J10</f>
        <v>1</v>
      </c>
      <c r="K90" s="13">
        <f>SUMIFS('Pod Plan'!$E:$E,'Pod Plan'!$B:$B,$A90,'Pod Plan'!$C:$C,$C90)</f>
        <v>1</v>
      </c>
      <c r="L90" s="25">
        <f t="shared" si="1"/>
        <v>1</v>
      </c>
      <c r="M90" s="44">
        <f>L90*INDEX('Logic Tree'!$J$73:$N$74,MATCH(H90,'Logic Tree'!$I$73:$I$74,0),MATCH(G90,'Logic Tree'!$J$72:$N$72,0))</f>
        <v>1.35</v>
      </c>
    </row>
    <row r="91" spans="1:13" x14ac:dyDescent="0.35">
      <c r="A91" s="25">
        <v>1</v>
      </c>
      <c r="B91" s="24" t="s">
        <v>788</v>
      </c>
      <c r="C91" s="24" t="s">
        <v>232</v>
      </c>
      <c r="D91" s="24" t="s">
        <v>570</v>
      </c>
      <c r="E91" s="46" t="str">
        <f>'Pod Library'!E11</f>
        <v>Senior Developer COBOL/Assembler</v>
      </c>
      <c r="F91" s="47" t="str">
        <f>'Pod Library'!F11</f>
        <v>DEV</v>
      </c>
      <c r="G91" s="47" t="str">
        <f>'Pod Library'!G11</f>
        <v>E4</v>
      </c>
      <c r="H91" s="47" t="str">
        <f>'Pod Library'!H11</f>
        <v>ON</v>
      </c>
      <c r="I91" s="47" t="str">
        <f>'Pod Library'!I11</f>
        <v>FTC</v>
      </c>
      <c r="J91" s="13">
        <f>'Pod Library'!J11</f>
        <v>1</v>
      </c>
      <c r="K91" s="13">
        <f>SUMIFS('Pod Plan'!$E:$E,'Pod Plan'!$B:$B,$A91,'Pod Plan'!$C:$C,$C91)</f>
        <v>1</v>
      </c>
      <c r="L91" s="25">
        <f t="shared" si="1"/>
        <v>1</v>
      </c>
      <c r="M91" s="44">
        <f>L91*INDEX('Logic Tree'!$J$73:$N$74,MATCH(H91,'Logic Tree'!$I$73:$I$74,0),MATCH(G91,'Logic Tree'!$J$72:$N$72,0))</f>
        <v>1.85</v>
      </c>
    </row>
    <row r="92" spans="1:13" x14ac:dyDescent="0.35">
      <c r="A92" s="25">
        <v>1</v>
      </c>
      <c r="B92" s="24" t="s">
        <v>788</v>
      </c>
      <c r="C92" s="24" t="s">
        <v>232</v>
      </c>
      <c r="D92" s="24" t="s">
        <v>570</v>
      </c>
      <c r="E92" s="46" t="str">
        <f>'Pod Library'!E12</f>
        <v>Developer COBOL/JCL</v>
      </c>
      <c r="F92" s="47" t="str">
        <f>'Pod Library'!F12</f>
        <v>DEV</v>
      </c>
      <c r="G92" s="47" t="str">
        <f>'Pod Library'!G12</f>
        <v>E2</v>
      </c>
      <c r="H92" s="47" t="str">
        <f>'Pod Library'!H12</f>
        <v>ON</v>
      </c>
      <c r="I92" s="47" t="str">
        <f>'Pod Library'!I12</f>
        <v>FTC</v>
      </c>
      <c r="J92" s="13">
        <f>'Pod Library'!J12</f>
        <v>1</v>
      </c>
      <c r="K92" s="13">
        <f>SUMIFS('Pod Plan'!$E:$E,'Pod Plan'!$B:$B,$A92,'Pod Plan'!$C:$C,$C92)</f>
        <v>1</v>
      </c>
      <c r="L92" s="25">
        <f t="shared" si="1"/>
        <v>1</v>
      </c>
      <c r="M92" s="44">
        <f>L92*INDEX('Logic Tree'!$J$73:$N$74,MATCH(H92,'Logic Tree'!$I$73:$I$74,0),MATCH(G92,'Logic Tree'!$J$72:$N$72,0))</f>
        <v>1</v>
      </c>
    </row>
    <row r="93" spans="1:13" x14ac:dyDescent="0.35">
      <c r="A93" s="25">
        <v>1</v>
      </c>
      <c r="B93" s="24" t="s">
        <v>788</v>
      </c>
      <c r="C93" s="24" t="s">
        <v>232</v>
      </c>
      <c r="D93" s="24" t="s">
        <v>570</v>
      </c>
      <c r="E93" s="46" t="str">
        <f>'Pod Library'!E13</f>
        <v>Developer COBOL/JCL</v>
      </c>
      <c r="F93" s="47" t="str">
        <f>'Pod Library'!F13</f>
        <v>DEV</v>
      </c>
      <c r="G93" s="47" t="str">
        <f>'Pod Library'!G13</f>
        <v>E2</v>
      </c>
      <c r="H93" s="47" t="str">
        <f>'Pod Library'!H13</f>
        <v>OFF</v>
      </c>
      <c r="I93" s="47" t="str">
        <f>'Pod Library'!I13</f>
        <v>FTC</v>
      </c>
      <c r="J93" s="13">
        <f>'Pod Library'!J13</f>
        <v>1</v>
      </c>
      <c r="K93" s="13">
        <f>SUMIFS('Pod Plan'!$E:$E,'Pod Plan'!$B:$B,$A93,'Pod Plan'!$C:$C,$C93)</f>
        <v>1</v>
      </c>
      <c r="L93" s="25">
        <f t="shared" si="1"/>
        <v>1</v>
      </c>
      <c r="M93" s="44">
        <f>L93*INDEX('Logic Tree'!$J$73:$N$74,MATCH(H93,'Logic Tree'!$I$73:$I$74,0),MATCH(G93,'Logic Tree'!$J$72:$N$72,0))</f>
        <v>0.3</v>
      </c>
    </row>
    <row r="94" spans="1:13" x14ac:dyDescent="0.35">
      <c r="A94" s="25">
        <v>1</v>
      </c>
      <c r="B94" s="24" t="s">
        <v>788</v>
      </c>
      <c r="C94" s="24" t="s">
        <v>232</v>
      </c>
      <c r="D94" s="24" t="s">
        <v>570</v>
      </c>
      <c r="E94" s="46" t="str">
        <f>'Pod Library'!E14</f>
        <v>Test Engineer</v>
      </c>
      <c r="F94" s="47" t="str">
        <f>'Pod Library'!F14</f>
        <v>TEST</v>
      </c>
      <c r="G94" s="47" t="str">
        <f>'Pod Library'!G14</f>
        <v>E2</v>
      </c>
      <c r="H94" s="47" t="str">
        <f>'Pod Library'!H14</f>
        <v>OFF</v>
      </c>
      <c r="I94" s="47" t="str">
        <f>'Pod Library'!I14</f>
        <v>FTC</v>
      </c>
      <c r="J94" s="13">
        <f>'Pod Library'!J14</f>
        <v>1</v>
      </c>
      <c r="K94" s="13">
        <f>SUMIFS('Pod Plan'!$E:$E,'Pod Plan'!$B:$B,$A94,'Pod Plan'!$C:$C,$C94)</f>
        <v>1</v>
      </c>
      <c r="L94" s="25">
        <f t="shared" si="1"/>
        <v>1</v>
      </c>
      <c r="M94" s="44">
        <f>L94*INDEX('Logic Tree'!$J$73:$N$74,MATCH(H94,'Logic Tree'!$I$73:$I$74,0),MATCH(G94,'Logic Tree'!$J$72:$N$72,0))</f>
        <v>0.3</v>
      </c>
    </row>
    <row r="95" spans="1:13" x14ac:dyDescent="0.35">
      <c r="A95" s="25">
        <v>1</v>
      </c>
      <c r="B95" s="24" t="s">
        <v>788</v>
      </c>
      <c r="C95" s="24" t="s">
        <v>232</v>
      </c>
      <c r="D95" s="24" t="s">
        <v>587</v>
      </c>
      <c r="E95" s="46" t="str">
        <f>'Pod Library'!E17</f>
        <v>Pod Lead (output owner)</v>
      </c>
      <c r="F95" s="47" t="str">
        <f>'Pod Library'!F17</f>
        <v>LEAD</v>
      </c>
      <c r="G95" s="47" t="str">
        <f>'Pod Library'!G17</f>
        <v>E4</v>
      </c>
      <c r="H95" s="47" t="str">
        <f>'Pod Library'!H17</f>
        <v>ON</v>
      </c>
      <c r="I95" s="47" t="str">
        <f>'Pod Library'!I17</f>
        <v>FTC</v>
      </c>
      <c r="J95" s="13">
        <f>'Pod Library'!J17</f>
        <v>1</v>
      </c>
      <c r="K95" s="13">
        <f>SUMIFS('Pod Plan'!$F:$F,'Pod Plan'!$B:$B,$A95,'Pod Plan'!$C:$C,$C95)</f>
        <v>2</v>
      </c>
      <c r="L95" s="25">
        <f t="shared" si="1"/>
        <v>2</v>
      </c>
      <c r="M95" s="44">
        <f>L95*INDEX('Logic Tree'!$J$73:$N$74,MATCH(H95,'Logic Tree'!$I$73:$I$74,0),MATCH(G95,'Logic Tree'!$J$72:$N$72,0))</f>
        <v>3.7</v>
      </c>
    </row>
    <row r="96" spans="1:13" x14ac:dyDescent="0.35">
      <c r="A96" s="25">
        <v>1</v>
      </c>
      <c r="B96" s="24" t="s">
        <v>788</v>
      </c>
      <c r="C96" s="24" t="s">
        <v>232</v>
      </c>
      <c r="D96" s="24" t="s">
        <v>587</v>
      </c>
      <c r="E96" s="46" t="str">
        <f>'Pod Library'!E18</f>
        <v>Solution Architect</v>
      </c>
      <c r="F96" s="47" t="str">
        <f>'Pod Library'!F18</f>
        <v>ENG</v>
      </c>
      <c r="G96" s="47" t="str">
        <f>'Pod Library'!G18</f>
        <v>E4</v>
      </c>
      <c r="H96" s="47" t="str">
        <f>'Pod Library'!H18</f>
        <v>ON</v>
      </c>
      <c r="I96" s="47" t="str">
        <f>'Pod Library'!I18</f>
        <v>FTC</v>
      </c>
      <c r="J96" s="13">
        <f>'Pod Library'!J18</f>
        <v>1</v>
      </c>
      <c r="K96" s="13">
        <f>SUMIFS('Pod Plan'!$F:$F,'Pod Plan'!$B:$B,$A96,'Pod Plan'!$C:$C,$C96)</f>
        <v>2</v>
      </c>
      <c r="L96" s="25">
        <f t="shared" si="1"/>
        <v>2</v>
      </c>
      <c r="M96" s="44">
        <f>L96*INDEX('Logic Tree'!$J$73:$N$74,MATCH(H96,'Logic Tree'!$I$73:$I$74,0),MATCH(G96,'Logic Tree'!$J$72:$N$72,0))</f>
        <v>3.7</v>
      </c>
    </row>
    <row r="97" spans="1:13" x14ac:dyDescent="0.35">
      <c r="A97" s="25">
        <v>1</v>
      </c>
      <c r="B97" s="24" t="s">
        <v>788</v>
      </c>
      <c r="C97" s="24" t="s">
        <v>232</v>
      </c>
      <c r="D97" s="24" t="s">
        <v>587</v>
      </c>
      <c r="E97" s="46" t="str">
        <f>'Pod Library'!E19</f>
        <v>Business Analyst (bilingual)</v>
      </c>
      <c r="F97" s="47" t="str">
        <f>'Pod Library'!F19</f>
        <v>BA</v>
      </c>
      <c r="G97" s="47" t="str">
        <f>'Pod Library'!G19</f>
        <v>E3</v>
      </c>
      <c r="H97" s="47" t="str">
        <f>'Pod Library'!H19</f>
        <v>ON</v>
      </c>
      <c r="I97" s="47" t="str">
        <f>'Pod Library'!I19</f>
        <v>FTC</v>
      </c>
      <c r="J97" s="13">
        <f>'Pod Library'!J19</f>
        <v>1</v>
      </c>
      <c r="K97" s="13">
        <f>SUMIFS('Pod Plan'!$F:$F,'Pod Plan'!$B:$B,$A97,'Pod Plan'!$C:$C,$C97)</f>
        <v>2</v>
      </c>
      <c r="L97" s="25">
        <f t="shared" si="1"/>
        <v>2</v>
      </c>
      <c r="M97" s="44">
        <f>L97*INDEX('Logic Tree'!$J$73:$N$74,MATCH(H97,'Logic Tree'!$I$73:$I$74,0),MATCH(G97,'Logic Tree'!$J$72:$N$72,0))</f>
        <v>2.7</v>
      </c>
    </row>
    <row r="98" spans="1:13" x14ac:dyDescent="0.35">
      <c r="A98" s="25">
        <v>1</v>
      </c>
      <c r="B98" s="24" t="s">
        <v>788</v>
      </c>
      <c r="C98" s="24" t="s">
        <v>232</v>
      </c>
      <c r="D98" s="24" t="s">
        <v>587</v>
      </c>
      <c r="E98" s="46" t="str">
        <f>'Pod Library'!E20</f>
        <v>Senior Developer</v>
      </c>
      <c r="F98" s="47" t="str">
        <f>'Pod Library'!F20</f>
        <v>DEV</v>
      </c>
      <c r="G98" s="47" t="str">
        <f>'Pod Library'!G20</f>
        <v>E3</v>
      </c>
      <c r="H98" s="47" t="str">
        <f>'Pod Library'!H20</f>
        <v>ON</v>
      </c>
      <c r="I98" s="47" t="str">
        <f>'Pod Library'!I20</f>
        <v>FTC</v>
      </c>
      <c r="J98" s="13">
        <f>'Pod Library'!J20</f>
        <v>1</v>
      </c>
      <c r="K98" s="13">
        <f>SUMIFS('Pod Plan'!$F:$F,'Pod Plan'!$B:$B,$A98,'Pod Plan'!$C:$C,$C98)</f>
        <v>2</v>
      </c>
      <c r="L98" s="25">
        <f t="shared" si="1"/>
        <v>2</v>
      </c>
      <c r="M98" s="44">
        <f>L98*INDEX('Logic Tree'!$J$73:$N$74,MATCH(H98,'Logic Tree'!$I$73:$I$74,0),MATCH(G98,'Logic Tree'!$J$72:$N$72,0))</f>
        <v>2.7</v>
      </c>
    </row>
    <row r="99" spans="1:13" x14ac:dyDescent="0.35">
      <c r="A99" s="25">
        <v>1</v>
      </c>
      <c r="B99" s="24" t="s">
        <v>788</v>
      </c>
      <c r="C99" s="24" t="s">
        <v>232</v>
      </c>
      <c r="D99" s="24" t="s">
        <v>587</v>
      </c>
      <c r="E99" s="46" t="str">
        <f>'Pod Library'!E21</f>
        <v>Developer</v>
      </c>
      <c r="F99" s="47" t="str">
        <f>'Pod Library'!F21</f>
        <v>DEV</v>
      </c>
      <c r="G99" s="47" t="str">
        <f>'Pod Library'!G21</f>
        <v>E2</v>
      </c>
      <c r="H99" s="47" t="str">
        <f>'Pod Library'!H21</f>
        <v>ON</v>
      </c>
      <c r="I99" s="47" t="str">
        <f>'Pod Library'!I21</f>
        <v>FTC</v>
      </c>
      <c r="J99" s="13">
        <f>'Pod Library'!J21</f>
        <v>1</v>
      </c>
      <c r="K99" s="13">
        <f>SUMIFS('Pod Plan'!$F:$F,'Pod Plan'!$B:$B,$A99,'Pod Plan'!$C:$C,$C99)</f>
        <v>2</v>
      </c>
      <c r="L99" s="25">
        <f t="shared" si="1"/>
        <v>2</v>
      </c>
      <c r="M99" s="44">
        <f>L99*INDEX('Logic Tree'!$J$73:$N$74,MATCH(H99,'Logic Tree'!$I$73:$I$74,0),MATCH(G99,'Logic Tree'!$J$72:$N$72,0))</f>
        <v>2</v>
      </c>
    </row>
    <row r="100" spans="1:13" x14ac:dyDescent="0.35">
      <c r="A100" s="25">
        <v>1</v>
      </c>
      <c r="B100" s="24" t="s">
        <v>788</v>
      </c>
      <c r="C100" s="24" t="s">
        <v>232</v>
      </c>
      <c r="D100" s="24" t="s">
        <v>587</v>
      </c>
      <c r="E100" s="46" t="str">
        <f>'Pod Library'!E22</f>
        <v>Developer</v>
      </c>
      <c r="F100" s="47" t="str">
        <f>'Pod Library'!F22</f>
        <v>DEV</v>
      </c>
      <c r="G100" s="47" t="str">
        <f>'Pod Library'!G22</f>
        <v>E2</v>
      </c>
      <c r="H100" s="47" t="str">
        <f>'Pod Library'!H22</f>
        <v>OFF</v>
      </c>
      <c r="I100" s="47" t="str">
        <f>'Pod Library'!I22</f>
        <v>FTC</v>
      </c>
      <c r="J100" s="13">
        <f>'Pod Library'!J22</f>
        <v>1</v>
      </c>
      <c r="K100" s="13">
        <f>SUMIFS('Pod Plan'!$F:$F,'Pod Plan'!$B:$B,$A100,'Pod Plan'!$C:$C,$C100)</f>
        <v>2</v>
      </c>
      <c r="L100" s="25">
        <f t="shared" si="1"/>
        <v>2</v>
      </c>
      <c r="M100" s="44">
        <f>L100*INDEX('Logic Tree'!$J$73:$N$74,MATCH(H100,'Logic Tree'!$I$73:$I$74,0),MATCH(G100,'Logic Tree'!$J$72:$N$72,0))</f>
        <v>0.6</v>
      </c>
    </row>
    <row r="101" spans="1:13" x14ac:dyDescent="0.35">
      <c r="A101" s="25">
        <v>1</v>
      </c>
      <c r="B101" s="24" t="s">
        <v>788</v>
      </c>
      <c r="C101" s="24" t="s">
        <v>232</v>
      </c>
      <c r="D101" s="24" t="s">
        <v>587</v>
      </c>
      <c r="E101" s="46" t="str">
        <f>'Pod Library'!E23</f>
        <v>Developer</v>
      </c>
      <c r="F101" s="47" t="str">
        <f>'Pod Library'!F23</f>
        <v>DEV</v>
      </c>
      <c r="G101" s="47" t="str">
        <f>'Pod Library'!G23</f>
        <v>E1</v>
      </c>
      <c r="H101" s="47" t="str">
        <f>'Pod Library'!H23</f>
        <v>OFF</v>
      </c>
      <c r="I101" s="47" t="str">
        <f>'Pod Library'!I23</f>
        <v>FTC</v>
      </c>
      <c r="J101" s="13">
        <f>'Pod Library'!J23</f>
        <v>1</v>
      </c>
      <c r="K101" s="13">
        <f>SUMIFS('Pod Plan'!$F:$F,'Pod Plan'!$B:$B,$A101,'Pod Plan'!$C:$C,$C101)</f>
        <v>2</v>
      </c>
      <c r="L101" s="25">
        <f t="shared" si="1"/>
        <v>2</v>
      </c>
      <c r="M101" s="44">
        <f>L101*INDEX('Logic Tree'!$J$73:$N$74,MATCH(H101,'Logic Tree'!$I$73:$I$74,0),MATCH(G101,'Logic Tree'!$J$72:$N$72,0))</f>
        <v>0.44</v>
      </c>
    </row>
    <row r="102" spans="1:13" x14ac:dyDescent="0.35">
      <c r="A102" s="25">
        <v>1</v>
      </c>
      <c r="B102" s="24" t="s">
        <v>788</v>
      </c>
      <c r="C102" s="24" t="s">
        <v>232</v>
      </c>
      <c r="D102" s="24" t="s">
        <v>587</v>
      </c>
      <c r="E102" s="46" t="str">
        <f>'Pod Library'!E24</f>
        <v>Test Lead</v>
      </c>
      <c r="F102" s="47" t="str">
        <f>'Pod Library'!F24</f>
        <v>TEST</v>
      </c>
      <c r="G102" s="47" t="str">
        <f>'Pod Library'!G24</f>
        <v>E3</v>
      </c>
      <c r="H102" s="47" t="str">
        <f>'Pod Library'!H24</f>
        <v>ON</v>
      </c>
      <c r="I102" s="47" t="str">
        <f>'Pod Library'!I24</f>
        <v>FTC</v>
      </c>
      <c r="J102" s="13">
        <f>'Pod Library'!J24</f>
        <v>1</v>
      </c>
      <c r="K102" s="13">
        <f>SUMIFS('Pod Plan'!$F:$F,'Pod Plan'!$B:$B,$A102,'Pod Plan'!$C:$C,$C102)</f>
        <v>2</v>
      </c>
      <c r="L102" s="25">
        <f t="shared" si="1"/>
        <v>2</v>
      </c>
      <c r="M102" s="44">
        <f>L102*INDEX('Logic Tree'!$J$73:$N$74,MATCH(H102,'Logic Tree'!$I$73:$I$74,0),MATCH(G102,'Logic Tree'!$J$72:$N$72,0))</f>
        <v>2.7</v>
      </c>
    </row>
    <row r="103" spans="1:13" x14ac:dyDescent="0.35">
      <c r="A103" s="25">
        <v>1</v>
      </c>
      <c r="B103" s="24" t="s">
        <v>788</v>
      </c>
      <c r="C103" s="24" t="s">
        <v>232</v>
      </c>
      <c r="D103" s="24" t="s">
        <v>587</v>
      </c>
      <c r="E103" s="46" t="str">
        <f>'Pod Library'!E25</f>
        <v>Test Engineer</v>
      </c>
      <c r="F103" s="47" t="str">
        <f>'Pod Library'!F25</f>
        <v>TEST</v>
      </c>
      <c r="G103" s="47" t="str">
        <f>'Pod Library'!G25</f>
        <v>E2</v>
      </c>
      <c r="H103" s="47" t="str">
        <f>'Pod Library'!H25</f>
        <v>OFF</v>
      </c>
      <c r="I103" s="47" t="str">
        <f>'Pod Library'!I25</f>
        <v>FTC</v>
      </c>
      <c r="J103" s="13">
        <f>'Pod Library'!J25</f>
        <v>1</v>
      </c>
      <c r="K103" s="13">
        <f>SUMIFS('Pod Plan'!$F:$F,'Pod Plan'!$B:$B,$A103,'Pod Plan'!$C:$C,$C103)</f>
        <v>2</v>
      </c>
      <c r="L103" s="25">
        <f t="shared" si="1"/>
        <v>2</v>
      </c>
      <c r="M103" s="44">
        <f>L103*INDEX('Logic Tree'!$J$73:$N$74,MATCH(H103,'Logic Tree'!$I$73:$I$74,0),MATCH(G103,'Logic Tree'!$J$72:$N$72,0))</f>
        <v>0.6</v>
      </c>
    </row>
    <row r="104" spans="1:13" x14ac:dyDescent="0.35">
      <c r="A104" s="25">
        <v>1</v>
      </c>
      <c r="B104" s="24" t="s">
        <v>788</v>
      </c>
      <c r="C104" s="24" t="s">
        <v>232</v>
      </c>
      <c r="D104" s="24" t="s">
        <v>587</v>
      </c>
      <c r="E104" s="46" t="str">
        <f>'Pod Library'!E26</f>
        <v>Test Engineer</v>
      </c>
      <c r="F104" s="47" t="str">
        <f>'Pod Library'!F26</f>
        <v>TEST</v>
      </c>
      <c r="G104" s="47" t="str">
        <f>'Pod Library'!G26</f>
        <v>E1</v>
      </c>
      <c r="H104" s="47" t="str">
        <f>'Pod Library'!H26</f>
        <v>OFF</v>
      </c>
      <c r="I104" s="47" t="str">
        <f>'Pod Library'!I26</f>
        <v>FTC</v>
      </c>
      <c r="J104" s="13">
        <f>'Pod Library'!J26</f>
        <v>1</v>
      </c>
      <c r="K104" s="13">
        <f>SUMIFS('Pod Plan'!$F:$F,'Pod Plan'!$B:$B,$A104,'Pod Plan'!$C:$C,$C104)</f>
        <v>2</v>
      </c>
      <c r="L104" s="25">
        <f t="shared" si="1"/>
        <v>2</v>
      </c>
      <c r="M104" s="44">
        <f>L104*INDEX('Logic Tree'!$J$73:$N$74,MATCH(H104,'Logic Tree'!$I$73:$I$74,0),MATCH(G104,'Logic Tree'!$J$72:$N$72,0))</f>
        <v>0.44</v>
      </c>
    </row>
    <row r="105" spans="1:13" x14ac:dyDescent="0.35">
      <c r="A105" s="25">
        <v>1</v>
      </c>
      <c r="B105" s="24" t="s">
        <v>788</v>
      </c>
      <c r="C105" s="24" t="s">
        <v>201</v>
      </c>
      <c r="D105" s="24" t="s">
        <v>570</v>
      </c>
      <c r="E105" s="46" t="str">
        <f>'Pod Library'!E5</f>
        <v>Product Owner</v>
      </c>
      <c r="F105" s="47" t="str">
        <f>'Pod Library'!F5</f>
        <v>LEAD</v>
      </c>
      <c r="G105" s="47" t="str">
        <f>'Pod Library'!G5</f>
        <v>E4</v>
      </c>
      <c r="H105" s="47" t="str">
        <f>'Pod Library'!H5</f>
        <v>ON</v>
      </c>
      <c r="I105" s="47" t="str">
        <f>'Pod Library'!I5</f>
        <v>FTE</v>
      </c>
      <c r="J105" s="13">
        <f>'Pod Library'!J5</f>
        <v>1</v>
      </c>
      <c r="K105" s="13">
        <f>SUMIFS('Pod Plan'!$E:$E,'Pod Plan'!$B:$B,$A105,'Pod Plan'!$C:$C,$C105)</f>
        <v>1</v>
      </c>
      <c r="L105" s="25">
        <f t="shared" si="1"/>
        <v>1</v>
      </c>
      <c r="M105" s="44">
        <f>L105*INDEX('Logic Tree'!$J$73:$N$74,MATCH(H105,'Logic Tree'!$I$73:$I$74,0),MATCH(G105,'Logic Tree'!$J$72:$N$72,0))</f>
        <v>1.85</v>
      </c>
    </row>
    <row r="106" spans="1:13" x14ac:dyDescent="0.35">
      <c r="A106" s="25">
        <v>1</v>
      </c>
      <c r="B106" s="24" t="s">
        <v>788</v>
      </c>
      <c r="C106" s="24" t="s">
        <v>201</v>
      </c>
      <c r="D106" s="24" t="s">
        <v>570</v>
      </c>
      <c r="E106" s="46" t="str">
        <f>'Pod Library'!E6</f>
        <v>Contract Domain SME</v>
      </c>
      <c r="F106" s="47" t="str">
        <f>'Pod Library'!F6</f>
        <v>BA</v>
      </c>
      <c r="G106" s="47" t="str">
        <f>'Pod Library'!G6</f>
        <v>E5</v>
      </c>
      <c r="H106" s="47" t="str">
        <f>'Pod Library'!H6</f>
        <v>ON</v>
      </c>
      <c r="I106" s="47" t="str">
        <f>'Pod Library'!I6</f>
        <v>FTE</v>
      </c>
      <c r="J106" s="13">
        <f>'Pod Library'!J6</f>
        <v>1</v>
      </c>
      <c r="K106" s="13">
        <f>SUMIFS('Pod Plan'!$E:$E,'Pod Plan'!$B:$B,$A106,'Pod Plan'!$C:$C,$C106)</f>
        <v>1</v>
      </c>
      <c r="L106" s="25">
        <f t="shared" si="1"/>
        <v>1</v>
      </c>
      <c r="M106" s="44">
        <f>L106*INDEX('Logic Tree'!$J$73:$N$74,MATCH(H106,'Logic Tree'!$I$73:$I$74,0),MATCH(G106,'Logic Tree'!$J$72:$N$72,0))</f>
        <v>2.5499999999999998</v>
      </c>
    </row>
    <row r="107" spans="1:13" x14ac:dyDescent="0.35">
      <c r="A107" s="25">
        <v>1</v>
      </c>
      <c r="B107" s="24" t="s">
        <v>788</v>
      </c>
      <c r="C107" s="24" t="s">
        <v>201</v>
      </c>
      <c r="D107" s="24" t="s">
        <v>570</v>
      </c>
      <c r="E107" s="46" t="str">
        <f>'Pod Library'!E7</f>
        <v>Application Owner (Technical)</v>
      </c>
      <c r="F107" s="47" t="str">
        <f>'Pod Library'!F7</f>
        <v>ENG</v>
      </c>
      <c r="G107" s="47" t="str">
        <f>'Pod Library'!G7</f>
        <v>E4</v>
      </c>
      <c r="H107" s="47" t="str">
        <f>'Pod Library'!H7</f>
        <v>ON</v>
      </c>
      <c r="I107" s="47" t="str">
        <f>'Pod Library'!I7</f>
        <v>FTE</v>
      </c>
      <c r="J107" s="13">
        <f>'Pod Library'!J7</f>
        <v>1</v>
      </c>
      <c r="K107" s="13">
        <f>SUMIFS('Pod Plan'!$E:$E,'Pod Plan'!$B:$B,$A107,'Pod Plan'!$C:$C,$C107)</f>
        <v>1</v>
      </c>
      <c r="L107" s="25">
        <f t="shared" si="1"/>
        <v>1</v>
      </c>
      <c r="M107" s="44">
        <f>L107*INDEX('Logic Tree'!$J$73:$N$74,MATCH(H107,'Logic Tree'!$I$73:$I$74,0),MATCH(G107,'Logic Tree'!$J$72:$N$72,0))</f>
        <v>1.85</v>
      </c>
    </row>
    <row r="108" spans="1:13" x14ac:dyDescent="0.35">
      <c r="A108" s="25">
        <v>1</v>
      </c>
      <c r="B108" s="24" t="s">
        <v>788</v>
      </c>
      <c r="C108" s="24" t="s">
        <v>201</v>
      </c>
      <c r="D108" s="24" t="s">
        <v>570</v>
      </c>
      <c r="E108" s="46" t="str">
        <f>'Pod Library'!E8</f>
        <v>Pod Delivery Lead</v>
      </c>
      <c r="F108" s="47" t="str">
        <f>'Pod Library'!F8</f>
        <v>LEAD</v>
      </c>
      <c r="G108" s="47" t="str">
        <f>'Pod Library'!G8</f>
        <v>E4</v>
      </c>
      <c r="H108" s="47" t="str">
        <f>'Pod Library'!H8</f>
        <v>ON</v>
      </c>
      <c r="I108" s="47" t="str">
        <f>'Pod Library'!I8</f>
        <v>FTC</v>
      </c>
      <c r="J108" s="13">
        <f>'Pod Library'!J8</f>
        <v>1</v>
      </c>
      <c r="K108" s="13">
        <f>SUMIFS('Pod Plan'!$E:$E,'Pod Plan'!$B:$B,$A108,'Pod Plan'!$C:$C,$C108)</f>
        <v>1</v>
      </c>
      <c r="L108" s="25">
        <f t="shared" si="1"/>
        <v>1</v>
      </c>
      <c r="M108" s="44">
        <f>L108*INDEX('Logic Tree'!$J$73:$N$74,MATCH(H108,'Logic Tree'!$I$73:$I$74,0),MATCH(G108,'Logic Tree'!$J$72:$N$72,0))</f>
        <v>1.85</v>
      </c>
    </row>
    <row r="109" spans="1:13" x14ac:dyDescent="0.35">
      <c r="A109" s="25">
        <v>1</v>
      </c>
      <c r="B109" s="24" t="s">
        <v>788</v>
      </c>
      <c r="C109" s="24" t="s">
        <v>201</v>
      </c>
      <c r="D109" s="24" t="s">
        <v>570</v>
      </c>
      <c r="E109" s="46" t="str">
        <f>'Pod Library'!E9</f>
        <v>Solution Architect - Mainframe</v>
      </c>
      <c r="F109" s="47" t="str">
        <f>'Pod Library'!F9</f>
        <v>ENG</v>
      </c>
      <c r="G109" s="47" t="str">
        <f>'Pod Library'!G9</f>
        <v>E5</v>
      </c>
      <c r="H109" s="47" t="str">
        <f>'Pod Library'!H9</f>
        <v>ON</v>
      </c>
      <c r="I109" s="47" t="str">
        <f>'Pod Library'!I9</f>
        <v>FTC</v>
      </c>
      <c r="J109" s="13">
        <f>'Pod Library'!J9</f>
        <v>1</v>
      </c>
      <c r="K109" s="13">
        <f>SUMIFS('Pod Plan'!$E:$E,'Pod Plan'!$B:$B,$A109,'Pod Plan'!$C:$C,$C109)</f>
        <v>1</v>
      </c>
      <c r="L109" s="25">
        <f t="shared" si="1"/>
        <v>1</v>
      </c>
      <c r="M109" s="44">
        <f>L109*INDEX('Logic Tree'!$J$73:$N$74,MATCH(H109,'Logic Tree'!$I$73:$I$74,0),MATCH(G109,'Logic Tree'!$J$72:$N$72,0))</f>
        <v>2.5499999999999998</v>
      </c>
    </row>
    <row r="110" spans="1:13" x14ac:dyDescent="0.35">
      <c r="A110" s="25">
        <v>1</v>
      </c>
      <c r="B110" s="24" t="s">
        <v>788</v>
      </c>
      <c r="C110" s="24" t="s">
        <v>201</v>
      </c>
      <c r="D110" s="24" t="s">
        <v>570</v>
      </c>
      <c r="E110" s="46" t="str">
        <f>'Pod Library'!E10</f>
        <v>Business Analyst (bilingual)</v>
      </c>
      <c r="F110" s="47" t="str">
        <f>'Pod Library'!F10</f>
        <v>BA</v>
      </c>
      <c r="G110" s="47" t="str">
        <f>'Pod Library'!G10</f>
        <v>E3</v>
      </c>
      <c r="H110" s="47" t="str">
        <f>'Pod Library'!H10</f>
        <v>ON</v>
      </c>
      <c r="I110" s="47" t="str">
        <f>'Pod Library'!I10</f>
        <v>FTC</v>
      </c>
      <c r="J110" s="13">
        <f>'Pod Library'!J10</f>
        <v>1</v>
      </c>
      <c r="K110" s="13">
        <f>SUMIFS('Pod Plan'!$E:$E,'Pod Plan'!$B:$B,$A110,'Pod Plan'!$C:$C,$C110)</f>
        <v>1</v>
      </c>
      <c r="L110" s="25">
        <f t="shared" si="1"/>
        <v>1</v>
      </c>
      <c r="M110" s="44">
        <f>L110*INDEX('Logic Tree'!$J$73:$N$74,MATCH(H110,'Logic Tree'!$I$73:$I$74,0),MATCH(G110,'Logic Tree'!$J$72:$N$72,0))</f>
        <v>1.35</v>
      </c>
    </row>
    <row r="111" spans="1:13" x14ac:dyDescent="0.35">
      <c r="A111" s="25">
        <v>1</v>
      </c>
      <c r="B111" s="24" t="s">
        <v>788</v>
      </c>
      <c r="C111" s="24" t="s">
        <v>201</v>
      </c>
      <c r="D111" s="24" t="s">
        <v>570</v>
      </c>
      <c r="E111" s="46" t="str">
        <f>'Pod Library'!E11</f>
        <v>Senior Developer COBOL/Assembler</v>
      </c>
      <c r="F111" s="47" t="str">
        <f>'Pod Library'!F11</f>
        <v>DEV</v>
      </c>
      <c r="G111" s="47" t="str">
        <f>'Pod Library'!G11</f>
        <v>E4</v>
      </c>
      <c r="H111" s="47" t="str">
        <f>'Pod Library'!H11</f>
        <v>ON</v>
      </c>
      <c r="I111" s="47" t="str">
        <f>'Pod Library'!I11</f>
        <v>FTC</v>
      </c>
      <c r="J111" s="13">
        <f>'Pod Library'!J11</f>
        <v>1</v>
      </c>
      <c r="K111" s="13">
        <f>SUMIFS('Pod Plan'!$E:$E,'Pod Plan'!$B:$B,$A111,'Pod Plan'!$C:$C,$C111)</f>
        <v>1</v>
      </c>
      <c r="L111" s="25">
        <f t="shared" si="1"/>
        <v>1</v>
      </c>
      <c r="M111" s="44">
        <f>L111*INDEX('Logic Tree'!$J$73:$N$74,MATCH(H111,'Logic Tree'!$I$73:$I$74,0),MATCH(G111,'Logic Tree'!$J$72:$N$72,0))</f>
        <v>1.85</v>
      </c>
    </row>
    <row r="112" spans="1:13" x14ac:dyDescent="0.35">
      <c r="A112" s="25">
        <v>1</v>
      </c>
      <c r="B112" s="24" t="s">
        <v>788</v>
      </c>
      <c r="C112" s="24" t="s">
        <v>201</v>
      </c>
      <c r="D112" s="24" t="s">
        <v>570</v>
      </c>
      <c r="E112" s="46" t="str">
        <f>'Pod Library'!E12</f>
        <v>Developer COBOL/JCL</v>
      </c>
      <c r="F112" s="47" t="str">
        <f>'Pod Library'!F12</f>
        <v>DEV</v>
      </c>
      <c r="G112" s="47" t="str">
        <f>'Pod Library'!G12</f>
        <v>E2</v>
      </c>
      <c r="H112" s="47" t="str">
        <f>'Pod Library'!H12</f>
        <v>ON</v>
      </c>
      <c r="I112" s="47" t="str">
        <f>'Pod Library'!I12</f>
        <v>FTC</v>
      </c>
      <c r="J112" s="13">
        <f>'Pod Library'!J12</f>
        <v>1</v>
      </c>
      <c r="K112" s="13">
        <f>SUMIFS('Pod Plan'!$E:$E,'Pod Plan'!$B:$B,$A112,'Pod Plan'!$C:$C,$C112)</f>
        <v>1</v>
      </c>
      <c r="L112" s="25">
        <f t="shared" si="1"/>
        <v>1</v>
      </c>
      <c r="M112" s="44">
        <f>L112*INDEX('Logic Tree'!$J$73:$N$74,MATCH(H112,'Logic Tree'!$I$73:$I$74,0),MATCH(G112,'Logic Tree'!$J$72:$N$72,0))</f>
        <v>1</v>
      </c>
    </row>
    <row r="113" spans="1:13" x14ac:dyDescent="0.35">
      <c r="A113" s="25">
        <v>1</v>
      </c>
      <c r="B113" s="24" t="s">
        <v>788</v>
      </c>
      <c r="C113" s="24" t="s">
        <v>201</v>
      </c>
      <c r="D113" s="24" t="s">
        <v>570</v>
      </c>
      <c r="E113" s="46" t="str">
        <f>'Pod Library'!E13</f>
        <v>Developer COBOL/JCL</v>
      </c>
      <c r="F113" s="47" t="str">
        <f>'Pod Library'!F13</f>
        <v>DEV</v>
      </c>
      <c r="G113" s="47" t="str">
        <f>'Pod Library'!G13</f>
        <v>E2</v>
      </c>
      <c r="H113" s="47" t="str">
        <f>'Pod Library'!H13</f>
        <v>OFF</v>
      </c>
      <c r="I113" s="47" t="str">
        <f>'Pod Library'!I13</f>
        <v>FTC</v>
      </c>
      <c r="J113" s="13">
        <f>'Pod Library'!J13</f>
        <v>1</v>
      </c>
      <c r="K113" s="13">
        <f>SUMIFS('Pod Plan'!$E:$E,'Pod Plan'!$B:$B,$A113,'Pod Plan'!$C:$C,$C113)</f>
        <v>1</v>
      </c>
      <c r="L113" s="25">
        <f t="shared" si="1"/>
        <v>1</v>
      </c>
      <c r="M113" s="44">
        <f>L113*INDEX('Logic Tree'!$J$73:$N$74,MATCH(H113,'Logic Tree'!$I$73:$I$74,0),MATCH(G113,'Logic Tree'!$J$72:$N$72,0))</f>
        <v>0.3</v>
      </c>
    </row>
    <row r="114" spans="1:13" x14ac:dyDescent="0.35">
      <c r="A114" s="25">
        <v>1</v>
      </c>
      <c r="B114" s="24" t="s">
        <v>788</v>
      </c>
      <c r="C114" s="24" t="s">
        <v>201</v>
      </c>
      <c r="D114" s="24" t="s">
        <v>570</v>
      </c>
      <c r="E114" s="46" t="str">
        <f>'Pod Library'!E14</f>
        <v>Test Engineer</v>
      </c>
      <c r="F114" s="47" t="str">
        <f>'Pod Library'!F14</f>
        <v>TEST</v>
      </c>
      <c r="G114" s="47" t="str">
        <f>'Pod Library'!G14</f>
        <v>E2</v>
      </c>
      <c r="H114" s="47" t="str">
        <f>'Pod Library'!H14</f>
        <v>OFF</v>
      </c>
      <c r="I114" s="47" t="str">
        <f>'Pod Library'!I14</f>
        <v>FTC</v>
      </c>
      <c r="J114" s="13">
        <f>'Pod Library'!J14</f>
        <v>1</v>
      </c>
      <c r="K114" s="13">
        <f>SUMIFS('Pod Plan'!$E:$E,'Pod Plan'!$B:$B,$A114,'Pod Plan'!$C:$C,$C114)</f>
        <v>1</v>
      </c>
      <c r="L114" s="25">
        <f t="shared" si="1"/>
        <v>1</v>
      </c>
      <c r="M114" s="44">
        <f>L114*INDEX('Logic Tree'!$J$73:$N$74,MATCH(H114,'Logic Tree'!$I$73:$I$74,0),MATCH(G114,'Logic Tree'!$J$72:$N$72,0))</f>
        <v>0.3</v>
      </c>
    </row>
    <row r="115" spans="1:13" x14ac:dyDescent="0.35">
      <c r="A115" s="25">
        <v>1</v>
      </c>
      <c r="B115" s="24" t="s">
        <v>788</v>
      </c>
      <c r="C115" s="24" t="s">
        <v>201</v>
      </c>
      <c r="D115" s="24" t="s">
        <v>587</v>
      </c>
      <c r="E115" s="46" t="str">
        <f>'Pod Library'!E17</f>
        <v>Pod Lead (output owner)</v>
      </c>
      <c r="F115" s="47" t="str">
        <f>'Pod Library'!F17</f>
        <v>LEAD</v>
      </c>
      <c r="G115" s="47" t="str">
        <f>'Pod Library'!G17</f>
        <v>E4</v>
      </c>
      <c r="H115" s="47" t="str">
        <f>'Pod Library'!H17</f>
        <v>ON</v>
      </c>
      <c r="I115" s="47" t="str">
        <f>'Pod Library'!I17</f>
        <v>FTC</v>
      </c>
      <c r="J115" s="13">
        <f>'Pod Library'!J17</f>
        <v>1</v>
      </c>
      <c r="K115" s="13">
        <f>SUMIFS('Pod Plan'!$F:$F,'Pod Plan'!$B:$B,$A115,'Pod Plan'!$C:$C,$C115)</f>
        <v>1</v>
      </c>
      <c r="L115" s="25">
        <f t="shared" si="1"/>
        <v>1</v>
      </c>
      <c r="M115" s="44">
        <f>L115*INDEX('Logic Tree'!$J$73:$N$74,MATCH(H115,'Logic Tree'!$I$73:$I$74,0),MATCH(G115,'Logic Tree'!$J$72:$N$72,0))</f>
        <v>1.85</v>
      </c>
    </row>
    <row r="116" spans="1:13" x14ac:dyDescent="0.35">
      <c r="A116" s="25">
        <v>1</v>
      </c>
      <c r="B116" s="24" t="s">
        <v>788</v>
      </c>
      <c r="C116" s="24" t="s">
        <v>201</v>
      </c>
      <c r="D116" s="24" t="s">
        <v>587</v>
      </c>
      <c r="E116" s="46" t="str">
        <f>'Pod Library'!E18</f>
        <v>Solution Architect</v>
      </c>
      <c r="F116" s="47" t="str">
        <f>'Pod Library'!F18</f>
        <v>ENG</v>
      </c>
      <c r="G116" s="47" t="str">
        <f>'Pod Library'!G18</f>
        <v>E4</v>
      </c>
      <c r="H116" s="47" t="str">
        <f>'Pod Library'!H18</f>
        <v>ON</v>
      </c>
      <c r="I116" s="47" t="str">
        <f>'Pod Library'!I18</f>
        <v>FTC</v>
      </c>
      <c r="J116" s="13">
        <f>'Pod Library'!J18</f>
        <v>1</v>
      </c>
      <c r="K116" s="13">
        <f>SUMIFS('Pod Plan'!$F:$F,'Pod Plan'!$B:$B,$A116,'Pod Plan'!$C:$C,$C116)</f>
        <v>1</v>
      </c>
      <c r="L116" s="25">
        <f t="shared" si="1"/>
        <v>1</v>
      </c>
      <c r="M116" s="44">
        <f>L116*INDEX('Logic Tree'!$J$73:$N$74,MATCH(H116,'Logic Tree'!$I$73:$I$74,0),MATCH(G116,'Logic Tree'!$J$72:$N$72,0))</f>
        <v>1.85</v>
      </c>
    </row>
    <row r="117" spans="1:13" x14ac:dyDescent="0.35">
      <c r="A117" s="25">
        <v>1</v>
      </c>
      <c r="B117" s="24" t="s">
        <v>788</v>
      </c>
      <c r="C117" s="24" t="s">
        <v>201</v>
      </c>
      <c r="D117" s="24" t="s">
        <v>587</v>
      </c>
      <c r="E117" s="46" t="str">
        <f>'Pod Library'!E19</f>
        <v>Business Analyst (bilingual)</v>
      </c>
      <c r="F117" s="47" t="str">
        <f>'Pod Library'!F19</f>
        <v>BA</v>
      </c>
      <c r="G117" s="47" t="str">
        <f>'Pod Library'!G19</f>
        <v>E3</v>
      </c>
      <c r="H117" s="47" t="str">
        <f>'Pod Library'!H19</f>
        <v>ON</v>
      </c>
      <c r="I117" s="47" t="str">
        <f>'Pod Library'!I19</f>
        <v>FTC</v>
      </c>
      <c r="J117" s="13">
        <f>'Pod Library'!J19</f>
        <v>1</v>
      </c>
      <c r="K117" s="13">
        <f>SUMIFS('Pod Plan'!$F:$F,'Pod Plan'!$B:$B,$A117,'Pod Plan'!$C:$C,$C117)</f>
        <v>1</v>
      </c>
      <c r="L117" s="25">
        <f t="shared" si="1"/>
        <v>1</v>
      </c>
      <c r="M117" s="44">
        <f>L117*INDEX('Logic Tree'!$J$73:$N$74,MATCH(H117,'Logic Tree'!$I$73:$I$74,0),MATCH(G117,'Logic Tree'!$J$72:$N$72,0))</f>
        <v>1.35</v>
      </c>
    </row>
    <row r="118" spans="1:13" x14ac:dyDescent="0.35">
      <c r="A118" s="25">
        <v>1</v>
      </c>
      <c r="B118" s="24" t="s">
        <v>788</v>
      </c>
      <c r="C118" s="24" t="s">
        <v>201</v>
      </c>
      <c r="D118" s="24" t="s">
        <v>587</v>
      </c>
      <c r="E118" s="46" t="str">
        <f>'Pod Library'!E20</f>
        <v>Senior Developer</v>
      </c>
      <c r="F118" s="47" t="str">
        <f>'Pod Library'!F20</f>
        <v>DEV</v>
      </c>
      <c r="G118" s="47" t="str">
        <f>'Pod Library'!G20</f>
        <v>E3</v>
      </c>
      <c r="H118" s="47" t="str">
        <f>'Pod Library'!H20</f>
        <v>ON</v>
      </c>
      <c r="I118" s="47" t="str">
        <f>'Pod Library'!I20</f>
        <v>FTC</v>
      </c>
      <c r="J118" s="13">
        <f>'Pod Library'!J20</f>
        <v>1</v>
      </c>
      <c r="K118" s="13">
        <f>SUMIFS('Pod Plan'!$F:$F,'Pod Plan'!$B:$B,$A118,'Pod Plan'!$C:$C,$C118)</f>
        <v>1</v>
      </c>
      <c r="L118" s="25">
        <f t="shared" si="1"/>
        <v>1</v>
      </c>
      <c r="M118" s="44">
        <f>L118*INDEX('Logic Tree'!$J$73:$N$74,MATCH(H118,'Logic Tree'!$I$73:$I$74,0),MATCH(G118,'Logic Tree'!$J$72:$N$72,0))</f>
        <v>1.35</v>
      </c>
    </row>
    <row r="119" spans="1:13" x14ac:dyDescent="0.35">
      <c r="A119" s="25">
        <v>1</v>
      </c>
      <c r="B119" s="24" t="s">
        <v>788</v>
      </c>
      <c r="C119" s="24" t="s">
        <v>201</v>
      </c>
      <c r="D119" s="24" t="s">
        <v>587</v>
      </c>
      <c r="E119" s="46" t="str">
        <f>'Pod Library'!E21</f>
        <v>Developer</v>
      </c>
      <c r="F119" s="47" t="str">
        <f>'Pod Library'!F21</f>
        <v>DEV</v>
      </c>
      <c r="G119" s="47" t="str">
        <f>'Pod Library'!G21</f>
        <v>E2</v>
      </c>
      <c r="H119" s="47" t="str">
        <f>'Pod Library'!H21</f>
        <v>ON</v>
      </c>
      <c r="I119" s="47" t="str">
        <f>'Pod Library'!I21</f>
        <v>FTC</v>
      </c>
      <c r="J119" s="13">
        <f>'Pod Library'!J21</f>
        <v>1</v>
      </c>
      <c r="K119" s="13">
        <f>SUMIFS('Pod Plan'!$F:$F,'Pod Plan'!$B:$B,$A119,'Pod Plan'!$C:$C,$C119)</f>
        <v>1</v>
      </c>
      <c r="L119" s="25">
        <f t="shared" si="1"/>
        <v>1</v>
      </c>
      <c r="M119" s="44">
        <f>L119*INDEX('Logic Tree'!$J$73:$N$74,MATCH(H119,'Logic Tree'!$I$73:$I$74,0),MATCH(G119,'Logic Tree'!$J$72:$N$72,0))</f>
        <v>1</v>
      </c>
    </row>
    <row r="120" spans="1:13" x14ac:dyDescent="0.35">
      <c r="A120" s="25">
        <v>1</v>
      </c>
      <c r="B120" s="24" t="s">
        <v>788</v>
      </c>
      <c r="C120" s="24" t="s">
        <v>201</v>
      </c>
      <c r="D120" s="24" t="s">
        <v>587</v>
      </c>
      <c r="E120" s="46" t="str">
        <f>'Pod Library'!E22</f>
        <v>Developer</v>
      </c>
      <c r="F120" s="47" t="str">
        <f>'Pod Library'!F22</f>
        <v>DEV</v>
      </c>
      <c r="G120" s="47" t="str">
        <f>'Pod Library'!G22</f>
        <v>E2</v>
      </c>
      <c r="H120" s="47" t="str">
        <f>'Pod Library'!H22</f>
        <v>OFF</v>
      </c>
      <c r="I120" s="47" t="str">
        <f>'Pod Library'!I22</f>
        <v>FTC</v>
      </c>
      <c r="J120" s="13">
        <f>'Pod Library'!J22</f>
        <v>1</v>
      </c>
      <c r="K120" s="13">
        <f>SUMIFS('Pod Plan'!$F:$F,'Pod Plan'!$B:$B,$A120,'Pod Plan'!$C:$C,$C120)</f>
        <v>1</v>
      </c>
      <c r="L120" s="25">
        <f t="shared" si="1"/>
        <v>1</v>
      </c>
      <c r="M120" s="44">
        <f>L120*INDEX('Logic Tree'!$J$73:$N$74,MATCH(H120,'Logic Tree'!$I$73:$I$74,0),MATCH(G120,'Logic Tree'!$J$72:$N$72,0))</f>
        <v>0.3</v>
      </c>
    </row>
    <row r="121" spans="1:13" x14ac:dyDescent="0.35">
      <c r="A121" s="25">
        <v>1</v>
      </c>
      <c r="B121" s="24" t="s">
        <v>788</v>
      </c>
      <c r="C121" s="24" t="s">
        <v>201</v>
      </c>
      <c r="D121" s="24" t="s">
        <v>587</v>
      </c>
      <c r="E121" s="46" t="str">
        <f>'Pod Library'!E23</f>
        <v>Developer</v>
      </c>
      <c r="F121" s="47" t="str">
        <f>'Pod Library'!F23</f>
        <v>DEV</v>
      </c>
      <c r="G121" s="47" t="str">
        <f>'Pod Library'!G23</f>
        <v>E1</v>
      </c>
      <c r="H121" s="47" t="str">
        <f>'Pod Library'!H23</f>
        <v>OFF</v>
      </c>
      <c r="I121" s="47" t="str">
        <f>'Pod Library'!I23</f>
        <v>FTC</v>
      </c>
      <c r="J121" s="13">
        <f>'Pod Library'!J23</f>
        <v>1</v>
      </c>
      <c r="K121" s="13">
        <f>SUMIFS('Pod Plan'!$F:$F,'Pod Plan'!$B:$B,$A121,'Pod Plan'!$C:$C,$C121)</f>
        <v>1</v>
      </c>
      <c r="L121" s="25">
        <f t="shared" si="1"/>
        <v>1</v>
      </c>
      <c r="M121" s="44">
        <f>L121*INDEX('Logic Tree'!$J$73:$N$74,MATCH(H121,'Logic Tree'!$I$73:$I$74,0),MATCH(G121,'Logic Tree'!$J$72:$N$72,0))</f>
        <v>0.22</v>
      </c>
    </row>
    <row r="122" spans="1:13" x14ac:dyDescent="0.35">
      <c r="A122" s="25">
        <v>1</v>
      </c>
      <c r="B122" s="24" t="s">
        <v>788</v>
      </c>
      <c r="C122" s="24" t="s">
        <v>201</v>
      </c>
      <c r="D122" s="24" t="s">
        <v>587</v>
      </c>
      <c r="E122" s="46" t="str">
        <f>'Pod Library'!E24</f>
        <v>Test Lead</v>
      </c>
      <c r="F122" s="47" t="str">
        <f>'Pod Library'!F24</f>
        <v>TEST</v>
      </c>
      <c r="G122" s="47" t="str">
        <f>'Pod Library'!G24</f>
        <v>E3</v>
      </c>
      <c r="H122" s="47" t="str">
        <f>'Pod Library'!H24</f>
        <v>ON</v>
      </c>
      <c r="I122" s="47" t="str">
        <f>'Pod Library'!I24</f>
        <v>FTC</v>
      </c>
      <c r="J122" s="13">
        <f>'Pod Library'!J24</f>
        <v>1</v>
      </c>
      <c r="K122" s="13">
        <f>SUMIFS('Pod Plan'!$F:$F,'Pod Plan'!$B:$B,$A122,'Pod Plan'!$C:$C,$C122)</f>
        <v>1</v>
      </c>
      <c r="L122" s="25">
        <f t="shared" si="1"/>
        <v>1</v>
      </c>
      <c r="M122" s="44">
        <f>L122*INDEX('Logic Tree'!$J$73:$N$74,MATCH(H122,'Logic Tree'!$I$73:$I$74,0),MATCH(G122,'Logic Tree'!$J$72:$N$72,0))</f>
        <v>1.35</v>
      </c>
    </row>
    <row r="123" spans="1:13" x14ac:dyDescent="0.35">
      <c r="A123" s="25">
        <v>1</v>
      </c>
      <c r="B123" s="24" t="s">
        <v>788</v>
      </c>
      <c r="C123" s="24" t="s">
        <v>201</v>
      </c>
      <c r="D123" s="24" t="s">
        <v>587</v>
      </c>
      <c r="E123" s="46" t="str">
        <f>'Pod Library'!E25</f>
        <v>Test Engineer</v>
      </c>
      <c r="F123" s="47" t="str">
        <f>'Pod Library'!F25</f>
        <v>TEST</v>
      </c>
      <c r="G123" s="47" t="str">
        <f>'Pod Library'!G25</f>
        <v>E2</v>
      </c>
      <c r="H123" s="47" t="str">
        <f>'Pod Library'!H25</f>
        <v>OFF</v>
      </c>
      <c r="I123" s="47" t="str">
        <f>'Pod Library'!I25</f>
        <v>FTC</v>
      </c>
      <c r="J123" s="13">
        <f>'Pod Library'!J25</f>
        <v>1</v>
      </c>
      <c r="K123" s="13">
        <f>SUMIFS('Pod Plan'!$F:$F,'Pod Plan'!$B:$B,$A123,'Pod Plan'!$C:$C,$C123)</f>
        <v>1</v>
      </c>
      <c r="L123" s="25">
        <f t="shared" si="1"/>
        <v>1</v>
      </c>
      <c r="M123" s="44">
        <f>L123*INDEX('Logic Tree'!$J$73:$N$74,MATCH(H123,'Logic Tree'!$I$73:$I$74,0),MATCH(G123,'Logic Tree'!$J$72:$N$72,0))</f>
        <v>0.3</v>
      </c>
    </row>
    <row r="124" spans="1:13" x14ac:dyDescent="0.35">
      <c r="A124" s="25">
        <v>1</v>
      </c>
      <c r="B124" s="24" t="s">
        <v>788</v>
      </c>
      <c r="C124" s="24" t="s">
        <v>201</v>
      </c>
      <c r="D124" s="24" t="s">
        <v>587</v>
      </c>
      <c r="E124" s="46" t="str">
        <f>'Pod Library'!E26</f>
        <v>Test Engineer</v>
      </c>
      <c r="F124" s="47" t="str">
        <f>'Pod Library'!F26</f>
        <v>TEST</v>
      </c>
      <c r="G124" s="47" t="str">
        <f>'Pod Library'!G26</f>
        <v>E1</v>
      </c>
      <c r="H124" s="47" t="str">
        <f>'Pod Library'!H26</f>
        <v>OFF</v>
      </c>
      <c r="I124" s="47" t="str">
        <f>'Pod Library'!I26</f>
        <v>FTC</v>
      </c>
      <c r="J124" s="13">
        <f>'Pod Library'!J26</f>
        <v>1</v>
      </c>
      <c r="K124" s="13">
        <f>SUMIFS('Pod Plan'!$F:$F,'Pod Plan'!$B:$B,$A124,'Pod Plan'!$C:$C,$C124)</f>
        <v>1</v>
      </c>
      <c r="L124" s="25">
        <f t="shared" si="1"/>
        <v>1</v>
      </c>
      <c r="M124" s="44">
        <f>L124*INDEX('Logic Tree'!$J$73:$N$74,MATCH(H124,'Logic Tree'!$I$73:$I$74,0),MATCH(G124,'Logic Tree'!$J$72:$N$72,0))</f>
        <v>0.22</v>
      </c>
    </row>
    <row r="125" spans="1:13" x14ac:dyDescent="0.35">
      <c r="A125" s="25">
        <v>2</v>
      </c>
      <c r="B125" s="24" t="s">
        <v>788</v>
      </c>
      <c r="C125" s="24" t="s">
        <v>182</v>
      </c>
      <c r="D125" s="24" t="s">
        <v>570</v>
      </c>
      <c r="E125" s="46" t="str">
        <f>'Pod Library'!E29</f>
        <v>Product Owner</v>
      </c>
      <c r="F125" s="47" t="str">
        <f>'Pod Library'!F29</f>
        <v>LEAD</v>
      </c>
      <c r="G125" s="47" t="str">
        <f>'Pod Library'!G29</f>
        <v>E4</v>
      </c>
      <c r="H125" s="47" t="str">
        <f>'Pod Library'!H29</f>
        <v>ON</v>
      </c>
      <c r="I125" s="47" t="str">
        <f>'Pod Library'!I29</f>
        <v>FTE</v>
      </c>
      <c r="J125" s="13">
        <f>'Pod Library'!J29</f>
        <v>1</v>
      </c>
      <c r="K125" s="13">
        <f>SUMIFS('Pod Plan'!$E:$E,'Pod Plan'!$B:$B,$A125,'Pod Plan'!$C:$C,$C125)</f>
        <v>3</v>
      </c>
      <c r="L125" s="25">
        <f t="shared" si="1"/>
        <v>3</v>
      </c>
      <c r="M125" s="44">
        <f>L125*INDEX('Logic Tree'!$J$73:$N$74,MATCH(H125,'Logic Tree'!$I$73:$I$74,0),MATCH(G125,'Logic Tree'!$J$72:$N$72,0))</f>
        <v>5.5500000000000007</v>
      </c>
    </row>
    <row r="126" spans="1:13" x14ac:dyDescent="0.35">
      <c r="A126" s="25">
        <v>2</v>
      </c>
      <c r="B126" s="24" t="s">
        <v>788</v>
      </c>
      <c r="C126" s="24" t="s">
        <v>182</v>
      </c>
      <c r="D126" s="24" t="s">
        <v>570</v>
      </c>
      <c r="E126" s="46" t="str">
        <f>'Pod Library'!E30</f>
        <v>Contract Domain SME</v>
      </c>
      <c r="F126" s="47" t="str">
        <f>'Pod Library'!F30</f>
        <v>BA</v>
      </c>
      <c r="G126" s="47" t="str">
        <f>'Pod Library'!G30</f>
        <v>E5</v>
      </c>
      <c r="H126" s="47" t="str">
        <f>'Pod Library'!H30</f>
        <v>ON</v>
      </c>
      <c r="I126" s="47" t="str">
        <f>'Pod Library'!I30</f>
        <v>FTE</v>
      </c>
      <c r="J126" s="13">
        <f>'Pod Library'!J30</f>
        <v>1</v>
      </c>
      <c r="K126" s="13">
        <f>SUMIFS('Pod Plan'!$E:$E,'Pod Plan'!$B:$B,$A126,'Pod Plan'!$C:$C,$C126)</f>
        <v>3</v>
      </c>
      <c r="L126" s="25">
        <f t="shared" si="1"/>
        <v>3</v>
      </c>
      <c r="M126" s="44">
        <f>L126*INDEX('Logic Tree'!$J$73:$N$74,MATCH(H126,'Logic Tree'!$I$73:$I$74,0),MATCH(G126,'Logic Tree'!$J$72:$N$72,0))</f>
        <v>7.6499999999999995</v>
      </c>
    </row>
    <row r="127" spans="1:13" x14ac:dyDescent="0.35">
      <c r="A127" s="25">
        <v>2</v>
      </c>
      <c r="B127" s="24" t="s">
        <v>788</v>
      </c>
      <c r="C127" s="24" t="s">
        <v>182</v>
      </c>
      <c r="D127" s="24" t="s">
        <v>570</v>
      </c>
      <c r="E127" s="46" t="str">
        <f>'Pod Library'!E31</f>
        <v>Application Owner (Technical)</v>
      </c>
      <c r="F127" s="47" t="str">
        <f>'Pod Library'!F31</f>
        <v>ENG</v>
      </c>
      <c r="G127" s="47" t="str">
        <f>'Pod Library'!G31</f>
        <v>E4</v>
      </c>
      <c r="H127" s="47" t="str">
        <f>'Pod Library'!H31</f>
        <v>ON</v>
      </c>
      <c r="I127" s="47" t="str">
        <f>'Pod Library'!I31</f>
        <v>FTE</v>
      </c>
      <c r="J127" s="13">
        <f>'Pod Library'!J31</f>
        <v>1</v>
      </c>
      <c r="K127" s="13">
        <f>SUMIFS('Pod Plan'!$E:$E,'Pod Plan'!$B:$B,$A127,'Pod Plan'!$C:$C,$C127)</f>
        <v>3</v>
      </c>
      <c r="L127" s="25">
        <f t="shared" si="1"/>
        <v>3</v>
      </c>
      <c r="M127" s="44">
        <f>L127*INDEX('Logic Tree'!$J$73:$N$74,MATCH(H127,'Logic Tree'!$I$73:$I$74,0),MATCH(G127,'Logic Tree'!$J$72:$N$72,0))</f>
        <v>5.5500000000000007</v>
      </c>
    </row>
    <row r="128" spans="1:13" x14ac:dyDescent="0.35">
      <c r="A128" s="25">
        <v>2</v>
      </c>
      <c r="B128" s="24" t="s">
        <v>788</v>
      </c>
      <c r="C128" s="24" t="s">
        <v>182</v>
      </c>
      <c r="D128" s="24" t="s">
        <v>570</v>
      </c>
      <c r="E128" s="46" t="str">
        <f>'Pod Library'!E32</f>
        <v>Pod Delivery Lead</v>
      </c>
      <c r="F128" s="47" t="str">
        <f>'Pod Library'!F32</f>
        <v>LEAD</v>
      </c>
      <c r="G128" s="47" t="str">
        <f>'Pod Library'!G32</f>
        <v>E4</v>
      </c>
      <c r="H128" s="47" t="str">
        <f>'Pod Library'!H32</f>
        <v>ON</v>
      </c>
      <c r="I128" s="47" t="str">
        <f>'Pod Library'!I32</f>
        <v>FTC</v>
      </c>
      <c r="J128" s="13">
        <f>'Pod Library'!J32</f>
        <v>1</v>
      </c>
      <c r="K128" s="13">
        <f>SUMIFS('Pod Plan'!$E:$E,'Pod Plan'!$B:$B,$A128,'Pod Plan'!$C:$C,$C128)</f>
        <v>3</v>
      </c>
      <c r="L128" s="25">
        <f t="shared" si="1"/>
        <v>3</v>
      </c>
      <c r="M128" s="44">
        <f>L128*INDEX('Logic Tree'!$J$73:$N$74,MATCH(H128,'Logic Tree'!$I$73:$I$74,0),MATCH(G128,'Logic Tree'!$J$72:$N$72,0))</f>
        <v>5.5500000000000007</v>
      </c>
    </row>
    <row r="129" spans="1:13" x14ac:dyDescent="0.35">
      <c r="A129" s="25">
        <v>2</v>
      </c>
      <c r="B129" s="24" t="s">
        <v>788</v>
      </c>
      <c r="C129" s="24" t="s">
        <v>182</v>
      </c>
      <c r="D129" s="24" t="s">
        <v>570</v>
      </c>
      <c r="E129" s="46" t="str">
        <f>'Pod Library'!E33</f>
        <v>AI Orchestrator - Mainframe</v>
      </c>
      <c r="F129" s="47" t="str">
        <f>'Pod Library'!F33</f>
        <v>ENG</v>
      </c>
      <c r="G129" s="47" t="str">
        <f>'Pod Library'!G33</f>
        <v>E5</v>
      </c>
      <c r="H129" s="47" t="str">
        <f>'Pod Library'!H33</f>
        <v>ON</v>
      </c>
      <c r="I129" s="47" t="str">
        <f>'Pod Library'!I33</f>
        <v>FTC</v>
      </c>
      <c r="J129" s="13">
        <f>'Pod Library'!J33</f>
        <v>1</v>
      </c>
      <c r="K129" s="13">
        <f>SUMIFS('Pod Plan'!$E:$E,'Pod Plan'!$B:$B,$A129,'Pod Plan'!$C:$C,$C129)</f>
        <v>3</v>
      </c>
      <c r="L129" s="25">
        <f t="shared" si="1"/>
        <v>3</v>
      </c>
      <c r="M129" s="44">
        <f>L129*INDEX('Logic Tree'!$J$73:$N$74,MATCH(H129,'Logic Tree'!$I$73:$I$74,0),MATCH(G129,'Logic Tree'!$J$72:$N$72,0))</f>
        <v>7.6499999999999995</v>
      </c>
    </row>
    <row r="130" spans="1:13" x14ac:dyDescent="0.35">
      <c r="A130" s="25">
        <v>2</v>
      </c>
      <c r="B130" s="24" t="s">
        <v>788</v>
      </c>
      <c r="C130" s="24" t="s">
        <v>182</v>
      </c>
      <c r="D130" s="24" t="s">
        <v>570</v>
      </c>
      <c r="E130" s="46" t="str">
        <f>'Pod Library'!E34</f>
        <v>Business Analyst (bilingual)</v>
      </c>
      <c r="F130" s="47" t="str">
        <f>'Pod Library'!F34</f>
        <v>BA</v>
      </c>
      <c r="G130" s="47" t="str">
        <f>'Pod Library'!G34</f>
        <v>E3</v>
      </c>
      <c r="H130" s="47" t="str">
        <f>'Pod Library'!H34</f>
        <v>ON</v>
      </c>
      <c r="I130" s="47" t="str">
        <f>'Pod Library'!I34</f>
        <v>FTC</v>
      </c>
      <c r="J130" s="13">
        <f>'Pod Library'!J34</f>
        <v>1</v>
      </c>
      <c r="K130" s="13">
        <f>SUMIFS('Pod Plan'!$E:$E,'Pod Plan'!$B:$B,$A130,'Pod Plan'!$C:$C,$C130)</f>
        <v>3</v>
      </c>
      <c r="L130" s="25">
        <f t="shared" si="1"/>
        <v>3</v>
      </c>
      <c r="M130" s="44">
        <f>L130*INDEX('Logic Tree'!$J$73:$N$74,MATCH(H130,'Logic Tree'!$I$73:$I$74,0),MATCH(G130,'Logic Tree'!$J$72:$N$72,0))</f>
        <v>4.0500000000000007</v>
      </c>
    </row>
    <row r="131" spans="1:13" x14ac:dyDescent="0.35">
      <c r="A131" s="25">
        <v>2</v>
      </c>
      <c r="B131" s="24" t="s">
        <v>788</v>
      </c>
      <c r="C131" s="24" t="s">
        <v>182</v>
      </c>
      <c r="D131" s="24" t="s">
        <v>570</v>
      </c>
      <c r="E131" s="46" t="str">
        <f>'Pod Library'!E35</f>
        <v>AI-embedded Senior Developer</v>
      </c>
      <c r="F131" s="47" t="str">
        <f>'Pod Library'!F35</f>
        <v>DEV</v>
      </c>
      <c r="G131" s="47" t="str">
        <f>'Pod Library'!G35</f>
        <v>E4</v>
      </c>
      <c r="H131" s="47" t="str">
        <f>'Pod Library'!H35</f>
        <v>OFF</v>
      </c>
      <c r="I131" s="47" t="str">
        <f>'Pod Library'!I35</f>
        <v>FTC</v>
      </c>
      <c r="J131" s="13">
        <f>'Pod Library'!J35</f>
        <v>1</v>
      </c>
      <c r="K131" s="13">
        <f>SUMIFS('Pod Plan'!$E:$E,'Pod Plan'!$B:$B,$A131,'Pod Plan'!$C:$C,$C131)</f>
        <v>3</v>
      </c>
      <c r="L131" s="25">
        <f t="shared" si="1"/>
        <v>3</v>
      </c>
      <c r="M131" s="44">
        <f>L131*INDEX('Logic Tree'!$J$73:$N$74,MATCH(H131,'Logic Tree'!$I$73:$I$74,0),MATCH(G131,'Logic Tree'!$J$72:$N$72,0))</f>
        <v>1.7999999999999998</v>
      </c>
    </row>
    <row r="132" spans="1:13" x14ac:dyDescent="0.35">
      <c r="A132" s="25">
        <v>2</v>
      </c>
      <c r="B132" s="24" t="s">
        <v>788</v>
      </c>
      <c r="C132" s="24" t="s">
        <v>182</v>
      </c>
      <c r="D132" s="24" t="s">
        <v>570</v>
      </c>
      <c r="E132" s="46" t="str">
        <f>'Pod Library'!E36</f>
        <v>Developer COBOL/JCL</v>
      </c>
      <c r="F132" s="47" t="str">
        <f>'Pod Library'!F36</f>
        <v>DEV</v>
      </c>
      <c r="G132" s="47" t="str">
        <f>'Pod Library'!G36</f>
        <v>E2</v>
      </c>
      <c r="H132" s="47" t="str">
        <f>'Pod Library'!H36</f>
        <v>OFF</v>
      </c>
      <c r="I132" s="47" t="str">
        <f>'Pod Library'!I36</f>
        <v>FTC</v>
      </c>
      <c r="J132" s="13">
        <f>'Pod Library'!J36</f>
        <v>1</v>
      </c>
      <c r="K132" s="13">
        <f>SUMIFS('Pod Plan'!$E:$E,'Pod Plan'!$B:$B,$A132,'Pod Plan'!$C:$C,$C132)</f>
        <v>3</v>
      </c>
      <c r="L132" s="25">
        <f t="shared" si="1"/>
        <v>3</v>
      </c>
      <c r="M132" s="44">
        <f>L132*INDEX('Logic Tree'!$J$73:$N$74,MATCH(H132,'Logic Tree'!$I$73:$I$74,0),MATCH(G132,'Logic Tree'!$J$72:$N$72,0))</f>
        <v>0.89999999999999991</v>
      </c>
    </row>
    <row r="133" spans="1:13" x14ac:dyDescent="0.35">
      <c r="A133" s="25">
        <v>2</v>
      </c>
      <c r="B133" s="24" t="s">
        <v>788</v>
      </c>
      <c r="C133" s="24" t="s">
        <v>182</v>
      </c>
      <c r="D133" s="24" t="s">
        <v>570</v>
      </c>
      <c r="E133" s="46" t="str">
        <f>'Pod Library'!E37</f>
        <v>Quality Engineer (SDET)</v>
      </c>
      <c r="F133" s="47" t="str">
        <f>'Pod Library'!F37</f>
        <v>TEST</v>
      </c>
      <c r="G133" s="47" t="str">
        <f>'Pod Library'!G37</f>
        <v>E3</v>
      </c>
      <c r="H133" s="47" t="str">
        <f>'Pod Library'!H37</f>
        <v>OFF</v>
      </c>
      <c r="I133" s="47" t="str">
        <f>'Pod Library'!I37</f>
        <v>FTC</v>
      </c>
      <c r="J133" s="13">
        <f>'Pod Library'!J37</f>
        <v>1</v>
      </c>
      <c r="K133" s="13">
        <f>SUMIFS('Pod Plan'!$E:$E,'Pod Plan'!$B:$B,$A133,'Pod Plan'!$C:$C,$C133)</f>
        <v>3</v>
      </c>
      <c r="L133" s="25">
        <f t="shared" ref="L133:L196" si="2">J133*K133</f>
        <v>3</v>
      </c>
      <c r="M133" s="44">
        <f>L133*INDEX('Logic Tree'!$J$73:$N$74,MATCH(H133,'Logic Tree'!$I$73:$I$74,0),MATCH(G133,'Logic Tree'!$J$72:$N$72,0))</f>
        <v>1.26</v>
      </c>
    </row>
    <row r="134" spans="1:13" x14ac:dyDescent="0.35">
      <c r="A134" s="25">
        <v>2</v>
      </c>
      <c r="B134" s="24" t="s">
        <v>788</v>
      </c>
      <c r="C134" s="24" t="s">
        <v>182</v>
      </c>
      <c r="D134" s="24" t="s">
        <v>587</v>
      </c>
      <c r="E134" s="46" t="str">
        <f>'Pod Library'!E40</f>
        <v>Pod Lead (output owner)</v>
      </c>
      <c r="F134" s="47" t="str">
        <f>'Pod Library'!F40</f>
        <v>LEAD</v>
      </c>
      <c r="G134" s="47" t="str">
        <f>'Pod Library'!G40</f>
        <v>E4</v>
      </c>
      <c r="H134" s="47" t="str">
        <f>'Pod Library'!H40</f>
        <v>ON</v>
      </c>
      <c r="I134" s="47" t="str">
        <f>'Pod Library'!I40</f>
        <v>FTC</v>
      </c>
      <c r="J134" s="13">
        <f>'Pod Library'!J40</f>
        <v>1</v>
      </c>
      <c r="K134" s="13">
        <f>SUMIFS('Pod Plan'!$F:$F,'Pod Plan'!$B:$B,$A134,'Pod Plan'!$C:$C,$C134)</f>
        <v>2</v>
      </c>
      <c r="L134" s="25">
        <f t="shared" si="2"/>
        <v>2</v>
      </c>
      <c r="M134" s="44">
        <f>L134*INDEX('Logic Tree'!$J$73:$N$74,MATCH(H134,'Logic Tree'!$I$73:$I$74,0),MATCH(G134,'Logic Tree'!$J$72:$N$72,0))</f>
        <v>3.7</v>
      </c>
    </row>
    <row r="135" spans="1:13" x14ac:dyDescent="0.35">
      <c r="A135" s="25">
        <v>2</v>
      </c>
      <c r="B135" s="24" t="s">
        <v>788</v>
      </c>
      <c r="C135" s="24" t="s">
        <v>182</v>
      </c>
      <c r="D135" s="24" t="s">
        <v>587</v>
      </c>
      <c r="E135" s="46" t="str">
        <f>'Pod Library'!E41</f>
        <v>AI Orchestrator</v>
      </c>
      <c r="F135" s="47" t="str">
        <f>'Pod Library'!F41</f>
        <v>ENG</v>
      </c>
      <c r="G135" s="47" t="str">
        <f>'Pod Library'!G41</f>
        <v>E4</v>
      </c>
      <c r="H135" s="47" t="str">
        <f>'Pod Library'!H41</f>
        <v>ON</v>
      </c>
      <c r="I135" s="47" t="str">
        <f>'Pod Library'!I41</f>
        <v>FTC</v>
      </c>
      <c r="J135" s="13">
        <f>'Pod Library'!J41</f>
        <v>1</v>
      </c>
      <c r="K135" s="13">
        <f>SUMIFS('Pod Plan'!$F:$F,'Pod Plan'!$B:$B,$A135,'Pod Plan'!$C:$C,$C135)</f>
        <v>2</v>
      </c>
      <c r="L135" s="25">
        <f t="shared" si="2"/>
        <v>2</v>
      </c>
      <c r="M135" s="44">
        <f>L135*INDEX('Logic Tree'!$J$73:$N$74,MATCH(H135,'Logic Tree'!$I$73:$I$74,0),MATCH(G135,'Logic Tree'!$J$72:$N$72,0))</f>
        <v>3.7</v>
      </c>
    </row>
    <row r="136" spans="1:13" x14ac:dyDescent="0.35">
      <c r="A136" s="25">
        <v>2</v>
      </c>
      <c r="B136" s="24" t="s">
        <v>788</v>
      </c>
      <c r="C136" s="24" t="s">
        <v>182</v>
      </c>
      <c r="D136" s="24" t="s">
        <v>587</v>
      </c>
      <c r="E136" s="46" t="str">
        <f>'Pod Library'!E42</f>
        <v>Business Analyst (bilingual)</v>
      </c>
      <c r="F136" s="47" t="str">
        <f>'Pod Library'!F42</f>
        <v>BA</v>
      </c>
      <c r="G136" s="47" t="str">
        <f>'Pod Library'!G42</f>
        <v>E3</v>
      </c>
      <c r="H136" s="47" t="str">
        <f>'Pod Library'!H42</f>
        <v>ON</v>
      </c>
      <c r="I136" s="47" t="str">
        <f>'Pod Library'!I42</f>
        <v>FTC</v>
      </c>
      <c r="J136" s="13">
        <f>'Pod Library'!J42</f>
        <v>1</v>
      </c>
      <c r="K136" s="13">
        <f>SUMIFS('Pod Plan'!$F:$F,'Pod Plan'!$B:$B,$A136,'Pod Plan'!$C:$C,$C136)</f>
        <v>2</v>
      </c>
      <c r="L136" s="25">
        <f t="shared" si="2"/>
        <v>2</v>
      </c>
      <c r="M136" s="44">
        <f>L136*INDEX('Logic Tree'!$J$73:$N$74,MATCH(H136,'Logic Tree'!$I$73:$I$74,0),MATCH(G136,'Logic Tree'!$J$72:$N$72,0))</f>
        <v>2.7</v>
      </c>
    </row>
    <row r="137" spans="1:13" x14ac:dyDescent="0.35">
      <c r="A137" s="25">
        <v>2</v>
      </c>
      <c r="B137" s="24" t="s">
        <v>788</v>
      </c>
      <c r="C137" s="24" t="s">
        <v>182</v>
      </c>
      <c r="D137" s="24" t="s">
        <v>587</v>
      </c>
      <c r="E137" s="46" t="str">
        <f>'Pod Library'!E43</f>
        <v>AI-embedded Senior Developer</v>
      </c>
      <c r="F137" s="47" t="str">
        <f>'Pod Library'!F43</f>
        <v>DEV</v>
      </c>
      <c r="G137" s="47" t="str">
        <f>'Pod Library'!G43</f>
        <v>E4</v>
      </c>
      <c r="H137" s="47" t="str">
        <f>'Pod Library'!H43</f>
        <v>OFF</v>
      </c>
      <c r="I137" s="47" t="str">
        <f>'Pod Library'!I43</f>
        <v>FTC</v>
      </c>
      <c r="J137" s="13">
        <f>'Pod Library'!J43</f>
        <v>1</v>
      </c>
      <c r="K137" s="13">
        <f>SUMIFS('Pod Plan'!$F:$F,'Pod Plan'!$B:$B,$A137,'Pod Plan'!$C:$C,$C137)</f>
        <v>2</v>
      </c>
      <c r="L137" s="25">
        <f t="shared" si="2"/>
        <v>2</v>
      </c>
      <c r="M137" s="44">
        <f>L137*INDEX('Logic Tree'!$J$73:$N$74,MATCH(H137,'Logic Tree'!$I$73:$I$74,0),MATCH(G137,'Logic Tree'!$J$72:$N$72,0))</f>
        <v>1.2</v>
      </c>
    </row>
    <row r="138" spans="1:13" x14ac:dyDescent="0.35">
      <c r="A138" s="25">
        <v>2</v>
      </c>
      <c r="B138" s="24" t="s">
        <v>788</v>
      </c>
      <c r="C138" s="24" t="s">
        <v>182</v>
      </c>
      <c r="D138" s="24" t="s">
        <v>587</v>
      </c>
      <c r="E138" s="46" t="str">
        <f>'Pod Library'!E44</f>
        <v>Developer</v>
      </c>
      <c r="F138" s="47" t="str">
        <f>'Pod Library'!F44</f>
        <v>DEV</v>
      </c>
      <c r="G138" s="47" t="str">
        <f>'Pod Library'!G44</f>
        <v>E2</v>
      </c>
      <c r="H138" s="47" t="str">
        <f>'Pod Library'!H44</f>
        <v>OFF</v>
      </c>
      <c r="I138" s="47" t="str">
        <f>'Pod Library'!I44</f>
        <v>FTC</v>
      </c>
      <c r="J138" s="13">
        <f>'Pod Library'!J44</f>
        <v>1</v>
      </c>
      <c r="K138" s="13">
        <f>SUMIFS('Pod Plan'!$F:$F,'Pod Plan'!$B:$B,$A138,'Pod Plan'!$C:$C,$C138)</f>
        <v>2</v>
      </c>
      <c r="L138" s="25">
        <f t="shared" si="2"/>
        <v>2</v>
      </c>
      <c r="M138" s="44">
        <f>L138*INDEX('Logic Tree'!$J$73:$N$74,MATCH(H138,'Logic Tree'!$I$73:$I$74,0),MATCH(G138,'Logic Tree'!$J$72:$N$72,0))</f>
        <v>0.6</v>
      </c>
    </row>
    <row r="139" spans="1:13" x14ac:dyDescent="0.35">
      <c r="A139" s="25">
        <v>2</v>
      </c>
      <c r="B139" s="24" t="s">
        <v>788</v>
      </c>
      <c r="C139" s="24" t="s">
        <v>182</v>
      </c>
      <c r="D139" s="24" t="s">
        <v>587</v>
      </c>
      <c r="E139" s="46" t="str">
        <f>'Pod Library'!E45</f>
        <v>Developer</v>
      </c>
      <c r="F139" s="47" t="str">
        <f>'Pod Library'!F45</f>
        <v>DEV</v>
      </c>
      <c r="G139" s="47" t="str">
        <f>'Pod Library'!G45</f>
        <v>E2</v>
      </c>
      <c r="H139" s="47" t="str">
        <f>'Pod Library'!H45</f>
        <v>OFF</v>
      </c>
      <c r="I139" s="47" t="str">
        <f>'Pod Library'!I45</f>
        <v>FTC</v>
      </c>
      <c r="J139" s="13">
        <f>'Pod Library'!J45</f>
        <v>1</v>
      </c>
      <c r="K139" s="13">
        <f>SUMIFS('Pod Plan'!$F:$F,'Pod Plan'!$B:$B,$A139,'Pod Plan'!$C:$C,$C139)</f>
        <v>2</v>
      </c>
      <c r="L139" s="25">
        <f t="shared" si="2"/>
        <v>2</v>
      </c>
      <c r="M139" s="44">
        <f>L139*INDEX('Logic Tree'!$J$73:$N$74,MATCH(H139,'Logic Tree'!$I$73:$I$74,0),MATCH(G139,'Logic Tree'!$J$72:$N$72,0))</f>
        <v>0.6</v>
      </c>
    </row>
    <row r="140" spans="1:13" x14ac:dyDescent="0.35">
      <c r="A140" s="25">
        <v>2</v>
      </c>
      <c r="B140" s="24" t="s">
        <v>788</v>
      </c>
      <c r="C140" s="24" t="s">
        <v>182</v>
      </c>
      <c r="D140" s="24" t="s">
        <v>587</v>
      </c>
      <c r="E140" s="46" t="str">
        <f>'Pod Library'!E46</f>
        <v>AI Engineer (agent build)</v>
      </c>
      <c r="F140" s="47" t="str">
        <f>'Pod Library'!F46</f>
        <v>ENG</v>
      </c>
      <c r="G140" s="47" t="str">
        <f>'Pod Library'!G46</f>
        <v>E3</v>
      </c>
      <c r="H140" s="47" t="str">
        <f>'Pod Library'!H46</f>
        <v>OFF</v>
      </c>
      <c r="I140" s="47" t="str">
        <f>'Pod Library'!I46</f>
        <v>FTC</v>
      </c>
      <c r="J140" s="13">
        <f>'Pod Library'!J46</f>
        <v>1</v>
      </c>
      <c r="K140" s="13">
        <f>SUMIFS('Pod Plan'!$F:$F,'Pod Plan'!$B:$B,$A140,'Pod Plan'!$C:$C,$C140)</f>
        <v>2</v>
      </c>
      <c r="L140" s="25">
        <f t="shared" si="2"/>
        <v>2</v>
      </c>
      <c r="M140" s="44">
        <f>L140*INDEX('Logic Tree'!$J$73:$N$74,MATCH(H140,'Logic Tree'!$I$73:$I$74,0),MATCH(G140,'Logic Tree'!$J$72:$N$72,0))</f>
        <v>0.84</v>
      </c>
    </row>
    <row r="141" spans="1:13" x14ac:dyDescent="0.35">
      <c r="A141" s="25">
        <v>2</v>
      </c>
      <c r="B141" s="24" t="s">
        <v>788</v>
      </c>
      <c r="C141" s="24" t="s">
        <v>182</v>
      </c>
      <c r="D141" s="24" t="s">
        <v>587</v>
      </c>
      <c r="E141" s="46" t="str">
        <f>'Pod Library'!E47</f>
        <v>Quality Engineer (SDET)</v>
      </c>
      <c r="F141" s="47" t="str">
        <f>'Pod Library'!F47</f>
        <v>TEST</v>
      </c>
      <c r="G141" s="47" t="str">
        <f>'Pod Library'!G47</f>
        <v>E3</v>
      </c>
      <c r="H141" s="47" t="str">
        <f>'Pod Library'!H47</f>
        <v>OFF</v>
      </c>
      <c r="I141" s="47" t="str">
        <f>'Pod Library'!I47</f>
        <v>FTC</v>
      </c>
      <c r="J141" s="13">
        <f>'Pod Library'!J47</f>
        <v>1</v>
      </c>
      <c r="K141" s="13">
        <f>SUMIFS('Pod Plan'!$F:$F,'Pod Plan'!$B:$B,$A141,'Pod Plan'!$C:$C,$C141)</f>
        <v>2</v>
      </c>
      <c r="L141" s="25">
        <f t="shared" si="2"/>
        <v>2</v>
      </c>
      <c r="M141" s="44">
        <f>L141*INDEX('Logic Tree'!$J$73:$N$74,MATCH(H141,'Logic Tree'!$I$73:$I$74,0),MATCH(G141,'Logic Tree'!$J$72:$N$72,0))</f>
        <v>0.84</v>
      </c>
    </row>
    <row r="142" spans="1:13" x14ac:dyDescent="0.35">
      <c r="A142" s="25">
        <v>2</v>
      </c>
      <c r="B142" s="24" t="s">
        <v>788</v>
      </c>
      <c r="C142" s="24" t="s">
        <v>182</v>
      </c>
      <c r="D142" s="24" t="s">
        <v>587</v>
      </c>
      <c r="E142" s="46" t="str">
        <f>'Pod Library'!E48</f>
        <v>Quality Engineer (SDET)</v>
      </c>
      <c r="F142" s="47" t="str">
        <f>'Pod Library'!F48</f>
        <v>TEST</v>
      </c>
      <c r="G142" s="47" t="str">
        <f>'Pod Library'!G48</f>
        <v>E2</v>
      </c>
      <c r="H142" s="47" t="str">
        <f>'Pod Library'!H48</f>
        <v>OFF</v>
      </c>
      <c r="I142" s="47" t="str">
        <f>'Pod Library'!I48</f>
        <v>FTC</v>
      </c>
      <c r="J142" s="13">
        <f>'Pod Library'!J48</f>
        <v>1</v>
      </c>
      <c r="K142" s="13">
        <f>SUMIFS('Pod Plan'!$F:$F,'Pod Plan'!$B:$B,$A142,'Pod Plan'!$C:$C,$C142)</f>
        <v>2</v>
      </c>
      <c r="L142" s="25">
        <f t="shared" si="2"/>
        <v>2</v>
      </c>
      <c r="M142" s="44">
        <f>L142*INDEX('Logic Tree'!$J$73:$N$74,MATCH(H142,'Logic Tree'!$I$73:$I$74,0),MATCH(G142,'Logic Tree'!$J$72:$N$72,0))</f>
        <v>0.6</v>
      </c>
    </row>
    <row r="143" spans="1:13" x14ac:dyDescent="0.35">
      <c r="A143" s="25">
        <v>2</v>
      </c>
      <c r="B143" s="24" t="s">
        <v>788</v>
      </c>
      <c r="C143" s="24" t="s">
        <v>186</v>
      </c>
      <c r="D143" s="24" t="s">
        <v>570</v>
      </c>
      <c r="E143" s="46" t="str">
        <f>'Pod Library'!E29</f>
        <v>Product Owner</v>
      </c>
      <c r="F143" s="47" t="str">
        <f>'Pod Library'!F29</f>
        <v>LEAD</v>
      </c>
      <c r="G143" s="47" t="str">
        <f>'Pod Library'!G29</f>
        <v>E4</v>
      </c>
      <c r="H143" s="47" t="str">
        <f>'Pod Library'!H29</f>
        <v>ON</v>
      </c>
      <c r="I143" s="47" t="str">
        <f>'Pod Library'!I29</f>
        <v>FTE</v>
      </c>
      <c r="J143" s="13">
        <f>'Pod Library'!J29</f>
        <v>1</v>
      </c>
      <c r="K143" s="13">
        <f>SUMIFS('Pod Plan'!$E:$E,'Pod Plan'!$B:$B,$A143,'Pod Plan'!$C:$C,$C143)</f>
        <v>2</v>
      </c>
      <c r="L143" s="25">
        <f t="shared" si="2"/>
        <v>2</v>
      </c>
      <c r="M143" s="44">
        <f>L143*INDEX('Logic Tree'!$J$73:$N$74,MATCH(H143,'Logic Tree'!$I$73:$I$74,0),MATCH(G143,'Logic Tree'!$J$72:$N$72,0))</f>
        <v>3.7</v>
      </c>
    </row>
    <row r="144" spans="1:13" x14ac:dyDescent="0.35">
      <c r="A144" s="25">
        <v>2</v>
      </c>
      <c r="B144" s="24" t="s">
        <v>788</v>
      </c>
      <c r="C144" s="24" t="s">
        <v>186</v>
      </c>
      <c r="D144" s="24" t="s">
        <v>570</v>
      </c>
      <c r="E144" s="46" t="str">
        <f>'Pod Library'!E30</f>
        <v>Contract Domain SME</v>
      </c>
      <c r="F144" s="47" t="str">
        <f>'Pod Library'!F30</f>
        <v>BA</v>
      </c>
      <c r="G144" s="47" t="str">
        <f>'Pod Library'!G30</f>
        <v>E5</v>
      </c>
      <c r="H144" s="47" t="str">
        <f>'Pod Library'!H30</f>
        <v>ON</v>
      </c>
      <c r="I144" s="47" t="str">
        <f>'Pod Library'!I30</f>
        <v>FTE</v>
      </c>
      <c r="J144" s="13">
        <f>'Pod Library'!J30</f>
        <v>1</v>
      </c>
      <c r="K144" s="13">
        <f>SUMIFS('Pod Plan'!$E:$E,'Pod Plan'!$B:$B,$A144,'Pod Plan'!$C:$C,$C144)</f>
        <v>2</v>
      </c>
      <c r="L144" s="25">
        <f t="shared" si="2"/>
        <v>2</v>
      </c>
      <c r="M144" s="44">
        <f>L144*INDEX('Logic Tree'!$J$73:$N$74,MATCH(H144,'Logic Tree'!$I$73:$I$74,0),MATCH(G144,'Logic Tree'!$J$72:$N$72,0))</f>
        <v>5.0999999999999996</v>
      </c>
    </row>
    <row r="145" spans="1:13" x14ac:dyDescent="0.35">
      <c r="A145" s="25">
        <v>2</v>
      </c>
      <c r="B145" s="24" t="s">
        <v>788</v>
      </c>
      <c r="C145" s="24" t="s">
        <v>186</v>
      </c>
      <c r="D145" s="24" t="s">
        <v>570</v>
      </c>
      <c r="E145" s="46" t="str">
        <f>'Pod Library'!E31</f>
        <v>Application Owner (Technical)</v>
      </c>
      <c r="F145" s="47" t="str">
        <f>'Pod Library'!F31</f>
        <v>ENG</v>
      </c>
      <c r="G145" s="47" t="str">
        <f>'Pod Library'!G31</f>
        <v>E4</v>
      </c>
      <c r="H145" s="47" t="str">
        <f>'Pod Library'!H31</f>
        <v>ON</v>
      </c>
      <c r="I145" s="47" t="str">
        <f>'Pod Library'!I31</f>
        <v>FTE</v>
      </c>
      <c r="J145" s="13">
        <f>'Pod Library'!J31</f>
        <v>1</v>
      </c>
      <c r="K145" s="13">
        <f>SUMIFS('Pod Plan'!$E:$E,'Pod Plan'!$B:$B,$A145,'Pod Plan'!$C:$C,$C145)</f>
        <v>2</v>
      </c>
      <c r="L145" s="25">
        <f t="shared" si="2"/>
        <v>2</v>
      </c>
      <c r="M145" s="44">
        <f>L145*INDEX('Logic Tree'!$J$73:$N$74,MATCH(H145,'Logic Tree'!$I$73:$I$74,0),MATCH(G145,'Logic Tree'!$J$72:$N$72,0))</f>
        <v>3.7</v>
      </c>
    </row>
    <row r="146" spans="1:13" x14ac:dyDescent="0.35">
      <c r="A146" s="25">
        <v>2</v>
      </c>
      <c r="B146" s="24" t="s">
        <v>788</v>
      </c>
      <c r="C146" s="24" t="s">
        <v>186</v>
      </c>
      <c r="D146" s="24" t="s">
        <v>570</v>
      </c>
      <c r="E146" s="46" t="str">
        <f>'Pod Library'!E32</f>
        <v>Pod Delivery Lead</v>
      </c>
      <c r="F146" s="47" t="str">
        <f>'Pod Library'!F32</f>
        <v>LEAD</v>
      </c>
      <c r="G146" s="47" t="str">
        <f>'Pod Library'!G32</f>
        <v>E4</v>
      </c>
      <c r="H146" s="47" t="str">
        <f>'Pod Library'!H32</f>
        <v>ON</v>
      </c>
      <c r="I146" s="47" t="str">
        <f>'Pod Library'!I32</f>
        <v>FTC</v>
      </c>
      <c r="J146" s="13">
        <f>'Pod Library'!J32</f>
        <v>1</v>
      </c>
      <c r="K146" s="13">
        <f>SUMIFS('Pod Plan'!$E:$E,'Pod Plan'!$B:$B,$A146,'Pod Plan'!$C:$C,$C146)</f>
        <v>2</v>
      </c>
      <c r="L146" s="25">
        <f t="shared" si="2"/>
        <v>2</v>
      </c>
      <c r="M146" s="44">
        <f>L146*INDEX('Logic Tree'!$J$73:$N$74,MATCH(H146,'Logic Tree'!$I$73:$I$74,0),MATCH(G146,'Logic Tree'!$J$72:$N$72,0))</f>
        <v>3.7</v>
      </c>
    </row>
    <row r="147" spans="1:13" x14ac:dyDescent="0.35">
      <c r="A147" s="25">
        <v>2</v>
      </c>
      <c r="B147" s="24" t="s">
        <v>788</v>
      </c>
      <c r="C147" s="24" t="s">
        <v>186</v>
      </c>
      <c r="D147" s="24" t="s">
        <v>570</v>
      </c>
      <c r="E147" s="46" t="str">
        <f>'Pod Library'!E33</f>
        <v>AI Orchestrator - Mainframe</v>
      </c>
      <c r="F147" s="47" t="str">
        <f>'Pod Library'!F33</f>
        <v>ENG</v>
      </c>
      <c r="G147" s="47" t="str">
        <f>'Pod Library'!G33</f>
        <v>E5</v>
      </c>
      <c r="H147" s="47" t="str">
        <f>'Pod Library'!H33</f>
        <v>ON</v>
      </c>
      <c r="I147" s="47" t="str">
        <f>'Pod Library'!I33</f>
        <v>FTC</v>
      </c>
      <c r="J147" s="13">
        <f>'Pod Library'!J33</f>
        <v>1</v>
      </c>
      <c r="K147" s="13">
        <f>SUMIFS('Pod Plan'!$E:$E,'Pod Plan'!$B:$B,$A147,'Pod Plan'!$C:$C,$C147)</f>
        <v>2</v>
      </c>
      <c r="L147" s="25">
        <f t="shared" si="2"/>
        <v>2</v>
      </c>
      <c r="M147" s="44">
        <f>L147*INDEX('Logic Tree'!$J$73:$N$74,MATCH(H147,'Logic Tree'!$I$73:$I$74,0),MATCH(G147,'Logic Tree'!$J$72:$N$72,0))</f>
        <v>5.0999999999999996</v>
      </c>
    </row>
    <row r="148" spans="1:13" x14ac:dyDescent="0.35">
      <c r="A148" s="25">
        <v>2</v>
      </c>
      <c r="B148" s="24" t="s">
        <v>788</v>
      </c>
      <c r="C148" s="24" t="s">
        <v>186</v>
      </c>
      <c r="D148" s="24" t="s">
        <v>570</v>
      </c>
      <c r="E148" s="46" t="str">
        <f>'Pod Library'!E34</f>
        <v>Business Analyst (bilingual)</v>
      </c>
      <c r="F148" s="47" t="str">
        <f>'Pod Library'!F34</f>
        <v>BA</v>
      </c>
      <c r="G148" s="47" t="str">
        <f>'Pod Library'!G34</f>
        <v>E3</v>
      </c>
      <c r="H148" s="47" t="str">
        <f>'Pod Library'!H34</f>
        <v>ON</v>
      </c>
      <c r="I148" s="47" t="str">
        <f>'Pod Library'!I34</f>
        <v>FTC</v>
      </c>
      <c r="J148" s="13">
        <f>'Pod Library'!J34</f>
        <v>1</v>
      </c>
      <c r="K148" s="13">
        <f>SUMIFS('Pod Plan'!$E:$E,'Pod Plan'!$B:$B,$A148,'Pod Plan'!$C:$C,$C148)</f>
        <v>2</v>
      </c>
      <c r="L148" s="25">
        <f t="shared" si="2"/>
        <v>2</v>
      </c>
      <c r="M148" s="44">
        <f>L148*INDEX('Logic Tree'!$J$73:$N$74,MATCH(H148,'Logic Tree'!$I$73:$I$74,0),MATCH(G148,'Logic Tree'!$J$72:$N$72,0))</f>
        <v>2.7</v>
      </c>
    </row>
    <row r="149" spans="1:13" x14ac:dyDescent="0.35">
      <c r="A149" s="25">
        <v>2</v>
      </c>
      <c r="B149" s="24" t="s">
        <v>788</v>
      </c>
      <c r="C149" s="24" t="s">
        <v>186</v>
      </c>
      <c r="D149" s="24" t="s">
        <v>570</v>
      </c>
      <c r="E149" s="46" t="str">
        <f>'Pod Library'!E35</f>
        <v>AI-embedded Senior Developer</v>
      </c>
      <c r="F149" s="47" t="str">
        <f>'Pod Library'!F35</f>
        <v>DEV</v>
      </c>
      <c r="G149" s="47" t="str">
        <f>'Pod Library'!G35</f>
        <v>E4</v>
      </c>
      <c r="H149" s="47" t="str">
        <f>'Pod Library'!H35</f>
        <v>OFF</v>
      </c>
      <c r="I149" s="47" t="str">
        <f>'Pod Library'!I35</f>
        <v>FTC</v>
      </c>
      <c r="J149" s="13">
        <f>'Pod Library'!J35</f>
        <v>1</v>
      </c>
      <c r="K149" s="13">
        <f>SUMIFS('Pod Plan'!$E:$E,'Pod Plan'!$B:$B,$A149,'Pod Plan'!$C:$C,$C149)</f>
        <v>2</v>
      </c>
      <c r="L149" s="25">
        <f t="shared" si="2"/>
        <v>2</v>
      </c>
      <c r="M149" s="44">
        <f>L149*INDEX('Logic Tree'!$J$73:$N$74,MATCH(H149,'Logic Tree'!$I$73:$I$74,0),MATCH(G149,'Logic Tree'!$J$72:$N$72,0))</f>
        <v>1.2</v>
      </c>
    </row>
    <row r="150" spans="1:13" x14ac:dyDescent="0.35">
      <c r="A150" s="25">
        <v>2</v>
      </c>
      <c r="B150" s="24" t="s">
        <v>788</v>
      </c>
      <c r="C150" s="24" t="s">
        <v>186</v>
      </c>
      <c r="D150" s="24" t="s">
        <v>570</v>
      </c>
      <c r="E150" s="46" t="str">
        <f>'Pod Library'!E36</f>
        <v>Developer COBOL/JCL</v>
      </c>
      <c r="F150" s="47" t="str">
        <f>'Pod Library'!F36</f>
        <v>DEV</v>
      </c>
      <c r="G150" s="47" t="str">
        <f>'Pod Library'!G36</f>
        <v>E2</v>
      </c>
      <c r="H150" s="47" t="str">
        <f>'Pod Library'!H36</f>
        <v>OFF</v>
      </c>
      <c r="I150" s="47" t="str">
        <f>'Pod Library'!I36</f>
        <v>FTC</v>
      </c>
      <c r="J150" s="13">
        <f>'Pod Library'!J36</f>
        <v>1</v>
      </c>
      <c r="K150" s="13">
        <f>SUMIFS('Pod Plan'!$E:$E,'Pod Plan'!$B:$B,$A150,'Pod Plan'!$C:$C,$C150)</f>
        <v>2</v>
      </c>
      <c r="L150" s="25">
        <f t="shared" si="2"/>
        <v>2</v>
      </c>
      <c r="M150" s="44">
        <f>L150*INDEX('Logic Tree'!$J$73:$N$74,MATCH(H150,'Logic Tree'!$I$73:$I$74,0),MATCH(G150,'Logic Tree'!$J$72:$N$72,0))</f>
        <v>0.6</v>
      </c>
    </row>
    <row r="151" spans="1:13" x14ac:dyDescent="0.35">
      <c r="A151" s="25">
        <v>2</v>
      </c>
      <c r="B151" s="24" t="s">
        <v>788</v>
      </c>
      <c r="C151" s="24" t="s">
        <v>186</v>
      </c>
      <c r="D151" s="24" t="s">
        <v>570</v>
      </c>
      <c r="E151" s="46" t="str">
        <f>'Pod Library'!E37</f>
        <v>Quality Engineer (SDET)</v>
      </c>
      <c r="F151" s="47" t="str">
        <f>'Pod Library'!F37</f>
        <v>TEST</v>
      </c>
      <c r="G151" s="47" t="str">
        <f>'Pod Library'!G37</f>
        <v>E3</v>
      </c>
      <c r="H151" s="47" t="str">
        <f>'Pod Library'!H37</f>
        <v>OFF</v>
      </c>
      <c r="I151" s="47" t="str">
        <f>'Pod Library'!I37</f>
        <v>FTC</v>
      </c>
      <c r="J151" s="13">
        <f>'Pod Library'!J37</f>
        <v>1</v>
      </c>
      <c r="K151" s="13">
        <f>SUMIFS('Pod Plan'!$E:$E,'Pod Plan'!$B:$B,$A151,'Pod Plan'!$C:$C,$C151)</f>
        <v>2</v>
      </c>
      <c r="L151" s="25">
        <f t="shared" si="2"/>
        <v>2</v>
      </c>
      <c r="M151" s="44">
        <f>L151*INDEX('Logic Tree'!$J$73:$N$74,MATCH(H151,'Logic Tree'!$I$73:$I$74,0),MATCH(G151,'Logic Tree'!$J$72:$N$72,0))</f>
        <v>0.84</v>
      </c>
    </row>
    <row r="152" spans="1:13" x14ac:dyDescent="0.35">
      <c r="A152" s="25">
        <v>2</v>
      </c>
      <c r="B152" s="24" t="s">
        <v>788</v>
      </c>
      <c r="C152" s="24" t="s">
        <v>186</v>
      </c>
      <c r="D152" s="24" t="s">
        <v>587</v>
      </c>
      <c r="E152" s="46" t="str">
        <f>'Pod Library'!E40</f>
        <v>Pod Lead (output owner)</v>
      </c>
      <c r="F152" s="47" t="str">
        <f>'Pod Library'!F40</f>
        <v>LEAD</v>
      </c>
      <c r="G152" s="47" t="str">
        <f>'Pod Library'!G40</f>
        <v>E4</v>
      </c>
      <c r="H152" s="47" t="str">
        <f>'Pod Library'!H40</f>
        <v>ON</v>
      </c>
      <c r="I152" s="47" t="str">
        <f>'Pod Library'!I40</f>
        <v>FTC</v>
      </c>
      <c r="J152" s="13">
        <f>'Pod Library'!J40</f>
        <v>1</v>
      </c>
      <c r="K152" s="13">
        <f>SUMIFS('Pod Plan'!$F:$F,'Pod Plan'!$B:$B,$A152,'Pod Plan'!$C:$C,$C152)</f>
        <v>1</v>
      </c>
      <c r="L152" s="25">
        <f t="shared" si="2"/>
        <v>1</v>
      </c>
      <c r="M152" s="44">
        <f>L152*INDEX('Logic Tree'!$J$73:$N$74,MATCH(H152,'Logic Tree'!$I$73:$I$74,0),MATCH(G152,'Logic Tree'!$J$72:$N$72,0))</f>
        <v>1.85</v>
      </c>
    </row>
    <row r="153" spans="1:13" x14ac:dyDescent="0.35">
      <c r="A153" s="25">
        <v>2</v>
      </c>
      <c r="B153" s="24" t="s">
        <v>788</v>
      </c>
      <c r="C153" s="24" t="s">
        <v>186</v>
      </c>
      <c r="D153" s="24" t="s">
        <v>587</v>
      </c>
      <c r="E153" s="46" t="str">
        <f>'Pod Library'!E41</f>
        <v>AI Orchestrator</v>
      </c>
      <c r="F153" s="47" t="str">
        <f>'Pod Library'!F41</f>
        <v>ENG</v>
      </c>
      <c r="G153" s="47" t="str">
        <f>'Pod Library'!G41</f>
        <v>E4</v>
      </c>
      <c r="H153" s="47" t="str">
        <f>'Pod Library'!H41</f>
        <v>ON</v>
      </c>
      <c r="I153" s="47" t="str">
        <f>'Pod Library'!I41</f>
        <v>FTC</v>
      </c>
      <c r="J153" s="13">
        <f>'Pod Library'!J41</f>
        <v>1</v>
      </c>
      <c r="K153" s="13">
        <f>SUMIFS('Pod Plan'!$F:$F,'Pod Plan'!$B:$B,$A153,'Pod Plan'!$C:$C,$C153)</f>
        <v>1</v>
      </c>
      <c r="L153" s="25">
        <f t="shared" si="2"/>
        <v>1</v>
      </c>
      <c r="M153" s="44">
        <f>L153*INDEX('Logic Tree'!$J$73:$N$74,MATCH(H153,'Logic Tree'!$I$73:$I$74,0),MATCH(G153,'Logic Tree'!$J$72:$N$72,0))</f>
        <v>1.85</v>
      </c>
    </row>
    <row r="154" spans="1:13" x14ac:dyDescent="0.35">
      <c r="A154" s="25">
        <v>2</v>
      </c>
      <c r="B154" s="24" t="s">
        <v>788</v>
      </c>
      <c r="C154" s="24" t="s">
        <v>186</v>
      </c>
      <c r="D154" s="24" t="s">
        <v>587</v>
      </c>
      <c r="E154" s="46" t="str">
        <f>'Pod Library'!E42</f>
        <v>Business Analyst (bilingual)</v>
      </c>
      <c r="F154" s="47" t="str">
        <f>'Pod Library'!F42</f>
        <v>BA</v>
      </c>
      <c r="G154" s="47" t="str">
        <f>'Pod Library'!G42</f>
        <v>E3</v>
      </c>
      <c r="H154" s="47" t="str">
        <f>'Pod Library'!H42</f>
        <v>ON</v>
      </c>
      <c r="I154" s="47" t="str">
        <f>'Pod Library'!I42</f>
        <v>FTC</v>
      </c>
      <c r="J154" s="13">
        <f>'Pod Library'!J42</f>
        <v>1</v>
      </c>
      <c r="K154" s="13">
        <f>SUMIFS('Pod Plan'!$F:$F,'Pod Plan'!$B:$B,$A154,'Pod Plan'!$C:$C,$C154)</f>
        <v>1</v>
      </c>
      <c r="L154" s="25">
        <f t="shared" si="2"/>
        <v>1</v>
      </c>
      <c r="M154" s="44">
        <f>L154*INDEX('Logic Tree'!$J$73:$N$74,MATCH(H154,'Logic Tree'!$I$73:$I$74,0),MATCH(G154,'Logic Tree'!$J$72:$N$72,0))</f>
        <v>1.35</v>
      </c>
    </row>
    <row r="155" spans="1:13" x14ac:dyDescent="0.35">
      <c r="A155" s="25">
        <v>2</v>
      </c>
      <c r="B155" s="24" t="s">
        <v>788</v>
      </c>
      <c r="C155" s="24" t="s">
        <v>186</v>
      </c>
      <c r="D155" s="24" t="s">
        <v>587</v>
      </c>
      <c r="E155" s="46" t="str">
        <f>'Pod Library'!E43</f>
        <v>AI-embedded Senior Developer</v>
      </c>
      <c r="F155" s="47" t="str">
        <f>'Pod Library'!F43</f>
        <v>DEV</v>
      </c>
      <c r="G155" s="47" t="str">
        <f>'Pod Library'!G43</f>
        <v>E4</v>
      </c>
      <c r="H155" s="47" t="str">
        <f>'Pod Library'!H43</f>
        <v>OFF</v>
      </c>
      <c r="I155" s="47" t="str">
        <f>'Pod Library'!I43</f>
        <v>FTC</v>
      </c>
      <c r="J155" s="13">
        <f>'Pod Library'!J43</f>
        <v>1</v>
      </c>
      <c r="K155" s="13">
        <f>SUMIFS('Pod Plan'!$F:$F,'Pod Plan'!$B:$B,$A155,'Pod Plan'!$C:$C,$C155)</f>
        <v>1</v>
      </c>
      <c r="L155" s="25">
        <f t="shared" si="2"/>
        <v>1</v>
      </c>
      <c r="M155" s="44">
        <f>L155*INDEX('Logic Tree'!$J$73:$N$74,MATCH(H155,'Logic Tree'!$I$73:$I$74,0),MATCH(G155,'Logic Tree'!$J$72:$N$72,0))</f>
        <v>0.6</v>
      </c>
    </row>
    <row r="156" spans="1:13" x14ac:dyDescent="0.35">
      <c r="A156" s="25">
        <v>2</v>
      </c>
      <c r="B156" s="24" t="s">
        <v>788</v>
      </c>
      <c r="C156" s="24" t="s">
        <v>186</v>
      </c>
      <c r="D156" s="24" t="s">
        <v>587</v>
      </c>
      <c r="E156" s="46" t="str">
        <f>'Pod Library'!E44</f>
        <v>Developer</v>
      </c>
      <c r="F156" s="47" t="str">
        <f>'Pod Library'!F44</f>
        <v>DEV</v>
      </c>
      <c r="G156" s="47" t="str">
        <f>'Pod Library'!G44</f>
        <v>E2</v>
      </c>
      <c r="H156" s="47" t="str">
        <f>'Pod Library'!H44</f>
        <v>OFF</v>
      </c>
      <c r="I156" s="47" t="str">
        <f>'Pod Library'!I44</f>
        <v>FTC</v>
      </c>
      <c r="J156" s="13">
        <f>'Pod Library'!J44</f>
        <v>1</v>
      </c>
      <c r="K156" s="13">
        <f>SUMIFS('Pod Plan'!$F:$F,'Pod Plan'!$B:$B,$A156,'Pod Plan'!$C:$C,$C156)</f>
        <v>1</v>
      </c>
      <c r="L156" s="25">
        <f t="shared" si="2"/>
        <v>1</v>
      </c>
      <c r="M156" s="44">
        <f>L156*INDEX('Logic Tree'!$J$73:$N$74,MATCH(H156,'Logic Tree'!$I$73:$I$74,0),MATCH(G156,'Logic Tree'!$J$72:$N$72,0))</f>
        <v>0.3</v>
      </c>
    </row>
    <row r="157" spans="1:13" x14ac:dyDescent="0.35">
      <c r="A157" s="25">
        <v>2</v>
      </c>
      <c r="B157" s="24" t="s">
        <v>788</v>
      </c>
      <c r="C157" s="24" t="s">
        <v>186</v>
      </c>
      <c r="D157" s="24" t="s">
        <v>587</v>
      </c>
      <c r="E157" s="46" t="str">
        <f>'Pod Library'!E45</f>
        <v>Developer</v>
      </c>
      <c r="F157" s="47" t="str">
        <f>'Pod Library'!F45</f>
        <v>DEV</v>
      </c>
      <c r="G157" s="47" t="str">
        <f>'Pod Library'!G45</f>
        <v>E2</v>
      </c>
      <c r="H157" s="47" t="str">
        <f>'Pod Library'!H45</f>
        <v>OFF</v>
      </c>
      <c r="I157" s="47" t="str">
        <f>'Pod Library'!I45</f>
        <v>FTC</v>
      </c>
      <c r="J157" s="13">
        <f>'Pod Library'!J45</f>
        <v>1</v>
      </c>
      <c r="K157" s="13">
        <f>SUMIFS('Pod Plan'!$F:$F,'Pod Plan'!$B:$B,$A157,'Pod Plan'!$C:$C,$C157)</f>
        <v>1</v>
      </c>
      <c r="L157" s="25">
        <f t="shared" si="2"/>
        <v>1</v>
      </c>
      <c r="M157" s="44">
        <f>L157*INDEX('Logic Tree'!$J$73:$N$74,MATCH(H157,'Logic Tree'!$I$73:$I$74,0),MATCH(G157,'Logic Tree'!$J$72:$N$72,0))</f>
        <v>0.3</v>
      </c>
    </row>
    <row r="158" spans="1:13" x14ac:dyDescent="0.35">
      <c r="A158" s="25">
        <v>2</v>
      </c>
      <c r="B158" s="24" t="s">
        <v>788</v>
      </c>
      <c r="C158" s="24" t="s">
        <v>186</v>
      </c>
      <c r="D158" s="24" t="s">
        <v>587</v>
      </c>
      <c r="E158" s="46" t="str">
        <f>'Pod Library'!E46</f>
        <v>AI Engineer (agent build)</v>
      </c>
      <c r="F158" s="47" t="str">
        <f>'Pod Library'!F46</f>
        <v>ENG</v>
      </c>
      <c r="G158" s="47" t="str">
        <f>'Pod Library'!G46</f>
        <v>E3</v>
      </c>
      <c r="H158" s="47" t="str">
        <f>'Pod Library'!H46</f>
        <v>OFF</v>
      </c>
      <c r="I158" s="47" t="str">
        <f>'Pod Library'!I46</f>
        <v>FTC</v>
      </c>
      <c r="J158" s="13">
        <f>'Pod Library'!J46</f>
        <v>1</v>
      </c>
      <c r="K158" s="13">
        <f>SUMIFS('Pod Plan'!$F:$F,'Pod Plan'!$B:$B,$A158,'Pod Plan'!$C:$C,$C158)</f>
        <v>1</v>
      </c>
      <c r="L158" s="25">
        <f t="shared" si="2"/>
        <v>1</v>
      </c>
      <c r="M158" s="44">
        <f>L158*INDEX('Logic Tree'!$J$73:$N$74,MATCH(H158,'Logic Tree'!$I$73:$I$74,0),MATCH(G158,'Logic Tree'!$J$72:$N$72,0))</f>
        <v>0.42</v>
      </c>
    </row>
    <row r="159" spans="1:13" x14ac:dyDescent="0.35">
      <c r="A159" s="25">
        <v>2</v>
      </c>
      <c r="B159" s="24" t="s">
        <v>788</v>
      </c>
      <c r="C159" s="24" t="s">
        <v>186</v>
      </c>
      <c r="D159" s="24" t="s">
        <v>587</v>
      </c>
      <c r="E159" s="46" t="str">
        <f>'Pod Library'!E47</f>
        <v>Quality Engineer (SDET)</v>
      </c>
      <c r="F159" s="47" t="str">
        <f>'Pod Library'!F47</f>
        <v>TEST</v>
      </c>
      <c r="G159" s="47" t="str">
        <f>'Pod Library'!G47</f>
        <v>E3</v>
      </c>
      <c r="H159" s="47" t="str">
        <f>'Pod Library'!H47</f>
        <v>OFF</v>
      </c>
      <c r="I159" s="47" t="str">
        <f>'Pod Library'!I47</f>
        <v>FTC</v>
      </c>
      <c r="J159" s="13">
        <f>'Pod Library'!J47</f>
        <v>1</v>
      </c>
      <c r="K159" s="13">
        <f>SUMIFS('Pod Plan'!$F:$F,'Pod Plan'!$B:$B,$A159,'Pod Plan'!$C:$C,$C159)</f>
        <v>1</v>
      </c>
      <c r="L159" s="25">
        <f t="shared" si="2"/>
        <v>1</v>
      </c>
      <c r="M159" s="44">
        <f>L159*INDEX('Logic Tree'!$J$73:$N$74,MATCH(H159,'Logic Tree'!$I$73:$I$74,0),MATCH(G159,'Logic Tree'!$J$72:$N$72,0))</f>
        <v>0.42</v>
      </c>
    </row>
    <row r="160" spans="1:13" x14ac:dyDescent="0.35">
      <c r="A160" s="25">
        <v>2</v>
      </c>
      <c r="B160" s="24" t="s">
        <v>788</v>
      </c>
      <c r="C160" s="24" t="s">
        <v>186</v>
      </c>
      <c r="D160" s="24" t="s">
        <v>587</v>
      </c>
      <c r="E160" s="46" t="str">
        <f>'Pod Library'!E48</f>
        <v>Quality Engineer (SDET)</v>
      </c>
      <c r="F160" s="47" t="str">
        <f>'Pod Library'!F48</f>
        <v>TEST</v>
      </c>
      <c r="G160" s="47" t="str">
        <f>'Pod Library'!G48</f>
        <v>E2</v>
      </c>
      <c r="H160" s="47" t="str">
        <f>'Pod Library'!H48</f>
        <v>OFF</v>
      </c>
      <c r="I160" s="47" t="str">
        <f>'Pod Library'!I48</f>
        <v>FTC</v>
      </c>
      <c r="J160" s="13">
        <f>'Pod Library'!J48</f>
        <v>1</v>
      </c>
      <c r="K160" s="13">
        <f>SUMIFS('Pod Plan'!$F:$F,'Pod Plan'!$B:$B,$A160,'Pod Plan'!$C:$C,$C160)</f>
        <v>1</v>
      </c>
      <c r="L160" s="25">
        <f t="shared" si="2"/>
        <v>1</v>
      </c>
      <c r="M160" s="44">
        <f>L160*INDEX('Logic Tree'!$J$73:$N$74,MATCH(H160,'Logic Tree'!$I$73:$I$74,0),MATCH(G160,'Logic Tree'!$J$72:$N$72,0))</f>
        <v>0.3</v>
      </c>
    </row>
    <row r="161" spans="1:13" x14ac:dyDescent="0.35">
      <c r="A161" s="25">
        <v>2</v>
      </c>
      <c r="B161" s="24" t="s">
        <v>788</v>
      </c>
      <c r="C161" s="24" t="s">
        <v>196</v>
      </c>
      <c r="D161" s="24" t="s">
        <v>570</v>
      </c>
      <c r="E161" s="46" t="str">
        <f>'Pod Library'!E29</f>
        <v>Product Owner</v>
      </c>
      <c r="F161" s="47" t="str">
        <f>'Pod Library'!F29</f>
        <v>LEAD</v>
      </c>
      <c r="G161" s="47" t="str">
        <f>'Pod Library'!G29</f>
        <v>E4</v>
      </c>
      <c r="H161" s="47" t="str">
        <f>'Pod Library'!H29</f>
        <v>ON</v>
      </c>
      <c r="I161" s="47" t="str">
        <f>'Pod Library'!I29</f>
        <v>FTE</v>
      </c>
      <c r="J161" s="13">
        <f>'Pod Library'!J29</f>
        <v>1</v>
      </c>
      <c r="K161" s="13">
        <f>SUMIFS('Pod Plan'!$E:$E,'Pod Plan'!$B:$B,$A161,'Pod Plan'!$C:$C,$C161)</f>
        <v>1</v>
      </c>
      <c r="L161" s="25">
        <f t="shared" si="2"/>
        <v>1</v>
      </c>
      <c r="M161" s="44">
        <f>L161*INDEX('Logic Tree'!$J$73:$N$74,MATCH(H161,'Logic Tree'!$I$73:$I$74,0),MATCH(G161,'Logic Tree'!$J$72:$N$72,0))</f>
        <v>1.85</v>
      </c>
    </row>
    <row r="162" spans="1:13" x14ac:dyDescent="0.35">
      <c r="A162" s="25">
        <v>2</v>
      </c>
      <c r="B162" s="24" t="s">
        <v>788</v>
      </c>
      <c r="C162" s="24" t="s">
        <v>196</v>
      </c>
      <c r="D162" s="24" t="s">
        <v>570</v>
      </c>
      <c r="E162" s="46" t="str">
        <f>'Pod Library'!E30</f>
        <v>Contract Domain SME</v>
      </c>
      <c r="F162" s="47" t="str">
        <f>'Pod Library'!F30</f>
        <v>BA</v>
      </c>
      <c r="G162" s="47" t="str">
        <f>'Pod Library'!G30</f>
        <v>E5</v>
      </c>
      <c r="H162" s="47" t="str">
        <f>'Pod Library'!H30</f>
        <v>ON</v>
      </c>
      <c r="I162" s="47" t="str">
        <f>'Pod Library'!I30</f>
        <v>FTE</v>
      </c>
      <c r="J162" s="13">
        <f>'Pod Library'!J30</f>
        <v>1</v>
      </c>
      <c r="K162" s="13">
        <f>SUMIFS('Pod Plan'!$E:$E,'Pod Plan'!$B:$B,$A162,'Pod Plan'!$C:$C,$C162)</f>
        <v>1</v>
      </c>
      <c r="L162" s="25">
        <f t="shared" si="2"/>
        <v>1</v>
      </c>
      <c r="M162" s="44">
        <f>L162*INDEX('Logic Tree'!$J$73:$N$74,MATCH(H162,'Logic Tree'!$I$73:$I$74,0),MATCH(G162,'Logic Tree'!$J$72:$N$72,0))</f>
        <v>2.5499999999999998</v>
      </c>
    </row>
    <row r="163" spans="1:13" x14ac:dyDescent="0.35">
      <c r="A163" s="25">
        <v>2</v>
      </c>
      <c r="B163" s="24" t="s">
        <v>788</v>
      </c>
      <c r="C163" s="24" t="s">
        <v>196</v>
      </c>
      <c r="D163" s="24" t="s">
        <v>570</v>
      </c>
      <c r="E163" s="46" t="str">
        <f>'Pod Library'!E31</f>
        <v>Application Owner (Technical)</v>
      </c>
      <c r="F163" s="47" t="str">
        <f>'Pod Library'!F31</f>
        <v>ENG</v>
      </c>
      <c r="G163" s="47" t="str">
        <f>'Pod Library'!G31</f>
        <v>E4</v>
      </c>
      <c r="H163" s="47" t="str">
        <f>'Pod Library'!H31</f>
        <v>ON</v>
      </c>
      <c r="I163" s="47" t="str">
        <f>'Pod Library'!I31</f>
        <v>FTE</v>
      </c>
      <c r="J163" s="13">
        <f>'Pod Library'!J31</f>
        <v>1</v>
      </c>
      <c r="K163" s="13">
        <f>SUMIFS('Pod Plan'!$E:$E,'Pod Plan'!$B:$B,$A163,'Pod Plan'!$C:$C,$C163)</f>
        <v>1</v>
      </c>
      <c r="L163" s="25">
        <f t="shared" si="2"/>
        <v>1</v>
      </c>
      <c r="M163" s="44">
        <f>L163*INDEX('Logic Tree'!$J$73:$N$74,MATCH(H163,'Logic Tree'!$I$73:$I$74,0),MATCH(G163,'Logic Tree'!$J$72:$N$72,0))</f>
        <v>1.85</v>
      </c>
    </row>
    <row r="164" spans="1:13" x14ac:dyDescent="0.35">
      <c r="A164" s="25">
        <v>2</v>
      </c>
      <c r="B164" s="24" t="s">
        <v>788</v>
      </c>
      <c r="C164" s="24" t="s">
        <v>196</v>
      </c>
      <c r="D164" s="24" t="s">
        <v>570</v>
      </c>
      <c r="E164" s="46" t="str">
        <f>'Pod Library'!E32</f>
        <v>Pod Delivery Lead</v>
      </c>
      <c r="F164" s="47" t="str">
        <f>'Pod Library'!F32</f>
        <v>LEAD</v>
      </c>
      <c r="G164" s="47" t="str">
        <f>'Pod Library'!G32</f>
        <v>E4</v>
      </c>
      <c r="H164" s="47" t="str">
        <f>'Pod Library'!H32</f>
        <v>ON</v>
      </c>
      <c r="I164" s="47" t="str">
        <f>'Pod Library'!I32</f>
        <v>FTC</v>
      </c>
      <c r="J164" s="13">
        <f>'Pod Library'!J32</f>
        <v>1</v>
      </c>
      <c r="K164" s="13">
        <f>SUMIFS('Pod Plan'!$E:$E,'Pod Plan'!$B:$B,$A164,'Pod Plan'!$C:$C,$C164)</f>
        <v>1</v>
      </c>
      <c r="L164" s="25">
        <f t="shared" si="2"/>
        <v>1</v>
      </c>
      <c r="M164" s="44">
        <f>L164*INDEX('Logic Tree'!$J$73:$N$74,MATCH(H164,'Logic Tree'!$I$73:$I$74,0),MATCH(G164,'Logic Tree'!$J$72:$N$72,0))</f>
        <v>1.85</v>
      </c>
    </row>
    <row r="165" spans="1:13" x14ac:dyDescent="0.35">
      <c r="A165" s="25">
        <v>2</v>
      </c>
      <c r="B165" s="24" t="s">
        <v>788</v>
      </c>
      <c r="C165" s="24" t="s">
        <v>196</v>
      </c>
      <c r="D165" s="24" t="s">
        <v>570</v>
      </c>
      <c r="E165" s="46" t="str">
        <f>'Pod Library'!E33</f>
        <v>AI Orchestrator - Mainframe</v>
      </c>
      <c r="F165" s="47" t="str">
        <f>'Pod Library'!F33</f>
        <v>ENG</v>
      </c>
      <c r="G165" s="47" t="str">
        <f>'Pod Library'!G33</f>
        <v>E5</v>
      </c>
      <c r="H165" s="47" t="str">
        <f>'Pod Library'!H33</f>
        <v>ON</v>
      </c>
      <c r="I165" s="47" t="str">
        <f>'Pod Library'!I33</f>
        <v>FTC</v>
      </c>
      <c r="J165" s="13">
        <f>'Pod Library'!J33</f>
        <v>1</v>
      </c>
      <c r="K165" s="13">
        <f>SUMIFS('Pod Plan'!$E:$E,'Pod Plan'!$B:$B,$A165,'Pod Plan'!$C:$C,$C165)</f>
        <v>1</v>
      </c>
      <c r="L165" s="25">
        <f t="shared" si="2"/>
        <v>1</v>
      </c>
      <c r="M165" s="44">
        <f>L165*INDEX('Logic Tree'!$J$73:$N$74,MATCH(H165,'Logic Tree'!$I$73:$I$74,0),MATCH(G165,'Logic Tree'!$J$72:$N$72,0))</f>
        <v>2.5499999999999998</v>
      </c>
    </row>
    <row r="166" spans="1:13" x14ac:dyDescent="0.35">
      <c r="A166" s="25">
        <v>2</v>
      </c>
      <c r="B166" s="24" t="s">
        <v>788</v>
      </c>
      <c r="C166" s="24" t="s">
        <v>196</v>
      </c>
      <c r="D166" s="24" t="s">
        <v>570</v>
      </c>
      <c r="E166" s="46" t="str">
        <f>'Pod Library'!E34</f>
        <v>Business Analyst (bilingual)</v>
      </c>
      <c r="F166" s="47" t="str">
        <f>'Pod Library'!F34</f>
        <v>BA</v>
      </c>
      <c r="G166" s="47" t="str">
        <f>'Pod Library'!G34</f>
        <v>E3</v>
      </c>
      <c r="H166" s="47" t="str">
        <f>'Pod Library'!H34</f>
        <v>ON</v>
      </c>
      <c r="I166" s="47" t="str">
        <f>'Pod Library'!I34</f>
        <v>FTC</v>
      </c>
      <c r="J166" s="13">
        <f>'Pod Library'!J34</f>
        <v>1</v>
      </c>
      <c r="K166" s="13">
        <f>SUMIFS('Pod Plan'!$E:$E,'Pod Plan'!$B:$B,$A166,'Pod Plan'!$C:$C,$C166)</f>
        <v>1</v>
      </c>
      <c r="L166" s="25">
        <f t="shared" si="2"/>
        <v>1</v>
      </c>
      <c r="M166" s="44">
        <f>L166*INDEX('Logic Tree'!$J$73:$N$74,MATCH(H166,'Logic Tree'!$I$73:$I$74,0),MATCH(G166,'Logic Tree'!$J$72:$N$72,0))</f>
        <v>1.35</v>
      </c>
    </row>
    <row r="167" spans="1:13" x14ac:dyDescent="0.35">
      <c r="A167" s="25">
        <v>2</v>
      </c>
      <c r="B167" s="24" t="s">
        <v>788</v>
      </c>
      <c r="C167" s="24" t="s">
        <v>196</v>
      </c>
      <c r="D167" s="24" t="s">
        <v>570</v>
      </c>
      <c r="E167" s="46" t="str">
        <f>'Pod Library'!E35</f>
        <v>AI-embedded Senior Developer</v>
      </c>
      <c r="F167" s="47" t="str">
        <f>'Pod Library'!F35</f>
        <v>DEV</v>
      </c>
      <c r="G167" s="47" t="str">
        <f>'Pod Library'!G35</f>
        <v>E4</v>
      </c>
      <c r="H167" s="47" t="str">
        <f>'Pod Library'!H35</f>
        <v>OFF</v>
      </c>
      <c r="I167" s="47" t="str">
        <f>'Pod Library'!I35</f>
        <v>FTC</v>
      </c>
      <c r="J167" s="13">
        <f>'Pod Library'!J35</f>
        <v>1</v>
      </c>
      <c r="K167" s="13">
        <f>SUMIFS('Pod Plan'!$E:$E,'Pod Plan'!$B:$B,$A167,'Pod Plan'!$C:$C,$C167)</f>
        <v>1</v>
      </c>
      <c r="L167" s="25">
        <f t="shared" si="2"/>
        <v>1</v>
      </c>
      <c r="M167" s="44">
        <f>L167*INDEX('Logic Tree'!$J$73:$N$74,MATCH(H167,'Logic Tree'!$I$73:$I$74,0),MATCH(G167,'Logic Tree'!$J$72:$N$72,0))</f>
        <v>0.6</v>
      </c>
    </row>
    <row r="168" spans="1:13" x14ac:dyDescent="0.35">
      <c r="A168" s="25">
        <v>2</v>
      </c>
      <c r="B168" s="24" t="s">
        <v>788</v>
      </c>
      <c r="C168" s="24" t="s">
        <v>196</v>
      </c>
      <c r="D168" s="24" t="s">
        <v>570</v>
      </c>
      <c r="E168" s="46" t="str">
        <f>'Pod Library'!E36</f>
        <v>Developer COBOL/JCL</v>
      </c>
      <c r="F168" s="47" t="str">
        <f>'Pod Library'!F36</f>
        <v>DEV</v>
      </c>
      <c r="G168" s="47" t="str">
        <f>'Pod Library'!G36</f>
        <v>E2</v>
      </c>
      <c r="H168" s="47" t="str">
        <f>'Pod Library'!H36</f>
        <v>OFF</v>
      </c>
      <c r="I168" s="47" t="str">
        <f>'Pod Library'!I36</f>
        <v>FTC</v>
      </c>
      <c r="J168" s="13">
        <f>'Pod Library'!J36</f>
        <v>1</v>
      </c>
      <c r="K168" s="13">
        <f>SUMIFS('Pod Plan'!$E:$E,'Pod Plan'!$B:$B,$A168,'Pod Plan'!$C:$C,$C168)</f>
        <v>1</v>
      </c>
      <c r="L168" s="25">
        <f t="shared" si="2"/>
        <v>1</v>
      </c>
      <c r="M168" s="44">
        <f>L168*INDEX('Logic Tree'!$J$73:$N$74,MATCH(H168,'Logic Tree'!$I$73:$I$74,0),MATCH(G168,'Logic Tree'!$J$72:$N$72,0))</f>
        <v>0.3</v>
      </c>
    </row>
    <row r="169" spans="1:13" x14ac:dyDescent="0.35">
      <c r="A169" s="25">
        <v>2</v>
      </c>
      <c r="B169" s="24" t="s">
        <v>788</v>
      </c>
      <c r="C169" s="24" t="s">
        <v>196</v>
      </c>
      <c r="D169" s="24" t="s">
        <v>570</v>
      </c>
      <c r="E169" s="46" t="str">
        <f>'Pod Library'!E37</f>
        <v>Quality Engineer (SDET)</v>
      </c>
      <c r="F169" s="47" t="str">
        <f>'Pod Library'!F37</f>
        <v>TEST</v>
      </c>
      <c r="G169" s="47" t="str">
        <f>'Pod Library'!G37</f>
        <v>E3</v>
      </c>
      <c r="H169" s="47" t="str">
        <f>'Pod Library'!H37</f>
        <v>OFF</v>
      </c>
      <c r="I169" s="47" t="str">
        <f>'Pod Library'!I37</f>
        <v>FTC</v>
      </c>
      <c r="J169" s="13">
        <f>'Pod Library'!J37</f>
        <v>1</v>
      </c>
      <c r="K169" s="13">
        <f>SUMIFS('Pod Plan'!$E:$E,'Pod Plan'!$B:$B,$A169,'Pod Plan'!$C:$C,$C169)</f>
        <v>1</v>
      </c>
      <c r="L169" s="25">
        <f t="shared" si="2"/>
        <v>1</v>
      </c>
      <c r="M169" s="44">
        <f>L169*INDEX('Logic Tree'!$J$73:$N$74,MATCH(H169,'Logic Tree'!$I$73:$I$74,0),MATCH(G169,'Logic Tree'!$J$72:$N$72,0))</f>
        <v>0.42</v>
      </c>
    </row>
    <row r="170" spans="1:13" x14ac:dyDescent="0.35">
      <c r="A170" s="25">
        <v>2</v>
      </c>
      <c r="B170" s="24" t="s">
        <v>788</v>
      </c>
      <c r="C170" s="24" t="s">
        <v>196</v>
      </c>
      <c r="D170" s="24" t="s">
        <v>587</v>
      </c>
      <c r="E170" s="46" t="str">
        <f>'Pod Library'!E40</f>
        <v>Pod Lead (output owner)</v>
      </c>
      <c r="F170" s="47" t="str">
        <f>'Pod Library'!F40</f>
        <v>LEAD</v>
      </c>
      <c r="G170" s="47" t="str">
        <f>'Pod Library'!G40</f>
        <v>E4</v>
      </c>
      <c r="H170" s="47" t="str">
        <f>'Pod Library'!H40</f>
        <v>ON</v>
      </c>
      <c r="I170" s="47" t="str">
        <f>'Pod Library'!I40</f>
        <v>FTC</v>
      </c>
      <c r="J170" s="13">
        <f>'Pod Library'!J40</f>
        <v>1</v>
      </c>
      <c r="K170" s="13">
        <f>SUMIFS('Pod Plan'!$F:$F,'Pod Plan'!$B:$B,$A170,'Pod Plan'!$C:$C,$C170)</f>
        <v>1</v>
      </c>
      <c r="L170" s="25">
        <f t="shared" si="2"/>
        <v>1</v>
      </c>
      <c r="M170" s="44">
        <f>L170*INDEX('Logic Tree'!$J$73:$N$74,MATCH(H170,'Logic Tree'!$I$73:$I$74,0),MATCH(G170,'Logic Tree'!$J$72:$N$72,0))</f>
        <v>1.85</v>
      </c>
    </row>
    <row r="171" spans="1:13" x14ac:dyDescent="0.35">
      <c r="A171" s="25">
        <v>2</v>
      </c>
      <c r="B171" s="24" t="s">
        <v>788</v>
      </c>
      <c r="C171" s="24" t="s">
        <v>196</v>
      </c>
      <c r="D171" s="24" t="s">
        <v>587</v>
      </c>
      <c r="E171" s="46" t="str">
        <f>'Pod Library'!E41</f>
        <v>AI Orchestrator</v>
      </c>
      <c r="F171" s="47" t="str">
        <f>'Pod Library'!F41</f>
        <v>ENG</v>
      </c>
      <c r="G171" s="47" t="str">
        <f>'Pod Library'!G41</f>
        <v>E4</v>
      </c>
      <c r="H171" s="47" t="str">
        <f>'Pod Library'!H41</f>
        <v>ON</v>
      </c>
      <c r="I171" s="47" t="str">
        <f>'Pod Library'!I41</f>
        <v>FTC</v>
      </c>
      <c r="J171" s="13">
        <f>'Pod Library'!J41</f>
        <v>1</v>
      </c>
      <c r="K171" s="13">
        <f>SUMIFS('Pod Plan'!$F:$F,'Pod Plan'!$B:$B,$A171,'Pod Plan'!$C:$C,$C171)</f>
        <v>1</v>
      </c>
      <c r="L171" s="25">
        <f t="shared" si="2"/>
        <v>1</v>
      </c>
      <c r="M171" s="44">
        <f>L171*INDEX('Logic Tree'!$J$73:$N$74,MATCH(H171,'Logic Tree'!$I$73:$I$74,0),MATCH(G171,'Logic Tree'!$J$72:$N$72,0))</f>
        <v>1.85</v>
      </c>
    </row>
    <row r="172" spans="1:13" x14ac:dyDescent="0.35">
      <c r="A172" s="25">
        <v>2</v>
      </c>
      <c r="B172" s="24" t="s">
        <v>788</v>
      </c>
      <c r="C172" s="24" t="s">
        <v>196</v>
      </c>
      <c r="D172" s="24" t="s">
        <v>587</v>
      </c>
      <c r="E172" s="46" t="str">
        <f>'Pod Library'!E42</f>
        <v>Business Analyst (bilingual)</v>
      </c>
      <c r="F172" s="47" t="str">
        <f>'Pod Library'!F42</f>
        <v>BA</v>
      </c>
      <c r="G172" s="47" t="str">
        <f>'Pod Library'!G42</f>
        <v>E3</v>
      </c>
      <c r="H172" s="47" t="str">
        <f>'Pod Library'!H42</f>
        <v>ON</v>
      </c>
      <c r="I172" s="47" t="str">
        <f>'Pod Library'!I42</f>
        <v>FTC</v>
      </c>
      <c r="J172" s="13">
        <f>'Pod Library'!J42</f>
        <v>1</v>
      </c>
      <c r="K172" s="13">
        <f>SUMIFS('Pod Plan'!$F:$F,'Pod Plan'!$B:$B,$A172,'Pod Plan'!$C:$C,$C172)</f>
        <v>1</v>
      </c>
      <c r="L172" s="25">
        <f t="shared" si="2"/>
        <v>1</v>
      </c>
      <c r="M172" s="44">
        <f>L172*INDEX('Logic Tree'!$J$73:$N$74,MATCH(H172,'Logic Tree'!$I$73:$I$74,0),MATCH(G172,'Logic Tree'!$J$72:$N$72,0))</f>
        <v>1.35</v>
      </c>
    </row>
    <row r="173" spans="1:13" x14ac:dyDescent="0.35">
      <c r="A173" s="25">
        <v>2</v>
      </c>
      <c r="B173" s="24" t="s">
        <v>788</v>
      </c>
      <c r="C173" s="24" t="s">
        <v>196</v>
      </c>
      <c r="D173" s="24" t="s">
        <v>587</v>
      </c>
      <c r="E173" s="46" t="str">
        <f>'Pod Library'!E43</f>
        <v>AI-embedded Senior Developer</v>
      </c>
      <c r="F173" s="47" t="str">
        <f>'Pod Library'!F43</f>
        <v>DEV</v>
      </c>
      <c r="G173" s="47" t="str">
        <f>'Pod Library'!G43</f>
        <v>E4</v>
      </c>
      <c r="H173" s="47" t="str">
        <f>'Pod Library'!H43</f>
        <v>OFF</v>
      </c>
      <c r="I173" s="47" t="str">
        <f>'Pod Library'!I43</f>
        <v>FTC</v>
      </c>
      <c r="J173" s="13">
        <f>'Pod Library'!J43</f>
        <v>1</v>
      </c>
      <c r="K173" s="13">
        <f>SUMIFS('Pod Plan'!$F:$F,'Pod Plan'!$B:$B,$A173,'Pod Plan'!$C:$C,$C173)</f>
        <v>1</v>
      </c>
      <c r="L173" s="25">
        <f t="shared" si="2"/>
        <v>1</v>
      </c>
      <c r="M173" s="44">
        <f>L173*INDEX('Logic Tree'!$J$73:$N$74,MATCH(H173,'Logic Tree'!$I$73:$I$74,0),MATCH(G173,'Logic Tree'!$J$72:$N$72,0))</f>
        <v>0.6</v>
      </c>
    </row>
    <row r="174" spans="1:13" x14ac:dyDescent="0.35">
      <c r="A174" s="25">
        <v>2</v>
      </c>
      <c r="B174" s="24" t="s">
        <v>788</v>
      </c>
      <c r="C174" s="24" t="s">
        <v>196</v>
      </c>
      <c r="D174" s="24" t="s">
        <v>587</v>
      </c>
      <c r="E174" s="46" t="str">
        <f>'Pod Library'!E44</f>
        <v>Developer</v>
      </c>
      <c r="F174" s="47" t="str">
        <f>'Pod Library'!F44</f>
        <v>DEV</v>
      </c>
      <c r="G174" s="47" t="str">
        <f>'Pod Library'!G44</f>
        <v>E2</v>
      </c>
      <c r="H174" s="47" t="str">
        <f>'Pod Library'!H44</f>
        <v>OFF</v>
      </c>
      <c r="I174" s="47" t="str">
        <f>'Pod Library'!I44</f>
        <v>FTC</v>
      </c>
      <c r="J174" s="13">
        <f>'Pod Library'!J44</f>
        <v>1</v>
      </c>
      <c r="K174" s="13">
        <f>SUMIFS('Pod Plan'!$F:$F,'Pod Plan'!$B:$B,$A174,'Pod Plan'!$C:$C,$C174)</f>
        <v>1</v>
      </c>
      <c r="L174" s="25">
        <f t="shared" si="2"/>
        <v>1</v>
      </c>
      <c r="M174" s="44">
        <f>L174*INDEX('Logic Tree'!$J$73:$N$74,MATCH(H174,'Logic Tree'!$I$73:$I$74,0),MATCH(G174,'Logic Tree'!$J$72:$N$72,0))</f>
        <v>0.3</v>
      </c>
    </row>
    <row r="175" spans="1:13" x14ac:dyDescent="0.35">
      <c r="A175" s="25">
        <v>2</v>
      </c>
      <c r="B175" s="24" t="s">
        <v>788</v>
      </c>
      <c r="C175" s="24" t="s">
        <v>196</v>
      </c>
      <c r="D175" s="24" t="s">
        <v>587</v>
      </c>
      <c r="E175" s="46" t="str">
        <f>'Pod Library'!E45</f>
        <v>Developer</v>
      </c>
      <c r="F175" s="47" t="str">
        <f>'Pod Library'!F45</f>
        <v>DEV</v>
      </c>
      <c r="G175" s="47" t="str">
        <f>'Pod Library'!G45</f>
        <v>E2</v>
      </c>
      <c r="H175" s="47" t="str">
        <f>'Pod Library'!H45</f>
        <v>OFF</v>
      </c>
      <c r="I175" s="47" t="str">
        <f>'Pod Library'!I45</f>
        <v>FTC</v>
      </c>
      <c r="J175" s="13">
        <f>'Pod Library'!J45</f>
        <v>1</v>
      </c>
      <c r="K175" s="13">
        <f>SUMIFS('Pod Plan'!$F:$F,'Pod Plan'!$B:$B,$A175,'Pod Plan'!$C:$C,$C175)</f>
        <v>1</v>
      </c>
      <c r="L175" s="25">
        <f t="shared" si="2"/>
        <v>1</v>
      </c>
      <c r="M175" s="44">
        <f>L175*INDEX('Logic Tree'!$J$73:$N$74,MATCH(H175,'Logic Tree'!$I$73:$I$74,0),MATCH(G175,'Logic Tree'!$J$72:$N$72,0))</f>
        <v>0.3</v>
      </c>
    </row>
    <row r="176" spans="1:13" x14ac:dyDescent="0.35">
      <c r="A176" s="25">
        <v>2</v>
      </c>
      <c r="B176" s="24" t="s">
        <v>788</v>
      </c>
      <c r="C176" s="24" t="s">
        <v>196</v>
      </c>
      <c r="D176" s="24" t="s">
        <v>587</v>
      </c>
      <c r="E176" s="46" t="str">
        <f>'Pod Library'!E46</f>
        <v>AI Engineer (agent build)</v>
      </c>
      <c r="F176" s="47" t="str">
        <f>'Pod Library'!F46</f>
        <v>ENG</v>
      </c>
      <c r="G176" s="47" t="str">
        <f>'Pod Library'!G46</f>
        <v>E3</v>
      </c>
      <c r="H176" s="47" t="str">
        <f>'Pod Library'!H46</f>
        <v>OFF</v>
      </c>
      <c r="I176" s="47" t="str">
        <f>'Pod Library'!I46</f>
        <v>FTC</v>
      </c>
      <c r="J176" s="13">
        <f>'Pod Library'!J46</f>
        <v>1</v>
      </c>
      <c r="K176" s="13">
        <f>SUMIFS('Pod Plan'!$F:$F,'Pod Plan'!$B:$B,$A176,'Pod Plan'!$C:$C,$C176)</f>
        <v>1</v>
      </c>
      <c r="L176" s="25">
        <f t="shared" si="2"/>
        <v>1</v>
      </c>
      <c r="M176" s="44">
        <f>L176*INDEX('Logic Tree'!$J$73:$N$74,MATCH(H176,'Logic Tree'!$I$73:$I$74,0),MATCH(G176,'Logic Tree'!$J$72:$N$72,0))</f>
        <v>0.42</v>
      </c>
    </row>
    <row r="177" spans="1:13" x14ac:dyDescent="0.35">
      <c r="A177" s="25">
        <v>2</v>
      </c>
      <c r="B177" s="24" t="s">
        <v>788</v>
      </c>
      <c r="C177" s="24" t="s">
        <v>196</v>
      </c>
      <c r="D177" s="24" t="s">
        <v>587</v>
      </c>
      <c r="E177" s="46" t="str">
        <f>'Pod Library'!E47</f>
        <v>Quality Engineer (SDET)</v>
      </c>
      <c r="F177" s="47" t="str">
        <f>'Pod Library'!F47</f>
        <v>TEST</v>
      </c>
      <c r="G177" s="47" t="str">
        <f>'Pod Library'!G47</f>
        <v>E3</v>
      </c>
      <c r="H177" s="47" t="str">
        <f>'Pod Library'!H47</f>
        <v>OFF</v>
      </c>
      <c r="I177" s="47" t="str">
        <f>'Pod Library'!I47</f>
        <v>FTC</v>
      </c>
      <c r="J177" s="13">
        <f>'Pod Library'!J47</f>
        <v>1</v>
      </c>
      <c r="K177" s="13">
        <f>SUMIFS('Pod Plan'!$F:$F,'Pod Plan'!$B:$B,$A177,'Pod Plan'!$C:$C,$C177)</f>
        <v>1</v>
      </c>
      <c r="L177" s="25">
        <f t="shared" si="2"/>
        <v>1</v>
      </c>
      <c r="M177" s="44">
        <f>L177*INDEX('Logic Tree'!$J$73:$N$74,MATCH(H177,'Logic Tree'!$I$73:$I$74,0),MATCH(G177,'Logic Tree'!$J$72:$N$72,0))</f>
        <v>0.42</v>
      </c>
    </row>
    <row r="178" spans="1:13" x14ac:dyDescent="0.35">
      <c r="A178" s="25">
        <v>2</v>
      </c>
      <c r="B178" s="24" t="s">
        <v>788</v>
      </c>
      <c r="C178" s="24" t="s">
        <v>196</v>
      </c>
      <c r="D178" s="24" t="s">
        <v>587</v>
      </c>
      <c r="E178" s="46" t="str">
        <f>'Pod Library'!E48</f>
        <v>Quality Engineer (SDET)</v>
      </c>
      <c r="F178" s="47" t="str">
        <f>'Pod Library'!F48</f>
        <v>TEST</v>
      </c>
      <c r="G178" s="47" t="str">
        <f>'Pod Library'!G48</f>
        <v>E2</v>
      </c>
      <c r="H178" s="47" t="str">
        <f>'Pod Library'!H48</f>
        <v>OFF</v>
      </c>
      <c r="I178" s="47" t="str">
        <f>'Pod Library'!I48</f>
        <v>FTC</v>
      </c>
      <c r="J178" s="13">
        <f>'Pod Library'!J48</f>
        <v>1</v>
      </c>
      <c r="K178" s="13">
        <f>SUMIFS('Pod Plan'!$F:$F,'Pod Plan'!$B:$B,$A178,'Pod Plan'!$C:$C,$C178)</f>
        <v>1</v>
      </c>
      <c r="L178" s="25">
        <f t="shared" si="2"/>
        <v>1</v>
      </c>
      <c r="M178" s="44">
        <f>L178*INDEX('Logic Tree'!$J$73:$N$74,MATCH(H178,'Logic Tree'!$I$73:$I$74,0),MATCH(G178,'Logic Tree'!$J$72:$N$72,0))</f>
        <v>0.3</v>
      </c>
    </row>
    <row r="179" spans="1:13" x14ac:dyDescent="0.35">
      <c r="A179" s="25">
        <v>2</v>
      </c>
      <c r="B179" s="24" t="s">
        <v>788</v>
      </c>
      <c r="C179" s="24" t="s">
        <v>191</v>
      </c>
      <c r="D179" s="24" t="s">
        <v>570</v>
      </c>
      <c r="E179" s="46" t="str">
        <f>'Pod Library'!E29</f>
        <v>Product Owner</v>
      </c>
      <c r="F179" s="47" t="str">
        <f>'Pod Library'!F29</f>
        <v>LEAD</v>
      </c>
      <c r="G179" s="47" t="str">
        <f>'Pod Library'!G29</f>
        <v>E4</v>
      </c>
      <c r="H179" s="47" t="str">
        <f>'Pod Library'!H29</f>
        <v>ON</v>
      </c>
      <c r="I179" s="47" t="str">
        <f>'Pod Library'!I29</f>
        <v>FTE</v>
      </c>
      <c r="J179" s="13">
        <f>'Pod Library'!J29</f>
        <v>1</v>
      </c>
      <c r="K179" s="13">
        <f>SUMIFS('Pod Plan'!$E:$E,'Pod Plan'!$B:$B,$A179,'Pod Plan'!$C:$C,$C179)</f>
        <v>1</v>
      </c>
      <c r="L179" s="25">
        <f t="shared" si="2"/>
        <v>1</v>
      </c>
      <c r="M179" s="44">
        <f>L179*INDEX('Logic Tree'!$J$73:$N$74,MATCH(H179,'Logic Tree'!$I$73:$I$74,0),MATCH(G179,'Logic Tree'!$J$72:$N$72,0))</f>
        <v>1.85</v>
      </c>
    </row>
    <row r="180" spans="1:13" x14ac:dyDescent="0.35">
      <c r="A180" s="25">
        <v>2</v>
      </c>
      <c r="B180" s="24" t="s">
        <v>788</v>
      </c>
      <c r="C180" s="24" t="s">
        <v>191</v>
      </c>
      <c r="D180" s="24" t="s">
        <v>570</v>
      </c>
      <c r="E180" s="46" t="str">
        <f>'Pod Library'!E30</f>
        <v>Contract Domain SME</v>
      </c>
      <c r="F180" s="47" t="str">
        <f>'Pod Library'!F30</f>
        <v>BA</v>
      </c>
      <c r="G180" s="47" t="str">
        <f>'Pod Library'!G30</f>
        <v>E5</v>
      </c>
      <c r="H180" s="47" t="str">
        <f>'Pod Library'!H30</f>
        <v>ON</v>
      </c>
      <c r="I180" s="47" t="str">
        <f>'Pod Library'!I30</f>
        <v>FTE</v>
      </c>
      <c r="J180" s="13">
        <f>'Pod Library'!J30</f>
        <v>1</v>
      </c>
      <c r="K180" s="13">
        <f>SUMIFS('Pod Plan'!$E:$E,'Pod Plan'!$B:$B,$A180,'Pod Plan'!$C:$C,$C180)</f>
        <v>1</v>
      </c>
      <c r="L180" s="25">
        <f t="shared" si="2"/>
        <v>1</v>
      </c>
      <c r="M180" s="44">
        <f>L180*INDEX('Logic Tree'!$J$73:$N$74,MATCH(H180,'Logic Tree'!$I$73:$I$74,0),MATCH(G180,'Logic Tree'!$J$72:$N$72,0))</f>
        <v>2.5499999999999998</v>
      </c>
    </row>
    <row r="181" spans="1:13" x14ac:dyDescent="0.35">
      <c r="A181" s="25">
        <v>2</v>
      </c>
      <c r="B181" s="24" t="s">
        <v>788</v>
      </c>
      <c r="C181" s="24" t="s">
        <v>191</v>
      </c>
      <c r="D181" s="24" t="s">
        <v>570</v>
      </c>
      <c r="E181" s="46" t="str">
        <f>'Pod Library'!E31</f>
        <v>Application Owner (Technical)</v>
      </c>
      <c r="F181" s="47" t="str">
        <f>'Pod Library'!F31</f>
        <v>ENG</v>
      </c>
      <c r="G181" s="47" t="str">
        <f>'Pod Library'!G31</f>
        <v>E4</v>
      </c>
      <c r="H181" s="47" t="str">
        <f>'Pod Library'!H31</f>
        <v>ON</v>
      </c>
      <c r="I181" s="47" t="str">
        <f>'Pod Library'!I31</f>
        <v>FTE</v>
      </c>
      <c r="J181" s="13">
        <f>'Pod Library'!J31</f>
        <v>1</v>
      </c>
      <c r="K181" s="13">
        <f>SUMIFS('Pod Plan'!$E:$E,'Pod Plan'!$B:$B,$A181,'Pod Plan'!$C:$C,$C181)</f>
        <v>1</v>
      </c>
      <c r="L181" s="25">
        <f t="shared" si="2"/>
        <v>1</v>
      </c>
      <c r="M181" s="44">
        <f>L181*INDEX('Logic Tree'!$J$73:$N$74,MATCH(H181,'Logic Tree'!$I$73:$I$74,0),MATCH(G181,'Logic Tree'!$J$72:$N$72,0))</f>
        <v>1.85</v>
      </c>
    </row>
    <row r="182" spans="1:13" x14ac:dyDescent="0.35">
      <c r="A182" s="25">
        <v>2</v>
      </c>
      <c r="B182" s="24" t="s">
        <v>788</v>
      </c>
      <c r="C182" s="24" t="s">
        <v>191</v>
      </c>
      <c r="D182" s="24" t="s">
        <v>570</v>
      </c>
      <c r="E182" s="46" t="str">
        <f>'Pod Library'!E32</f>
        <v>Pod Delivery Lead</v>
      </c>
      <c r="F182" s="47" t="str">
        <f>'Pod Library'!F32</f>
        <v>LEAD</v>
      </c>
      <c r="G182" s="47" t="str">
        <f>'Pod Library'!G32</f>
        <v>E4</v>
      </c>
      <c r="H182" s="47" t="str">
        <f>'Pod Library'!H32</f>
        <v>ON</v>
      </c>
      <c r="I182" s="47" t="str">
        <f>'Pod Library'!I32</f>
        <v>FTC</v>
      </c>
      <c r="J182" s="13">
        <f>'Pod Library'!J32</f>
        <v>1</v>
      </c>
      <c r="K182" s="13">
        <f>SUMIFS('Pod Plan'!$E:$E,'Pod Plan'!$B:$B,$A182,'Pod Plan'!$C:$C,$C182)</f>
        <v>1</v>
      </c>
      <c r="L182" s="25">
        <f t="shared" si="2"/>
        <v>1</v>
      </c>
      <c r="M182" s="44">
        <f>L182*INDEX('Logic Tree'!$J$73:$N$74,MATCH(H182,'Logic Tree'!$I$73:$I$74,0),MATCH(G182,'Logic Tree'!$J$72:$N$72,0))</f>
        <v>1.85</v>
      </c>
    </row>
    <row r="183" spans="1:13" x14ac:dyDescent="0.35">
      <c r="A183" s="25">
        <v>2</v>
      </c>
      <c r="B183" s="24" t="s">
        <v>788</v>
      </c>
      <c r="C183" s="24" t="s">
        <v>191</v>
      </c>
      <c r="D183" s="24" t="s">
        <v>570</v>
      </c>
      <c r="E183" s="46" t="str">
        <f>'Pod Library'!E33</f>
        <v>AI Orchestrator - Mainframe</v>
      </c>
      <c r="F183" s="47" t="str">
        <f>'Pod Library'!F33</f>
        <v>ENG</v>
      </c>
      <c r="G183" s="47" t="str">
        <f>'Pod Library'!G33</f>
        <v>E5</v>
      </c>
      <c r="H183" s="47" t="str">
        <f>'Pod Library'!H33</f>
        <v>ON</v>
      </c>
      <c r="I183" s="47" t="str">
        <f>'Pod Library'!I33</f>
        <v>FTC</v>
      </c>
      <c r="J183" s="13">
        <f>'Pod Library'!J33</f>
        <v>1</v>
      </c>
      <c r="K183" s="13">
        <f>SUMIFS('Pod Plan'!$E:$E,'Pod Plan'!$B:$B,$A183,'Pod Plan'!$C:$C,$C183)</f>
        <v>1</v>
      </c>
      <c r="L183" s="25">
        <f t="shared" si="2"/>
        <v>1</v>
      </c>
      <c r="M183" s="44">
        <f>L183*INDEX('Logic Tree'!$J$73:$N$74,MATCH(H183,'Logic Tree'!$I$73:$I$74,0),MATCH(G183,'Logic Tree'!$J$72:$N$72,0))</f>
        <v>2.5499999999999998</v>
      </c>
    </row>
    <row r="184" spans="1:13" x14ac:dyDescent="0.35">
      <c r="A184" s="25">
        <v>2</v>
      </c>
      <c r="B184" s="24" t="s">
        <v>788</v>
      </c>
      <c r="C184" s="24" t="s">
        <v>191</v>
      </c>
      <c r="D184" s="24" t="s">
        <v>570</v>
      </c>
      <c r="E184" s="46" t="str">
        <f>'Pod Library'!E34</f>
        <v>Business Analyst (bilingual)</v>
      </c>
      <c r="F184" s="47" t="str">
        <f>'Pod Library'!F34</f>
        <v>BA</v>
      </c>
      <c r="G184" s="47" t="str">
        <f>'Pod Library'!G34</f>
        <v>E3</v>
      </c>
      <c r="H184" s="47" t="str">
        <f>'Pod Library'!H34</f>
        <v>ON</v>
      </c>
      <c r="I184" s="47" t="str">
        <f>'Pod Library'!I34</f>
        <v>FTC</v>
      </c>
      <c r="J184" s="13">
        <f>'Pod Library'!J34</f>
        <v>1</v>
      </c>
      <c r="K184" s="13">
        <f>SUMIFS('Pod Plan'!$E:$E,'Pod Plan'!$B:$B,$A184,'Pod Plan'!$C:$C,$C184)</f>
        <v>1</v>
      </c>
      <c r="L184" s="25">
        <f t="shared" si="2"/>
        <v>1</v>
      </c>
      <c r="M184" s="44">
        <f>L184*INDEX('Logic Tree'!$J$73:$N$74,MATCH(H184,'Logic Tree'!$I$73:$I$74,0),MATCH(G184,'Logic Tree'!$J$72:$N$72,0))</f>
        <v>1.35</v>
      </c>
    </row>
    <row r="185" spans="1:13" x14ac:dyDescent="0.35">
      <c r="A185" s="25">
        <v>2</v>
      </c>
      <c r="B185" s="24" t="s">
        <v>788</v>
      </c>
      <c r="C185" s="24" t="s">
        <v>191</v>
      </c>
      <c r="D185" s="24" t="s">
        <v>570</v>
      </c>
      <c r="E185" s="46" t="str">
        <f>'Pod Library'!E35</f>
        <v>AI-embedded Senior Developer</v>
      </c>
      <c r="F185" s="47" t="str">
        <f>'Pod Library'!F35</f>
        <v>DEV</v>
      </c>
      <c r="G185" s="47" t="str">
        <f>'Pod Library'!G35</f>
        <v>E4</v>
      </c>
      <c r="H185" s="47" t="str">
        <f>'Pod Library'!H35</f>
        <v>OFF</v>
      </c>
      <c r="I185" s="47" t="str">
        <f>'Pod Library'!I35</f>
        <v>FTC</v>
      </c>
      <c r="J185" s="13">
        <f>'Pod Library'!J35</f>
        <v>1</v>
      </c>
      <c r="K185" s="13">
        <f>SUMIFS('Pod Plan'!$E:$E,'Pod Plan'!$B:$B,$A185,'Pod Plan'!$C:$C,$C185)</f>
        <v>1</v>
      </c>
      <c r="L185" s="25">
        <f t="shared" si="2"/>
        <v>1</v>
      </c>
      <c r="M185" s="44">
        <f>L185*INDEX('Logic Tree'!$J$73:$N$74,MATCH(H185,'Logic Tree'!$I$73:$I$74,0),MATCH(G185,'Logic Tree'!$J$72:$N$72,0))</f>
        <v>0.6</v>
      </c>
    </row>
    <row r="186" spans="1:13" x14ac:dyDescent="0.35">
      <c r="A186" s="25">
        <v>2</v>
      </c>
      <c r="B186" s="24" t="s">
        <v>788</v>
      </c>
      <c r="C186" s="24" t="s">
        <v>191</v>
      </c>
      <c r="D186" s="24" t="s">
        <v>570</v>
      </c>
      <c r="E186" s="46" t="str">
        <f>'Pod Library'!E36</f>
        <v>Developer COBOL/JCL</v>
      </c>
      <c r="F186" s="47" t="str">
        <f>'Pod Library'!F36</f>
        <v>DEV</v>
      </c>
      <c r="G186" s="47" t="str">
        <f>'Pod Library'!G36</f>
        <v>E2</v>
      </c>
      <c r="H186" s="47" t="str">
        <f>'Pod Library'!H36</f>
        <v>OFF</v>
      </c>
      <c r="I186" s="47" t="str">
        <f>'Pod Library'!I36</f>
        <v>FTC</v>
      </c>
      <c r="J186" s="13">
        <f>'Pod Library'!J36</f>
        <v>1</v>
      </c>
      <c r="K186" s="13">
        <f>SUMIFS('Pod Plan'!$E:$E,'Pod Plan'!$B:$B,$A186,'Pod Plan'!$C:$C,$C186)</f>
        <v>1</v>
      </c>
      <c r="L186" s="25">
        <f t="shared" si="2"/>
        <v>1</v>
      </c>
      <c r="M186" s="44">
        <f>L186*INDEX('Logic Tree'!$J$73:$N$74,MATCH(H186,'Logic Tree'!$I$73:$I$74,0),MATCH(G186,'Logic Tree'!$J$72:$N$72,0))</f>
        <v>0.3</v>
      </c>
    </row>
    <row r="187" spans="1:13" x14ac:dyDescent="0.35">
      <c r="A187" s="25">
        <v>2</v>
      </c>
      <c r="B187" s="24" t="s">
        <v>788</v>
      </c>
      <c r="C187" s="24" t="s">
        <v>191</v>
      </c>
      <c r="D187" s="24" t="s">
        <v>570</v>
      </c>
      <c r="E187" s="46" t="str">
        <f>'Pod Library'!E37</f>
        <v>Quality Engineer (SDET)</v>
      </c>
      <c r="F187" s="47" t="str">
        <f>'Pod Library'!F37</f>
        <v>TEST</v>
      </c>
      <c r="G187" s="47" t="str">
        <f>'Pod Library'!G37</f>
        <v>E3</v>
      </c>
      <c r="H187" s="47" t="str">
        <f>'Pod Library'!H37</f>
        <v>OFF</v>
      </c>
      <c r="I187" s="47" t="str">
        <f>'Pod Library'!I37</f>
        <v>FTC</v>
      </c>
      <c r="J187" s="13">
        <f>'Pod Library'!J37</f>
        <v>1</v>
      </c>
      <c r="K187" s="13">
        <f>SUMIFS('Pod Plan'!$E:$E,'Pod Plan'!$B:$B,$A187,'Pod Plan'!$C:$C,$C187)</f>
        <v>1</v>
      </c>
      <c r="L187" s="25">
        <f t="shared" si="2"/>
        <v>1</v>
      </c>
      <c r="M187" s="44">
        <f>L187*INDEX('Logic Tree'!$J$73:$N$74,MATCH(H187,'Logic Tree'!$I$73:$I$74,0),MATCH(G187,'Logic Tree'!$J$72:$N$72,0))</f>
        <v>0.42</v>
      </c>
    </row>
    <row r="188" spans="1:13" x14ac:dyDescent="0.35">
      <c r="A188" s="25">
        <v>2</v>
      </c>
      <c r="B188" s="24" t="s">
        <v>788</v>
      </c>
      <c r="C188" s="24" t="s">
        <v>191</v>
      </c>
      <c r="D188" s="24" t="s">
        <v>587</v>
      </c>
      <c r="E188" s="46" t="str">
        <f>'Pod Library'!E40</f>
        <v>Pod Lead (output owner)</v>
      </c>
      <c r="F188" s="47" t="str">
        <f>'Pod Library'!F40</f>
        <v>LEAD</v>
      </c>
      <c r="G188" s="47" t="str">
        <f>'Pod Library'!G40</f>
        <v>E4</v>
      </c>
      <c r="H188" s="47" t="str">
        <f>'Pod Library'!H40</f>
        <v>ON</v>
      </c>
      <c r="I188" s="47" t="str">
        <f>'Pod Library'!I40</f>
        <v>FTC</v>
      </c>
      <c r="J188" s="13">
        <f>'Pod Library'!J40</f>
        <v>1</v>
      </c>
      <c r="K188" s="13">
        <f>SUMIFS('Pod Plan'!$F:$F,'Pod Plan'!$B:$B,$A188,'Pod Plan'!$C:$C,$C188)</f>
        <v>0</v>
      </c>
      <c r="L188" s="25">
        <f t="shared" si="2"/>
        <v>0</v>
      </c>
      <c r="M188" s="44">
        <f>L188*INDEX('Logic Tree'!$J$73:$N$74,MATCH(H188,'Logic Tree'!$I$73:$I$74,0),MATCH(G188,'Logic Tree'!$J$72:$N$72,0))</f>
        <v>0</v>
      </c>
    </row>
    <row r="189" spans="1:13" x14ac:dyDescent="0.35">
      <c r="A189" s="25">
        <v>2</v>
      </c>
      <c r="B189" s="24" t="s">
        <v>788</v>
      </c>
      <c r="C189" s="24" t="s">
        <v>191</v>
      </c>
      <c r="D189" s="24" t="s">
        <v>587</v>
      </c>
      <c r="E189" s="46" t="str">
        <f>'Pod Library'!E41</f>
        <v>AI Orchestrator</v>
      </c>
      <c r="F189" s="47" t="str">
        <f>'Pod Library'!F41</f>
        <v>ENG</v>
      </c>
      <c r="G189" s="47" t="str">
        <f>'Pod Library'!G41</f>
        <v>E4</v>
      </c>
      <c r="H189" s="47" t="str">
        <f>'Pod Library'!H41</f>
        <v>ON</v>
      </c>
      <c r="I189" s="47" t="str">
        <f>'Pod Library'!I41</f>
        <v>FTC</v>
      </c>
      <c r="J189" s="13">
        <f>'Pod Library'!J41</f>
        <v>1</v>
      </c>
      <c r="K189" s="13">
        <f>SUMIFS('Pod Plan'!$F:$F,'Pod Plan'!$B:$B,$A189,'Pod Plan'!$C:$C,$C189)</f>
        <v>0</v>
      </c>
      <c r="L189" s="25">
        <f t="shared" si="2"/>
        <v>0</v>
      </c>
      <c r="M189" s="44">
        <f>L189*INDEX('Logic Tree'!$J$73:$N$74,MATCH(H189,'Logic Tree'!$I$73:$I$74,0),MATCH(G189,'Logic Tree'!$J$72:$N$72,0))</f>
        <v>0</v>
      </c>
    </row>
    <row r="190" spans="1:13" x14ac:dyDescent="0.35">
      <c r="A190" s="25">
        <v>2</v>
      </c>
      <c r="B190" s="24" t="s">
        <v>788</v>
      </c>
      <c r="C190" s="24" t="s">
        <v>191</v>
      </c>
      <c r="D190" s="24" t="s">
        <v>587</v>
      </c>
      <c r="E190" s="46" t="str">
        <f>'Pod Library'!E42</f>
        <v>Business Analyst (bilingual)</v>
      </c>
      <c r="F190" s="47" t="str">
        <f>'Pod Library'!F42</f>
        <v>BA</v>
      </c>
      <c r="G190" s="47" t="str">
        <f>'Pod Library'!G42</f>
        <v>E3</v>
      </c>
      <c r="H190" s="47" t="str">
        <f>'Pod Library'!H42</f>
        <v>ON</v>
      </c>
      <c r="I190" s="47" t="str">
        <f>'Pod Library'!I42</f>
        <v>FTC</v>
      </c>
      <c r="J190" s="13">
        <f>'Pod Library'!J42</f>
        <v>1</v>
      </c>
      <c r="K190" s="13">
        <f>SUMIFS('Pod Plan'!$F:$F,'Pod Plan'!$B:$B,$A190,'Pod Plan'!$C:$C,$C190)</f>
        <v>0</v>
      </c>
      <c r="L190" s="25">
        <f t="shared" si="2"/>
        <v>0</v>
      </c>
      <c r="M190" s="44">
        <f>L190*INDEX('Logic Tree'!$J$73:$N$74,MATCH(H190,'Logic Tree'!$I$73:$I$74,0),MATCH(G190,'Logic Tree'!$J$72:$N$72,0))</f>
        <v>0</v>
      </c>
    </row>
    <row r="191" spans="1:13" x14ac:dyDescent="0.35">
      <c r="A191" s="25">
        <v>2</v>
      </c>
      <c r="B191" s="24" t="s">
        <v>788</v>
      </c>
      <c r="C191" s="24" t="s">
        <v>191</v>
      </c>
      <c r="D191" s="24" t="s">
        <v>587</v>
      </c>
      <c r="E191" s="46" t="str">
        <f>'Pod Library'!E43</f>
        <v>AI-embedded Senior Developer</v>
      </c>
      <c r="F191" s="47" t="str">
        <f>'Pod Library'!F43</f>
        <v>DEV</v>
      </c>
      <c r="G191" s="47" t="str">
        <f>'Pod Library'!G43</f>
        <v>E4</v>
      </c>
      <c r="H191" s="47" t="str">
        <f>'Pod Library'!H43</f>
        <v>OFF</v>
      </c>
      <c r="I191" s="47" t="str">
        <f>'Pod Library'!I43</f>
        <v>FTC</v>
      </c>
      <c r="J191" s="13">
        <f>'Pod Library'!J43</f>
        <v>1</v>
      </c>
      <c r="K191" s="13">
        <f>SUMIFS('Pod Plan'!$F:$F,'Pod Plan'!$B:$B,$A191,'Pod Plan'!$C:$C,$C191)</f>
        <v>0</v>
      </c>
      <c r="L191" s="25">
        <f t="shared" si="2"/>
        <v>0</v>
      </c>
      <c r="M191" s="44">
        <f>L191*INDEX('Logic Tree'!$J$73:$N$74,MATCH(H191,'Logic Tree'!$I$73:$I$74,0),MATCH(G191,'Logic Tree'!$J$72:$N$72,0))</f>
        <v>0</v>
      </c>
    </row>
    <row r="192" spans="1:13" x14ac:dyDescent="0.35">
      <c r="A192" s="25">
        <v>2</v>
      </c>
      <c r="B192" s="24" t="s">
        <v>788</v>
      </c>
      <c r="C192" s="24" t="s">
        <v>191</v>
      </c>
      <c r="D192" s="24" t="s">
        <v>587</v>
      </c>
      <c r="E192" s="46" t="str">
        <f>'Pod Library'!E44</f>
        <v>Developer</v>
      </c>
      <c r="F192" s="47" t="str">
        <f>'Pod Library'!F44</f>
        <v>DEV</v>
      </c>
      <c r="G192" s="47" t="str">
        <f>'Pod Library'!G44</f>
        <v>E2</v>
      </c>
      <c r="H192" s="47" t="str">
        <f>'Pod Library'!H44</f>
        <v>OFF</v>
      </c>
      <c r="I192" s="47" t="str">
        <f>'Pod Library'!I44</f>
        <v>FTC</v>
      </c>
      <c r="J192" s="13">
        <f>'Pod Library'!J44</f>
        <v>1</v>
      </c>
      <c r="K192" s="13">
        <f>SUMIFS('Pod Plan'!$F:$F,'Pod Plan'!$B:$B,$A192,'Pod Plan'!$C:$C,$C192)</f>
        <v>0</v>
      </c>
      <c r="L192" s="25">
        <f t="shared" si="2"/>
        <v>0</v>
      </c>
      <c r="M192" s="44">
        <f>L192*INDEX('Logic Tree'!$J$73:$N$74,MATCH(H192,'Logic Tree'!$I$73:$I$74,0),MATCH(G192,'Logic Tree'!$J$72:$N$72,0))</f>
        <v>0</v>
      </c>
    </row>
    <row r="193" spans="1:13" x14ac:dyDescent="0.35">
      <c r="A193" s="25">
        <v>2</v>
      </c>
      <c r="B193" s="24" t="s">
        <v>788</v>
      </c>
      <c r="C193" s="24" t="s">
        <v>191</v>
      </c>
      <c r="D193" s="24" t="s">
        <v>587</v>
      </c>
      <c r="E193" s="46" t="str">
        <f>'Pod Library'!E45</f>
        <v>Developer</v>
      </c>
      <c r="F193" s="47" t="str">
        <f>'Pod Library'!F45</f>
        <v>DEV</v>
      </c>
      <c r="G193" s="47" t="str">
        <f>'Pod Library'!G45</f>
        <v>E2</v>
      </c>
      <c r="H193" s="47" t="str">
        <f>'Pod Library'!H45</f>
        <v>OFF</v>
      </c>
      <c r="I193" s="47" t="str">
        <f>'Pod Library'!I45</f>
        <v>FTC</v>
      </c>
      <c r="J193" s="13">
        <f>'Pod Library'!J45</f>
        <v>1</v>
      </c>
      <c r="K193" s="13">
        <f>SUMIFS('Pod Plan'!$F:$F,'Pod Plan'!$B:$B,$A193,'Pod Plan'!$C:$C,$C193)</f>
        <v>0</v>
      </c>
      <c r="L193" s="25">
        <f t="shared" si="2"/>
        <v>0</v>
      </c>
      <c r="M193" s="44">
        <f>L193*INDEX('Logic Tree'!$J$73:$N$74,MATCH(H193,'Logic Tree'!$I$73:$I$74,0),MATCH(G193,'Logic Tree'!$J$72:$N$72,0))</f>
        <v>0</v>
      </c>
    </row>
    <row r="194" spans="1:13" x14ac:dyDescent="0.35">
      <c r="A194" s="25">
        <v>2</v>
      </c>
      <c r="B194" s="24" t="s">
        <v>788</v>
      </c>
      <c r="C194" s="24" t="s">
        <v>191</v>
      </c>
      <c r="D194" s="24" t="s">
        <v>587</v>
      </c>
      <c r="E194" s="46" t="str">
        <f>'Pod Library'!E46</f>
        <v>AI Engineer (agent build)</v>
      </c>
      <c r="F194" s="47" t="str">
        <f>'Pod Library'!F46</f>
        <v>ENG</v>
      </c>
      <c r="G194" s="47" t="str">
        <f>'Pod Library'!G46</f>
        <v>E3</v>
      </c>
      <c r="H194" s="47" t="str">
        <f>'Pod Library'!H46</f>
        <v>OFF</v>
      </c>
      <c r="I194" s="47" t="str">
        <f>'Pod Library'!I46</f>
        <v>FTC</v>
      </c>
      <c r="J194" s="13">
        <f>'Pod Library'!J46</f>
        <v>1</v>
      </c>
      <c r="K194" s="13">
        <f>SUMIFS('Pod Plan'!$F:$F,'Pod Plan'!$B:$B,$A194,'Pod Plan'!$C:$C,$C194)</f>
        <v>0</v>
      </c>
      <c r="L194" s="25">
        <f t="shared" si="2"/>
        <v>0</v>
      </c>
      <c r="M194" s="44">
        <f>L194*INDEX('Logic Tree'!$J$73:$N$74,MATCH(H194,'Logic Tree'!$I$73:$I$74,0),MATCH(G194,'Logic Tree'!$J$72:$N$72,0))</f>
        <v>0</v>
      </c>
    </row>
    <row r="195" spans="1:13" x14ac:dyDescent="0.35">
      <c r="A195" s="25">
        <v>2</v>
      </c>
      <c r="B195" s="24" t="s">
        <v>788</v>
      </c>
      <c r="C195" s="24" t="s">
        <v>191</v>
      </c>
      <c r="D195" s="24" t="s">
        <v>587</v>
      </c>
      <c r="E195" s="46" t="str">
        <f>'Pod Library'!E47</f>
        <v>Quality Engineer (SDET)</v>
      </c>
      <c r="F195" s="47" t="str">
        <f>'Pod Library'!F47</f>
        <v>TEST</v>
      </c>
      <c r="G195" s="47" t="str">
        <f>'Pod Library'!G47</f>
        <v>E3</v>
      </c>
      <c r="H195" s="47" t="str">
        <f>'Pod Library'!H47</f>
        <v>OFF</v>
      </c>
      <c r="I195" s="47" t="str">
        <f>'Pod Library'!I47</f>
        <v>FTC</v>
      </c>
      <c r="J195" s="13">
        <f>'Pod Library'!J47</f>
        <v>1</v>
      </c>
      <c r="K195" s="13">
        <f>SUMIFS('Pod Plan'!$F:$F,'Pod Plan'!$B:$B,$A195,'Pod Plan'!$C:$C,$C195)</f>
        <v>0</v>
      </c>
      <c r="L195" s="25">
        <f t="shared" si="2"/>
        <v>0</v>
      </c>
      <c r="M195" s="44">
        <f>L195*INDEX('Logic Tree'!$J$73:$N$74,MATCH(H195,'Logic Tree'!$I$73:$I$74,0),MATCH(G195,'Logic Tree'!$J$72:$N$72,0))</f>
        <v>0</v>
      </c>
    </row>
    <row r="196" spans="1:13" x14ac:dyDescent="0.35">
      <c r="A196" s="25">
        <v>2</v>
      </c>
      <c r="B196" s="24" t="s">
        <v>788</v>
      </c>
      <c r="C196" s="24" t="s">
        <v>191</v>
      </c>
      <c r="D196" s="24" t="s">
        <v>587</v>
      </c>
      <c r="E196" s="46" t="str">
        <f>'Pod Library'!E48</f>
        <v>Quality Engineer (SDET)</v>
      </c>
      <c r="F196" s="47" t="str">
        <f>'Pod Library'!F48</f>
        <v>TEST</v>
      </c>
      <c r="G196" s="47" t="str">
        <f>'Pod Library'!G48</f>
        <v>E2</v>
      </c>
      <c r="H196" s="47" t="str">
        <f>'Pod Library'!H48</f>
        <v>OFF</v>
      </c>
      <c r="I196" s="47" t="str">
        <f>'Pod Library'!I48</f>
        <v>FTC</v>
      </c>
      <c r="J196" s="13">
        <f>'Pod Library'!J48</f>
        <v>1</v>
      </c>
      <c r="K196" s="13">
        <f>SUMIFS('Pod Plan'!$F:$F,'Pod Plan'!$B:$B,$A196,'Pod Plan'!$C:$C,$C196)</f>
        <v>0</v>
      </c>
      <c r="L196" s="25">
        <f t="shared" si="2"/>
        <v>0</v>
      </c>
      <c r="M196" s="44">
        <f>L196*INDEX('Logic Tree'!$J$73:$N$74,MATCH(H196,'Logic Tree'!$I$73:$I$74,0),MATCH(G196,'Logic Tree'!$J$72:$N$72,0))</f>
        <v>0</v>
      </c>
    </row>
    <row r="197" spans="1:13" x14ac:dyDescent="0.35">
      <c r="A197" s="25">
        <v>2</v>
      </c>
      <c r="B197" s="24" t="s">
        <v>788</v>
      </c>
      <c r="C197" s="24" t="s">
        <v>232</v>
      </c>
      <c r="D197" s="24" t="s">
        <v>570</v>
      </c>
      <c r="E197" s="46" t="str">
        <f>'Pod Library'!E29</f>
        <v>Product Owner</v>
      </c>
      <c r="F197" s="47" t="str">
        <f>'Pod Library'!F29</f>
        <v>LEAD</v>
      </c>
      <c r="G197" s="47" t="str">
        <f>'Pod Library'!G29</f>
        <v>E4</v>
      </c>
      <c r="H197" s="47" t="str">
        <f>'Pod Library'!H29</f>
        <v>ON</v>
      </c>
      <c r="I197" s="47" t="str">
        <f>'Pod Library'!I29</f>
        <v>FTE</v>
      </c>
      <c r="J197" s="13">
        <f>'Pod Library'!J29</f>
        <v>1</v>
      </c>
      <c r="K197" s="13">
        <f>SUMIFS('Pod Plan'!$E:$E,'Pod Plan'!$B:$B,$A197,'Pod Plan'!$C:$C,$C197)</f>
        <v>1</v>
      </c>
      <c r="L197" s="25">
        <f t="shared" ref="L197:L260" si="3">J197*K197</f>
        <v>1</v>
      </c>
      <c r="M197" s="44">
        <f>L197*INDEX('Logic Tree'!$J$73:$N$74,MATCH(H197,'Logic Tree'!$I$73:$I$74,0),MATCH(G197,'Logic Tree'!$J$72:$N$72,0))</f>
        <v>1.85</v>
      </c>
    </row>
    <row r="198" spans="1:13" x14ac:dyDescent="0.35">
      <c r="A198" s="25">
        <v>2</v>
      </c>
      <c r="B198" s="24" t="s">
        <v>788</v>
      </c>
      <c r="C198" s="24" t="s">
        <v>232</v>
      </c>
      <c r="D198" s="24" t="s">
        <v>570</v>
      </c>
      <c r="E198" s="46" t="str">
        <f>'Pod Library'!E30</f>
        <v>Contract Domain SME</v>
      </c>
      <c r="F198" s="47" t="str">
        <f>'Pod Library'!F30</f>
        <v>BA</v>
      </c>
      <c r="G198" s="47" t="str">
        <f>'Pod Library'!G30</f>
        <v>E5</v>
      </c>
      <c r="H198" s="47" t="str">
        <f>'Pod Library'!H30</f>
        <v>ON</v>
      </c>
      <c r="I198" s="47" t="str">
        <f>'Pod Library'!I30</f>
        <v>FTE</v>
      </c>
      <c r="J198" s="13">
        <f>'Pod Library'!J30</f>
        <v>1</v>
      </c>
      <c r="K198" s="13">
        <f>SUMIFS('Pod Plan'!$E:$E,'Pod Plan'!$B:$B,$A198,'Pod Plan'!$C:$C,$C198)</f>
        <v>1</v>
      </c>
      <c r="L198" s="25">
        <f t="shared" si="3"/>
        <v>1</v>
      </c>
      <c r="M198" s="44">
        <f>L198*INDEX('Logic Tree'!$J$73:$N$74,MATCH(H198,'Logic Tree'!$I$73:$I$74,0),MATCH(G198,'Logic Tree'!$J$72:$N$72,0))</f>
        <v>2.5499999999999998</v>
      </c>
    </row>
    <row r="199" spans="1:13" x14ac:dyDescent="0.35">
      <c r="A199" s="25">
        <v>2</v>
      </c>
      <c r="B199" s="24" t="s">
        <v>788</v>
      </c>
      <c r="C199" s="24" t="s">
        <v>232</v>
      </c>
      <c r="D199" s="24" t="s">
        <v>570</v>
      </c>
      <c r="E199" s="46" t="str">
        <f>'Pod Library'!E31</f>
        <v>Application Owner (Technical)</v>
      </c>
      <c r="F199" s="47" t="str">
        <f>'Pod Library'!F31</f>
        <v>ENG</v>
      </c>
      <c r="G199" s="47" t="str">
        <f>'Pod Library'!G31</f>
        <v>E4</v>
      </c>
      <c r="H199" s="47" t="str">
        <f>'Pod Library'!H31</f>
        <v>ON</v>
      </c>
      <c r="I199" s="47" t="str">
        <f>'Pod Library'!I31</f>
        <v>FTE</v>
      </c>
      <c r="J199" s="13">
        <f>'Pod Library'!J31</f>
        <v>1</v>
      </c>
      <c r="K199" s="13">
        <f>SUMIFS('Pod Plan'!$E:$E,'Pod Plan'!$B:$B,$A199,'Pod Plan'!$C:$C,$C199)</f>
        <v>1</v>
      </c>
      <c r="L199" s="25">
        <f t="shared" si="3"/>
        <v>1</v>
      </c>
      <c r="M199" s="44">
        <f>L199*INDEX('Logic Tree'!$J$73:$N$74,MATCH(H199,'Logic Tree'!$I$73:$I$74,0),MATCH(G199,'Logic Tree'!$J$72:$N$72,0))</f>
        <v>1.85</v>
      </c>
    </row>
    <row r="200" spans="1:13" x14ac:dyDescent="0.35">
      <c r="A200" s="25">
        <v>2</v>
      </c>
      <c r="B200" s="24" t="s">
        <v>788</v>
      </c>
      <c r="C200" s="24" t="s">
        <v>232</v>
      </c>
      <c r="D200" s="24" t="s">
        <v>570</v>
      </c>
      <c r="E200" s="46" t="str">
        <f>'Pod Library'!E32</f>
        <v>Pod Delivery Lead</v>
      </c>
      <c r="F200" s="47" t="str">
        <f>'Pod Library'!F32</f>
        <v>LEAD</v>
      </c>
      <c r="G200" s="47" t="str">
        <f>'Pod Library'!G32</f>
        <v>E4</v>
      </c>
      <c r="H200" s="47" t="str">
        <f>'Pod Library'!H32</f>
        <v>ON</v>
      </c>
      <c r="I200" s="47" t="str">
        <f>'Pod Library'!I32</f>
        <v>FTC</v>
      </c>
      <c r="J200" s="13">
        <f>'Pod Library'!J32</f>
        <v>1</v>
      </c>
      <c r="K200" s="13">
        <f>SUMIFS('Pod Plan'!$E:$E,'Pod Plan'!$B:$B,$A200,'Pod Plan'!$C:$C,$C200)</f>
        <v>1</v>
      </c>
      <c r="L200" s="25">
        <f t="shared" si="3"/>
        <v>1</v>
      </c>
      <c r="M200" s="44">
        <f>L200*INDEX('Logic Tree'!$J$73:$N$74,MATCH(H200,'Logic Tree'!$I$73:$I$74,0),MATCH(G200,'Logic Tree'!$J$72:$N$72,0))</f>
        <v>1.85</v>
      </c>
    </row>
    <row r="201" spans="1:13" x14ac:dyDescent="0.35">
      <c r="A201" s="25">
        <v>2</v>
      </c>
      <c r="B201" s="24" t="s">
        <v>788</v>
      </c>
      <c r="C201" s="24" t="s">
        <v>232</v>
      </c>
      <c r="D201" s="24" t="s">
        <v>570</v>
      </c>
      <c r="E201" s="46" t="str">
        <f>'Pod Library'!E33</f>
        <v>AI Orchestrator - Mainframe</v>
      </c>
      <c r="F201" s="47" t="str">
        <f>'Pod Library'!F33</f>
        <v>ENG</v>
      </c>
      <c r="G201" s="47" t="str">
        <f>'Pod Library'!G33</f>
        <v>E5</v>
      </c>
      <c r="H201" s="47" t="str">
        <f>'Pod Library'!H33</f>
        <v>ON</v>
      </c>
      <c r="I201" s="47" t="str">
        <f>'Pod Library'!I33</f>
        <v>FTC</v>
      </c>
      <c r="J201" s="13">
        <f>'Pod Library'!J33</f>
        <v>1</v>
      </c>
      <c r="K201" s="13">
        <f>SUMIFS('Pod Plan'!$E:$E,'Pod Plan'!$B:$B,$A201,'Pod Plan'!$C:$C,$C201)</f>
        <v>1</v>
      </c>
      <c r="L201" s="25">
        <f t="shared" si="3"/>
        <v>1</v>
      </c>
      <c r="M201" s="44">
        <f>L201*INDEX('Logic Tree'!$J$73:$N$74,MATCH(H201,'Logic Tree'!$I$73:$I$74,0),MATCH(G201,'Logic Tree'!$J$72:$N$72,0))</f>
        <v>2.5499999999999998</v>
      </c>
    </row>
    <row r="202" spans="1:13" x14ac:dyDescent="0.35">
      <c r="A202" s="25">
        <v>2</v>
      </c>
      <c r="B202" s="24" t="s">
        <v>788</v>
      </c>
      <c r="C202" s="24" t="s">
        <v>232</v>
      </c>
      <c r="D202" s="24" t="s">
        <v>570</v>
      </c>
      <c r="E202" s="46" t="str">
        <f>'Pod Library'!E34</f>
        <v>Business Analyst (bilingual)</v>
      </c>
      <c r="F202" s="47" t="str">
        <f>'Pod Library'!F34</f>
        <v>BA</v>
      </c>
      <c r="G202" s="47" t="str">
        <f>'Pod Library'!G34</f>
        <v>E3</v>
      </c>
      <c r="H202" s="47" t="str">
        <f>'Pod Library'!H34</f>
        <v>ON</v>
      </c>
      <c r="I202" s="47" t="str">
        <f>'Pod Library'!I34</f>
        <v>FTC</v>
      </c>
      <c r="J202" s="13">
        <f>'Pod Library'!J34</f>
        <v>1</v>
      </c>
      <c r="K202" s="13">
        <f>SUMIFS('Pod Plan'!$E:$E,'Pod Plan'!$B:$B,$A202,'Pod Plan'!$C:$C,$C202)</f>
        <v>1</v>
      </c>
      <c r="L202" s="25">
        <f t="shared" si="3"/>
        <v>1</v>
      </c>
      <c r="M202" s="44">
        <f>L202*INDEX('Logic Tree'!$J$73:$N$74,MATCH(H202,'Logic Tree'!$I$73:$I$74,0),MATCH(G202,'Logic Tree'!$J$72:$N$72,0))</f>
        <v>1.35</v>
      </c>
    </row>
    <row r="203" spans="1:13" x14ac:dyDescent="0.35">
      <c r="A203" s="25">
        <v>2</v>
      </c>
      <c r="B203" s="24" t="s">
        <v>788</v>
      </c>
      <c r="C203" s="24" t="s">
        <v>232</v>
      </c>
      <c r="D203" s="24" t="s">
        <v>570</v>
      </c>
      <c r="E203" s="46" t="str">
        <f>'Pod Library'!E35</f>
        <v>AI-embedded Senior Developer</v>
      </c>
      <c r="F203" s="47" t="str">
        <f>'Pod Library'!F35</f>
        <v>DEV</v>
      </c>
      <c r="G203" s="47" t="str">
        <f>'Pod Library'!G35</f>
        <v>E4</v>
      </c>
      <c r="H203" s="47" t="str">
        <f>'Pod Library'!H35</f>
        <v>OFF</v>
      </c>
      <c r="I203" s="47" t="str">
        <f>'Pod Library'!I35</f>
        <v>FTC</v>
      </c>
      <c r="J203" s="13">
        <f>'Pod Library'!J35</f>
        <v>1</v>
      </c>
      <c r="K203" s="13">
        <f>SUMIFS('Pod Plan'!$E:$E,'Pod Plan'!$B:$B,$A203,'Pod Plan'!$C:$C,$C203)</f>
        <v>1</v>
      </c>
      <c r="L203" s="25">
        <f t="shared" si="3"/>
        <v>1</v>
      </c>
      <c r="M203" s="44">
        <f>L203*INDEX('Logic Tree'!$J$73:$N$74,MATCH(H203,'Logic Tree'!$I$73:$I$74,0),MATCH(G203,'Logic Tree'!$J$72:$N$72,0))</f>
        <v>0.6</v>
      </c>
    </row>
    <row r="204" spans="1:13" x14ac:dyDescent="0.35">
      <c r="A204" s="25">
        <v>2</v>
      </c>
      <c r="B204" s="24" t="s">
        <v>788</v>
      </c>
      <c r="C204" s="24" t="s">
        <v>232</v>
      </c>
      <c r="D204" s="24" t="s">
        <v>570</v>
      </c>
      <c r="E204" s="46" t="str">
        <f>'Pod Library'!E36</f>
        <v>Developer COBOL/JCL</v>
      </c>
      <c r="F204" s="47" t="str">
        <f>'Pod Library'!F36</f>
        <v>DEV</v>
      </c>
      <c r="G204" s="47" t="str">
        <f>'Pod Library'!G36</f>
        <v>E2</v>
      </c>
      <c r="H204" s="47" t="str">
        <f>'Pod Library'!H36</f>
        <v>OFF</v>
      </c>
      <c r="I204" s="47" t="str">
        <f>'Pod Library'!I36</f>
        <v>FTC</v>
      </c>
      <c r="J204" s="13">
        <f>'Pod Library'!J36</f>
        <v>1</v>
      </c>
      <c r="K204" s="13">
        <f>SUMIFS('Pod Plan'!$E:$E,'Pod Plan'!$B:$B,$A204,'Pod Plan'!$C:$C,$C204)</f>
        <v>1</v>
      </c>
      <c r="L204" s="25">
        <f t="shared" si="3"/>
        <v>1</v>
      </c>
      <c r="M204" s="44">
        <f>L204*INDEX('Logic Tree'!$J$73:$N$74,MATCH(H204,'Logic Tree'!$I$73:$I$74,0),MATCH(G204,'Logic Tree'!$J$72:$N$72,0))</f>
        <v>0.3</v>
      </c>
    </row>
    <row r="205" spans="1:13" x14ac:dyDescent="0.35">
      <c r="A205" s="25">
        <v>2</v>
      </c>
      <c r="B205" s="24" t="s">
        <v>788</v>
      </c>
      <c r="C205" s="24" t="s">
        <v>232</v>
      </c>
      <c r="D205" s="24" t="s">
        <v>570</v>
      </c>
      <c r="E205" s="46" t="str">
        <f>'Pod Library'!E37</f>
        <v>Quality Engineer (SDET)</v>
      </c>
      <c r="F205" s="47" t="str">
        <f>'Pod Library'!F37</f>
        <v>TEST</v>
      </c>
      <c r="G205" s="47" t="str">
        <f>'Pod Library'!G37</f>
        <v>E3</v>
      </c>
      <c r="H205" s="47" t="str">
        <f>'Pod Library'!H37</f>
        <v>OFF</v>
      </c>
      <c r="I205" s="47" t="str">
        <f>'Pod Library'!I37</f>
        <v>FTC</v>
      </c>
      <c r="J205" s="13">
        <f>'Pod Library'!J37</f>
        <v>1</v>
      </c>
      <c r="K205" s="13">
        <f>SUMIFS('Pod Plan'!$E:$E,'Pod Plan'!$B:$B,$A205,'Pod Plan'!$C:$C,$C205)</f>
        <v>1</v>
      </c>
      <c r="L205" s="25">
        <f t="shared" si="3"/>
        <v>1</v>
      </c>
      <c r="M205" s="44">
        <f>L205*INDEX('Logic Tree'!$J$73:$N$74,MATCH(H205,'Logic Tree'!$I$73:$I$74,0),MATCH(G205,'Logic Tree'!$J$72:$N$72,0))</f>
        <v>0.42</v>
      </c>
    </row>
    <row r="206" spans="1:13" x14ac:dyDescent="0.35">
      <c r="A206" s="25">
        <v>2</v>
      </c>
      <c r="B206" s="24" t="s">
        <v>788</v>
      </c>
      <c r="C206" s="24" t="s">
        <v>232</v>
      </c>
      <c r="D206" s="24" t="s">
        <v>587</v>
      </c>
      <c r="E206" s="46" t="str">
        <f>'Pod Library'!E40</f>
        <v>Pod Lead (output owner)</v>
      </c>
      <c r="F206" s="47" t="str">
        <f>'Pod Library'!F40</f>
        <v>LEAD</v>
      </c>
      <c r="G206" s="47" t="str">
        <f>'Pod Library'!G40</f>
        <v>E4</v>
      </c>
      <c r="H206" s="47" t="str">
        <f>'Pod Library'!H40</f>
        <v>ON</v>
      </c>
      <c r="I206" s="47" t="str">
        <f>'Pod Library'!I40</f>
        <v>FTC</v>
      </c>
      <c r="J206" s="13">
        <f>'Pod Library'!J40</f>
        <v>1</v>
      </c>
      <c r="K206" s="13">
        <f>SUMIFS('Pod Plan'!$F:$F,'Pod Plan'!$B:$B,$A206,'Pod Plan'!$C:$C,$C206)</f>
        <v>2</v>
      </c>
      <c r="L206" s="25">
        <f t="shared" si="3"/>
        <v>2</v>
      </c>
      <c r="M206" s="44">
        <f>L206*INDEX('Logic Tree'!$J$73:$N$74,MATCH(H206,'Logic Tree'!$I$73:$I$74,0),MATCH(G206,'Logic Tree'!$J$72:$N$72,0))</f>
        <v>3.7</v>
      </c>
    </row>
    <row r="207" spans="1:13" x14ac:dyDescent="0.35">
      <c r="A207" s="25">
        <v>2</v>
      </c>
      <c r="B207" s="24" t="s">
        <v>788</v>
      </c>
      <c r="C207" s="24" t="s">
        <v>232</v>
      </c>
      <c r="D207" s="24" t="s">
        <v>587</v>
      </c>
      <c r="E207" s="46" t="str">
        <f>'Pod Library'!E41</f>
        <v>AI Orchestrator</v>
      </c>
      <c r="F207" s="47" t="str">
        <f>'Pod Library'!F41</f>
        <v>ENG</v>
      </c>
      <c r="G207" s="47" t="str">
        <f>'Pod Library'!G41</f>
        <v>E4</v>
      </c>
      <c r="H207" s="47" t="str">
        <f>'Pod Library'!H41</f>
        <v>ON</v>
      </c>
      <c r="I207" s="47" t="str">
        <f>'Pod Library'!I41</f>
        <v>FTC</v>
      </c>
      <c r="J207" s="13">
        <f>'Pod Library'!J41</f>
        <v>1</v>
      </c>
      <c r="K207" s="13">
        <f>SUMIFS('Pod Plan'!$F:$F,'Pod Plan'!$B:$B,$A207,'Pod Plan'!$C:$C,$C207)</f>
        <v>2</v>
      </c>
      <c r="L207" s="25">
        <f t="shared" si="3"/>
        <v>2</v>
      </c>
      <c r="M207" s="44">
        <f>L207*INDEX('Logic Tree'!$J$73:$N$74,MATCH(H207,'Logic Tree'!$I$73:$I$74,0),MATCH(G207,'Logic Tree'!$J$72:$N$72,0))</f>
        <v>3.7</v>
      </c>
    </row>
    <row r="208" spans="1:13" x14ac:dyDescent="0.35">
      <c r="A208" s="25">
        <v>2</v>
      </c>
      <c r="B208" s="24" t="s">
        <v>788</v>
      </c>
      <c r="C208" s="24" t="s">
        <v>232</v>
      </c>
      <c r="D208" s="24" t="s">
        <v>587</v>
      </c>
      <c r="E208" s="46" t="str">
        <f>'Pod Library'!E42</f>
        <v>Business Analyst (bilingual)</v>
      </c>
      <c r="F208" s="47" t="str">
        <f>'Pod Library'!F42</f>
        <v>BA</v>
      </c>
      <c r="G208" s="47" t="str">
        <f>'Pod Library'!G42</f>
        <v>E3</v>
      </c>
      <c r="H208" s="47" t="str">
        <f>'Pod Library'!H42</f>
        <v>ON</v>
      </c>
      <c r="I208" s="47" t="str">
        <f>'Pod Library'!I42</f>
        <v>FTC</v>
      </c>
      <c r="J208" s="13">
        <f>'Pod Library'!J42</f>
        <v>1</v>
      </c>
      <c r="K208" s="13">
        <f>SUMIFS('Pod Plan'!$F:$F,'Pod Plan'!$B:$B,$A208,'Pod Plan'!$C:$C,$C208)</f>
        <v>2</v>
      </c>
      <c r="L208" s="25">
        <f t="shared" si="3"/>
        <v>2</v>
      </c>
      <c r="M208" s="44">
        <f>L208*INDEX('Logic Tree'!$J$73:$N$74,MATCH(H208,'Logic Tree'!$I$73:$I$74,0),MATCH(G208,'Logic Tree'!$J$72:$N$72,0))</f>
        <v>2.7</v>
      </c>
    </row>
    <row r="209" spans="1:13" x14ac:dyDescent="0.35">
      <c r="A209" s="25">
        <v>2</v>
      </c>
      <c r="B209" s="24" t="s">
        <v>788</v>
      </c>
      <c r="C209" s="24" t="s">
        <v>232</v>
      </c>
      <c r="D209" s="24" t="s">
        <v>587</v>
      </c>
      <c r="E209" s="46" t="str">
        <f>'Pod Library'!E43</f>
        <v>AI-embedded Senior Developer</v>
      </c>
      <c r="F209" s="47" t="str">
        <f>'Pod Library'!F43</f>
        <v>DEV</v>
      </c>
      <c r="G209" s="47" t="str">
        <f>'Pod Library'!G43</f>
        <v>E4</v>
      </c>
      <c r="H209" s="47" t="str">
        <f>'Pod Library'!H43</f>
        <v>OFF</v>
      </c>
      <c r="I209" s="47" t="str">
        <f>'Pod Library'!I43</f>
        <v>FTC</v>
      </c>
      <c r="J209" s="13">
        <f>'Pod Library'!J43</f>
        <v>1</v>
      </c>
      <c r="K209" s="13">
        <f>SUMIFS('Pod Plan'!$F:$F,'Pod Plan'!$B:$B,$A209,'Pod Plan'!$C:$C,$C209)</f>
        <v>2</v>
      </c>
      <c r="L209" s="25">
        <f t="shared" si="3"/>
        <v>2</v>
      </c>
      <c r="M209" s="44">
        <f>L209*INDEX('Logic Tree'!$J$73:$N$74,MATCH(H209,'Logic Tree'!$I$73:$I$74,0),MATCH(G209,'Logic Tree'!$J$72:$N$72,0))</f>
        <v>1.2</v>
      </c>
    </row>
    <row r="210" spans="1:13" x14ac:dyDescent="0.35">
      <c r="A210" s="25">
        <v>2</v>
      </c>
      <c r="B210" s="24" t="s">
        <v>788</v>
      </c>
      <c r="C210" s="24" t="s">
        <v>232</v>
      </c>
      <c r="D210" s="24" t="s">
        <v>587</v>
      </c>
      <c r="E210" s="46" t="str">
        <f>'Pod Library'!E44</f>
        <v>Developer</v>
      </c>
      <c r="F210" s="47" t="str">
        <f>'Pod Library'!F44</f>
        <v>DEV</v>
      </c>
      <c r="G210" s="47" t="str">
        <f>'Pod Library'!G44</f>
        <v>E2</v>
      </c>
      <c r="H210" s="47" t="str">
        <f>'Pod Library'!H44</f>
        <v>OFF</v>
      </c>
      <c r="I210" s="47" t="str">
        <f>'Pod Library'!I44</f>
        <v>FTC</v>
      </c>
      <c r="J210" s="13">
        <f>'Pod Library'!J44</f>
        <v>1</v>
      </c>
      <c r="K210" s="13">
        <f>SUMIFS('Pod Plan'!$F:$F,'Pod Plan'!$B:$B,$A210,'Pod Plan'!$C:$C,$C210)</f>
        <v>2</v>
      </c>
      <c r="L210" s="25">
        <f t="shared" si="3"/>
        <v>2</v>
      </c>
      <c r="M210" s="44">
        <f>L210*INDEX('Logic Tree'!$J$73:$N$74,MATCH(H210,'Logic Tree'!$I$73:$I$74,0),MATCH(G210,'Logic Tree'!$J$72:$N$72,0))</f>
        <v>0.6</v>
      </c>
    </row>
    <row r="211" spans="1:13" x14ac:dyDescent="0.35">
      <c r="A211" s="25">
        <v>2</v>
      </c>
      <c r="B211" s="24" t="s">
        <v>788</v>
      </c>
      <c r="C211" s="24" t="s">
        <v>232</v>
      </c>
      <c r="D211" s="24" t="s">
        <v>587</v>
      </c>
      <c r="E211" s="46" t="str">
        <f>'Pod Library'!E45</f>
        <v>Developer</v>
      </c>
      <c r="F211" s="47" t="str">
        <f>'Pod Library'!F45</f>
        <v>DEV</v>
      </c>
      <c r="G211" s="47" t="str">
        <f>'Pod Library'!G45</f>
        <v>E2</v>
      </c>
      <c r="H211" s="47" t="str">
        <f>'Pod Library'!H45</f>
        <v>OFF</v>
      </c>
      <c r="I211" s="47" t="str">
        <f>'Pod Library'!I45</f>
        <v>FTC</v>
      </c>
      <c r="J211" s="13">
        <f>'Pod Library'!J45</f>
        <v>1</v>
      </c>
      <c r="K211" s="13">
        <f>SUMIFS('Pod Plan'!$F:$F,'Pod Plan'!$B:$B,$A211,'Pod Plan'!$C:$C,$C211)</f>
        <v>2</v>
      </c>
      <c r="L211" s="25">
        <f t="shared" si="3"/>
        <v>2</v>
      </c>
      <c r="M211" s="44">
        <f>L211*INDEX('Logic Tree'!$J$73:$N$74,MATCH(H211,'Logic Tree'!$I$73:$I$74,0),MATCH(G211,'Logic Tree'!$J$72:$N$72,0))</f>
        <v>0.6</v>
      </c>
    </row>
    <row r="212" spans="1:13" x14ac:dyDescent="0.35">
      <c r="A212" s="25">
        <v>2</v>
      </c>
      <c r="B212" s="24" t="s">
        <v>788</v>
      </c>
      <c r="C212" s="24" t="s">
        <v>232</v>
      </c>
      <c r="D212" s="24" t="s">
        <v>587</v>
      </c>
      <c r="E212" s="46" t="str">
        <f>'Pod Library'!E46</f>
        <v>AI Engineer (agent build)</v>
      </c>
      <c r="F212" s="47" t="str">
        <f>'Pod Library'!F46</f>
        <v>ENG</v>
      </c>
      <c r="G212" s="47" t="str">
        <f>'Pod Library'!G46</f>
        <v>E3</v>
      </c>
      <c r="H212" s="47" t="str">
        <f>'Pod Library'!H46</f>
        <v>OFF</v>
      </c>
      <c r="I212" s="47" t="str">
        <f>'Pod Library'!I46</f>
        <v>FTC</v>
      </c>
      <c r="J212" s="13">
        <f>'Pod Library'!J46</f>
        <v>1</v>
      </c>
      <c r="K212" s="13">
        <f>SUMIFS('Pod Plan'!$F:$F,'Pod Plan'!$B:$B,$A212,'Pod Plan'!$C:$C,$C212)</f>
        <v>2</v>
      </c>
      <c r="L212" s="25">
        <f t="shared" si="3"/>
        <v>2</v>
      </c>
      <c r="M212" s="44">
        <f>L212*INDEX('Logic Tree'!$J$73:$N$74,MATCH(H212,'Logic Tree'!$I$73:$I$74,0),MATCH(G212,'Logic Tree'!$J$72:$N$72,0))</f>
        <v>0.84</v>
      </c>
    </row>
    <row r="213" spans="1:13" x14ac:dyDescent="0.35">
      <c r="A213" s="25">
        <v>2</v>
      </c>
      <c r="B213" s="24" t="s">
        <v>788</v>
      </c>
      <c r="C213" s="24" t="s">
        <v>232</v>
      </c>
      <c r="D213" s="24" t="s">
        <v>587</v>
      </c>
      <c r="E213" s="46" t="str">
        <f>'Pod Library'!E47</f>
        <v>Quality Engineer (SDET)</v>
      </c>
      <c r="F213" s="47" t="str">
        <f>'Pod Library'!F47</f>
        <v>TEST</v>
      </c>
      <c r="G213" s="47" t="str">
        <f>'Pod Library'!G47</f>
        <v>E3</v>
      </c>
      <c r="H213" s="47" t="str">
        <f>'Pod Library'!H47</f>
        <v>OFF</v>
      </c>
      <c r="I213" s="47" t="str">
        <f>'Pod Library'!I47</f>
        <v>FTC</v>
      </c>
      <c r="J213" s="13">
        <f>'Pod Library'!J47</f>
        <v>1</v>
      </c>
      <c r="K213" s="13">
        <f>SUMIFS('Pod Plan'!$F:$F,'Pod Plan'!$B:$B,$A213,'Pod Plan'!$C:$C,$C213)</f>
        <v>2</v>
      </c>
      <c r="L213" s="25">
        <f t="shared" si="3"/>
        <v>2</v>
      </c>
      <c r="M213" s="44">
        <f>L213*INDEX('Logic Tree'!$J$73:$N$74,MATCH(H213,'Logic Tree'!$I$73:$I$74,0),MATCH(G213,'Logic Tree'!$J$72:$N$72,0))</f>
        <v>0.84</v>
      </c>
    </row>
    <row r="214" spans="1:13" x14ac:dyDescent="0.35">
      <c r="A214" s="25">
        <v>2</v>
      </c>
      <c r="B214" s="24" t="s">
        <v>788</v>
      </c>
      <c r="C214" s="24" t="s">
        <v>232</v>
      </c>
      <c r="D214" s="24" t="s">
        <v>587</v>
      </c>
      <c r="E214" s="46" t="str">
        <f>'Pod Library'!E48</f>
        <v>Quality Engineer (SDET)</v>
      </c>
      <c r="F214" s="47" t="str">
        <f>'Pod Library'!F48</f>
        <v>TEST</v>
      </c>
      <c r="G214" s="47" t="str">
        <f>'Pod Library'!G48</f>
        <v>E2</v>
      </c>
      <c r="H214" s="47" t="str">
        <f>'Pod Library'!H48</f>
        <v>OFF</v>
      </c>
      <c r="I214" s="47" t="str">
        <f>'Pod Library'!I48</f>
        <v>FTC</v>
      </c>
      <c r="J214" s="13">
        <f>'Pod Library'!J48</f>
        <v>1</v>
      </c>
      <c r="K214" s="13">
        <f>SUMIFS('Pod Plan'!$F:$F,'Pod Plan'!$B:$B,$A214,'Pod Plan'!$C:$C,$C214)</f>
        <v>2</v>
      </c>
      <c r="L214" s="25">
        <f t="shared" si="3"/>
        <v>2</v>
      </c>
      <c r="M214" s="44">
        <f>L214*INDEX('Logic Tree'!$J$73:$N$74,MATCH(H214,'Logic Tree'!$I$73:$I$74,0),MATCH(G214,'Logic Tree'!$J$72:$N$72,0))</f>
        <v>0.6</v>
      </c>
    </row>
    <row r="215" spans="1:13" x14ac:dyDescent="0.35">
      <c r="A215" s="25">
        <v>2</v>
      </c>
      <c r="B215" s="24" t="s">
        <v>788</v>
      </c>
      <c r="C215" s="24" t="s">
        <v>201</v>
      </c>
      <c r="D215" s="24" t="s">
        <v>570</v>
      </c>
      <c r="E215" s="46" t="str">
        <f>'Pod Library'!E29</f>
        <v>Product Owner</v>
      </c>
      <c r="F215" s="47" t="str">
        <f>'Pod Library'!F29</f>
        <v>LEAD</v>
      </c>
      <c r="G215" s="47" t="str">
        <f>'Pod Library'!G29</f>
        <v>E4</v>
      </c>
      <c r="H215" s="47" t="str">
        <f>'Pod Library'!H29</f>
        <v>ON</v>
      </c>
      <c r="I215" s="47" t="str">
        <f>'Pod Library'!I29</f>
        <v>FTE</v>
      </c>
      <c r="J215" s="13">
        <f>'Pod Library'!J29</f>
        <v>1</v>
      </c>
      <c r="K215" s="13">
        <f>SUMIFS('Pod Plan'!$E:$E,'Pod Plan'!$B:$B,$A215,'Pod Plan'!$C:$C,$C215)</f>
        <v>1</v>
      </c>
      <c r="L215" s="25">
        <f t="shared" si="3"/>
        <v>1</v>
      </c>
      <c r="M215" s="44">
        <f>L215*INDEX('Logic Tree'!$J$73:$N$74,MATCH(H215,'Logic Tree'!$I$73:$I$74,0),MATCH(G215,'Logic Tree'!$J$72:$N$72,0))</f>
        <v>1.85</v>
      </c>
    </row>
    <row r="216" spans="1:13" x14ac:dyDescent="0.35">
      <c r="A216" s="25">
        <v>2</v>
      </c>
      <c r="B216" s="24" t="s">
        <v>788</v>
      </c>
      <c r="C216" s="24" t="s">
        <v>201</v>
      </c>
      <c r="D216" s="24" t="s">
        <v>570</v>
      </c>
      <c r="E216" s="46" t="str">
        <f>'Pod Library'!E30</f>
        <v>Contract Domain SME</v>
      </c>
      <c r="F216" s="47" t="str">
        <f>'Pod Library'!F30</f>
        <v>BA</v>
      </c>
      <c r="G216" s="47" t="str">
        <f>'Pod Library'!G30</f>
        <v>E5</v>
      </c>
      <c r="H216" s="47" t="str">
        <f>'Pod Library'!H30</f>
        <v>ON</v>
      </c>
      <c r="I216" s="47" t="str">
        <f>'Pod Library'!I30</f>
        <v>FTE</v>
      </c>
      <c r="J216" s="13">
        <f>'Pod Library'!J30</f>
        <v>1</v>
      </c>
      <c r="K216" s="13">
        <f>SUMIFS('Pod Plan'!$E:$E,'Pod Plan'!$B:$B,$A216,'Pod Plan'!$C:$C,$C216)</f>
        <v>1</v>
      </c>
      <c r="L216" s="25">
        <f t="shared" si="3"/>
        <v>1</v>
      </c>
      <c r="M216" s="44">
        <f>L216*INDEX('Logic Tree'!$J$73:$N$74,MATCH(H216,'Logic Tree'!$I$73:$I$74,0),MATCH(G216,'Logic Tree'!$J$72:$N$72,0))</f>
        <v>2.5499999999999998</v>
      </c>
    </row>
    <row r="217" spans="1:13" x14ac:dyDescent="0.35">
      <c r="A217" s="25">
        <v>2</v>
      </c>
      <c r="B217" s="24" t="s">
        <v>788</v>
      </c>
      <c r="C217" s="24" t="s">
        <v>201</v>
      </c>
      <c r="D217" s="24" t="s">
        <v>570</v>
      </c>
      <c r="E217" s="46" t="str">
        <f>'Pod Library'!E31</f>
        <v>Application Owner (Technical)</v>
      </c>
      <c r="F217" s="47" t="str">
        <f>'Pod Library'!F31</f>
        <v>ENG</v>
      </c>
      <c r="G217" s="47" t="str">
        <f>'Pod Library'!G31</f>
        <v>E4</v>
      </c>
      <c r="H217" s="47" t="str">
        <f>'Pod Library'!H31</f>
        <v>ON</v>
      </c>
      <c r="I217" s="47" t="str">
        <f>'Pod Library'!I31</f>
        <v>FTE</v>
      </c>
      <c r="J217" s="13">
        <f>'Pod Library'!J31</f>
        <v>1</v>
      </c>
      <c r="K217" s="13">
        <f>SUMIFS('Pod Plan'!$E:$E,'Pod Plan'!$B:$B,$A217,'Pod Plan'!$C:$C,$C217)</f>
        <v>1</v>
      </c>
      <c r="L217" s="25">
        <f t="shared" si="3"/>
        <v>1</v>
      </c>
      <c r="M217" s="44">
        <f>L217*INDEX('Logic Tree'!$J$73:$N$74,MATCH(H217,'Logic Tree'!$I$73:$I$74,0),MATCH(G217,'Logic Tree'!$J$72:$N$72,0))</f>
        <v>1.85</v>
      </c>
    </row>
    <row r="218" spans="1:13" x14ac:dyDescent="0.35">
      <c r="A218" s="25">
        <v>2</v>
      </c>
      <c r="B218" s="24" t="s">
        <v>788</v>
      </c>
      <c r="C218" s="24" t="s">
        <v>201</v>
      </c>
      <c r="D218" s="24" t="s">
        <v>570</v>
      </c>
      <c r="E218" s="46" t="str">
        <f>'Pod Library'!E32</f>
        <v>Pod Delivery Lead</v>
      </c>
      <c r="F218" s="47" t="str">
        <f>'Pod Library'!F32</f>
        <v>LEAD</v>
      </c>
      <c r="G218" s="47" t="str">
        <f>'Pod Library'!G32</f>
        <v>E4</v>
      </c>
      <c r="H218" s="47" t="str">
        <f>'Pod Library'!H32</f>
        <v>ON</v>
      </c>
      <c r="I218" s="47" t="str">
        <f>'Pod Library'!I32</f>
        <v>FTC</v>
      </c>
      <c r="J218" s="13">
        <f>'Pod Library'!J32</f>
        <v>1</v>
      </c>
      <c r="K218" s="13">
        <f>SUMIFS('Pod Plan'!$E:$E,'Pod Plan'!$B:$B,$A218,'Pod Plan'!$C:$C,$C218)</f>
        <v>1</v>
      </c>
      <c r="L218" s="25">
        <f t="shared" si="3"/>
        <v>1</v>
      </c>
      <c r="M218" s="44">
        <f>L218*INDEX('Logic Tree'!$J$73:$N$74,MATCH(H218,'Logic Tree'!$I$73:$I$74,0),MATCH(G218,'Logic Tree'!$J$72:$N$72,0))</f>
        <v>1.85</v>
      </c>
    </row>
    <row r="219" spans="1:13" x14ac:dyDescent="0.35">
      <c r="A219" s="25">
        <v>2</v>
      </c>
      <c r="B219" s="24" t="s">
        <v>788</v>
      </c>
      <c r="C219" s="24" t="s">
        <v>201</v>
      </c>
      <c r="D219" s="24" t="s">
        <v>570</v>
      </c>
      <c r="E219" s="46" t="str">
        <f>'Pod Library'!E33</f>
        <v>AI Orchestrator - Mainframe</v>
      </c>
      <c r="F219" s="47" t="str">
        <f>'Pod Library'!F33</f>
        <v>ENG</v>
      </c>
      <c r="G219" s="47" t="str">
        <f>'Pod Library'!G33</f>
        <v>E5</v>
      </c>
      <c r="H219" s="47" t="str">
        <f>'Pod Library'!H33</f>
        <v>ON</v>
      </c>
      <c r="I219" s="47" t="str">
        <f>'Pod Library'!I33</f>
        <v>FTC</v>
      </c>
      <c r="J219" s="13">
        <f>'Pod Library'!J33</f>
        <v>1</v>
      </c>
      <c r="K219" s="13">
        <f>SUMIFS('Pod Plan'!$E:$E,'Pod Plan'!$B:$B,$A219,'Pod Plan'!$C:$C,$C219)</f>
        <v>1</v>
      </c>
      <c r="L219" s="25">
        <f t="shared" si="3"/>
        <v>1</v>
      </c>
      <c r="M219" s="44">
        <f>L219*INDEX('Logic Tree'!$J$73:$N$74,MATCH(H219,'Logic Tree'!$I$73:$I$74,0),MATCH(G219,'Logic Tree'!$J$72:$N$72,0))</f>
        <v>2.5499999999999998</v>
      </c>
    </row>
    <row r="220" spans="1:13" x14ac:dyDescent="0.35">
      <c r="A220" s="25">
        <v>2</v>
      </c>
      <c r="B220" s="24" t="s">
        <v>788</v>
      </c>
      <c r="C220" s="24" t="s">
        <v>201</v>
      </c>
      <c r="D220" s="24" t="s">
        <v>570</v>
      </c>
      <c r="E220" s="46" t="str">
        <f>'Pod Library'!E34</f>
        <v>Business Analyst (bilingual)</v>
      </c>
      <c r="F220" s="47" t="str">
        <f>'Pod Library'!F34</f>
        <v>BA</v>
      </c>
      <c r="G220" s="47" t="str">
        <f>'Pod Library'!G34</f>
        <v>E3</v>
      </c>
      <c r="H220" s="47" t="str">
        <f>'Pod Library'!H34</f>
        <v>ON</v>
      </c>
      <c r="I220" s="47" t="str">
        <f>'Pod Library'!I34</f>
        <v>FTC</v>
      </c>
      <c r="J220" s="13">
        <f>'Pod Library'!J34</f>
        <v>1</v>
      </c>
      <c r="K220" s="13">
        <f>SUMIFS('Pod Plan'!$E:$E,'Pod Plan'!$B:$B,$A220,'Pod Plan'!$C:$C,$C220)</f>
        <v>1</v>
      </c>
      <c r="L220" s="25">
        <f t="shared" si="3"/>
        <v>1</v>
      </c>
      <c r="M220" s="44">
        <f>L220*INDEX('Logic Tree'!$J$73:$N$74,MATCH(H220,'Logic Tree'!$I$73:$I$74,0),MATCH(G220,'Logic Tree'!$J$72:$N$72,0))</f>
        <v>1.35</v>
      </c>
    </row>
    <row r="221" spans="1:13" x14ac:dyDescent="0.35">
      <c r="A221" s="25">
        <v>2</v>
      </c>
      <c r="B221" s="24" t="s">
        <v>788</v>
      </c>
      <c r="C221" s="24" t="s">
        <v>201</v>
      </c>
      <c r="D221" s="24" t="s">
        <v>570</v>
      </c>
      <c r="E221" s="46" t="str">
        <f>'Pod Library'!E35</f>
        <v>AI-embedded Senior Developer</v>
      </c>
      <c r="F221" s="47" t="str">
        <f>'Pod Library'!F35</f>
        <v>DEV</v>
      </c>
      <c r="G221" s="47" t="str">
        <f>'Pod Library'!G35</f>
        <v>E4</v>
      </c>
      <c r="H221" s="47" t="str">
        <f>'Pod Library'!H35</f>
        <v>OFF</v>
      </c>
      <c r="I221" s="47" t="str">
        <f>'Pod Library'!I35</f>
        <v>FTC</v>
      </c>
      <c r="J221" s="13">
        <f>'Pod Library'!J35</f>
        <v>1</v>
      </c>
      <c r="K221" s="13">
        <f>SUMIFS('Pod Plan'!$E:$E,'Pod Plan'!$B:$B,$A221,'Pod Plan'!$C:$C,$C221)</f>
        <v>1</v>
      </c>
      <c r="L221" s="25">
        <f t="shared" si="3"/>
        <v>1</v>
      </c>
      <c r="M221" s="44">
        <f>L221*INDEX('Logic Tree'!$J$73:$N$74,MATCH(H221,'Logic Tree'!$I$73:$I$74,0),MATCH(G221,'Logic Tree'!$J$72:$N$72,0))</f>
        <v>0.6</v>
      </c>
    </row>
    <row r="222" spans="1:13" x14ac:dyDescent="0.35">
      <c r="A222" s="25">
        <v>2</v>
      </c>
      <c r="B222" s="24" t="s">
        <v>788</v>
      </c>
      <c r="C222" s="24" t="s">
        <v>201</v>
      </c>
      <c r="D222" s="24" t="s">
        <v>570</v>
      </c>
      <c r="E222" s="46" t="str">
        <f>'Pod Library'!E36</f>
        <v>Developer COBOL/JCL</v>
      </c>
      <c r="F222" s="47" t="str">
        <f>'Pod Library'!F36</f>
        <v>DEV</v>
      </c>
      <c r="G222" s="47" t="str">
        <f>'Pod Library'!G36</f>
        <v>E2</v>
      </c>
      <c r="H222" s="47" t="str">
        <f>'Pod Library'!H36</f>
        <v>OFF</v>
      </c>
      <c r="I222" s="47" t="str">
        <f>'Pod Library'!I36</f>
        <v>FTC</v>
      </c>
      <c r="J222" s="13">
        <f>'Pod Library'!J36</f>
        <v>1</v>
      </c>
      <c r="K222" s="13">
        <f>SUMIFS('Pod Plan'!$E:$E,'Pod Plan'!$B:$B,$A222,'Pod Plan'!$C:$C,$C222)</f>
        <v>1</v>
      </c>
      <c r="L222" s="25">
        <f t="shared" si="3"/>
        <v>1</v>
      </c>
      <c r="M222" s="44">
        <f>L222*INDEX('Logic Tree'!$J$73:$N$74,MATCH(H222,'Logic Tree'!$I$73:$I$74,0),MATCH(G222,'Logic Tree'!$J$72:$N$72,0))</f>
        <v>0.3</v>
      </c>
    </row>
    <row r="223" spans="1:13" x14ac:dyDescent="0.35">
      <c r="A223" s="25">
        <v>2</v>
      </c>
      <c r="B223" s="24" t="s">
        <v>788</v>
      </c>
      <c r="C223" s="24" t="s">
        <v>201</v>
      </c>
      <c r="D223" s="24" t="s">
        <v>570</v>
      </c>
      <c r="E223" s="46" t="str">
        <f>'Pod Library'!E37</f>
        <v>Quality Engineer (SDET)</v>
      </c>
      <c r="F223" s="47" t="str">
        <f>'Pod Library'!F37</f>
        <v>TEST</v>
      </c>
      <c r="G223" s="47" t="str">
        <f>'Pod Library'!G37</f>
        <v>E3</v>
      </c>
      <c r="H223" s="47" t="str">
        <f>'Pod Library'!H37</f>
        <v>OFF</v>
      </c>
      <c r="I223" s="47" t="str">
        <f>'Pod Library'!I37</f>
        <v>FTC</v>
      </c>
      <c r="J223" s="13">
        <f>'Pod Library'!J37</f>
        <v>1</v>
      </c>
      <c r="K223" s="13">
        <f>SUMIFS('Pod Plan'!$E:$E,'Pod Plan'!$B:$B,$A223,'Pod Plan'!$C:$C,$C223)</f>
        <v>1</v>
      </c>
      <c r="L223" s="25">
        <f t="shared" si="3"/>
        <v>1</v>
      </c>
      <c r="M223" s="44">
        <f>L223*INDEX('Logic Tree'!$J$73:$N$74,MATCH(H223,'Logic Tree'!$I$73:$I$74,0),MATCH(G223,'Logic Tree'!$J$72:$N$72,0))</f>
        <v>0.42</v>
      </c>
    </row>
    <row r="224" spans="1:13" x14ac:dyDescent="0.35">
      <c r="A224" s="25">
        <v>2</v>
      </c>
      <c r="B224" s="24" t="s">
        <v>788</v>
      </c>
      <c r="C224" s="24" t="s">
        <v>201</v>
      </c>
      <c r="D224" s="24" t="s">
        <v>587</v>
      </c>
      <c r="E224" s="46" t="str">
        <f>'Pod Library'!E40</f>
        <v>Pod Lead (output owner)</v>
      </c>
      <c r="F224" s="47" t="str">
        <f>'Pod Library'!F40</f>
        <v>LEAD</v>
      </c>
      <c r="G224" s="47" t="str">
        <f>'Pod Library'!G40</f>
        <v>E4</v>
      </c>
      <c r="H224" s="47" t="str">
        <f>'Pod Library'!H40</f>
        <v>ON</v>
      </c>
      <c r="I224" s="47" t="str">
        <f>'Pod Library'!I40</f>
        <v>FTC</v>
      </c>
      <c r="J224" s="13">
        <f>'Pod Library'!J40</f>
        <v>1</v>
      </c>
      <c r="K224" s="13">
        <f>SUMIFS('Pod Plan'!$F:$F,'Pod Plan'!$B:$B,$A224,'Pod Plan'!$C:$C,$C224)</f>
        <v>1</v>
      </c>
      <c r="L224" s="25">
        <f t="shared" si="3"/>
        <v>1</v>
      </c>
      <c r="M224" s="44">
        <f>L224*INDEX('Logic Tree'!$J$73:$N$74,MATCH(H224,'Logic Tree'!$I$73:$I$74,0),MATCH(G224,'Logic Tree'!$J$72:$N$72,0))</f>
        <v>1.85</v>
      </c>
    </row>
    <row r="225" spans="1:13" x14ac:dyDescent="0.35">
      <c r="A225" s="25">
        <v>2</v>
      </c>
      <c r="B225" s="24" t="s">
        <v>788</v>
      </c>
      <c r="C225" s="24" t="s">
        <v>201</v>
      </c>
      <c r="D225" s="24" t="s">
        <v>587</v>
      </c>
      <c r="E225" s="46" t="str">
        <f>'Pod Library'!E41</f>
        <v>AI Orchestrator</v>
      </c>
      <c r="F225" s="47" t="str">
        <f>'Pod Library'!F41</f>
        <v>ENG</v>
      </c>
      <c r="G225" s="47" t="str">
        <f>'Pod Library'!G41</f>
        <v>E4</v>
      </c>
      <c r="H225" s="47" t="str">
        <f>'Pod Library'!H41</f>
        <v>ON</v>
      </c>
      <c r="I225" s="47" t="str">
        <f>'Pod Library'!I41</f>
        <v>FTC</v>
      </c>
      <c r="J225" s="13">
        <f>'Pod Library'!J41</f>
        <v>1</v>
      </c>
      <c r="K225" s="13">
        <f>SUMIFS('Pod Plan'!$F:$F,'Pod Plan'!$B:$B,$A225,'Pod Plan'!$C:$C,$C225)</f>
        <v>1</v>
      </c>
      <c r="L225" s="25">
        <f t="shared" si="3"/>
        <v>1</v>
      </c>
      <c r="M225" s="44">
        <f>L225*INDEX('Logic Tree'!$J$73:$N$74,MATCH(H225,'Logic Tree'!$I$73:$I$74,0),MATCH(G225,'Logic Tree'!$J$72:$N$72,0))</f>
        <v>1.85</v>
      </c>
    </row>
    <row r="226" spans="1:13" x14ac:dyDescent="0.35">
      <c r="A226" s="25">
        <v>2</v>
      </c>
      <c r="B226" s="24" t="s">
        <v>788</v>
      </c>
      <c r="C226" s="24" t="s">
        <v>201</v>
      </c>
      <c r="D226" s="24" t="s">
        <v>587</v>
      </c>
      <c r="E226" s="46" t="str">
        <f>'Pod Library'!E42</f>
        <v>Business Analyst (bilingual)</v>
      </c>
      <c r="F226" s="47" t="str">
        <f>'Pod Library'!F42</f>
        <v>BA</v>
      </c>
      <c r="G226" s="47" t="str">
        <f>'Pod Library'!G42</f>
        <v>E3</v>
      </c>
      <c r="H226" s="47" t="str">
        <f>'Pod Library'!H42</f>
        <v>ON</v>
      </c>
      <c r="I226" s="47" t="str">
        <f>'Pod Library'!I42</f>
        <v>FTC</v>
      </c>
      <c r="J226" s="13">
        <f>'Pod Library'!J42</f>
        <v>1</v>
      </c>
      <c r="K226" s="13">
        <f>SUMIFS('Pod Plan'!$F:$F,'Pod Plan'!$B:$B,$A226,'Pod Plan'!$C:$C,$C226)</f>
        <v>1</v>
      </c>
      <c r="L226" s="25">
        <f t="shared" si="3"/>
        <v>1</v>
      </c>
      <c r="M226" s="44">
        <f>L226*INDEX('Logic Tree'!$J$73:$N$74,MATCH(H226,'Logic Tree'!$I$73:$I$74,0),MATCH(G226,'Logic Tree'!$J$72:$N$72,0))</f>
        <v>1.35</v>
      </c>
    </row>
    <row r="227" spans="1:13" x14ac:dyDescent="0.35">
      <c r="A227" s="25">
        <v>2</v>
      </c>
      <c r="B227" s="24" t="s">
        <v>788</v>
      </c>
      <c r="C227" s="24" t="s">
        <v>201</v>
      </c>
      <c r="D227" s="24" t="s">
        <v>587</v>
      </c>
      <c r="E227" s="46" t="str">
        <f>'Pod Library'!E43</f>
        <v>AI-embedded Senior Developer</v>
      </c>
      <c r="F227" s="47" t="str">
        <f>'Pod Library'!F43</f>
        <v>DEV</v>
      </c>
      <c r="G227" s="47" t="str">
        <f>'Pod Library'!G43</f>
        <v>E4</v>
      </c>
      <c r="H227" s="47" t="str">
        <f>'Pod Library'!H43</f>
        <v>OFF</v>
      </c>
      <c r="I227" s="47" t="str">
        <f>'Pod Library'!I43</f>
        <v>FTC</v>
      </c>
      <c r="J227" s="13">
        <f>'Pod Library'!J43</f>
        <v>1</v>
      </c>
      <c r="K227" s="13">
        <f>SUMIFS('Pod Plan'!$F:$F,'Pod Plan'!$B:$B,$A227,'Pod Plan'!$C:$C,$C227)</f>
        <v>1</v>
      </c>
      <c r="L227" s="25">
        <f t="shared" si="3"/>
        <v>1</v>
      </c>
      <c r="M227" s="44">
        <f>L227*INDEX('Logic Tree'!$J$73:$N$74,MATCH(H227,'Logic Tree'!$I$73:$I$74,0),MATCH(G227,'Logic Tree'!$J$72:$N$72,0))</f>
        <v>0.6</v>
      </c>
    </row>
    <row r="228" spans="1:13" x14ac:dyDescent="0.35">
      <c r="A228" s="25">
        <v>2</v>
      </c>
      <c r="B228" s="24" t="s">
        <v>788</v>
      </c>
      <c r="C228" s="24" t="s">
        <v>201</v>
      </c>
      <c r="D228" s="24" t="s">
        <v>587</v>
      </c>
      <c r="E228" s="46" t="str">
        <f>'Pod Library'!E44</f>
        <v>Developer</v>
      </c>
      <c r="F228" s="47" t="str">
        <f>'Pod Library'!F44</f>
        <v>DEV</v>
      </c>
      <c r="G228" s="47" t="str">
        <f>'Pod Library'!G44</f>
        <v>E2</v>
      </c>
      <c r="H228" s="47" t="str">
        <f>'Pod Library'!H44</f>
        <v>OFF</v>
      </c>
      <c r="I228" s="47" t="str">
        <f>'Pod Library'!I44</f>
        <v>FTC</v>
      </c>
      <c r="J228" s="13">
        <f>'Pod Library'!J44</f>
        <v>1</v>
      </c>
      <c r="K228" s="13">
        <f>SUMIFS('Pod Plan'!$F:$F,'Pod Plan'!$B:$B,$A228,'Pod Plan'!$C:$C,$C228)</f>
        <v>1</v>
      </c>
      <c r="L228" s="25">
        <f t="shared" si="3"/>
        <v>1</v>
      </c>
      <c r="M228" s="44">
        <f>L228*INDEX('Logic Tree'!$J$73:$N$74,MATCH(H228,'Logic Tree'!$I$73:$I$74,0),MATCH(G228,'Logic Tree'!$J$72:$N$72,0))</f>
        <v>0.3</v>
      </c>
    </row>
    <row r="229" spans="1:13" x14ac:dyDescent="0.35">
      <c r="A229" s="25">
        <v>2</v>
      </c>
      <c r="B229" s="24" t="s">
        <v>788</v>
      </c>
      <c r="C229" s="24" t="s">
        <v>201</v>
      </c>
      <c r="D229" s="24" t="s">
        <v>587</v>
      </c>
      <c r="E229" s="46" t="str">
        <f>'Pod Library'!E45</f>
        <v>Developer</v>
      </c>
      <c r="F229" s="47" t="str">
        <f>'Pod Library'!F45</f>
        <v>DEV</v>
      </c>
      <c r="G229" s="47" t="str">
        <f>'Pod Library'!G45</f>
        <v>E2</v>
      </c>
      <c r="H229" s="47" t="str">
        <f>'Pod Library'!H45</f>
        <v>OFF</v>
      </c>
      <c r="I229" s="47" t="str">
        <f>'Pod Library'!I45</f>
        <v>FTC</v>
      </c>
      <c r="J229" s="13">
        <f>'Pod Library'!J45</f>
        <v>1</v>
      </c>
      <c r="K229" s="13">
        <f>SUMIFS('Pod Plan'!$F:$F,'Pod Plan'!$B:$B,$A229,'Pod Plan'!$C:$C,$C229)</f>
        <v>1</v>
      </c>
      <c r="L229" s="25">
        <f t="shared" si="3"/>
        <v>1</v>
      </c>
      <c r="M229" s="44">
        <f>L229*INDEX('Logic Tree'!$J$73:$N$74,MATCH(H229,'Logic Tree'!$I$73:$I$74,0),MATCH(G229,'Logic Tree'!$J$72:$N$72,0))</f>
        <v>0.3</v>
      </c>
    </row>
    <row r="230" spans="1:13" x14ac:dyDescent="0.35">
      <c r="A230" s="25">
        <v>2</v>
      </c>
      <c r="B230" s="24" t="s">
        <v>788</v>
      </c>
      <c r="C230" s="24" t="s">
        <v>201</v>
      </c>
      <c r="D230" s="24" t="s">
        <v>587</v>
      </c>
      <c r="E230" s="46" t="str">
        <f>'Pod Library'!E46</f>
        <v>AI Engineer (agent build)</v>
      </c>
      <c r="F230" s="47" t="str">
        <f>'Pod Library'!F46</f>
        <v>ENG</v>
      </c>
      <c r="G230" s="47" t="str">
        <f>'Pod Library'!G46</f>
        <v>E3</v>
      </c>
      <c r="H230" s="47" t="str">
        <f>'Pod Library'!H46</f>
        <v>OFF</v>
      </c>
      <c r="I230" s="47" t="str">
        <f>'Pod Library'!I46</f>
        <v>FTC</v>
      </c>
      <c r="J230" s="13">
        <f>'Pod Library'!J46</f>
        <v>1</v>
      </c>
      <c r="K230" s="13">
        <f>SUMIFS('Pod Plan'!$F:$F,'Pod Plan'!$B:$B,$A230,'Pod Plan'!$C:$C,$C230)</f>
        <v>1</v>
      </c>
      <c r="L230" s="25">
        <f t="shared" si="3"/>
        <v>1</v>
      </c>
      <c r="M230" s="44">
        <f>L230*INDEX('Logic Tree'!$J$73:$N$74,MATCH(H230,'Logic Tree'!$I$73:$I$74,0),MATCH(G230,'Logic Tree'!$J$72:$N$72,0))</f>
        <v>0.42</v>
      </c>
    </row>
    <row r="231" spans="1:13" x14ac:dyDescent="0.35">
      <c r="A231" s="25">
        <v>2</v>
      </c>
      <c r="B231" s="24" t="s">
        <v>788</v>
      </c>
      <c r="C231" s="24" t="s">
        <v>201</v>
      </c>
      <c r="D231" s="24" t="s">
        <v>587</v>
      </c>
      <c r="E231" s="46" t="str">
        <f>'Pod Library'!E47</f>
        <v>Quality Engineer (SDET)</v>
      </c>
      <c r="F231" s="47" t="str">
        <f>'Pod Library'!F47</f>
        <v>TEST</v>
      </c>
      <c r="G231" s="47" t="str">
        <f>'Pod Library'!G47</f>
        <v>E3</v>
      </c>
      <c r="H231" s="47" t="str">
        <f>'Pod Library'!H47</f>
        <v>OFF</v>
      </c>
      <c r="I231" s="47" t="str">
        <f>'Pod Library'!I47</f>
        <v>FTC</v>
      </c>
      <c r="J231" s="13">
        <f>'Pod Library'!J47</f>
        <v>1</v>
      </c>
      <c r="K231" s="13">
        <f>SUMIFS('Pod Plan'!$F:$F,'Pod Plan'!$B:$B,$A231,'Pod Plan'!$C:$C,$C231)</f>
        <v>1</v>
      </c>
      <c r="L231" s="25">
        <f t="shared" si="3"/>
        <v>1</v>
      </c>
      <c r="M231" s="44">
        <f>L231*INDEX('Logic Tree'!$J$73:$N$74,MATCH(H231,'Logic Tree'!$I$73:$I$74,0),MATCH(G231,'Logic Tree'!$J$72:$N$72,0))</f>
        <v>0.42</v>
      </c>
    </row>
    <row r="232" spans="1:13" x14ac:dyDescent="0.35">
      <c r="A232" s="25">
        <v>2</v>
      </c>
      <c r="B232" s="24" t="s">
        <v>788</v>
      </c>
      <c r="C232" s="24" t="s">
        <v>201</v>
      </c>
      <c r="D232" s="24" t="s">
        <v>587</v>
      </c>
      <c r="E232" s="46" t="str">
        <f>'Pod Library'!E48</f>
        <v>Quality Engineer (SDET)</v>
      </c>
      <c r="F232" s="47" t="str">
        <f>'Pod Library'!F48</f>
        <v>TEST</v>
      </c>
      <c r="G232" s="47" t="str">
        <f>'Pod Library'!G48</f>
        <v>E2</v>
      </c>
      <c r="H232" s="47" t="str">
        <f>'Pod Library'!H48</f>
        <v>OFF</v>
      </c>
      <c r="I232" s="47" t="str">
        <f>'Pod Library'!I48</f>
        <v>FTC</v>
      </c>
      <c r="J232" s="13">
        <f>'Pod Library'!J48</f>
        <v>1</v>
      </c>
      <c r="K232" s="13">
        <f>SUMIFS('Pod Plan'!$F:$F,'Pod Plan'!$B:$B,$A232,'Pod Plan'!$C:$C,$C232)</f>
        <v>1</v>
      </c>
      <c r="L232" s="25">
        <f t="shared" si="3"/>
        <v>1</v>
      </c>
      <c r="M232" s="44">
        <f>L232*INDEX('Logic Tree'!$J$73:$N$74,MATCH(H232,'Logic Tree'!$I$73:$I$74,0),MATCH(G232,'Logic Tree'!$J$72:$N$72,0))</f>
        <v>0.3</v>
      </c>
    </row>
    <row r="233" spans="1:13" x14ac:dyDescent="0.35">
      <c r="A233" s="25">
        <v>3</v>
      </c>
      <c r="B233" s="24" t="s">
        <v>788</v>
      </c>
      <c r="C233" s="24" t="s">
        <v>182</v>
      </c>
      <c r="D233" s="24" t="s">
        <v>570</v>
      </c>
      <c r="E233" s="46" t="str">
        <f>'Pod Library'!E51</f>
        <v>Product Owner</v>
      </c>
      <c r="F233" s="47" t="str">
        <f>'Pod Library'!F51</f>
        <v>LEAD</v>
      </c>
      <c r="G233" s="47" t="str">
        <f>'Pod Library'!G51</f>
        <v>E4</v>
      </c>
      <c r="H233" s="47" t="str">
        <f>'Pod Library'!H51</f>
        <v>ON</v>
      </c>
      <c r="I233" s="47" t="str">
        <f>'Pod Library'!I51</f>
        <v>FTE</v>
      </c>
      <c r="J233" s="13">
        <f>'Pod Library'!J51</f>
        <v>1</v>
      </c>
      <c r="K233" s="13">
        <f>SUMIFS('Pod Plan'!$E:$E,'Pod Plan'!$B:$B,$A233,'Pod Plan'!$C:$C,$C233)</f>
        <v>3</v>
      </c>
      <c r="L233" s="25">
        <f t="shared" si="3"/>
        <v>3</v>
      </c>
      <c r="M233" s="44">
        <f>L233*INDEX('Logic Tree'!$J$73:$N$74,MATCH(H233,'Logic Tree'!$I$73:$I$74,0),MATCH(G233,'Logic Tree'!$J$72:$N$72,0))</f>
        <v>5.5500000000000007</v>
      </c>
    </row>
    <row r="234" spans="1:13" x14ac:dyDescent="0.35">
      <c r="A234" s="25">
        <v>3</v>
      </c>
      <c r="B234" s="24" t="s">
        <v>788</v>
      </c>
      <c r="C234" s="24" t="s">
        <v>182</v>
      </c>
      <c r="D234" s="24" t="s">
        <v>570</v>
      </c>
      <c r="E234" s="46" t="str">
        <f>'Pod Library'!E52</f>
        <v>Contract Domain SME</v>
      </c>
      <c r="F234" s="47" t="str">
        <f>'Pod Library'!F52</f>
        <v>BA</v>
      </c>
      <c r="G234" s="47" t="str">
        <f>'Pod Library'!G52</f>
        <v>E5</v>
      </c>
      <c r="H234" s="47" t="str">
        <f>'Pod Library'!H52</f>
        <v>ON</v>
      </c>
      <c r="I234" s="47" t="str">
        <f>'Pod Library'!I52</f>
        <v>FTE</v>
      </c>
      <c r="J234" s="13">
        <f>'Pod Library'!J52</f>
        <v>1</v>
      </c>
      <c r="K234" s="13">
        <f>SUMIFS('Pod Plan'!$E:$E,'Pod Plan'!$B:$B,$A234,'Pod Plan'!$C:$C,$C234)</f>
        <v>3</v>
      </c>
      <c r="L234" s="25">
        <f t="shared" si="3"/>
        <v>3</v>
      </c>
      <c r="M234" s="44">
        <f>L234*INDEX('Logic Tree'!$J$73:$N$74,MATCH(H234,'Logic Tree'!$I$73:$I$74,0),MATCH(G234,'Logic Tree'!$J$72:$N$72,0))</f>
        <v>7.6499999999999995</v>
      </c>
    </row>
    <row r="235" spans="1:13" x14ac:dyDescent="0.35">
      <c r="A235" s="25">
        <v>3</v>
      </c>
      <c r="B235" s="24" t="s">
        <v>788</v>
      </c>
      <c r="C235" s="24" t="s">
        <v>182</v>
      </c>
      <c r="D235" s="24" t="s">
        <v>570</v>
      </c>
      <c r="E235" s="46" t="str">
        <f>'Pod Library'!E53</f>
        <v>Application Owner (Technical)</v>
      </c>
      <c r="F235" s="47" t="str">
        <f>'Pod Library'!F53</f>
        <v>ENG</v>
      </c>
      <c r="G235" s="47" t="str">
        <f>'Pod Library'!G53</f>
        <v>E4</v>
      </c>
      <c r="H235" s="47" t="str">
        <f>'Pod Library'!H53</f>
        <v>ON</v>
      </c>
      <c r="I235" s="47" t="str">
        <f>'Pod Library'!I53</f>
        <v>FTE</v>
      </c>
      <c r="J235" s="13">
        <f>'Pod Library'!J53</f>
        <v>1</v>
      </c>
      <c r="K235" s="13">
        <f>SUMIFS('Pod Plan'!$E:$E,'Pod Plan'!$B:$B,$A235,'Pod Plan'!$C:$C,$C235)</f>
        <v>3</v>
      </c>
      <c r="L235" s="25">
        <f t="shared" si="3"/>
        <v>3</v>
      </c>
      <c r="M235" s="44">
        <f>L235*INDEX('Logic Tree'!$J$73:$N$74,MATCH(H235,'Logic Tree'!$I$73:$I$74,0),MATCH(G235,'Logic Tree'!$J$72:$N$72,0))</f>
        <v>5.5500000000000007</v>
      </c>
    </row>
    <row r="236" spans="1:13" x14ac:dyDescent="0.35">
      <c r="A236" s="25">
        <v>3</v>
      </c>
      <c r="B236" s="24" t="s">
        <v>788</v>
      </c>
      <c r="C236" s="24" t="s">
        <v>182</v>
      </c>
      <c r="D236" s="24" t="s">
        <v>570</v>
      </c>
      <c r="E236" s="46" t="str">
        <f>'Pod Library'!E54</f>
        <v>Pod Lead / AI Orchestrator</v>
      </c>
      <c r="F236" s="47" t="str">
        <f>'Pod Library'!F54</f>
        <v>LEAD</v>
      </c>
      <c r="G236" s="47" t="str">
        <f>'Pod Library'!G54</f>
        <v>E5</v>
      </c>
      <c r="H236" s="47" t="str">
        <f>'Pod Library'!H54</f>
        <v>ON</v>
      </c>
      <c r="I236" s="47" t="str">
        <f>'Pod Library'!I54</f>
        <v>FTC</v>
      </c>
      <c r="J236" s="13">
        <f>'Pod Library'!J54</f>
        <v>1</v>
      </c>
      <c r="K236" s="13">
        <f>SUMIFS('Pod Plan'!$E:$E,'Pod Plan'!$B:$B,$A236,'Pod Plan'!$C:$C,$C236)</f>
        <v>3</v>
      </c>
      <c r="L236" s="25">
        <f t="shared" si="3"/>
        <v>3</v>
      </c>
      <c r="M236" s="44">
        <f>L236*INDEX('Logic Tree'!$J$73:$N$74,MATCH(H236,'Logic Tree'!$I$73:$I$74,0),MATCH(G236,'Logic Tree'!$J$72:$N$72,0))</f>
        <v>7.6499999999999995</v>
      </c>
    </row>
    <row r="237" spans="1:13" x14ac:dyDescent="0.35">
      <c r="A237" s="25">
        <v>3</v>
      </c>
      <c r="B237" s="24" t="s">
        <v>788</v>
      </c>
      <c r="C237" s="24" t="s">
        <v>182</v>
      </c>
      <c r="D237" s="24" t="s">
        <v>570</v>
      </c>
      <c r="E237" s="46" t="str">
        <f>'Pod Library'!E55</f>
        <v>Business Analyst (bilingual)</v>
      </c>
      <c r="F237" s="47" t="str">
        <f>'Pod Library'!F55</f>
        <v>BA</v>
      </c>
      <c r="G237" s="47" t="str">
        <f>'Pod Library'!G55</f>
        <v>E4</v>
      </c>
      <c r="H237" s="47" t="str">
        <f>'Pod Library'!H55</f>
        <v>ON</v>
      </c>
      <c r="I237" s="47" t="str">
        <f>'Pod Library'!I55</f>
        <v>FTC</v>
      </c>
      <c r="J237" s="13">
        <f>'Pod Library'!J55</f>
        <v>1</v>
      </c>
      <c r="K237" s="13">
        <f>SUMIFS('Pod Plan'!$E:$E,'Pod Plan'!$B:$B,$A237,'Pod Plan'!$C:$C,$C237)</f>
        <v>3</v>
      </c>
      <c r="L237" s="25">
        <f t="shared" si="3"/>
        <v>3</v>
      </c>
      <c r="M237" s="44">
        <f>L237*INDEX('Logic Tree'!$J$73:$N$74,MATCH(H237,'Logic Tree'!$I$73:$I$74,0),MATCH(G237,'Logic Tree'!$J$72:$N$72,0))</f>
        <v>5.5500000000000007</v>
      </c>
    </row>
    <row r="238" spans="1:13" x14ac:dyDescent="0.35">
      <c r="A238" s="25">
        <v>3</v>
      </c>
      <c r="B238" s="24" t="s">
        <v>788</v>
      </c>
      <c r="C238" s="24" t="s">
        <v>182</v>
      </c>
      <c r="D238" s="24" t="s">
        <v>570</v>
      </c>
      <c r="E238" s="46" t="str">
        <f>'Pod Library'!E56</f>
        <v>AI-embedded Senior Engineer</v>
      </c>
      <c r="F238" s="47" t="str">
        <f>'Pod Library'!F56</f>
        <v>DEV</v>
      </c>
      <c r="G238" s="47" t="str">
        <f>'Pod Library'!G56</f>
        <v>E4</v>
      </c>
      <c r="H238" s="47" t="str">
        <f>'Pod Library'!H56</f>
        <v>OFF</v>
      </c>
      <c r="I238" s="47" t="str">
        <f>'Pod Library'!I56</f>
        <v>FTC</v>
      </c>
      <c r="J238" s="13">
        <f>'Pod Library'!J56</f>
        <v>1</v>
      </c>
      <c r="K238" s="13">
        <f>SUMIFS('Pod Plan'!$E:$E,'Pod Plan'!$B:$B,$A238,'Pod Plan'!$C:$C,$C238)</f>
        <v>3</v>
      </c>
      <c r="L238" s="25">
        <f t="shared" si="3"/>
        <v>3</v>
      </c>
      <c r="M238" s="44">
        <f>L238*INDEX('Logic Tree'!$J$73:$N$74,MATCH(H238,'Logic Tree'!$I$73:$I$74,0),MATCH(G238,'Logic Tree'!$J$72:$N$72,0))</f>
        <v>1.7999999999999998</v>
      </c>
    </row>
    <row r="239" spans="1:13" x14ac:dyDescent="0.35">
      <c r="A239" s="25">
        <v>3</v>
      </c>
      <c r="B239" s="24" t="s">
        <v>788</v>
      </c>
      <c r="C239" s="24" t="s">
        <v>182</v>
      </c>
      <c r="D239" s="24" t="s">
        <v>570</v>
      </c>
      <c r="E239" s="46" t="str">
        <f>'Pod Library'!E57</f>
        <v>AI Engineer (agent build)</v>
      </c>
      <c r="F239" s="47" t="str">
        <f>'Pod Library'!F57</f>
        <v>ENG</v>
      </c>
      <c r="G239" s="47" t="str">
        <f>'Pod Library'!G57</f>
        <v>E3</v>
      </c>
      <c r="H239" s="47" t="str">
        <f>'Pod Library'!H57</f>
        <v>OFF</v>
      </c>
      <c r="I239" s="47" t="str">
        <f>'Pod Library'!I57</f>
        <v>FTC</v>
      </c>
      <c r="J239" s="13">
        <f>'Pod Library'!J57</f>
        <v>1</v>
      </c>
      <c r="K239" s="13">
        <f>SUMIFS('Pod Plan'!$E:$E,'Pod Plan'!$B:$B,$A239,'Pod Plan'!$C:$C,$C239)</f>
        <v>3</v>
      </c>
      <c r="L239" s="25">
        <f t="shared" si="3"/>
        <v>3</v>
      </c>
      <c r="M239" s="44">
        <f>L239*INDEX('Logic Tree'!$J$73:$N$74,MATCH(H239,'Logic Tree'!$I$73:$I$74,0),MATCH(G239,'Logic Tree'!$J$72:$N$72,0))</f>
        <v>1.26</v>
      </c>
    </row>
    <row r="240" spans="1:13" x14ac:dyDescent="0.35">
      <c r="A240" s="25">
        <v>3</v>
      </c>
      <c r="B240" s="24" t="s">
        <v>788</v>
      </c>
      <c r="C240" s="24" t="s">
        <v>182</v>
      </c>
      <c r="D240" s="24" t="s">
        <v>570</v>
      </c>
      <c r="E240" s="46" t="str">
        <f>'Pod Library'!E58</f>
        <v>Quality Engineer (SDET)</v>
      </c>
      <c r="F240" s="47" t="str">
        <f>'Pod Library'!F58</f>
        <v>TEST</v>
      </c>
      <c r="G240" s="47" t="str">
        <f>'Pod Library'!G58</f>
        <v>E3</v>
      </c>
      <c r="H240" s="47" t="str">
        <f>'Pod Library'!H58</f>
        <v>OFF</v>
      </c>
      <c r="I240" s="47" t="str">
        <f>'Pod Library'!I58</f>
        <v>FTC</v>
      </c>
      <c r="J240" s="13">
        <f>'Pod Library'!J58</f>
        <v>1</v>
      </c>
      <c r="K240" s="13">
        <f>SUMIFS('Pod Plan'!$E:$E,'Pod Plan'!$B:$B,$A240,'Pod Plan'!$C:$C,$C240)</f>
        <v>3</v>
      </c>
      <c r="L240" s="25">
        <f t="shared" si="3"/>
        <v>3</v>
      </c>
      <c r="M240" s="44">
        <f>L240*INDEX('Logic Tree'!$J$73:$N$74,MATCH(H240,'Logic Tree'!$I$73:$I$74,0),MATCH(G240,'Logic Tree'!$J$72:$N$72,0))</f>
        <v>1.26</v>
      </c>
    </row>
    <row r="241" spans="1:13" x14ac:dyDescent="0.35">
      <c r="A241" s="25">
        <v>3</v>
      </c>
      <c r="B241" s="24" t="s">
        <v>788</v>
      </c>
      <c r="C241" s="24" t="s">
        <v>182</v>
      </c>
      <c r="D241" s="24" t="s">
        <v>587</v>
      </c>
      <c r="E241" s="46" t="str">
        <f>'Pod Library'!E61</f>
        <v>Pod Lead (output owner)</v>
      </c>
      <c r="F241" s="47" t="str">
        <f>'Pod Library'!F61</f>
        <v>LEAD</v>
      </c>
      <c r="G241" s="47" t="str">
        <f>'Pod Library'!G61</f>
        <v>E4</v>
      </c>
      <c r="H241" s="47" t="str">
        <f>'Pod Library'!H61</f>
        <v>ON</v>
      </c>
      <c r="I241" s="47" t="str">
        <f>'Pod Library'!I61</f>
        <v>FTC</v>
      </c>
      <c r="J241" s="13">
        <f>'Pod Library'!J61</f>
        <v>1</v>
      </c>
      <c r="K241" s="13">
        <f>SUMIFS('Pod Plan'!$F:$F,'Pod Plan'!$B:$B,$A241,'Pod Plan'!$C:$C,$C241)</f>
        <v>2</v>
      </c>
      <c r="L241" s="25">
        <f t="shared" si="3"/>
        <v>2</v>
      </c>
      <c r="M241" s="44">
        <f>L241*INDEX('Logic Tree'!$J$73:$N$74,MATCH(H241,'Logic Tree'!$I$73:$I$74,0),MATCH(G241,'Logic Tree'!$J$72:$N$72,0))</f>
        <v>3.7</v>
      </c>
    </row>
    <row r="242" spans="1:13" x14ac:dyDescent="0.35">
      <c r="A242" s="25">
        <v>3</v>
      </c>
      <c r="B242" s="24" t="s">
        <v>788</v>
      </c>
      <c r="C242" s="24" t="s">
        <v>182</v>
      </c>
      <c r="D242" s="24" t="s">
        <v>587</v>
      </c>
      <c r="E242" s="46" t="str">
        <f>'Pod Library'!E62</f>
        <v>Business Analyst (bilingual)</v>
      </c>
      <c r="F242" s="47" t="str">
        <f>'Pod Library'!F62</f>
        <v>BA</v>
      </c>
      <c r="G242" s="47" t="str">
        <f>'Pod Library'!G62</f>
        <v>E4</v>
      </c>
      <c r="H242" s="47" t="str">
        <f>'Pod Library'!H62</f>
        <v>ON</v>
      </c>
      <c r="I242" s="47" t="str">
        <f>'Pod Library'!I62</f>
        <v>FTC</v>
      </c>
      <c r="J242" s="13">
        <f>'Pod Library'!J62</f>
        <v>1</v>
      </c>
      <c r="K242" s="13">
        <f>SUMIFS('Pod Plan'!$F:$F,'Pod Plan'!$B:$B,$A242,'Pod Plan'!$C:$C,$C242)</f>
        <v>2</v>
      </c>
      <c r="L242" s="25">
        <f t="shared" si="3"/>
        <v>2</v>
      </c>
      <c r="M242" s="44">
        <f>L242*INDEX('Logic Tree'!$J$73:$N$74,MATCH(H242,'Logic Tree'!$I$73:$I$74,0),MATCH(G242,'Logic Tree'!$J$72:$N$72,0))</f>
        <v>3.7</v>
      </c>
    </row>
    <row r="243" spans="1:13" x14ac:dyDescent="0.35">
      <c r="A243" s="25">
        <v>3</v>
      </c>
      <c r="B243" s="24" t="s">
        <v>788</v>
      </c>
      <c r="C243" s="24" t="s">
        <v>182</v>
      </c>
      <c r="D243" s="24" t="s">
        <v>587</v>
      </c>
      <c r="E243" s="46" t="str">
        <f>'Pod Library'!E63</f>
        <v>AI Orchestrator</v>
      </c>
      <c r="F243" s="47" t="str">
        <f>'Pod Library'!F63</f>
        <v>ENG</v>
      </c>
      <c r="G243" s="47" t="str">
        <f>'Pod Library'!G63</f>
        <v>E4</v>
      </c>
      <c r="H243" s="47" t="str">
        <f>'Pod Library'!H63</f>
        <v>OFF</v>
      </c>
      <c r="I243" s="47" t="str">
        <f>'Pod Library'!I63</f>
        <v>FTC</v>
      </c>
      <c r="J243" s="13">
        <f>'Pod Library'!J63</f>
        <v>1</v>
      </c>
      <c r="K243" s="13">
        <f>SUMIFS('Pod Plan'!$F:$F,'Pod Plan'!$B:$B,$A243,'Pod Plan'!$C:$C,$C243)</f>
        <v>2</v>
      </c>
      <c r="L243" s="25">
        <f t="shared" si="3"/>
        <v>2</v>
      </c>
      <c r="M243" s="44">
        <f>L243*INDEX('Logic Tree'!$J$73:$N$74,MATCH(H243,'Logic Tree'!$I$73:$I$74,0),MATCH(G243,'Logic Tree'!$J$72:$N$72,0))</f>
        <v>1.2</v>
      </c>
    </row>
    <row r="244" spans="1:13" x14ac:dyDescent="0.35">
      <c r="A244" s="25">
        <v>3</v>
      </c>
      <c r="B244" s="24" t="s">
        <v>788</v>
      </c>
      <c r="C244" s="24" t="s">
        <v>182</v>
      </c>
      <c r="D244" s="24" t="s">
        <v>587</v>
      </c>
      <c r="E244" s="46" t="str">
        <f>'Pod Library'!E64</f>
        <v>AI-embedded Senior Engineer</v>
      </c>
      <c r="F244" s="47" t="str">
        <f>'Pod Library'!F64</f>
        <v>DEV</v>
      </c>
      <c r="G244" s="47" t="str">
        <f>'Pod Library'!G64</f>
        <v>E4</v>
      </c>
      <c r="H244" s="47" t="str">
        <f>'Pod Library'!H64</f>
        <v>OFF</v>
      </c>
      <c r="I244" s="47" t="str">
        <f>'Pod Library'!I64</f>
        <v>FTC</v>
      </c>
      <c r="J244" s="13">
        <f>'Pod Library'!J64</f>
        <v>1</v>
      </c>
      <c r="K244" s="13">
        <f>SUMIFS('Pod Plan'!$F:$F,'Pod Plan'!$B:$B,$A244,'Pod Plan'!$C:$C,$C244)</f>
        <v>2</v>
      </c>
      <c r="L244" s="25">
        <f t="shared" si="3"/>
        <v>2</v>
      </c>
      <c r="M244" s="44">
        <f>L244*INDEX('Logic Tree'!$J$73:$N$74,MATCH(H244,'Logic Tree'!$I$73:$I$74,0),MATCH(G244,'Logic Tree'!$J$72:$N$72,0))</f>
        <v>1.2</v>
      </c>
    </row>
    <row r="245" spans="1:13" x14ac:dyDescent="0.35">
      <c r="A245" s="25">
        <v>3</v>
      </c>
      <c r="B245" s="24" t="s">
        <v>788</v>
      </c>
      <c r="C245" s="24" t="s">
        <v>182</v>
      </c>
      <c r="D245" s="24" t="s">
        <v>587</v>
      </c>
      <c r="E245" s="46" t="str">
        <f>'Pod Library'!E65</f>
        <v>Engineer</v>
      </c>
      <c r="F245" s="47" t="str">
        <f>'Pod Library'!F65</f>
        <v>DEV</v>
      </c>
      <c r="G245" s="47" t="str">
        <f>'Pod Library'!G65</f>
        <v>E2</v>
      </c>
      <c r="H245" s="47" t="str">
        <f>'Pod Library'!H65</f>
        <v>OFF</v>
      </c>
      <c r="I245" s="47" t="str">
        <f>'Pod Library'!I65</f>
        <v>FTC</v>
      </c>
      <c r="J245" s="13">
        <f>'Pod Library'!J65</f>
        <v>1</v>
      </c>
      <c r="K245" s="13">
        <f>SUMIFS('Pod Plan'!$F:$F,'Pod Plan'!$B:$B,$A245,'Pod Plan'!$C:$C,$C245)</f>
        <v>2</v>
      </c>
      <c r="L245" s="25">
        <f t="shared" si="3"/>
        <v>2</v>
      </c>
      <c r="M245" s="44">
        <f>L245*INDEX('Logic Tree'!$J$73:$N$74,MATCH(H245,'Logic Tree'!$I$73:$I$74,0),MATCH(G245,'Logic Tree'!$J$72:$N$72,0))</f>
        <v>0.6</v>
      </c>
    </row>
    <row r="246" spans="1:13" x14ac:dyDescent="0.35">
      <c r="A246" s="25">
        <v>3</v>
      </c>
      <c r="B246" s="24" t="s">
        <v>788</v>
      </c>
      <c r="C246" s="24" t="s">
        <v>182</v>
      </c>
      <c r="D246" s="24" t="s">
        <v>587</v>
      </c>
      <c r="E246" s="46" t="str">
        <f>'Pod Library'!E66</f>
        <v>AI Engineer (agent build)</v>
      </c>
      <c r="F246" s="47" t="str">
        <f>'Pod Library'!F66</f>
        <v>ENG</v>
      </c>
      <c r="G246" s="47" t="str">
        <f>'Pod Library'!G66</f>
        <v>E3</v>
      </c>
      <c r="H246" s="47" t="str">
        <f>'Pod Library'!H66</f>
        <v>OFF</v>
      </c>
      <c r="I246" s="47" t="str">
        <f>'Pod Library'!I66</f>
        <v>FTC</v>
      </c>
      <c r="J246" s="13">
        <f>'Pod Library'!J66</f>
        <v>1</v>
      </c>
      <c r="K246" s="13">
        <f>SUMIFS('Pod Plan'!$F:$F,'Pod Plan'!$B:$B,$A246,'Pod Plan'!$C:$C,$C246)</f>
        <v>2</v>
      </c>
      <c r="L246" s="25">
        <f t="shared" si="3"/>
        <v>2</v>
      </c>
      <c r="M246" s="44">
        <f>L246*INDEX('Logic Tree'!$J$73:$N$74,MATCH(H246,'Logic Tree'!$I$73:$I$74,0),MATCH(G246,'Logic Tree'!$J$72:$N$72,0))</f>
        <v>0.84</v>
      </c>
    </row>
    <row r="247" spans="1:13" x14ac:dyDescent="0.35">
      <c r="A247" s="25">
        <v>3</v>
      </c>
      <c r="B247" s="24" t="s">
        <v>788</v>
      </c>
      <c r="C247" s="24" t="s">
        <v>182</v>
      </c>
      <c r="D247" s="24" t="s">
        <v>587</v>
      </c>
      <c r="E247" s="46" t="str">
        <f>'Pod Library'!E67</f>
        <v>Quality Engineer (SDET)</v>
      </c>
      <c r="F247" s="47" t="str">
        <f>'Pod Library'!F67</f>
        <v>TEST</v>
      </c>
      <c r="G247" s="47" t="str">
        <f>'Pod Library'!G67</f>
        <v>E3</v>
      </c>
      <c r="H247" s="47" t="str">
        <f>'Pod Library'!H67</f>
        <v>OFF</v>
      </c>
      <c r="I247" s="47" t="str">
        <f>'Pod Library'!I67</f>
        <v>FTC</v>
      </c>
      <c r="J247" s="13">
        <f>'Pod Library'!J67</f>
        <v>1</v>
      </c>
      <c r="K247" s="13">
        <f>SUMIFS('Pod Plan'!$F:$F,'Pod Plan'!$B:$B,$A247,'Pod Plan'!$C:$C,$C247)</f>
        <v>2</v>
      </c>
      <c r="L247" s="25">
        <f t="shared" si="3"/>
        <v>2</v>
      </c>
      <c r="M247" s="44">
        <f>L247*INDEX('Logic Tree'!$J$73:$N$74,MATCH(H247,'Logic Tree'!$I$73:$I$74,0),MATCH(G247,'Logic Tree'!$J$72:$N$72,0))</f>
        <v>0.84</v>
      </c>
    </row>
    <row r="248" spans="1:13" x14ac:dyDescent="0.35">
      <c r="A248" s="25">
        <v>3</v>
      </c>
      <c r="B248" s="24" t="s">
        <v>788</v>
      </c>
      <c r="C248" s="24" t="s">
        <v>182</v>
      </c>
      <c r="D248" s="24" t="s">
        <v>587</v>
      </c>
      <c r="E248" s="46" t="str">
        <f>'Pod Library'!E68</f>
        <v>Quality Engineer (SDET)</v>
      </c>
      <c r="F248" s="47" t="str">
        <f>'Pod Library'!F68</f>
        <v>TEST</v>
      </c>
      <c r="G248" s="47" t="str">
        <f>'Pod Library'!G68</f>
        <v>E2</v>
      </c>
      <c r="H248" s="47" t="str">
        <f>'Pod Library'!H68</f>
        <v>OFF</v>
      </c>
      <c r="I248" s="47" t="str">
        <f>'Pod Library'!I68</f>
        <v>FTC</v>
      </c>
      <c r="J248" s="13">
        <f>'Pod Library'!J68</f>
        <v>1</v>
      </c>
      <c r="K248" s="13">
        <f>SUMIFS('Pod Plan'!$F:$F,'Pod Plan'!$B:$B,$A248,'Pod Plan'!$C:$C,$C248)</f>
        <v>2</v>
      </c>
      <c r="L248" s="25">
        <f t="shared" si="3"/>
        <v>2</v>
      </c>
      <c r="M248" s="44">
        <f>L248*INDEX('Logic Tree'!$J$73:$N$74,MATCH(H248,'Logic Tree'!$I$73:$I$74,0),MATCH(G248,'Logic Tree'!$J$72:$N$72,0))</f>
        <v>0.6</v>
      </c>
    </row>
    <row r="249" spans="1:13" x14ac:dyDescent="0.35">
      <c r="A249" s="25">
        <v>3</v>
      </c>
      <c r="B249" s="24" t="s">
        <v>788</v>
      </c>
      <c r="C249" s="24" t="s">
        <v>186</v>
      </c>
      <c r="D249" s="24" t="s">
        <v>570</v>
      </c>
      <c r="E249" s="46" t="str">
        <f>'Pod Library'!E51</f>
        <v>Product Owner</v>
      </c>
      <c r="F249" s="47" t="str">
        <f>'Pod Library'!F51</f>
        <v>LEAD</v>
      </c>
      <c r="G249" s="47" t="str">
        <f>'Pod Library'!G51</f>
        <v>E4</v>
      </c>
      <c r="H249" s="47" t="str">
        <f>'Pod Library'!H51</f>
        <v>ON</v>
      </c>
      <c r="I249" s="47" t="str">
        <f>'Pod Library'!I51</f>
        <v>FTE</v>
      </c>
      <c r="J249" s="13">
        <f>'Pod Library'!J51</f>
        <v>1</v>
      </c>
      <c r="K249" s="13">
        <f>SUMIFS('Pod Plan'!$E:$E,'Pod Plan'!$B:$B,$A249,'Pod Plan'!$C:$C,$C249)</f>
        <v>2</v>
      </c>
      <c r="L249" s="25">
        <f t="shared" si="3"/>
        <v>2</v>
      </c>
      <c r="M249" s="44">
        <f>L249*INDEX('Logic Tree'!$J$73:$N$74,MATCH(H249,'Logic Tree'!$I$73:$I$74,0),MATCH(G249,'Logic Tree'!$J$72:$N$72,0))</f>
        <v>3.7</v>
      </c>
    </row>
    <row r="250" spans="1:13" x14ac:dyDescent="0.35">
      <c r="A250" s="25">
        <v>3</v>
      </c>
      <c r="B250" s="24" t="s">
        <v>788</v>
      </c>
      <c r="C250" s="24" t="s">
        <v>186</v>
      </c>
      <c r="D250" s="24" t="s">
        <v>570</v>
      </c>
      <c r="E250" s="46" t="str">
        <f>'Pod Library'!E52</f>
        <v>Contract Domain SME</v>
      </c>
      <c r="F250" s="47" t="str">
        <f>'Pod Library'!F52</f>
        <v>BA</v>
      </c>
      <c r="G250" s="47" t="str">
        <f>'Pod Library'!G52</f>
        <v>E5</v>
      </c>
      <c r="H250" s="47" t="str">
        <f>'Pod Library'!H52</f>
        <v>ON</v>
      </c>
      <c r="I250" s="47" t="str">
        <f>'Pod Library'!I52</f>
        <v>FTE</v>
      </c>
      <c r="J250" s="13">
        <f>'Pod Library'!J52</f>
        <v>1</v>
      </c>
      <c r="K250" s="13">
        <f>SUMIFS('Pod Plan'!$E:$E,'Pod Plan'!$B:$B,$A250,'Pod Plan'!$C:$C,$C250)</f>
        <v>2</v>
      </c>
      <c r="L250" s="25">
        <f t="shared" si="3"/>
        <v>2</v>
      </c>
      <c r="M250" s="44">
        <f>L250*INDEX('Logic Tree'!$J$73:$N$74,MATCH(H250,'Logic Tree'!$I$73:$I$74,0),MATCH(G250,'Logic Tree'!$J$72:$N$72,0))</f>
        <v>5.0999999999999996</v>
      </c>
    </row>
    <row r="251" spans="1:13" x14ac:dyDescent="0.35">
      <c r="A251" s="25">
        <v>3</v>
      </c>
      <c r="B251" s="24" t="s">
        <v>788</v>
      </c>
      <c r="C251" s="24" t="s">
        <v>186</v>
      </c>
      <c r="D251" s="24" t="s">
        <v>570</v>
      </c>
      <c r="E251" s="46" t="str">
        <f>'Pod Library'!E53</f>
        <v>Application Owner (Technical)</v>
      </c>
      <c r="F251" s="47" t="str">
        <f>'Pod Library'!F53</f>
        <v>ENG</v>
      </c>
      <c r="G251" s="47" t="str">
        <f>'Pod Library'!G53</f>
        <v>E4</v>
      </c>
      <c r="H251" s="47" t="str">
        <f>'Pod Library'!H53</f>
        <v>ON</v>
      </c>
      <c r="I251" s="47" t="str">
        <f>'Pod Library'!I53</f>
        <v>FTE</v>
      </c>
      <c r="J251" s="13">
        <f>'Pod Library'!J53</f>
        <v>1</v>
      </c>
      <c r="K251" s="13">
        <f>SUMIFS('Pod Plan'!$E:$E,'Pod Plan'!$B:$B,$A251,'Pod Plan'!$C:$C,$C251)</f>
        <v>2</v>
      </c>
      <c r="L251" s="25">
        <f t="shared" si="3"/>
        <v>2</v>
      </c>
      <c r="M251" s="44">
        <f>L251*INDEX('Logic Tree'!$J$73:$N$74,MATCH(H251,'Logic Tree'!$I$73:$I$74,0),MATCH(G251,'Logic Tree'!$J$72:$N$72,0))</f>
        <v>3.7</v>
      </c>
    </row>
    <row r="252" spans="1:13" x14ac:dyDescent="0.35">
      <c r="A252" s="25">
        <v>3</v>
      </c>
      <c r="B252" s="24" t="s">
        <v>788</v>
      </c>
      <c r="C252" s="24" t="s">
        <v>186</v>
      </c>
      <c r="D252" s="24" t="s">
        <v>570</v>
      </c>
      <c r="E252" s="46" t="str">
        <f>'Pod Library'!E54</f>
        <v>Pod Lead / AI Orchestrator</v>
      </c>
      <c r="F252" s="47" t="str">
        <f>'Pod Library'!F54</f>
        <v>LEAD</v>
      </c>
      <c r="G252" s="47" t="str">
        <f>'Pod Library'!G54</f>
        <v>E5</v>
      </c>
      <c r="H252" s="47" t="str">
        <f>'Pod Library'!H54</f>
        <v>ON</v>
      </c>
      <c r="I252" s="47" t="str">
        <f>'Pod Library'!I54</f>
        <v>FTC</v>
      </c>
      <c r="J252" s="13">
        <f>'Pod Library'!J54</f>
        <v>1</v>
      </c>
      <c r="K252" s="13">
        <f>SUMIFS('Pod Plan'!$E:$E,'Pod Plan'!$B:$B,$A252,'Pod Plan'!$C:$C,$C252)</f>
        <v>2</v>
      </c>
      <c r="L252" s="25">
        <f t="shared" si="3"/>
        <v>2</v>
      </c>
      <c r="M252" s="44">
        <f>L252*INDEX('Logic Tree'!$J$73:$N$74,MATCH(H252,'Logic Tree'!$I$73:$I$74,0),MATCH(G252,'Logic Tree'!$J$72:$N$72,0))</f>
        <v>5.0999999999999996</v>
      </c>
    </row>
    <row r="253" spans="1:13" x14ac:dyDescent="0.35">
      <c r="A253" s="25">
        <v>3</v>
      </c>
      <c r="B253" s="24" t="s">
        <v>788</v>
      </c>
      <c r="C253" s="24" t="s">
        <v>186</v>
      </c>
      <c r="D253" s="24" t="s">
        <v>570</v>
      </c>
      <c r="E253" s="46" t="str">
        <f>'Pod Library'!E55</f>
        <v>Business Analyst (bilingual)</v>
      </c>
      <c r="F253" s="47" t="str">
        <f>'Pod Library'!F55</f>
        <v>BA</v>
      </c>
      <c r="G253" s="47" t="str">
        <f>'Pod Library'!G55</f>
        <v>E4</v>
      </c>
      <c r="H253" s="47" t="str">
        <f>'Pod Library'!H55</f>
        <v>ON</v>
      </c>
      <c r="I253" s="47" t="str">
        <f>'Pod Library'!I55</f>
        <v>FTC</v>
      </c>
      <c r="J253" s="13">
        <f>'Pod Library'!J55</f>
        <v>1</v>
      </c>
      <c r="K253" s="13">
        <f>SUMIFS('Pod Plan'!$E:$E,'Pod Plan'!$B:$B,$A253,'Pod Plan'!$C:$C,$C253)</f>
        <v>2</v>
      </c>
      <c r="L253" s="25">
        <f t="shared" si="3"/>
        <v>2</v>
      </c>
      <c r="M253" s="44">
        <f>L253*INDEX('Logic Tree'!$J$73:$N$74,MATCH(H253,'Logic Tree'!$I$73:$I$74,0),MATCH(G253,'Logic Tree'!$J$72:$N$72,0))</f>
        <v>3.7</v>
      </c>
    </row>
    <row r="254" spans="1:13" x14ac:dyDescent="0.35">
      <c r="A254" s="25">
        <v>3</v>
      </c>
      <c r="B254" s="24" t="s">
        <v>788</v>
      </c>
      <c r="C254" s="24" t="s">
        <v>186</v>
      </c>
      <c r="D254" s="24" t="s">
        <v>570</v>
      </c>
      <c r="E254" s="46" t="str">
        <f>'Pod Library'!E56</f>
        <v>AI-embedded Senior Engineer</v>
      </c>
      <c r="F254" s="47" t="str">
        <f>'Pod Library'!F56</f>
        <v>DEV</v>
      </c>
      <c r="G254" s="47" t="str">
        <f>'Pod Library'!G56</f>
        <v>E4</v>
      </c>
      <c r="H254" s="47" t="str">
        <f>'Pod Library'!H56</f>
        <v>OFF</v>
      </c>
      <c r="I254" s="47" t="str">
        <f>'Pod Library'!I56</f>
        <v>FTC</v>
      </c>
      <c r="J254" s="13">
        <f>'Pod Library'!J56</f>
        <v>1</v>
      </c>
      <c r="K254" s="13">
        <f>SUMIFS('Pod Plan'!$E:$E,'Pod Plan'!$B:$B,$A254,'Pod Plan'!$C:$C,$C254)</f>
        <v>2</v>
      </c>
      <c r="L254" s="25">
        <f t="shared" si="3"/>
        <v>2</v>
      </c>
      <c r="M254" s="44">
        <f>L254*INDEX('Logic Tree'!$J$73:$N$74,MATCH(H254,'Logic Tree'!$I$73:$I$74,0),MATCH(G254,'Logic Tree'!$J$72:$N$72,0))</f>
        <v>1.2</v>
      </c>
    </row>
    <row r="255" spans="1:13" x14ac:dyDescent="0.35">
      <c r="A255" s="25">
        <v>3</v>
      </c>
      <c r="B255" s="24" t="s">
        <v>788</v>
      </c>
      <c r="C255" s="24" t="s">
        <v>186</v>
      </c>
      <c r="D255" s="24" t="s">
        <v>570</v>
      </c>
      <c r="E255" s="46" t="str">
        <f>'Pod Library'!E57</f>
        <v>AI Engineer (agent build)</v>
      </c>
      <c r="F255" s="47" t="str">
        <f>'Pod Library'!F57</f>
        <v>ENG</v>
      </c>
      <c r="G255" s="47" t="str">
        <f>'Pod Library'!G57</f>
        <v>E3</v>
      </c>
      <c r="H255" s="47" t="str">
        <f>'Pod Library'!H57</f>
        <v>OFF</v>
      </c>
      <c r="I255" s="47" t="str">
        <f>'Pod Library'!I57</f>
        <v>FTC</v>
      </c>
      <c r="J255" s="13">
        <f>'Pod Library'!J57</f>
        <v>1</v>
      </c>
      <c r="K255" s="13">
        <f>SUMIFS('Pod Plan'!$E:$E,'Pod Plan'!$B:$B,$A255,'Pod Plan'!$C:$C,$C255)</f>
        <v>2</v>
      </c>
      <c r="L255" s="25">
        <f t="shared" si="3"/>
        <v>2</v>
      </c>
      <c r="M255" s="44">
        <f>L255*INDEX('Logic Tree'!$J$73:$N$74,MATCH(H255,'Logic Tree'!$I$73:$I$74,0),MATCH(G255,'Logic Tree'!$J$72:$N$72,0))</f>
        <v>0.84</v>
      </c>
    </row>
    <row r="256" spans="1:13" x14ac:dyDescent="0.35">
      <c r="A256" s="25">
        <v>3</v>
      </c>
      <c r="B256" s="24" t="s">
        <v>788</v>
      </c>
      <c r="C256" s="24" t="s">
        <v>186</v>
      </c>
      <c r="D256" s="24" t="s">
        <v>570</v>
      </c>
      <c r="E256" s="46" t="str">
        <f>'Pod Library'!E58</f>
        <v>Quality Engineer (SDET)</v>
      </c>
      <c r="F256" s="47" t="str">
        <f>'Pod Library'!F58</f>
        <v>TEST</v>
      </c>
      <c r="G256" s="47" t="str">
        <f>'Pod Library'!G58</f>
        <v>E3</v>
      </c>
      <c r="H256" s="47" t="str">
        <f>'Pod Library'!H58</f>
        <v>OFF</v>
      </c>
      <c r="I256" s="47" t="str">
        <f>'Pod Library'!I58</f>
        <v>FTC</v>
      </c>
      <c r="J256" s="13">
        <f>'Pod Library'!J58</f>
        <v>1</v>
      </c>
      <c r="K256" s="13">
        <f>SUMIFS('Pod Plan'!$E:$E,'Pod Plan'!$B:$B,$A256,'Pod Plan'!$C:$C,$C256)</f>
        <v>2</v>
      </c>
      <c r="L256" s="25">
        <f t="shared" si="3"/>
        <v>2</v>
      </c>
      <c r="M256" s="44">
        <f>L256*INDEX('Logic Tree'!$J$73:$N$74,MATCH(H256,'Logic Tree'!$I$73:$I$74,0),MATCH(G256,'Logic Tree'!$J$72:$N$72,0))</f>
        <v>0.84</v>
      </c>
    </row>
    <row r="257" spans="1:13" x14ac:dyDescent="0.35">
      <c r="A257" s="25">
        <v>3</v>
      </c>
      <c r="B257" s="24" t="s">
        <v>788</v>
      </c>
      <c r="C257" s="24" t="s">
        <v>186</v>
      </c>
      <c r="D257" s="24" t="s">
        <v>587</v>
      </c>
      <c r="E257" s="46" t="str">
        <f>'Pod Library'!E61</f>
        <v>Pod Lead (output owner)</v>
      </c>
      <c r="F257" s="47" t="str">
        <f>'Pod Library'!F61</f>
        <v>LEAD</v>
      </c>
      <c r="G257" s="47" t="str">
        <f>'Pod Library'!G61</f>
        <v>E4</v>
      </c>
      <c r="H257" s="47" t="str">
        <f>'Pod Library'!H61</f>
        <v>ON</v>
      </c>
      <c r="I257" s="47" t="str">
        <f>'Pod Library'!I61</f>
        <v>FTC</v>
      </c>
      <c r="J257" s="13">
        <f>'Pod Library'!J61</f>
        <v>1</v>
      </c>
      <c r="K257" s="13">
        <f>SUMIFS('Pod Plan'!$F:$F,'Pod Plan'!$B:$B,$A257,'Pod Plan'!$C:$C,$C257)</f>
        <v>1</v>
      </c>
      <c r="L257" s="25">
        <f t="shared" si="3"/>
        <v>1</v>
      </c>
      <c r="M257" s="44">
        <f>L257*INDEX('Logic Tree'!$J$73:$N$74,MATCH(H257,'Logic Tree'!$I$73:$I$74,0),MATCH(G257,'Logic Tree'!$J$72:$N$72,0))</f>
        <v>1.85</v>
      </c>
    </row>
    <row r="258" spans="1:13" x14ac:dyDescent="0.35">
      <c r="A258" s="25">
        <v>3</v>
      </c>
      <c r="B258" s="24" t="s">
        <v>788</v>
      </c>
      <c r="C258" s="24" t="s">
        <v>186</v>
      </c>
      <c r="D258" s="24" t="s">
        <v>587</v>
      </c>
      <c r="E258" s="46" t="str">
        <f>'Pod Library'!E62</f>
        <v>Business Analyst (bilingual)</v>
      </c>
      <c r="F258" s="47" t="str">
        <f>'Pod Library'!F62</f>
        <v>BA</v>
      </c>
      <c r="G258" s="47" t="str">
        <f>'Pod Library'!G62</f>
        <v>E4</v>
      </c>
      <c r="H258" s="47" t="str">
        <f>'Pod Library'!H62</f>
        <v>ON</v>
      </c>
      <c r="I258" s="47" t="str">
        <f>'Pod Library'!I62</f>
        <v>FTC</v>
      </c>
      <c r="J258" s="13">
        <f>'Pod Library'!J62</f>
        <v>1</v>
      </c>
      <c r="K258" s="13">
        <f>SUMIFS('Pod Plan'!$F:$F,'Pod Plan'!$B:$B,$A258,'Pod Plan'!$C:$C,$C258)</f>
        <v>1</v>
      </c>
      <c r="L258" s="25">
        <f t="shared" si="3"/>
        <v>1</v>
      </c>
      <c r="M258" s="44">
        <f>L258*INDEX('Logic Tree'!$J$73:$N$74,MATCH(H258,'Logic Tree'!$I$73:$I$74,0),MATCH(G258,'Logic Tree'!$J$72:$N$72,0))</f>
        <v>1.85</v>
      </c>
    </row>
    <row r="259" spans="1:13" x14ac:dyDescent="0.35">
      <c r="A259" s="25">
        <v>3</v>
      </c>
      <c r="B259" s="24" t="s">
        <v>788</v>
      </c>
      <c r="C259" s="24" t="s">
        <v>186</v>
      </c>
      <c r="D259" s="24" t="s">
        <v>587</v>
      </c>
      <c r="E259" s="46" t="str">
        <f>'Pod Library'!E63</f>
        <v>AI Orchestrator</v>
      </c>
      <c r="F259" s="47" t="str">
        <f>'Pod Library'!F63</f>
        <v>ENG</v>
      </c>
      <c r="G259" s="47" t="str">
        <f>'Pod Library'!G63</f>
        <v>E4</v>
      </c>
      <c r="H259" s="47" t="str">
        <f>'Pod Library'!H63</f>
        <v>OFF</v>
      </c>
      <c r="I259" s="47" t="str">
        <f>'Pod Library'!I63</f>
        <v>FTC</v>
      </c>
      <c r="J259" s="13">
        <f>'Pod Library'!J63</f>
        <v>1</v>
      </c>
      <c r="K259" s="13">
        <f>SUMIFS('Pod Plan'!$F:$F,'Pod Plan'!$B:$B,$A259,'Pod Plan'!$C:$C,$C259)</f>
        <v>1</v>
      </c>
      <c r="L259" s="25">
        <f t="shared" si="3"/>
        <v>1</v>
      </c>
      <c r="M259" s="44">
        <f>L259*INDEX('Logic Tree'!$J$73:$N$74,MATCH(H259,'Logic Tree'!$I$73:$I$74,0),MATCH(G259,'Logic Tree'!$J$72:$N$72,0))</f>
        <v>0.6</v>
      </c>
    </row>
    <row r="260" spans="1:13" x14ac:dyDescent="0.35">
      <c r="A260" s="25">
        <v>3</v>
      </c>
      <c r="B260" s="24" t="s">
        <v>788</v>
      </c>
      <c r="C260" s="24" t="s">
        <v>186</v>
      </c>
      <c r="D260" s="24" t="s">
        <v>587</v>
      </c>
      <c r="E260" s="46" t="str">
        <f>'Pod Library'!E64</f>
        <v>AI-embedded Senior Engineer</v>
      </c>
      <c r="F260" s="47" t="str">
        <f>'Pod Library'!F64</f>
        <v>DEV</v>
      </c>
      <c r="G260" s="47" t="str">
        <f>'Pod Library'!G64</f>
        <v>E4</v>
      </c>
      <c r="H260" s="47" t="str">
        <f>'Pod Library'!H64</f>
        <v>OFF</v>
      </c>
      <c r="I260" s="47" t="str">
        <f>'Pod Library'!I64</f>
        <v>FTC</v>
      </c>
      <c r="J260" s="13">
        <f>'Pod Library'!J64</f>
        <v>1</v>
      </c>
      <c r="K260" s="13">
        <f>SUMIFS('Pod Plan'!$F:$F,'Pod Plan'!$B:$B,$A260,'Pod Plan'!$C:$C,$C260)</f>
        <v>1</v>
      </c>
      <c r="L260" s="25">
        <f t="shared" si="3"/>
        <v>1</v>
      </c>
      <c r="M260" s="44">
        <f>L260*INDEX('Logic Tree'!$J$73:$N$74,MATCH(H260,'Logic Tree'!$I$73:$I$74,0),MATCH(G260,'Logic Tree'!$J$72:$N$72,0))</f>
        <v>0.6</v>
      </c>
    </row>
    <row r="261" spans="1:13" x14ac:dyDescent="0.35">
      <c r="A261" s="25">
        <v>3</v>
      </c>
      <c r="B261" s="24" t="s">
        <v>788</v>
      </c>
      <c r="C261" s="24" t="s">
        <v>186</v>
      </c>
      <c r="D261" s="24" t="s">
        <v>587</v>
      </c>
      <c r="E261" s="46" t="str">
        <f>'Pod Library'!E65</f>
        <v>Engineer</v>
      </c>
      <c r="F261" s="47" t="str">
        <f>'Pod Library'!F65</f>
        <v>DEV</v>
      </c>
      <c r="G261" s="47" t="str">
        <f>'Pod Library'!G65</f>
        <v>E2</v>
      </c>
      <c r="H261" s="47" t="str">
        <f>'Pod Library'!H65</f>
        <v>OFF</v>
      </c>
      <c r="I261" s="47" t="str">
        <f>'Pod Library'!I65</f>
        <v>FTC</v>
      </c>
      <c r="J261" s="13">
        <f>'Pod Library'!J65</f>
        <v>1</v>
      </c>
      <c r="K261" s="13">
        <f>SUMIFS('Pod Plan'!$F:$F,'Pod Plan'!$B:$B,$A261,'Pod Plan'!$C:$C,$C261)</f>
        <v>1</v>
      </c>
      <c r="L261" s="25">
        <f t="shared" ref="L261:L324" si="4">J261*K261</f>
        <v>1</v>
      </c>
      <c r="M261" s="44">
        <f>L261*INDEX('Logic Tree'!$J$73:$N$74,MATCH(H261,'Logic Tree'!$I$73:$I$74,0),MATCH(G261,'Logic Tree'!$J$72:$N$72,0))</f>
        <v>0.3</v>
      </c>
    </row>
    <row r="262" spans="1:13" x14ac:dyDescent="0.35">
      <c r="A262" s="25">
        <v>3</v>
      </c>
      <c r="B262" s="24" t="s">
        <v>788</v>
      </c>
      <c r="C262" s="24" t="s">
        <v>186</v>
      </c>
      <c r="D262" s="24" t="s">
        <v>587</v>
      </c>
      <c r="E262" s="46" t="str">
        <f>'Pod Library'!E66</f>
        <v>AI Engineer (agent build)</v>
      </c>
      <c r="F262" s="47" t="str">
        <f>'Pod Library'!F66</f>
        <v>ENG</v>
      </c>
      <c r="G262" s="47" t="str">
        <f>'Pod Library'!G66</f>
        <v>E3</v>
      </c>
      <c r="H262" s="47" t="str">
        <f>'Pod Library'!H66</f>
        <v>OFF</v>
      </c>
      <c r="I262" s="47" t="str">
        <f>'Pod Library'!I66</f>
        <v>FTC</v>
      </c>
      <c r="J262" s="13">
        <f>'Pod Library'!J66</f>
        <v>1</v>
      </c>
      <c r="K262" s="13">
        <f>SUMIFS('Pod Plan'!$F:$F,'Pod Plan'!$B:$B,$A262,'Pod Plan'!$C:$C,$C262)</f>
        <v>1</v>
      </c>
      <c r="L262" s="25">
        <f t="shared" si="4"/>
        <v>1</v>
      </c>
      <c r="M262" s="44">
        <f>L262*INDEX('Logic Tree'!$J$73:$N$74,MATCH(H262,'Logic Tree'!$I$73:$I$74,0),MATCH(G262,'Logic Tree'!$J$72:$N$72,0))</f>
        <v>0.42</v>
      </c>
    </row>
    <row r="263" spans="1:13" x14ac:dyDescent="0.35">
      <c r="A263" s="25">
        <v>3</v>
      </c>
      <c r="B263" s="24" t="s">
        <v>788</v>
      </c>
      <c r="C263" s="24" t="s">
        <v>186</v>
      </c>
      <c r="D263" s="24" t="s">
        <v>587</v>
      </c>
      <c r="E263" s="46" t="str">
        <f>'Pod Library'!E67</f>
        <v>Quality Engineer (SDET)</v>
      </c>
      <c r="F263" s="47" t="str">
        <f>'Pod Library'!F67</f>
        <v>TEST</v>
      </c>
      <c r="G263" s="47" t="str">
        <f>'Pod Library'!G67</f>
        <v>E3</v>
      </c>
      <c r="H263" s="47" t="str">
        <f>'Pod Library'!H67</f>
        <v>OFF</v>
      </c>
      <c r="I263" s="47" t="str">
        <f>'Pod Library'!I67</f>
        <v>FTC</v>
      </c>
      <c r="J263" s="13">
        <f>'Pod Library'!J67</f>
        <v>1</v>
      </c>
      <c r="K263" s="13">
        <f>SUMIFS('Pod Plan'!$F:$F,'Pod Plan'!$B:$B,$A263,'Pod Plan'!$C:$C,$C263)</f>
        <v>1</v>
      </c>
      <c r="L263" s="25">
        <f t="shared" si="4"/>
        <v>1</v>
      </c>
      <c r="M263" s="44">
        <f>L263*INDEX('Logic Tree'!$J$73:$N$74,MATCH(H263,'Logic Tree'!$I$73:$I$74,0),MATCH(G263,'Logic Tree'!$J$72:$N$72,0))</f>
        <v>0.42</v>
      </c>
    </row>
    <row r="264" spans="1:13" x14ac:dyDescent="0.35">
      <c r="A264" s="25">
        <v>3</v>
      </c>
      <c r="B264" s="24" t="s">
        <v>788</v>
      </c>
      <c r="C264" s="24" t="s">
        <v>186</v>
      </c>
      <c r="D264" s="24" t="s">
        <v>587</v>
      </c>
      <c r="E264" s="46" t="str">
        <f>'Pod Library'!E68</f>
        <v>Quality Engineer (SDET)</v>
      </c>
      <c r="F264" s="47" t="str">
        <f>'Pod Library'!F68</f>
        <v>TEST</v>
      </c>
      <c r="G264" s="47" t="str">
        <f>'Pod Library'!G68</f>
        <v>E2</v>
      </c>
      <c r="H264" s="47" t="str">
        <f>'Pod Library'!H68</f>
        <v>OFF</v>
      </c>
      <c r="I264" s="47" t="str">
        <f>'Pod Library'!I68</f>
        <v>FTC</v>
      </c>
      <c r="J264" s="13">
        <f>'Pod Library'!J68</f>
        <v>1</v>
      </c>
      <c r="K264" s="13">
        <f>SUMIFS('Pod Plan'!$F:$F,'Pod Plan'!$B:$B,$A264,'Pod Plan'!$C:$C,$C264)</f>
        <v>1</v>
      </c>
      <c r="L264" s="25">
        <f t="shared" si="4"/>
        <v>1</v>
      </c>
      <c r="M264" s="44">
        <f>L264*INDEX('Logic Tree'!$J$73:$N$74,MATCH(H264,'Logic Tree'!$I$73:$I$74,0),MATCH(G264,'Logic Tree'!$J$72:$N$72,0))</f>
        <v>0.3</v>
      </c>
    </row>
    <row r="265" spans="1:13" x14ac:dyDescent="0.35">
      <c r="A265" s="25">
        <v>3</v>
      </c>
      <c r="B265" s="24" t="s">
        <v>788</v>
      </c>
      <c r="C265" s="24" t="s">
        <v>196</v>
      </c>
      <c r="D265" s="24" t="s">
        <v>570</v>
      </c>
      <c r="E265" s="46" t="str">
        <f>'Pod Library'!E51</f>
        <v>Product Owner</v>
      </c>
      <c r="F265" s="47" t="str">
        <f>'Pod Library'!F51</f>
        <v>LEAD</v>
      </c>
      <c r="G265" s="47" t="str">
        <f>'Pod Library'!G51</f>
        <v>E4</v>
      </c>
      <c r="H265" s="47" t="str">
        <f>'Pod Library'!H51</f>
        <v>ON</v>
      </c>
      <c r="I265" s="47" t="str">
        <f>'Pod Library'!I51</f>
        <v>FTE</v>
      </c>
      <c r="J265" s="13">
        <f>'Pod Library'!J51</f>
        <v>1</v>
      </c>
      <c r="K265" s="13">
        <f>SUMIFS('Pod Plan'!$E:$E,'Pod Plan'!$B:$B,$A265,'Pod Plan'!$C:$C,$C265)</f>
        <v>1</v>
      </c>
      <c r="L265" s="25">
        <f t="shared" si="4"/>
        <v>1</v>
      </c>
      <c r="M265" s="44">
        <f>L265*INDEX('Logic Tree'!$J$73:$N$74,MATCH(H265,'Logic Tree'!$I$73:$I$74,0),MATCH(G265,'Logic Tree'!$J$72:$N$72,0))</f>
        <v>1.85</v>
      </c>
    </row>
    <row r="266" spans="1:13" x14ac:dyDescent="0.35">
      <c r="A266" s="25">
        <v>3</v>
      </c>
      <c r="B266" s="24" t="s">
        <v>788</v>
      </c>
      <c r="C266" s="24" t="s">
        <v>196</v>
      </c>
      <c r="D266" s="24" t="s">
        <v>570</v>
      </c>
      <c r="E266" s="46" t="str">
        <f>'Pod Library'!E52</f>
        <v>Contract Domain SME</v>
      </c>
      <c r="F266" s="47" t="str">
        <f>'Pod Library'!F52</f>
        <v>BA</v>
      </c>
      <c r="G266" s="47" t="str">
        <f>'Pod Library'!G52</f>
        <v>E5</v>
      </c>
      <c r="H266" s="47" t="str">
        <f>'Pod Library'!H52</f>
        <v>ON</v>
      </c>
      <c r="I266" s="47" t="str">
        <f>'Pod Library'!I52</f>
        <v>FTE</v>
      </c>
      <c r="J266" s="13">
        <f>'Pod Library'!J52</f>
        <v>1</v>
      </c>
      <c r="K266" s="13">
        <f>SUMIFS('Pod Plan'!$E:$E,'Pod Plan'!$B:$B,$A266,'Pod Plan'!$C:$C,$C266)</f>
        <v>1</v>
      </c>
      <c r="L266" s="25">
        <f t="shared" si="4"/>
        <v>1</v>
      </c>
      <c r="M266" s="44">
        <f>L266*INDEX('Logic Tree'!$J$73:$N$74,MATCH(H266,'Logic Tree'!$I$73:$I$74,0),MATCH(G266,'Logic Tree'!$J$72:$N$72,0))</f>
        <v>2.5499999999999998</v>
      </c>
    </row>
    <row r="267" spans="1:13" x14ac:dyDescent="0.35">
      <c r="A267" s="25">
        <v>3</v>
      </c>
      <c r="B267" s="24" t="s">
        <v>788</v>
      </c>
      <c r="C267" s="24" t="s">
        <v>196</v>
      </c>
      <c r="D267" s="24" t="s">
        <v>570</v>
      </c>
      <c r="E267" s="46" t="str">
        <f>'Pod Library'!E53</f>
        <v>Application Owner (Technical)</v>
      </c>
      <c r="F267" s="47" t="str">
        <f>'Pod Library'!F53</f>
        <v>ENG</v>
      </c>
      <c r="G267" s="47" t="str">
        <f>'Pod Library'!G53</f>
        <v>E4</v>
      </c>
      <c r="H267" s="47" t="str">
        <f>'Pod Library'!H53</f>
        <v>ON</v>
      </c>
      <c r="I267" s="47" t="str">
        <f>'Pod Library'!I53</f>
        <v>FTE</v>
      </c>
      <c r="J267" s="13">
        <f>'Pod Library'!J53</f>
        <v>1</v>
      </c>
      <c r="K267" s="13">
        <f>SUMIFS('Pod Plan'!$E:$E,'Pod Plan'!$B:$B,$A267,'Pod Plan'!$C:$C,$C267)</f>
        <v>1</v>
      </c>
      <c r="L267" s="25">
        <f t="shared" si="4"/>
        <v>1</v>
      </c>
      <c r="M267" s="44">
        <f>L267*INDEX('Logic Tree'!$J$73:$N$74,MATCH(H267,'Logic Tree'!$I$73:$I$74,0),MATCH(G267,'Logic Tree'!$J$72:$N$72,0))</f>
        <v>1.85</v>
      </c>
    </row>
    <row r="268" spans="1:13" x14ac:dyDescent="0.35">
      <c r="A268" s="25">
        <v>3</v>
      </c>
      <c r="B268" s="24" t="s">
        <v>788</v>
      </c>
      <c r="C268" s="24" t="s">
        <v>196</v>
      </c>
      <c r="D268" s="24" t="s">
        <v>570</v>
      </c>
      <c r="E268" s="46" t="str">
        <f>'Pod Library'!E54</f>
        <v>Pod Lead / AI Orchestrator</v>
      </c>
      <c r="F268" s="47" t="str">
        <f>'Pod Library'!F54</f>
        <v>LEAD</v>
      </c>
      <c r="G268" s="47" t="str">
        <f>'Pod Library'!G54</f>
        <v>E5</v>
      </c>
      <c r="H268" s="47" t="str">
        <f>'Pod Library'!H54</f>
        <v>ON</v>
      </c>
      <c r="I268" s="47" t="str">
        <f>'Pod Library'!I54</f>
        <v>FTC</v>
      </c>
      <c r="J268" s="13">
        <f>'Pod Library'!J54</f>
        <v>1</v>
      </c>
      <c r="K268" s="13">
        <f>SUMIFS('Pod Plan'!$E:$E,'Pod Plan'!$B:$B,$A268,'Pod Plan'!$C:$C,$C268)</f>
        <v>1</v>
      </c>
      <c r="L268" s="25">
        <f t="shared" si="4"/>
        <v>1</v>
      </c>
      <c r="M268" s="44">
        <f>L268*INDEX('Logic Tree'!$J$73:$N$74,MATCH(H268,'Logic Tree'!$I$73:$I$74,0),MATCH(G268,'Logic Tree'!$J$72:$N$72,0))</f>
        <v>2.5499999999999998</v>
      </c>
    </row>
    <row r="269" spans="1:13" x14ac:dyDescent="0.35">
      <c r="A269" s="25">
        <v>3</v>
      </c>
      <c r="B269" s="24" t="s">
        <v>788</v>
      </c>
      <c r="C269" s="24" t="s">
        <v>196</v>
      </c>
      <c r="D269" s="24" t="s">
        <v>570</v>
      </c>
      <c r="E269" s="46" t="str">
        <f>'Pod Library'!E55</f>
        <v>Business Analyst (bilingual)</v>
      </c>
      <c r="F269" s="47" t="str">
        <f>'Pod Library'!F55</f>
        <v>BA</v>
      </c>
      <c r="G269" s="47" t="str">
        <f>'Pod Library'!G55</f>
        <v>E4</v>
      </c>
      <c r="H269" s="47" t="str">
        <f>'Pod Library'!H55</f>
        <v>ON</v>
      </c>
      <c r="I269" s="47" t="str">
        <f>'Pod Library'!I55</f>
        <v>FTC</v>
      </c>
      <c r="J269" s="13">
        <f>'Pod Library'!J55</f>
        <v>1</v>
      </c>
      <c r="K269" s="13">
        <f>SUMIFS('Pod Plan'!$E:$E,'Pod Plan'!$B:$B,$A269,'Pod Plan'!$C:$C,$C269)</f>
        <v>1</v>
      </c>
      <c r="L269" s="25">
        <f t="shared" si="4"/>
        <v>1</v>
      </c>
      <c r="M269" s="44">
        <f>L269*INDEX('Logic Tree'!$J$73:$N$74,MATCH(H269,'Logic Tree'!$I$73:$I$74,0),MATCH(G269,'Logic Tree'!$J$72:$N$72,0))</f>
        <v>1.85</v>
      </c>
    </row>
    <row r="270" spans="1:13" x14ac:dyDescent="0.35">
      <c r="A270" s="25">
        <v>3</v>
      </c>
      <c r="B270" s="24" t="s">
        <v>788</v>
      </c>
      <c r="C270" s="24" t="s">
        <v>196</v>
      </c>
      <c r="D270" s="24" t="s">
        <v>570</v>
      </c>
      <c r="E270" s="46" t="str">
        <f>'Pod Library'!E56</f>
        <v>AI-embedded Senior Engineer</v>
      </c>
      <c r="F270" s="47" t="str">
        <f>'Pod Library'!F56</f>
        <v>DEV</v>
      </c>
      <c r="G270" s="47" t="str">
        <f>'Pod Library'!G56</f>
        <v>E4</v>
      </c>
      <c r="H270" s="47" t="str">
        <f>'Pod Library'!H56</f>
        <v>OFF</v>
      </c>
      <c r="I270" s="47" t="str">
        <f>'Pod Library'!I56</f>
        <v>FTC</v>
      </c>
      <c r="J270" s="13">
        <f>'Pod Library'!J56</f>
        <v>1</v>
      </c>
      <c r="K270" s="13">
        <f>SUMIFS('Pod Plan'!$E:$E,'Pod Plan'!$B:$B,$A270,'Pod Plan'!$C:$C,$C270)</f>
        <v>1</v>
      </c>
      <c r="L270" s="25">
        <f t="shared" si="4"/>
        <v>1</v>
      </c>
      <c r="M270" s="44">
        <f>L270*INDEX('Logic Tree'!$J$73:$N$74,MATCH(H270,'Logic Tree'!$I$73:$I$74,0),MATCH(G270,'Logic Tree'!$J$72:$N$72,0))</f>
        <v>0.6</v>
      </c>
    </row>
    <row r="271" spans="1:13" x14ac:dyDescent="0.35">
      <c r="A271" s="25">
        <v>3</v>
      </c>
      <c r="B271" s="24" t="s">
        <v>788</v>
      </c>
      <c r="C271" s="24" t="s">
        <v>196</v>
      </c>
      <c r="D271" s="24" t="s">
        <v>570</v>
      </c>
      <c r="E271" s="46" t="str">
        <f>'Pod Library'!E57</f>
        <v>AI Engineer (agent build)</v>
      </c>
      <c r="F271" s="47" t="str">
        <f>'Pod Library'!F57</f>
        <v>ENG</v>
      </c>
      <c r="G271" s="47" t="str">
        <f>'Pod Library'!G57</f>
        <v>E3</v>
      </c>
      <c r="H271" s="47" t="str">
        <f>'Pod Library'!H57</f>
        <v>OFF</v>
      </c>
      <c r="I271" s="47" t="str">
        <f>'Pod Library'!I57</f>
        <v>FTC</v>
      </c>
      <c r="J271" s="13">
        <f>'Pod Library'!J57</f>
        <v>1</v>
      </c>
      <c r="K271" s="13">
        <f>SUMIFS('Pod Plan'!$E:$E,'Pod Plan'!$B:$B,$A271,'Pod Plan'!$C:$C,$C271)</f>
        <v>1</v>
      </c>
      <c r="L271" s="25">
        <f t="shared" si="4"/>
        <v>1</v>
      </c>
      <c r="M271" s="44">
        <f>L271*INDEX('Logic Tree'!$J$73:$N$74,MATCH(H271,'Logic Tree'!$I$73:$I$74,0),MATCH(G271,'Logic Tree'!$J$72:$N$72,0))</f>
        <v>0.42</v>
      </c>
    </row>
    <row r="272" spans="1:13" x14ac:dyDescent="0.35">
      <c r="A272" s="25">
        <v>3</v>
      </c>
      <c r="B272" s="24" t="s">
        <v>788</v>
      </c>
      <c r="C272" s="24" t="s">
        <v>196</v>
      </c>
      <c r="D272" s="24" t="s">
        <v>570</v>
      </c>
      <c r="E272" s="46" t="str">
        <f>'Pod Library'!E58</f>
        <v>Quality Engineer (SDET)</v>
      </c>
      <c r="F272" s="47" t="str">
        <f>'Pod Library'!F58</f>
        <v>TEST</v>
      </c>
      <c r="G272" s="47" t="str">
        <f>'Pod Library'!G58</f>
        <v>E3</v>
      </c>
      <c r="H272" s="47" t="str">
        <f>'Pod Library'!H58</f>
        <v>OFF</v>
      </c>
      <c r="I272" s="47" t="str">
        <f>'Pod Library'!I58</f>
        <v>FTC</v>
      </c>
      <c r="J272" s="13">
        <f>'Pod Library'!J58</f>
        <v>1</v>
      </c>
      <c r="K272" s="13">
        <f>SUMIFS('Pod Plan'!$E:$E,'Pod Plan'!$B:$B,$A272,'Pod Plan'!$C:$C,$C272)</f>
        <v>1</v>
      </c>
      <c r="L272" s="25">
        <f t="shared" si="4"/>
        <v>1</v>
      </c>
      <c r="M272" s="44">
        <f>L272*INDEX('Logic Tree'!$J$73:$N$74,MATCH(H272,'Logic Tree'!$I$73:$I$74,0),MATCH(G272,'Logic Tree'!$J$72:$N$72,0))</f>
        <v>0.42</v>
      </c>
    </row>
    <row r="273" spans="1:13" x14ac:dyDescent="0.35">
      <c r="A273" s="25">
        <v>3</v>
      </c>
      <c r="B273" s="24" t="s">
        <v>788</v>
      </c>
      <c r="C273" s="24" t="s">
        <v>196</v>
      </c>
      <c r="D273" s="24" t="s">
        <v>587</v>
      </c>
      <c r="E273" s="46" t="str">
        <f>'Pod Library'!E61</f>
        <v>Pod Lead (output owner)</v>
      </c>
      <c r="F273" s="47" t="str">
        <f>'Pod Library'!F61</f>
        <v>LEAD</v>
      </c>
      <c r="G273" s="47" t="str">
        <f>'Pod Library'!G61</f>
        <v>E4</v>
      </c>
      <c r="H273" s="47" t="str">
        <f>'Pod Library'!H61</f>
        <v>ON</v>
      </c>
      <c r="I273" s="47" t="str">
        <f>'Pod Library'!I61</f>
        <v>FTC</v>
      </c>
      <c r="J273" s="13">
        <f>'Pod Library'!J61</f>
        <v>1</v>
      </c>
      <c r="K273" s="13">
        <f>SUMIFS('Pod Plan'!$F:$F,'Pod Plan'!$B:$B,$A273,'Pod Plan'!$C:$C,$C273)</f>
        <v>1</v>
      </c>
      <c r="L273" s="25">
        <f t="shared" si="4"/>
        <v>1</v>
      </c>
      <c r="M273" s="44">
        <f>L273*INDEX('Logic Tree'!$J$73:$N$74,MATCH(H273,'Logic Tree'!$I$73:$I$74,0),MATCH(G273,'Logic Tree'!$J$72:$N$72,0))</f>
        <v>1.85</v>
      </c>
    </row>
    <row r="274" spans="1:13" x14ac:dyDescent="0.35">
      <c r="A274" s="25">
        <v>3</v>
      </c>
      <c r="B274" s="24" t="s">
        <v>788</v>
      </c>
      <c r="C274" s="24" t="s">
        <v>196</v>
      </c>
      <c r="D274" s="24" t="s">
        <v>587</v>
      </c>
      <c r="E274" s="46" t="str">
        <f>'Pod Library'!E62</f>
        <v>Business Analyst (bilingual)</v>
      </c>
      <c r="F274" s="47" t="str">
        <f>'Pod Library'!F62</f>
        <v>BA</v>
      </c>
      <c r="G274" s="47" t="str">
        <f>'Pod Library'!G62</f>
        <v>E4</v>
      </c>
      <c r="H274" s="47" t="str">
        <f>'Pod Library'!H62</f>
        <v>ON</v>
      </c>
      <c r="I274" s="47" t="str">
        <f>'Pod Library'!I62</f>
        <v>FTC</v>
      </c>
      <c r="J274" s="13">
        <f>'Pod Library'!J62</f>
        <v>1</v>
      </c>
      <c r="K274" s="13">
        <f>SUMIFS('Pod Plan'!$F:$F,'Pod Plan'!$B:$B,$A274,'Pod Plan'!$C:$C,$C274)</f>
        <v>1</v>
      </c>
      <c r="L274" s="25">
        <f t="shared" si="4"/>
        <v>1</v>
      </c>
      <c r="M274" s="44">
        <f>L274*INDEX('Logic Tree'!$J$73:$N$74,MATCH(H274,'Logic Tree'!$I$73:$I$74,0),MATCH(G274,'Logic Tree'!$J$72:$N$72,0))</f>
        <v>1.85</v>
      </c>
    </row>
    <row r="275" spans="1:13" x14ac:dyDescent="0.35">
      <c r="A275" s="25">
        <v>3</v>
      </c>
      <c r="B275" s="24" t="s">
        <v>788</v>
      </c>
      <c r="C275" s="24" t="s">
        <v>196</v>
      </c>
      <c r="D275" s="24" t="s">
        <v>587</v>
      </c>
      <c r="E275" s="46" t="str">
        <f>'Pod Library'!E63</f>
        <v>AI Orchestrator</v>
      </c>
      <c r="F275" s="47" t="str">
        <f>'Pod Library'!F63</f>
        <v>ENG</v>
      </c>
      <c r="G275" s="47" t="str">
        <f>'Pod Library'!G63</f>
        <v>E4</v>
      </c>
      <c r="H275" s="47" t="str">
        <f>'Pod Library'!H63</f>
        <v>OFF</v>
      </c>
      <c r="I275" s="47" t="str">
        <f>'Pod Library'!I63</f>
        <v>FTC</v>
      </c>
      <c r="J275" s="13">
        <f>'Pod Library'!J63</f>
        <v>1</v>
      </c>
      <c r="K275" s="13">
        <f>SUMIFS('Pod Plan'!$F:$F,'Pod Plan'!$B:$B,$A275,'Pod Plan'!$C:$C,$C275)</f>
        <v>1</v>
      </c>
      <c r="L275" s="25">
        <f t="shared" si="4"/>
        <v>1</v>
      </c>
      <c r="M275" s="44">
        <f>L275*INDEX('Logic Tree'!$J$73:$N$74,MATCH(H275,'Logic Tree'!$I$73:$I$74,0),MATCH(G275,'Logic Tree'!$J$72:$N$72,0))</f>
        <v>0.6</v>
      </c>
    </row>
    <row r="276" spans="1:13" x14ac:dyDescent="0.35">
      <c r="A276" s="25">
        <v>3</v>
      </c>
      <c r="B276" s="24" t="s">
        <v>788</v>
      </c>
      <c r="C276" s="24" t="s">
        <v>196</v>
      </c>
      <c r="D276" s="24" t="s">
        <v>587</v>
      </c>
      <c r="E276" s="46" t="str">
        <f>'Pod Library'!E64</f>
        <v>AI-embedded Senior Engineer</v>
      </c>
      <c r="F276" s="47" t="str">
        <f>'Pod Library'!F64</f>
        <v>DEV</v>
      </c>
      <c r="G276" s="47" t="str">
        <f>'Pod Library'!G64</f>
        <v>E4</v>
      </c>
      <c r="H276" s="47" t="str">
        <f>'Pod Library'!H64</f>
        <v>OFF</v>
      </c>
      <c r="I276" s="47" t="str">
        <f>'Pod Library'!I64</f>
        <v>FTC</v>
      </c>
      <c r="J276" s="13">
        <f>'Pod Library'!J64</f>
        <v>1</v>
      </c>
      <c r="K276" s="13">
        <f>SUMIFS('Pod Plan'!$F:$F,'Pod Plan'!$B:$B,$A276,'Pod Plan'!$C:$C,$C276)</f>
        <v>1</v>
      </c>
      <c r="L276" s="25">
        <f t="shared" si="4"/>
        <v>1</v>
      </c>
      <c r="M276" s="44">
        <f>L276*INDEX('Logic Tree'!$J$73:$N$74,MATCH(H276,'Logic Tree'!$I$73:$I$74,0),MATCH(G276,'Logic Tree'!$J$72:$N$72,0))</f>
        <v>0.6</v>
      </c>
    </row>
    <row r="277" spans="1:13" x14ac:dyDescent="0.35">
      <c r="A277" s="25">
        <v>3</v>
      </c>
      <c r="B277" s="24" t="s">
        <v>788</v>
      </c>
      <c r="C277" s="24" t="s">
        <v>196</v>
      </c>
      <c r="D277" s="24" t="s">
        <v>587</v>
      </c>
      <c r="E277" s="46" t="str">
        <f>'Pod Library'!E65</f>
        <v>Engineer</v>
      </c>
      <c r="F277" s="47" t="str">
        <f>'Pod Library'!F65</f>
        <v>DEV</v>
      </c>
      <c r="G277" s="47" t="str">
        <f>'Pod Library'!G65</f>
        <v>E2</v>
      </c>
      <c r="H277" s="47" t="str">
        <f>'Pod Library'!H65</f>
        <v>OFF</v>
      </c>
      <c r="I277" s="47" t="str">
        <f>'Pod Library'!I65</f>
        <v>FTC</v>
      </c>
      <c r="J277" s="13">
        <f>'Pod Library'!J65</f>
        <v>1</v>
      </c>
      <c r="K277" s="13">
        <f>SUMIFS('Pod Plan'!$F:$F,'Pod Plan'!$B:$B,$A277,'Pod Plan'!$C:$C,$C277)</f>
        <v>1</v>
      </c>
      <c r="L277" s="25">
        <f t="shared" si="4"/>
        <v>1</v>
      </c>
      <c r="M277" s="44">
        <f>L277*INDEX('Logic Tree'!$J$73:$N$74,MATCH(H277,'Logic Tree'!$I$73:$I$74,0),MATCH(G277,'Logic Tree'!$J$72:$N$72,0))</f>
        <v>0.3</v>
      </c>
    </row>
    <row r="278" spans="1:13" x14ac:dyDescent="0.35">
      <c r="A278" s="25">
        <v>3</v>
      </c>
      <c r="B278" s="24" t="s">
        <v>788</v>
      </c>
      <c r="C278" s="24" t="s">
        <v>196</v>
      </c>
      <c r="D278" s="24" t="s">
        <v>587</v>
      </c>
      <c r="E278" s="46" t="str">
        <f>'Pod Library'!E66</f>
        <v>AI Engineer (agent build)</v>
      </c>
      <c r="F278" s="47" t="str">
        <f>'Pod Library'!F66</f>
        <v>ENG</v>
      </c>
      <c r="G278" s="47" t="str">
        <f>'Pod Library'!G66</f>
        <v>E3</v>
      </c>
      <c r="H278" s="47" t="str">
        <f>'Pod Library'!H66</f>
        <v>OFF</v>
      </c>
      <c r="I278" s="47" t="str">
        <f>'Pod Library'!I66</f>
        <v>FTC</v>
      </c>
      <c r="J278" s="13">
        <f>'Pod Library'!J66</f>
        <v>1</v>
      </c>
      <c r="K278" s="13">
        <f>SUMIFS('Pod Plan'!$F:$F,'Pod Plan'!$B:$B,$A278,'Pod Plan'!$C:$C,$C278)</f>
        <v>1</v>
      </c>
      <c r="L278" s="25">
        <f t="shared" si="4"/>
        <v>1</v>
      </c>
      <c r="M278" s="44">
        <f>L278*INDEX('Logic Tree'!$J$73:$N$74,MATCH(H278,'Logic Tree'!$I$73:$I$74,0),MATCH(G278,'Logic Tree'!$J$72:$N$72,0))</f>
        <v>0.42</v>
      </c>
    </row>
    <row r="279" spans="1:13" x14ac:dyDescent="0.35">
      <c r="A279" s="25">
        <v>3</v>
      </c>
      <c r="B279" s="24" t="s">
        <v>788</v>
      </c>
      <c r="C279" s="24" t="s">
        <v>196</v>
      </c>
      <c r="D279" s="24" t="s">
        <v>587</v>
      </c>
      <c r="E279" s="46" t="str">
        <f>'Pod Library'!E67</f>
        <v>Quality Engineer (SDET)</v>
      </c>
      <c r="F279" s="47" t="str">
        <f>'Pod Library'!F67</f>
        <v>TEST</v>
      </c>
      <c r="G279" s="47" t="str">
        <f>'Pod Library'!G67</f>
        <v>E3</v>
      </c>
      <c r="H279" s="47" t="str">
        <f>'Pod Library'!H67</f>
        <v>OFF</v>
      </c>
      <c r="I279" s="47" t="str">
        <f>'Pod Library'!I67</f>
        <v>FTC</v>
      </c>
      <c r="J279" s="13">
        <f>'Pod Library'!J67</f>
        <v>1</v>
      </c>
      <c r="K279" s="13">
        <f>SUMIFS('Pod Plan'!$F:$F,'Pod Plan'!$B:$B,$A279,'Pod Plan'!$C:$C,$C279)</f>
        <v>1</v>
      </c>
      <c r="L279" s="25">
        <f t="shared" si="4"/>
        <v>1</v>
      </c>
      <c r="M279" s="44">
        <f>L279*INDEX('Logic Tree'!$J$73:$N$74,MATCH(H279,'Logic Tree'!$I$73:$I$74,0),MATCH(G279,'Logic Tree'!$J$72:$N$72,0))</f>
        <v>0.42</v>
      </c>
    </row>
    <row r="280" spans="1:13" x14ac:dyDescent="0.35">
      <c r="A280" s="25">
        <v>3</v>
      </c>
      <c r="B280" s="24" t="s">
        <v>788</v>
      </c>
      <c r="C280" s="24" t="s">
        <v>196</v>
      </c>
      <c r="D280" s="24" t="s">
        <v>587</v>
      </c>
      <c r="E280" s="46" t="str">
        <f>'Pod Library'!E68</f>
        <v>Quality Engineer (SDET)</v>
      </c>
      <c r="F280" s="47" t="str">
        <f>'Pod Library'!F68</f>
        <v>TEST</v>
      </c>
      <c r="G280" s="47" t="str">
        <f>'Pod Library'!G68</f>
        <v>E2</v>
      </c>
      <c r="H280" s="47" t="str">
        <f>'Pod Library'!H68</f>
        <v>OFF</v>
      </c>
      <c r="I280" s="47" t="str">
        <f>'Pod Library'!I68</f>
        <v>FTC</v>
      </c>
      <c r="J280" s="13">
        <f>'Pod Library'!J68</f>
        <v>1</v>
      </c>
      <c r="K280" s="13">
        <f>SUMIFS('Pod Plan'!$F:$F,'Pod Plan'!$B:$B,$A280,'Pod Plan'!$C:$C,$C280)</f>
        <v>1</v>
      </c>
      <c r="L280" s="25">
        <f t="shared" si="4"/>
        <v>1</v>
      </c>
      <c r="M280" s="44">
        <f>L280*INDEX('Logic Tree'!$J$73:$N$74,MATCH(H280,'Logic Tree'!$I$73:$I$74,0),MATCH(G280,'Logic Tree'!$J$72:$N$72,0))</f>
        <v>0.3</v>
      </c>
    </row>
    <row r="281" spans="1:13" x14ac:dyDescent="0.35">
      <c r="A281" s="25">
        <v>3</v>
      </c>
      <c r="B281" s="24" t="s">
        <v>788</v>
      </c>
      <c r="C281" s="24" t="s">
        <v>191</v>
      </c>
      <c r="D281" s="24" t="s">
        <v>570</v>
      </c>
      <c r="E281" s="46" t="str">
        <f>'Pod Library'!E51</f>
        <v>Product Owner</v>
      </c>
      <c r="F281" s="47" t="str">
        <f>'Pod Library'!F51</f>
        <v>LEAD</v>
      </c>
      <c r="G281" s="47" t="str">
        <f>'Pod Library'!G51</f>
        <v>E4</v>
      </c>
      <c r="H281" s="47" t="str">
        <f>'Pod Library'!H51</f>
        <v>ON</v>
      </c>
      <c r="I281" s="47" t="str">
        <f>'Pod Library'!I51</f>
        <v>FTE</v>
      </c>
      <c r="J281" s="13">
        <f>'Pod Library'!J51</f>
        <v>1</v>
      </c>
      <c r="K281" s="13">
        <f>SUMIFS('Pod Plan'!$E:$E,'Pod Plan'!$B:$B,$A281,'Pod Plan'!$C:$C,$C281)</f>
        <v>1</v>
      </c>
      <c r="L281" s="25">
        <f t="shared" si="4"/>
        <v>1</v>
      </c>
      <c r="M281" s="44">
        <f>L281*INDEX('Logic Tree'!$J$73:$N$74,MATCH(H281,'Logic Tree'!$I$73:$I$74,0),MATCH(G281,'Logic Tree'!$J$72:$N$72,0))</f>
        <v>1.85</v>
      </c>
    </row>
    <row r="282" spans="1:13" x14ac:dyDescent="0.35">
      <c r="A282" s="25">
        <v>3</v>
      </c>
      <c r="B282" s="24" t="s">
        <v>788</v>
      </c>
      <c r="C282" s="24" t="s">
        <v>191</v>
      </c>
      <c r="D282" s="24" t="s">
        <v>570</v>
      </c>
      <c r="E282" s="46" t="str">
        <f>'Pod Library'!E52</f>
        <v>Contract Domain SME</v>
      </c>
      <c r="F282" s="47" t="str">
        <f>'Pod Library'!F52</f>
        <v>BA</v>
      </c>
      <c r="G282" s="47" t="str">
        <f>'Pod Library'!G52</f>
        <v>E5</v>
      </c>
      <c r="H282" s="47" t="str">
        <f>'Pod Library'!H52</f>
        <v>ON</v>
      </c>
      <c r="I282" s="47" t="str">
        <f>'Pod Library'!I52</f>
        <v>FTE</v>
      </c>
      <c r="J282" s="13">
        <f>'Pod Library'!J52</f>
        <v>1</v>
      </c>
      <c r="K282" s="13">
        <f>SUMIFS('Pod Plan'!$E:$E,'Pod Plan'!$B:$B,$A282,'Pod Plan'!$C:$C,$C282)</f>
        <v>1</v>
      </c>
      <c r="L282" s="25">
        <f t="shared" si="4"/>
        <v>1</v>
      </c>
      <c r="M282" s="44">
        <f>L282*INDEX('Logic Tree'!$J$73:$N$74,MATCH(H282,'Logic Tree'!$I$73:$I$74,0),MATCH(G282,'Logic Tree'!$J$72:$N$72,0))</f>
        <v>2.5499999999999998</v>
      </c>
    </row>
    <row r="283" spans="1:13" x14ac:dyDescent="0.35">
      <c r="A283" s="25">
        <v>3</v>
      </c>
      <c r="B283" s="24" t="s">
        <v>788</v>
      </c>
      <c r="C283" s="24" t="s">
        <v>191</v>
      </c>
      <c r="D283" s="24" t="s">
        <v>570</v>
      </c>
      <c r="E283" s="46" t="str">
        <f>'Pod Library'!E53</f>
        <v>Application Owner (Technical)</v>
      </c>
      <c r="F283" s="47" t="str">
        <f>'Pod Library'!F53</f>
        <v>ENG</v>
      </c>
      <c r="G283" s="47" t="str">
        <f>'Pod Library'!G53</f>
        <v>E4</v>
      </c>
      <c r="H283" s="47" t="str">
        <f>'Pod Library'!H53</f>
        <v>ON</v>
      </c>
      <c r="I283" s="47" t="str">
        <f>'Pod Library'!I53</f>
        <v>FTE</v>
      </c>
      <c r="J283" s="13">
        <f>'Pod Library'!J53</f>
        <v>1</v>
      </c>
      <c r="K283" s="13">
        <f>SUMIFS('Pod Plan'!$E:$E,'Pod Plan'!$B:$B,$A283,'Pod Plan'!$C:$C,$C283)</f>
        <v>1</v>
      </c>
      <c r="L283" s="25">
        <f t="shared" si="4"/>
        <v>1</v>
      </c>
      <c r="M283" s="44">
        <f>L283*INDEX('Logic Tree'!$J$73:$N$74,MATCH(H283,'Logic Tree'!$I$73:$I$74,0),MATCH(G283,'Logic Tree'!$J$72:$N$72,0))</f>
        <v>1.85</v>
      </c>
    </row>
    <row r="284" spans="1:13" x14ac:dyDescent="0.35">
      <c r="A284" s="25">
        <v>3</v>
      </c>
      <c r="B284" s="24" t="s">
        <v>788</v>
      </c>
      <c r="C284" s="24" t="s">
        <v>191</v>
      </c>
      <c r="D284" s="24" t="s">
        <v>570</v>
      </c>
      <c r="E284" s="46" t="str">
        <f>'Pod Library'!E54</f>
        <v>Pod Lead / AI Orchestrator</v>
      </c>
      <c r="F284" s="47" t="str">
        <f>'Pod Library'!F54</f>
        <v>LEAD</v>
      </c>
      <c r="G284" s="47" t="str">
        <f>'Pod Library'!G54</f>
        <v>E5</v>
      </c>
      <c r="H284" s="47" t="str">
        <f>'Pod Library'!H54</f>
        <v>ON</v>
      </c>
      <c r="I284" s="47" t="str">
        <f>'Pod Library'!I54</f>
        <v>FTC</v>
      </c>
      <c r="J284" s="13">
        <f>'Pod Library'!J54</f>
        <v>1</v>
      </c>
      <c r="K284" s="13">
        <f>SUMIFS('Pod Plan'!$E:$E,'Pod Plan'!$B:$B,$A284,'Pod Plan'!$C:$C,$C284)</f>
        <v>1</v>
      </c>
      <c r="L284" s="25">
        <f t="shared" si="4"/>
        <v>1</v>
      </c>
      <c r="M284" s="44">
        <f>L284*INDEX('Logic Tree'!$J$73:$N$74,MATCH(H284,'Logic Tree'!$I$73:$I$74,0),MATCH(G284,'Logic Tree'!$J$72:$N$72,0))</f>
        <v>2.5499999999999998</v>
      </c>
    </row>
    <row r="285" spans="1:13" x14ac:dyDescent="0.35">
      <c r="A285" s="25">
        <v>3</v>
      </c>
      <c r="B285" s="24" t="s">
        <v>788</v>
      </c>
      <c r="C285" s="24" t="s">
        <v>191</v>
      </c>
      <c r="D285" s="24" t="s">
        <v>570</v>
      </c>
      <c r="E285" s="46" t="str">
        <f>'Pod Library'!E55</f>
        <v>Business Analyst (bilingual)</v>
      </c>
      <c r="F285" s="47" t="str">
        <f>'Pod Library'!F55</f>
        <v>BA</v>
      </c>
      <c r="G285" s="47" t="str">
        <f>'Pod Library'!G55</f>
        <v>E4</v>
      </c>
      <c r="H285" s="47" t="str">
        <f>'Pod Library'!H55</f>
        <v>ON</v>
      </c>
      <c r="I285" s="47" t="str">
        <f>'Pod Library'!I55</f>
        <v>FTC</v>
      </c>
      <c r="J285" s="13">
        <f>'Pod Library'!J55</f>
        <v>1</v>
      </c>
      <c r="K285" s="13">
        <f>SUMIFS('Pod Plan'!$E:$E,'Pod Plan'!$B:$B,$A285,'Pod Plan'!$C:$C,$C285)</f>
        <v>1</v>
      </c>
      <c r="L285" s="25">
        <f t="shared" si="4"/>
        <v>1</v>
      </c>
      <c r="M285" s="44">
        <f>L285*INDEX('Logic Tree'!$J$73:$N$74,MATCH(H285,'Logic Tree'!$I$73:$I$74,0),MATCH(G285,'Logic Tree'!$J$72:$N$72,0))</f>
        <v>1.85</v>
      </c>
    </row>
    <row r="286" spans="1:13" x14ac:dyDescent="0.35">
      <c r="A286" s="25">
        <v>3</v>
      </c>
      <c r="B286" s="24" t="s">
        <v>788</v>
      </c>
      <c r="C286" s="24" t="s">
        <v>191</v>
      </c>
      <c r="D286" s="24" t="s">
        <v>570</v>
      </c>
      <c r="E286" s="46" t="str">
        <f>'Pod Library'!E56</f>
        <v>AI-embedded Senior Engineer</v>
      </c>
      <c r="F286" s="47" t="str">
        <f>'Pod Library'!F56</f>
        <v>DEV</v>
      </c>
      <c r="G286" s="47" t="str">
        <f>'Pod Library'!G56</f>
        <v>E4</v>
      </c>
      <c r="H286" s="47" t="str">
        <f>'Pod Library'!H56</f>
        <v>OFF</v>
      </c>
      <c r="I286" s="47" t="str">
        <f>'Pod Library'!I56</f>
        <v>FTC</v>
      </c>
      <c r="J286" s="13">
        <f>'Pod Library'!J56</f>
        <v>1</v>
      </c>
      <c r="K286" s="13">
        <f>SUMIFS('Pod Plan'!$E:$E,'Pod Plan'!$B:$B,$A286,'Pod Plan'!$C:$C,$C286)</f>
        <v>1</v>
      </c>
      <c r="L286" s="25">
        <f t="shared" si="4"/>
        <v>1</v>
      </c>
      <c r="M286" s="44">
        <f>L286*INDEX('Logic Tree'!$J$73:$N$74,MATCH(H286,'Logic Tree'!$I$73:$I$74,0),MATCH(G286,'Logic Tree'!$J$72:$N$72,0))</f>
        <v>0.6</v>
      </c>
    </row>
    <row r="287" spans="1:13" x14ac:dyDescent="0.35">
      <c r="A287" s="25">
        <v>3</v>
      </c>
      <c r="B287" s="24" t="s">
        <v>788</v>
      </c>
      <c r="C287" s="24" t="s">
        <v>191</v>
      </c>
      <c r="D287" s="24" t="s">
        <v>570</v>
      </c>
      <c r="E287" s="46" t="str">
        <f>'Pod Library'!E57</f>
        <v>AI Engineer (agent build)</v>
      </c>
      <c r="F287" s="47" t="str">
        <f>'Pod Library'!F57</f>
        <v>ENG</v>
      </c>
      <c r="G287" s="47" t="str">
        <f>'Pod Library'!G57</f>
        <v>E3</v>
      </c>
      <c r="H287" s="47" t="str">
        <f>'Pod Library'!H57</f>
        <v>OFF</v>
      </c>
      <c r="I287" s="47" t="str">
        <f>'Pod Library'!I57</f>
        <v>FTC</v>
      </c>
      <c r="J287" s="13">
        <f>'Pod Library'!J57</f>
        <v>1</v>
      </c>
      <c r="K287" s="13">
        <f>SUMIFS('Pod Plan'!$E:$E,'Pod Plan'!$B:$B,$A287,'Pod Plan'!$C:$C,$C287)</f>
        <v>1</v>
      </c>
      <c r="L287" s="25">
        <f t="shared" si="4"/>
        <v>1</v>
      </c>
      <c r="M287" s="44">
        <f>L287*INDEX('Logic Tree'!$J$73:$N$74,MATCH(H287,'Logic Tree'!$I$73:$I$74,0),MATCH(G287,'Logic Tree'!$J$72:$N$72,0))</f>
        <v>0.42</v>
      </c>
    </row>
    <row r="288" spans="1:13" x14ac:dyDescent="0.35">
      <c r="A288" s="25">
        <v>3</v>
      </c>
      <c r="B288" s="24" t="s">
        <v>788</v>
      </c>
      <c r="C288" s="24" t="s">
        <v>191</v>
      </c>
      <c r="D288" s="24" t="s">
        <v>570</v>
      </c>
      <c r="E288" s="46" t="str">
        <f>'Pod Library'!E58</f>
        <v>Quality Engineer (SDET)</v>
      </c>
      <c r="F288" s="47" t="str">
        <f>'Pod Library'!F58</f>
        <v>TEST</v>
      </c>
      <c r="G288" s="47" t="str">
        <f>'Pod Library'!G58</f>
        <v>E3</v>
      </c>
      <c r="H288" s="47" t="str">
        <f>'Pod Library'!H58</f>
        <v>OFF</v>
      </c>
      <c r="I288" s="47" t="str">
        <f>'Pod Library'!I58</f>
        <v>FTC</v>
      </c>
      <c r="J288" s="13">
        <f>'Pod Library'!J58</f>
        <v>1</v>
      </c>
      <c r="K288" s="13">
        <f>SUMIFS('Pod Plan'!$E:$E,'Pod Plan'!$B:$B,$A288,'Pod Plan'!$C:$C,$C288)</f>
        <v>1</v>
      </c>
      <c r="L288" s="25">
        <f t="shared" si="4"/>
        <v>1</v>
      </c>
      <c r="M288" s="44">
        <f>L288*INDEX('Logic Tree'!$J$73:$N$74,MATCH(H288,'Logic Tree'!$I$73:$I$74,0),MATCH(G288,'Logic Tree'!$J$72:$N$72,0))</f>
        <v>0.42</v>
      </c>
    </row>
    <row r="289" spans="1:13" x14ac:dyDescent="0.35">
      <c r="A289" s="25">
        <v>3</v>
      </c>
      <c r="B289" s="24" t="s">
        <v>788</v>
      </c>
      <c r="C289" s="24" t="s">
        <v>191</v>
      </c>
      <c r="D289" s="24" t="s">
        <v>587</v>
      </c>
      <c r="E289" s="46" t="str">
        <f>'Pod Library'!E61</f>
        <v>Pod Lead (output owner)</v>
      </c>
      <c r="F289" s="47" t="str">
        <f>'Pod Library'!F61</f>
        <v>LEAD</v>
      </c>
      <c r="G289" s="47" t="str">
        <f>'Pod Library'!G61</f>
        <v>E4</v>
      </c>
      <c r="H289" s="47" t="str">
        <f>'Pod Library'!H61</f>
        <v>ON</v>
      </c>
      <c r="I289" s="47" t="str">
        <f>'Pod Library'!I61</f>
        <v>FTC</v>
      </c>
      <c r="J289" s="13">
        <f>'Pod Library'!J61</f>
        <v>1</v>
      </c>
      <c r="K289" s="13">
        <f>SUMIFS('Pod Plan'!$F:$F,'Pod Plan'!$B:$B,$A289,'Pod Plan'!$C:$C,$C289)</f>
        <v>0</v>
      </c>
      <c r="L289" s="25">
        <f t="shared" si="4"/>
        <v>0</v>
      </c>
      <c r="M289" s="44">
        <f>L289*INDEX('Logic Tree'!$J$73:$N$74,MATCH(H289,'Logic Tree'!$I$73:$I$74,0),MATCH(G289,'Logic Tree'!$J$72:$N$72,0))</f>
        <v>0</v>
      </c>
    </row>
    <row r="290" spans="1:13" x14ac:dyDescent="0.35">
      <c r="A290" s="25">
        <v>3</v>
      </c>
      <c r="B290" s="24" t="s">
        <v>788</v>
      </c>
      <c r="C290" s="24" t="s">
        <v>191</v>
      </c>
      <c r="D290" s="24" t="s">
        <v>587</v>
      </c>
      <c r="E290" s="46" t="str">
        <f>'Pod Library'!E62</f>
        <v>Business Analyst (bilingual)</v>
      </c>
      <c r="F290" s="47" t="str">
        <f>'Pod Library'!F62</f>
        <v>BA</v>
      </c>
      <c r="G290" s="47" t="str">
        <f>'Pod Library'!G62</f>
        <v>E4</v>
      </c>
      <c r="H290" s="47" t="str">
        <f>'Pod Library'!H62</f>
        <v>ON</v>
      </c>
      <c r="I290" s="47" t="str">
        <f>'Pod Library'!I62</f>
        <v>FTC</v>
      </c>
      <c r="J290" s="13">
        <f>'Pod Library'!J62</f>
        <v>1</v>
      </c>
      <c r="K290" s="13">
        <f>SUMIFS('Pod Plan'!$F:$F,'Pod Plan'!$B:$B,$A290,'Pod Plan'!$C:$C,$C290)</f>
        <v>0</v>
      </c>
      <c r="L290" s="25">
        <f t="shared" si="4"/>
        <v>0</v>
      </c>
      <c r="M290" s="44">
        <f>L290*INDEX('Logic Tree'!$J$73:$N$74,MATCH(H290,'Logic Tree'!$I$73:$I$74,0),MATCH(G290,'Logic Tree'!$J$72:$N$72,0))</f>
        <v>0</v>
      </c>
    </row>
    <row r="291" spans="1:13" x14ac:dyDescent="0.35">
      <c r="A291" s="25">
        <v>3</v>
      </c>
      <c r="B291" s="24" t="s">
        <v>788</v>
      </c>
      <c r="C291" s="24" t="s">
        <v>191</v>
      </c>
      <c r="D291" s="24" t="s">
        <v>587</v>
      </c>
      <c r="E291" s="46" t="str">
        <f>'Pod Library'!E63</f>
        <v>AI Orchestrator</v>
      </c>
      <c r="F291" s="47" t="str">
        <f>'Pod Library'!F63</f>
        <v>ENG</v>
      </c>
      <c r="G291" s="47" t="str">
        <f>'Pod Library'!G63</f>
        <v>E4</v>
      </c>
      <c r="H291" s="47" t="str">
        <f>'Pod Library'!H63</f>
        <v>OFF</v>
      </c>
      <c r="I291" s="47" t="str">
        <f>'Pod Library'!I63</f>
        <v>FTC</v>
      </c>
      <c r="J291" s="13">
        <f>'Pod Library'!J63</f>
        <v>1</v>
      </c>
      <c r="K291" s="13">
        <f>SUMIFS('Pod Plan'!$F:$F,'Pod Plan'!$B:$B,$A291,'Pod Plan'!$C:$C,$C291)</f>
        <v>0</v>
      </c>
      <c r="L291" s="25">
        <f t="shared" si="4"/>
        <v>0</v>
      </c>
      <c r="M291" s="44">
        <f>L291*INDEX('Logic Tree'!$J$73:$N$74,MATCH(H291,'Logic Tree'!$I$73:$I$74,0),MATCH(G291,'Logic Tree'!$J$72:$N$72,0))</f>
        <v>0</v>
      </c>
    </row>
    <row r="292" spans="1:13" x14ac:dyDescent="0.35">
      <c r="A292" s="25">
        <v>3</v>
      </c>
      <c r="B292" s="24" t="s">
        <v>788</v>
      </c>
      <c r="C292" s="24" t="s">
        <v>191</v>
      </c>
      <c r="D292" s="24" t="s">
        <v>587</v>
      </c>
      <c r="E292" s="46" t="str">
        <f>'Pod Library'!E64</f>
        <v>AI-embedded Senior Engineer</v>
      </c>
      <c r="F292" s="47" t="str">
        <f>'Pod Library'!F64</f>
        <v>DEV</v>
      </c>
      <c r="G292" s="47" t="str">
        <f>'Pod Library'!G64</f>
        <v>E4</v>
      </c>
      <c r="H292" s="47" t="str">
        <f>'Pod Library'!H64</f>
        <v>OFF</v>
      </c>
      <c r="I292" s="47" t="str">
        <f>'Pod Library'!I64</f>
        <v>FTC</v>
      </c>
      <c r="J292" s="13">
        <f>'Pod Library'!J64</f>
        <v>1</v>
      </c>
      <c r="K292" s="13">
        <f>SUMIFS('Pod Plan'!$F:$F,'Pod Plan'!$B:$B,$A292,'Pod Plan'!$C:$C,$C292)</f>
        <v>0</v>
      </c>
      <c r="L292" s="25">
        <f t="shared" si="4"/>
        <v>0</v>
      </c>
      <c r="M292" s="44">
        <f>L292*INDEX('Logic Tree'!$J$73:$N$74,MATCH(H292,'Logic Tree'!$I$73:$I$74,0),MATCH(G292,'Logic Tree'!$J$72:$N$72,0))</f>
        <v>0</v>
      </c>
    </row>
    <row r="293" spans="1:13" x14ac:dyDescent="0.35">
      <c r="A293" s="25">
        <v>3</v>
      </c>
      <c r="B293" s="24" t="s">
        <v>788</v>
      </c>
      <c r="C293" s="24" t="s">
        <v>191</v>
      </c>
      <c r="D293" s="24" t="s">
        <v>587</v>
      </c>
      <c r="E293" s="46" t="str">
        <f>'Pod Library'!E65</f>
        <v>Engineer</v>
      </c>
      <c r="F293" s="47" t="str">
        <f>'Pod Library'!F65</f>
        <v>DEV</v>
      </c>
      <c r="G293" s="47" t="str">
        <f>'Pod Library'!G65</f>
        <v>E2</v>
      </c>
      <c r="H293" s="47" t="str">
        <f>'Pod Library'!H65</f>
        <v>OFF</v>
      </c>
      <c r="I293" s="47" t="str">
        <f>'Pod Library'!I65</f>
        <v>FTC</v>
      </c>
      <c r="J293" s="13">
        <f>'Pod Library'!J65</f>
        <v>1</v>
      </c>
      <c r="K293" s="13">
        <f>SUMIFS('Pod Plan'!$F:$F,'Pod Plan'!$B:$B,$A293,'Pod Plan'!$C:$C,$C293)</f>
        <v>0</v>
      </c>
      <c r="L293" s="25">
        <f t="shared" si="4"/>
        <v>0</v>
      </c>
      <c r="M293" s="44">
        <f>L293*INDEX('Logic Tree'!$J$73:$N$74,MATCH(H293,'Logic Tree'!$I$73:$I$74,0),MATCH(G293,'Logic Tree'!$J$72:$N$72,0))</f>
        <v>0</v>
      </c>
    </row>
    <row r="294" spans="1:13" x14ac:dyDescent="0.35">
      <c r="A294" s="25">
        <v>3</v>
      </c>
      <c r="B294" s="24" t="s">
        <v>788</v>
      </c>
      <c r="C294" s="24" t="s">
        <v>191</v>
      </c>
      <c r="D294" s="24" t="s">
        <v>587</v>
      </c>
      <c r="E294" s="46" t="str">
        <f>'Pod Library'!E66</f>
        <v>AI Engineer (agent build)</v>
      </c>
      <c r="F294" s="47" t="str">
        <f>'Pod Library'!F66</f>
        <v>ENG</v>
      </c>
      <c r="G294" s="47" t="str">
        <f>'Pod Library'!G66</f>
        <v>E3</v>
      </c>
      <c r="H294" s="47" t="str">
        <f>'Pod Library'!H66</f>
        <v>OFF</v>
      </c>
      <c r="I294" s="47" t="str">
        <f>'Pod Library'!I66</f>
        <v>FTC</v>
      </c>
      <c r="J294" s="13">
        <f>'Pod Library'!J66</f>
        <v>1</v>
      </c>
      <c r="K294" s="13">
        <f>SUMIFS('Pod Plan'!$F:$F,'Pod Plan'!$B:$B,$A294,'Pod Plan'!$C:$C,$C294)</f>
        <v>0</v>
      </c>
      <c r="L294" s="25">
        <f t="shared" si="4"/>
        <v>0</v>
      </c>
      <c r="M294" s="44">
        <f>L294*INDEX('Logic Tree'!$J$73:$N$74,MATCH(H294,'Logic Tree'!$I$73:$I$74,0),MATCH(G294,'Logic Tree'!$J$72:$N$72,0))</f>
        <v>0</v>
      </c>
    </row>
    <row r="295" spans="1:13" x14ac:dyDescent="0.35">
      <c r="A295" s="25">
        <v>3</v>
      </c>
      <c r="B295" s="24" t="s">
        <v>788</v>
      </c>
      <c r="C295" s="24" t="s">
        <v>191</v>
      </c>
      <c r="D295" s="24" t="s">
        <v>587</v>
      </c>
      <c r="E295" s="46" t="str">
        <f>'Pod Library'!E67</f>
        <v>Quality Engineer (SDET)</v>
      </c>
      <c r="F295" s="47" t="str">
        <f>'Pod Library'!F67</f>
        <v>TEST</v>
      </c>
      <c r="G295" s="47" t="str">
        <f>'Pod Library'!G67</f>
        <v>E3</v>
      </c>
      <c r="H295" s="47" t="str">
        <f>'Pod Library'!H67</f>
        <v>OFF</v>
      </c>
      <c r="I295" s="47" t="str">
        <f>'Pod Library'!I67</f>
        <v>FTC</v>
      </c>
      <c r="J295" s="13">
        <f>'Pod Library'!J67</f>
        <v>1</v>
      </c>
      <c r="K295" s="13">
        <f>SUMIFS('Pod Plan'!$F:$F,'Pod Plan'!$B:$B,$A295,'Pod Plan'!$C:$C,$C295)</f>
        <v>0</v>
      </c>
      <c r="L295" s="25">
        <f t="shared" si="4"/>
        <v>0</v>
      </c>
      <c r="M295" s="44">
        <f>L295*INDEX('Logic Tree'!$J$73:$N$74,MATCH(H295,'Logic Tree'!$I$73:$I$74,0),MATCH(G295,'Logic Tree'!$J$72:$N$72,0))</f>
        <v>0</v>
      </c>
    </row>
    <row r="296" spans="1:13" x14ac:dyDescent="0.35">
      <c r="A296" s="25">
        <v>3</v>
      </c>
      <c r="B296" s="24" t="s">
        <v>788</v>
      </c>
      <c r="C296" s="24" t="s">
        <v>191</v>
      </c>
      <c r="D296" s="24" t="s">
        <v>587</v>
      </c>
      <c r="E296" s="46" t="str">
        <f>'Pod Library'!E68</f>
        <v>Quality Engineer (SDET)</v>
      </c>
      <c r="F296" s="47" t="str">
        <f>'Pod Library'!F68</f>
        <v>TEST</v>
      </c>
      <c r="G296" s="47" t="str">
        <f>'Pod Library'!G68</f>
        <v>E2</v>
      </c>
      <c r="H296" s="47" t="str">
        <f>'Pod Library'!H68</f>
        <v>OFF</v>
      </c>
      <c r="I296" s="47" t="str">
        <f>'Pod Library'!I68</f>
        <v>FTC</v>
      </c>
      <c r="J296" s="13">
        <f>'Pod Library'!J68</f>
        <v>1</v>
      </c>
      <c r="K296" s="13">
        <f>SUMIFS('Pod Plan'!$F:$F,'Pod Plan'!$B:$B,$A296,'Pod Plan'!$C:$C,$C296)</f>
        <v>0</v>
      </c>
      <c r="L296" s="25">
        <f t="shared" si="4"/>
        <v>0</v>
      </c>
      <c r="M296" s="44">
        <f>L296*INDEX('Logic Tree'!$J$73:$N$74,MATCH(H296,'Logic Tree'!$I$73:$I$74,0),MATCH(G296,'Logic Tree'!$J$72:$N$72,0))</f>
        <v>0</v>
      </c>
    </row>
    <row r="297" spans="1:13" x14ac:dyDescent="0.35">
      <c r="A297" s="25">
        <v>3</v>
      </c>
      <c r="B297" s="24" t="s">
        <v>788</v>
      </c>
      <c r="C297" s="24" t="s">
        <v>232</v>
      </c>
      <c r="D297" s="24" t="s">
        <v>570</v>
      </c>
      <c r="E297" s="46" t="str">
        <f>'Pod Library'!E51</f>
        <v>Product Owner</v>
      </c>
      <c r="F297" s="47" t="str">
        <f>'Pod Library'!F51</f>
        <v>LEAD</v>
      </c>
      <c r="G297" s="47" t="str">
        <f>'Pod Library'!G51</f>
        <v>E4</v>
      </c>
      <c r="H297" s="47" t="str">
        <f>'Pod Library'!H51</f>
        <v>ON</v>
      </c>
      <c r="I297" s="47" t="str">
        <f>'Pod Library'!I51</f>
        <v>FTE</v>
      </c>
      <c r="J297" s="13">
        <f>'Pod Library'!J51</f>
        <v>1</v>
      </c>
      <c r="K297" s="13">
        <f>SUMIFS('Pod Plan'!$E:$E,'Pod Plan'!$B:$B,$A297,'Pod Plan'!$C:$C,$C297)</f>
        <v>1</v>
      </c>
      <c r="L297" s="25">
        <f t="shared" si="4"/>
        <v>1</v>
      </c>
      <c r="M297" s="44">
        <f>L297*INDEX('Logic Tree'!$J$73:$N$74,MATCH(H297,'Logic Tree'!$I$73:$I$74,0),MATCH(G297,'Logic Tree'!$J$72:$N$72,0))</f>
        <v>1.85</v>
      </c>
    </row>
    <row r="298" spans="1:13" x14ac:dyDescent="0.35">
      <c r="A298" s="25">
        <v>3</v>
      </c>
      <c r="B298" s="24" t="s">
        <v>788</v>
      </c>
      <c r="C298" s="24" t="s">
        <v>232</v>
      </c>
      <c r="D298" s="24" t="s">
        <v>570</v>
      </c>
      <c r="E298" s="46" t="str">
        <f>'Pod Library'!E52</f>
        <v>Contract Domain SME</v>
      </c>
      <c r="F298" s="47" t="str">
        <f>'Pod Library'!F52</f>
        <v>BA</v>
      </c>
      <c r="G298" s="47" t="str">
        <f>'Pod Library'!G52</f>
        <v>E5</v>
      </c>
      <c r="H298" s="47" t="str">
        <f>'Pod Library'!H52</f>
        <v>ON</v>
      </c>
      <c r="I298" s="47" t="str">
        <f>'Pod Library'!I52</f>
        <v>FTE</v>
      </c>
      <c r="J298" s="13">
        <f>'Pod Library'!J52</f>
        <v>1</v>
      </c>
      <c r="K298" s="13">
        <f>SUMIFS('Pod Plan'!$E:$E,'Pod Plan'!$B:$B,$A298,'Pod Plan'!$C:$C,$C298)</f>
        <v>1</v>
      </c>
      <c r="L298" s="25">
        <f t="shared" si="4"/>
        <v>1</v>
      </c>
      <c r="M298" s="44">
        <f>L298*INDEX('Logic Tree'!$J$73:$N$74,MATCH(H298,'Logic Tree'!$I$73:$I$74,0),MATCH(G298,'Logic Tree'!$J$72:$N$72,0))</f>
        <v>2.5499999999999998</v>
      </c>
    </row>
    <row r="299" spans="1:13" x14ac:dyDescent="0.35">
      <c r="A299" s="25">
        <v>3</v>
      </c>
      <c r="B299" s="24" t="s">
        <v>788</v>
      </c>
      <c r="C299" s="24" t="s">
        <v>232</v>
      </c>
      <c r="D299" s="24" t="s">
        <v>570</v>
      </c>
      <c r="E299" s="46" t="str">
        <f>'Pod Library'!E53</f>
        <v>Application Owner (Technical)</v>
      </c>
      <c r="F299" s="47" t="str">
        <f>'Pod Library'!F53</f>
        <v>ENG</v>
      </c>
      <c r="G299" s="47" t="str">
        <f>'Pod Library'!G53</f>
        <v>E4</v>
      </c>
      <c r="H299" s="47" t="str">
        <f>'Pod Library'!H53</f>
        <v>ON</v>
      </c>
      <c r="I299" s="47" t="str">
        <f>'Pod Library'!I53</f>
        <v>FTE</v>
      </c>
      <c r="J299" s="13">
        <f>'Pod Library'!J53</f>
        <v>1</v>
      </c>
      <c r="K299" s="13">
        <f>SUMIFS('Pod Plan'!$E:$E,'Pod Plan'!$B:$B,$A299,'Pod Plan'!$C:$C,$C299)</f>
        <v>1</v>
      </c>
      <c r="L299" s="25">
        <f t="shared" si="4"/>
        <v>1</v>
      </c>
      <c r="M299" s="44">
        <f>L299*INDEX('Logic Tree'!$J$73:$N$74,MATCH(H299,'Logic Tree'!$I$73:$I$74,0),MATCH(G299,'Logic Tree'!$J$72:$N$72,0))</f>
        <v>1.85</v>
      </c>
    </row>
    <row r="300" spans="1:13" x14ac:dyDescent="0.35">
      <c r="A300" s="25">
        <v>3</v>
      </c>
      <c r="B300" s="24" t="s">
        <v>788</v>
      </c>
      <c r="C300" s="24" t="s">
        <v>232</v>
      </c>
      <c r="D300" s="24" t="s">
        <v>570</v>
      </c>
      <c r="E300" s="46" t="str">
        <f>'Pod Library'!E54</f>
        <v>Pod Lead / AI Orchestrator</v>
      </c>
      <c r="F300" s="47" t="str">
        <f>'Pod Library'!F54</f>
        <v>LEAD</v>
      </c>
      <c r="G300" s="47" t="str">
        <f>'Pod Library'!G54</f>
        <v>E5</v>
      </c>
      <c r="H300" s="47" t="str">
        <f>'Pod Library'!H54</f>
        <v>ON</v>
      </c>
      <c r="I300" s="47" t="str">
        <f>'Pod Library'!I54</f>
        <v>FTC</v>
      </c>
      <c r="J300" s="13">
        <f>'Pod Library'!J54</f>
        <v>1</v>
      </c>
      <c r="K300" s="13">
        <f>SUMIFS('Pod Plan'!$E:$E,'Pod Plan'!$B:$B,$A300,'Pod Plan'!$C:$C,$C300)</f>
        <v>1</v>
      </c>
      <c r="L300" s="25">
        <f t="shared" si="4"/>
        <v>1</v>
      </c>
      <c r="M300" s="44">
        <f>L300*INDEX('Logic Tree'!$J$73:$N$74,MATCH(H300,'Logic Tree'!$I$73:$I$74,0),MATCH(G300,'Logic Tree'!$J$72:$N$72,0))</f>
        <v>2.5499999999999998</v>
      </c>
    </row>
    <row r="301" spans="1:13" x14ac:dyDescent="0.35">
      <c r="A301" s="25">
        <v>3</v>
      </c>
      <c r="B301" s="24" t="s">
        <v>788</v>
      </c>
      <c r="C301" s="24" t="s">
        <v>232</v>
      </c>
      <c r="D301" s="24" t="s">
        <v>570</v>
      </c>
      <c r="E301" s="46" t="str">
        <f>'Pod Library'!E55</f>
        <v>Business Analyst (bilingual)</v>
      </c>
      <c r="F301" s="47" t="str">
        <f>'Pod Library'!F55</f>
        <v>BA</v>
      </c>
      <c r="G301" s="47" t="str">
        <f>'Pod Library'!G55</f>
        <v>E4</v>
      </c>
      <c r="H301" s="47" t="str">
        <f>'Pod Library'!H55</f>
        <v>ON</v>
      </c>
      <c r="I301" s="47" t="str">
        <f>'Pod Library'!I55</f>
        <v>FTC</v>
      </c>
      <c r="J301" s="13">
        <f>'Pod Library'!J55</f>
        <v>1</v>
      </c>
      <c r="K301" s="13">
        <f>SUMIFS('Pod Plan'!$E:$E,'Pod Plan'!$B:$B,$A301,'Pod Plan'!$C:$C,$C301)</f>
        <v>1</v>
      </c>
      <c r="L301" s="25">
        <f t="shared" si="4"/>
        <v>1</v>
      </c>
      <c r="M301" s="44">
        <f>L301*INDEX('Logic Tree'!$J$73:$N$74,MATCH(H301,'Logic Tree'!$I$73:$I$74,0),MATCH(G301,'Logic Tree'!$J$72:$N$72,0))</f>
        <v>1.85</v>
      </c>
    </row>
    <row r="302" spans="1:13" x14ac:dyDescent="0.35">
      <c r="A302" s="25">
        <v>3</v>
      </c>
      <c r="B302" s="24" t="s">
        <v>788</v>
      </c>
      <c r="C302" s="24" t="s">
        <v>232</v>
      </c>
      <c r="D302" s="24" t="s">
        <v>570</v>
      </c>
      <c r="E302" s="46" t="str">
        <f>'Pod Library'!E56</f>
        <v>AI-embedded Senior Engineer</v>
      </c>
      <c r="F302" s="47" t="str">
        <f>'Pod Library'!F56</f>
        <v>DEV</v>
      </c>
      <c r="G302" s="47" t="str">
        <f>'Pod Library'!G56</f>
        <v>E4</v>
      </c>
      <c r="H302" s="47" t="str">
        <f>'Pod Library'!H56</f>
        <v>OFF</v>
      </c>
      <c r="I302" s="47" t="str">
        <f>'Pod Library'!I56</f>
        <v>FTC</v>
      </c>
      <c r="J302" s="13">
        <f>'Pod Library'!J56</f>
        <v>1</v>
      </c>
      <c r="K302" s="13">
        <f>SUMIFS('Pod Plan'!$E:$E,'Pod Plan'!$B:$B,$A302,'Pod Plan'!$C:$C,$C302)</f>
        <v>1</v>
      </c>
      <c r="L302" s="25">
        <f t="shared" si="4"/>
        <v>1</v>
      </c>
      <c r="M302" s="44">
        <f>L302*INDEX('Logic Tree'!$J$73:$N$74,MATCH(H302,'Logic Tree'!$I$73:$I$74,0),MATCH(G302,'Logic Tree'!$J$72:$N$72,0))</f>
        <v>0.6</v>
      </c>
    </row>
    <row r="303" spans="1:13" x14ac:dyDescent="0.35">
      <c r="A303" s="25">
        <v>3</v>
      </c>
      <c r="B303" s="24" t="s">
        <v>788</v>
      </c>
      <c r="C303" s="24" t="s">
        <v>232</v>
      </c>
      <c r="D303" s="24" t="s">
        <v>570</v>
      </c>
      <c r="E303" s="46" t="str">
        <f>'Pod Library'!E57</f>
        <v>AI Engineer (agent build)</v>
      </c>
      <c r="F303" s="47" t="str">
        <f>'Pod Library'!F57</f>
        <v>ENG</v>
      </c>
      <c r="G303" s="47" t="str">
        <f>'Pod Library'!G57</f>
        <v>E3</v>
      </c>
      <c r="H303" s="47" t="str">
        <f>'Pod Library'!H57</f>
        <v>OFF</v>
      </c>
      <c r="I303" s="47" t="str">
        <f>'Pod Library'!I57</f>
        <v>FTC</v>
      </c>
      <c r="J303" s="13">
        <f>'Pod Library'!J57</f>
        <v>1</v>
      </c>
      <c r="K303" s="13">
        <f>SUMIFS('Pod Plan'!$E:$E,'Pod Plan'!$B:$B,$A303,'Pod Plan'!$C:$C,$C303)</f>
        <v>1</v>
      </c>
      <c r="L303" s="25">
        <f t="shared" si="4"/>
        <v>1</v>
      </c>
      <c r="M303" s="44">
        <f>L303*INDEX('Logic Tree'!$J$73:$N$74,MATCH(H303,'Logic Tree'!$I$73:$I$74,0),MATCH(G303,'Logic Tree'!$J$72:$N$72,0))</f>
        <v>0.42</v>
      </c>
    </row>
    <row r="304" spans="1:13" x14ac:dyDescent="0.35">
      <c r="A304" s="25">
        <v>3</v>
      </c>
      <c r="B304" s="24" t="s">
        <v>788</v>
      </c>
      <c r="C304" s="24" t="s">
        <v>232</v>
      </c>
      <c r="D304" s="24" t="s">
        <v>570</v>
      </c>
      <c r="E304" s="46" t="str">
        <f>'Pod Library'!E58</f>
        <v>Quality Engineer (SDET)</v>
      </c>
      <c r="F304" s="47" t="str">
        <f>'Pod Library'!F58</f>
        <v>TEST</v>
      </c>
      <c r="G304" s="47" t="str">
        <f>'Pod Library'!G58</f>
        <v>E3</v>
      </c>
      <c r="H304" s="47" t="str">
        <f>'Pod Library'!H58</f>
        <v>OFF</v>
      </c>
      <c r="I304" s="47" t="str">
        <f>'Pod Library'!I58</f>
        <v>FTC</v>
      </c>
      <c r="J304" s="13">
        <f>'Pod Library'!J58</f>
        <v>1</v>
      </c>
      <c r="K304" s="13">
        <f>SUMIFS('Pod Plan'!$E:$E,'Pod Plan'!$B:$B,$A304,'Pod Plan'!$C:$C,$C304)</f>
        <v>1</v>
      </c>
      <c r="L304" s="25">
        <f t="shared" si="4"/>
        <v>1</v>
      </c>
      <c r="M304" s="44">
        <f>L304*INDEX('Logic Tree'!$J$73:$N$74,MATCH(H304,'Logic Tree'!$I$73:$I$74,0),MATCH(G304,'Logic Tree'!$J$72:$N$72,0))</f>
        <v>0.42</v>
      </c>
    </row>
    <row r="305" spans="1:13" x14ac:dyDescent="0.35">
      <c r="A305" s="25">
        <v>3</v>
      </c>
      <c r="B305" s="24" t="s">
        <v>788</v>
      </c>
      <c r="C305" s="24" t="s">
        <v>232</v>
      </c>
      <c r="D305" s="24" t="s">
        <v>587</v>
      </c>
      <c r="E305" s="46" t="str">
        <f>'Pod Library'!E61</f>
        <v>Pod Lead (output owner)</v>
      </c>
      <c r="F305" s="47" t="str">
        <f>'Pod Library'!F61</f>
        <v>LEAD</v>
      </c>
      <c r="G305" s="47" t="str">
        <f>'Pod Library'!G61</f>
        <v>E4</v>
      </c>
      <c r="H305" s="47" t="str">
        <f>'Pod Library'!H61</f>
        <v>ON</v>
      </c>
      <c r="I305" s="47" t="str">
        <f>'Pod Library'!I61</f>
        <v>FTC</v>
      </c>
      <c r="J305" s="13">
        <f>'Pod Library'!J61</f>
        <v>1</v>
      </c>
      <c r="K305" s="13">
        <f>SUMIFS('Pod Plan'!$F:$F,'Pod Plan'!$B:$B,$A305,'Pod Plan'!$C:$C,$C305)</f>
        <v>1</v>
      </c>
      <c r="L305" s="25">
        <f t="shared" si="4"/>
        <v>1</v>
      </c>
      <c r="M305" s="44">
        <f>L305*INDEX('Logic Tree'!$J$73:$N$74,MATCH(H305,'Logic Tree'!$I$73:$I$74,0),MATCH(G305,'Logic Tree'!$J$72:$N$72,0))</f>
        <v>1.85</v>
      </c>
    </row>
    <row r="306" spans="1:13" x14ac:dyDescent="0.35">
      <c r="A306" s="25">
        <v>3</v>
      </c>
      <c r="B306" s="24" t="s">
        <v>788</v>
      </c>
      <c r="C306" s="24" t="s">
        <v>232</v>
      </c>
      <c r="D306" s="24" t="s">
        <v>587</v>
      </c>
      <c r="E306" s="46" t="str">
        <f>'Pod Library'!E62</f>
        <v>Business Analyst (bilingual)</v>
      </c>
      <c r="F306" s="47" t="str">
        <f>'Pod Library'!F62</f>
        <v>BA</v>
      </c>
      <c r="G306" s="47" t="str">
        <f>'Pod Library'!G62</f>
        <v>E4</v>
      </c>
      <c r="H306" s="47" t="str">
        <f>'Pod Library'!H62</f>
        <v>ON</v>
      </c>
      <c r="I306" s="47" t="str">
        <f>'Pod Library'!I62</f>
        <v>FTC</v>
      </c>
      <c r="J306" s="13">
        <f>'Pod Library'!J62</f>
        <v>1</v>
      </c>
      <c r="K306" s="13">
        <f>SUMIFS('Pod Plan'!$F:$F,'Pod Plan'!$B:$B,$A306,'Pod Plan'!$C:$C,$C306)</f>
        <v>1</v>
      </c>
      <c r="L306" s="25">
        <f t="shared" si="4"/>
        <v>1</v>
      </c>
      <c r="M306" s="44">
        <f>L306*INDEX('Logic Tree'!$J$73:$N$74,MATCH(H306,'Logic Tree'!$I$73:$I$74,0),MATCH(G306,'Logic Tree'!$J$72:$N$72,0))</f>
        <v>1.85</v>
      </c>
    </row>
    <row r="307" spans="1:13" x14ac:dyDescent="0.35">
      <c r="A307" s="25">
        <v>3</v>
      </c>
      <c r="B307" s="24" t="s">
        <v>788</v>
      </c>
      <c r="C307" s="24" t="s">
        <v>232</v>
      </c>
      <c r="D307" s="24" t="s">
        <v>587</v>
      </c>
      <c r="E307" s="46" t="str">
        <f>'Pod Library'!E63</f>
        <v>AI Orchestrator</v>
      </c>
      <c r="F307" s="47" t="str">
        <f>'Pod Library'!F63</f>
        <v>ENG</v>
      </c>
      <c r="G307" s="47" t="str">
        <f>'Pod Library'!G63</f>
        <v>E4</v>
      </c>
      <c r="H307" s="47" t="str">
        <f>'Pod Library'!H63</f>
        <v>OFF</v>
      </c>
      <c r="I307" s="47" t="str">
        <f>'Pod Library'!I63</f>
        <v>FTC</v>
      </c>
      <c r="J307" s="13">
        <f>'Pod Library'!J63</f>
        <v>1</v>
      </c>
      <c r="K307" s="13">
        <f>SUMIFS('Pod Plan'!$F:$F,'Pod Plan'!$B:$B,$A307,'Pod Plan'!$C:$C,$C307)</f>
        <v>1</v>
      </c>
      <c r="L307" s="25">
        <f t="shared" si="4"/>
        <v>1</v>
      </c>
      <c r="M307" s="44">
        <f>L307*INDEX('Logic Tree'!$J$73:$N$74,MATCH(H307,'Logic Tree'!$I$73:$I$74,0),MATCH(G307,'Logic Tree'!$J$72:$N$72,0))</f>
        <v>0.6</v>
      </c>
    </row>
    <row r="308" spans="1:13" x14ac:dyDescent="0.35">
      <c r="A308" s="25">
        <v>3</v>
      </c>
      <c r="B308" s="24" t="s">
        <v>788</v>
      </c>
      <c r="C308" s="24" t="s">
        <v>232</v>
      </c>
      <c r="D308" s="24" t="s">
        <v>587</v>
      </c>
      <c r="E308" s="46" t="str">
        <f>'Pod Library'!E64</f>
        <v>AI-embedded Senior Engineer</v>
      </c>
      <c r="F308" s="47" t="str">
        <f>'Pod Library'!F64</f>
        <v>DEV</v>
      </c>
      <c r="G308" s="47" t="str">
        <f>'Pod Library'!G64</f>
        <v>E4</v>
      </c>
      <c r="H308" s="47" t="str">
        <f>'Pod Library'!H64</f>
        <v>OFF</v>
      </c>
      <c r="I308" s="47" t="str">
        <f>'Pod Library'!I64</f>
        <v>FTC</v>
      </c>
      <c r="J308" s="13">
        <f>'Pod Library'!J64</f>
        <v>1</v>
      </c>
      <c r="K308" s="13">
        <f>SUMIFS('Pod Plan'!$F:$F,'Pod Plan'!$B:$B,$A308,'Pod Plan'!$C:$C,$C308)</f>
        <v>1</v>
      </c>
      <c r="L308" s="25">
        <f t="shared" si="4"/>
        <v>1</v>
      </c>
      <c r="M308" s="44">
        <f>L308*INDEX('Logic Tree'!$J$73:$N$74,MATCH(H308,'Logic Tree'!$I$73:$I$74,0),MATCH(G308,'Logic Tree'!$J$72:$N$72,0))</f>
        <v>0.6</v>
      </c>
    </row>
    <row r="309" spans="1:13" x14ac:dyDescent="0.35">
      <c r="A309" s="25">
        <v>3</v>
      </c>
      <c r="B309" s="24" t="s">
        <v>788</v>
      </c>
      <c r="C309" s="24" t="s">
        <v>232</v>
      </c>
      <c r="D309" s="24" t="s">
        <v>587</v>
      </c>
      <c r="E309" s="46" t="str">
        <f>'Pod Library'!E65</f>
        <v>Engineer</v>
      </c>
      <c r="F309" s="47" t="str">
        <f>'Pod Library'!F65</f>
        <v>DEV</v>
      </c>
      <c r="G309" s="47" t="str">
        <f>'Pod Library'!G65</f>
        <v>E2</v>
      </c>
      <c r="H309" s="47" t="str">
        <f>'Pod Library'!H65</f>
        <v>OFF</v>
      </c>
      <c r="I309" s="47" t="str">
        <f>'Pod Library'!I65</f>
        <v>FTC</v>
      </c>
      <c r="J309" s="13">
        <f>'Pod Library'!J65</f>
        <v>1</v>
      </c>
      <c r="K309" s="13">
        <f>SUMIFS('Pod Plan'!$F:$F,'Pod Plan'!$B:$B,$A309,'Pod Plan'!$C:$C,$C309)</f>
        <v>1</v>
      </c>
      <c r="L309" s="25">
        <f t="shared" si="4"/>
        <v>1</v>
      </c>
      <c r="M309" s="44">
        <f>L309*INDEX('Logic Tree'!$J$73:$N$74,MATCH(H309,'Logic Tree'!$I$73:$I$74,0),MATCH(G309,'Logic Tree'!$J$72:$N$72,0))</f>
        <v>0.3</v>
      </c>
    </row>
    <row r="310" spans="1:13" x14ac:dyDescent="0.35">
      <c r="A310" s="25">
        <v>3</v>
      </c>
      <c r="B310" s="24" t="s">
        <v>788</v>
      </c>
      <c r="C310" s="24" t="s">
        <v>232</v>
      </c>
      <c r="D310" s="24" t="s">
        <v>587</v>
      </c>
      <c r="E310" s="46" t="str">
        <f>'Pod Library'!E66</f>
        <v>AI Engineer (agent build)</v>
      </c>
      <c r="F310" s="47" t="str">
        <f>'Pod Library'!F66</f>
        <v>ENG</v>
      </c>
      <c r="G310" s="47" t="str">
        <f>'Pod Library'!G66</f>
        <v>E3</v>
      </c>
      <c r="H310" s="47" t="str">
        <f>'Pod Library'!H66</f>
        <v>OFF</v>
      </c>
      <c r="I310" s="47" t="str">
        <f>'Pod Library'!I66</f>
        <v>FTC</v>
      </c>
      <c r="J310" s="13">
        <f>'Pod Library'!J66</f>
        <v>1</v>
      </c>
      <c r="K310" s="13">
        <f>SUMIFS('Pod Plan'!$F:$F,'Pod Plan'!$B:$B,$A310,'Pod Plan'!$C:$C,$C310)</f>
        <v>1</v>
      </c>
      <c r="L310" s="25">
        <f t="shared" si="4"/>
        <v>1</v>
      </c>
      <c r="M310" s="44">
        <f>L310*INDEX('Logic Tree'!$J$73:$N$74,MATCH(H310,'Logic Tree'!$I$73:$I$74,0),MATCH(G310,'Logic Tree'!$J$72:$N$72,0))</f>
        <v>0.42</v>
      </c>
    </row>
    <row r="311" spans="1:13" x14ac:dyDescent="0.35">
      <c r="A311" s="25">
        <v>3</v>
      </c>
      <c r="B311" s="24" t="s">
        <v>788</v>
      </c>
      <c r="C311" s="24" t="s">
        <v>232</v>
      </c>
      <c r="D311" s="24" t="s">
        <v>587</v>
      </c>
      <c r="E311" s="46" t="str">
        <f>'Pod Library'!E67</f>
        <v>Quality Engineer (SDET)</v>
      </c>
      <c r="F311" s="47" t="str">
        <f>'Pod Library'!F67</f>
        <v>TEST</v>
      </c>
      <c r="G311" s="47" t="str">
        <f>'Pod Library'!G67</f>
        <v>E3</v>
      </c>
      <c r="H311" s="47" t="str">
        <f>'Pod Library'!H67</f>
        <v>OFF</v>
      </c>
      <c r="I311" s="47" t="str">
        <f>'Pod Library'!I67</f>
        <v>FTC</v>
      </c>
      <c r="J311" s="13">
        <f>'Pod Library'!J67</f>
        <v>1</v>
      </c>
      <c r="K311" s="13">
        <f>SUMIFS('Pod Plan'!$F:$F,'Pod Plan'!$B:$B,$A311,'Pod Plan'!$C:$C,$C311)</f>
        <v>1</v>
      </c>
      <c r="L311" s="25">
        <f t="shared" si="4"/>
        <v>1</v>
      </c>
      <c r="M311" s="44">
        <f>L311*INDEX('Logic Tree'!$J$73:$N$74,MATCH(H311,'Logic Tree'!$I$73:$I$74,0),MATCH(G311,'Logic Tree'!$J$72:$N$72,0))</f>
        <v>0.42</v>
      </c>
    </row>
    <row r="312" spans="1:13" x14ac:dyDescent="0.35">
      <c r="A312" s="25">
        <v>3</v>
      </c>
      <c r="B312" s="24" t="s">
        <v>788</v>
      </c>
      <c r="C312" s="24" t="s">
        <v>232</v>
      </c>
      <c r="D312" s="24" t="s">
        <v>587</v>
      </c>
      <c r="E312" s="46" t="str">
        <f>'Pod Library'!E68</f>
        <v>Quality Engineer (SDET)</v>
      </c>
      <c r="F312" s="47" t="str">
        <f>'Pod Library'!F68</f>
        <v>TEST</v>
      </c>
      <c r="G312" s="47" t="str">
        <f>'Pod Library'!G68</f>
        <v>E2</v>
      </c>
      <c r="H312" s="47" t="str">
        <f>'Pod Library'!H68</f>
        <v>OFF</v>
      </c>
      <c r="I312" s="47" t="str">
        <f>'Pod Library'!I68</f>
        <v>FTC</v>
      </c>
      <c r="J312" s="13">
        <f>'Pod Library'!J68</f>
        <v>1</v>
      </c>
      <c r="K312" s="13">
        <f>SUMIFS('Pod Plan'!$F:$F,'Pod Plan'!$B:$B,$A312,'Pod Plan'!$C:$C,$C312)</f>
        <v>1</v>
      </c>
      <c r="L312" s="25">
        <f t="shared" si="4"/>
        <v>1</v>
      </c>
      <c r="M312" s="44">
        <f>L312*INDEX('Logic Tree'!$J$73:$N$74,MATCH(H312,'Logic Tree'!$I$73:$I$74,0),MATCH(G312,'Logic Tree'!$J$72:$N$72,0))</f>
        <v>0.3</v>
      </c>
    </row>
    <row r="313" spans="1:13" x14ac:dyDescent="0.35">
      <c r="A313" s="25">
        <v>3</v>
      </c>
      <c r="B313" s="24" t="s">
        <v>788</v>
      </c>
      <c r="C313" s="24" t="s">
        <v>201</v>
      </c>
      <c r="D313" s="24" t="s">
        <v>570</v>
      </c>
      <c r="E313" s="46" t="str">
        <f>'Pod Library'!E51</f>
        <v>Product Owner</v>
      </c>
      <c r="F313" s="47" t="str">
        <f>'Pod Library'!F51</f>
        <v>LEAD</v>
      </c>
      <c r="G313" s="47" t="str">
        <f>'Pod Library'!G51</f>
        <v>E4</v>
      </c>
      <c r="H313" s="47" t="str">
        <f>'Pod Library'!H51</f>
        <v>ON</v>
      </c>
      <c r="I313" s="47" t="str">
        <f>'Pod Library'!I51</f>
        <v>FTE</v>
      </c>
      <c r="J313" s="13">
        <f>'Pod Library'!J51</f>
        <v>1</v>
      </c>
      <c r="K313" s="13">
        <f>SUMIFS('Pod Plan'!$E:$E,'Pod Plan'!$B:$B,$A313,'Pod Plan'!$C:$C,$C313)</f>
        <v>1</v>
      </c>
      <c r="L313" s="25">
        <f t="shared" si="4"/>
        <v>1</v>
      </c>
      <c r="M313" s="44">
        <f>L313*INDEX('Logic Tree'!$J$73:$N$74,MATCH(H313,'Logic Tree'!$I$73:$I$74,0),MATCH(G313,'Logic Tree'!$J$72:$N$72,0))</f>
        <v>1.85</v>
      </c>
    </row>
    <row r="314" spans="1:13" x14ac:dyDescent="0.35">
      <c r="A314" s="25">
        <v>3</v>
      </c>
      <c r="B314" s="24" t="s">
        <v>788</v>
      </c>
      <c r="C314" s="24" t="s">
        <v>201</v>
      </c>
      <c r="D314" s="24" t="s">
        <v>570</v>
      </c>
      <c r="E314" s="46" t="str">
        <f>'Pod Library'!E52</f>
        <v>Contract Domain SME</v>
      </c>
      <c r="F314" s="47" t="str">
        <f>'Pod Library'!F52</f>
        <v>BA</v>
      </c>
      <c r="G314" s="47" t="str">
        <f>'Pod Library'!G52</f>
        <v>E5</v>
      </c>
      <c r="H314" s="47" t="str">
        <f>'Pod Library'!H52</f>
        <v>ON</v>
      </c>
      <c r="I314" s="47" t="str">
        <f>'Pod Library'!I52</f>
        <v>FTE</v>
      </c>
      <c r="J314" s="13">
        <f>'Pod Library'!J52</f>
        <v>1</v>
      </c>
      <c r="K314" s="13">
        <f>SUMIFS('Pod Plan'!$E:$E,'Pod Plan'!$B:$B,$A314,'Pod Plan'!$C:$C,$C314)</f>
        <v>1</v>
      </c>
      <c r="L314" s="25">
        <f t="shared" si="4"/>
        <v>1</v>
      </c>
      <c r="M314" s="44">
        <f>L314*INDEX('Logic Tree'!$J$73:$N$74,MATCH(H314,'Logic Tree'!$I$73:$I$74,0),MATCH(G314,'Logic Tree'!$J$72:$N$72,0))</f>
        <v>2.5499999999999998</v>
      </c>
    </row>
    <row r="315" spans="1:13" x14ac:dyDescent="0.35">
      <c r="A315" s="25">
        <v>3</v>
      </c>
      <c r="B315" s="24" t="s">
        <v>788</v>
      </c>
      <c r="C315" s="24" t="s">
        <v>201</v>
      </c>
      <c r="D315" s="24" t="s">
        <v>570</v>
      </c>
      <c r="E315" s="46" t="str">
        <f>'Pod Library'!E53</f>
        <v>Application Owner (Technical)</v>
      </c>
      <c r="F315" s="47" t="str">
        <f>'Pod Library'!F53</f>
        <v>ENG</v>
      </c>
      <c r="G315" s="47" t="str">
        <f>'Pod Library'!G53</f>
        <v>E4</v>
      </c>
      <c r="H315" s="47" t="str">
        <f>'Pod Library'!H53</f>
        <v>ON</v>
      </c>
      <c r="I315" s="47" t="str">
        <f>'Pod Library'!I53</f>
        <v>FTE</v>
      </c>
      <c r="J315" s="13">
        <f>'Pod Library'!J53</f>
        <v>1</v>
      </c>
      <c r="K315" s="13">
        <f>SUMIFS('Pod Plan'!$E:$E,'Pod Plan'!$B:$B,$A315,'Pod Plan'!$C:$C,$C315)</f>
        <v>1</v>
      </c>
      <c r="L315" s="25">
        <f t="shared" si="4"/>
        <v>1</v>
      </c>
      <c r="M315" s="44">
        <f>L315*INDEX('Logic Tree'!$J$73:$N$74,MATCH(H315,'Logic Tree'!$I$73:$I$74,0),MATCH(G315,'Logic Tree'!$J$72:$N$72,0))</f>
        <v>1.85</v>
      </c>
    </row>
    <row r="316" spans="1:13" x14ac:dyDescent="0.35">
      <c r="A316" s="25">
        <v>3</v>
      </c>
      <c r="B316" s="24" t="s">
        <v>788</v>
      </c>
      <c r="C316" s="24" t="s">
        <v>201</v>
      </c>
      <c r="D316" s="24" t="s">
        <v>570</v>
      </c>
      <c r="E316" s="46" t="str">
        <f>'Pod Library'!E54</f>
        <v>Pod Lead / AI Orchestrator</v>
      </c>
      <c r="F316" s="47" t="str">
        <f>'Pod Library'!F54</f>
        <v>LEAD</v>
      </c>
      <c r="G316" s="47" t="str">
        <f>'Pod Library'!G54</f>
        <v>E5</v>
      </c>
      <c r="H316" s="47" t="str">
        <f>'Pod Library'!H54</f>
        <v>ON</v>
      </c>
      <c r="I316" s="47" t="str">
        <f>'Pod Library'!I54</f>
        <v>FTC</v>
      </c>
      <c r="J316" s="13">
        <f>'Pod Library'!J54</f>
        <v>1</v>
      </c>
      <c r="K316" s="13">
        <f>SUMIFS('Pod Plan'!$E:$E,'Pod Plan'!$B:$B,$A316,'Pod Plan'!$C:$C,$C316)</f>
        <v>1</v>
      </c>
      <c r="L316" s="25">
        <f t="shared" si="4"/>
        <v>1</v>
      </c>
      <c r="M316" s="44">
        <f>L316*INDEX('Logic Tree'!$J$73:$N$74,MATCH(H316,'Logic Tree'!$I$73:$I$74,0),MATCH(G316,'Logic Tree'!$J$72:$N$72,0))</f>
        <v>2.5499999999999998</v>
      </c>
    </row>
    <row r="317" spans="1:13" x14ac:dyDescent="0.35">
      <c r="A317" s="25">
        <v>3</v>
      </c>
      <c r="B317" s="24" t="s">
        <v>788</v>
      </c>
      <c r="C317" s="24" t="s">
        <v>201</v>
      </c>
      <c r="D317" s="24" t="s">
        <v>570</v>
      </c>
      <c r="E317" s="46" t="str">
        <f>'Pod Library'!E55</f>
        <v>Business Analyst (bilingual)</v>
      </c>
      <c r="F317" s="47" t="str">
        <f>'Pod Library'!F55</f>
        <v>BA</v>
      </c>
      <c r="G317" s="47" t="str">
        <f>'Pod Library'!G55</f>
        <v>E4</v>
      </c>
      <c r="H317" s="47" t="str">
        <f>'Pod Library'!H55</f>
        <v>ON</v>
      </c>
      <c r="I317" s="47" t="str">
        <f>'Pod Library'!I55</f>
        <v>FTC</v>
      </c>
      <c r="J317" s="13">
        <f>'Pod Library'!J55</f>
        <v>1</v>
      </c>
      <c r="K317" s="13">
        <f>SUMIFS('Pod Plan'!$E:$E,'Pod Plan'!$B:$B,$A317,'Pod Plan'!$C:$C,$C317)</f>
        <v>1</v>
      </c>
      <c r="L317" s="25">
        <f t="shared" si="4"/>
        <v>1</v>
      </c>
      <c r="M317" s="44">
        <f>L317*INDEX('Logic Tree'!$J$73:$N$74,MATCH(H317,'Logic Tree'!$I$73:$I$74,0),MATCH(G317,'Logic Tree'!$J$72:$N$72,0))</f>
        <v>1.85</v>
      </c>
    </row>
    <row r="318" spans="1:13" x14ac:dyDescent="0.35">
      <c r="A318" s="25">
        <v>3</v>
      </c>
      <c r="B318" s="24" t="s">
        <v>788</v>
      </c>
      <c r="C318" s="24" t="s">
        <v>201</v>
      </c>
      <c r="D318" s="24" t="s">
        <v>570</v>
      </c>
      <c r="E318" s="46" t="str">
        <f>'Pod Library'!E56</f>
        <v>AI-embedded Senior Engineer</v>
      </c>
      <c r="F318" s="47" t="str">
        <f>'Pod Library'!F56</f>
        <v>DEV</v>
      </c>
      <c r="G318" s="47" t="str">
        <f>'Pod Library'!G56</f>
        <v>E4</v>
      </c>
      <c r="H318" s="47" t="str">
        <f>'Pod Library'!H56</f>
        <v>OFF</v>
      </c>
      <c r="I318" s="47" t="str">
        <f>'Pod Library'!I56</f>
        <v>FTC</v>
      </c>
      <c r="J318" s="13">
        <f>'Pod Library'!J56</f>
        <v>1</v>
      </c>
      <c r="K318" s="13">
        <f>SUMIFS('Pod Plan'!$E:$E,'Pod Plan'!$B:$B,$A318,'Pod Plan'!$C:$C,$C318)</f>
        <v>1</v>
      </c>
      <c r="L318" s="25">
        <f t="shared" si="4"/>
        <v>1</v>
      </c>
      <c r="M318" s="44">
        <f>L318*INDEX('Logic Tree'!$J$73:$N$74,MATCH(H318,'Logic Tree'!$I$73:$I$74,0),MATCH(G318,'Logic Tree'!$J$72:$N$72,0))</f>
        <v>0.6</v>
      </c>
    </row>
    <row r="319" spans="1:13" x14ac:dyDescent="0.35">
      <c r="A319" s="25">
        <v>3</v>
      </c>
      <c r="B319" s="24" t="s">
        <v>788</v>
      </c>
      <c r="C319" s="24" t="s">
        <v>201</v>
      </c>
      <c r="D319" s="24" t="s">
        <v>570</v>
      </c>
      <c r="E319" s="46" t="str">
        <f>'Pod Library'!E57</f>
        <v>AI Engineer (agent build)</v>
      </c>
      <c r="F319" s="47" t="str">
        <f>'Pod Library'!F57</f>
        <v>ENG</v>
      </c>
      <c r="G319" s="47" t="str">
        <f>'Pod Library'!G57</f>
        <v>E3</v>
      </c>
      <c r="H319" s="47" t="str">
        <f>'Pod Library'!H57</f>
        <v>OFF</v>
      </c>
      <c r="I319" s="47" t="str">
        <f>'Pod Library'!I57</f>
        <v>FTC</v>
      </c>
      <c r="J319" s="13">
        <f>'Pod Library'!J57</f>
        <v>1</v>
      </c>
      <c r="K319" s="13">
        <f>SUMIFS('Pod Plan'!$E:$E,'Pod Plan'!$B:$B,$A319,'Pod Plan'!$C:$C,$C319)</f>
        <v>1</v>
      </c>
      <c r="L319" s="25">
        <f t="shared" si="4"/>
        <v>1</v>
      </c>
      <c r="M319" s="44">
        <f>L319*INDEX('Logic Tree'!$J$73:$N$74,MATCH(H319,'Logic Tree'!$I$73:$I$74,0),MATCH(G319,'Logic Tree'!$J$72:$N$72,0))</f>
        <v>0.42</v>
      </c>
    </row>
    <row r="320" spans="1:13" x14ac:dyDescent="0.35">
      <c r="A320" s="25">
        <v>3</v>
      </c>
      <c r="B320" s="24" t="s">
        <v>788</v>
      </c>
      <c r="C320" s="24" t="s">
        <v>201</v>
      </c>
      <c r="D320" s="24" t="s">
        <v>570</v>
      </c>
      <c r="E320" s="46" t="str">
        <f>'Pod Library'!E58</f>
        <v>Quality Engineer (SDET)</v>
      </c>
      <c r="F320" s="47" t="str">
        <f>'Pod Library'!F58</f>
        <v>TEST</v>
      </c>
      <c r="G320" s="47" t="str">
        <f>'Pod Library'!G58</f>
        <v>E3</v>
      </c>
      <c r="H320" s="47" t="str">
        <f>'Pod Library'!H58</f>
        <v>OFF</v>
      </c>
      <c r="I320" s="47" t="str">
        <f>'Pod Library'!I58</f>
        <v>FTC</v>
      </c>
      <c r="J320" s="13">
        <f>'Pod Library'!J58</f>
        <v>1</v>
      </c>
      <c r="K320" s="13">
        <f>SUMIFS('Pod Plan'!$E:$E,'Pod Plan'!$B:$B,$A320,'Pod Plan'!$C:$C,$C320)</f>
        <v>1</v>
      </c>
      <c r="L320" s="25">
        <f t="shared" si="4"/>
        <v>1</v>
      </c>
      <c r="M320" s="44">
        <f>L320*INDEX('Logic Tree'!$J$73:$N$74,MATCH(H320,'Logic Tree'!$I$73:$I$74,0),MATCH(G320,'Logic Tree'!$J$72:$N$72,0))</f>
        <v>0.42</v>
      </c>
    </row>
    <row r="321" spans="1:13" x14ac:dyDescent="0.35">
      <c r="A321" s="25">
        <v>3</v>
      </c>
      <c r="B321" s="24" t="s">
        <v>788</v>
      </c>
      <c r="C321" s="24" t="s">
        <v>201</v>
      </c>
      <c r="D321" s="24" t="s">
        <v>587</v>
      </c>
      <c r="E321" s="46" t="str">
        <f>'Pod Library'!E61</f>
        <v>Pod Lead (output owner)</v>
      </c>
      <c r="F321" s="47" t="str">
        <f>'Pod Library'!F61</f>
        <v>LEAD</v>
      </c>
      <c r="G321" s="47" t="str">
        <f>'Pod Library'!G61</f>
        <v>E4</v>
      </c>
      <c r="H321" s="47" t="str">
        <f>'Pod Library'!H61</f>
        <v>ON</v>
      </c>
      <c r="I321" s="47" t="str">
        <f>'Pod Library'!I61</f>
        <v>FTC</v>
      </c>
      <c r="J321" s="13">
        <f>'Pod Library'!J61</f>
        <v>1</v>
      </c>
      <c r="K321" s="13">
        <f>SUMIFS('Pod Plan'!$F:$F,'Pod Plan'!$B:$B,$A321,'Pod Plan'!$C:$C,$C321)</f>
        <v>1</v>
      </c>
      <c r="L321" s="25">
        <f t="shared" si="4"/>
        <v>1</v>
      </c>
      <c r="M321" s="44">
        <f>L321*INDEX('Logic Tree'!$J$73:$N$74,MATCH(H321,'Logic Tree'!$I$73:$I$74,0),MATCH(G321,'Logic Tree'!$J$72:$N$72,0))</f>
        <v>1.85</v>
      </c>
    </row>
    <row r="322" spans="1:13" x14ac:dyDescent="0.35">
      <c r="A322" s="25">
        <v>3</v>
      </c>
      <c r="B322" s="24" t="s">
        <v>788</v>
      </c>
      <c r="C322" s="24" t="s">
        <v>201</v>
      </c>
      <c r="D322" s="24" t="s">
        <v>587</v>
      </c>
      <c r="E322" s="46" t="str">
        <f>'Pod Library'!E62</f>
        <v>Business Analyst (bilingual)</v>
      </c>
      <c r="F322" s="47" t="str">
        <f>'Pod Library'!F62</f>
        <v>BA</v>
      </c>
      <c r="G322" s="47" t="str">
        <f>'Pod Library'!G62</f>
        <v>E4</v>
      </c>
      <c r="H322" s="47" t="str">
        <f>'Pod Library'!H62</f>
        <v>ON</v>
      </c>
      <c r="I322" s="47" t="str">
        <f>'Pod Library'!I62</f>
        <v>FTC</v>
      </c>
      <c r="J322" s="13">
        <f>'Pod Library'!J62</f>
        <v>1</v>
      </c>
      <c r="K322" s="13">
        <f>SUMIFS('Pod Plan'!$F:$F,'Pod Plan'!$B:$B,$A322,'Pod Plan'!$C:$C,$C322)</f>
        <v>1</v>
      </c>
      <c r="L322" s="25">
        <f t="shared" si="4"/>
        <v>1</v>
      </c>
      <c r="M322" s="44">
        <f>L322*INDEX('Logic Tree'!$J$73:$N$74,MATCH(H322,'Logic Tree'!$I$73:$I$74,0),MATCH(G322,'Logic Tree'!$J$72:$N$72,0))</f>
        <v>1.85</v>
      </c>
    </row>
    <row r="323" spans="1:13" x14ac:dyDescent="0.35">
      <c r="A323" s="25">
        <v>3</v>
      </c>
      <c r="B323" s="24" t="s">
        <v>788</v>
      </c>
      <c r="C323" s="24" t="s">
        <v>201</v>
      </c>
      <c r="D323" s="24" t="s">
        <v>587</v>
      </c>
      <c r="E323" s="46" t="str">
        <f>'Pod Library'!E63</f>
        <v>AI Orchestrator</v>
      </c>
      <c r="F323" s="47" t="str">
        <f>'Pod Library'!F63</f>
        <v>ENG</v>
      </c>
      <c r="G323" s="47" t="str">
        <f>'Pod Library'!G63</f>
        <v>E4</v>
      </c>
      <c r="H323" s="47" t="str">
        <f>'Pod Library'!H63</f>
        <v>OFF</v>
      </c>
      <c r="I323" s="47" t="str">
        <f>'Pod Library'!I63</f>
        <v>FTC</v>
      </c>
      <c r="J323" s="13">
        <f>'Pod Library'!J63</f>
        <v>1</v>
      </c>
      <c r="K323" s="13">
        <f>SUMIFS('Pod Plan'!$F:$F,'Pod Plan'!$B:$B,$A323,'Pod Plan'!$C:$C,$C323)</f>
        <v>1</v>
      </c>
      <c r="L323" s="25">
        <f t="shared" si="4"/>
        <v>1</v>
      </c>
      <c r="M323" s="44">
        <f>L323*INDEX('Logic Tree'!$J$73:$N$74,MATCH(H323,'Logic Tree'!$I$73:$I$74,0),MATCH(G323,'Logic Tree'!$J$72:$N$72,0))</f>
        <v>0.6</v>
      </c>
    </row>
    <row r="324" spans="1:13" x14ac:dyDescent="0.35">
      <c r="A324" s="25">
        <v>3</v>
      </c>
      <c r="B324" s="24" t="s">
        <v>788</v>
      </c>
      <c r="C324" s="24" t="s">
        <v>201</v>
      </c>
      <c r="D324" s="24" t="s">
        <v>587</v>
      </c>
      <c r="E324" s="46" t="str">
        <f>'Pod Library'!E64</f>
        <v>AI-embedded Senior Engineer</v>
      </c>
      <c r="F324" s="47" t="str">
        <f>'Pod Library'!F64</f>
        <v>DEV</v>
      </c>
      <c r="G324" s="47" t="str">
        <f>'Pod Library'!G64</f>
        <v>E4</v>
      </c>
      <c r="H324" s="47" t="str">
        <f>'Pod Library'!H64</f>
        <v>OFF</v>
      </c>
      <c r="I324" s="47" t="str">
        <f>'Pod Library'!I64</f>
        <v>FTC</v>
      </c>
      <c r="J324" s="13">
        <f>'Pod Library'!J64</f>
        <v>1</v>
      </c>
      <c r="K324" s="13">
        <f>SUMIFS('Pod Plan'!$F:$F,'Pod Plan'!$B:$B,$A324,'Pod Plan'!$C:$C,$C324)</f>
        <v>1</v>
      </c>
      <c r="L324" s="25">
        <f t="shared" si="4"/>
        <v>1</v>
      </c>
      <c r="M324" s="44">
        <f>L324*INDEX('Logic Tree'!$J$73:$N$74,MATCH(H324,'Logic Tree'!$I$73:$I$74,0),MATCH(G324,'Logic Tree'!$J$72:$N$72,0))</f>
        <v>0.6</v>
      </c>
    </row>
    <row r="325" spans="1:13" x14ac:dyDescent="0.35">
      <c r="A325" s="25">
        <v>3</v>
      </c>
      <c r="B325" s="24" t="s">
        <v>788</v>
      </c>
      <c r="C325" s="24" t="s">
        <v>201</v>
      </c>
      <c r="D325" s="24" t="s">
        <v>587</v>
      </c>
      <c r="E325" s="46" t="str">
        <f>'Pod Library'!E65</f>
        <v>Engineer</v>
      </c>
      <c r="F325" s="47" t="str">
        <f>'Pod Library'!F65</f>
        <v>DEV</v>
      </c>
      <c r="G325" s="47" t="str">
        <f>'Pod Library'!G65</f>
        <v>E2</v>
      </c>
      <c r="H325" s="47" t="str">
        <f>'Pod Library'!H65</f>
        <v>OFF</v>
      </c>
      <c r="I325" s="47" t="str">
        <f>'Pod Library'!I65</f>
        <v>FTC</v>
      </c>
      <c r="J325" s="13">
        <f>'Pod Library'!J65</f>
        <v>1</v>
      </c>
      <c r="K325" s="13">
        <f>SUMIFS('Pod Plan'!$F:$F,'Pod Plan'!$B:$B,$A325,'Pod Plan'!$C:$C,$C325)</f>
        <v>1</v>
      </c>
      <c r="L325" s="25">
        <f t="shared" ref="L325:L328" si="5">J325*K325</f>
        <v>1</v>
      </c>
      <c r="M325" s="44">
        <f>L325*INDEX('Logic Tree'!$J$73:$N$74,MATCH(H325,'Logic Tree'!$I$73:$I$74,0),MATCH(G325,'Logic Tree'!$J$72:$N$72,0))</f>
        <v>0.3</v>
      </c>
    </row>
    <row r="326" spans="1:13" x14ac:dyDescent="0.35">
      <c r="A326" s="25">
        <v>3</v>
      </c>
      <c r="B326" s="24" t="s">
        <v>788</v>
      </c>
      <c r="C326" s="24" t="s">
        <v>201</v>
      </c>
      <c r="D326" s="24" t="s">
        <v>587</v>
      </c>
      <c r="E326" s="46" t="str">
        <f>'Pod Library'!E66</f>
        <v>AI Engineer (agent build)</v>
      </c>
      <c r="F326" s="47" t="str">
        <f>'Pod Library'!F66</f>
        <v>ENG</v>
      </c>
      <c r="G326" s="47" t="str">
        <f>'Pod Library'!G66</f>
        <v>E3</v>
      </c>
      <c r="H326" s="47" t="str">
        <f>'Pod Library'!H66</f>
        <v>OFF</v>
      </c>
      <c r="I326" s="47" t="str">
        <f>'Pod Library'!I66</f>
        <v>FTC</v>
      </c>
      <c r="J326" s="13">
        <f>'Pod Library'!J66</f>
        <v>1</v>
      </c>
      <c r="K326" s="13">
        <f>SUMIFS('Pod Plan'!$F:$F,'Pod Plan'!$B:$B,$A326,'Pod Plan'!$C:$C,$C326)</f>
        <v>1</v>
      </c>
      <c r="L326" s="25">
        <f t="shared" si="5"/>
        <v>1</v>
      </c>
      <c r="M326" s="44">
        <f>L326*INDEX('Logic Tree'!$J$73:$N$74,MATCH(H326,'Logic Tree'!$I$73:$I$74,0),MATCH(G326,'Logic Tree'!$J$72:$N$72,0))</f>
        <v>0.42</v>
      </c>
    </row>
    <row r="327" spans="1:13" x14ac:dyDescent="0.35">
      <c r="A327" s="25">
        <v>3</v>
      </c>
      <c r="B327" s="24" t="s">
        <v>788</v>
      </c>
      <c r="C327" s="24" t="s">
        <v>201</v>
      </c>
      <c r="D327" s="24" t="s">
        <v>587</v>
      </c>
      <c r="E327" s="46" t="str">
        <f>'Pod Library'!E67</f>
        <v>Quality Engineer (SDET)</v>
      </c>
      <c r="F327" s="47" t="str">
        <f>'Pod Library'!F67</f>
        <v>TEST</v>
      </c>
      <c r="G327" s="47" t="str">
        <f>'Pod Library'!G67</f>
        <v>E3</v>
      </c>
      <c r="H327" s="47" t="str">
        <f>'Pod Library'!H67</f>
        <v>OFF</v>
      </c>
      <c r="I327" s="47" t="str">
        <f>'Pod Library'!I67</f>
        <v>FTC</v>
      </c>
      <c r="J327" s="13">
        <f>'Pod Library'!J67</f>
        <v>1</v>
      </c>
      <c r="K327" s="13">
        <f>SUMIFS('Pod Plan'!$F:$F,'Pod Plan'!$B:$B,$A327,'Pod Plan'!$C:$C,$C327)</f>
        <v>1</v>
      </c>
      <c r="L327" s="25">
        <f t="shared" si="5"/>
        <v>1</v>
      </c>
      <c r="M327" s="44">
        <f>L327*INDEX('Logic Tree'!$J$73:$N$74,MATCH(H327,'Logic Tree'!$I$73:$I$74,0),MATCH(G327,'Logic Tree'!$J$72:$N$72,0))</f>
        <v>0.42</v>
      </c>
    </row>
    <row r="328" spans="1:13" x14ac:dyDescent="0.35">
      <c r="A328" s="25">
        <v>3</v>
      </c>
      <c r="B328" s="24" t="s">
        <v>788</v>
      </c>
      <c r="C328" s="24" t="s">
        <v>201</v>
      </c>
      <c r="D328" s="24" t="s">
        <v>587</v>
      </c>
      <c r="E328" s="46" t="str">
        <f>'Pod Library'!E68</f>
        <v>Quality Engineer (SDET)</v>
      </c>
      <c r="F328" s="47" t="str">
        <f>'Pod Library'!F68</f>
        <v>TEST</v>
      </c>
      <c r="G328" s="47" t="str">
        <f>'Pod Library'!G68</f>
        <v>E2</v>
      </c>
      <c r="H328" s="47" t="str">
        <f>'Pod Library'!H68</f>
        <v>OFF</v>
      </c>
      <c r="I328" s="47" t="str">
        <f>'Pod Library'!I68</f>
        <v>FTC</v>
      </c>
      <c r="J328" s="13">
        <f>'Pod Library'!J68</f>
        <v>1</v>
      </c>
      <c r="K328" s="13">
        <f>SUMIFS('Pod Plan'!$F:$F,'Pod Plan'!$B:$B,$A328,'Pod Plan'!$C:$C,$C328)</f>
        <v>1</v>
      </c>
      <c r="L328" s="25">
        <f t="shared" si="5"/>
        <v>1</v>
      </c>
      <c r="M328" s="44">
        <f>L328*INDEX('Logic Tree'!$J$73:$N$74,MATCH(H328,'Logic Tree'!$I$73:$I$74,0),MATCH(G328,'Logic Tree'!$J$72:$N$72,0))</f>
        <v>0.3</v>
      </c>
    </row>
    <row r="329" spans="1:13" x14ac:dyDescent="0.35">
      <c r="A329" s="13">
        <f>'Horizontal Teams'!B5</f>
        <v>1</v>
      </c>
      <c r="B329" s="24" t="s">
        <v>789</v>
      </c>
      <c r="C329" s="47" t="str">
        <f>'Horizontal Teams'!C5</f>
        <v>H1</v>
      </c>
      <c r="D329" s="24" t="s">
        <v>789</v>
      </c>
      <c r="E329" s="46" t="str">
        <f>'Horizontal Teams'!E5</f>
        <v>Service Delivery Manager</v>
      </c>
      <c r="F329" s="47" t="str">
        <f>'Horizontal Teams'!F5</f>
        <v>LEAD</v>
      </c>
      <c r="G329" s="47" t="str">
        <f>'Horizontal Teams'!G5</f>
        <v>E5</v>
      </c>
      <c r="H329" s="47" t="str">
        <f>'Horizontal Teams'!H5</f>
        <v>ON</v>
      </c>
      <c r="I329" s="47" t="str">
        <f>'Horizontal Teams'!I5</f>
        <v>FTC</v>
      </c>
      <c r="J329" s="13">
        <f>'Horizontal Teams'!J5</f>
        <v>1</v>
      </c>
      <c r="K329" s="25">
        <v>1</v>
      </c>
      <c r="L329" s="25">
        <f t="shared" ref="L329:L360" si="6">IF(ISNUMBER(J329),J329*K329,0)</f>
        <v>1</v>
      </c>
      <c r="M329" s="44">
        <f>IFERROR(L329*INDEX('Logic Tree'!$J$73:$N$74,MATCH(H329,'Logic Tree'!$I$73:$I$74,0),MATCH(G329,'Logic Tree'!$J$72:$N$72,0)),0)</f>
        <v>2.5499999999999998</v>
      </c>
    </row>
    <row r="330" spans="1:13" x14ac:dyDescent="0.35">
      <c r="A330" s="13">
        <f>'Horizontal Teams'!B6</f>
        <v>1</v>
      </c>
      <c r="B330" s="24" t="s">
        <v>789</v>
      </c>
      <c r="C330" s="47" t="str">
        <f>'Horizontal Teams'!C6</f>
        <v>H1</v>
      </c>
      <c r="D330" s="24" t="s">
        <v>789</v>
      </c>
      <c r="E330" s="46" t="str">
        <f>'Horizontal Teams'!E6</f>
        <v>Major Incident Manager</v>
      </c>
      <c r="F330" s="47" t="str">
        <f>'Horizontal Teams'!F6</f>
        <v>OPS</v>
      </c>
      <c r="G330" s="47" t="str">
        <f>'Horizontal Teams'!G6</f>
        <v>E4</v>
      </c>
      <c r="H330" s="47" t="str">
        <f>'Horizontal Teams'!H6</f>
        <v>ON</v>
      </c>
      <c r="I330" s="47" t="str">
        <f>'Horizontal Teams'!I6</f>
        <v>FTC</v>
      </c>
      <c r="J330" s="13">
        <f>'Horizontal Teams'!J6</f>
        <v>1</v>
      </c>
      <c r="K330" s="25">
        <v>1</v>
      </c>
      <c r="L330" s="25">
        <f t="shared" si="6"/>
        <v>1</v>
      </c>
      <c r="M330" s="44">
        <f>IFERROR(L330*INDEX('Logic Tree'!$J$73:$N$74,MATCH(H330,'Logic Tree'!$I$73:$I$74,0),MATCH(G330,'Logic Tree'!$J$72:$N$72,0)),0)</f>
        <v>1.85</v>
      </c>
    </row>
    <row r="331" spans="1:13" x14ac:dyDescent="0.35">
      <c r="A331" s="13">
        <f>'Horizontal Teams'!B7</f>
        <v>1</v>
      </c>
      <c r="B331" s="24" t="s">
        <v>789</v>
      </c>
      <c r="C331" s="47" t="str">
        <f>'Horizontal Teams'!C7</f>
        <v>H1</v>
      </c>
      <c r="D331" s="24" t="s">
        <v>789</v>
      </c>
      <c r="E331" s="46" t="str">
        <f>'Horizontal Teams'!E7</f>
        <v>Batch &amp; Production Control Lead</v>
      </c>
      <c r="F331" s="47" t="str">
        <f>'Horizontal Teams'!F7</f>
        <v>OPS</v>
      </c>
      <c r="G331" s="47" t="str">
        <f>'Horizontal Teams'!G7</f>
        <v>E4</v>
      </c>
      <c r="H331" s="47" t="str">
        <f>'Horizontal Teams'!H7</f>
        <v>ON</v>
      </c>
      <c r="I331" s="47" t="str">
        <f>'Horizontal Teams'!I7</f>
        <v>FTC</v>
      </c>
      <c r="J331" s="13">
        <f>'Horizontal Teams'!J7</f>
        <v>1</v>
      </c>
      <c r="K331" s="25">
        <v>1</v>
      </c>
      <c r="L331" s="25">
        <f t="shared" si="6"/>
        <v>1</v>
      </c>
      <c r="M331" s="44">
        <f>IFERROR(L331*INDEX('Logic Tree'!$J$73:$N$74,MATCH(H331,'Logic Tree'!$I$73:$I$74,0),MATCH(G331,'Logic Tree'!$J$72:$N$72,0)),0)</f>
        <v>1.85</v>
      </c>
    </row>
    <row r="332" spans="1:13" x14ac:dyDescent="0.35">
      <c r="A332" s="13">
        <f>'Horizontal Teams'!B8</f>
        <v>1</v>
      </c>
      <c r="B332" s="24" t="s">
        <v>789</v>
      </c>
      <c r="C332" s="47" t="str">
        <f>'Horizontal Teams'!C8</f>
        <v>H1</v>
      </c>
      <c r="D332" s="24" t="s">
        <v>789</v>
      </c>
      <c r="E332" s="46" t="str">
        <f>'Horizontal Teams'!E8</f>
        <v>Batch &amp; Production Control</v>
      </c>
      <c r="F332" s="47" t="str">
        <f>'Horizontal Teams'!F8</f>
        <v>OPS</v>
      </c>
      <c r="G332" s="47" t="str">
        <f>'Horizontal Teams'!G8</f>
        <v>E3</v>
      </c>
      <c r="H332" s="47" t="str">
        <f>'Horizontal Teams'!H8</f>
        <v>ON</v>
      </c>
      <c r="I332" s="47" t="str">
        <f>'Horizontal Teams'!I8</f>
        <v>FTC</v>
      </c>
      <c r="J332" s="13">
        <f>'Horizontal Teams'!J8</f>
        <v>4</v>
      </c>
      <c r="K332" s="25">
        <v>1</v>
      </c>
      <c r="L332" s="25">
        <f t="shared" si="6"/>
        <v>4</v>
      </c>
      <c r="M332" s="44">
        <f>IFERROR(L332*INDEX('Logic Tree'!$J$73:$N$74,MATCH(H332,'Logic Tree'!$I$73:$I$74,0),MATCH(G332,'Logic Tree'!$J$72:$N$72,0)),0)</f>
        <v>5.4</v>
      </c>
    </row>
    <row r="333" spans="1:13" x14ac:dyDescent="0.35">
      <c r="A333" s="13">
        <f>'Horizontal Teams'!B9</f>
        <v>1</v>
      </c>
      <c r="B333" s="24" t="s">
        <v>789</v>
      </c>
      <c r="C333" s="47" t="str">
        <f>'Horizontal Teams'!C9</f>
        <v>H1</v>
      </c>
      <c r="D333" s="24" t="s">
        <v>789</v>
      </c>
      <c r="E333" s="46" t="str">
        <f>'Horizontal Teams'!E9</f>
        <v>Mainframe Operations Engineer</v>
      </c>
      <c r="F333" s="47" t="str">
        <f>'Horizontal Teams'!F9</f>
        <v>OPS</v>
      </c>
      <c r="G333" s="47" t="str">
        <f>'Horizontal Teams'!G9</f>
        <v>E3</v>
      </c>
      <c r="H333" s="47" t="str">
        <f>'Horizontal Teams'!H9</f>
        <v>ON</v>
      </c>
      <c r="I333" s="47" t="str">
        <f>'Horizontal Teams'!I9</f>
        <v>FTC</v>
      </c>
      <c r="J333" s="13">
        <f>'Horizontal Teams'!J9</f>
        <v>3</v>
      </c>
      <c r="K333" s="25">
        <v>1</v>
      </c>
      <c r="L333" s="25">
        <f t="shared" si="6"/>
        <v>3</v>
      </c>
      <c r="M333" s="44">
        <f>IFERROR(L333*INDEX('Logic Tree'!$J$73:$N$74,MATCH(H333,'Logic Tree'!$I$73:$I$74,0),MATCH(G333,'Logic Tree'!$J$72:$N$72,0)),0)</f>
        <v>4.0500000000000007</v>
      </c>
    </row>
    <row r="334" spans="1:13" x14ac:dyDescent="0.35">
      <c r="A334" s="13">
        <f>'Horizontal Teams'!B10</f>
        <v>1</v>
      </c>
      <c r="B334" s="24" t="s">
        <v>789</v>
      </c>
      <c r="C334" s="47" t="str">
        <f>'Horizontal Teams'!C10</f>
        <v>H1</v>
      </c>
      <c r="D334" s="24" t="s">
        <v>789</v>
      </c>
      <c r="E334" s="46" t="str">
        <f>'Horizontal Teams'!E10</f>
        <v>Mainframe Operations Engineer</v>
      </c>
      <c r="F334" s="47" t="str">
        <f>'Horizontal Teams'!F10</f>
        <v>OPS</v>
      </c>
      <c r="G334" s="47" t="str">
        <f>'Horizontal Teams'!G10</f>
        <v>E2</v>
      </c>
      <c r="H334" s="47" t="str">
        <f>'Horizontal Teams'!H10</f>
        <v>OFF</v>
      </c>
      <c r="I334" s="47" t="str">
        <f>'Horizontal Teams'!I10</f>
        <v>FTC</v>
      </c>
      <c r="J334" s="13">
        <f>'Horizontal Teams'!J10</f>
        <v>4</v>
      </c>
      <c r="K334" s="25">
        <v>1</v>
      </c>
      <c r="L334" s="25">
        <f t="shared" si="6"/>
        <v>4</v>
      </c>
      <c r="M334" s="44">
        <f>IFERROR(L334*INDEX('Logic Tree'!$J$73:$N$74,MATCH(H334,'Logic Tree'!$I$73:$I$74,0),MATCH(G334,'Logic Tree'!$J$72:$N$72,0)),0)</f>
        <v>1.2</v>
      </c>
    </row>
    <row r="335" spans="1:13" x14ac:dyDescent="0.35">
      <c r="A335" s="13">
        <f>'Horizontal Teams'!B11</f>
        <v>1</v>
      </c>
      <c r="B335" s="24" t="s">
        <v>789</v>
      </c>
      <c r="C335" s="47" t="str">
        <f>'Horizontal Teams'!C11</f>
        <v>H1</v>
      </c>
      <c r="D335" s="24" t="s">
        <v>789</v>
      </c>
      <c r="E335" s="46" t="str">
        <f>'Horizontal Teams'!E11</f>
        <v>L2 Application Support</v>
      </c>
      <c r="F335" s="47" t="str">
        <f>'Horizontal Teams'!F11</f>
        <v>OPS</v>
      </c>
      <c r="G335" s="47" t="str">
        <f>'Horizontal Teams'!G11</f>
        <v>E3</v>
      </c>
      <c r="H335" s="47" t="str">
        <f>'Horizontal Teams'!H11</f>
        <v>ON</v>
      </c>
      <c r="I335" s="47" t="str">
        <f>'Horizontal Teams'!I11</f>
        <v>FTC</v>
      </c>
      <c r="J335" s="13">
        <f>'Horizontal Teams'!J11</f>
        <v>4</v>
      </c>
      <c r="K335" s="25">
        <v>1</v>
      </c>
      <c r="L335" s="25">
        <f t="shared" si="6"/>
        <v>4</v>
      </c>
      <c r="M335" s="44">
        <f>IFERROR(L335*INDEX('Logic Tree'!$J$73:$N$74,MATCH(H335,'Logic Tree'!$I$73:$I$74,0),MATCH(G335,'Logic Tree'!$J$72:$N$72,0)),0)</f>
        <v>5.4</v>
      </c>
    </row>
    <row r="336" spans="1:13" x14ac:dyDescent="0.35">
      <c r="A336" s="13">
        <f>'Horizontal Teams'!B12</f>
        <v>1</v>
      </c>
      <c r="B336" s="24" t="s">
        <v>789</v>
      </c>
      <c r="C336" s="47" t="str">
        <f>'Horizontal Teams'!C12</f>
        <v>H1</v>
      </c>
      <c r="D336" s="24" t="s">
        <v>789</v>
      </c>
      <c r="E336" s="46" t="str">
        <f>'Horizontal Teams'!E12</f>
        <v>L2 Application Support</v>
      </c>
      <c r="F336" s="47" t="str">
        <f>'Horizontal Teams'!F12</f>
        <v>OPS</v>
      </c>
      <c r="G336" s="47" t="str">
        <f>'Horizontal Teams'!G12</f>
        <v>E2</v>
      </c>
      <c r="H336" s="47" t="str">
        <f>'Horizontal Teams'!H12</f>
        <v>OFF</v>
      </c>
      <c r="I336" s="47" t="str">
        <f>'Horizontal Teams'!I12</f>
        <v>FTC</v>
      </c>
      <c r="J336" s="13">
        <f>'Horizontal Teams'!J12</f>
        <v>4</v>
      </c>
      <c r="K336" s="25">
        <v>1</v>
      </c>
      <c r="L336" s="25">
        <f t="shared" si="6"/>
        <v>4</v>
      </c>
      <c r="M336" s="44">
        <f>IFERROR(L336*INDEX('Logic Tree'!$J$73:$N$74,MATCH(H336,'Logic Tree'!$I$73:$I$74,0),MATCH(G336,'Logic Tree'!$J$72:$N$72,0)),0)</f>
        <v>1.2</v>
      </c>
    </row>
    <row r="337" spans="1:13" x14ac:dyDescent="0.35">
      <c r="A337" s="13">
        <f>'Horizontal Teams'!B13</f>
        <v>1</v>
      </c>
      <c r="B337" s="24" t="s">
        <v>789</v>
      </c>
      <c r="C337" s="47" t="str">
        <f>'Horizontal Teams'!C13</f>
        <v>H1</v>
      </c>
      <c r="D337" s="24" t="s">
        <v>789</v>
      </c>
      <c r="E337" s="46" t="str">
        <f>'Horizontal Teams'!E13</f>
        <v>Problem &amp; Change Analyst</v>
      </c>
      <c r="F337" s="47" t="str">
        <f>'Horizontal Teams'!F13</f>
        <v>OPS</v>
      </c>
      <c r="G337" s="47" t="str">
        <f>'Horizontal Teams'!G13</f>
        <v>E3</v>
      </c>
      <c r="H337" s="47" t="str">
        <f>'Horizontal Teams'!H13</f>
        <v>ON</v>
      </c>
      <c r="I337" s="47" t="str">
        <f>'Horizontal Teams'!I13</f>
        <v>FTC</v>
      </c>
      <c r="J337" s="13">
        <f>'Horizontal Teams'!J13</f>
        <v>2</v>
      </c>
      <c r="K337" s="25">
        <v>1</v>
      </c>
      <c r="L337" s="25">
        <f t="shared" si="6"/>
        <v>2</v>
      </c>
      <c r="M337" s="44">
        <f>IFERROR(L337*INDEX('Logic Tree'!$J$73:$N$74,MATCH(H337,'Logic Tree'!$I$73:$I$74,0),MATCH(G337,'Logic Tree'!$J$72:$N$72,0)),0)</f>
        <v>2.7</v>
      </c>
    </row>
    <row r="338" spans="1:13" x14ac:dyDescent="0.35">
      <c r="A338" s="13">
        <f>'Horizontal Teams'!B14</f>
        <v>1</v>
      </c>
      <c r="B338" s="24" t="s">
        <v>789</v>
      </c>
      <c r="C338" s="47" t="str">
        <f>'Horizontal Teams'!C14</f>
        <v>H1</v>
      </c>
      <c r="D338" s="24" t="s">
        <v>789</v>
      </c>
      <c r="E338" s="46" t="str">
        <f>'Horizontal Teams'!E14</f>
        <v>Database Engineer</v>
      </c>
      <c r="F338" s="47" t="str">
        <f>'Horizontal Teams'!F14</f>
        <v>ENG</v>
      </c>
      <c r="G338" s="47" t="str">
        <f>'Horizontal Teams'!G14</f>
        <v>E3</v>
      </c>
      <c r="H338" s="47" t="str">
        <f>'Horizontal Teams'!H14</f>
        <v>OFF</v>
      </c>
      <c r="I338" s="47" t="str">
        <f>'Horizontal Teams'!I14</f>
        <v>FTC</v>
      </c>
      <c r="J338" s="13">
        <f>'Horizontal Teams'!J14</f>
        <v>2</v>
      </c>
      <c r="K338" s="25">
        <v>1</v>
      </c>
      <c r="L338" s="25">
        <f t="shared" si="6"/>
        <v>2</v>
      </c>
      <c r="M338" s="44">
        <f>IFERROR(L338*INDEX('Logic Tree'!$J$73:$N$74,MATCH(H338,'Logic Tree'!$I$73:$I$74,0),MATCH(G338,'Logic Tree'!$J$72:$N$72,0)),0)</f>
        <v>0.84</v>
      </c>
    </row>
    <row r="339" spans="1:13" x14ac:dyDescent="0.35">
      <c r="A339" s="13">
        <f>'Horizontal Teams'!B16</f>
        <v>1</v>
      </c>
      <c r="B339" s="24" t="s">
        <v>789</v>
      </c>
      <c r="C339" s="47" t="str">
        <f>'Horizontal Teams'!C16</f>
        <v>H2</v>
      </c>
      <c r="D339" s="24" t="s">
        <v>789</v>
      </c>
      <c r="E339" s="46" t="str">
        <f>'Horizontal Teams'!E16</f>
        <v>Head of Quality Engineering</v>
      </c>
      <c r="F339" s="47" t="str">
        <f>'Horizontal Teams'!F16</f>
        <v>LEAD</v>
      </c>
      <c r="G339" s="47" t="str">
        <f>'Horizontal Teams'!G16</f>
        <v>E5</v>
      </c>
      <c r="H339" s="47" t="str">
        <f>'Horizontal Teams'!H16</f>
        <v>ON</v>
      </c>
      <c r="I339" s="47" t="str">
        <f>'Horizontal Teams'!I16</f>
        <v>FTC</v>
      </c>
      <c r="J339" s="13">
        <f>'Horizontal Teams'!J16</f>
        <v>1</v>
      </c>
      <c r="K339" s="25">
        <v>1</v>
      </c>
      <c r="L339" s="25">
        <f t="shared" si="6"/>
        <v>1</v>
      </c>
      <c r="M339" s="44">
        <f>IFERROR(L339*INDEX('Logic Tree'!$J$73:$N$74,MATCH(H339,'Logic Tree'!$I$73:$I$74,0),MATCH(G339,'Logic Tree'!$J$72:$N$72,0)),0)</f>
        <v>2.5499999999999998</v>
      </c>
    </row>
    <row r="340" spans="1:13" x14ac:dyDescent="0.35">
      <c r="A340" s="13">
        <f>'Horizontal Teams'!B17</f>
        <v>1</v>
      </c>
      <c r="B340" s="24" t="s">
        <v>789</v>
      </c>
      <c r="C340" s="47" t="str">
        <f>'Horizontal Teams'!C17</f>
        <v>H2</v>
      </c>
      <c r="D340" s="24" t="s">
        <v>789</v>
      </c>
      <c r="E340" s="46" t="str">
        <f>'Horizontal Teams'!E17</f>
        <v>Test Architect</v>
      </c>
      <c r="F340" s="47" t="str">
        <f>'Horizontal Teams'!F17</f>
        <v>TEST</v>
      </c>
      <c r="G340" s="47" t="str">
        <f>'Horizontal Teams'!G17</f>
        <v>E4</v>
      </c>
      <c r="H340" s="47" t="str">
        <f>'Horizontal Teams'!H17</f>
        <v>ON</v>
      </c>
      <c r="I340" s="47" t="str">
        <f>'Horizontal Teams'!I17</f>
        <v>FTC</v>
      </c>
      <c r="J340" s="13">
        <f>'Horizontal Teams'!J17</f>
        <v>1</v>
      </c>
      <c r="K340" s="25">
        <v>1</v>
      </c>
      <c r="L340" s="25">
        <f t="shared" si="6"/>
        <v>1</v>
      </c>
      <c r="M340" s="44">
        <f>IFERROR(L340*INDEX('Logic Tree'!$J$73:$N$74,MATCH(H340,'Logic Tree'!$I$73:$I$74,0),MATCH(G340,'Logic Tree'!$J$72:$N$72,0)),0)</f>
        <v>1.85</v>
      </c>
    </row>
    <row r="341" spans="1:13" x14ac:dyDescent="0.35">
      <c r="A341" s="13">
        <f>'Horizontal Teams'!B18</f>
        <v>1</v>
      </c>
      <c r="B341" s="24" t="s">
        <v>789</v>
      </c>
      <c r="C341" s="47" t="str">
        <f>'Horizontal Teams'!C18</f>
        <v>H2</v>
      </c>
      <c r="D341" s="24" t="s">
        <v>789</v>
      </c>
      <c r="E341" s="46" t="str">
        <f>'Horizontal Teams'!E18</f>
        <v>Test Data Management Lead</v>
      </c>
      <c r="F341" s="47" t="str">
        <f>'Horizontal Teams'!F18</f>
        <v>TEST</v>
      </c>
      <c r="G341" s="47" t="str">
        <f>'Horizontal Teams'!G18</f>
        <v>E4</v>
      </c>
      <c r="H341" s="47" t="str">
        <f>'Horizontal Teams'!H18</f>
        <v>ON</v>
      </c>
      <c r="I341" s="47" t="str">
        <f>'Horizontal Teams'!I18</f>
        <v>FTC</v>
      </c>
      <c r="J341" s="13">
        <f>'Horizontal Teams'!J18</f>
        <v>1</v>
      </c>
      <c r="K341" s="25">
        <v>1</v>
      </c>
      <c r="L341" s="25">
        <f t="shared" si="6"/>
        <v>1</v>
      </c>
      <c r="M341" s="44">
        <f>IFERROR(L341*INDEX('Logic Tree'!$J$73:$N$74,MATCH(H341,'Logic Tree'!$I$73:$I$74,0),MATCH(G341,'Logic Tree'!$J$72:$N$72,0)),0)</f>
        <v>1.85</v>
      </c>
    </row>
    <row r="342" spans="1:13" x14ac:dyDescent="0.35">
      <c r="A342" s="13">
        <f>'Horizontal Teams'!B19</f>
        <v>1</v>
      </c>
      <c r="B342" s="24" t="s">
        <v>789</v>
      </c>
      <c r="C342" s="47" t="str">
        <f>'Horizontal Teams'!C19</f>
        <v>H2</v>
      </c>
      <c r="D342" s="24" t="s">
        <v>789</v>
      </c>
      <c r="E342" s="46" t="str">
        <f>'Horizontal Teams'!E19</f>
        <v>Regression Automation Engineer</v>
      </c>
      <c r="F342" s="47" t="str">
        <f>'Horizontal Teams'!F19</f>
        <v>TEST</v>
      </c>
      <c r="G342" s="47" t="str">
        <f>'Horizontal Teams'!G19</f>
        <v>E3</v>
      </c>
      <c r="H342" s="47" t="str">
        <f>'Horizontal Teams'!H19</f>
        <v>OFF</v>
      </c>
      <c r="I342" s="47" t="str">
        <f>'Horizontal Teams'!I19</f>
        <v>FTC</v>
      </c>
      <c r="J342" s="13">
        <f>'Horizontal Teams'!J19</f>
        <v>5</v>
      </c>
      <c r="K342" s="25">
        <v>1</v>
      </c>
      <c r="L342" s="25">
        <f t="shared" si="6"/>
        <v>5</v>
      </c>
      <c r="M342" s="44">
        <f>IFERROR(L342*INDEX('Logic Tree'!$J$73:$N$74,MATCH(H342,'Logic Tree'!$I$73:$I$74,0),MATCH(G342,'Logic Tree'!$J$72:$N$72,0)),0)</f>
        <v>2.1</v>
      </c>
    </row>
    <row r="343" spans="1:13" x14ac:dyDescent="0.35">
      <c r="A343" s="13">
        <f>'Horizontal Teams'!B20</f>
        <v>1</v>
      </c>
      <c r="B343" s="24" t="s">
        <v>789</v>
      </c>
      <c r="C343" s="47" t="str">
        <f>'Horizontal Teams'!C20</f>
        <v>H2</v>
      </c>
      <c r="D343" s="24" t="s">
        <v>789</v>
      </c>
      <c r="E343" s="46" t="str">
        <f>'Horizontal Teams'!E20</f>
        <v>Regression Automation Engineer</v>
      </c>
      <c r="F343" s="47" t="str">
        <f>'Horizontal Teams'!F20</f>
        <v>TEST</v>
      </c>
      <c r="G343" s="47" t="str">
        <f>'Horizontal Teams'!G20</f>
        <v>E2</v>
      </c>
      <c r="H343" s="47" t="str">
        <f>'Horizontal Teams'!H20</f>
        <v>OFF</v>
      </c>
      <c r="I343" s="47" t="str">
        <f>'Horizontal Teams'!I20</f>
        <v>FTC</v>
      </c>
      <c r="J343" s="13">
        <f>'Horizontal Teams'!J20</f>
        <v>3</v>
      </c>
      <c r="K343" s="25">
        <v>1</v>
      </c>
      <c r="L343" s="25">
        <f t="shared" si="6"/>
        <v>3</v>
      </c>
      <c r="M343" s="44">
        <f>IFERROR(L343*INDEX('Logic Tree'!$J$73:$N$74,MATCH(H343,'Logic Tree'!$I$73:$I$74,0),MATCH(G343,'Logic Tree'!$J$72:$N$72,0)),0)</f>
        <v>0.89999999999999991</v>
      </c>
    </row>
    <row r="344" spans="1:13" x14ac:dyDescent="0.35">
      <c r="A344" s="13">
        <f>'Horizontal Teams'!B21</f>
        <v>1</v>
      </c>
      <c r="B344" s="24" t="s">
        <v>789</v>
      </c>
      <c r="C344" s="47" t="str">
        <f>'Horizontal Teams'!C21</f>
        <v>H2</v>
      </c>
      <c r="D344" s="24" t="s">
        <v>789</v>
      </c>
      <c r="E344" s="46" t="str">
        <f>'Horizontal Teams'!E21</f>
        <v>Test Data Engineer</v>
      </c>
      <c r="F344" s="47" t="str">
        <f>'Horizontal Teams'!F21</f>
        <v>TEST</v>
      </c>
      <c r="G344" s="47" t="str">
        <f>'Horizontal Teams'!G21</f>
        <v>E2</v>
      </c>
      <c r="H344" s="47" t="str">
        <f>'Horizontal Teams'!H21</f>
        <v>OFF</v>
      </c>
      <c r="I344" s="47" t="str">
        <f>'Horizontal Teams'!I21</f>
        <v>FTC</v>
      </c>
      <c r="J344" s="13">
        <f>'Horizontal Teams'!J21</f>
        <v>3</v>
      </c>
      <c r="K344" s="25">
        <v>1</v>
      </c>
      <c r="L344" s="25">
        <f t="shared" si="6"/>
        <v>3</v>
      </c>
      <c r="M344" s="44">
        <f>IFERROR(L344*INDEX('Logic Tree'!$J$73:$N$74,MATCH(H344,'Logic Tree'!$I$73:$I$74,0),MATCH(G344,'Logic Tree'!$J$72:$N$72,0)),0)</f>
        <v>0.89999999999999991</v>
      </c>
    </row>
    <row r="345" spans="1:13" x14ac:dyDescent="0.35">
      <c r="A345" s="13">
        <f>'Horizontal Teams'!B22</f>
        <v>1</v>
      </c>
      <c r="B345" s="24" t="s">
        <v>789</v>
      </c>
      <c r="C345" s="47" t="str">
        <f>'Horizontal Teams'!C22</f>
        <v>H2</v>
      </c>
      <c r="D345" s="24" t="s">
        <v>789</v>
      </c>
      <c r="E345" s="46" t="str">
        <f>'Horizontal Teams'!E22</f>
        <v>Environment Engineer</v>
      </c>
      <c r="F345" s="47" t="str">
        <f>'Horizontal Teams'!F22</f>
        <v>ENG</v>
      </c>
      <c r="G345" s="47" t="str">
        <f>'Horizontal Teams'!G22</f>
        <v>E3</v>
      </c>
      <c r="H345" s="47" t="str">
        <f>'Horizontal Teams'!H22</f>
        <v>ON</v>
      </c>
      <c r="I345" s="47" t="str">
        <f>'Horizontal Teams'!I22</f>
        <v>FTC</v>
      </c>
      <c r="J345" s="13">
        <f>'Horizontal Teams'!J22</f>
        <v>3</v>
      </c>
      <c r="K345" s="25">
        <v>1</v>
      </c>
      <c r="L345" s="25">
        <f t="shared" si="6"/>
        <v>3</v>
      </c>
      <c r="M345" s="44">
        <f>IFERROR(L345*INDEX('Logic Tree'!$J$73:$N$74,MATCH(H345,'Logic Tree'!$I$73:$I$74,0),MATCH(G345,'Logic Tree'!$J$72:$N$72,0)),0)</f>
        <v>4.0500000000000007</v>
      </c>
    </row>
    <row r="346" spans="1:13" x14ac:dyDescent="0.35">
      <c r="A346" s="13">
        <f>'Horizontal Teams'!B24</f>
        <v>1</v>
      </c>
      <c r="B346" s="24" t="s">
        <v>789</v>
      </c>
      <c r="C346" s="47" t="str">
        <f>'Horizontal Teams'!C24</f>
        <v>H3</v>
      </c>
      <c r="D346" s="24" t="s">
        <v>789</v>
      </c>
      <c r="E346" s="46" t="str">
        <f>'Horizontal Teams'!E24</f>
        <v>Domain Delivery Head</v>
      </c>
      <c r="F346" s="47" t="str">
        <f>'Horizontal Teams'!F24</f>
        <v>LEAD</v>
      </c>
      <c r="G346" s="47" t="str">
        <f>'Horizontal Teams'!G24</f>
        <v>E5</v>
      </c>
      <c r="H346" s="47" t="str">
        <f>'Horizontal Teams'!H24</f>
        <v>ON</v>
      </c>
      <c r="I346" s="47" t="str">
        <f>'Horizontal Teams'!I24</f>
        <v>FTC</v>
      </c>
      <c r="J346" s="13">
        <f>'Horizontal Teams'!J24</f>
        <v>1</v>
      </c>
      <c r="K346" s="25">
        <v>1</v>
      </c>
      <c r="L346" s="25">
        <f t="shared" si="6"/>
        <v>1</v>
      </c>
      <c r="M346" s="44">
        <f>IFERROR(L346*INDEX('Logic Tree'!$J$73:$N$74,MATCH(H346,'Logic Tree'!$I$73:$I$74,0),MATCH(G346,'Logic Tree'!$J$72:$N$72,0)),0)</f>
        <v>2.5499999999999998</v>
      </c>
    </row>
    <row r="347" spans="1:13" x14ac:dyDescent="0.35">
      <c r="A347" s="13">
        <f>'Horizontal Teams'!B25</f>
        <v>1</v>
      </c>
      <c r="B347" s="24" t="s">
        <v>789</v>
      </c>
      <c r="C347" s="47" t="str">
        <f>'Horizontal Teams'!C25</f>
        <v>H3</v>
      </c>
      <c r="D347" s="24" t="s">
        <v>789</v>
      </c>
      <c r="E347" s="46" t="str">
        <f>'Horizontal Teams'!E25</f>
        <v>Chief Architect - Contract</v>
      </c>
      <c r="F347" s="47" t="str">
        <f>'Horizontal Teams'!F25</f>
        <v>ENG</v>
      </c>
      <c r="G347" s="47" t="str">
        <f>'Horizontal Teams'!G25</f>
        <v>E5</v>
      </c>
      <c r="H347" s="47" t="str">
        <f>'Horizontal Teams'!H25</f>
        <v>ON</v>
      </c>
      <c r="I347" s="47" t="str">
        <f>'Horizontal Teams'!I25</f>
        <v>FTC</v>
      </c>
      <c r="J347" s="13">
        <f>'Horizontal Teams'!J25</f>
        <v>1</v>
      </c>
      <c r="K347" s="25">
        <v>1</v>
      </c>
      <c r="L347" s="25">
        <f t="shared" si="6"/>
        <v>1</v>
      </c>
      <c r="M347" s="44">
        <f>IFERROR(L347*INDEX('Logic Tree'!$J$73:$N$74,MATCH(H347,'Logic Tree'!$I$73:$I$74,0),MATCH(G347,'Logic Tree'!$J$72:$N$72,0)),0)</f>
        <v>2.5499999999999998</v>
      </c>
    </row>
    <row r="348" spans="1:13" x14ac:dyDescent="0.35">
      <c r="A348" s="13">
        <f>'Horizontal Teams'!B26</f>
        <v>1</v>
      </c>
      <c r="B348" s="24" t="s">
        <v>789</v>
      </c>
      <c r="C348" s="47" t="str">
        <f>'Horizontal Teams'!C26</f>
        <v>H3</v>
      </c>
      <c r="D348" s="24" t="s">
        <v>789</v>
      </c>
      <c r="E348" s="46" t="str">
        <f>'Horizontal Teams'!E26</f>
        <v>Release Train Engineer</v>
      </c>
      <c r="F348" s="47" t="str">
        <f>'Horizontal Teams'!F26</f>
        <v>LEAD</v>
      </c>
      <c r="G348" s="47" t="str">
        <f>'Horizontal Teams'!G26</f>
        <v>E4</v>
      </c>
      <c r="H348" s="47" t="str">
        <f>'Horizontal Teams'!H26</f>
        <v>ON</v>
      </c>
      <c r="I348" s="47" t="str">
        <f>'Horizontal Teams'!I26</f>
        <v>FTC</v>
      </c>
      <c r="J348" s="13">
        <f>'Horizontal Teams'!J26</f>
        <v>2</v>
      </c>
      <c r="K348" s="25">
        <v>1</v>
      </c>
      <c r="L348" s="25">
        <f t="shared" si="6"/>
        <v>2</v>
      </c>
      <c r="M348" s="44">
        <f>IFERROR(L348*INDEX('Logic Tree'!$J$73:$N$74,MATCH(H348,'Logic Tree'!$I$73:$I$74,0),MATCH(G348,'Logic Tree'!$J$72:$N$72,0)),0)</f>
        <v>3.7</v>
      </c>
    </row>
    <row r="349" spans="1:13" x14ac:dyDescent="0.35">
      <c r="A349" s="13">
        <f>'Horizontal Teams'!B27</f>
        <v>1</v>
      </c>
      <c r="B349" s="24" t="s">
        <v>789</v>
      </c>
      <c r="C349" s="47" t="str">
        <f>'Horizontal Teams'!C27</f>
        <v>H3</v>
      </c>
      <c r="D349" s="24" t="s">
        <v>789</v>
      </c>
      <c r="E349" s="46" t="str">
        <f>'Horizontal Teams'!E27</f>
        <v>Transition &amp; Substrate Lead</v>
      </c>
      <c r="F349" s="47" t="str">
        <f>'Horizontal Teams'!F27</f>
        <v>ENG</v>
      </c>
      <c r="G349" s="47" t="str">
        <f>'Horizontal Teams'!G27</f>
        <v>E5</v>
      </c>
      <c r="H349" s="47" t="str">
        <f>'Horizontal Teams'!H27</f>
        <v>ON</v>
      </c>
      <c r="I349" s="47" t="str">
        <f>'Horizontal Teams'!I27</f>
        <v>FTC</v>
      </c>
      <c r="J349" s="13">
        <f>'Horizontal Teams'!J27</f>
        <v>1</v>
      </c>
      <c r="K349" s="25">
        <v>1</v>
      </c>
      <c r="L349" s="25">
        <f t="shared" si="6"/>
        <v>1</v>
      </c>
      <c r="M349" s="44">
        <f>IFERROR(L349*INDEX('Logic Tree'!$J$73:$N$74,MATCH(H349,'Logic Tree'!$I$73:$I$74,0),MATCH(G349,'Logic Tree'!$J$72:$N$72,0)),0)</f>
        <v>2.5499999999999998</v>
      </c>
    </row>
    <row r="350" spans="1:13" x14ac:dyDescent="0.35">
      <c r="A350" s="13">
        <f>'Horizontal Teams'!B28</f>
        <v>1</v>
      </c>
      <c r="B350" s="24" t="s">
        <v>789</v>
      </c>
      <c r="C350" s="47" t="str">
        <f>'Horizontal Teams'!C28</f>
        <v>H3</v>
      </c>
      <c r="D350" s="24" t="s">
        <v>789</v>
      </c>
      <c r="E350" s="46" t="str">
        <f>'Horizontal Teams'!E28</f>
        <v>AI Enablement Lead</v>
      </c>
      <c r="F350" s="47" t="str">
        <f>'Horizontal Teams'!F28</f>
        <v>ENG</v>
      </c>
      <c r="G350" s="47" t="str">
        <f>'Horizontal Teams'!G28</f>
        <v>E4</v>
      </c>
      <c r="H350" s="47" t="str">
        <f>'Horizontal Teams'!H28</f>
        <v>ON</v>
      </c>
      <c r="I350" s="47" t="str">
        <f>'Horizontal Teams'!I28</f>
        <v>FTC</v>
      </c>
      <c r="J350" s="13">
        <f>'Horizontal Teams'!J28</f>
        <v>1</v>
      </c>
      <c r="K350" s="25">
        <v>1</v>
      </c>
      <c r="L350" s="25">
        <f t="shared" si="6"/>
        <v>1</v>
      </c>
      <c r="M350" s="44">
        <f>IFERROR(L350*INDEX('Logic Tree'!$J$73:$N$74,MATCH(H350,'Logic Tree'!$I$73:$I$74,0),MATCH(G350,'Logic Tree'!$J$72:$N$72,0)),0)</f>
        <v>1.85</v>
      </c>
    </row>
    <row r="351" spans="1:13" x14ac:dyDescent="0.35">
      <c r="A351" s="13">
        <f>'Horizontal Teams'!B29</f>
        <v>1</v>
      </c>
      <c r="B351" s="24" t="s">
        <v>789</v>
      </c>
      <c r="C351" s="47" t="str">
        <f>'Horizontal Teams'!C29</f>
        <v>H3</v>
      </c>
      <c r="D351" s="24" t="s">
        <v>789</v>
      </c>
      <c r="E351" s="46" t="str">
        <f>'Horizontal Teams'!E29</f>
        <v>Service &amp; Contract Manager</v>
      </c>
      <c r="F351" s="47" t="str">
        <f>'Horizontal Teams'!F29</f>
        <v>LEAD</v>
      </c>
      <c r="G351" s="47" t="str">
        <f>'Horizontal Teams'!G29</f>
        <v>E4</v>
      </c>
      <c r="H351" s="47" t="str">
        <f>'Horizontal Teams'!H29</f>
        <v>ON</v>
      </c>
      <c r="I351" s="47" t="str">
        <f>'Horizontal Teams'!I29</f>
        <v>FTC</v>
      </c>
      <c r="J351" s="13">
        <f>'Horizontal Teams'!J29</f>
        <v>1</v>
      </c>
      <c r="K351" s="25">
        <v>1</v>
      </c>
      <c r="L351" s="25">
        <f t="shared" si="6"/>
        <v>1</v>
      </c>
      <c r="M351" s="44">
        <f>IFERROR(L351*INDEX('Logic Tree'!$J$73:$N$74,MATCH(H351,'Logic Tree'!$I$73:$I$74,0),MATCH(G351,'Logic Tree'!$J$72:$N$72,0)),0)</f>
        <v>1.85</v>
      </c>
    </row>
    <row r="352" spans="1:13" x14ac:dyDescent="0.35">
      <c r="A352" s="13">
        <f>'Horizontal Teams'!B30</f>
        <v>1</v>
      </c>
      <c r="B352" s="24" t="s">
        <v>789</v>
      </c>
      <c r="C352" s="47" t="str">
        <f>'Horizontal Teams'!C30</f>
        <v>H3</v>
      </c>
      <c r="D352" s="24" t="s">
        <v>789</v>
      </c>
      <c r="E352" s="46" t="str">
        <f>'Horizontal Teams'!E30</f>
        <v>PMO &amp; Reporting Analyst</v>
      </c>
      <c r="F352" s="47" t="str">
        <f>'Horizontal Teams'!F30</f>
        <v>OPS</v>
      </c>
      <c r="G352" s="47" t="str">
        <f>'Horizontal Teams'!G30</f>
        <v>E2</v>
      </c>
      <c r="H352" s="47" t="str">
        <f>'Horizontal Teams'!H30</f>
        <v>OFF</v>
      </c>
      <c r="I352" s="47" t="str">
        <f>'Horizontal Teams'!I30</f>
        <v>FTC</v>
      </c>
      <c r="J352" s="13">
        <f>'Horizontal Teams'!J30</f>
        <v>1</v>
      </c>
      <c r="K352" s="25">
        <v>1</v>
      </c>
      <c r="L352" s="25">
        <f t="shared" si="6"/>
        <v>1</v>
      </c>
      <c r="M352" s="44">
        <f>IFERROR(L352*INDEX('Logic Tree'!$J$73:$N$74,MATCH(H352,'Logic Tree'!$I$73:$I$74,0),MATCH(G352,'Logic Tree'!$J$72:$N$72,0)),0)</f>
        <v>0.3</v>
      </c>
    </row>
    <row r="353" spans="1:13" x14ac:dyDescent="0.35">
      <c r="A353" s="13">
        <f>'Horizontal Teams'!B34</f>
        <v>2</v>
      </c>
      <c r="B353" s="24" t="s">
        <v>789</v>
      </c>
      <c r="C353" s="47" t="str">
        <f>'Horizontal Teams'!C34</f>
        <v>H1</v>
      </c>
      <c r="D353" s="24" t="s">
        <v>789</v>
      </c>
      <c r="E353" s="46" t="str">
        <f>'Horizontal Teams'!E34</f>
        <v>Service Delivery Manager</v>
      </c>
      <c r="F353" s="47" t="str">
        <f>'Horizontal Teams'!F34</f>
        <v>LEAD</v>
      </c>
      <c r="G353" s="47" t="str">
        <f>'Horizontal Teams'!G34</f>
        <v>E5</v>
      </c>
      <c r="H353" s="47" t="str">
        <f>'Horizontal Teams'!H34</f>
        <v>ON</v>
      </c>
      <c r="I353" s="47" t="str">
        <f>'Horizontal Teams'!I34</f>
        <v>FTC</v>
      </c>
      <c r="J353" s="13">
        <f>'Horizontal Teams'!J34</f>
        <v>1</v>
      </c>
      <c r="K353" s="25">
        <v>1</v>
      </c>
      <c r="L353" s="25">
        <f t="shared" si="6"/>
        <v>1</v>
      </c>
      <c r="M353" s="44">
        <f>IFERROR(L353*INDEX('Logic Tree'!$J$73:$N$74,MATCH(H353,'Logic Tree'!$I$73:$I$74,0),MATCH(G353,'Logic Tree'!$J$72:$N$72,0)),0)</f>
        <v>2.5499999999999998</v>
      </c>
    </row>
    <row r="354" spans="1:13" x14ac:dyDescent="0.35">
      <c r="A354" s="13">
        <f>'Horizontal Teams'!B35</f>
        <v>2</v>
      </c>
      <c r="B354" s="24" t="s">
        <v>789</v>
      </c>
      <c r="C354" s="47" t="str">
        <f>'Horizontal Teams'!C35</f>
        <v>H1</v>
      </c>
      <c r="D354" s="24" t="s">
        <v>789</v>
      </c>
      <c r="E354" s="46" t="str">
        <f>'Horizontal Teams'!E35</f>
        <v>Major Incident Manager</v>
      </c>
      <c r="F354" s="47" t="str">
        <f>'Horizontal Teams'!F35</f>
        <v>OPS</v>
      </c>
      <c r="G354" s="47" t="str">
        <f>'Horizontal Teams'!G35</f>
        <v>E4</v>
      </c>
      <c r="H354" s="47" t="str">
        <f>'Horizontal Teams'!H35</f>
        <v>ON</v>
      </c>
      <c r="I354" s="47" t="str">
        <f>'Horizontal Teams'!I35</f>
        <v>FTC</v>
      </c>
      <c r="J354" s="13">
        <f>'Horizontal Teams'!J35</f>
        <v>1</v>
      </c>
      <c r="K354" s="25">
        <v>1</v>
      </c>
      <c r="L354" s="25">
        <f t="shared" si="6"/>
        <v>1</v>
      </c>
      <c r="M354" s="44">
        <f>IFERROR(L354*INDEX('Logic Tree'!$J$73:$N$74,MATCH(H354,'Logic Tree'!$I$73:$I$74,0),MATCH(G354,'Logic Tree'!$J$72:$N$72,0)),0)</f>
        <v>1.85</v>
      </c>
    </row>
    <row r="355" spans="1:13" x14ac:dyDescent="0.35">
      <c r="A355" s="13">
        <f>'Horizontal Teams'!B36</f>
        <v>2</v>
      </c>
      <c r="B355" s="24" t="s">
        <v>789</v>
      </c>
      <c r="C355" s="47" t="str">
        <f>'Horizontal Teams'!C36</f>
        <v>H1</v>
      </c>
      <c r="D355" s="24" t="s">
        <v>789</v>
      </c>
      <c r="E355" s="46" t="str">
        <f>'Horizontal Teams'!E36</f>
        <v>Batch &amp; Production Control Lead</v>
      </c>
      <c r="F355" s="47" t="str">
        <f>'Horizontal Teams'!F36</f>
        <v>OPS</v>
      </c>
      <c r="G355" s="47" t="str">
        <f>'Horizontal Teams'!G36</f>
        <v>E4</v>
      </c>
      <c r="H355" s="47" t="str">
        <f>'Horizontal Teams'!H36</f>
        <v>ON</v>
      </c>
      <c r="I355" s="47" t="str">
        <f>'Horizontal Teams'!I36</f>
        <v>FTC</v>
      </c>
      <c r="J355" s="13">
        <f>'Horizontal Teams'!J36</f>
        <v>1</v>
      </c>
      <c r="K355" s="25">
        <v>1</v>
      </c>
      <c r="L355" s="25">
        <f t="shared" si="6"/>
        <v>1</v>
      </c>
      <c r="M355" s="44">
        <f>IFERROR(L355*INDEX('Logic Tree'!$J$73:$N$74,MATCH(H355,'Logic Tree'!$I$73:$I$74,0),MATCH(G355,'Logic Tree'!$J$72:$N$72,0)),0)</f>
        <v>1.85</v>
      </c>
    </row>
    <row r="356" spans="1:13" x14ac:dyDescent="0.35">
      <c r="A356" s="13">
        <f>'Horizontal Teams'!B37</f>
        <v>2</v>
      </c>
      <c r="B356" s="24" t="s">
        <v>789</v>
      </c>
      <c r="C356" s="47" t="str">
        <f>'Horizontal Teams'!C37</f>
        <v>H1</v>
      </c>
      <c r="D356" s="24" t="s">
        <v>789</v>
      </c>
      <c r="E356" s="46" t="str">
        <f>'Horizontal Teams'!E37</f>
        <v>Batch &amp; Production Control</v>
      </c>
      <c r="F356" s="47" t="str">
        <f>'Horizontal Teams'!F37</f>
        <v>OPS</v>
      </c>
      <c r="G356" s="47" t="str">
        <f>'Horizontal Teams'!G37</f>
        <v>E3</v>
      </c>
      <c r="H356" s="47" t="str">
        <f>'Horizontal Teams'!H37</f>
        <v>ON</v>
      </c>
      <c r="I356" s="47" t="str">
        <f>'Horizontal Teams'!I37</f>
        <v>FTC</v>
      </c>
      <c r="J356" s="13">
        <f>'Horizontal Teams'!J37</f>
        <v>2</v>
      </c>
      <c r="K356" s="25">
        <v>1</v>
      </c>
      <c r="L356" s="25">
        <f t="shared" si="6"/>
        <v>2</v>
      </c>
      <c r="M356" s="44">
        <f>IFERROR(L356*INDEX('Logic Tree'!$J$73:$N$74,MATCH(H356,'Logic Tree'!$I$73:$I$74,0),MATCH(G356,'Logic Tree'!$J$72:$N$72,0)),0)</f>
        <v>2.7</v>
      </c>
    </row>
    <row r="357" spans="1:13" x14ac:dyDescent="0.35">
      <c r="A357" s="13">
        <f>'Horizontal Teams'!B38</f>
        <v>2</v>
      </c>
      <c r="B357" s="24" t="s">
        <v>789</v>
      </c>
      <c r="C357" s="47" t="str">
        <f>'Horizontal Teams'!C38</f>
        <v>H1</v>
      </c>
      <c r="D357" s="24" t="s">
        <v>789</v>
      </c>
      <c r="E357" s="46" t="str">
        <f>'Horizontal Teams'!E38</f>
        <v>AIOps / Auto-remediation Engineer</v>
      </c>
      <c r="F357" s="47" t="str">
        <f>'Horizontal Teams'!F38</f>
        <v>ENG</v>
      </c>
      <c r="G357" s="47" t="str">
        <f>'Horizontal Teams'!G38</f>
        <v>E3</v>
      </c>
      <c r="H357" s="47" t="str">
        <f>'Horizontal Teams'!H38</f>
        <v>OFF</v>
      </c>
      <c r="I357" s="47" t="str">
        <f>'Horizontal Teams'!I38</f>
        <v>FTC</v>
      </c>
      <c r="J357" s="13">
        <f>'Horizontal Teams'!J38</f>
        <v>3</v>
      </c>
      <c r="K357" s="25">
        <v>1</v>
      </c>
      <c r="L357" s="25">
        <f t="shared" si="6"/>
        <v>3</v>
      </c>
      <c r="M357" s="44">
        <f>IFERROR(L357*INDEX('Logic Tree'!$J$73:$N$74,MATCH(H357,'Logic Tree'!$I$73:$I$74,0),MATCH(G357,'Logic Tree'!$J$72:$N$72,0)),0)</f>
        <v>1.26</v>
      </c>
    </row>
    <row r="358" spans="1:13" x14ac:dyDescent="0.35">
      <c r="A358" s="13">
        <f>'Horizontal Teams'!B39</f>
        <v>2</v>
      </c>
      <c r="B358" s="24" t="s">
        <v>789</v>
      </c>
      <c r="C358" s="47" t="str">
        <f>'Horizontal Teams'!C39</f>
        <v>H1</v>
      </c>
      <c r="D358" s="24" t="s">
        <v>789</v>
      </c>
      <c r="E358" s="46" t="str">
        <f>'Horizontal Teams'!E39</f>
        <v>Mainframe Operations Engineer</v>
      </c>
      <c r="F358" s="47" t="str">
        <f>'Horizontal Teams'!F39</f>
        <v>OPS</v>
      </c>
      <c r="G358" s="47" t="str">
        <f>'Horizontal Teams'!G39</f>
        <v>E3</v>
      </c>
      <c r="H358" s="47" t="str">
        <f>'Horizontal Teams'!H39</f>
        <v>ON</v>
      </c>
      <c r="I358" s="47" t="str">
        <f>'Horizontal Teams'!I39</f>
        <v>FTC</v>
      </c>
      <c r="J358" s="13">
        <f>'Horizontal Teams'!J39</f>
        <v>2</v>
      </c>
      <c r="K358" s="25">
        <v>1</v>
      </c>
      <c r="L358" s="25">
        <f t="shared" si="6"/>
        <v>2</v>
      </c>
      <c r="M358" s="44">
        <f>IFERROR(L358*INDEX('Logic Tree'!$J$73:$N$74,MATCH(H358,'Logic Tree'!$I$73:$I$74,0),MATCH(G358,'Logic Tree'!$J$72:$N$72,0)),0)</f>
        <v>2.7</v>
      </c>
    </row>
    <row r="359" spans="1:13" x14ac:dyDescent="0.35">
      <c r="A359" s="13">
        <f>'Horizontal Teams'!B40</f>
        <v>2</v>
      </c>
      <c r="B359" s="24" t="s">
        <v>789</v>
      </c>
      <c r="C359" s="47" t="str">
        <f>'Horizontal Teams'!C40</f>
        <v>H1</v>
      </c>
      <c r="D359" s="24" t="s">
        <v>789</v>
      </c>
      <c r="E359" s="46" t="str">
        <f>'Horizontal Teams'!E40</f>
        <v>L2 Application Support</v>
      </c>
      <c r="F359" s="47" t="str">
        <f>'Horizontal Teams'!F40</f>
        <v>OPS</v>
      </c>
      <c r="G359" s="47" t="str">
        <f>'Horizontal Teams'!G40</f>
        <v>E3</v>
      </c>
      <c r="H359" s="47" t="str">
        <f>'Horizontal Teams'!H40</f>
        <v>ON</v>
      </c>
      <c r="I359" s="47" t="str">
        <f>'Horizontal Teams'!I40</f>
        <v>FTC</v>
      </c>
      <c r="J359" s="13">
        <f>'Horizontal Teams'!J40</f>
        <v>2</v>
      </c>
      <c r="K359" s="25">
        <v>1</v>
      </c>
      <c r="L359" s="25">
        <f t="shared" si="6"/>
        <v>2</v>
      </c>
      <c r="M359" s="44">
        <f>IFERROR(L359*INDEX('Logic Tree'!$J$73:$N$74,MATCH(H359,'Logic Tree'!$I$73:$I$74,0),MATCH(G359,'Logic Tree'!$J$72:$N$72,0)),0)</f>
        <v>2.7</v>
      </c>
    </row>
    <row r="360" spans="1:13" x14ac:dyDescent="0.35">
      <c r="A360" s="13">
        <f>'Horizontal Teams'!B41</f>
        <v>2</v>
      </c>
      <c r="B360" s="24" t="s">
        <v>789</v>
      </c>
      <c r="C360" s="47" t="str">
        <f>'Horizontal Teams'!C41</f>
        <v>H1</v>
      </c>
      <c r="D360" s="24" t="s">
        <v>789</v>
      </c>
      <c r="E360" s="46" t="str">
        <f>'Horizontal Teams'!E41</f>
        <v>L2 Application Support</v>
      </c>
      <c r="F360" s="47" t="str">
        <f>'Horizontal Teams'!F41</f>
        <v>OPS</v>
      </c>
      <c r="G360" s="47" t="str">
        <f>'Horizontal Teams'!G41</f>
        <v>E2</v>
      </c>
      <c r="H360" s="47" t="str">
        <f>'Horizontal Teams'!H41</f>
        <v>OFF</v>
      </c>
      <c r="I360" s="47" t="str">
        <f>'Horizontal Teams'!I41</f>
        <v>FTC</v>
      </c>
      <c r="J360" s="13">
        <f>'Horizontal Teams'!J41</f>
        <v>4</v>
      </c>
      <c r="K360" s="25">
        <v>1</v>
      </c>
      <c r="L360" s="25">
        <f t="shared" si="6"/>
        <v>4</v>
      </c>
      <c r="M360" s="44">
        <f>IFERROR(L360*INDEX('Logic Tree'!$J$73:$N$74,MATCH(H360,'Logic Tree'!$I$73:$I$74,0),MATCH(G360,'Logic Tree'!$J$72:$N$72,0)),0)</f>
        <v>1.2</v>
      </c>
    </row>
    <row r="361" spans="1:13" x14ac:dyDescent="0.35">
      <c r="A361" s="13">
        <f>'Horizontal Teams'!B42</f>
        <v>2</v>
      </c>
      <c r="B361" s="24" t="s">
        <v>789</v>
      </c>
      <c r="C361" s="47" t="str">
        <f>'Horizontal Teams'!C42</f>
        <v>H1</v>
      </c>
      <c r="D361" s="24" t="s">
        <v>789</v>
      </c>
      <c r="E361" s="46" t="str">
        <f>'Horizontal Teams'!E42</f>
        <v>Database Engineer</v>
      </c>
      <c r="F361" s="47" t="str">
        <f>'Horizontal Teams'!F42</f>
        <v>ENG</v>
      </c>
      <c r="G361" s="47" t="str">
        <f>'Horizontal Teams'!G42</f>
        <v>E3</v>
      </c>
      <c r="H361" s="47" t="str">
        <f>'Horizontal Teams'!H42</f>
        <v>OFF</v>
      </c>
      <c r="I361" s="47" t="str">
        <f>'Horizontal Teams'!I42</f>
        <v>FTC</v>
      </c>
      <c r="J361" s="13">
        <f>'Horizontal Teams'!J42</f>
        <v>2</v>
      </c>
      <c r="K361" s="25">
        <v>1</v>
      </c>
      <c r="L361" s="25">
        <f t="shared" ref="L361:L392" si="7">IF(ISNUMBER(J361),J361*K361,0)</f>
        <v>2</v>
      </c>
      <c r="M361" s="44">
        <f>IFERROR(L361*INDEX('Logic Tree'!$J$73:$N$74,MATCH(H361,'Logic Tree'!$I$73:$I$74,0),MATCH(G361,'Logic Tree'!$J$72:$N$72,0)),0)</f>
        <v>0.84</v>
      </c>
    </row>
    <row r="362" spans="1:13" x14ac:dyDescent="0.35">
      <c r="A362" s="13">
        <f>'Horizontal Teams'!B44</f>
        <v>2</v>
      </c>
      <c r="B362" s="24" t="s">
        <v>789</v>
      </c>
      <c r="C362" s="47" t="str">
        <f>'Horizontal Teams'!C44</f>
        <v>H2</v>
      </c>
      <c r="D362" s="24" t="s">
        <v>789</v>
      </c>
      <c r="E362" s="46" t="str">
        <f>'Horizontal Teams'!E44</f>
        <v>Head of Quality Engineering</v>
      </c>
      <c r="F362" s="47" t="str">
        <f>'Horizontal Teams'!F44</f>
        <v>LEAD</v>
      </c>
      <c r="G362" s="47" t="str">
        <f>'Horizontal Teams'!G44</f>
        <v>E5</v>
      </c>
      <c r="H362" s="47" t="str">
        <f>'Horizontal Teams'!H44</f>
        <v>ON</v>
      </c>
      <c r="I362" s="47" t="str">
        <f>'Horizontal Teams'!I44</f>
        <v>FTC</v>
      </c>
      <c r="J362" s="13">
        <f>'Horizontal Teams'!J44</f>
        <v>1</v>
      </c>
      <c r="K362" s="25">
        <v>1</v>
      </c>
      <c r="L362" s="25">
        <f t="shared" si="7"/>
        <v>1</v>
      </c>
      <c r="M362" s="44">
        <f>IFERROR(L362*INDEX('Logic Tree'!$J$73:$N$74,MATCH(H362,'Logic Tree'!$I$73:$I$74,0),MATCH(G362,'Logic Tree'!$J$72:$N$72,0)),0)</f>
        <v>2.5499999999999998</v>
      </c>
    </row>
    <row r="363" spans="1:13" x14ac:dyDescent="0.35">
      <c r="A363" s="13">
        <f>'Horizontal Teams'!B45</f>
        <v>2</v>
      </c>
      <c r="B363" s="24" t="s">
        <v>789</v>
      </c>
      <c r="C363" s="47" t="str">
        <f>'Horizontal Teams'!C45</f>
        <v>H2</v>
      </c>
      <c r="D363" s="24" t="s">
        <v>789</v>
      </c>
      <c r="E363" s="46" t="str">
        <f>'Horizontal Teams'!E45</f>
        <v>Test Architect</v>
      </c>
      <c r="F363" s="47" t="str">
        <f>'Horizontal Teams'!F45</f>
        <v>TEST</v>
      </c>
      <c r="G363" s="47" t="str">
        <f>'Horizontal Teams'!G45</f>
        <v>E4</v>
      </c>
      <c r="H363" s="47" t="str">
        <f>'Horizontal Teams'!H45</f>
        <v>ON</v>
      </c>
      <c r="I363" s="47" t="str">
        <f>'Horizontal Teams'!I45</f>
        <v>FTC</v>
      </c>
      <c r="J363" s="13">
        <f>'Horizontal Teams'!J45</f>
        <v>1</v>
      </c>
      <c r="K363" s="25">
        <v>1</v>
      </c>
      <c r="L363" s="25">
        <f t="shared" si="7"/>
        <v>1</v>
      </c>
      <c r="M363" s="44">
        <f>IFERROR(L363*INDEX('Logic Tree'!$J$73:$N$74,MATCH(H363,'Logic Tree'!$I$73:$I$74,0),MATCH(G363,'Logic Tree'!$J$72:$N$72,0)),0)</f>
        <v>1.85</v>
      </c>
    </row>
    <row r="364" spans="1:13" x14ac:dyDescent="0.35">
      <c r="A364" s="13">
        <f>'Horizontal Teams'!B46</f>
        <v>2</v>
      </c>
      <c r="B364" s="24" t="s">
        <v>789</v>
      </c>
      <c r="C364" s="47" t="str">
        <f>'Horizontal Teams'!C46</f>
        <v>H2</v>
      </c>
      <c r="D364" s="24" t="s">
        <v>789</v>
      </c>
      <c r="E364" s="46" t="str">
        <f>'Horizontal Teams'!E46</f>
        <v>AI Test Generation Engineer</v>
      </c>
      <c r="F364" s="47" t="str">
        <f>'Horizontal Teams'!F46</f>
        <v>TEST</v>
      </c>
      <c r="G364" s="47" t="str">
        <f>'Horizontal Teams'!G46</f>
        <v>E3</v>
      </c>
      <c r="H364" s="47" t="str">
        <f>'Horizontal Teams'!H46</f>
        <v>OFF</v>
      </c>
      <c r="I364" s="47" t="str">
        <f>'Horizontal Teams'!I46</f>
        <v>FTC</v>
      </c>
      <c r="J364" s="13">
        <f>'Horizontal Teams'!J46</f>
        <v>4</v>
      </c>
      <c r="K364" s="25">
        <v>1</v>
      </c>
      <c r="L364" s="25">
        <f t="shared" si="7"/>
        <v>4</v>
      </c>
      <c r="M364" s="44">
        <f>IFERROR(L364*INDEX('Logic Tree'!$J$73:$N$74,MATCH(H364,'Logic Tree'!$I$73:$I$74,0),MATCH(G364,'Logic Tree'!$J$72:$N$72,0)),0)</f>
        <v>1.68</v>
      </c>
    </row>
    <row r="365" spans="1:13" x14ac:dyDescent="0.35">
      <c r="A365" s="13">
        <f>'Horizontal Teams'!B47</f>
        <v>2</v>
      </c>
      <c r="B365" s="24" t="s">
        <v>789</v>
      </c>
      <c r="C365" s="47" t="str">
        <f>'Horizontal Teams'!C47</f>
        <v>H2</v>
      </c>
      <c r="D365" s="24" t="s">
        <v>789</v>
      </c>
      <c r="E365" s="46" t="str">
        <f>'Horizontal Teams'!E47</f>
        <v>Regression Automation Engineer</v>
      </c>
      <c r="F365" s="47" t="str">
        <f>'Horizontal Teams'!F47</f>
        <v>TEST</v>
      </c>
      <c r="G365" s="47" t="str">
        <f>'Horizontal Teams'!G47</f>
        <v>E3</v>
      </c>
      <c r="H365" s="47" t="str">
        <f>'Horizontal Teams'!H47</f>
        <v>OFF</v>
      </c>
      <c r="I365" s="47" t="str">
        <f>'Horizontal Teams'!I47</f>
        <v>FTC</v>
      </c>
      <c r="J365" s="13">
        <f>'Horizontal Teams'!J47</f>
        <v>3</v>
      </c>
      <c r="K365" s="25">
        <v>1</v>
      </c>
      <c r="L365" s="25">
        <f t="shared" si="7"/>
        <v>3</v>
      </c>
      <c r="M365" s="44">
        <f>IFERROR(L365*INDEX('Logic Tree'!$J$73:$N$74,MATCH(H365,'Logic Tree'!$I$73:$I$74,0),MATCH(G365,'Logic Tree'!$J$72:$N$72,0)),0)</f>
        <v>1.26</v>
      </c>
    </row>
    <row r="366" spans="1:13" x14ac:dyDescent="0.35">
      <c r="A366" s="13">
        <f>'Horizontal Teams'!B48</f>
        <v>2</v>
      </c>
      <c r="B366" s="24" t="s">
        <v>789</v>
      </c>
      <c r="C366" s="47" t="str">
        <f>'Horizontal Teams'!C48</f>
        <v>H2</v>
      </c>
      <c r="D366" s="24" t="s">
        <v>789</v>
      </c>
      <c r="E366" s="46" t="str">
        <f>'Horizontal Teams'!E48</f>
        <v>Test Data Engineer</v>
      </c>
      <c r="F366" s="47" t="str">
        <f>'Horizontal Teams'!F48</f>
        <v>TEST</v>
      </c>
      <c r="G366" s="47" t="str">
        <f>'Horizontal Teams'!G48</f>
        <v>E2</v>
      </c>
      <c r="H366" s="47" t="str">
        <f>'Horizontal Teams'!H48</f>
        <v>OFF</v>
      </c>
      <c r="I366" s="47" t="str">
        <f>'Horizontal Teams'!I48</f>
        <v>FTC</v>
      </c>
      <c r="J366" s="13">
        <f>'Horizontal Teams'!J48</f>
        <v>2</v>
      </c>
      <c r="K366" s="25">
        <v>1</v>
      </c>
      <c r="L366" s="25">
        <f t="shared" si="7"/>
        <v>2</v>
      </c>
      <c r="M366" s="44">
        <f>IFERROR(L366*INDEX('Logic Tree'!$J$73:$N$74,MATCH(H366,'Logic Tree'!$I$73:$I$74,0),MATCH(G366,'Logic Tree'!$J$72:$N$72,0)),0)</f>
        <v>0.6</v>
      </c>
    </row>
    <row r="367" spans="1:13" x14ac:dyDescent="0.35">
      <c r="A367" s="13">
        <f>'Horizontal Teams'!B49</f>
        <v>2</v>
      </c>
      <c r="B367" s="24" t="s">
        <v>789</v>
      </c>
      <c r="C367" s="47" t="str">
        <f>'Horizontal Teams'!C49</f>
        <v>H2</v>
      </c>
      <c r="D367" s="24" t="s">
        <v>789</v>
      </c>
      <c r="E367" s="46" t="str">
        <f>'Horizontal Teams'!E49</f>
        <v>Environment Engineer</v>
      </c>
      <c r="F367" s="47" t="str">
        <f>'Horizontal Teams'!F49</f>
        <v>ENG</v>
      </c>
      <c r="G367" s="47" t="str">
        <f>'Horizontal Teams'!G49</f>
        <v>E3</v>
      </c>
      <c r="H367" s="47" t="str">
        <f>'Horizontal Teams'!H49</f>
        <v>ON</v>
      </c>
      <c r="I367" s="47" t="str">
        <f>'Horizontal Teams'!I49</f>
        <v>FTC</v>
      </c>
      <c r="J367" s="13">
        <f>'Horizontal Teams'!J49</f>
        <v>1</v>
      </c>
      <c r="K367" s="25">
        <v>1</v>
      </c>
      <c r="L367" s="25">
        <f t="shared" si="7"/>
        <v>1</v>
      </c>
      <c r="M367" s="44">
        <f>IFERROR(L367*INDEX('Logic Tree'!$J$73:$N$74,MATCH(H367,'Logic Tree'!$I$73:$I$74,0),MATCH(G367,'Logic Tree'!$J$72:$N$72,0)),0)</f>
        <v>1.35</v>
      </c>
    </row>
    <row r="368" spans="1:13" x14ac:dyDescent="0.35">
      <c r="A368" s="13">
        <f>'Horizontal Teams'!B51</f>
        <v>2</v>
      </c>
      <c r="B368" s="24" t="s">
        <v>789</v>
      </c>
      <c r="C368" s="47" t="str">
        <f>'Horizontal Teams'!C51</f>
        <v>H3</v>
      </c>
      <c r="D368" s="24" t="s">
        <v>789</v>
      </c>
      <c r="E368" s="46" t="str">
        <f>'Horizontal Teams'!E51</f>
        <v>Domain Delivery Head</v>
      </c>
      <c r="F368" s="47" t="str">
        <f>'Horizontal Teams'!F51</f>
        <v>LEAD</v>
      </c>
      <c r="G368" s="47" t="str">
        <f>'Horizontal Teams'!G51</f>
        <v>E5</v>
      </c>
      <c r="H368" s="47" t="str">
        <f>'Horizontal Teams'!H51</f>
        <v>ON</v>
      </c>
      <c r="I368" s="47" t="str">
        <f>'Horizontal Teams'!I51</f>
        <v>FTC</v>
      </c>
      <c r="J368" s="13">
        <f>'Horizontal Teams'!J51</f>
        <v>1</v>
      </c>
      <c r="K368" s="25">
        <v>1</v>
      </c>
      <c r="L368" s="25">
        <f t="shared" si="7"/>
        <v>1</v>
      </c>
      <c r="M368" s="44">
        <f>IFERROR(L368*INDEX('Logic Tree'!$J$73:$N$74,MATCH(H368,'Logic Tree'!$I$73:$I$74,0),MATCH(G368,'Logic Tree'!$J$72:$N$72,0)),0)</f>
        <v>2.5499999999999998</v>
      </c>
    </row>
    <row r="369" spans="1:13" x14ac:dyDescent="0.35">
      <c r="A369" s="13">
        <f>'Horizontal Teams'!B52</f>
        <v>2</v>
      </c>
      <c r="B369" s="24" t="s">
        <v>789</v>
      </c>
      <c r="C369" s="47" t="str">
        <f>'Horizontal Teams'!C52</f>
        <v>H3</v>
      </c>
      <c r="D369" s="24" t="s">
        <v>789</v>
      </c>
      <c r="E369" s="46" t="str">
        <f>'Horizontal Teams'!E52</f>
        <v>Chief Architect - Contract</v>
      </c>
      <c r="F369" s="47" t="str">
        <f>'Horizontal Teams'!F52</f>
        <v>ENG</v>
      </c>
      <c r="G369" s="47" t="str">
        <f>'Horizontal Teams'!G52</f>
        <v>E5</v>
      </c>
      <c r="H369" s="47" t="str">
        <f>'Horizontal Teams'!H52</f>
        <v>ON</v>
      </c>
      <c r="I369" s="47" t="str">
        <f>'Horizontal Teams'!I52</f>
        <v>FTC</v>
      </c>
      <c r="J369" s="13">
        <f>'Horizontal Teams'!J52</f>
        <v>1</v>
      </c>
      <c r="K369" s="25">
        <v>1</v>
      </c>
      <c r="L369" s="25">
        <f t="shared" si="7"/>
        <v>1</v>
      </c>
      <c r="M369" s="44">
        <f>IFERROR(L369*INDEX('Logic Tree'!$J$73:$N$74,MATCH(H369,'Logic Tree'!$I$73:$I$74,0),MATCH(G369,'Logic Tree'!$J$72:$N$72,0)),0)</f>
        <v>2.5499999999999998</v>
      </c>
    </row>
    <row r="370" spans="1:13" x14ac:dyDescent="0.35">
      <c r="A370" s="13">
        <f>'Horizontal Teams'!B53</f>
        <v>2</v>
      </c>
      <c r="B370" s="24" t="s">
        <v>789</v>
      </c>
      <c r="C370" s="47" t="str">
        <f>'Horizontal Teams'!C53</f>
        <v>H3</v>
      </c>
      <c r="D370" s="24" t="s">
        <v>789</v>
      </c>
      <c r="E370" s="46" t="str">
        <f>'Horizontal Teams'!E53</f>
        <v>Release Train Engineer</v>
      </c>
      <c r="F370" s="47" t="str">
        <f>'Horizontal Teams'!F53</f>
        <v>LEAD</v>
      </c>
      <c r="G370" s="47" t="str">
        <f>'Horizontal Teams'!G53</f>
        <v>E4</v>
      </c>
      <c r="H370" s="47" t="str">
        <f>'Horizontal Teams'!H53</f>
        <v>ON</v>
      </c>
      <c r="I370" s="47" t="str">
        <f>'Horizontal Teams'!I53</f>
        <v>FTC</v>
      </c>
      <c r="J370" s="13">
        <f>'Horizontal Teams'!J53</f>
        <v>1</v>
      </c>
      <c r="K370" s="25">
        <v>1</v>
      </c>
      <c r="L370" s="25">
        <f t="shared" si="7"/>
        <v>1</v>
      </c>
      <c r="M370" s="44">
        <f>IFERROR(L370*INDEX('Logic Tree'!$J$73:$N$74,MATCH(H370,'Logic Tree'!$I$73:$I$74,0),MATCH(G370,'Logic Tree'!$J$72:$N$72,0)),0)</f>
        <v>1.85</v>
      </c>
    </row>
    <row r="371" spans="1:13" x14ac:dyDescent="0.35">
      <c r="A371" s="13">
        <f>'Horizontal Teams'!B54</f>
        <v>2</v>
      </c>
      <c r="B371" s="24" t="s">
        <v>789</v>
      </c>
      <c r="C371" s="47" t="str">
        <f>'Horizontal Teams'!C54</f>
        <v>H3</v>
      </c>
      <c r="D371" s="24" t="s">
        <v>789</v>
      </c>
      <c r="E371" s="46" t="str">
        <f>'Horizontal Teams'!E54</f>
        <v>AI Enablement Lead</v>
      </c>
      <c r="F371" s="47" t="str">
        <f>'Horizontal Teams'!F54</f>
        <v>ENG</v>
      </c>
      <c r="G371" s="47" t="str">
        <f>'Horizontal Teams'!G54</f>
        <v>E4</v>
      </c>
      <c r="H371" s="47" t="str">
        <f>'Horizontal Teams'!H54</f>
        <v>ON</v>
      </c>
      <c r="I371" s="47" t="str">
        <f>'Horizontal Teams'!I54</f>
        <v>FTC</v>
      </c>
      <c r="J371" s="13">
        <f>'Horizontal Teams'!J54</f>
        <v>1</v>
      </c>
      <c r="K371" s="25">
        <v>1</v>
      </c>
      <c r="L371" s="25">
        <f t="shared" si="7"/>
        <v>1</v>
      </c>
      <c r="M371" s="44">
        <f>IFERROR(L371*INDEX('Logic Tree'!$J$73:$N$74,MATCH(H371,'Logic Tree'!$I$73:$I$74,0),MATCH(G371,'Logic Tree'!$J$72:$N$72,0)),0)</f>
        <v>1.85</v>
      </c>
    </row>
    <row r="372" spans="1:13" x14ac:dyDescent="0.35">
      <c r="A372" s="13">
        <f>'Horizontal Teams'!B55</f>
        <v>2</v>
      </c>
      <c r="B372" s="24" t="s">
        <v>789</v>
      </c>
      <c r="C372" s="47" t="str">
        <f>'Horizontal Teams'!C55</f>
        <v>H3</v>
      </c>
      <c r="D372" s="24" t="s">
        <v>789</v>
      </c>
      <c r="E372" s="46" t="str">
        <f>'Horizontal Teams'!E55</f>
        <v>Service &amp; Contract Manager</v>
      </c>
      <c r="F372" s="47" t="str">
        <f>'Horizontal Teams'!F55</f>
        <v>LEAD</v>
      </c>
      <c r="G372" s="47" t="str">
        <f>'Horizontal Teams'!G55</f>
        <v>E4</v>
      </c>
      <c r="H372" s="47" t="str">
        <f>'Horizontal Teams'!H55</f>
        <v>ON</v>
      </c>
      <c r="I372" s="47" t="str">
        <f>'Horizontal Teams'!I55</f>
        <v>FTC</v>
      </c>
      <c r="J372" s="13">
        <f>'Horizontal Teams'!J55</f>
        <v>1</v>
      </c>
      <c r="K372" s="25">
        <v>1</v>
      </c>
      <c r="L372" s="25">
        <f t="shared" si="7"/>
        <v>1</v>
      </c>
      <c r="M372" s="44">
        <f>IFERROR(L372*INDEX('Logic Tree'!$J$73:$N$74,MATCH(H372,'Logic Tree'!$I$73:$I$74,0),MATCH(G372,'Logic Tree'!$J$72:$N$72,0)),0)</f>
        <v>1.85</v>
      </c>
    </row>
    <row r="373" spans="1:13" x14ac:dyDescent="0.35">
      <c r="A373" s="13">
        <f>'Horizontal Teams'!B56</f>
        <v>2</v>
      </c>
      <c r="B373" s="24" t="s">
        <v>789</v>
      </c>
      <c r="C373" s="47" t="str">
        <f>'Horizontal Teams'!C56</f>
        <v>H3</v>
      </c>
      <c r="D373" s="24" t="s">
        <v>789</v>
      </c>
      <c r="E373" s="46" t="str">
        <f>'Horizontal Teams'!E56</f>
        <v>PMO &amp; Reporting Analyst</v>
      </c>
      <c r="F373" s="47" t="str">
        <f>'Horizontal Teams'!F56</f>
        <v>OPS</v>
      </c>
      <c r="G373" s="47" t="str">
        <f>'Horizontal Teams'!G56</f>
        <v>E2</v>
      </c>
      <c r="H373" s="47" t="str">
        <f>'Horizontal Teams'!H56</f>
        <v>OFF</v>
      </c>
      <c r="I373" s="47" t="str">
        <f>'Horizontal Teams'!I56</f>
        <v>FTC</v>
      </c>
      <c r="J373" s="13">
        <f>'Horizontal Teams'!J56</f>
        <v>1</v>
      </c>
      <c r="K373" s="25">
        <v>1</v>
      </c>
      <c r="L373" s="25">
        <f t="shared" si="7"/>
        <v>1</v>
      </c>
      <c r="M373" s="44">
        <f>IFERROR(L373*INDEX('Logic Tree'!$J$73:$N$74,MATCH(H373,'Logic Tree'!$I$73:$I$74,0),MATCH(G373,'Logic Tree'!$J$72:$N$72,0)),0)</f>
        <v>0.3</v>
      </c>
    </row>
    <row r="374" spans="1:13" x14ac:dyDescent="0.35">
      <c r="A374" s="13">
        <f>'Horizontal Teams'!B60</f>
        <v>3</v>
      </c>
      <c r="B374" s="24" t="s">
        <v>789</v>
      </c>
      <c r="C374" s="47" t="str">
        <f>'Horizontal Teams'!C60</f>
        <v>H1</v>
      </c>
      <c r="D374" s="24" t="s">
        <v>789</v>
      </c>
      <c r="E374" s="46" t="str">
        <f>'Horizontal Teams'!E60</f>
        <v>Service Delivery Manager</v>
      </c>
      <c r="F374" s="47" t="str">
        <f>'Horizontal Teams'!F60</f>
        <v>LEAD</v>
      </c>
      <c r="G374" s="47" t="str">
        <f>'Horizontal Teams'!G60</f>
        <v>E5</v>
      </c>
      <c r="H374" s="47" t="str">
        <f>'Horizontal Teams'!H60</f>
        <v>ON</v>
      </c>
      <c r="I374" s="47" t="str">
        <f>'Horizontal Teams'!I60</f>
        <v>FTC</v>
      </c>
      <c r="J374" s="13">
        <f>'Horizontal Teams'!J60</f>
        <v>1</v>
      </c>
      <c r="K374" s="25">
        <v>1</v>
      </c>
      <c r="L374" s="25">
        <f t="shared" si="7"/>
        <v>1</v>
      </c>
      <c r="M374" s="44">
        <f>IFERROR(L374*INDEX('Logic Tree'!$J$73:$N$74,MATCH(H374,'Logic Tree'!$I$73:$I$74,0),MATCH(G374,'Logic Tree'!$J$72:$N$72,0)),0)</f>
        <v>2.5499999999999998</v>
      </c>
    </row>
    <row r="375" spans="1:13" x14ac:dyDescent="0.35">
      <c r="A375" s="13">
        <f>'Horizontal Teams'!B61</f>
        <v>3</v>
      </c>
      <c r="B375" s="24" t="s">
        <v>789</v>
      </c>
      <c r="C375" s="47" t="str">
        <f>'Horizontal Teams'!C61</f>
        <v>H1</v>
      </c>
      <c r="D375" s="24" t="s">
        <v>789</v>
      </c>
      <c r="E375" s="46" t="str">
        <f>'Horizontal Teams'!E61</f>
        <v>Major Incident Manager</v>
      </c>
      <c r="F375" s="47" t="str">
        <f>'Horizontal Teams'!F61</f>
        <v>OPS</v>
      </c>
      <c r="G375" s="47" t="str">
        <f>'Horizontal Teams'!G61</f>
        <v>E4</v>
      </c>
      <c r="H375" s="47" t="str">
        <f>'Horizontal Teams'!H61</f>
        <v>ON</v>
      </c>
      <c r="I375" s="47" t="str">
        <f>'Horizontal Teams'!I61</f>
        <v>FTC</v>
      </c>
      <c r="J375" s="13">
        <f>'Horizontal Teams'!J61</f>
        <v>1</v>
      </c>
      <c r="K375" s="25">
        <v>1</v>
      </c>
      <c r="L375" s="25">
        <f t="shared" si="7"/>
        <v>1</v>
      </c>
      <c r="M375" s="44">
        <f>IFERROR(L375*INDEX('Logic Tree'!$J$73:$N$74,MATCH(H375,'Logic Tree'!$I$73:$I$74,0),MATCH(G375,'Logic Tree'!$J$72:$N$72,0)),0)</f>
        <v>1.85</v>
      </c>
    </row>
    <row r="376" spans="1:13" x14ac:dyDescent="0.35">
      <c r="A376" s="13">
        <f>'Horizontal Teams'!B62</f>
        <v>3</v>
      </c>
      <c r="B376" s="24" t="s">
        <v>789</v>
      </c>
      <c r="C376" s="47" t="str">
        <f>'Horizontal Teams'!C62</f>
        <v>H1</v>
      </c>
      <c r="D376" s="24" t="s">
        <v>789</v>
      </c>
      <c r="E376" s="46" t="str">
        <f>'Horizontal Teams'!E62</f>
        <v>Batch &amp; Production Control Lead</v>
      </c>
      <c r="F376" s="47" t="str">
        <f>'Horizontal Teams'!F62</f>
        <v>OPS</v>
      </c>
      <c r="G376" s="47" t="str">
        <f>'Horizontal Teams'!G62</f>
        <v>E4</v>
      </c>
      <c r="H376" s="47" t="str">
        <f>'Horizontal Teams'!H62</f>
        <v>ON</v>
      </c>
      <c r="I376" s="47" t="str">
        <f>'Horizontal Teams'!I62</f>
        <v>FTC</v>
      </c>
      <c r="J376" s="13">
        <f>'Horizontal Teams'!J62</f>
        <v>1</v>
      </c>
      <c r="K376" s="25">
        <v>1</v>
      </c>
      <c r="L376" s="25">
        <f t="shared" si="7"/>
        <v>1</v>
      </c>
      <c r="M376" s="44">
        <f>IFERROR(L376*INDEX('Logic Tree'!$J$73:$N$74,MATCH(H376,'Logic Tree'!$I$73:$I$74,0),MATCH(G376,'Logic Tree'!$J$72:$N$72,0)),0)</f>
        <v>1.85</v>
      </c>
    </row>
    <row r="377" spans="1:13" x14ac:dyDescent="0.35">
      <c r="A377" s="13">
        <f>'Horizontal Teams'!B63</f>
        <v>3</v>
      </c>
      <c r="B377" s="24" t="s">
        <v>789</v>
      </c>
      <c r="C377" s="47" t="str">
        <f>'Horizontal Teams'!C63</f>
        <v>H1</v>
      </c>
      <c r="D377" s="24" t="s">
        <v>789</v>
      </c>
      <c r="E377" s="46" t="str">
        <f>'Horizontal Teams'!E63</f>
        <v>Batch &amp; Production Control</v>
      </c>
      <c r="F377" s="47" t="str">
        <f>'Horizontal Teams'!F63</f>
        <v>OPS</v>
      </c>
      <c r="G377" s="47" t="str">
        <f>'Horizontal Teams'!G63</f>
        <v>E3</v>
      </c>
      <c r="H377" s="47" t="str">
        <f>'Horizontal Teams'!H63</f>
        <v>ON</v>
      </c>
      <c r="I377" s="47" t="str">
        <f>'Horizontal Teams'!I63</f>
        <v>FTC</v>
      </c>
      <c r="J377" s="13">
        <f>'Horizontal Teams'!J63</f>
        <v>1</v>
      </c>
      <c r="K377" s="25">
        <v>1</v>
      </c>
      <c r="L377" s="25">
        <f t="shared" si="7"/>
        <v>1</v>
      </c>
      <c r="M377" s="44">
        <f>IFERROR(L377*INDEX('Logic Tree'!$J$73:$N$74,MATCH(H377,'Logic Tree'!$I$73:$I$74,0),MATCH(G377,'Logic Tree'!$J$72:$N$72,0)),0)</f>
        <v>1.35</v>
      </c>
    </row>
    <row r="378" spans="1:13" x14ac:dyDescent="0.35">
      <c r="A378" s="13">
        <f>'Horizontal Teams'!B64</f>
        <v>3</v>
      </c>
      <c r="B378" s="24" t="s">
        <v>789</v>
      </c>
      <c r="C378" s="47" t="str">
        <f>'Horizontal Teams'!C64</f>
        <v>H1</v>
      </c>
      <c r="D378" s="24" t="s">
        <v>789</v>
      </c>
      <c r="E378" s="46" t="str">
        <f>'Horizontal Teams'!E64</f>
        <v>AIOps / Auto-remediation Engineer</v>
      </c>
      <c r="F378" s="47" t="str">
        <f>'Horizontal Teams'!F64</f>
        <v>ENG</v>
      </c>
      <c r="G378" s="47" t="str">
        <f>'Horizontal Teams'!G64</f>
        <v>E4</v>
      </c>
      <c r="H378" s="47" t="str">
        <f>'Horizontal Teams'!H64</f>
        <v>OFF</v>
      </c>
      <c r="I378" s="47" t="str">
        <f>'Horizontal Teams'!I64</f>
        <v>FTC</v>
      </c>
      <c r="J378" s="13">
        <f>'Horizontal Teams'!J64</f>
        <v>4</v>
      </c>
      <c r="K378" s="25">
        <v>1</v>
      </c>
      <c r="L378" s="25">
        <f t="shared" si="7"/>
        <v>4</v>
      </c>
      <c r="M378" s="44">
        <f>IFERROR(L378*INDEX('Logic Tree'!$J$73:$N$74,MATCH(H378,'Logic Tree'!$I$73:$I$74,0),MATCH(G378,'Logic Tree'!$J$72:$N$72,0)),0)</f>
        <v>2.4</v>
      </c>
    </row>
    <row r="379" spans="1:13" x14ac:dyDescent="0.35">
      <c r="A379" s="13">
        <f>'Horizontal Teams'!B65</f>
        <v>3</v>
      </c>
      <c r="B379" s="24" t="s">
        <v>789</v>
      </c>
      <c r="C379" s="47" t="str">
        <f>'Horizontal Teams'!C65</f>
        <v>H1</v>
      </c>
      <c r="D379" s="24" t="s">
        <v>789</v>
      </c>
      <c r="E379" s="46" t="str">
        <f>'Horizontal Teams'!E65</f>
        <v>Mainframe Operations Engineer</v>
      </c>
      <c r="F379" s="47" t="str">
        <f>'Horizontal Teams'!F65</f>
        <v>OPS</v>
      </c>
      <c r="G379" s="47" t="str">
        <f>'Horizontal Teams'!G65</f>
        <v>E3</v>
      </c>
      <c r="H379" s="47" t="str">
        <f>'Horizontal Teams'!H65</f>
        <v>ON</v>
      </c>
      <c r="I379" s="47" t="str">
        <f>'Horizontal Teams'!I65</f>
        <v>FTC</v>
      </c>
      <c r="J379" s="13">
        <f>'Horizontal Teams'!J65</f>
        <v>1</v>
      </c>
      <c r="K379" s="25">
        <v>1</v>
      </c>
      <c r="L379" s="25">
        <f t="shared" si="7"/>
        <v>1</v>
      </c>
      <c r="M379" s="44">
        <f>IFERROR(L379*INDEX('Logic Tree'!$J$73:$N$74,MATCH(H379,'Logic Tree'!$I$73:$I$74,0),MATCH(G379,'Logic Tree'!$J$72:$N$72,0)),0)</f>
        <v>1.35</v>
      </c>
    </row>
    <row r="380" spans="1:13" x14ac:dyDescent="0.35">
      <c r="A380" s="13">
        <f>'Horizontal Teams'!B66</f>
        <v>3</v>
      </c>
      <c r="B380" s="24" t="s">
        <v>789</v>
      </c>
      <c r="C380" s="47" t="str">
        <f>'Horizontal Teams'!C66</f>
        <v>H1</v>
      </c>
      <c r="D380" s="24" t="s">
        <v>789</v>
      </c>
      <c r="E380" s="46" t="str">
        <f>'Horizontal Teams'!E66</f>
        <v>L2 Application Support</v>
      </c>
      <c r="F380" s="47" t="str">
        <f>'Horizontal Teams'!F66</f>
        <v>OPS</v>
      </c>
      <c r="G380" s="47" t="str">
        <f>'Horizontal Teams'!G66</f>
        <v>E3</v>
      </c>
      <c r="H380" s="47" t="str">
        <f>'Horizontal Teams'!H66</f>
        <v>ON</v>
      </c>
      <c r="I380" s="47" t="str">
        <f>'Horizontal Teams'!I66</f>
        <v>FTC</v>
      </c>
      <c r="J380" s="13">
        <f>'Horizontal Teams'!J66</f>
        <v>2</v>
      </c>
      <c r="K380" s="25">
        <v>1</v>
      </c>
      <c r="L380" s="25">
        <f t="shared" si="7"/>
        <v>2</v>
      </c>
      <c r="M380" s="44">
        <f>IFERROR(L380*INDEX('Logic Tree'!$J$73:$N$74,MATCH(H380,'Logic Tree'!$I$73:$I$74,0),MATCH(G380,'Logic Tree'!$J$72:$N$72,0)),0)</f>
        <v>2.7</v>
      </c>
    </row>
    <row r="381" spans="1:13" x14ac:dyDescent="0.35">
      <c r="A381" s="13">
        <f>'Horizontal Teams'!B67</f>
        <v>3</v>
      </c>
      <c r="B381" s="24" t="s">
        <v>789</v>
      </c>
      <c r="C381" s="47" t="str">
        <f>'Horizontal Teams'!C67</f>
        <v>H1</v>
      </c>
      <c r="D381" s="24" t="s">
        <v>789</v>
      </c>
      <c r="E381" s="46" t="str">
        <f>'Horizontal Teams'!E67</f>
        <v>L2 Application Support</v>
      </c>
      <c r="F381" s="47" t="str">
        <f>'Horizontal Teams'!F67</f>
        <v>OPS</v>
      </c>
      <c r="G381" s="47" t="str">
        <f>'Horizontal Teams'!G67</f>
        <v>E2</v>
      </c>
      <c r="H381" s="47" t="str">
        <f>'Horizontal Teams'!H67</f>
        <v>OFF</v>
      </c>
      <c r="I381" s="47" t="str">
        <f>'Horizontal Teams'!I67</f>
        <v>FTC</v>
      </c>
      <c r="J381" s="13">
        <f>'Horizontal Teams'!J67</f>
        <v>4</v>
      </c>
      <c r="K381" s="25">
        <v>1</v>
      </c>
      <c r="L381" s="25">
        <f t="shared" si="7"/>
        <v>4</v>
      </c>
      <c r="M381" s="44">
        <f>IFERROR(L381*INDEX('Logic Tree'!$J$73:$N$74,MATCH(H381,'Logic Tree'!$I$73:$I$74,0),MATCH(G381,'Logic Tree'!$J$72:$N$72,0)),0)</f>
        <v>1.2</v>
      </c>
    </row>
    <row r="382" spans="1:13" x14ac:dyDescent="0.35">
      <c r="A382" s="13">
        <f>'Horizontal Teams'!B68</f>
        <v>3</v>
      </c>
      <c r="B382" s="24" t="s">
        <v>789</v>
      </c>
      <c r="C382" s="47" t="str">
        <f>'Horizontal Teams'!C68</f>
        <v>H1</v>
      </c>
      <c r="D382" s="24" t="s">
        <v>789</v>
      </c>
      <c r="E382" s="46" t="str">
        <f>'Horizontal Teams'!E68</f>
        <v>Database Engineer</v>
      </c>
      <c r="F382" s="47" t="str">
        <f>'Horizontal Teams'!F68</f>
        <v>ENG</v>
      </c>
      <c r="G382" s="47" t="str">
        <f>'Horizontal Teams'!G68</f>
        <v>E3</v>
      </c>
      <c r="H382" s="47" t="str">
        <f>'Horizontal Teams'!H68</f>
        <v>OFF</v>
      </c>
      <c r="I382" s="47" t="str">
        <f>'Horizontal Teams'!I68</f>
        <v>FTC</v>
      </c>
      <c r="J382" s="13">
        <f>'Horizontal Teams'!J68</f>
        <v>2</v>
      </c>
      <c r="K382" s="25">
        <v>1</v>
      </c>
      <c r="L382" s="25">
        <f t="shared" si="7"/>
        <v>2</v>
      </c>
      <c r="M382" s="44">
        <f>IFERROR(L382*INDEX('Logic Tree'!$J$73:$N$74,MATCH(H382,'Logic Tree'!$I$73:$I$74,0),MATCH(G382,'Logic Tree'!$J$72:$N$72,0)),0)</f>
        <v>0.84</v>
      </c>
    </row>
    <row r="383" spans="1:13" x14ac:dyDescent="0.35">
      <c r="A383" s="13">
        <f>'Horizontal Teams'!B70</f>
        <v>3</v>
      </c>
      <c r="B383" s="24" t="s">
        <v>789</v>
      </c>
      <c r="C383" s="47" t="str">
        <f>'Horizontal Teams'!C70</f>
        <v>H2</v>
      </c>
      <c r="D383" s="24" t="s">
        <v>789</v>
      </c>
      <c r="E383" s="46" t="str">
        <f>'Horizontal Teams'!E70</f>
        <v>Head of Quality Engineering</v>
      </c>
      <c r="F383" s="47" t="str">
        <f>'Horizontal Teams'!F70</f>
        <v>LEAD</v>
      </c>
      <c r="G383" s="47" t="str">
        <f>'Horizontal Teams'!G70</f>
        <v>E5</v>
      </c>
      <c r="H383" s="47" t="str">
        <f>'Horizontal Teams'!H70</f>
        <v>ON</v>
      </c>
      <c r="I383" s="47" t="str">
        <f>'Horizontal Teams'!I70</f>
        <v>FTC</v>
      </c>
      <c r="J383" s="13">
        <f>'Horizontal Teams'!J70</f>
        <v>1</v>
      </c>
      <c r="K383" s="25">
        <v>1</v>
      </c>
      <c r="L383" s="25">
        <f t="shared" si="7"/>
        <v>1</v>
      </c>
      <c r="M383" s="44">
        <f>IFERROR(L383*INDEX('Logic Tree'!$J$73:$N$74,MATCH(H383,'Logic Tree'!$I$73:$I$74,0),MATCH(G383,'Logic Tree'!$J$72:$N$72,0)),0)</f>
        <v>2.5499999999999998</v>
      </c>
    </row>
    <row r="384" spans="1:13" x14ac:dyDescent="0.35">
      <c r="A384" s="13">
        <f>'Horizontal Teams'!B71</f>
        <v>3</v>
      </c>
      <c r="B384" s="24" t="s">
        <v>789</v>
      </c>
      <c r="C384" s="47" t="str">
        <f>'Horizontal Teams'!C71</f>
        <v>H2</v>
      </c>
      <c r="D384" s="24" t="s">
        <v>789</v>
      </c>
      <c r="E384" s="46" t="str">
        <f>'Horizontal Teams'!E71</f>
        <v>Test Architect</v>
      </c>
      <c r="F384" s="47" t="str">
        <f>'Horizontal Teams'!F71</f>
        <v>TEST</v>
      </c>
      <c r="G384" s="47" t="str">
        <f>'Horizontal Teams'!G71</f>
        <v>E4</v>
      </c>
      <c r="H384" s="47" t="str">
        <f>'Horizontal Teams'!H71</f>
        <v>ON</v>
      </c>
      <c r="I384" s="47" t="str">
        <f>'Horizontal Teams'!I71</f>
        <v>FTC</v>
      </c>
      <c r="J384" s="13">
        <f>'Horizontal Teams'!J71</f>
        <v>1</v>
      </c>
      <c r="K384" s="25">
        <v>1</v>
      </c>
      <c r="L384" s="25">
        <f t="shared" si="7"/>
        <v>1</v>
      </c>
      <c r="M384" s="44">
        <f>IFERROR(L384*INDEX('Logic Tree'!$J$73:$N$74,MATCH(H384,'Logic Tree'!$I$73:$I$74,0),MATCH(G384,'Logic Tree'!$J$72:$N$72,0)),0)</f>
        <v>1.85</v>
      </c>
    </row>
    <row r="385" spans="1:13" x14ac:dyDescent="0.35">
      <c r="A385" s="13">
        <f>'Horizontal Teams'!B72</f>
        <v>3</v>
      </c>
      <c r="B385" s="24" t="s">
        <v>789</v>
      </c>
      <c r="C385" s="47" t="str">
        <f>'Horizontal Teams'!C72</f>
        <v>H2</v>
      </c>
      <c r="D385" s="24" t="s">
        <v>789</v>
      </c>
      <c r="E385" s="46" t="str">
        <f>'Horizontal Teams'!E72</f>
        <v>AI Test Generation Engineer</v>
      </c>
      <c r="F385" s="47" t="str">
        <f>'Horizontal Teams'!F72</f>
        <v>TEST</v>
      </c>
      <c r="G385" s="47" t="str">
        <f>'Horizontal Teams'!G72</f>
        <v>E4</v>
      </c>
      <c r="H385" s="47" t="str">
        <f>'Horizontal Teams'!H72</f>
        <v>OFF</v>
      </c>
      <c r="I385" s="47" t="str">
        <f>'Horizontal Teams'!I72</f>
        <v>FTC</v>
      </c>
      <c r="J385" s="13">
        <f>'Horizontal Teams'!J72</f>
        <v>4</v>
      </c>
      <c r="K385" s="25">
        <v>1</v>
      </c>
      <c r="L385" s="25">
        <f t="shared" si="7"/>
        <v>4</v>
      </c>
      <c r="M385" s="44">
        <f>IFERROR(L385*INDEX('Logic Tree'!$J$73:$N$74,MATCH(H385,'Logic Tree'!$I$73:$I$74,0),MATCH(G385,'Logic Tree'!$J$72:$N$72,0)),0)</f>
        <v>2.4</v>
      </c>
    </row>
    <row r="386" spans="1:13" x14ac:dyDescent="0.35">
      <c r="A386" s="13">
        <f>'Horizontal Teams'!B73</f>
        <v>3</v>
      </c>
      <c r="B386" s="24" t="s">
        <v>789</v>
      </c>
      <c r="C386" s="47" t="str">
        <f>'Horizontal Teams'!C73</f>
        <v>H2</v>
      </c>
      <c r="D386" s="24" t="s">
        <v>789</v>
      </c>
      <c r="E386" s="46" t="str">
        <f>'Horizontal Teams'!E73</f>
        <v>Regression Automation Engineer</v>
      </c>
      <c r="F386" s="47" t="str">
        <f>'Horizontal Teams'!F73</f>
        <v>TEST</v>
      </c>
      <c r="G386" s="47" t="str">
        <f>'Horizontal Teams'!G73</f>
        <v>E3</v>
      </c>
      <c r="H386" s="47" t="str">
        <f>'Horizontal Teams'!H73</f>
        <v>OFF</v>
      </c>
      <c r="I386" s="47" t="str">
        <f>'Horizontal Teams'!I73</f>
        <v>FTC</v>
      </c>
      <c r="J386" s="13">
        <f>'Horizontal Teams'!J73</f>
        <v>3</v>
      </c>
      <c r="K386" s="25">
        <v>1</v>
      </c>
      <c r="L386" s="25">
        <f t="shared" si="7"/>
        <v>3</v>
      </c>
      <c r="M386" s="44">
        <f>IFERROR(L386*INDEX('Logic Tree'!$J$73:$N$74,MATCH(H386,'Logic Tree'!$I$73:$I$74,0),MATCH(G386,'Logic Tree'!$J$72:$N$72,0)),0)</f>
        <v>1.26</v>
      </c>
    </row>
    <row r="387" spans="1:13" x14ac:dyDescent="0.35">
      <c r="A387" s="13">
        <f>'Horizontal Teams'!B74</f>
        <v>3</v>
      </c>
      <c r="B387" s="24" t="s">
        <v>789</v>
      </c>
      <c r="C387" s="47" t="str">
        <f>'Horizontal Teams'!C74</f>
        <v>H2</v>
      </c>
      <c r="D387" s="24" t="s">
        <v>789</v>
      </c>
      <c r="E387" s="46" t="str">
        <f>'Horizontal Teams'!E74</f>
        <v>Test Data Engineer</v>
      </c>
      <c r="F387" s="47" t="str">
        <f>'Horizontal Teams'!F74</f>
        <v>TEST</v>
      </c>
      <c r="G387" s="47" t="str">
        <f>'Horizontal Teams'!G74</f>
        <v>E2</v>
      </c>
      <c r="H387" s="47" t="str">
        <f>'Horizontal Teams'!H74</f>
        <v>OFF</v>
      </c>
      <c r="I387" s="47" t="str">
        <f>'Horizontal Teams'!I74</f>
        <v>FTC</v>
      </c>
      <c r="J387" s="13">
        <f>'Horizontal Teams'!J74</f>
        <v>2</v>
      </c>
      <c r="K387" s="25">
        <v>1</v>
      </c>
      <c r="L387" s="25">
        <f t="shared" si="7"/>
        <v>2</v>
      </c>
      <c r="M387" s="44">
        <f>IFERROR(L387*INDEX('Logic Tree'!$J$73:$N$74,MATCH(H387,'Logic Tree'!$I$73:$I$74,0),MATCH(G387,'Logic Tree'!$J$72:$N$72,0)),0)</f>
        <v>0.6</v>
      </c>
    </row>
    <row r="388" spans="1:13" x14ac:dyDescent="0.35">
      <c r="A388" s="13">
        <f>'Horizontal Teams'!B76</f>
        <v>3</v>
      </c>
      <c r="B388" s="24" t="s">
        <v>789</v>
      </c>
      <c r="C388" s="47" t="str">
        <f>'Horizontal Teams'!C76</f>
        <v>H3</v>
      </c>
      <c r="D388" s="24" t="s">
        <v>789</v>
      </c>
      <c r="E388" s="46" t="str">
        <f>'Horizontal Teams'!E76</f>
        <v>Domain Delivery Head</v>
      </c>
      <c r="F388" s="47" t="str">
        <f>'Horizontal Teams'!F76</f>
        <v>LEAD</v>
      </c>
      <c r="G388" s="47" t="str">
        <f>'Horizontal Teams'!G76</f>
        <v>E5</v>
      </c>
      <c r="H388" s="47" t="str">
        <f>'Horizontal Teams'!H76</f>
        <v>ON</v>
      </c>
      <c r="I388" s="47" t="str">
        <f>'Horizontal Teams'!I76</f>
        <v>FTC</v>
      </c>
      <c r="J388" s="13">
        <f>'Horizontal Teams'!J76</f>
        <v>1</v>
      </c>
      <c r="K388" s="25">
        <v>1</v>
      </c>
      <c r="L388" s="25">
        <f t="shared" si="7"/>
        <v>1</v>
      </c>
      <c r="M388" s="44">
        <f>IFERROR(L388*INDEX('Logic Tree'!$J$73:$N$74,MATCH(H388,'Logic Tree'!$I$73:$I$74,0),MATCH(G388,'Logic Tree'!$J$72:$N$72,0)),0)</f>
        <v>2.5499999999999998</v>
      </c>
    </row>
    <row r="389" spans="1:13" x14ac:dyDescent="0.35">
      <c r="A389" s="13">
        <f>'Horizontal Teams'!B77</f>
        <v>3</v>
      </c>
      <c r="B389" s="24" t="s">
        <v>789</v>
      </c>
      <c r="C389" s="47" t="str">
        <f>'Horizontal Teams'!C77</f>
        <v>H3</v>
      </c>
      <c r="D389" s="24" t="s">
        <v>789</v>
      </c>
      <c r="E389" s="46" t="str">
        <f>'Horizontal Teams'!E77</f>
        <v>Chief Architect - Contract</v>
      </c>
      <c r="F389" s="47" t="str">
        <f>'Horizontal Teams'!F77</f>
        <v>ENG</v>
      </c>
      <c r="G389" s="47" t="str">
        <f>'Horizontal Teams'!G77</f>
        <v>E5</v>
      </c>
      <c r="H389" s="47" t="str">
        <f>'Horizontal Teams'!H77</f>
        <v>ON</v>
      </c>
      <c r="I389" s="47" t="str">
        <f>'Horizontal Teams'!I77</f>
        <v>FTC</v>
      </c>
      <c r="J389" s="13">
        <f>'Horizontal Teams'!J77</f>
        <v>1</v>
      </c>
      <c r="K389" s="25">
        <v>1</v>
      </c>
      <c r="L389" s="25">
        <f t="shared" si="7"/>
        <v>1</v>
      </c>
      <c r="M389" s="44">
        <f>IFERROR(L389*INDEX('Logic Tree'!$J$73:$N$74,MATCH(H389,'Logic Tree'!$I$73:$I$74,0),MATCH(G389,'Logic Tree'!$J$72:$N$72,0)),0)</f>
        <v>2.5499999999999998</v>
      </c>
    </row>
    <row r="390" spans="1:13" x14ac:dyDescent="0.35">
      <c r="A390" s="13">
        <f>'Horizontal Teams'!B78</f>
        <v>3</v>
      </c>
      <c r="B390" s="24" t="s">
        <v>789</v>
      </c>
      <c r="C390" s="47" t="str">
        <f>'Horizontal Teams'!C78</f>
        <v>H3</v>
      </c>
      <c r="D390" s="24" t="s">
        <v>789</v>
      </c>
      <c r="E390" s="46" t="str">
        <f>'Horizontal Teams'!E78</f>
        <v>Release Train Engineer</v>
      </c>
      <c r="F390" s="47" t="str">
        <f>'Horizontal Teams'!F78</f>
        <v>LEAD</v>
      </c>
      <c r="G390" s="47" t="str">
        <f>'Horizontal Teams'!G78</f>
        <v>E4</v>
      </c>
      <c r="H390" s="47" t="str">
        <f>'Horizontal Teams'!H78</f>
        <v>ON</v>
      </c>
      <c r="I390" s="47" t="str">
        <f>'Horizontal Teams'!I78</f>
        <v>FTC</v>
      </c>
      <c r="J390" s="13">
        <f>'Horizontal Teams'!J78</f>
        <v>1</v>
      </c>
      <c r="K390" s="25">
        <v>1</v>
      </c>
      <c r="L390" s="25">
        <f t="shared" si="7"/>
        <v>1</v>
      </c>
      <c r="M390" s="44">
        <f>IFERROR(L390*INDEX('Logic Tree'!$J$73:$N$74,MATCH(H390,'Logic Tree'!$I$73:$I$74,0),MATCH(G390,'Logic Tree'!$J$72:$N$72,0)),0)</f>
        <v>1.85</v>
      </c>
    </row>
    <row r="391" spans="1:13" x14ac:dyDescent="0.35">
      <c r="A391" s="13">
        <f>'Horizontal Teams'!B79</f>
        <v>3</v>
      </c>
      <c r="B391" s="24" t="s">
        <v>789</v>
      </c>
      <c r="C391" s="47" t="str">
        <f>'Horizontal Teams'!C79</f>
        <v>H3</v>
      </c>
      <c r="D391" s="24" t="s">
        <v>789</v>
      </c>
      <c r="E391" s="46" t="str">
        <f>'Horizontal Teams'!E79</f>
        <v>AI Enablement Lead</v>
      </c>
      <c r="F391" s="47" t="str">
        <f>'Horizontal Teams'!F79</f>
        <v>ENG</v>
      </c>
      <c r="G391" s="47" t="str">
        <f>'Horizontal Teams'!G79</f>
        <v>E4</v>
      </c>
      <c r="H391" s="47" t="str">
        <f>'Horizontal Teams'!H79</f>
        <v>ON</v>
      </c>
      <c r="I391" s="47" t="str">
        <f>'Horizontal Teams'!I79</f>
        <v>FTC</v>
      </c>
      <c r="J391" s="13">
        <f>'Horizontal Teams'!J79</f>
        <v>1</v>
      </c>
      <c r="K391" s="25">
        <v>1</v>
      </c>
      <c r="L391" s="25">
        <f t="shared" si="7"/>
        <v>1</v>
      </c>
      <c r="M391" s="44">
        <f>IFERROR(L391*INDEX('Logic Tree'!$J$73:$N$74,MATCH(H391,'Logic Tree'!$I$73:$I$74,0),MATCH(G391,'Logic Tree'!$J$72:$N$72,0)),0)</f>
        <v>1.85</v>
      </c>
    </row>
    <row r="392" spans="1:13" x14ac:dyDescent="0.35">
      <c r="A392" s="13">
        <f>'Horizontal Teams'!B80</f>
        <v>3</v>
      </c>
      <c r="B392" s="24" t="s">
        <v>789</v>
      </c>
      <c r="C392" s="47" t="str">
        <f>'Horizontal Teams'!C80</f>
        <v>H3</v>
      </c>
      <c r="D392" s="24" t="s">
        <v>789</v>
      </c>
      <c r="E392" s="46" t="str">
        <f>'Horizontal Teams'!E80</f>
        <v>Service &amp; Contract Manager</v>
      </c>
      <c r="F392" s="47" t="str">
        <f>'Horizontal Teams'!F80</f>
        <v>LEAD</v>
      </c>
      <c r="G392" s="47" t="str">
        <f>'Horizontal Teams'!G80</f>
        <v>E4</v>
      </c>
      <c r="H392" s="47" t="str">
        <f>'Horizontal Teams'!H80</f>
        <v>ON</v>
      </c>
      <c r="I392" s="47" t="str">
        <f>'Horizontal Teams'!I80</f>
        <v>FTC</v>
      </c>
      <c r="J392" s="13">
        <f>'Horizontal Teams'!J80</f>
        <v>1</v>
      </c>
      <c r="K392" s="25">
        <v>1</v>
      </c>
      <c r="L392" s="25">
        <f t="shared" si="7"/>
        <v>1</v>
      </c>
      <c r="M392" s="44">
        <f>IFERROR(L392*INDEX('Logic Tree'!$J$73:$N$74,MATCH(H392,'Logic Tree'!$I$73:$I$74,0),MATCH(G392,'Logic Tree'!$J$72:$N$72,0)),0)</f>
        <v>1.85</v>
      </c>
    </row>
    <row r="393" spans="1:13" x14ac:dyDescent="0.35">
      <c r="A393" s="13">
        <f>'Horizontal Teams'!B81</f>
        <v>3</v>
      </c>
      <c r="B393" s="24" t="s">
        <v>789</v>
      </c>
      <c r="C393" s="47" t="str">
        <f>'Horizontal Teams'!C81</f>
        <v>H3</v>
      </c>
      <c r="D393" s="24" t="s">
        <v>789</v>
      </c>
      <c r="E393" s="46" t="str">
        <f>'Horizontal Teams'!E81</f>
        <v>PMO &amp; Reporting Analyst</v>
      </c>
      <c r="F393" s="47" t="str">
        <f>'Horizontal Teams'!F81</f>
        <v>OPS</v>
      </c>
      <c r="G393" s="47" t="str">
        <f>'Horizontal Teams'!G81</f>
        <v>E2</v>
      </c>
      <c r="H393" s="47" t="str">
        <f>'Horizontal Teams'!H81</f>
        <v>OFF</v>
      </c>
      <c r="I393" s="47" t="str">
        <f>'Horizontal Teams'!I81</f>
        <v>FTC</v>
      </c>
      <c r="J393" s="13">
        <f>'Horizontal Teams'!J81</f>
        <v>1</v>
      </c>
      <c r="K393" s="25">
        <v>1</v>
      </c>
      <c r="L393" s="25">
        <f t="shared" ref="L393" si="8">IF(ISNUMBER(J393),J393*K393,0)</f>
        <v>1</v>
      </c>
      <c r="M393" s="44">
        <f>IFERROR(L393*INDEX('Logic Tree'!$J$73:$N$74,MATCH(H393,'Logic Tree'!$I$73:$I$74,0),MATCH(G393,'Logic Tree'!$J$72:$N$72,0)),0)</f>
        <v>0.3</v>
      </c>
    </row>
  </sheetData>
  <autoFilter ref="A4:M393" xr:uid="{00000000-0001-0000-0A00-000000000000}"/>
  <mergeCells count="2">
    <mergeCell ref="A2:N2"/>
    <mergeCell ref="A1:N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6F9B9AA9FDD341B4BEBD17B645EC21" ma:contentTypeVersion="8" ma:contentTypeDescription="Create a new document." ma:contentTypeScope="" ma:versionID="5745af9a74d46f102bb11af60999e8af">
  <xsd:schema xmlns:xsd="http://www.w3.org/2001/XMLSchema" xmlns:xs="http://www.w3.org/2001/XMLSchema" xmlns:p="http://schemas.microsoft.com/office/2006/metadata/properties" xmlns:ns2="a84add37-9773-464e-afdf-4ed72a97b2aa" targetNamespace="http://schemas.microsoft.com/office/2006/metadata/properties" ma:root="true" ma:fieldsID="849244e1f35761c386d289d5fd495158" ns2:_="">
    <xsd:import namespace="a84add37-9773-464e-afdf-4ed72a97b2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4add37-9773-464e-afdf-4ed72a97b2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83C1FC3-7EA9-435A-92B1-CD309CF31B0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4624C5-9D78-4333-99E6-8DEF77C63F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4add37-9773-464e-afdf-4ed72a97b2a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51BFC20-A15B-4CF3-B63B-3C8DDB683176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dcmitype/"/>
    <ds:schemaRef ds:uri="http://purl.org/dc/elements/1.1/"/>
    <ds:schemaRef ds:uri="http://schemas.microsoft.com/office/infopath/2007/PartnerControls"/>
    <ds:schemaRef ds:uri="a84add37-9773-464e-afdf-4ed72a97b2aa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bb5d96ea-ab39-44a0-a6d6-b6f0aac5958b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Logic Tree</vt:lpstr>
      <vt:lpstr>Inventory</vt:lpstr>
      <vt:lpstr>Value Streams</vt:lpstr>
      <vt:lpstr>Pod Library</vt:lpstr>
      <vt:lpstr>Pod Plan</vt:lpstr>
      <vt:lpstr>Horizontal Teams</vt:lpstr>
      <vt:lpstr>Team Build-Up</vt:lpstr>
      <vt:lpstr>Glidepath &amp; 50-50</vt:lpstr>
      <vt:lpstr>Cost &amp; Commercial</vt:lpstr>
      <vt:lpstr>Seat Ledger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Bandaru, Vidisha</cp:lastModifiedBy>
  <cp:revision/>
  <dcterms:created xsi:type="dcterms:W3CDTF">2026-09-01T17:41:44Z</dcterms:created>
  <dcterms:modified xsi:type="dcterms:W3CDTF">2026-09-02T11:59:06Z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0x010100E76F9B9AA9FDD341B4BEBD17B645EC21</vt:lpwstr>
  </property>
</Properties>
</file>